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165E3530-F72A-EC48-BB1A-2096AF04F96A}" xr6:coauthVersionLast="47" xr6:coauthVersionMax="47" xr10:uidLastSave="{00000000-0000-0000-0000-000000000000}"/>
  <bookViews>
    <workbookView minimized="1" xWindow="0" yWindow="700" windowWidth="30240" windowHeight="17900" activeTab="3" xr2:uid="{00000000-000D-0000-FFFF-FFFF00000000}"/>
  </bookViews>
  <sheets>
    <sheet name="預測IC" sheetId="1" r:id="rId1"/>
    <sheet name="夏普比率" sheetId="2" r:id="rId2"/>
    <sheet name="勝率" sheetId="3" r:id="rId3"/>
    <sheet name="累積報酬" sheetId="4" r:id="rId4"/>
    <sheet name="預測累積畫圖" sheetId="5" r:id="rId5"/>
    <sheet name="OLS樣本外R2" sheetId="6" r:id="rId6"/>
    <sheet name="NN1樣本外R2" sheetId="7" r:id="rId7"/>
    <sheet name="NN1再投資累積報酬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4" l="1"/>
  <c r="D12" i="4"/>
  <c r="EF25" i="8" a="1"/>
  <c r="EF25" i="8" s="1"/>
  <c r="EE25" i="8" a="1"/>
  <c r="EE25" i="8" s="1"/>
  <c r="ED25" i="8" a="1"/>
  <c r="ED25" i="8"/>
  <c r="EC25" i="8" a="1"/>
  <c r="EC25" i="8" s="1"/>
  <c r="EB25" i="8" a="1"/>
  <c r="EB25" i="8" s="1"/>
  <c r="EA25" i="8" a="1"/>
  <c r="EA25" i="8" s="1"/>
  <c r="DZ25" i="8" a="1"/>
  <c r="DZ25" i="8"/>
  <c r="DY25" i="8" a="1"/>
  <c r="DY25" i="8" s="1"/>
  <c r="DX25" i="8" a="1"/>
  <c r="DX25" i="8" s="1"/>
  <c r="DW25" i="8" a="1"/>
  <c r="DW25" i="8" s="1"/>
  <c r="DV25" i="8" a="1"/>
  <c r="DV25" i="8" s="1"/>
  <c r="DU25" i="8" a="1"/>
  <c r="DU25" i="8" s="1"/>
  <c r="DT25" i="8" a="1"/>
  <c r="DT25" i="8" s="1"/>
  <c r="DS25" i="8" a="1"/>
  <c r="DS25" i="8" s="1"/>
  <c r="DR25" i="8" a="1"/>
  <c r="DR25" i="8" s="1"/>
  <c r="DQ25" i="8" a="1"/>
  <c r="DQ25" i="8" s="1"/>
  <c r="DP25" i="8" a="1"/>
  <c r="DP25" i="8" s="1"/>
  <c r="DO25" i="8" a="1"/>
  <c r="DO25" i="8" s="1"/>
  <c r="DN25" i="8" a="1"/>
  <c r="DN25" i="8"/>
  <c r="DM25" i="8" a="1"/>
  <c r="DM25" i="8" s="1"/>
  <c r="DL25" i="8" a="1"/>
  <c r="DL25" i="8" s="1"/>
  <c r="DK25" i="8" a="1"/>
  <c r="DK25" i="8" s="1"/>
  <c r="DJ25" i="8" a="1"/>
  <c r="DJ25" i="8" s="1"/>
  <c r="DI25" i="8" a="1"/>
  <c r="DI25" i="8" s="1"/>
  <c r="DH25" i="8" a="1"/>
  <c r="DH25" i="8" s="1"/>
  <c r="DG25" i="8" a="1"/>
  <c r="DG25" i="8" s="1"/>
  <c r="DF25" i="8" a="1"/>
  <c r="DF25" i="8" s="1"/>
  <c r="DE25" i="8" a="1"/>
  <c r="DE25" i="8"/>
  <c r="DD25" i="8" a="1"/>
  <c r="DD25" i="8" s="1"/>
  <c r="DC25" i="8" a="1"/>
  <c r="DC25" i="8" s="1"/>
  <c r="DB25" i="8" a="1"/>
  <c r="DB25" i="8" s="1"/>
  <c r="DA25" i="8" a="1"/>
  <c r="DA25" i="8" s="1"/>
  <c r="CZ25" i="8" a="1"/>
  <c r="CZ25" i="8" s="1"/>
  <c r="CY25" i="8" a="1"/>
  <c r="CY25" i="8" s="1"/>
  <c r="CX25" i="8" a="1"/>
  <c r="CX25" i="8" s="1"/>
  <c r="CW25" i="8" a="1"/>
  <c r="CW25" i="8"/>
  <c r="CV25" i="8" a="1"/>
  <c r="CV25" i="8" s="1"/>
  <c r="CU25" i="8" a="1"/>
  <c r="CU25" i="8" s="1"/>
  <c r="CT25" i="8" a="1"/>
  <c r="CT25" i="8" s="1"/>
  <c r="CS25" i="8" a="1"/>
  <c r="CS25" i="8"/>
  <c r="CR25" i="8" a="1"/>
  <c r="CR25" i="8" s="1"/>
  <c r="CQ25" i="8" a="1"/>
  <c r="CQ25" i="8" s="1"/>
  <c r="CP25" i="8" a="1"/>
  <c r="CP25" i="8" s="1"/>
  <c r="CO25" i="8" a="1"/>
  <c r="CO25" i="8" s="1"/>
  <c r="CN25" i="8" a="1"/>
  <c r="CN25" i="8" s="1"/>
  <c r="CM25" i="8" a="1"/>
  <c r="CM25" i="8" s="1"/>
  <c r="CL25" i="8" a="1"/>
  <c r="CL25" i="8"/>
  <c r="CK25" i="8" a="1"/>
  <c r="CK25" i="8" s="1"/>
  <c r="CJ25" i="8" a="1"/>
  <c r="CJ25" i="8" s="1"/>
  <c r="CI25" i="8" a="1"/>
  <c r="CI25" i="8"/>
  <c r="CH25" i="8" a="1"/>
  <c r="CH25" i="8"/>
  <c r="CG25" i="8" a="1"/>
  <c r="CG25" i="8"/>
  <c r="CF25" i="8" a="1"/>
  <c r="CF25" i="8" s="1"/>
  <c r="CE25" i="8" a="1"/>
  <c r="CE25" i="8" s="1"/>
  <c r="CD25" i="8" a="1"/>
  <c r="CD25" i="8" s="1"/>
  <c r="CC25" i="8" a="1"/>
  <c r="CC25" i="8" s="1"/>
  <c r="CB25" i="8" a="1"/>
  <c r="CB25" i="8" s="1"/>
  <c r="CA25" i="8" a="1"/>
  <c r="CA25" i="8" s="1"/>
  <c r="BZ25" i="8" a="1"/>
  <c r="BZ25" i="8" s="1"/>
  <c r="BY25" i="8" a="1"/>
  <c r="BY25" i="8" s="1"/>
  <c r="BX25" i="8" a="1"/>
  <c r="BX25" i="8" s="1"/>
  <c r="BW25" i="8" a="1"/>
  <c r="BW25" i="8"/>
  <c r="BV25" i="8" a="1"/>
  <c r="BV25" i="8" s="1"/>
  <c r="BU25" i="8" a="1"/>
  <c r="BU25" i="8"/>
  <c r="BT25" i="8" a="1"/>
  <c r="BT25" i="8" s="1"/>
  <c r="BS25" i="8" a="1"/>
  <c r="BS25" i="8" s="1"/>
  <c r="BR25" i="8" a="1"/>
  <c r="BR25" i="8" s="1"/>
  <c r="BQ25" i="8" a="1"/>
  <c r="BQ25" i="8" s="1"/>
  <c r="BP25" i="8" a="1"/>
  <c r="BP25" i="8" s="1"/>
  <c r="BO25" i="8" a="1"/>
  <c r="BO25" i="8" s="1"/>
  <c r="BN25" i="8" a="1"/>
  <c r="BN25" i="8" s="1"/>
  <c r="BM25" i="8" a="1"/>
  <c r="BM25" i="8" s="1"/>
  <c r="BL25" i="8" a="1"/>
  <c r="BL25" i="8" s="1"/>
  <c r="BK25" i="8" a="1"/>
  <c r="BK25" i="8"/>
  <c r="BJ25" i="8" a="1"/>
  <c r="BJ25" i="8" s="1"/>
  <c r="BI25" i="8" a="1"/>
  <c r="BI25" i="8" s="1"/>
  <c r="BH25" i="8" a="1"/>
  <c r="BH25" i="8" s="1"/>
  <c r="BG25" i="8" a="1"/>
  <c r="BG25" i="8" s="1"/>
  <c r="BF25" i="8" a="1"/>
  <c r="BF25" i="8" s="1"/>
  <c r="BE25" i="8" a="1"/>
  <c r="BE25" i="8"/>
  <c r="BD25" i="8" a="1"/>
  <c r="BD25" i="8" s="1"/>
  <c r="BC25" i="8" a="1"/>
  <c r="BC25" i="8" s="1"/>
  <c r="BB25" i="8" a="1"/>
  <c r="BB25" i="8"/>
  <c r="BA25" i="8" a="1"/>
  <c r="BA25" i="8" s="1"/>
  <c r="AZ25" i="8" a="1"/>
  <c r="AZ25" i="8"/>
  <c r="AY25" i="8" a="1"/>
  <c r="AY25" i="8" s="1"/>
  <c r="AX25" i="8" a="1"/>
  <c r="AX25" i="8" s="1"/>
  <c r="AW25" i="8" a="1"/>
  <c r="AW25" i="8" s="1"/>
  <c r="AV25" i="8" a="1"/>
  <c r="AV25" i="8" s="1"/>
  <c r="AU25" i="8" a="1"/>
  <c r="AU25" i="8" s="1"/>
  <c r="AT25" i="8" a="1"/>
  <c r="AT25" i="8" s="1"/>
  <c r="AS25" i="8" a="1"/>
  <c r="AS25" i="8"/>
  <c r="AR25" i="8" a="1"/>
  <c r="AR25" i="8" s="1"/>
  <c r="AQ25" i="8" a="1"/>
  <c r="AQ25" i="8" s="1"/>
  <c r="AP25" i="8" a="1"/>
  <c r="AP25" i="8" s="1"/>
  <c r="AO25" i="8" a="1"/>
  <c r="AO25" i="8"/>
  <c r="AN25" i="8" a="1"/>
  <c r="AN25" i="8" s="1"/>
  <c r="AM25" i="8" a="1"/>
  <c r="AM25" i="8" s="1"/>
  <c r="AL25" i="8" a="1"/>
  <c r="AL25" i="8" s="1"/>
  <c r="AK25" i="8" a="1"/>
  <c r="AK25" i="8" s="1"/>
  <c r="AJ25" i="8" a="1"/>
  <c r="AJ25" i="8" s="1"/>
  <c r="AI25" i="8" a="1"/>
  <c r="AI25" i="8"/>
  <c r="AH25" i="8" a="1"/>
  <c r="AH25" i="8" s="1"/>
  <c r="AG25" i="8" a="1"/>
  <c r="AG25" i="8" s="1"/>
  <c r="AF25" i="8" a="1"/>
  <c r="AF25" i="8"/>
  <c r="AE25" i="8" a="1"/>
  <c r="AE25" i="8" s="1"/>
  <c r="AD25" i="8" a="1"/>
  <c r="AD25" i="8"/>
  <c r="AC25" i="8" a="1"/>
  <c r="AC25" i="8" s="1"/>
  <c r="AB25" i="8" a="1"/>
  <c r="AB25" i="8" s="1"/>
  <c r="AA25" i="8" a="1"/>
  <c r="AA25" i="8" s="1"/>
  <c r="Z25" i="8" a="1"/>
  <c r="Z25" i="8" s="1"/>
  <c r="Y25" i="8" a="1"/>
  <c r="Y25" i="8" s="1"/>
  <c r="X25" i="8" a="1"/>
  <c r="X25" i="8" s="1"/>
  <c r="W25" i="8" a="1"/>
  <c r="W25" i="8" s="1"/>
  <c r="V25" i="8" a="1"/>
  <c r="V25" i="8" s="1"/>
  <c r="U25" i="8" a="1"/>
  <c r="U25" i="8"/>
  <c r="T25" i="8" a="1"/>
  <c r="T25" i="8"/>
  <c r="S25" i="8" a="1"/>
  <c r="S25" i="8"/>
  <c r="R25" i="8" a="1"/>
  <c r="R25" i="8" s="1"/>
  <c r="Q25" i="8" a="1"/>
  <c r="Q25" i="8" s="1"/>
  <c r="P25" i="8" a="1"/>
  <c r="P25" i="8" s="1"/>
  <c r="O25" i="8" a="1"/>
  <c r="O25" i="8" s="1"/>
  <c r="N25" i="8" a="1"/>
  <c r="N25" i="8" s="1"/>
  <c r="M25" i="8" a="1"/>
  <c r="M25" i="8"/>
  <c r="L25" i="8" a="1"/>
  <c r="L25" i="8" s="1"/>
  <c r="K25" i="8" a="1"/>
  <c r="K25" i="8" s="1"/>
  <c r="J25" i="8" a="1"/>
  <c r="J25" i="8"/>
  <c r="I25" i="8" a="1"/>
  <c r="I25" i="8"/>
  <c r="H25" i="8" a="1"/>
  <c r="H25" i="8" s="1"/>
  <c r="G25" i="8" a="1"/>
  <c r="G25" i="8" s="1"/>
  <c r="F25" i="8" a="1"/>
  <c r="F25" i="8" s="1"/>
  <c r="E25" i="8" a="1"/>
  <c r="E25" i="8" s="1"/>
  <c r="D25" i="8" a="1"/>
  <c r="D25" i="8" s="1"/>
  <c r="C25" i="8" a="1"/>
  <c r="C25" i="8" s="1"/>
  <c r="EF24" i="8" a="1"/>
  <c r="EF24" i="8"/>
  <c r="EE24" i="8" a="1"/>
  <c r="EE24" i="8"/>
  <c r="ED24" i="8" a="1"/>
  <c r="ED24" i="8" s="1"/>
  <c r="EC24" i="8" a="1"/>
  <c r="EC24" i="8"/>
  <c r="EB24" i="8" a="1"/>
  <c r="EB24" i="8" s="1"/>
  <c r="EA24" i="8" a="1"/>
  <c r="EA24" i="8" s="1"/>
  <c r="DZ24" i="8" a="1"/>
  <c r="DZ24" i="8" s="1"/>
  <c r="DY24" i="8" a="1"/>
  <c r="DY24" i="8" s="1"/>
  <c r="DX24" i="8" a="1"/>
  <c r="DX24" i="8" s="1"/>
  <c r="DW24" i="8" a="1"/>
  <c r="DW24" i="8" s="1"/>
  <c r="DV24" i="8" a="1"/>
  <c r="DV24" i="8" s="1"/>
  <c r="DU24" i="8" a="1"/>
  <c r="DU24" i="8" s="1"/>
  <c r="DT24" i="8" a="1"/>
  <c r="DT24" i="8" s="1"/>
  <c r="DS24" i="8" a="1"/>
  <c r="DS24" i="8" s="1"/>
  <c r="DR24" i="8" a="1"/>
  <c r="DR24" i="8" s="1"/>
  <c r="DQ24" i="8" a="1"/>
  <c r="DQ24" i="8" s="1"/>
  <c r="DP24" i="8" a="1"/>
  <c r="DP24" i="8"/>
  <c r="DO24" i="8" a="1"/>
  <c r="DO24" i="8"/>
  <c r="DN24" i="8" a="1"/>
  <c r="DN24" i="8" s="1"/>
  <c r="DM24" i="8" a="1"/>
  <c r="DM24" i="8" s="1"/>
  <c r="DL24" i="8" a="1"/>
  <c r="DL24" i="8" s="1"/>
  <c r="DK24" i="8" a="1"/>
  <c r="DK24" i="8" s="1"/>
  <c r="DJ24" i="8" a="1"/>
  <c r="DJ24" i="8" s="1"/>
  <c r="DI24" i="8" a="1"/>
  <c r="DI24" i="8" s="1"/>
  <c r="DH24" i="8" a="1"/>
  <c r="DH24" i="8" s="1"/>
  <c r="DG24" i="8" a="1"/>
  <c r="DG24" i="8"/>
  <c r="DF24" i="8" a="1"/>
  <c r="DF24" i="8" s="1"/>
  <c r="DE24" i="8" a="1"/>
  <c r="DE24" i="8" s="1"/>
  <c r="DD24" i="8" a="1"/>
  <c r="DD24" i="8"/>
  <c r="DC24" i="8" a="1"/>
  <c r="DC24" i="8" s="1"/>
  <c r="DB24" i="8" a="1"/>
  <c r="DB24" i="8"/>
  <c r="DA24" i="8" a="1"/>
  <c r="DA24" i="8" s="1"/>
  <c r="CZ24" i="8" a="1"/>
  <c r="CZ24" i="8" s="1"/>
  <c r="CY24" i="8" a="1"/>
  <c r="CY24" i="8" s="1"/>
  <c r="CX24" i="8" a="1"/>
  <c r="CX24" i="8" s="1"/>
  <c r="CW24" i="8" a="1"/>
  <c r="CW24" i="8" s="1"/>
  <c r="CV24" i="8" a="1"/>
  <c r="CV24" i="8"/>
  <c r="CU24" i="8" a="1"/>
  <c r="CU24" i="8" s="1"/>
  <c r="CT24" i="8" a="1"/>
  <c r="CT24" i="8" s="1"/>
  <c r="CS24" i="8" a="1"/>
  <c r="CS24" i="8"/>
  <c r="CR24" i="8" a="1"/>
  <c r="CR24" i="8" s="1"/>
  <c r="CQ24" i="8" a="1"/>
  <c r="CQ24" i="8"/>
  <c r="CP24" i="8" a="1"/>
  <c r="CP24" i="8" s="1"/>
  <c r="CO24" i="8" a="1"/>
  <c r="CO24" i="8" s="1"/>
  <c r="CN24" i="8" a="1"/>
  <c r="CN24" i="8"/>
  <c r="CM24" i="8" a="1"/>
  <c r="CM24" i="8" s="1"/>
  <c r="CL24" i="8" a="1"/>
  <c r="CL24" i="8" s="1"/>
  <c r="CK24" i="8" a="1"/>
  <c r="CK24" i="8"/>
  <c r="CJ24" i="8" a="1"/>
  <c r="CJ24" i="8" s="1"/>
  <c r="CI24" i="8" a="1"/>
  <c r="CI24" i="8" s="1"/>
  <c r="CH24" i="8" a="1"/>
  <c r="CH24" i="8" s="1"/>
  <c r="CG24" i="8" a="1"/>
  <c r="CG24" i="8" s="1"/>
  <c r="CF24" i="8" a="1"/>
  <c r="CF24" i="8" s="1"/>
  <c r="CE24" i="8" a="1"/>
  <c r="CE24" i="8" s="1"/>
  <c r="CD24" i="8" a="1"/>
  <c r="CD24" i="8" s="1"/>
  <c r="CC24" i="8" a="1"/>
  <c r="CC24" i="8" s="1"/>
  <c r="CB24" i="8" a="1"/>
  <c r="CB24" i="8"/>
  <c r="CA24" i="8" a="1"/>
  <c r="CA24" i="8" s="1"/>
  <c r="BZ24" i="8" a="1"/>
  <c r="BZ24" i="8" s="1"/>
  <c r="BY24" i="8" a="1"/>
  <c r="BY24" i="8" s="1"/>
  <c r="BX24" i="8" a="1"/>
  <c r="BX24" i="8"/>
  <c r="BW24" i="8" a="1"/>
  <c r="BW24" i="8"/>
  <c r="BV24" i="8" a="1"/>
  <c r="BV24" i="8" s="1"/>
  <c r="BU24" i="8" a="1"/>
  <c r="BU24" i="8" s="1"/>
  <c r="BT24" i="8" a="1"/>
  <c r="BT24" i="8" s="1"/>
  <c r="BS24" i="8" a="1"/>
  <c r="BS24" i="8" s="1"/>
  <c r="BR24" i="8" a="1"/>
  <c r="BR24" i="8" s="1"/>
  <c r="BQ24" i="8" a="1"/>
  <c r="BQ24" i="8"/>
  <c r="BP24" i="8" a="1"/>
  <c r="BP24" i="8" s="1"/>
  <c r="BO24" i="8" a="1"/>
  <c r="BO24" i="8" s="1"/>
  <c r="BN24" i="8" a="1"/>
  <c r="BN24" i="8" s="1"/>
  <c r="BM24" i="8" a="1"/>
  <c r="BM24" i="8"/>
  <c r="BL24" i="8" a="1"/>
  <c r="BL24" i="8"/>
  <c r="BK24" i="8" a="1"/>
  <c r="BK24" i="8" s="1"/>
  <c r="BJ24" i="8" a="1"/>
  <c r="BJ24" i="8" s="1"/>
  <c r="BI24" i="8" a="1"/>
  <c r="BI24" i="8" s="1"/>
  <c r="BH24" i="8" a="1"/>
  <c r="BH24" i="8" s="1"/>
  <c r="BG24" i="8" a="1"/>
  <c r="BG24" i="8" s="1"/>
  <c r="BF24" i="8" a="1"/>
  <c r="BF24" i="8"/>
  <c r="BE24" i="8" a="1"/>
  <c r="BE24" i="8" s="1"/>
  <c r="BD24" i="8" a="1"/>
  <c r="BD24" i="8"/>
  <c r="BC24" i="8" a="1"/>
  <c r="BC24" i="8" s="1"/>
  <c r="BB24" i="8" a="1"/>
  <c r="BB24" i="8"/>
  <c r="BA24" i="8" a="1"/>
  <c r="BA24" i="8" s="1"/>
  <c r="AZ24" i="8" a="1"/>
  <c r="AZ24" i="8" s="1"/>
  <c r="AY24" i="8" a="1"/>
  <c r="AY24" i="8" s="1"/>
  <c r="AX24" i="8" a="1"/>
  <c r="AX24" i="8" s="1"/>
  <c r="AW24" i="8" a="1"/>
  <c r="AW24" i="8" s="1"/>
  <c r="AV24" i="8" a="1"/>
  <c r="AV24" i="8"/>
  <c r="AU24" i="8" a="1"/>
  <c r="AU24" i="8" s="1"/>
  <c r="AT24" i="8" a="1"/>
  <c r="AT24" i="8" s="1"/>
  <c r="AS24" i="8" a="1"/>
  <c r="AS24" i="8"/>
  <c r="AR24" i="8" a="1"/>
  <c r="AR24" i="8"/>
  <c r="AQ24" i="8" a="1"/>
  <c r="AQ24" i="8"/>
  <c r="AP24" i="8" a="1"/>
  <c r="AP24" i="8"/>
  <c r="AO24" i="8" a="1"/>
  <c r="AO24" i="8" s="1"/>
  <c r="AN24" i="8" a="1"/>
  <c r="AN24" i="8" s="1"/>
  <c r="AM24" i="8" a="1"/>
  <c r="AM24" i="8" s="1"/>
  <c r="AL24" i="8" a="1"/>
  <c r="AL24" i="8" s="1"/>
  <c r="AK24" i="8" a="1"/>
  <c r="AK24" i="8"/>
  <c r="AJ24" i="8" a="1"/>
  <c r="AJ24" i="8"/>
  <c r="AI24" i="8" a="1"/>
  <c r="AI24" i="8" s="1"/>
  <c r="AH24" i="8" a="1"/>
  <c r="AH24" i="8" s="1"/>
  <c r="AG24" i="8" a="1"/>
  <c r="AG24" i="8" s="1"/>
  <c r="AF24" i="8" a="1"/>
  <c r="AF24" i="8"/>
  <c r="AE24" i="8" a="1"/>
  <c r="AE24" i="8" s="1"/>
  <c r="AD24" i="8" a="1"/>
  <c r="AD24" i="8" s="1"/>
  <c r="AC24" i="8" a="1"/>
  <c r="AC24" i="8"/>
  <c r="AB24" i="8" a="1"/>
  <c r="AB24" i="8" s="1"/>
  <c r="AA24" i="8" a="1"/>
  <c r="AA24" i="8" s="1"/>
  <c r="Z24" i="8" a="1"/>
  <c r="Z24" i="8" s="1"/>
  <c r="Y24" i="8" a="1"/>
  <c r="Y24" i="8" s="1"/>
  <c r="X24" i="8" a="1"/>
  <c r="X24" i="8" s="1"/>
  <c r="W24" i="8" a="1"/>
  <c r="W24" i="8" s="1"/>
  <c r="V24" i="8" a="1"/>
  <c r="V24" i="8" s="1"/>
  <c r="U24" i="8" a="1"/>
  <c r="U24" i="8"/>
  <c r="T24" i="8" a="1"/>
  <c r="T24" i="8"/>
  <c r="S24" i="8" a="1"/>
  <c r="S24" i="8" s="1"/>
  <c r="R24" i="8" a="1"/>
  <c r="R24" i="8" s="1"/>
  <c r="Q24" i="8" a="1"/>
  <c r="Q24" i="8" s="1"/>
  <c r="P24" i="8" a="1"/>
  <c r="P24" i="8" s="1"/>
  <c r="O24" i="8" a="1"/>
  <c r="O24" i="8" s="1"/>
  <c r="N24" i="8" a="1"/>
  <c r="N24" i="8"/>
  <c r="M24" i="8" a="1"/>
  <c r="M24" i="8" s="1"/>
  <c r="L24" i="8" a="1"/>
  <c r="L24" i="8"/>
  <c r="K24" i="8" a="1"/>
  <c r="K24" i="8" s="1"/>
  <c r="J24" i="8" a="1"/>
  <c r="J24" i="8"/>
  <c r="I24" i="8" a="1"/>
  <c r="I24" i="8" s="1"/>
  <c r="H24" i="8" a="1"/>
  <c r="H24" i="8" s="1"/>
  <c r="G24" i="8" a="1"/>
  <c r="G24" i="8" s="1"/>
  <c r="F24" i="8" a="1"/>
  <c r="F24" i="8" s="1"/>
  <c r="E24" i="8" a="1"/>
  <c r="E24" i="8" s="1"/>
  <c r="D24" i="8" a="1"/>
  <c r="D24" i="8" s="1"/>
  <c r="C24" i="8" a="1"/>
  <c r="C24" i="8" s="1"/>
  <c r="EF23" i="8" a="1"/>
  <c r="EF23" i="8" s="1"/>
  <c r="EE23" i="8" a="1"/>
  <c r="EE23" i="8"/>
  <c r="ED23" i="8" a="1"/>
  <c r="ED23" i="8" s="1"/>
  <c r="EC23" i="8" a="1"/>
  <c r="EC23" i="8" s="1"/>
  <c r="EB23" i="8" a="1"/>
  <c r="EB23" i="8" s="1"/>
  <c r="EA23" i="8" a="1"/>
  <c r="EA23" i="8" s="1"/>
  <c r="DZ23" i="8" a="1"/>
  <c r="DZ23" i="8" s="1"/>
  <c r="DY23" i="8" a="1"/>
  <c r="DY23" i="8" s="1"/>
  <c r="DX23" i="8" a="1"/>
  <c r="DX23" i="8"/>
  <c r="DW23" i="8" a="1"/>
  <c r="DW23" i="8"/>
  <c r="DV23" i="8" a="1"/>
  <c r="DV23" i="8" s="1"/>
  <c r="DU23" i="8" a="1"/>
  <c r="DU23" i="8" s="1"/>
  <c r="DT23" i="8" a="1"/>
  <c r="DT23" i="8"/>
  <c r="DS23" i="8" a="1"/>
  <c r="DS23" i="8" s="1"/>
  <c r="DR23" i="8" a="1"/>
  <c r="DR23" i="8" s="1"/>
  <c r="DQ23" i="8" a="1"/>
  <c r="DQ23" i="8" s="1"/>
  <c r="DP23" i="8" a="1"/>
  <c r="DP23" i="8"/>
  <c r="DO23" i="8" a="1"/>
  <c r="DO23" i="8" s="1"/>
  <c r="DN23" i="8" a="1"/>
  <c r="DN23" i="8" s="1"/>
  <c r="DM23" i="8" a="1"/>
  <c r="DM23" i="8" s="1"/>
  <c r="DL23" i="8" a="1"/>
  <c r="DL23" i="8"/>
  <c r="DK23" i="8" a="1"/>
  <c r="DK23" i="8" s="1"/>
  <c r="DJ23" i="8" a="1"/>
  <c r="DJ23" i="8" s="1"/>
  <c r="DI23" i="8" a="1"/>
  <c r="DI23" i="8" s="1"/>
  <c r="DH23" i="8" a="1"/>
  <c r="DH23" i="8" s="1"/>
  <c r="DG23" i="8" a="1"/>
  <c r="DG23" i="8"/>
  <c r="DF23" i="8" a="1"/>
  <c r="DF23" i="8" s="1"/>
  <c r="DE23" i="8" a="1"/>
  <c r="DE23" i="8" s="1"/>
  <c r="DD23" i="8" a="1"/>
  <c r="DD23" i="8" s="1"/>
  <c r="DC23" i="8" a="1"/>
  <c r="DC23" i="8" s="1"/>
  <c r="DB23" i="8" a="1"/>
  <c r="DB23" i="8" s="1"/>
  <c r="DA23" i="8" a="1"/>
  <c r="DA23" i="8" s="1"/>
  <c r="CZ23" i="8" a="1"/>
  <c r="CZ23" i="8" s="1"/>
  <c r="CY23" i="8" a="1"/>
  <c r="CY23" i="8" s="1"/>
  <c r="CX23" i="8" a="1"/>
  <c r="CX23" i="8" s="1"/>
  <c r="CW23" i="8" a="1"/>
  <c r="CW23" i="8" s="1"/>
  <c r="CV23" i="8" a="1"/>
  <c r="CV23" i="8"/>
  <c r="CU23" i="8" a="1"/>
  <c r="CU23" i="8"/>
  <c r="CT23" i="8" a="1"/>
  <c r="CT23" i="8" s="1"/>
  <c r="CS23" i="8" a="1"/>
  <c r="CS23" i="8" s="1"/>
  <c r="CR23" i="8" a="1"/>
  <c r="CR23" i="8" s="1"/>
  <c r="CQ23" i="8" a="1"/>
  <c r="CQ23" i="8" s="1"/>
  <c r="CP23" i="8" a="1"/>
  <c r="CP23" i="8" s="1"/>
  <c r="CO23" i="8" a="1"/>
  <c r="CO23" i="8" s="1"/>
  <c r="CN23" i="8" a="1"/>
  <c r="CN23" i="8" s="1"/>
  <c r="CM23" i="8" a="1"/>
  <c r="CM23" i="8"/>
  <c r="CL23" i="8" a="1"/>
  <c r="CL23" i="8" s="1"/>
  <c r="CK23" i="8" a="1"/>
  <c r="CK23" i="8" s="1"/>
  <c r="CJ23" i="8" a="1"/>
  <c r="CJ23" i="8"/>
  <c r="CI23" i="8" a="1"/>
  <c r="CI23" i="8" s="1"/>
  <c r="CH23" i="8" a="1"/>
  <c r="CH23" i="8" s="1"/>
  <c r="CG23" i="8" a="1"/>
  <c r="CG23" i="8" s="1"/>
  <c r="CF23" i="8" a="1"/>
  <c r="CF23" i="8" s="1"/>
  <c r="CE23" i="8" a="1"/>
  <c r="CE23" i="8" s="1"/>
  <c r="CD23" i="8" a="1"/>
  <c r="CD23" i="8" s="1"/>
  <c r="CC23" i="8" a="1"/>
  <c r="CC23" i="8" s="1"/>
  <c r="CB23" i="8" a="1"/>
  <c r="CB23" i="8" s="1"/>
  <c r="CA23" i="8" a="1"/>
  <c r="CA23" i="8" s="1"/>
  <c r="BZ23" i="8" a="1"/>
  <c r="BZ23" i="8" s="1"/>
  <c r="BY23" i="8" a="1"/>
  <c r="BY23" i="8" s="1"/>
  <c r="BX23" i="8" a="1"/>
  <c r="BX23" i="8" s="1"/>
  <c r="BW23" i="8" a="1"/>
  <c r="BW23" i="8" s="1"/>
  <c r="BV23" i="8" a="1"/>
  <c r="BV23" i="8" s="1"/>
  <c r="BU23" i="8" a="1"/>
  <c r="BU23" i="8" s="1"/>
  <c r="BT23" i="8" a="1"/>
  <c r="BT23" i="8" s="1"/>
  <c r="BS23" i="8" a="1"/>
  <c r="BS23" i="8" s="1"/>
  <c r="BR23" i="8" a="1"/>
  <c r="BR23" i="8" s="1"/>
  <c r="BQ23" i="8" a="1"/>
  <c r="BQ23" i="8"/>
  <c r="BP23" i="8" a="1"/>
  <c r="BP23" i="8" s="1"/>
  <c r="BO23" i="8" a="1"/>
  <c r="BO23" i="8"/>
  <c r="BN23" i="8" a="1"/>
  <c r="BN23" i="8" s="1"/>
  <c r="BM23" i="8" a="1"/>
  <c r="BM23" i="8"/>
  <c r="BL23" i="8" a="1"/>
  <c r="BL23" i="8" s="1"/>
  <c r="BK23" i="8" a="1"/>
  <c r="BK23" i="8" s="1"/>
  <c r="BJ23" i="8" a="1"/>
  <c r="BJ23" i="8" s="1"/>
  <c r="BI23" i="8" a="1"/>
  <c r="BI23" i="8" s="1"/>
  <c r="BH23" i="8" a="1"/>
  <c r="BH23" i="8" s="1"/>
  <c r="BG23" i="8" a="1"/>
  <c r="BG23" i="8" s="1"/>
  <c r="BF23" i="8" a="1"/>
  <c r="BF23" i="8"/>
  <c r="BE23" i="8" a="1"/>
  <c r="BE23" i="8" s="1"/>
  <c r="BD23" i="8" a="1"/>
  <c r="BD23" i="8" s="1"/>
  <c r="BC23" i="8" a="1"/>
  <c r="BC23" i="8" s="1"/>
  <c r="BB23" i="8" a="1"/>
  <c r="BB23" i="8" s="1"/>
  <c r="BA23" i="8" a="1"/>
  <c r="BA23" i="8" s="1"/>
  <c r="AZ23" i="8" a="1"/>
  <c r="AZ23" i="8" s="1"/>
  <c r="AY23" i="8" a="1"/>
  <c r="AY23" i="8" s="1"/>
  <c r="AX23" i="8" a="1"/>
  <c r="AX23" i="8"/>
  <c r="AW23" i="8" a="1"/>
  <c r="AW23" i="8"/>
  <c r="AV23" i="8" a="1"/>
  <c r="AV23" i="8" s="1"/>
  <c r="AU23" i="8" a="1"/>
  <c r="AU23" i="8" s="1"/>
  <c r="AT23" i="8" a="1"/>
  <c r="AT23" i="8" s="1"/>
  <c r="AS23" i="8" a="1"/>
  <c r="AS23" i="8"/>
  <c r="AR23" i="8" a="1"/>
  <c r="AR23" i="8" s="1"/>
  <c r="AQ23" i="8" a="1"/>
  <c r="AQ23" i="8" s="1"/>
  <c r="AP23" i="8" a="1"/>
  <c r="AP23" i="8" s="1"/>
  <c r="AO23" i="8" a="1"/>
  <c r="AO23" i="8" s="1"/>
  <c r="AN23" i="8" a="1"/>
  <c r="AN23" i="8" s="1"/>
  <c r="AM23" i="8" a="1"/>
  <c r="AM23" i="8" s="1"/>
  <c r="AL23" i="8" a="1"/>
  <c r="AL23" i="8" s="1"/>
  <c r="AK23" i="8" a="1"/>
  <c r="AK23" i="8" s="1"/>
  <c r="AJ23" i="8" a="1"/>
  <c r="AJ23" i="8"/>
  <c r="AI23" i="8" a="1"/>
  <c r="AI23" i="8" s="1"/>
  <c r="AH23" i="8" a="1"/>
  <c r="AH23" i="8"/>
  <c r="AG23" i="8" a="1"/>
  <c r="AG23" i="8" s="1"/>
  <c r="AF23" i="8" a="1"/>
  <c r="AF23" i="8"/>
  <c r="AE23" i="8" a="1"/>
  <c r="AE23" i="8" s="1"/>
  <c r="AD23" i="8" a="1"/>
  <c r="AD23" i="8" s="1"/>
  <c r="AC23" i="8" a="1"/>
  <c r="AC23" i="8" s="1"/>
  <c r="AB23" i="8" a="1"/>
  <c r="AB23" i="8" s="1"/>
  <c r="AA23" i="8" a="1"/>
  <c r="AA23" i="8" s="1"/>
  <c r="Z23" i="8" a="1"/>
  <c r="Z23" i="8" s="1"/>
  <c r="Y23" i="8" a="1"/>
  <c r="Y23" i="8"/>
  <c r="X23" i="8" a="1"/>
  <c r="X23" i="8" s="1"/>
  <c r="W23" i="8" a="1"/>
  <c r="W23" i="8" s="1"/>
  <c r="V23" i="8" a="1"/>
  <c r="V23" i="8"/>
  <c r="U23" i="8" a="1"/>
  <c r="U23" i="8" s="1"/>
  <c r="T23" i="8" a="1"/>
  <c r="T23" i="8" s="1"/>
  <c r="S23" i="8" a="1"/>
  <c r="S23" i="8" s="1"/>
  <c r="R23" i="8" a="1"/>
  <c r="R23" i="8" s="1"/>
  <c r="Q23" i="8" a="1"/>
  <c r="Q23" i="8"/>
  <c r="P23" i="8" a="1"/>
  <c r="P23" i="8" s="1"/>
  <c r="O23" i="8" a="1"/>
  <c r="O23" i="8" s="1"/>
  <c r="N23" i="8" a="1"/>
  <c r="N23" i="8"/>
  <c r="M23" i="8" a="1"/>
  <c r="M23" i="8" s="1"/>
  <c r="L23" i="8" a="1"/>
  <c r="L23" i="8" s="1"/>
  <c r="K23" i="8" a="1"/>
  <c r="K23" i="8" s="1"/>
  <c r="J23" i="8" a="1"/>
  <c r="J23" i="8"/>
  <c r="I23" i="8" a="1"/>
  <c r="I23" i="8" s="1"/>
  <c r="H23" i="8" a="1"/>
  <c r="H23" i="8" s="1"/>
  <c r="G23" i="8" a="1"/>
  <c r="G23" i="8" s="1"/>
  <c r="F23" i="8" a="1"/>
  <c r="F23" i="8"/>
  <c r="E23" i="8" a="1"/>
  <c r="E23" i="8" s="1"/>
  <c r="D23" i="8" a="1"/>
  <c r="D23" i="8" s="1"/>
  <c r="C23" i="8" a="1"/>
  <c r="C23" i="8" s="1"/>
  <c r="EF22" i="8" a="1"/>
  <c r="EF22" i="8" s="1"/>
  <c r="EE22" i="8" a="1"/>
  <c r="EE22" i="8"/>
  <c r="ED22" i="8" a="1"/>
  <c r="ED22" i="8" s="1"/>
  <c r="EC22" i="8" a="1"/>
  <c r="EC22" i="8" s="1"/>
  <c r="EB22" i="8" a="1"/>
  <c r="EB22" i="8" s="1"/>
  <c r="EA22" i="8" a="1"/>
  <c r="EA22" i="8" s="1"/>
  <c r="DZ22" i="8" a="1"/>
  <c r="DZ22" i="8" s="1"/>
  <c r="DY22" i="8" a="1"/>
  <c r="DY22" i="8" s="1"/>
  <c r="DX22" i="8" a="1"/>
  <c r="DX22" i="8" s="1"/>
  <c r="DW22" i="8" a="1"/>
  <c r="DW22" i="8" s="1"/>
  <c r="DV22" i="8" a="1"/>
  <c r="DV22" i="8"/>
  <c r="DU22" i="8" a="1"/>
  <c r="DU22" i="8" s="1"/>
  <c r="DT22" i="8" a="1"/>
  <c r="DT22" i="8"/>
  <c r="DS22" i="8" a="1"/>
  <c r="DS22" i="8" s="1"/>
  <c r="DR22" i="8" a="1"/>
  <c r="DR22" i="8" s="1"/>
  <c r="DQ22" i="8" a="1"/>
  <c r="DQ22" i="8" s="1"/>
  <c r="DP22" i="8" a="1"/>
  <c r="DP22" i="8" s="1"/>
  <c r="DO22" i="8" a="1"/>
  <c r="DO22" i="8" s="1"/>
  <c r="DN22" i="8" a="1"/>
  <c r="DN22" i="8"/>
  <c r="DM22" i="8" a="1"/>
  <c r="DM22" i="8" s="1"/>
  <c r="DL22" i="8" a="1"/>
  <c r="DL22" i="8" s="1"/>
  <c r="DK22" i="8" a="1"/>
  <c r="DK22" i="8"/>
  <c r="DJ22" i="8" a="1"/>
  <c r="DJ22" i="8" s="1"/>
  <c r="DI22" i="8" a="1"/>
  <c r="DI22" i="8" s="1"/>
  <c r="DH22" i="8" a="1"/>
  <c r="DH22" i="8"/>
  <c r="DG22" i="8" a="1"/>
  <c r="DG22" i="8" s="1"/>
  <c r="DF22" i="8" a="1"/>
  <c r="DF22" i="8" s="1"/>
  <c r="DE22" i="8" a="1"/>
  <c r="DE22" i="8" s="1"/>
  <c r="DD22" i="8" a="1"/>
  <c r="DD22" i="8" s="1"/>
  <c r="DC22" i="8" a="1"/>
  <c r="DC22" i="8" s="1"/>
  <c r="DB22" i="8" a="1"/>
  <c r="DB22" i="8"/>
  <c r="DA22" i="8" a="1"/>
  <c r="DA22" i="8" s="1"/>
  <c r="CZ22" i="8" a="1"/>
  <c r="CZ22" i="8"/>
  <c r="CY22" i="8" a="1"/>
  <c r="CY22" i="8" s="1"/>
  <c r="CX22" i="8" a="1"/>
  <c r="CX22" i="8"/>
  <c r="CW22" i="8" a="1"/>
  <c r="CW22" i="8" s="1"/>
  <c r="CV22" i="8" a="1"/>
  <c r="CV22" i="8" s="1"/>
  <c r="CU22" i="8" a="1"/>
  <c r="CU22" i="8" s="1"/>
  <c r="CT22" i="8" a="1"/>
  <c r="CT22" i="8" s="1"/>
  <c r="CS22" i="8" a="1"/>
  <c r="CS22" i="8" s="1"/>
  <c r="CR22" i="8" a="1"/>
  <c r="CR22" i="8" s="1"/>
  <c r="CQ22" i="8" a="1"/>
  <c r="CQ22" i="8" s="1"/>
  <c r="CP22" i="8" a="1"/>
  <c r="CP22" i="8" s="1"/>
  <c r="CO22" i="8" a="1"/>
  <c r="CO22" i="8"/>
  <c r="CN22" i="8" a="1"/>
  <c r="CN22" i="8" s="1"/>
  <c r="CM22" i="8" a="1"/>
  <c r="CM22" i="8"/>
  <c r="CL22" i="8" a="1"/>
  <c r="CL22" i="8"/>
  <c r="CK22" i="8" a="1"/>
  <c r="CK22" i="8" s="1"/>
  <c r="CJ22" i="8" a="1"/>
  <c r="CJ22" i="8" s="1"/>
  <c r="CI22" i="8" a="1"/>
  <c r="CI22" i="8" s="1"/>
  <c r="CH22" i="8" a="1"/>
  <c r="CH22" i="8" s="1"/>
  <c r="CG22" i="8" a="1"/>
  <c r="CG22" i="8" s="1"/>
  <c r="CF22" i="8" a="1"/>
  <c r="CF22" i="8" s="1"/>
  <c r="CE22" i="8" a="1"/>
  <c r="CE22" i="8" s="1"/>
  <c r="CD22" i="8" a="1"/>
  <c r="CD22" i="8"/>
  <c r="CC22" i="8" a="1"/>
  <c r="CC22" i="8" s="1"/>
  <c r="CB22" i="8" a="1"/>
  <c r="CB22" i="8" s="1"/>
  <c r="CA22" i="8" a="1"/>
  <c r="CA22" i="8" s="1"/>
  <c r="BZ22" i="8" a="1"/>
  <c r="BZ22" i="8"/>
  <c r="BY22" i="8" a="1"/>
  <c r="BY22" i="8" s="1"/>
  <c r="BX22" i="8" a="1"/>
  <c r="BX22" i="8" s="1"/>
  <c r="BW22" i="8" a="1"/>
  <c r="BW22" i="8" s="1"/>
  <c r="BV22" i="8" a="1"/>
  <c r="BV22" i="8" s="1"/>
  <c r="BU22" i="8" a="1"/>
  <c r="BU22" i="8"/>
  <c r="BT22" i="8" a="1"/>
  <c r="BT22" i="8" s="1"/>
  <c r="BS22" i="8" a="1"/>
  <c r="BS22" i="8"/>
  <c r="BR22" i="8" a="1"/>
  <c r="BR22" i="8" s="1"/>
  <c r="BQ22" i="8" a="1"/>
  <c r="BQ22" i="8"/>
  <c r="BP22" i="8" a="1"/>
  <c r="BP22" i="8" s="1"/>
  <c r="BO22" i="8" a="1"/>
  <c r="BO22" i="8" s="1"/>
  <c r="BN22" i="8" a="1"/>
  <c r="BN22" i="8" s="1"/>
  <c r="BM22" i="8" a="1"/>
  <c r="BM22" i="8" s="1"/>
  <c r="BL22" i="8" a="1"/>
  <c r="BL22" i="8" s="1"/>
  <c r="BK22" i="8" a="1"/>
  <c r="BK22" i="8" s="1"/>
  <c r="BJ22" i="8" a="1"/>
  <c r="BJ22" i="8"/>
  <c r="BI22" i="8" a="1"/>
  <c r="BI22" i="8" s="1"/>
  <c r="BH22" i="8" a="1"/>
  <c r="BH22" i="8"/>
  <c r="BG22" i="8" a="1"/>
  <c r="BG22" i="8" s="1"/>
  <c r="BF22" i="8" a="1"/>
  <c r="BF22" i="8"/>
  <c r="BE22" i="8" a="1"/>
  <c r="BE22" i="8" s="1"/>
  <c r="BD22" i="8" a="1"/>
  <c r="BD22" i="8" s="1"/>
  <c r="BC22" i="8" a="1"/>
  <c r="BC22" i="8" s="1"/>
  <c r="BB22" i="8" a="1"/>
  <c r="BB22" i="8" s="1"/>
  <c r="BA22" i="8" a="1"/>
  <c r="BA22" i="8" s="1"/>
  <c r="AZ22" i="8" a="1"/>
  <c r="AZ22" i="8" s="1"/>
  <c r="AY22" i="8" a="1"/>
  <c r="AY22" i="8"/>
  <c r="AX22" i="8" a="1"/>
  <c r="AX22" i="8" s="1"/>
  <c r="AW22" i="8" a="1"/>
  <c r="AW22" i="8"/>
  <c r="AV22" i="8" a="1"/>
  <c r="AV22" i="8" s="1"/>
  <c r="AU22" i="8" a="1"/>
  <c r="AU22" i="8" s="1"/>
  <c r="AT22" i="8" a="1"/>
  <c r="AT22" i="8" s="1"/>
  <c r="AS22" i="8" a="1"/>
  <c r="AS22" i="8" s="1"/>
  <c r="AR22" i="8" a="1"/>
  <c r="AR22" i="8" s="1"/>
  <c r="AQ22" i="8" a="1"/>
  <c r="AQ22" i="8" s="1"/>
  <c r="AP22" i="8" a="1"/>
  <c r="AP22" i="8" s="1"/>
  <c r="AO22" i="8" a="1"/>
  <c r="AO22" i="8" s="1"/>
  <c r="AN22" i="8" a="1"/>
  <c r="AN22" i="8"/>
  <c r="AM22" i="8" a="1"/>
  <c r="AM22" i="8" s="1"/>
  <c r="AL22" i="8" a="1"/>
  <c r="AL22" i="8"/>
  <c r="AK22" i="8" a="1"/>
  <c r="AK22" i="8" s="1"/>
  <c r="AJ22" i="8" a="1"/>
  <c r="AJ22" i="8" s="1"/>
  <c r="AI22" i="8" a="1"/>
  <c r="AI22" i="8" s="1"/>
  <c r="AH22" i="8" a="1"/>
  <c r="AH22" i="8"/>
  <c r="AG22" i="8" a="1"/>
  <c r="AG22" i="8" s="1"/>
  <c r="AF22" i="8" a="1"/>
  <c r="AF22" i="8" s="1"/>
  <c r="AE22" i="8" a="1"/>
  <c r="AE22" i="8" s="1"/>
  <c r="AD22" i="8" a="1"/>
  <c r="AD22" i="8"/>
  <c r="AC22" i="8" a="1"/>
  <c r="AC22" i="8" s="1"/>
  <c r="AB22" i="8" a="1"/>
  <c r="AB22" i="8" s="1"/>
  <c r="AA22" i="8" a="1"/>
  <c r="AA22" i="8" s="1"/>
  <c r="Z22" i="8" a="1"/>
  <c r="Z22" i="8"/>
  <c r="Y22" i="8" a="1"/>
  <c r="Y22" i="8"/>
  <c r="X22" i="8" a="1"/>
  <c r="X22" i="8"/>
  <c r="W22" i="8" a="1"/>
  <c r="W22" i="8" s="1"/>
  <c r="V22" i="8" a="1"/>
  <c r="V22" i="8" s="1"/>
  <c r="U22" i="8" a="1"/>
  <c r="U22" i="8" s="1"/>
  <c r="T22" i="8" a="1"/>
  <c r="T22" i="8" s="1"/>
  <c r="S22" i="8" a="1"/>
  <c r="S22" i="8" s="1"/>
  <c r="R22" i="8" a="1"/>
  <c r="R22" i="8" s="1"/>
  <c r="Q22" i="8" a="1"/>
  <c r="Q22" i="8" s="1"/>
  <c r="P22" i="8" a="1"/>
  <c r="P22" i="8" s="1"/>
  <c r="O22" i="8" a="1"/>
  <c r="O22" i="8"/>
  <c r="N22" i="8" a="1"/>
  <c r="N22" i="8" s="1"/>
  <c r="M22" i="8" a="1"/>
  <c r="M22" i="8" s="1"/>
  <c r="L22" i="8" a="1"/>
  <c r="L22" i="8" s="1"/>
  <c r="K22" i="8" a="1"/>
  <c r="K22" i="8" s="1"/>
  <c r="J22" i="8" a="1"/>
  <c r="J22" i="8" s="1"/>
  <c r="I22" i="8" a="1"/>
  <c r="I22" i="8" s="1"/>
  <c r="H22" i="8" a="1"/>
  <c r="H22" i="8" s="1"/>
  <c r="G22" i="8" a="1"/>
  <c r="G22" i="8" s="1"/>
  <c r="F22" i="8" a="1"/>
  <c r="F22" i="8" s="1"/>
  <c r="E22" i="8" a="1"/>
  <c r="E22" i="8" s="1"/>
  <c r="D22" i="8" a="1"/>
  <c r="D22" i="8" s="1"/>
  <c r="C22" i="8" a="1"/>
  <c r="C22" i="8" s="1"/>
  <c r="EF21" i="8" a="1"/>
  <c r="EF21" i="8" s="1"/>
  <c r="EE21" i="8" a="1"/>
  <c r="EE21" i="8"/>
  <c r="ED21" i="8" a="1"/>
  <c r="ED21" i="8" s="1"/>
  <c r="EC21" i="8" a="1"/>
  <c r="EC21" i="8" s="1"/>
  <c r="EB21" i="8" a="1"/>
  <c r="EB21" i="8" s="1"/>
  <c r="EA21" i="8" a="1"/>
  <c r="EA21" i="8" s="1"/>
  <c r="DZ21" i="8" a="1"/>
  <c r="DZ21" i="8"/>
  <c r="DY21" i="8" a="1"/>
  <c r="DY21" i="8" s="1"/>
  <c r="DX21" i="8" a="1"/>
  <c r="DX21" i="8"/>
  <c r="DW21" i="8" a="1"/>
  <c r="DW21" i="8"/>
  <c r="DV21" i="8" a="1"/>
  <c r="DV21" i="8"/>
  <c r="DU21" i="8" a="1"/>
  <c r="DU21" i="8" s="1"/>
  <c r="DT21" i="8" a="1"/>
  <c r="DT21" i="8" s="1"/>
  <c r="DS21" i="8" a="1"/>
  <c r="DS21" i="8" s="1"/>
  <c r="DR21" i="8" a="1"/>
  <c r="DR21" i="8" s="1"/>
  <c r="DQ21" i="8" a="1"/>
  <c r="DQ21" i="8" s="1"/>
  <c r="DP21" i="8" a="1"/>
  <c r="DP21" i="8" s="1"/>
  <c r="DO21" i="8" a="1"/>
  <c r="DO21" i="8" s="1"/>
  <c r="DN21" i="8" a="1"/>
  <c r="DN21" i="8" s="1"/>
  <c r="DM21" i="8" a="1"/>
  <c r="DM21" i="8"/>
  <c r="DL21" i="8" a="1"/>
  <c r="DL21" i="8" s="1"/>
  <c r="DK21" i="8" a="1"/>
  <c r="DK21" i="8"/>
  <c r="DJ21" i="8" a="1"/>
  <c r="DJ21" i="8" s="1"/>
  <c r="DI21" i="8" a="1"/>
  <c r="DI21" i="8" s="1"/>
  <c r="DH21" i="8" a="1"/>
  <c r="DH21" i="8" s="1"/>
  <c r="DG21" i="8" a="1"/>
  <c r="DG21" i="8" s="1"/>
  <c r="DF21" i="8" a="1"/>
  <c r="DF21" i="8" s="1"/>
  <c r="DE21" i="8" a="1"/>
  <c r="DE21" i="8"/>
  <c r="DD21" i="8" a="1"/>
  <c r="DD21" i="8" s="1"/>
  <c r="DC21" i="8" a="1"/>
  <c r="DC21" i="8" s="1"/>
  <c r="DB21" i="8" a="1"/>
  <c r="DB21" i="8"/>
  <c r="DA21" i="8" a="1"/>
  <c r="DA21" i="8" s="1"/>
  <c r="CZ21" i="8" a="1"/>
  <c r="CZ21" i="8"/>
  <c r="CY21" i="8" a="1"/>
  <c r="CY21" i="8" s="1"/>
  <c r="CX21" i="8" a="1"/>
  <c r="CX21" i="8" s="1"/>
  <c r="CW21" i="8" a="1"/>
  <c r="CW21" i="8" s="1"/>
  <c r="CV21" i="8" a="1"/>
  <c r="CV21" i="8" s="1"/>
  <c r="CU21" i="8" a="1"/>
  <c r="CU21" i="8" s="1"/>
  <c r="CT21" i="8" a="1"/>
  <c r="CT21" i="8" s="1"/>
  <c r="CS21" i="8" a="1"/>
  <c r="CS21" i="8" s="1"/>
  <c r="CR21" i="8" a="1"/>
  <c r="CR21" i="8" s="1"/>
  <c r="CQ21" i="8" a="1"/>
  <c r="CQ21" i="8"/>
  <c r="CP21" i="8" a="1"/>
  <c r="CP21" i="8"/>
  <c r="CO21" i="8" a="1"/>
  <c r="CO21" i="8" s="1"/>
  <c r="CN21" i="8" a="1"/>
  <c r="CN21" i="8"/>
  <c r="CM21" i="8" a="1"/>
  <c r="CM21" i="8" s="1"/>
  <c r="CL21" i="8" a="1"/>
  <c r="CL21" i="8" s="1"/>
  <c r="CK21" i="8" a="1"/>
  <c r="CK21" i="8" s="1"/>
  <c r="CJ21" i="8" a="1"/>
  <c r="CJ21" i="8" s="1"/>
  <c r="CI21" i="8" a="1"/>
  <c r="CI21" i="8" s="1"/>
  <c r="CH21" i="8" a="1"/>
  <c r="CH21" i="8"/>
  <c r="CG21" i="8" a="1"/>
  <c r="CG21" i="8" s="1"/>
  <c r="CF21" i="8" a="1"/>
  <c r="CF21" i="8"/>
  <c r="CE21" i="8" a="1"/>
  <c r="CE21" i="8" s="1"/>
  <c r="CD21" i="8" a="1"/>
  <c r="CD21" i="8"/>
  <c r="CC21" i="8" a="1"/>
  <c r="CC21" i="8" s="1"/>
  <c r="CB21" i="8" a="1"/>
  <c r="CB21" i="8" s="1"/>
  <c r="CA21" i="8" a="1"/>
  <c r="CA21" i="8" s="1"/>
  <c r="BZ21" i="8" a="1"/>
  <c r="BZ21" i="8" s="1"/>
  <c r="BY21" i="8" a="1"/>
  <c r="BY21" i="8" s="1"/>
  <c r="BX21" i="8" a="1"/>
  <c r="BX21" i="8" s="1"/>
  <c r="BW21" i="8" a="1"/>
  <c r="BW21" i="8"/>
  <c r="BV21" i="8" a="1"/>
  <c r="BV21" i="8" s="1"/>
  <c r="BU21" i="8" a="1"/>
  <c r="BU21" i="8"/>
  <c r="BT21" i="8" a="1"/>
  <c r="BT21" i="8" s="1"/>
  <c r="BS21" i="8" a="1"/>
  <c r="BS21" i="8" s="1"/>
  <c r="BR21" i="8" a="1"/>
  <c r="BR21" i="8" s="1"/>
  <c r="BQ21" i="8" a="1"/>
  <c r="BQ21" i="8" s="1"/>
  <c r="BP21" i="8" a="1"/>
  <c r="BP21" i="8" s="1"/>
  <c r="BO21" i="8" a="1"/>
  <c r="BO21" i="8" s="1"/>
  <c r="BN21" i="8" a="1"/>
  <c r="BN21" i="8" s="1"/>
  <c r="BM21" i="8" a="1"/>
  <c r="BM21" i="8" s="1"/>
  <c r="BL21" i="8" a="1"/>
  <c r="BL21" i="8" s="1"/>
  <c r="BK21" i="8" a="1"/>
  <c r="BK21" i="8" s="1"/>
  <c r="BJ21" i="8" a="1"/>
  <c r="BJ21" i="8" s="1"/>
  <c r="BI21" i="8" a="1"/>
  <c r="BI21" i="8"/>
  <c r="BH21" i="8" a="1"/>
  <c r="BH21" i="8" s="1"/>
  <c r="BG21" i="8" a="1"/>
  <c r="BG21" i="8" s="1"/>
  <c r="BF21" i="8" a="1"/>
  <c r="BF21" i="8" s="1"/>
  <c r="BE21" i="8" a="1"/>
  <c r="BE21" i="8" s="1"/>
  <c r="BD21" i="8" a="1"/>
  <c r="BD21" i="8" s="1"/>
  <c r="BC21" i="8" a="1"/>
  <c r="BC21" i="8" s="1"/>
  <c r="BB21" i="8" a="1"/>
  <c r="BB21" i="8" s="1"/>
  <c r="BA21" i="8" a="1"/>
  <c r="BA21" i="8" s="1"/>
  <c r="AZ21" i="8" a="1"/>
  <c r="AZ21" i="8" s="1"/>
  <c r="AY21" i="8" a="1"/>
  <c r="AY21" i="8" s="1"/>
  <c r="AX21" i="8" a="1"/>
  <c r="AX21" i="8" s="1"/>
  <c r="AW21" i="8" a="1"/>
  <c r="AW21" i="8" s="1"/>
  <c r="AV21" i="8" a="1"/>
  <c r="AV21" i="8" s="1"/>
  <c r="AU21" i="8" a="1"/>
  <c r="AU21" i="8" s="1"/>
  <c r="AT21" i="8" a="1"/>
  <c r="AT21" i="8" s="1"/>
  <c r="AS21" i="8" a="1"/>
  <c r="AS21" i="8" s="1"/>
  <c r="AR21" i="8" a="1"/>
  <c r="AR21" i="8" s="1"/>
  <c r="AQ21" i="8" a="1"/>
  <c r="AQ21" i="8" s="1"/>
  <c r="AP21" i="8" a="1"/>
  <c r="AP21" i="8" s="1"/>
  <c r="AO21" i="8" a="1"/>
  <c r="AO21" i="8" s="1"/>
  <c r="AN21" i="8" a="1"/>
  <c r="AN21" i="8" s="1"/>
  <c r="AM21" i="8" a="1"/>
  <c r="AM21" i="8" s="1"/>
  <c r="AL21" i="8" a="1"/>
  <c r="AL21" i="8" s="1"/>
  <c r="AK21" i="8" a="1"/>
  <c r="AK21" i="8"/>
  <c r="AJ21" i="8" a="1"/>
  <c r="AJ21" i="8" s="1"/>
  <c r="AI21" i="8" a="1"/>
  <c r="AI21" i="8" s="1"/>
  <c r="AH21" i="8" a="1"/>
  <c r="AH21" i="8" s="1"/>
  <c r="AG21" i="8" a="1"/>
  <c r="AG21" i="8" s="1"/>
  <c r="AF21" i="8" a="1"/>
  <c r="AF21" i="8" s="1"/>
  <c r="AE21" i="8" a="1"/>
  <c r="AE21" i="8" s="1"/>
  <c r="AD21" i="8" a="1"/>
  <c r="AD21" i="8" s="1"/>
  <c r="AC21" i="8" a="1"/>
  <c r="AC21" i="8"/>
  <c r="AB21" i="8" a="1"/>
  <c r="AB21" i="8" s="1"/>
  <c r="AA21" i="8" a="1"/>
  <c r="AA21" i="8" s="1"/>
  <c r="Z21" i="8" a="1"/>
  <c r="Z21" i="8" s="1"/>
  <c r="Y21" i="8" a="1"/>
  <c r="Y21" i="8" s="1"/>
  <c r="X21" i="8" a="1"/>
  <c r="X21" i="8" s="1"/>
  <c r="W21" i="8" a="1"/>
  <c r="W21" i="8" s="1"/>
  <c r="V21" i="8" a="1"/>
  <c r="V21" i="8" s="1"/>
  <c r="U21" i="8" a="1"/>
  <c r="U21" i="8" s="1"/>
  <c r="T21" i="8" a="1"/>
  <c r="T21" i="8" s="1"/>
  <c r="S21" i="8" a="1"/>
  <c r="S21" i="8" s="1"/>
  <c r="R21" i="8" a="1"/>
  <c r="R21" i="8" s="1"/>
  <c r="Q21" i="8" a="1"/>
  <c r="Q21" i="8" s="1"/>
  <c r="P21" i="8" a="1"/>
  <c r="P21" i="8"/>
  <c r="O21" i="8" a="1"/>
  <c r="O21" i="8" s="1"/>
  <c r="N21" i="8" a="1"/>
  <c r="N21" i="8"/>
  <c r="M21" i="8" a="1"/>
  <c r="M21" i="8" s="1"/>
  <c r="L21" i="8" a="1"/>
  <c r="L21" i="8" s="1"/>
  <c r="K21" i="8" a="1"/>
  <c r="K21" i="8" s="1"/>
  <c r="J21" i="8" a="1"/>
  <c r="J21" i="8" s="1"/>
  <c r="I21" i="8" a="1"/>
  <c r="I21" i="8" s="1"/>
  <c r="H21" i="8" a="1"/>
  <c r="H21" i="8" s="1"/>
  <c r="G21" i="8" a="1"/>
  <c r="G21" i="8"/>
  <c r="F21" i="8" a="1"/>
  <c r="F21" i="8" s="1"/>
  <c r="E21" i="8" a="1"/>
  <c r="E21" i="8"/>
  <c r="D21" i="8" a="1"/>
  <c r="D21" i="8" s="1"/>
  <c r="C21" i="8" a="1"/>
  <c r="C21" i="8"/>
  <c r="EF20" i="8" a="1"/>
  <c r="EF20" i="8" s="1"/>
  <c r="EE20" i="8" a="1"/>
  <c r="EE20" i="8" s="1"/>
  <c r="ED20" i="8" a="1"/>
  <c r="ED20" i="8" s="1"/>
  <c r="EC20" i="8" a="1"/>
  <c r="EC20" i="8"/>
  <c r="EB20" i="8" a="1"/>
  <c r="EB20" i="8" s="1"/>
  <c r="EA20" i="8" a="1"/>
  <c r="EA20" i="8" s="1"/>
  <c r="DZ20" i="8" a="1"/>
  <c r="DZ20" i="8" s="1"/>
  <c r="DY20" i="8" a="1"/>
  <c r="DY20" i="8" s="1"/>
  <c r="DX20" i="8" a="1"/>
  <c r="DX20" i="8" s="1"/>
  <c r="DW20" i="8" a="1"/>
  <c r="DW20" i="8" s="1"/>
  <c r="DV20" i="8" a="1"/>
  <c r="DV20" i="8" s="1"/>
  <c r="DU20" i="8" a="1"/>
  <c r="DU20" i="8" s="1"/>
  <c r="DT20" i="8" a="1"/>
  <c r="DT20" i="8" s="1"/>
  <c r="DS20" i="8" a="1"/>
  <c r="DS20" i="8" s="1"/>
  <c r="DR20" i="8" a="1"/>
  <c r="DR20" i="8" s="1"/>
  <c r="DQ20" i="8" a="1"/>
  <c r="DQ20" i="8"/>
  <c r="DP20" i="8" a="1"/>
  <c r="DP20" i="8" s="1"/>
  <c r="DO20" i="8" a="1"/>
  <c r="DO20" i="8"/>
  <c r="DN20" i="8" a="1"/>
  <c r="DN20" i="8" s="1"/>
  <c r="DM20" i="8" a="1"/>
  <c r="DM20" i="8" s="1"/>
  <c r="DL20" i="8" a="1"/>
  <c r="DL20" i="8" s="1"/>
  <c r="DK20" i="8" a="1"/>
  <c r="DK20" i="8" s="1"/>
  <c r="DJ20" i="8" a="1"/>
  <c r="DJ20" i="8" s="1"/>
  <c r="DI20" i="8" a="1"/>
  <c r="DI20" i="8" s="1"/>
  <c r="DH20" i="8" a="1"/>
  <c r="DH20" i="8" s="1"/>
  <c r="DG20" i="8" a="1"/>
  <c r="DG20" i="8" s="1"/>
  <c r="DF20" i="8" a="1"/>
  <c r="DF20" i="8" s="1"/>
  <c r="DE20" i="8" a="1"/>
  <c r="DE20" i="8" s="1"/>
  <c r="DD20" i="8" a="1"/>
  <c r="DD20" i="8" s="1"/>
  <c r="DC20" i="8" a="1"/>
  <c r="DC20" i="8" s="1"/>
  <c r="DB20" i="8" a="1"/>
  <c r="DB20" i="8" s="1"/>
  <c r="DA20" i="8" a="1"/>
  <c r="DA20" i="8"/>
  <c r="CZ20" i="8" a="1"/>
  <c r="CZ20" i="8" s="1"/>
  <c r="CY20" i="8" a="1"/>
  <c r="CY20" i="8" s="1"/>
  <c r="CX20" i="8" a="1"/>
  <c r="CX20" i="8" s="1"/>
  <c r="CW20" i="8" a="1"/>
  <c r="CW20" i="8" s="1"/>
  <c r="CV20" i="8" a="1"/>
  <c r="CV20" i="8" s="1"/>
  <c r="CU20" i="8" a="1"/>
  <c r="CU20" i="8" s="1"/>
  <c r="CT20" i="8" a="1"/>
  <c r="CT20" i="8" s="1"/>
  <c r="CS20" i="8" a="1"/>
  <c r="CS20" i="8" s="1"/>
  <c r="CR20" i="8" a="1"/>
  <c r="CR20" i="8" s="1"/>
  <c r="CQ20" i="8" a="1"/>
  <c r="CQ20" i="8" s="1"/>
  <c r="CP20" i="8" a="1"/>
  <c r="CP20" i="8"/>
  <c r="CO20" i="8" a="1"/>
  <c r="CO20" i="8" s="1"/>
  <c r="CN20" i="8" a="1"/>
  <c r="CN20" i="8" s="1"/>
  <c r="CM20" i="8" a="1"/>
  <c r="CM20" i="8" s="1"/>
  <c r="CL20" i="8" a="1"/>
  <c r="CL20" i="8" s="1"/>
  <c r="CK20" i="8" a="1"/>
  <c r="CK20" i="8" s="1"/>
  <c r="CJ20" i="8" a="1"/>
  <c r="CJ20" i="8"/>
  <c r="CI20" i="8" a="1"/>
  <c r="CI20" i="8" s="1"/>
  <c r="CH20" i="8" a="1"/>
  <c r="CH20" i="8"/>
  <c r="CG20" i="8" a="1"/>
  <c r="CG20" i="8" s="1"/>
  <c r="CF20" i="8" a="1"/>
  <c r="CF20" i="8"/>
  <c r="CE20" i="8" a="1"/>
  <c r="CE20" i="8" s="1"/>
  <c r="CD20" i="8" a="1"/>
  <c r="CD20" i="8" s="1"/>
  <c r="CC20" i="8" a="1"/>
  <c r="CC20" i="8" s="1"/>
  <c r="CB20" i="8" a="1"/>
  <c r="CB20" i="8" s="1"/>
  <c r="CA20" i="8" a="1"/>
  <c r="CA20" i="8" s="1"/>
  <c r="BZ20" i="8" a="1"/>
  <c r="BZ20" i="8" s="1"/>
  <c r="BY20" i="8" a="1"/>
  <c r="BY20" i="8"/>
  <c r="BX20" i="8" a="1"/>
  <c r="BX20" i="8" s="1"/>
  <c r="BW20" i="8" a="1"/>
  <c r="BW20" i="8"/>
  <c r="BV20" i="8" a="1"/>
  <c r="BV20" i="8" s="1"/>
  <c r="BU20" i="8" a="1"/>
  <c r="BU20" i="8"/>
  <c r="BT20" i="8" a="1"/>
  <c r="BT20" i="8" s="1"/>
  <c r="BS20" i="8" a="1"/>
  <c r="BS20" i="8" s="1"/>
  <c r="BR20" i="8" a="1"/>
  <c r="BR20" i="8" s="1"/>
  <c r="BQ20" i="8" a="1"/>
  <c r="BQ20" i="8" s="1"/>
  <c r="BP20" i="8" a="1"/>
  <c r="BP20" i="8" s="1"/>
  <c r="BO20" i="8" a="1"/>
  <c r="BO20" i="8"/>
  <c r="BN20" i="8" a="1"/>
  <c r="BN20" i="8" s="1"/>
  <c r="BM20" i="8" a="1"/>
  <c r="BM20" i="8" s="1"/>
  <c r="BL20" i="8" a="1"/>
  <c r="BL20" i="8" s="1"/>
  <c r="BK20" i="8" a="1"/>
  <c r="BK20" i="8" s="1"/>
  <c r="BJ20" i="8" a="1"/>
  <c r="BJ20" i="8" s="1"/>
  <c r="BI20" i="8" a="1"/>
  <c r="BI20" i="8" s="1"/>
  <c r="BH20" i="8" a="1"/>
  <c r="BH20" i="8" s="1"/>
  <c r="BG20" i="8" a="1"/>
  <c r="BG20" i="8" s="1"/>
  <c r="BF20" i="8" a="1"/>
  <c r="BF20" i="8" s="1"/>
  <c r="BE20" i="8" a="1"/>
  <c r="BE20" i="8" s="1"/>
  <c r="BD20" i="8" a="1"/>
  <c r="BD20" i="8" s="1"/>
  <c r="BC20" i="8" a="1"/>
  <c r="BC20" i="8" s="1"/>
  <c r="BB20" i="8" a="1"/>
  <c r="BB20" i="8" s="1"/>
  <c r="BA20" i="8" a="1"/>
  <c r="BA20" i="8" s="1"/>
  <c r="AZ20" i="8" a="1"/>
  <c r="AZ20" i="8" s="1"/>
  <c r="AY20" i="8" a="1"/>
  <c r="AY20" i="8"/>
  <c r="AX20" i="8" a="1"/>
  <c r="AX20" i="8" s="1"/>
  <c r="AW20" i="8" a="1"/>
  <c r="AW20" i="8"/>
  <c r="AV20" i="8" a="1"/>
  <c r="AV20" i="8" s="1"/>
  <c r="AU20" i="8" a="1"/>
  <c r="AU20" i="8" s="1"/>
  <c r="AT20" i="8" a="1"/>
  <c r="AT20" i="8" s="1"/>
  <c r="AS20" i="8" a="1"/>
  <c r="AS20" i="8" s="1"/>
  <c r="AR20" i="8" a="1"/>
  <c r="AR20" i="8" s="1"/>
  <c r="AQ20" i="8" a="1"/>
  <c r="AQ20" i="8" s="1"/>
  <c r="AP20" i="8" a="1"/>
  <c r="AP20" i="8"/>
  <c r="AO20" i="8" a="1"/>
  <c r="AO20" i="8" s="1"/>
  <c r="AN20" i="8" a="1"/>
  <c r="AN20" i="8"/>
  <c r="AM20" i="8" a="1"/>
  <c r="AM20" i="8" s="1"/>
  <c r="AL20" i="8" a="1"/>
  <c r="AL20" i="8"/>
  <c r="AK20" i="8" a="1"/>
  <c r="AK20" i="8" s="1"/>
  <c r="AJ20" i="8" a="1"/>
  <c r="AJ20" i="8" s="1"/>
  <c r="AI20" i="8" a="1"/>
  <c r="AI20" i="8" s="1"/>
  <c r="AH20" i="8" a="1"/>
  <c r="AH20" i="8" s="1"/>
  <c r="AG20" i="8" a="1"/>
  <c r="AG20" i="8" s="1"/>
  <c r="AF20" i="8" a="1"/>
  <c r="AF20" i="8" s="1"/>
  <c r="AE20" i="8" a="1"/>
  <c r="AE20" i="8" s="1"/>
  <c r="AD20" i="8" a="1"/>
  <c r="AD20" i="8" s="1"/>
  <c r="AC20" i="8" a="1"/>
  <c r="AC20" i="8"/>
  <c r="AB20" i="8" a="1"/>
  <c r="AB20" i="8" s="1"/>
  <c r="AA20" i="8" a="1"/>
  <c r="AA20" i="8"/>
  <c r="Z20" i="8" a="1"/>
  <c r="Z20" i="8" s="1"/>
  <c r="Y20" i="8" a="1"/>
  <c r="Y20" i="8" s="1"/>
  <c r="X20" i="8" a="1"/>
  <c r="X20" i="8" s="1"/>
  <c r="W20" i="8" a="1"/>
  <c r="W20" i="8" s="1"/>
  <c r="V20" i="8" a="1"/>
  <c r="V20" i="8" s="1"/>
  <c r="U20" i="8" a="1"/>
  <c r="U20" i="8" s="1"/>
  <c r="T20" i="8" a="1"/>
  <c r="T20" i="8" s="1"/>
  <c r="S20" i="8" a="1"/>
  <c r="S20" i="8" s="1"/>
  <c r="R20" i="8" a="1"/>
  <c r="R20" i="8" s="1"/>
  <c r="Q20" i="8" a="1"/>
  <c r="Q20" i="8"/>
  <c r="P20" i="8" a="1"/>
  <c r="P20" i="8" s="1"/>
  <c r="O20" i="8" a="1"/>
  <c r="O20" i="8" s="1"/>
  <c r="N20" i="8" a="1"/>
  <c r="N20" i="8" s="1"/>
  <c r="M20" i="8" a="1"/>
  <c r="M20" i="8" s="1"/>
  <c r="L20" i="8" a="1"/>
  <c r="L20" i="8" s="1"/>
  <c r="K20" i="8" a="1"/>
  <c r="K20" i="8" s="1"/>
  <c r="J20" i="8" a="1"/>
  <c r="J20" i="8" s="1"/>
  <c r="I20" i="8" a="1"/>
  <c r="I20" i="8"/>
  <c r="H20" i="8" a="1"/>
  <c r="H20" i="8" s="1"/>
  <c r="G20" i="8" a="1"/>
  <c r="G20" i="8"/>
  <c r="F20" i="8" a="1"/>
  <c r="F20" i="8" s="1"/>
  <c r="E20" i="8" a="1"/>
  <c r="E20" i="8" s="1"/>
  <c r="D20" i="8" a="1"/>
  <c r="D20" i="8" s="1"/>
  <c r="C20" i="8" a="1"/>
  <c r="C20" i="8" s="1"/>
  <c r="EF19" i="8" a="1"/>
  <c r="EF19" i="8" s="1"/>
  <c r="EE19" i="8" a="1"/>
  <c r="EE19" i="8" s="1"/>
  <c r="ED19" i="8" a="1"/>
  <c r="ED19" i="8" s="1"/>
  <c r="EC19" i="8" a="1"/>
  <c r="EC19" i="8" s="1"/>
  <c r="EB19" i="8" a="1"/>
  <c r="EB19" i="8" s="1"/>
  <c r="EA19" i="8" a="1"/>
  <c r="EA19" i="8" s="1"/>
  <c r="DZ19" i="8" a="1"/>
  <c r="DZ19" i="8"/>
  <c r="DY19" i="8" a="1"/>
  <c r="DY19" i="8" s="1"/>
  <c r="DX19" i="8" a="1"/>
  <c r="DX19" i="8"/>
  <c r="DW19" i="8" a="1"/>
  <c r="DW19" i="8" s="1"/>
  <c r="DV19" i="8" a="1"/>
  <c r="DV19" i="8" s="1"/>
  <c r="DU19" i="8" a="1"/>
  <c r="DU19" i="8" s="1"/>
  <c r="DT19" i="8" a="1"/>
  <c r="DT19" i="8" s="1"/>
  <c r="DS19" i="8" a="1"/>
  <c r="DS19" i="8" s="1"/>
  <c r="DR19" i="8" a="1"/>
  <c r="DR19" i="8" s="1"/>
  <c r="DQ19" i="8" a="1"/>
  <c r="DQ19" i="8"/>
  <c r="DP19" i="8" a="1"/>
  <c r="DP19" i="8" s="1"/>
  <c r="DO19" i="8" a="1"/>
  <c r="DO19" i="8"/>
  <c r="DN19" i="8" a="1"/>
  <c r="DN19" i="8" s="1"/>
  <c r="DM19" i="8" a="1"/>
  <c r="DM19" i="8"/>
  <c r="DL19" i="8" a="1"/>
  <c r="DL19" i="8" s="1"/>
  <c r="DK19" i="8" a="1"/>
  <c r="DK19" i="8" s="1"/>
  <c r="DJ19" i="8" a="1"/>
  <c r="DJ19" i="8" s="1"/>
  <c r="DI19" i="8" a="1"/>
  <c r="DI19" i="8" s="1"/>
  <c r="DH19" i="8" a="1"/>
  <c r="DH19" i="8" s="1"/>
  <c r="DG19" i="8" a="1"/>
  <c r="DG19" i="8" s="1"/>
  <c r="DF19" i="8" a="1"/>
  <c r="DF19" i="8" s="1"/>
  <c r="DE19" i="8" a="1"/>
  <c r="DE19" i="8"/>
  <c r="DD19" i="8" a="1"/>
  <c r="DD19" i="8" s="1"/>
  <c r="DC19" i="8" a="1"/>
  <c r="DC19" i="8"/>
  <c r="DB19" i="8" a="1"/>
  <c r="DB19" i="8" s="1"/>
  <c r="DA19" i="8" a="1"/>
  <c r="DA19" i="8" s="1"/>
  <c r="CZ19" i="8" a="1"/>
  <c r="CZ19" i="8" s="1"/>
  <c r="CY19" i="8" a="1"/>
  <c r="CY19" i="8" s="1"/>
  <c r="CX19" i="8" a="1"/>
  <c r="CX19" i="8" s="1"/>
  <c r="CW19" i="8" a="1"/>
  <c r="CW19" i="8" s="1"/>
  <c r="CV19" i="8" a="1"/>
  <c r="CV19" i="8" s="1"/>
  <c r="CU19" i="8" a="1"/>
  <c r="CU19" i="8" s="1"/>
  <c r="CT19" i="8" a="1"/>
  <c r="CT19" i="8"/>
  <c r="CS19" i="8" a="1"/>
  <c r="CS19" i="8" s="1"/>
  <c r="CR19" i="8" a="1"/>
  <c r="CR19" i="8" s="1"/>
  <c r="CQ19" i="8" a="1"/>
  <c r="CQ19" i="8" s="1"/>
  <c r="CP19" i="8" a="1"/>
  <c r="CP19" i="8" s="1"/>
  <c r="CO19" i="8" a="1"/>
  <c r="CO19" i="8" s="1"/>
  <c r="CN19" i="8" a="1"/>
  <c r="CN19" i="8" s="1"/>
  <c r="CM19" i="8" a="1"/>
  <c r="CM19" i="8" s="1"/>
  <c r="CL19" i="8" a="1"/>
  <c r="CL19" i="8" s="1"/>
  <c r="CK19" i="8" a="1"/>
  <c r="CK19" i="8" s="1"/>
  <c r="CJ19" i="8" a="1"/>
  <c r="CJ19" i="8" s="1"/>
  <c r="CI19" i="8" a="1"/>
  <c r="CI19" i="8"/>
  <c r="CH19" i="8" a="1"/>
  <c r="CH19" i="8" s="1"/>
  <c r="CG19" i="8" a="1"/>
  <c r="CG19" i="8" s="1"/>
  <c r="CF19" i="8" a="1"/>
  <c r="CF19" i="8" s="1"/>
  <c r="CE19" i="8" a="1"/>
  <c r="CE19" i="8" s="1"/>
  <c r="CD19" i="8" a="1"/>
  <c r="CD19" i="8" s="1"/>
  <c r="CC19" i="8" a="1"/>
  <c r="CC19" i="8" s="1"/>
  <c r="CB19" i="8" a="1"/>
  <c r="CB19" i="8" s="1"/>
  <c r="CA19" i="8" a="1"/>
  <c r="CA19" i="8" s="1"/>
  <c r="BZ19" i="8" a="1"/>
  <c r="BZ19" i="8" s="1"/>
  <c r="BY19" i="8" a="1"/>
  <c r="BY19" i="8" s="1"/>
  <c r="BX19" i="8" a="1"/>
  <c r="BX19" i="8" s="1"/>
  <c r="BW19" i="8" a="1"/>
  <c r="BW19" i="8" s="1"/>
  <c r="BV19" i="8" a="1"/>
  <c r="BV19" i="8" s="1"/>
  <c r="BU19" i="8" a="1"/>
  <c r="BU19" i="8" s="1"/>
  <c r="BT19" i="8" a="1"/>
  <c r="BT19" i="8" s="1"/>
  <c r="BS19" i="8" a="1"/>
  <c r="BS19" i="8" s="1"/>
  <c r="BR19" i="8" a="1"/>
  <c r="BR19" i="8" s="1"/>
  <c r="BQ19" i="8" a="1"/>
  <c r="BQ19" i="8"/>
  <c r="BP19" i="8" a="1"/>
  <c r="BP19" i="8"/>
  <c r="BO19" i="8" a="1"/>
  <c r="BO19" i="8" s="1"/>
  <c r="BN19" i="8" a="1"/>
  <c r="BN19" i="8"/>
  <c r="BM19" i="8" a="1"/>
  <c r="BM19" i="8" s="1"/>
  <c r="BL19" i="8" a="1"/>
  <c r="BL19" i="8" s="1"/>
  <c r="BK19" i="8" a="1"/>
  <c r="BK19" i="8"/>
  <c r="BJ19" i="8" a="1"/>
  <c r="BJ19" i="8"/>
  <c r="BI19" i="8" a="1"/>
  <c r="BI19" i="8" s="1"/>
  <c r="BH19" i="8" a="1"/>
  <c r="BH19" i="8" s="1"/>
  <c r="BG19" i="8" a="1"/>
  <c r="BG19" i="8" s="1"/>
  <c r="BF19" i="8" a="1"/>
  <c r="BF19" i="8" s="1"/>
  <c r="BE19" i="8" a="1"/>
  <c r="BE19" i="8"/>
  <c r="BD19" i="8" a="1"/>
  <c r="BD19" i="8" s="1"/>
  <c r="BC19" i="8" a="1"/>
  <c r="BC19" i="8"/>
  <c r="BB19" i="8" a="1"/>
  <c r="BB19" i="8" s="1"/>
  <c r="BA19" i="8" a="1"/>
  <c r="BA19" i="8" s="1"/>
  <c r="AZ19" i="8" a="1"/>
  <c r="AZ19" i="8"/>
  <c r="AY19" i="8" a="1"/>
  <c r="AY19" i="8" s="1"/>
  <c r="AX19" i="8" a="1"/>
  <c r="AX19" i="8" s="1"/>
  <c r="AW19" i="8" a="1"/>
  <c r="AW19" i="8" s="1"/>
  <c r="AV19" i="8" a="1"/>
  <c r="AV19" i="8" s="1"/>
  <c r="AU19" i="8" a="1"/>
  <c r="AU19" i="8"/>
  <c r="AT19" i="8" a="1"/>
  <c r="AT19" i="8" s="1"/>
  <c r="AS19" i="8" a="1"/>
  <c r="AS19" i="8" s="1"/>
  <c r="AR19" i="8" a="1"/>
  <c r="AR19" i="8"/>
  <c r="AQ19" i="8" a="1"/>
  <c r="AQ19" i="8" s="1"/>
  <c r="AP19" i="8" a="1"/>
  <c r="AP19" i="8" s="1"/>
  <c r="AO19" i="8" a="1"/>
  <c r="AO19" i="8" s="1"/>
  <c r="AN19" i="8" a="1"/>
  <c r="AN19" i="8" s="1"/>
  <c r="AM19" i="8" a="1"/>
  <c r="AM19" i="8" s="1"/>
  <c r="AL19" i="8" a="1"/>
  <c r="AL19" i="8" s="1"/>
  <c r="AK19" i="8" a="1"/>
  <c r="AK19" i="8" s="1"/>
  <c r="AJ19" i="8" a="1"/>
  <c r="AJ19" i="8" s="1"/>
  <c r="AI19" i="8" a="1"/>
  <c r="AI19" i="8" s="1"/>
  <c r="AH19" i="8" a="1"/>
  <c r="AH19" i="8" s="1"/>
  <c r="AG19" i="8" a="1"/>
  <c r="AG19" i="8" s="1"/>
  <c r="AF19" i="8" a="1"/>
  <c r="AF19" i="8" s="1"/>
  <c r="AE19" i="8" a="1"/>
  <c r="AE19" i="8" s="1"/>
  <c r="AD19" i="8" a="1"/>
  <c r="AD19" i="8" s="1"/>
  <c r="AC19" i="8" a="1"/>
  <c r="AC19" i="8"/>
  <c r="AB19" i="8" a="1"/>
  <c r="AB19" i="8" s="1"/>
  <c r="AA19" i="8" a="1"/>
  <c r="AA19" i="8" s="1"/>
  <c r="Z19" i="8" a="1"/>
  <c r="Z19" i="8" s="1"/>
  <c r="Y19" i="8" a="1"/>
  <c r="Y19" i="8" s="1"/>
  <c r="X19" i="8" a="1"/>
  <c r="X19" i="8" s="1"/>
  <c r="W19" i="8" a="1"/>
  <c r="W19" i="8" s="1"/>
  <c r="V19" i="8" a="1"/>
  <c r="V19" i="8" s="1"/>
  <c r="U19" i="8" a="1"/>
  <c r="U19" i="8" s="1"/>
  <c r="T19" i="8" a="1"/>
  <c r="T19" i="8"/>
  <c r="S19" i="8" a="1"/>
  <c r="S19" i="8"/>
  <c r="R19" i="8" a="1"/>
  <c r="R19" i="8" s="1"/>
  <c r="Q19" i="8" a="1"/>
  <c r="Q19" i="8" s="1"/>
  <c r="P19" i="8" a="1"/>
  <c r="P19" i="8" s="1"/>
  <c r="O19" i="8" a="1"/>
  <c r="O19" i="8" s="1"/>
  <c r="N19" i="8" a="1"/>
  <c r="N19" i="8" s="1"/>
  <c r="M19" i="8" a="1"/>
  <c r="M19" i="8" s="1"/>
  <c r="L19" i="8" a="1"/>
  <c r="L19" i="8" s="1"/>
  <c r="K19" i="8" a="1"/>
  <c r="K19" i="8"/>
  <c r="J19" i="8" a="1"/>
  <c r="J19" i="8" s="1"/>
  <c r="I19" i="8" a="1"/>
  <c r="I19" i="8"/>
  <c r="H19" i="8" a="1"/>
  <c r="H19" i="8" s="1"/>
  <c r="G19" i="8" a="1"/>
  <c r="G19" i="8"/>
  <c r="F19" i="8" a="1"/>
  <c r="F19" i="8" s="1"/>
  <c r="E19" i="8" a="1"/>
  <c r="E19" i="8" s="1"/>
  <c r="D19" i="8" a="1"/>
  <c r="D19" i="8" s="1"/>
  <c r="C19" i="8" a="1"/>
  <c r="C19" i="8" s="1"/>
  <c r="EF18" i="8" a="1"/>
  <c r="EF18" i="8" s="1"/>
  <c r="EE18" i="8" a="1"/>
  <c r="EE18" i="8" s="1"/>
  <c r="ED18" i="8" a="1"/>
  <c r="ED18" i="8" s="1"/>
  <c r="EC18" i="8" a="1"/>
  <c r="EC18" i="8"/>
  <c r="EB18" i="8" a="1"/>
  <c r="EB18" i="8" s="1"/>
  <c r="EA18" i="8" a="1"/>
  <c r="EA18" i="8"/>
  <c r="DZ18" i="8" a="1"/>
  <c r="DZ18" i="8" s="1"/>
  <c r="DY18" i="8" a="1"/>
  <c r="DY18" i="8"/>
  <c r="DX18" i="8" a="1"/>
  <c r="DX18" i="8" s="1"/>
  <c r="DW18" i="8" a="1"/>
  <c r="DW18" i="8"/>
  <c r="DV18" i="8" a="1"/>
  <c r="DV18" i="8" s="1"/>
  <c r="DU18" i="8" a="1"/>
  <c r="DU18" i="8" s="1"/>
  <c r="DT18" i="8" a="1"/>
  <c r="DT18" i="8" s="1"/>
  <c r="DS18" i="8" a="1"/>
  <c r="DS18" i="8" s="1"/>
  <c r="DR18" i="8" a="1"/>
  <c r="DR18" i="8" s="1"/>
  <c r="DQ18" i="8" a="1"/>
  <c r="DQ18" i="8" s="1"/>
  <c r="DP18" i="8" a="1"/>
  <c r="DP18" i="8" s="1"/>
  <c r="DO18" i="8" a="1"/>
  <c r="DO18" i="8"/>
  <c r="DN18" i="8" a="1"/>
  <c r="DN18" i="8" s="1"/>
  <c r="DM18" i="8" a="1"/>
  <c r="DM18" i="8" s="1"/>
  <c r="DL18" i="8" a="1"/>
  <c r="DL18" i="8"/>
  <c r="DK18" i="8" a="1"/>
  <c r="DK18" i="8" s="1"/>
  <c r="DJ18" i="8" a="1"/>
  <c r="DJ18" i="8" s="1"/>
  <c r="DI18" i="8" a="1"/>
  <c r="DI18" i="8" s="1"/>
  <c r="DH18" i="8" a="1"/>
  <c r="DH18" i="8" s="1"/>
  <c r="DG18" i="8" a="1"/>
  <c r="DG18" i="8"/>
  <c r="DF18" i="8" a="1"/>
  <c r="DF18" i="8" s="1"/>
  <c r="DE18" i="8" a="1"/>
  <c r="DE18" i="8" s="1"/>
  <c r="DD18" i="8" a="1"/>
  <c r="DD18" i="8"/>
  <c r="DC18" i="8" a="1"/>
  <c r="DC18" i="8" s="1"/>
  <c r="DB18" i="8" a="1"/>
  <c r="DB18" i="8" s="1"/>
  <c r="DA18" i="8" a="1"/>
  <c r="DA18" i="8" s="1"/>
  <c r="CZ18" i="8" a="1"/>
  <c r="CZ18" i="8" s="1"/>
  <c r="CY18" i="8" a="1"/>
  <c r="CY18" i="8" s="1"/>
  <c r="CX18" i="8" a="1"/>
  <c r="CX18" i="8" s="1"/>
  <c r="CW18" i="8" a="1"/>
  <c r="CW18" i="8" s="1"/>
  <c r="CV18" i="8" a="1"/>
  <c r="CV18" i="8"/>
  <c r="CU18" i="8" a="1"/>
  <c r="CU18" i="8" s="1"/>
  <c r="CT18" i="8" a="1"/>
  <c r="CT18" i="8"/>
  <c r="CS18" i="8" a="1"/>
  <c r="CS18" i="8" s="1"/>
  <c r="CR18" i="8" a="1"/>
  <c r="CR18" i="8" s="1"/>
  <c r="CQ18" i="8" a="1"/>
  <c r="CQ18" i="8" s="1"/>
  <c r="CP18" i="8" a="1"/>
  <c r="CP18" i="8"/>
  <c r="CO18" i="8" a="1"/>
  <c r="CO18" i="8" s="1"/>
  <c r="CN18" i="8" a="1"/>
  <c r="CN18" i="8" s="1"/>
  <c r="CM18" i="8" a="1"/>
  <c r="CM18" i="8" s="1"/>
  <c r="CL18" i="8" a="1"/>
  <c r="CL18" i="8" s="1"/>
  <c r="CK18" i="8" a="1"/>
  <c r="CK18" i="8" s="1"/>
  <c r="CJ18" i="8" a="1"/>
  <c r="CJ18" i="8" s="1"/>
  <c r="CI18" i="8" a="1"/>
  <c r="CI18" i="8" s="1"/>
  <c r="CH18" i="8" a="1"/>
  <c r="CH18" i="8"/>
  <c r="CG18" i="8" a="1"/>
  <c r="CG18" i="8" s="1"/>
  <c r="CF18" i="8" a="1"/>
  <c r="CF18" i="8" s="1"/>
  <c r="CE18" i="8" a="1"/>
  <c r="CE18" i="8" s="1"/>
  <c r="CD18" i="8" a="1"/>
  <c r="CD18" i="8" s="1"/>
  <c r="CC18" i="8" a="1"/>
  <c r="CC18" i="8" s="1"/>
  <c r="CB18" i="8" a="1"/>
  <c r="CB18" i="8" s="1"/>
  <c r="CA18" i="8" a="1"/>
  <c r="CA18" i="8" s="1"/>
  <c r="BZ18" i="8" a="1"/>
  <c r="BZ18" i="8"/>
  <c r="BY18" i="8" a="1"/>
  <c r="BY18" i="8" s="1"/>
  <c r="BX18" i="8" a="1"/>
  <c r="BX18" i="8" s="1"/>
  <c r="BW18" i="8" a="1"/>
  <c r="BW18" i="8" s="1"/>
  <c r="BV18" i="8" a="1"/>
  <c r="BV18" i="8"/>
  <c r="BU18" i="8" a="1"/>
  <c r="BU18" i="8" s="1"/>
  <c r="BT18" i="8" a="1"/>
  <c r="BT18" i="8" s="1"/>
  <c r="BS18" i="8" a="1"/>
  <c r="BS18" i="8" s="1"/>
  <c r="BR18" i="8" a="1"/>
  <c r="BR18" i="8" s="1"/>
  <c r="BQ18" i="8" a="1"/>
  <c r="BQ18" i="8" s="1"/>
  <c r="BP18" i="8" a="1"/>
  <c r="BP18" i="8" s="1"/>
  <c r="BO18" i="8" a="1"/>
  <c r="BO18" i="8" s="1"/>
  <c r="BN18" i="8" a="1"/>
  <c r="BN18" i="8" s="1"/>
  <c r="BM18" i="8" a="1"/>
  <c r="BM18" i="8"/>
  <c r="BL18" i="8" a="1"/>
  <c r="BL18" i="8" s="1"/>
  <c r="BK18" i="8" a="1"/>
  <c r="BK18" i="8"/>
  <c r="BJ18" i="8" a="1"/>
  <c r="BJ18" i="8" s="1"/>
  <c r="BI18" i="8" a="1"/>
  <c r="BI18" i="8"/>
  <c r="BH18" i="8" a="1"/>
  <c r="BH18" i="8" s="1"/>
  <c r="BG18" i="8" a="1"/>
  <c r="BG18" i="8" s="1"/>
  <c r="BF18" i="8" a="1"/>
  <c r="BF18" i="8" s="1"/>
  <c r="BE18" i="8" a="1"/>
  <c r="BE18" i="8" s="1"/>
  <c r="BD18" i="8" a="1"/>
  <c r="BD18" i="8" s="1"/>
  <c r="BC18" i="8" a="1"/>
  <c r="BC18" i="8" s="1"/>
  <c r="BB18" i="8" a="1"/>
  <c r="BB18" i="8" s="1"/>
  <c r="BA18" i="8" a="1"/>
  <c r="BA18" i="8"/>
  <c r="AZ18" i="8" a="1"/>
  <c r="AZ18" i="8" s="1"/>
  <c r="AY18" i="8" a="1"/>
  <c r="AY18" i="8" s="1"/>
  <c r="AX18" i="8" a="1"/>
  <c r="AX18" i="8" s="1"/>
  <c r="AW18" i="8" a="1"/>
  <c r="AW18" i="8" s="1"/>
  <c r="AV18" i="8" a="1"/>
  <c r="AV18" i="8" s="1"/>
  <c r="AU18" i="8" a="1"/>
  <c r="AU18" i="8" s="1"/>
  <c r="AT18" i="8" a="1"/>
  <c r="AT18" i="8" s="1"/>
  <c r="AS18" i="8" a="1"/>
  <c r="AS18" i="8"/>
  <c r="AR18" i="8" a="1"/>
  <c r="AR18" i="8" s="1"/>
  <c r="AQ18" i="8" a="1"/>
  <c r="AQ18" i="8"/>
  <c r="AP18" i="8" a="1"/>
  <c r="AP18" i="8" s="1"/>
  <c r="AO18" i="8" a="1"/>
  <c r="AO18" i="8"/>
  <c r="AN18" i="8" a="1"/>
  <c r="AN18" i="8" s="1"/>
  <c r="AM18" i="8" a="1"/>
  <c r="AM18" i="8" s="1"/>
  <c r="AL18" i="8" a="1"/>
  <c r="AL18" i="8" s="1"/>
  <c r="AK18" i="8" a="1"/>
  <c r="AK18" i="8" s="1"/>
  <c r="AJ18" i="8" a="1"/>
  <c r="AJ18" i="8" s="1"/>
  <c r="AI18" i="8" a="1"/>
  <c r="AI18" i="8"/>
  <c r="AH18" i="8" a="1"/>
  <c r="AH18" i="8" s="1"/>
  <c r="AG18" i="8" a="1"/>
  <c r="AG18" i="8" s="1"/>
  <c r="AF18" i="8" a="1"/>
  <c r="AF18" i="8" s="1"/>
  <c r="AE18" i="8" a="1"/>
  <c r="AE18" i="8"/>
  <c r="AD18" i="8" a="1"/>
  <c r="AD18" i="8" s="1"/>
  <c r="AC18" i="8" a="1"/>
  <c r="AC18" i="8" s="1"/>
  <c r="AB18" i="8" a="1"/>
  <c r="AB18" i="8"/>
  <c r="AA18" i="8" a="1"/>
  <c r="AA18" i="8" s="1"/>
  <c r="Z18" i="8" a="1"/>
  <c r="Z18" i="8" s="1"/>
  <c r="Y18" i="8" a="1"/>
  <c r="Y18" i="8"/>
  <c r="X18" i="8" a="1"/>
  <c r="X18" i="8" s="1"/>
  <c r="W18" i="8" a="1"/>
  <c r="W18" i="8"/>
  <c r="V18" i="8" a="1"/>
  <c r="V18" i="8" s="1"/>
  <c r="U18" i="8" a="1"/>
  <c r="U18" i="8"/>
  <c r="T18" i="8" a="1"/>
  <c r="T18" i="8"/>
  <c r="S18" i="8" a="1"/>
  <c r="S18" i="8"/>
  <c r="R18" i="8" a="1"/>
  <c r="R18" i="8" s="1"/>
  <c r="Q18" i="8" a="1"/>
  <c r="Q18" i="8" s="1"/>
  <c r="P18" i="8" a="1"/>
  <c r="P18" i="8" s="1"/>
  <c r="O18" i="8" a="1"/>
  <c r="O18" i="8" s="1"/>
  <c r="N18" i="8" a="1"/>
  <c r="N18" i="8" s="1"/>
  <c r="M18" i="8" a="1"/>
  <c r="M18" i="8"/>
  <c r="L18" i="8" a="1"/>
  <c r="L18" i="8" s="1"/>
  <c r="K18" i="8" a="1"/>
  <c r="K18" i="8" s="1"/>
  <c r="J18" i="8" a="1"/>
  <c r="J18" i="8" s="1"/>
  <c r="I18" i="8" a="1"/>
  <c r="I18" i="8"/>
  <c r="H18" i="8" a="1"/>
  <c r="H18" i="8" s="1"/>
  <c r="G18" i="8" a="1"/>
  <c r="G18" i="8" s="1"/>
  <c r="F18" i="8" a="1"/>
  <c r="F18" i="8" s="1"/>
  <c r="E18" i="8" a="1"/>
  <c r="E18" i="8" s="1"/>
  <c r="D18" i="8" a="1"/>
  <c r="D18" i="8" s="1"/>
  <c r="C18" i="8" a="1"/>
  <c r="C18" i="8"/>
  <c r="EF17" i="8" a="1"/>
  <c r="EF17" i="8" s="1"/>
  <c r="EE17" i="8" a="1"/>
  <c r="EE17" i="8" s="1"/>
  <c r="ED17" i="8" a="1"/>
  <c r="ED17" i="8" s="1"/>
  <c r="EC17" i="8" a="1"/>
  <c r="EC17" i="8" s="1"/>
  <c r="EB17" i="8" a="1"/>
  <c r="EB17" i="8"/>
  <c r="EA17" i="8" a="1"/>
  <c r="EA17" i="8" s="1"/>
  <c r="DZ17" i="8" a="1"/>
  <c r="DZ17" i="8" s="1"/>
  <c r="DY17" i="8" a="1"/>
  <c r="DY17" i="8"/>
  <c r="DX17" i="8" a="1"/>
  <c r="DX17" i="8" s="1"/>
  <c r="DW17" i="8" a="1"/>
  <c r="DW17" i="8" s="1"/>
  <c r="DV17" i="8" a="1"/>
  <c r="DV17" i="8" s="1"/>
  <c r="DU17" i="8" a="1"/>
  <c r="DU17" i="8" s="1"/>
  <c r="DT17" i="8" a="1"/>
  <c r="DT17" i="8"/>
  <c r="DS17" i="8" a="1"/>
  <c r="DS17" i="8" s="1"/>
  <c r="DR17" i="8" a="1"/>
  <c r="DR17" i="8"/>
  <c r="DQ17" i="8" a="1"/>
  <c r="DQ17" i="8"/>
  <c r="DP17" i="8" a="1"/>
  <c r="DP17" i="8" s="1"/>
  <c r="DO17" i="8" a="1"/>
  <c r="DO17" i="8" s="1"/>
  <c r="DN17" i="8" a="1"/>
  <c r="DN17" i="8" s="1"/>
  <c r="DM17" i="8" a="1"/>
  <c r="DM17" i="8" s="1"/>
  <c r="DL17" i="8" a="1"/>
  <c r="DL17" i="8" s="1"/>
  <c r="DK17" i="8" a="1"/>
  <c r="DK17" i="8"/>
  <c r="DJ17" i="8" a="1"/>
  <c r="DJ17" i="8" s="1"/>
  <c r="DI17" i="8" a="1"/>
  <c r="DI17" i="8"/>
  <c r="DH17" i="8" a="1"/>
  <c r="DH17" i="8" s="1"/>
  <c r="DG17" i="8" a="1"/>
  <c r="DG17" i="8"/>
  <c r="DF17" i="8" a="1"/>
  <c r="DF17" i="8" s="1"/>
  <c r="DE17" i="8" a="1"/>
  <c r="DE17" i="8" s="1"/>
  <c r="DD17" i="8" a="1"/>
  <c r="DD17" i="8" s="1"/>
  <c r="DC17" i="8" a="1"/>
  <c r="DC17" i="8"/>
  <c r="DB17" i="8" a="1"/>
  <c r="DB17" i="8" s="1"/>
  <c r="DA17" i="8" a="1"/>
  <c r="DA17" i="8" s="1"/>
  <c r="CZ17" i="8" a="1"/>
  <c r="CZ17" i="8" s="1"/>
  <c r="CY17" i="8" a="1"/>
  <c r="CY17" i="8" s="1"/>
  <c r="CX17" i="8" a="1"/>
  <c r="CX17" i="8"/>
  <c r="CW17" i="8" a="1"/>
  <c r="CW17" i="8" s="1"/>
  <c r="CV17" i="8" a="1"/>
  <c r="CV17" i="8" s="1"/>
  <c r="CU17" i="8" a="1"/>
  <c r="CU17" i="8"/>
  <c r="CT17" i="8" a="1"/>
  <c r="CT17" i="8" s="1"/>
  <c r="CS17" i="8" a="1"/>
  <c r="CS17" i="8" s="1"/>
  <c r="CR17" i="8" a="1"/>
  <c r="CR17" i="8" s="1"/>
  <c r="CQ17" i="8" a="1"/>
  <c r="CQ17" i="8" s="1"/>
  <c r="CP17" i="8" a="1"/>
  <c r="CP17" i="8" s="1"/>
  <c r="CO17" i="8" a="1"/>
  <c r="CO17" i="8"/>
  <c r="CN17" i="8" a="1"/>
  <c r="CN17" i="8" s="1"/>
  <c r="CM17" i="8" a="1"/>
  <c r="CM17" i="8"/>
  <c r="CL17" i="8" a="1"/>
  <c r="CL17" i="8" s="1"/>
  <c r="CK17" i="8" a="1"/>
  <c r="CK17" i="8"/>
  <c r="CJ17" i="8" a="1"/>
  <c r="CJ17" i="8" s="1"/>
  <c r="CI17" i="8" a="1"/>
  <c r="CI17" i="8"/>
  <c r="CH17" i="8" a="1"/>
  <c r="CH17" i="8" s="1"/>
  <c r="CG17" i="8" a="1"/>
  <c r="CG17" i="8"/>
  <c r="CF17" i="8" a="1"/>
  <c r="CF17" i="8" s="1"/>
  <c r="CE17" i="8" a="1"/>
  <c r="CE17" i="8" s="1"/>
  <c r="CD17" i="8" a="1"/>
  <c r="CD17" i="8" s="1"/>
  <c r="CC17" i="8" a="1"/>
  <c r="CC17" i="8" s="1"/>
  <c r="CB17" i="8" a="1"/>
  <c r="CB17" i="8" s="1"/>
  <c r="CA17" i="8" a="1"/>
  <c r="CA17" i="8" s="1"/>
  <c r="BZ17" i="8" a="1"/>
  <c r="BZ17" i="8"/>
  <c r="BY17" i="8" a="1"/>
  <c r="BY17" i="8"/>
  <c r="BX17" i="8" a="1"/>
  <c r="BX17" i="8" s="1"/>
  <c r="BW17" i="8" a="1"/>
  <c r="BW17" i="8" s="1"/>
  <c r="BV17" i="8" a="1"/>
  <c r="BV17" i="8" s="1"/>
  <c r="BU17" i="8" a="1"/>
  <c r="BU17" i="8" s="1"/>
  <c r="BT17" i="8" a="1"/>
  <c r="BT17" i="8" s="1"/>
  <c r="BS17" i="8" a="1"/>
  <c r="BS17" i="8"/>
  <c r="BR17" i="8" a="1"/>
  <c r="BR17" i="8"/>
  <c r="BQ17" i="8" a="1"/>
  <c r="BQ17" i="8"/>
  <c r="BP17" i="8" a="1"/>
  <c r="BP17" i="8" s="1"/>
  <c r="BO17" i="8" a="1"/>
  <c r="BO17" i="8" s="1"/>
  <c r="BN17" i="8" a="1"/>
  <c r="BN17" i="8" s="1"/>
  <c r="BM17" i="8" a="1"/>
  <c r="BM17" i="8"/>
  <c r="BL17" i="8" a="1"/>
  <c r="BL17" i="8" s="1"/>
  <c r="BK17" i="8" a="1"/>
  <c r="BK17" i="8" s="1"/>
  <c r="BJ17" i="8" a="1"/>
  <c r="BJ17" i="8" s="1"/>
  <c r="BI17" i="8" a="1"/>
  <c r="BI17" i="8" s="1"/>
  <c r="BH17" i="8" a="1"/>
  <c r="BH17" i="8" s="1"/>
  <c r="BG17" i="8" a="1"/>
  <c r="BG17" i="8" s="1"/>
  <c r="BF17" i="8" a="1"/>
  <c r="BF17" i="8" s="1"/>
  <c r="BE17" i="8" a="1"/>
  <c r="BE17" i="8" s="1"/>
  <c r="BD17" i="8" a="1"/>
  <c r="BD17" i="8"/>
  <c r="BC17" i="8" a="1"/>
  <c r="BC17" i="8" s="1"/>
  <c r="BB17" i="8" a="1"/>
  <c r="BB17" i="8" s="1"/>
  <c r="BA17" i="8" a="1"/>
  <c r="BA17" i="8" s="1"/>
  <c r="AZ17" i="8" a="1"/>
  <c r="AZ17" i="8" s="1"/>
  <c r="AY17" i="8" a="1"/>
  <c r="AY17" i="8" s="1"/>
  <c r="AX17" i="8" a="1"/>
  <c r="AX17" i="8" s="1"/>
  <c r="AW17" i="8" a="1"/>
  <c r="AW17" i="8"/>
  <c r="AV17" i="8" a="1"/>
  <c r="AV17" i="8"/>
  <c r="AU17" i="8" a="1"/>
  <c r="AU17" i="8"/>
  <c r="AT17" i="8" a="1"/>
  <c r="AT17" i="8" s="1"/>
  <c r="AS17" i="8" a="1"/>
  <c r="AS17" i="8" s="1"/>
  <c r="AR17" i="8" a="1"/>
  <c r="AR17" i="8" s="1"/>
  <c r="AQ17" i="8" a="1"/>
  <c r="AQ17" i="8"/>
  <c r="AP17" i="8" a="1"/>
  <c r="AP17" i="8" s="1"/>
  <c r="AO17" i="8" a="1"/>
  <c r="AO17" i="8" s="1"/>
  <c r="AN17" i="8" a="1"/>
  <c r="AN17" i="8" s="1"/>
  <c r="AM17" i="8" a="1"/>
  <c r="AM17" i="8" s="1"/>
  <c r="AL17" i="8" a="1"/>
  <c r="AL17" i="8"/>
  <c r="AK17" i="8" a="1"/>
  <c r="AK17" i="8" s="1"/>
  <c r="AJ17" i="8" a="1"/>
  <c r="AJ17" i="8" s="1"/>
  <c r="AI17" i="8" a="1"/>
  <c r="AI17" i="8" s="1"/>
  <c r="AH17" i="8" a="1"/>
  <c r="AH17" i="8"/>
  <c r="AG17" i="8" a="1"/>
  <c r="AG17" i="8" s="1"/>
  <c r="AF17" i="8" a="1"/>
  <c r="AF17" i="8" s="1"/>
  <c r="AE17" i="8" a="1"/>
  <c r="AE17" i="8" s="1"/>
  <c r="AD17" i="8" a="1"/>
  <c r="AD17" i="8"/>
  <c r="AC17" i="8" a="1"/>
  <c r="AC17" i="8" s="1"/>
  <c r="AB17" i="8" a="1"/>
  <c r="AB17" i="8" s="1"/>
  <c r="AA17" i="8" a="1"/>
  <c r="AA17" i="8"/>
  <c r="Z17" i="8" a="1"/>
  <c r="Z17" i="8" s="1"/>
  <c r="Y17" i="8" a="1"/>
  <c r="Y17" i="8" s="1"/>
  <c r="X17" i="8" a="1"/>
  <c r="X17" i="8" s="1"/>
  <c r="W17" i="8" a="1"/>
  <c r="W17" i="8"/>
  <c r="V17" i="8" a="1"/>
  <c r="V17" i="8" s="1"/>
  <c r="U17" i="8" a="1"/>
  <c r="U17" i="8"/>
  <c r="T17" i="8" a="1"/>
  <c r="T17" i="8" s="1"/>
  <c r="S17" i="8" a="1"/>
  <c r="S17" i="8" s="1"/>
  <c r="R17" i="8" a="1"/>
  <c r="R17" i="8" s="1"/>
  <c r="Q17" i="8" a="1"/>
  <c r="Q17" i="8" s="1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/>
  <c r="J17" i="8" a="1"/>
  <c r="J17" i="8" s="1"/>
  <c r="I17" i="8" a="1"/>
  <c r="I17" i="8" s="1"/>
  <c r="H17" i="8" a="1"/>
  <c r="H17" i="8"/>
  <c r="G17" i="8" a="1"/>
  <c r="G17" i="8" s="1"/>
  <c r="F17" i="8" a="1"/>
  <c r="F17" i="8" s="1"/>
  <c r="E17" i="8" a="1"/>
  <c r="E17" i="8" s="1"/>
  <c r="D17" i="8" a="1"/>
  <c r="D17" i="8" s="1"/>
  <c r="C17" i="8" a="1"/>
  <c r="C17" i="8"/>
  <c r="EF16" i="8" a="1"/>
  <c r="EF16" i="8" s="1"/>
  <c r="EE16" i="8" a="1"/>
  <c r="EE16" i="8" s="1"/>
  <c r="ED16" i="8" a="1"/>
  <c r="ED16" i="8" s="1"/>
  <c r="EC16" i="8" a="1"/>
  <c r="EC16" i="8" s="1"/>
  <c r="EB16" i="8" a="1"/>
  <c r="EB16" i="8" s="1"/>
  <c r="EA16" i="8" a="1"/>
  <c r="EA16" i="8" s="1"/>
  <c r="DZ16" i="8" a="1"/>
  <c r="DZ16" i="8" s="1"/>
  <c r="DY16" i="8" a="1"/>
  <c r="DY16" i="8" s="1"/>
  <c r="DX16" i="8" a="1"/>
  <c r="DX16" i="8"/>
  <c r="DW16" i="8" a="1"/>
  <c r="DW16" i="8" s="1"/>
  <c r="DV16" i="8" a="1"/>
  <c r="DV16" i="8"/>
  <c r="DU16" i="8" a="1"/>
  <c r="DU16" i="8" s="1"/>
  <c r="DT16" i="8" a="1"/>
  <c r="DT16" i="8"/>
  <c r="DS16" i="8" a="1"/>
  <c r="DS16" i="8"/>
  <c r="DR16" i="8" a="1"/>
  <c r="DR16" i="8"/>
  <c r="DQ16" i="8" a="1"/>
  <c r="DQ16" i="8" s="1"/>
  <c r="DP16" i="8" a="1"/>
  <c r="DP16" i="8" s="1"/>
  <c r="DO16" i="8" a="1"/>
  <c r="DO16" i="8" s="1"/>
  <c r="DN16" i="8" a="1"/>
  <c r="DN16" i="8" s="1"/>
  <c r="DM16" i="8" a="1"/>
  <c r="DM16" i="8" s="1"/>
  <c r="DL16" i="8" a="1"/>
  <c r="DL16" i="8" s="1"/>
  <c r="DK16" i="8" a="1"/>
  <c r="DK16" i="8" s="1"/>
  <c r="DJ16" i="8" a="1"/>
  <c r="DJ16" i="8" s="1"/>
  <c r="DI16" i="8" a="1"/>
  <c r="DI16" i="8" s="1"/>
  <c r="DH16" i="8" a="1"/>
  <c r="DH16" i="8"/>
  <c r="DG16" i="8" a="1"/>
  <c r="DG16" i="8" s="1"/>
  <c r="DF16" i="8" a="1"/>
  <c r="DF16" i="8" s="1"/>
  <c r="DE16" i="8" a="1"/>
  <c r="DE16" i="8" s="1"/>
  <c r="DD16" i="8" a="1"/>
  <c r="DD16" i="8" s="1"/>
  <c r="DC16" i="8" a="1"/>
  <c r="DC16" i="8" s="1"/>
  <c r="DB16" i="8" a="1"/>
  <c r="DB16" i="8"/>
  <c r="DA16" i="8" a="1"/>
  <c r="DA16" i="8" s="1"/>
  <c r="CZ16" i="8" a="1"/>
  <c r="CZ16" i="8"/>
  <c r="CY16" i="8" a="1"/>
  <c r="CY16" i="8" s="1"/>
  <c r="CX16" i="8" a="1"/>
  <c r="CX16" i="8"/>
  <c r="CW16" i="8" a="1"/>
  <c r="CW16" i="8" s="1"/>
  <c r="CV16" i="8" a="1"/>
  <c r="CV16" i="8"/>
  <c r="CU16" i="8" a="1"/>
  <c r="CU16" i="8" s="1"/>
  <c r="CT16" i="8" a="1"/>
  <c r="CT16" i="8" s="1"/>
  <c r="CS16" i="8" a="1"/>
  <c r="CS16" i="8" s="1"/>
  <c r="CR16" i="8" a="1"/>
  <c r="CR16" i="8" s="1"/>
  <c r="CQ16" i="8" a="1"/>
  <c r="CQ16" i="8" s="1"/>
  <c r="CP16" i="8" a="1"/>
  <c r="CP16" i="8" s="1"/>
  <c r="CO16" i="8" a="1"/>
  <c r="CO16" i="8" s="1"/>
  <c r="CN16" i="8" a="1"/>
  <c r="CN16" i="8" s="1"/>
  <c r="CM16" i="8" a="1"/>
  <c r="CM16" i="8"/>
  <c r="CL16" i="8" a="1"/>
  <c r="CL16" i="8" s="1"/>
  <c r="CK16" i="8" a="1"/>
  <c r="CK16" i="8" s="1"/>
  <c r="CJ16" i="8" a="1"/>
  <c r="CJ16" i="8" s="1"/>
  <c r="CI16" i="8" a="1"/>
  <c r="CI16" i="8" s="1"/>
  <c r="CH16" i="8" a="1"/>
  <c r="CH16" i="8" s="1"/>
  <c r="CG16" i="8" a="1"/>
  <c r="CG16" i="8" s="1"/>
  <c r="CF16" i="8" a="1"/>
  <c r="CF16" i="8" s="1"/>
  <c r="CE16" i="8" a="1"/>
  <c r="CE16" i="8" s="1"/>
  <c r="CD16" i="8" a="1"/>
  <c r="CD16" i="8" s="1"/>
  <c r="CC16" i="8" a="1"/>
  <c r="CC16" i="8" s="1"/>
  <c r="CB16" i="8" a="1"/>
  <c r="CB16" i="8" s="1"/>
  <c r="CA16" i="8" a="1"/>
  <c r="CA16" i="8"/>
  <c r="BZ16" i="8" a="1"/>
  <c r="BZ16" i="8" s="1"/>
  <c r="BY16" i="8" a="1"/>
  <c r="BY16" i="8" s="1"/>
  <c r="BX16" i="8" a="1"/>
  <c r="BX16" i="8"/>
  <c r="BW16" i="8" a="1"/>
  <c r="BW16" i="8" s="1"/>
  <c r="BV16" i="8" a="1"/>
  <c r="BV16" i="8" s="1"/>
  <c r="BU16" i="8" a="1"/>
  <c r="BU16" i="8" s="1"/>
  <c r="BT16" i="8" a="1"/>
  <c r="BT16" i="8" s="1"/>
  <c r="BS16" i="8" a="1"/>
  <c r="BS16" i="8" s="1"/>
  <c r="BR16" i="8" a="1"/>
  <c r="BR16" i="8" s="1"/>
  <c r="BQ16" i="8" a="1"/>
  <c r="BQ16" i="8"/>
  <c r="BP16" i="8" a="1"/>
  <c r="BP16" i="8"/>
  <c r="BO16" i="8" a="1"/>
  <c r="BO16" i="8" s="1"/>
  <c r="BN16" i="8" a="1"/>
  <c r="BN16" i="8" s="1"/>
  <c r="BM16" i="8" a="1"/>
  <c r="BM16" i="8" s="1"/>
  <c r="BL16" i="8" a="1"/>
  <c r="BL16" i="8" s="1"/>
  <c r="BK16" i="8" a="1"/>
  <c r="BK16" i="8" s="1"/>
  <c r="BJ16" i="8" a="1"/>
  <c r="BJ16" i="8" s="1"/>
  <c r="BI16" i="8" a="1"/>
  <c r="BI16" i="8"/>
  <c r="BH16" i="8" a="1"/>
  <c r="BH16" i="8" s="1"/>
  <c r="BG16" i="8" a="1"/>
  <c r="BG16" i="8" s="1"/>
  <c r="BF16" i="8" a="1"/>
  <c r="BF16" i="8" s="1"/>
  <c r="BE16" i="8" a="1"/>
  <c r="BE16" i="8" s="1"/>
  <c r="BD16" i="8" a="1"/>
  <c r="BD16" i="8" s="1"/>
  <c r="BC16" i="8" a="1"/>
  <c r="BC16" i="8" s="1"/>
  <c r="BB16" i="8" a="1"/>
  <c r="BB16" i="8" s="1"/>
  <c r="BA16" i="8" a="1"/>
  <c r="BA16" i="8" s="1"/>
  <c r="AZ16" i="8" a="1"/>
  <c r="AZ16" i="8" s="1"/>
  <c r="AY16" i="8" a="1"/>
  <c r="AY16" i="8"/>
  <c r="AX16" i="8" a="1"/>
  <c r="AX16" i="8" s="1"/>
  <c r="AW16" i="8" a="1"/>
  <c r="AW16" i="8"/>
  <c r="AV16" i="8" a="1"/>
  <c r="AV16" i="8" s="1"/>
  <c r="AU16" i="8" a="1"/>
  <c r="AU16" i="8" s="1"/>
  <c r="AT16" i="8" a="1"/>
  <c r="AT16" i="8"/>
  <c r="AS16" i="8" a="1"/>
  <c r="AS16" i="8" s="1"/>
  <c r="AR16" i="8" a="1"/>
  <c r="AR16" i="8" s="1"/>
  <c r="AQ16" i="8" a="1"/>
  <c r="AQ16" i="8" s="1"/>
  <c r="AP16" i="8" a="1"/>
  <c r="AP16" i="8" s="1"/>
  <c r="AO16" i="8" a="1"/>
  <c r="AO16" i="8" s="1"/>
  <c r="AN16" i="8" a="1"/>
  <c r="AN16" i="8" s="1"/>
  <c r="AM16" i="8" a="1"/>
  <c r="AM16" i="8" s="1"/>
  <c r="AL16" i="8" a="1"/>
  <c r="AL16" i="8" s="1"/>
  <c r="AK16" i="8" a="1"/>
  <c r="AK16" i="8" s="1"/>
  <c r="AJ16" i="8" a="1"/>
  <c r="AJ16" i="8" s="1"/>
  <c r="AI16" i="8" a="1"/>
  <c r="AI16" i="8"/>
  <c r="AH16" i="8" a="1"/>
  <c r="AH16" i="8" s="1"/>
  <c r="AG16" i="8" a="1"/>
  <c r="AG16" i="8" s="1"/>
  <c r="AF16" i="8" a="1"/>
  <c r="AF16" i="8" s="1"/>
  <c r="AE16" i="8" a="1"/>
  <c r="AE16" i="8" s="1"/>
  <c r="AD16" i="8" a="1"/>
  <c r="AD16" i="8" s="1"/>
  <c r="AC16" i="8" a="1"/>
  <c r="AC16" i="8" s="1"/>
  <c r="AB16" i="8" a="1"/>
  <c r="AB16" i="8" s="1"/>
  <c r="AA16" i="8" a="1"/>
  <c r="AA16" i="8"/>
  <c r="Z16" i="8" a="1"/>
  <c r="Z16" i="8" s="1"/>
  <c r="Y16" i="8" a="1"/>
  <c r="Y16" i="8"/>
  <c r="X16" i="8" a="1"/>
  <c r="X16" i="8"/>
  <c r="W16" i="8" a="1"/>
  <c r="W16" i="8" s="1"/>
  <c r="V16" i="8" a="1"/>
  <c r="V16" i="8" s="1"/>
  <c r="U16" i="8" a="1"/>
  <c r="U16" i="8" s="1"/>
  <c r="T16" i="8" a="1"/>
  <c r="T16" i="8" s="1"/>
  <c r="S16" i="8" a="1"/>
  <c r="S16" i="8" s="1"/>
  <c r="R16" i="8" a="1"/>
  <c r="R16" i="8" s="1"/>
  <c r="Q16" i="8" a="1"/>
  <c r="Q16" i="8"/>
  <c r="P16" i="8" a="1"/>
  <c r="P16" i="8"/>
  <c r="O16" i="8" a="1"/>
  <c r="O16" i="8" s="1"/>
  <c r="N16" i="8" a="1"/>
  <c r="N16" i="8" s="1"/>
  <c r="M16" i="8" a="1"/>
  <c r="M16" i="8"/>
  <c r="L16" i="8" a="1"/>
  <c r="L16" i="8" s="1"/>
  <c r="K16" i="8" a="1"/>
  <c r="K16" i="8" s="1"/>
  <c r="J16" i="8" a="1"/>
  <c r="J16" i="8" s="1"/>
  <c r="I16" i="8" a="1"/>
  <c r="I16" i="8" s="1"/>
  <c r="H16" i="8" a="1"/>
  <c r="H16" i="8" s="1"/>
  <c r="G16" i="8" a="1"/>
  <c r="G16" i="8" s="1"/>
  <c r="F16" i="8" a="1"/>
  <c r="F16" i="8" s="1"/>
  <c r="E16" i="8" a="1"/>
  <c r="E16" i="8" s="1"/>
  <c r="D16" i="8" a="1"/>
  <c r="D16" i="8" s="1"/>
  <c r="C16" i="8" a="1"/>
  <c r="C16" i="8" s="1"/>
  <c r="EF15" i="8" a="1"/>
  <c r="EF15" i="8"/>
  <c r="EE15" i="8" a="1"/>
  <c r="EE15" i="8" s="1"/>
  <c r="ED15" i="8" a="1"/>
  <c r="ED15" i="8" s="1"/>
  <c r="EC15" i="8" a="1"/>
  <c r="EC15" i="8" s="1"/>
  <c r="EB15" i="8" a="1"/>
  <c r="EB15" i="8" s="1"/>
  <c r="EA15" i="8" a="1"/>
  <c r="EA15" i="8" s="1"/>
  <c r="DZ15" i="8" a="1"/>
  <c r="DZ15" i="8" s="1"/>
  <c r="DY15" i="8" a="1"/>
  <c r="DY15" i="8" s="1"/>
  <c r="DX15" i="8" a="1"/>
  <c r="DX15" i="8"/>
  <c r="DW15" i="8" a="1"/>
  <c r="DW15" i="8" s="1"/>
  <c r="DV15" i="8" a="1"/>
  <c r="DV15" i="8"/>
  <c r="DU15" i="8" a="1"/>
  <c r="DU15" i="8" s="1"/>
  <c r="DT15" i="8" a="1"/>
  <c r="DT15" i="8" s="1"/>
  <c r="DS15" i="8" a="1"/>
  <c r="DS15" i="8" s="1"/>
  <c r="DR15" i="8" a="1"/>
  <c r="DR15" i="8" s="1"/>
  <c r="DQ15" i="8" a="1"/>
  <c r="DQ15" i="8" s="1"/>
  <c r="DP15" i="8" a="1"/>
  <c r="DP15" i="8" s="1"/>
  <c r="DO15" i="8" a="1"/>
  <c r="DO15" i="8"/>
  <c r="DN15" i="8" a="1"/>
  <c r="DN15" i="8"/>
  <c r="DM15" i="8" a="1"/>
  <c r="DM15" i="8" s="1"/>
  <c r="DL15" i="8" a="1"/>
  <c r="DL15" i="8" s="1"/>
  <c r="DK15" i="8" a="1"/>
  <c r="DK15" i="8"/>
  <c r="DJ15" i="8" a="1"/>
  <c r="DJ15" i="8"/>
  <c r="DI15" i="8" a="1"/>
  <c r="DI15" i="8" s="1"/>
  <c r="DH15" i="8" a="1"/>
  <c r="DH15" i="8" s="1"/>
  <c r="DG15" i="8" a="1"/>
  <c r="DG15" i="8" s="1"/>
  <c r="DF15" i="8" a="1"/>
  <c r="DF15" i="8" s="1"/>
  <c r="DE15" i="8" a="1"/>
  <c r="DE15" i="8" s="1"/>
  <c r="DD15" i="8" a="1"/>
  <c r="DD15" i="8" s="1"/>
  <c r="DC15" i="8" a="1"/>
  <c r="DC15" i="8" s="1"/>
  <c r="DB15" i="8" a="1"/>
  <c r="DB15" i="8"/>
  <c r="DA15" i="8" a="1"/>
  <c r="DA15" i="8" s="1"/>
  <c r="CZ15" i="8" a="1"/>
  <c r="CZ15" i="8" s="1"/>
  <c r="CY15" i="8" a="1"/>
  <c r="CY15" i="8" s="1"/>
  <c r="CX15" i="8" a="1"/>
  <c r="CX15" i="8" s="1"/>
  <c r="CW15" i="8" a="1"/>
  <c r="CW15" i="8" s="1"/>
  <c r="CV15" i="8" a="1"/>
  <c r="CV15" i="8" s="1"/>
  <c r="CU15" i="8" a="1"/>
  <c r="CU15" i="8" s="1"/>
  <c r="CT15" i="8" a="1"/>
  <c r="CT15" i="8" s="1"/>
  <c r="CS15" i="8" a="1"/>
  <c r="CS15" i="8"/>
  <c r="CR15" i="8" a="1"/>
  <c r="CR15" i="8" s="1"/>
  <c r="CQ15" i="8" a="1"/>
  <c r="CQ15" i="8" s="1"/>
  <c r="CP15" i="8" a="1"/>
  <c r="CP15" i="8" s="1"/>
  <c r="CO15" i="8" a="1"/>
  <c r="CO15" i="8"/>
  <c r="CN15" i="8" a="1"/>
  <c r="CN15" i="8" s="1"/>
  <c r="CM15" i="8" a="1"/>
  <c r="CM15" i="8"/>
  <c r="CL15" i="8" a="1"/>
  <c r="CL15" i="8" s="1"/>
  <c r="CK15" i="8" a="1"/>
  <c r="CK15" i="8"/>
  <c r="CJ15" i="8" a="1"/>
  <c r="CJ15" i="8" s="1"/>
  <c r="CI15" i="8" a="1"/>
  <c r="CI15" i="8" s="1"/>
  <c r="CH15" i="8" a="1"/>
  <c r="CH15" i="8" s="1"/>
  <c r="CG15" i="8" a="1"/>
  <c r="CG15" i="8" s="1"/>
  <c r="CF15" i="8" a="1"/>
  <c r="CF15" i="8" s="1"/>
  <c r="CE15" i="8" a="1"/>
  <c r="CE15" i="8" s="1"/>
  <c r="CD15" i="8" a="1"/>
  <c r="CD15" i="8"/>
  <c r="CC15" i="8" a="1"/>
  <c r="CC15" i="8"/>
  <c r="CB15" i="8" a="1"/>
  <c r="CB15" i="8" s="1"/>
  <c r="CA15" i="8" a="1"/>
  <c r="CA15" i="8" s="1"/>
  <c r="BZ15" i="8" a="1"/>
  <c r="BZ15" i="8" s="1"/>
  <c r="BY15" i="8" a="1"/>
  <c r="BY15" i="8" s="1"/>
  <c r="BX15" i="8" a="1"/>
  <c r="BX15" i="8" s="1"/>
  <c r="BW15" i="8" a="1"/>
  <c r="BW15" i="8" s="1"/>
  <c r="BV15" i="8" a="1"/>
  <c r="BV15" i="8"/>
  <c r="BU15" i="8" a="1"/>
  <c r="BU15" i="8"/>
  <c r="BT15" i="8" a="1"/>
  <c r="BT15" i="8" s="1"/>
  <c r="BS15" i="8" a="1"/>
  <c r="BS15" i="8" s="1"/>
  <c r="BR15" i="8" a="1"/>
  <c r="BR15" i="8" s="1"/>
  <c r="BQ15" i="8" a="1"/>
  <c r="BQ15" i="8" s="1"/>
  <c r="BP15" i="8" a="1"/>
  <c r="BP15" i="8" s="1"/>
  <c r="BO15" i="8" a="1"/>
  <c r="BO15" i="8" s="1"/>
  <c r="BN15" i="8" a="1"/>
  <c r="BN15" i="8" s="1"/>
  <c r="BM15" i="8" a="1"/>
  <c r="BM15" i="8" s="1"/>
  <c r="BL15" i="8" a="1"/>
  <c r="BL15" i="8" s="1"/>
  <c r="BK15" i="8" a="1"/>
  <c r="BK15" i="8" s="1"/>
  <c r="BJ15" i="8" a="1"/>
  <c r="BJ15" i="8"/>
  <c r="BI15" i="8" a="1"/>
  <c r="BI15" i="8" s="1"/>
  <c r="BH15" i="8" a="1"/>
  <c r="BH15" i="8" s="1"/>
  <c r="BG15" i="8" a="1"/>
  <c r="BG15" i="8"/>
  <c r="BF15" i="8" a="1"/>
  <c r="BF15" i="8" s="1"/>
  <c r="BE15" i="8" a="1"/>
  <c r="BE15" i="8" s="1"/>
  <c r="BD15" i="8" a="1"/>
  <c r="BD15" i="8" s="1"/>
  <c r="BC15" i="8" a="1"/>
  <c r="BC15" i="8" s="1"/>
  <c r="BB15" i="8" a="1"/>
  <c r="BB15" i="8" s="1"/>
  <c r="BA15" i="8" a="1"/>
  <c r="BA15" i="8" s="1"/>
  <c r="AZ15" i="8" a="1"/>
  <c r="AZ15" i="8" s="1"/>
  <c r="AY15" i="8" a="1"/>
  <c r="AY15" i="8"/>
  <c r="AX15" i="8" a="1"/>
  <c r="AX15" i="8" s="1"/>
  <c r="AW15" i="8" a="1"/>
  <c r="AW15" i="8" s="1"/>
  <c r="AV15" i="8" a="1"/>
  <c r="AV15" i="8" s="1"/>
  <c r="AU15" i="8" a="1"/>
  <c r="AU15" i="8" s="1"/>
  <c r="AT15" i="8" a="1"/>
  <c r="AT15" i="8" s="1"/>
  <c r="AS15" i="8" a="1"/>
  <c r="AS15" i="8" s="1"/>
  <c r="AR15" i="8" a="1"/>
  <c r="AR15" i="8" s="1"/>
  <c r="AQ15" i="8" a="1"/>
  <c r="AQ15" i="8" s="1"/>
  <c r="AP15" i="8" a="1"/>
  <c r="AP15" i="8"/>
  <c r="AO15" i="8" a="1"/>
  <c r="AO15" i="8" s="1"/>
  <c r="AN15" i="8" a="1"/>
  <c r="AN15" i="8" s="1"/>
  <c r="AM15" i="8" a="1"/>
  <c r="AM15" i="8" s="1"/>
  <c r="AL15" i="8" a="1"/>
  <c r="AL15" i="8"/>
  <c r="AK15" i="8" a="1"/>
  <c r="AK15" i="8" s="1"/>
  <c r="AJ15" i="8" a="1"/>
  <c r="AJ15" i="8" s="1"/>
  <c r="AI15" i="8" a="1"/>
  <c r="AI15" i="8" s="1"/>
  <c r="AH15" i="8" a="1"/>
  <c r="AH15" i="8" s="1"/>
  <c r="AG15" i="8" a="1"/>
  <c r="AG15" i="8" s="1"/>
  <c r="AF15" i="8" a="1"/>
  <c r="AF15" i="8" s="1"/>
  <c r="AE15" i="8" a="1"/>
  <c r="AE15" i="8" s="1"/>
  <c r="AD15" i="8" a="1"/>
  <c r="AD15" i="8"/>
  <c r="AC15" i="8" a="1"/>
  <c r="AC15" i="8" s="1"/>
  <c r="AB15" i="8" a="1"/>
  <c r="AB15" i="8" s="1"/>
  <c r="AA15" i="8" a="1"/>
  <c r="AA15" i="8"/>
  <c r="Z15" i="8" a="1"/>
  <c r="Z15" i="8" s="1"/>
  <c r="Y15" i="8" a="1"/>
  <c r="Y15" i="8" s="1"/>
  <c r="X15" i="8" a="1"/>
  <c r="X15" i="8" s="1"/>
  <c r="W15" i="8" a="1"/>
  <c r="W15" i="8" s="1"/>
  <c r="V15" i="8" a="1"/>
  <c r="V15" i="8" s="1"/>
  <c r="U15" i="8" a="1"/>
  <c r="U15" i="8" s="1"/>
  <c r="T15" i="8" a="1"/>
  <c r="T15" i="8"/>
  <c r="S15" i="8" a="1"/>
  <c r="S15" i="8" s="1"/>
  <c r="R15" i="8" a="1"/>
  <c r="R15" i="8" s="1"/>
  <c r="Q15" i="8" a="1"/>
  <c r="Q15" i="8" s="1"/>
  <c r="P15" i="8" a="1"/>
  <c r="P15" i="8" s="1"/>
  <c r="O15" i="8" a="1"/>
  <c r="O15" i="8"/>
  <c r="N15" i="8" a="1"/>
  <c r="N15" i="8" s="1"/>
  <c r="M15" i="8" a="1"/>
  <c r="M15" i="8" s="1"/>
  <c r="L15" i="8" a="1"/>
  <c r="L15" i="8"/>
  <c r="K15" i="8" a="1"/>
  <c r="K15" i="8" s="1"/>
  <c r="J15" i="8" a="1"/>
  <c r="J15" i="8" s="1"/>
  <c r="I15" i="8" a="1"/>
  <c r="I15" i="8" s="1"/>
  <c r="H15" i="8" a="1"/>
  <c r="H15" i="8"/>
  <c r="G15" i="8" a="1"/>
  <c r="G15" i="8"/>
  <c r="F15" i="8" a="1"/>
  <c r="F15" i="8" s="1"/>
  <c r="E15" i="8" a="1"/>
  <c r="E15" i="8"/>
  <c r="D15" i="8" a="1"/>
  <c r="D15" i="8"/>
  <c r="C15" i="8" a="1"/>
  <c r="C15" i="8" s="1"/>
  <c r="EF14" i="8" a="1"/>
  <c r="EF14" i="8" s="1"/>
  <c r="EE14" i="8" a="1"/>
  <c r="EE14" i="8"/>
  <c r="ED14" i="8" a="1"/>
  <c r="ED14" i="8" s="1"/>
  <c r="EC14" i="8" a="1"/>
  <c r="EC14" i="8" s="1"/>
  <c r="EB14" i="8" a="1"/>
  <c r="EB14" i="8" s="1"/>
  <c r="EA14" i="8" a="1"/>
  <c r="EA14" i="8"/>
  <c r="DZ14" i="8" a="1"/>
  <c r="DZ14" i="8"/>
  <c r="DY14" i="8" a="1"/>
  <c r="DY14" i="8" s="1"/>
  <c r="DX14" i="8" a="1"/>
  <c r="DX14" i="8" s="1"/>
  <c r="DW14" i="8" a="1"/>
  <c r="DW14" i="8"/>
  <c r="DV14" i="8" a="1"/>
  <c r="DV14" i="8" s="1"/>
  <c r="DU14" i="8" a="1"/>
  <c r="DU14" i="8" s="1"/>
  <c r="DT14" i="8" a="1"/>
  <c r="DT14" i="8" s="1"/>
  <c r="DS14" i="8" a="1"/>
  <c r="DS14" i="8" s="1"/>
  <c r="DR14" i="8" a="1"/>
  <c r="DR14" i="8" s="1"/>
  <c r="DQ14" i="8" a="1"/>
  <c r="DQ14" i="8" s="1"/>
  <c r="DP14" i="8" a="1"/>
  <c r="DP14" i="8" s="1"/>
  <c r="DO14" i="8" a="1"/>
  <c r="DO14" i="8" s="1"/>
  <c r="DN14" i="8" a="1"/>
  <c r="DN14" i="8" s="1"/>
  <c r="DM14" i="8" a="1"/>
  <c r="DM14" i="8" s="1"/>
  <c r="DL14" i="8" a="1"/>
  <c r="DL14" i="8"/>
  <c r="DK14" i="8" a="1"/>
  <c r="DK14" i="8"/>
  <c r="DJ14" i="8" a="1"/>
  <c r="DJ14" i="8" s="1"/>
  <c r="DI14" i="8" a="1"/>
  <c r="DI14" i="8" s="1"/>
  <c r="DH14" i="8" a="1"/>
  <c r="DH14" i="8" s="1"/>
  <c r="DG14" i="8" a="1"/>
  <c r="DG14" i="8" s="1"/>
  <c r="DF14" i="8" a="1"/>
  <c r="DF14" i="8" s="1"/>
  <c r="DE14" i="8" a="1"/>
  <c r="DE14" i="8" s="1"/>
  <c r="DD14" i="8" a="1"/>
  <c r="DD14" i="8" s="1"/>
  <c r="DC14" i="8" a="1"/>
  <c r="DC14" i="8" s="1"/>
  <c r="DB14" i="8" a="1"/>
  <c r="DB14" i="8"/>
  <c r="DA14" i="8" a="1"/>
  <c r="DA14" i="8" s="1"/>
  <c r="CZ14" i="8" a="1"/>
  <c r="CZ14" i="8" s="1"/>
  <c r="CY14" i="8" a="1"/>
  <c r="CY14" i="8" s="1"/>
  <c r="CX14" i="8" a="1"/>
  <c r="CX14" i="8" s="1"/>
  <c r="CW14" i="8" a="1"/>
  <c r="CW14" i="8" s="1"/>
  <c r="CV14" i="8" a="1"/>
  <c r="CV14" i="8" s="1"/>
  <c r="CU14" i="8" a="1"/>
  <c r="CU14" i="8" s="1"/>
  <c r="CT14" i="8" a="1"/>
  <c r="CT14" i="8"/>
  <c r="CS14" i="8" a="1"/>
  <c r="CS14" i="8" s="1"/>
  <c r="CR14" i="8" a="1"/>
  <c r="CR14" i="8" s="1"/>
  <c r="CQ14" i="8" a="1"/>
  <c r="CQ14" i="8"/>
  <c r="CP14" i="8" a="1"/>
  <c r="CP14" i="8" s="1"/>
  <c r="CO14" i="8" a="1"/>
  <c r="CO14" i="8" s="1"/>
  <c r="CN14" i="8" a="1"/>
  <c r="CN14" i="8" s="1"/>
  <c r="CM14" i="8" a="1"/>
  <c r="CM14" i="8"/>
  <c r="CL14" i="8" a="1"/>
  <c r="CL14" i="8" s="1"/>
  <c r="CK14" i="8" a="1"/>
  <c r="CK14" i="8" s="1"/>
  <c r="CJ14" i="8" a="1"/>
  <c r="CJ14" i="8" s="1"/>
  <c r="CI14" i="8" a="1"/>
  <c r="CI14" i="8" s="1"/>
  <c r="CH14" i="8" a="1"/>
  <c r="CH14" i="8"/>
  <c r="CG14" i="8" a="1"/>
  <c r="CG14" i="8" s="1"/>
  <c r="CF14" i="8" a="1"/>
  <c r="CF14" i="8"/>
  <c r="CE14" i="8" a="1"/>
  <c r="CE14" i="8"/>
  <c r="CD14" i="8" a="1"/>
  <c r="CD14" i="8"/>
  <c r="CC14" i="8" a="1"/>
  <c r="CC14" i="8" s="1"/>
  <c r="CB14" i="8" a="1"/>
  <c r="CB14" i="8"/>
  <c r="CA14" i="8" a="1"/>
  <c r="CA14" i="8" s="1"/>
  <c r="BZ14" i="8" a="1"/>
  <c r="BZ14" i="8" s="1"/>
  <c r="BY14" i="8" a="1"/>
  <c r="BY14" i="8" s="1"/>
  <c r="BX14" i="8" a="1"/>
  <c r="BX14" i="8" s="1"/>
  <c r="BW14" i="8" a="1"/>
  <c r="BW14" i="8"/>
  <c r="BV14" i="8" a="1"/>
  <c r="BV14" i="8"/>
  <c r="BU14" i="8" a="1"/>
  <c r="BU14" i="8"/>
  <c r="BT14" i="8" a="1"/>
  <c r="BT14" i="8"/>
  <c r="BS14" i="8" a="1"/>
  <c r="BS14" i="8"/>
  <c r="BR14" i="8" a="1"/>
  <c r="BR14" i="8"/>
  <c r="BQ14" i="8" a="1"/>
  <c r="BQ14" i="8" s="1"/>
  <c r="BP14" i="8" a="1"/>
  <c r="BP14" i="8" s="1"/>
  <c r="BO14" i="8" a="1"/>
  <c r="BO14" i="8" s="1"/>
  <c r="BN14" i="8" a="1"/>
  <c r="BN14" i="8" s="1"/>
  <c r="BM14" i="8" a="1"/>
  <c r="BM14" i="8"/>
  <c r="BL14" i="8" a="1"/>
  <c r="BL14" i="8" s="1"/>
  <c r="BK14" i="8" a="1"/>
  <c r="BK14" i="8" s="1"/>
  <c r="BJ14" i="8" a="1"/>
  <c r="BJ14" i="8"/>
  <c r="BI14" i="8" a="1"/>
  <c r="BI14" i="8"/>
  <c r="BH14" i="8" a="1"/>
  <c r="BH14" i="8" s="1"/>
  <c r="BG14" i="8" a="1"/>
  <c r="BG14" i="8" s="1"/>
  <c r="BF14" i="8" a="1"/>
  <c r="BF14" i="8"/>
  <c r="BE14" i="8" a="1"/>
  <c r="BE14" i="8"/>
  <c r="BD14" i="8" a="1"/>
  <c r="BD14" i="8" s="1"/>
  <c r="BC14" i="8" a="1"/>
  <c r="BC14" i="8"/>
  <c r="BB14" i="8" a="1"/>
  <c r="BB14" i="8" s="1"/>
  <c r="BA14" i="8" a="1"/>
  <c r="BA14" i="8" s="1"/>
  <c r="AZ14" i="8" a="1"/>
  <c r="AZ14" i="8" s="1"/>
  <c r="AY14" i="8" a="1"/>
  <c r="AY14" i="8"/>
  <c r="AX14" i="8" a="1"/>
  <c r="AX14" i="8" s="1"/>
  <c r="AW14" i="8" a="1"/>
  <c r="AW14" i="8" s="1"/>
  <c r="AV14" i="8" a="1"/>
  <c r="AV14" i="8" s="1"/>
  <c r="AU14" i="8" a="1"/>
  <c r="AU14" i="8"/>
  <c r="AT14" i="8" a="1"/>
  <c r="AT14" i="8" s="1"/>
  <c r="AS14" i="8" a="1"/>
  <c r="AS14" i="8" s="1"/>
  <c r="AR14" i="8" a="1"/>
  <c r="AR14" i="8" s="1"/>
  <c r="AQ14" i="8" a="1"/>
  <c r="AQ14" i="8" s="1"/>
  <c r="AP14" i="8" a="1"/>
  <c r="AP14" i="8" s="1"/>
  <c r="AO14" i="8" a="1"/>
  <c r="AO14" i="8"/>
  <c r="AN14" i="8" a="1"/>
  <c r="AN14" i="8" s="1"/>
  <c r="AM14" i="8" a="1"/>
  <c r="AM14" i="8" s="1"/>
  <c r="AL14" i="8" a="1"/>
  <c r="AL14" i="8" s="1"/>
  <c r="AK14" i="8" a="1"/>
  <c r="AK14" i="8"/>
  <c r="AJ14" i="8" a="1"/>
  <c r="AJ14" i="8" s="1"/>
  <c r="AI14" i="8" a="1"/>
  <c r="AI14" i="8" s="1"/>
  <c r="AH14" i="8" a="1"/>
  <c r="AH14" i="8" s="1"/>
  <c r="AG14" i="8" a="1"/>
  <c r="AG14" i="8"/>
  <c r="AF14" i="8" a="1"/>
  <c r="AF14" i="8" s="1"/>
  <c r="AE14" i="8" a="1"/>
  <c r="AE14" i="8" s="1"/>
  <c r="AD14" i="8" a="1"/>
  <c r="AD14" i="8" s="1"/>
  <c r="AC14" i="8" a="1"/>
  <c r="AC14" i="8" s="1"/>
  <c r="AB14" i="8" a="1"/>
  <c r="AB14" i="8" s="1"/>
  <c r="AA14" i="8" a="1"/>
  <c r="AA14" i="8" s="1"/>
  <c r="Z14" i="8" a="1"/>
  <c r="Z14" i="8" s="1"/>
  <c r="Y14" i="8" a="1"/>
  <c r="Y14" i="8"/>
  <c r="X14" i="8" a="1"/>
  <c r="X14" i="8" s="1"/>
  <c r="W14" i="8" a="1"/>
  <c r="W14" i="8" s="1"/>
  <c r="V14" i="8" a="1"/>
  <c r="V14" i="8"/>
  <c r="U14" i="8" a="1"/>
  <c r="U14" i="8" s="1"/>
  <c r="T14" i="8" a="1"/>
  <c r="T14" i="8" s="1"/>
  <c r="S14" i="8" a="1"/>
  <c r="S14" i="8"/>
  <c r="R14" i="8" a="1"/>
  <c r="R14" i="8"/>
  <c r="Q14" i="8" a="1"/>
  <c r="Q14" i="8" s="1"/>
  <c r="P14" i="8" a="1"/>
  <c r="P14" i="8" s="1"/>
  <c r="O14" i="8" a="1"/>
  <c r="O14" i="8"/>
  <c r="N14" i="8" a="1"/>
  <c r="N14" i="8" s="1"/>
  <c r="M14" i="8" a="1"/>
  <c r="M14" i="8" s="1"/>
  <c r="L14" i="8" a="1"/>
  <c r="L14" i="8" s="1"/>
  <c r="K14" i="8" a="1"/>
  <c r="K14" i="8" s="1"/>
  <c r="J14" i="8" a="1"/>
  <c r="J14" i="8" s="1"/>
  <c r="I14" i="8" a="1"/>
  <c r="I14" i="8" s="1"/>
  <c r="H14" i="8" a="1"/>
  <c r="H14" i="8" s="1"/>
  <c r="G14" i="8" a="1"/>
  <c r="G14" i="8" s="1"/>
  <c r="F14" i="8" a="1"/>
  <c r="F14" i="8" s="1"/>
  <c r="E14" i="8" a="1"/>
  <c r="E14" i="8" s="1"/>
  <c r="D14" i="8" a="1"/>
  <c r="D14" i="8" s="1"/>
  <c r="C14" i="8" a="1"/>
  <c r="C14" i="8" s="1"/>
  <c r="EF13" i="8" a="1"/>
  <c r="EF13" i="8"/>
  <c r="EE13" i="8" a="1"/>
  <c r="EE13" i="8" s="1"/>
  <c r="ED13" i="8" a="1"/>
  <c r="ED13" i="8" s="1"/>
  <c r="EC13" i="8" a="1"/>
  <c r="EC13" i="8" s="1"/>
  <c r="EB13" i="8" a="1"/>
  <c r="EB13" i="8"/>
  <c r="EA13" i="8" a="1"/>
  <c r="EA13" i="8" s="1"/>
  <c r="DZ13" i="8" a="1"/>
  <c r="DZ13" i="8" s="1"/>
  <c r="DY13" i="8" a="1"/>
  <c r="DY13" i="8" s="1"/>
  <c r="DX13" i="8" a="1"/>
  <c r="DX13" i="8"/>
  <c r="DW13" i="8" a="1"/>
  <c r="DW13" i="8" s="1"/>
  <c r="DV13" i="8" a="1"/>
  <c r="DV13" i="8" s="1"/>
  <c r="DU13" i="8" a="1"/>
  <c r="DU13" i="8"/>
  <c r="DT13" i="8" a="1"/>
  <c r="DT13" i="8" s="1"/>
  <c r="DS13" i="8" a="1"/>
  <c r="DS13" i="8" s="1"/>
  <c r="DR13" i="8" a="1"/>
  <c r="DR13" i="8"/>
  <c r="DQ13" i="8" a="1"/>
  <c r="DQ13" i="8"/>
  <c r="DP13" i="8" a="1"/>
  <c r="DP13" i="8" s="1"/>
  <c r="DO13" i="8" a="1"/>
  <c r="DO13" i="8" s="1"/>
  <c r="DN13" i="8" a="1"/>
  <c r="DN13" i="8" s="1"/>
  <c r="DM13" i="8" a="1"/>
  <c r="DM13" i="8"/>
  <c r="DL13" i="8" a="1"/>
  <c r="DL13" i="8" s="1"/>
  <c r="DK13" i="8" a="1"/>
  <c r="DK13" i="8" s="1"/>
  <c r="DJ13" i="8" a="1"/>
  <c r="DJ13" i="8"/>
  <c r="DI13" i="8" a="1"/>
  <c r="DI13" i="8" s="1"/>
  <c r="DH13" i="8" a="1"/>
  <c r="DH13" i="8" s="1"/>
  <c r="DG13" i="8" a="1"/>
  <c r="DG13" i="8"/>
  <c r="DF13" i="8" a="1"/>
  <c r="DF13" i="8" s="1"/>
  <c r="DE13" i="8" a="1"/>
  <c r="DE13" i="8" s="1"/>
  <c r="DD13" i="8" a="1"/>
  <c r="DD13" i="8" s="1"/>
  <c r="DC13" i="8" a="1"/>
  <c r="DC13" i="8" s="1"/>
  <c r="DB13" i="8" a="1"/>
  <c r="DB13" i="8"/>
  <c r="DA13" i="8" a="1"/>
  <c r="DA13" i="8" s="1"/>
  <c r="CZ13" i="8" a="1"/>
  <c r="CZ13" i="8" s="1"/>
  <c r="CY13" i="8" a="1"/>
  <c r="CY13" i="8"/>
  <c r="CX13" i="8" a="1"/>
  <c r="CX13" i="8" s="1"/>
  <c r="CW13" i="8" a="1"/>
  <c r="CW13" i="8" s="1"/>
  <c r="CV13" i="8" a="1"/>
  <c r="CV13" i="8" s="1"/>
  <c r="CU13" i="8" a="1"/>
  <c r="CU13" i="8" s="1"/>
  <c r="CT13" i="8" a="1"/>
  <c r="CT13" i="8" s="1"/>
  <c r="CS13" i="8" a="1"/>
  <c r="CS13" i="8" s="1"/>
  <c r="CR13" i="8" a="1"/>
  <c r="CR13" i="8" s="1"/>
  <c r="CQ13" i="8" a="1"/>
  <c r="CQ13" i="8"/>
  <c r="CP13" i="8" a="1"/>
  <c r="CP13" i="8" s="1"/>
  <c r="CO13" i="8" a="1"/>
  <c r="CO13" i="8" s="1"/>
  <c r="CN13" i="8" a="1"/>
  <c r="CN13" i="8"/>
  <c r="CM13" i="8" a="1"/>
  <c r="CM13" i="8" s="1"/>
  <c r="CL13" i="8" a="1"/>
  <c r="CL13" i="8" s="1"/>
  <c r="CK13" i="8" a="1"/>
  <c r="CK13" i="8" s="1"/>
  <c r="CJ13" i="8" a="1"/>
  <c r="CJ13" i="8"/>
  <c r="CI13" i="8" a="1"/>
  <c r="CI13" i="8" s="1"/>
  <c r="CH13" i="8" a="1"/>
  <c r="CH13" i="8" s="1"/>
  <c r="CG13" i="8" a="1"/>
  <c r="CG13" i="8" s="1"/>
  <c r="CF13" i="8" a="1"/>
  <c r="CF13" i="8" s="1"/>
  <c r="CE13" i="8" a="1"/>
  <c r="CE13" i="8" s="1"/>
  <c r="CD13" i="8" a="1"/>
  <c r="CD13" i="8" s="1"/>
  <c r="CC13" i="8" a="1"/>
  <c r="CC13" i="8" s="1"/>
  <c r="CB13" i="8" a="1"/>
  <c r="CB13" i="8" s="1"/>
  <c r="CA13" i="8" a="1"/>
  <c r="CA13" i="8" s="1"/>
  <c r="BZ13" i="8" a="1"/>
  <c r="BZ13" i="8"/>
  <c r="BY13" i="8" a="1"/>
  <c r="BY13" i="8"/>
  <c r="BX13" i="8" a="1"/>
  <c r="BX13" i="8"/>
  <c r="BW13" i="8" a="1"/>
  <c r="BW13" i="8" s="1"/>
  <c r="BV13" i="8" a="1"/>
  <c r="BV13" i="8" s="1"/>
  <c r="BU13" i="8" a="1"/>
  <c r="BU13" i="8"/>
  <c r="BT13" i="8" a="1"/>
  <c r="BT13" i="8" s="1"/>
  <c r="BS13" i="8" a="1"/>
  <c r="BS13" i="8" s="1"/>
  <c r="BR13" i="8" a="1"/>
  <c r="BR13" i="8" s="1"/>
  <c r="BQ13" i="8" a="1"/>
  <c r="BQ13" i="8" s="1"/>
  <c r="BP13" i="8" a="1"/>
  <c r="BP13" i="8" s="1"/>
  <c r="BO13" i="8" a="1"/>
  <c r="BO13" i="8"/>
  <c r="BN13" i="8" a="1"/>
  <c r="BN13" i="8" s="1"/>
  <c r="BM13" i="8" a="1"/>
  <c r="BM13" i="8" s="1"/>
  <c r="BL13" i="8" a="1"/>
  <c r="BL13" i="8" s="1"/>
  <c r="BK13" i="8" a="1"/>
  <c r="BK13" i="8" s="1"/>
  <c r="BJ13" i="8" a="1"/>
  <c r="BJ13" i="8"/>
  <c r="BI13" i="8" a="1"/>
  <c r="BI13" i="8" s="1"/>
  <c r="BH13" i="8" a="1"/>
  <c r="BH13" i="8" s="1"/>
  <c r="BG13" i="8" a="1"/>
  <c r="BG13" i="8"/>
  <c r="BF13" i="8" a="1"/>
  <c r="BF13" i="8" s="1"/>
  <c r="BE13" i="8" a="1"/>
  <c r="BE13" i="8" s="1"/>
  <c r="BD13" i="8" a="1"/>
  <c r="BD13" i="8" s="1"/>
  <c r="BC13" i="8" a="1"/>
  <c r="BC13" i="8"/>
  <c r="BB13" i="8" a="1"/>
  <c r="BB13" i="8" s="1"/>
  <c r="BA13" i="8" a="1"/>
  <c r="BA13" i="8" s="1"/>
  <c r="AZ13" i="8" a="1"/>
  <c r="AZ13" i="8" s="1"/>
  <c r="AY13" i="8" a="1"/>
  <c r="AY13" i="8"/>
  <c r="AX13" i="8" a="1"/>
  <c r="AX13" i="8" s="1"/>
  <c r="AW13" i="8" a="1"/>
  <c r="AW13" i="8" s="1"/>
  <c r="AV13" i="8" a="1"/>
  <c r="AV13" i="8" s="1"/>
  <c r="AU13" i="8" a="1"/>
  <c r="AU13" i="8" s="1"/>
  <c r="AT13" i="8" a="1"/>
  <c r="AT13" i="8" s="1"/>
  <c r="AS13" i="8" a="1"/>
  <c r="AS13" i="8" s="1"/>
  <c r="AR13" i="8" a="1"/>
  <c r="AR13" i="8" s="1"/>
  <c r="AQ13" i="8" a="1"/>
  <c r="AQ13" i="8" s="1"/>
  <c r="AP13" i="8" a="1"/>
  <c r="AP13" i="8" s="1"/>
  <c r="AO13" i="8" a="1"/>
  <c r="AO13" i="8" s="1"/>
  <c r="AN13" i="8" a="1"/>
  <c r="AN13" i="8"/>
  <c r="AM13" i="8" a="1"/>
  <c r="AM13" i="8" s="1"/>
  <c r="AL13" i="8" a="1"/>
  <c r="AL13" i="8" s="1"/>
  <c r="AK13" i="8" a="1"/>
  <c r="AK13" i="8"/>
  <c r="AJ13" i="8" a="1"/>
  <c r="AJ13" i="8" s="1"/>
  <c r="AI13" i="8" a="1"/>
  <c r="AI13" i="8" s="1"/>
  <c r="AH13" i="8" a="1"/>
  <c r="AH13" i="8" s="1"/>
  <c r="AG13" i="8" a="1"/>
  <c r="AG13" i="8" s="1"/>
  <c r="AF13" i="8" a="1"/>
  <c r="AF13" i="8" s="1"/>
  <c r="AE13" i="8" a="1"/>
  <c r="AE13" i="8" s="1"/>
  <c r="AD13" i="8" a="1"/>
  <c r="AD13" i="8" s="1"/>
  <c r="AC13" i="8" a="1"/>
  <c r="AC13" i="8" s="1"/>
  <c r="AB13" i="8" a="1"/>
  <c r="AB13" i="8" s="1"/>
  <c r="AA13" i="8" a="1"/>
  <c r="AA13" i="8"/>
  <c r="Z13" i="8" a="1"/>
  <c r="Z13" i="8"/>
  <c r="Y13" i="8" a="1"/>
  <c r="Y13" i="8" s="1"/>
  <c r="X13" i="8" a="1"/>
  <c r="X13" i="8" s="1"/>
  <c r="W13" i="8" a="1"/>
  <c r="W13" i="8"/>
  <c r="V13" i="8" a="1"/>
  <c r="V13" i="8" s="1"/>
  <c r="U13" i="8" a="1"/>
  <c r="U13" i="8" s="1"/>
  <c r="T13" i="8" a="1"/>
  <c r="T13" i="8" s="1"/>
  <c r="S13" i="8" a="1"/>
  <c r="S13" i="8" s="1"/>
  <c r="R13" i="8" a="1"/>
  <c r="R13" i="8"/>
  <c r="Q13" i="8" a="1"/>
  <c r="Q13" i="8" s="1"/>
  <c r="P13" i="8" a="1"/>
  <c r="P13" i="8"/>
  <c r="O13" i="8" a="1"/>
  <c r="O13" i="8" s="1"/>
  <c r="N13" i="8" a="1"/>
  <c r="N13" i="8" s="1"/>
  <c r="M13" i="8" a="1"/>
  <c r="M13" i="8" s="1"/>
  <c r="L13" i="8" a="1"/>
  <c r="L13" i="8" s="1"/>
  <c r="K13" i="8" a="1"/>
  <c r="K13" i="8" s="1"/>
  <c r="J13" i="8" a="1"/>
  <c r="J13" i="8" s="1"/>
  <c r="I13" i="8" a="1"/>
  <c r="I13" i="8" s="1"/>
  <c r="H13" i="8" a="1"/>
  <c r="H13" i="8" s="1"/>
  <c r="G13" i="8" a="1"/>
  <c r="G13" i="8"/>
  <c r="F13" i="8" a="1"/>
  <c r="F13" i="8" s="1"/>
  <c r="E13" i="8" a="1"/>
  <c r="E13" i="8" s="1"/>
  <c r="D13" i="8" a="1"/>
  <c r="D13" i="8"/>
  <c r="C13" i="8" a="1"/>
  <c r="C13" i="8" s="1"/>
  <c r="EF12" i="8" a="1"/>
  <c r="EF12" i="8" s="1"/>
  <c r="EE12" i="8" a="1"/>
  <c r="EE12" i="8" s="1"/>
  <c r="ED12" i="8" a="1"/>
  <c r="ED12" i="8"/>
  <c r="EC12" i="8" a="1"/>
  <c r="EC12" i="8" s="1"/>
  <c r="EB12" i="8" a="1"/>
  <c r="EB12" i="8" s="1"/>
  <c r="EA12" i="8" a="1"/>
  <c r="EA12" i="8" s="1"/>
  <c r="DZ12" i="8" a="1"/>
  <c r="DZ12" i="8"/>
  <c r="DY12" i="8" a="1"/>
  <c r="DY12" i="8" s="1"/>
  <c r="DX12" i="8" a="1"/>
  <c r="DX12" i="8"/>
  <c r="DW12" i="8" a="1"/>
  <c r="DW12" i="8"/>
  <c r="DV12" i="8" a="1"/>
  <c r="DV12" i="8" s="1"/>
  <c r="DU12" i="8" a="1"/>
  <c r="DU12" i="8" s="1"/>
  <c r="DT12" i="8" a="1"/>
  <c r="DT12" i="8" s="1"/>
  <c r="DS12" i="8" a="1"/>
  <c r="DS12" i="8"/>
  <c r="DR12" i="8" a="1"/>
  <c r="DR12" i="8"/>
  <c r="DQ12" i="8" a="1"/>
  <c r="DQ12" i="8" s="1"/>
  <c r="DP12" i="8" a="1"/>
  <c r="DP12" i="8" s="1"/>
  <c r="DO12" i="8" a="1"/>
  <c r="DO12" i="8"/>
  <c r="DN12" i="8" a="1"/>
  <c r="DN12" i="8" s="1"/>
  <c r="DM12" i="8" a="1"/>
  <c r="DM12" i="8"/>
  <c r="DL12" i="8" a="1"/>
  <c r="DL12" i="8"/>
  <c r="DK12" i="8" a="1"/>
  <c r="DK12" i="8" s="1"/>
  <c r="DJ12" i="8" a="1"/>
  <c r="DJ12" i="8" s="1"/>
  <c r="DI12" i="8" a="1"/>
  <c r="DI12" i="8" s="1"/>
  <c r="DH12" i="8" a="1"/>
  <c r="DH12" i="8"/>
  <c r="DG12" i="8" a="1"/>
  <c r="DG12" i="8"/>
  <c r="DF12" i="8" a="1"/>
  <c r="DF12" i="8" s="1"/>
  <c r="DE12" i="8" a="1"/>
  <c r="DE12" i="8" s="1"/>
  <c r="DD12" i="8" a="1"/>
  <c r="DD12" i="8"/>
  <c r="DC12" i="8" a="1"/>
  <c r="DC12" i="8" s="1"/>
  <c r="DB12" i="8" a="1"/>
  <c r="DB12" i="8" s="1"/>
  <c r="DA12" i="8" a="1"/>
  <c r="DA12" i="8"/>
  <c r="CZ12" i="8" a="1"/>
  <c r="CZ12" i="8"/>
  <c r="CY12" i="8" a="1"/>
  <c r="CY12" i="8" s="1"/>
  <c r="CX12" i="8" a="1"/>
  <c r="CX12" i="8" s="1"/>
  <c r="CW12" i="8" a="1"/>
  <c r="CW12" i="8" s="1"/>
  <c r="CV12" i="8" a="1"/>
  <c r="CV12" i="8" s="1"/>
  <c r="CU12" i="8" a="1"/>
  <c r="CU12" i="8" s="1"/>
  <c r="CT12" i="8" a="1"/>
  <c r="CT12" i="8" s="1"/>
  <c r="CS12" i="8" a="1"/>
  <c r="CS12" i="8" s="1"/>
  <c r="CR12" i="8" a="1"/>
  <c r="CR12" i="8" s="1"/>
  <c r="CQ12" i="8" a="1"/>
  <c r="CQ12" i="8" s="1"/>
  <c r="CP12" i="8" a="1"/>
  <c r="CP12" i="8"/>
  <c r="CO12" i="8" a="1"/>
  <c r="CO12" i="8" s="1"/>
  <c r="CN12" i="8" a="1"/>
  <c r="CN12" i="8" s="1"/>
  <c r="CM12" i="8" a="1"/>
  <c r="CM12" i="8" s="1"/>
  <c r="CL12" i="8" a="1"/>
  <c r="CL12" i="8" s="1"/>
  <c r="CK12" i="8" a="1"/>
  <c r="CK12" i="8" s="1"/>
  <c r="CJ12" i="8" a="1"/>
  <c r="CJ12" i="8" s="1"/>
  <c r="CI12" i="8" a="1"/>
  <c r="CI12" i="8" s="1"/>
  <c r="CH12" i="8" a="1"/>
  <c r="CH12" i="8"/>
  <c r="CG12" i="8" a="1"/>
  <c r="CG12" i="8" s="1"/>
  <c r="CF12" i="8" a="1"/>
  <c r="CF12" i="8"/>
  <c r="CE12" i="8" a="1"/>
  <c r="CE12" i="8" s="1"/>
  <c r="CD12" i="8" a="1"/>
  <c r="CD12" i="8" s="1"/>
  <c r="CC12" i="8" a="1"/>
  <c r="CC12" i="8" s="1"/>
  <c r="CB12" i="8" a="1"/>
  <c r="CB12" i="8" s="1"/>
  <c r="CA12" i="8" a="1"/>
  <c r="CA12" i="8"/>
  <c r="BZ12" i="8" a="1"/>
  <c r="BZ12" i="8" s="1"/>
  <c r="BY12" i="8" a="1"/>
  <c r="BY12" i="8" s="1"/>
  <c r="BX12" i="8" a="1"/>
  <c r="BX12" i="8" s="1"/>
  <c r="BW12" i="8" a="1"/>
  <c r="BW12" i="8" s="1"/>
  <c r="BV12" i="8" a="1"/>
  <c r="BV12" i="8" s="1"/>
  <c r="BU12" i="8" a="1"/>
  <c r="BU12" i="8"/>
  <c r="BT12" i="8" a="1"/>
  <c r="BT12" i="8"/>
  <c r="BS12" i="8" a="1"/>
  <c r="BS12" i="8"/>
  <c r="BR12" i="8" a="1"/>
  <c r="BR12" i="8" s="1"/>
  <c r="BQ12" i="8" a="1"/>
  <c r="BQ12" i="8" s="1"/>
  <c r="BP12" i="8" a="1"/>
  <c r="BP12" i="8" s="1"/>
  <c r="BO12" i="8" a="1"/>
  <c r="BO12" i="8" s="1"/>
  <c r="BN12" i="8" a="1"/>
  <c r="BN12" i="8" s="1"/>
  <c r="BM12" i="8" a="1"/>
  <c r="BM12" i="8" s="1"/>
  <c r="BL12" i="8" a="1"/>
  <c r="BL12" i="8" s="1"/>
  <c r="BK12" i="8" a="1"/>
  <c r="BK12" i="8" s="1"/>
  <c r="BJ12" i="8" a="1"/>
  <c r="BJ12" i="8"/>
  <c r="BI12" i="8" a="1"/>
  <c r="BI12" i="8"/>
  <c r="BH12" i="8" a="1"/>
  <c r="BH12" i="8" s="1"/>
  <c r="BG12" i="8" a="1"/>
  <c r="BG12" i="8" s="1"/>
  <c r="BF12" i="8" a="1"/>
  <c r="BF12" i="8"/>
  <c r="BE12" i="8" a="1"/>
  <c r="BE12" i="8" s="1"/>
  <c r="BD12" i="8" a="1"/>
  <c r="BD12" i="8" s="1"/>
  <c r="BC12" i="8" a="1"/>
  <c r="BC12" i="8" s="1"/>
  <c r="BB12" i="8" a="1"/>
  <c r="BB12" i="8" s="1"/>
  <c r="BA12" i="8" a="1"/>
  <c r="BA12" i="8" s="1"/>
  <c r="AZ12" i="8" a="1"/>
  <c r="AZ12" i="8" s="1"/>
  <c r="AY12" i="8" a="1"/>
  <c r="AY12" i="8" s="1"/>
  <c r="AX12" i="8" a="1"/>
  <c r="AX12" i="8"/>
  <c r="AW12" i="8" a="1"/>
  <c r="AW12" i="8" s="1"/>
  <c r="AV12" i="8" a="1"/>
  <c r="AV12" i="8" s="1"/>
  <c r="AU12" i="8" a="1"/>
  <c r="AU12" i="8" s="1"/>
  <c r="AT12" i="8" a="1"/>
  <c r="AT12" i="8"/>
  <c r="AS12" i="8" a="1"/>
  <c r="AS12" i="8" s="1"/>
  <c r="AR12" i="8" a="1"/>
  <c r="AR12" i="8" s="1"/>
  <c r="AQ12" i="8" a="1"/>
  <c r="AQ12" i="8" s="1"/>
  <c r="AP12" i="8" a="1"/>
  <c r="AP12" i="8" s="1"/>
  <c r="AO12" i="8" a="1"/>
  <c r="AO12" i="8" s="1"/>
  <c r="AN12" i="8" a="1"/>
  <c r="AN12" i="8"/>
  <c r="AM12" i="8" a="1"/>
  <c r="AM12" i="8" s="1"/>
  <c r="AL12" i="8" a="1"/>
  <c r="AL12" i="8" s="1"/>
  <c r="AK12" i="8" a="1"/>
  <c r="AK12" i="8" s="1"/>
  <c r="AJ12" i="8" a="1"/>
  <c r="AJ12" i="8" s="1"/>
  <c r="AI12" i="8" a="1"/>
  <c r="AI12" i="8"/>
  <c r="AH12" i="8" a="1"/>
  <c r="AH12" i="8" s="1"/>
  <c r="AG12" i="8" a="1"/>
  <c r="AG12" i="8" s="1"/>
  <c r="AF12" i="8" a="1"/>
  <c r="AF12" i="8"/>
  <c r="AE12" i="8" a="1"/>
  <c r="AE12" i="8" s="1"/>
  <c r="AD12" i="8" a="1"/>
  <c r="AD12" i="8" s="1"/>
  <c r="AC12" i="8" a="1"/>
  <c r="AC12" i="8"/>
  <c r="AB12" i="8" a="1"/>
  <c r="AB12" i="8"/>
  <c r="AA12" i="8" a="1"/>
  <c r="AA12" i="8" s="1"/>
  <c r="Z12" i="8" a="1"/>
  <c r="Z12" i="8" s="1"/>
  <c r="Y12" i="8" a="1"/>
  <c r="Y12" i="8" s="1"/>
  <c r="X12" i="8" a="1"/>
  <c r="X12" i="8" s="1"/>
  <c r="W12" i="8" a="1"/>
  <c r="W12" i="8"/>
  <c r="V12" i="8" a="1"/>
  <c r="V12" i="8" s="1"/>
  <c r="U12" i="8" a="1"/>
  <c r="U12" i="8"/>
  <c r="T12" i="8" a="1"/>
  <c r="T12" i="8" s="1"/>
  <c r="S12" i="8" a="1"/>
  <c r="S12" i="8" s="1"/>
  <c r="R12" i="8" a="1"/>
  <c r="R12" i="8"/>
  <c r="Q12" i="8" a="1"/>
  <c r="Q12" i="8"/>
  <c r="P12" i="8" a="1"/>
  <c r="P12" i="8"/>
  <c r="O12" i="8" a="1"/>
  <c r="O12" i="8" s="1"/>
  <c r="N12" i="8" a="1"/>
  <c r="N12" i="8" s="1"/>
  <c r="M12" i="8" a="1"/>
  <c r="M12" i="8" s="1"/>
  <c r="L12" i="8" a="1"/>
  <c r="L12" i="8"/>
  <c r="K12" i="8" a="1"/>
  <c r="K12" i="8" s="1"/>
  <c r="J12" i="8" a="1"/>
  <c r="J12" i="8" s="1"/>
  <c r="I12" i="8" a="1"/>
  <c r="I12" i="8"/>
  <c r="H12" i="8" a="1"/>
  <c r="H12" i="8" s="1"/>
  <c r="G12" i="8" a="1"/>
  <c r="G12" i="8" s="1"/>
  <c r="F12" i="8" a="1"/>
  <c r="F12" i="8"/>
  <c r="E12" i="8" a="1"/>
  <c r="E12" i="8"/>
  <c r="D12" i="8" a="1"/>
  <c r="D12" i="8" s="1"/>
  <c r="C12" i="8" a="1"/>
  <c r="C12" i="8" s="1"/>
  <c r="DV8" i="8"/>
  <c r="DL8" i="8"/>
  <c r="DK8" i="8"/>
  <c r="DA8" i="8"/>
  <c r="CZ8" i="8"/>
  <c r="CP8" i="8"/>
  <c r="CJ8" i="8"/>
  <c r="CE8" i="8"/>
  <c r="CD8" i="8"/>
  <c r="BT8" i="8"/>
  <c r="BI8" i="8"/>
  <c r="BH8" i="8"/>
  <c r="BC8" i="8"/>
  <c r="AX8" i="8"/>
  <c r="AM8" i="8"/>
  <c r="AL8" i="8"/>
  <c r="AG8" i="8"/>
  <c r="AA8" i="8"/>
  <c r="V8" i="8"/>
  <c r="E8" i="8"/>
  <c r="DN7" i="8"/>
  <c r="DC7" i="8"/>
  <c r="CJ7" i="8"/>
  <c r="BC7" i="8"/>
  <c r="AZ7" i="8"/>
  <c r="AG7" i="8"/>
  <c r="V7" i="8"/>
  <c r="S7" i="8"/>
  <c r="H7" i="8"/>
  <c r="G7" i="8"/>
  <c r="EF6" i="8" a="1"/>
  <c r="EF6" i="8" s="1"/>
  <c r="EE6" i="8" a="1"/>
  <c r="EE6" i="8" s="1"/>
  <c r="ED6" i="8" a="1"/>
  <c r="ED6" i="8"/>
  <c r="EC6" i="8" a="1"/>
  <c r="EC6" i="8" s="1"/>
  <c r="EB6" i="8" a="1"/>
  <c r="EB6" i="8" s="1"/>
  <c r="EA6" i="8" a="1"/>
  <c r="EA6" i="8"/>
  <c r="EA8" i="8" s="1"/>
  <c r="DZ6" i="8" a="1"/>
  <c r="DZ6" i="8"/>
  <c r="DZ8" i="8" s="1"/>
  <c r="DY6" i="8" a="1"/>
  <c r="DY6" i="8" s="1"/>
  <c r="DX6" i="8" a="1"/>
  <c r="DX6" i="8"/>
  <c r="DW6" i="8" a="1"/>
  <c r="DW6" i="8" s="1"/>
  <c r="DW7" i="8" s="1"/>
  <c r="DV6" i="8" a="1"/>
  <c r="DV6" i="8"/>
  <c r="DV7" i="8" s="1"/>
  <c r="DU6" i="8" a="1"/>
  <c r="DU6" i="8" s="1"/>
  <c r="DT6" i="8" a="1"/>
  <c r="DT6" i="8" s="1"/>
  <c r="DS6" i="8" a="1"/>
  <c r="DS6" i="8"/>
  <c r="DR6" i="8" a="1"/>
  <c r="DR6" i="8" s="1"/>
  <c r="DQ6" i="8" a="1"/>
  <c r="DQ6" i="8" s="1"/>
  <c r="DP6" i="8" a="1"/>
  <c r="DP6" i="8"/>
  <c r="DP8" i="8" s="1"/>
  <c r="DO6" i="8" a="1"/>
  <c r="DO6" i="8"/>
  <c r="DO8" i="8" s="1"/>
  <c r="DN6" i="8" a="1"/>
  <c r="DN6" i="8" s="1"/>
  <c r="DN8" i="8" s="1"/>
  <c r="DM6" i="8" a="1"/>
  <c r="DM6" i="8" s="1"/>
  <c r="DM8" i="8" s="1"/>
  <c r="DL6" i="8" a="1"/>
  <c r="DL6" i="8"/>
  <c r="DL7" i="8" s="1"/>
  <c r="DK6" i="8" a="1"/>
  <c r="DK6" i="8"/>
  <c r="DK7" i="8" s="1"/>
  <c r="DJ6" i="8" a="1"/>
  <c r="DJ6" i="8" s="1"/>
  <c r="DI6" i="8" a="1"/>
  <c r="DI6" i="8" s="1"/>
  <c r="DH6" i="8" a="1"/>
  <c r="DH6" i="8"/>
  <c r="DG6" i="8" a="1"/>
  <c r="DG6" i="8" s="1"/>
  <c r="DF6" i="8" a="1"/>
  <c r="DF6" i="8" s="1"/>
  <c r="DE6" i="8" a="1"/>
  <c r="DE6" i="8"/>
  <c r="DE8" i="8" s="1"/>
  <c r="DD6" i="8" a="1"/>
  <c r="DD6" i="8" s="1"/>
  <c r="DC6" i="8" a="1"/>
  <c r="DC6" i="8" s="1"/>
  <c r="DC8" i="8" s="1"/>
  <c r="DB6" i="8" a="1"/>
  <c r="DB6" i="8" s="1"/>
  <c r="DA6" i="8" a="1"/>
  <c r="DA6" i="8"/>
  <c r="DA7" i="8" s="1"/>
  <c r="CZ6" i="8" a="1"/>
  <c r="CZ6" i="8"/>
  <c r="CZ7" i="8" s="1"/>
  <c r="CY6" i="8" a="1"/>
  <c r="CY6" i="8"/>
  <c r="CX6" i="8" a="1"/>
  <c r="CX6" i="8" s="1"/>
  <c r="CW6" i="8" a="1"/>
  <c r="CW6" i="8"/>
  <c r="CV6" i="8" a="1"/>
  <c r="CV6" i="8" s="1"/>
  <c r="CU6" i="8" a="1"/>
  <c r="CU6" i="8" s="1"/>
  <c r="CT6" i="8" a="1"/>
  <c r="CT6" i="8"/>
  <c r="CT8" i="8" s="1"/>
  <c r="CS6" i="8" a="1"/>
  <c r="CS6" i="8" s="1"/>
  <c r="CR6" i="8" a="1"/>
  <c r="CR6" i="8" s="1"/>
  <c r="CR8" i="8" s="1"/>
  <c r="CQ6" i="8" a="1"/>
  <c r="CQ6" i="8" s="1"/>
  <c r="CQ8" i="8" s="1"/>
  <c r="CP6" i="8" a="1"/>
  <c r="CP6" i="8"/>
  <c r="CP7" i="8" s="1"/>
  <c r="CO6" i="8" a="1"/>
  <c r="CO6" i="8" s="1"/>
  <c r="CN6" i="8" a="1"/>
  <c r="CN6" i="8"/>
  <c r="CM6" i="8" a="1"/>
  <c r="CM6" i="8" s="1"/>
  <c r="CL6" i="8" a="1"/>
  <c r="CL6" i="8"/>
  <c r="CK6" i="8" a="1"/>
  <c r="CK6" i="8" s="1"/>
  <c r="CJ6" i="8" a="1"/>
  <c r="CJ6" i="8"/>
  <c r="CI6" i="8" a="1"/>
  <c r="CI6" i="8"/>
  <c r="CI8" i="8" s="1"/>
  <c r="CH6" i="8" a="1"/>
  <c r="CH6" i="8" s="1"/>
  <c r="CG6" i="8" a="1"/>
  <c r="CG6" i="8" s="1"/>
  <c r="CF6" i="8" a="1"/>
  <c r="CF6" i="8"/>
  <c r="CE6" i="8" a="1"/>
  <c r="CE6" i="8"/>
  <c r="CE7" i="8" s="1"/>
  <c r="CD6" i="8" a="1"/>
  <c r="CD6" i="8" s="1"/>
  <c r="CD7" i="8" s="1"/>
  <c r="CC6" i="8" a="1"/>
  <c r="CC6" i="8"/>
  <c r="CB6" i="8" a="1"/>
  <c r="CB6" i="8" s="1"/>
  <c r="CA6" i="8" a="1"/>
  <c r="CA6" i="8"/>
  <c r="BZ6" i="8" a="1"/>
  <c r="BZ6" i="8" s="1"/>
  <c r="BY6" i="8" a="1"/>
  <c r="BY6" i="8" s="1"/>
  <c r="BX6" i="8" a="1"/>
  <c r="BX6" i="8"/>
  <c r="BX8" i="8" s="1"/>
  <c r="BW6" i="8" a="1"/>
  <c r="BW6" i="8" s="1"/>
  <c r="BV6" i="8" a="1"/>
  <c r="BV6" i="8" s="1"/>
  <c r="BV8" i="8" s="1"/>
  <c r="BU6" i="8" a="1"/>
  <c r="BU6" i="8" s="1"/>
  <c r="BT6" i="8" a="1"/>
  <c r="BT6" i="8"/>
  <c r="BT7" i="8" s="1"/>
  <c r="BS6" i="8" a="1"/>
  <c r="BS6" i="8" s="1"/>
  <c r="BR6" i="8" a="1"/>
  <c r="BR6" i="8"/>
  <c r="BQ6" i="8" a="1"/>
  <c r="BQ6" i="8" s="1"/>
  <c r="BP6" i="8" a="1"/>
  <c r="BP6" i="8"/>
  <c r="BO6" i="8" a="1"/>
  <c r="BO6" i="8" s="1"/>
  <c r="BN6" i="8" a="1"/>
  <c r="BN6" i="8" s="1"/>
  <c r="BM6" i="8" a="1"/>
  <c r="BM6" i="8"/>
  <c r="BM8" i="8" s="1"/>
  <c r="BL6" i="8" a="1"/>
  <c r="BL6" i="8" s="1"/>
  <c r="BK6" i="8" a="1"/>
  <c r="BK6" i="8" s="1"/>
  <c r="BK8" i="8" s="1"/>
  <c r="BJ6" i="8" a="1"/>
  <c r="BJ6" i="8" s="1"/>
  <c r="BJ8" i="8" s="1"/>
  <c r="BI6" i="8" a="1"/>
  <c r="BI6" i="8"/>
  <c r="BI7" i="8" s="1"/>
  <c r="BH6" i="8" a="1"/>
  <c r="BH6" i="8" s="1"/>
  <c r="BH7" i="8" s="1"/>
  <c r="BG6" i="8" a="1"/>
  <c r="BG6" i="8"/>
  <c r="BF6" i="8" a="1"/>
  <c r="BF6" i="8" s="1"/>
  <c r="BE6" i="8" a="1"/>
  <c r="BE6" i="8"/>
  <c r="BD6" i="8" a="1"/>
  <c r="BD6" i="8" s="1"/>
  <c r="BC6" i="8" a="1"/>
  <c r="BC6" i="8"/>
  <c r="BB6" i="8" a="1"/>
  <c r="BB6" i="8"/>
  <c r="BB8" i="8" s="1"/>
  <c r="BA6" i="8" a="1"/>
  <c r="BA6" i="8" s="1"/>
  <c r="AZ6" i="8" a="1"/>
  <c r="AZ6" i="8" s="1"/>
  <c r="AZ8" i="8" s="1"/>
  <c r="AY6" i="8" a="1"/>
  <c r="AY6" i="8" s="1"/>
  <c r="AX6" i="8" a="1"/>
  <c r="AX6" i="8"/>
  <c r="AX7" i="8" s="1"/>
  <c r="AW6" i="8" a="1"/>
  <c r="AW6" i="8" s="1"/>
  <c r="AV6" i="8" a="1"/>
  <c r="AV6" i="8"/>
  <c r="AU6" i="8" a="1"/>
  <c r="AU6" i="8" s="1"/>
  <c r="AT6" i="8" a="1"/>
  <c r="AT6" i="8"/>
  <c r="AS6" i="8" a="1"/>
  <c r="AS6" i="8" s="1"/>
  <c r="AR6" i="8" a="1"/>
  <c r="AR6" i="8" s="1"/>
  <c r="AQ6" i="8" a="1"/>
  <c r="AQ6" i="8"/>
  <c r="AQ8" i="8" s="1"/>
  <c r="AP6" i="8" a="1"/>
  <c r="AP6" i="8" s="1"/>
  <c r="AO6" i="8" a="1"/>
  <c r="AO6" i="8" s="1"/>
  <c r="AO8" i="8" s="1"/>
  <c r="AN6" i="8" a="1"/>
  <c r="AN6" i="8" s="1"/>
  <c r="AN8" i="8" s="1"/>
  <c r="AM6" i="8" a="1"/>
  <c r="AM6" i="8"/>
  <c r="AM7" i="8" s="1"/>
  <c r="AL6" i="8" a="1"/>
  <c r="AL6" i="8" s="1"/>
  <c r="AL7" i="8" s="1"/>
  <c r="AK6" i="8" a="1"/>
  <c r="AK6" i="8"/>
  <c r="AJ6" i="8" a="1"/>
  <c r="AJ6" i="8" s="1"/>
  <c r="AI6" i="8" a="1"/>
  <c r="AI6" i="8"/>
  <c r="AH6" i="8" a="1"/>
  <c r="AH6" i="8" s="1"/>
  <c r="AG6" i="8" a="1"/>
  <c r="AG6" i="8"/>
  <c r="AF6" i="8" a="1"/>
  <c r="AF6" i="8"/>
  <c r="AF8" i="8" s="1"/>
  <c r="AE6" i="8" a="1"/>
  <c r="AE6" i="8" s="1"/>
  <c r="AD6" i="8" a="1"/>
  <c r="AD6" i="8" s="1"/>
  <c r="AD8" i="8" s="1"/>
  <c r="AC6" i="8" a="1"/>
  <c r="AC6" i="8" s="1"/>
  <c r="AB6" i="8" a="1"/>
  <c r="AB6" i="8" s="1"/>
  <c r="AB7" i="8" s="1"/>
  <c r="AA6" i="8" a="1"/>
  <c r="AA6" i="8" s="1"/>
  <c r="AA7" i="8" s="1"/>
  <c r="Z6" i="8" a="1"/>
  <c r="Z6" i="8"/>
  <c r="Y6" i="8" a="1"/>
  <c r="Y6" i="8" s="1"/>
  <c r="X6" i="8" a="1"/>
  <c r="X6" i="8"/>
  <c r="W6" i="8" a="1"/>
  <c r="W6" i="8" s="1"/>
  <c r="V6" i="8" a="1"/>
  <c r="V6" i="8"/>
  <c r="U6" i="8" a="1"/>
  <c r="U6" i="8"/>
  <c r="U8" i="8" s="1"/>
  <c r="T6" i="8" a="1"/>
  <c r="T6" i="8" s="1"/>
  <c r="S6" i="8" a="1"/>
  <c r="S6" i="8" s="1"/>
  <c r="S8" i="8" s="1"/>
  <c r="R6" i="8" a="1"/>
  <c r="R6" i="8" s="1"/>
  <c r="R8" i="8" s="1"/>
  <c r="Q6" i="8" a="1"/>
  <c r="Q6" i="8" s="1"/>
  <c r="Q7" i="8" s="1"/>
  <c r="P6" i="8" a="1"/>
  <c r="P6" i="8" s="1"/>
  <c r="O6" i="8" a="1"/>
  <c r="O6" i="8"/>
  <c r="N6" i="8" a="1"/>
  <c r="N6" i="8" s="1"/>
  <c r="M6" i="8" a="1"/>
  <c r="M6" i="8"/>
  <c r="L6" i="8" a="1"/>
  <c r="L6" i="8" s="1"/>
  <c r="K6" i="8" a="1"/>
  <c r="K6" i="8" s="1"/>
  <c r="J6" i="8" a="1"/>
  <c r="J6" i="8"/>
  <c r="J8" i="8" s="1"/>
  <c r="I6" i="8" a="1"/>
  <c r="I6" i="8" s="1"/>
  <c r="H6" i="8" a="1"/>
  <c r="H6" i="8" s="1"/>
  <c r="H8" i="8" s="1"/>
  <c r="G6" i="8" a="1"/>
  <c r="G6" i="8"/>
  <c r="G8" i="8" s="1"/>
  <c r="F6" i="8" a="1"/>
  <c r="F6" i="8" s="1"/>
  <c r="F7" i="8" s="1"/>
  <c r="E6" i="8" a="1"/>
  <c r="E6" i="8" s="1"/>
  <c r="E7" i="8" s="1"/>
  <c r="D6" i="8" a="1"/>
  <c r="D6" i="8"/>
  <c r="C6" i="8" a="1"/>
  <c r="C6" i="8" s="1"/>
  <c r="EF19" i="7"/>
  <c r="EE19" i="7"/>
  <c r="ED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EF18" i="7"/>
  <c r="EE18" i="7"/>
  <c r="ED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EF17" i="7"/>
  <c r="EE17" i="7"/>
  <c r="ED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EF15" i="7"/>
  <c r="EE15" i="7"/>
  <c r="ED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EF14" i="7"/>
  <c r="EE14" i="7"/>
  <c r="ED14" i="7"/>
  <c r="EC14" i="7"/>
  <c r="EB14" i="7"/>
  <c r="EA14" i="7"/>
  <c r="DZ14" i="7"/>
  <c r="DY14" i="7"/>
  <c r="DX14" i="7"/>
  <c r="DW14" i="7"/>
  <c r="DV14" i="7"/>
  <c r="DU14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EF13" i="7"/>
  <c r="EE13" i="7"/>
  <c r="ED13" i="7"/>
  <c r="EC13" i="7"/>
  <c r="EB13" i="7"/>
  <c r="EA13" i="7"/>
  <c r="DZ13" i="7"/>
  <c r="DY13" i="7"/>
  <c r="DX13" i="7"/>
  <c r="DW13" i="7"/>
  <c r="DV13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D25" i="5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EF8" i="5"/>
  <c r="EA8" i="5"/>
  <c r="DV8" i="5"/>
  <c r="DU8" i="5"/>
  <c r="DP8" i="5"/>
  <c r="DO8" i="5"/>
  <c r="DJ8" i="5"/>
  <c r="DF8" i="5"/>
  <c r="DE8" i="5"/>
  <c r="DD8" i="5"/>
  <c r="CW8" i="5"/>
  <c r="CS8" i="5"/>
  <c r="CQ8" i="5"/>
  <c r="CH8" i="5"/>
  <c r="CC8" i="5"/>
  <c r="BU8" i="5"/>
  <c r="BT8" i="5"/>
  <c r="BR8" i="5"/>
  <c r="BP8" i="5"/>
  <c r="BG8" i="5"/>
  <c r="AZ8" i="5"/>
  <c r="AY8" i="5"/>
  <c r="AG8" i="5"/>
  <c r="AF8" i="5"/>
  <c r="W8" i="5"/>
  <c r="V8" i="5"/>
  <c r="Q8" i="5"/>
  <c r="P8" i="5"/>
  <c r="D8" i="5"/>
  <c r="EF7" i="5"/>
  <c r="EC7" i="5"/>
  <c r="EB7" i="5"/>
  <c r="DW7" i="5"/>
  <c r="DU7" i="5"/>
  <c r="DP7" i="5"/>
  <c r="DO7" i="5"/>
  <c r="DJ7" i="5"/>
  <c r="DD7" i="5"/>
  <c r="DC7" i="5"/>
  <c r="CX7" i="5"/>
  <c r="CT7" i="5"/>
  <c r="CS7" i="5"/>
  <c r="CR7" i="5"/>
  <c r="CQ7" i="5"/>
  <c r="CF7" i="5"/>
  <c r="CC7" i="5"/>
  <c r="BR7" i="5"/>
  <c r="BN7" i="5"/>
  <c r="BM7" i="5"/>
  <c r="BJ7" i="5"/>
  <c r="AZ7" i="5"/>
  <c r="AV7" i="5"/>
  <c r="AU7" i="5"/>
  <c r="AL7" i="5"/>
  <c r="AK7" i="5"/>
  <c r="AE7" i="5"/>
  <c r="U7" i="5"/>
  <c r="K7" i="5"/>
  <c r="J7" i="5"/>
  <c r="F7" i="5"/>
  <c r="E7" i="5"/>
  <c r="EF6" i="5" a="1"/>
  <c r="EF6" i="5"/>
  <c r="EE6" i="5" a="1"/>
  <c r="EE6" i="5" s="1"/>
  <c r="ED6" i="5" a="1"/>
  <c r="ED6" i="5" s="1"/>
  <c r="EC6" i="5" a="1"/>
  <c r="EC6" i="5"/>
  <c r="EC8" i="5" s="1"/>
  <c r="EB6" i="5" a="1"/>
  <c r="EB6" i="5" s="1"/>
  <c r="EB8" i="5" s="1"/>
  <c r="EA6" i="5" a="1"/>
  <c r="EA6" i="5" s="1"/>
  <c r="EA7" i="5" s="1"/>
  <c r="DZ6" i="5" a="1"/>
  <c r="DZ6" i="5"/>
  <c r="DY6" i="5" a="1"/>
  <c r="DY6" i="5"/>
  <c r="DX6" i="5" a="1"/>
  <c r="DX6" i="5"/>
  <c r="DW6" i="5" a="1"/>
  <c r="DW6" i="5" s="1"/>
  <c r="DW8" i="5" s="1"/>
  <c r="DV6" i="5" a="1"/>
  <c r="DV6" i="5" s="1"/>
  <c r="DV7" i="5" s="1"/>
  <c r="DU6" i="5" a="1"/>
  <c r="DU6" i="5"/>
  <c r="DT6" i="5" a="1"/>
  <c r="DT6" i="5"/>
  <c r="DS6" i="5" a="1"/>
  <c r="DS6" i="5" s="1"/>
  <c r="DR6" i="5" a="1"/>
  <c r="DR6" i="5" s="1"/>
  <c r="DQ6" i="5" a="1"/>
  <c r="DQ6" i="5" s="1"/>
  <c r="DP6" i="5" a="1"/>
  <c r="DP6" i="5" s="1"/>
  <c r="DO6" i="5" a="1"/>
  <c r="DO6" i="5"/>
  <c r="DN6" i="5" a="1"/>
  <c r="DN6" i="5"/>
  <c r="DN8" i="5" s="1"/>
  <c r="DM6" i="5" a="1"/>
  <c r="DM6" i="5"/>
  <c r="DL6" i="5" a="1"/>
  <c r="DL6" i="5" s="1"/>
  <c r="DK6" i="5" a="1"/>
  <c r="DK6" i="5" s="1"/>
  <c r="DJ6" i="5" a="1"/>
  <c r="DJ6" i="5"/>
  <c r="DI6" i="5" a="1"/>
  <c r="DI6" i="5"/>
  <c r="DH6" i="5" a="1"/>
  <c r="DH6" i="5"/>
  <c r="DH8" i="5" s="1"/>
  <c r="DG6" i="5" a="1"/>
  <c r="DG6" i="5" s="1"/>
  <c r="DF6" i="5" a="1"/>
  <c r="DF6" i="5" s="1"/>
  <c r="DF7" i="5" s="1"/>
  <c r="DE6" i="5" a="1"/>
  <c r="DE6" i="5" s="1"/>
  <c r="DE7" i="5" s="1"/>
  <c r="DD6" i="5" a="1"/>
  <c r="DD6" i="5"/>
  <c r="DC6" i="5" a="1"/>
  <c r="DC6" i="5"/>
  <c r="DC8" i="5" s="1"/>
  <c r="DB6" i="5" a="1"/>
  <c r="DB6" i="5"/>
  <c r="DA6" i="5" a="1"/>
  <c r="DA6" i="5" s="1"/>
  <c r="CZ6" i="5" a="1"/>
  <c r="CZ6" i="5" s="1"/>
  <c r="CY6" i="5" a="1"/>
  <c r="CY6" i="5"/>
  <c r="CY8" i="5" s="1"/>
  <c r="CX6" i="5" a="1"/>
  <c r="CX6" i="5"/>
  <c r="CX8" i="5" s="1"/>
  <c r="CW6" i="5" a="1"/>
  <c r="CW6" i="5"/>
  <c r="CW7" i="5" s="1"/>
  <c r="CV6" i="5" a="1"/>
  <c r="CV6" i="5"/>
  <c r="CU6" i="5" a="1"/>
  <c r="CU6" i="5" s="1"/>
  <c r="CT6" i="5" a="1"/>
  <c r="CT6" i="5" s="1"/>
  <c r="CT8" i="5" s="1"/>
  <c r="CS6" i="5" a="1"/>
  <c r="CS6" i="5"/>
  <c r="CR6" i="5" a="1"/>
  <c r="CR6" i="5"/>
  <c r="CR8" i="5" s="1"/>
  <c r="CQ6" i="5" a="1"/>
  <c r="CQ6" i="5"/>
  <c r="CP6" i="5" a="1"/>
  <c r="CP6" i="5"/>
  <c r="CO6" i="5" a="1"/>
  <c r="CO6" i="5" s="1"/>
  <c r="CN6" i="5" a="1"/>
  <c r="CN6" i="5"/>
  <c r="CN8" i="5" s="1"/>
  <c r="CM6" i="5" a="1"/>
  <c r="CM6" i="5"/>
  <c r="CL6" i="5" a="1"/>
  <c r="CL6" i="5"/>
  <c r="CK6" i="5" a="1"/>
  <c r="CK6" i="5"/>
  <c r="CK7" i="5" s="1"/>
  <c r="CJ6" i="5" a="1"/>
  <c r="CJ6" i="5" s="1"/>
  <c r="CI6" i="5" a="1"/>
  <c r="CI6" i="5" s="1"/>
  <c r="CH6" i="5" a="1"/>
  <c r="CH6" i="5"/>
  <c r="CH7" i="5" s="1"/>
  <c r="CG6" i="5" a="1"/>
  <c r="CG6" i="5"/>
  <c r="CG8" i="5" s="1"/>
  <c r="CF6" i="5" a="1"/>
  <c r="CF6" i="5"/>
  <c r="CF8" i="5" s="1"/>
  <c r="CE6" i="5" a="1"/>
  <c r="CE6" i="5"/>
  <c r="CE8" i="5" s="1"/>
  <c r="CD6" i="5" a="1"/>
  <c r="CD6" i="5" s="1"/>
  <c r="CC6" i="5" a="1"/>
  <c r="CC6" i="5"/>
  <c r="CB6" i="5" a="1"/>
  <c r="CB6" i="5" s="1"/>
  <c r="CA6" i="5" a="1"/>
  <c r="CA6" i="5"/>
  <c r="BZ6" i="5" a="1"/>
  <c r="BZ6" i="5"/>
  <c r="BZ8" i="5" s="1"/>
  <c r="BY6" i="5" a="1"/>
  <c r="BY6" i="5"/>
  <c r="BX6" i="5" a="1"/>
  <c r="BX6" i="5" s="1"/>
  <c r="BW6" i="5" a="1"/>
  <c r="BW6" i="5"/>
  <c r="BV6" i="5" a="1"/>
  <c r="BV6" i="5" s="1"/>
  <c r="BV7" i="5" s="1"/>
  <c r="BU6" i="5" a="1"/>
  <c r="BU6" i="5"/>
  <c r="BU7" i="5" s="1"/>
  <c r="BT6" i="5" a="1"/>
  <c r="BT6" i="5"/>
  <c r="BT7" i="5" s="1"/>
  <c r="BS6" i="5" a="1"/>
  <c r="BS6" i="5"/>
  <c r="BR6" i="5" a="1"/>
  <c r="BR6" i="5"/>
  <c r="BQ6" i="5" a="1"/>
  <c r="BQ6" i="5" s="1"/>
  <c r="BP6" i="5" a="1"/>
  <c r="BP6" i="5"/>
  <c r="BP7" i="5" s="1"/>
  <c r="BO6" i="5" a="1"/>
  <c r="BO6" i="5"/>
  <c r="BN6" i="5" a="1"/>
  <c r="BN6" i="5"/>
  <c r="BN8" i="5" s="1"/>
  <c r="BM6" i="5" a="1"/>
  <c r="BM6" i="5" s="1"/>
  <c r="BM8" i="5" s="1"/>
  <c r="BL6" i="5" a="1"/>
  <c r="BL6" i="5"/>
  <c r="BK6" i="5" a="1"/>
  <c r="BK6" i="5" s="1"/>
  <c r="BJ6" i="5" a="1"/>
  <c r="BJ6" i="5" s="1"/>
  <c r="BJ8" i="5" s="1"/>
  <c r="BI6" i="5" a="1"/>
  <c r="BI6" i="5" s="1"/>
  <c r="BI7" i="5" s="1"/>
  <c r="BH6" i="5" a="1"/>
  <c r="BH6" i="5"/>
  <c r="BG6" i="5" a="1"/>
  <c r="BG6" i="5"/>
  <c r="BG7" i="5" s="1"/>
  <c r="BF6" i="5" a="1"/>
  <c r="BF6" i="5"/>
  <c r="BE6" i="5" a="1"/>
  <c r="BE6" i="5" s="1"/>
  <c r="BD6" i="5" a="1"/>
  <c r="BD6" i="5"/>
  <c r="BC6" i="5" a="1"/>
  <c r="BC6" i="5" s="1"/>
  <c r="BB6" i="5" a="1"/>
  <c r="BB6" i="5" s="1"/>
  <c r="BB8" i="5" s="1"/>
  <c r="BA6" i="5" a="1"/>
  <c r="BA6" i="5"/>
  <c r="AZ6" i="5" a="1"/>
  <c r="AZ6" i="5"/>
  <c r="AY6" i="5" a="1"/>
  <c r="AY6" i="5" s="1"/>
  <c r="AY7" i="5" s="1"/>
  <c r="AX6" i="5" a="1"/>
  <c r="AX6" i="5"/>
  <c r="AW6" i="5" a="1"/>
  <c r="AW6" i="5" s="1"/>
  <c r="AV6" i="5" a="1"/>
  <c r="AV6" i="5"/>
  <c r="AV8" i="5" s="1"/>
  <c r="AU6" i="5" a="1"/>
  <c r="AU6" i="5"/>
  <c r="AU8" i="5" s="1"/>
  <c r="AT6" i="5" a="1"/>
  <c r="AT6" i="5" s="1"/>
  <c r="AS6" i="5" a="1"/>
  <c r="AS6" i="5" s="1"/>
  <c r="AR6" i="5" a="1"/>
  <c r="AR6" i="5"/>
  <c r="AR7" i="5" s="1"/>
  <c r="AQ6" i="5" a="1"/>
  <c r="AQ6" i="5" s="1"/>
  <c r="AP6" i="5" a="1"/>
  <c r="AP6" i="5" s="1"/>
  <c r="AO6" i="5" a="1"/>
  <c r="AO6" i="5"/>
  <c r="AN6" i="5" a="1"/>
  <c r="AN6" i="5"/>
  <c r="AM6" i="5" a="1"/>
  <c r="AM6" i="5" s="1"/>
  <c r="AL6" i="5" a="1"/>
  <c r="AL6" i="5"/>
  <c r="AL8" i="5" s="1"/>
  <c r="AK6" i="5" a="1"/>
  <c r="AK6" i="5"/>
  <c r="AK8" i="5" s="1"/>
  <c r="AJ6" i="5" a="1"/>
  <c r="AJ6" i="5" s="1"/>
  <c r="AI6" i="5" a="1"/>
  <c r="AI6" i="5"/>
  <c r="AH6" i="5" a="1"/>
  <c r="AH6" i="5" s="1"/>
  <c r="AG6" i="5" a="1"/>
  <c r="AG6" i="5"/>
  <c r="AG7" i="5" s="1"/>
  <c r="AF6" i="5" a="1"/>
  <c r="AF6" i="5" s="1"/>
  <c r="AF7" i="5" s="1"/>
  <c r="AE6" i="5" a="1"/>
  <c r="AE6" i="5"/>
  <c r="AE8" i="5" s="1"/>
  <c r="AD6" i="5" a="1"/>
  <c r="AD6" i="5" s="1"/>
  <c r="AC6" i="5" a="1"/>
  <c r="AC6" i="5"/>
  <c r="AC7" i="5" s="1"/>
  <c r="AB6" i="5" a="1"/>
  <c r="AB6" i="5" s="1"/>
  <c r="AA6" i="5" a="1"/>
  <c r="AA6" i="5"/>
  <c r="AA8" i="5" s="1"/>
  <c r="Z6" i="5" a="1"/>
  <c r="Z6" i="5"/>
  <c r="Y6" i="5" a="1"/>
  <c r="Y6" i="5" s="1"/>
  <c r="X6" i="5" a="1"/>
  <c r="X6" i="5" s="1"/>
  <c r="W6" i="5" a="1"/>
  <c r="W6" i="5"/>
  <c r="W7" i="5" s="1"/>
  <c r="V6" i="5" a="1"/>
  <c r="V6" i="5" s="1"/>
  <c r="V7" i="5" s="1"/>
  <c r="U6" i="5" a="1"/>
  <c r="U6" i="5" s="1"/>
  <c r="U8" i="5" s="1"/>
  <c r="T6" i="5" a="1"/>
  <c r="T6" i="5" s="1"/>
  <c r="S6" i="5" a="1"/>
  <c r="S6" i="5"/>
  <c r="R6" i="5" a="1"/>
  <c r="R6" i="5" s="1"/>
  <c r="Q6" i="5" a="1"/>
  <c r="Q6" i="5" s="1"/>
  <c r="Q7" i="5" s="1"/>
  <c r="P6" i="5" a="1"/>
  <c r="P6" i="5" s="1"/>
  <c r="P7" i="5" s="1"/>
  <c r="O6" i="5" a="1"/>
  <c r="O6" i="5"/>
  <c r="O8" i="5" s="1"/>
  <c r="N6" i="5" a="1"/>
  <c r="N6" i="5"/>
  <c r="M6" i="5" a="1"/>
  <c r="M6" i="5" s="1"/>
  <c r="L6" i="5" a="1"/>
  <c r="L6" i="5" s="1"/>
  <c r="K6" i="5" a="1"/>
  <c r="K6" i="5" s="1"/>
  <c r="K8" i="5" s="1"/>
  <c r="J6" i="5" a="1"/>
  <c r="J6" i="5" s="1"/>
  <c r="J8" i="5" s="1"/>
  <c r="I6" i="5" a="1"/>
  <c r="I6" i="5"/>
  <c r="H6" i="5" a="1"/>
  <c r="H6" i="5"/>
  <c r="G6" i="5" a="1"/>
  <c r="G6" i="5"/>
  <c r="F6" i="5" a="1"/>
  <c r="F6" i="5"/>
  <c r="F8" i="5" s="1"/>
  <c r="E6" i="5" a="1"/>
  <c r="E6" i="5" s="1"/>
  <c r="E8" i="5" s="1"/>
  <c r="D6" i="5" a="1"/>
  <c r="D6" i="5"/>
  <c r="D7" i="5" s="1"/>
  <c r="C6" i="5" a="1"/>
  <c r="C6" i="5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F17" i="4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7" i="4"/>
  <c r="E17" i="4" s="1"/>
  <c r="E16" i="4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6" i="4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14" i="4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4" i="4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Y8" i="4"/>
  <c r="DX8" i="4"/>
  <c r="DN8" i="4"/>
  <c r="DM8" i="4"/>
  <c r="DC8" i="4"/>
  <c r="DB8" i="4"/>
  <c r="CP8" i="4"/>
  <c r="CM8" i="4"/>
  <c r="CL8" i="4"/>
  <c r="CA8" i="4"/>
  <c r="BV8" i="4"/>
  <c r="BU8" i="4"/>
  <c r="BP8" i="4"/>
  <c r="BC8" i="4"/>
  <c r="AR8" i="4"/>
  <c r="AL8" i="4"/>
  <c r="X8" i="4"/>
  <c r="T8" i="4"/>
  <c r="R8" i="4"/>
  <c r="E8" i="4"/>
  <c r="C8" i="4"/>
  <c r="EE7" i="4"/>
  <c r="DY7" i="4"/>
  <c r="DX7" i="4"/>
  <c r="DT7" i="4"/>
  <c r="DS7" i="4"/>
  <c r="DI7" i="4"/>
  <c r="DH7" i="4"/>
  <c r="DA7" i="4"/>
  <c r="CZ7" i="4"/>
  <c r="CO7" i="4"/>
  <c r="CL7" i="4"/>
  <c r="CG7" i="4"/>
  <c r="CA7" i="4"/>
  <c r="BV7" i="4"/>
  <c r="BU7" i="4"/>
  <c r="BQ7" i="4"/>
  <c r="BK7" i="4"/>
  <c r="BD7" i="4"/>
  <c r="BC7" i="4"/>
  <c r="AZ7" i="4"/>
  <c r="AR7" i="4"/>
  <c r="AO7" i="4"/>
  <c r="AN7" i="4"/>
  <c r="AD7" i="4"/>
  <c r="Y7" i="4"/>
  <c r="T7" i="4"/>
  <c r="S7" i="4"/>
  <c r="N7" i="4"/>
  <c r="H7" i="4"/>
  <c r="F7" i="4"/>
  <c r="E7" i="4"/>
  <c r="EF6" i="4" a="1"/>
  <c r="EF6" i="4" s="1"/>
  <c r="EE6" i="4" a="1"/>
  <c r="EE6" i="4" s="1"/>
  <c r="EE8" i="4" s="1"/>
  <c r="ED6" i="4" a="1"/>
  <c r="ED6" i="4" s="1"/>
  <c r="ED7" i="4" s="1"/>
  <c r="EC6" i="4" a="1"/>
  <c r="EC6" i="4" s="1"/>
  <c r="EB6" i="4" a="1"/>
  <c r="EB6" i="4"/>
  <c r="EA6" i="4" a="1"/>
  <c r="EA6" i="4" s="1"/>
  <c r="DZ6" i="4" a="1"/>
  <c r="DZ6" i="4" s="1"/>
  <c r="DY6" i="4" a="1"/>
  <c r="DY6" i="4"/>
  <c r="DX6" i="4" a="1"/>
  <c r="DX6" i="4"/>
  <c r="DW6" i="4" a="1"/>
  <c r="DW6" i="4" s="1"/>
  <c r="DV6" i="4" a="1"/>
  <c r="DV6" i="4"/>
  <c r="DU6" i="4" a="1"/>
  <c r="DU6" i="4" s="1"/>
  <c r="DT6" i="4" a="1"/>
  <c r="DT6" i="4" s="1"/>
  <c r="DT8" i="4" s="1"/>
  <c r="DS6" i="4" a="1"/>
  <c r="DS6" i="4" s="1"/>
  <c r="DS8" i="4" s="1"/>
  <c r="DR6" i="4" a="1"/>
  <c r="DR6" i="4"/>
  <c r="DR8" i="4" s="1"/>
  <c r="DQ6" i="4" a="1"/>
  <c r="DQ6" i="4" s="1"/>
  <c r="DP6" i="4" a="1"/>
  <c r="DP6" i="4"/>
  <c r="DO6" i="4" a="1"/>
  <c r="DO6" i="4" s="1"/>
  <c r="DN6" i="4" a="1"/>
  <c r="DN6" i="4"/>
  <c r="DN7" i="4" s="1"/>
  <c r="DM6" i="4" a="1"/>
  <c r="DM6" i="4"/>
  <c r="DM7" i="4" s="1"/>
  <c r="DL6" i="4" a="1"/>
  <c r="DL6" i="4" s="1"/>
  <c r="DK6" i="4" a="1"/>
  <c r="DK6" i="4" s="1"/>
  <c r="DJ6" i="4" a="1"/>
  <c r="DJ6" i="4" s="1"/>
  <c r="DI6" i="4" a="1"/>
  <c r="DI6" i="4" s="1"/>
  <c r="DI8" i="4" s="1"/>
  <c r="DH6" i="4" a="1"/>
  <c r="DH6" i="4" s="1"/>
  <c r="DH8" i="4" s="1"/>
  <c r="DG6" i="4" a="1"/>
  <c r="DG6" i="4" s="1"/>
  <c r="DF6" i="4" a="1"/>
  <c r="DF6" i="4"/>
  <c r="DF8" i="4" s="1"/>
  <c r="DE6" i="4" a="1"/>
  <c r="DE6" i="4" s="1"/>
  <c r="DD6" i="4" a="1"/>
  <c r="DD6" i="4"/>
  <c r="DD7" i="4" s="1"/>
  <c r="DC6" i="4" a="1"/>
  <c r="DC6" i="4"/>
  <c r="DC7" i="4" s="1"/>
  <c r="DB6" i="4" a="1"/>
  <c r="DB6" i="4"/>
  <c r="DB7" i="4" s="1"/>
  <c r="DA6" i="4" a="1"/>
  <c r="DA6" i="4"/>
  <c r="DA8" i="4" s="1"/>
  <c r="CZ6" i="4" a="1"/>
  <c r="CZ6" i="4" s="1"/>
  <c r="CZ8" i="4" s="1"/>
  <c r="CY6" i="4" a="1"/>
  <c r="CY6" i="4" s="1"/>
  <c r="CX6" i="4" a="1"/>
  <c r="CX6" i="4" s="1"/>
  <c r="CW6" i="4" a="1"/>
  <c r="CW6" i="4" s="1"/>
  <c r="CV6" i="4" a="1"/>
  <c r="CV6" i="4" s="1"/>
  <c r="CU6" i="4" a="1"/>
  <c r="CU6" i="4" s="1"/>
  <c r="CT6" i="4" a="1"/>
  <c r="CT6" i="4"/>
  <c r="CS6" i="4" a="1"/>
  <c r="CS6" i="4" s="1"/>
  <c r="CR6" i="4" a="1"/>
  <c r="CR6" i="4"/>
  <c r="CR7" i="4" s="1"/>
  <c r="CQ6" i="4" a="1"/>
  <c r="CQ6" i="4"/>
  <c r="CQ7" i="4" s="1"/>
  <c r="CP6" i="4" a="1"/>
  <c r="CP6" i="4"/>
  <c r="CP7" i="4" s="1"/>
  <c r="CO6" i="4" a="1"/>
  <c r="CO6" i="4"/>
  <c r="CO8" i="4" s="1"/>
  <c r="CN6" i="4" a="1"/>
  <c r="CN6" i="4" s="1"/>
  <c r="CM6" i="4" a="1"/>
  <c r="CM6" i="4" s="1"/>
  <c r="CM7" i="4" s="1"/>
  <c r="CL6" i="4" a="1"/>
  <c r="CL6" i="4" s="1"/>
  <c r="CK6" i="4" a="1"/>
  <c r="CK6" i="4" s="1"/>
  <c r="CJ6" i="4" a="1"/>
  <c r="CJ6" i="4" s="1"/>
  <c r="CI6" i="4" a="1"/>
  <c r="CI6" i="4" s="1"/>
  <c r="CH6" i="4" a="1"/>
  <c r="CH6" i="4"/>
  <c r="CH7" i="4" s="1"/>
  <c r="CG6" i="4" a="1"/>
  <c r="CG6" i="4"/>
  <c r="CG8" i="4" s="1"/>
  <c r="CF6" i="4" a="1"/>
  <c r="CF6" i="4"/>
  <c r="CE6" i="4" a="1"/>
  <c r="CE6" i="4" s="1"/>
  <c r="CD6" i="4" a="1"/>
  <c r="CD6" i="4"/>
  <c r="CC6" i="4" a="1"/>
  <c r="CC6" i="4"/>
  <c r="CC8" i="4" s="1"/>
  <c r="CB6" i="4" a="1"/>
  <c r="CB6" i="4" s="1"/>
  <c r="CB8" i="4" s="1"/>
  <c r="CA6" i="4" a="1"/>
  <c r="CA6" i="4" s="1"/>
  <c r="BZ6" i="4" a="1"/>
  <c r="BZ6" i="4" s="1"/>
  <c r="BY6" i="4" a="1"/>
  <c r="BY6" i="4"/>
  <c r="BX6" i="4" a="1"/>
  <c r="BX6" i="4" s="1"/>
  <c r="BW6" i="4" a="1"/>
  <c r="BW6" i="4" s="1"/>
  <c r="BV6" i="4" a="1"/>
  <c r="BV6" i="4"/>
  <c r="BU6" i="4" a="1"/>
  <c r="BU6" i="4"/>
  <c r="BT6" i="4" a="1"/>
  <c r="BT6" i="4"/>
  <c r="BS6" i="4" a="1"/>
  <c r="BS6" i="4" s="1"/>
  <c r="BR6" i="4" a="1"/>
  <c r="BR6" i="4"/>
  <c r="BQ6" i="4" a="1"/>
  <c r="BQ6" i="4" s="1"/>
  <c r="BQ8" i="4" s="1"/>
  <c r="BP6" i="4" a="1"/>
  <c r="BP6" i="4" s="1"/>
  <c r="BP7" i="4" s="1"/>
  <c r="BO6" i="4" a="1"/>
  <c r="BO6" i="4" s="1"/>
  <c r="BN6" i="4" a="1"/>
  <c r="BN6" i="4" s="1"/>
  <c r="BM6" i="4" a="1"/>
  <c r="BM6" i="4"/>
  <c r="BL6" i="4" a="1"/>
  <c r="BL6" i="4" s="1"/>
  <c r="BK6" i="4" a="1"/>
  <c r="BK6" i="4"/>
  <c r="BK8" i="4" s="1"/>
  <c r="BJ6" i="4" a="1"/>
  <c r="BJ6" i="4"/>
  <c r="BJ8" i="4" s="1"/>
  <c r="BI6" i="4" a="1"/>
  <c r="BI6" i="4"/>
  <c r="BI8" i="4" s="1"/>
  <c r="BH6" i="4" a="1"/>
  <c r="BH6" i="4"/>
  <c r="BG6" i="4" a="1"/>
  <c r="BG6" i="4" s="1"/>
  <c r="BF6" i="4" a="1"/>
  <c r="BF6" i="4" s="1"/>
  <c r="BE6" i="4" a="1"/>
  <c r="BE6" i="4" s="1"/>
  <c r="BE8" i="4" s="1"/>
  <c r="BD6" i="4" a="1"/>
  <c r="BD6" i="4"/>
  <c r="BD8" i="4" s="1"/>
  <c r="BC6" i="4" a="1"/>
  <c r="BC6" i="4" s="1"/>
  <c r="BB6" i="4" a="1"/>
  <c r="BB6" i="4" s="1"/>
  <c r="BB7" i="4" s="1"/>
  <c r="BA6" i="4" a="1"/>
  <c r="BA6" i="4"/>
  <c r="AZ6" i="4" a="1"/>
  <c r="AZ6" i="4"/>
  <c r="AZ8" i="4" s="1"/>
  <c r="AY6" i="4" a="1"/>
  <c r="AY6" i="4"/>
  <c r="AY8" i="4" s="1"/>
  <c r="AX6" i="4" a="1"/>
  <c r="AX6" i="4"/>
  <c r="AX8" i="4" s="1"/>
  <c r="AW6" i="4" a="1"/>
  <c r="AW6" i="4"/>
  <c r="AW8" i="4" s="1"/>
  <c r="AV6" i="4" a="1"/>
  <c r="AV6" i="4"/>
  <c r="AU6" i="4" a="1"/>
  <c r="AU6" i="4" s="1"/>
  <c r="AT6" i="4" a="1"/>
  <c r="AT6" i="4" s="1"/>
  <c r="AS6" i="4" a="1"/>
  <c r="AS6" i="4" s="1"/>
  <c r="AR6" i="4" a="1"/>
  <c r="AR6" i="4"/>
  <c r="AQ6" i="4" a="1"/>
  <c r="AQ6" i="4" s="1"/>
  <c r="AP6" i="4" a="1"/>
  <c r="AP6" i="4" s="1"/>
  <c r="AO6" i="4" a="1"/>
  <c r="AO6" i="4"/>
  <c r="AO8" i="4" s="1"/>
  <c r="AN6" i="4" a="1"/>
  <c r="AN6" i="4"/>
  <c r="AN8" i="4" s="1"/>
  <c r="AM6" i="4" a="1"/>
  <c r="AM6" i="4" s="1"/>
  <c r="AM7" i="4" s="1"/>
  <c r="AL6" i="4" a="1"/>
  <c r="AL6" i="4"/>
  <c r="AL7" i="4" s="1"/>
  <c r="AK6" i="4" a="1"/>
  <c r="AK6" i="4"/>
  <c r="AK7" i="4" s="1"/>
  <c r="AJ6" i="4" a="1"/>
  <c r="AJ6" i="4" s="1"/>
  <c r="AJ7" i="4" s="1"/>
  <c r="AI6" i="4" a="1"/>
  <c r="AI6" i="4" s="1"/>
  <c r="AH6" i="4" a="1"/>
  <c r="AH6" i="4" s="1"/>
  <c r="AG6" i="4" a="1"/>
  <c r="AG6" i="4" s="1"/>
  <c r="AF6" i="4" a="1"/>
  <c r="AF6" i="4"/>
  <c r="AF7" i="4" s="1"/>
  <c r="AE6" i="4" a="1"/>
  <c r="AE6" i="4" s="1"/>
  <c r="AD6" i="4" a="1"/>
  <c r="AD6" i="4"/>
  <c r="AD8" i="4" s="1"/>
  <c r="AC6" i="4" a="1"/>
  <c r="AC6" i="4"/>
  <c r="AB6" i="4" a="1"/>
  <c r="AB6" i="4" s="1"/>
  <c r="AA6" i="4" a="1"/>
  <c r="AA6" i="4" s="1"/>
  <c r="Z6" i="4" a="1"/>
  <c r="Z6" i="4"/>
  <c r="Z8" i="4" s="1"/>
  <c r="Y6" i="4" a="1"/>
  <c r="Y6" i="4" s="1"/>
  <c r="Y8" i="4" s="1"/>
  <c r="X6" i="4" a="1"/>
  <c r="X6" i="4" s="1"/>
  <c r="X7" i="4" s="1"/>
  <c r="W6" i="4" a="1"/>
  <c r="W6" i="4"/>
  <c r="V6" i="4" a="1"/>
  <c r="V6" i="4" s="1"/>
  <c r="U6" i="4" a="1"/>
  <c r="U6" i="4" s="1"/>
  <c r="T6" i="4" a="1"/>
  <c r="T6" i="4"/>
  <c r="S6" i="4" a="1"/>
  <c r="S6" i="4"/>
  <c r="S8" i="4" s="1"/>
  <c r="R6" i="4" a="1"/>
  <c r="R6" i="4"/>
  <c r="R7" i="4" s="1"/>
  <c r="Q6" i="4" a="1"/>
  <c r="Q6" i="4"/>
  <c r="P6" i="4" a="1"/>
  <c r="P6" i="4" s="1"/>
  <c r="O6" i="4" a="1"/>
  <c r="O6" i="4" s="1"/>
  <c r="N6" i="4" a="1"/>
  <c r="N6" i="4" s="1"/>
  <c r="N8" i="4" s="1"/>
  <c r="M6" i="4" a="1"/>
  <c r="M6" i="4" s="1"/>
  <c r="M8" i="4" s="1"/>
  <c r="L6" i="4" a="1"/>
  <c r="L6" i="4" s="1"/>
  <c r="K6" i="4" a="1"/>
  <c r="K6" i="4"/>
  <c r="J6" i="4" a="1"/>
  <c r="J6" i="4" s="1"/>
  <c r="I6" i="4" a="1"/>
  <c r="I6" i="4" s="1"/>
  <c r="H6" i="4" a="1"/>
  <c r="H6" i="4"/>
  <c r="H8" i="4" s="1"/>
  <c r="G6" i="4" a="1"/>
  <c r="G6" i="4"/>
  <c r="G8" i="4" s="1"/>
  <c r="F6" i="4" a="1"/>
  <c r="F6" i="4" s="1"/>
  <c r="F8" i="4" s="1"/>
  <c r="E6" i="4" a="1"/>
  <c r="E6" i="4"/>
  <c r="D6" i="4" a="1"/>
  <c r="D6" i="4" s="1"/>
  <c r="D7" i="4" s="1"/>
  <c r="C6" i="4" a="1"/>
  <c r="C6" i="4" s="1"/>
  <c r="C7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H19" i="3" s="1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E8" i="3"/>
  <c r="ED8" i="3"/>
  <c r="DT8" i="3"/>
  <c r="DS8" i="3"/>
  <c r="DJ8" i="3"/>
  <c r="DI8" i="3"/>
  <c r="DA8" i="3"/>
  <c r="CZ8" i="3"/>
  <c r="CY8" i="3"/>
  <c r="CX8" i="3"/>
  <c r="CU8" i="3"/>
  <c r="CM8" i="3"/>
  <c r="CB8" i="3"/>
  <c r="CA8" i="3"/>
  <c r="BY8" i="3"/>
  <c r="BR8" i="3"/>
  <c r="BQ8" i="3"/>
  <c r="BN8" i="3"/>
  <c r="BI8" i="3"/>
  <c r="BF8" i="3"/>
  <c r="BC8" i="3"/>
  <c r="AX8" i="3"/>
  <c r="AV8" i="3"/>
  <c r="AU8" i="3"/>
  <c r="AT8" i="3"/>
  <c r="AJ8" i="3"/>
  <c r="AI8" i="3"/>
  <c r="AB8" i="3"/>
  <c r="AA8" i="3"/>
  <c r="Y8" i="3"/>
  <c r="V8" i="3"/>
  <c r="Q8" i="3"/>
  <c r="N8" i="3"/>
  <c r="M8" i="3"/>
  <c r="L8" i="3"/>
  <c r="C8" i="3"/>
  <c r="EF7" i="3"/>
  <c r="EE7" i="3"/>
  <c r="DY7" i="3"/>
  <c r="DW7" i="3"/>
  <c r="DT7" i="3"/>
  <c r="DN7" i="3"/>
  <c r="DJ7" i="3"/>
  <c r="DI7" i="3"/>
  <c r="DH7" i="3"/>
  <c r="DC7" i="3"/>
  <c r="DA7" i="3"/>
  <c r="CX7" i="3"/>
  <c r="CR7" i="3"/>
  <c r="CM7" i="3"/>
  <c r="CG7" i="3"/>
  <c r="CE7" i="3"/>
  <c r="CB7" i="3"/>
  <c r="CA7" i="3"/>
  <c r="BV7" i="3"/>
  <c r="BR7" i="3"/>
  <c r="BQ7" i="3"/>
  <c r="BP7" i="3"/>
  <c r="BK7" i="3"/>
  <c r="BF7" i="3"/>
  <c r="AZ7" i="3"/>
  <c r="AV7" i="3"/>
  <c r="AU7" i="3"/>
  <c r="AO7" i="3"/>
  <c r="AJ7" i="3"/>
  <c r="AI7" i="3"/>
  <c r="AD7" i="3"/>
  <c r="AB7" i="3"/>
  <c r="Z7" i="3"/>
  <c r="Y7" i="3"/>
  <c r="S7" i="3"/>
  <c r="Q7" i="3"/>
  <c r="O7" i="3"/>
  <c r="N7" i="3"/>
  <c r="I7" i="3"/>
  <c r="H7" i="3"/>
  <c r="G7" i="3"/>
  <c r="C7" i="3"/>
  <c r="EF6" i="3" a="1"/>
  <c r="EF6" i="3" s="1"/>
  <c r="EF8" i="3" s="1"/>
  <c r="EE6" i="3" a="1"/>
  <c r="EE6" i="3"/>
  <c r="ED6" i="3" a="1"/>
  <c r="ED6" i="3"/>
  <c r="ED7" i="3" s="1"/>
  <c r="EC6" i="3" a="1"/>
  <c r="EC6" i="3" s="1"/>
  <c r="EB6" i="3" a="1"/>
  <c r="EB6" i="3"/>
  <c r="EB7" i="3" s="1"/>
  <c r="EA6" i="3" a="1"/>
  <c r="EA6" i="3" s="1"/>
  <c r="DZ6" i="3" a="1"/>
  <c r="DZ6" i="3" s="1"/>
  <c r="DY6" i="3" a="1"/>
  <c r="DY6" i="3"/>
  <c r="DY8" i="3" s="1"/>
  <c r="DX6" i="3" a="1"/>
  <c r="DX6" i="3" s="1"/>
  <c r="DW6" i="3" a="1"/>
  <c r="DW6" i="3" s="1"/>
  <c r="DW8" i="3" s="1"/>
  <c r="DV6" i="3" a="1"/>
  <c r="DV6" i="3"/>
  <c r="DV7" i="3" s="1"/>
  <c r="DU6" i="3" a="1"/>
  <c r="DU6" i="3" s="1"/>
  <c r="DU7" i="3" s="1"/>
  <c r="DT6" i="3" a="1"/>
  <c r="DT6" i="3"/>
  <c r="DS6" i="3" a="1"/>
  <c r="DS6" i="3"/>
  <c r="DS7" i="3" s="1"/>
  <c r="DR6" i="3" a="1"/>
  <c r="DR6" i="3"/>
  <c r="DR7" i="3" s="1"/>
  <c r="DQ6" i="3" a="1"/>
  <c r="DQ6" i="3"/>
  <c r="DQ7" i="3" s="1"/>
  <c r="DP6" i="3" a="1"/>
  <c r="DP6" i="3"/>
  <c r="DO6" i="3" a="1"/>
  <c r="DO6" i="3" s="1"/>
  <c r="DN6" i="3" a="1"/>
  <c r="DN6" i="3"/>
  <c r="DN8" i="3" s="1"/>
  <c r="DM6" i="3" a="1"/>
  <c r="DM6" i="3"/>
  <c r="DM8" i="3" s="1"/>
  <c r="DL6" i="3" a="1"/>
  <c r="DL6" i="3" s="1"/>
  <c r="DL7" i="3" s="1"/>
  <c r="DK6" i="3" a="1"/>
  <c r="DK6" i="3" s="1"/>
  <c r="DJ6" i="3" a="1"/>
  <c r="DJ6" i="3" s="1"/>
  <c r="DI6" i="3" a="1"/>
  <c r="DI6" i="3"/>
  <c r="DH6" i="3" a="1"/>
  <c r="DH6" i="3"/>
  <c r="DH8" i="3" s="1"/>
  <c r="DG6" i="3" a="1"/>
  <c r="DG6" i="3" s="1"/>
  <c r="DF6" i="3" a="1"/>
  <c r="DF6" i="3"/>
  <c r="DF7" i="3" s="1"/>
  <c r="DE6" i="3" a="1"/>
  <c r="DE6" i="3" s="1"/>
  <c r="DD6" i="3" a="1"/>
  <c r="DD6" i="3" s="1"/>
  <c r="DC6" i="3" a="1"/>
  <c r="DC6" i="3"/>
  <c r="DC8" i="3" s="1"/>
  <c r="DB6" i="3" a="1"/>
  <c r="DB6" i="3" s="1"/>
  <c r="DA6" i="3" a="1"/>
  <c r="DA6" i="3" s="1"/>
  <c r="CZ6" i="3" a="1"/>
  <c r="CZ6" i="3"/>
  <c r="CZ7" i="3" s="1"/>
  <c r="CY6" i="3" a="1"/>
  <c r="CY6" i="3" s="1"/>
  <c r="CY7" i="3" s="1"/>
  <c r="CX6" i="3" a="1"/>
  <c r="CX6" i="3"/>
  <c r="CW6" i="3" a="1"/>
  <c r="CW6" i="3"/>
  <c r="CW7" i="3" s="1"/>
  <c r="CV6" i="3" a="1"/>
  <c r="CV6" i="3" s="1"/>
  <c r="CU6" i="3" a="1"/>
  <c r="CU6" i="3"/>
  <c r="CU7" i="3" s="1"/>
  <c r="CT6" i="3" a="1"/>
  <c r="CT6" i="3"/>
  <c r="CS6" i="3" a="1"/>
  <c r="CS6" i="3" s="1"/>
  <c r="CR6" i="3" a="1"/>
  <c r="CR6" i="3"/>
  <c r="CR8" i="3" s="1"/>
  <c r="CQ6" i="3" a="1"/>
  <c r="CQ6" i="3" s="1"/>
  <c r="CP6" i="3" a="1"/>
  <c r="CP6" i="3" s="1"/>
  <c r="CP8" i="3" s="1"/>
  <c r="CO6" i="3" a="1"/>
  <c r="CO6" i="3" s="1"/>
  <c r="CN6" i="3" a="1"/>
  <c r="CN6" i="3" s="1"/>
  <c r="CN8" i="3" s="1"/>
  <c r="CM6" i="3" a="1"/>
  <c r="CM6" i="3"/>
  <c r="CL6" i="3" a="1"/>
  <c r="CL6" i="3"/>
  <c r="CL8" i="3" s="1"/>
  <c r="CK6" i="3" a="1"/>
  <c r="CK6" i="3"/>
  <c r="CK7" i="3" s="1"/>
  <c r="CJ6" i="3" a="1"/>
  <c r="CJ6" i="3"/>
  <c r="CJ7" i="3" s="1"/>
  <c r="CI6" i="3" a="1"/>
  <c r="CI6" i="3" s="1"/>
  <c r="CH6" i="3" a="1"/>
  <c r="CH6" i="3" s="1"/>
  <c r="CG6" i="3" a="1"/>
  <c r="CG6" i="3"/>
  <c r="CG8" i="3" s="1"/>
  <c r="CF6" i="3" a="1"/>
  <c r="CF6" i="3"/>
  <c r="CF8" i="3" s="1"/>
  <c r="CE6" i="3" a="1"/>
  <c r="CE6" i="3" s="1"/>
  <c r="CE8" i="3" s="1"/>
  <c r="CD6" i="3" a="1"/>
  <c r="CD6" i="3" s="1"/>
  <c r="CC6" i="3" a="1"/>
  <c r="CC6" i="3" s="1"/>
  <c r="CC7" i="3" s="1"/>
  <c r="CB6" i="3" a="1"/>
  <c r="CB6" i="3"/>
  <c r="CA6" i="3" a="1"/>
  <c r="CA6" i="3"/>
  <c r="BZ6" i="3" a="1"/>
  <c r="BZ6" i="3"/>
  <c r="BZ7" i="3" s="1"/>
  <c r="BY6" i="3" a="1"/>
  <c r="BY6" i="3"/>
  <c r="BY7" i="3" s="1"/>
  <c r="BX6" i="3" a="1"/>
  <c r="BX6" i="3" s="1"/>
  <c r="BW6" i="3" a="1"/>
  <c r="BW6" i="3" s="1"/>
  <c r="BV6" i="3" a="1"/>
  <c r="BV6" i="3"/>
  <c r="BV8" i="3" s="1"/>
  <c r="BU6" i="3" a="1"/>
  <c r="BU6" i="3" s="1"/>
  <c r="BT6" i="3" a="1"/>
  <c r="BT6" i="3" s="1"/>
  <c r="BT8" i="3" s="1"/>
  <c r="BS6" i="3" a="1"/>
  <c r="BS6" i="3"/>
  <c r="BS7" i="3" s="1"/>
  <c r="BR6" i="3" a="1"/>
  <c r="BR6" i="3" s="1"/>
  <c r="BQ6" i="3" a="1"/>
  <c r="BQ6" i="3"/>
  <c r="BP6" i="3" a="1"/>
  <c r="BP6" i="3"/>
  <c r="BP8" i="3" s="1"/>
  <c r="BO6" i="3" a="1"/>
  <c r="BO6" i="3" s="1"/>
  <c r="BN6" i="3" a="1"/>
  <c r="BN6" i="3"/>
  <c r="BN7" i="3" s="1"/>
  <c r="BM6" i="3" a="1"/>
  <c r="BM6" i="3"/>
  <c r="BL6" i="3" a="1"/>
  <c r="BL6" i="3" s="1"/>
  <c r="BK6" i="3" a="1"/>
  <c r="BK6" i="3"/>
  <c r="BK8" i="3" s="1"/>
  <c r="BJ6" i="3" a="1"/>
  <c r="BJ6" i="3" s="1"/>
  <c r="BI6" i="3" a="1"/>
  <c r="BI6" i="3" s="1"/>
  <c r="BI7" i="3" s="1"/>
  <c r="BH6" i="3" a="1"/>
  <c r="BH6" i="3" s="1"/>
  <c r="BG6" i="3" a="1"/>
  <c r="BG6" i="3" s="1"/>
  <c r="BG8" i="3" s="1"/>
  <c r="BF6" i="3" a="1"/>
  <c r="BF6" i="3"/>
  <c r="BE6" i="3" a="1"/>
  <c r="BE6" i="3"/>
  <c r="BE7" i="3" s="1"/>
  <c r="BD6" i="3" a="1"/>
  <c r="BD6" i="3"/>
  <c r="BD7" i="3" s="1"/>
  <c r="BC6" i="3" a="1"/>
  <c r="BC6" i="3"/>
  <c r="BC7" i="3" s="1"/>
  <c r="BB6" i="3" a="1"/>
  <c r="BB6" i="3" s="1"/>
  <c r="BA6" i="3" a="1"/>
  <c r="BA6" i="3" s="1"/>
  <c r="AZ6" i="3" a="1"/>
  <c r="AZ6" i="3"/>
  <c r="AZ8" i="3" s="1"/>
  <c r="AY6" i="3" a="1"/>
  <c r="AY6" i="3"/>
  <c r="AY8" i="3" s="1"/>
  <c r="AX6" i="3" a="1"/>
  <c r="AX6" i="3" s="1"/>
  <c r="AX7" i="3" s="1"/>
  <c r="AW6" i="3" a="1"/>
  <c r="AW6" i="3" s="1"/>
  <c r="AV6" i="3" a="1"/>
  <c r="AV6" i="3" s="1"/>
  <c r="AU6" i="3" a="1"/>
  <c r="AU6" i="3"/>
  <c r="AT6" i="3" a="1"/>
  <c r="AT6" i="3"/>
  <c r="AT7" i="3" s="1"/>
  <c r="AS6" i="3" a="1"/>
  <c r="AS6" i="3" s="1"/>
  <c r="AR6" i="3" a="1"/>
  <c r="AR6" i="3"/>
  <c r="AR7" i="3" s="1"/>
  <c r="AQ6" i="3" a="1"/>
  <c r="AQ6" i="3" s="1"/>
  <c r="AP6" i="3" a="1"/>
  <c r="AP6" i="3" s="1"/>
  <c r="AO6" i="3" a="1"/>
  <c r="AO6" i="3"/>
  <c r="AO8" i="3" s="1"/>
  <c r="AN6" i="3" a="1"/>
  <c r="AN6" i="3"/>
  <c r="AN8" i="3" s="1"/>
  <c r="AM6" i="3" a="1"/>
  <c r="AM6" i="3" s="1"/>
  <c r="AM8" i="3" s="1"/>
  <c r="AL6" i="3" a="1"/>
  <c r="AL6" i="3"/>
  <c r="AL7" i="3" s="1"/>
  <c r="AK6" i="3" a="1"/>
  <c r="AK6" i="3" s="1"/>
  <c r="AK8" i="3" s="1"/>
  <c r="AJ6" i="3" a="1"/>
  <c r="AJ6" i="3"/>
  <c r="AI6" i="3" a="1"/>
  <c r="AI6" i="3"/>
  <c r="AH6" i="3" a="1"/>
  <c r="AH6" i="3"/>
  <c r="AH7" i="3" s="1"/>
  <c r="AG6" i="3" a="1"/>
  <c r="AG6" i="3"/>
  <c r="AG7" i="3" s="1"/>
  <c r="AF6" i="3" a="1"/>
  <c r="AF6" i="3"/>
  <c r="AE6" i="3" a="1"/>
  <c r="AE6" i="3" s="1"/>
  <c r="AD6" i="3" a="1"/>
  <c r="AD6" i="3"/>
  <c r="AD8" i="3" s="1"/>
  <c r="AC6" i="3" a="1"/>
  <c r="AC6" i="3" s="1"/>
  <c r="AB6" i="3" a="1"/>
  <c r="AB6" i="3" s="1"/>
  <c r="AA6" i="3" a="1"/>
  <c r="AA6" i="3"/>
  <c r="AA7" i="3" s="1"/>
  <c r="Z6" i="3" a="1"/>
  <c r="Z6" i="3" s="1"/>
  <c r="Z8" i="3" s="1"/>
  <c r="Y6" i="3" a="1"/>
  <c r="Y6" i="3"/>
  <c r="X6" i="3" a="1"/>
  <c r="X6" i="3"/>
  <c r="X7" i="3" s="1"/>
  <c r="W6" i="3" a="1"/>
  <c r="W6" i="3"/>
  <c r="W7" i="3" s="1"/>
  <c r="V6" i="3" a="1"/>
  <c r="V6" i="3"/>
  <c r="V7" i="3" s="1"/>
  <c r="U6" i="3" a="1"/>
  <c r="U6" i="3"/>
  <c r="T6" i="3" a="1"/>
  <c r="T6" i="3" s="1"/>
  <c r="S6" i="3" a="1"/>
  <c r="S6" i="3"/>
  <c r="S8" i="3" s="1"/>
  <c r="R6" i="3" a="1"/>
  <c r="R6" i="3"/>
  <c r="R8" i="3" s="1"/>
  <c r="Q6" i="3" a="1"/>
  <c r="Q6" i="3" s="1"/>
  <c r="P6" i="3" a="1"/>
  <c r="P6" i="3" s="1"/>
  <c r="O6" i="3" a="1"/>
  <c r="O6" i="3" s="1"/>
  <c r="O8" i="3" s="1"/>
  <c r="N6" i="3" a="1"/>
  <c r="N6" i="3"/>
  <c r="M6" i="3" a="1"/>
  <c r="M6" i="3"/>
  <c r="M7" i="3" s="1"/>
  <c r="L6" i="3" a="1"/>
  <c r="L6" i="3"/>
  <c r="L7" i="3" s="1"/>
  <c r="K6" i="3" a="1"/>
  <c r="K6" i="3"/>
  <c r="K7" i="3" s="1"/>
  <c r="J6" i="3" a="1"/>
  <c r="J6" i="3" s="1"/>
  <c r="I6" i="3" a="1"/>
  <c r="I6" i="3"/>
  <c r="I8" i="3" s="1"/>
  <c r="H6" i="3" a="1"/>
  <c r="H6" i="3"/>
  <c r="H8" i="3" s="1"/>
  <c r="G6" i="3" a="1"/>
  <c r="G6" i="3"/>
  <c r="G8" i="3" s="1"/>
  <c r="F6" i="3" a="1"/>
  <c r="F6" i="3" s="1"/>
  <c r="F7" i="3" s="1"/>
  <c r="E6" i="3" a="1"/>
  <c r="E6" i="3" s="1"/>
  <c r="D6" i="3" a="1"/>
  <c r="D6" i="3" s="1"/>
  <c r="D7" i="3" s="1"/>
  <c r="C6" i="3" a="1"/>
  <c r="C6" i="3"/>
  <c r="EH26" i="2"/>
  <c r="EG26" i="2"/>
  <c r="EI26" i="2" s="1"/>
  <c r="EH24" i="2"/>
  <c r="EG24" i="2"/>
  <c r="EI24" i="2" s="1"/>
  <c r="EH23" i="2"/>
  <c r="EI23" i="2" s="1"/>
  <c r="EG23" i="2"/>
  <c r="EH22" i="2"/>
  <c r="EG22" i="2"/>
  <c r="EI22" i="2" s="1"/>
  <c r="EH21" i="2"/>
  <c r="EG21" i="2"/>
  <c r="EI21" i="2" s="1"/>
  <c r="EH20" i="2"/>
  <c r="EG20" i="2"/>
  <c r="EI19" i="2"/>
  <c r="EH19" i="2"/>
  <c r="EG19" i="2"/>
  <c r="EH18" i="2"/>
  <c r="EG18" i="2"/>
  <c r="EI18" i="2" s="1"/>
  <c r="EI17" i="2"/>
  <c r="EH17" i="2"/>
  <c r="EG17" i="2"/>
  <c r="EH16" i="2"/>
  <c r="EI16" i="2" s="1"/>
  <c r="EG16" i="2"/>
  <c r="EH15" i="2"/>
  <c r="EG15" i="2"/>
  <c r="EI15" i="2" s="1"/>
  <c r="EH14" i="2"/>
  <c r="EG14" i="2"/>
  <c r="EI13" i="2"/>
  <c r="EH13" i="2"/>
  <c r="EG13" i="2"/>
  <c r="EH12" i="2"/>
  <c r="EI12" i="2" s="1"/>
  <c r="EG12" i="2"/>
  <c r="EB8" i="2"/>
  <c r="EA8" i="2"/>
  <c r="DY8" i="2"/>
  <c r="DQ8" i="2"/>
  <c r="DP8" i="2"/>
  <c r="DN8" i="2"/>
  <c r="DM8" i="2"/>
  <c r="DG8" i="2"/>
  <c r="DF8" i="2"/>
  <c r="DE8" i="2"/>
  <c r="DA8" i="2"/>
  <c r="CU8" i="2"/>
  <c r="CP8" i="2"/>
  <c r="CJ8" i="2"/>
  <c r="CE8" i="2"/>
  <c r="BY8" i="2"/>
  <c r="BU8" i="2"/>
  <c r="BT8" i="2"/>
  <c r="BO8" i="2"/>
  <c r="BN8" i="2"/>
  <c r="BI8" i="2"/>
  <c r="BD8" i="2"/>
  <c r="BC8" i="2"/>
  <c r="AX8" i="2"/>
  <c r="AS8" i="2"/>
  <c r="AR8" i="2"/>
  <c r="AH8" i="2"/>
  <c r="AG8" i="2"/>
  <c r="AC8" i="2"/>
  <c r="AB8" i="2"/>
  <c r="W8" i="2"/>
  <c r="V8" i="2"/>
  <c r="L8" i="2"/>
  <c r="K8" i="2"/>
  <c r="H8" i="2"/>
  <c r="F8" i="2"/>
  <c r="EC7" i="2"/>
  <c r="EB7" i="2"/>
  <c r="EA7" i="2"/>
  <c r="DT7" i="2"/>
  <c r="DQ7" i="2"/>
  <c r="DI7" i="2"/>
  <c r="DF7" i="2"/>
  <c r="DD7" i="2"/>
  <c r="CU7" i="2"/>
  <c r="CM7" i="2"/>
  <c r="CK7" i="2"/>
  <c r="CJ7" i="2"/>
  <c r="CH7" i="2"/>
  <c r="CB7" i="2"/>
  <c r="BY7" i="2"/>
  <c r="BW7" i="2"/>
  <c r="BO7" i="2"/>
  <c r="BN7" i="2"/>
  <c r="BD7" i="2"/>
  <c r="BC7" i="2"/>
  <c r="AS7" i="2"/>
  <c r="AJ7" i="2"/>
  <c r="AH7" i="2"/>
  <c r="W7" i="2"/>
  <c r="T7" i="2"/>
  <c r="N7" i="2"/>
  <c r="L7" i="2"/>
  <c r="C7" i="2"/>
  <c r="EF6" i="2" a="1"/>
  <c r="EF6" i="2" s="1"/>
  <c r="EE6" i="2" a="1"/>
  <c r="EE6" i="2"/>
  <c r="EE8" i="2" s="1"/>
  <c r="ED6" i="2" a="1"/>
  <c r="ED6" i="2" s="1"/>
  <c r="EC6" i="2" a="1"/>
  <c r="EC6" i="2" s="1"/>
  <c r="EC8" i="2" s="1"/>
  <c r="EB6" i="2" a="1"/>
  <c r="EB6" i="2"/>
  <c r="EA6" i="2" a="1"/>
  <c r="EA6" i="2"/>
  <c r="DZ6" i="2" a="1"/>
  <c r="DZ6" i="2" s="1"/>
  <c r="DZ8" i="2" s="1"/>
  <c r="DY6" i="2" a="1"/>
  <c r="DY6" i="2"/>
  <c r="DY7" i="2" s="1"/>
  <c r="DX6" i="2" a="1"/>
  <c r="DX6" i="2" s="1"/>
  <c r="DX7" i="2" s="1"/>
  <c r="DW6" i="2" a="1"/>
  <c r="DW6" i="2" s="1"/>
  <c r="DW7" i="2" s="1"/>
  <c r="DV6" i="2" a="1"/>
  <c r="DV6" i="2"/>
  <c r="DU6" i="2" a="1"/>
  <c r="DU6" i="2" s="1"/>
  <c r="DT6" i="2" a="1"/>
  <c r="DT6" i="2"/>
  <c r="DT8" i="2" s="1"/>
  <c r="DS6" i="2" a="1"/>
  <c r="DS6" i="2" s="1"/>
  <c r="DR6" i="2" a="1"/>
  <c r="DR6" i="2" s="1"/>
  <c r="DR7" i="2" s="1"/>
  <c r="DQ6" i="2" a="1"/>
  <c r="DQ6" i="2"/>
  <c r="DP6" i="2" a="1"/>
  <c r="DP6" i="2"/>
  <c r="DP7" i="2" s="1"/>
  <c r="DO6" i="2" a="1"/>
  <c r="DO6" i="2" s="1"/>
  <c r="DO8" i="2" s="1"/>
  <c r="DN6" i="2" a="1"/>
  <c r="DN6" i="2"/>
  <c r="DN7" i="2" s="1"/>
  <c r="DM6" i="2" a="1"/>
  <c r="DM6" i="2" s="1"/>
  <c r="DM7" i="2" s="1"/>
  <c r="DL6" i="2" a="1"/>
  <c r="DL6" i="2" s="1"/>
  <c r="DL7" i="2" s="1"/>
  <c r="DK6" i="2" a="1"/>
  <c r="DK6" i="2"/>
  <c r="DJ6" i="2" a="1"/>
  <c r="DJ6" i="2"/>
  <c r="DI6" i="2" a="1"/>
  <c r="DI6" i="2"/>
  <c r="DI8" i="2" s="1"/>
  <c r="DH6" i="2" a="1"/>
  <c r="DH6" i="2" s="1"/>
  <c r="DG6" i="2" a="1"/>
  <c r="DG6" i="2" s="1"/>
  <c r="DG7" i="2" s="1"/>
  <c r="DF6" i="2" a="1"/>
  <c r="DF6" i="2"/>
  <c r="DE6" i="2" a="1"/>
  <c r="DE6" i="2"/>
  <c r="DE7" i="2" s="1"/>
  <c r="DD6" i="2" a="1"/>
  <c r="DD6" i="2" s="1"/>
  <c r="DD8" i="2" s="1"/>
  <c r="DC6" i="2" a="1"/>
  <c r="DC6" i="2" s="1"/>
  <c r="DB6" i="2" a="1"/>
  <c r="DB6" i="2" s="1"/>
  <c r="DB7" i="2" s="1"/>
  <c r="DA6" i="2" a="1"/>
  <c r="DA6" i="2"/>
  <c r="DA7" i="2" s="1"/>
  <c r="CZ6" i="2" a="1"/>
  <c r="CZ6" i="2"/>
  <c r="CY6" i="2" a="1"/>
  <c r="CY6" i="2" s="1"/>
  <c r="CX6" i="2" a="1"/>
  <c r="CX6" i="2"/>
  <c r="CX8" i="2" s="1"/>
  <c r="CW6" i="2" a="1"/>
  <c r="CW6" i="2" s="1"/>
  <c r="CV6" i="2" a="1"/>
  <c r="CV6" i="2" s="1"/>
  <c r="CV8" i="2" s="1"/>
  <c r="CU6" i="2" a="1"/>
  <c r="CU6" i="2"/>
  <c r="CT6" i="2" a="1"/>
  <c r="CT6" i="2"/>
  <c r="CT8" i="2" s="1"/>
  <c r="CS6" i="2" a="1"/>
  <c r="CS6" i="2" s="1"/>
  <c r="CS8" i="2" s="1"/>
  <c r="CR6" i="2" a="1"/>
  <c r="CR6" i="2"/>
  <c r="CR8" i="2" s="1"/>
  <c r="CQ6" i="2" a="1"/>
  <c r="CQ6" i="2" s="1"/>
  <c r="CQ7" i="2" s="1"/>
  <c r="CP6" i="2" a="1"/>
  <c r="CP6" i="2"/>
  <c r="CP7" i="2" s="1"/>
  <c r="CO6" i="2" a="1"/>
  <c r="CO6" i="2"/>
  <c r="CN6" i="2" a="1"/>
  <c r="CN6" i="2"/>
  <c r="CM6" i="2" a="1"/>
  <c r="CM6" i="2"/>
  <c r="CM8" i="2" s="1"/>
  <c r="CL6" i="2" a="1"/>
  <c r="CL6" i="2"/>
  <c r="CL8" i="2" s="1"/>
  <c r="CK6" i="2" a="1"/>
  <c r="CK6" i="2" s="1"/>
  <c r="CK8" i="2" s="1"/>
  <c r="CJ6" i="2" a="1"/>
  <c r="CJ6" i="2"/>
  <c r="CI6" i="2" a="1"/>
  <c r="CI6" i="2" s="1"/>
  <c r="CH6" i="2" a="1"/>
  <c r="CH6" i="2" s="1"/>
  <c r="CH8" i="2" s="1"/>
  <c r="CG6" i="2" a="1"/>
  <c r="CG6" i="2"/>
  <c r="CG8" i="2" s="1"/>
  <c r="CF6" i="2" a="1"/>
  <c r="CF6" i="2" s="1"/>
  <c r="CF7" i="2" s="1"/>
  <c r="CE6" i="2" a="1"/>
  <c r="CE6" i="2"/>
  <c r="CE7" i="2" s="1"/>
  <c r="CD6" i="2" a="1"/>
  <c r="CD6" i="2"/>
  <c r="CC6" i="2" a="1"/>
  <c r="CC6" i="2"/>
  <c r="CB6" i="2" a="1"/>
  <c r="CB6" i="2"/>
  <c r="CB8" i="2" s="1"/>
  <c r="CA6" i="2" a="1"/>
  <c r="CA6" i="2"/>
  <c r="CA8" i="2" s="1"/>
  <c r="BZ6" i="2" a="1"/>
  <c r="BZ6" i="2" s="1"/>
  <c r="BZ7" i="2" s="1"/>
  <c r="BY6" i="2" a="1"/>
  <c r="BY6" i="2"/>
  <c r="BX6" i="2" a="1"/>
  <c r="BX6" i="2"/>
  <c r="BX8" i="2" s="1"/>
  <c r="BW6" i="2" a="1"/>
  <c r="BW6" i="2" s="1"/>
  <c r="BW8" i="2" s="1"/>
  <c r="BV6" i="2" a="1"/>
  <c r="BV6" i="2" s="1"/>
  <c r="BU6" i="2" a="1"/>
  <c r="BU6" i="2" s="1"/>
  <c r="BU7" i="2" s="1"/>
  <c r="BT6" i="2" a="1"/>
  <c r="BT6" i="2"/>
  <c r="BT7" i="2" s="1"/>
  <c r="BS6" i="2" a="1"/>
  <c r="BS6" i="2"/>
  <c r="BR6" i="2" a="1"/>
  <c r="BR6" i="2" s="1"/>
  <c r="BQ6" i="2" a="1"/>
  <c r="BQ6" i="2"/>
  <c r="BQ8" i="2" s="1"/>
  <c r="BP6" i="2" a="1"/>
  <c r="BP6" i="2" s="1"/>
  <c r="BO6" i="2" a="1"/>
  <c r="BO6" i="2" s="1"/>
  <c r="BN6" i="2" a="1"/>
  <c r="BN6" i="2"/>
  <c r="BM6" i="2" a="1"/>
  <c r="BM6" i="2" s="1"/>
  <c r="BL6" i="2" a="1"/>
  <c r="BL6" i="2" s="1"/>
  <c r="BL8" i="2" s="1"/>
  <c r="BK6" i="2" a="1"/>
  <c r="BK6" i="2"/>
  <c r="BK8" i="2" s="1"/>
  <c r="BJ6" i="2" a="1"/>
  <c r="BJ6" i="2" s="1"/>
  <c r="BJ7" i="2" s="1"/>
  <c r="BI6" i="2" a="1"/>
  <c r="BI6" i="2"/>
  <c r="BI7" i="2" s="1"/>
  <c r="BH6" i="2" a="1"/>
  <c r="BH6" i="2"/>
  <c r="BG6" i="2" a="1"/>
  <c r="BG6" i="2"/>
  <c r="BF6" i="2" a="1"/>
  <c r="BF6" i="2"/>
  <c r="BF8" i="2" s="1"/>
  <c r="BE6" i="2" a="1"/>
  <c r="BE6" i="2"/>
  <c r="BE8" i="2" s="1"/>
  <c r="BD6" i="2" a="1"/>
  <c r="BD6" i="2" s="1"/>
  <c r="BC6" i="2" a="1"/>
  <c r="BC6" i="2"/>
  <c r="BB6" i="2" a="1"/>
  <c r="BB6" i="2"/>
  <c r="BB7" i="2" s="1"/>
  <c r="BA6" i="2" a="1"/>
  <c r="BA6" i="2" s="1"/>
  <c r="BA8" i="2" s="1"/>
  <c r="AZ6" i="2" a="1"/>
  <c r="AZ6" i="2" s="1"/>
  <c r="AY6" i="2" a="1"/>
  <c r="AY6" i="2" s="1"/>
  <c r="AY7" i="2" s="1"/>
  <c r="AX6" i="2" a="1"/>
  <c r="AX6" i="2" s="1"/>
  <c r="AX7" i="2" s="1"/>
  <c r="AW6" i="2" a="1"/>
  <c r="AW6" i="2"/>
  <c r="AV6" i="2" a="1"/>
  <c r="AV6" i="2" s="1"/>
  <c r="AU6" i="2" a="1"/>
  <c r="AU6" i="2"/>
  <c r="AU8" i="2" s="1"/>
  <c r="AT6" i="2" a="1"/>
  <c r="AT6" i="2"/>
  <c r="AT8" i="2" s="1"/>
  <c r="AS6" i="2" a="1"/>
  <c r="AS6" i="2" s="1"/>
  <c r="AR6" i="2" a="1"/>
  <c r="AR6" i="2"/>
  <c r="AR7" i="2" s="1"/>
  <c r="AQ6" i="2" a="1"/>
  <c r="AQ6" i="2" s="1"/>
  <c r="AP6" i="2" a="1"/>
  <c r="AP6" i="2" s="1"/>
  <c r="AP8" i="2" s="1"/>
  <c r="AO6" i="2" a="1"/>
  <c r="AO6" i="2" s="1"/>
  <c r="AN6" i="2" a="1"/>
  <c r="AN6" i="2" s="1"/>
  <c r="AN7" i="2" s="1"/>
  <c r="AM6" i="2" a="1"/>
  <c r="AM6" i="2" s="1"/>
  <c r="AM7" i="2" s="1"/>
  <c r="AL6" i="2" a="1"/>
  <c r="AL6" i="2"/>
  <c r="AK6" i="2" a="1"/>
  <c r="AK6" i="2"/>
  <c r="AJ6" i="2" a="1"/>
  <c r="AJ6" i="2"/>
  <c r="AJ8" i="2" s="1"/>
  <c r="AI6" i="2" a="1"/>
  <c r="AI6" i="2" s="1"/>
  <c r="AH6" i="2" a="1"/>
  <c r="AH6" i="2"/>
  <c r="AG6" i="2" a="1"/>
  <c r="AG6" i="2"/>
  <c r="AG7" i="2" s="1"/>
  <c r="AF6" i="2" a="1"/>
  <c r="AF6" i="2"/>
  <c r="AF7" i="2" s="1"/>
  <c r="AE6" i="2" a="1"/>
  <c r="AE6" i="2" s="1"/>
  <c r="AE8" i="2" s="1"/>
  <c r="AD6" i="2" a="1"/>
  <c r="AD6" i="2" s="1"/>
  <c r="AC6" i="2" a="1"/>
  <c r="AC6" i="2" s="1"/>
  <c r="AC7" i="2" s="1"/>
  <c r="AB6" i="2" a="1"/>
  <c r="AB6" i="2" s="1"/>
  <c r="AB7" i="2" s="1"/>
  <c r="AA6" i="2" a="1"/>
  <c r="AA6" i="2"/>
  <c r="Z6" i="2" a="1"/>
  <c r="Z6" i="2"/>
  <c r="Y6" i="2" a="1"/>
  <c r="Y6" i="2"/>
  <c r="Y8" i="2" s="1"/>
  <c r="X6" i="2" a="1"/>
  <c r="X6" i="2"/>
  <c r="X8" i="2" s="1"/>
  <c r="W6" i="2" a="1"/>
  <c r="W6" i="2"/>
  <c r="V6" i="2" a="1"/>
  <c r="V6" i="2"/>
  <c r="V7" i="2" s="1"/>
  <c r="U6" i="2" a="1"/>
  <c r="U6" i="2"/>
  <c r="U8" i="2" s="1"/>
  <c r="T6" i="2" a="1"/>
  <c r="T6" i="2" s="1"/>
  <c r="T8" i="2" s="1"/>
  <c r="S6" i="2" a="1"/>
  <c r="S6" i="2"/>
  <c r="S8" i="2" s="1"/>
  <c r="R6" i="2" a="1"/>
  <c r="R6" i="2" s="1"/>
  <c r="R7" i="2" s="1"/>
  <c r="Q6" i="2" a="1"/>
  <c r="Q6" i="2" s="1"/>
  <c r="Q7" i="2" s="1"/>
  <c r="P6" i="2" a="1"/>
  <c r="P6" i="2"/>
  <c r="O6" i="2" a="1"/>
  <c r="O6" i="2" s="1"/>
  <c r="N6" i="2" a="1"/>
  <c r="N6" i="2"/>
  <c r="N8" i="2" s="1"/>
  <c r="M6" i="2" a="1"/>
  <c r="M6" i="2" s="1"/>
  <c r="L6" i="2" a="1"/>
  <c r="L6" i="2"/>
  <c r="K6" i="2" a="1"/>
  <c r="K6" i="2"/>
  <c r="K7" i="2" s="1"/>
  <c r="J6" i="2" a="1"/>
  <c r="J6" i="2" s="1"/>
  <c r="I6" i="2" a="1"/>
  <c r="I6" i="2" s="1"/>
  <c r="I8" i="2" s="1"/>
  <c r="H6" i="2" a="1"/>
  <c r="H6" i="2"/>
  <c r="H7" i="2" s="1"/>
  <c r="G6" i="2" a="1"/>
  <c r="G6" i="2" s="1"/>
  <c r="G7" i="2" s="1"/>
  <c r="F6" i="2" a="1"/>
  <c r="F6" i="2" s="1"/>
  <c r="F7" i="2" s="1"/>
  <c r="E6" i="2" a="1"/>
  <c r="E6" i="2"/>
  <c r="D6" i="2" a="1"/>
  <c r="D6" i="2" s="1"/>
  <c r="C6" i="2" a="1"/>
  <c r="C6" i="2"/>
  <c r="C8" i="2" s="1"/>
  <c r="DV8" i="1"/>
  <c r="DU8" i="1"/>
  <c r="DT8" i="1"/>
  <c r="DB8" i="1"/>
  <c r="CZ8" i="1"/>
  <c r="CY8" i="1"/>
  <c r="CO8" i="1"/>
  <c r="CN8" i="1"/>
  <c r="CF8" i="1"/>
  <c r="CD8" i="1"/>
  <c r="BW8" i="1"/>
  <c r="BU8" i="1"/>
  <c r="BS8" i="1"/>
  <c r="BR8" i="1"/>
  <c r="BL8" i="1"/>
  <c r="BK8" i="1"/>
  <c r="BJ8" i="1"/>
  <c r="AZ8" i="1"/>
  <c r="AY8" i="1"/>
  <c r="AP8" i="1"/>
  <c r="AO8" i="1"/>
  <c r="AE8" i="1"/>
  <c r="AD8" i="1"/>
  <c r="Y8" i="1"/>
  <c r="T8" i="1"/>
  <c r="E8" i="1"/>
  <c r="D8" i="1"/>
  <c r="C8" i="1"/>
  <c r="EA7" i="1"/>
  <c r="DV7" i="1"/>
  <c r="DP7" i="1"/>
  <c r="DO7" i="1"/>
  <c r="DM7" i="1"/>
  <c r="DE7" i="1"/>
  <c r="DB7" i="1"/>
  <c r="CZ7" i="1"/>
  <c r="CT7" i="1"/>
  <c r="CS7" i="1"/>
  <c r="CQ7" i="1"/>
  <c r="CO7" i="1"/>
  <c r="CJ7" i="1"/>
  <c r="CI7" i="1"/>
  <c r="CH7" i="1"/>
  <c r="CF7" i="1"/>
  <c r="BY7" i="1"/>
  <c r="BX7" i="1"/>
  <c r="BW7" i="1"/>
  <c r="BS7" i="1"/>
  <c r="BM7" i="1"/>
  <c r="BL7" i="1"/>
  <c r="BJ7" i="1"/>
  <c r="BC7" i="1"/>
  <c r="BB7" i="1"/>
  <c r="AY7" i="1"/>
  <c r="AR7" i="1"/>
  <c r="AQ7" i="1"/>
  <c r="AM7" i="1"/>
  <c r="AL7" i="1"/>
  <c r="AG7" i="1"/>
  <c r="AF7" i="1"/>
  <c r="AE7" i="1"/>
  <c r="U7" i="1"/>
  <c r="R7" i="1"/>
  <c r="Q7" i="1"/>
  <c r="P7" i="1"/>
  <c r="J7" i="1"/>
  <c r="E7" i="1"/>
  <c r="EF6" i="1" a="1"/>
  <c r="EF6" i="1" s="1"/>
  <c r="EF7" i="1" s="1"/>
  <c r="EE6" i="1" a="1"/>
  <c r="EE6" i="1"/>
  <c r="EE7" i="1" s="1"/>
  <c r="ED6" i="1" a="1"/>
  <c r="ED6" i="1" s="1"/>
  <c r="EC6" i="1" a="1"/>
  <c r="EC6" i="1" s="1"/>
  <c r="EB6" i="1" a="1"/>
  <c r="EB6" i="1" s="1"/>
  <c r="EB8" i="1" s="1"/>
  <c r="EA6" i="1" a="1"/>
  <c r="EA6" i="1"/>
  <c r="EA8" i="1" s="1"/>
  <c r="DZ6" i="1" a="1"/>
  <c r="DZ6" i="1"/>
  <c r="DZ8" i="1" s="1"/>
  <c r="DY6" i="1" a="1"/>
  <c r="DY6" i="1" s="1"/>
  <c r="DX6" i="1" a="1"/>
  <c r="DX6" i="1"/>
  <c r="DX7" i="1" s="1"/>
  <c r="DW6" i="1" a="1"/>
  <c r="DW6" i="1" s="1"/>
  <c r="DV6" i="1" a="1"/>
  <c r="DV6" i="1" s="1"/>
  <c r="DU6" i="1" a="1"/>
  <c r="DU6" i="1" s="1"/>
  <c r="DU7" i="1" s="1"/>
  <c r="DT6" i="1" a="1"/>
  <c r="DT6" i="1"/>
  <c r="DT7" i="1" s="1"/>
  <c r="DS6" i="1" a="1"/>
  <c r="DS6" i="1" s="1"/>
  <c r="DR6" i="1" a="1"/>
  <c r="DR6" i="1" s="1"/>
  <c r="DQ6" i="1" a="1"/>
  <c r="DQ6" i="1" s="1"/>
  <c r="DQ8" i="1" s="1"/>
  <c r="DP6" i="1" a="1"/>
  <c r="DP6" i="1"/>
  <c r="DP8" i="1" s="1"/>
  <c r="DO6" i="1" a="1"/>
  <c r="DO6" i="1"/>
  <c r="DO8" i="1" s="1"/>
  <c r="DN6" i="1" a="1"/>
  <c r="DN6" i="1" s="1"/>
  <c r="DM6" i="1" a="1"/>
  <c r="DM6" i="1"/>
  <c r="DM8" i="1" s="1"/>
  <c r="DL6" i="1" a="1"/>
  <c r="DL6" i="1" s="1"/>
  <c r="DK6" i="1" a="1"/>
  <c r="DK6" i="1" s="1"/>
  <c r="DK7" i="1" s="1"/>
  <c r="DJ6" i="1" a="1"/>
  <c r="DJ6" i="1" s="1"/>
  <c r="DJ7" i="1" s="1"/>
  <c r="DI6" i="1" a="1"/>
  <c r="DI6" i="1" s="1"/>
  <c r="DH6" i="1" a="1"/>
  <c r="DH6" i="1" s="1"/>
  <c r="DG6" i="1" a="1"/>
  <c r="DG6" i="1" s="1"/>
  <c r="DF6" i="1" a="1"/>
  <c r="DF6" i="1" s="1"/>
  <c r="DF8" i="1" s="1"/>
  <c r="DE6" i="1" a="1"/>
  <c r="DE6" i="1"/>
  <c r="DE8" i="1" s="1"/>
  <c r="DD6" i="1" a="1"/>
  <c r="DD6" i="1"/>
  <c r="DD7" i="1" s="1"/>
  <c r="DC6" i="1" a="1"/>
  <c r="DC6" i="1"/>
  <c r="DC7" i="1" s="1"/>
  <c r="DB6" i="1" a="1"/>
  <c r="DB6" i="1"/>
  <c r="DA6" i="1" a="1"/>
  <c r="DA6" i="1" s="1"/>
  <c r="CZ6" i="1" a="1"/>
  <c r="CZ6" i="1" s="1"/>
  <c r="CY6" i="1" a="1"/>
  <c r="CY6" i="1" s="1"/>
  <c r="CY7" i="1" s="1"/>
  <c r="CX6" i="1" a="1"/>
  <c r="CX6" i="1" s="1"/>
  <c r="CW6" i="1" a="1"/>
  <c r="CW6" i="1" s="1"/>
  <c r="CV6" i="1" a="1"/>
  <c r="CV6" i="1"/>
  <c r="CU6" i="1" a="1"/>
  <c r="CU6" i="1" s="1"/>
  <c r="CU8" i="1" s="1"/>
  <c r="CT6" i="1" a="1"/>
  <c r="CT6" i="1"/>
  <c r="CT8" i="1" s="1"/>
  <c r="CS6" i="1" a="1"/>
  <c r="CS6" i="1"/>
  <c r="CS8" i="1" s="1"/>
  <c r="CR6" i="1" a="1"/>
  <c r="CR6" i="1"/>
  <c r="CR7" i="1" s="1"/>
  <c r="CQ6" i="1" a="1"/>
  <c r="CQ6" i="1"/>
  <c r="CQ8" i="1" s="1"/>
  <c r="CP6" i="1" a="1"/>
  <c r="CP6" i="1"/>
  <c r="CP8" i="1" s="1"/>
  <c r="CO6" i="1" a="1"/>
  <c r="CO6" i="1" s="1"/>
  <c r="CN6" i="1" a="1"/>
  <c r="CN6" i="1" s="1"/>
  <c r="CN7" i="1" s="1"/>
  <c r="CM6" i="1" a="1"/>
  <c r="CM6" i="1" s="1"/>
  <c r="CL6" i="1" a="1"/>
  <c r="CL6" i="1" s="1"/>
  <c r="CK6" i="1" a="1"/>
  <c r="CK6" i="1"/>
  <c r="CJ6" i="1" a="1"/>
  <c r="CJ6" i="1" s="1"/>
  <c r="CJ8" i="1" s="1"/>
  <c r="CI6" i="1" a="1"/>
  <c r="CI6" i="1"/>
  <c r="CI8" i="1" s="1"/>
  <c r="CH6" i="1" a="1"/>
  <c r="CH6" i="1"/>
  <c r="CH8" i="1" s="1"/>
  <c r="CG6" i="1" a="1"/>
  <c r="CG6" i="1" s="1"/>
  <c r="CF6" i="1" a="1"/>
  <c r="CF6" i="1"/>
  <c r="CE6" i="1" a="1"/>
  <c r="CE6" i="1"/>
  <c r="CE8" i="1" s="1"/>
  <c r="CD6" i="1" a="1"/>
  <c r="CD6" i="1" s="1"/>
  <c r="CD7" i="1" s="1"/>
  <c r="CC6" i="1" a="1"/>
  <c r="CC6" i="1" s="1"/>
  <c r="CC7" i="1" s="1"/>
  <c r="CB6" i="1" a="1"/>
  <c r="CB6" i="1"/>
  <c r="CB7" i="1" s="1"/>
  <c r="CA6" i="1" a="1"/>
  <c r="CA6" i="1" s="1"/>
  <c r="BZ6" i="1" a="1"/>
  <c r="BZ6" i="1" s="1"/>
  <c r="BY6" i="1" a="1"/>
  <c r="BY6" i="1" s="1"/>
  <c r="BY8" i="1" s="1"/>
  <c r="BX6" i="1" a="1"/>
  <c r="BX6" i="1"/>
  <c r="BX8" i="1" s="1"/>
  <c r="BW6" i="1" a="1"/>
  <c r="BW6" i="1"/>
  <c r="BV6" i="1" a="1"/>
  <c r="BV6" i="1"/>
  <c r="BV7" i="1" s="1"/>
  <c r="BU6" i="1" a="1"/>
  <c r="BU6" i="1"/>
  <c r="BU7" i="1" s="1"/>
  <c r="BT6" i="1" a="1"/>
  <c r="BT6" i="1" s="1"/>
  <c r="BS6" i="1" a="1"/>
  <c r="BS6" i="1" s="1"/>
  <c r="BR6" i="1" a="1"/>
  <c r="BR6" i="1" s="1"/>
  <c r="BR7" i="1" s="1"/>
  <c r="BQ6" i="1" a="1"/>
  <c r="BQ6" i="1"/>
  <c r="BQ7" i="1" s="1"/>
  <c r="BP6" i="1" a="1"/>
  <c r="BP6" i="1" s="1"/>
  <c r="BO6" i="1" a="1"/>
  <c r="BO6" i="1"/>
  <c r="BN6" i="1" a="1"/>
  <c r="BN6" i="1" s="1"/>
  <c r="BN8" i="1" s="1"/>
  <c r="BM6" i="1" a="1"/>
  <c r="BM6" i="1"/>
  <c r="BM8" i="1" s="1"/>
  <c r="BL6" i="1" a="1"/>
  <c r="BL6" i="1"/>
  <c r="BK6" i="1" a="1"/>
  <c r="BK6" i="1"/>
  <c r="BK7" i="1" s="1"/>
  <c r="BJ6" i="1" a="1"/>
  <c r="BJ6" i="1"/>
  <c r="BI6" i="1" a="1"/>
  <c r="BI6" i="1"/>
  <c r="BI8" i="1" s="1"/>
  <c r="BH6" i="1" a="1"/>
  <c r="BH6" i="1" s="1"/>
  <c r="BH8" i="1" s="1"/>
  <c r="BG6" i="1" a="1"/>
  <c r="BG6" i="1" s="1"/>
  <c r="BG7" i="1" s="1"/>
  <c r="BF6" i="1" a="1"/>
  <c r="BF6" i="1" s="1"/>
  <c r="BE6" i="1" a="1"/>
  <c r="BE6" i="1" s="1"/>
  <c r="BD6" i="1" a="1"/>
  <c r="BD6" i="1"/>
  <c r="BC6" i="1" a="1"/>
  <c r="BC6" i="1" s="1"/>
  <c r="BC8" i="1" s="1"/>
  <c r="BB6" i="1" a="1"/>
  <c r="BB6" i="1"/>
  <c r="BB8" i="1" s="1"/>
  <c r="BA6" i="1" a="1"/>
  <c r="BA6" i="1"/>
  <c r="BA7" i="1" s="1"/>
  <c r="AZ6" i="1" a="1"/>
  <c r="AZ6" i="1"/>
  <c r="AZ7" i="1" s="1"/>
  <c r="AY6" i="1" a="1"/>
  <c r="AY6" i="1"/>
  <c r="AX6" i="1" a="1"/>
  <c r="AX6" i="1"/>
  <c r="AX8" i="1" s="1"/>
  <c r="AW6" i="1" a="1"/>
  <c r="AW6" i="1" s="1"/>
  <c r="AW8" i="1" s="1"/>
  <c r="AV6" i="1" a="1"/>
  <c r="AV6" i="1" s="1"/>
  <c r="AV7" i="1" s="1"/>
  <c r="AU6" i="1" a="1"/>
  <c r="AU6" i="1"/>
  <c r="AU7" i="1" s="1"/>
  <c r="AT6" i="1" a="1"/>
  <c r="AT6" i="1" s="1"/>
  <c r="AS6" i="1" a="1"/>
  <c r="AS6" i="1"/>
  <c r="AR6" i="1" a="1"/>
  <c r="AR6" i="1" s="1"/>
  <c r="AR8" i="1" s="1"/>
  <c r="AQ6" i="1" a="1"/>
  <c r="AQ6" i="1"/>
  <c r="AQ8" i="1" s="1"/>
  <c r="AP6" i="1" a="1"/>
  <c r="AP6" i="1"/>
  <c r="AP7" i="1" s="1"/>
  <c r="AO6" i="1" a="1"/>
  <c r="AO6" i="1"/>
  <c r="AO7" i="1" s="1"/>
  <c r="AN6" i="1" a="1"/>
  <c r="AN6" i="1"/>
  <c r="AN8" i="1" s="1"/>
  <c r="AM6" i="1" a="1"/>
  <c r="AM6" i="1"/>
  <c r="AM8" i="1" s="1"/>
  <c r="AL6" i="1" a="1"/>
  <c r="AL6" i="1" s="1"/>
  <c r="AL8" i="1" s="1"/>
  <c r="AK6" i="1" a="1"/>
  <c r="AK6" i="1" s="1"/>
  <c r="AK7" i="1" s="1"/>
  <c r="AJ6" i="1" a="1"/>
  <c r="AJ6" i="1"/>
  <c r="AJ7" i="1" s="1"/>
  <c r="AI6" i="1" a="1"/>
  <c r="AI6" i="1" s="1"/>
  <c r="AH6" i="1" a="1"/>
  <c r="AH6" i="1"/>
  <c r="AG6" i="1" a="1"/>
  <c r="AG6" i="1" s="1"/>
  <c r="AG8" i="1" s="1"/>
  <c r="AF6" i="1" a="1"/>
  <c r="AF6" i="1"/>
  <c r="AF8" i="1" s="1"/>
  <c r="AE6" i="1" a="1"/>
  <c r="AE6" i="1"/>
  <c r="AD6" i="1" a="1"/>
  <c r="AD6" i="1"/>
  <c r="AD7" i="1" s="1"/>
  <c r="AC6" i="1" a="1"/>
  <c r="AC6" i="1"/>
  <c r="AC7" i="1" s="1"/>
  <c r="AB6" i="1" a="1"/>
  <c r="AB6" i="1"/>
  <c r="AB8" i="1" s="1"/>
  <c r="AA6" i="1" a="1"/>
  <c r="AA6" i="1" s="1"/>
  <c r="AA7" i="1" s="1"/>
  <c r="Z6" i="1" a="1"/>
  <c r="Z6" i="1" s="1"/>
  <c r="Z7" i="1" s="1"/>
  <c r="Y6" i="1" a="1"/>
  <c r="Y6" i="1"/>
  <c r="Y7" i="1" s="1"/>
  <c r="X6" i="1" a="1"/>
  <c r="X6" i="1" s="1"/>
  <c r="W6" i="1" a="1"/>
  <c r="W6" i="1"/>
  <c r="V6" i="1" a="1"/>
  <c r="V6" i="1" s="1"/>
  <c r="V8" i="1" s="1"/>
  <c r="U6" i="1" a="1"/>
  <c r="U6" i="1"/>
  <c r="U8" i="1" s="1"/>
  <c r="T6" i="1" a="1"/>
  <c r="T6" i="1"/>
  <c r="T7" i="1" s="1"/>
  <c r="S6" i="1" a="1"/>
  <c r="S6" i="1" s="1"/>
  <c r="R6" i="1" a="1"/>
  <c r="R6" i="1"/>
  <c r="R8" i="1" s="1"/>
  <c r="Q6" i="1" a="1"/>
  <c r="Q6" i="1"/>
  <c r="Q8" i="1" s="1"/>
  <c r="P6" i="1" a="1"/>
  <c r="P6" i="1" s="1"/>
  <c r="P8" i="1" s="1"/>
  <c r="O6" i="1" a="1"/>
  <c r="O6" i="1" s="1"/>
  <c r="O7" i="1" s="1"/>
  <c r="N6" i="1" a="1"/>
  <c r="N6" i="1"/>
  <c r="N7" i="1" s="1"/>
  <c r="M6" i="1" a="1"/>
  <c r="M6" i="1" s="1"/>
  <c r="L6" i="1" a="1"/>
  <c r="L6" i="1" s="1"/>
  <c r="K6" i="1" a="1"/>
  <c r="K6" i="1" s="1"/>
  <c r="K8" i="1" s="1"/>
  <c r="J6" i="1" a="1"/>
  <c r="J6" i="1"/>
  <c r="J8" i="1" s="1"/>
  <c r="I6" i="1" a="1"/>
  <c r="I6" i="1"/>
  <c r="I7" i="1" s="1"/>
  <c r="H6" i="1" a="1"/>
  <c r="H6" i="1" s="1"/>
  <c r="G6" i="1" a="1"/>
  <c r="G6" i="1"/>
  <c r="G7" i="1" s="1"/>
  <c r="F6" i="1" a="1"/>
  <c r="F6" i="1" s="1"/>
  <c r="E6" i="1" a="1"/>
  <c r="E6" i="1" s="1"/>
  <c r="D6" i="1" a="1"/>
  <c r="D6" i="1" s="1"/>
  <c r="D7" i="1" s="1"/>
  <c r="C6" i="1" a="1"/>
  <c r="C6" i="1"/>
  <c r="C7" i="1" s="1"/>
  <c r="F12" i="4" l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3" i="3"/>
  <c r="EH13" i="3"/>
  <c r="EG20" i="3"/>
  <c r="EG16" i="3"/>
  <c r="EH15" i="3"/>
  <c r="EH22" i="3"/>
  <c r="EG23" i="3"/>
  <c r="AZ7" i="2"/>
  <c r="AZ8" i="2"/>
  <c r="CI8" i="2"/>
  <c r="CI7" i="2"/>
  <c r="BJ8" i="3"/>
  <c r="BJ7" i="3"/>
  <c r="AQ7" i="2"/>
  <c r="AQ8" i="2"/>
  <c r="E7" i="3"/>
  <c r="E8" i="3"/>
  <c r="BH7" i="3"/>
  <c r="BH8" i="3"/>
  <c r="EC7" i="3"/>
  <c r="EC8" i="3"/>
  <c r="O8" i="2"/>
  <c r="O7" i="2"/>
  <c r="L8" i="1"/>
  <c r="L7" i="1"/>
  <c r="DA8" i="1"/>
  <c r="DA7" i="1"/>
  <c r="DY7" i="1"/>
  <c r="DY8" i="1"/>
  <c r="J7" i="2"/>
  <c r="J8" i="2"/>
  <c r="DX8" i="3"/>
  <c r="DX7" i="3"/>
  <c r="BM8" i="2"/>
  <c r="BM7" i="2"/>
  <c r="BB8" i="3"/>
  <c r="BB7" i="3"/>
  <c r="S7" i="1"/>
  <c r="S8" i="1"/>
  <c r="CW8" i="2"/>
  <c r="CW7" i="2"/>
  <c r="F8" i="1"/>
  <c r="F7" i="1"/>
  <c r="DR8" i="1"/>
  <c r="DR7" i="1"/>
  <c r="CY8" i="2"/>
  <c r="CY7" i="2"/>
  <c r="DU8" i="2"/>
  <c r="DU7" i="2"/>
  <c r="AC8" i="3"/>
  <c r="AC7" i="3"/>
  <c r="CO7" i="3"/>
  <c r="CO8" i="3"/>
  <c r="CK8" i="4"/>
  <c r="CK7" i="4"/>
  <c r="DG8" i="1"/>
  <c r="DG7" i="1"/>
  <c r="AD7" i="2"/>
  <c r="AD8" i="2"/>
  <c r="BV7" i="2"/>
  <c r="BV8" i="2"/>
  <c r="DS8" i="2"/>
  <c r="DS7" i="2"/>
  <c r="DB8" i="3"/>
  <c r="DB7" i="3"/>
  <c r="DI7" i="1"/>
  <c r="DI8" i="1"/>
  <c r="BP8" i="2"/>
  <c r="BP7" i="2"/>
  <c r="AW7" i="3"/>
  <c r="AW8" i="3"/>
  <c r="CV7" i="3"/>
  <c r="CV8" i="3"/>
  <c r="DK7" i="3"/>
  <c r="DK8" i="3"/>
  <c r="CI8" i="3"/>
  <c r="CI7" i="3"/>
  <c r="CG7" i="1"/>
  <c r="CG8" i="1"/>
  <c r="DL8" i="1"/>
  <c r="DL7" i="1"/>
  <c r="AV8" i="2"/>
  <c r="AV7" i="2"/>
  <c r="BR8" i="2"/>
  <c r="BR7" i="2"/>
  <c r="DH8" i="2"/>
  <c r="DH7" i="2"/>
  <c r="ED8" i="2"/>
  <c r="ED7" i="2"/>
  <c r="J8" i="3"/>
  <c r="J7" i="3"/>
  <c r="BU8" i="3"/>
  <c r="BU7" i="3"/>
  <c r="CQ8" i="3"/>
  <c r="CQ7" i="3"/>
  <c r="EA8" i="3"/>
  <c r="EA7" i="3"/>
  <c r="DJ7" i="4"/>
  <c r="DJ8" i="4"/>
  <c r="CM7" i="1"/>
  <c r="CM8" i="1"/>
  <c r="D8" i="2"/>
  <c r="D7" i="2"/>
  <c r="P7" i="3"/>
  <c r="P8" i="3"/>
  <c r="AQ8" i="3"/>
  <c r="AQ7" i="3"/>
  <c r="DE8" i="3"/>
  <c r="DE7" i="3"/>
  <c r="BF7" i="1"/>
  <c r="BF8" i="1"/>
  <c r="DN7" i="1"/>
  <c r="DN8" i="1"/>
  <c r="AI8" i="2"/>
  <c r="AI7" i="2"/>
  <c r="EF8" i="2"/>
  <c r="EF7" i="2"/>
  <c r="CD7" i="3"/>
  <c r="CD8" i="3"/>
  <c r="CX7" i="1"/>
  <c r="CX8" i="1"/>
  <c r="DW8" i="1"/>
  <c r="DW7" i="1"/>
  <c r="DC8" i="2"/>
  <c r="DC7" i="2"/>
  <c r="BX8" i="3"/>
  <c r="BX7" i="3"/>
  <c r="H7" i="1"/>
  <c r="H8" i="1"/>
  <c r="BZ8" i="1"/>
  <c r="BZ7" i="1"/>
  <c r="M8" i="2"/>
  <c r="M7" i="2"/>
  <c r="AO8" i="2"/>
  <c r="AO7" i="2"/>
  <c r="BT8" i="1"/>
  <c r="BT7" i="1"/>
  <c r="EC8" i="1"/>
  <c r="EC7" i="1"/>
  <c r="AS7" i="3"/>
  <c r="AS8" i="3"/>
  <c r="BO7" i="3"/>
  <c r="BO8" i="3"/>
  <c r="DG7" i="3"/>
  <c r="DG8" i="3"/>
  <c r="DJ8" i="2"/>
  <c r="DJ7" i="2"/>
  <c r="BW8" i="3"/>
  <c r="BW7" i="3"/>
  <c r="AU8" i="4"/>
  <c r="AU7" i="4"/>
  <c r="BW8" i="4"/>
  <c r="BW7" i="4"/>
  <c r="CE7" i="4"/>
  <c r="CE8" i="4"/>
  <c r="CS8" i="4"/>
  <c r="CS7" i="4"/>
  <c r="CO7" i="5"/>
  <c r="CO8" i="5"/>
  <c r="CV7" i="5"/>
  <c r="CV8" i="5"/>
  <c r="AT8" i="1"/>
  <c r="AT7" i="1"/>
  <c r="CV8" i="1"/>
  <c r="CV7" i="1"/>
  <c r="S7" i="2"/>
  <c r="CL7" i="2"/>
  <c r="AY8" i="2"/>
  <c r="AE8" i="3"/>
  <c r="AE7" i="3"/>
  <c r="CL7" i="3"/>
  <c r="CC8" i="3"/>
  <c r="AV7" i="4"/>
  <c r="AV8" i="4"/>
  <c r="BX7" i="4"/>
  <c r="BX8" i="4"/>
  <c r="CF7" i="4"/>
  <c r="CF8" i="4"/>
  <c r="DQ7" i="4"/>
  <c r="DQ8" i="4"/>
  <c r="D8" i="4"/>
  <c r="CP7" i="5"/>
  <c r="CP8" i="5"/>
  <c r="DP8" i="3"/>
  <c r="DP7" i="3"/>
  <c r="Q8" i="4"/>
  <c r="Q7" i="4"/>
  <c r="AE8" i="4"/>
  <c r="AE7" i="4"/>
  <c r="BA8" i="4"/>
  <c r="BA7" i="4"/>
  <c r="M8" i="1"/>
  <c r="M7" i="1"/>
  <c r="BO8" i="1"/>
  <c r="BO7" i="1"/>
  <c r="Z8" i="1"/>
  <c r="DK8" i="2"/>
  <c r="DK7" i="2"/>
  <c r="BE7" i="2"/>
  <c r="BX7" i="2"/>
  <c r="AF8" i="2"/>
  <c r="AF8" i="3"/>
  <c r="AF7" i="3"/>
  <c r="DD8" i="3"/>
  <c r="DD7" i="3"/>
  <c r="AG8" i="3"/>
  <c r="CW8" i="3"/>
  <c r="DL8" i="3"/>
  <c r="I8" i="4"/>
  <c r="I7" i="4"/>
  <c r="BY8" i="4"/>
  <c r="BY7" i="4"/>
  <c r="CN7" i="4"/>
  <c r="CN8" i="4"/>
  <c r="CJ8" i="5"/>
  <c r="CJ7" i="5"/>
  <c r="BP8" i="1"/>
  <c r="BP7" i="1"/>
  <c r="AN7" i="1"/>
  <c r="BI7" i="1"/>
  <c r="CU7" i="1"/>
  <c r="G8" i="1"/>
  <c r="AA8" i="1"/>
  <c r="AV8" i="1"/>
  <c r="BQ8" i="1"/>
  <c r="DC8" i="1"/>
  <c r="DX8" i="1"/>
  <c r="AL8" i="2"/>
  <c r="AL7" i="2"/>
  <c r="BS8" i="2"/>
  <c r="BS7" i="2"/>
  <c r="U7" i="2"/>
  <c r="AP7" i="2"/>
  <c r="BF7" i="2"/>
  <c r="CR7" i="2"/>
  <c r="DZ7" i="2"/>
  <c r="BB8" i="2"/>
  <c r="CQ8" i="2"/>
  <c r="DL8" i="2"/>
  <c r="EI20" i="2"/>
  <c r="BL8" i="3"/>
  <c r="BL7" i="3"/>
  <c r="AY7" i="3"/>
  <c r="BT7" i="3"/>
  <c r="CN7" i="3"/>
  <c r="AH8" i="3"/>
  <c r="DQ8" i="3"/>
  <c r="EH23" i="3"/>
  <c r="J7" i="4"/>
  <c r="J8" i="4"/>
  <c r="AG8" i="4"/>
  <c r="AG7" i="4"/>
  <c r="CU8" i="4"/>
  <c r="CU7" i="4"/>
  <c r="DK8" i="4"/>
  <c r="DK7" i="4"/>
  <c r="DZ7" i="4"/>
  <c r="DZ8" i="4"/>
  <c r="BQ8" i="5"/>
  <c r="BQ7" i="5"/>
  <c r="CD7" i="5"/>
  <c r="CD8" i="5"/>
  <c r="CD8" i="2"/>
  <c r="CD7" i="2"/>
  <c r="ED8" i="1"/>
  <c r="ED7" i="1"/>
  <c r="AK8" i="2"/>
  <c r="AK7" i="2"/>
  <c r="AH8" i="1"/>
  <c r="AH7" i="1"/>
  <c r="CW8" i="1"/>
  <c r="CW7" i="1"/>
  <c r="AU8" i="1"/>
  <c r="CK8" i="1"/>
  <c r="CK7" i="1"/>
  <c r="K8" i="4"/>
  <c r="K7" i="4"/>
  <c r="AH8" i="4"/>
  <c r="AH7" i="4"/>
  <c r="BS8" i="4"/>
  <c r="BS7" i="4"/>
  <c r="BZ8" i="4"/>
  <c r="BZ7" i="4"/>
  <c r="CV8" i="4"/>
  <c r="CV7" i="4"/>
  <c r="DL7" i="4"/>
  <c r="DL8" i="4"/>
  <c r="EA7" i="4"/>
  <c r="EA8" i="4"/>
  <c r="BK8" i="5"/>
  <c r="BK7" i="5"/>
  <c r="BX8" i="5"/>
  <c r="BX7" i="5"/>
  <c r="CP7" i="3"/>
  <c r="EB7" i="4"/>
  <c r="EB8" i="4"/>
  <c r="BL8" i="5"/>
  <c r="BL7" i="5"/>
  <c r="CS7" i="2"/>
  <c r="Q8" i="2"/>
  <c r="EH12" i="3"/>
  <c r="EG12" i="3"/>
  <c r="V7" i="1"/>
  <c r="I8" i="1"/>
  <c r="R8" i="2"/>
  <c r="AA8" i="2"/>
  <c r="AA7" i="2"/>
  <c r="AK7" i="3"/>
  <c r="L7" i="5"/>
  <c r="L8" i="5"/>
  <c r="T7" i="5"/>
  <c r="T8" i="5"/>
  <c r="AB8" i="5"/>
  <c r="AB7" i="5"/>
  <c r="AP8" i="5"/>
  <c r="AP7" i="5"/>
  <c r="AX8" i="5"/>
  <c r="AX7" i="5"/>
  <c r="BE7" i="5"/>
  <c r="BE8" i="5"/>
  <c r="E8" i="2"/>
  <c r="E7" i="2"/>
  <c r="BH7" i="1"/>
  <c r="AI8" i="1"/>
  <c r="AI7" i="1"/>
  <c r="DQ7" i="1"/>
  <c r="AC8" i="1"/>
  <c r="DD8" i="1"/>
  <c r="Z8" i="2"/>
  <c r="Z7" i="2"/>
  <c r="BG8" i="2"/>
  <c r="BG7" i="2"/>
  <c r="BK7" i="2"/>
  <c r="T8" i="3"/>
  <c r="T7" i="3"/>
  <c r="BM8" i="3"/>
  <c r="BM7" i="3"/>
  <c r="CJ8" i="3"/>
  <c r="BD8" i="1"/>
  <c r="BD7" i="1"/>
  <c r="CT7" i="2"/>
  <c r="Y7" i="2"/>
  <c r="CT8" i="3"/>
  <c r="CT7" i="3"/>
  <c r="BD8" i="3"/>
  <c r="EH16" i="3"/>
  <c r="EH20" i="3"/>
  <c r="L7" i="4"/>
  <c r="L8" i="4"/>
  <c r="AB8" i="4"/>
  <c r="AB7" i="4"/>
  <c r="AQ7" i="4"/>
  <c r="AQ8" i="4"/>
  <c r="BL8" i="4"/>
  <c r="BL7" i="4"/>
  <c r="CX7" i="4"/>
  <c r="CX8" i="4"/>
  <c r="DE7" i="4"/>
  <c r="DE8" i="4"/>
  <c r="DU8" i="4"/>
  <c r="DU7" i="4"/>
  <c r="BE8" i="1"/>
  <c r="BE7" i="1"/>
  <c r="AB7" i="1"/>
  <c r="AW7" i="1"/>
  <c r="BN7" i="1"/>
  <c r="O8" i="1"/>
  <c r="AJ8" i="1"/>
  <c r="BA8" i="1"/>
  <c r="BV8" i="1"/>
  <c r="DK8" i="1"/>
  <c r="EF8" i="1"/>
  <c r="I7" i="2"/>
  <c r="AU7" i="2"/>
  <c r="CG7" i="2"/>
  <c r="CV7" i="2"/>
  <c r="DO7" i="2"/>
  <c r="BJ8" i="2"/>
  <c r="DZ8" i="3"/>
  <c r="DZ7" i="3"/>
  <c r="R7" i="3"/>
  <c r="AM7" i="3"/>
  <c r="BG7" i="3"/>
  <c r="D8" i="3"/>
  <c r="W8" i="3"/>
  <c r="AL8" i="3"/>
  <c r="BE8" i="3"/>
  <c r="DF8" i="3"/>
  <c r="DU8" i="3"/>
  <c r="AC8" i="4"/>
  <c r="AC7" i="4"/>
  <c r="BM7" i="4"/>
  <c r="BM8" i="4"/>
  <c r="CI8" i="4"/>
  <c r="CI7" i="4"/>
  <c r="CY8" i="4"/>
  <c r="CY7" i="4"/>
  <c r="DV8" i="4"/>
  <c r="DV7" i="4"/>
  <c r="EC7" i="4"/>
  <c r="EC8" i="4"/>
  <c r="AM8" i="4"/>
  <c r="M7" i="5"/>
  <c r="M8" i="5"/>
  <c r="DG8" i="5"/>
  <c r="DG7" i="5"/>
  <c r="X7" i="2"/>
  <c r="AM8" i="2"/>
  <c r="CK8" i="3"/>
  <c r="CW7" i="4"/>
  <c r="CW8" i="4"/>
  <c r="W8" i="1"/>
  <c r="W7" i="1"/>
  <c r="AN8" i="2"/>
  <c r="BZ8" i="2"/>
  <c r="BA8" i="3"/>
  <c r="BA7" i="3"/>
  <c r="DM7" i="3"/>
  <c r="BS8" i="3"/>
  <c r="X8" i="1"/>
  <c r="X7" i="1"/>
  <c r="AX7" i="1"/>
  <c r="DZ7" i="1"/>
  <c r="AK8" i="1"/>
  <c r="CR8" i="1"/>
  <c r="CO8" i="2"/>
  <c r="CO7" i="2"/>
  <c r="AE7" i="2"/>
  <c r="EE7" i="2"/>
  <c r="CF8" i="2"/>
  <c r="DR8" i="2"/>
  <c r="CH8" i="3"/>
  <c r="CH7" i="3"/>
  <c r="AN7" i="3"/>
  <c r="X8" i="3"/>
  <c r="DV8" i="3"/>
  <c r="EG17" i="3"/>
  <c r="U7" i="4"/>
  <c r="U8" i="4"/>
  <c r="BG8" i="4"/>
  <c r="BG7" i="4"/>
  <c r="CJ8" i="4"/>
  <c r="CJ7" i="4"/>
  <c r="BL7" i="2"/>
  <c r="N8" i="1"/>
  <c r="EE8" i="1"/>
  <c r="CN8" i="2"/>
  <c r="CN7" i="2"/>
  <c r="AT7" i="2"/>
  <c r="DH8" i="1"/>
  <c r="DH7" i="1"/>
  <c r="DF7" i="1"/>
  <c r="BG8" i="1"/>
  <c r="CB8" i="1"/>
  <c r="P8" i="2"/>
  <c r="P7" i="2"/>
  <c r="CC8" i="2"/>
  <c r="CC7" i="2"/>
  <c r="DV8" i="2"/>
  <c r="DV7" i="2"/>
  <c r="BA7" i="2"/>
  <c r="CX7" i="2"/>
  <c r="DB8" i="2"/>
  <c r="DW8" i="2"/>
  <c r="AP8" i="3"/>
  <c r="AP7" i="3"/>
  <c r="F8" i="3"/>
  <c r="AR8" i="3"/>
  <c r="BZ8" i="3"/>
  <c r="EH18" i="3"/>
  <c r="EG22" i="3"/>
  <c r="O8" i="4"/>
  <c r="O7" i="4"/>
  <c r="V8" i="4"/>
  <c r="V7" i="4"/>
  <c r="AS8" i="4"/>
  <c r="AS7" i="4"/>
  <c r="BH7" i="4"/>
  <c r="BH8" i="4"/>
  <c r="BN8" i="4"/>
  <c r="BN7" i="4"/>
  <c r="DG8" i="4"/>
  <c r="DG7" i="4"/>
  <c r="DO7" i="4"/>
  <c r="DO8" i="4"/>
  <c r="DW7" i="4"/>
  <c r="DW8" i="4"/>
  <c r="BB8" i="4"/>
  <c r="DD8" i="4"/>
  <c r="DA7" i="5"/>
  <c r="DA8" i="5"/>
  <c r="ED8" i="5"/>
  <c r="ED7" i="5"/>
  <c r="CE7" i="1"/>
  <c r="DR8" i="3"/>
  <c r="DS8" i="1"/>
  <c r="DS7" i="1"/>
  <c r="CZ8" i="2"/>
  <c r="CZ7" i="2"/>
  <c r="CA7" i="2"/>
  <c r="U8" i="3"/>
  <c r="U7" i="3"/>
  <c r="CS8" i="3"/>
  <c r="CS7" i="3"/>
  <c r="AA8" i="4"/>
  <c r="AA7" i="4"/>
  <c r="AI8" i="4"/>
  <c r="AI7" i="4"/>
  <c r="AP8" i="4"/>
  <c r="AP7" i="4"/>
  <c r="BT8" i="4"/>
  <c r="BT7" i="4"/>
  <c r="CL8" i="1"/>
  <c r="CL7" i="1"/>
  <c r="DJ8" i="1"/>
  <c r="BH8" i="2"/>
  <c r="BH7" i="2"/>
  <c r="AS8" i="1"/>
  <c r="AS7" i="1"/>
  <c r="CA8" i="1"/>
  <c r="CA7" i="1"/>
  <c r="K7" i="1"/>
  <c r="CP7" i="1"/>
  <c r="EB7" i="1"/>
  <c r="CC8" i="1"/>
  <c r="AW8" i="2"/>
  <c r="AW7" i="2"/>
  <c r="BQ7" i="2"/>
  <c r="G8" i="2"/>
  <c r="DX8" i="2"/>
  <c r="EI14" i="2"/>
  <c r="DO8" i="3"/>
  <c r="DO7" i="3"/>
  <c r="CF7" i="3"/>
  <c r="K8" i="3"/>
  <c r="EB8" i="3"/>
  <c r="EH14" i="3"/>
  <c r="EG14" i="3"/>
  <c r="EH17" i="3"/>
  <c r="P8" i="4"/>
  <c r="P7" i="4"/>
  <c r="W8" i="4"/>
  <c r="W7" i="4"/>
  <c r="BO8" i="4"/>
  <c r="BO7" i="4"/>
  <c r="DP7" i="4"/>
  <c r="DP8" i="4"/>
  <c r="EF8" i="4"/>
  <c r="EF7" i="4"/>
  <c r="CU8" i="5"/>
  <c r="CU7" i="5"/>
  <c r="EG19" i="3"/>
  <c r="AT8" i="4"/>
  <c r="AT7" i="4"/>
  <c r="DR7" i="4"/>
  <c r="AK8" i="4"/>
  <c r="AI7" i="5"/>
  <c r="AI8" i="5"/>
  <c r="AW8" i="5"/>
  <c r="AW7" i="5"/>
  <c r="DX8" i="5"/>
  <c r="DX7" i="5"/>
  <c r="EE8" i="5"/>
  <c r="EE7" i="5"/>
  <c r="G7" i="4"/>
  <c r="Z7" i="4"/>
  <c r="BE7" i="4"/>
  <c r="DF7" i="4"/>
  <c r="BI7" i="4"/>
  <c r="DQ7" i="5"/>
  <c r="DQ8" i="5"/>
  <c r="DY7" i="5"/>
  <c r="DY8" i="5"/>
  <c r="M7" i="4"/>
  <c r="BJ7" i="4"/>
  <c r="CQ8" i="4"/>
  <c r="DR7" i="5"/>
  <c r="DR8" i="5"/>
  <c r="C8" i="5"/>
  <c r="C7" i="5"/>
  <c r="I7" i="5"/>
  <c r="I8" i="5"/>
  <c r="AT7" i="5"/>
  <c r="AT8" i="5"/>
  <c r="BA8" i="5"/>
  <c r="BA7" i="5"/>
  <c r="BH7" i="5"/>
  <c r="BH8" i="5"/>
  <c r="DS7" i="5"/>
  <c r="DS8" i="5"/>
  <c r="DZ8" i="5"/>
  <c r="DZ7" i="5"/>
  <c r="EH21" i="3"/>
  <c r="EH24" i="3"/>
  <c r="EG24" i="3"/>
  <c r="AW7" i="4"/>
  <c r="CB7" i="4"/>
  <c r="ED8" i="4"/>
  <c r="Y8" i="5"/>
  <c r="Y7" i="5"/>
  <c r="AM8" i="5"/>
  <c r="AM7" i="5"/>
  <c r="DL8" i="5"/>
  <c r="DL7" i="5"/>
  <c r="DT8" i="5"/>
  <c r="DT7" i="5"/>
  <c r="EG15" i="3"/>
  <c r="AX7" i="4"/>
  <c r="CC7" i="4"/>
  <c r="R8" i="5"/>
  <c r="R7" i="5"/>
  <c r="Z8" i="5"/>
  <c r="Z7" i="5"/>
  <c r="AN8" i="5"/>
  <c r="AN7" i="5"/>
  <c r="DM7" i="5"/>
  <c r="DM8" i="5"/>
  <c r="EG18" i="3"/>
  <c r="EG21" i="3"/>
  <c r="BR8" i="4"/>
  <c r="BR7" i="4"/>
  <c r="CD8" i="4"/>
  <c r="CD7" i="4"/>
  <c r="AY7" i="4"/>
  <c r="AF8" i="4"/>
  <c r="CH8" i="4"/>
  <c r="CZ7" i="5"/>
  <c r="CZ8" i="5"/>
  <c r="CT7" i="4"/>
  <c r="CT8" i="4"/>
  <c r="BF8" i="4"/>
  <c r="BF7" i="4"/>
  <c r="AJ8" i="4"/>
  <c r="AH7" i="5"/>
  <c r="AH8" i="5"/>
  <c r="AO7" i="5"/>
  <c r="AO8" i="5"/>
  <c r="BD7" i="5"/>
  <c r="BD8" i="5"/>
  <c r="BW7" i="5"/>
  <c r="BW8" i="5"/>
  <c r="CI8" i="5"/>
  <c r="CI7" i="5"/>
  <c r="AA7" i="5"/>
  <c r="S8" i="5"/>
  <c r="S7" i="5"/>
  <c r="BC8" i="5"/>
  <c r="BC7" i="5"/>
  <c r="CK8" i="5"/>
  <c r="B21" i="6"/>
  <c r="G8" i="5"/>
  <c r="G7" i="5"/>
  <c r="N8" i="5"/>
  <c r="N7" i="5"/>
  <c r="AJ8" i="5"/>
  <c r="AJ7" i="5"/>
  <c r="AQ8" i="5"/>
  <c r="AQ7" i="5"/>
  <c r="BF8" i="5"/>
  <c r="BF7" i="5"/>
  <c r="BY8" i="5"/>
  <c r="BY7" i="5"/>
  <c r="DB7" i="5"/>
  <c r="DB8" i="5"/>
  <c r="CR8" i="4"/>
  <c r="BS7" i="5"/>
  <c r="BS8" i="5"/>
  <c r="O7" i="5"/>
  <c r="DH7" i="5"/>
  <c r="BV8" i="5"/>
  <c r="H7" i="5"/>
  <c r="H8" i="5"/>
  <c r="AD8" i="5"/>
  <c r="AD7" i="5"/>
  <c r="CE7" i="5"/>
  <c r="AR8" i="5"/>
  <c r="DN7" i="5"/>
  <c r="DK7" i="5"/>
  <c r="DK8" i="5"/>
  <c r="M8" i="8"/>
  <c r="M7" i="8"/>
  <c r="AC8" i="8"/>
  <c r="AC7" i="8"/>
  <c r="CF8" i="8"/>
  <c r="CF7" i="8"/>
  <c r="CM8" i="8"/>
  <c r="CM7" i="8"/>
  <c r="DB8" i="8"/>
  <c r="DB7" i="8"/>
  <c r="DR8" i="8"/>
  <c r="DR7" i="8"/>
  <c r="X7" i="5"/>
  <c r="X8" i="5"/>
  <c r="AS7" i="5"/>
  <c r="AS8" i="5"/>
  <c r="CL8" i="5"/>
  <c r="CL7" i="5"/>
  <c r="DI8" i="5"/>
  <c r="DI7" i="5"/>
  <c r="BZ7" i="5"/>
  <c r="BI8" i="5"/>
  <c r="D8" i="8"/>
  <c r="D7" i="8"/>
  <c r="L8" i="8"/>
  <c r="L7" i="8"/>
  <c r="DQ8" i="8"/>
  <c r="DQ7" i="8"/>
  <c r="DY8" i="8"/>
  <c r="DY7" i="8"/>
  <c r="AB8" i="8"/>
  <c r="BO8" i="5"/>
  <c r="BO7" i="5"/>
  <c r="CA8" i="5"/>
  <c r="CA7" i="5"/>
  <c r="BB7" i="5"/>
  <c r="X8" i="8"/>
  <c r="X7" i="8"/>
  <c r="BS7" i="8"/>
  <c r="BS8" i="8"/>
  <c r="P7" i="8"/>
  <c r="P8" i="8"/>
  <c r="CB8" i="5"/>
  <c r="CB7" i="5"/>
  <c r="AC8" i="5"/>
  <c r="BK7" i="8"/>
  <c r="BQ8" i="8"/>
  <c r="BQ7" i="8"/>
  <c r="CV8" i="8"/>
  <c r="CV7" i="8"/>
  <c r="DS8" i="8"/>
  <c r="DS7" i="8"/>
  <c r="R7" i="8"/>
  <c r="CQ7" i="8"/>
  <c r="BZ8" i="8"/>
  <c r="BZ7" i="8"/>
  <c r="CG8" i="8"/>
  <c r="CG7" i="8"/>
  <c r="CW8" i="8"/>
  <c r="CW7" i="8"/>
  <c r="DD8" i="8"/>
  <c r="DD7" i="8"/>
  <c r="AU8" i="8"/>
  <c r="AU7" i="8"/>
  <c r="CA8" i="8"/>
  <c r="CA7" i="8"/>
  <c r="CH8" i="8"/>
  <c r="CH7" i="8"/>
  <c r="CO7" i="8"/>
  <c r="CO8" i="8"/>
  <c r="CX8" i="8"/>
  <c r="CX7" i="8"/>
  <c r="DM7" i="8"/>
  <c r="BD8" i="8"/>
  <c r="BD7" i="8"/>
  <c r="BL8" i="8"/>
  <c r="BL7" i="8"/>
  <c r="CB8" i="8"/>
  <c r="CB7" i="8"/>
  <c r="AN7" i="8"/>
  <c r="CM8" i="5"/>
  <c r="CM7" i="5"/>
  <c r="CG7" i="5"/>
  <c r="I8" i="8"/>
  <c r="I7" i="8"/>
  <c r="AW7" i="8"/>
  <c r="AW8" i="8"/>
  <c r="BE8" i="8"/>
  <c r="BE7" i="8"/>
  <c r="AO7" i="8"/>
  <c r="Z8" i="8"/>
  <c r="Z7" i="8"/>
  <c r="AH8" i="8"/>
  <c r="AH7" i="8"/>
  <c r="AP8" i="8"/>
  <c r="AP7" i="8"/>
  <c r="BU8" i="8"/>
  <c r="BU7" i="8"/>
  <c r="DW8" i="8"/>
  <c r="B21" i="7"/>
  <c r="AI8" i="8"/>
  <c r="AI7" i="8"/>
  <c r="DX8" i="8"/>
  <c r="DX7" i="8"/>
  <c r="EE8" i="8"/>
  <c r="EE7" i="8"/>
  <c r="Q8" i="8"/>
  <c r="C8" i="8"/>
  <c r="C7" i="8"/>
  <c r="K8" i="8"/>
  <c r="K7" i="8"/>
  <c r="T8" i="8"/>
  <c r="T7" i="8"/>
  <c r="AY8" i="8"/>
  <c r="AY7" i="8"/>
  <c r="DI8" i="8"/>
  <c r="DI7" i="8"/>
  <c r="BJ7" i="8"/>
  <c r="Y8" i="8"/>
  <c r="Y7" i="8"/>
  <c r="AV8" i="8"/>
  <c r="AV7" i="8"/>
  <c r="BR8" i="8"/>
  <c r="BR7" i="8"/>
  <c r="BY8" i="8"/>
  <c r="BY7" i="8"/>
  <c r="CN8" i="8"/>
  <c r="CN7" i="8"/>
  <c r="CU8" i="8"/>
  <c r="CU7" i="8"/>
  <c r="DJ8" i="8"/>
  <c r="DJ7" i="8"/>
  <c r="EF8" i="8"/>
  <c r="EF7" i="8"/>
  <c r="CR7" i="8"/>
  <c r="AJ8" i="8"/>
  <c r="AJ7" i="8"/>
  <c r="BF8" i="8"/>
  <c r="BF7" i="8"/>
  <c r="CC8" i="8"/>
  <c r="CC7" i="8"/>
  <c r="CY8" i="8"/>
  <c r="CY7" i="8"/>
  <c r="DT8" i="8"/>
  <c r="DT7" i="8"/>
  <c r="N8" i="8"/>
  <c r="N7" i="8"/>
  <c r="AK8" i="8"/>
  <c r="AK7" i="8"/>
  <c r="AR8" i="8"/>
  <c r="AR7" i="8"/>
  <c r="BG8" i="8"/>
  <c r="BG7" i="8"/>
  <c r="BN8" i="8"/>
  <c r="BN7" i="8"/>
  <c r="DF8" i="8"/>
  <c r="DF7" i="8"/>
  <c r="DU8" i="8"/>
  <c r="DU7" i="8"/>
  <c r="EB8" i="8"/>
  <c r="EB7" i="8"/>
  <c r="BV7" i="8"/>
  <c r="CY7" i="5"/>
  <c r="O8" i="8"/>
  <c r="O7" i="8"/>
  <c r="AS8" i="8"/>
  <c r="AS7" i="8"/>
  <c r="BO8" i="8"/>
  <c r="BO7" i="8"/>
  <c r="CK8" i="8"/>
  <c r="CK7" i="8"/>
  <c r="DG8" i="8"/>
  <c r="DG7" i="8"/>
  <c r="EC8" i="8"/>
  <c r="EC7" i="8"/>
  <c r="AD7" i="8"/>
  <c r="CN7" i="5"/>
  <c r="W8" i="8"/>
  <c r="W7" i="8"/>
  <c r="AE8" i="8"/>
  <c r="AE7" i="8"/>
  <c r="AT8" i="8"/>
  <c r="AT7" i="8"/>
  <c r="BA8" i="8"/>
  <c r="BA7" i="8"/>
  <c r="BP8" i="8"/>
  <c r="BP7" i="8"/>
  <c r="BW8" i="8"/>
  <c r="BW7" i="8"/>
  <c r="CL8" i="8"/>
  <c r="CL7" i="8"/>
  <c r="CS8" i="8"/>
  <c r="CS7" i="8"/>
  <c r="DH8" i="8"/>
  <c r="DH7" i="8"/>
  <c r="ED8" i="8"/>
  <c r="ED7" i="8"/>
  <c r="F8" i="8"/>
  <c r="DO7" i="8"/>
  <c r="DZ7" i="8"/>
  <c r="J7" i="8"/>
  <c r="U7" i="8"/>
  <c r="AF7" i="8"/>
  <c r="AQ7" i="8"/>
  <c r="BB7" i="8"/>
  <c r="BM7" i="8"/>
  <c r="BX7" i="8"/>
  <c r="CI7" i="8"/>
  <c r="CT7" i="8"/>
  <c r="DE7" i="8"/>
  <c r="DP7" i="8"/>
  <c r="EA7" i="8"/>
</calcChain>
</file>

<file path=xl/sharedStrings.xml><?xml version="1.0" encoding="utf-8"?>
<sst xmlns="http://schemas.openxmlformats.org/spreadsheetml/2006/main" count="2555" uniqueCount="251">
  <si>
    <t>NN1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</si>
  <si>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</si>
  <si>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</si>
  <si>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</si>
  <si>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</si>
  <si>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</si>
  <si>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</si>
  <si>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</si>
  <si>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</si>
  <si>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</si>
  <si>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</si>
  <si>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</si>
  <si>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</si>
  <si>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</si>
  <si>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</si>
  <si>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</si>
  <si>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</si>
  <si>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</si>
  <si>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</si>
  <si>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</si>
  <si>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</si>
  <si>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</si>
  <si>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</si>
  <si>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</si>
  <si>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</si>
  <si>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</si>
  <si>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</si>
  <si>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</si>
  <si>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</si>
  <si>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</si>
  <si>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</si>
  <si>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</si>
  <si>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</si>
  <si>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</si>
  <si>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</si>
  <si>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</si>
  <si>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</si>
  <si>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</si>
  <si>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</si>
  <si>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</si>
  <si>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</si>
  <si>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</si>
  <si>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</si>
  <si>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</si>
  <si>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</si>
  <si>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</si>
  <si>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</si>
  <si>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</si>
  <si>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</si>
  <si>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</si>
  <si>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</si>
  <si>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</si>
  <si>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</si>
  <si>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</si>
  <si>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</si>
  <si>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</si>
  <si>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</si>
  <si>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</si>
  <si>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</si>
  <si>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</si>
  <si>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</si>
  <si>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</si>
  <si>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</si>
  <si>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</si>
  <si>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</si>
  <si>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</si>
  <si>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</si>
  <si>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</si>
  <si>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</si>
  <si>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</si>
  <si>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</si>
  <si>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</si>
  <si>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</si>
  <si>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</si>
  <si>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</si>
  <si>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</si>
  <si>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</si>
  <si>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</si>
  <si>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</si>
  <si>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</si>
  <si>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</si>
  <si>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</si>
  <si>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</si>
  <si>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</si>
  <si>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</si>
  <si>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</si>
  <si>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</si>
  <si>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</si>
  <si>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</si>
  <si>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</si>
  <si>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</si>
  <si>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</si>
  <si>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</si>
  <si>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</si>
  <si>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</si>
  <si>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</si>
  <si>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</si>
  <si>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</si>
  <si>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</si>
  <si>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</si>
  <si>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</si>
  <si>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</si>
  <si>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</si>
  <si>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</si>
  <si>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</si>
  <si>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</si>
  <si>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</si>
  <si>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</si>
  <si>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</si>
  <si>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</si>
  <si>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</si>
  <si>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</si>
  <si>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</si>
  <si>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</si>
  <si>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</si>
  <si>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</si>
  <si>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</si>
  <si>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</si>
  <si>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</si>
  <si>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</si>
  <si>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</si>
  <si>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</si>
  <si>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</si>
  <si>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</si>
  <si>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</si>
  <si>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</si>
  <si>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</si>
  <si>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</si>
  <si>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</si>
  <si>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</si>
  <si>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</si>
  <si>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</si>
  <si>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</si>
  <si>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</si>
  <si>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</si>
  <si>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</si>
  <si>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</si>
  <si>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</si>
  <si>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</si>
  <si>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</si>
  <si>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 xml:space="preserve">投資組合                  </t>
  </si>
  <si>
    <t>公司數</t>
  </si>
  <si>
    <t>等分</t>
  </si>
  <si>
    <t>分數</t>
  </si>
  <si>
    <t>2025/02</t>
  </si>
  <si>
    <t>大盤</t>
  </si>
  <si>
    <t>TWII</t>
  </si>
  <si>
    <t>科風</t>
  </si>
  <si>
    <t>上亞科技</t>
  </si>
  <si>
    <t>欣巴巴</t>
  </si>
  <si>
    <t>士開</t>
  </si>
  <si>
    <t>昇益</t>
  </si>
  <si>
    <t>威盛</t>
  </si>
  <si>
    <t>美律</t>
  </si>
  <si>
    <t>三洋實業</t>
  </si>
  <si>
    <t>飛寶企業</t>
  </si>
  <si>
    <t>昱捷</t>
  </si>
  <si>
    <t>百徽</t>
  </si>
  <si>
    <t>全譜</t>
  </si>
  <si>
    <t>合正</t>
  </si>
  <si>
    <t>天瀚</t>
  </si>
  <si>
    <t>泰偉</t>
  </si>
  <si>
    <t>茂綸</t>
  </si>
  <si>
    <t>中茂</t>
  </si>
  <si>
    <t>網家</t>
  </si>
  <si>
    <t>青雲</t>
  </si>
  <si>
    <t>聯光通</t>
  </si>
  <si>
    <t>沛亨</t>
  </si>
  <si>
    <t>志旭</t>
  </si>
  <si>
    <t>業旺</t>
  </si>
  <si>
    <t>浪凡</t>
  </si>
  <si>
    <t>信立</t>
  </si>
  <si>
    <t>新零售</t>
  </si>
  <si>
    <t>天剛</t>
  </si>
  <si>
    <t>印鉐</t>
  </si>
  <si>
    <t>德宏</t>
  </si>
  <si>
    <t>麗升能源</t>
  </si>
  <si>
    <t>長華*</t>
  </si>
  <si>
    <t>勝昱</t>
  </si>
  <si>
    <t>恒大</t>
  </si>
  <si>
    <t>安鈦克</t>
  </si>
  <si>
    <t>華冠</t>
  </si>
  <si>
    <t>正峰</t>
  </si>
  <si>
    <t>世紀</t>
  </si>
  <si>
    <t>燁興</t>
  </si>
  <si>
    <t>一詮</t>
  </si>
  <si>
    <t>凱鈺</t>
  </si>
  <si>
    <t>潤泰新</t>
  </si>
  <si>
    <t>郡都開發</t>
  </si>
  <si>
    <t>愛地雅</t>
  </si>
  <si>
    <t>皇家美食</t>
  </si>
  <si>
    <t>萬海</t>
  </si>
  <si>
    <t>天揚</t>
  </si>
  <si>
    <t>連宇</t>
  </si>
  <si>
    <t>東訊</t>
  </si>
  <si>
    <t>愛山林</t>
  </si>
  <si>
    <t>力麗店</t>
  </si>
  <si>
    <t>關中</t>
  </si>
  <si>
    <t>南亞科</t>
  </si>
  <si>
    <t>中環</t>
  </si>
  <si>
    <t>佳和</t>
  </si>
  <si>
    <t>健信</t>
  </si>
  <si>
    <t>卓越</t>
  </si>
  <si>
    <t>臺龍</t>
  </si>
  <si>
    <t>旺宏</t>
  </si>
  <si>
    <t>撼訊</t>
  </si>
  <si>
    <t>海灣</t>
  </si>
  <si>
    <t>台積電</t>
  </si>
  <si>
    <t>茂矽</t>
  </si>
  <si>
    <t>寶隆</t>
  </si>
  <si>
    <t>福華</t>
  </si>
  <si>
    <t>樂事綠能</t>
  </si>
  <si>
    <t>友達</t>
  </si>
  <si>
    <t>建榮</t>
  </si>
  <si>
    <t>中美實</t>
  </si>
  <si>
    <t>銘旺科</t>
  </si>
  <si>
    <t>四維航</t>
  </si>
  <si>
    <t>艾華</t>
  </si>
  <si>
    <t>華義</t>
  </si>
  <si>
    <t>陽明</t>
  </si>
  <si>
    <t>倫飛</t>
  </si>
  <si>
    <t>藍天</t>
  </si>
  <si>
    <t>洛碁</t>
  </si>
  <si>
    <t>中石化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</si>
  <si>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</si>
  <si>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</si>
  <si>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</si>
  <si>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</si>
  <si>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</si>
  <si>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</si>
  <si>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</si>
  <si>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</si>
  <si>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</si>
  <si>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</si>
  <si>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</si>
  <si>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</si>
  <si>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</si>
  <si>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</si>
  <si>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</si>
  <si>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</si>
  <si>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</si>
  <si>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</si>
  <si>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OLS</t>
  </si>
  <si>
    <t>Real</t>
  </si>
  <si>
    <t>(預測-真實)^2</t>
  </si>
  <si>
    <t>真實^2</t>
  </si>
  <si>
    <t>R^2</t>
  </si>
  <si>
    <t>家數</t>
  </si>
  <si>
    <t>低</t>
    <phoneticPr fontId="1" type="noConversion"/>
  </si>
  <si>
    <t>公司名稱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</si>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</sst>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5C1"/>
        <bgColor indexed="64"/>
      </patternFill>
    </fill>
    <fill>
      <patternFill patternType="solid">
        <fgColor rgb="FFFCE6D0"/>
        <bgColor indexed="64"/>
      </patternFill>
    </fill>
    <fill>
      <patternFill patternType="solid">
        <fgColor rgb="FFFCDEC4"/>
        <bgColor indexed="64"/>
      </patternFill>
    </fill>
    <fill>
      <patternFill patternType="solid">
        <fgColor rgb="FFFCE3BE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0" fillId="2" borderId="1" xfId="0" applyFill="1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7" borderId="0" xfId="0" applyFont="1" applyFill="1">
      <alignment vertical="center"/>
    </xf>
    <xf numFmtId="0" fontId="0" fillId="0" borderId="0" xfId="0" applyAlignment="1"/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0" xfId="0" applyFill="1">
      <alignment vertical="center"/>
    </xf>
    <xf numFmtId="0" fontId="0" fillId="10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6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NN1</a:t>
            </a:r>
            <a:r>
              <a:rPr lang="zh-TW" altLang="en-US"/>
              <a:t>累積報酬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預測累積畫圖!$B$12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預測累積畫圖!$C$12:$EF$12</c:f>
              <c:numCache>
                <c:formatCode>General</c:formatCode>
                <c:ptCount val="134"/>
                <c:pt idx="0">
                  <c:v>-1.4499246984096079E-2</c:v>
                </c:pt>
                <c:pt idx="1">
                  <c:v>1.793045137799907E-4</c:v>
                </c:pt>
                <c:pt idx="2">
                  <c:v>-1.2144200270864549E-3</c:v>
                </c:pt>
                <c:pt idx="3">
                  <c:v>-5.7173804811545187E-2</c:v>
                </c:pt>
                <c:pt idx="4">
                  <c:v>-2.5226356292914729E-2</c:v>
                </c:pt>
                <c:pt idx="5">
                  <c:v>-1.562709793631514E-2</c:v>
                </c:pt>
                <c:pt idx="6">
                  <c:v>-2.4285250199659641E-2</c:v>
                </c:pt>
                <c:pt idx="7">
                  <c:v>-1.6895456543730841E-2</c:v>
                </c:pt>
                <c:pt idx="8">
                  <c:v>1.229254158996834E-2</c:v>
                </c:pt>
                <c:pt idx="9">
                  <c:v>2.1051097554134569E-2</c:v>
                </c:pt>
                <c:pt idx="10">
                  <c:v>4.794027138734152E-2</c:v>
                </c:pt>
                <c:pt idx="11">
                  <c:v>1.32369171438787E-2</c:v>
                </c:pt>
                <c:pt idx="12">
                  <c:v>4.1151676211119079E-2</c:v>
                </c:pt>
                <c:pt idx="13">
                  <c:v>6.2572097415581424E-2</c:v>
                </c:pt>
                <c:pt idx="14">
                  <c:v>5.7456414041617367E-2</c:v>
                </c:pt>
                <c:pt idx="15">
                  <c:v>4.4302925381078793E-2</c:v>
                </c:pt>
                <c:pt idx="16">
                  <c:v>5.5357955154417993E-2</c:v>
                </c:pt>
                <c:pt idx="17">
                  <c:v>7.4902388088932959E-3</c:v>
                </c:pt>
                <c:pt idx="18">
                  <c:v>8.8467618926742764E-3</c:v>
                </c:pt>
                <c:pt idx="19">
                  <c:v>1.8357715546322501E-2</c:v>
                </c:pt>
                <c:pt idx="20">
                  <c:v>-3.9207264269892524E-3</c:v>
                </c:pt>
                <c:pt idx="21">
                  <c:v>-0.1135614777743247</c:v>
                </c:pt>
                <c:pt idx="22">
                  <c:v>-9.2963084246633382E-2</c:v>
                </c:pt>
                <c:pt idx="23">
                  <c:v>-0.14611517122349429</c:v>
                </c:pt>
                <c:pt idx="24">
                  <c:v>-0.11919669180268259</c:v>
                </c:pt>
                <c:pt idx="25">
                  <c:v>-0.1084633621985439</c:v>
                </c:pt>
                <c:pt idx="26">
                  <c:v>-0.15523630782485509</c:v>
                </c:pt>
                <c:pt idx="27">
                  <c:v>-0.15776673765607871</c:v>
                </c:pt>
                <c:pt idx="28">
                  <c:v>-0.1113290209890946</c:v>
                </c:pt>
                <c:pt idx="29">
                  <c:v>-0.16334112376586229</c:v>
                </c:pt>
                <c:pt idx="30">
                  <c:v>-0.1671560541866722</c:v>
                </c:pt>
                <c:pt idx="31">
                  <c:v>-0.18056185883630541</c:v>
                </c:pt>
                <c:pt idx="32">
                  <c:v>-0.20006791001649141</c:v>
                </c:pt>
                <c:pt idx="33">
                  <c:v>-0.2130516575625459</c:v>
                </c:pt>
                <c:pt idx="34">
                  <c:v>-0.2295270257866816</c:v>
                </c:pt>
                <c:pt idx="35">
                  <c:v>-0.27732751573875891</c:v>
                </c:pt>
                <c:pt idx="36">
                  <c:v>-0.30741363135135691</c:v>
                </c:pt>
                <c:pt idx="37">
                  <c:v>-0.37664686566478539</c:v>
                </c:pt>
                <c:pt idx="38">
                  <c:v>-0.37887565870445838</c:v>
                </c:pt>
                <c:pt idx="39">
                  <c:v>-0.34515731392260929</c:v>
                </c:pt>
                <c:pt idx="40">
                  <c:v>-0.34685424450013869</c:v>
                </c:pt>
                <c:pt idx="41">
                  <c:v>-0.32463121851254662</c:v>
                </c:pt>
                <c:pt idx="42">
                  <c:v>-0.30465494560217538</c:v>
                </c:pt>
                <c:pt idx="43">
                  <c:v>-0.23245956324974029</c:v>
                </c:pt>
                <c:pt idx="44">
                  <c:v>-0.22874602680969569</c:v>
                </c:pt>
                <c:pt idx="45">
                  <c:v>-0.17503039615297589</c:v>
                </c:pt>
                <c:pt idx="46">
                  <c:v>-0.19220010091637901</c:v>
                </c:pt>
                <c:pt idx="47">
                  <c:v>-0.23689611288927689</c:v>
                </c:pt>
                <c:pt idx="48">
                  <c:v>-0.21940479123026929</c:v>
                </c:pt>
                <c:pt idx="49">
                  <c:v>-0.24301934439556999</c:v>
                </c:pt>
                <c:pt idx="50">
                  <c:v>-0.26945367427263162</c:v>
                </c:pt>
                <c:pt idx="51">
                  <c:v>-0.25417906902017212</c:v>
                </c:pt>
                <c:pt idx="52">
                  <c:v>-0.28087003531250959</c:v>
                </c:pt>
                <c:pt idx="53">
                  <c:v>-0.23163608739584299</c:v>
                </c:pt>
                <c:pt idx="54">
                  <c:v>-0.27723430614584299</c:v>
                </c:pt>
                <c:pt idx="55">
                  <c:v>-0.30083500406250968</c:v>
                </c:pt>
                <c:pt idx="56">
                  <c:v>-0.29083120197917628</c:v>
                </c:pt>
                <c:pt idx="57">
                  <c:v>-0.32591079100909343</c:v>
                </c:pt>
                <c:pt idx="58">
                  <c:v>-0.30507275975909343</c:v>
                </c:pt>
                <c:pt idx="59">
                  <c:v>-0.30427676643917562</c:v>
                </c:pt>
                <c:pt idx="60">
                  <c:v>-0.3049341499342102</c:v>
                </c:pt>
                <c:pt idx="61">
                  <c:v>-0.32964339576435892</c:v>
                </c:pt>
                <c:pt idx="62">
                  <c:v>-0.2793377112410344</c:v>
                </c:pt>
                <c:pt idx="63">
                  <c:v>-0.29085424675313087</c:v>
                </c:pt>
                <c:pt idx="64">
                  <c:v>-0.31510055700936779</c:v>
                </c:pt>
                <c:pt idx="65">
                  <c:v>-0.30459157170407369</c:v>
                </c:pt>
                <c:pt idx="66">
                  <c:v>-0.31848832132282051</c:v>
                </c:pt>
                <c:pt idx="67">
                  <c:v>-0.32074932977621928</c:v>
                </c:pt>
                <c:pt idx="68">
                  <c:v>-0.30188603639182332</c:v>
                </c:pt>
                <c:pt idx="69">
                  <c:v>-0.2855212530773979</c:v>
                </c:pt>
                <c:pt idx="70">
                  <c:v>-0.26860623585312299</c:v>
                </c:pt>
                <c:pt idx="71">
                  <c:v>-0.310888624939053</c:v>
                </c:pt>
                <c:pt idx="72">
                  <c:v>-0.35536562883070322</c:v>
                </c:pt>
                <c:pt idx="73">
                  <c:v>-0.36235078268884252</c:v>
                </c:pt>
                <c:pt idx="74">
                  <c:v>-0.3034208663312784</c:v>
                </c:pt>
                <c:pt idx="75">
                  <c:v>-0.25806392064000538</c:v>
                </c:pt>
                <c:pt idx="76">
                  <c:v>-0.2434833373066721</c:v>
                </c:pt>
                <c:pt idx="77">
                  <c:v>-0.21630947451364041</c:v>
                </c:pt>
                <c:pt idx="78">
                  <c:v>-0.15074343284697381</c:v>
                </c:pt>
                <c:pt idx="79">
                  <c:v>-3.9809799262521248E-2</c:v>
                </c:pt>
                <c:pt idx="80">
                  <c:v>0.1141973569874789</c:v>
                </c:pt>
                <c:pt idx="81">
                  <c:v>0.12221863150140889</c:v>
                </c:pt>
                <c:pt idx="82">
                  <c:v>7.2940671538328283E-2</c:v>
                </c:pt>
                <c:pt idx="83">
                  <c:v>5.6477559159542459E-2</c:v>
                </c:pt>
                <c:pt idx="84">
                  <c:v>3.2136329992875801E-2</c:v>
                </c:pt>
                <c:pt idx="85">
                  <c:v>8.625639690707082E-2</c:v>
                </c:pt>
                <c:pt idx="86">
                  <c:v>0.14235783755486101</c:v>
                </c:pt>
                <c:pt idx="87">
                  <c:v>0.22079811784088191</c:v>
                </c:pt>
                <c:pt idx="88">
                  <c:v>0.24715206867905121</c:v>
                </c:pt>
                <c:pt idx="89">
                  <c:v>0.22384481867905121</c:v>
                </c:pt>
                <c:pt idx="90">
                  <c:v>0.19902503342383859</c:v>
                </c:pt>
                <c:pt idx="91">
                  <c:v>0.20003005545953051</c:v>
                </c:pt>
                <c:pt idx="92">
                  <c:v>0.1373457084559557</c:v>
                </c:pt>
                <c:pt idx="93">
                  <c:v>0.19450569497746931</c:v>
                </c:pt>
                <c:pt idx="94">
                  <c:v>0.1799963824774693</c:v>
                </c:pt>
                <c:pt idx="95">
                  <c:v>0.1706673192474924</c:v>
                </c:pt>
                <c:pt idx="96">
                  <c:v>9.58877899661357E-2</c:v>
                </c:pt>
                <c:pt idx="97">
                  <c:v>0.16092109646182451</c:v>
                </c:pt>
                <c:pt idx="98">
                  <c:v>0.17395776584040221</c:v>
                </c:pt>
                <c:pt idx="99">
                  <c:v>0.2349476483773939</c:v>
                </c:pt>
                <c:pt idx="100">
                  <c:v>0.25136824462519952</c:v>
                </c:pt>
                <c:pt idx="101">
                  <c:v>0.32916057196470011</c:v>
                </c:pt>
                <c:pt idx="102">
                  <c:v>0.36613909279803342</c:v>
                </c:pt>
                <c:pt idx="103">
                  <c:v>0.45512094696470012</c:v>
                </c:pt>
                <c:pt idx="104">
                  <c:v>0.45061958317215872</c:v>
                </c:pt>
                <c:pt idx="105">
                  <c:v>0.41152816650549201</c:v>
                </c:pt>
                <c:pt idx="106">
                  <c:v>0.38679052209039699</c:v>
                </c:pt>
                <c:pt idx="107">
                  <c:v>0.39841484177826603</c:v>
                </c:pt>
                <c:pt idx="108">
                  <c:v>0.35102042014844159</c:v>
                </c:pt>
                <c:pt idx="109">
                  <c:v>0.41221584723177501</c:v>
                </c:pt>
                <c:pt idx="110">
                  <c:v>0.47196485764844159</c:v>
                </c:pt>
                <c:pt idx="111">
                  <c:v>0.48002745590321211</c:v>
                </c:pt>
                <c:pt idx="112">
                  <c:v>0.46408150277619581</c:v>
                </c:pt>
                <c:pt idx="113">
                  <c:v>0.48275133610999882</c:v>
                </c:pt>
                <c:pt idx="114">
                  <c:v>0.49189482944352803</c:v>
                </c:pt>
                <c:pt idx="115">
                  <c:v>0.51043627290214044</c:v>
                </c:pt>
                <c:pt idx="116">
                  <c:v>0.49140554463424257</c:v>
                </c:pt>
                <c:pt idx="117">
                  <c:v>0.43199685007758221</c:v>
                </c:pt>
                <c:pt idx="118">
                  <c:v>0.50653749755805499</c:v>
                </c:pt>
                <c:pt idx="119">
                  <c:v>0.52531644083744189</c:v>
                </c:pt>
                <c:pt idx="120">
                  <c:v>0.57134071984256662</c:v>
                </c:pt>
                <c:pt idx="121">
                  <c:v>0.52604283644816607</c:v>
                </c:pt>
                <c:pt idx="122">
                  <c:v>0.46881260728149943</c:v>
                </c:pt>
                <c:pt idx="123">
                  <c:v>0.4520611657676788</c:v>
                </c:pt>
                <c:pt idx="124">
                  <c:v>0.49702871785101221</c:v>
                </c:pt>
                <c:pt idx="125">
                  <c:v>0.51512785462934552</c:v>
                </c:pt>
                <c:pt idx="126">
                  <c:v>0.57785607672411543</c:v>
                </c:pt>
                <c:pt idx="127">
                  <c:v>0.59789496684770449</c:v>
                </c:pt>
                <c:pt idx="128">
                  <c:v>0.64899266476437112</c:v>
                </c:pt>
                <c:pt idx="129">
                  <c:v>0.65477883143103777</c:v>
                </c:pt>
                <c:pt idx="130">
                  <c:v>0.64497278976437111</c:v>
                </c:pt>
                <c:pt idx="131">
                  <c:v>0.63801503976437113</c:v>
                </c:pt>
                <c:pt idx="132">
                  <c:v>0.61150835226437117</c:v>
                </c:pt>
                <c:pt idx="133">
                  <c:v>0.64074174809770446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C-2341-A06A-F66BAD914835}"/>
            </c:ext>
          </c:extLst>
        </c:ser>
        <c:ser>
          <c:idx val="1"/>
          <c:order val="1"/>
          <c:tx>
            <c:strRef>
              <c:f>預測累積畫圖!$B$13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預測累積畫圖!$C$13:$EF$13</c:f>
              <c:numCache>
                <c:formatCode>General</c:formatCode>
                <c:ptCount val="134"/>
                <c:pt idx="0">
                  <c:v>7.4773642018864783E-3</c:v>
                </c:pt>
                <c:pt idx="1">
                  <c:v>2.020504213094671E-3</c:v>
                </c:pt>
                <c:pt idx="2">
                  <c:v>-3.5031224901916689E-3</c:v>
                </c:pt>
                <c:pt idx="3">
                  <c:v>-6.348964918311463E-2</c:v>
                </c:pt>
                <c:pt idx="4">
                  <c:v>-5.1442244883008699E-2</c:v>
                </c:pt>
                <c:pt idx="5">
                  <c:v>-3.4053857855509712E-2</c:v>
                </c:pt>
                <c:pt idx="6">
                  <c:v>-1.7678661716438451E-3</c:v>
                </c:pt>
                <c:pt idx="7">
                  <c:v>2.123254248092785E-2</c:v>
                </c:pt>
                <c:pt idx="8">
                  <c:v>8.1558681708497976E-2</c:v>
                </c:pt>
                <c:pt idx="9">
                  <c:v>0.1035391520872208</c:v>
                </c:pt>
                <c:pt idx="10">
                  <c:v>0.1068189103132255</c:v>
                </c:pt>
                <c:pt idx="11">
                  <c:v>6.3426492847528687E-2</c:v>
                </c:pt>
                <c:pt idx="12">
                  <c:v>8.084919165847862E-2</c:v>
                </c:pt>
                <c:pt idx="13">
                  <c:v>0.1017061047198842</c:v>
                </c:pt>
                <c:pt idx="14">
                  <c:v>0.11916248921624691</c:v>
                </c:pt>
                <c:pt idx="15">
                  <c:v>0.1026517781334169</c:v>
                </c:pt>
                <c:pt idx="16">
                  <c:v>9.6637975126374648E-2</c:v>
                </c:pt>
                <c:pt idx="17">
                  <c:v>2.2403893614652049E-2</c:v>
                </c:pt>
                <c:pt idx="18">
                  <c:v>-6.3574369759022836E-3</c:v>
                </c:pt>
                <c:pt idx="19">
                  <c:v>-4.1407970728483262E-3</c:v>
                </c:pt>
                <c:pt idx="20">
                  <c:v>-3.5243884957218218E-2</c:v>
                </c:pt>
                <c:pt idx="21">
                  <c:v>-0.15637165580995629</c:v>
                </c:pt>
                <c:pt idx="22">
                  <c:v>-0.16305501453650181</c:v>
                </c:pt>
                <c:pt idx="23">
                  <c:v>-0.24430641665773731</c:v>
                </c:pt>
                <c:pt idx="24">
                  <c:v>-0.19659376820747909</c:v>
                </c:pt>
                <c:pt idx="25">
                  <c:v>-0.18159219487850059</c:v>
                </c:pt>
                <c:pt idx="26">
                  <c:v>-0.24836389526043051</c:v>
                </c:pt>
                <c:pt idx="27">
                  <c:v>-0.2688041236342229</c:v>
                </c:pt>
                <c:pt idx="28">
                  <c:v>-0.1917327069074222</c:v>
                </c:pt>
                <c:pt idx="29">
                  <c:v>-0.26501386773573338</c:v>
                </c:pt>
                <c:pt idx="30">
                  <c:v>-0.25510866000865928</c:v>
                </c:pt>
                <c:pt idx="31">
                  <c:v>-0.26474999924817572</c:v>
                </c:pt>
                <c:pt idx="32">
                  <c:v>-0.2768175493222485</c:v>
                </c:pt>
                <c:pt idx="33">
                  <c:v>-0.2605370793339728</c:v>
                </c:pt>
                <c:pt idx="34">
                  <c:v>-0.29889646961684491</c:v>
                </c:pt>
                <c:pt idx="35">
                  <c:v>-0.348155354411395</c:v>
                </c:pt>
                <c:pt idx="36">
                  <c:v>-0.39443779794822392</c:v>
                </c:pt>
                <c:pt idx="37">
                  <c:v>-0.49976803608425802</c:v>
                </c:pt>
                <c:pt idx="38">
                  <c:v>-0.509079223983673</c:v>
                </c:pt>
                <c:pt idx="39">
                  <c:v>-0.4495283836216753</c:v>
                </c:pt>
                <c:pt idx="40">
                  <c:v>-0.45186845778119178</c:v>
                </c:pt>
                <c:pt idx="41">
                  <c:v>-0.43102041398646801</c:v>
                </c:pt>
                <c:pt idx="42">
                  <c:v>-0.40761545044487058</c:v>
                </c:pt>
                <c:pt idx="43">
                  <c:v>-0.32119253571727119</c:v>
                </c:pt>
                <c:pt idx="44">
                  <c:v>-0.33688795414374367</c:v>
                </c:pt>
                <c:pt idx="45">
                  <c:v>-0.25722197849527351</c:v>
                </c:pt>
                <c:pt idx="46">
                  <c:v>-0.28404321646565439</c:v>
                </c:pt>
                <c:pt idx="47">
                  <c:v>-0.31684304860151019</c:v>
                </c:pt>
                <c:pt idx="48">
                  <c:v>-0.30258084469437152</c:v>
                </c:pt>
                <c:pt idx="49">
                  <c:v>-0.33380138078814159</c:v>
                </c:pt>
                <c:pt idx="50">
                  <c:v>-0.3599896548387842</c:v>
                </c:pt>
                <c:pt idx="51">
                  <c:v>-0.31711428034197331</c:v>
                </c:pt>
                <c:pt idx="52">
                  <c:v>-0.33622514761681538</c:v>
                </c:pt>
                <c:pt idx="53">
                  <c:v>-0.29454841845014879</c:v>
                </c:pt>
                <c:pt idx="54">
                  <c:v>-0.3405970434501488</c:v>
                </c:pt>
                <c:pt idx="55">
                  <c:v>-0.36689958511681547</c:v>
                </c:pt>
                <c:pt idx="56">
                  <c:v>-0.35856866845014879</c:v>
                </c:pt>
                <c:pt idx="57">
                  <c:v>-0.39959232464234079</c:v>
                </c:pt>
                <c:pt idx="58">
                  <c:v>-0.37375961630900739</c:v>
                </c:pt>
                <c:pt idx="59">
                  <c:v>-0.35691253031874259</c:v>
                </c:pt>
                <c:pt idx="60">
                  <c:v>-0.36579092623483389</c:v>
                </c:pt>
                <c:pt idx="61">
                  <c:v>-0.39773878644800909</c:v>
                </c:pt>
                <c:pt idx="62">
                  <c:v>-0.34436701775281842</c:v>
                </c:pt>
                <c:pt idx="63">
                  <c:v>-0.35541955962809457</c:v>
                </c:pt>
                <c:pt idx="64">
                  <c:v>-0.38629827586156867</c:v>
                </c:pt>
                <c:pt idx="65">
                  <c:v>-0.39573097155622022</c:v>
                </c:pt>
                <c:pt idx="66">
                  <c:v>-0.43738403534564602</c:v>
                </c:pt>
                <c:pt idx="67">
                  <c:v>-0.44406545282920351</c:v>
                </c:pt>
                <c:pt idx="68">
                  <c:v>-0.43664598098898377</c:v>
                </c:pt>
                <c:pt idx="69">
                  <c:v>-0.43612490931318082</c:v>
                </c:pt>
                <c:pt idx="70">
                  <c:v>-0.42059774289206681</c:v>
                </c:pt>
                <c:pt idx="71">
                  <c:v>-0.50052857699312425</c:v>
                </c:pt>
                <c:pt idx="72">
                  <c:v>-0.57624258262980377</c:v>
                </c:pt>
                <c:pt idx="73">
                  <c:v>-0.57698822143581385</c:v>
                </c:pt>
                <c:pt idx="74">
                  <c:v>-0.53778626486067249</c:v>
                </c:pt>
                <c:pt idx="75">
                  <c:v>-0.46164814180162228</c:v>
                </c:pt>
                <c:pt idx="76">
                  <c:v>-0.43763595430162228</c:v>
                </c:pt>
                <c:pt idx="77">
                  <c:v>-0.41161857477892738</c:v>
                </c:pt>
                <c:pt idx="78">
                  <c:v>-0.29150065811226072</c:v>
                </c:pt>
                <c:pt idx="79">
                  <c:v>-0.1864148252199333</c:v>
                </c:pt>
                <c:pt idx="80">
                  <c:v>-2.5870960532665692E-3</c:v>
                </c:pt>
                <c:pt idx="81">
                  <c:v>-1.463076306832589E-2</c:v>
                </c:pt>
                <c:pt idx="82">
                  <c:v>-7.2645730875565209E-2</c:v>
                </c:pt>
                <c:pt idx="83">
                  <c:v>-7.6675236933775537E-2</c:v>
                </c:pt>
                <c:pt idx="84">
                  <c:v>-8.4570403600442212E-2</c:v>
                </c:pt>
                <c:pt idx="85">
                  <c:v>-2.9760222921602169E-2</c:v>
                </c:pt>
                <c:pt idx="86">
                  <c:v>3.5926903345195188E-2</c:v>
                </c:pt>
                <c:pt idx="87">
                  <c:v>0.1086510784984137</c:v>
                </c:pt>
                <c:pt idx="88">
                  <c:v>0.1226618132712924</c:v>
                </c:pt>
                <c:pt idx="89">
                  <c:v>9.2531146604625691E-2</c:v>
                </c:pt>
                <c:pt idx="90">
                  <c:v>5.7196802523968332E-2</c:v>
                </c:pt>
                <c:pt idx="91">
                  <c:v>3.661980678383886E-2</c:v>
                </c:pt>
                <c:pt idx="92">
                  <c:v>-3.455905818456502E-2</c:v>
                </c:pt>
                <c:pt idx="93">
                  <c:v>7.7085828195909686E-2</c:v>
                </c:pt>
                <c:pt idx="94">
                  <c:v>8.1033786529243021E-2</c:v>
                </c:pt>
                <c:pt idx="95">
                  <c:v>8.1442326644859286E-2</c:v>
                </c:pt>
                <c:pt idx="96">
                  <c:v>-2.5648635068778011E-2</c:v>
                </c:pt>
                <c:pt idx="97">
                  <c:v>5.2007416188194641E-2</c:v>
                </c:pt>
                <c:pt idx="98">
                  <c:v>8.8316535944627975E-2</c:v>
                </c:pt>
                <c:pt idx="99">
                  <c:v>0.148349791184681</c:v>
                </c:pt>
                <c:pt idx="100">
                  <c:v>0.18955154306877781</c:v>
                </c:pt>
                <c:pt idx="101">
                  <c:v>0.2467757634222629</c:v>
                </c:pt>
                <c:pt idx="102">
                  <c:v>0.29622153425559622</c:v>
                </c:pt>
                <c:pt idx="103">
                  <c:v>0.40245678425559622</c:v>
                </c:pt>
                <c:pt idx="104">
                  <c:v>0.38830691742830192</c:v>
                </c:pt>
                <c:pt idx="105">
                  <c:v>0.33690062576163532</c:v>
                </c:pt>
                <c:pt idx="106">
                  <c:v>0.31445862933239921</c:v>
                </c:pt>
                <c:pt idx="107">
                  <c:v>0.33173026136058148</c:v>
                </c:pt>
                <c:pt idx="108">
                  <c:v>0.26039450114566193</c:v>
                </c:pt>
                <c:pt idx="109">
                  <c:v>0.34911520947899521</c:v>
                </c:pt>
                <c:pt idx="110">
                  <c:v>0.43886333447899523</c:v>
                </c:pt>
                <c:pt idx="111">
                  <c:v>0.43553157829948441</c:v>
                </c:pt>
                <c:pt idx="112">
                  <c:v>0.44794065251811199</c:v>
                </c:pt>
                <c:pt idx="113">
                  <c:v>0.46999134319620028</c:v>
                </c:pt>
                <c:pt idx="114">
                  <c:v>0.45833544878068011</c:v>
                </c:pt>
                <c:pt idx="115">
                  <c:v>0.47111133826688339</c:v>
                </c:pt>
                <c:pt idx="116">
                  <c:v>0.4267861988446805</c:v>
                </c:pt>
                <c:pt idx="117">
                  <c:v>0.36875388995397879</c:v>
                </c:pt>
                <c:pt idx="118">
                  <c:v>0.45588290134654941</c:v>
                </c:pt>
                <c:pt idx="119">
                  <c:v>0.46965411061886131</c:v>
                </c:pt>
                <c:pt idx="120">
                  <c:v>0.49956930451018838</c:v>
                </c:pt>
                <c:pt idx="121">
                  <c:v>0.46414300346252357</c:v>
                </c:pt>
                <c:pt idx="122">
                  <c:v>0.43113704512919032</c:v>
                </c:pt>
                <c:pt idx="123">
                  <c:v>0.42128424036694218</c:v>
                </c:pt>
                <c:pt idx="124">
                  <c:v>0.46331271953360892</c:v>
                </c:pt>
                <c:pt idx="125">
                  <c:v>0.486542329082575</c:v>
                </c:pt>
                <c:pt idx="126">
                  <c:v>0.49604695388645242</c:v>
                </c:pt>
                <c:pt idx="127">
                  <c:v>0.52633220536139369</c:v>
                </c:pt>
                <c:pt idx="128">
                  <c:v>0.58845062202806031</c:v>
                </c:pt>
                <c:pt idx="129">
                  <c:v>0.5886516428613936</c:v>
                </c:pt>
                <c:pt idx="130">
                  <c:v>0.56987662202806022</c:v>
                </c:pt>
                <c:pt idx="131">
                  <c:v>0.57696060119472692</c:v>
                </c:pt>
                <c:pt idx="132">
                  <c:v>0.53572622619472687</c:v>
                </c:pt>
                <c:pt idx="133">
                  <c:v>0.58023926786139357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C-2341-A06A-F66BAD914835}"/>
            </c:ext>
          </c:extLst>
        </c:ser>
        <c:ser>
          <c:idx val="2"/>
          <c:order val="2"/>
          <c:tx>
            <c:strRef>
              <c:f>預測累積畫圖!$B$14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預測累積畫圖!$C$14:$EF$14</c:f>
              <c:numCache>
                <c:formatCode>General</c:formatCode>
                <c:ptCount val="134"/>
                <c:pt idx="0">
                  <c:v>3.3228977675766179E-2</c:v>
                </c:pt>
                <c:pt idx="1">
                  <c:v>-0.1084146710768594</c:v>
                </c:pt>
                <c:pt idx="2">
                  <c:v>-0.15633541709012869</c:v>
                </c:pt>
                <c:pt idx="3">
                  <c:v>-0.21667732199616119</c:v>
                </c:pt>
                <c:pt idx="4">
                  <c:v>-0.1630206915533805</c:v>
                </c:pt>
                <c:pt idx="5">
                  <c:v>-0.17452895241550409</c:v>
                </c:pt>
                <c:pt idx="6">
                  <c:v>-0.1444288171285687</c:v>
                </c:pt>
                <c:pt idx="7">
                  <c:v>-9.9197243096165288E-2</c:v>
                </c:pt>
                <c:pt idx="8">
                  <c:v>-4.8369776835317332E-2</c:v>
                </c:pt>
                <c:pt idx="9">
                  <c:v>7.9013081409181965E-3</c:v>
                </c:pt>
                <c:pt idx="10">
                  <c:v>-1.1120406324065781E-2</c:v>
                </c:pt>
                <c:pt idx="11">
                  <c:v>-6.8489832981087836E-2</c:v>
                </c:pt>
                <c:pt idx="12">
                  <c:v>-6.6995425042539303E-2</c:v>
                </c:pt>
                <c:pt idx="13">
                  <c:v>-8.6495031442980694E-3</c:v>
                </c:pt>
                <c:pt idx="14">
                  <c:v>7.0648154437266381E-2</c:v>
                </c:pt>
                <c:pt idx="15">
                  <c:v>8.8410463066444914E-2</c:v>
                </c:pt>
                <c:pt idx="16">
                  <c:v>6.3603716973677143E-2</c:v>
                </c:pt>
                <c:pt idx="17">
                  <c:v>2.858416213927709E-2</c:v>
                </c:pt>
                <c:pt idx="18">
                  <c:v>-1.9720071911236039E-3</c:v>
                </c:pt>
                <c:pt idx="19">
                  <c:v>-5.4393307350008691E-2</c:v>
                </c:pt>
                <c:pt idx="20">
                  <c:v>-0.12840146673826169</c:v>
                </c:pt>
                <c:pt idx="21">
                  <c:v>-0.31508716234860862</c:v>
                </c:pt>
                <c:pt idx="22">
                  <c:v>-0.37027815376083029</c:v>
                </c:pt>
                <c:pt idx="23">
                  <c:v>-0.48698218543225907</c:v>
                </c:pt>
                <c:pt idx="24">
                  <c:v>-0.38707630593493431</c:v>
                </c:pt>
                <c:pt idx="25">
                  <c:v>-0.35974032732938022</c:v>
                </c:pt>
                <c:pt idx="26">
                  <c:v>-0.35665376499059093</c:v>
                </c:pt>
                <c:pt idx="27">
                  <c:v>-0.42652835672573303</c:v>
                </c:pt>
                <c:pt idx="28">
                  <c:v>-0.30969143688616679</c:v>
                </c:pt>
                <c:pt idx="29">
                  <c:v>-0.4057715323428005</c:v>
                </c:pt>
                <c:pt idx="30">
                  <c:v>-0.38044223733184751</c:v>
                </c:pt>
                <c:pt idx="31">
                  <c:v>-0.38569251526235349</c:v>
                </c:pt>
                <c:pt idx="32">
                  <c:v>-0.45776546618947428</c:v>
                </c:pt>
                <c:pt idx="33">
                  <c:v>-0.47282450227262529</c:v>
                </c:pt>
                <c:pt idx="34">
                  <c:v>-0.55029984129507936</c:v>
                </c:pt>
                <c:pt idx="35">
                  <c:v>-0.6015300242632089</c:v>
                </c:pt>
                <c:pt idx="36">
                  <c:v>-0.66277219064183412</c:v>
                </c:pt>
                <c:pt idx="37">
                  <c:v>-0.76136685741137788</c:v>
                </c:pt>
                <c:pt idx="38">
                  <c:v>-0.82227256287678785</c:v>
                </c:pt>
                <c:pt idx="39">
                  <c:v>-0.75229603772470366</c:v>
                </c:pt>
                <c:pt idx="40">
                  <c:v>-0.72256265722742596</c:v>
                </c:pt>
                <c:pt idx="41">
                  <c:v>-0.71497996555998711</c:v>
                </c:pt>
                <c:pt idx="42">
                  <c:v>-0.72164930394967652</c:v>
                </c:pt>
                <c:pt idx="43">
                  <c:v>-0.64224582423903853</c:v>
                </c:pt>
                <c:pt idx="44">
                  <c:v>-0.69966743735317238</c:v>
                </c:pt>
                <c:pt idx="45">
                  <c:v>-0.63340868813691387</c:v>
                </c:pt>
                <c:pt idx="46">
                  <c:v>-0.68733736936634116</c:v>
                </c:pt>
                <c:pt idx="47">
                  <c:v>-0.70670758274183176</c:v>
                </c:pt>
                <c:pt idx="48">
                  <c:v>-0.70501701091682467</c:v>
                </c:pt>
                <c:pt idx="49">
                  <c:v>-0.76608759139806393</c:v>
                </c:pt>
                <c:pt idx="50">
                  <c:v>-0.83297742296091259</c:v>
                </c:pt>
                <c:pt idx="51">
                  <c:v>-0.77124314095923774</c:v>
                </c:pt>
                <c:pt idx="52">
                  <c:v>-0.74273745745993158</c:v>
                </c:pt>
                <c:pt idx="53">
                  <c:v>-0.72631856272308948</c:v>
                </c:pt>
                <c:pt idx="54">
                  <c:v>-0.75043666798624742</c:v>
                </c:pt>
                <c:pt idx="55">
                  <c:v>-0.75567872061782637</c:v>
                </c:pt>
                <c:pt idx="56">
                  <c:v>-0.74518187851256323</c:v>
                </c:pt>
                <c:pt idx="57">
                  <c:v>-0.81859534269128831</c:v>
                </c:pt>
                <c:pt idx="58">
                  <c:v>-0.78632444795444623</c:v>
                </c:pt>
                <c:pt idx="59">
                  <c:v>-0.76630722428321296</c:v>
                </c:pt>
                <c:pt idx="60">
                  <c:v>-0.79999864415398148</c:v>
                </c:pt>
                <c:pt idx="61">
                  <c:v>-0.85973641099635179</c:v>
                </c:pt>
                <c:pt idx="62">
                  <c:v>-0.81345808599335134</c:v>
                </c:pt>
                <c:pt idx="63">
                  <c:v>-0.8343946240659027</c:v>
                </c:pt>
                <c:pt idx="64">
                  <c:v>-0.86800366974316723</c:v>
                </c:pt>
                <c:pt idx="65">
                  <c:v>-0.88367740323612631</c:v>
                </c:pt>
                <c:pt idx="66">
                  <c:v>-0.89952092710607712</c:v>
                </c:pt>
                <c:pt idx="67">
                  <c:v>-0.92745035663869502</c:v>
                </c:pt>
                <c:pt idx="68">
                  <c:v>-0.96894431178327289</c:v>
                </c:pt>
                <c:pt idx="69">
                  <c:v>-0.9996707879090373</c:v>
                </c:pt>
                <c:pt idx="70">
                  <c:v>-0.98166827417665525</c:v>
                </c:pt>
                <c:pt idx="71">
                  <c:v>-1.0896499073766499</c:v>
                </c:pt>
                <c:pt idx="72">
                  <c:v>-1.220547415933835</c:v>
                </c:pt>
                <c:pt idx="73">
                  <c:v>-1.206212120656535</c:v>
                </c:pt>
                <c:pt idx="74">
                  <c:v>-1.2488166103098839</c:v>
                </c:pt>
                <c:pt idx="75">
                  <c:v>-1.1887825534811021</c:v>
                </c:pt>
                <c:pt idx="76">
                  <c:v>-1.1553279219021539</c:v>
                </c:pt>
                <c:pt idx="77">
                  <c:v>-1.095850861608614</c:v>
                </c:pt>
                <c:pt idx="78">
                  <c:v>-0.97525565108229861</c:v>
                </c:pt>
                <c:pt idx="79">
                  <c:v>-0.87723894115010081</c:v>
                </c:pt>
                <c:pt idx="80">
                  <c:v>-0.70668409904483764</c:v>
                </c:pt>
                <c:pt idx="81">
                  <c:v>-0.74956150912015451</c:v>
                </c:pt>
                <c:pt idx="82">
                  <c:v>-0.80688217278797514</c:v>
                </c:pt>
                <c:pt idx="83">
                  <c:v>-0.85576184324404092</c:v>
                </c:pt>
                <c:pt idx="84">
                  <c:v>-0.8595900011387777</c:v>
                </c:pt>
                <c:pt idx="85">
                  <c:v>-0.84179388478963635</c:v>
                </c:pt>
                <c:pt idx="86">
                  <c:v>-0.78800179827564343</c:v>
                </c:pt>
                <c:pt idx="87">
                  <c:v>-0.65065822782216887</c:v>
                </c:pt>
                <c:pt idx="88">
                  <c:v>-0.6557553346999162</c:v>
                </c:pt>
                <c:pt idx="89">
                  <c:v>-0.67515643996307406</c:v>
                </c:pt>
                <c:pt idx="90">
                  <c:v>-0.75392019868139815</c:v>
                </c:pt>
                <c:pt idx="91">
                  <c:v>-0.84757955642243998</c:v>
                </c:pt>
                <c:pt idx="92">
                  <c:v>-0.87980745630982771</c:v>
                </c:pt>
                <c:pt idx="93">
                  <c:v>-0.67208774371917968</c:v>
                </c:pt>
                <c:pt idx="94">
                  <c:v>-0.67590284898233755</c:v>
                </c:pt>
                <c:pt idx="95">
                  <c:v>-0.68556473526439277</c:v>
                </c:pt>
                <c:pt idx="96">
                  <c:v>-0.78710973522110728</c:v>
                </c:pt>
                <c:pt idx="97">
                  <c:v>-0.63571289406347398</c:v>
                </c:pt>
                <c:pt idx="98">
                  <c:v>-0.59094900962021391</c:v>
                </c:pt>
                <c:pt idx="99">
                  <c:v>-0.55464960073197478</c:v>
                </c:pt>
                <c:pt idx="100">
                  <c:v>-0.45828847060469091</c:v>
                </c:pt>
                <c:pt idx="101">
                  <c:v>-0.39422490725430748</c:v>
                </c:pt>
                <c:pt idx="102">
                  <c:v>-0.32883232830693909</c:v>
                </c:pt>
                <c:pt idx="103">
                  <c:v>-0.2242242756753601</c:v>
                </c:pt>
                <c:pt idx="104">
                  <c:v>-0.26722281765556022</c:v>
                </c:pt>
                <c:pt idx="105">
                  <c:v>-0.32112171239240228</c:v>
                </c:pt>
                <c:pt idx="106">
                  <c:v>-0.38364863639886132</c:v>
                </c:pt>
                <c:pt idx="107">
                  <c:v>-0.31946822852780671</c:v>
                </c:pt>
                <c:pt idx="108">
                  <c:v>-0.40679303428633973</c:v>
                </c:pt>
                <c:pt idx="109">
                  <c:v>-0.34805045533897128</c:v>
                </c:pt>
                <c:pt idx="110">
                  <c:v>-0.26140366586528713</c:v>
                </c:pt>
                <c:pt idx="111">
                  <c:v>-0.26037994159798977</c:v>
                </c:pt>
                <c:pt idx="112">
                  <c:v>-0.24130887848033389</c:v>
                </c:pt>
                <c:pt idx="113">
                  <c:v>-0.20055400664843481</c:v>
                </c:pt>
                <c:pt idx="114">
                  <c:v>-0.23297592339021381</c:v>
                </c:pt>
                <c:pt idx="115">
                  <c:v>-0.27791166399870942</c:v>
                </c:pt>
                <c:pt idx="116">
                  <c:v>-0.34820021294324099</c:v>
                </c:pt>
                <c:pt idx="117">
                  <c:v>-0.41111502101354142</c:v>
                </c:pt>
                <c:pt idx="118">
                  <c:v>-0.33994245643240839</c:v>
                </c:pt>
                <c:pt idx="119">
                  <c:v>-0.28731993697340891</c:v>
                </c:pt>
                <c:pt idx="120">
                  <c:v>-0.19788218258444171</c:v>
                </c:pt>
                <c:pt idx="121">
                  <c:v>-0.24239913618189701</c:v>
                </c:pt>
                <c:pt idx="122">
                  <c:v>-0.31119539933979168</c:v>
                </c:pt>
                <c:pt idx="123">
                  <c:v>-0.35634862324427469</c:v>
                </c:pt>
                <c:pt idx="124">
                  <c:v>-0.35453872850743262</c:v>
                </c:pt>
                <c:pt idx="125">
                  <c:v>-0.32684903114703401</c:v>
                </c:pt>
                <c:pt idx="126">
                  <c:v>-0.27918804454469281</c:v>
                </c:pt>
                <c:pt idx="127">
                  <c:v>-0.257490455288576</c:v>
                </c:pt>
                <c:pt idx="128">
                  <c:v>-0.14996492897278649</c:v>
                </c:pt>
                <c:pt idx="129">
                  <c:v>-0.17507545528857599</c:v>
                </c:pt>
                <c:pt idx="130">
                  <c:v>-0.19436508686752341</c:v>
                </c:pt>
                <c:pt idx="131">
                  <c:v>-0.22796345528857601</c:v>
                </c:pt>
                <c:pt idx="132">
                  <c:v>-0.22456419213068121</c:v>
                </c:pt>
                <c:pt idx="133">
                  <c:v>-0.19903998160436551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FC-2341-A06A-F66BAD914835}"/>
            </c:ext>
          </c:extLst>
        </c:ser>
        <c:ser>
          <c:idx val="3"/>
          <c:order val="3"/>
          <c:tx>
            <c:strRef>
              <c:f>預測累積畫圖!$B$15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預測累積畫圖!$C$15:$EF$15</c:f>
              <c:numCache>
                <c:formatCode>General</c:formatCode>
                <c:ptCount val="134"/>
                <c:pt idx="0">
                  <c:v>3.6350225217569622E-2</c:v>
                </c:pt>
                <c:pt idx="1">
                  <c:v>-0.2366846474780564</c:v>
                </c:pt>
                <c:pt idx="2">
                  <c:v>-0.3320292529490268</c:v>
                </c:pt>
                <c:pt idx="3">
                  <c:v>-0.29710781639232942</c:v>
                </c:pt>
                <c:pt idx="4">
                  <c:v>-0.26270389542529288</c:v>
                </c:pt>
                <c:pt idx="5">
                  <c:v>-0.26394762148339801</c:v>
                </c:pt>
                <c:pt idx="6">
                  <c:v>-0.1846545308302974</c:v>
                </c:pt>
                <c:pt idx="7">
                  <c:v>-0.1225333210803253</c:v>
                </c:pt>
                <c:pt idx="8">
                  <c:v>-2.8018523488394429E-2</c:v>
                </c:pt>
                <c:pt idx="9">
                  <c:v>5.3152537080251847E-2</c:v>
                </c:pt>
                <c:pt idx="10">
                  <c:v>5.1019520643964152E-2</c:v>
                </c:pt>
                <c:pt idx="11">
                  <c:v>-5.8776673781169547E-2</c:v>
                </c:pt>
                <c:pt idx="12">
                  <c:v>-7.1047469540322261E-2</c:v>
                </c:pt>
                <c:pt idx="13">
                  <c:v>-6.9312865186604983E-3</c:v>
                </c:pt>
                <c:pt idx="14">
                  <c:v>3.8967444927271097E-2</c:v>
                </c:pt>
                <c:pt idx="15">
                  <c:v>0.1656585036370849</c:v>
                </c:pt>
                <c:pt idx="16">
                  <c:v>0.25114639384302578</c:v>
                </c:pt>
                <c:pt idx="17">
                  <c:v>0.20525531672584149</c:v>
                </c:pt>
                <c:pt idx="18">
                  <c:v>0.1270559262880287</c:v>
                </c:pt>
                <c:pt idx="19">
                  <c:v>1.6928919957192801E-2</c:v>
                </c:pt>
                <c:pt idx="20">
                  <c:v>-8.56146740255503E-2</c:v>
                </c:pt>
                <c:pt idx="21">
                  <c:v>-0.29680100135593201</c:v>
                </c:pt>
                <c:pt idx="22">
                  <c:v>-0.34882979941307418</c:v>
                </c:pt>
                <c:pt idx="23">
                  <c:v>-0.41153391874151812</c:v>
                </c:pt>
                <c:pt idx="24">
                  <c:v>-0.25068353452845371</c:v>
                </c:pt>
                <c:pt idx="25">
                  <c:v>-0.22851713378752059</c:v>
                </c:pt>
                <c:pt idx="26">
                  <c:v>-0.23283480263557579</c:v>
                </c:pt>
                <c:pt idx="27">
                  <c:v>-0.31454817752375808</c:v>
                </c:pt>
                <c:pt idx="28">
                  <c:v>-0.1027555344764861</c:v>
                </c:pt>
                <c:pt idx="29">
                  <c:v>-0.2404818216541405</c:v>
                </c:pt>
                <c:pt idx="30">
                  <c:v>-0.19615727743906469</c:v>
                </c:pt>
                <c:pt idx="31">
                  <c:v>-0.16255290408138831</c:v>
                </c:pt>
                <c:pt idx="32">
                  <c:v>-0.2479830148969952</c:v>
                </c:pt>
                <c:pt idx="33">
                  <c:v>-0.25744787486447102</c:v>
                </c:pt>
                <c:pt idx="34">
                  <c:v>-0.32680932605638741</c:v>
                </c:pt>
                <c:pt idx="35">
                  <c:v>-0.3591694998530488</c:v>
                </c:pt>
                <c:pt idx="36">
                  <c:v>-0.4142921219876759</c:v>
                </c:pt>
                <c:pt idx="37">
                  <c:v>-0.51598082790005939</c:v>
                </c:pt>
                <c:pt idx="38">
                  <c:v>-0.57935064036352646</c:v>
                </c:pt>
                <c:pt idx="39">
                  <c:v>-0.50106494647077227</c:v>
                </c:pt>
                <c:pt idx="40">
                  <c:v>-0.46461162705053699</c:v>
                </c:pt>
                <c:pt idx="41">
                  <c:v>-0.44687780129129773</c:v>
                </c:pt>
                <c:pt idx="42">
                  <c:v>-0.49561102264539952</c:v>
                </c:pt>
                <c:pt idx="43">
                  <c:v>-0.42462121004169462</c:v>
                </c:pt>
                <c:pt idx="44">
                  <c:v>-0.50179528729165634</c:v>
                </c:pt>
                <c:pt idx="45">
                  <c:v>-0.46449735859254587</c:v>
                </c:pt>
                <c:pt idx="46">
                  <c:v>-0.55622483138589662</c:v>
                </c:pt>
                <c:pt idx="47">
                  <c:v>-0.63758539734066477</c:v>
                </c:pt>
                <c:pt idx="48">
                  <c:v>-0.60857973804017296</c:v>
                </c:pt>
                <c:pt idx="49">
                  <c:v>-0.67642606715882336</c:v>
                </c:pt>
                <c:pt idx="50">
                  <c:v>-0.66127432866502611</c:v>
                </c:pt>
                <c:pt idx="51">
                  <c:v>-0.54854946258621307</c:v>
                </c:pt>
                <c:pt idx="52">
                  <c:v>-0.51761277096386304</c:v>
                </c:pt>
                <c:pt idx="53">
                  <c:v>-0.51024807096386304</c:v>
                </c:pt>
                <c:pt idx="54">
                  <c:v>-0.55646637096386309</c:v>
                </c:pt>
                <c:pt idx="55">
                  <c:v>-0.61344397096386305</c:v>
                </c:pt>
                <c:pt idx="56">
                  <c:v>-0.59966757096386303</c:v>
                </c:pt>
                <c:pt idx="57">
                  <c:v>-0.69831661737028372</c:v>
                </c:pt>
                <c:pt idx="58">
                  <c:v>-0.67196481737028368</c:v>
                </c:pt>
                <c:pt idx="59">
                  <c:v>-0.66069979028283843</c:v>
                </c:pt>
                <c:pt idx="60">
                  <c:v>-0.61509485798242491</c:v>
                </c:pt>
                <c:pt idx="61">
                  <c:v>-0.67449872932377331</c:v>
                </c:pt>
                <c:pt idx="62">
                  <c:v>-0.62627972483602923</c:v>
                </c:pt>
                <c:pt idx="63">
                  <c:v>-0.66642229456921909</c:v>
                </c:pt>
                <c:pt idx="64">
                  <c:v>-0.69415677052415004</c:v>
                </c:pt>
                <c:pt idx="65">
                  <c:v>-0.70834099123195482</c:v>
                </c:pt>
                <c:pt idx="66">
                  <c:v>-0.72114392252228254</c:v>
                </c:pt>
                <c:pt idx="67">
                  <c:v>-0.77130135164434221</c:v>
                </c:pt>
                <c:pt idx="68">
                  <c:v>-0.78812512909462851</c:v>
                </c:pt>
                <c:pt idx="69">
                  <c:v>-0.84797606518647928</c:v>
                </c:pt>
                <c:pt idx="70">
                  <c:v>-0.86311614758534272</c:v>
                </c:pt>
                <c:pt idx="71">
                  <c:v>-0.96775619187903283</c:v>
                </c:pt>
                <c:pt idx="72">
                  <c:v>-1.266635181454961</c:v>
                </c:pt>
                <c:pt idx="73">
                  <c:v>-1.2127836125104969</c:v>
                </c:pt>
                <c:pt idx="74">
                  <c:v>-1.3388071860875841</c:v>
                </c:pt>
                <c:pt idx="75">
                  <c:v>-1.2359007171102361</c:v>
                </c:pt>
                <c:pt idx="76">
                  <c:v>-1.205937817110236</c:v>
                </c:pt>
                <c:pt idx="77">
                  <c:v>-1.1132537115869989</c:v>
                </c:pt>
                <c:pt idx="78">
                  <c:v>-0.93960411158699897</c:v>
                </c:pt>
                <c:pt idx="79">
                  <c:v>-0.81945202762391456</c:v>
                </c:pt>
                <c:pt idx="80">
                  <c:v>-0.74608462762391459</c:v>
                </c:pt>
                <c:pt idx="81">
                  <c:v>-0.78743405749188211</c:v>
                </c:pt>
                <c:pt idx="82">
                  <c:v>-0.87332007902204589</c:v>
                </c:pt>
                <c:pt idx="83">
                  <c:v>-0.95466268700537416</c:v>
                </c:pt>
                <c:pt idx="84">
                  <c:v>-1.023997687005374</c:v>
                </c:pt>
                <c:pt idx="85">
                  <c:v>-0.98332597005831301</c:v>
                </c:pt>
                <c:pt idx="86">
                  <c:v>-0.88768522188560772</c:v>
                </c:pt>
                <c:pt idx="87">
                  <c:v>-0.72603074884243113</c:v>
                </c:pt>
                <c:pt idx="88">
                  <c:v>-0.77265728463502981</c:v>
                </c:pt>
                <c:pt idx="89">
                  <c:v>-0.77243968463502977</c:v>
                </c:pt>
                <c:pt idx="90">
                  <c:v>-0.87941892883459782</c:v>
                </c:pt>
                <c:pt idx="91">
                  <c:v>-1.009517676508338</c:v>
                </c:pt>
                <c:pt idx="92">
                  <c:v>-0.9845543160518988</c:v>
                </c:pt>
                <c:pt idx="93">
                  <c:v>-0.80306538381616366</c:v>
                </c:pt>
                <c:pt idx="94">
                  <c:v>-0.78615298381616361</c:v>
                </c:pt>
                <c:pt idx="95">
                  <c:v>-0.78121131345055173</c:v>
                </c:pt>
                <c:pt idx="96">
                  <c:v>-0.90526124486441983</c:v>
                </c:pt>
                <c:pt idx="97">
                  <c:v>-0.7226496971475036</c:v>
                </c:pt>
                <c:pt idx="98">
                  <c:v>-0.69657760624437692</c:v>
                </c:pt>
                <c:pt idx="99">
                  <c:v>-0.67253799919104595</c:v>
                </c:pt>
                <c:pt idx="100">
                  <c:v>-0.57959009485568802</c:v>
                </c:pt>
                <c:pt idx="101">
                  <c:v>-0.49970314691134582</c:v>
                </c:pt>
                <c:pt idx="102">
                  <c:v>-0.41084134691134577</c:v>
                </c:pt>
                <c:pt idx="103">
                  <c:v>-0.31379364691134581</c:v>
                </c:pt>
                <c:pt idx="104">
                  <c:v>-0.38148607885647168</c:v>
                </c:pt>
                <c:pt idx="105">
                  <c:v>-0.44901117885647168</c:v>
                </c:pt>
                <c:pt idx="106">
                  <c:v>-0.5061748135877242</c:v>
                </c:pt>
                <c:pt idx="107">
                  <c:v>-0.51222933986032837</c:v>
                </c:pt>
                <c:pt idx="108">
                  <c:v>-0.62532090270068807</c:v>
                </c:pt>
                <c:pt idx="109">
                  <c:v>-0.49569740270068807</c:v>
                </c:pt>
                <c:pt idx="110">
                  <c:v>-0.45288640270068808</c:v>
                </c:pt>
                <c:pt idx="111">
                  <c:v>-0.50474025579509496</c:v>
                </c:pt>
                <c:pt idx="112">
                  <c:v>-0.40296542174362687</c:v>
                </c:pt>
                <c:pt idx="113">
                  <c:v>-0.40326941494645469</c:v>
                </c:pt>
                <c:pt idx="114">
                  <c:v>-0.4423215316401205</c:v>
                </c:pt>
                <c:pt idx="115">
                  <c:v>-0.5240522438912496</c:v>
                </c:pt>
                <c:pt idx="116">
                  <c:v>-0.55815665964034666</c:v>
                </c:pt>
                <c:pt idx="117">
                  <c:v>-0.69246160700571302</c:v>
                </c:pt>
                <c:pt idx="118">
                  <c:v>-0.6554229180535156</c:v>
                </c:pt>
                <c:pt idx="119">
                  <c:v>-0.58541235143557713</c:v>
                </c:pt>
                <c:pt idx="120">
                  <c:v>-0.57584080897681256</c:v>
                </c:pt>
                <c:pt idx="121">
                  <c:v>-0.64800444069497554</c:v>
                </c:pt>
                <c:pt idx="122">
                  <c:v>-0.76513294069497551</c:v>
                </c:pt>
                <c:pt idx="123">
                  <c:v>-0.81186067004821516</c:v>
                </c:pt>
                <c:pt idx="124">
                  <c:v>-0.87268747004821512</c:v>
                </c:pt>
                <c:pt idx="125">
                  <c:v>-0.85114179972773507</c:v>
                </c:pt>
                <c:pt idx="126">
                  <c:v>-0.93481543442027382</c:v>
                </c:pt>
                <c:pt idx="127">
                  <c:v>-0.8982189366564699</c:v>
                </c:pt>
                <c:pt idx="128">
                  <c:v>-0.78904123665646986</c:v>
                </c:pt>
                <c:pt idx="129">
                  <c:v>-0.84517023665646984</c:v>
                </c:pt>
                <c:pt idx="130">
                  <c:v>-0.86295403665646986</c:v>
                </c:pt>
                <c:pt idx="131">
                  <c:v>-0.93533773665646991</c:v>
                </c:pt>
                <c:pt idx="132">
                  <c:v>-0.93852793665646994</c:v>
                </c:pt>
                <c:pt idx="133">
                  <c:v>-0.90888383665646999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FC-2341-A06A-F66BAD914835}"/>
            </c:ext>
          </c:extLst>
        </c:ser>
        <c:ser>
          <c:idx val="4"/>
          <c:order val="4"/>
          <c:tx>
            <c:strRef>
              <c:f>預測累積畫圖!$B$16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預測累積畫圖!$C$16:$EF$16</c:f>
              <c:numCache>
                <c:formatCode>General</c:formatCode>
                <c:ptCount val="134"/>
                <c:pt idx="0">
                  <c:v>3.9435389831589431E-2</c:v>
                </c:pt>
                <c:pt idx="1">
                  <c:v>-0.1949025871283997</c:v>
                </c:pt>
                <c:pt idx="2">
                  <c:v>-0.281606758556953</c:v>
                </c:pt>
                <c:pt idx="3">
                  <c:v>-0.20289128665262199</c:v>
                </c:pt>
                <c:pt idx="4">
                  <c:v>-0.19474473599367281</c:v>
                </c:pt>
                <c:pt idx="5">
                  <c:v>-0.1953940854504958</c:v>
                </c:pt>
                <c:pt idx="6">
                  <c:v>-8.6176122114250797E-2</c:v>
                </c:pt>
                <c:pt idx="7">
                  <c:v>-1.307148297186639E-2</c:v>
                </c:pt>
                <c:pt idx="8">
                  <c:v>7.3349408610524192E-2</c:v>
                </c:pt>
                <c:pt idx="9">
                  <c:v>0.15851101272473561</c:v>
                </c:pt>
                <c:pt idx="10">
                  <c:v>0.1445235768628185</c:v>
                </c:pt>
                <c:pt idx="11">
                  <c:v>2.4281078583621829E-2</c:v>
                </c:pt>
                <c:pt idx="12">
                  <c:v>-4.3059982953573619E-3</c:v>
                </c:pt>
                <c:pt idx="13">
                  <c:v>5.6739233496064953E-2</c:v>
                </c:pt>
                <c:pt idx="14">
                  <c:v>0.13821787680205819</c:v>
                </c:pt>
                <c:pt idx="15">
                  <c:v>0.2413275706897674</c:v>
                </c:pt>
                <c:pt idx="16">
                  <c:v>0.35118661502457399</c:v>
                </c:pt>
                <c:pt idx="17">
                  <c:v>0.31277994173096202</c:v>
                </c:pt>
                <c:pt idx="18">
                  <c:v>0.22130800678019499</c:v>
                </c:pt>
                <c:pt idx="19">
                  <c:v>0.14573652067128809</c:v>
                </c:pt>
                <c:pt idx="20">
                  <c:v>4.4070844623476248E-2</c:v>
                </c:pt>
                <c:pt idx="21">
                  <c:v>-0.19646111700368979</c:v>
                </c:pt>
                <c:pt idx="22">
                  <c:v>-0.24673995146475239</c:v>
                </c:pt>
                <c:pt idx="23">
                  <c:v>-0.28975000964851338</c:v>
                </c:pt>
                <c:pt idx="24">
                  <c:v>-0.12359111835119629</c:v>
                </c:pt>
                <c:pt idx="25">
                  <c:v>-9.1295703917128532E-2</c:v>
                </c:pt>
                <c:pt idx="26">
                  <c:v>-7.8530255881711836E-2</c:v>
                </c:pt>
                <c:pt idx="27">
                  <c:v>-0.13166631142956861</c:v>
                </c:pt>
                <c:pt idx="28">
                  <c:v>7.7961929747341868E-2</c:v>
                </c:pt>
                <c:pt idx="29">
                  <c:v>-6.9953680517084643E-2</c:v>
                </c:pt>
                <c:pt idx="30">
                  <c:v>-2.617752078131224E-2</c:v>
                </c:pt>
                <c:pt idx="31">
                  <c:v>5.5878796681283144E-3</c:v>
                </c:pt>
                <c:pt idx="32">
                  <c:v>-4.3490163508439719E-2</c:v>
                </c:pt>
                <c:pt idx="33">
                  <c:v>-3.6464197436563657E-2</c:v>
                </c:pt>
                <c:pt idx="34">
                  <c:v>-7.3897650418051533E-2</c:v>
                </c:pt>
                <c:pt idx="35">
                  <c:v>-7.9337353048704512E-2</c:v>
                </c:pt>
                <c:pt idx="36">
                  <c:v>-0.14541408365050251</c:v>
                </c:pt>
                <c:pt idx="37">
                  <c:v>-0.25187028374017811</c:v>
                </c:pt>
                <c:pt idx="38">
                  <c:v>-0.31329495556609038</c:v>
                </c:pt>
                <c:pt idx="39">
                  <c:v>-0.23549658742050189</c:v>
                </c:pt>
                <c:pt idx="40">
                  <c:v>-0.18099883447661849</c:v>
                </c:pt>
                <c:pt idx="41">
                  <c:v>-0.1466268554163476</c:v>
                </c:pt>
                <c:pt idx="42">
                  <c:v>-0.19926957365458139</c:v>
                </c:pt>
                <c:pt idx="43">
                  <c:v>-7.6705530304296568E-2</c:v>
                </c:pt>
                <c:pt idx="44">
                  <c:v>-0.15879580214729849</c:v>
                </c:pt>
                <c:pt idx="45">
                  <c:v>-0.10671496671056099</c:v>
                </c:pt>
                <c:pt idx="46">
                  <c:v>-0.21569990535208969</c:v>
                </c:pt>
                <c:pt idx="47">
                  <c:v>-0.31632123445349247</c:v>
                </c:pt>
                <c:pt idx="48">
                  <c:v>-0.29671938085435329</c:v>
                </c:pt>
                <c:pt idx="49">
                  <c:v>-0.38486956237492592</c:v>
                </c:pt>
                <c:pt idx="50">
                  <c:v>-0.41878112435962439</c:v>
                </c:pt>
                <c:pt idx="51">
                  <c:v>-0.31074220020688642</c:v>
                </c:pt>
                <c:pt idx="52">
                  <c:v>-0.27174280828465469</c:v>
                </c:pt>
                <c:pt idx="53">
                  <c:v>-0.26545869717354359</c:v>
                </c:pt>
                <c:pt idx="54">
                  <c:v>-0.30959903050687693</c:v>
                </c:pt>
                <c:pt idx="55">
                  <c:v>-0.36418336384021027</c:v>
                </c:pt>
                <c:pt idx="56">
                  <c:v>-0.34485214161798811</c:v>
                </c:pt>
                <c:pt idx="57">
                  <c:v>-0.44101417612572169</c:v>
                </c:pt>
                <c:pt idx="58">
                  <c:v>-0.41539328723683289</c:v>
                </c:pt>
                <c:pt idx="59">
                  <c:v>-0.39488947095362531</c:v>
                </c:pt>
                <c:pt idx="60">
                  <c:v>-0.3435178464276139</c:v>
                </c:pt>
                <c:pt idx="61">
                  <c:v>-0.41414141213513711</c:v>
                </c:pt>
                <c:pt idx="62">
                  <c:v>-0.37464342664403089</c:v>
                </c:pt>
                <c:pt idx="63">
                  <c:v>-0.4225492592480582</c:v>
                </c:pt>
                <c:pt idx="64">
                  <c:v>-0.44443961920171587</c:v>
                </c:pt>
                <c:pt idx="65">
                  <c:v>-0.46528280274929651</c:v>
                </c:pt>
                <c:pt idx="66">
                  <c:v>-0.48176081900422513</c:v>
                </c:pt>
                <c:pt idx="67">
                  <c:v>-0.50805766702566946</c:v>
                </c:pt>
                <c:pt idx="68">
                  <c:v>-0.52124924017313368</c:v>
                </c:pt>
                <c:pt idx="69">
                  <c:v>-0.56791012266665197</c:v>
                </c:pt>
                <c:pt idx="70">
                  <c:v>-0.58297470020325382</c:v>
                </c:pt>
                <c:pt idx="71">
                  <c:v>-0.61956033812700051</c:v>
                </c:pt>
                <c:pt idx="72">
                  <c:v>-0.93753117266536767</c:v>
                </c:pt>
                <c:pt idx="73">
                  <c:v>-0.87097165354728479</c:v>
                </c:pt>
                <c:pt idx="74">
                  <c:v>-1.0035300628046639</c:v>
                </c:pt>
                <c:pt idx="75">
                  <c:v>-0.89200421430301469</c:v>
                </c:pt>
                <c:pt idx="76">
                  <c:v>-0.8645732143030147</c:v>
                </c:pt>
                <c:pt idx="77">
                  <c:v>-0.74870766531385935</c:v>
                </c:pt>
                <c:pt idx="78">
                  <c:v>-0.70432133198052604</c:v>
                </c:pt>
                <c:pt idx="79">
                  <c:v>-0.54925006035416424</c:v>
                </c:pt>
                <c:pt idx="80">
                  <c:v>-0.45563628257638639</c:v>
                </c:pt>
                <c:pt idx="81">
                  <c:v>-0.50843636691166738</c:v>
                </c:pt>
                <c:pt idx="82">
                  <c:v>-0.57016424505833396</c:v>
                </c:pt>
                <c:pt idx="83">
                  <c:v>-0.62061296976233005</c:v>
                </c:pt>
                <c:pt idx="84">
                  <c:v>-0.67895630309566335</c:v>
                </c:pt>
                <c:pt idx="85">
                  <c:v>-0.64925291760190007</c:v>
                </c:pt>
                <c:pt idx="86">
                  <c:v>-0.56083022782029246</c:v>
                </c:pt>
                <c:pt idx="87">
                  <c:v>-0.36408978966107869</c:v>
                </c:pt>
                <c:pt idx="88">
                  <c:v>-0.37108951640673088</c:v>
                </c:pt>
                <c:pt idx="89">
                  <c:v>-0.3614799608511754</c:v>
                </c:pt>
                <c:pt idx="90">
                  <c:v>-0.49612016964508071</c:v>
                </c:pt>
                <c:pt idx="91">
                  <c:v>-0.60727161984672495</c:v>
                </c:pt>
                <c:pt idx="92">
                  <c:v>-0.58693784002636407</c:v>
                </c:pt>
                <c:pt idx="93">
                  <c:v>-0.39765130655896558</c:v>
                </c:pt>
                <c:pt idx="94">
                  <c:v>-0.3758430843367434</c:v>
                </c:pt>
                <c:pt idx="95">
                  <c:v>-0.35028570637590878</c:v>
                </c:pt>
                <c:pt idx="96">
                  <c:v>-0.48575740724011479</c:v>
                </c:pt>
                <c:pt idx="97">
                  <c:v>-0.31350588460162848</c:v>
                </c:pt>
                <c:pt idx="98">
                  <c:v>-0.26616422542734869</c:v>
                </c:pt>
                <c:pt idx="99">
                  <c:v>-0.2539239406730987</c:v>
                </c:pt>
                <c:pt idx="100">
                  <c:v>-0.17264330279888451</c:v>
                </c:pt>
                <c:pt idx="101">
                  <c:v>-7.0010043620751958E-2</c:v>
                </c:pt>
                <c:pt idx="102">
                  <c:v>4.8170511934803643E-2</c:v>
                </c:pt>
                <c:pt idx="103">
                  <c:v>0.14618717860147029</c:v>
                </c:pt>
                <c:pt idx="104">
                  <c:v>6.292312697848565E-2</c:v>
                </c:pt>
                <c:pt idx="105">
                  <c:v>-1.1446984132625449E-2</c:v>
                </c:pt>
                <c:pt idx="106">
                  <c:v>-4.5999384491415468E-2</c:v>
                </c:pt>
                <c:pt idx="107">
                  <c:v>-4.869739804374143E-2</c:v>
                </c:pt>
                <c:pt idx="108">
                  <c:v>-0.17506931789421409</c:v>
                </c:pt>
                <c:pt idx="109">
                  <c:v>-3.7919873449769631E-2</c:v>
                </c:pt>
                <c:pt idx="110">
                  <c:v>9.9089043280081376E-3</c:v>
                </c:pt>
                <c:pt idx="111">
                  <c:v>-1.9232501752621499E-2</c:v>
                </c:pt>
                <c:pt idx="112">
                  <c:v>0.1143618548729592</c:v>
                </c:pt>
                <c:pt idx="113">
                  <c:v>9.2488980623184947E-2</c:v>
                </c:pt>
                <c:pt idx="114">
                  <c:v>7.3578606454641704E-2</c:v>
                </c:pt>
                <c:pt idx="115">
                  <c:v>-4.2308125290349899E-2</c:v>
                </c:pt>
                <c:pt idx="116">
                  <c:v>-8.8871991770127862E-2</c:v>
                </c:pt>
                <c:pt idx="117">
                  <c:v>-0.2492059862459404</c:v>
                </c:pt>
                <c:pt idx="118">
                  <c:v>-0.2021358302414086</c:v>
                </c:pt>
                <c:pt idx="119">
                  <c:v>-0.14694457859189339</c:v>
                </c:pt>
                <c:pt idx="120">
                  <c:v>-0.15736760296840829</c:v>
                </c:pt>
                <c:pt idx="121">
                  <c:v>-0.25790173079287387</c:v>
                </c:pt>
                <c:pt idx="122">
                  <c:v>-0.38067473079287378</c:v>
                </c:pt>
                <c:pt idx="123">
                  <c:v>-0.42640304796536083</c:v>
                </c:pt>
                <c:pt idx="124">
                  <c:v>-0.49770615907647192</c:v>
                </c:pt>
                <c:pt idx="125">
                  <c:v>-0.47575843130043111</c:v>
                </c:pt>
                <c:pt idx="126">
                  <c:v>-0.57074329552166803</c:v>
                </c:pt>
                <c:pt idx="127">
                  <c:v>-0.55809412393587865</c:v>
                </c:pt>
                <c:pt idx="128">
                  <c:v>-0.41829423504698982</c:v>
                </c:pt>
                <c:pt idx="129">
                  <c:v>-0.48917201282476752</c:v>
                </c:pt>
                <c:pt idx="130">
                  <c:v>-0.51410845726921195</c:v>
                </c:pt>
                <c:pt idx="131">
                  <c:v>-0.59439367949143418</c:v>
                </c:pt>
                <c:pt idx="132">
                  <c:v>-0.59878979060254534</c:v>
                </c:pt>
                <c:pt idx="133">
                  <c:v>-0.56424134615810084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FC-2341-A06A-F66BAD914835}"/>
            </c:ext>
          </c:extLst>
        </c:ser>
        <c:ser>
          <c:idx val="5"/>
          <c:order val="5"/>
          <c:tx>
            <c:strRef>
              <c:f>預測累積畫圖!$B$17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預測累積畫圖!$C$17:$EF$17</c:f>
              <c:numCache>
                <c:formatCode>General</c:formatCode>
                <c:ptCount val="134"/>
                <c:pt idx="0">
                  <c:v>3.8913468982799751E-2</c:v>
                </c:pt>
                <c:pt idx="1">
                  <c:v>-0.12963389287697449</c:v>
                </c:pt>
                <c:pt idx="2">
                  <c:v>-0.22630500206958529</c:v>
                </c:pt>
                <c:pt idx="3">
                  <c:v>-0.14555283791726631</c:v>
                </c:pt>
                <c:pt idx="4">
                  <c:v>-4.0165763253535547E-2</c:v>
                </c:pt>
                <c:pt idx="5">
                  <c:v>-3.2222906405533859E-2</c:v>
                </c:pt>
                <c:pt idx="6">
                  <c:v>8.0854617967912629E-2</c:v>
                </c:pt>
                <c:pt idx="7">
                  <c:v>0.12914156592867829</c:v>
                </c:pt>
                <c:pt idx="8">
                  <c:v>0.23070164565098819</c:v>
                </c:pt>
                <c:pt idx="9">
                  <c:v>0.27293643679633028</c:v>
                </c:pt>
                <c:pt idx="10">
                  <c:v>0.28759557888661869</c:v>
                </c:pt>
                <c:pt idx="11">
                  <c:v>0.17831775205681291</c:v>
                </c:pt>
                <c:pt idx="12">
                  <c:v>0.1670110759926807</c:v>
                </c:pt>
                <c:pt idx="13">
                  <c:v>0.23335044513151171</c:v>
                </c:pt>
                <c:pt idx="14">
                  <c:v>0.33361727343507969</c:v>
                </c:pt>
                <c:pt idx="15">
                  <c:v>0.4700437186353259</c:v>
                </c:pt>
                <c:pt idx="16">
                  <c:v>0.58909810796065665</c:v>
                </c:pt>
                <c:pt idx="17">
                  <c:v>0.56575552244971594</c:v>
                </c:pt>
                <c:pt idx="18">
                  <c:v>0.50334962074981882</c:v>
                </c:pt>
                <c:pt idx="19">
                  <c:v>0.40608996489721583</c:v>
                </c:pt>
                <c:pt idx="20">
                  <c:v>0.28648598088490829</c:v>
                </c:pt>
                <c:pt idx="21">
                  <c:v>4.8496549564593483E-2</c:v>
                </c:pt>
                <c:pt idx="22">
                  <c:v>-2.5126581925814139E-2</c:v>
                </c:pt>
                <c:pt idx="23">
                  <c:v>-7.3452255497470392E-2</c:v>
                </c:pt>
                <c:pt idx="24">
                  <c:v>0.117831181417939</c:v>
                </c:pt>
                <c:pt idx="25">
                  <c:v>0.16236948468737861</c:v>
                </c:pt>
                <c:pt idx="26">
                  <c:v>0.18245573942540019</c:v>
                </c:pt>
                <c:pt idx="27">
                  <c:v>0.13267836396464611</c:v>
                </c:pt>
                <c:pt idx="28">
                  <c:v>0.35480106839309689</c:v>
                </c:pt>
                <c:pt idx="29">
                  <c:v>0.23451474373725051</c:v>
                </c:pt>
                <c:pt idx="30">
                  <c:v>0.29715488530838918</c:v>
                </c:pt>
                <c:pt idx="31">
                  <c:v>0.33262750448127798</c:v>
                </c:pt>
                <c:pt idx="32">
                  <c:v>0.30203979583976448</c:v>
                </c:pt>
                <c:pt idx="33">
                  <c:v>0.34464242635872139</c:v>
                </c:pt>
                <c:pt idx="34">
                  <c:v>0.31526653674914612</c:v>
                </c:pt>
                <c:pt idx="35">
                  <c:v>0.2882483545804575</c:v>
                </c:pt>
                <c:pt idx="36">
                  <c:v>0.2128789869928005</c:v>
                </c:pt>
                <c:pt idx="37">
                  <c:v>9.9591866646882826E-2</c:v>
                </c:pt>
                <c:pt idx="38">
                  <c:v>8.6959532051158639E-2</c:v>
                </c:pt>
                <c:pt idx="39">
                  <c:v>0.16420234647074411</c:v>
                </c:pt>
                <c:pt idx="40">
                  <c:v>0.2254795985889661</c:v>
                </c:pt>
                <c:pt idx="41">
                  <c:v>0.2712822241462689</c:v>
                </c:pt>
                <c:pt idx="42">
                  <c:v>0.21247926720203461</c:v>
                </c:pt>
                <c:pt idx="43">
                  <c:v>0.33955106030928628</c:v>
                </c:pt>
                <c:pt idx="44">
                  <c:v>0.2238514507751814</c:v>
                </c:pt>
                <c:pt idx="45">
                  <c:v>0.28238090010981282</c:v>
                </c:pt>
                <c:pt idx="46">
                  <c:v>0.20619128987999619</c:v>
                </c:pt>
                <c:pt idx="47">
                  <c:v>0.1085721847623882</c:v>
                </c:pt>
                <c:pt idx="48">
                  <c:v>0.12405023046763471</c:v>
                </c:pt>
                <c:pt idx="49">
                  <c:v>5.3555999551200079E-2</c:v>
                </c:pt>
                <c:pt idx="50">
                  <c:v>1.4784384303509521E-2</c:v>
                </c:pt>
                <c:pt idx="51">
                  <c:v>0.13854844741735389</c:v>
                </c:pt>
                <c:pt idx="52">
                  <c:v>0.16584127179784389</c:v>
                </c:pt>
                <c:pt idx="53">
                  <c:v>0.18525539679784389</c:v>
                </c:pt>
                <c:pt idx="54">
                  <c:v>0.16895677179784391</c:v>
                </c:pt>
                <c:pt idx="55">
                  <c:v>9.1539771797843894E-2</c:v>
                </c:pt>
                <c:pt idx="56">
                  <c:v>7.8386021797843888E-2</c:v>
                </c:pt>
                <c:pt idx="57">
                  <c:v>-5.4805091527485209E-2</c:v>
                </c:pt>
                <c:pt idx="58">
                  <c:v>2.645658472514779E-3</c:v>
                </c:pt>
                <c:pt idx="59">
                  <c:v>1.2503722745751259E-2</c:v>
                </c:pt>
                <c:pt idx="60">
                  <c:v>2.9255049496132061E-2</c:v>
                </c:pt>
                <c:pt idx="61">
                  <c:v>-4.8227917303814108E-2</c:v>
                </c:pt>
                <c:pt idx="62">
                  <c:v>-1.9168906151459851E-2</c:v>
                </c:pt>
                <c:pt idx="63">
                  <c:v>-6.6084431745337832E-2</c:v>
                </c:pt>
                <c:pt idx="64">
                  <c:v>-0.1012640471620614</c:v>
                </c:pt>
                <c:pt idx="65">
                  <c:v>-0.1372600268165424</c:v>
                </c:pt>
                <c:pt idx="66">
                  <c:v>-0.148636537262994</c:v>
                </c:pt>
                <c:pt idx="67">
                  <c:v>-0.15828291238774389</c:v>
                </c:pt>
                <c:pt idx="68">
                  <c:v>-0.1623863814983505</c:v>
                </c:pt>
                <c:pt idx="69">
                  <c:v>-0.21503654176032819</c:v>
                </c:pt>
                <c:pt idx="70">
                  <c:v>-0.25354692663188277</c:v>
                </c:pt>
                <c:pt idx="71">
                  <c:v>-0.291787883134077</c:v>
                </c:pt>
                <c:pt idx="72">
                  <c:v>-0.50012470865146552</c:v>
                </c:pt>
                <c:pt idx="73">
                  <c:v>-0.4174837191138171</c:v>
                </c:pt>
                <c:pt idx="74">
                  <c:v>-0.55996109424028395</c:v>
                </c:pt>
                <c:pt idx="75">
                  <c:v>-0.43938293835919873</c:v>
                </c:pt>
                <c:pt idx="76">
                  <c:v>-0.41218681335919871</c:v>
                </c:pt>
                <c:pt idx="77">
                  <c:v>-0.30302097633845471</c:v>
                </c:pt>
                <c:pt idx="78">
                  <c:v>-0.26126247633845467</c:v>
                </c:pt>
                <c:pt idx="79">
                  <c:v>-8.8302735119306086E-2</c:v>
                </c:pt>
                <c:pt idx="80">
                  <c:v>7.4048898806939054E-3</c:v>
                </c:pt>
                <c:pt idx="81">
                  <c:v>-5.0833906714002633E-2</c:v>
                </c:pt>
                <c:pt idx="82">
                  <c:v>-0.1255488953427337</c:v>
                </c:pt>
                <c:pt idx="83">
                  <c:v>-0.15851796751318681</c:v>
                </c:pt>
                <c:pt idx="84">
                  <c:v>-0.24096921751318681</c:v>
                </c:pt>
                <c:pt idx="85">
                  <c:v>-0.2200183900318384</c:v>
                </c:pt>
                <c:pt idx="86">
                  <c:v>-0.13606254177220761</c:v>
                </c:pt>
                <c:pt idx="87">
                  <c:v>7.7655719252919808E-4</c:v>
                </c:pt>
                <c:pt idx="88">
                  <c:v>2.4465300858826089E-3</c:v>
                </c:pt>
                <c:pt idx="89">
                  <c:v>1.6077280085882609E-2</c:v>
                </c:pt>
                <c:pt idx="90">
                  <c:v>-0.1213355952436425</c:v>
                </c:pt>
                <c:pt idx="91">
                  <c:v>-0.2295569787525315</c:v>
                </c:pt>
                <c:pt idx="92">
                  <c:v>-0.28146408209425799</c:v>
                </c:pt>
                <c:pt idx="93">
                  <c:v>-8.5061450331968685E-2</c:v>
                </c:pt>
                <c:pt idx="94">
                  <c:v>-7.3514825331968681E-2</c:v>
                </c:pt>
                <c:pt idx="95">
                  <c:v>-5.6175544926877929E-2</c:v>
                </c:pt>
                <c:pt idx="96">
                  <c:v>-0.21152743772663729</c:v>
                </c:pt>
                <c:pt idx="97">
                  <c:v>-6.0056052865282927E-2</c:v>
                </c:pt>
                <c:pt idx="98">
                  <c:v>3.3371659392050501E-3</c:v>
                </c:pt>
                <c:pt idx="99">
                  <c:v>1.4109560463152881E-2</c:v>
                </c:pt>
                <c:pt idx="100">
                  <c:v>8.971847387295856E-2</c:v>
                </c:pt>
                <c:pt idx="101">
                  <c:v>0.21396731172057909</c:v>
                </c:pt>
                <c:pt idx="102">
                  <c:v>0.30846293672057912</c:v>
                </c:pt>
                <c:pt idx="103">
                  <c:v>0.41273393672057912</c:v>
                </c:pt>
                <c:pt idx="104">
                  <c:v>0.31388454417076961</c:v>
                </c:pt>
                <c:pt idx="105">
                  <c:v>0.26575454417076949</c:v>
                </c:pt>
                <c:pt idx="106">
                  <c:v>0.24162968082404751</c:v>
                </c:pt>
                <c:pt idx="107">
                  <c:v>0.22595523588751759</c:v>
                </c:pt>
                <c:pt idx="108">
                  <c:v>0.10274276975687829</c:v>
                </c:pt>
                <c:pt idx="109">
                  <c:v>0.26617614475687817</c:v>
                </c:pt>
                <c:pt idx="110">
                  <c:v>0.3363573947568782</c:v>
                </c:pt>
                <c:pt idx="111">
                  <c:v>0.29102123721605822</c:v>
                </c:pt>
                <c:pt idx="112">
                  <c:v>0.44705766533260438</c:v>
                </c:pt>
                <c:pt idx="113">
                  <c:v>0.44312793364147568</c:v>
                </c:pt>
                <c:pt idx="114">
                  <c:v>0.40590045812548342</c:v>
                </c:pt>
                <c:pt idx="115">
                  <c:v>0.29942049551819688</c:v>
                </c:pt>
                <c:pt idx="116">
                  <c:v>0.2341699511667433</c:v>
                </c:pt>
                <c:pt idx="117">
                  <c:v>9.2135792916108461E-2</c:v>
                </c:pt>
                <c:pt idx="118">
                  <c:v>0.16478979802213331</c:v>
                </c:pt>
                <c:pt idx="119">
                  <c:v>0.2206746128984616</c:v>
                </c:pt>
                <c:pt idx="120">
                  <c:v>0.21416907666698939</c:v>
                </c:pt>
                <c:pt idx="121">
                  <c:v>0.12103012698183779</c:v>
                </c:pt>
                <c:pt idx="122">
                  <c:v>-8.4638730181621491E-3</c:v>
                </c:pt>
                <c:pt idx="123">
                  <c:v>-5.3612709167220912E-2</c:v>
                </c:pt>
                <c:pt idx="124">
                  <c:v>-0.13021245916722091</c:v>
                </c:pt>
                <c:pt idx="125">
                  <c:v>-0.15324763933640961</c:v>
                </c:pt>
                <c:pt idx="126">
                  <c:v>-0.27925817723746432</c:v>
                </c:pt>
                <c:pt idx="127">
                  <c:v>-0.28404923048345282</c:v>
                </c:pt>
                <c:pt idx="128">
                  <c:v>-0.1194768554834528</c:v>
                </c:pt>
                <c:pt idx="129">
                  <c:v>-0.19326048048345279</c:v>
                </c:pt>
                <c:pt idx="130">
                  <c:v>-0.2136198554834528</c:v>
                </c:pt>
                <c:pt idx="131">
                  <c:v>-0.29647548048345279</c:v>
                </c:pt>
                <c:pt idx="132">
                  <c:v>-0.29628110548345282</c:v>
                </c:pt>
                <c:pt idx="133">
                  <c:v>-0.25529635548345281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FC-2341-A06A-F66BAD914835}"/>
            </c:ext>
          </c:extLst>
        </c:ser>
        <c:ser>
          <c:idx val="6"/>
          <c:order val="6"/>
          <c:tx>
            <c:strRef>
              <c:f>預測累積畫圖!$B$18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預測累積畫圖!$C$18:$EF$18</c:f>
              <c:numCache>
                <c:formatCode>General</c:formatCode>
                <c:ptCount val="134"/>
                <c:pt idx="0">
                  <c:v>5.9146797802220617E-2</c:v>
                </c:pt>
                <c:pt idx="1">
                  <c:v>-0.1248720916009456</c:v>
                </c:pt>
                <c:pt idx="2">
                  <c:v>-0.2253477146040378</c:v>
                </c:pt>
                <c:pt idx="3">
                  <c:v>-0.105964754501848</c:v>
                </c:pt>
                <c:pt idx="4">
                  <c:v>2.3516187832319929E-3</c:v>
                </c:pt>
                <c:pt idx="5">
                  <c:v>1.0973846537676321E-2</c:v>
                </c:pt>
                <c:pt idx="6">
                  <c:v>0.1396004023732168</c:v>
                </c:pt>
                <c:pt idx="7">
                  <c:v>0.23077363406078491</c:v>
                </c:pt>
                <c:pt idx="8">
                  <c:v>0.36642152283841711</c:v>
                </c:pt>
                <c:pt idx="9">
                  <c:v>0.41717972994513608</c:v>
                </c:pt>
                <c:pt idx="10">
                  <c:v>0.44623119432159353</c:v>
                </c:pt>
                <c:pt idx="11">
                  <c:v>0.30502370582529742</c:v>
                </c:pt>
                <c:pt idx="12">
                  <c:v>0.33676164692279548</c:v>
                </c:pt>
                <c:pt idx="13">
                  <c:v>0.41931425849274329</c:v>
                </c:pt>
                <c:pt idx="14">
                  <c:v>0.51237384840564948</c:v>
                </c:pt>
                <c:pt idx="15">
                  <c:v>0.66656303713967091</c:v>
                </c:pt>
                <c:pt idx="16">
                  <c:v>0.81036826443857013</c:v>
                </c:pt>
                <c:pt idx="17">
                  <c:v>0.75805856688783924</c:v>
                </c:pt>
                <c:pt idx="18">
                  <c:v>0.70290822383627449</c:v>
                </c:pt>
                <c:pt idx="19">
                  <c:v>0.58151676241034878</c:v>
                </c:pt>
                <c:pt idx="20">
                  <c:v>0.44359952449464263</c:v>
                </c:pt>
                <c:pt idx="21">
                  <c:v>0.22847846709469091</c:v>
                </c:pt>
                <c:pt idx="22">
                  <c:v>0.1245992231858796</c:v>
                </c:pt>
                <c:pt idx="23">
                  <c:v>7.3129497435040075E-2</c:v>
                </c:pt>
                <c:pt idx="24">
                  <c:v>0.24570015496956879</c:v>
                </c:pt>
                <c:pt idx="25">
                  <c:v>0.30834496023222968</c:v>
                </c:pt>
                <c:pt idx="26">
                  <c:v>0.30697953975539738</c:v>
                </c:pt>
                <c:pt idx="27">
                  <c:v>0.23453575066686599</c:v>
                </c:pt>
                <c:pt idx="28">
                  <c:v>0.49292709958207448</c:v>
                </c:pt>
                <c:pt idx="29">
                  <c:v>0.34238345975800111</c:v>
                </c:pt>
                <c:pt idx="30">
                  <c:v>0.4241034396507547</c:v>
                </c:pt>
                <c:pt idx="31">
                  <c:v>0.46430090061926937</c:v>
                </c:pt>
                <c:pt idx="32">
                  <c:v>0.4174453592655134</c:v>
                </c:pt>
                <c:pt idx="33">
                  <c:v>0.46483911543196249</c:v>
                </c:pt>
                <c:pt idx="34">
                  <c:v>0.44200623006996609</c:v>
                </c:pt>
                <c:pt idx="35">
                  <c:v>0.40919341829035671</c:v>
                </c:pt>
                <c:pt idx="36">
                  <c:v>0.34255001286558551</c:v>
                </c:pt>
                <c:pt idx="37">
                  <c:v>0.26325537291038359</c:v>
                </c:pt>
                <c:pt idx="38">
                  <c:v>0.25782783794269087</c:v>
                </c:pt>
                <c:pt idx="39">
                  <c:v>0.33610642987649791</c:v>
                </c:pt>
                <c:pt idx="40">
                  <c:v>0.40026140354001633</c:v>
                </c:pt>
                <c:pt idx="41">
                  <c:v>0.43926387760278052</c:v>
                </c:pt>
                <c:pt idx="42">
                  <c:v>0.35601074971359459</c:v>
                </c:pt>
                <c:pt idx="43">
                  <c:v>0.52239655913765348</c:v>
                </c:pt>
                <c:pt idx="44">
                  <c:v>0.38349834449143377</c:v>
                </c:pt>
                <c:pt idx="45">
                  <c:v>0.44373400919790362</c:v>
                </c:pt>
                <c:pt idx="46">
                  <c:v>0.34596714737666839</c:v>
                </c:pt>
                <c:pt idx="47">
                  <c:v>0.21990280995054101</c:v>
                </c:pt>
                <c:pt idx="48">
                  <c:v>0.25009216867903122</c:v>
                </c:pt>
                <c:pt idx="49">
                  <c:v>0.19844584128552289</c:v>
                </c:pt>
                <c:pt idx="50">
                  <c:v>0.16314360127875949</c:v>
                </c:pt>
                <c:pt idx="51">
                  <c:v>0.30079964343609672</c:v>
                </c:pt>
                <c:pt idx="52">
                  <c:v>0.27285759273412691</c:v>
                </c:pt>
                <c:pt idx="53">
                  <c:v>0.2931353070198412</c:v>
                </c:pt>
                <c:pt idx="54">
                  <c:v>0.27090302130555549</c:v>
                </c:pt>
                <c:pt idx="55">
                  <c:v>0.23276102130555551</c:v>
                </c:pt>
                <c:pt idx="56">
                  <c:v>0.23045244987698399</c:v>
                </c:pt>
                <c:pt idx="57">
                  <c:v>9.2554184726841543E-2</c:v>
                </c:pt>
                <c:pt idx="58">
                  <c:v>0.12604375615541299</c:v>
                </c:pt>
                <c:pt idx="59">
                  <c:v>0.1200876921049534</c:v>
                </c:pt>
                <c:pt idx="60">
                  <c:v>0.12106877600807039</c:v>
                </c:pt>
                <c:pt idx="61">
                  <c:v>3.9911102187866268E-2</c:v>
                </c:pt>
                <c:pt idx="62">
                  <c:v>6.7992458560961616E-2</c:v>
                </c:pt>
                <c:pt idx="63">
                  <c:v>1.521806893713146E-2</c:v>
                </c:pt>
                <c:pt idx="64">
                  <c:v>-5.0094271692431754E-3</c:v>
                </c:pt>
                <c:pt idx="65">
                  <c:v>-5.1866967503925179E-2</c:v>
                </c:pt>
                <c:pt idx="66">
                  <c:v>-5.3783751613774168E-2</c:v>
                </c:pt>
                <c:pt idx="67">
                  <c:v>-5.9531945197728892E-2</c:v>
                </c:pt>
                <c:pt idx="68">
                  <c:v>-6.3515570294848139E-2</c:v>
                </c:pt>
                <c:pt idx="69">
                  <c:v>-0.1250608931875529</c:v>
                </c:pt>
                <c:pt idx="70">
                  <c:v>-0.11614022608203969</c:v>
                </c:pt>
                <c:pt idx="71">
                  <c:v>-0.15576465220618749</c:v>
                </c:pt>
                <c:pt idx="72">
                  <c:v>-0.37414015133717621</c:v>
                </c:pt>
                <c:pt idx="73">
                  <c:v>-0.29955928792257802</c:v>
                </c:pt>
                <c:pt idx="74">
                  <c:v>-0.38702455619467968</c:v>
                </c:pt>
                <c:pt idx="75">
                  <c:v>-0.23370456839208159</c:v>
                </c:pt>
                <c:pt idx="76">
                  <c:v>-0.20041871124922439</c:v>
                </c:pt>
                <c:pt idx="77">
                  <c:v>-0.10303142826981521</c:v>
                </c:pt>
                <c:pt idx="78">
                  <c:v>1.628286015899108E-3</c:v>
                </c:pt>
                <c:pt idx="79">
                  <c:v>0.19534510466272981</c:v>
                </c:pt>
                <c:pt idx="80">
                  <c:v>0.27260496180558702</c:v>
                </c:pt>
                <c:pt idx="81">
                  <c:v>0.31656270519219559</c:v>
                </c:pt>
                <c:pt idx="82">
                  <c:v>0.22495344962827629</c:v>
                </c:pt>
                <c:pt idx="83">
                  <c:v>0.1795878006691175</c:v>
                </c:pt>
                <c:pt idx="84">
                  <c:v>6.1864229240546097E-2</c:v>
                </c:pt>
                <c:pt idx="85">
                  <c:v>5.8091862740148492E-2</c:v>
                </c:pt>
                <c:pt idx="86">
                  <c:v>0.15414989440567159</c:v>
                </c:pt>
                <c:pt idx="87">
                  <c:v>0.3070638382151567</c:v>
                </c:pt>
                <c:pt idx="88">
                  <c:v>0.32261258855716007</c:v>
                </c:pt>
                <c:pt idx="89">
                  <c:v>0.29399573141430302</c:v>
                </c:pt>
                <c:pt idx="90">
                  <c:v>0.14339822179205569</c:v>
                </c:pt>
                <c:pt idx="91">
                  <c:v>2.7127901984122321E-2</c:v>
                </c:pt>
                <c:pt idx="92">
                  <c:v>-1.111477361082038E-2</c:v>
                </c:pt>
                <c:pt idx="93">
                  <c:v>0.1826076340413888</c:v>
                </c:pt>
                <c:pt idx="94">
                  <c:v>0.21073691975567449</c:v>
                </c:pt>
                <c:pt idx="95">
                  <c:v>0.1944644255556657</c:v>
                </c:pt>
                <c:pt idx="96">
                  <c:v>4.9899604379530782E-2</c:v>
                </c:pt>
                <c:pt idx="97">
                  <c:v>0.17692187251253769</c:v>
                </c:pt>
                <c:pt idx="98">
                  <c:v>0.24348044701085389</c:v>
                </c:pt>
                <c:pt idx="99">
                  <c:v>0.30504063284463201</c:v>
                </c:pt>
                <c:pt idx="100">
                  <c:v>0.39821901675253951</c:v>
                </c:pt>
                <c:pt idx="101">
                  <c:v>0.53106188005431088</c:v>
                </c:pt>
                <c:pt idx="102">
                  <c:v>0.60941973719716802</c:v>
                </c:pt>
                <c:pt idx="103">
                  <c:v>0.72753373719716796</c:v>
                </c:pt>
                <c:pt idx="104">
                  <c:v>0.64471402998600547</c:v>
                </c:pt>
                <c:pt idx="105">
                  <c:v>0.5736427442717198</c:v>
                </c:pt>
                <c:pt idx="106">
                  <c:v>0.53522215678526885</c:v>
                </c:pt>
                <c:pt idx="107">
                  <c:v>0.5071501817073073</c:v>
                </c:pt>
                <c:pt idx="108">
                  <c:v>0.38893308843371188</c:v>
                </c:pt>
                <c:pt idx="109">
                  <c:v>0.5813356598622833</c:v>
                </c:pt>
                <c:pt idx="110">
                  <c:v>0.67929851700514043</c:v>
                </c:pt>
                <c:pt idx="111">
                  <c:v>0.6340944772198509</c:v>
                </c:pt>
                <c:pt idx="112">
                  <c:v>0.79260810431227835</c:v>
                </c:pt>
                <c:pt idx="113">
                  <c:v>0.78877783024468617</c:v>
                </c:pt>
                <c:pt idx="114">
                  <c:v>0.78352715150242214</c:v>
                </c:pt>
                <c:pt idx="115">
                  <c:v>0.65841846823289141</c:v>
                </c:pt>
                <c:pt idx="116">
                  <c:v>0.62821945077130159</c:v>
                </c:pt>
                <c:pt idx="117">
                  <c:v>0.4947329784942211</c:v>
                </c:pt>
                <c:pt idx="118">
                  <c:v>0.56048243667811992</c:v>
                </c:pt>
                <c:pt idx="119">
                  <c:v>0.63732309145008093</c:v>
                </c:pt>
                <c:pt idx="120">
                  <c:v>0.61193744019294261</c:v>
                </c:pt>
                <c:pt idx="121">
                  <c:v>0.49592005008196549</c:v>
                </c:pt>
                <c:pt idx="122">
                  <c:v>0.33720462151053687</c:v>
                </c:pt>
                <c:pt idx="123">
                  <c:v>0.26667692900445927</c:v>
                </c:pt>
                <c:pt idx="124">
                  <c:v>0.19803907186160219</c:v>
                </c:pt>
                <c:pt idx="125">
                  <c:v>0.1298617783398669</c:v>
                </c:pt>
                <c:pt idx="126">
                  <c:v>-3.5901326322136218E-2</c:v>
                </c:pt>
                <c:pt idx="127">
                  <c:v>-7.9129181191578107E-2</c:v>
                </c:pt>
                <c:pt idx="128">
                  <c:v>0.11981810452270759</c:v>
                </c:pt>
                <c:pt idx="129">
                  <c:v>2.2773104522707591E-2</c:v>
                </c:pt>
                <c:pt idx="130">
                  <c:v>3.174247379850437E-3</c:v>
                </c:pt>
                <c:pt idx="131">
                  <c:v>-7.7095466905863844E-2</c:v>
                </c:pt>
                <c:pt idx="132">
                  <c:v>-7.820575262014956E-2</c:v>
                </c:pt>
                <c:pt idx="133">
                  <c:v>-1.425389547729242E-2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FC-2341-A06A-F66BAD914835}"/>
            </c:ext>
          </c:extLst>
        </c:ser>
        <c:ser>
          <c:idx val="7"/>
          <c:order val="7"/>
          <c:tx>
            <c:strRef>
              <c:f>預測累積畫圖!$B$19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預測累積畫圖!$C$19:$EF$19</c:f>
              <c:numCache>
                <c:formatCode>General</c:formatCode>
                <c:ptCount val="134"/>
                <c:pt idx="0">
                  <c:v>7.386192988077088E-2</c:v>
                </c:pt>
                <c:pt idx="1">
                  <c:v>-0.14568093850151839</c:v>
                </c:pt>
                <c:pt idx="2">
                  <c:v>-0.28626461509284962</c:v>
                </c:pt>
                <c:pt idx="3">
                  <c:v>-0.1085759532872891</c:v>
                </c:pt>
                <c:pt idx="4">
                  <c:v>-1.25099814301117E-2</c:v>
                </c:pt>
                <c:pt idx="5">
                  <c:v>-2.4578769892596618E-2</c:v>
                </c:pt>
                <c:pt idx="6">
                  <c:v>0.1095334085949828</c:v>
                </c:pt>
                <c:pt idx="7">
                  <c:v>0.22097065276713521</c:v>
                </c:pt>
                <c:pt idx="8">
                  <c:v>0.45976006749105192</c:v>
                </c:pt>
                <c:pt idx="9">
                  <c:v>0.480086717131397</c:v>
                </c:pt>
                <c:pt idx="10">
                  <c:v>0.43639648097508971</c:v>
                </c:pt>
                <c:pt idx="11">
                  <c:v>0.28455289982710957</c:v>
                </c:pt>
                <c:pt idx="12">
                  <c:v>0.31611477431602553</c:v>
                </c:pt>
                <c:pt idx="13">
                  <c:v>0.40864896050272259</c:v>
                </c:pt>
                <c:pt idx="14">
                  <c:v>0.49051507323926352</c:v>
                </c:pt>
                <c:pt idx="15">
                  <c:v>0.63609834604147353</c:v>
                </c:pt>
                <c:pt idx="16">
                  <c:v>0.75879022237721505</c:v>
                </c:pt>
                <c:pt idx="17">
                  <c:v>0.70732550513190551</c:v>
                </c:pt>
                <c:pt idx="18">
                  <c:v>0.64007550351342246</c:v>
                </c:pt>
                <c:pt idx="19">
                  <c:v>0.54738718378810935</c:v>
                </c:pt>
                <c:pt idx="20">
                  <c:v>0.40076619307059919</c:v>
                </c:pt>
                <c:pt idx="21">
                  <c:v>0.25136631971787188</c:v>
                </c:pt>
                <c:pt idx="22">
                  <c:v>0.14823608078743361</c:v>
                </c:pt>
                <c:pt idx="23">
                  <c:v>9.0347355408734301E-2</c:v>
                </c:pt>
                <c:pt idx="24">
                  <c:v>0.22218025488982529</c:v>
                </c:pt>
                <c:pt idx="25">
                  <c:v>0.27389900770058262</c:v>
                </c:pt>
                <c:pt idx="26">
                  <c:v>0.25975746499197278</c:v>
                </c:pt>
                <c:pt idx="27">
                  <c:v>0.23576000773091221</c:v>
                </c:pt>
                <c:pt idx="28">
                  <c:v>0.54425286565628084</c:v>
                </c:pt>
                <c:pt idx="29">
                  <c:v>0.37542228494823771</c:v>
                </c:pt>
                <c:pt idx="30">
                  <c:v>0.41690938839254937</c:v>
                </c:pt>
                <c:pt idx="31">
                  <c:v>0.47346710361425293</c:v>
                </c:pt>
                <c:pt idx="32">
                  <c:v>0.3916969788247564</c:v>
                </c:pt>
                <c:pt idx="33">
                  <c:v>0.4432422691520187</c:v>
                </c:pt>
                <c:pt idx="34">
                  <c:v>0.40266074603885571</c:v>
                </c:pt>
                <c:pt idx="35">
                  <c:v>0.38774613850905731</c:v>
                </c:pt>
                <c:pt idx="36">
                  <c:v>0.34464012669765243</c:v>
                </c:pt>
                <c:pt idx="37">
                  <c:v>0.26107183233197029</c:v>
                </c:pt>
                <c:pt idx="38">
                  <c:v>0.2351789292865559</c:v>
                </c:pt>
                <c:pt idx="39">
                  <c:v>0.32275304955940798</c:v>
                </c:pt>
                <c:pt idx="40">
                  <c:v>0.36512871471861102</c:v>
                </c:pt>
                <c:pt idx="41">
                  <c:v>0.32398419982303522</c:v>
                </c:pt>
                <c:pt idx="42">
                  <c:v>0.21478532376996889</c:v>
                </c:pt>
                <c:pt idx="43">
                  <c:v>0.39937898758002688</c:v>
                </c:pt>
                <c:pt idx="44">
                  <c:v>0.24636436110576621</c:v>
                </c:pt>
                <c:pt idx="45">
                  <c:v>0.24333175150315811</c:v>
                </c:pt>
                <c:pt idx="46">
                  <c:v>0.1066383543742454</c:v>
                </c:pt>
                <c:pt idx="47">
                  <c:v>-0.1174854409266107</c:v>
                </c:pt>
                <c:pt idx="48">
                  <c:v>-5.121219821413843E-2</c:v>
                </c:pt>
                <c:pt idx="49">
                  <c:v>-0.16682372658356209</c:v>
                </c:pt>
                <c:pt idx="50">
                  <c:v>-0.1683327431393972</c:v>
                </c:pt>
                <c:pt idx="51">
                  <c:v>-8.5865440669656012E-3</c:v>
                </c:pt>
                <c:pt idx="52">
                  <c:v>-0.19315833347339281</c:v>
                </c:pt>
                <c:pt idx="53">
                  <c:v>-0.19322916680672611</c:v>
                </c:pt>
                <c:pt idx="54">
                  <c:v>-0.22362183347339279</c:v>
                </c:pt>
                <c:pt idx="55">
                  <c:v>-0.27305750014005947</c:v>
                </c:pt>
                <c:pt idx="56">
                  <c:v>-0.27209416680672621</c:v>
                </c:pt>
                <c:pt idx="57">
                  <c:v>-0.41259107276029949</c:v>
                </c:pt>
                <c:pt idx="58">
                  <c:v>-0.38665257276029952</c:v>
                </c:pt>
                <c:pt idx="59">
                  <c:v>-0.40835987429887871</c:v>
                </c:pt>
                <c:pt idx="60">
                  <c:v>-0.47787891092832052</c:v>
                </c:pt>
                <c:pt idx="61">
                  <c:v>-0.55784356907482358</c:v>
                </c:pt>
                <c:pt idx="62">
                  <c:v>-0.52605730420567831</c:v>
                </c:pt>
                <c:pt idx="63">
                  <c:v>-0.59330995167295009</c:v>
                </c:pt>
                <c:pt idx="64">
                  <c:v>-0.61903891293806546</c:v>
                </c:pt>
                <c:pt idx="65">
                  <c:v>-0.68185772047219761</c:v>
                </c:pt>
                <c:pt idx="66">
                  <c:v>-0.69179176492652072</c:v>
                </c:pt>
                <c:pt idx="67">
                  <c:v>-0.68511651890300074</c:v>
                </c:pt>
                <c:pt idx="68">
                  <c:v>-0.70937285764748281</c:v>
                </c:pt>
                <c:pt idx="69">
                  <c:v>-0.79169626132479409</c:v>
                </c:pt>
                <c:pt idx="70">
                  <c:v>-0.74844962639125379</c:v>
                </c:pt>
                <c:pt idx="71">
                  <c:v>-0.77880041835715097</c:v>
                </c:pt>
                <c:pt idx="72">
                  <c:v>-1.0862534251668849</c:v>
                </c:pt>
                <c:pt idx="73">
                  <c:v>-1.0314231436065679</c:v>
                </c:pt>
                <c:pt idx="74">
                  <c:v>-1.111290070675514</c:v>
                </c:pt>
                <c:pt idx="75">
                  <c:v>-1.0425879458534599</c:v>
                </c:pt>
                <c:pt idx="76">
                  <c:v>-1.0069777791867931</c:v>
                </c:pt>
                <c:pt idx="77">
                  <c:v>-0.92800097156826755</c:v>
                </c:pt>
                <c:pt idx="78">
                  <c:v>-0.90549530490160091</c:v>
                </c:pt>
                <c:pt idx="79">
                  <c:v>-0.68987610680788303</c:v>
                </c:pt>
                <c:pt idx="80">
                  <c:v>-0.6014019401412164</c:v>
                </c:pt>
                <c:pt idx="81">
                  <c:v>-0.52235041517040204</c:v>
                </c:pt>
                <c:pt idx="82">
                  <c:v>-0.57946804003735919</c:v>
                </c:pt>
                <c:pt idx="83">
                  <c:v>-0.62218308378009335</c:v>
                </c:pt>
                <c:pt idx="84">
                  <c:v>-0.78738375044676001</c:v>
                </c:pt>
                <c:pt idx="85">
                  <c:v>-0.79919567320875429</c:v>
                </c:pt>
                <c:pt idx="86">
                  <c:v>-0.68039841025141978</c:v>
                </c:pt>
                <c:pt idx="87">
                  <c:v>-0.56505062861268229</c:v>
                </c:pt>
                <c:pt idx="88">
                  <c:v>-0.48946875761468811</c:v>
                </c:pt>
                <c:pt idx="89">
                  <c:v>-0.50541192428135473</c:v>
                </c:pt>
                <c:pt idx="90">
                  <c:v>-0.67155848205663538</c:v>
                </c:pt>
                <c:pt idx="91">
                  <c:v>-0.80897320681447127</c:v>
                </c:pt>
                <c:pt idx="92">
                  <c:v>-0.84136781433088992</c:v>
                </c:pt>
                <c:pt idx="93">
                  <c:v>-0.66506109008469794</c:v>
                </c:pt>
                <c:pt idx="94">
                  <c:v>-0.62128542341803128</c:v>
                </c:pt>
                <c:pt idx="95">
                  <c:v>-0.64922606060302812</c:v>
                </c:pt>
                <c:pt idx="96">
                  <c:v>-0.79583360386396707</c:v>
                </c:pt>
                <c:pt idx="97">
                  <c:v>-0.70128059589258818</c:v>
                </c:pt>
                <c:pt idx="98">
                  <c:v>-0.64076471731955087</c:v>
                </c:pt>
                <c:pt idx="99">
                  <c:v>-0.58312999095136597</c:v>
                </c:pt>
                <c:pt idx="100">
                  <c:v>-0.47523787149417501</c:v>
                </c:pt>
                <c:pt idx="101">
                  <c:v>-0.36238604285271098</c:v>
                </c:pt>
                <c:pt idx="102">
                  <c:v>-0.28720354285271099</c:v>
                </c:pt>
                <c:pt idx="103">
                  <c:v>-0.13924254285271101</c:v>
                </c:pt>
                <c:pt idx="104">
                  <c:v>-0.20483012759060781</c:v>
                </c:pt>
                <c:pt idx="105">
                  <c:v>-0.2683774609239411</c:v>
                </c:pt>
                <c:pt idx="106">
                  <c:v>-0.30139587557973307</c:v>
                </c:pt>
                <c:pt idx="107">
                  <c:v>-0.32269221800690012</c:v>
                </c:pt>
                <c:pt idx="108">
                  <c:v>-0.44918301584442138</c:v>
                </c:pt>
                <c:pt idx="109">
                  <c:v>-0.2245916825110881</c:v>
                </c:pt>
                <c:pt idx="110">
                  <c:v>-0.1161300158444214</c:v>
                </c:pt>
                <c:pt idx="111">
                  <c:v>-0.164644366567398</c:v>
                </c:pt>
                <c:pt idx="112">
                  <c:v>-4.0499778783190429E-2</c:v>
                </c:pt>
                <c:pt idx="113">
                  <c:v>-5.2482564692164238E-2</c:v>
                </c:pt>
                <c:pt idx="114">
                  <c:v>-6.3846622065365649E-3</c:v>
                </c:pt>
                <c:pt idx="115">
                  <c:v>-0.18031296393508489</c:v>
                </c:pt>
                <c:pt idx="116">
                  <c:v>-0.22901848379567871</c:v>
                </c:pt>
                <c:pt idx="117">
                  <c:v>-0.39928661447564068</c:v>
                </c:pt>
                <c:pt idx="118">
                  <c:v>-0.31891244263756569</c:v>
                </c:pt>
                <c:pt idx="119">
                  <c:v>-0.24295008931251749</c:v>
                </c:pt>
                <c:pt idx="120">
                  <c:v>-0.28786905246439748</c:v>
                </c:pt>
                <c:pt idx="121">
                  <c:v>-0.42099755308374692</c:v>
                </c:pt>
                <c:pt idx="122">
                  <c:v>-0.57158005308374693</c:v>
                </c:pt>
                <c:pt idx="123">
                  <c:v>-0.64317343968114904</c:v>
                </c:pt>
                <c:pt idx="124">
                  <c:v>-0.74447043968114901</c:v>
                </c:pt>
                <c:pt idx="125">
                  <c:v>-0.83908463303868674</c:v>
                </c:pt>
                <c:pt idx="126">
                  <c:v>-0.99120404264317363</c:v>
                </c:pt>
                <c:pt idx="127">
                  <c:v>-1.0708476107816089</c:v>
                </c:pt>
                <c:pt idx="128">
                  <c:v>-0.83779994411494196</c:v>
                </c:pt>
                <c:pt idx="129">
                  <c:v>-0.94404844411494193</c:v>
                </c:pt>
                <c:pt idx="130">
                  <c:v>-0.97537211078160857</c:v>
                </c:pt>
                <c:pt idx="131">
                  <c:v>-1.0615316107816091</c:v>
                </c:pt>
                <c:pt idx="132">
                  <c:v>-1.054225277448275</c:v>
                </c:pt>
                <c:pt idx="133">
                  <c:v>-0.98020527744827524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FC-2341-A06A-F66BAD914835}"/>
            </c:ext>
          </c:extLst>
        </c:ser>
        <c:ser>
          <c:idx val="8"/>
          <c:order val="8"/>
          <c:tx>
            <c:strRef>
              <c:f>預測累積畫圖!$B$20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預測累積畫圖!$C$20:$EF$20</c:f>
              <c:numCache>
                <c:formatCode>General</c:formatCode>
                <c:ptCount val="134"/>
                <c:pt idx="0">
                  <c:v>-1.1241331728202891E-2</c:v>
                </c:pt>
                <c:pt idx="1">
                  <c:v>-0.23382772541697869</c:v>
                </c:pt>
                <c:pt idx="2">
                  <c:v>-0.37995263068122459</c:v>
                </c:pt>
                <c:pt idx="3">
                  <c:v>-0.17442136634805039</c:v>
                </c:pt>
                <c:pt idx="4">
                  <c:v>-5.7238225059111289E-2</c:v>
                </c:pt>
                <c:pt idx="5">
                  <c:v>-4.5655198980533579E-2</c:v>
                </c:pt>
                <c:pt idx="6">
                  <c:v>0.14020797649616279</c:v>
                </c:pt>
                <c:pt idx="7">
                  <c:v>0.28749610865276509</c:v>
                </c:pt>
                <c:pt idx="8">
                  <c:v>0.50222061241384686</c:v>
                </c:pt>
                <c:pt idx="9">
                  <c:v>0.5112203837550352</c:v>
                </c:pt>
                <c:pt idx="10">
                  <c:v>0.4335021554637617</c:v>
                </c:pt>
                <c:pt idx="11">
                  <c:v>0.2653585672742178</c:v>
                </c:pt>
                <c:pt idx="12">
                  <c:v>0.31522345334349189</c:v>
                </c:pt>
                <c:pt idx="13">
                  <c:v>0.40639338101201722</c:v>
                </c:pt>
                <c:pt idx="14">
                  <c:v>0.51343870246274537</c:v>
                </c:pt>
                <c:pt idx="15">
                  <c:v>0.70438116945225926</c:v>
                </c:pt>
                <c:pt idx="16">
                  <c:v>0.78694378015954713</c:v>
                </c:pt>
                <c:pt idx="17">
                  <c:v>0.70147832442173175</c:v>
                </c:pt>
                <c:pt idx="18">
                  <c:v>0.68775795971455445</c:v>
                </c:pt>
                <c:pt idx="19">
                  <c:v>0.584240356509937</c:v>
                </c:pt>
                <c:pt idx="20">
                  <c:v>0.41115498033235609</c:v>
                </c:pt>
                <c:pt idx="21">
                  <c:v>0.20076856740957111</c:v>
                </c:pt>
                <c:pt idx="22">
                  <c:v>7.1803528527197291E-2</c:v>
                </c:pt>
                <c:pt idx="23">
                  <c:v>-2.2236397307572871E-3</c:v>
                </c:pt>
                <c:pt idx="24">
                  <c:v>0.12825972874988839</c:v>
                </c:pt>
                <c:pt idx="25">
                  <c:v>0.1611582740701146</c:v>
                </c:pt>
                <c:pt idx="26">
                  <c:v>0.11391001134214709</c:v>
                </c:pt>
                <c:pt idx="27">
                  <c:v>8.692270777146921E-2</c:v>
                </c:pt>
                <c:pt idx="28">
                  <c:v>0.24814391492658019</c:v>
                </c:pt>
                <c:pt idx="29">
                  <c:v>2.4646095290207531E-2</c:v>
                </c:pt>
                <c:pt idx="30">
                  <c:v>5.6809344171884012E-2</c:v>
                </c:pt>
                <c:pt idx="31">
                  <c:v>0.14698754488666671</c:v>
                </c:pt>
                <c:pt idx="32">
                  <c:v>6.8832999965498173E-2</c:v>
                </c:pt>
                <c:pt idx="33">
                  <c:v>0.1308230345130458</c:v>
                </c:pt>
                <c:pt idx="34">
                  <c:v>0.12257451945043291</c:v>
                </c:pt>
                <c:pt idx="35">
                  <c:v>0.1017942543418381</c:v>
                </c:pt>
                <c:pt idx="36">
                  <c:v>6.8698273593035514E-2</c:v>
                </c:pt>
                <c:pt idx="37">
                  <c:v>-6.7719199259627522E-3</c:v>
                </c:pt>
                <c:pt idx="38">
                  <c:v>-5.2057001890651142E-2</c:v>
                </c:pt>
                <c:pt idx="39">
                  <c:v>7.9673459364736646E-2</c:v>
                </c:pt>
                <c:pt idx="40">
                  <c:v>0.1129816904602811</c:v>
                </c:pt>
                <c:pt idx="41">
                  <c:v>8.3242690609980102E-2</c:v>
                </c:pt>
                <c:pt idx="42">
                  <c:v>4.0950974161004183E-2</c:v>
                </c:pt>
                <c:pt idx="43">
                  <c:v>0.28007472160607472</c:v>
                </c:pt>
                <c:pt idx="44">
                  <c:v>0.1370020806789092</c:v>
                </c:pt>
                <c:pt idx="45">
                  <c:v>0.10475546789214581</c:v>
                </c:pt>
                <c:pt idx="46">
                  <c:v>-0.1202423728861987</c:v>
                </c:pt>
                <c:pt idx="47">
                  <c:v>-0.32458159284674543</c:v>
                </c:pt>
                <c:pt idx="48">
                  <c:v>-0.40663922886431192</c:v>
                </c:pt>
                <c:pt idx="49">
                  <c:v>-0.56291323657097581</c:v>
                </c:pt>
                <c:pt idx="50">
                  <c:v>-0.66499080689175505</c:v>
                </c:pt>
                <c:pt idx="51">
                  <c:v>-0.49733538351518569</c:v>
                </c:pt>
                <c:pt idx="52">
                  <c:v>-0.7374760585055995</c:v>
                </c:pt>
                <c:pt idx="53">
                  <c:v>-0.72911245850559947</c:v>
                </c:pt>
                <c:pt idx="54">
                  <c:v>-0.76758085850559943</c:v>
                </c:pt>
                <c:pt idx="55">
                  <c:v>-0.82279665850559947</c:v>
                </c:pt>
                <c:pt idx="56">
                  <c:v>-0.87452365850559943</c:v>
                </c:pt>
                <c:pt idx="57">
                  <c:v>-1.024580959069054</c:v>
                </c:pt>
                <c:pt idx="58">
                  <c:v>-1.001407359069054</c:v>
                </c:pt>
                <c:pt idx="59">
                  <c:v>-1.0230368709022399</c:v>
                </c:pt>
                <c:pt idx="60">
                  <c:v>-1.1256351550566861</c:v>
                </c:pt>
                <c:pt idx="61">
                  <c:v>-1.211927386233141</c:v>
                </c:pt>
                <c:pt idx="62">
                  <c:v>-1.164458834768952</c:v>
                </c:pt>
                <c:pt idx="63">
                  <c:v>-1.283016076214323</c:v>
                </c:pt>
                <c:pt idx="64">
                  <c:v>-1.2445543586983441</c:v>
                </c:pt>
                <c:pt idx="65">
                  <c:v>-1.3049618794612989</c:v>
                </c:pt>
                <c:pt idx="66">
                  <c:v>-1.320413586422142</c:v>
                </c:pt>
                <c:pt idx="67">
                  <c:v>-1.3083399546916701</c:v>
                </c:pt>
                <c:pt idx="68">
                  <c:v>-1.302932448500479</c:v>
                </c:pt>
                <c:pt idx="69">
                  <c:v>-1.399462949714934</c:v>
                </c:pt>
                <c:pt idx="70">
                  <c:v>-1.4401465468198691</c:v>
                </c:pt>
                <c:pt idx="71">
                  <c:v>-1.35860310505927</c:v>
                </c:pt>
                <c:pt idx="72">
                  <c:v>-1.7104326551076749</c:v>
                </c:pt>
                <c:pt idx="73">
                  <c:v>-1.6524446368316441</c:v>
                </c:pt>
                <c:pt idx="74">
                  <c:v>-1.6570839959813131</c:v>
                </c:pt>
                <c:pt idx="75">
                  <c:v>-1.5668125917210289</c:v>
                </c:pt>
                <c:pt idx="76">
                  <c:v>-1.516596391721029</c:v>
                </c:pt>
                <c:pt idx="77">
                  <c:v>-1.516704146822057</c:v>
                </c:pt>
                <c:pt idx="78">
                  <c:v>-1.503789346822058</c:v>
                </c:pt>
                <c:pt idx="79">
                  <c:v>-1.322761849331461</c:v>
                </c:pt>
                <c:pt idx="80">
                  <c:v>-1.236984449331461</c:v>
                </c:pt>
                <c:pt idx="81">
                  <c:v>-1.131199560055369</c:v>
                </c:pt>
                <c:pt idx="82">
                  <c:v>-1.207169800798477</c:v>
                </c:pt>
                <c:pt idx="83">
                  <c:v>-1.22936502982261</c:v>
                </c:pt>
                <c:pt idx="84">
                  <c:v>-1.36084882982261</c:v>
                </c:pt>
                <c:pt idx="85">
                  <c:v>-1.402358814606538</c:v>
                </c:pt>
                <c:pt idx="86">
                  <c:v>-1.321769190665917</c:v>
                </c:pt>
                <c:pt idx="87">
                  <c:v>-1.1724560400356649</c:v>
                </c:pt>
                <c:pt idx="88">
                  <c:v>-1.093001312854329</c:v>
                </c:pt>
                <c:pt idx="89">
                  <c:v>-1.112348712854329</c:v>
                </c:pt>
                <c:pt idx="90">
                  <c:v>-1.3408669160358699</c:v>
                </c:pt>
                <c:pt idx="91">
                  <c:v>-1.497527671231053</c:v>
                </c:pt>
                <c:pt idx="92">
                  <c:v>-1.5206457165313361</c:v>
                </c:pt>
                <c:pt idx="93">
                  <c:v>-1.3251596060463939</c:v>
                </c:pt>
                <c:pt idx="94">
                  <c:v>-1.302865806046394</c:v>
                </c:pt>
                <c:pt idx="95">
                  <c:v>-1.320942516826229</c:v>
                </c:pt>
                <c:pt idx="96">
                  <c:v>-1.467670525897856</c:v>
                </c:pt>
                <c:pt idx="97">
                  <c:v>-1.3484563976851709</c:v>
                </c:pt>
                <c:pt idx="98">
                  <c:v>-1.2805526895103261</c:v>
                </c:pt>
                <c:pt idx="99">
                  <c:v>-1.1902541386425609</c:v>
                </c:pt>
                <c:pt idx="100">
                  <c:v>-1.0892874815307381</c:v>
                </c:pt>
                <c:pt idx="101">
                  <c:v>-0.93412583638153934</c:v>
                </c:pt>
                <c:pt idx="102">
                  <c:v>-0.85704423638153937</c:v>
                </c:pt>
                <c:pt idx="103">
                  <c:v>-0.78007723638153936</c:v>
                </c:pt>
                <c:pt idx="104">
                  <c:v>-0.81740954751994011</c:v>
                </c:pt>
                <c:pt idx="105">
                  <c:v>-0.88557234751994007</c:v>
                </c:pt>
                <c:pt idx="106">
                  <c:v>-0.89599106912679283</c:v>
                </c:pt>
                <c:pt idx="107">
                  <c:v>-0.94149102761759118</c:v>
                </c:pt>
                <c:pt idx="108">
                  <c:v>-1.0655643356017119</c:v>
                </c:pt>
                <c:pt idx="109">
                  <c:v>-0.7872647356017124</c:v>
                </c:pt>
                <c:pt idx="110">
                  <c:v>-0.64966873560171234</c:v>
                </c:pt>
                <c:pt idx="111">
                  <c:v>-0.68912868187060017</c:v>
                </c:pt>
                <c:pt idx="112">
                  <c:v>-0.60417470042454524</c:v>
                </c:pt>
                <c:pt idx="113">
                  <c:v>-0.62364007375816499</c:v>
                </c:pt>
                <c:pt idx="114">
                  <c:v>-0.66650484786651099</c:v>
                </c:pt>
                <c:pt idx="115">
                  <c:v>-0.84973958148767981</c:v>
                </c:pt>
                <c:pt idx="116">
                  <c:v>-0.89956043616457582</c:v>
                </c:pt>
                <c:pt idx="117">
                  <c:v>-1.0997158709189649</c:v>
                </c:pt>
                <c:pt idx="118">
                  <c:v>-1.0422556892942649</c:v>
                </c:pt>
                <c:pt idx="119">
                  <c:v>-0.96374302926597444</c:v>
                </c:pt>
                <c:pt idx="120">
                  <c:v>-0.8939502713676919</c:v>
                </c:pt>
                <c:pt idx="121">
                  <c:v>-1.0273862559898299</c:v>
                </c:pt>
                <c:pt idx="122">
                  <c:v>-1.2037620559898301</c:v>
                </c:pt>
                <c:pt idx="123">
                  <c:v>-1.3058042371723051</c:v>
                </c:pt>
                <c:pt idx="124">
                  <c:v>-1.4093508371723049</c:v>
                </c:pt>
                <c:pt idx="125">
                  <c:v>-1.5072020553770309</c:v>
                </c:pt>
                <c:pt idx="126">
                  <c:v>-1.694603885416224</c:v>
                </c:pt>
                <c:pt idx="127">
                  <c:v>-1.6764887589038411</c:v>
                </c:pt>
                <c:pt idx="128">
                  <c:v>-1.382797558903841</c:v>
                </c:pt>
                <c:pt idx="129">
                  <c:v>-1.4891119589038411</c:v>
                </c:pt>
                <c:pt idx="130">
                  <c:v>-1.4661343589038409</c:v>
                </c:pt>
                <c:pt idx="131">
                  <c:v>-1.5407601589038411</c:v>
                </c:pt>
                <c:pt idx="132">
                  <c:v>-1.539018558903841</c:v>
                </c:pt>
                <c:pt idx="133">
                  <c:v>-1.4532185589038411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FC-2341-A06A-F66BAD914835}"/>
            </c:ext>
          </c:extLst>
        </c:ser>
        <c:ser>
          <c:idx val="9"/>
          <c:order val="9"/>
          <c:tx>
            <c:strRef>
              <c:f>預測累積畫圖!$B$21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預測累積畫圖!$C$21:$EF$21</c:f>
              <c:numCache>
                <c:formatCode>General</c:formatCode>
                <c:ptCount val="134"/>
                <c:pt idx="0">
                  <c:v>-1.038483447742689E-2</c:v>
                </c:pt>
                <c:pt idx="1">
                  <c:v>-0.33539311611962908</c:v>
                </c:pt>
                <c:pt idx="2">
                  <c:v>-0.37911067099935009</c:v>
                </c:pt>
                <c:pt idx="3">
                  <c:v>-0.1950720893932201</c:v>
                </c:pt>
                <c:pt idx="4">
                  <c:v>-5.1229938280655613E-2</c:v>
                </c:pt>
                <c:pt idx="5">
                  <c:v>-8.9074015308948012E-2</c:v>
                </c:pt>
                <c:pt idx="6">
                  <c:v>0.150249046868806</c:v>
                </c:pt>
                <c:pt idx="7">
                  <c:v>0.2408156861132528</c:v>
                </c:pt>
                <c:pt idx="8">
                  <c:v>0.44769571211664833</c:v>
                </c:pt>
                <c:pt idx="9">
                  <c:v>0.50492187898159269</c:v>
                </c:pt>
                <c:pt idx="10">
                  <c:v>0.40523728557338151</c:v>
                </c:pt>
                <c:pt idx="11">
                  <c:v>0.26618660971258168</c:v>
                </c:pt>
                <c:pt idx="12">
                  <c:v>0.3005385991732723</c:v>
                </c:pt>
                <c:pt idx="13">
                  <c:v>0.44531120006295721</c:v>
                </c:pt>
                <c:pt idx="14">
                  <c:v>0.52650656907893056</c:v>
                </c:pt>
                <c:pt idx="15">
                  <c:v>0.66919865980225191</c:v>
                </c:pt>
                <c:pt idx="16">
                  <c:v>0.8783581352772164</c:v>
                </c:pt>
                <c:pt idx="17">
                  <c:v>0.779896462520419</c:v>
                </c:pt>
                <c:pt idx="18">
                  <c:v>0.86011219832687802</c:v>
                </c:pt>
                <c:pt idx="19">
                  <c:v>0.75474142793752341</c:v>
                </c:pt>
                <c:pt idx="20">
                  <c:v>0.59695294832206081</c:v>
                </c:pt>
                <c:pt idx="21">
                  <c:v>0.38332200611694439</c:v>
                </c:pt>
                <c:pt idx="22">
                  <c:v>0.29059278217074003</c:v>
                </c:pt>
                <c:pt idx="23">
                  <c:v>0.18121258102297641</c:v>
                </c:pt>
                <c:pt idx="24">
                  <c:v>0.29184848802545532</c:v>
                </c:pt>
                <c:pt idx="25">
                  <c:v>0.3138044319145894</c:v>
                </c:pt>
                <c:pt idx="26">
                  <c:v>0.29497669520778919</c:v>
                </c:pt>
                <c:pt idx="27">
                  <c:v>0.32090997120522408</c:v>
                </c:pt>
                <c:pt idx="28">
                  <c:v>0.44901495000147013</c:v>
                </c:pt>
                <c:pt idx="29">
                  <c:v>0.15387069191810671</c:v>
                </c:pt>
                <c:pt idx="30">
                  <c:v>0.16491726402455051</c:v>
                </c:pt>
                <c:pt idx="31">
                  <c:v>0.27249862658934892</c:v>
                </c:pt>
                <c:pt idx="32">
                  <c:v>0.19290441725605781</c:v>
                </c:pt>
                <c:pt idx="33">
                  <c:v>0.26330975920252653</c:v>
                </c:pt>
                <c:pt idx="34">
                  <c:v>0.28162812811183913</c:v>
                </c:pt>
                <c:pt idx="35">
                  <c:v>0.24423664197708489</c:v>
                </c:pt>
                <c:pt idx="36">
                  <c:v>0.1757008345294544</c:v>
                </c:pt>
                <c:pt idx="37">
                  <c:v>6.3744778466360091E-2</c:v>
                </c:pt>
                <c:pt idx="38">
                  <c:v>1.6018382822633442E-2</c:v>
                </c:pt>
                <c:pt idx="39">
                  <c:v>8.8553526392652598E-2</c:v>
                </c:pt>
                <c:pt idx="40">
                  <c:v>0.1255897148432274</c:v>
                </c:pt>
                <c:pt idx="41">
                  <c:v>9.1391814212403291E-2</c:v>
                </c:pt>
                <c:pt idx="42">
                  <c:v>4.598513215239515E-2</c:v>
                </c:pt>
                <c:pt idx="43">
                  <c:v>0.31082338970039242</c:v>
                </c:pt>
                <c:pt idx="44">
                  <c:v>0.24736806008711229</c:v>
                </c:pt>
                <c:pt idx="45">
                  <c:v>0.17865414739063271</c:v>
                </c:pt>
                <c:pt idx="46">
                  <c:v>-8.460076898318214E-2</c:v>
                </c:pt>
                <c:pt idx="47">
                  <c:v>-0.30231907150021953</c:v>
                </c:pt>
                <c:pt idx="48">
                  <c:v>-0.36804136623272637</c:v>
                </c:pt>
                <c:pt idx="49">
                  <c:v>-0.46110076036131958</c:v>
                </c:pt>
                <c:pt idx="50">
                  <c:v>-0.48039396799702699</c:v>
                </c:pt>
                <c:pt idx="51">
                  <c:v>-0.25504783295868882</c:v>
                </c:pt>
                <c:pt idx="52">
                  <c:v>-0.41950836488751547</c:v>
                </c:pt>
                <c:pt idx="53">
                  <c:v>-0.38128586488751548</c:v>
                </c:pt>
                <c:pt idx="54">
                  <c:v>-0.42187636488751562</c:v>
                </c:pt>
                <c:pt idx="55">
                  <c:v>-0.48416611488751549</c:v>
                </c:pt>
                <c:pt idx="56">
                  <c:v>-0.56269086488751552</c:v>
                </c:pt>
                <c:pt idx="57">
                  <c:v>-0.66953297452494576</c:v>
                </c:pt>
                <c:pt idx="58">
                  <c:v>-0.62325597452494574</c:v>
                </c:pt>
                <c:pt idx="59">
                  <c:v>-0.64683500070666344</c:v>
                </c:pt>
                <c:pt idx="60">
                  <c:v>-0.72980816259672932</c:v>
                </c:pt>
                <c:pt idx="61">
                  <c:v>-0.87252925524307912</c:v>
                </c:pt>
                <c:pt idx="62">
                  <c:v>-0.83173396921435849</c:v>
                </c:pt>
                <c:pt idx="63">
                  <c:v>-0.89538191720660654</c:v>
                </c:pt>
                <c:pt idx="64">
                  <c:v>-0.8315246807929263</c:v>
                </c:pt>
                <c:pt idx="65">
                  <c:v>-0.93603381021234056</c:v>
                </c:pt>
                <c:pt idx="66">
                  <c:v>-0.99057604104684538</c:v>
                </c:pt>
                <c:pt idx="67">
                  <c:v>-0.97825217886298099</c:v>
                </c:pt>
                <c:pt idx="68">
                  <c:v>-0.97239200610780485</c:v>
                </c:pt>
                <c:pt idx="69">
                  <c:v>-1.0653442094560619</c:v>
                </c:pt>
                <c:pt idx="70">
                  <c:v>-1.052347602454123</c:v>
                </c:pt>
                <c:pt idx="71">
                  <c:v>-1.00800762241285</c:v>
                </c:pt>
                <c:pt idx="72">
                  <c:v>-1.1924682931332591</c:v>
                </c:pt>
                <c:pt idx="73">
                  <c:v>-1.1040889583456199</c:v>
                </c:pt>
                <c:pt idx="74">
                  <c:v>-1.1597552505878581</c:v>
                </c:pt>
                <c:pt idx="75">
                  <c:v>-1.1120923218671419</c:v>
                </c:pt>
                <c:pt idx="76">
                  <c:v>-1.017032321867142</c:v>
                </c:pt>
                <c:pt idx="77">
                  <c:v>-0.943566222462213</c:v>
                </c:pt>
                <c:pt idx="78">
                  <c:v>-0.95158572246221296</c:v>
                </c:pt>
                <c:pt idx="79">
                  <c:v>-0.66352965809973974</c:v>
                </c:pt>
                <c:pt idx="80">
                  <c:v>-0.60201515809973971</c:v>
                </c:pt>
                <c:pt idx="81">
                  <c:v>-0.4874890004885713</c:v>
                </c:pt>
                <c:pt idx="82">
                  <c:v>-0.57257433596270235</c:v>
                </c:pt>
                <c:pt idx="83">
                  <c:v>-0.72920077658967097</c:v>
                </c:pt>
                <c:pt idx="84">
                  <c:v>-0.85249302658967097</c:v>
                </c:pt>
                <c:pt idx="85">
                  <c:v>-0.90763387515082805</c:v>
                </c:pt>
                <c:pt idx="86">
                  <c:v>-0.84047424485397237</c:v>
                </c:pt>
                <c:pt idx="87">
                  <c:v>-0.65304112331324549</c:v>
                </c:pt>
                <c:pt idx="88">
                  <c:v>-0.59004679045282105</c:v>
                </c:pt>
                <c:pt idx="89">
                  <c:v>-0.60132704045282104</c:v>
                </c:pt>
                <c:pt idx="90">
                  <c:v>-0.83911902159221352</c:v>
                </c:pt>
                <c:pt idx="91">
                  <c:v>-0.93742632771626389</c:v>
                </c:pt>
                <c:pt idx="92">
                  <c:v>-0.96033852188576008</c:v>
                </c:pt>
                <c:pt idx="93">
                  <c:v>-0.72127855552449216</c:v>
                </c:pt>
                <c:pt idx="94">
                  <c:v>-0.69037130552449211</c:v>
                </c:pt>
                <c:pt idx="95">
                  <c:v>-0.77644386239588814</c:v>
                </c:pt>
                <c:pt idx="96">
                  <c:v>-0.93536048471333821</c:v>
                </c:pt>
                <c:pt idx="97">
                  <c:v>-0.78102863993876581</c:v>
                </c:pt>
                <c:pt idx="98">
                  <c:v>-0.74268312306708306</c:v>
                </c:pt>
                <c:pt idx="99">
                  <c:v>-0.64056094740967595</c:v>
                </c:pt>
                <c:pt idx="100">
                  <c:v>-0.48810864116435682</c:v>
                </c:pt>
                <c:pt idx="101">
                  <c:v>-0.25065727033852658</c:v>
                </c:pt>
                <c:pt idx="102">
                  <c:v>-0.20894752033852659</c:v>
                </c:pt>
                <c:pt idx="103">
                  <c:v>-0.13748802033852661</c:v>
                </c:pt>
                <c:pt idx="104">
                  <c:v>-0.29139281570824521</c:v>
                </c:pt>
                <c:pt idx="105">
                  <c:v>-0.35841981570824522</c:v>
                </c:pt>
                <c:pt idx="106">
                  <c:v>-0.3873975527685718</c:v>
                </c:pt>
                <c:pt idx="107">
                  <c:v>-0.5362064552583149</c:v>
                </c:pt>
                <c:pt idx="108">
                  <c:v>-0.68439138639004449</c:v>
                </c:pt>
                <c:pt idx="109">
                  <c:v>-0.60295438639004451</c:v>
                </c:pt>
                <c:pt idx="110">
                  <c:v>-0.42311438639004451</c:v>
                </c:pt>
                <c:pt idx="111">
                  <c:v>-0.46102569958060458</c:v>
                </c:pt>
                <c:pt idx="112">
                  <c:v>-0.32152299276169999</c:v>
                </c:pt>
                <c:pt idx="113">
                  <c:v>-0.33425998426271319</c:v>
                </c:pt>
                <c:pt idx="114">
                  <c:v>-0.33000542024182772</c:v>
                </c:pt>
                <c:pt idx="115">
                  <c:v>-0.55030106110635502</c:v>
                </c:pt>
                <c:pt idx="116">
                  <c:v>-0.53174225204856751</c:v>
                </c:pt>
                <c:pt idx="117">
                  <c:v>-0.76076214172880219</c:v>
                </c:pt>
                <c:pt idx="118">
                  <c:v>-0.69033944292061877</c:v>
                </c:pt>
                <c:pt idx="119">
                  <c:v>-0.64016858388353803</c:v>
                </c:pt>
                <c:pt idx="120">
                  <c:v>-0.55556315027800207</c:v>
                </c:pt>
                <c:pt idx="121">
                  <c:v>-0.72613395296346284</c:v>
                </c:pt>
                <c:pt idx="122">
                  <c:v>-0.87474870296346285</c:v>
                </c:pt>
                <c:pt idx="123">
                  <c:v>-1.029646954093367</c:v>
                </c:pt>
                <c:pt idx="124">
                  <c:v>-1.133182954093368</c:v>
                </c:pt>
                <c:pt idx="125">
                  <c:v>-1.25001184396815</c:v>
                </c:pt>
                <c:pt idx="126">
                  <c:v>-1.4756737251561389</c:v>
                </c:pt>
                <c:pt idx="127">
                  <c:v>-1.295782703431239</c:v>
                </c:pt>
                <c:pt idx="128">
                  <c:v>-1.0297249534312389</c:v>
                </c:pt>
                <c:pt idx="129">
                  <c:v>-1.133022953431239</c:v>
                </c:pt>
                <c:pt idx="130">
                  <c:v>-1.1058334534312391</c:v>
                </c:pt>
                <c:pt idx="131">
                  <c:v>-1.188563203431239</c:v>
                </c:pt>
                <c:pt idx="132">
                  <c:v>-1.2098732034312389</c:v>
                </c:pt>
                <c:pt idx="133">
                  <c:v>-1.1810787034312391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FC-2341-A06A-F66BAD914835}"/>
            </c:ext>
          </c:extLst>
        </c:ser>
        <c:ser>
          <c:idx val="10"/>
          <c:order val="10"/>
          <c:tx>
            <c:strRef>
              <c:f>預測累積畫圖!$B$22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預測累積畫圖!$C$22:$EF$22</c:f>
              <c:numCache>
                <c:formatCode>General</c:formatCode>
                <c:ptCount val="134"/>
                <c:pt idx="0">
                  <c:v>-2.5922326608526759E-2</c:v>
                </c:pt>
                <c:pt idx="1">
                  <c:v>-0.4433442512485557</c:v>
                </c:pt>
                <c:pt idx="2">
                  <c:v>-0.46557466350779381</c:v>
                </c:pt>
                <c:pt idx="3">
                  <c:v>-0.39774360258651631</c:v>
                </c:pt>
                <c:pt idx="4">
                  <c:v>-0.29385923929618218</c:v>
                </c:pt>
                <c:pt idx="5">
                  <c:v>-0.52366478378758274</c:v>
                </c:pt>
                <c:pt idx="6">
                  <c:v>-0.26923188087713268</c:v>
                </c:pt>
                <c:pt idx="7">
                  <c:v>-0.1508535996948446</c:v>
                </c:pt>
                <c:pt idx="8">
                  <c:v>9.4512312987911073E-2</c:v>
                </c:pt>
                <c:pt idx="9">
                  <c:v>0.20199948163915291</c:v>
                </c:pt>
                <c:pt idx="10">
                  <c:v>0.1278994228685803</c:v>
                </c:pt>
                <c:pt idx="11">
                  <c:v>2.9868562060947571E-2</c:v>
                </c:pt>
                <c:pt idx="12">
                  <c:v>2.3152683749580068E-2</c:v>
                </c:pt>
                <c:pt idx="13">
                  <c:v>9.5935567878397049E-2</c:v>
                </c:pt>
                <c:pt idx="14">
                  <c:v>0.18521808598224429</c:v>
                </c:pt>
                <c:pt idx="15">
                  <c:v>0.3658978161735289</c:v>
                </c:pt>
                <c:pt idx="16">
                  <c:v>0.61295444570325852</c:v>
                </c:pt>
                <c:pt idx="17">
                  <c:v>0.48414202372013559</c:v>
                </c:pt>
                <c:pt idx="18">
                  <c:v>0.63617120649467895</c:v>
                </c:pt>
                <c:pt idx="19">
                  <c:v>0.57914707186038927</c:v>
                </c:pt>
                <c:pt idx="20">
                  <c:v>0.37166680483609188</c:v>
                </c:pt>
                <c:pt idx="21">
                  <c:v>0.1498800458022215</c:v>
                </c:pt>
                <c:pt idx="22">
                  <c:v>0.1019417136224532</c:v>
                </c:pt>
                <c:pt idx="23">
                  <c:v>-4.8208396297121009E-2</c:v>
                </c:pt>
                <c:pt idx="24">
                  <c:v>3.4316029280992012E-2</c:v>
                </c:pt>
                <c:pt idx="25">
                  <c:v>3.0450799155652589E-2</c:v>
                </c:pt>
                <c:pt idx="26">
                  <c:v>-5.5325661559779873E-2</c:v>
                </c:pt>
                <c:pt idx="27">
                  <c:v>-3.673191234511862E-2</c:v>
                </c:pt>
                <c:pt idx="28">
                  <c:v>9.4091930471215571E-2</c:v>
                </c:pt>
                <c:pt idx="29">
                  <c:v>-0.33582483757739651</c:v>
                </c:pt>
                <c:pt idx="30">
                  <c:v>-0.32501273701055422</c:v>
                </c:pt>
                <c:pt idx="31">
                  <c:v>-0.2191467775900815</c:v>
                </c:pt>
                <c:pt idx="32">
                  <c:v>-0.31328803824746748</c:v>
                </c:pt>
                <c:pt idx="33">
                  <c:v>-0.28158818892105919</c:v>
                </c:pt>
                <c:pt idx="34">
                  <c:v>-0.20301242021614499</c:v>
                </c:pt>
                <c:pt idx="35">
                  <c:v>-0.2041571464398918</c:v>
                </c:pt>
                <c:pt idx="36">
                  <c:v>-0.28824604990759539</c:v>
                </c:pt>
                <c:pt idx="37">
                  <c:v>-0.39937885957115471</c:v>
                </c:pt>
                <c:pt idx="38">
                  <c:v>-0.47409623296486031</c:v>
                </c:pt>
                <c:pt idx="39">
                  <c:v>-0.41155987907686759</c:v>
                </c:pt>
                <c:pt idx="40">
                  <c:v>-0.46668659980121058</c:v>
                </c:pt>
                <c:pt idx="41">
                  <c:v>-0.57487030034944697</c:v>
                </c:pt>
                <c:pt idx="42">
                  <c:v>-0.50102659766361346</c:v>
                </c:pt>
                <c:pt idx="43">
                  <c:v>-0.48329822666917682</c:v>
                </c:pt>
                <c:pt idx="44">
                  <c:v>-0.59321282398736119</c:v>
                </c:pt>
                <c:pt idx="45">
                  <c:v>-0.68296680585899383</c:v>
                </c:pt>
                <c:pt idx="46">
                  <c:v>-1.0537660845501671</c:v>
                </c:pt>
                <c:pt idx="47">
                  <c:v>-1.043890898544473</c:v>
                </c:pt>
                <c:pt idx="48">
                  <c:v>-1.142347174673837</c:v>
                </c:pt>
                <c:pt idx="49">
                  <c:v>-1.369832670907291</c:v>
                </c:pt>
                <c:pt idx="50">
                  <c:v>-1.4190096106545109</c:v>
                </c:pt>
                <c:pt idx="51">
                  <c:v>-1.117079666114088</c:v>
                </c:pt>
                <c:pt idx="52">
                  <c:v>-1.3127057014646051</c:v>
                </c:pt>
                <c:pt idx="53">
                  <c:v>-1.2334417014646051</c:v>
                </c:pt>
                <c:pt idx="54">
                  <c:v>-1.301927368131272</c:v>
                </c:pt>
                <c:pt idx="55">
                  <c:v>-1.356813368131272</c:v>
                </c:pt>
                <c:pt idx="56">
                  <c:v>-1.452993034797939</c:v>
                </c:pt>
                <c:pt idx="57">
                  <c:v>-1.5807000441943551</c:v>
                </c:pt>
                <c:pt idx="58">
                  <c:v>-1.498350710861021</c:v>
                </c:pt>
                <c:pt idx="59">
                  <c:v>-1.553347126011742</c:v>
                </c:pt>
                <c:pt idx="60">
                  <c:v>-1.5742018813415091</c:v>
                </c:pt>
                <c:pt idx="61">
                  <c:v>-1.7359822204125439</c:v>
                </c:pt>
                <c:pt idx="62">
                  <c:v>-1.7335517371670111</c:v>
                </c:pt>
                <c:pt idx="63">
                  <c:v>-1.718224185143969</c:v>
                </c:pt>
                <c:pt idx="64">
                  <c:v>-1.6677397560312179</c:v>
                </c:pt>
                <c:pt idx="65">
                  <c:v>-1.7425753061863249</c:v>
                </c:pt>
                <c:pt idx="66">
                  <c:v>-1.770405403584637</c:v>
                </c:pt>
                <c:pt idx="67">
                  <c:v>-1.749591794118184</c:v>
                </c:pt>
                <c:pt idx="68">
                  <c:v>-1.765964576494983</c:v>
                </c:pt>
                <c:pt idx="69">
                  <c:v>-1.698821361077258</c:v>
                </c:pt>
                <c:pt idx="70">
                  <c:v>-1.65845289248738</c:v>
                </c:pt>
                <c:pt idx="71">
                  <c:v>-1.609849357898302</c:v>
                </c:pt>
                <c:pt idx="72">
                  <c:v>-1.742021149434084</c:v>
                </c:pt>
                <c:pt idx="73">
                  <c:v>-1.5890837791840919</c:v>
                </c:pt>
                <c:pt idx="74">
                  <c:v>-1.644680829154463</c:v>
                </c:pt>
                <c:pt idx="75">
                  <c:v>-1.597423093291571</c:v>
                </c:pt>
                <c:pt idx="76">
                  <c:v>-1.453342759958238</c:v>
                </c:pt>
                <c:pt idx="77">
                  <c:v>-1.389738490418549</c:v>
                </c:pt>
                <c:pt idx="78">
                  <c:v>-1.514843490418549</c:v>
                </c:pt>
                <c:pt idx="79">
                  <c:v>-1.1809654537058261</c:v>
                </c:pt>
                <c:pt idx="80">
                  <c:v>-1.1141254537058261</c:v>
                </c:pt>
                <c:pt idx="81">
                  <c:v>-1.013355096671761</c:v>
                </c:pt>
                <c:pt idx="82">
                  <c:v>-1.220440429305274</c:v>
                </c:pt>
                <c:pt idx="83">
                  <c:v>-1.3740467141148169</c:v>
                </c:pt>
                <c:pt idx="84">
                  <c:v>-1.6044947141148169</c:v>
                </c:pt>
                <c:pt idx="85">
                  <c:v>-1.7308200733934049</c:v>
                </c:pt>
                <c:pt idx="86">
                  <c:v>-1.6198965331066231</c:v>
                </c:pt>
                <c:pt idx="87">
                  <c:v>-1.5248995210830769</c:v>
                </c:pt>
                <c:pt idx="88">
                  <c:v>-1.478458242108379</c:v>
                </c:pt>
                <c:pt idx="89">
                  <c:v>-1.4566069087750459</c:v>
                </c:pt>
                <c:pt idx="90">
                  <c:v>-1.6418926666802729</c:v>
                </c:pt>
                <c:pt idx="91">
                  <c:v>-1.8137363998226721</c:v>
                </c:pt>
                <c:pt idx="92">
                  <c:v>-1.830896015341795</c:v>
                </c:pt>
                <c:pt idx="93">
                  <c:v>-1.584123245349909</c:v>
                </c:pt>
                <c:pt idx="94">
                  <c:v>-1.559683912016576</c:v>
                </c:pt>
                <c:pt idx="95">
                  <c:v>-1.6857752902053471</c:v>
                </c:pt>
                <c:pt idx="96">
                  <c:v>-1.853129201391716</c:v>
                </c:pt>
                <c:pt idx="97">
                  <c:v>-1.6869065227021609</c:v>
                </c:pt>
                <c:pt idx="98">
                  <c:v>-1.6640224803701771</c:v>
                </c:pt>
                <c:pt idx="99">
                  <c:v>-1.660272887102328</c:v>
                </c:pt>
                <c:pt idx="100">
                  <c:v>-1.4978330183888811</c:v>
                </c:pt>
                <c:pt idx="101">
                  <c:v>-1.2349125337896421</c:v>
                </c:pt>
                <c:pt idx="102">
                  <c:v>-1.2024585337896421</c:v>
                </c:pt>
                <c:pt idx="103">
                  <c:v>-1.148417867122975</c:v>
                </c:pt>
                <c:pt idx="104">
                  <c:v>-1.2895851028422849</c:v>
                </c:pt>
                <c:pt idx="105">
                  <c:v>-1.305548436175618</c:v>
                </c:pt>
                <c:pt idx="106">
                  <c:v>-1.2877919326736851</c:v>
                </c:pt>
                <c:pt idx="107">
                  <c:v>-1.384863638309912</c:v>
                </c:pt>
                <c:pt idx="108">
                  <c:v>-1.4729850488129761</c:v>
                </c:pt>
                <c:pt idx="109">
                  <c:v>-1.391529715479642</c:v>
                </c:pt>
                <c:pt idx="110">
                  <c:v>-1.331407382146309</c:v>
                </c:pt>
                <c:pt idx="111">
                  <c:v>-1.3816533879794051</c:v>
                </c:pt>
                <c:pt idx="112">
                  <c:v>-1.202518674156565</c:v>
                </c:pt>
                <c:pt idx="113">
                  <c:v>-1.205732004899704</c:v>
                </c:pt>
                <c:pt idx="114">
                  <c:v>-1.163055455783663</c:v>
                </c:pt>
                <c:pt idx="115">
                  <c:v>-1.468430484055866</c:v>
                </c:pt>
                <c:pt idx="116">
                  <c:v>-1.4921991523433149</c:v>
                </c:pt>
                <c:pt idx="117">
                  <c:v>-1.661761584484045</c:v>
                </c:pt>
                <c:pt idx="118">
                  <c:v>-1.496357417939405</c:v>
                </c:pt>
                <c:pt idx="119">
                  <c:v>-1.502449970554723</c:v>
                </c:pt>
                <c:pt idx="120">
                  <c:v>-1.3729261311855181</c:v>
                </c:pt>
                <c:pt idx="121">
                  <c:v>-1.431283140182283</c:v>
                </c:pt>
                <c:pt idx="122">
                  <c:v>-1.59282880684895</c:v>
                </c:pt>
                <c:pt idx="123">
                  <c:v>-1.7498911763987011</c:v>
                </c:pt>
                <c:pt idx="124">
                  <c:v>-1.831307176398701</c:v>
                </c:pt>
                <c:pt idx="125">
                  <c:v>-1.9956593004402401</c:v>
                </c:pt>
                <c:pt idx="126">
                  <c:v>-2.3134136728047219</c:v>
                </c:pt>
                <c:pt idx="127">
                  <c:v>-2.1477874265789669</c:v>
                </c:pt>
                <c:pt idx="128">
                  <c:v>-2.0074310932456338</c:v>
                </c:pt>
                <c:pt idx="129">
                  <c:v>-2.150361426578967</c:v>
                </c:pt>
                <c:pt idx="130">
                  <c:v>-2.0622754265789669</c:v>
                </c:pt>
                <c:pt idx="131">
                  <c:v>-2.1197747599122998</c:v>
                </c:pt>
                <c:pt idx="132">
                  <c:v>-2.1674107599123</c:v>
                </c:pt>
                <c:pt idx="133">
                  <c:v>-2.130818093245634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FC-2341-A06A-F66BAD914835}"/>
            </c:ext>
          </c:extLst>
        </c:ser>
        <c:ser>
          <c:idx val="11"/>
          <c:order val="11"/>
          <c:tx>
            <c:strRef>
              <c:f>預測累積畫圖!$B$23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預測累積畫圖!$C$23:$EF$23</c:f>
              <c:numCache>
                <c:formatCode>General</c:formatCode>
                <c:ptCount val="134"/>
                <c:pt idx="0">
                  <c:v>-3.1325684581971477E-2</c:v>
                </c:pt>
                <c:pt idx="1">
                  <c:v>5.7640938152385288E-2</c:v>
                </c:pt>
                <c:pt idx="2">
                  <c:v>4.2579350465419892E-2</c:v>
                </c:pt>
                <c:pt idx="3">
                  <c:v>0.22497542578629859</c:v>
                </c:pt>
                <c:pt idx="4">
                  <c:v>0.19800385726193059</c:v>
                </c:pt>
                <c:pt idx="5">
                  <c:v>-6.4806383939522233E-2</c:v>
                </c:pt>
                <c:pt idx="6">
                  <c:v>0.19089648812605489</c:v>
                </c:pt>
                <c:pt idx="7">
                  <c:v>0.34619030502903808</c:v>
                </c:pt>
                <c:pt idx="8">
                  <c:v>0.48879788015369302</c:v>
                </c:pt>
                <c:pt idx="9">
                  <c:v>0.72124224119615521</c:v>
                </c:pt>
                <c:pt idx="10">
                  <c:v>0.46279232483751281</c:v>
                </c:pt>
                <c:pt idx="11">
                  <c:v>0.33599231114518441</c:v>
                </c:pt>
                <c:pt idx="12">
                  <c:v>0.3165845998784152</c:v>
                </c:pt>
                <c:pt idx="13">
                  <c:v>0.40698631106054062</c:v>
                </c:pt>
                <c:pt idx="14">
                  <c:v>0.65783598796134735</c:v>
                </c:pt>
                <c:pt idx="15">
                  <c:v>0.74746399100249206</c:v>
                </c:pt>
                <c:pt idx="16">
                  <c:v>0.91675899091573609</c:v>
                </c:pt>
                <c:pt idx="17">
                  <c:v>0.76215629758830761</c:v>
                </c:pt>
                <c:pt idx="18">
                  <c:v>0.97513807045633349</c:v>
                </c:pt>
                <c:pt idx="19">
                  <c:v>1.038495081435399</c:v>
                </c:pt>
                <c:pt idx="20">
                  <c:v>0.70687593118625491</c:v>
                </c:pt>
                <c:pt idx="21">
                  <c:v>0.52509474538843204</c:v>
                </c:pt>
                <c:pt idx="22">
                  <c:v>0.51750598195975384</c:v>
                </c:pt>
                <c:pt idx="23">
                  <c:v>0.36986557251648022</c:v>
                </c:pt>
                <c:pt idx="24">
                  <c:v>0.31311712655636992</c:v>
                </c:pt>
                <c:pt idx="25">
                  <c:v>0.28212574150037778</c:v>
                </c:pt>
                <c:pt idx="26">
                  <c:v>0.11337094186346509</c:v>
                </c:pt>
                <c:pt idx="27">
                  <c:v>0.11636623343394931</c:v>
                </c:pt>
                <c:pt idx="28">
                  <c:v>0.2535782221916093</c:v>
                </c:pt>
                <c:pt idx="29">
                  <c:v>-7.1081103448601912E-2</c:v>
                </c:pt>
                <c:pt idx="30">
                  <c:v>-0.21697499638827389</c:v>
                </c:pt>
                <c:pt idx="31">
                  <c:v>-0.1328034118650907</c:v>
                </c:pt>
                <c:pt idx="32">
                  <c:v>-0.1560316784875726</c:v>
                </c:pt>
                <c:pt idx="33">
                  <c:v>-0.16167481633572689</c:v>
                </c:pt>
                <c:pt idx="34">
                  <c:v>-7.047559206046719E-2</c:v>
                </c:pt>
                <c:pt idx="35">
                  <c:v>-0.12178590324295401</c:v>
                </c:pt>
                <c:pt idx="36">
                  <c:v>-0.12955539224781931</c:v>
                </c:pt>
                <c:pt idx="37">
                  <c:v>-0.37187009160512002</c:v>
                </c:pt>
                <c:pt idx="38">
                  <c:v>-0.36653313941369592</c:v>
                </c:pt>
                <c:pt idx="39">
                  <c:v>-0.36965423876600162</c:v>
                </c:pt>
                <c:pt idx="40">
                  <c:v>-0.19394203018299461</c:v>
                </c:pt>
                <c:pt idx="41">
                  <c:v>-0.44740282596333858</c:v>
                </c:pt>
                <c:pt idx="42">
                  <c:v>-0.36573920518276842</c:v>
                </c:pt>
                <c:pt idx="43">
                  <c:v>-0.25623330221786822</c:v>
                </c:pt>
                <c:pt idx="44">
                  <c:v>-0.45982919339945411</c:v>
                </c:pt>
                <c:pt idx="45">
                  <c:v>-0.50897926002874616</c:v>
                </c:pt>
                <c:pt idx="46">
                  <c:v>-1.0912392342029611</c:v>
                </c:pt>
                <c:pt idx="47">
                  <c:v>-1.07642645519442</c:v>
                </c:pt>
                <c:pt idx="48">
                  <c:v>-1.13456605530121</c:v>
                </c:pt>
                <c:pt idx="49">
                  <c:v>-1.450550576557011</c:v>
                </c:pt>
                <c:pt idx="50">
                  <c:v>-1.278469667181279</c:v>
                </c:pt>
                <c:pt idx="51">
                  <c:v>-1.329519151284164</c:v>
                </c:pt>
                <c:pt idx="52">
                  <c:v>-1.5823883331841031</c:v>
                </c:pt>
                <c:pt idx="53">
                  <c:v>-1.456408833184103</c:v>
                </c:pt>
                <c:pt idx="54">
                  <c:v>-1.542942333184103</c:v>
                </c:pt>
                <c:pt idx="55">
                  <c:v>-1.602955333184104</c:v>
                </c:pt>
                <c:pt idx="56">
                  <c:v>-1.647864833184103</c:v>
                </c:pt>
                <c:pt idx="57">
                  <c:v>-1.7112300288873421</c:v>
                </c:pt>
                <c:pt idx="58">
                  <c:v>-1.590021028887342</c:v>
                </c:pt>
                <c:pt idx="59">
                  <c:v>-1.6940243441552689</c:v>
                </c:pt>
                <c:pt idx="60">
                  <c:v>-1.6990342076298039</c:v>
                </c:pt>
                <c:pt idx="61">
                  <c:v>-1.848568503880043</c:v>
                </c:pt>
                <c:pt idx="62">
                  <c:v>-1.918063965904494</c:v>
                </c:pt>
                <c:pt idx="63">
                  <c:v>-1.9111167951456809</c:v>
                </c:pt>
                <c:pt idx="64">
                  <c:v>-1.9476417368916801</c:v>
                </c:pt>
                <c:pt idx="65">
                  <c:v>-2.0459081361031362</c:v>
                </c:pt>
                <c:pt idx="66">
                  <c:v>-2.1179560375384021</c:v>
                </c:pt>
                <c:pt idx="67">
                  <c:v>-2.1001117160744389</c:v>
                </c:pt>
                <c:pt idx="68">
                  <c:v>-2.1733871047323512</c:v>
                </c:pt>
                <c:pt idx="69">
                  <c:v>-2.1031978405677139</c:v>
                </c:pt>
                <c:pt idx="70">
                  <c:v>-1.939923150575493</c:v>
                </c:pt>
                <c:pt idx="71">
                  <c:v>-1.8866541000176049</c:v>
                </c:pt>
                <c:pt idx="72">
                  <c:v>-1.902016615060695</c:v>
                </c:pt>
                <c:pt idx="73">
                  <c:v>-1.7777970915160599</c:v>
                </c:pt>
                <c:pt idx="74">
                  <c:v>-1.6595478575891049</c:v>
                </c:pt>
                <c:pt idx="75">
                  <c:v>-1.65187809515726</c:v>
                </c:pt>
                <c:pt idx="76">
                  <c:v>-1.44550259515726</c:v>
                </c:pt>
                <c:pt idx="77">
                  <c:v>-1.487167583535848</c:v>
                </c:pt>
                <c:pt idx="78">
                  <c:v>-1.5717125835358481</c:v>
                </c:pt>
                <c:pt idx="79">
                  <c:v>-1.3800361285210629</c:v>
                </c:pt>
                <c:pt idx="80">
                  <c:v>-1.320434128521063</c:v>
                </c:pt>
                <c:pt idx="81">
                  <c:v>-1.3042732930909811</c:v>
                </c:pt>
                <c:pt idx="82">
                  <c:v>-1.5209105347181839</c:v>
                </c:pt>
                <c:pt idx="83">
                  <c:v>-1.683033109035255</c:v>
                </c:pt>
                <c:pt idx="84">
                  <c:v>-1.742155609035255</c:v>
                </c:pt>
                <c:pt idx="85">
                  <c:v>-1.898671505453156</c:v>
                </c:pt>
                <c:pt idx="86">
                  <c:v>-1.826815114916611</c:v>
                </c:pt>
                <c:pt idx="87">
                  <c:v>-1.6627656557376971</c:v>
                </c:pt>
                <c:pt idx="88">
                  <c:v>-1.6557906467244761</c:v>
                </c:pt>
                <c:pt idx="89">
                  <c:v>-1.6058186467244759</c:v>
                </c:pt>
                <c:pt idx="90">
                  <c:v>-1.8742696236276251</c:v>
                </c:pt>
                <c:pt idx="91">
                  <c:v>-2.120371396083844</c:v>
                </c:pt>
                <c:pt idx="92">
                  <c:v>-2.0956691260044629</c:v>
                </c:pt>
                <c:pt idx="93">
                  <c:v>-1.9446709555305151</c:v>
                </c:pt>
                <c:pt idx="94">
                  <c:v>-1.875655955530515</c:v>
                </c:pt>
                <c:pt idx="95">
                  <c:v>-1.90850617953666</c:v>
                </c:pt>
                <c:pt idx="96">
                  <c:v>-2.1106100645238168</c:v>
                </c:pt>
                <c:pt idx="97">
                  <c:v>-1.9572790962522419</c:v>
                </c:pt>
                <c:pt idx="98">
                  <c:v>-1.9814653840412439</c:v>
                </c:pt>
                <c:pt idx="99">
                  <c:v>-2.07018237813777</c:v>
                </c:pt>
                <c:pt idx="100">
                  <c:v>-1.7884715506637501</c:v>
                </c:pt>
                <c:pt idx="101">
                  <c:v>-1.606472756806399</c:v>
                </c:pt>
                <c:pt idx="102">
                  <c:v>-1.5418277568063989</c:v>
                </c:pt>
                <c:pt idx="103">
                  <c:v>-1.523079756806399</c:v>
                </c:pt>
                <c:pt idx="104">
                  <c:v>-1.6810286561246519</c:v>
                </c:pt>
                <c:pt idx="105">
                  <c:v>-1.6994386561246519</c:v>
                </c:pt>
                <c:pt idx="106">
                  <c:v>-1.6393527086144799</c:v>
                </c:pt>
                <c:pt idx="107">
                  <c:v>-1.8307265824269321</c:v>
                </c:pt>
                <c:pt idx="108">
                  <c:v>-1.983703236721984</c:v>
                </c:pt>
                <c:pt idx="109">
                  <c:v>-1.844475236721985</c:v>
                </c:pt>
                <c:pt idx="110">
                  <c:v>-1.7484342367219849</c:v>
                </c:pt>
                <c:pt idx="111">
                  <c:v>-1.835492244894332</c:v>
                </c:pt>
                <c:pt idx="112">
                  <c:v>-1.557659028335489</c:v>
                </c:pt>
                <c:pt idx="113">
                  <c:v>-1.531416376230865</c:v>
                </c:pt>
                <c:pt idx="114">
                  <c:v>-1.5421267105376899</c:v>
                </c:pt>
                <c:pt idx="115">
                  <c:v>-1.807101567021681</c:v>
                </c:pt>
                <c:pt idx="116">
                  <c:v>-1.7224307392144991</c:v>
                </c:pt>
                <c:pt idx="117">
                  <c:v>-1.899270357699405</c:v>
                </c:pt>
                <c:pt idx="118">
                  <c:v>-1.6533242501406189</c:v>
                </c:pt>
                <c:pt idx="119">
                  <c:v>-1.743210252871926</c:v>
                </c:pt>
                <c:pt idx="120">
                  <c:v>-1.4960157014294571</c:v>
                </c:pt>
                <c:pt idx="121">
                  <c:v>-1.619970924625656</c:v>
                </c:pt>
                <c:pt idx="122">
                  <c:v>-1.675608924625656</c:v>
                </c:pt>
                <c:pt idx="123">
                  <c:v>-1.868350325843553</c:v>
                </c:pt>
                <c:pt idx="124">
                  <c:v>-1.8452978258435531</c:v>
                </c:pt>
                <c:pt idx="125">
                  <c:v>-2.016300612812008</c:v>
                </c:pt>
                <c:pt idx="126">
                  <c:v>-2.2845225421841309</c:v>
                </c:pt>
                <c:pt idx="127">
                  <c:v>-2.1551895266324119</c:v>
                </c:pt>
                <c:pt idx="128">
                  <c:v>-2.183946526632413</c:v>
                </c:pt>
                <c:pt idx="129">
                  <c:v>-2.3221750266324119</c:v>
                </c:pt>
                <c:pt idx="130">
                  <c:v>-2.2285315266324131</c:v>
                </c:pt>
                <c:pt idx="131">
                  <c:v>-2.189633526632413</c:v>
                </c:pt>
                <c:pt idx="132">
                  <c:v>-2.2588445266324131</c:v>
                </c:pt>
                <c:pt idx="133">
                  <c:v>-2.165430526632413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FC-2341-A06A-F66BAD914835}"/>
            </c:ext>
          </c:extLst>
        </c:ser>
        <c:ser>
          <c:idx val="12"/>
          <c:order val="12"/>
          <c:tx>
            <c:strRef>
              <c:f>預測累積畫圖!$B$24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預測累積畫圖!$C$24:$EF$24</c:f>
              <c:numCache>
                <c:formatCode>General</c:formatCode>
                <c:ptCount val="134"/>
                <c:pt idx="0">
                  <c:v>-2.776696731044102E-2</c:v>
                </c:pt>
                <c:pt idx="1">
                  <c:v>5.4221411859182868E-2</c:v>
                </c:pt>
                <c:pt idx="2">
                  <c:v>0.1361017464695804</c:v>
                </c:pt>
                <c:pt idx="3">
                  <c:v>0.33764746534122658</c:v>
                </c:pt>
                <c:pt idx="4">
                  <c:v>0.31502507677860891</c:v>
                </c:pt>
                <c:pt idx="5">
                  <c:v>-3.5797114552429898E-2</c:v>
                </c:pt>
                <c:pt idx="6">
                  <c:v>0.2045891302184859</c:v>
                </c:pt>
                <c:pt idx="7">
                  <c:v>0.20862485515774551</c:v>
                </c:pt>
                <c:pt idx="8">
                  <c:v>0.25906919115123422</c:v>
                </c:pt>
                <c:pt idx="9">
                  <c:v>0.59282863562688082</c:v>
                </c:pt>
                <c:pt idx="10">
                  <c:v>0.44600929672737227</c:v>
                </c:pt>
                <c:pt idx="11">
                  <c:v>0.34081758593152689</c:v>
                </c:pt>
                <c:pt idx="12">
                  <c:v>0.37746637667107069</c:v>
                </c:pt>
                <c:pt idx="13">
                  <c:v>0.4817147910800702</c:v>
                </c:pt>
                <c:pt idx="14">
                  <c:v>0.39156984228140718</c:v>
                </c:pt>
                <c:pt idx="15">
                  <c:v>0.49993533719359851</c:v>
                </c:pt>
                <c:pt idx="16">
                  <c:v>0.63981913676059898</c:v>
                </c:pt>
                <c:pt idx="17">
                  <c:v>0.9103058514346164</c:v>
                </c:pt>
                <c:pt idx="18">
                  <c:v>1.303267736283269</c:v>
                </c:pt>
                <c:pt idx="19">
                  <c:v>1.41980805300012</c:v>
                </c:pt>
                <c:pt idx="20">
                  <c:v>0.92409606704417757</c:v>
                </c:pt>
                <c:pt idx="21">
                  <c:v>0.96025396340542957</c:v>
                </c:pt>
                <c:pt idx="22">
                  <c:v>0.93085512382499691</c:v>
                </c:pt>
                <c:pt idx="23">
                  <c:v>0.78044519813620727</c:v>
                </c:pt>
                <c:pt idx="24">
                  <c:v>0.99898977782736209</c:v>
                </c:pt>
                <c:pt idx="25">
                  <c:v>0.69859598427037961</c:v>
                </c:pt>
                <c:pt idx="26">
                  <c:v>0.29684865042342501</c:v>
                </c:pt>
                <c:pt idx="27">
                  <c:v>0.3567707972342441</c:v>
                </c:pt>
                <c:pt idx="28">
                  <c:v>0.5499125869460022</c:v>
                </c:pt>
                <c:pt idx="29">
                  <c:v>5.4523174141840318E-2</c:v>
                </c:pt>
                <c:pt idx="30">
                  <c:v>-0.3255322184409557</c:v>
                </c:pt>
                <c:pt idx="31">
                  <c:v>-0.26883485837316612</c:v>
                </c:pt>
                <c:pt idx="32">
                  <c:v>-0.26002652727473891</c:v>
                </c:pt>
                <c:pt idx="33">
                  <c:v>-0.17913528327536349</c:v>
                </c:pt>
                <c:pt idx="34">
                  <c:v>-6.5956119499739355E-2</c:v>
                </c:pt>
                <c:pt idx="35">
                  <c:v>-0.17341054580548099</c:v>
                </c:pt>
                <c:pt idx="36">
                  <c:v>-0.15449126438495431</c:v>
                </c:pt>
                <c:pt idx="37">
                  <c:v>-0.37568072953038562</c:v>
                </c:pt>
                <c:pt idx="38">
                  <c:v>-0.44177084135937561</c:v>
                </c:pt>
                <c:pt idx="39">
                  <c:v>-0.41891912587027919</c:v>
                </c:pt>
                <c:pt idx="40">
                  <c:v>-6.2427194172760991E-2</c:v>
                </c:pt>
                <c:pt idx="41">
                  <c:v>-8.2778038665575412E-2</c:v>
                </c:pt>
                <c:pt idx="42">
                  <c:v>-7.9491264958952673E-2</c:v>
                </c:pt>
                <c:pt idx="43">
                  <c:v>7.1277714966728134E-2</c:v>
                </c:pt>
                <c:pt idx="44">
                  <c:v>-0.15856330071269181</c:v>
                </c:pt>
                <c:pt idx="45">
                  <c:v>8.9121359517635751E-2</c:v>
                </c:pt>
                <c:pt idx="46">
                  <c:v>0.23783231604907579</c:v>
                </c:pt>
                <c:pt idx="47">
                  <c:v>0.12634097913286041</c:v>
                </c:pt>
                <c:pt idx="48">
                  <c:v>-0.1410947655536097</c:v>
                </c:pt>
                <c:pt idx="49">
                  <c:v>-0.75099432573838665</c:v>
                </c:pt>
                <c:pt idx="50">
                  <c:v>-0.64921163142844429</c:v>
                </c:pt>
                <c:pt idx="51">
                  <c:v>-0.73537066482377911</c:v>
                </c:pt>
                <c:pt idx="52">
                  <c:v>-0.73100379520939573</c:v>
                </c:pt>
                <c:pt idx="53">
                  <c:v>-0.71236379520939574</c:v>
                </c:pt>
                <c:pt idx="54">
                  <c:v>-0.81649479520939572</c:v>
                </c:pt>
                <c:pt idx="55">
                  <c:v>-0.91673079520939571</c:v>
                </c:pt>
                <c:pt idx="56">
                  <c:v>-1.093354795209396</c:v>
                </c:pt>
                <c:pt idx="57">
                  <c:v>-1.2410283604611161</c:v>
                </c:pt>
                <c:pt idx="58">
                  <c:v>-1.0717603604611159</c:v>
                </c:pt>
                <c:pt idx="59">
                  <c:v>-1.075108676216</c:v>
                </c:pt>
                <c:pt idx="60">
                  <c:v>-1.0851284031650701</c:v>
                </c:pt>
                <c:pt idx="61">
                  <c:v>-1.4022926970897871</c:v>
                </c:pt>
                <c:pt idx="62">
                  <c:v>-1.317509757250799</c:v>
                </c:pt>
                <c:pt idx="63">
                  <c:v>-1.3243590990963729</c:v>
                </c:pt>
                <c:pt idx="64">
                  <c:v>-1.163249408000731</c:v>
                </c:pt>
                <c:pt idx="65">
                  <c:v>-1.2866005891300529</c:v>
                </c:pt>
                <c:pt idx="66">
                  <c:v>-1.222430955799938</c:v>
                </c:pt>
                <c:pt idx="67">
                  <c:v>-1.1800747324965211</c:v>
                </c:pt>
                <c:pt idx="68">
                  <c:v>-1.1813594499809781</c:v>
                </c:pt>
                <c:pt idx="69">
                  <c:v>-1.1255601936727211</c:v>
                </c:pt>
                <c:pt idx="70">
                  <c:v>-0.67399065689110427</c:v>
                </c:pt>
                <c:pt idx="71">
                  <c:v>-0.62773195115044134</c:v>
                </c:pt>
                <c:pt idx="72">
                  <c:v>-0.77875939657286075</c:v>
                </c:pt>
                <c:pt idx="73">
                  <c:v>-0.72071602692294567</c:v>
                </c:pt>
                <c:pt idx="74">
                  <c:v>-0.60230779587264394</c:v>
                </c:pt>
                <c:pt idx="75">
                  <c:v>-0.34341489702264699</c:v>
                </c:pt>
                <c:pt idx="76">
                  <c:v>-0.24338689702264699</c:v>
                </c:pt>
                <c:pt idx="77">
                  <c:v>-0.17925981386660489</c:v>
                </c:pt>
                <c:pt idx="78">
                  <c:v>-0.36172981386660502</c:v>
                </c:pt>
                <c:pt idx="79">
                  <c:v>-0.21742350312441011</c:v>
                </c:pt>
                <c:pt idx="80">
                  <c:v>-5.1858503124410073E-2</c:v>
                </c:pt>
                <c:pt idx="81">
                  <c:v>-9.5823137121141613E-2</c:v>
                </c:pt>
                <c:pt idx="82">
                  <c:v>-0.61579210319506372</c:v>
                </c:pt>
                <c:pt idx="83">
                  <c:v>-0.82876498722438208</c:v>
                </c:pt>
                <c:pt idx="84">
                  <c:v>-0.88727298722438208</c:v>
                </c:pt>
                <c:pt idx="85">
                  <c:v>-1.187459880814637</c:v>
                </c:pt>
                <c:pt idx="86">
                  <c:v>-0.86440061548625313</c:v>
                </c:pt>
                <c:pt idx="87">
                  <c:v>-0.84871686759688658</c:v>
                </c:pt>
                <c:pt idx="88">
                  <c:v>-0.80402832927295464</c:v>
                </c:pt>
                <c:pt idx="89">
                  <c:v>-0.78910732927295468</c:v>
                </c:pt>
                <c:pt idx="90">
                  <c:v>-1.36151693900763</c:v>
                </c:pt>
                <c:pt idx="91">
                  <c:v>-1.559584284554723</c:v>
                </c:pt>
                <c:pt idx="92">
                  <c:v>-1.399394637927222</c:v>
                </c:pt>
                <c:pt idx="93">
                  <c:v>-1.2616071818785191</c:v>
                </c:pt>
                <c:pt idx="94">
                  <c:v>-1.2884651818785191</c:v>
                </c:pt>
                <c:pt idx="95">
                  <c:v>-1.1055685945864031</c:v>
                </c:pt>
                <c:pt idx="96">
                  <c:v>-1.158297639400057</c:v>
                </c:pt>
                <c:pt idx="97">
                  <c:v>-0.97543354449283448</c:v>
                </c:pt>
                <c:pt idx="98">
                  <c:v>-1.210426759765681</c:v>
                </c:pt>
                <c:pt idx="99">
                  <c:v>-1.1552195660569931</c:v>
                </c:pt>
                <c:pt idx="100">
                  <c:v>-0.79499151928825573</c:v>
                </c:pt>
                <c:pt idx="101">
                  <c:v>-0.68278489084368854</c:v>
                </c:pt>
                <c:pt idx="102">
                  <c:v>-0.64880489084368853</c:v>
                </c:pt>
                <c:pt idx="103">
                  <c:v>-0.66530489084368849</c:v>
                </c:pt>
                <c:pt idx="104">
                  <c:v>-0.94803466957220661</c:v>
                </c:pt>
                <c:pt idx="105">
                  <c:v>-0.8987346695722066</c:v>
                </c:pt>
                <c:pt idx="106">
                  <c:v>-1.0303202608677391</c:v>
                </c:pt>
                <c:pt idx="107">
                  <c:v>-1.2249583246236699</c:v>
                </c:pt>
                <c:pt idx="108">
                  <c:v>-1.4735473073569001</c:v>
                </c:pt>
                <c:pt idx="109">
                  <c:v>-1.2077423073569</c:v>
                </c:pt>
                <c:pt idx="110">
                  <c:v>-1.1705573073569</c:v>
                </c:pt>
                <c:pt idx="111">
                  <c:v>-1.3030459178661391</c:v>
                </c:pt>
                <c:pt idx="112">
                  <c:v>-0.96353670723569551</c:v>
                </c:pt>
                <c:pt idx="113">
                  <c:v>-0.9021761940202786</c:v>
                </c:pt>
                <c:pt idx="114">
                  <c:v>-1.0104922891464641</c:v>
                </c:pt>
                <c:pt idx="115">
                  <c:v>-1.5273402281439961</c:v>
                </c:pt>
                <c:pt idx="116">
                  <c:v>-1.44422593855399</c:v>
                </c:pt>
                <c:pt idx="117">
                  <c:v>-1.6677977620376869</c:v>
                </c:pt>
                <c:pt idx="118">
                  <c:v>-1.3087264599410391</c:v>
                </c:pt>
                <c:pt idx="119">
                  <c:v>-1.3292420901530679</c:v>
                </c:pt>
                <c:pt idx="120">
                  <c:v>-1.185235115314254</c:v>
                </c:pt>
                <c:pt idx="121">
                  <c:v>-1.2235979814843829</c:v>
                </c:pt>
                <c:pt idx="122">
                  <c:v>-1.201815981484383</c:v>
                </c:pt>
                <c:pt idx="123">
                  <c:v>-1.9522725306736051</c:v>
                </c:pt>
                <c:pt idx="124">
                  <c:v>-1.851089530673605</c:v>
                </c:pt>
                <c:pt idx="125">
                  <c:v>-2.0248268611216842</c:v>
                </c:pt>
                <c:pt idx="126">
                  <c:v>-2.0568933968516352</c:v>
                </c:pt>
                <c:pt idx="127">
                  <c:v>-2.105798061110435</c:v>
                </c:pt>
                <c:pt idx="128">
                  <c:v>-2.1607150611104351</c:v>
                </c:pt>
                <c:pt idx="129">
                  <c:v>-2.269946061110435</c:v>
                </c:pt>
                <c:pt idx="130">
                  <c:v>-2.1262990611104349</c:v>
                </c:pt>
                <c:pt idx="131">
                  <c:v>-2.1961340611104352</c:v>
                </c:pt>
                <c:pt idx="132">
                  <c:v>-2.3036160611104348</c:v>
                </c:pt>
                <c:pt idx="133">
                  <c:v>-2.169531061110435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FC-2341-A06A-F66BAD914835}"/>
            </c:ext>
          </c:extLst>
        </c:ser>
        <c:ser>
          <c:idx val="13"/>
          <c:order val="13"/>
          <c:tx>
            <c:strRef>
              <c:f>預測累積畫圖!$B$25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預測累積畫圖!$C$25:$EF$25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5FC-2341-A06A-F66BAD914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720191"/>
        <c:axId val="720729791"/>
      </c:lineChart>
      <c:catAx>
        <c:axId val="7207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9791"/>
        <c:crosses val="autoZero"/>
        <c:auto val="1"/>
        <c:lblAlgn val="ctr"/>
        <c:lblOffset val="100"/>
        <c:noMultiLvlLbl val="0"/>
      </c:catAx>
      <c:valAx>
        <c:axId val="7207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0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NN1再投資累積報酬!$A$12:$B$12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NN1再投資累積報酬!$C$12:$EF$12</c:f>
              <c:numCache>
                <c:formatCode>General</c:formatCode>
                <c:ptCount val="134"/>
                <c:pt idx="0">
                  <c:v>-1.4499246984096104E-2</c:v>
                </c:pt>
                <c:pt idx="1">
                  <c:v>-3.3523429756598944E-5</c:v>
                </c:pt>
                <c:pt idx="2">
                  <c:v>-1.4272012481962859E-3</c:v>
                </c:pt>
                <c:pt idx="3">
                  <c:v>-5.7306720728842353E-2</c:v>
                </c:pt>
                <c:pt idx="4">
                  <c:v>-2.7190075720468165E-2</c:v>
                </c:pt>
                <c:pt idx="5">
                  <c:v>-1.7851821925444877E-2</c:v>
                </c:pt>
                <c:pt idx="6">
                  <c:v>-2.6355410396380785E-2</c:v>
                </c:pt>
                <c:pt idx="7">
                  <c:v>-1.9160377784998461E-2</c:v>
                </c:pt>
                <c:pt idx="8">
                  <c:v>9.4683672776711969E-3</c:v>
                </c:pt>
                <c:pt idx="9">
                  <c:v>1.8309852466528165E-2</c:v>
                </c:pt>
                <c:pt idx="10">
                  <c:v>4.5691363105567984E-2</c:v>
                </c:pt>
                <c:pt idx="11">
                  <c:v>9.4023653023860287E-3</c:v>
                </c:pt>
                <c:pt idx="12">
                  <c:v>3.7579589131704783E-2</c:v>
                </c:pt>
                <c:pt idx="13">
                  <c:v>5.980498096405884E-2</c:v>
                </c:pt>
                <c:pt idx="14">
                  <c:v>5.4383354243296766E-2</c:v>
                </c:pt>
                <c:pt idx="15">
                  <c:v>4.0514534749396924E-2</c:v>
                </c:pt>
                <c:pt idx="16">
                  <c:v>5.2017453910643718E-2</c:v>
                </c:pt>
                <c:pt idx="17">
                  <c:v>1.6597808363079114E-3</c:v>
                </c:pt>
                <c:pt idx="18">
                  <c:v>3.0185554511075186E-3</c:v>
                </c:pt>
                <c:pt idx="19">
                  <c:v>1.2558218445752223E-2</c:v>
                </c:pt>
                <c:pt idx="20">
                  <c:v>-1.0000001068491415E-2</c:v>
                </c:pt>
                <c:pt idx="21">
                  <c:v>-0.11854434478520326</c:v>
                </c:pt>
                <c:pt idx="22">
                  <c:v>-0.10038777432187995</c:v>
                </c:pt>
                <c:pt idx="23">
                  <c:v>-0.14820404158657086</c:v>
                </c:pt>
                <c:pt idx="24">
                  <c:v>-0.1252749896092884</c:v>
                </c:pt>
                <c:pt idx="25">
                  <c:v>-0.11588627775978122</c:v>
                </c:pt>
                <c:pt idx="26">
                  <c:v>-0.15723888081759863</c:v>
                </c:pt>
                <c:pt idx="27">
                  <c:v>-0.15937142869417309</c:v>
                </c:pt>
                <c:pt idx="28">
                  <c:v>-0.12033455727770148</c:v>
                </c:pt>
                <c:pt idx="29">
                  <c:v>-0.16608780669374457</c:v>
                </c:pt>
                <c:pt idx="30">
                  <c:v>-0.16926912368827285</c:v>
                </c:pt>
                <c:pt idx="31">
                  <c:v>-0.18040573953252648</c:v>
                </c:pt>
                <c:pt idx="32">
                  <c:v>-0.19639278712419173</c:v>
                </c:pt>
                <c:pt idx="33">
                  <c:v>-0.20682662030235976</c:v>
                </c:pt>
                <c:pt idx="34">
                  <c:v>-0.21989444379846057</c:v>
                </c:pt>
                <c:pt idx="35">
                  <c:v>-0.25718387159923195</c:v>
                </c:pt>
                <c:pt idx="36">
                  <c:v>-0.27953232351719981</c:v>
                </c:pt>
                <c:pt idx="37">
                  <c:v>-0.32941263097838491</c:v>
                </c:pt>
                <c:pt idx="38">
                  <c:v>-0.33090723143895295</c:v>
                </c:pt>
                <c:pt idx="39">
                  <c:v>-0.30834653077756957</c:v>
                </c:pt>
                <c:pt idx="40">
                  <c:v>-0.3095202186985474</c:v>
                </c:pt>
                <c:pt idx="41">
                  <c:v>-0.29417566857477828</c:v>
                </c:pt>
                <c:pt idx="42">
                  <c:v>-0.28007592910344781</c:v>
                </c:pt>
                <c:pt idx="43">
                  <c:v>-0.22810073554034971</c:v>
                </c:pt>
                <c:pt idx="44">
                  <c:v>-0.2252342594937351</c:v>
                </c:pt>
                <c:pt idx="45">
                  <c:v>-0.18361722913122069</c:v>
                </c:pt>
                <c:pt idx="46">
                  <c:v>-0.19763428028096652</c:v>
                </c:pt>
                <c:pt idx="47">
                  <c:v>-0.23349682809617123</c:v>
                </c:pt>
                <c:pt idx="48">
                  <c:v>-0.22008967456375184</c:v>
                </c:pt>
                <c:pt idx="49">
                  <c:v>-0.23850690840793298</c:v>
                </c:pt>
                <c:pt idx="50">
                  <c:v>-0.25863646799018114</c:v>
                </c:pt>
                <c:pt idx="51">
                  <c:v>-0.24731243269016201</c:v>
                </c:pt>
                <c:pt idx="52">
                  <c:v>-0.26740239117789044</c:v>
                </c:pt>
                <c:pt idx="53">
                  <c:v>-0.23133371866126817</c:v>
                </c:pt>
                <c:pt idx="54">
                  <c:v>-0.26638353190350073</c:v>
                </c:pt>
                <c:pt idx="55">
                  <c:v>-0.28369739255373816</c:v>
                </c:pt>
                <c:pt idx="56">
                  <c:v>-0.27653164303707023</c:v>
                </c:pt>
                <c:pt idx="57">
                  <c:v>-0.30191061567547917</c:v>
                </c:pt>
                <c:pt idx="58">
                  <c:v>-0.28736380726963151</c:v>
                </c:pt>
                <c:pt idx="59">
                  <c:v>-0.28679655362068657</c:v>
                </c:pt>
                <c:pt idx="60">
                  <c:v>-0.28726540179493809</c:v>
                </c:pt>
                <c:pt idx="61">
                  <c:v>-0.30487653619363919</c:v>
                </c:pt>
                <c:pt idx="62">
                  <c:v>-0.26990787451863585</c:v>
                </c:pt>
                <c:pt idx="63">
                  <c:v>-0.27831600640884402</c:v>
                </c:pt>
                <c:pt idx="64">
                  <c:v>-0.29581418042441532</c:v>
                </c:pt>
                <c:pt idx="65">
                  <c:v>-0.28841390199429906</c:v>
                </c:pt>
                <c:pt idx="66">
                  <c:v>-0.29830263583046523</c:v>
                </c:pt>
                <c:pt idx="67">
                  <c:v>-0.29988917950258021</c:v>
                </c:pt>
                <c:pt idx="68">
                  <c:v>-0.28668278369394717</c:v>
                </c:pt>
                <c:pt idx="69">
                  <c:v>-0.27500950201464958</c:v>
                </c:pt>
                <c:pt idx="70">
                  <c:v>-0.26274627525379168</c:v>
                </c:pt>
                <c:pt idx="71">
                  <c:v>-0.29391912409856202</c:v>
                </c:pt>
                <c:pt idx="72">
                  <c:v>-0.32532348596385008</c:v>
                </c:pt>
                <c:pt idx="73">
                  <c:v>-0.33003620521886567</c:v>
                </c:pt>
                <c:pt idx="74">
                  <c:v>-0.29055529482981723</c:v>
                </c:pt>
                <c:pt idx="75">
                  <c:v>-0.25837704986645205</c:v>
                </c:pt>
                <c:pt idx="76">
                  <c:v>-0.24756375464011737</c:v>
                </c:pt>
                <c:pt idx="77">
                  <c:v>-0.22711715534820409</c:v>
                </c:pt>
                <c:pt idx="78">
                  <c:v>-0.17644228655231264</c:v>
                </c:pt>
                <c:pt idx="79">
                  <c:v>-8.5082036933057492E-2</c:v>
                </c:pt>
                <c:pt idx="80">
                  <c:v>5.5821876760924871E-2</c:v>
                </c:pt>
                <c:pt idx="81">
                  <c:v>6.4290913872237176E-2</c:v>
                </c:pt>
                <c:pt idx="82">
                  <c:v>1.1844828829370657E-2</c:v>
                </c:pt>
                <c:pt idx="83">
                  <c:v>-4.813286297540631E-3</c:v>
                </c:pt>
                <c:pt idx="84">
                  <c:v>-2.9037354159394124E-2</c:v>
                </c:pt>
                <c:pt idx="85">
                  <c:v>2.3511209204683414E-2</c:v>
                </c:pt>
                <c:pt idx="86">
                  <c:v>8.0931662560227879E-2</c:v>
                </c:pt>
                <c:pt idx="87">
                  <c:v>0.16572024514148676</c:v>
                </c:pt>
                <c:pt idx="88">
                  <c:v>0.19644157917300431</c:v>
                </c:pt>
                <c:pt idx="89">
                  <c:v>0.16855581617682436</c:v>
                </c:pt>
                <c:pt idx="90">
                  <c:v>0.13955251176058603</c:v>
                </c:pt>
                <c:pt idx="91">
                  <c:v>0.14069778714573333</c:v>
                </c:pt>
                <c:pt idx="92">
                  <c:v>6.9193891230080462E-2</c:v>
                </c:pt>
                <c:pt idx="93">
                  <c:v>0.13030899964167642</c:v>
                </c:pt>
                <c:pt idx="94">
                  <c:v>0.11390899314431291</c:v>
                </c:pt>
                <c:pt idx="95">
                  <c:v>0.10351726571482978</c:v>
                </c:pt>
                <c:pt idx="96">
                  <c:v>2.0996764030825066E-2</c:v>
                </c:pt>
                <c:pt idx="97">
                  <c:v>8.7395559517148058E-2</c:v>
                </c:pt>
                <c:pt idx="98">
                  <c:v>0.10157157591030663</c:v>
                </c:pt>
                <c:pt idx="99">
                  <c:v>0.16875629693116512</c:v>
                </c:pt>
                <c:pt idx="100">
                  <c:v>0.18794797219515225</c:v>
                </c:pt>
                <c:pt idx="101">
                  <c:v>0.28036120971045353</c:v>
                </c:pt>
                <c:pt idx="102">
                  <c:v>0.32770707337792326</c:v>
                </c:pt>
                <c:pt idx="103">
                  <c:v>0.44584891055728959</c:v>
                </c:pt>
                <c:pt idx="104">
                  <c:v>0.43934061862182139</c:v>
                </c:pt>
                <c:pt idx="105">
                  <c:v>0.38307475477401787</c:v>
                </c:pt>
                <c:pt idx="106">
                  <c:v>0.34886074329092343</c:v>
                </c:pt>
                <c:pt idx="107">
                  <c:v>0.36454033178535372</c:v>
                </c:pt>
                <c:pt idx="108">
                  <c:v>0.29986873196981834</c:v>
                </c:pt>
                <c:pt idx="109">
                  <c:v>0.37941475417498216</c:v>
                </c:pt>
                <c:pt idx="110">
                  <c:v>0.46183342069108679</c:v>
                </c:pt>
                <c:pt idx="111">
                  <c:v>0.47361959627751582</c:v>
                </c:pt>
                <c:pt idx="112">
                  <c:v>0.45012132726822185</c:v>
                </c:pt>
                <c:pt idx="113">
                  <c:v>0.47719485076211288</c:v>
                </c:pt>
                <c:pt idx="114">
                  <c:v>0.49070157203237996</c:v>
                </c:pt>
                <c:pt idx="115">
                  <c:v>0.51834133094388291</c:v>
                </c:pt>
                <c:pt idx="116">
                  <c:v>0.48944618965677145</c:v>
                </c:pt>
                <c:pt idx="117">
                  <c:v>0.40096013591687063</c:v>
                </c:pt>
                <c:pt idx="118">
                  <c:v>0.5053886115424453</c:v>
                </c:pt>
                <c:pt idx="119">
                  <c:v>0.53365821889203602</c:v>
                </c:pt>
                <c:pt idx="120">
                  <c:v>0.60424373265682596</c:v>
                </c:pt>
                <c:pt idx="121">
                  <c:v>0.53157488711873913</c:v>
                </c:pt>
                <c:pt idx="122">
                  <c:v>0.44392250534302202</c:v>
                </c:pt>
                <c:pt idx="123">
                  <c:v>0.41973472194427908</c:v>
                </c:pt>
                <c:pt idx="124">
                  <c:v>0.48357671699782512</c:v>
                </c:pt>
                <c:pt idx="125">
                  <c:v>0.51042817491991954</c:v>
                </c:pt>
                <c:pt idx="126">
                  <c:v>0.60517464893449446</c:v>
                </c:pt>
                <c:pt idx="127">
                  <c:v>0.6373405673536634</c:v>
                </c:pt>
                <c:pt idx="128">
                  <c:v>0.72100490105100445</c:v>
                </c:pt>
                <c:pt idx="129">
                  <c:v>0.73096292224263593</c:v>
                </c:pt>
                <c:pt idx="130">
                  <c:v>0.71398902770366957</c:v>
                </c:pt>
                <c:pt idx="131">
                  <c:v>0.70206352054616428</c:v>
                </c:pt>
                <c:pt idx="132">
                  <c:v>0.65694745470189742</c:v>
                </c:pt>
                <c:pt idx="133">
                  <c:v>0.70538565552023202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1-E046-A78F-19864830C258}"/>
            </c:ext>
          </c:extLst>
        </c:ser>
        <c:ser>
          <c:idx val="1"/>
          <c:order val="1"/>
          <c:tx>
            <c:strRef>
              <c:f>NN1再投資累積報酬!$A$13:$B$13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NN1再投資累積報酬!$C$13:$EF$13</c:f>
              <c:numCache>
                <c:formatCode>General</c:formatCode>
                <c:ptCount val="134"/>
                <c:pt idx="0">
                  <c:v>7.4773642018863828E-3</c:v>
                </c:pt>
                <c:pt idx="1">
                  <c:v>1.9797012835596206E-3</c:v>
                </c:pt>
                <c:pt idx="2">
                  <c:v>-3.5548605506010578E-3</c:v>
                </c:pt>
                <c:pt idx="3">
                  <c:v>-6.3328143506215739E-2</c:v>
                </c:pt>
                <c:pt idx="4">
                  <c:v>-5.2043678954504236E-2</c:v>
                </c:pt>
                <c:pt idx="5">
                  <c:v>-3.5560247559001112E-2</c:v>
                </c:pt>
                <c:pt idx="6">
                  <c:v>-4.422353732101425E-3</c:v>
                </c:pt>
                <c:pt idx="7">
                  <c:v>1.8476338977425621E-2</c:v>
                </c:pt>
                <c:pt idx="8">
                  <c:v>7.9917084402563843E-2</c:v>
                </c:pt>
                <c:pt idx="9">
                  <c:v>0.10365416988775111</c:v>
                </c:pt>
                <c:pt idx="10">
                  <c:v>0.10727388873010479</c:v>
                </c:pt>
                <c:pt idx="11">
                  <c:v>5.9226597901462563E-2</c:v>
                </c:pt>
                <c:pt idx="12">
                  <c:v>7.7681183889247052E-2</c:v>
                </c:pt>
                <c:pt idx="13">
                  <c:v>0.10015828664953763</c:v>
                </c:pt>
                <c:pt idx="14">
                  <c:v>0.11936307270815161</c:v>
                </c:pt>
                <c:pt idx="15">
                  <c:v>0.10088159241787853</c:v>
                </c:pt>
                <c:pt idx="16">
                  <c:v>9.4261107386998333E-2</c:v>
                </c:pt>
                <c:pt idx="17">
                  <c:v>1.3029639146123984E-2</c:v>
                </c:pt>
                <c:pt idx="18">
                  <c:v>-1.6106441203387667E-2</c:v>
                </c:pt>
                <c:pt idx="19">
                  <c:v>-1.3925503480601398E-2</c:v>
                </c:pt>
                <c:pt idx="20">
                  <c:v>-4.4595465206380025E-2</c:v>
                </c:pt>
                <c:pt idx="21">
                  <c:v>-0.16032148676852842</c:v>
                </c:pt>
                <c:pt idx="22">
                  <c:v>-0.16593335948742671</c:v>
                </c:pt>
                <c:pt idx="23">
                  <c:v>-0.23370244349162184</c:v>
                </c:pt>
                <c:pt idx="24">
                  <c:v>-0.19714035756964576</c:v>
                </c:pt>
                <c:pt idx="25">
                  <c:v>-0.18509619977084935</c:v>
                </c:pt>
                <c:pt idx="26">
                  <c:v>-0.23950871215984615</c:v>
                </c:pt>
                <c:pt idx="27">
                  <c:v>-0.25505332775957845</c:v>
                </c:pt>
                <c:pt idx="28">
                  <c:v>-0.19763923234409353</c:v>
                </c:pt>
                <c:pt idx="29">
                  <c:v>-0.2564371608010132</c:v>
                </c:pt>
                <c:pt idx="30">
                  <c:v>-0.24907201642061427</c:v>
                </c:pt>
                <c:pt idx="31">
                  <c:v>-0.25631196785474908</c:v>
                </c:pt>
                <c:pt idx="32">
                  <c:v>-0.26528646042215054</c:v>
                </c:pt>
                <c:pt idx="33">
                  <c:v>-0.25332497869107351</c:v>
                </c:pt>
                <c:pt idx="34">
                  <c:v>-0.2819669772479344</c:v>
                </c:pt>
                <c:pt idx="35">
                  <c:v>-0.31733648319436092</c:v>
                </c:pt>
                <c:pt idx="36">
                  <c:v>-0.34893181886557101</c:v>
                </c:pt>
                <c:pt idx="37">
                  <c:v>-0.41750898542725501</c:v>
                </c:pt>
                <c:pt idx="38">
                  <c:v>-0.42293266871366275</c:v>
                </c:pt>
                <c:pt idx="39">
                  <c:v>-0.38856782419010605</c:v>
                </c:pt>
                <c:pt idx="40">
                  <c:v>-0.38999862082501568</c:v>
                </c:pt>
                <c:pt idx="41">
                  <c:v>-0.37728128535713368</c:v>
                </c:pt>
                <c:pt idx="42">
                  <c:v>-0.36270657654424698</c:v>
                </c:pt>
                <c:pt idx="43">
                  <c:v>-0.30762982135247052</c:v>
                </c:pt>
                <c:pt idx="44">
                  <c:v>-0.31849686101235497</c:v>
                </c:pt>
                <c:pt idx="45">
                  <c:v>-0.26420424853740931</c:v>
                </c:pt>
                <c:pt idx="46">
                  <c:v>-0.28393920148498275</c:v>
                </c:pt>
                <c:pt idx="47">
                  <c:v>-0.30742587547534217</c:v>
                </c:pt>
                <c:pt idx="48">
                  <c:v>-0.29754824209056341</c:v>
                </c:pt>
                <c:pt idx="49">
                  <c:v>-0.31947916255250719</c:v>
                </c:pt>
                <c:pt idx="50">
                  <c:v>-0.33730082874075495</c:v>
                </c:pt>
                <c:pt idx="51">
                  <c:v>-0.30888735359428865</c:v>
                </c:pt>
                <c:pt idx="52">
                  <c:v>-0.32209511565171312</c:v>
                </c:pt>
                <c:pt idx="53">
                  <c:v>-0.29384225738596914</c:v>
                </c:pt>
                <c:pt idx="54">
                  <c:v>-0.32635985046644922</c:v>
                </c:pt>
                <c:pt idx="55">
                  <c:v>-0.34407829856789496</c:v>
                </c:pt>
                <c:pt idx="56">
                  <c:v>-0.33861386953340578</c:v>
                </c:pt>
                <c:pt idx="57">
                  <c:v>-0.36574634675995155</c:v>
                </c:pt>
                <c:pt idx="58">
                  <c:v>-0.34936185712645018</c:v>
                </c:pt>
                <c:pt idx="59">
                  <c:v>-0.33840050038491321</c:v>
                </c:pt>
                <c:pt idx="60">
                  <c:v>-0.34427444268038387</c:v>
                </c:pt>
                <c:pt idx="61">
                  <c:v>-0.36522347112383735</c:v>
                </c:pt>
                <c:pt idx="62">
                  <c:v>-0.33134432505152278</c:v>
                </c:pt>
                <c:pt idx="63">
                  <c:v>-0.33873466989903189</c:v>
                </c:pt>
                <c:pt idx="64">
                  <c:v>-0.35915369438225431</c:v>
                </c:pt>
                <c:pt idx="65">
                  <c:v>-0.36519860257018821</c:v>
                </c:pt>
                <c:pt idx="66">
                  <c:v>-0.3916400256709488</c:v>
                </c:pt>
                <c:pt idx="67">
                  <c:v>-0.3957047326397275</c:v>
                </c:pt>
                <c:pt idx="68">
                  <c:v>-0.39122118092036995</c:v>
                </c:pt>
                <c:pt idx="69">
                  <c:v>-0.39090396352091872</c:v>
                </c:pt>
                <c:pt idx="70">
                  <c:v>-0.38144642799606709</c:v>
                </c:pt>
                <c:pt idx="71">
                  <c:v>-0.43088793094252997</c:v>
                </c:pt>
                <c:pt idx="72">
                  <c:v>-0.47397768534704965</c:v>
                </c:pt>
                <c:pt idx="73">
                  <c:v>-0.47436990799768208</c:v>
                </c:pt>
                <c:pt idx="74">
                  <c:v>-0.45376417995641971</c:v>
                </c:pt>
                <c:pt idx="75">
                  <c:v>-0.41217480987068034</c:v>
                </c:pt>
                <c:pt idx="76">
                  <c:v>-0.39805984118807203</c:v>
                </c:pt>
                <c:pt idx="77">
                  <c:v>-0.38239893562631078</c:v>
                </c:pt>
                <c:pt idx="78">
                  <c:v>-0.30821398244262743</c:v>
                </c:pt>
                <c:pt idx="79">
                  <c:v>-0.23551707260434473</c:v>
                </c:pt>
                <c:pt idx="80">
                  <c:v>-9.498391207451562E-2</c:v>
                </c:pt>
                <c:pt idx="81">
                  <c:v>-0.10588362448076183</c:v>
                </c:pt>
                <c:pt idx="82">
                  <c:v>-0.15775575722243596</c:v>
                </c:pt>
                <c:pt idx="83">
                  <c:v>-0.16114958550120084</c:v>
                </c:pt>
                <c:pt idx="84">
                  <c:v>-0.16777244933207125</c:v>
                </c:pt>
                <c:pt idx="85">
                  <c:v>-0.12215790691405348</c:v>
                </c:pt>
                <c:pt idx="86">
                  <c:v>-6.4494982503207288E-2</c:v>
                </c:pt>
                <c:pt idx="87">
                  <c:v>3.5388482459441928E-3</c:v>
                </c:pt>
                <c:pt idx="88">
                  <c:v>1.7599164882998286E-2</c:v>
                </c:pt>
                <c:pt idx="89">
                  <c:v>-1.306177635436967E-2</c:v>
                </c:pt>
                <c:pt idx="90">
                  <c:v>-4.793459113501719E-2</c:v>
                </c:pt>
                <c:pt idx="91">
                  <c:v>-6.7525236997556637E-2</c:v>
                </c:pt>
                <c:pt idx="92">
                  <c:v>-0.13389773223975199</c:v>
                </c:pt>
                <c:pt idx="93">
                  <c:v>-3.7201842961787635E-2</c:v>
                </c:pt>
                <c:pt idx="94">
                  <c:v>-3.3400755954390737E-2</c:v>
                </c:pt>
                <c:pt idx="95">
                  <c:v>-3.3005861387473856E-2</c:v>
                </c:pt>
                <c:pt idx="96">
                  <c:v>-0.13656219366293953</c:v>
                </c:pt>
                <c:pt idx="97">
                  <c:v>-6.951102311682078E-2</c:v>
                </c:pt>
                <c:pt idx="98">
                  <c:v>-3.5725787423128263E-2</c:v>
                </c:pt>
                <c:pt idx="99">
                  <c:v>2.2162732501900262E-2</c:v>
                </c:pt>
                <c:pt idx="100">
                  <c:v>6.4277627791613945E-2</c:v>
                </c:pt>
                <c:pt idx="101">
                  <c:v>0.12518008528164581</c:v>
                </c:pt>
                <c:pt idx="102">
                  <c:v>0.18081548192471253</c:v>
                </c:pt>
                <c:pt idx="103">
                  <c:v>0.30625970985085504</c:v>
                </c:pt>
                <c:pt idx="104">
                  <c:v>0.28777630891460526</c:v>
                </c:pt>
                <c:pt idx="105">
                  <c:v>0.22157650437711762</c:v>
                </c:pt>
                <c:pt idx="106">
                  <c:v>0.1941618888278478</c:v>
                </c:pt>
                <c:pt idx="107">
                  <c:v>0.21478701355376151</c:v>
                </c:pt>
                <c:pt idx="108">
                  <c:v>0.12812925844269207</c:v>
                </c:pt>
                <c:pt idx="109">
                  <c:v>0.22821768534328557</c:v>
                </c:pt>
                <c:pt idx="110">
                  <c:v>0.33844791969468546</c:v>
                </c:pt>
                <c:pt idx="111">
                  <c:v>0.3339885375672893</c:v>
                </c:pt>
                <c:pt idx="112">
                  <c:v>0.35054210033676036</c:v>
                </c:pt>
                <c:pt idx="113">
                  <c:v>0.38032248643902178</c:v>
                </c:pt>
                <c:pt idx="114">
                  <c:v>0.36423359327772031</c:v>
                </c:pt>
                <c:pt idx="115">
                  <c:v>0.38166289089880245</c:v>
                </c:pt>
                <c:pt idx="116">
                  <c:v>0.32042049062522926</c:v>
                </c:pt>
                <c:pt idx="117">
                  <c:v>0.24379344084765409</c:v>
                </c:pt>
                <c:pt idx="118">
                  <c:v>0.35216393372527377</c:v>
                </c:pt>
                <c:pt idx="119">
                  <c:v>0.37078486622707696</c:v>
                </c:pt>
                <c:pt idx="120">
                  <c:v>0.41179216128355689</c:v>
                </c:pt>
                <c:pt idx="121">
                  <c:v>0.36177758716119235</c:v>
                </c:pt>
                <c:pt idx="122">
                  <c:v>0.31683081286008297</c:v>
                </c:pt>
                <c:pt idx="123">
                  <c:v>0.30385633595606021</c:v>
                </c:pt>
                <c:pt idx="124">
                  <c:v>0.3586554348081159</c:v>
                </c:pt>
                <c:pt idx="125">
                  <c:v>0.39021647007028926</c:v>
                </c:pt>
                <c:pt idx="126">
                  <c:v>0.40342995601447829</c:v>
                </c:pt>
                <c:pt idx="127">
                  <c:v>0.44593318515984248</c:v>
                </c:pt>
                <c:pt idx="128">
                  <c:v>0.53575226522776198</c:v>
                </c:pt>
                <c:pt idx="129">
                  <c:v>0.53606098342791175</c:v>
                </c:pt>
                <c:pt idx="130">
                  <c:v>0.50722140646278224</c:v>
                </c:pt>
                <c:pt idx="131">
                  <c:v>0.51789853150571852</c:v>
                </c:pt>
                <c:pt idx="132">
                  <c:v>0.45530893424566243</c:v>
                </c:pt>
                <c:pt idx="133">
                  <c:v>0.52008916147361184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61-E046-A78F-19864830C258}"/>
            </c:ext>
          </c:extLst>
        </c:ser>
        <c:ser>
          <c:idx val="2"/>
          <c:order val="2"/>
          <c:tx>
            <c:strRef>
              <c:f>NN1再投資累積報酬!$A$14:$B$14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NN1再投資累積報酬!$C$14:$EF$14</c:f>
              <c:numCache>
                <c:formatCode>General</c:formatCode>
                <c:ptCount val="134"/>
                <c:pt idx="0">
                  <c:v>3.3228977675766158E-2</c:v>
                </c:pt>
                <c:pt idx="1">
                  <c:v>-0.11312134471917445</c:v>
                </c:pt>
                <c:pt idx="2">
                  <c:v>-0.15562123150347662</c:v>
                </c:pt>
                <c:pt idx="3">
                  <c:v>-0.20657265485676668</c:v>
                </c:pt>
                <c:pt idx="4">
                  <c:v>-0.16400001701521971</c:v>
                </c:pt>
                <c:pt idx="5">
                  <c:v>-0.17362092290013953</c:v>
                </c:pt>
                <c:pt idx="6">
                  <c:v>-0.14874680088114089</c:v>
                </c:pt>
                <c:pt idx="7">
                  <c:v>-0.11024327878487594</c:v>
                </c:pt>
                <c:pt idx="8">
                  <c:v>-6.5019199056951638E-2</c:v>
                </c:pt>
                <c:pt idx="9">
                  <c:v>-1.240681495593654E-2</c:v>
                </c:pt>
                <c:pt idx="10">
                  <c:v>-3.1192530529408846E-2</c:v>
                </c:pt>
                <c:pt idx="11">
                  <c:v>-8.6772459593977058E-2</c:v>
                </c:pt>
                <c:pt idx="12">
                  <c:v>-8.5407725107893073E-2</c:v>
                </c:pt>
                <c:pt idx="13">
                  <c:v>-3.2044995668303433E-2</c:v>
                </c:pt>
                <c:pt idx="14">
                  <c:v>4.4711568819553182E-2</c:v>
                </c:pt>
                <c:pt idx="15">
                  <c:v>6.3268058133399308E-2</c:v>
                </c:pt>
                <c:pt idx="16">
                  <c:v>3.6891837386733739E-2</c:v>
                </c:pt>
                <c:pt idx="17">
                  <c:v>5.8034683002716747E-4</c:v>
                </c:pt>
                <c:pt idx="18">
                  <c:v>-2.9993555676382178E-2</c:v>
                </c:pt>
                <c:pt idx="19">
                  <c:v>-8.0842554650323417E-2</c:v>
                </c:pt>
                <c:pt idx="20">
                  <c:v>-0.14886770536866178</c:v>
                </c:pt>
                <c:pt idx="21">
                  <c:v>-0.30776192984834383</c:v>
                </c:pt>
                <c:pt idx="22">
                  <c:v>-0.34596723523329687</c:v>
                </c:pt>
                <c:pt idx="23">
                  <c:v>-0.42229549572678238</c:v>
                </c:pt>
                <c:pt idx="24">
                  <c:v>-0.36457941913780068</c:v>
                </c:pt>
                <c:pt idx="25">
                  <c:v>-0.34720957573382283</c:v>
                </c:pt>
                <c:pt idx="26">
                  <c:v>-0.34519469739516062</c:v>
                </c:pt>
                <c:pt idx="27">
                  <c:v>-0.39094895058067991</c:v>
                </c:pt>
                <c:pt idx="28">
                  <c:v>-0.31978930194147126</c:v>
                </c:pt>
                <c:pt idx="29">
                  <c:v>-0.38514401074155813</c:v>
                </c:pt>
                <c:pt idx="30">
                  <c:v>-0.36957014200037963</c:v>
                </c:pt>
                <c:pt idx="31">
                  <c:v>-0.37288007397056711</c:v>
                </c:pt>
                <c:pt idx="32">
                  <c:v>-0.41807845762470608</c:v>
                </c:pt>
                <c:pt idx="33">
                  <c:v>-0.4268416351288985</c:v>
                </c:pt>
                <c:pt idx="34">
                  <c:v>-0.47124727376084252</c:v>
                </c:pt>
                <c:pt idx="35">
                  <c:v>-0.49833537267097183</c:v>
                </c:pt>
                <c:pt idx="36">
                  <c:v>-0.52905840124412717</c:v>
                </c:pt>
                <c:pt idx="37">
                  <c:v>-0.57549073124137862</c:v>
                </c:pt>
                <c:pt idx="38">
                  <c:v>-0.60134576773172776</c:v>
                </c:pt>
                <c:pt idx="39">
                  <c:v>-0.57344932982042218</c:v>
                </c:pt>
                <c:pt idx="40">
                  <c:v>-0.56076653644260399</c:v>
                </c:pt>
                <c:pt idx="41">
                  <c:v>-0.55743596451842703</c:v>
                </c:pt>
                <c:pt idx="42">
                  <c:v>-0.56038757383016014</c:v>
                </c:pt>
                <c:pt idx="43">
                  <c:v>-0.52548081746823894</c:v>
                </c:pt>
                <c:pt idx="44">
                  <c:v>-0.55272847438281281</c:v>
                </c:pt>
                <c:pt idx="45">
                  <c:v>-0.52309282253537026</c:v>
                </c:pt>
                <c:pt idx="46">
                  <c:v>-0.54881179768488619</c:v>
                </c:pt>
                <c:pt idx="47">
                  <c:v>-0.55755140943623394</c:v>
                </c:pt>
                <c:pt idx="48">
                  <c:v>-0.55680341831501279</c:v>
                </c:pt>
                <c:pt idx="49">
                  <c:v>-0.58386969082581586</c:v>
                </c:pt>
                <c:pt idx="50">
                  <c:v>-0.61170457711467319</c:v>
                </c:pt>
                <c:pt idx="51">
                  <c:v>-0.58773343797831079</c:v>
                </c:pt>
                <c:pt idx="52">
                  <c:v>-0.57598149784397357</c:v>
                </c:pt>
                <c:pt idx="53">
                  <c:v>-0.56901958269060027</c:v>
                </c:pt>
                <c:pt idx="54">
                  <c:v>-0.57941401376162815</c:v>
                </c:pt>
                <c:pt idx="55">
                  <c:v>-0.58161874763759425</c:v>
                </c:pt>
                <c:pt idx="56">
                  <c:v>-0.57722706569174376</c:v>
                </c:pt>
                <c:pt idx="57">
                  <c:v>-0.60826429136031734</c:v>
                </c:pt>
                <c:pt idx="58">
                  <c:v>-0.59562262954214384</c:v>
                </c:pt>
                <c:pt idx="59">
                  <c:v>-0.5875281172701039</c:v>
                </c:pt>
                <c:pt idx="60">
                  <c:v>-0.60142488065604316</c:v>
                </c:pt>
                <c:pt idx="61">
                  <c:v>-0.62523486820458229</c:v>
                </c:pt>
                <c:pt idx="62">
                  <c:v>-0.60789136563556179</c:v>
                </c:pt>
                <c:pt idx="63">
                  <c:v>-0.61610076298750904</c:v>
                </c:pt>
                <c:pt idx="64">
                  <c:v>-0.62900324997972878</c:v>
                </c:pt>
                <c:pt idx="65">
                  <c:v>-0.6348181541663005</c:v>
                </c:pt>
                <c:pt idx="66">
                  <c:v>-0.64060392145763934</c:v>
                </c:pt>
                <c:pt idx="67">
                  <c:v>-0.65064164890758747</c:v>
                </c:pt>
                <c:pt idx="68">
                  <c:v>-0.66513790865719979</c:v>
                </c:pt>
                <c:pt idx="69">
                  <c:v>-0.67542704071226778</c:v>
                </c:pt>
                <c:pt idx="70">
                  <c:v>-0.66958391155553054</c:v>
                </c:pt>
                <c:pt idx="71">
                  <c:v>-0.70526278042131829</c:v>
                </c:pt>
                <c:pt idx="72">
                  <c:v>-0.74384314814323971</c:v>
                </c:pt>
                <c:pt idx="73">
                  <c:v>-0.74017106403456934</c:v>
                </c:pt>
                <c:pt idx="74">
                  <c:v>-0.75124094324854918</c:v>
                </c:pt>
                <c:pt idx="75">
                  <c:v>-0.73630692789885832</c:v>
                </c:pt>
                <c:pt idx="76">
                  <c:v>-0.72748517332179385</c:v>
                </c:pt>
                <c:pt idx="77">
                  <c:v>-0.71127679254457066</c:v>
                </c:pt>
                <c:pt idx="78">
                  <c:v>-0.67645815655764996</c:v>
                </c:pt>
                <c:pt idx="79">
                  <c:v>-0.64474564953803259</c:v>
                </c:pt>
                <c:pt idx="80">
                  <c:v>-0.58415529988778392</c:v>
                </c:pt>
                <c:pt idx="81">
                  <c:v>-0.60198564362214269</c:v>
                </c:pt>
                <c:pt idx="82">
                  <c:v>-0.62480009067904185</c:v>
                </c:pt>
                <c:pt idx="83">
                  <c:v>-0.64313973860179607</c:v>
                </c:pt>
                <c:pt idx="84">
                  <c:v>-0.64450585602878552</c:v>
                </c:pt>
                <c:pt idx="85">
                  <c:v>-0.63817944088123535</c:v>
                </c:pt>
                <c:pt idx="86">
                  <c:v>-0.61871635806257741</c:v>
                </c:pt>
                <c:pt idx="87">
                  <c:v>-0.56634950132338768</c:v>
                </c:pt>
                <c:pt idx="88">
                  <c:v>-0.56855986426273086</c:v>
                </c:pt>
                <c:pt idx="89">
                  <c:v>-0.57693027975092082</c:v>
                </c:pt>
                <c:pt idx="90">
                  <c:v>-0.6102528411176481</c:v>
                </c:pt>
                <c:pt idx="91">
                  <c:v>-0.64675630969996489</c:v>
                </c:pt>
                <c:pt idx="92">
                  <c:v>-0.65814061198680585</c:v>
                </c:pt>
                <c:pt idx="93">
                  <c:v>-0.58712967816229034</c:v>
                </c:pt>
                <c:pt idx="94">
                  <c:v>-0.58870482190013507</c:v>
                </c:pt>
                <c:pt idx="95">
                  <c:v>-0.59267870913929355</c:v>
                </c:pt>
                <c:pt idx="96">
                  <c:v>-0.63404014960211286</c:v>
                </c:pt>
                <c:pt idx="97">
                  <c:v>-0.57863498426135274</c:v>
                </c:pt>
                <c:pt idx="98">
                  <c:v>-0.55977304938839545</c:v>
                </c:pt>
                <c:pt idx="99">
                  <c:v>-0.54379307130452215</c:v>
                </c:pt>
                <c:pt idx="100">
                  <c:v>-0.49983245608352866</c:v>
                </c:pt>
                <c:pt idx="101">
                  <c:v>-0.46778994094803017</c:v>
                </c:pt>
                <c:pt idx="102">
                  <c:v>-0.43298735264489063</c:v>
                </c:pt>
                <c:pt idx="103">
                  <c:v>-0.37367326378759647</c:v>
                </c:pt>
                <c:pt idx="104">
                  <c:v>-0.40060440024794719</c:v>
                </c:pt>
                <c:pt idx="105">
                  <c:v>-0.43291116058470935</c:v>
                </c:pt>
                <c:pt idx="106">
                  <c:v>-0.46836948135174028</c:v>
                </c:pt>
                <c:pt idx="107">
                  <c:v>-0.4342492178281947</c:v>
                </c:pt>
                <c:pt idx="108">
                  <c:v>-0.48365329498908571</c:v>
                </c:pt>
                <c:pt idx="109">
                  <c:v>-0.45332175790576856</c:v>
                </c:pt>
                <c:pt idx="110">
                  <c:v>-0.40595384335318596</c:v>
                </c:pt>
                <c:pt idx="111">
                  <c:v>-0.40534570388673186</c:v>
                </c:pt>
                <c:pt idx="112">
                  <c:v>-0.39400501427237056</c:v>
                </c:pt>
                <c:pt idx="113">
                  <c:v>-0.36930776629826756</c:v>
                </c:pt>
                <c:pt idx="114">
                  <c:v>-0.38975601738903176</c:v>
                </c:pt>
                <c:pt idx="115">
                  <c:v>-0.41717778269953354</c:v>
                </c:pt>
                <c:pt idx="116">
                  <c:v>-0.45814351064621783</c:v>
                </c:pt>
                <c:pt idx="117">
                  <c:v>-0.49223430767555776</c:v>
                </c:pt>
                <c:pt idx="118">
                  <c:v>-0.45609532114651274</c:v>
                </c:pt>
                <c:pt idx="119">
                  <c:v>-0.42747368659970419</c:v>
                </c:pt>
                <c:pt idx="120">
                  <c:v>-0.37626821880058758</c:v>
                </c:pt>
                <c:pt idx="121">
                  <c:v>-0.40403485756150004</c:v>
                </c:pt>
                <c:pt idx="122">
                  <c:v>-0.44503503233363129</c:v>
                </c:pt>
                <c:pt idx="123">
                  <c:v>-0.47009348977781507</c:v>
                </c:pt>
                <c:pt idx="124">
                  <c:v>-0.46913441477394557</c:v>
                </c:pt>
                <c:pt idx="125">
                  <c:v>-0.45443490737998526</c:v>
                </c:pt>
                <c:pt idx="126">
                  <c:v>-0.42843273680991767</c:v>
                </c:pt>
                <c:pt idx="127">
                  <c:v>-0.41603110510097641</c:v>
                </c:pt>
                <c:pt idx="128">
                  <c:v>-0.35323954232490895</c:v>
                </c:pt>
                <c:pt idx="129">
                  <c:v>-0.36948003781737138</c:v>
                </c:pt>
                <c:pt idx="130">
                  <c:v>-0.38164253559104611</c:v>
                </c:pt>
                <c:pt idx="131">
                  <c:v>-0.40241833749616607</c:v>
                </c:pt>
                <c:pt idx="132">
                  <c:v>-0.40038700016698325</c:v>
                </c:pt>
                <c:pt idx="133">
                  <c:v>-0.38508235172492955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61-E046-A78F-19864830C258}"/>
            </c:ext>
          </c:extLst>
        </c:ser>
        <c:ser>
          <c:idx val="3"/>
          <c:order val="3"/>
          <c:tx>
            <c:strRef>
              <c:f>NN1再投資累積報酬!$A$15:$B$15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NN1再投資累積報酬!$C$15:$EF$15</c:f>
              <c:numCache>
                <c:formatCode>General</c:formatCode>
                <c:ptCount val="134"/>
                <c:pt idx="0">
                  <c:v>3.6350225217569587E-2</c:v>
                </c:pt>
                <c:pt idx="1">
                  <c:v>-0.24660952659279289</c:v>
                </c:pt>
                <c:pt idx="2">
                  <c:v>-0.31844124404539076</c:v>
                </c:pt>
                <c:pt idx="3">
                  <c:v>-0.29464023318966026</c:v>
                </c:pt>
                <c:pt idx="4">
                  <c:v>-0.27037309151898992</c:v>
                </c:pt>
                <c:pt idx="5">
                  <c:v>-0.27128054751776243</c:v>
                </c:pt>
                <c:pt idx="6">
                  <c:v>-0.21349812991141048</c:v>
                </c:pt>
                <c:pt idx="7">
                  <c:v>-0.16463968227089187</c:v>
                </c:pt>
                <c:pt idx="8">
                  <c:v>-8.5685770924394111E-2</c:v>
                </c:pt>
                <c:pt idx="9">
                  <c:v>-1.1469915257322993E-2</c:v>
                </c:pt>
                <c:pt idx="10">
                  <c:v>-1.3578466175844017E-2</c:v>
                </c:pt>
                <c:pt idx="11">
                  <c:v>-0.12188379668873961</c:v>
                </c:pt>
                <c:pt idx="12">
                  <c:v>-0.13265898127237463</c:v>
                </c:pt>
                <c:pt idx="13">
                  <c:v>-7.7048385773439754E-2</c:v>
                </c:pt>
                <c:pt idx="14">
                  <c:v>-3.4686077494465839E-2</c:v>
                </c:pt>
                <c:pt idx="15">
                  <c:v>8.7610565335083379E-2</c:v>
                </c:pt>
                <c:pt idx="16">
                  <c:v>0.18058809793127018</c:v>
                </c:pt>
                <c:pt idx="17">
                  <c:v>0.12640963848547648</c:v>
                </c:pt>
                <c:pt idx="18">
                  <c:v>3.8325091372634956E-2</c:v>
                </c:pt>
                <c:pt idx="19">
                  <c:v>-7.6022542538424998E-2</c:v>
                </c:pt>
                <c:pt idx="20">
                  <c:v>-0.17077051178557201</c:v>
                </c:pt>
                <c:pt idx="21">
                  <c:v>-0.34589244191562907</c:v>
                </c:pt>
                <c:pt idx="22">
                  <c:v>-0.37992487196285119</c:v>
                </c:pt>
                <c:pt idx="23">
                  <c:v>-0.41880613678389267</c:v>
                </c:pt>
                <c:pt idx="24">
                  <c:v>-0.32532088058330655</c:v>
                </c:pt>
                <c:pt idx="25">
                  <c:v>-0.31036567285077632</c:v>
                </c:pt>
                <c:pt idx="26">
                  <c:v>-0.31334328550165802</c:v>
                </c:pt>
                <c:pt idx="27">
                  <c:v>-0.36945232303294873</c:v>
                </c:pt>
                <c:pt idx="28">
                  <c:v>-0.23590696396077937</c:v>
                </c:pt>
                <c:pt idx="29">
                  <c:v>-0.3411426608727629</c:v>
                </c:pt>
                <c:pt idx="30">
                  <c:v>-0.31193910961319038</c:v>
                </c:pt>
                <c:pt idx="31">
                  <c:v>-0.28881725455981666</c:v>
                </c:pt>
                <c:pt idx="32">
                  <c:v>-0.34957367531291905</c:v>
                </c:pt>
                <c:pt idx="33">
                  <c:v>-0.3557298693952422</c:v>
                </c:pt>
                <c:pt idx="34">
                  <c:v>-0.40041738061359367</c:v>
                </c:pt>
                <c:pt idx="35">
                  <c:v>-0.41981997838239526</c:v>
                </c:pt>
                <c:pt idx="36">
                  <c:v>-0.45180102248408227</c:v>
                </c:pt>
                <c:pt idx="37">
                  <c:v>-0.50754666709016782</c:v>
                </c:pt>
                <c:pt idx="38">
                  <c:v>-0.53875334244367323</c:v>
                </c:pt>
                <c:pt idx="39">
                  <c:v>-0.50264432780116253</c:v>
                </c:pt>
                <c:pt idx="40">
                  <c:v>-0.48451406261703245</c:v>
                </c:pt>
                <c:pt idx="41">
                  <c:v>-0.47537252482214465</c:v>
                </c:pt>
                <c:pt idx="42">
                  <c:v>-0.50093931169843064</c:v>
                </c:pt>
                <c:pt idx="43">
                  <c:v>-0.46551108695802623</c:v>
                </c:pt>
                <c:pt idx="44">
                  <c:v>-0.50675977562237562</c:v>
                </c:pt>
                <c:pt idx="45">
                  <c:v>-0.48836293690200583</c:v>
                </c:pt>
                <c:pt idx="46">
                  <c:v>-0.53529411168739693</c:v>
                </c:pt>
                <c:pt idx="47">
                  <c:v>-0.57310284576302362</c:v>
                </c:pt>
                <c:pt idx="48">
                  <c:v>-0.56072041235087644</c:v>
                </c:pt>
                <c:pt idx="49">
                  <c:v>-0.59052391982962393</c:v>
                </c:pt>
                <c:pt idx="50">
                  <c:v>-0.58431964534341729</c:v>
                </c:pt>
                <c:pt idx="51">
                  <c:v>-0.53746213303316037</c:v>
                </c:pt>
                <c:pt idx="52">
                  <c:v>-0.52315274167914771</c:v>
                </c:pt>
                <c:pt idx="53">
                  <c:v>-0.51964090467579216</c:v>
                </c:pt>
                <c:pt idx="54">
                  <c:v>-0.54184228545121504</c:v>
                </c:pt>
                <c:pt idx="55">
                  <c:v>-0.56794701244768975</c:v>
                </c:pt>
                <c:pt idx="56">
                  <c:v>-0.56199487766997414</c:v>
                </c:pt>
                <c:pt idx="57">
                  <c:v>-0.60520366530895875</c:v>
                </c:pt>
                <c:pt idx="58">
                  <c:v>-0.5948000712564474</c:v>
                </c:pt>
                <c:pt idx="59">
                  <c:v>-0.59023548308332041</c:v>
                </c:pt>
                <c:pt idx="60">
                  <c:v>-0.57154820003022366</c:v>
                </c:pt>
                <c:pt idx="61">
                  <c:v>-0.59699989563159739</c:v>
                </c:pt>
                <c:pt idx="62">
                  <c:v>-0.57756763179049597</c:v>
                </c:pt>
                <c:pt idx="63">
                  <c:v>-0.59452515258890259</c:v>
                </c:pt>
                <c:pt idx="64">
                  <c:v>-0.6057707849947549</c:v>
                </c:pt>
                <c:pt idx="65">
                  <c:v>-0.61136261918985391</c:v>
                </c:pt>
                <c:pt idx="66">
                  <c:v>-0.61633831687321916</c:v>
                </c:pt>
                <c:pt idx="67">
                  <c:v>-0.63558180055150082</c:v>
                </c:pt>
                <c:pt idx="68">
                  <c:v>-0.64171269123785635</c:v>
                </c:pt>
                <c:pt idx="69">
                  <c:v>-0.66315652205710063</c:v>
                </c:pt>
                <c:pt idx="70">
                  <c:v>-0.66825636006867595</c:v>
                </c:pt>
                <c:pt idx="71">
                  <c:v>-0.70297002924523966</c:v>
                </c:pt>
                <c:pt idx="72">
                  <c:v>-0.79174604677818983</c:v>
                </c:pt>
                <c:pt idx="73">
                  <c:v>-0.78053124465830837</c:v>
                </c:pt>
                <c:pt idx="74">
                  <c:v>-0.80818948149498371</c:v>
                </c:pt>
                <c:pt idx="75">
                  <c:v>-0.78845093832291835</c:v>
                </c:pt>
                <c:pt idx="76">
                  <c:v>-0.78211231494279421</c:v>
                </c:pt>
                <c:pt idx="77">
                  <c:v>-0.76191758974873824</c:v>
                </c:pt>
                <c:pt idx="78">
                  <c:v>-0.72057467444157064</c:v>
                </c:pt>
                <c:pt idx="79">
                  <c:v>-0.68700113926366213</c:v>
                </c:pt>
                <c:pt idx="80">
                  <c:v>-0.66403722664847487</c:v>
                </c:pt>
                <c:pt idx="81">
                  <c:v>-0.67792909578342164</c:v>
                </c:pt>
                <c:pt idx="82">
                  <c:v>-0.70559048439720606</c:v>
                </c:pt>
                <c:pt idx="83">
                  <c:v>-0.72953852221144566</c:v>
                </c:pt>
                <c:pt idx="84">
                  <c:v>-0.7482909687739151</c:v>
                </c:pt>
                <c:pt idx="85">
                  <c:v>-0.7380535303028688</c:v>
                </c:pt>
                <c:pt idx="86">
                  <c:v>-0.7130007739598363</c:v>
                </c:pt>
                <c:pt idx="87">
                  <c:v>-0.66660606531051414</c:v>
                </c:pt>
                <c:pt idx="88">
                  <c:v>-0.68215106953934868</c:v>
                </c:pt>
                <c:pt idx="89">
                  <c:v>-0.68208190561208049</c:v>
                </c:pt>
                <c:pt idx="90">
                  <c:v>-0.71609254306706704</c:v>
                </c:pt>
                <c:pt idx="91">
                  <c:v>-0.75302854766927774</c:v>
                </c:pt>
                <c:pt idx="92">
                  <c:v>-0.7468633102822958</c:v>
                </c:pt>
                <c:pt idx="93">
                  <c:v>-0.70092180275574112</c:v>
                </c:pt>
                <c:pt idx="94">
                  <c:v>-0.69586367265266724</c:v>
                </c:pt>
                <c:pt idx="95">
                  <c:v>-0.69436073117670882</c:v>
                </c:pt>
                <c:pt idx="96">
                  <c:v>-0.73227526151162292</c:v>
                </c:pt>
                <c:pt idx="97">
                  <c:v>-0.68338563265415364</c:v>
                </c:pt>
                <c:pt idx="98">
                  <c:v>-0.67513083408747687</c:v>
                </c:pt>
                <c:pt idx="99">
                  <c:v>-0.66732110699519653</c:v>
                </c:pt>
                <c:pt idx="100">
                  <c:v>-0.63639930107379317</c:v>
                </c:pt>
                <c:pt idx="101">
                  <c:v>-0.60735235096614881</c:v>
                </c:pt>
                <c:pt idx="102">
                  <c:v>-0.57246097410723251</c:v>
                </c:pt>
                <c:pt idx="103">
                  <c:v>-0.53096929498409895</c:v>
                </c:pt>
                <c:pt idx="104">
                  <c:v>-0.56271912406356228</c:v>
                </c:pt>
                <c:pt idx="105">
                  <c:v>-0.59224655893925782</c:v>
                </c:pt>
                <c:pt idx="106">
                  <c:v>-0.61555522770446536</c:v>
                </c:pt>
                <c:pt idx="107">
                  <c:v>-0.61788285867869408</c:v>
                </c:pt>
                <c:pt idx="108">
                  <c:v>-0.66109708337881123</c:v>
                </c:pt>
                <c:pt idx="109">
                  <c:v>-0.61716730116616447</c:v>
                </c:pt>
                <c:pt idx="110">
                  <c:v>-0.60077785049638921</c:v>
                </c:pt>
                <c:pt idx="111">
                  <c:v>-0.62147905718878271</c:v>
                </c:pt>
                <c:pt idx="112">
                  <c:v>-0.58295515104916595</c:v>
                </c:pt>
                <c:pt idx="113">
                  <c:v>-0.58308192984852136</c:v>
                </c:pt>
                <c:pt idx="114">
                  <c:v>-0.59936346297577492</c:v>
                </c:pt>
                <c:pt idx="115">
                  <c:v>-0.63210777250059058</c:v>
                </c:pt>
                <c:pt idx="116">
                  <c:v>-0.64465452197809192</c:v>
                </c:pt>
                <c:pt idx="117">
                  <c:v>-0.69237917770034518</c:v>
                </c:pt>
                <c:pt idx="118">
                  <c:v>-0.68098530574796912</c:v>
                </c:pt>
                <c:pt idx="119">
                  <c:v>-0.65865090624393596</c:v>
                </c:pt>
                <c:pt idx="120">
                  <c:v>-0.65538366889978894</c:v>
                </c:pt>
                <c:pt idx="121">
                  <c:v>-0.68025243490136922</c:v>
                </c:pt>
                <c:pt idx="122">
                  <c:v>-0.71770398758002418</c:v>
                </c:pt>
                <c:pt idx="123">
                  <c:v>-0.7308950392458835</c:v>
                </c:pt>
                <c:pt idx="124">
                  <c:v>-0.74726383287268205</c:v>
                </c:pt>
                <c:pt idx="125">
                  <c:v>-0.74181846273769514</c:v>
                </c:pt>
                <c:pt idx="126">
                  <c:v>-0.76342145037093934</c:v>
                </c:pt>
                <c:pt idx="127">
                  <c:v>-0.75476350400847536</c:v>
                </c:pt>
                <c:pt idx="128">
                  <c:v>-0.72798914742006149</c:v>
                </c:pt>
                <c:pt idx="129">
                  <c:v>-0.7432568445645209</c:v>
                </c:pt>
                <c:pt idx="130">
                  <c:v>-0.74782271349215435</c:v>
                </c:pt>
                <c:pt idx="131">
                  <c:v>-0.76607623854555229</c:v>
                </c:pt>
                <c:pt idx="132">
                  <c:v>-0.76682250212934433</c:v>
                </c:pt>
                <c:pt idx="133">
                  <c:v>-0.75991016506471676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61-E046-A78F-19864830C258}"/>
            </c:ext>
          </c:extLst>
        </c:ser>
        <c:ser>
          <c:idx val="4"/>
          <c:order val="4"/>
          <c:tx>
            <c:strRef>
              <c:f>NN1再投資累積報酬!$A$16:$B$16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NN1再投資累積報酬!$C$16:$EF$16</c:f>
              <c:numCache>
                <c:formatCode>General</c:formatCode>
                <c:ptCount val="134"/>
                <c:pt idx="0">
                  <c:v>3.943538983158934E-2</c:v>
                </c:pt>
                <c:pt idx="1">
                  <c:v>-0.20414379660216297</c:v>
                </c:pt>
                <c:pt idx="2">
                  <c:v>-0.27314784929404667</c:v>
                </c:pt>
                <c:pt idx="3">
                  <c:v>-0.21593333924654967</c:v>
                </c:pt>
                <c:pt idx="4">
                  <c:v>-0.20954590047472843</c:v>
                </c:pt>
                <c:pt idx="5">
                  <c:v>-0.21005918141489877</c:v>
                </c:pt>
                <c:pt idx="6">
                  <c:v>-0.12378345405286773</c:v>
                </c:pt>
                <c:pt idx="7">
                  <c:v>-5.972795965081612E-2</c:v>
                </c:pt>
                <c:pt idx="8">
                  <c:v>2.1531188406153756E-2</c:v>
                </c:pt>
                <c:pt idx="9">
                  <c:v>0.10852642306351856</c:v>
                </c:pt>
                <c:pt idx="10">
                  <c:v>9.3020980819677135E-2</c:v>
                </c:pt>
                <c:pt idx="11">
                  <c:v>-3.8406592585658816E-2</c:v>
                </c:pt>
                <c:pt idx="12">
                  <c:v>-6.5895737249732189E-2</c:v>
                </c:pt>
                <c:pt idx="13">
                  <c:v>-8.8731260127864475E-3</c:v>
                </c:pt>
                <c:pt idx="14">
                  <c:v>7.1882547023801813E-2</c:v>
                </c:pt>
                <c:pt idx="15">
                  <c:v>0.182404028331004</c:v>
                </c:pt>
                <c:pt idx="16">
                  <c:v>0.31230180490107373</c:v>
                </c:pt>
                <c:pt idx="17">
                  <c:v>0.26190065821762087</c:v>
                </c:pt>
                <c:pt idx="18">
                  <c:v>0.1464721632948085</c:v>
                </c:pt>
                <c:pt idx="19">
                  <c:v>5.9831558132126261E-2</c:v>
                </c:pt>
                <c:pt idx="20">
                  <c:v>-4.7916933722182198E-2</c:v>
                </c:pt>
                <c:pt idx="21">
                  <c:v>-0.27692334128599294</c:v>
                </c:pt>
                <c:pt idx="22">
                  <c:v>-0.31327879291213268</c:v>
                </c:pt>
                <c:pt idx="23">
                  <c:v>-0.34281471198500435</c:v>
                </c:pt>
                <c:pt idx="24">
                  <c:v>-0.23361753315152467</c:v>
                </c:pt>
                <c:pt idx="25">
                  <c:v>-0.20886689376965006</c:v>
                </c:pt>
                <c:pt idx="26">
                  <c:v>-0.1987677252129687</c:v>
                </c:pt>
                <c:pt idx="27">
                  <c:v>-0.24134204787278812</c:v>
                </c:pt>
                <c:pt idx="28">
                  <c:v>-8.230591571348389E-2</c:v>
                </c:pt>
                <c:pt idx="29">
                  <c:v>-0.21804719622677804</c:v>
                </c:pt>
                <c:pt idx="30">
                  <c:v>-0.18381630538296634</c:v>
                </c:pt>
                <c:pt idx="31">
                  <c:v>-0.15788990348315235</c:v>
                </c:pt>
                <c:pt idx="32">
                  <c:v>-0.19921901915943008</c:v>
                </c:pt>
                <c:pt idx="33">
                  <c:v>-0.19359275915704055</c:v>
                </c:pt>
                <c:pt idx="34">
                  <c:v>-0.22377936669106691</c:v>
                </c:pt>
                <c:pt idx="35">
                  <c:v>-0.22800177611204464</c:v>
                </c:pt>
                <c:pt idx="36">
                  <c:v>-0.27901289477695557</c:v>
                </c:pt>
                <c:pt idx="37">
                  <c:v>-0.35576644231265597</c:v>
                </c:pt>
                <c:pt idx="38">
                  <c:v>-0.39533827717284098</c:v>
                </c:pt>
                <c:pt idx="39">
                  <c:v>-0.34829658185678791</c:v>
                </c:pt>
                <c:pt idx="40">
                  <c:v>-0.31278020998213485</c:v>
                </c:pt>
                <c:pt idx="41">
                  <c:v>-0.28915910574983694</c:v>
                </c:pt>
                <c:pt idx="42">
                  <c:v>-0.32657970265806235</c:v>
                </c:pt>
                <c:pt idx="43">
                  <c:v>-0.24404258814168345</c:v>
                </c:pt>
                <c:pt idx="44">
                  <c:v>-0.30609933758286478</c:v>
                </c:pt>
                <c:pt idx="45">
                  <c:v>-0.26996041137407489</c:v>
                </c:pt>
                <c:pt idx="46">
                  <c:v>-0.34952373114635815</c:v>
                </c:pt>
                <c:pt idx="47">
                  <c:v>-0.414975517867333</c:v>
                </c:pt>
                <c:pt idx="48">
                  <c:v>-0.40350795361665626</c:v>
                </c:pt>
                <c:pt idx="49">
                  <c:v>-0.45608883578092585</c:v>
                </c:pt>
                <c:pt idx="50">
                  <c:v>-0.4745337129405105</c:v>
                </c:pt>
                <c:pt idx="51">
                  <c:v>-0.41776290060806931</c:v>
                </c:pt>
                <c:pt idx="52">
                  <c:v>-0.39505600777721994</c:v>
                </c:pt>
                <c:pt idx="53">
                  <c:v>-0.39125447251409284</c:v>
                </c:pt>
                <c:pt idx="54">
                  <c:v>-0.4181247030124966</c:v>
                </c:pt>
                <c:pt idx="55">
                  <c:v>-0.44988597818169485</c:v>
                </c:pt>
                <c:pt idx="56">
                  <c:v>-0.43925160177836486</c:v>
                </c:pt>
                <c:pt idx="57">
                  <c:v>-0.49317430859831013</c:v>
                </c:pt>
                <c:pt idx="58">
                  <c:v>-0.48018898387287312</c:v>
                </c:pt>
                <c:pt idx="59">
                  <c:v>-0.46953087429621498</c:v>
                </c:pt>
                <c:pt idx="60">
                  <c:v>-0.44227981354791857</c:v>
                </c:pt>
                <c:pt idx="61">
                  <c:v>-0.48166800178222924</c:v>
                </c:pt>
                <c:pt idx="62">
                  <c:v>-0.46119493203704764</c:v>
                </c:pt>
                <c:pt idx="63">
                  <c:v>-0.48700683742908235</c:v>
                </c:pt>
                <c:pt idx="64">
                  <c:v>-0.49823644241152498</c:v>
                </c:pt>
                <c:pt idx="65">
                  <c:v>-0.50869479233982862</c:v>
                </c:pt>
                <c:pt idx="66">
                  <c:v>-0.51679052753778398</c:v>
                </c:pt>
                <c:pt idx="67">
                  <c:v>-0.52949741359764513</c:v>
                </c:pt>
                <c:pt idx="68">
                  <c:v>-0.53570408288224303</c:v>
                </c:pt>
                <c:pt idx="69">
                  <c:v>-0.557368540113095</c:v>
                </c:pt>
                <c:pt idx="70">
                  <c:v>-0.56403659606070056</c:v>
                </c:pt>
                <c:pt idx="71">
                  <c:v>-0.57998659530522789</c:v>
                </c:pt>
                <c:pt idx="72">
                  <c:v>-0.71353860811332548</c:v>
                </c:pt>
                <c:pt idx="73">
                  <c:v>-0.6944718756234517</c:v>
                </c:pt>
                <c:pt idx="74">
                  <c:v>-0.73497219777419764</c:v>
                </c:pt>
                <c:pt idx="75">
                  <c:v>-0.70541474725443776</c:v>
                </c:pt>
                <c:pt idx="76">
                  <c:v>-0.69733397918637419</c:v>
                </c:pt>
                <c:pt idx="77">
                  <c:v>-0.66226541452444043</c:v>
                </c:pt>
                <c:pt idx="78">
                  <c:v>-0.64727461463532698</c:v>
                </c:pt>
                <c:pt idx="79">
                  <c:v>-0.59257704059192862</c:v>
                </c:pt>
                <c:pt idx="80">
                  <c:v>-0.55443663820833688</c:v>
                </c:pt>
                <c:pt idx="81">
                  <c:v>-0.57796242128764796</c:v>
                </c:pt>
                <c:pt idx="82">
                  <c:v>-0.60401390551971823</c:v>
                </c:pt>
                <c:pt idx="83">
                  <c:v>-0.62399089898676463</c:v>
                </c:pt>
                <c:pt idx="84">
                  <c:v>-0.64592852330354678</c:v>
                </c:pt>
                <c:pt idx="85">
                  <c:v>-0.63541140173888588</c:v>
                </c:pt>
                <c:pt idx="86">
                  <c:v>-0.60317349721693225</c:v>
                </c:pt>
                <c:pt idx="87">
                  <c:v>-0.52510167718620315</c:v>
                </c:pt>
                <c:pt idx="88">
                  <c:v>-0.52842583567786827</c:v>
                </c:pt>
                <c:pt idx="89">
                  <c:v>-0.52389421754725007</c:v>
                </c:pt>
                <c:pt idx="90">
                  <c:v>-0.587997199504674</c:v>
                </c:pt>
                <c:pt idx="91">
                  <c:v>-0.63379190826686815</c:v>
                </c:pt>
                <c:pt idx="92">
                  <c:v>-0.62634551356113222</c:v>
                </c:pt>
                <c:pt idx="93">
                  <c:v>-0.55561775110857781</c:v>
                </c:pt>
                <c:pt idx="94">
                  <c:v>-0.54592656427314279</c:v>
                </c:pt>
                <c:pt idx="95">
                  <c:v>-0.53432163785429676</c:v>
                </c:pt>
                <c:pt idx="96">
                  <c:v>-0.59740787762983294</c:v>
                </c:pt>
                <c:pt idx="97">
                  <c:v>-0.52806077154931175</c:v>
                </c:pt>
                <c:pt idx="98">
                  <c:v>-0.50571838544502667</c:v>
                </c:pt>
                <c:pt idx="99">
                  <c:v>-0.49966823773408342</c:v>
                </c:pt>
                <c:pt idx="100">
                  <c:v>-0.45900095294837995</c:v>
                </c:pt>
                <c:pt idx="101">
                  <c:v>-0.40347645753720829</c:v>
                </c:pt>
                <c:pt idx="102">
                  <c:v>-0.33297897388698761</c:v>
                </c:pt>
                <c:pt idx="103">
                  <c:v>-0.26759979631081054</c:v>
                </c:pt>
                <c:pt idx="104">
                  <c:v>-0.32858240467947175</c:v>
                </c:pt>
                <c:pt idx="105">
                  <c:v>-0.37851580584541444</c:v>
                </c:pt>
                <c:pt idx="106">
                  <c:v>-0.39998957653850364</c:v>
                </c:pt>
                <c:pt idx="107">
                  <c:v>-0.40160841279253967</c:v>
                </c:pt>
                <c:pt idx="108">
                  <c:v>-0.477228306490318</c:v>
                </c:pt>
                <c:pt idx="109">
                  <c:v>-0.40553045915418373</c:v>
                </c:pt>
                <c:pt idx="110">
                  <c:v>-0.37709770758941163</c:v>
                </c:pt>
                <c:pt idx="111">
                  <c:v>-0.39524995624110371</c:v>
                </c:pt>
                <c:pt idx="112">
                  <c:v>-0.31445876322584221</c:v>
                </c:pt>
                <c:pt idx="113">
                  <c:v>-0.32945352049083809</c:v>
                </c:pt>
                <c:pt idx="114">
                  <c:v>-0.34213380531575577</c:v>
                </c:pt>
                <c:pt idx="115">
                  <c:v>-0.41837176854322722</c:v>
                </c:pt>
                <c:pt idx="116">
                  <c:v>-0.44545462785364975</c:v>
                </c:pt>
                <c:pt idx="117">
                  <c:v>-0.53436710248795016</c:v>
                </c:pt>
                <c:pt idx="118">
                  <c:v>-0.51244968936121582</c:v>
                </c:pt>
                <c:pt idx="119">
                  <c:v>-0.4855411774749514</c:v>
                </c:pt>
                <c:pt idx="120">
                  <c:v>-0.49090339432284313</c:v>
                </c:pt>
                <c:pt idx="121">
                  <c:v>-0.5420849775529919</c:v>
                </c:pt>
                <c:pt idx="122">
                  <c:v>-0.59830457860387853</c:v>
                </c:pt>
                <c:pt idx="123">
                  <c:v>-0.61667343424021615</c:v>
                </c:pt>
                <c:pt idx="124">
                  <c:v>-0.64400581095042664</c:v>
                </c:pt>
                <c:pt idx="125">
                  <c:v>-0.63619254739931419</c:v>
                </c:pt>
                <c:pt idx="126">
                  <c:v>-0.67074874888726432</c:v>
                </c:pt>
                <c:pt idx="127">
                  <c:v>-0.66658399331710361</c:v>
                </c:pt>
                <c:pt idx="128">
                  <c:v>-0.61997247262905764</c:v>
                </c:pt>
                <c:pt idx="129">
                  <c:v>-0.64690797926349375</c:v>
                </c:pt>
                <c:pt idx="130">
                  <c:v>-0.6557128388223662</c:v>
                </c:pt>
                <c:pt idx="131">
                  <c:v>-0.68335401006577057</c:v>
                </c:pt>
                <c:pt idx="132">
                  <c:v>-0.68474602102040927</c:v>
                </c:pt>
                <c:pt idx="133">
                  <c:v>-0.67385448644174284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61-E046-A78F-19864830C258}"/>
            </c:ext>
          </c:extLst>
        </c:ser>
        <c:ser>
          <c:idx val="5"/>
          <c:order val="5"/>
          <c:tx>
            <c:strRef>
              <c:f>NN1再投資累積報酬!$A$17:$B$17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NN1再投資累積報酬!$C$17:$EF$17</c:f>
              <c:numCache>
                <c:formatCode>General</c:formatCode>
                <c:ptCount val="134"/>
                <c:pt idx="0">
                  <c:v>3.8913468982799682E-2</c:v>
                </c:pt>
                <c:pt idx="1">
                  <c:v>-0.1361926554148376</c:v>
                </c:pt>
                <c:pt idx="2">
                  <c:v>-0.21969786954460901</c:v>
                </c:pt>
                <c:pt idx="3">
                  <c:v>-0.15668678381767109</c:v>
                </c:pt>
                <c:pt idx="4">
                  <c:v>-6.7812470938953151E-2</c:v>
                </c:pt>
                <c:pt idx="5">
                  <c:v>-6.0408238840128803E-2</c:v>
                </c:pt>
                <c:pt idx="6">
                  <c:v>4.5838471433516048E-2</c:v>
                </c:pt>
                <c:pt idx="7">
                  <c:v>9.6338819278992904E-2</c:v>
                </c:pt>
                <c:pt idx="8">
                  <c:v>0.20768307716763057</c:v>
                </c:pt>
                <c:pt idx="9">
                  <c:v>0.25868931970156961</c:v>
                </c:pt>
                <c:pt idx="10">
                  <c:v>0.27714062528660333</c:v>
                </c:pt>
                <c:pt idx="11">
                  <c:v>0.13757747319922409</c:v>
                </c:pt>
                <c:pt idx="12">
                  <c:v>0.12471525321190624</c:v>
                </c:pt>
                <c:pt idx="13">
                  <c:v>0.19932815357080469</c:v>
                </c:pt>
                <c:pt idx="14">
                  <c:v>0.31958098362452381</c:v>
                </c:pt>
                <c:pt idx="15">
                  <c:v>0.49960672637426184</c:v>
                </c:pt>
                <c:pt idx="16">
                  <c:v>0.67814148941090768</c:v>
                </c:pt>
                <c:pt idx="17">
                  <c:v>0.63896932819487606</c:v>
                </c:pt>
                <c:pt idx="18">
                  <c:v>0.53668796941040009</c:v>
                </c:pt>
                <c:pt idx="19">
                  <c:v>0.38723022635270921</c:v>
                </c:pt>
                <c:pt idx="20">
                  <c:v>0.22131196453863011</c:v>
                </c:pt>
                <c:pt idx="21">
                  <c:v>-6.9347375366614949E-2</c:v>
                </c:pt>
                <c:pt idx="22">
                  <c:v>-0.13786493592189164</c:v>
                </c:pt>
                <c:pt idx="23">
                  <c:v>-0.17952819360320926</c:v>
                </c:pt>
                <c:pt idx="24">
                  <c:v>-2.258552658343671E-2</c:v>
                </c:pt>
                <c:pt idx="25">
                  <c:v>2.0946855653529717E-2</c:v>
                </c:pt>
                <c:pt idx="26">
                  <c:v>4.1453854270168788E-2</c:v>
                </c:pt>
                <c:pt idx="27">
                  <c:v>-1.0386985258886927E-2</c:v>
                </c:pt>
                <c:pt idx="28">
                  <c:v>0.20942853391300154</c:v>
                </c:pt>
                <c:pt idx="29">
                  <c:v>6.3950820634697703E-2</c:v>
                </c:pt>
                <c:pt idx="30">
                  <c:v>0.1305968506639843</c:v>
                </c:pt>
                <c:pt idx="31">
                  <c:v>0.1707020821856553</c:v>
                </c:pt>
                <c:pt idx="32">
                  <c:v>0.13489298798974714</c:v>
                </c:pt>
                <c:pt idx="33">
                  <c:v>0.18324241463562929</c:v>
                </c:pt>
                <c:pt idx="34">
                  <c:v>0.14848361608192584</c:v>
                </c:pt>
                <c:pt idx="35">
                  <c:v>0.11745367652487015</c:v>
                </c:pt>
                <c:pt idx="36">
                  <c:v>3.3231899616688487E-2</c:v>
                </c:pt>
                <c:pt idx="37">
                  <c:v>-8.3819966940428481E-2</c:v>
                </c:pt>
                <c:pt idx="38">
                  <c:v>-9.5393459667958647E-2</c:v>
                </c:pt>
                <c:pt idx="39">
                  <c:v>-2.5519104550347449E-2</c:v>
                </c:pt>
                <c:pt idx="40">
                  <c:v>3.4194406964511481E-2</c:v>
                </c:pt>
                <c:pt idx="41">
                  <c:v>8.1563226140163758E-2</c:v>
                </c:pt>
                <c:pt idx="42">
                  <c:v>1.7964110320976445E-2</c:v>
                </c:pt>
                <c:pt idx="43">
                  <c:v>0.14731863513829113</c:v>
                </c:pt>
                <c:pt idx="44">
                  <c:v>1.4574317041588847E-2</c:v>
                </c:pt>
                <c:pt idx="45">
                  <c:v>7.3956793127092801E-2</c:v>
                </c:pt>
                <c:pt idx="46">
                  <c:v>-7.8675563449241981E-3</c:v>
                </c:pt>
                <c:pt idx="47">
                  <c:v>-0.1047186376526783</c:v>
                </c:pt>
                <c:pt idx="48">
                  <c:v>-9.0861431807211179E-2</c:v>
                </c:pt>
                <c:pt idx="49">
                  <c:v>-0.15495045596843038</c:v>
                </c:pt>
                <c:pt idx="50">
                  <c:v>-0.18771439175485871</c:v>
                </c:pt>
                <c:pt idx="51">
                  <c:v>-8.7182624469539616E-2</c:v>
                </c:pt>
                <c:pt idx="52">
                  <c:v>-6.2269260147727046E-2</c:v>
                </c:pt>
                <c:pt idx="53">
                  <c:v>-4.4064038347892631E-2</c:v>
                </c:pt>
                <c:pt idx="54">
                  <c:v>-5.9644480110874754E-2</c:v>
                </c:pt>
                <c:pt idx="55">
                  <c:v>-0.13244398339413122</c:v>
                </c:pt>
                <c:pt idx="56">
                  <c:v>-0.14385559834756068</c:v>
                </c:pt>
                <c:pt idx="57">
                  <c:v>-0.25788642437089682</c:v>
                </c:pt>
                <c:pt idx="58">
                  <c:v>-0.21525144286582321</c:v>
                </c:pt>
                <c:pt idx="59">
                  <c:v>-0.20751534115126491</c:v>
                </c:pt>
                <c:pt idx="60">
                  <c:v>-0.19424017168622576</c:v>
                </c:pt>
                <c:pt idx="61">
                  <c:v>-0.25667283371219229</c:v>
                </c:pt>
                <c:pt idx="62">
                  <c:v>-0.23507248129718694</c:v>
                </c:pt>
                <c:pt idx="63">
                  <c:v>-0.27095945787835041</c:v>
                </c:pt>
                <c:pt idx="64">
                  <c:v>-0.29660682377338976</c:v>
                </c:pt>
                <c:pt idx="65">
                  <c:v>-0.32192615023394355</c:v>
                </c:pt>
                <c:pt idx="66">
                  <c:v>-0.32964026446927275</c:v>
                </c:pt>
                <c:pt idx="67">
                  <c:v>-0.33610680594673026</c:v>
                </c:pt>
                <c:pt idx="68">
                  <c:v>-0.33883107116126976</c:v>
                </c:pt>
                <c:pt idx="69">
                  <c:v>-0.37364172122486905</c:v>
                </c:pt>
                <c:pt idx="70">
                  <c:v>-0.39776301960798388</c:v>
                </c:pt>
                <c:pt idx="71">
                  <c:v>-0.42079313777916771</c:v>
                </c:pt>
                <c:pt idx="72">
                  <c:v>-0.54146325677214335</c:v>
                </c:pt>
                <c:pt idx="73">
                  <c:v>-0.5035693265724227</c:v>
                </c:pt>
                <c:pt idx="74">
                  <c:v>-0.57429946585464831</c:v>
                </c:pt>
                <c:pt idx="75">
                  <c:v>-0.52296928048980873</c:v>
                </c:pt>
                <c:pt idx="76">
                  <c:v>-0.50999589341316975</c:v>
                </c:pt>
                <c:pt idx="77">
                  <c:v>-0.45650418497401657</c:v>
                </c:pt>
                <c:pt idx="78">
                  <c:v>-0.43380861498225398</c:v>
                </c:pt>
                <c:pt idx="79">
                  <c:v>-0.33588029954907328</c:v>
                </c:pt>
                <c:pt idx="80">
                  <c:v>-0.27231898030320367</c:v>
                </c:pt>
                <c:pt idx="81">
                  <c:v>-0.31469824719514672</c:v>
                </c:pt>
                <c:pt idx="82">
                  <c:v>-0.36590055986321079</c:v>
                </c:pt>
                <c:pt idx="83">
                  <c:v>-0.38680623006832449</c:v>
                </c:pt>
                <c:pt idx="84">
                  <c:v>-0.43736482289140355</c:v>
                </c:pt>
                <c:pt idx="85">
                  <c:v>-0.42557715036086352</c:v>
                </c:pt>
                <c:pt idx="86">
                  <c:v>-0.37735099275969552</c:v>
                </c:pt>
                <c:pt idx="87">
                  <c:v>-0.29214826363764435</c:v>
                </c:pt>
                <c:pt idx="88">
                  <c:v>-0.29096617042540607</c:v>
                </c:pt>
                <c:pt idx="89">
                  <c:v>-0.28130150755293226</c:v>
                </c:pt>
                <c:pt idx="90">
                  <c:v>-0.38005993389507875</c:v>
                </c:pt>
                <c:pt idx="91">
                  <c:v>-0.44715070554154546</c:v>
                </c:pt>
                <c:pt idx="92">
                  <c:v>-0.4758475110014011</c:v>
                </c:pt>
                <c:pt idx="93">
                  <c:v>-0.37290258271732191</c:v>
                </c:pt>
                <c:pt idx="94">
                  <c:v>-0.36566172400149033</c:v>
                </c:pt>
                <c:pt idx="95">
                  <c:v>-0.35466275476227038</c:v>
                </c:pt>
                <c:pt idx="96">
                  <c:v>-0.4549171173041342</c:v>
                </c:pt>
                <c:pt idx="97">
                  <c:v>-0.37235265819797214</c:v>
                </c:pt>
                <c:pt idx="98">
                  <c:v>-0.33256407292706103</c:v>
                </c:pt>
                <c:pt idx="99">
                  <c:v>-0.3253741898011745</c:v>
                </c:pt>
                <c:pt idx="100">
                  <c:v>-0.27436646533383147</c:v>
                </c:pt>
                <c:pt idx="101">
                  <c:v>-0.18420734194829891</c:v>
                </c:pt>
                <c:pt idx="102">
                  <c:v>-0.10711850485529217</c:v>
                </c:pt>
                <c:pt idx="103">
                  <c:v>-1.4016858475058291E-2</c:v>
                </c:pt>
                <c:pt idx="104">
                  <c:v>-0.11148069307915165</c:v>
                </c:pt>
                <c:pt idx="105">
                  <c:v>-0.15424512732125206</c:v>
                </c:pt>
                <c:pt idx="106">
                  <c:v>-0.17464884804945113</c:v>
                </c:pt>
                <c:pt idx="107">
                  <c:v>-0.1875857692340015</c:v>
                </c:pt>
                <c:pt idx="108">
                  <c:v>-0.28768533012630659</c:v>
                </c:pt>
                <c:pt idx="109">
                  <c:v>-0.1712693395668381</c:v>
                </c:pt>
                <c:pt idx="110">
                  <c:v>-0.11310798590431315</c:v>
                </c:pt>
                <c:pt idx="111">
                  <c:v>-0.15331626197705039</c:v>
                </c:pt>
                <c:pt idx="112">
                  <c:v>-2.1202755751583702E-2</c:v>
                </c:pt>
                <c:pt idx="113">
                  <c:v>-2.5049166301496117E-2</c:v>
                </c:pt>
                <c:pt idx="114">
                  <c:v>-6.1344124592303539E-2</c:v>
                </c:pt>
                <c:pt idx="115">
                  <c:v>-0.16129216710682481</c:v>
                </c:pt>
                <c:pt idx="116">
                  <c:v>-0.21601830975493252</c:v>
                </c:pt>
                <c:pt idx="117">
                  <c:v>-0.32737048921280065</c:v>
                </c:pt>
                <c:pt idx="118">
                  <c:v>-0.27850126130160446</c:v>
                </c:pt>
                <c:pt idx="119">
                  <c:v>-0.23818043785594034</c:v>
                </c:pt>
                <c:pt idx="120">
                  <c:v>-0.24313648261931287</c:v>
                </c:pt>
                <c:pt idx="121">
                  <c:v>-0.31362995568315954</c:v>
                </c:pt>
                <c:pt idx="122">
                  <c:v>-0.4025107582019245</c:v>
                </c:pt>
                <c:pt idx="123">
                  <c:v>-0.42948670208069117</c:v>
                </c:pt>
                <c:pt idx="124">
                  <c:v>-0.47318787807298568</c:v>
                </c:pt>
                <c:pt idx="125">
                  <c:v>-0.48532309021688702</c:v>
                </c:pt>
                <c:pt idx="126">
                  <c:v>-0.55017780446390974</c:v>
                </c:pt>
                <c:pt idx="127">
                  <c:v>-0.55233292655395072</c:v>
                </c:pt>
                <c:pt idx="128">
                  <c:v>-0.47865929306763488</c:v>
                </c:pt>
                <c:pt idx="129">
                  <c:v>-0.51712570028516747</c:v>
                </c:pt>
                <c:pt idx="130">
                  <c:v>-0.52695671923092413</c:v>
                </c:pt>
                <c:pt idx="131">
                  <c:v>-0.56615101591109629</c:v>
                </c:pt>
                <c:pt idx="132">
                  <c:v>-0.56606668651481407</c:v>
                </c:pt>
                <c:pt idx="133">
                  <c:v>-0.54828203814495202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61-E046-A78F-19864830C258}"/>
            </c:ext>
          </c:extLst>
        </c:ser>
        <c:ser>
          <c:idx val="6"/>
          <c:order val="6"/>
          <c:tx>
            <c:strRef>
              <c:f>NN1再投資累積報酬!$A$18:$B$18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NN1再投資累積報酬!$C$18:$EF$18</c:f>
              <c:numCache>
                <c:formatCode>General</c:formatCode>
                <c:ptCount val="134"/>
                <c:pt idx="0">
                  <c:v>5.9146797802220652E-2</c:v>
                </c:pt>
                <c:pt idx="1">
                  <c:v>-0.13575621964426388</c:v>
                </c:pt>
                <c:pt idx="2">
                  <c:v>-0.2225916519020541</c:v>
                </c:pt>
                <c:pt idx="3">
                  <c:v>-0.12978234209796768</c:v>
                </c:pt>
                <c:pt idx="4">
                  <c:v>-3.5523521425383064E-2</c:v>
                </c:pt>
                <c:pt idx="5">
                  <c:v>-2.7207585563308267E-2</c:v>
                </c:pt>
                <c:pt idx="6">
                  <c:v>9.7919352248623026E-2</c:v>
                </c:pt>
                <c:pt idx="7">
                  <c:v>0.19802020772545137</c:v>
                </c:pt>
                <c:pt idx="8">
                  <c:v>0.36052911961634915</c:v>
                </c:pt>
                <c:pt idx="9">
                  <c:v>0.42958713844455776</c:v>
                </c:pt>
                <c:pt idx="10">
                  <c:v>0.47111873827012118</c:v>
                </c:pt>
                <c:pt idx="11">
                  <c:v>0.26338575595915725</c:v>
                </c:pt>
                <c:pt idx="12">
                  <c:v>0.30348301866520733</c:v>
                </c:pt>
                <c:pt idx="13">
                  <c:v>0.41108894599309909</c:v>
                </c:pt>
                <c:pt idx="14">
                  <c:v>0.54240430463785216</c:v>
                </c:pt>
                <c:pt idx="15">
                  <c:v>0.78022637306982512</c:v>
                </c:pt>
                <c:pt idx="16">
                  <c:v>1.0362322312926264</c:v>
                </c:pt>
                <c:pt idx="17">
                  <c:v>0.92971753913065913</c:v>
                </c:pt>
                <c:pt idx="18">
                  <c:v>0.82329295485498188</c:v>
                </c:pt>
                <c:pt idx="19">
                  <c:v>0.60196075845754127</c:v>
                </c:pt>
                <c:pt idx="20">
                  <c:v>0.38102275540172736</c:v>
                </c:pt>
                <c:pt idx="21">
                  <c:v>8.3935679966312904E-2</c:v>
                </c:pt>
                <c:pt idx="22">
                  <c:v>-2.8662738914370989E-2</c:v>
                </c:pt>
                <c:pt idx="23">
                  <c:v>-7.8657201354019879E-2</c:v>
                </c:pt>
                <c:pt idx="24">
                  <c:v>8.0339531223019733E-2</c:v>
                </c:pt>
                <c:pt idx="25">
                  <c:v>0.14801719077404019</c:v>
                </c:pt>
                <c:pt idx="26">
                  <c:v>0.14644966459400188</c:v>
                </c:pt>
                <c:pt idx="27">
                  <c:v>6.3396506891536308E-2</c:v>
                </c:pt>
                <c:pt idx="28">
                  <c:v>0.33816896473896119</c:v>
                </c:pt>
                <c:pt idx="29">
                  <c:v>0.1367161380875459</c:v>
                </c:pt>
                <c:pt idx="30">
                  <c:v>0.22960855803582869</c:v>
                </c:pt>
                <c:pt idx="31">
                  <c:v>0.27903570005402556</c:v>
                </c:pt>
                <c:pt idx="32">
                  <c:v>0.21910578991721397</c:v>
                </c:pt>
                <c:pt idx="33">
                  <c:v>0.27688379246565664</c:v>
                </c:pt>
                <c:pt idx="34">
                  <c:v>0.24772885121169708</c:v>
                </c:pt>
                <c:pt idx="35">
                  <c:v>0.20678735926489922</c:v>
                </c:pt>
                <c:pt idx="36">
                  <c:v>0.12636294001991955</c:v>
                </c:pt>
                <c:pt idx="37">
                  <c:v>3.7048396232157499E-2</c:v>
                </c:pt>
                <c:pt idx="38">
                  <c:v>3.1419779798417702E-2</c:v>
                </c:pt>
                <c:pt idx="39">
                  <c:v>0.11215786785371495</c:v>
                </c:pt>
                <c:pt idx="40">
                  <c:v>0.18350832657554461</c:v>
                </c:pt>
                <c:pt idx="41">
                  <c:v>0.22966807938587297</c:v>
                </c:pt>
                <c:pt idx="42">
                  <c:v>0.1272943655115113</c:v>
                </c:pt>
                <c:pt idx="43">
                  <c:v>0.31486015097632492</c:v>
                </c:pt>
                <c:pt idx="44">
                  <c:v>0.13222842349625452</c:v>
                </c:pt>
                <c:pt idx="45">
                  <c:v>0.20042895518510995</c:v>
                </c:pt>
                <c:pt idx="46">
                  <c:v>8.3066783397317545E-2</c:v>
                </c:pt>
                <c:pt idx="47">
                  <c:v>-5.3469313039912425E-2</c:v>
                </c:pt>
                <c:pt idx="48">
                  <c:v>-2.4894158583749992E-2</c:v>
                </c:pt>
                <c:pt idx="49">
                  <c:v>-7.5254794112856072E-2</c:v>
                </c:pt>
                <c:pt idx="50">
                  <c:v>-0.10790037131618779</c:v>
                </c:pt>
                <c:pt idx="51">
                  <c:v>1.490253277845599E-2</c:v>
                </c:pt>
                <c:pt idx="52">
                  <c:v>-1.3455925249997169E-2</c:v>
                </c:pt>
                <c:pt idx="53">
                  <c:v>6.5489336280477595E-3</c:v>
                </c:pt>
                <c:pt idx="54">
                  <c:v>-1.582894984978056E-2</c:v>
                </c:pt>
                <c:pt idx="55">
                  <c:v>-5.3367202044610207E-2</c:v>
                </c:pt>
                <c:pt idx="56">
                  <c:v>-5.5552571475318668E-2</c:v>
                </c:pt>
                <c:pt idx="57">
                  <c:v>-0.18579023339438538</c:v>
                </c:pt>
                <c:pt idx="58">
                  <c:v>-0.15852269725780621</c:v>
                </c:pt>
                <c:pt idx="59">
                  <c:v>-0.16353458996994663</c:v>
                </c:pt>
                <c:pt idx="60">
                  <c:v>-0.16271394722065202</c:v>
                </c:pt>
                <c:pt idx="61">
                  <c:v>-0.23066613558632454</c:v>
                </c:pt>
                <c:pt idx="62">
                  <c:v>-0.20906219716983354</c:v>
                </c:pt>
                <c:pt idx="63">
                  <c:v>-0.25080345694460893</c:v>
                </c:pt>
                <c:pt idx="64">
                  <c:v>-0.2659578271021712</c:v>
                </c:pt>
                <c:pt idx="65">
                  <c:v>-0.3003532378260888</c:v>
                </c:pt>
                <c:pt idx="66">
                  <c:v>-0.30169430962233101</c:v>
                </c:pt>
                <c:pt idx="67">
                  <c:v>-0.30570830591139897</c:v>
                </c:pt>
                <c:pt idx="68">
                  <c:v>-0.30847410372869177</c:v>
                </c:pt>
                <c:pt idx="69">
                  <c:v>-0.35103428830337646</c:v>
                </c:pt>
                <c:pt idx="70">
                  <c:v>-0.34524508122643838</c:v>
                </c:pt>
                <c:pt idx="71">
                  <c:v>-0.37118936913480383</c:v>
                </c:pt>
                <c:pt idx="72">
                  <c:v>-0.50850620450886297</c:v>
                </c:pt>
                <c:pt idx="73">
                  <c:v>-0.47185017287821607</c:v>
                </c:pt>
                <c:pt idx="74">
                  <c:v>-0.51804493919528705</c:v>
                </c:pt>
                <c:pt idx="75">
                  <c:v>-0.44415159515130798</c:v>
                </c:pt>
                <c:pt idx="76">
                  <c:v>-0.42564970455442941</c:v>
                </c:pt>
                <c:pt idx="77">
                  <c:v>-0.3697152898025643</c:v>
                </c:pt>
                <c:pt idx="78">
                  <c:v>-0.30374987211464632</c:v>
                </c:pt>
                <c:pt idx="79">
                  <c:v>-0.16887451235824658</c:v>
                </c:pt>
                <c:pt idx="80">
                  <c:v>-0.10466187591525722</c:v>
                </c:pt>
                <c:pt idx="81">
                  <c:v>-6.5304832412492408E-2</c:v>
                </c:pt>
                <c:pt idx="82">
                  <c:v>-0.15093156089437676</c:v>
                </c:pt>
                <c:pt idx="83">
                  <c:v>-0.18945010164514331</c:v>
                </c:pt>
                <c:pt idx="84">
                  <c:v>-0.28487093050054257</c:v>
                </c:pt>
                <c:pt idx="85">
                  <c:v>-0.2875686594457828</c:v>
                </c:pt>
                <c:pt idx="86">
                  <c:v>-0.21913390717531478</c:v>
                </c:pt>
                <c:pt idx="87">
                  <c:v>-9.972859333438866E-2</c:v>
                </c:pt>
                <c:pt idx="88">
                  <c:v>-8.5730497992100752E-2</c:v>
                </c:pt>
                <c:pt idx="89">
                  <c:v>-0.11189401772113194</c:v>
                </c:pt>
                <c:pt idx="90">
                  <c:v>-0.24564056693294911</c:v>
                </c:pt>
                <c:pt idx="91">
                  <c:v>-0.33335017946578638</c:v>
                </c:pt>
                <c:pt idx="92">
                  <c:v>-0.35884465228790308</c:v>
                </c:pt>
                <c:pt idx="93">
                  <c:v>-0.23463849465002629</c:v>
                </c:pt>
                <c:pt idx="94">
                  <c:v>-0.21310942219132112</c:v>
                </c:pt>
                <c:pt idx="95">
                  <c:v>-0.22591409455475442</c:v>
                </c:pt>
                <c:pt idx="96">
                  <c:v>-0.33781968505041282</c:v>
                </c:pt>
                <c:pt idx="97">
                  <c:v>-0.25370803953248744</c:v>
                </c:pt>
                <c:pt idx="98">
                  <c:v>-0.2040359104842161</c:v>
                </c:pt>
                <c:pt idx="99">
                  <c:v>-0.15503621321661054</c:v>
                </c:pt>
                <c:pt idx="100">
                  <c:v>-7.6303853103428576E-2</c:v>
                </c:pt>
                <c:pt idx="101">
                  <c:v>4.6402587871125611E-2</c:v>
                </c:pt>
                <c:pt idx="102">
                  <c:v>0.12839645236544728</c:v>
                </c:pt>
                <c:pt idx="103">
                  <c:v>0.26167587094013989</c:v>
                </c:pt>
                <c:pt idx="104">
                  <c:v>0.15718424471348902</c:v>
                </c:pt>
                <c:pt idx="105">
                  <c:v>7.4941672633386691E-2</c:v>
                </c:pt>
                <c:pt idx="106">
                  <c:v>3.3641782057143743E-2</c:v>
                </c:pt>
                <c:pt idx="107">
                  <c:v>4.625415711695835E-3</c:v>
                </c:pt>
                <c:pt idx="108">
                  <c:v>-0.11413848076251831</c:v>
                </c:pt>
                <c:pt idx="109">
                  <c:v>5.6303553468393996E-2</c:v>
                </c:pt>
                <c:pt idx="110">
                  <c:v>0.15978206757631042</c:v>
                </c:pt>
                <c:pt idx="111">
                  <c:v>0.10735523285132542</c:v>
                </c:pt>
                <c:pt idx="112">
                  <c:v>0.28288612729036866</c:v>
                </c:pt>
                <c:pt idx="113">
                  <c:v>0.27797232182533471</c:v>
                </c:pt>
                <c:pt idx="114">
                  <c:v>0.27126209972192461</c:v>
                </c:pt>
                <c:pt idx="115">
                  <c:v>0.11221617233525571</c:v>
                </c:pt>
                <c:pt idx="116">
                  <c:v>7.8628336725840686E-2</c:v>
                </c:pt>
                <c:pt idx="117">
                  <c:v>-6.5353954841786743E-2</c:v>
                </c:pt>
                <c:pt idx="118">
                  <c:v>-3.9014837789103085E-3</c:v>
                </c:pt>
                <c:pt idx="119">
                  <c:v>7.2639378424897094E-2</c:v>
                </c:pt>
                <c:pt idx="120">
                  <c:v>4.5409729239529018E-2</c:v>
                </c:pt>
                <c:pt idx="121">
                  <c:v>-7.5875979143464334E-2</c:v>
                </c:pt>
                <c:pt idx="122">
                  <c:v>-0.22254871916686125</c:v>
                </c:pt>
                <c:pt idx="123">
                  <c:v>-0.27738056403991707</c:v>
                </c:pt>
                <c:pt idx="124">
                  <c:v>-0.3269796136539973</c:v>
                </c:pt>
                <c:pt idx="125">
                  <c:v>-0.37286432208002041</c:v>
                </c:pt>
                <c:pt idx="126">
                  <c:v>-0.47682027909634628</c:v>
                </c:pt>
                <c:pt idx="127">
                  <c:v>-0.49943621614220457</c:v>
                </c:pt>
                <c:pt idx="128">
                  <c:v>-0.39985041001682375</c:v>
                </c:pt>
                <c:pt idx="129">
                  <c:v>-0.45809192697674117</c:v>
                </c:pt>
                <c:pt idx="130">
                  <c:v>-0.46871270588448499</c:v>
                </c:pt>
                <c:pt idx="131">
                  <c:v>-0.5113589851867677</c:v>
                </c:pt>
                <c:pt idx="132">
                  <c:v>-0.51190151632492886</c:v>
                </c:pt>
                <c:pt idx="133">
                  <c:v>-0.48068671182529543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61-E046-A78F-19864830C258}"/>
            </c:ext>
          </c:extLst>
        </c:ser>
        <c:ser>
          <c:idx val="7"/>
          <c:order val="7"/>
          <c:tx>
            <c:strRef>
              <c:f>NN1再投資累積報酬!$A$19:$B$19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NN1再投資累積報酬!$C$19:$EF$19</c:f>
              <c:numCache>
                <c:formatCode>General</c:formatCode>
                <c:ptCount val="134"/>
                <c:pt idx="0">
                  <c:v>7.3861929880770782E-2</c:v>
                </c:pt>
                <c:pt idx="1">
                  <c:v>-0.1618967984517945</c:v>
                </c:pt>
                <c:pt idx="2">
                  <c:v>-0.27972042788840668</c:v>
                </c:pt>
                <c:pt idx="3">
                  <c:v>-0.151734914594016</c:v>
                </c:pt>
                <c:pt idx="4">
                  <c:v>-7.0245504771978551E-2</c:v>
                </c:pt>
                <c:pt idx="5">
                  <c:v>-8.1466515096930037E-2</c:v>
                </c:pt>
                <c:pt idx="6">
                  <c:v>4.1720011577208727E-2</c:v>
                </c:pt>
                <c:pt idx="7">
                  <c:v>0.15780641886635549</c:v>
                </c:pt>
                <c:pt idx="8">
                  <c:v>0.43427833599104648</c:v>
                </c:pt>
                <c:pt idx="9">
                  <c:v>0.46343240921347362</c:v>
                </c:pt>
                <c:pt idx="10">
                  <c:v>0.3994947016561432</c:v>
                </c:pt>
                <c:pt idx="11">
                  <c:v>0.18699041435905039</c:v>
                </c:pt>
                <c:pt idx="12">
                  <c:v>0.22445405683659692</c:v>
                </c:pt>
                <c:pt idx="13">
                  <c:v>0.33775791650897102</c:v>
                </c:pt>
                <c:pt idx="14">
                  <c:v>0.44727495691609431</c:v>
                </c:pt>
                <c:pt idx="15">
                  <c:v>0.65797398178861699</c:v>
                </c:pt>
                <c:pt idx="16">
                  <c:v>0.86139392053010266</c:v>
                </c:pt>
                <c:pt idx="17">
                  <c:v>0.76559780872788274</c:v>
                </c:pt>
                <c:pt idx="18">
                  <c:v>0.64686135323334248</c:v>
                </c:pt>
                <c:pt idx="19">
                  <c:v>0.49421654158158868</c:v>
                </c:pt>
                <c:pt idx="20">
                  <c:v>0.27513303190840444</c:v>
                </c:pt>
                <c:pt idx="21">
                  <c:v>8.4628318433409566E-2</c:v>
                </c:pt>
                <c:pt idx="22">
                  <c:v>-2.7229659197347433E-2</c:v>
                </c:pt>
                <c:pt idx="23">
                  <c:v>-8.3542094312615944E-2</c:v>
                </c:pt>
                <c:pt idx="24">
                  <c:v>3.7277208646520288E-2</c:v>
                </c:pt>
                <c:pt idx="25">
                  <c:v>9.0923892196741907E-2</c:v>
                </c:pt>
                <c:pt idx="26">
                  <c:v>7.5496545383398894E-2</c:v>
                </c:pt>
                <c:pt idx="27">
                  <c:v>4.9687363001142515E-2</c:v>
                </c:pt>
                <c:pt idx="28">
                  <c:v>0.37350841754150887</c:v>
                </c:pt>
                <c:pt idx="29">
                  <c:v>0.14161819380059049</c:v>
                </c:pt>
                <c:pt idx="30">
                  <c:v>0.18898062590070386</c:v>
                </c:pt>
                <c:pt idx="31">
                  <c:v>0.25622665354451879</c:v>
                </c:pt>
                <c:pt idx="32">
                  <c:v>0.15350484332029191</c:v>
                </c:pt>
                <c:pt idx="33">
                  <c:v>0.21296258536313939</c:v>
                </c:pt>
                <c:pt idx="34">
                  <c:v>0.16373871616982316</c:v>
                </c:pt>
                <c:pt idx="35">
                  <c:v>0.14638200995091877</c:v>
                </c:pt>
                <c:pt idx="36">
                  <c:v>9.6966053489592419E-2</c:v>
                </c:pt>
                <c:pt idx="37">
                  <c:v>5.2944714224134604E-3</c:v>
                </c:pt>
                <c:pt idx="38">
                  <c:v>-2.073552085821817E-2</c:v>
                </c:pt>
                <c:pt idx="39">
                  <c:v>6.5022704417076138E-2</c:v>
                </c:pt>
                <c:pt idx="40">
                  <c:v>0.11015374992640314</c:v>
                </c:pt>
                <c:pt idx="41">
                  <c:v>6.4477012426176872E-2</c:v>
                </c:pt>
                <c:pt idx="42">
                  <c:v>-5.1762680915087511E-2</c:v>
                </c:pt>
                <c:pt idx="43">
                  <c:v>0.12327591997622345</c:v>
                </c:pt>
                <c:pt idx="44">
                  <c:v>-4.8601725346469893E-2</c:v>
                </c:pt>
                <c:pt idx="45">
                  <c:v>-5.1486944890088981E-2</c:v>
                </c:pt>
                <c:pt idx="46">
                  <c:v>-0.18114241661418629</c:v>
                </c:pt>
                <c:pt idx="47">
                  <c:v>-0.36466788601350208</c:v>
                </c:pt>
                <c:pt idx="48">
                  <c:v>-0.32256236662024684</c:v>
                </c:pt>
                <c:pt idx="49">
                  <c:v>-0.40088196679024546</c:v>
                </c:pt>
                <c:pt idx="50">
                  <c:v>-0.40178604582125832</c:v>
                </c:pt>
                <c:pt idx="51">
                  <c:v>-0.30622364040911454</c:v>
                </c:pt>
                <c:pt idx="52">
                  <c:v>-0.43427518454668113</c:v>
                </c:pt>
                <c:pt idx="53">
                  <c:v>-0.43431525672110904</c:v>
                </c:pt>
                <c:pt idx="54">
                  <c:v>-0.45150792456200328</c:v>
                </c:pt>
                <c:pt idx="55">
                  <c:v>-0.47862299597266422</c:v>
                </c:pt>
                <c:pt idx="56">
                  <c:v>-0.47812073612545114</c:v>
                </c:pt>
                <c:pt idx="57">
                  <c:v>-0.55144315798115373</c:v>
                </c:pt>
                <c:pt idx="58">
                  <c:v>-0.53980826633444789</c:v>
                </c:pt>
                <c:pt idx="59">
                  <c:v>-0.54979778706268756</c:v>
                </c:pt>
                <c:pt idx="60">
                  <c:v>-0.58109541119453223</c:v>
                </c:pt>
                <c:pt idx="61">
                  <c:v>-0.61459297343436292</c:v>
                </c:pt>
                <c:pt idx="62">
                  <c:v>-0.60234232360551787</c:v>
                </c:pt>
                <c:pt idx="63">
                  <c:v>-0.62908585512873039</c:v>
                </c:pt>
                <c:pt idx="64">
                  <c:v>-0.63862909079480668</c:v>
                </c:pt>
                <c:pt idx="65">
                  <c:v>-0.66132998038860213</c:v>
                </c:pt>
                <c:pt idx="66">
                  <c:v>-0.66469434341876821</c:v>
                </c:pt>
                <c:pt idx="67">
                  <c:v>-0.66245609566801056</c:v>
                </c:pt>
                <c:pt idx="68">
                  <c:v>-0.67064367495262234</c:v>
                </c:pt>
                <c:pt idx="69">
                  <c:v>-0.69775740865317337</c:v>
                </c:pt>
                <c:pt idx="70">
                  <c:v>-0.68468643364382997</c:v>
                </c:pt>
                <c:pt idx="71">
                  <c:v>-0.69425645010033121</c:v>
                </c:pt>
                <c:pt idx="72">
                  <c:v>-0.78825822382966615</c:v>
                </c:pt>
                <c:pt idx="73">
                  <c:v>-0.77664836262416515</c:v>
                </c:pt>
                <c:pt idx="74">
                  <c:v>-0.79448677155719061</c:v>
                </c:pt>
                <c:pt idx="75">
                  <c:v>-0.78036757608412943</c:v>
                </c:pt>
                <c:pt idx="76">
                  <c:v>-0.77254642886308134</c:v>
                </c:pt>
                <c:pt idx="77">
                  <c:v>-0.75458287193325435</c:v>
                </c:pt>
                <c:pt idx="78">
                  <c:v>-0.74905959585469351</c:v>
                </c:pt>
                <c:pt idx="79">
                  <c:v>-0.69495202714356896</c:v>
                </c:pt>
                <c:pt idx="80">
                  <c:v>-0.66796316195174033</c:v>
                </c:pt>
                <c:pt idx="81">
                  <c:v>-0.641715143557538</c:v>
                </c:pt>
                <c:pt idx="82">
                  <c:v>-0.6621795235833301</c:v>
                </c:pt>
                <c:pt idx="83">
                  <c:v>-0.67660954001065954</c:v>
                </c:pt>
                <c:pt idx="84">
                  <c:v>-0.73003385959453859</c:v>
                </c:pt>
                <c:pt idx="85">
                  <c:v>-0.73322267879336156</c:v>
                </c:pt>
                <c:pt idx="86">
                  <c:v>-0.70153026321492329</c:v>
                </c:pt>
                <c:pt idx="87">
                  <c:v>-0.6671024411904668</c:v>
                </c:pt>
                <c:pt idx="88">
                  <c:v>-0.64194142084497741</c:v>
                </c:pt>
                <c:pt idx="89">
                  <c:v>-0.64765000844887588</c:v>
                </c:pt>
                <c:pt idx="90">
                  <c:v>-0.70619174667724427</c:v>
                </c:pt>
                <c:pt idx="91">
                  <c:v>-0.74656532693917121</c:v>
                </c:pt>
                <c:pt idx="92">
                  <c:v>-0.75477524370402871</c:v>
                </c:pt>
                <c:pt idx="93">
                  <c:v>-0.71154047021741529</c:v>
                </c:pt>
                <c:pt idx="94">
                  <c:v>-0.69891296199482944</c:v>
                </c:pt>
                <c:pt idx="95">
                  <c:v>-0.7073255256848372</c:v>
                </c:pt>
                <c:pt idx="96">
                  <c:v>-0.75023381133937006</c:v>
                </c:pt>
                <c:pt idx="97">
                  <c:v>-0.72661766691196061</c:v>
                </c:pt>
                <c:pt idx="98">
                  <c:v>-0.71007369483879113</c:v>
                </c:pt>
                <c:pt idx="99">
                  <c:v>-0.6933638715738859</c:v>
                </c:pt>
                <c:pt idx="100">
                  <c:v>-0.6602802497758451</c:v>
                </c:pt>
                <c:pt idx="101">
                  <c:v>-0.62194225473742792</c:v>
                </c:pt>
                <c:pt idx="102">
                  <c:v>-0.59351892830422459</c:v>
                </c:pt>
                <c:pt idx="103">
                  <c:v>-0.53337558245504602</c:v>
                </c:pt>
                <c:pt idx="104">
                  <c:v>-0.56398035098154742</c:v>
                </c:pt>
                <c:pt idx="105">
                  <c:v>-0.59168823695760597</c:v>
                </c:pt>
                <c:pt idx="106">
                  <c:v>-0.60517004405857722</c:v>
                </c:pt>
                <c:pt idx="107">
                  <c:v>-0.61357847800080911</c:v>
                </c:pt>
                <c:pt idx="108">
                  <c:v>-0.66245724462007605</c:v>
                </c:pt>
                <c:pt idx="109">
                  <c:v>-0.58664806713229167</c:v>
                </c:pt>
                <c:pt idx="110">
                  <c:v>-0.54181522757357192</c:v>
                </c:pt>
                <c:pt idx="111">
                  <c:v>-0.56404376431899483</c:v>
                </c:pt>
                <c:pt idx="112">
                  <c:v>-0.5099221571484216</c:v>
                </c:pt>
                <c:pt idx="113">
                  <c:v>-0.51579465501804389</c:v>
                </c:pt>
                <c:pt idx="114">
                  <c:v>-0.4934738042420459</c:v>
                </c:pt>
                <c:pt idx="115">
                  <c:v>-0.58157304525124909</c:v>
                </c:pt>
                <c:pt idx="116">
                  <c:v>-0.60195274760597217</c:v>
                </c:pt>
                <c:pt idx="117">
                  <c:v>-0.6697275091933983</c:v>
                </c:pt>
                <c:pt idx="118">
                  <c:v>-0.64318213126391943</c:v>
                </c:pt>
                <c:pt idx="119">
                  <c:v>-0.6160774062462987</c:v>
                </c:pt>
                <c:pt idx="120">
                  <c:v>-0.63332281108829536</c:v>
                </c:pt>
                <c:pt idx="121">
                  <c:v>-0.68213799545942866</c:v>
                </c:pt>
                <c:pt idx="122">
                  <c:v>-0.73000245075815928</c:v>
                </c:pt>
                <c:pt idx="123">
                  <c:v>-0.74933248968138144</c:v>
                </c:pt>
                <c:pt idx="124">
                  <c:v>-0.77472435647412652</c:v>
                </c:pt>
                <c:pt idx="125">
                  <c:v>-0.7960386297694273</c:v>
                </c:pt>
                <c:pt idx="126">
                  <c:v>-0.82706511299102414</c:v>
                </c:pt>
                <c:pt idx="127">
                  <c:v>-0.84083826444803611</c:v>
                </c:pt>
                <c:pt idx="128">
                  <c:v>-0.80374599335503383</c:v>
                </c:pt>
                <c:pt idx="129">
                  <c:v>-0.82459768718005155</c:v>
                </c:pt>
                <c:pt idx="130">
                  <c:v>-0.83009193075938592</c:v>
                </c:pt>
                <c:pt idx="131">
                  <c:v>-0.84473112505112269</c:v>
                </c:pt>
                <c:pt idx="132">
                  <c:v>-0.84359667889445444</c:v>
                </c:pt>
                <c:pt idx="133">
                  <c:v>-0.83201970506622203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61-E046-A78F-19864830C258}"/>
            </c:ext>
          </c:extLst>
        </c:ser>
        <c:ser>
          <c:idx val="8"/>
          <c:order val="8"/>
          <c:tx>
            <c:strRef>
              <c:f>NN1再投資累積報酬!$A$20:$B$20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NN1再投資累積報酬!$C$20:$EF$20</c:f>
              <c:numCache>
                <c:formatCode>General</c:formatCode>
                <c:ptCount val="134"/>
                <c:pt idx="0">
                  <c:v>-1.1241331728202852E-2</c:v>
                </c:pt>
                <c:pt idx="1">
                  <c:v>-0.23132555792733867</c:v>
                </c:pt>
                <c:pt idx="2">
                  <c:v>-0.34364803795425336</c:v>
                </c:pt>
                <c:pt idx="3">
                  <c:v>-0.20874718934743153</c:v>
                </c:pt>
                <c:pt idx="4">
                  <c:v>-0.11602569944146146</c:v>
                </c:pt>
                <c:pt idx="5">
                  <c:v>-0.10578660206529944</c:v>
                </c:pt>
                <c:pt idx="6">
                  <c:v>6.0414739628650738E-2</c:v>
                </c:pt>
                <c:pt idx="7">
                  <c:v>0.21660124593988428</c:v>
                </c:pt>
                <c:pt idx="8">
                  <c:v>0.47783534474943989</c:v>
                </c:pt>
                <c:pt idx="9">
                  <c:v>0.49113552493211121</c:v>
                </c:pt>
                <c:pt idx="10">
                  <c:v>0.37524711379220954</c:v>
                </c:pt>
                <c:pt idx="11">
                  <c:v>0.14400812943187336</c:v>
                </c:pt>
                <c:pt idx="12">
                  <c:v>0.20105396446831714</c:v>
                </c:pt>
                <c:pt idx="13">
                  <c:v>0.31055396753488895</c:v>
                </c:pt>
                <c:pt idx="14">
                  <c:v>0.45084263826818827</c:v>
                </c:pt>
                <c:pt idx="15">
                  <c:v>0.72787011083269104</c:v>
                </c:pt>
                <c:pt idx="16">
                  <c:v>0.8705275781461288</c:v>
                </c:pt>
                <c:pt idx="17">
                  <c:v>0.71066208620971771</c:v>
                </c:pt>
                <c:pt idx="18">
                  <c:v>0.6871911784961795</c:v>
                </c:pt>
                <c:pt idx="19">
                  <c:v>0.51253719155028099</c:v>
                </c:pt>
                <c:pt idx="20">
                  <c:v>0.25073912276821875</c:v>
                </c:pt>
                <c:pt idx="21">
                  <c:v>-1.2399394773177641E-2</c:v>
                </c:pt>
                <c:pt idx="22">
                  <c:v>-0.13976534522651063</c:v>
                </c:pt>
                <c:pt idx="23">
                  <c:v>-0.20344608075675119</c:v>
                </c:pt>
                <c:pt idx="24">
                  <c:v>-9.9509042197431841E-2</c:v>
                </c:pt>
                <c:pt idx="25">
                  <c:v>-6.9884199611710218E-2</c:v>
                </c:pt>
                <c:pt idx="26">
                  <c:v>-0.11383055531588981</c:v>
                </c:pt>
                <c:pt idx="27">
                  <c:v>-0.13774587913463898</c:v>
                </c:pt>
                <c:pt idx="28">
                  <c:v>1.2677711057436092E-3</c:v>
                </c:pt>
                <c:pt idx="29">
                  <c:v>-0.22251339260856084</c:v>
                </c:pt>
                <c:pt idx="30">
                  <c:v>-0.19750689735285964</c:v>
                </c:pt>
                <c:pt idx="31">
                  <c:v>-0.12513951327011719</c:v>
                </c:pt>
                <c:pt idx="32">
                  <c:v>-0.19351383648000309</c:v>
                </c:pt>
                <c:pt idx="33">
                  <c:v>-0.14351973134127927</c:v>
                </c:pt>
                <c:pt idx="34">
                  <c:v>-0.15058442173814146</c:v>
                </c:pt>
                <c:pt idx="35">
                  <c:v>-0.16823550264179321</c:v>
                </c:pt>
                <c:pt idx="36">
                  <c:v>-0.19576356443389786</c:v>
                </c:pt>
                <c:pt idx="37">
                  <c:v>-0.25645944386110098</c:v>
                </c:pt>
                <c:pt idx="38">
                  <c:v>-0.29013073888992102</c:v>
                </c:pt>
                <c:pt idx="39">
                  <c:v>-0.19661933369286899</c:v>
                </c:pt>
                <c:pt idx="40">
                  <c:v>-0.16986014480181866</c:v>
                </c:pt>
                <c:pt idx="41">
                  <c:v>-0.19454767383128624</c:v>
                </c:pt>
                <c:pt idx="42">
                  <c:v>-0.2286116352227815</c:v>
                </c:pt>
                <c:pt idx="43">
                  <c:v>-4.4154358701728014E-2</c:v>
                </c:pt>
                <c:pt idx="44">
                  <c:v>-0.18090971892099195</c:v>
                </c:pt>
                <c:pt idx="45">
                  <c:v>-0.20732260605234787</c:v>
                </c:pt>
                <c:pt idx="46">
                  <c:v>-0.38567330812437473</c:v>
                </c:pt>
                <c:pt idx="47">
                  <c:v>-0.51120434514318314</c:v>
                </c:pt>
                <c:pt idx="48">
                  <c:v>-0.55131376107639185</c:v>
                </c:pt>
                <c:pt idx="49">
                  <c:v>-0.62143175783581395</c:v>
                </c:pt>
                <c:pt idx="50">
                  <c:v>-0.66007508419654237</c:v>
                </c:pt>
                <c:pt idx="51">
                  <c:v>-0.6030848285212691</c:v>
                </c:pt>
                <c:pt idx="52">
                  <c:v>-0.69840030571410727</c:v>
                </c:pt>
                <c:pt idx="53">
                  <c:v>-0.69587784651097784</c:v>
                </c:pt>
                <c:pt idx="54">
                  <c:v>-0.70757693916025488</c:v>
                </c:pt>
                <c:pt idx="55">
                  <c:v>-0.72372331240297005</c:v>
                </c:pt>
                <c:pt idx="56">
                  <c:v>-0.73801427662230168</c:v>
                </c:pt>
                <c:pt idx="57">
                  <c:v>-0.77732714705852302</c:v>
                </c:pt>
                <c:pt idx="58">
                  <c:v>-0.77216701543359834</c:v>
                </c:pt>
                <c:pt idx="59">
                  <c:v>-0.77709493166926757</c:v>
                </c:pt>
                <c:pt idx="60">
                  <c:v>-0.7999646092093301</c:v>
                </c:pt>
                <c:pt idx="61">
                  <c:v>-0.81722610939491103</c:v>
                </c:pt>
                <c:pt idx="62">
                  <c:v>-0.80855009756241336</c:v>
                </c:pt>
                <c:pt idx="63">
                  <c:v>-0.83124786987039911</c:v>
                </c:pt>
                <c:pt idx="64">
                  <c:v>-0.82475737311113462</c:v>
                </c:pt>
                <c:pt idx="65">
                  <c:v>-0.83534334573347857</c:v>
                </c:pt>
                <c:pt idx="66">
                  <c:v>-0.83788757210435771</c:v>
                </c:pt>
                <c:pt idx="67">
                  <c:v>-0.83593028635101285</c:v>
                </c:pt>
                <c:pt idx="68">
                  <c:v>-0.83504307835866909</c:v>
                </c:pt>
                <c:pt idx="69">
                  <c:v>-0.85096645268350046</c:v>
                </c:pt>
                <c:pt idx="70">
                  <c:v>-0.85702967347764414</c:v>
                </c:pt>
                <c:pt idx="71">
                  <c:v>-0.84537138098337461</c:v>
                </c:pt>
                <c:pt idx="72">
                  <c:v>-0.89977429843660006</c:v>
                </c:pt>
                <c:pt idx="73">
                  <c:v>-0.89396240862261367</c:v>
                </c:pt>
                <c:pt idx="74">
                  <c:v>-0.89445435509237914</c:v>
                </c:pt>
                <c:pt idx="75">
                  <c:v>-0.88492660151301095</c:v>
                </c:pt>
                <c:pt idx="76">
                  <c:v>-0.87914805271990859</c:v>
                </c:pt>
                <c:pt idx="77">
                  <c:v>-0.87916107513369723</c:v>
                </c:pt>
                <c:pt idx="78">
                  <c:v>-0.87760046458683394</c:v>
                </c:pt>
                <c:pt idx="79">
                  <c:v>-0.85544278299697685</c:v>
                </c:pt>
                <c:pt idx="80">
                  <c:v>-0.84304304077122172</c:v>
                </c:pt>
                <c:pt idx="81">
                  <c:v>-0.82643936621809333</c:v>
                </c:pt>
                <c:pt idx="82">
                  <c:v>-0.83962480935003114</c:v>
                </c:pt>
                <c:pt idx="83">
                  <c:v>-0.84318437343629626</c:v>
                </c:pt>
                <c:pt idx="84">
                  <c:v>-0.86380308791627292</c:v>
                </c:pt>
                <c:pt idx="85">
                  <c:v>-0.86945661966448651</c:v>
                </c:pt>
                <c:pt idx="86">
                  <c:v>-0.85893617773530995</c:v>
                </c:pt>
                <c:pt idx="87">
                  <c:v>-0.83787349399302324</c:v>
                </c:pt>
                <c:pt idx="88">
                  <c:v>-0.82499177668937573</c:v>
                </c:pt>
                <c:pt idx="89">
                  <c:v>-0.82837773078905563</c:v>
                </c:pt>
                <c:pt idx="90">
                  <c:v>-0.86759654337507941</c:v>
                </c:pt>
                <c:pt idx="91">
                  <c:v>-0.8883389688803921</c:v>
                </c:pt>
                <c:pt idx="92">
                  <c:v>-0.89092035365609146</c:v>
                </c:pt>
                <c:pt idx="93">
                  <c:v>-0.86959679785924782</c:v>
                </c:pt>
                <c:pt idx="94">
                  <c:v>-0.86668961495136232</c:v>
                </c:pt>
                <c:pt idx="95">
                  <c:v>-0.86909942822583497</c:v>
                </c:pt>
                <c:pt idx="96">
                  <c:v>-0.88830620850859576</c:v>
                </c:pt>
                <c:pt idx="97">
                  <c:v>-0.87499073052917864</c:v>
                </c:pt>
                <c:pt idx="98">
                  <c:v>-0.86650213757588135</c:v>
                </c:pt>
                <c:pt idx="99">
                  <c:v>-0.85444747405503929</c:v>
                </c:pt>
                <c:pt idx="100">
                  <c:v>-0.83975152207619463</c:v>
                </c:pt>
                <c:pt idx="101">
                  <c:v>-0.81488710460888192</c:v>
                </c:pt>
                <c:pt idx="102">
                  <c:v>-0.800618306451502</c:v>
                </c:pt>
                <c:pt idx="103">
                  <c:v>-0.78527249564415469</c:v>
                </c:pt>
                <c:pt idx="104">
                  <c:v>-0.79328876964673944</c:v>
                </c:pt>
                <c:pt idx="105">
                  <c:v>-0.80737878589906265</c:v>
                </c:pt>
                <c:pt idx="106">
                  <c:v>-0.80938565270435425</c:v>
                </c:pt>
                <c:pt idx="107">
                  <c:v>-0.81805859759405675</c:v>
                </c:pt>
                <c:pt idx="108">
                  <c:v>-0.84063266924983227</c:v>
                </c:pt>
                <c:pt idx="109">
                  <c:v>-0.79628080484899288</c:v>
                </c:pt>
                <c:pt idx="110">
                  <c:v>-0.76824985847299487</c:v>
                </c:pt>
                <c:pt idx="111">
                  <c:v>-0.77739470660545762</c:v>
                </c:pt>
                <c:pt idx="112">
                  <c:v>-0.75848350064062409</c:v>
                </c:pt>
                <c:pt idx="113">
                  <c:v>-0.76318470946688333</c:v>
                </c:pt>
                <c:pt idx="114">
                  <c:v>-0.77333574340098765</c:v>
                </c:pt>
                <c:pt idx="115">
                  <c:v>-0.81486850808034794</c:v>
                </c:pt>
                <c:pt idx="116">
                  <c:v>-0.82409191723539388</c:v>
                </c:pt>
                <c:pt idx="117">
                  <c:v>-0.85930087601795468</c:v>
                </c:pt>
                <c:pt idx="118">
                  <c:v>-0.85121627879951023</c:v>
                </c:pt>
                <c:pt idx="119">
                  <c:v>-0.8395348730791522</c:v>
                </c:pt>
                <c:pt idx="120">
                  <c:v>-0.82833556932484831</c:v>
                </c:pt>
                <c:pt idx="121">
                  <c:v>-0.85124178165658593</c:v>
                </c:pt>
                <c:pt idx="122">
                  <c:v>-0.87747913142348022</c:v>
                </c:pt>
                <c:pt idx="123">
                  <c:v>-0.88998142809339975</c:v>
                </c:pt>
                <c:pt idx="124">
                  <c:v>-0.90137347715118366</c:v>
                </c:pt>
                <c:pt idx="125">
                  <c:v>-0.91102420255923655</c:v>
                </c:pt>
                <c:pt idx="126">
                  <c:v>-0.92769842982883222</c:v>
                </c:pt>
                <c:pt idx="127">
                  <c:v>-0.9263886777381376</c:v>
                </c:pt>
                <c:pt idx="128">
                  <c:v>-0.90476968016946446</c:v>
                </c:pt>
                <c:pt idx="129">
                  <c:v>-0.91489403448405593</c:v>
                </c:pt>
                <c:pt idx="130">
                  <c:v>-0.91293850365081686</c:v>
                </c:pt>
                <c:pt idx="131">
                  <c:v>-0.91943553746507167</c:v>
                </c:pt>
                <c:pt idx="132">
                  <c:v>-0.9192952263971208</c:v>
                </c:pt>
                <c:pt idx="133">
                  <c:v>-0.91237075682199387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61-E046-A78F-19864830C258}"/>
            </c:ext>
          </c:extLst>
        </c:ser>
        <c:ser>
          <c:idx val="9"/>
          <c:order val="9"/>
          <c:tx>
            <c:strRef>
              <c:f>NN1再投資累積報酬!$A$21:$B$21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NN1再投資累積報酬!$C$21:$EF$21</c:f>
              <c:numCache>
                <c:formatCode>General</c:formatCode>
                <c:ptCount val="134"/>
                <c:pt idx="0">
                  <c:v>-1.0384834477426885E-2</c:v>
                </c:pt>
                <c:pt idx="1">
                  <c:v>-0.33201795891098185</c:v>
                </c:pt>
                <c:pt idx="2">
                  <c:v>-0.3612205004509591</c:v>
                </c:pt>
                <c:pt idx="3">
                  <c:v>-0.24366042739488003</c:v>
                </c:pt>
                <c:pt idx="4">
                  <c:v>-0.13486691629980196</c:v>
                </c:pt>
                <c:pt idx="5">
                  <c:v>-0.16760707935907637</c:v>
                </c:pt>
                <c:pt idx="6">
                  <c:v>3.1603743343793678E-2</c:v>
                </c:pt>
                <c:pt idx="7">
                  <c:v>0.12503262741043208</c:v>
                </c:pt>
                <c:pt idx="8">
                  <c:v>0.3577794066237705</c:v>
                </c:pt>
                <c:pt idx="9">
                  <c:v>0.43547991751300752</c:v>
                </c:pt>
                <c:pt idx="10">
                  <c:v>0.29238468559007069</c:v>
                </c:pt>
                <c:pt idx="11">
                  <c:v>0.11267772158662415</c:v>
                </c:pt>
                <c:pt idx="12">
                  <c:v>0.15090041495171325</c:v>
                </c:pt>
                <c:pt idx="13">
                  <c:v>0.31751926138929032</c:v>
                </c:pt>
                <c:pt idx="14">
                  <c:v>0.4244957240034466</c:v>
                </c:pt>
                <c:pt idx="15">
                  <c:v>0.62775999708792973</c:v>
                </c:pt>
                <c:pt idx="16">
                  <c:v>0.96822142427797075</c:v>
                </c:pt>
                <c:pt idx="17">
                  <c:v>0.77442705048779548</c:v>
                </c:pt>
                <c:pt idx="18">
                  <c:v>0.9167640219775588</c:v>
                </c:pt>
                <c:pt idx="19">
                  <c:v>0.71479312032718556</c:v>
                </c:pt>
                <c:pt idx="20">
                  <c:v>0.44421852101570392</c:v>
                </c:pt>
                <c:pt idx="21">
                  <c:v>0.13568875762103949</c:v>
                </c:pt>
                <c:pt idx="22">
                  <c:v>3.0377220482411538E-2</c:v>
                </c:pt>
                <c:pt idx="23">
                  <c:v>-8.232564715202817E-2</c:v>
                </c:pt>
                <c:pt idx="24">
                  <c:v>1.920208720821992E-2</c:v>
                </c:pt>
                <c:pt idx="25">
                  <c:v>4.1579631046652077E-2</c:v>
                </c:pt>
                <c:pt idx="26">
                  <c:v>2.196904399413957E-2</c:v>
                </c:pt>
                <c:pt idx="27">
                  <c:v>4.8472049272874296E-2</c:v>
                </c:pt>
                <c:pt idx="28">
                  <c:v>0.18278653891343222</c:v>
                </c:pt>
                <c:pt idx="29">
                  <c:v>-0.16630611658516203</c:v>
                </c:pt>
                <c:pt idx="30">
                  <c:v>-0.15709665698731878</c:v>
                </c:pt>
                <c:pt idx="31">
                  <c:v>-6.6415966835590923E-2</c:v>
                </c:pt>
                <c:pt idx="32">
                  <c:v>-0.1407238498014971</c:v>
                </c:pt>
                <c:pt idx="33">
                  <c:v>-8.0226218620326306E-2</c:v>
                </c:pt>
                <c:pt idx="34">
                  <c:v>-6.3377463179899896E-2</c:v>
                </c:pt>
                <c:pt idx="35">
                  <c:v>-9.8399171778907002E-2</c:v>
                </c:pt>
                <c:pt idx="36">
                  <c:v>-0.1601911125364921</c:v>
                </c:pt>
                <c:pt idx="37">
                  <c:v>-0.2542128034236415</c:v>
                </c:pt>
                <c:pt idx="38">
                  <c:v>-0.28980653823347047</c:v>
                </c:pt>
                <c:pt idx="39">
                  <c:v>-0.23829255352174628</c:v>
                </c:pt>
                <c:pt idx="40">
                  <c:v>-0.21008181298977158</c:v>
                </c:pt>
                <c:pt idx="41">
                  <c:v>-0.2370953566556282</c:v>
                </c:pt>
                <c:pt idx="42">
                  <c:v>-0.2717363252380699</c:v>
                </c:pt>
                <c:pt idx="43">
                  <c:v>-7.8864242578618904E-2</c:v>
                </c:pt>
                <c:pt idx="44">
                  <c:v>-0.13731521568437099</c:v>
                </c:pt>
                <c:pt idx="45">
                  <c:v>-0.19659366263841649</c:v>
                </c:pt>
                <c:pt idx="46">
                  <c:v>-0.40809433079473301</c:v>
                </c:pt>
                <c:pt idx="47">
                  <c:v>-0.53696302834431475</c:v>
                </c:pt>
                <c:pt idx="48">
                  <c:v>-0.5673948806675172</c:v>
                </c:pt>
                <c:pt idx="49">
                  <c:v>-0.60765285096952582</c:v>
                </c:pt>
                <c:pt idx="50">
                  <c:v>-0.61522248598104856</c:v>
                </c:pt>
                <c:pt idx="51">
                  <c:v>-0.52851436034721788</c:v>
                </c:pt>
                <c:pt idx="52">
                  <c:v>-0.60605513944131761</c:v>
                </c:pt>
                <c:pt idx="53">
                  <c:v>-0.5909975820086133</c:v>
                </c:pt>
                <c:pt idx="54">
                  <c:v>-0.60759919465609269</c:v>
                </c:pt>
                <c:pt idx="55">
                  <c:v>-0.63204174272076341</c:v>
                </c:pt>
                <c:pt idx="56">
                  <c:v>-0.66093557288405114</c:v>
                </c:pt>
                <c:pt idx="57">
                  <c:v>-0.69716193158012585</c:v>
                </c:pt>
                <c:pt idx="58">
                  <c:v>-0.68314749428785926</c:v>
                </c:pt>
                <c:pt idx="59">
                  <c:v>-0.69061856781578879</c:v>
                </c:pt>
                <c:pt idx="60">
                  <c:v>-0.71628892347418971</c:v>
                </c:pt>
                <c:pt idx="61">
                  <c:v>-0.75678047831182549</c:v>
                </c:pt>
                <c:pt idx="62">
                  <c:v>-0.74685826835678781</c:v>
                </c:pt>
                <c:pt idx="63">
                  <c:v>-0.7629702201270826</c:v>
                </c:pt>
                <c:pt idx="64">
                  <c:v>-0.74783415343665505</c:v>
                </c:pt>
                <c:pt idx="65">
                  <c:v>-0.77418778653029985</c:v>
                </c:pt>
                <c:pt idx="66">
                  <c:v>-0.78650408840261476</c:v>
                </c:pt>
                <c:pt idx="67">
                  <c:v>-0.7838729942112701</c:v>
                </c:pt>
                <c:pt idx="68">
                  <c:v>-0.78260645262028916</c:v>
                </c:pt>
                <c:pt idx="69">
                  <c:v>-0.80281366184292713</c:v>
                </c:pt>
                <c:pt idx="70">
                  <c:v>-0.80025090849974811</c:v>
                </c:pt>
                <c:pt idx="71">
                  <c:v>-0.79139403776936446</c:v>
                </c:pt>
                <c:pt idx="72">
                  <c:v>-0.8298736334787038</c:v>
                </c:pt>
                <c:pt idx="73">
                  <c:v>-0.8148379783757137</c:v>
                </c:pt>
                <c:pt idx="74">
                  <c:v>-0.82514526158361468</c:v>
                </c:pt>
                <c:pt idx="75">
                  <c:v>-0.81681117264999514</c:v>
                </c:pt>
                <c:pt idx="76">
                  <c:v>-0.79939724272210366</c:v>
                </c:pt>
                <c:pt idx="77">
                  <c:v>-0.78465974061502286</c:v>
                </c:pt>
                <c:pt idx="78">
                  <c:v>-0.7863866618251607</c:v>
                </c:pt>
                <c:pt idx="79">
                  <c:v>-0.72485404433518652</c:v>
                </c:pt>
                <c:pt idx="80">
                  <c:v>-0.70792857844544332</c:v>
                </c:pt>
                <c:pt idx="81">
                  <c:v>-0.67447876078676816</c:v>
                </c:pt>
                <c:pt idx="82">
                  <c:v>-0.70217584462918081</c:v>
                </c:pt>
                <c:pt idx="83">
                  <c:v>-0.74882298201764552</c:v>
                </c:pt>
                <c:pt idx="84">
                  <c:v>-0.77979116171298046</c:v>
                </c:pt>
                <c:pt idx="85">
                  <c:v>-0.79193366391679332</c:v>
                </c:pt>
                <c:pt idx="86">
                  <c:v>-0.77796000570822388</c:v>
                </c:pt>
                <c:pt idx="87">
                  <c:v>-0.73634235647123103</c:v>
                </c:pt>
                <c:pt idx="88">
                  <c:v>-0.71973341911358468</c:v>
                </c:pt>
                <c:pt idx="89">
                  <c:v>-0.7228948962126287</c:v>
                </c:pt>
                <c:pt idx="90">
                  <c:v>-0.7887882678260647</c:v>
                </c:pt>
                <c:pt idx="91">
                  <c:v>-0.8095519242378787</c:v>
                </c:pt>
                <c:pt idx="92">
                  <c:v>-0.81391550752894737</c:v>
                </c:pt>
                <c:pt idx="93">
                  <c:v>-0.7694301550184639</c:v>
                </c:pt>
                <c:pt idx="94">
                  <c:v>-0.76230387517715825</c:v>
                </c:pt>
                <c:pt idx="95">
                  <c:v>-0.78276298839908276</c:v>
                </c:pt>
                <c:pt idx="96">
                  <c:v>-0.81728556052503731</c:v>
                </c:pt>
                <c:pt idx="97">
                  <c:v>-0.78908690401391435</c:v>
                </c:pt>
                <c:pt idx="98">
                  <c:v>-0.78099933233332108</c:v>
                </c:pt>
                <c:pt idx="99">
                  <c:v>-0.75863450768077501</c:v>
                </c:pt>
                <c:pt idx="100">
                  <c:v>-0.7218377817286723</c:v>
                </c:pt>
                <c:pt idx="101">
                  <c:v>-0.65578778168819185</c:v>
                </c:pt>
                <c:pt idx="102">
                  <c:v>-0.64143077611546084</c:v>
                </c:pt>
                <c:pt idx="103">
                  <c:v>-0.61580759866128365</c:v>
                </c:pt>
                <c:pt idx="104">
                  <c:v>-0.67493665157191951</c:v>
                </c:pt>
                <c:pt idx="105">
                  <c:v>-0.69672467262700843</c:v>
                </c:pt>
                <c:pt idx="106">
                  <c:v>-0.70551290532050748</c:v>
                </c:pt>
                <c:pt idx="107">
                  <c:v>-0.74933520667715581</c:v>
                </c:pt>
                <c:pt idx="108">
                  <c:v>-0.78647995181285069</c:v>
                </c:pt>
                <c:pt idx="109">
                  <c:v>-0.76909151964863387</c:v>
                </c:pt>
                <c:pt idx="110">
                  <c:v>-0.72756493854224413</c:v>
                </c:pt>
                <c:pt idx="111">
                  <c:v>-0.73789330948125853</c:v>
                </c:pt>
                <c:pt idx="112">
                  <c:v>-0.70132871667854924</c:v>
                </c:pt>
                <c:pt idx="113">
                  <c:v>-0.70513289027581127</c:v>
                </c:pt>
                <c:pt idx="114">
                  <c:v>-0.70387835927983622</c:v>
                </c:pt>
                <c:pt idx="115">
                  <c:v>-0.76911266589614002</c:v>
                </c:pt>
                <c:pt idx="116">
                  <c:v>-0.76482767194864487</c:v>
                </c:pt>
                <c:pt idx="117">
                  <c:v>-0.81868681257481024</c:v>
                </c:pt>
                <c:pt idx="118">
                  <c:v>-0.80591824858681438</c:v>
                </c:pt>
                <c:pt idx="119">
                  <c:v>-0.79618100039499373</c:v>
                </c:pt>
                <c:pt idx="120">
                  <c:v>-0.77893680555636557</c:v>
                </c:pt>
                <c:pt idx="121">
                  <c:v>-0.81664373207682839</c:v>
                </c:pt>
                <c:pt idx="122">
                  <c:v>-0.84389317799516361</c:v>
                </c:pt>
                <c:pt idx="123">
                  <c:v>-0.86807385171316009</c:v>
                </c:pt>
                <c:pt idx="124">
                  <c:v>-0.88173295740218638</c:v>
                </c:pt>
                <c:pt idx="125">
                  <c:v>-0.89554996469766246</c:v>
                </c:pt>
                <c:pt idx="126">
                  <c:v>-0.91912035615413989</c:v>
                </c:pt>
                <c:pt idx="127">
                  <c:v>-0.90457083438596197</c:v>
                </c:pt>
                <c:pt idx="128">
                  <c:v>-0.87918116529831369</c:v>
                </c:pt>
                <c:pt idx="129">
                  <c:v>-0.8916615092853285</c:v>
                </c:pt>
                <c:pt idx="130">
                  <c:v>-0.88871583989204195</c:v>
                </c:pt>
                <c:pt idx="131">
                  <c:v>-0.89792235063673331</c:v>
                </c:pt>
                <c:pt idx="132">
                  <c:v>-0.90009762534466453</c:v>
                </c:pt>
                <c:pt idx="133">
                  <c:v>-0.89722098641765147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61-E046-A78F-19864830C258}"/>
            </c:ext>
          </c:extLst>
        </c:ser>
        <c:ser>
          <c:idx val="10"/>
          <c:order val="10"/>
          <c:tx>
            <c:strRef>
              <c:f>NN1再投資累積報酬!$A$22:$B$22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NN1再投資累積報酬!$C$22:$EF$22</c:f>
              <c:numCache>
                <c:formatCode>General</c:formatCode>
                <c:ptCount val="134"/>
                <c:pt idx="0">
                  <c:v>-2.592232660852678E-2</c:v>
                </c:pt>
                <c:pt idx="1">
                  <c:v>-0.43252370378447702</c:v>
                </c:pt>
                <c:pt idx="2">
                  <c:v>-0.44513893579669361</c:v>
                </c:pt>
                <c:pt idx="3">
                  <c:v>-0.40750212114787421</c:v>
                </c:pt>
                <c:pt idx="4">
                  <c:v>-0.34595085625244759</c:v>
                </c:pt>
                <c:pt idx="5">
                  <c:v>-0.49625497585548817</c:v>
                </c:pt>
                <c:pt idx="6">
                  <c:v>-0.36808566703570533</c:v>
                </c:pt>
                <c:pt idx="7">
                  <c:v>-0.29328073444494007</c:v>
                </c:pt>
                <c:pt idx="8">
                  <c:v>-0.11987591684153609</c:v>
                </c:pt>
                <c:pt idx="9">
                  <c:v>-2.5273871081062715E-2</c:v>
                </c:pt>
                <c:pt idx="10">
                  <c:v>-9.7501134519168642E-2</c:v>
                </c:pt>
                <c:pt idx="11">
                  <c:v>-0.1859738751801665</c:v>
                </c:pt>
                <c:pt idx="12">
                  <c:v>-0.19144077557673056</c:v>
                </c:pt>
                <c:pt idx="13">
                  <c:v>-0.13259150323424562</c:v>
                </c:pt>
                <c:pt idx="14">
                  <c:v>-5.5147088418326273E-2</c:v>
                </c:pt>
                <c:pt idx="15">
                  <c:v>0.11556868071670023</c:v>
                </c:pt>
                <c:pt idx="16">
                  <c:v>0.39117731898349528</c:v>
                </c:pt>
                <c:pt idx="17">
                  <c:v>0.21197639911724364</c:v>
                </c:pt>
                <c:pt idx="18">
                  <c:v>0.39623218061707211</c:v>
                </c:pt>
                <c:pt idx="19">
                  <c:v>0.31661324876883623</c:v>
                </c:pt>
                <c:pt idx="20">
                  <c:v>4.3441980346550224E-2</c:v>
                </c:pt>
                <c:pt idx="21">
                  <c:v>-0.18797963471439472</c:v>
                </c:pt>
                <c:pt idx="22">
                  <c:v>-0.22690653672219285</c:v>
                </c:pt>
                <c:pt idx="23">
                  <c:v>-0.34298660521145996</c:v>
                </c:pt>
                <c:pt idx="24">
                  <c:v>-0.28876695220940973</c:v>
                </c:pt>
                <c:pt idx="25">
                  <c:v>-0.2915160316118669</c:v>
                </c:pt>
                <c:pt idx="26">
                  <c:v>-0.35228727889382527</c:v>
                </c:pt>
                <c:pt idx="27">
                  <c:v>-0.34024387099443121</c:v>
                </c:pt>
                <c:pt idx="28">
                  <c:v>-0.25393203887629356</c:v>
                </c:pt>
                <c:pt idx="29">
                  <c:v>-0.57467916546721498</c:v>
                </c:pt>
                <c:pt idx="30">
                  <c:v>-0.57008055383107314</c:v>
                </c:pt>
                <c:pt idx="31">
                  <c:v>-0.52456671918888143</c:v>
                </c:pt>
                <c:pt idx="32">
                  <c:v>-0.56932460760291725</c:v>
                </c:pt>
                <c:pt idx="33">
                  <c:v>-0.55567226255533786</c:v>
                </c:pt>
                <c:pt idx="34">
                  <c:v>-0.52075886902870827</c:v>
                </c:pt>
                <c:pt idx="35">
                  <c:v>-0.52130746891882918</c:v>
                </c:pt>
                <c:pt idx="36">
                  <c:v>-0.56156019895562448</c:v>
                </c:pt>
                <c:pt idx="37">
                  <c:v>-0.61028524591401778</c:v>
                </c:pt>
                <c:pt idx="38">
                  <c:v>-0.63940370871209629</c:v>
                </c:pt>
                <c:pt idx="39">
                  <c:v>-0.61685333142941834</c:v>
                </c:pt>
                <c:pt idx="40">
                  <c:v>-0.63797495082417122</c:v>
                </c:pt>
                <c:pt idx="41">
                  <c:v>-0.67714016033516966</c:v>
                </c:pt>
                <c:pt idx="42">
                  <c:v>-0.65329899432576388</c:v>
                </c:pt>
                <c:pt idx="43">
                  <c:v>-0.64715255027302676</c:v>
                </c:pt>
                <c:pt idx="44">
                  <c:v>-0.68593563562451543</c:v>
                </c:pt>
                <c:pt idx="45">
                  <c:v>-0.71412416289119851</c:v>
                </c:pt>
                <c:pt idx="46">
                  <c:v>-0.82012671708637752</c:v>
                </c:pt>
                <c:pt idx="47">
                  <c:v>-0.8183504349601507</c:v>
                </c:pt>
                <c:pt idx="48">
                  <c:v>-0.83623497469449282</c:v>
                </c:pt>
                <c:pt idx="49">
                  <c:v>-0.87348914274180023</c:v>
                </c:pt>
                <c:pt idx="50">
                  <c:v>-0.87971055954655597</c:v>
                </c:pt>
                <c:pt idx="51">
                  <c:v>-0.843391575461649</c:v>
                </c:pt>
                <c:pt idx="52">
                  <c:v>-0.87402826065657735</c:v>
                </c:pt>
                <c:pt idx="53">
                  <c:v>-0.86404323670926031</c:v>
                </c:pt>
                <c:pt idx="54">
                  <c:v>-0.87335432628106879</c:v>
                </c:pt>
                <c:pt idx="55">
                  <c:v>-0.88030540072880614</c:v>
                </c:pt>
                <c:pt idx="56">
                  <c:v>-0.8918175873885098</c:v>
                </c:pt>
                <c:pt idx="57">
                  <c:v>-0.90563323977241228</c:v>
                </c:pt>
                <c:pt idx="58">
                  <c:v>-0.89786219997884398</c:v>
                </c:pt>
                <c:pt idx="59">
                  <c:v>-0.90347941283138877</c:v>
                </c:pt>
                <c:pt idx="60">
                  <c:v>-0.90549232606107555</c:v>
                </c:pt>
                <c:pt idx="61">
                  <c:v>-0.92078180959572964</c:v>
                </c:pt>
                <c:pt idx="62">
                  <c:v>-0.92058927111121058</c:v>
                </c:pt>
                <c:pt idx="63">
                  <c:v>-0.91937209903297989</c:v>
                </c:pt>
                <c:pt idx="64">
                  <c:v>-0.91530164548210058</c:v>
                </c:pt>
                <c:pt idx="65">
                  <c:v>-0.92164009343967979</c:v>
                </c:pt>
                <c:pt idx="66">
                  <c:v>-0.92382085727137619</c:v>
                </c:pt>
                <c:pt idx="67">
                  <c:v>-0.92223529434513341</c:v>
                </c:pt>
                <c:pt idx="68">
                  <c:v>-0.92350851894741637</c:v>
                </c:pt>
                <c:pt idx="69">
                  <c:v>-0.91837263495748189</c:v>
                </c:pt>
                <c:pt idx="70">
                  <c:v>-0.91507746323568862</c:v>
                </c:pt>
                <c:pt idx="71">
                  <c:v>-0.91094992778267214</c:v>
                </c:pt>
                <c:pt idx="72">
                  <c:v>-0.92271983536402702</c:v>
                </c:pt>
                <c:pt idx="73">
                  <c:v>-0.91090081021211489</c:v>
                </c:pt>
                <c:pt idx="74">
                  <c:v>-0.91585446231907153</c:v>
                </c:pt>
                <c:pt idx="75">
                  <c:v>-0.91187793472530521</c:v>
                </c:pt>
                <c:pt idx="76">
                  <c:v>-0.89918127818650539</c:v>
                </c:pt>
                <c:pt idx="77">
                  <c:v>-0.89276877702963298</c:v>
                </c:pt>
                <c:pt idx="78">
                  <c:v>-0.90618393917934081</c:v>
                </c:pt>
                <c:pt idx="79">
                  <c:v>-0.87486081698041773</c:v>
                </c:pt>
                <c:pt idx="80">
                  <c:v>-0.86649651398738881</c:v>
                </c:pt>
                <c:pt idx="81">
                  <c:v>-0.85304332003660566</c:v>
                </c:pt>
                <c:pt idx="82">
                  <c:v>-0.88347589298954188</c:v>
                </c:pt>
                <c:pt idx="83">
                  <c:v>-0.9013747281581681</c:v>
                </c:pt>
                <c:pt idx="84">
                  <c:v>-0.92410272480357458</c:v>
                </c:pt>
                <c:pt idx="85">
                  <c:v>-0.93369047536102878</c:v>
                </c:pt>
                <c:pt idx="86">
                  <c:v>-0.92633518813334048</c:v>
                </c:pt>
                <c:pt idx="87">
                  <c:v>-0.9193372511147313</c:v>
                </c:pt>
                <c:pt idx="88">
                  <c:v>-0.91559116989088452</c:v>
                </c:pt>
                <c:pt idx="89">
                  <c:v>-0.91374672440789351</c:v>
                </c:pt>
                <c:pt idx="90">
                  <c:v>-0.92972822794778531</c:v>
                </c:pt>
                <c:pt idx="91">
                  <c:v>-0.94180399159176964</c:v>
                </c:pt>
                <c:pt idx="92">
                  <c:v>-0.94280261272080257</c:v>
                </c:pt>
                <c:pt idx="93">
                  <c:v>-0.92868785502561624</c:v>
                </c:pt>
                <c:pt idx="94">
                  <c:v>-0.92694503374387227</c:v>
                </c:pt>
                <c:pt idx="95">
                  <c:v>-0.93615663512264169</c:v>
                </c:pt>
                <c:pt idx="96">
                  <c:v>-0.94684107193816602</c:v>
                </c:pt>
                <c:pt idx="97">
                  <c:v>-0.93800485251946264</c:v>
                </c:pt>
                <c:pt idx="98">
                  <c:v>-0.93658615294014036</c:v>
                </c:pt>
                <c:pt idx="99">
                  <c:v>-0.93634837680611627</c:v>
                </c:pt>
                <c:pt idx="100">
                  <c:v>-0.92600881549110403</c:v>
                </c:pt>
                <c:pt idx="101">
                  <c:v>-0.90655501740395339</c:v>
                </c:pt>
                <c:pt idx="102">
                  <c:v>-0.90352235393878133</c:v>
                </c:pt>
                <c:pt idx="103">
                  <c:v>-0.89830863762720237</c:v>
                </c:pt>
                <c:pt idx="104">
                  <c:v>-0.91266412614990078</c:v>
                </c:pt>
                <c:pt idx="105">
                  <c:v>-0.91405829781612791</c:v>
                </c:pt>
                <c:pt idx="106">
                  <c:v>-0.91253227368033785</c:v>
                </c:pt>
                <c:pt idx="107">
                  <c:v>-0.92102291506231015</c:v>
                </c:pt>
                <c:pt idx="108">
                  <c:v>-0.92798248718443965</c:v>
                </c:pt>
                <c:pt idx="109">
                  <c:v>-0.92211627667221063</c:v>
                </c:pt>
                <c:pt idx="110">
                  <c:v>-0.91743372549705615</c:v>
                </c:pt>
                <c:pt idx="111">
                  <c:v>-0.92158235100734809</c:v>
                </c:pt>
                <c:pt idx="112">
                  <c:v>-0.9075350278963894</c:v>
                </c:pt>
                <c:pt idx="113">
                  <c:v>-0.90783214843391336</c:v>
                </c:pt>
                <c:pt idx="114">
                  <c:v>-0.90389874258963332</c:v>
                </c:pt>
                <c:pt idx="115">
                  <c:v>-0.93324566678831833</c:v>
                </c:pt>
                <c:pt idx="116">
                  <c:v>-0.93483232839117658</c:v>
                </c:pt>
                <c:pt idx="117">
                  <c:v>-0.94588231728611716</c:v>
                </c:pt>
                <c:pt idx="118">
                  <c:v>-0.93693102708150011</c:v>
                </c:pt>
                <c:pt idx="119">
                  <c:v>-0.93731527811740012</c:v>
                </c:pt>
                <c:pt idx="120">
                  <c:v>-0.92919611226937493</c:v>
                </c:pt>
                <c:pt idx="121">
                  <c:v>-0.93332801538267707</c:v>
                </c:pt>
                <c:pt idx="122">
                  <c:v>-0.94409858558567217</c:v>
                </c:pt>
                <c:pt idx="123">
                  <c:v>-0.95287859419476917</c:v>
                </c:pt>
                <c:pt idx="124">
                  <c:v>-0.95671503056980778</c:v>
                </c:pt>
                <c:pt idx="125">
                  <c:v>-0.96382900723473297</c:v>
                </c:pt>
                <c:pt idx="126">
                  <c:v>-0.97532249833866058</c:v>
                </c:pt>
                <c:pt idx="127">
                  <c:v>-0.97123525637226316</c:v>
                </c:pt>
                <c:pt idx="128">
                  <c:v>-0.96719794242740065</c:v>
                </c:pt>
                <c:pt idx="129">
                  <c:v>-0.97188635145027147</c:v>
                </c:pt>
                <c:pt idx="130">
                  <c:v>-0.96940993260412012</c:v>
                </c:pt>
                <c:pt idx="131">
                  <c:v>-0.97116884108600487</c:v>
                </c:pt>
                <c:pt idx="132">
                  <c:v>-0.972542242172032</c:v>
                </c:pt>
                <c:pt idx="133">
                  <c:v>-0.97153748959241903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61-E046-A78F-19864830C258}"/>
            </c:ext>
          </c:extLst>
        </c:ser>
        <c:ser>
          <c:idx val="11"/>
          <c:order val="11"/>
          <c:tx>
            <c:strRef>
              <c:f>NN1再投資累積報酬!$A$23:$B$23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NN1再投資累積報酬!$C$23:$EF$23</c:f>
              <c:numCache>
                <c:formatCode>General</c:formatCode>
                <c:ptCount val="134"/>
                <c:pt idx="0">
                  <c:v>-3.1325684581971491E-2</c:v>
                </c:pt>
                <c:pt idx="1">
                  <c:v>5.4853997790285547E-2</c:v>
                </c:pt>
                <c:pt idx="2">
                  <c:v>3.8966221805621037E-2</c:v>
                </c:pt>
                <c:pt idx="3">
                  <c:v>0.22846958305392784</c:v>
                </c:pt>
                <c:pt idx="4">
                  <c:v>0.19533583151448708</c:v>
                </c:pt>
                <c:pt idx="5">
                  <c:v>-0.11881066668257445</c:v>
                </c:pt>
                <c:pt idx="6">
                  <c:v>0.10651197668024248</c:v>
                </c:pt>
                <c:pt idx="7">
                  <c:v>0.27834644498778194</c:v>
                </c:pt>
                <c:pt idx="8">
                  <c:v>0.46064833167671271</c:v>
                </c:pt>
                <c:pt idx="9">
                  <c:v>0.80016779984104458</c:v>
                </c:pt>
                <c:pt idx="10">
                  <c:v>0.33491458254060524</c:v>
                </c:pt>
                <c:pt idx="11">
                  <c:v>0.16564739519636751</c:v>
                </c:pt>
                <c:pt idx="12">
                  <c:v>0.14302484711153496</c:v>
                </c:pt>
                <c:pt idx="13">
                  <c:v>0.24635624921410493</c:v>
                </c:pt>
                <c:pt idx="14">
                  <c:v>0.55900431163276454</c:v>
                </c:pt>
                <c:pt idx="15">
                  <c:v>0.69873475481694358</c:v>
                </c:pt>
                <c:pt idx="16">
                  <c:v>0.98632205498630277</c:v>
                </c:pt>
                <c:pt idx="17">
                  <c:v>0.6792313154697478</c:v>
                </c:pt>
                <c:pt idx="18">
                  <c:v>1.0368769780940021</c:v>
                </c:pt>
                <c:pt idx="19">
                  <c:v>1.1659274151581105</c:v>
                </c:pt>
                <c:pt idx="20">
                  <c:v>0.44766440624205162</c:v>
                </c:pt>
                <c:pt idx="21">
                  <c:v>0.1845062538380704</c:v>
                </c:pt>
                <c:pt idx="22">
                  <c:v>0.17551731609790333</c:v>
                </c:pt>
                <c:pt idx="23">
                  <c:v>1.9634582415508639E-3</c:v>
                </c:pt>
                <c:pt idx="24">
                  <c:v>-5.4896410922474992E-2</c:v>
                </c:pt>
                <c:pt idx="25">
                  <c:v>-8.4186480169376687E-2</c:v>
                </c:pt>
                <c:pt idx="26">
                  <c:v>-0.2387344072131693</c:v>
                </c:pt>
                <c:pt idx="27">
                  <c:v>-0.23645419480019514</c:v>
                </c:pt>
                <c:pt idx="28">
                  <c:v>-0.13168655636116111</c:v>
                </c:pt>
                <c:pt idx="29">
                  <c:v>-0.41359261341727616</c:v>
                </c:pt>
                <c:pt idx="30">
                  <c:v>-0.4991458698944089</c:v>
                </c:pt>
                <c:pt idx="31">
                  <c:v>-0.45698818414844078</c:v>
                </c:pt>
                <c:pt idx="32">
                  <c:v>-0.46960140738619882</c:v>
                </c:pt>
                <c:pt idx="33">
                  <c:v>-0.47259451975878553</c:v>
                </c:pt>
                <c:pt idx="34">
                  <c:v>-0.42449554908226594</c:v>
                </c:pt>
                <c:pt idx="35">
                  <c:v>-0.45402486154576116</c:v>
                </c:pt>
                <c:pt idx="36">
                  <c:v>-0.45826680938091113</c:v>
                </c:pt>
                <c:pt idx="37">
                  <c:v>-0.58953672459764683</c:v>
                </c:pt>
                <c:pt idx="38">
                  <c:v>-0.58734610172048918</c:v>
                </c:pt>
                <c:pt idx="39">
                  <c:v>-0.58863403553513582</c:v>
                </c:pt>
                <c:pt idx="40">
                  <c:v>-0.51635201338313574</c:v>
                </c:pt>
                <c:pt idx="41">
                  <c:v>-0.6389378169486073</c:v>
                </c:pt>
                <c:pt idx="42">
                  <c:v>-0.60945217175369359</c:v>
                </c:pt>
                <c:pt idx="43">
                  <c:v>-0.56668487917060095</c:v>
                </c:pt>
                <c:pt idx="44">
                  <c:v>-0.65490605735831897</c:v>
                </c:pt>
                <c:pt idx="45">
                  <c:v>-0.67186744763252271</c:v>
                </c:pt>
                <c:pt idx="46">
                  <c:v>-0.86292589909972928</c:v>
                </c:pt>
                <c:pt idx="47">
                  <c:v>-0.86089545073529916</c:v>
                </c:pt>
                <c:pt idx="48">
                  <c:v>-0.86898293360258405</c:v>
                </c:pt>
                <c:pt idx="49">
                  <c:v>-0.91038229860451114</c:v>
                </c:pt>
                <c:pt idx="50">
                  <c:v>-0.89496080305221248</c:v>
                </c:pt>
                <c:pt idx="51">
                  <c:v>-0.90032299986697839</c:v>
                </c:pt>
                <c:pt idx="52">
                  <c:v>-0.92552824134485578</c:v>
                </c:pt>
                <c:pt idx="53">
                  <c:v>-0.91614632642535998</c:v>
                </c:pt>
                <c:pt idx="54">
                  <c:v>-0.92340247828763111</c:v>
                </c:pt>
                <c:pt idx="55">
                  <c:v>-0.92799932535815555</c:v>
                </c:pt>
                <c:pt idx="56">
                  <c:v>-0.93123283965598347</c:v>
                </c:pt>
                <c:pt idx="57">
                  <c:v>-0.93559028422913793</c:v>
                </c:pt>
                <c:pt idx="58">
                  <c:v>-0.9277832469902676</c:v>
                </c:pt>
                <c:pt idx="59">
                  <c:v>-0.93529402872116474</c:v>
                </c:pt>
                <c:pt idx="60">
                  <c:v>-0.93561819680325897</c:v>
                </c:pt>
                <c:pt idx="61">
                  <c:v>-0.94524548443560508</c:v>
                </c:pt>
                <c:pt idx="62">
                  <c:v>-0.94905067479267768</c:v>
                </c:pt>
                <c:pt idx="63">
                  <c:v>-0.94869672113041603</c:v>
                </c:pt>
                <c:pt idx="64">
                  <c:v>-0.95057057040250637</c:v>
                </c:pt>
                <c:pt idx="65">
                  <c:v>-0.95542782246412827</c:v>
                </c:pt>
                <c:pt idx="66">
                  <c:v>-0.95863915431798796</c:v>
                </c:pt>
                <c:pt idx="67">
                  <c:v>-0.95790109809161672</c:v>
                </c:pt>
                <c:pt idx="68">
                  <c:v>-0.96098591149102486</c:v>
                </c:pt>
                <c:pt idx="69">
                  <c:v>-0.9582475413265259</c:v>
                </c:pt>
                <c:pt idx="70">
                  <c:v>-0.95143042158020141</c:v>
                </c:pt>
                <c:pt idx="71">
                  <c:v>-0.94884316625178178</c:v>
                </c:pt>
                <c:pt idx="72">
                  <c:v>-0.94962906387979562</c:v>
                </c:pt>
                <c:pt idx="73">
                  <c:v>-0.94337201019444661</c:v>
                </c:pt>
                <c:pt idx="74">
                  <c:v>-0.93667579378111654</c:v>
                </c:pt>
                <c:pt idx="75">
                  <c:v>-0.93619011216323245</c:v>
                </c:pt>
                <c:pt idx="76">
                  <c:v>-0.9230213146559757</c:v>
                </c:pt>
                <c:pt idx="77">
                  <c:v>-0.92622863068623351</c:v>
                </c:pt>
                <c:pt idx="78">
                  <c:v>-0.9324656311048658</c:v>
                </c:pt>
                <c:pt idx="79">
                  <c:v>-0.91952088268338572</c:v>
                </c:pt>
                <c:pt idx="80">
                  <c:v>-0.91472416633308096</c:v>
                </c:pt>
                <c:pt idx="81">
                  <c:v>-0.91334603761902677</c:v>
                </c:pt>
                <c:pt idx="82">
                  <c:v>-0.93211851300530824</c:v>
                </c:pt>
                <c:pt idx="83">
                  <c:v>-0.9431236344253584</c:v>
                </c:pt>
                <c:pt idx="84">
                  <c:v>-0.94648630734904515</c:v>
                </c:pt>
                <c:pt idx="85">
                  <c:v>-0.95486205092494136</c:v>
                </c:pt>
                <c:pt idx="86">
                  <c:v>-0.95161860082818528</c:v>
                </c:pt>
                <c:pt idx="87">
                  <c:v>-0.94368165845972996</c:v>
                </c:pt>
                <c:pt idx="88">
                  <c:v>-0.94328883751987691</c:v>
                </c:pt>
                <c:pt idx="89">
                  <c:v>-0.94045486730842021</c:v>
                </c:pt>
                <c:pt idx="90">
                  <c:v>-0.95643981634930242</c:v>
                </c:pt>
                <c:pt idx="91">
                  <c:v>-0.96716005475425748</c:v>
                </c:pt>
                <c:pt idx="92">
                  <c:v>-0.96634883355740508</c:v>
                </c:pt>
                <c:pt idx="93">
                  <c:v>-0.961267568990259</c:v>
                </c:pt>
                <c:pt idx="94">
                  <c:v>-0.95859445026412171</c:v>
                </c:pt>
                <c:pt idx="95">
                  <c:v>-0.95995463184804286</c:v>
                </c:pt>
                <c:pt idx="96">
                  <c:v>-0.96804795632729435</c:v>
                </c:pt>
                <c:pt idx="97">
                  <c:v>-0.96314871853270279</c:v>
                </c:pt>
                <c:pt idx="98">
                  <c:v>-0.9640400142316643</c:v>
                </c:pt>
                <c:pt idx="99">
                  <c:v>-0.96723027607678491</c:v>
                </c:pt>
                <c:pt idx="100">
                  <c:v>-0.95799869003428084</c:v>
                </c:pt>
                <c:pt idx="101">
                  <c:v>-0.95035450228009122</c:v>
                </c:pt>
                <c:pt idx="102">
                  <c:v>-0.94714516907998769</c:v>
                </c:pt>
                <c:pt idx="103">
                  <c:v>-0.94615424670989934</c:v>
                </c:pt>
                <c:pt idx="104">
                  <c:v>-0.95465912417503285</c:v>
                </c:pt>
                <c:pt idx="105">
                  <c:v>-0.95549384969897055</c:v>
                </c:pt>
                <c:pt idx="106">
                  <c:v>-0.9528196554881031</c:v>
                </c:pt>
                <c:pt idx="107">
                  <c:v>-0.96184874078515081</c:v>
                </c:pt>
                <c:pt idx="108">
                  <c:v>-0.96768499277698172</c:v>
                </c:pt>
                <c:pt idx="109">
                  <c:v>-0.96318583895133536</c:v>
                </c:pt>
                <c:pt idx="110">
                  <c:v>-0.9596501701100606</c:v>
                </c:pt>
                <c:pt idx="111">
                  <c:v>-0.96316294593037177</c:v>
                </c:pt>
                <c:pt idx="112">
                  <c:v>-0.95292838870965491</c:v>
                </c:pt>
                <c:pt idx="113">
                  <c:v>-0.95169310479055824</c:v>
                </c:pt>
                <c:pt idx="114">
                  <c:v>-0.95221048778757611</c:v>
                </c:pt>
                <c:pt idx="115">
                  <c:v>-0.96487350692750307</c:v>
                </c:pt>
                <c:pt idx="116">
                  <c:v>-0.9618993176810916</c:v>
                </c:pt>
                <c:pt idx="117">
                  <c:v>-0.96863702780638195</c:v>
                </c:pt>
                <c:pt idx="118">
                  <c:v>-0.9609234268738871</c:v>
                </c:pt>
                <c:pt idx="119">
                  <c:v>-0.96443586383263102</c:v>
                </c:pt>
                <c:pt idx="120">
                  <c:v>-0.95564460314529942</c:v>
                </c:pt>
                <c:pt idx="121">
                  <c:v>-0.96114268626237975</c:v>
                </c:pt>
                <c:pt idx="122">
                  <c:v>-0.96330462948411344</c:v>
                </c:pt>
                <c:pt idx="123">
                  <c:v>-0.9703773466155553</c:v>
                </c:pt>
                <c:pt idx="124">
                  <c:v>-0.9696944703984105</c:v>
                </c:pt>
                <c:pt idx="125">
                  <c:v>-0.97487680042083724</c:v>
                </c:pt>
                <c:pt idx="126">
                  <c:v>-0.98161539348396121</c:v>
                </c:pt>
                <c:pt idx="127">
                  <c:v>-0.97923765688351017</c:v>
                </c:pt>
                <c:pt idx="128">
                  <c:v>-0.97983471958451107</c:v>
                </c:pt>
                <c:pt idx="129">
                  <c:v>-0.98262213604842341</c:v>
                </c:pt>
                <c:pt idx="130">
                  <c:v>-0.98099481204547401</c:v>
                </c:pt>
                <c:pt idx="131">
                  <c:v>-0.98025554824441885</c:v>
                </c:pt>
                <c:pt idx="132">
                  <c:v>-0.9816220814948744</c:v>
                </c:pt>
                <c:pt idx="133">
                  <c:v>-0.97990532661563656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61-E046-A78F-19864830C258}"/>
            </c:ext>
          </c:extLst>
        </c:ser>
        <c:ser>
          <c:idx val="12"/>
          <c:order val="12"/>
          <c:tx>
            <c:strRef>
              <c:f>NN1再投資累積報酬!$A$24:$B$24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NN1再投資累積報酬!$C$24:$EF$24</c:f>
              <c:numCache>
                <c:formatCode>General</c:formatCode>
                <c:ptCount val="134"/>
                <c:pt idx="0">
                  <c:v>-2.7766967310441037E-2</c:v>
                </c:pt>
                <c:pt idx="1">
                  <c:v>5.1944843214943859E-2</c:v>
                </c:pt>
                <c:pt idx="2">
                  <c:v>0.13807843896906569</c:v>
                </c:pt>
                <c:pt idx="3">
                  <c:v>0.36745327608340705</c:v>
                </c:pt>
                <c:pt idx="4">
                  <c:v>0.33651821673062376</c:v>
                </c:pt>
                <c:pt idx="5">
                  <c:v>-0.13236203281666581</c:v>
                </c:pt>
                <c:pt idx="6">
                  <c:v>7.6206199935206831E-2</c:v>
                </c:pt>
                <c:pt idx="7">
                  <c:v>8.0549472136071332E-2</c:v>
                </c:pt>
                <c:pt idx="8">
                  <c:v>0.13505707276609025</c:v>
                </c:pt>
                <c:pt idx="9">
                  <c:v>0.51389309082065426</c:v>
                </c:pt>
                <c:pt idx="10">
                  <c:v>0.29162430806183215</c:v>
                </c:pt>
                <c:pt idx="11">
                  <c:v>0.15575613739130789</c:v>
                </c:pt>
                <c:pt idx="12">
                  <c:v>0.19811320221650508</c:v>
                </c:pt>
                <c:pt idx="13">
                  <c:v>0.32301460383006475</c:v>
                </c:pt>
                <c:pt idx="14">
                  <c:v>0.20375152010792008</c:v>
                </c:pt>
                <c:pt idx="15">
                  <c:v>0.33419664933571736</c:v>
                </c:pt>
                <c:pt idx="16">
                  <c:v>0.52082914601435859</c:v>
                </c:pt>
                <c:pt idx="17">
                  <c:v>0.93219322530027382</c:v>
                </c:pt>
                <c:pt idx="18">
                  <c:v>1.6914715170060677</c:v>
                </c:pt>
                <c:pt idx="19">
                  <c:v>2.0051364600323378</c:v>
                </c:pt>
                <c:pt idx="20">
                  <c:v>0.51545429736109627</c:v>
                </c:pt>
                <c:pt idx="21">
                  <c:v>0.57024993678529268</c:v>
                </c:pt>
                <c:pt idx="22">
                  <c:v>0.52408641079255736</c:v>
                </c:pt>
                <c:pt idx="23">
                  <c:v>0.29484868700195466</c:v>
                </c:pt>
                <c:pt idx="24">
                  <c:v>0.57783084906644033</c:v>
                </c:pt>
                <c:pt idx="25">
                  <c:v>0.10386025472413762</c:v>
                </c:pt>
                <c:pt idx="26">
                  <c:v>-0.33961265955090481</c:v>
                </c:pt>
                <c:pt idx="27">
                  <c:v>-0.30004083238450774</c:v>
                </c:pt>
                <c:pt idx="28">
                  <c:v>-0.16484946602609918</c:v>
                </c:pt>
                <c:pt idx="29">
                  <c:v>-0.5785741986545121</c:v>
                </c:pt>
                <c:pt idx="30">
                  <c:v>-0.73873934702939092</c:v>
                </c:pt>
                <c:pt idx="31">
                  <c:v>-0.72392655771637049</c:v>
                </c:pt>
                <c:pt idx="32">
                  <c:v>-0.72149481142925365</c:v>
                </c:pt>
                <c:pt idx="33">
                  <c:v>-0.6989661802654854</c:v>
                </c:pt>
                <c:pt idx="34">
                  <c:v>-0.66489542427975112</c:v>
                </c:pt>
                <c:pt idx="35">
                  <c:v>-0.70090389421619936</c:v>
                </c:pt>
                <c:pt idx="36">
                  <c:v>-0.69524521081909196</c:v>
                </c:pt>
                <c:pt idx="37">
                  <c:v>-0.76265375963852566</c:v>
                </c:pt>
                <c:pt idx="38">
                  <c:v>-0.77833999920620589</c:v>
                </c:pt>
                <c:pt idx="39">
                  <c:v>-0.77327468793275322</c:v>
                </c:pt>
                <c:pt idx="40">
                  <c:v>-0.69244894346917785</c:v>
                </c:pt>
                <c:pt idx="41">
                  <c:v>-0.69870786719423728</c:v>
                </c:pt>
                <c:pt idx="42">
                  <c:v>-0.6977175881341191</c:v>
                </c:pt>
                <c:pt idx="43">
                  <c:v>-0.6521427772476257</c:v>
                </c:pt>
                <c:pt idx="44">
                  <c:v>-0.73209463463645363</c:v>
                </c:pt>
                <c:pt idx="45">
                  <c:v>-0.66573858524250196</c:v>
                </c:pt>
                <c:pt idx="46">
                  <c:v>-0.61603025052236193</c:v>
                </c:pt>
                <c:pt idx="47">
                  <c:v>-0.65883955122700821</c:v>
                </c:pt>
                <c:pt idx="48">
                  <c:v>-0.75007804990218352</c:v>
                </c:pt>
                <c:pt idx="49">
                  <c:v>-0.9025053373473636</c:v>
                </c:pt>
                <c:pt idx="50">
                  <c:v>-0.89258206790173933</c:v>
                </c:pt>
                <c:pt idx="51">
                  <c:v>-0.90183709310065119</c:v>
                </c:pt>
                <c:pt idx="52">
                  <c:v>-0.90140842848525282</c:v>
                </c:pt>
                <c:pt idx="53">
                  <c:v>-0.89957068159221798</c:v>
                </c:pt>
                <c:pt idx="54">
                  <c:v>-0.91002848694733873</c:v>
                </c:pt>
                <c:pt idx="55">
                  <c:v>-0.91904687152968523</c:v>
                </c:pt>
                <c:pt idx="56">
                  <c:v>-0.9333451368926261</c:v>
                </c:pt>
                <c:pt idx="57">
                  <c:v>-0.94318829816905736</c:v>
                </c:pt>
                <c:pt idx="58">
                  <c:v>-0.93357189502353732</c:v>
                </c:pt>
                <c:pt idx="59">
                  <c:v>-0.9337943172939972</c:v>
                </c:pt>
                <c:pt idx="60">
                  <c:v>-0.93445768015718811</c:v>
                </c:pt>
                <c:pt idx="61">
                  <c:v>-0.9552453637523215</c:v>
                </c:pt>
                <c:pt idx="62">
                  <c:v>-0.95145093411981874</c:v>
                </c:pt>
                <c:pt idx="63">
                  <c:v>-0.95178346326831542</c:v>
                </c:pt>
                <c:pt idx="64">
                  <c:v>-0.94401531192977206</c:v>
                </c:pt>
                <c:pt idx="65">
                  <c:v>-0.95092108932839137</c:v>
                </c:pt>
                <c:pt idx="66">
                  <c:v>-0.94777171362635271</c:v>
                </c:pt>
                <c:pt idx="67">
                  <c:v>-0.94555952066595572</c:v>
                </c:pt>
                <c:pt idx="68">
                  <c:v>-0.94562946130161829</c:v>
                </c:pt>
                <c:pt idx="69">
                  <c:v>-0.94259562567716937</c:v>
                </c:pt>
                <c:pt idx="70">
                  <c:v>-0.91667355895497016</c:v>
                </c:pt>
                <c:pt idx="71">
                  <c:v>-0.91281898563825148</c:v>
                </c:pt>
                <c:pt idx="72">
                  <c:v>-0.92598571152664155</c:v>
                </c:pt>
                <c:pt idx="73">
                  <c:v>-0.92168967282140701</c:v>
                </c:pt>
                <c:pt idx="74">
                  <c:v>-0.91241708550721945</c:v>
                </c:pt>
                <c:pt idx="75">
                  <c:v>-0.88974249088445201</c:v>
                </c:pt>
                <c:pt idx="76">
                  <c:v>-0.87871365276264202</c:v>
                </c:pt>
                <c:pt idx="77">
                  <c:v>-0.87093591308765939</c:v>
                </c:pt>
                <c:pt idx="78">
                  <c:v>-0.89448623702655417</c:v>
                </c:pt>
                <c:pt idx="79">
                  <c:v>-0.87925993515932976</c:v>
                </c:pt>
                <c:pt idx="80">
                  <c:v>-0.85926960632398419</c:v>
                </c:pt>
                <c:pt idx="81">
                  <c:v>-0.86545676657416615</c:v>
                </c:pt>
                <c:pt idx="82">
                  <c:v>-0.93541507255083933</c:v>
                </c:pt>
                <c:pt idx="83">
                  <c:v>-0.94916991081451141</c:v>
                </c:pt>
                <c:pt idx="84">
                  <c:v>-0.95214387767257591</c:v>
                </c:pt>
                <c:pt idx="85">
                  <c:v>-0.96650965837332059</c:v>
                </c:pt>
                <c:pt idx="86">
                  <c:v>-0.95569029321180898</c:v>
                </c:pt>
                <c:pt idx="87">
                  <c:v>-0.95499535094149124</c:v>
                </c:pt>
                <c:pt idx="88">
                  <c:v>-0.95298415895728494</c:v>
                </c:pt>
                <c:pt idx="89">
                  <c:v>-0.95228263559308668</c:v>
                </c:pt>
                <c:pt idx="90">
                  <c:v>-0.97959651353081523</c:v>
                </c:pt>
                <c:pt idx="91">
                  <c:v>-0.98363777793567264</c:v>
                </c:pt>
                <c:pt idx="92">
                  <c:v>-0.98101671936514734</c:v>
                </c:pt>
                <c:pt idx="93">
                  <c:v>-0.9784010614190124</c:v>
                </c:pt>
                <c:pt idx="94">
                  <c:v>-0.97898116571142058</c:v>
                </c:pt>
                <c:pt idx="95">
                  <c:v>-0.97513689265118086</c:v>
                </c:pt>
                <c:pt idx="96">
                  <c:v>-0.97644790055278352</c:v>
                </c:pt>
                <c:pt idx="97">
                  <c:v>-0.97214106720420335</c:v>
                </c:pt>
                <c:pt idx="98">
                  <c:v>-0.97868772739595766</c:v>
                </c:pt>
                <c:pt idx="99">
                  <c:v>-0.97751113663393396</c:v>
                </c:pt>
                <c:pt idx="100">
                  <c:v>-0.96941001730952703</c:v>
                </c:pt>
                <c:pt idx="101">
                  <c:v>-0.9659776184876514</c:v>
                </c:pt>
                <c:pt idx="102">
                  <c:v>-0.96482153796386183</c:v>
                </c:pt>
                <c:pt idx="103">
                  <c:v>-0.96540198258745802</c:v>
                </c:pt>
                <c:pt idx="104">
                  <c:v>-0.97518387239495141</c:v>
                </c:pt>
                <c:pt idx="105">
                  <c:v>-0.9739604373040226</c:v>
                </c:pt>
                <c:pt idx="106">
                  <c:v>-0.97738686855844981</c:v>
                </c:pt>
                <c:pt idx="107">
                  <c:v>-0.98178824467769155</c:v>
                </c:pt>
                <c:pt idx="108">
                  <c:v>-0.98631548640705069</c:v>
                </c:pt>
                <c:pt idx="109">
                  <c:v>-0.9826780742714768</c:v>
                </c:pt>
                <c:pt idx="110">
                  <c:v>-0.98203395846326169</c:v>
                </c:pt>
                <c:pt idx="111">
                  <c:v>-0.98441425434281538</c:v>
                </c:pt>
                <c:pt idx="112">
                  <c:v>-0.97912275013765782</c:v>
                </c:pt>
                <c:pt idx="113">
                  <c:v>-0.97784171137157794</c:v>
                </c:pt>
                <c:pt idx="114">
                  <c:v>-0.98024181067048755</c:v>
                </c:pt>
                <c:pt idx="115">
                  <c:v>-0.99045379010376911</c:v>
                </c:pt>
                <c:pt idx="116">
                  <c:v>-0.98966036364996679</c:v>
                </c:pt>
                <c:pt idx="117">
                  <c:v>-0.991972015002902</c:v>
                </c:pt>
                <c:pt idx="118">
                  <c:v>-0.98908939597678169</c:v>
                </c:pt>
                <c:pt idx="119">
                  <c:v>-0.98931323389431192</c:v>
                </c:pt>
                <c:pt idx="120">
                  <c:v>-0.9877742650366218</c:v>
                </c:pt>
                <c:pt idx="121">
                  <c:v>-0.98824327927085343</c:v>
                </c:pt>
                <c:pt idx="122">
                  <c:v>-0.9879871943799311</c:v>
                </c:pt>
                <c:pt idx="123">
                  <c:v>-0.99700228303164884</c:v>
                </c:pt>
                <c:pt idx="124">
                  <c:v>-0.99669896503564026</c:v>
                </c:pt>
                <c:pt idx="125">
                  <c:v>-0.99727247803806385</c:v>
                </c:pt>
                <c:pt idx="126">
                  <c:v>-0.99735994021851049</c:v>
                </c:pt>
                <c:pt idx="127">
                  <c:v>-0.9974890514557474</c:v>
                </c:pt>
                <c:pt idx="128">
                  <c:v>-0.99762694521695217</c:v>
                </c:pt>
                <c:pt idx="129">
                  <c:v>-0.99788615636395928</c:v>
                </c:pt>
                <c:pt idx="130">
                  <c:v>-0.99758250906717294</c:v>
                </c:pt>
                <c:pt idx="131">
                  <c:v>-0.99775133454646692</c:v>
                </c:pt>
                <c:pt idx="132">
                  <c:v>-0.99799302560674352</c:v>
                </c:pt>
                <c:pt idx="133">
                  <c:v>-0.99772392044522373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D61-E046-A78F-19864830C258}"/>
            </c:ext>
          </c:extLst>
        </c:ser>
        <c:ser>
          <c:idx val="13"/>
          <c:order val="13"/>
          <c:tx>
            <c:strRef>
              <c:f>NN1再投資累積報酬!$A$25:$B$25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NN1再投資累積報酬!$C$10:$EF$11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NN1再投資累積報酬!$C$25:$EF$25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D61-E046-A78F-19864830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021232"/>
        <c:axId val="386119343"/>
      </c:lineChart>
      <c:catAx>
        <c:axId val="9970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6119343"/>
        <c:crosses val="autoZero"/>
        <c:auto val="1"/>
        <c:lblAlgn val="ctr"/>
        <c:lblOffset val="100"/>
        <c:noMultiLvlLbl val="0"/>
      </c:catAx>
      <c:valAx>
        <c:axId val="3861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97021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579967</xdr:colOff>
      <xdr:row>26</xdr:row>
      <xdr:rowOff>190501</xdr:rowOff>
    </xdr:from>
    <xdr:to>
      <xdr:col>9</xdr:col>
      <xdr:colOff>338667</xdr:colOff>
      <xdr:row>42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27</xdr:row>
      <xdr:rowOff>57220</xdr:rowOff>
    </xdr:from>
    <xdr:to>
      <xdr:col>18</xdr:col>
      <xdr:colOff>488461</xdr:colOff>
      <xdr:row>53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1"/>
  <sheetViews>
    <sheetView zoomScale="139" zoomScaleNormal="80" workbookViewId="0">
      <selection activeCell="C12" sqref="C12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1">
        <v>-9.1369017958641052E-2</v>
      </c>
      <c r="D3" s="11">
        <v>-0.1108541637659073</v>
      </c>
      <c r="E3" s="11">
        <v>1.095622777938843E-3</v>
      </c>
      <c r="F3" s="11">
        <v>-0.13442955911159521</v>
      </c>
      <c r="G3" s="11">
        <v>-0.1746680736541748</v>
      </c>
      <c r="H3" s="11">
        <v>5.4118875414133072E-3</v>
      </c>
      <c r="I3" s="11">
        <v>-3.5852931439876563E-2</v>
      </c>
      <c r="J3" s="11">
        <v>-7.7711276710033417E-2</v>
      </c>
      <c r="K3" s="11">
        <v>-1.449720188975334E-2</v>
      </c>
      <c r="L3" s="11">
        <v>-4.7656506299972527E-2</v>
      </c>
      <c r="M3" s="11">
        <v>-5.7244118303060532E-2</v>
      </c>
      <c r="N3" s="11">
        <v>2.682022750377655E-5</v>
      </c>
      <c r="O3" s="11">
        <v>-3.0116423964500431E-2</v>
      </c>
      <c r="P3" s="11">
        <v>-4.0258027613162987E-2</v>
      </c>
      <c r="Q3" s="11">
        <v>3.7178266793489461E-3</v>
      </c>
      <c r="R3" s="11">
        <v>2.9201550409197811E-2</v>
      </c>
      <c r="S3" s="11">
        <v>7.7254641801118851E-3</v>
      </c>
      <c r="T3" s="11">
        <v>-5.8597654104232788E-2</v>
      </c>
      <c r="U3" s="11">
        <v>6.510857492685318E-4</v>
      </c>
      <c r="V3" s="11">
        <v>-0.107098214328289</v>
      </c>
      <c r="W3" s="11">
        <v>-0.19089989364147189</v>
      </c>
      <c r="X3" s="11">
        <v>-7.1200095117092133E-2</v>
      </c>
      <c r="Y3" s="11">
        <v>-0.1000832766294479</v>
      </c>
      <c r="Z3" s="11">
        <v>-4.923209547996521E-2</v>
      </c>
      <c r="AA3" s="11">
        <v>-2.046559751033783E-2</v>
      </c>
      <c r="AB3" s="11">
        <v>-6.9066941738128662E-2</v>
      </c>
      <c r="AC3" s="11">
        <v>-5.033314973115921E-2</v>
      </c>
      <c r="AD3" s="11">
        <v>-1.914726942777634E-2</v>
      </c>
      <c r="AE3" s="11">
        <v>-1.0799495503306391E-2</v>
      </c>
      <c r="AF3" s="11">
        <v>1.033585891127586E-2</v>
      </c>
      <c r="AG3" s="11">
        <v>6.015850231051445E-3</v>
      </c>
      <c r="AH3" s="11">
        <v>-0.26610976457595831</v>
      </c>
      <c r="AI3" s="11">
        <v>-0.14365202188491821</v>
      </c>
      <c r="AJ3" s="11">
        <v>-0.25451940298080439</v>
      </c>
      <c r="AK3" s="11">
        <v>2.8104119002819061E-2</v>
      </c>
      <c r="AL3" s="11">
        <v>-5.1742583513259888E-2</v>
      </c>
      <c r="AM3" s="11">
        <v>-8.2977190613746643E-2</v>
      </c>
      <c r="AN3" s="11">
        <v>-7.0350959897041321E-2</v>
      </c>
      <c r="AO3" s="11">
        <v>-0.1968108415603638</v>
      </c>
      <c r="AP3" s="11">
        <v>-0.25679254531860352</v>
      </c>
      <c r="AQ3" s="11">
        <v>-5.9776842594146729E-2</v>
      </c>
      <c r="AR3" s="11">
        <v>-4.1728809475898743E-2</v>
      </c>
      <c r="AS3" s="11">
        <v>-8.1946820020675659E-2</v>
      </c>
      <c r="AT3" s="11">
        <v>-0.13346004486083979</v>
      </c>
      <c r="AU3" s="11">
        <v>3.601998090744019E-3</v>
      </c>
      <c r="AV3" s="11">
        <v>7.9997703433036804E-3</v>
      </c>
      <c r="AW3" s="11">
        <v>2.431571483612061E-3</v>
      </c>
      <c r="AX3" s="11">
        <v>1.277367025613785E-2</v>
      </c>
      <c r="AY3" s="11">
        <v>2.707108855247498E-3</v>
      </c>
      <c r="AZ3" s="11">
        <v>1.4640374109148979E-2</v>
      </c>
      <c r="BA3" s="11">
        <v>3.6530185490846627E-2</v>
      </c>
      <c r="BB3" s="11">
        <v>3.3319383859634399E-2</v>
      </c>
      <c r="BC3" s="11">
        <v>1.1332087218761441E-2</v>
      </c>
      <c r="BD3" s="11">
        <v>-7.7839195728302002E-4</v>
      </c>
      <c r="BE3" s="11">
        <v>-1.704639196395874E-2</v>
      </c>
      <c r="BF3" s="11">
        <v>-2.8747007250785831E-2</v>
      </c>
      <c r="BG3" s="11">
        <v>-3.7359297275543209E-3</v>
      </c>
      <c r="BH3" s="11">
        <v>3.0615001916885379E-2</v>
      </c>
      <c r="BI3" s="11">
        <v>-1.3157427310943599E-3</v>
      </c>
      <c r="BJ3" s="11">
        <v>-6.5720930695533752E-2</v>
      </c>
      <c r="BK3" s="11">
        <v>-4.0063485503196723E-2</v>
      </c>
      <c r="BL3" s="11">
        <v>-8.8971659541130066E-2</v>
      </c>
      <c r="BM3" s="11">
        <v>-2.1720856428146359E-2</v>
      </c>
      <c r="BN3" s="11">
        <v>-6.8609192967414856E-2</v>
      </c>
      <c r="BO3" s="11">
        <v>-5.5181741714477539E-2</v>
      </c>
      <c r="BP3" s="11">
        <v>-8.5352331399917603E-2</v>
      </c>
      <c r="BQ3" s="11">
        <v>-3.6593899130821228E-2</v>
      </c>
      <c r="BR3" s="11">
        <v>3.5782556980848312E-2</v>
      </c>
      <c r="BS3" s="11">
        <v>3.381897509098053E-2</v>
      </c>
      <c r="BT3" s="11">
        <v>3.7881385535001748E-2</v>
      </c>
      <c r="BU3" s="11">
        <v>3.3238206058740623E-2</v>
      </c>
      <c r="BV3" s="11">
        <v>4.6295918524265289E-2</v>
      </c>
      <c r="BW3" s="11">
        <v>3.5180661827325821E-2</v>
      </c>
      <c r="BX3" s="11">
        <v>2.4767490103840831E-2</v>
      </c>
      <c r="BY3" s="11">
        <v>3.3294945955276489E-2</v>
      </c>
      <c r="BZ3" s="11">
        <v>5.243389680981636E-2</v>
      </c>
      <c r="CA3" s="11">
        <v>4.8576407134532928E-3</v>
      </c>
      <c r="CB3" s="11">
        <v>3.7053938955068588E-2</v>
      </c>
      <c r="CC3" s="11">
        <v>2.6344805955886841E-2</v>
      </c>
      <c r="CD3" s="11">
        <v>3.6022435873746872E-2</v>
      </c>
      <c r="CE3" s="11">
        <v>2.6176232844591141E-2</v>
      </c>
      <c r="CF3" s="11">
        <v>1.8041616305708889E-2</v>
      </c>
      <c r="CG3" s="11">
        <v>1.433759741485119E-2</v>
      </c>
      <c r="CH3" s="11">
        <v>1.081309281289577E-2</v>
      </c>
      <c r="CI3" s="11">
        <v>9.3775922432541847E-3</v>
      </c>
      <c r="CJ3" s="11">
        <v>3.1418859958648682E-2</v>
      </c>
      <c r="CK3" s="11">
        <v>2.9902642592787739E-2</v>
      </c>
      <c r="CL3" s="11">
        <v>2.813007682561874E-2</v>
      </c>
      <c r="CM3" s="11">
        <v>1.7964363098144531E-2</v>
      </c>
      <c r="CN3" s="11">
        <v>6.8069854751229286E-3</v>
      </c>
      <c r="CO3" s="11">
        <v>4.2052153497934341E-2</v>
      </c>
      <c r="CP3" s="11">
        <v>3.3009041100740433E-2</v>
      </c>
      <c r="CQ3" s="11">
        <v>2.371090650558472E-2</v>
      </c>
      <c r="CR3" s="11">
        <v>2.6173286139965061E-2</v>
      </c>
      <c r="CS3" s="11">
        <v>1.9619772210717201E-2</v>
      </c>
      <c r="CT3" s="11">
        <v>1.4876773580908781E-2</v>
      </c>
      <c r="CU3" s="11">
        <v>4.0978025645017617E-2</v>
      </c>
      <c r="CV3" s="11">
        <v>3.9532899856567383E-2</v>
      </c>
      <c r="CW3" s="11">
        <v>2.4221045896410939E-2</v>
      </c>
      <c r="CX3" s="11">
        <v>4.2955689132213593E-2</v>
      </c>
      <c r="CY3" s="11">
        <v>2.8871554881334301E-2</v>
      </c>
      <c r="CZ3" s="11">
        <v>4.7397840768098831E-2</v>
      </c>
      <c r="DA3" s="11">
        <v>2.8573086485266689E-2</v>
      </c>
      <c r="DB3" s="11">
        <v>2.5090832263231281E-2</v>
      </c>
      <c r="DC3" s="11">
        <v>2.0950637757778171E-2</v>
      </c>
      <c r="DD3" s="11">
        <v>2.0789520815014839E-2</v>
      </c>
      <c r="DE3" s="11">
        <v>3.3207852393388748E-2</v>
      </c>
      <c r="DF3" s="11">
        <v>2.975026331841946E-2</v>
      </c>
      <c r="DG3" s="11">
        <v>1.9087659195065498E-2</v>
      </c>
      <c r="DH3" s="11">
        <v>2.3787431418895721E-2</v>
      </c>
      <c r="DI3" s="11">
        <v>1.9194494932889938E-2</v>
      </c>
      <c r="DJ3" s="11">
        <v>3.5664934664964683E-2</v>
      </c>
      <c r="DK3" s="11">
        <v>3.7067931145429611E-2</v>
      </c>
      <c r="DL3" s="11">
        <v>2.47370321303606E-2</v>
      </c>
      <c r="DM3" s="11">
        <v>3.1437266618013382E-2</v>
      </c>
      <c r="DN3" s="11">
        <v>2.590093947947025E-2</v>
      </c>
      <c r="DO3" s="11">
        <v>2.2398050874471661E-2</v>
      </c>
      <c r="DP3" s="11">
        <v>1.9147077575325969E-2</v>
      </c>
      <c r="DQ3" s="11">
        <v>2.4746008217334751E-2</v>
      </c>
      <c r="DR3" s="11">
        <v>3.8861591368913651E-2</v>
      </c>
      <c r="DS3" s="11">
        <v>2.9537344351410869E-2</v>
      </c>
      <c r="DT3" s="11">
        <v>3.6585744470357888E-2</v>
      </c>
      <c r="DU3" s="11">
        <v>1.0436186566948891E-2</v>
      </c>
      <c r="DV3" s="11">
        <v>1.354960352182388E-2</v>
      </c>
      <c r="DW3" s="11">
        <v>3.0600432306528091E-2</v>
      </c>
      <c r="DX3" s="11">
        <v>3.076322935521603E-2</v>
      </c>
      <c r="DY3" s="11">
        <v>2.6879474520683289E-2</v>
      </c>
      <c r="DZ3" s="11">
        <v>3.8272425532341003E-2</v>
      </c>
      <c r="EA3" s="11">
        <v>3.7800624966621399E-2</v>
      </c>
      <c r="EB3" s="11">
        <v>9.2485006898641586E-3</v>
      </c>
      <c r="EC3" s="11">
        <v>1.0824577882885929E-2</v>
      </c>
      <c r="ED3" s="11">
        <v>3.1915292143821723E-2</v>
      </c>
      <c r="EE3" s="11">
        <v>1.992469280958176E-2</v>
      </c>
      <c r="EF3" s="11">
        <v>3.6655358970165253E-2</v>
      </c>
    </row>
    <row r="4" spans="1:136" s="1" customFormat="1">
      <c r="B4" s="2" t="s">
        <v>137</v>
      </c>
      <c r="C4" s="11">
        <v>4.5735888183116913E-2</v>
      </c>
      <c r="D4" s="11">
        <v>0.1421964764595032</v>
      </c>
      <c r="E4" s="11">
        <v>0.12357825040817259</v>
      </c>
      <c r="F4" s="11">
        <v>0.10848225653171539</v>
      </c>
      <c r="G4" s="11">
        <v>9.5342576503753662E-2</v>
      </c>
      <c r="H4" s="11">
        <v>9.0842671692371368E-2</v>
      </c>
      <c r="I4" s="11">
        <v>7.6174549758434296E-2</v>
      </c>
      <c r="J4" s="11">
        <v>5.9771746397018433E-2</v>
      </c>
      <c r="K4" s="11">
        <v>6.8689219653606415E-2</v>
      </c>
      <c r="L4" s="11">
        <v>6.0447685420513153E-2</v>
      </c>
      <c r="M4" s="11">
        <v>2.7975643053650859E-2</v>
      </c>
      <c r="N4" s="11">
        <v>9.7275795415043831E-3</v>
      </c>
      <c r="O4" s="11">
        <v>9.3574635684490204E-3</v>
      </c>
      <c r="P4" s="11">
        <v>-1.796905649825931E-3</v>
      </c>
      <c r="Q4" s="11">
        <v>-2.5195966009050612E-3</v>
      </c>
      <c r="R4" s="11">
        <v>-3.085714997723699E-3</v>
      </c>
      <c r="S4" s="11">
        <v>-3.105835290625691E-3</v>
      </c>
      <c r="T4" s="11">
        <v>-4.2619518935680389E-3</v>
      </c>
      <c r="U4" s="11">
        <v>-9.374961256980896E-3</v>
      </c>
      <c r="V4" s="11">
        <v>-1.153737679123878E-2</v>
      </c>
      <c r="W4" s="11">
        <v>-1.192781608551741E-2</v>
      </c>
      <c r="X4" s="11">
        <v>-1.2192427180707449E-2</v>
      </c>
      <c r="Y4" s="11">
        <v>-1.5751872211694721E-2</v>
      </c>
      <c r="Z4" s="11">
        <v>-1.7309032380580899E-2</v>
      </c>
      <c r="AA4" s="11">
        <v>-1.7488019540905949E-2</v>
      </c>
      <c r="AB4" s="11">
        <v>-1.846657320857048E-2</v>
      </c>
      <c r="AC4" s="11">
        <v>-1.864372193813324E-2</v>
      </c>
      <c r="AD4" s="11">
        <v>-1.8953690305352211E-2</v>
      </c>
      <c r="AE4" s="11">
        <v>-1.921507716178894E-2</v>
      </c>
      <c r="AF4" s="11">
        <v>-2.0113235339522358E-2</v>
      </c>
      <c r="AG4" s="11">
        <v>-2.026095055043697E-2</v>
      </c>
      <c r="AH4" s="11">
        <v>-2.0400110632181171E-2</v>
      </c>
      <c r="AI4" s="11">
        <v>-2.257528901100159E-2</v>
      </c>
      <c r="AJ4" s="11">
        <v>-2.2869756445288662E-2</v>
      </c>
      <c r="AK4" s="11">
        <v>-2.3673111572861671E-2</v>
      </c>
      <c r="AL4" s="11">
        <v>-5.0100833177566528E-2</v>
      </c>
      <c r="AM4" s="11">
        <v>-2.9040023684501651E-2</v>
      </c>
      <c r="AN4" s="11">
        <v>-2.910598739981651E-2</v>
      </c>
      <c r="AO4" s="11">
        <v>-3.0611878260970119E-2</v>
      </c>
      <c r="AP4" s="11">
        <v>-3.0782695859670639E-2</v>
      </c>
      <c r="AQ4" s="11">
        <v>-2.7796577662229541E-2</v>
      </c>
      <c r="AR4" s="11">
        <v>-2.7182344347238541E-2</v>
      </c>
      <c r="AS4" s="11">
        <v>-2.4847416207194328E-2</v>
      </c>
      <c r="AT4" s="11">
        <v>-2.531261928379536E-2</v>
      </c>
      <c r="AU4" s="11">
        <v>-2.5429589673876759E-2</v>
      </c>
      <c r="AV4" s="11">
        <v>-2.5587804615497589E-2</v>
      </c>
      <c r="AW4" s="11">
        <v>-2.59556844830513E-2</v>
      </c>
      <c r="AX4" s="11">
        <v>-2.625242434442043E-2</v>
      </c>
      <c r="AY4" s="11">
        <v>-3.3910792320966721E-2</v>
      </c>
      <c r="AZ4" s="11">
        <v>-2.8038723394274712E-2</v>
      </c>
      <c r="BA4" s="11">
        <v>-2.7945993468165401E-2</v>
      </c>
      <c r="BB4" s="11">
        <v>-3.2719224691390991E-2</v>
      </c>
      <c r="BC4" s="11">
        <v>-3.2609779387712479E-2</v>
      </c>
      <c r="BD4" s="11">
        <v>-3.2060969620943069E-2</v>
      </c>
      <c r="BE4" s="11">
        <v>-3.2296057790517807E-2</v>
      </c>
      <c r="BF4" s="11">
        <v>-3.2346583902835853E-2</v>
      </c>
      <c r="BG4" s="11">
        <v>-3.2194517552852631E-2</v>
      </c>
      <c r="BH4" s="11">
        <v>-1.9704345613718029E-2</v>
      </c>
      <c r="BI4" s="11">
        <v>-2.780326642096043E-2</v>
      </c>
      <c r="BJ4" s="11">
        <v>-2.80107855796814E-2</v>
      </c>
      <c r="BK4" s="11">
        <v>-3.0229432508349419E-2</v>
      </c>
      <c r="BL4" s="11">
        <v>-2.991438657045364E-2</v>
      </c>
      <c r="BM4" s="11">
        <v>-3.1547844409942627E-2</v>
      </c>
      <c r="BN4" s="11">
        <v>-3.8578428328037262E-2</v>
      </c>
      <c r="BO4" s="11">
        <v>-2.9772218316793438E-2</v>
      </c>
      <c r="BP4" s="11">
        <v>-3.6932468414306641E-2</v>
      </c>
      <c r="BQ4" s="11">
        <v>-3.3658269792795181E-2</v>
      </c>
      <c r="BR4" s="11">
        <v>-1.1724528856575491E-2</v>
      </c>
      <c r="BS4" s="11">
        <v>-1.5890749171376228E-2</v>
      </c>
      <c r="BT4" s="11">
        <v>-2.0781641826033589E-2</v>
      </c>
      <c r="BU4" s="11">
        <v>-2.0965751260519031E-2</v>
      </c>
      <c r="BV4" s="11">
        <v>-1.7983367666602131E-2</v>
      </c>
      <c r="BW4" s="11">
        <v>-2.2088326513767239E-2</v>
      </c>
      <c r="BX4" s="11">
        <v>-3.0406095087528229E-2</v>
      </c>
      <c r="BY4" s="11">
        <v>-3.0804829671978951E-2</v>
      </c>
      <c r="BZ4" s="11">
        <v>-3.0603507533669468E-2</v>
      </c>
      <c r="CA4" s="11">
        <v>-3.099978901445866E-2</v>
      </c>
      <c r="CB4" s="11">
        <v>-2.641275338828564E-2</v>
      </c>
      <c r="CC4" s="11">
        <v>-2.8904115781188011E-2</v>
      </c>
      <c r="CD4" s="11">
        <v>-2.8219865635037419E-2</v>
      </c>
      <c r="CE4" s="11">
        <v>-2.8157502412796021E-2</v>
      </c>
      <c r="CF4" s="11">
        <v>-3.0116477981209751E-2</v>
      </c>
      <c r="CG4" s="11">
        <v>-3.000578656792641E-2</v>
      </c>
      <c r="CH4" s="11">
        <v>-3.004055842757225E-2</v>
      </c>
      <c r="CI4" s="11">
        <v>-3.1394515186548233E-2</v>
      </c>
      <c r="CJ4" s="11">
        <v>-3.1854711472988129E-2</v>
      </c>
      <c r="CK4" s="11">
        <v>-3.1971924006938927E-2</v>
      </c>
      <c r="CL4" s="11">
        <v>-3.5468246787786477E-2</v>
      </c>
      <c r="CM4" s="11">
        <v>-3.1219955533742901E-2</v>
      </c>
      <c r="CN4" s="11">
        <v>-3.586915135383606E-2</v>
      </c>
      <c r="CO4" s="11">
        <v>-3.1749378889799118E-2</v>
      </c>
      <c r="CP4" s="11">
        <v>-3.1618151813745499E-2</v>
      </c>
      <c r="CQ4" s="11">
        <v>-2.7020266279578209E-2</v>
      </c>
      <c r="CR4" s="11">
        <v>-2.5449879467487339E-2</v>
      </c>
      <c r="CS4" s="11">
        <v>-2.9090225696563721E-2</v>
      </c>
      <c r="CT4" s="11">
        <v>-2.5807581841945652E-2</v>
      </c>
      <c r="CU4" s="11">
        <v>-2.6407243683934212E-2</v>
      </c>
      <c r="CV4" s="11">
        <v>-2.782540954649448E-2</v>
      </c>
      <c r="CW4" s="11">
        <v>-3.4329790621995933E-2</v>
      </c>
      <c r="CX4" s="11">
        <v>-2.7993788942694661E-2</v>
      </c>
      <c r="CY4" s="11">
        <v>-2.6280265301465992E-2</v>
      </c>
      <c r="CZ4" s="11">
        <v>-2.7791231870651249E-2</v>
      </c>
      <c r="DA4" s="11">
        <v>-2.9591461643576619E-2</v>
      </c>
      <c r="DB4" s="11">
        <v>-3.4101340919733047E-2</v>
      </c>
      <c r="DC4" s="11">
        <v>-3.4843210130929947E-2</v>
      </c>
      <c r="DD4" s="11">
        <v>-3.2262604683637619E-2</v>
      </c>
      <c r="DE4" s="11">
        <v>-2.881589904427528E-2</v>
      </c>
      <c r="DF4" s="11">
        <v>-2.8322570025920871E-2</v>
      </c>
      <c r="DG4" s="11">
        <v>-2.6369631290435791E-2</v>
      </c>
      <c r="DH4" s="11">
        <v>-3.1315241008996957E-2</v>
      </c>
      <c r="DI4" s="11">
        <v>-2.9898226261138919E-2</v>
      </c>
      <c r="DJ4" s="11">
        <v>-2.9556438326835629E-2</v>
      </c>
      <c r="DK4" s="11">
        <v>-2.8653092682361599E-2</v>
      </c>
      <c r="DL4" s="11">
        <v>-2.926721982657909E-2</v>
      </c>
      <c r="DM4" s="11">
        <v>-2.9532833024859428E-2</v>
      </c>
      <c r="DN4" s="11">
        <v>-3.190428763628006E-2</v>
      </c>
      <c r="DO4" s="11">
        <v>-2.7400294318795201E-2</v>
      </c>
      <c r="DP4" s="11">
        <v>-3.3020105212926858E-2</v>
      </c>
      <c r="DQ4" s="11">
        <v>-2.694530226290226E-2</v>
      </c>
      <c r="DR4" s="11">
        <v>-2.806044556200504E-2</v>
      </c>
      <c r="DS4" s="11">
        <v>-2.7914209291338921E-2</v>
      </c>
      <c r="DT4" s="11">
        <v>-2.7555149048566822E-2</v>
      </c>
      <c r="DU4" s="11">
        <v>-2.540554478764534E-2</v>
      </c>
      <c r="DV4" s="11">
        <v>-2.6828791946172711E-2</v>
      </c>
      <c r="DW4" s="11">
        <v>-3.7095267325639718E-2</v>
      </c>
      <c r="DX4" s="11">
        <v>-2.7448661625385281E-2</v>
      </c>
      <c r="DY4" s="11">
        <v>-3.1317904591560357E-2</v>
      </c>
      <c r="DZ4" s="11">
        <v>-2.4290399625897411E-2</v>
      </c>
      <c r="EA4" s="11">
        <v>-8.3518818020820618E-2</v>
      </c>
      <c r="EB4" s="11">
        <v>-7.7344618737697601E-2</v>
      </c>
      <c r="EC4" s="11">
        <v>-7.0242889225482941E-2</v>
      </c>
      <c r="ED4" s="11">
        <v>-6.3896283507347107E-2</v>
      </c>
      <c r="EE4" s="11">
        <v>-9.7872823476791382E-2</v>
      </c>
      <c r="EF4" s="11">
        <v>-7.6828889548778534E-2</v>
      </c>
    </row>
    <row r="5" spans="1:136" s="1" customFormat="1">
      <c r="B5" s="2" t="s">
        <v>138</v>
      </c>
      <c r="C5" s="11">
        <v>0.50836324691772461</v>
      </c>
      <c r="D5" s="11">
        <v>0.76913774013519287</v>
      </c>
      <c r="E5" s="11">
        <v>0.54195535182952881</v>
      </c>
      <c r="F5" s="11">
        <v>1.1543282270431521</v>
      </c>
      <c r="G5" s="11">
        <v>0.54750555753707886</v>
      </c>
      <c r="H5" s="11">
        <v>0.91896617412567139</v>
      </c>
      <c r="I5" s="11">
        <v>0.66497212648391724</v>
      </c>
      <c r="J5" s="11">
        <v>0.96098613739013672</v>
      </c>
      <c r="K5" s="11">
        <v>1.069318890571594</v>
      </c>
      <c r="L5" s="11">
        <v>0.58301490545272827</v>
      </c>
      <c r="M5" s="11">
        <v>0.48336148262023931</v>
      </c>
      <c r="N5" s="11">
        <v>0.4335099458694458</v>
      </c>
      <c r="O5" s="11">
        <v>6.3416294753551483E-2</v>
      </c>
      <c r="P5" s="11">
        <v>3.3898822963237762E-2</v>
      </c>
      <c r="Q5" s="11">
        <v>-0.63935673236846924</v>
      </c>
      <c r="R5" s="11">
        <v>-5.0250470638275153E-2</v>
      </c>
      <c r="S5" s="11">
        <v>6.6091194748878479E-2</v>
      </c>
      <c r="T5" s="11">
        <v>-6.0526482760906219E-2</v>
      </c>
      <c r="U5" s="11">
        <v>-5.0881840288639069E-2</v>
      </c>
      <c r="V5" s="11">
        <v>0.12953431904315951</v>
      </c>
      <c r="W5" s="11">
        <v>0.1782713979482651</v>
      </c>
      <c r="X5" s="11">
        <v>0.22364641726017001</v>
      </c>
      <c r="Y5" s="11">
        <v>0.2607954740524292</v>
      </c>
      <c r="Z5" s="11">
        <v>0.17032516002655029</v>
      </c>
      <c r="AA5" s="11">
        <v>0.14871090650558469</v>
      </c>
      <c r="AB5" s="11">
        <v>0.13639476895332339</v>
      </c>
      <c r="AC5" s="11">
        <v>0.1064975261688232</v>
      </c>
      <c r="AD5" s="11">
        <v>0.1051289364695549</v>
      </c>
      <c r="AE5" s="11">
        <v>9.8157517611980438E-2</v>
      </c>
      <c r="AF5" s="11">
        <v>8.0513276159763336E-2</v>
      </c>
      <c r="AG5" s="11">
        <v>5.8855693787336349E-2</v>
      </c>
      <c r="AH5" s="11">
        <v>3.0879952013492581E-2</v>
      </c>
      <c r="AI5" s="11">
        <v>-1.261719036847353E-2</v>
      </c>
      <c r="AJ5" s="11">
        <v>4.1990965604782098E-2</v>
      </c>
      <c r="AK5" s="11">
        <v>7.5650393962860107E-2</v>
      </c>
      <c r="AL5" s="11">
        <v>6.6236443817615509E-2</v>
      </c>
      <c r="AM5" s="11">
        <v>3.2869942486286163E-2</v>
      </c>
      <c r="AN5" s="11">
        <v>3.6517307162284851E-2</v>
      </c>
      <c r="AO5" s="11">
        <v>6.8531297147274017E-2</v>
      </c>
      <c r="AP5" s="11">
        <v>6.5215103328227997E-2</v>
      </c>
      <c r="AQ5" s="11">
        <v>0.1400775462388992</v>
      </c>
      <c r="AR5" s="11">
        <v>0.16342324018478391</v>
      </c>
      <c r="AS5" s="11">
        <v>0.18792152404785159</v>
      </c>
      <c r="AT5" s="11">
        <v>0.19995155930519101</v>
      </c>
      <c r="AU5" s="11">
        <v>0.19402837753295901</v>
      </c>
      <c r="AV5" s="11">
        <v>0.15869356691837311</v>
      </c>
      <c r="AW5" s="11">
        <v>-3.568306565284729E-2</v>
      </c>
      <c r="AX5" s="11">
        <v>3.6226339638233178E-2</v>
      </c>
      <c r="AY5" s="11">
        <v>0.1132773458957672</v>
      </c>
      <c r="AZ5" s="11">
        <v>0.104707270860672</v>
      </c>
      <c r="BA5" s="11">
        <v>6.849505752325058E-2</v>
      </c>
      <c r="BB5" s="11">
        <v>-7.3811113834381104E-3</v>
      </c>
      <c r="BC5" s="11">
        <v>-3.7875480949878693E-2</v>
      </c>
      <c r="BD5" s="11">
        <v>-2.379884384572506E-2</v>
      </c>
      <c r="BE5" s="11">
        <v>1.822005026042461E-3</v>
      </c>
      <c r="BF5" s="11">
        <v>-2.3551452904939651E-2</v>
      </c>
      <c r="BG5" s="11">
        <v>5.2555324509739876E-4</v>
      </c>
      <c r="BH5" s="11">
        <v>5.9344802051782608E-2</v>
      </c>
      <c r="BI5" s="11">
        <v>1.4028729870915409E-2</v>
      </c>
      <c r="BJ5" s="11">
        <v>8.2117840647697449E-3</v>
      </c>
      <c r="BK5" s="11">
        <v>5.5602390319108963E-2</v>
      </c>
      <c r="BL5" s="11">
        <v>-3.1602058559656143E-2</v>
      </c>
      <c r="BM5" s="11">
        <v>6.5659098327159882E-2</v>
      </c>
      <c r="BN5" s="11">
        <v>-5.0475221127271652E-2</v>
      </c>
      <c r="BO5" s="11">
        <v>-5.4688155651092529E-2</v>
      </c>
      <c r="BP5" s="11">
        <v>-3.0284570530056949E-3</v>
      </c>
      <c r="BQ5" s="11">
        <v>7.9566333442926407E-3</v>
      </c>
      <c r="BR5" s="11">
        <v>-2.7654411271214489E-2</v>
      </c>
      <c r="BS5" s="11">
        <v>-6.0201874002814293E-3</v>
      </c>
      <c r="BT5" s="11">
        <v>4.3329164385795593E-2</v>
      </c>
      <c r="BU5" s="11">
        <v>4.8520129173994057E-2</v>
      </c>
      <c r="BV5" s="11">
        <v>0.14270420372486109</v>
      </c>
      <c r="BW5" s="11">
        <v>0.13052307069301611</v>
      </c>
      <c r="BX5" s="11">
        <v>5.2400790154933929E-2</v>
      </c>
      <c r="BY5" s="11">
        <v>6.0546338558197021E-2</v>
      </c>
      <c r="BZ5" s="11">
        <v>5.7873823679983616E-3</v>
      </c>
      <c r="CA5" s="11">
        <v>-2.9747102409601212E-2</v>
      </c>
      <c r="CB5" s="11">
        <v>-3.9389632642269128E-2</v>
      </c>
      <c r="CC5" s="11">
        <v>1.370896119624376E-2</v>
      </c>
      <c r="CD5" s="11">
        <v>1.4963460154831409E-2</v>
      </c>
      <c r="CE5" s="11">
        <v>1.9200652837753299E-2</v>
      </c>
      <c r="CF5" s="11">
        <v>4.381309449672699E-2</v>
      </c>
      <c r="CG5" s="11">
        <v>3.0113250017166141E-2</v>
      </c>
      <c r="CH5" s="11">
        <v>4.3025322258472443E-2</v>
      </c>
      <c r="CI5" s="11">
        <v>2.937228232622147E-2</v>
      </c>
      <c r="CJ5" s="11">
        <v>4.1782274842262268E-2</v>
      </c>
      <c r="CK5" s="11">
        <v>3.7300810217857361E-2</v>
      </c>
      <c r="CL5" s="11">
        <v>6.0941599309444427E-2</v>
      </c>
      <c r="CM5" s="11">
        <v>-3.8412053138017647E-2</v>
      </c>
      <c r="CN5" s="11">
        <v>2.307451143860817E-2</v>
      </c>
      <c r="CO5" s="11">
        <v>0.1589557081460953</v>
      </c>
      <c r="CP5" s="11">
        <v>-3.6965128034353263E-2</v>
      </c>
      <c r="CQ5" s="11">
        <v>6.9797366857528687E-2</v>
      </c>
      <c r="CR5" s="11">
        <v>-3.3767849206924438E-2</v>
      </c>
      <c r="CS5" s="11">
        <v>2.6915153488516811E-2</v>
      </c>
      <c r="CT5" s="11">
        <v>5.3638488054275513E-2</v>
      </c>
      <c r="CU5" s="11">
        <v>6.3532985746860504E-2</v>
      </c>
      <c r="CV5" s="11">
        <v>5.5906884372234338E-2</v>
      </c>
      <c r="CW5" s="11">
        <v>4.8717334866523743E-2</v>
      </c>
      <c r="CX5" s="11">
        <v>3.1909029930830002E-2</v>
      </c>
      <c r="CY5" s="11">
        <v>2.966258488595486E-2</v>
      </c>
      <c r="CZ5" s="11">
        <v>3.6755949258804321E-2</v>
      </c>
      <c r="DA5" s="11">
        <v>2.631759271025658E-2</v>
      </c>
      <c r="DB5" s="11">
        <v>2.7680350467562679E-2</v>
      </c>
      <c r="DC5" s="11">
        <v>3.7085290998220437E-2</v>
      </c>
      <c r="DD5" s="11">
        <v>1.9733298569917679E-2</v>
      </c>
      <c r="DE5" s="11">
        <v>4.1370406746864319E-2</v>
      </c>
      <c r="DF5" s="11">
        <v>4.0565907955169678E-2</v>
      </c>
      <c r="DG5" s="11">
        <v>3.3224057406187057E-2</v>
      </c>
      <c r="DH5" s="11">
        <v>2.4580571800470349E-2</v>
      </c>
      <c r="DI5" s="11">
        <v>-2.881684526801109E-2</v>
      </c>
      <c r="DJ5" s="11">
        <v>2.9332105070352551E-2</v>
      </c>
      <c r="DK5" s="11">
        <v>3.2709039747715003E-2</v>
      </c>
      <c r="DL5" s="11">
        <v>3.5447288304567337E-2</v>
      </c>
      <c r="DM5" s="11">
        <v>4.903421550989151E-2</v>
      </c>
      <c r="DN5" s="11">
        <v>-0.11219848692417141</v>
      </c>
      <c r="DO5" s="11">
        <v>5.3319718688726432E-2</v>
      </c>
      <c r="DP5" s="11">
        <v>5.3090192377567291E-2</v>
      </c>
      <c r="DQ5" s="11">
        <v>6.7249387502670288E-2</v>
      </c>
      <c r="DR5" s="11">
        <v>3.8297854363918298E-2</v>
      </c>
      <c r="DS5" s="11">
        <v>4.5268747955560677E-2</v>
      </c>
      <c r="DT5" s="11">
        <v>8.5754990577697754E-3</v>
      </c>
      <c r="DU5" s="11">
        <v>1.5342086553573611E-3</v>
      </c>
      <c r="DV5" s="11">
        <v>3.8169108331203461E-2</v>
      </c>
      <c r="DW5" s="11">
        <v>3.0193541198968891E-2</v>
      </c>
      <c r="DX5" s="11">
        <v>3.4144993871450417E-2</v>
      </c>
      <c r="DY5" s="11">
        <v>5.4498199373483658E-2</v>
      </c>
      <c r="DZ5" s="11">
        <v>4.3653316795825958E-2</v>
      </c>
      <c r="EA5" s="11">
        <v>2.1745305508375171E-2</v>
      </c>
      <c r="EB5" s="11">
        <v>6.247103214263916E-3</v>
      </c>
      <c r="EC5" s="11">
        <v>2.142295241355896E-2</v>
      </c>
      <c r="ED5" s="11">
        <v>1.7024625092744831E-2</v>
      </c>
      <c r="EE5" s="11">
        <v>5.3500138223171227E-2</v>
      </c>
      <c r="EF5" s="11">
        <v>5.7897597551345832E-2</v>
      </c>
    </row>
    <row r="6" spans="1:136" s="1" customFormat="1">
      <c r="A6" s="2" t="s">
        <v>139</v>
      </c>
      <c r="C6" s="11">
        <f t="array" ref="C6">MATCH(MAX(ABS(C3:C5)),ABS(C3:C5),0)</f>
        <v>3</v>
      </c>
      <c r="D6" s="11">
        <f t="array" ref="D6">MATCH(MAX(ABS(D3:D5)),ABS(D3:D5),0)</f>
        <v>3</v>
      </c>
      <c r="E6" s="11">
        <f t="array" ref="E6">MATCH(MAX(ABS(E3:E5)),ABS(E3:E5),0)</f>
        <v>3</v>
      </c>
      <c r="F6" s="11">
        <f t="array" ref="F6">MATCH(MAX(ABS(F3:F5)),ABS(F3:F5),0)</f>
        <v>3</v>
      </c>
      <c r="G6" s="11">
        <f t="array" ref="G6">MATCH(MAX(ABS(G3:G5)),ABS(G3:G5),0)</f>
        <v>3</v>
      </c>
      <c r="H6" s="11">
        <f t="array" ref="H6">MATCH(MAX(ABS(H3:H5)),ABS(H3:H5),0)</f>
        <v>3</v>
      </c>
      <c r="I6" s="11">
        <f t="array" ref="I6">MATCH(MAX(ABS(I3:I5)),ABS(I3:I5),0)</f>
        <v>3</v>
      </c>
      <c r="J6" s="11">
        <f t="array" ref="J6">MATCH(MAX(ABS(J3:J5)),ABS(J3:J5),0)</f>
        <v>3</v>
      </c>
      <c r="K6" s="11">
        <f t="array" ref="K6">MATCH(MAX(ABS(K3:K5)),ABS(K3:K5),0)</f>
        <v>3</v>
      </c>
      <c r="L6" s="11">
        <f t="array" ref="L6">MATCH(MAX(ABS(L3:L5)),ABS(L3:L5),0)</f>
        <v>3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1</v>
      </c>
      <c r="Q6" s="11">
        <f t="array" ref="Q6">MATCH(MAX(ABS(Q3:Q5)),ABS(Q3:Q5),0)</f>
        <v>3</v>
      </c>
      <c r="R6" s="11">
        <f t="array" ref="R6">MATCH(MAX(ABS(R3:R5)),ABS(R3:R5),0)</f>
        <v>3</v>
      </c>
      <c r="S6" s="11">
        <f t="array" ref="S6">MATCH(MAX(ABS(S3:S5)),ABS(S3:S5),0)</f>
        <v>3</v>
      </c>
      <c r="T6" s="11">
        <f t="array" ref="T6">MATCH(MAX(ABS(T3:T5)),ABS(T3:T5),0)</f>
        <v>3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1</v>
      </c>
      <c r="X6" s="11">
        <f t="array" ref="X6">MATCH(MAX(ABS(X3:X5)),ABS(X3:X5),0)</f>
        <v>3</v>
      </c>
      <c r="Y6" s="11">
        <f t="array" ref="Y6">MATCH(MAX(ABS(Y3:Y5)),ABS(Y3:Y5),0)</f>
        <v>3</v>
      </c>
      <c r="Z6" s="11">
        <f t="array" ref="Z6">MATCH(MAX(ABS(Z3:Z5)),ABS(Z3:Z5),0)</f>
        <v>3</v>
      </c>
      <c r="AA6" s="11">
        <f t="array" ref="AA6">MATCH(MAX(ABS(AA3:AA5)),ABS(AA3:AA5),0)</f>
        <v>3</v>
      </c>
      <c r="AB6" s="11">
        <f t="array" ref="AB6">MATCH(MAX(ABS(AB3:AB5)),ABS(AB3:AB5),0)</f>
        <v>3</v>
      </c>
      <c r="AC6" s="11">
        <f t="array" ref="AC6">MATCH(MAX(ABS(AC3:AC5)),ABS(AC3:AC5),0)</f>
        <v>3</v>
      </c>
      <c r="AD6" s="11">
        <f t="array" ref="AD6">MATCH(MAX(ABS(AD3:AD5)),ABS(AD3:AD5),0)</f>
        <v>3</v>
      </c>
      <c r="AE6" s="11">
        <f t="array" ref="AE6">MATCH(MAX(ABS(AE3:AE5)),ABS(AE3:AE5),0)</f>
        <v>3</v>
      </c>
      <c r="AF6" s="11">
        <f t="array" ref="AF6">MATCH(MAX(ABS(AF3:AF5)),ABS(AF3:AF5),0)</f>
        <v>3</v>
      </c>
      <c r="AG6" s="11">
        <f t="array" ref="AG6">MATCH(MAX(ABS(AG3:AG5)),ABS(AG3:AG5),0)</f>
        <v>3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3</v>
      </c>
      <c r="AL6" s="11">
        <f t="array" ref="AL6">MATCH(MAX(ABS(AL3:AL5)),ABS(AL3:AL5),0)</f>
        <v>3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3</v>
      </c>
      <c r="AR6" s="11">
        <f t="array" ref="AR6">MATCH(MAX(ABS(AR3:AR5)),ABS(AR3:AR5),0)</f>
        <v>3</v>
      </c>
      <c r="AS6" s="11">
        <f t="array" ref="AS6">MATCH(MAX(ABS(AS3:AS5)),ABS(AS3:AS5),0)</f>
        <v>3</v>
      </c>
      <c r="AT6" s="11">
        <f t="array" ref="AT6">MATCH(MAX(ABS(AT3:AT5)),ABS(AT3:AT5),0)</f>
        <v>3</v>
      </c>
      <c r="AU6" s="11">
        <f t="array" ref="AU6">MATCH(MAX(ABS(AU3:AU5)),ABS(AU3:AU5),0)</f>
        <v>3</v>
      </c>
      <c r="AV6" s="11">
        <f t="array" ref="AV6">MATCH(MAX(ABS(AV3:AV5)),ABS(AV3:AV5),0)</f>
        <v>3</v>
      </c>
      <c r="AW6" s="11">
        <f t="array" ref="AW6">MATCH(MAX(ABS(AW3:AW5)),ABS(AW3:AW5),0)</f>
        <v>3</v>
      </c>
      <c r="AX6" s="11">
        <f t="array" ref="AX6">MATCH(MAX(ABS(AX3:AX5)),ABS(AX3:AX5),0)</f>
        <v>3</v>
      </c>
      <c r="AY6" s="11">
        <f t="array" ref="AY6">MATCH(MAX(ABS(AY3:AY5)),ABS(AY3:AY5),0)</f>
        <v>3</v>
      </c>
      <c r="AZ6" s="11">
        <f t="array" ref="AZ6">MATCH(MAX(ABS(AZ3:AZ5)),ABS(AZ3:AZ5),0)</f>
        <v>3</v>
      </c>
      <c r="BA6" s="11">
        <f t="array" ref="BA6">MATCH(MAX(ABS(BA3:BA5)),ABS(BA3:BA5),0)</f>
        <v>3</v>
      </c>
      <c r="BB6" s="11">
        <f t="array" ref="BB6">MATCH(MAX(ABS(BB3:BB5)),ABS(BB3:BB5),0)</f>
        <v>1</v>
      </c>
      <c r="BC6" s="11">
        <f t="array" ref="BC6">MATCH(MAX(ABS(BC3:BC5)),ABS(BC3:BC5),0)</f>
        <v>3</v>
      </c>
      <c r="BD6" s="11">
        <f t="array" ref="BD6">MATCH(MAX(ABS(BD3:BD5)),ABS(BD3:BD5),0)</f>
        <v>2</v>
      </c>
      <c r="BE6" s="11">
        <f t="array" ref="BE6">MATCH(MAX(ABS(BE3:BE5)),ABS(BE3:BE5),0)</f>
        <v>2</v>
      </c>
      <c r="BF6" s="11">
        <f t="array" ref="BF6">MATCH(MAX(ABS(BF3:BF5)),ABS(BF3:BF5),0)</f>
        <v>2</v>
      </c>
      <c r="BG6" s="11">
        <f t="array" ref="BG6">MATCH(MAX(ABS(BG3:BG5)),ABS(BG3:BG5),0)</f>
        <v>2</v>
      </c>
      <c r="BH6" s="11">
        <f t="array" ref="BH6">MATCH(MAX(ABS(BH3:BH5)),ABS(BH3:BH5),0)</f>
        <v>3</v>
      </c>
      <c r="BI6" s="11">
        <f t="array" ref="BI6">MATCH(MAX(ABS(BI3:BI5)),ABS(BI3:BI5),0)</f>
        <v>2</v>
      </c>
      <c r="BJ6" s="11">
        <f t="array" ref="BJ6">MATCH(MAX(ABS(BJ3:BJ5)),ABS(BJ3:BJ5),0)</f>
        <v>1</v>
      </c>
      <c r="BK6" s="11">
        <f t="array" ref="BK6">MATCH(MAX(ABS(BK3:BK5)),ABS(BK3:BK5),0)</f>
        <v>3</v>
      </c>
      <c r="BL6" s="11">
        <f t="array" ref="BL6">MATCH(MAX(ABS(BL3:BL5)),ABS(BL3:BL5),0)</f>
        <v>1</v>
      </c>
      <c r="BM6" s="11">
        <f t="array" ref="BM6">MATCH(MAX(ABS(BM3:BM5)),ABS(BM3:BM5),0)</f>
        <v>3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1</v>
      </c>
      <c r="BT6" s="11">
        <f t="array" ref="BT6">MATCH(MAX(ABS(BT3:BT5)),ABS(BT3:BT5),0)</f>
        <v>3</v>
      </c>
      <c r="BU6" s="11">
        <f t="array" ref="BU6">MATCH(MAX(ABS(BU3:BU5)),ABS(BU3:BU5),0)</f>
        <v>3</v>
      </c>
      <c r="BV6" s="11">
        <f t="array" ref="BV6">MATCH(MAX(ABS(BV3:BV5)),ABS(BV3:BV5),0)</f>
        <v>3</v>
      </c>
      <c r="BW6" s="11">
        <f t="array" ref="BW6">MATCH(MAX(ABS(BW3:BW5)),ABS(BW3:BW5),0)</f>
        <v>3</v>
      </c>
      <c r="BX6" s="11">
        <f t="array" ref="BX6">MATCH(MAX(ABS(BX3:BX5)),ABS(BX3:BX5),0)</f>
        <v>3</v>
      </c>
      <c r="BY6" s="11">
        <f t="array" ref="BY6">MATCH(MAX(ABS(BY3:BY5)),ABS(BY3:BY5),0)</f>
        <v>3</v>
      </c>
      <c r="BZ6" s="11">
        <f t="array" ref="BZ6">MATCH(MAX(ABS(BZ3:BZ5)),ABS(BZ3:BZ5),0)</f>
        <v>1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2</v>
      </c>
      <c r="CD6" s="11">
        <f t="array" ref="CD6">MATCH(MAX(ABS(CD3:CD5)),ABS(CD3:CD5),0)</f>
        <v>1</v>
      </c>
      <c r="CE6" s="11">
        <f t="array" ref="CE6">MATCH(MAX(ABS(CE3:CE5)),ABS(CE3:CE5),0)</f>
        <v>2</v>
      </c>
      <c r="CF6" s="11">
        <f t="array" ref="CF6">MATCH(MAX(ABS(CF3:CF5)),ABS(CF3:CF5),0)</f>
        <v>3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2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3</v>
      </c>
      <c r="CN6" s="11">
        <f t="array" ref="CN6">MATCH(MAX(ABS(CN3:CN5)),ABS(CN3:CN5),0)</f>
        <v>2</v>
      </c>
      <c r="CO6" s="11">
        <f t="array" ref="CO6">MATCH(MAX(ABS(CO3:CO5)),ABS(CO3:CO5),0)</f>
        <v>3</v>
      </c>
      <c r="CP6" s="11">
        <f t="array" ref="CP6">MATCH(MAX(ABS(CP3:CP5)),ABS(CP3:CP5),0)</f>
        <v>3</v>
      </c>
      <c r="CQ6" s="11">
        <f t="array" ref="CQ6">MATCH(MAX(ABS(CQ3:CQ5)),ABS(CQ3:CQ5),0)</f>
        <v>3</v>
      </c>
      <c r="CR6" s="11">
        <f t="array" ref="CR6">MATCH(MAX(ABS(CR3:CR5)),ABS(CR3:CR5),0)</f>
        <v>3</v>
      </c>
      <c r="CS6" s="11">
        <f t="array" ref="CS6">MATCH(MAX(ABS(CS3:CS5)),ABS(CS3:CS5),0)</f>
        <v>2</v>
      </c>
      <c r="CT6" s="11">
        <f t="array" ref="CT6">MATCH(MAX(ABS(CT3:CT5)),ABS(CT3:CT5),0)</f>
        <v>3</v>
      </c>
      <c r="CU6" s="11">
        <f t="array" ref="CU6">MATCH(MAX(ABS(CU3:CU5)),ABS(CU3:CU5),0)</f>
        <v>3</v>
      </c>
      <c r="CV6" s="11">
        <f t="array" ref="CV6">MATCH(MAX(ABS(CV3:CV5)),ABS(CV3:CV5),0)</f>
        <v>3</v>
      </c>
      <c r="CW6" s="11">
        <f t="array" ref="CW6">MATCH(MAX(ABS(CW3:CW5)),ABS(CW3:CW5),0)</f>
        <v>3</v>
      </c>
      <c r="CX6" s="11">
        <f t="array" ref="CX6">MATCH(MAX(ABS(CX3:CX5)),ABS(CX3:CX5),0)</f>
        <v>1</v>
      </c>
      <c r="CY6" s="11">
        <f t="array" ref="CY6">MATCH(MAX(ABS(CY3:CY5)),ABS(CY3:CY5),0)</f>
        <v>3</v>
      </c>
      <c r="CZ6" s="11">
        <f t="array" ref="CZ6">MATCH(MAX(ABS(CZ3:CZ5)),ABS(CZ3:CZ5),0)</f>
        <v>1</v>
      </c>
      <c r="DA6" s="11">
        <f t="array" ref="DA6">MATCH(MAX(ABS(DA3:DA5)),ABS(DA3:DA5),0)</f>
        <v>2</v>
      </c>
      <c r="DB6" s="11">
        <f t="array" ref="DB6">MATCH(MAX(ABS(DB3:DB5)),ABS(DB3:DB5),0)</f>
        <v>2</v>
      </c>
      <c r="DC6" s="11">
        <f t="array" ref="DC6">MATCH(MAX(ABS(DC3:DC5)),ABS(DC3:DC5),0)</f>
        <v>3</v>
      </c>
      <c r="DD6" s="11">
        <f t="array" ref="DD6">MATCH(MAX(ABS(DD3:DD5)),ABS(DD3:DD5),0)</f>
        <v>2</v>
      </c>
      <c r="DE6" s="11">
        <f t="array" ref="DE6">MATCH(MAX(ABS(DE3:DE5)),ABS(DE3:DE5),0)</f>
        <v>3</v>
      </c>
      <c r="DF6" s="11">
        <f t="array" ref="DF6">MATCH(MAX(ABS(DF3:DF5)),ABS(DF3:DF5),0)</f>
        <v>3</v>
      </c>
      <c r="DG6" s="11">
        <f t="array" ref="DG6">MATCH(MAX(ABS(DG3:DG5)),ABS(DG3:DG5),0)</f>
        <v>3</v>
      </c>
      <c r="DH6" s="11">
        <f t="array" ref="DH6">MATCH(MAX(ABS(DH3:DH5)),ABS(DH3:DH5),0)</f>
        <v>2</v>
      </c>
      <c r="DI6" s="11">
        <f t="array" ref="DI6">MATCH(MAX(ABS(DI3:DI5)),ABS(DI3:DI5),0)</f>
        <v>2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3</v>
      </c>
      <c r="DM6" s="11">
        <f t="array" ref="DM6">MATCH(MAX(ABS(DM3:DM5)),ABS(DM3:DM5),0)</f>
        <v>3</v>
      </c>
      <c r="DN6" s="11">
        <f t="array" ref="DN6">MATCH(MAX(ABS(DN3:DN5)),ABS(DN3:DN5),0)</f>
        <v>3</v>
      </c>
      <c r="DO6" s="11">
        <f t="array" ref="DO6">MATCH(MAX(ABS(DO3:DO5)),ABS(DO3:DO5),0)</f>
        <v>3</v>
      </c>
      <c r="DP6" s="11">
        <f t="array" ref="DP6">MATCH(MAX(ABS(DP3:DP5)),ABS(DP3:DP5),0)</f>
        <v>3</v>
      </c>
      <c r="DQ6" s="11">
        <f t="array" ref="DQ6">MATCH(MAX(ABS(DQ3:DQ5)),ABS(DQ3:DQ5),0)</f>
        <v>3</v>
      </c>
      <c r="DR6" s="11">
        <f t="array" ref="DR6">MATCH(MAX(ABS(DR3:DR5)),ABS(DR3:DR5),0)</f>
        <v>1</v>
      </c>
      <c r="DS6" s="11">
        <f t="array" ref="DS6">MATCH(MAX(ABS(DS3:DS5)),ABS(DS3:DS5),0)</f>
        <v>3</v>
      </c>
      <c r="DT6" s="11">
        <f t="array" ref="DT6">MATCH(MAX(ABS(DT3:DT5)),ABS(DT3:DT5),0)</f>
        <v>1</v>
      </c>
      <c r="DU6" s="11">
        <f t="array" ref="DU6">MATCH(MAX(ABS(DU3:DU5)),ABS(DU3:DU5),0)</f>
        <v>2</v>
      </c>
      <c r="DV6" s="11">
        <f t="array" ref="DV6">MATCH(MAX(ABS(DV3:DV5)),ABS(DV3:DV5),0)</f>
        <v>3</v>
      </c>
      <c r="DW6" s="11">
        <f t="array" ref="DW6">MATCH(MAX(ABS(DW3:DW5)),ABS(DW3:DW5),0)</f>
        <v>2</v>
      </c>
      <c r="DX6" s="11">
        <f t="array" ref="DX6">MATCH(MAX(ABS(DX3:DX5)),ABS(DX3:DX5),0)</f>
        <v>3</v>
      </c>
      <c r="DY6" s="11">
        <f t="array" ref="DY6">MATCH(MAX(ABS(DY3:DY5)),ABS(DY3:DY5),0)</f>
        <v>3</v>
      </c>
      <c r="DZ6" s="11">
        <f t="array" ref="DZ6">MATCH(MAX(ABS(DZ3:DZ5)),ABS(DZ3:DZ5),0)</f>
        <v>3</v>
      </c>
      <c r="EA6" s="11">
        <f t="array" ref="EA6">MATCH(MAX(ABS(EA3:EA5)),ABS(EA3:EA5),0)</f>
        <v>2</v>
      </c>
      <c r="EB6" s="11">
        <f t="array" ref="EB6">MATCH(MAX(ABS(EB3:EB5)),ABS(EB3:EB5),0)</f>
        <v>2</v>
      </c>
      <c r="EC6" s="11">
        <f t="array" ref="EC6">MATCH(MAX(ABS(EC3:EC5)),ABS(EC3:EC5),0)</f>
        <v>2</v>
      </c>
      <c r="ED6" s="11">
        <f t="array" ref="ED6">MATCH(MAX(ABS(ED3:ED5)),ABS(ED3:ED5),0)</f>
        <v>2</v>
      </c>
      <c r="EE6" s="11">
        <f t="array" ref="EE6">MATCH(MAX(ABS(EE3:EE5)),ABS(EE3:EE5),0)</f>
        <v>2</v>
      </c>
      <c r="EF6" s="11">
        <f t="array" ref="EF6">MATCH(MAX(ABS(EF3:EF5)),ABS(EF3:EF5),0)</f>
        <v>2</v>
      </c>
    </row>
    <row r="7" spans="1:136">
      <c r="C7" s="12" t="str">
        <f t="shared" ref="C7:AH7" si="0">IF(C6=1,"bm",IF(C6=2,"size",IF(C6=3,"mom")))</f>
        <v>mom</v>
      </c>
      <c r="D7" s="12" t="str">
        <f t="shared" si="0"/>
        <v>mom</v>
      </c>
      <c r="E7" s="12" t="str">
        <f t="shared" si="0"/>
        <v>mom</v>
      </c>
      <c r="F7" s="12" t="str">
        <f t="shared" si="0"/>
        <v>mom</v>
      </c>
      <c r="G7" s="12" t="str">
        <f t="shared" si="0"/>
        <v>mom</v>
      </c>
      <c r="H7" s="12" t="str">
        <f t="shared" si="0"/>
        <v>mom</v>
      </c>
      <c r="I7" s="12" t="str">
        <f t="shared" si="0"/>
        <v>mom</v>
      </c>
      <c r="J7" s="12" t="str">
        <f t="shared" si="0"/>
        <v>mom</v>
      </c>
      <c r="K7" s="12" t="str">
        <f t="shared" si="0"/>
        <v>mom</v>
      </c>
      <c r="L7" s="12" t="str">
        <f t="shared" si="0"/>
        <v>mom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bm</v>
      </c>
      <c r="Q7" s="12" t="str">
        <f t="shared" si="0"/>
        <v>mom</v>
      </c>
      <c r="R7" s="12" t="str">
        <f t="shared" si="0"/>
        <v>mom</v>
      </c>
      <c r="S7" s="12" t="str">
        <f t="shared" si="0"/>
        <v>mom</v>
      </c>
      <c r="T7" s="12" t="str">
        <f t="shared" si="0"/>
        <v>mom</v>
      </c>
      <c r="U7" s="12" t="str">
        <f t="shared" si="0"/>
        <v>mom</v>
      </c>
      <c r="V7" s="12" t="str">
        <f t="shared" si="0"/>
        <v>mom</v>
      </c>
      <c r="W7" s="12" t="str">
        <f t="shared" si="0"/>
        <v>bm</v>
      </c>
      <c r="X7" s="12" t="str">
        <f t="shared" si="0"/>
        <v>mom</v>
      </c>
      <c r="Y7" s="12" t="str">
        <f t="shared" si="0"/>
        <v>mom</v>
      </c>
      <c r="Z7" s="12" t="str">
        <f t="shared" si="0"/>
        <v>mom</v>
      </c>
      <c r="AA7" s="12" t="str">
        <f t="shared" si="0"/>
        <v>mom</v>
      </c>
      <c r="AB7" s="12" t="str">
        <f t="shared" si="0"/>
        <v>mom</v>
      </c>
      <c r="AC7" s="12" t="str">
        <f t="shared" si="0"/>
        <v>mom</v>
      </c>
      <c r="AD7" s="12" t="str">
        <f t="shared" si="0"/>
        <v>mom</v>
      </c>
      <c r="AE7" s="12" t="str">
        <f t="shared" si="0"/>
        <v>mom</v>
      </c>
      <c r="AF7" s="12" t="str">
        <f t="shared" si="0"/>
        <v>mom</v>
      </c>
      <c r="AG7" s="12" t="str">
        <f t="shared" si="0"/>
        <v>mom</v>
      </c>
      <c r="AH7" s="12" t="str">
        <f t="shared" si="0"/>
        <v>bm</v>
      </c>
      <c r="AI7" s="12" t="str">
        <f t="shared" ref="AI7:BN7" si="1">IF(AI6=1,"bm",IF(AI6=2,"size",IF(AI6=3,"mom")))</f>
        <v>bm</v>
      </c>
      <c r="AJ7" s="12" t="str">
        <f t="shared" si="1"/>
        <v>bm</v>
      </c>
      <c r="AK7" s="12" t="str">
        <f t="shared" si="1"/>
        <v>mom</v>
      </c>
      <c r="AL7" s="12" t="str">
        <f t="shared" si="1"/>
        <v>mom</v>
      </c>
      <c r="AM7" s="12" t="str">
        <f t="shared" si="1"/>
        <v>bm</v>
      </c>
      <c r="AN7" s="12" t="str">
        <f t="shared" si="1"/>
        <v>bm</v>
      </c>
      <c r="AO7" s="12" t="str">
        <f t="shared" si="1"/>
        <v>bm</v>
      </c>
      <c r="AP7" s="12" t="str">
        <f t="shared" si="1"/>
        <v>bm</v>
      </c>
      <c r="AQ7" s="12" t="str">
        <f t="shared" si="1"/>
        <v>mom</v>
      </c>
      <c r="AR7" s="12" t="str">
        <f t="shared" si="1"/>
        <v>mom</v>
      </c>
      <c r="AS7" s="12" t="str">
        <f t="shared" si="1"/>
        <v>mom</v>
      </c>
      <c r="AT7" s="12" t="str">
        <f t="shared" si="1"/>
        <v>mom</v>
      </c>
      <c r="AU7" s="12" t="str">
        <f t="shared" si="1"/>
        <v>mom</v>
      </c>
      <c r="AV7" s="12" t="str">
        <f t="shared" si="1"/>
        <v>mom</v>
      </c>
      <c r="AW7" s="12" t="str">
        <f t="shared" si="1"/>
        <v>mom</v>
      </c>
      <c r="AX7" s="12" t="str">
        <f t="shared" si="1"/>
        <v>mom</v>
      </c>
      <c r="AY7" s="12" t="str">
        <f t="shared" si="1"/>
        <v>mom</v>
      </c>
      <c r="AZ7" s="12" t="str">
        <f t="shared" si="1"/>
        <v>mom</v>
      </c>
      <c r="BA7" s="12" t="str">
        <f t="shared" si="1"/>
        <v>mom</v>
      </c>
      <c r="BB7" s="12" t="str">
        <f t="shared" si="1"/>
        <v>bm</v>
      </c>
      <c r="BC7" s="12" t="str">
        <f t="shared" si="1"/>
        <v>mom</v>
      </c>
      <c r="BD7" s="12" t="str">
        <f t="shared" si="1"/>
        <v>size</v>
      </c>
      <c r="BE7" s="12" t="str">
        <f t="shared" si="1"/>
        <v>size</v>
      </c>
      <c r="BF7" s="12" t="str">
        <f t="shared" si="1"/>
        <v>size</v>
      </c>
      <c r="BG7" s="12" t="str">
        <f t="shared" si="1"/>
        <v>size</v>
      </c>
      <c r="BH7" s="12" t="str">
        <f t="shared" si="1"/>
        <v>mom</v>
      </c>
      <c r="BI7" s="12" t="str">
        <f t="shared" si="1"/>
        <v>size</v>
      </c>
      <c r="BJ7" s="12" t="str">
        <f t="shared" si="1"/>
        <v>bm</v>
      </c>
      <c r="BK7" s="12" t="str">
        <f t="shared" si="1"/>
        <v>mom</v>
      </c>
      <c r="BL7" s="12" t="str">
        <f t="shared" si="1"/>
        <v>bm</v>
      </c>
      <c r="BM7" s="12" t="str">
        <f t="shared" si="1"/>
        <v>mom</v>
      </c>
      <c r="BN7" s="12" t="str">
        <f t="shared" si="1"/>
        <v>bm</v>
      </c>
      <c r="BO7" s="12" t="str">
        <f t="shared" ref="BO7:CT7" si="2">IF(BO6=1,"bm",IF(BO6=2,"size",IF(BO6=3,"mom")))</f>
        <v>bm</v>
      </c>
      <c r="BP7" s="12" t="str">
        <f t="shared" si="2"/>
        <v>bm</v>
      </c>
      <c r="BQ7" s="12" t="str">
        <f t="shared" si="2"/>
        <v>bm</v>
      </c>
      <c r="BR7" s="12" t="str">
        <f t="shared" si="2"/>
        <v>bm</v>
      </c>
      <c r="BS7" s="12" t="str">
        <f t="shared" si="2"/>
        <v>bm</v>
      </c>
      <c r="BT7" s="12" t="str">
        <f t="shared" si="2"/>
        <v>mom</v>
      </c>
      <c r="BU7" s="12" t="str">
        <f t="shared" si="2"/>
        <v>mom</v>
      </c>
      <c r="BV7" s="12" t="str">
        <f t="shared" si="2"/>
        <v>mom</v>
      </c>
      <c r="BW7" s="12" t="str">
        <f t="shared" si="2"/>
        <v>mom</v>
      </c>
      <c r="BX7" s="12" t="str">
        <f t="shared" si="2"/>
        <v>mom</v>
      </c>
      <c r="BY7" s="12" t="str">
        <f t="shared" si="2"/>
        <v>mom</v>
      </c>
      <c r="BZ7" s="12" t="str">
        <f t="shared" si="2"/>
        <v>bm</v>
      </c>
      <c r="CA7" s="12" t="str">
        <f t="shared" si="2"/>
        <v>size</v>
      </c>
      <c r="CB7" s="12" t="str">
        <f t="shared" si="2"/>
        <v>mom</v>
      </c>
      <c r="CC7" s="12" t="str">
        <f t="shared" si="2"/>
        <v>size</v>
      </c>
      <c r="CD7" s="12" t="str">
        <f t="shared" si="2"/>
        <v>bm</v>
      </c>
      <c r="CE7" s="12" t="str">
        <f t="shared" si="2"/>
        <v>size</v>
      </c>
      <c r="CF7" s="12" t="str">
        <f t="shared" si="2"/>
        <v>mom</v>
      </c>
      <c r="CG7" s="12" t="str">
        <f t="shared" si="2"/>
        <v>mom</v>
      </c>
      <c r="CH7" s="12" t="str">
        <f t="shared" si="2"/>
        <v>mom</v>
      </c>
      <c r="CI7" s="12" t="str">
        <f t="shared" si="2"/>
        <v>size</v>
      </c>
      <c r="CJ7" s="12" t="str">
        <f t="shared" si="2"/>
        <v>mom</v>
      </c>
      <c r="CK7" s="12" t="str">
        <f t="shared" si="2"/>
        <v>mom</v>
      </c>
      <c r="CL7" s="12" t="str">
        <f t="shared" si="2"/>
        <v>mom</v>
      </c>
      <c r="CM7" s="12" t="str">
        <f t="shared" si="2"/>
        <v>mom</v>
      </c>
      <c r="CN7" s="12" t="str">
        <f t="shared" si="2"/>
        <v>size</v>
      </c>
      <c r="CO7" s="12" t="str">
        <f t="shared" si="2"/>
        <v>mom</v>
      </c>
      <c r="CP7" s="12" t="str">
        <f t="shared" si="2"/>
        <v>mom</v>
      </c>
      <c r="CQ7" s="12" t="str">
        <f t="shared" si="2"/>
        <v>mom</v>
      </c>
      <c r="CR7" s="12" t="str">
        <f t="shared" si="2"/>
        <v>mom</v>
      </c>
      <c r="CS7" s="12" t="str">
        <f t="shared" si="2"/>
        <v>size</v>
      </c>
      <c r="CT7" s="12" t="str">
        <f t="shared" si="2"/>
        <v>mom</v>
      </c>
      <c r="CU7" s="12" t="str">
        <f t="shared" ref="CU7:DZ7" si="3">IF(CU6=1,"bm",IF(CU6=2,"size",IF(CU6=3,"mom")))</f>
        <v>mom</v>
      </c>
      <c r="CV7" s="12" t="str">
        <f t="shared" si="3"/>
        <v>mom</v>
      </c>
      <c r="CW7" s="12" t="str">
        <f t="shared" si="3"/>
        <v>mom</v>
      </c>
      <c r="CX7" s="12" t="str">
        <f t="shared" si="3"/>
        <v>bm</v>
      </c>
      <c r="CY7" s="12" t="str">
        <f t="shared" si="3"/>
        <v>mom</v>
      </c>
      <c r="CZ7" s="12" t="str">
        <f t="shared" si="3"/>
        <v>bm</v>
      </c>
      <c r="DA7" s="12" t="str">
        <f t="shared" si="3"/>
        <v>size</v>
      </c>
      <c r="DB7" s="12" t="str">
        <f t="shared" si="3"/>
        <v>size</v>
      </c>
      <c r="DC7" s="12" t="str">
        <f t="shared" si="3"/>
        <v>mom</v>
      </c>
      <c r="DD7" s="12" t="str">
        <f t="shared" si="3"/>
        <v>size</v>
      </c>
      <c r="DE7" s="12" t="str">
        <f t="shared" si="3"/>
        <v>mom</v>
      </c>
      <c r="DF7" s="12" t="str">
        <f t="shared" si="3"/>
        <v>mom</v>
      </c>
      <c r="DG7" s="12" t="str">
        <f t="shared" si="3"/>
        <v>mom</v>
      </c>
      <c r="DH7" s="12" t="str">
        <f t="shared" si="3"/>
        <v>size</v>
      </c>
      <c r="DI7" s="12" t="str">
        <f t="shared" si="3"/>
        <v>size</v>
      </c>
      <c r="DJ7" s="12" t="str">
        <f t="shared" si="3"/>
        <v>bm</v>
      </c>
      <c r="DK7" s="12" t="str">
        <f t="shared" si="3"/>
        <v>bm</v>
      </c>
      <c r="DL7" s="12" t="str">
        <f t="shared" si="3"/>
        <v>mom</v>
      </c>
      <c r="DM7" s="12" t="str">
        <f t="shared" si="3"/>
        <v>mom</v>
      </c>
      <c r="DN7" s="12" t="str">
        <f t="shared" si="3"/>
        <v>mom</v>
      </c>
      <c r="DO7" s="12" t="str">
        <f t="shared" si="3"/>
        <v>mom</v>
      </c>
      <c r="DP7" s="12" t="str">
        <f t="shared" si="3"/>
        <v>mom</v>
      </c>
      <c r="DQ7" s="12" t="str">
        <f t="shared" si="3"/>
        <v>mom</v>
      </c>
      <c r="DR7" s="12" t="str">
        <f t="shared" si="3"/>
        <v>bm</v>
      </c>
      <c r="DS7" s="12" t="str">
        <f t="shared" si="3"/>
        <v>mom</v>
      </c>
      <c r="DT7" s="12" t="str">
        <f t="shared" si="3"/>
        <v>bm</v>
      </c>
      <c r="DU7" s="12" t="str">
        <f t="shared" si="3"/>
        <v>size</v>
      </c>
      <c r="DV7" s="12" t="str">
        <f t="shared" si="3"/>
        <v>mom</v>
      </c>
      <c r="DW7" s="12" t="str">
        <f t="shared" si="3"/>
        <v>size</v>
      </c>
      <c r="DX7" s="12" t="str">
        <f t="shared" si="3"/>
        <v>mom</v>
      </c>
      <c r="DY7" s="12" t="str">
        <f t="shared" si="3"/>
        <v>mom</v>
      </c>
      <c r="DZ7" s="12" t="str">
        <f t="shared" si="3"/>
        <v>mom</v>
      </c>
      <c r="EA7" s="12" t="str">
        <f t="shared" ref="EA7:EF7" si="4">IF(EA6=1,"bm",IF(EA6=2,"size",IF(EA6=3,"mom")))</f>
        <v>size</v>
      </c>
      <c r="EB7" s="12" t="str">
        <f t="shared" si="4"/>
        <v>size</v>
      </c>
      <c r="EC7" s="12" t="str">
        <f t="shared" si="4"/>
        <v>size</v>
      </c>
      <c r="ED7" s="12" t="str">
        <f t="shared" si="4"/>
        <v>size</v>
      </c>
      <c r="EE7" s="12" t="str">
        <f t="shared" si="4"/>
        <v>size</v>
      </c>
      <c r="EF7" s="12" t="str">
        <f t="shared" si="4"/>
        <v>size</v>
      </c>
    </row>
    <row r="8" spans="1:136">
      <c r="C8" s="11">
        <f t="shared" ref="C8:AH8" si="5">IF(C6=1,C3,IF(C6=2,C4,IF(C6=3,C5)))</f>
        <v>0.50836324691772461</v>
      </c>
      <c r="D8" s="11">
        <f t="shared" si="5"/>
        <v>0.76913774013519287</v>
      </c>
      <c r="E8" s="11">
        <f t="shared" si="5"/>
        <v>0.54195535182952881</v>
      </c>
      <c r="F8" s="11">
        <f t="shared" si="5"/>
        <v>1.1543282270431521</v>
      </c>
      <c r="G8" s="11">
        <f t="shared" si="5"/>
        <v>0.54750555753707886</v>
      </c>
      <c r="H8" s="11">
        <f t="shared" si="5"/>
        <v>0.91896617412567139</v>
      </c>
      <c r="I8" s="11">
        <f t="shared" si="5"/>
        <v>0.66497212648391724</v>
      </c>
      <c r="J8" s="11">
        <f t="shared" si="5"/>
        <v>0.96098613739013672</v>
      </c>
      <c r="K8" s="11">
        <f t="shared" si="5"/>
        <v>1.069318890571594</v>
      </c>
      <c r="L8" s="11">
        <f t="shared" si="5"/>
        <v>0.58301490545272827</v>
      </c>
      <c r="M8" s="11">
        <f t="shared" si="5"/>
        <v>0.48336148262023931</v>
      </c>
      <c r="N8" s="11">
        <f t="shared" si="5"/>
        <v>0.4335099458694458</v>
      </c>
      <c r="O8" s="11">
        <f t="shared" si="5"/>
        <v>6.3416294753551483E-2</v>
      </c>
      <c r="P8" s="11">
        <f t="shared" si="5"/>
        <v>-4.0258027613162987E-2</v>
      </c>
      <c r="Q8" s="11">
        <f t="shared" si="5"/>
        <v>-0.63935673236846924</v>
      </c>
      <c r="R8" s="11">
        <f t="shared" si="5"/>
        <v>-5.0250470638275153E-2</v>
      </c>
      <c r="S8" s="11">
        <f t="shared" si="5"/>
        <v>6.6091194748878479E-2</v>
      </c>
      <c r="T8" s="11">
        <f t="shared" si="5"/>
        <v>-6.0526482760906219E-2</v>
      </c>
      <c r="U8" s="11">
        <f t="shared" si="5"/>
        <v>-5.0881840288639069E-2</v>
      </c>
      <c r="V8" s="11">
        <f t="shared" si="5"/>
        <v>0.12953431904315951</v>
      </c>
      <c r="W8" s="11">
        <f t="shared" si="5"/>
        <v>-0.19089989364147189</v>
      </c>
      <c r="X8" s="11">
        <f t="shared" si="5"/>
        <v>0.22364641726017001</v>
      </c>
      <c r="Y8" s="11">
        <f t="shared" si="5"/>
        <v>0.2607954740524292</v>
      </c>
      <c r="Z8" s="11">
        <f t="shared" si="5"/>
        <v>0.17032516002655029</v>
      </c>
      <c r="AA8" s="11">
        <f t="shared" si="5"/>
        <v>0.14871090650558469</v>
      </c>
      <c r="AB8" s="11">
        <f t="shared" si="5"/>
        <v>0.13639476895332339</v>
      </c>
      <c r="AC8" s="11">
        <f t="shared" si="5"/>
        <v>0.1064975261688232</v>
      </c>
      <c r="AD8" s="11">
        <f t="shared" si="5"/>
        <v>0.1051289364695549</v>
      </c>
      <c r="AE8" s="11">
        <f t="shared" si="5"/>
        <v>9.8157517611980438E-2</v>
      </c>
      <c r="AF8" s="11">
        <f t="shared" si="5"/>
        <v>8.0513276159763336E-2</v>
      </c>
      <c r="AG8" s="11">
        <f t="shared" si="5"/>
        <v>5.8855693787336349E-2</v>
      </c>
      <c r="AH8" s="11">
        <f t="shared" si="5"/>
        <v>-0.26610976457595831</v>
      </c>
      <c r="AI8" s="11">
        <f t="shared" ref="AI8:BN8" si="6">IF(AI6=1,AI3,IF(AI6=2,AI4,IF(AI6=3,AI5)))</f>
        <v>-0.14365202188491821</v>
      </c>
      <c r="AJ8" s="11">
        <f t="shared" si="6"/>
        <v>-0.25451940298080439</v>
      </c>
      <c r="AK8" s="11">
        <f t="shared" si="6"/>
        <v>7.5650393962860107E-2</v>
      </c>
      <c r="AL8" s="11">
        <f t="shared" si="6"/>
        <v>6.6236443817615509E-2</v>
      </c>
      <c r="AM8" s="11">
        <f t="shared" si="6"/>
        <v>-8.2977190613746643E-2</v>
      </c>
      <c r="AN8" s="11">
        <f t="shared" si="6"/>
        <v>-7.0350959897041321E-2</v>
      </c>
      <c r="AO8" s="11">
        <f t="shared" si="6"/>
        <v>-0.1968108415603638</v>
      </c>
      <c r="AP8" s="11">
        <f t="shared" si="6"/>
        <v>-0.25679254531860352</v>
      </c>
      <c r="AQ8" s="11">
        <f t="shared" si="6"/>
        <v>0.1400775462388992</v>
      </c>
      <c r="AR8" s="11">
        <f t="shared" si="6"/>
        <v>0.16342324018478391</v>
      </c>
      <c r="AS8" s="11">
        <f t="shared" si="6"/>
        <v>0.18792152404785159</v>
      </c>
      <c r="AT8" s="11">
        <f t="shared" si="6"/>
        <v>0.19995155930519101</v>
      </c>
      <c r="AU8" s="11">
        <f t="shared" si="6"/>
        <v>0.19402837753295901</v>
      </c>
      <c r="AV8" s="11">
        <f t="shared" si="6"/>
        <v>0.15869356691837311</v>
      </c>
      <c r="AW8" s="11">
        <f t="shared" si="6"/>
        <v>-3.568306565284729E-2</v>
      </c>
      <c r="AX8" s="11">
        <f t="shared" si="6"/>
        <v>3.6226339638233178E-2</v>
      </c>
      <c r="AY8" s="11">
        <f t="shared" si="6"/>
        <v>0.1132773458957672</v>
      </c>
      <c r="AZ8" s="11">
        <f t="shared" si="6"/>
        <v>0.104707270860672</v>
      </c>
      <c r="BA8" s="11">
        <f t="shared" si="6"/>
        <v>6.849505752325058E-2</v>
      </c>
      <c r="BB8" s="11">
        <f t="shared" si="6"/>
        <v>3.3319383859634399E-2</v>
      </c>
      <c r="BC8" s="11">
        <f t="shared" si="6"/>
        <v>-3.7875480949878693E-2</v>
      </c>
      <c r="BD8" s="11">
        <f t="shared" si="6"/>
        <v>-3.2060969620943069E-2</v>
      </c>
      <c r="BE8" s="11">
        <f t="shared" si="6"/>
        <v>-3.2296057790517807E-2</v>
      </c>
      <c r="BF8" s="11">
        <f t="shared" si="6"/>
        <v>-3.2346583902835853E-2</v>
      </c>
      <c r="BG8" s="11">
        <f t="shared" si="6"/>
        <v>-3.2194517552852631E-2</v>
      </c>
      <c r="BH8" s="11">
        <f t="shared" si="6"/>
        <v>5.9344802051782608E-2</v>
      </c>
      <c r="BI8" s="11">
        <f t="shared" si="6"/>
        <v>-2.780326642096043E-2</v>
      </c>
      <c r="BJ8" s="11">
        <f t="shared" si="6"/>
        <v>-6.5720930695533752E-2</v>
      </c>
      <c r="BK8" s="11">
        <f t="shared" si="6"/>
        <v>5.5602390319108963E-2</v>
      </c>
      <c r="BL8" s="11">
        <f t="shared" si="6"/>
        <v>-8.8971659541130066E-2</v>
      </c>
      <c r="BM8" s="11">
        <f t="shared" si="6"/>
        <v>6.5659098327159882E-2</v>
      </c>
      <c r="BN8" s="11">
        <f t="shared" si="6"/>
        <v>-6.8609192967414856E-2</v>
      </c>
      <c r="BO8" s="11">
        <f t="shared" ref="BO8:CT8" si="7">IF(BO6=1,BO3,IF(BO6=2,BO4,IF(BO6=3,BO5)))</f>
        <v>-5.5181741714477539E-2</v>
      </c>
      <c r="BP8" s="11">
        <f t="shared" si="7"/>
        <v>-8.5352331399917603E-2</v>
      </c>
      <c r="BQ8" s="11">
        <f t="shared" si="7"/>
        <v>-3.6593899130821228E-2</v>
      </c>
      <c r="BR8" s="11">
        <f t="shared" si="7"/>
        <v>3.5782556980848312E-2</v>
      </c>
      <c r="BS8" s="11">
        <f t="shared" si="7"/>
        <v>3.381897509098053E-2</v>
      </c>
      <c r="BT8" s="11">
        <f t="shared" si="7"/>
        <v>4.3329164385795593E-2</v>
      </c>
      <c r="BU8" s="11">
        <f t="shared" si="7"/>
        <v>4.8520129173994057E-2</v>
      </c>
      <c r="BV8" s="11">
        <f t="shared" si="7"/>
        <v>0.14270420372486109</v>
      </c>
      <c r="BW8" s="11">
        <f t="shared" si="7"/>
        <v>0.13052307069301611</v>
      </c>
      <c r="BX8" s="11">
        <f t="shared" si="7"/>
        <v>5.2400790154933929E-2</v>
      </c>
      <c r="BY8" s="11">
        <f t="shared" si="7"/>
        <v>6.0546338558197021E-2</v>
      </c>
      <c r="BZ8" s="11">
        <f t="shared" si="7"/>
        <v>5.243389680981636E-2</v>
      </c>
      <c r="CA8" s="11">
        <f t="shared" si="7"/>
        <v>-3.099978901445866E-2</v>
      </c>
      <c r="CB8" s="11">
        <f t="shared" si="7"/>
        <v>-3.9389632642269128E-2</v>
      </c>
      <c r="CC8" s="11">
        <f t="shared" si="7"/>
        <v>-2.8904115781188011E-2</v>
      </c>
      <c r="CD8" s="11">
        <f t="shared" si="7"/>
        <v>3.6022435873746872E-2</v>
      </c>
      <c r="CE8" s="11">
        <f t="shared" si="7"/>
        <v>-2.8157502412796021E-2</v>
      </c>
      <c r="CF8" s="11">
        <f t="shared" si="7"/>
        <v>4.381309449672699E-2</v>
      </c>
      <c r="CG8" s="11">
        <f t="shared" si="7"/>
        <v>3.0113250017166141E-2</v>
      </c>
      <c r="CH8" s="11">
        <f t="shared" si="7"/>
        <v>4.3025322258472443E-2</v>
      </c>
      <c r="CI8" s="11">
        <f t="shared" si="7"/>
        <v>-3.1394515186548233E-2</v>
      </c>
      <c r="CJ8" s="11">
        <f t="shared" si="7"/>
        <v>4.1782274842262268E-2</v>
      </c>
      <c r="CK8" s="11">
        <f t="shared" si="7"/>
        <v>3.7300810217857361E-2</v>
      </c>
      <c r="CL8" s="11">
        <f t="shared" si="7"/>
        <v>6.0941599309444427E-2</v>
      </c>
      <c r="CM8" s="11">
        <f t="shared" si="7"/>
        <v>-3.8412053138017647E-2</v>
      </c>
      <c r="CN8" s="11">
        <f t="shared" si="7"/>
        <v>-3.586915135383606E-2</v>
      </c>
      <c r="CO8" s="11">
        <f t="shared" si="7"/>
        <v>0.1589557081460953</v>
      </c>
      <c r="CP8" s="11">
        <f t="shared" si="7"/>
        <v>-3.6965128034353263E-2</v>
      </c>
      <c r="CQ8" s="11">
        <f t="shared" si="7"/>
        <v>6.9797366857528687E-2</v>
      </c>
      <c r="CR8" s="11">
        <f t="shared" si="7"/>
        <v>-3.3767849206924438E-2</v>
      </c>
      <c r="CS8" s="11">
        <f t="shared" si="7"/>
        <v>-2.9090225696563721E-2</v>
      </c>
      <c r="CT8" s="11">
        <f t="shared" si="7"/>
        <v>5.3638488054275513E-2</v>
      </c>
      <c r="CU8" s="11">
        <f t="shared" ref="CU8:DZ8" si="8">IF(CU6=1,CU3,IF(CU6=2,CU4,IF(CU6=3,CU5)))</f>
        <v>6.3532985746860504E-2</v>
      </c>
      <c r="CV8" s="11">
        <f t="shared" si="8"/>
        <v>5.5906884372234338E-2</v>
      </c>
      <c r="CW8" s="11">
        <f t="shared" si="8"/>
        <v>4.8717334866523743E-2</v>
      </c>
      <c r="CX8" s="11">
        <f t="shared" si="8"/>
        <v>4.2955689132213593E-2</v>
      </c>
      <c r="CY8" s="11">
        <f t="shared" si="8"/>
        <v>2.966258488595486E-2</v>
      </c>
      <c r="CZ8" s="11">
        <f t="shared" si="8"/>
        <v>4.7397840768098831E-2</v>
      </c>
      <c r="DA8" s="11">
        <f t="shared" si="8"/>
        <v>-2.9591461643576619E-2</v>
      </c>
      <c r="DB8" s="11">
        <f t="shared" si="8"/>
        <v>-3.4101340919733047E-2</v>
      </c>
      <c r="DC8" s="11">
        <f t="shared" si="8"/>
        <v>3.7085290998220437E-2</v>
      </c>
      <c r="DD8" s="11">
        <f t="shared" si="8"/>
        <v>-3.2262604683637619E-2</v>
      </c>
      <c r="DE8" s="11">
        <f t="shared" si="8"/>
        <v>4.1370406746864319E-2</v>
      </c>
      <c r="DF8" s="11">
        <f t="shared" si="8"/>
        <v>4.0565907955169678E-2</v>
      </c>
      <c r="DG8" s="11">
        <f t="shared" si="8"/>
        <v>3.3224057406187057E-2</v>
      </c>
      <c r="DH8" s="11">
        <f t="shared" si="8"/>
        <v>-3.1315241008996957E-2</v>
      </c>
      <c r="DI8" s="11">
        <f t="shared" si="8"/>
        <v>-2.9898226261138919E-2</v>
      </c>
      <c r="DJ8" s="11">
        <f t="shared" si="8"/>
        <v>3.5664934664964683E-2</v>
      </c>
      <c r="DK8" s="11">
        <f t="shared" si="8"/>
        <v>3.7067931145429611E-2</v>
      </c>
      <c r="DL8" s="11">
        <f t="shared" si="8"/>
        <v>3.5447288304567337E-2</v>
      </c>
      <c r="DM8" s="11">
        <f t="shared" si="8"/>
        <v>4.903421550989151E-2</v>
      </c>
      <c r="DN8" s="11">
        <f t="shared" si="8"/>
        <v>-0.11219848692417141</v>
      </c>
      <c r="DO8" s="11">
        <f t="shared" si="8"/>
        <v>5.3319718688726432E-2</v>
      </c>
      <c r="DP8" s="11">
        <f t="shared" si="8"/>
        <v>5.3090192377567291E-2</v>
      </c>
      <c r="DQ8" s="11">
        <f t="shared" si="8"/>
        <v>6.7249387502670288E-2</v>
      </c>
      <c r="DR8" s="11">
        <f t="shared" si="8"/>
        <v>3.8861591368913651E-2</v>
      </c>
      <c r="DS8" s="11">
        <f t="shared" si="8"/>
        <v>4.5268747955560677E-2</v>
      </c>
      <c r="DT8" s="11">
        <f t="shared" si="8"/>
        <v>3.6585744470357888E-2</v>
      </c>
      <c r="DU8" s="11">
        <f t="shared" si="8"/>
        <v>-2.540554478764534E-2</v>
      </c>
      <c r="DV8" s="11">
        <f t="shared" si="8"/>
        <v>3.8169108331203461E-2</v>
      </c>
      <c r="DW8" s="11">
        <f t="shared" si="8"/>
        <v>-3.7095267325639718E-2</v>
      </c>
      <c r="DX8" s="11">
        <f t="shared" si="8"/>
        <v>3.4144993871450417E-2</v>
      </c>
      <c r="DY8" s="11">
        <f t="shared" si="8"/>
        <v>5.4498199373483658E-2</v>
      </c>
      <c r="DZ8" s="11">
        <f t="shared" si="8"/>
        <v>4.3653316795825958E-2</v>
      </c>
      <c r="EA8" s="11">
        <f t="shared" ref="EA8:EF8" si="9">IF(EA6=1,EA3,IF(EA6=2,EA4,IF(EA6=3,EA5)))</f>
        <v>-8.3518818020820618E-2</v>
      </c>
      <c r="EB8" s="11">
        <f t="shared" si="9"/>
        <v>-7.7344618737697601E-2</v>
      </c>
      <c r="EC8" s="11">
        <f t="shared" si="9"/>
        <v>-7.0242889225482941E-2</v>
      </c>
      <c r="ED8" s="11">
        <f t="shared" si="9"/>
        <v>-6.3896283507347107E-2</v>
      </c>
      <c r="EE8" s="11">
        <f t="shared" si="9"/>
        <v>-9.7872823476791382E-2</v>
      </c>
      <c r="EF8" s="11">
        <f t="shared" si="9"/>
        <v>-7.6828889548778534E-2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144</v>
      </c>
    </row>
    <row r="12" spans="1:136">
      <c r="A12" s="2">
        <v>10</v>
      </c>
      <c r="B12" s="2">
        <v>96</v>
      </c>
      <c r="C12" s="11">
        <v>-1.4499246984096079E-2</v>
      </c>
      <c r="D12" s="11">
        <v>1.467855149787607E-2</v>
      </c>
      <c r="E12" s="11">
        <v>-1.3937245408664461E-3</v>
      </c>
      <c r="F12" s="11">
        <v>-5.5959384784458728E-2</v>
      </c>
      <c r="G12" s="11">
        <v>3.1947448518630461E-2</v>
      </c>
      <c r="H12" s="11">
        <v>9.5992583565995809E-3</v>
      </c>
      <c r="I12" s="11">
        <v>-8.6581522633444978E-3</v>
      </c>
      <c r="J12" s="11">
        <v>7.3897936559287961E-3</v>
      </c>
      <c r="K12" s="11">
        <v>2.918799813369918E-2</v>
      </c>
      <c r="L12" s="11">
        <v>8.7585559641662342E-3</v>
      </c>
      <c r="M12" s="11">
        <v>2.688917383320695E-2</v>
      </c>
      <c r="N12" s="11">
        <v>-3.4703354243462818E-2</v>
      </c>
      <c r="O12" s="11">
        <v>2.7914759067240381E-2</v>
      </c>
      <c r="P12" s="11">
        <v>2.1420421204462348E-2</v>
      </c>
      <c r="Q12" s="11">
        <v>-5.1156833739640466E-3</v>
      </c>
      <c r="R12" s="11">
        <v>-1.315348866053859E-2</v>
      </c>
      <c r="S12" s="11">
        <v>1.105502977333921E-2</v>
      </c>
      <c r="T12" s="11">
        <v>-4.7867716345524697E-2</v>
      </c>
      <c r="U12" s="11">
        <v>1.356523083780981E-3</v>
      </c>
      <c r="V12" s="11">
        <v>9.5109536536482214E-3</v>
      </c>
      <c r="W12" s="11">
        <v>-2.227844197331175E-2</v>
      </c>
      <c r="X12" s="11">
        <v>-0.10964075134733541</v>
      </c>
      <c r="Y12" s="11">
        <v>2.0598393527691269E-2</v>
      </c>
      <c r="Z12" s="11">
        <v>-5.3152086976860878E-2</v>
      </c>
      <c r="AA12" s="11">
        <v>2.691847942081162E-2</v>
      </c>
      <c r="AB12" s="11">
        <v>1.073332960413877E-2</v>
      </c>
      <c r="AC12" s="11">
        <v>-4.6772945626311249E-2</v>
      </c>
      <c r="AD12" s="11">
        <v>-2.5304298312235208E-3</v>
      </c>
      <c r="AE12" s="11">
        <v>4.6437716666984021E-2</v>
      </c>
      <c r="AF12" s="11">
        <v>-5.2012102776767682E-2</v>
      </c>
      <c r="AG12" s="11">
        <v>-3.814930420809846E-3</v>
      </c>
      <c r="AH12" s="11">
        <v>-1.3405804649633229E-2</v>
      </c>
      <c r="AI12" s="11">
        <v>-1.9506051180185949E-2</v>
      </c>
      <c r="AJ12" s="11">
        <v>-1.298374754605458E-2</v>
      </c>
      <c r="AK12" s="11">
        <v>-1.6475368224135679E-2</v>
      </c>
      <c r="AL12" s="11">
        <v>-4.7800489952077287E-2</v>
      </c>
      <c r="AM12" s="11">
        <v>-3.0086115612597931E-2</v>
      </c>
      <c r="AN12" s="11">
        <v>-6.9233234313428524E-2</v>
      </c>
      <c r="AO12" s="11">
        <v>-2.228793039673051E-3</v>
      </c>
      <c r="AP12" s="11">
        <v>3.3718344781849152E-2</v>
      </c>
      <c r="AQ12" s="11">
        <v>-1.6969305775294419E-3</v>
      </c>
      <c r="AR12" s="11">
        <v>2.2223025987592161E-2</v>
      </c>
      <c r="AS12" s="11">
        <v>1.9976272910371209E-2</v>
      </c>
      <c r="AT12" s="11">
        <v>7.2195382352435097E-2</v>
      </c>
      <c r="AU12" s="11">
        <v>3.713536440044597E-3</v>
      </c>
      <c r="AV12" s="11">
        <v>5.3715630656719707E-2</v>
      </c>
      <c r="AW12" s="11">
        <v>-1.7169704763403071E-2</v>
      </c>
      <c r="AX12" s="11">
        <v>-4.4696011972897853E-2</v>
      </c>
      <c r="AY12" s="11">
        <v>1.749132165900753E-2</v>
      </c>
      <c r="AZ12" s="11">
        <v>-2.361455316530062E-2</v>
      </c>
      <c r="BA12" s="11">
        <v>-2.6434329877061579E-2</v>
      </c>
      <c r="BB12" s="11">
        <v>1.527460525245942E-2</v>
      </c>
      <c r="BC12" s="11">
        <v>-2.669096629233754E-2</v>
      </c>
      <c r="BD12" s="11">
        <v>4.9233947916666673E-2</v>
      </c>
      <c r="BE12" s="11">
        <v>-4.5598218750000002E-2</v>
      </c>
      <c r="BF12" s="11">
        <v>-2.360069791666667E-2</v>
      </c>
      <c r="BG12" s="11">
        <v>1.0003802083333339E-2</v>
      </c>
      <c r="BH12" s="11">
        <v>-3.5079589029917008E-2</v>
      </c>
      <c r="BI12" s="11">
        <v>2.0838031249999951E-2</v>
      </c>
      <c r="BJ12" s="11">
        <v>7.9599331991781624E-4</v>
      </c>
      <c r="BK12" s="11">
        <v>-6.5738349503457333E-4</v>
      </c>
      <c r="BL12" s="11">
        <v>-2.4709245830148639E-2</v>
      </c>
      <c r="BM12" s="11">
        <v>5.030568452332447E-2</v>
      </c>
      <c r="BN12" s="11">
        <v>-1.1516535512096511E-2</v>
      </c>
      <c r="BO12" s="11">
        <v>-2.4246310256236889E-2</v>
      </c>
      <c r="BP12" s="11">
        <v>1.0508985305294091E-2</v>
      </c>
      <c r="BQ12" s="11">
        <v>-1.3896749618746689E-2</v>
      </c>
      <c r="BR12" s="11">
        <v>-2.2610084533988121E-3</v>
      </c>
      <c r="BS12" s="11">
        <v>1.886329338439598E-2</v>
      </c>
      <c r="BT12" s="11">
        <v>1.636478331442541E-2</v>
      </c>
      <c r="BU12" s="11">
        <v>1.691501722427486E-2</v>
      </c>
      <c r="BV12" s="11">
        <v>-4.2282389085929989E-2</v>
      </c>
      <c r="BW12" s="11">
        <v>-4.4477003891650199E-2</v>
      </c>
      <c r="BX12" s="11">
        <v>-6.985153858139255E-3</v>
      </c>
      <c r="BY12" s="11">
        <v>5.8929916357564061E-2</v>
      </c>
      <c r="BZ12" s="11">
        <v>4.5356945691272972E-2</v>
      </c>
      <c r="CA12" s="11">
        <v>1.4580583333333331E-2</v>
      </c>
      <c r="CB12" s="11">
        <v>2.7173862793031672E-2</v>
      </c>
      <c r="CC12" s="11">
        <v>6.5566041666666686E-2</v>
      </c>
      <c r="CD12" s="11">
        <v>0.1109336335844525</v>
      </c>
      <c r="CE12" s="11">
        <v>0.15400715625000011</v>
      </c>
      <c r="CF12" s="11">
        <v>8.0212745139300254E-3</v>
      </c>
      <c r="CG12" s="11">
        <v>-4.9277959963080598E-2</v>
      </c>
      <c r="CH12" s="11">
        <v>-1.6463112378785821E-2</v>
      </c>
      <c r="CI12" s="11">
        <v>-2.4341229166666659E-2</v>
      </c>
      <c r="CJ12" s="11">
        <v>5.4120066914195013E-2</v>
      </c>
      <c r="CK12" s="11">
        <v>5.6101440647790157E-2</v>
      </c>
      <c r="CL12" s="11">
        <v>7.8440280286020903E-2</v>
      </c>
      <c r="CM12" s="11">
        <v>2.635395083816933E-2</v>
      </c>
      <c r="CN12" s="11">
        <v>-2.3307249999999981E-2</v>
      </c>
      <c r="CO12" s="11">
        <v>-2.4819785255212591E-2</v>
      </c>
      <c r="CP12" s="11">
        <v>1.0050220356918669E-3</v>
      </c>
      <c r="CQ12" s="11">
        <v>-6.2684347003574781E-2</v>
      </c>
      <c r="CR12" s="11">
        <v>5.7159986521513537E-2</v>
      </c>
      <c r="CS12" s="11">
        <v>-1.4509312499999989E-2</v>
      </c>
      <c r="CT12" s="11">
        <v>-9.3290632299768764E-3</v>
      </c>
      <c r="CU12" s="11">
        <v>-7.4779529281356727E-2</v>
      </c>
      <c r="CV12" s="11">
        <v>6.5033306495688795E-2</v>
      </c>
      <c r="CW12" s="11">
        <v>1.303666937857764E-2</v>
      </c>
      <c r="CX12" s="11">
        <v>6.098988253699178E-2</v>
      </c>
      <c r="CY12" s="11">
        <v>1.6420596247805602E-2</v>
      </c>
      <c r="CZ12" s="11">
        <v>7.7792327339500603E-2</v>
      </c>
      <c r="DA12" s="11">
        <v>3.6978520833333327E-2</v>
      </c>
      <c r="DB12" s="11">
        <v>8.8981854166666707E-2</v>
      </c>
      <c r="DC12" s="11">
        <v>-4.5013637925414574E-3</v>
      </c>
      <c r="DD12" s="11">
        <v>-3.909141666666667E-2</v>
      </c>
      <c r="DE12" s="11">
        <v>-2.473764441509502E-2</v>
      </c>
      <c r="DF12" s="11">
        <v>1.1624319687869001E-2</v>
      </c>
      <c r="DG12" s="11">
        <v>-4.7394421629824317E-2</v>
      </c>
      <c r="DH12" s="11">
        <v>6.1195427083333309E-2</v>
      </c>
      <c r="DI12" s="11">
        <v>5.9749010416666679E-2</v>
      </c>
      <c r="DJ12" s="11">
        <v>8.0625982547704502E-3</v>
      </c>
      <c r="DK12" s="11">
        <v>-1.5945953127016341E-2</v>
      </c>
      <c r="DL12" s="11">
        <v>1.8669833333803058E-2</v>
      </c>
      <c r="DM12" s="11">
        <v>9.143493333529153E-3</v>
      </c>
      <c r="DN12" s="11">
        <v>1.854144345861243E-2</v>
      </c>
      <c r="DO12" s="11">
        <v>-1.9030728267897829E-2</v>
      </c>
      <c r="DP12" s="11">
        <v>-5.9408694556660431E-2</v>
      </c>
      <c r="DQ12" s="11">
        <v>7.454064748047276E-2</v>
      </c>
      <c r="DR12" s="11">
        <v>1.8778943279386909E-2</v>
      </c>
      <c r="DS12" s="11">
        <v>4.6024279005124763E-2</v>
      </c>
      <c r="DT12" s="11">
        <v>-4.5297883394400537E-2</v>
      </c>
      <c r="DU12" s="11">
        <v>-5.7230229166666681E-2</v>
      </c>
      <c r="DV12" s="11">
        <v>-1.6751441513820589E-2</v>
      </c>
      <c r="DW12" s="11">
        <v>4.4967552083333348E-2</v>
      </c>
      <c r="DX12" s="11">
        <v>1.8099136778333389E-2</v>
      </c>
      <c r="DY12" s="11">
        <v>6.2728222094769928E-2</v>
      </c>
      <c r="DZ12" s="11">
        <v>2.0038890123589111E-2</v>
      </c>
      <c r="EA12" s="11">
        <v>5.1097697916666678E-2</v>
      </c>
      <c r="EB12" s="11">
        <v>5.7861666666666738E-3</v>
      </c>
      <c r="EC12" s="11">
        <v>-9.8060416666666747E-3</v>
      </c>
      <c r="ED12" s="11">
        <v>-6.9577500000000013E-3</v>
      </c>
      <c r="EE12" s="11">
        <v>-2.6506687500000001E-2</v>
      </c>
      <c r="EF12" s="11">
        <v>2.9233395833333311E-2</v>
      </c>
    </row>
    <row r="13" spans="1:136">
      <c r="A13" s="2">
        <v>20</v>
      </c>
      <c r="B13" s="2">
        <v>48</v>
      </c>
      <c r="C13" s="11">
        <v>7.4773642018864783E-3</v>
      </c>
      <c r="D13" s="11">
        <v>-5.4568599887918068E-3</v>
      </c>
      <c r="E13" s="11">
        <v>-5.52362670328634E-3</v>
      </c>
      <c r="F13" s="11">
        <v>-5.9986526692922967E-2</v>
      </c>
      <c r="G13" s="11">
        <v>1.2047404300105931E-2</v>
      </c>
      <c r="H13" s="11">
        <v>1.7388387027498991E-2</v>
      </c>
      <c r="I13" s="11">
        <v>3.2285991683865867E-2</v>
      </c>
      <c r="J13" s="11">
        <v>2.3000408652571691E-2</v>
      </c>
      <c r="K13" s="11">
        <v>6.0326139227570137E-2</v>
      </c>
      <c r="L13" s="11">
        <v>2.1980470378722781E-2</v>
      </c>
      <c r="M13" s="11">
        <v>3.2797582260047169E-3</v>
      </c>
      <c r="N13" s="11">
        <v>-4.3392417465696789E-2</v>
      </c>
      <c r="O13" s="11">
        <v>1.7422698810949939E-2</v>
      </c>
      <c r="P13" s="11">
        <v>2.0856913061405559E-2</v>
      </c>
      <c r="Q13" s="11">
        <v>1.7456384496362699E-2</v>
      </c>
      <c r="R13" s="11">
        <v>-1.6510711082829949E-2</v>
      </c>
      <c r="S13" s="11">
        <v>-6.0138030070422746E-3</v>
      </c>
      <c r="T13" s="11">
        <v>-7.4234081511722602E-2</v>
      </c>
      <c r="U13" s="11">
        <v>-2.8761330590554329E-2</v>
      </c>
      <c r="V13" s="11">
        <v>2.216639903053957E-3</v>
      </c>
      <c r="W13" s="11">
        <v>-3.1103087884369891E-2</v>
      </c>
      <c r="X13" s="11">
        <v>-0.1211277708527381</v>
      </c>
      <c r="Y13" s="11">
        <v>-6.6833587265454353E-3</v>
      </c>
      <c r="Z13" s="11">
        <v>-8.125140212123555E-2</v>
      </c>
      <c r="AA13" s="11">
        <v>4.7712648450258188E-2</v>
      </c>
      <c r="AB13" s="11">
        <v>1.5001573328978489E-2</v>
      </c>
      <c r="AC13" s="11">
        <v>-6.6771700381929838E-2</v>
      </c>
      <c r="AD13" s="11">
        <v>-2.0440228373792429E-2</v>
      </c>
      <c r="AE13" s="11">
        <v>7.7071416726800679E-2</v>
      </c>
      <c r="AF13" s="11">
        <v>-7.3281160828311181E-2</v>
      </c>
      <c r="AG13" s="11">
        <v>9.9052077270740842E-3</v>
      </c>
      <c r="AH13" s="11">
        <v>-9.6413392395163916E-3</v>
      </c>
      <c r="AI13" s="11">
        <v>-1.20675500740728E-2</v>
      </c>
      <c r="AJ13" s="11">
        <v>1.628046998827572E-2</v>
      </c>
      <c r="AK13" s="11">
        <v>-3.8359390282872087E-2</v>
      </c>
      <c r="AL13" s="11">
        <v>-4.9258884794550067E-2</v>
      </c>
      <c r="AM13" s="11">
        <v>-4.6282443536828928E-2</v>
      </c>
      <c r="AN13" s="11">
        <v>-0.10533023813603409</v>
      </c>
      <c r="AO13" s="11">
        <v>-9.3111878994149404E-3</v>
      </c>
      <c r="AP13" s="11">
        <v>5.9550840361997717E-2</v>
      </c>
      <c r="AQ13" s="11">
        <v>-2.3400741595164692E-3</v>
      </c>
      <c r="AR13" s="11">
        <v>2.0848043794723811E-2</v>
      </c>
      <c r="AS13" s="11">
        <v>2.340496354159733E-2</v>
      </c>
      <c r="AT13" s="11">
        <v>8.6422914727599456E-2</v>
      </c>
      <c r="AU13" s="11">
        <v>-1.5695418426472509E-2</v>
      </c>
      <c r="AV13" s="11">
        <v>7.9665975648470139E-2</v>
      </c>
      <c r="AW13" s="11">
        <v>-2.682123797038095E-2</v>
      </c>
      <c r="AX13" s="11">
        <v>-3.2799832135855793E-2</v>
      </c>
      <c r="AY13" s="11">
        <v>1.42622039071387E-2</v>
      </c>
      <c r="AZ13" s="11">
        <v>-3.1220536093770089E-2</v>
      </c>
      <c r="BA13" s="11">
        <v>-2.618827405064264E-2</v>
      </c>
      <c r="BB13" s="11">
        <v>4.2875374496810892E-2</v>
      </c>
      <c r="BC13" s="11">
        <v>-1.9110867274842121E-2</v>
      </c>
      <c r="BD13" s="11">
        <v>4.1676729166666669E-2</v>
      </c>
      <c r="BE13" s="11">
        <v>-4.604862500000001E-2</v>
      </c>
      <c r="BF13" s="11">
        <v>-2.6302541666666669E-2</v>
      </c>
      <c r="BG13" s="11">
        <v>8.3309166666666636E-3</v>
      </c>
      <c r="BH13" s="11">
        <v>-4.1023656192191983E-2</v>
      </c>
      <c r="BI13" s="11">
        <v>2.5832708333333339E-2</v>
      </c>
      <c r="BJ13" s="11">
        <v>1.6847085990264871E-2</v>
      </c>
      <c r="BK13" s="11">
        <v>-8.8783959160913702E-3</v>
      </c>
      <c r="BL13" s="11">
        <v>-3.1947860213175139E-2</v>
      </c>
      <c r="BM13" s="11">
        <v>5.3371768695190711E-2</v>
      </c>
      <c r="BN13" s="11">
        <v>-1.105254187527629E-2</v>
      </c>
      <c r="BO13" s="11">
        <v>-3.0878716233474109E-2</v>
      </c>
      <c r="BP13" s="11">
        <v>-9.4326956946515182E-3</v>
      </c>
      <c r="BQ13" s="11">
        <v>-4.1653063789425779E-2</v>
      </c>
      <c r="BR13" s="11">
        <v>-6.6814174835574522E-3</v>
      </c>
      <c r="BS13" s="11">
        <v>7.4194718402196772E-3</v>
      </c>
      <c r="BT13" s="11">
        <v>5.2107167580298965E-4</v>
      </c>
      <c r="BU13" s="11">
        <v>1.552716642111396E-2</v>
      </c>
      <c r="BV13" s="11">
        <v>-7.9930834101057502E-2</v>
      </c>
      <c r="BW13" s="11">
        <v>-7.5714005636679529E-2</v>
      </c>
      <c r="BX13" s="11">
        <v>-7.4563880601007104E-4</v>
      </c>
      <c r="BY13" s="11">
        <v>3.9201956575141389E-2</v>
      </c>
      <c r="BZ13" s="11">
        <v>7.6138123059050211E-2</v>
      </c>
      <c r="CA13" s="11">
        <v>2.4012187500000001E-2</v>
      </c>
      <c r="CB13" s="11">
        <v>2.6017379522694919E-2</v>
      </c>
      <c r="CC13" s="11">
        <v>0.1201179166666667</v>
      </c>
      <c r="CD13" s="11">
        <v>0.1050858328923274</v>
      </c>
      <c r="CE13" s="11">
        <v>0.1838277291666667</v>
      </c>
      <c r="CF13" s="11">
        <v>-1.2043667015059319E-2</v>
      </c>
      <c r="CG13" s="11">
        <v>-5.8014967807239318E-2</v>
      </c>
      <c r="CH13" s="11">
        <v>-4.0295060582103241E-3</v>
      </c>
      <c r="CI13" s="11">
        <v>-7.8951666666666753E-3</v>
      </c>
      <c r="CJ13" s="11">
        <v>5.481018067884004E-2</v>
      </c>
      <c r="CK13" s="11">
        <v>6.568712626679736E-2</v>
      </c>
      <c r="CL13" s="11">
        <v>7.2724175153218551E-2</v>
      </c>
      <c r="CM13" s="11">
        <v>1.4010734772878621E-2</v>
      </c>
      <c r="CN13" s="11">
        <v>-3.013066666666666E-2</v>
      </c>
      <c r="CO13" s="11">
        <v>-3.5334344080657359E-2</v>
      </c>
      <c r="CP13" s="11">
        <v>-2.0576995740129469E-2</v>
      </c>
      <c r="CQ13" s="11">
        <v>-7.1178864968403879E-2</v>
      </c>
      <c r="CR13" s="11">
        <v>0.11164488638047471</v>
      </c>
      <c r="CS13" s="11">
        <v>3.9479583333333346E-3</v>
      </c>
      <c r="CT13" s="11">
        <v>4.0854011561625853E-4</v>
      </c>
      <c r="CU13" s="11">
        <v>-0.1070909617136373</v>
      </c>
      <c r="CV13" s="11">
        <v>7.7656051256972655E-2</v>
      </c>
      <c r="CW13" s="11">
        <v>3.6309119756433333E-2</v>
      </c>
      <c r="CX13" s="11">
        <v>6.0033255240053027E-2</v>
      </c>
      <c r="CY13" s="11">
        <v>4.1201751884096749E-2</v>
      </c>
      <c r="CZ13" s="11">
        <v>5.7224220353485122E-2</v>
      </c>
      <c r="DA13" s="11">
        <v>4.9445770833333333E-2</v>
      </c>
      <c r="DB13" s="11">
        <v>0.10623525</v>
      </c>
      <c r="DC13" s="11">
        <v>-1.41498668272943E-2</v>
      </c>
      <c r="DD13" s="11">
        <v>-5.1406291666666652E-2</v>
      </c>
      <c r="DE13" s="11">
        <v>-2.2441996429236069E-2</v>
      </c>
      <c r="DF13" s="11">
        <v>1.727163202818234E-2</v>
      </c>
      <c r="DG13" s="11">
        <v>-7.1335760214919608E-2</v>
      </c>
      <c r="DH13" s="11">
        <v>8.8720708333333301E-2</v>
      </c>
      <c r="DI13" s="11">
        <v>8.9748124999999984E-2</v>
      </c>
      <c r="DJ13" s="11">
        <v>-3.3317561795107452E-3</v>
      </c>
      <c r="DK13" s="11">
        <v>1.240907421862765E-2</v>
      </c>
      <c r="DL13" s="11">
        <v>2.2050690678088229E-2</v>
      </c>
      <c r="DM13" s="11">
        <v>-1.1655894415520189E-2</v>
      </c>
      <c r="DN13" s="11">
        <v>1.277588948620326E-2</v>
      </c>
      <c r="DO13" s="11">
        <v>-4.4325139422202869E-2</v>
      </c>
      <c r="DP13" s="11">
        <v>-5.8032308890701628E-2</v>
      </c>
      <c r="DQ13" s="11">
        <v>8.712901139257051E-2</v>
      </c>
      <c r="DR13" s="11">
        <v>1.377120927231194E-2</v>
      </c>
      <c r="DS13" s="11">
        <v>2.991519389132713E-2</v>
      </c>
      <c r="DT13" s="11">
        <v>-3.542630104766481E-2</v>
      </c>
      <c r="DU13" s="11">
        <v>-3.3005958333333342E-2</v>
      </c>
      <c r="DV13" s="11">
        <v>-9.8528047622480752E-3</v>
      </c>
      <c r="DW13" s="11">
        <v>4.2028479166666688E-2</v>
      </c>
      <c r="DX13" s="11">
        <v>2.3229609548966131E-2</v>
      </c>
      <c r="DY13" s="11">
        <v>9.5046248038774313E-3</v>
      </c>
      <c r="DZ13" s="11">
        <v>3.028525147494129E-2</v>
      </c>
      <c r="EA13" s="11">
        <v>6.2118416666666669E-2</v>
      </c>
      <c r="EB13" s="11">
        <v>2.0102083333333259E-4</v>
      </c>
      <c r="EC13" s="11">
        <v>-1.877502083333334E-2</v>
      </c>
      <c r="ED13" s="11">
        <v>7.0839791666666759E-3</v>
      </c>
      <c r="EE13" s="11">
        <v>-4.1234374999999997E-2</v>
      </c>
      <c r="EF13" s="11">
        <v>4.4513041666666663E-2</v>
      </c>
    </row>
    <row r="14" spans="1:136">
      <c r="A14" s="2">
        <v>50</v>
      </c>
      <c r="B14" s="2">
        <v>19</v>
      </c>
      <c r="C14" s="11">
        <v>3.3228977675766179E-2</v>
      </c>
      <c r="D14" s="11">
        <v>-0.14164364875262561</v>
      </c>
      <c r="E14" s="11">
        <v>-4.7920746013269233E-2</v>
      </c>
      <c r="F14" s="11">
        <v>-6.0341904906032563E-2</v>
      </c>
      <c r="G14" s="11">
        <v>5.3656630442780677E-2</v>
      </c>
      <c r="H14" s="11">
        <v>-1.1508260862123591E-2</v>
      </c>
      <c r="I14" s="11">
        <v>3.0100135286935441E-2</v>
      </c>
      <c r="J14" s="11">
        <v>4.5231574032403382E-2</v>
      </c>
      <c r="K14" s="11">
        <v>5.0827466260847963E-2</v>
      </c>
      <c r="L14" s="11">
        <v>5.6271084976235522E-2</v>
      </c>
      <c r="M14" s="11">
        <v>-1.902171446498398E-2</v>
      </c>
      <c r="N14" s="11">
        <v>-5.7369426657022049E-2</v>
      </c>
      <c r="O14" s="11">
        <v>1.4944079385485289E-3</v>
      </c>
      <c r="P14" s="11">
        <v>5.8345921898241233E-2</v>
      </c>
      <c r="Q14" s="11">
        <v>7.9297657581564457E-2</v>
      </c>
      <c r="R14" s="11">
        <v>1.776230862917853E-2</v>
      </c>
      <c r="S14" s="11">
        <v>-2.480674609276777E-2</v>
      </c>
      <c r="T14" s="11">
        <v>-3.5019554834400057E-2</v>
      </c>
      <c r="U14" s="11">
        <v>-3.0556169330400691E-2</v>
      </c>
      <c r="V14" s="11">
        <v>-5.2421300158885083E-2</v>
      </c>
      <c r="W14" s="11">
        <v>-7.4008159388253003E-2</v>
      </c>
      <c r="X14" s="11">
        <v>-0.1866856956103469</v>
      </c>
      <c r="Y14" s="11">
        <v>-5.5190991412221717E-2</v>
      </c>
      <c r="Z14" s="11">
        <v>-0.1167040316714288</v>
      </c>
      <c r="AA14" s="11">
        <v>9.9905879497324754E-2</v>
      </c>
      <c r="AB14" s="11">
        <v>2.7335978605554132E-2</v>
      </c>
      <c r="AC14" s="11">
        <v>3.086562338789272E-3</v>
      </c>
      <c r="AD14" s="11">
        <v>-6.9874591735142114E-2</v>
      </c>
      <c r="AE14" s="11">
        <v>0.11683691983956609</v>
      </c>
      <c r="AF14" s="11">
        <v>-9.6080095456633624E-2</v>
      </c>
      <c r="AG14" s="11">
        <v>2.5329295010953049E-2</v>
      </c>
      <c r="AH14" s="11">
        <v>-5.250277930506024E-3</v>
      </c>
      <c r="AI14" s="11">
        <v>-7.2072950927120863E-2</v>
      </c>
      <c r="AJ14" s="11">
        <v>-1.505903608315101E-2</v>
      </c>
      <c r="AK14" s="11">
        <v>-7.7475339022454029E-2</v>
      </c>
      <c r="AL14" s="11">
        <v>-5.1230182968129499E-2</v>
      </c>
      <c r="AM14" s="11">
        <v>-6.1242166378625243E-2</v>
      </c>
      <c r="AN14" s="11">
        <v>-9.8594666769543718E-2</v>
      </c>
      <c r="AO14" s="11">
        <v>-6.0905705465409951E-2</v>
      </c>
      <c r="AP14" s="11">
        <v>6.9976525152084204E-2</v>
      </c>
      <c r="AQ14" s="11">
        <v>2.973338049727765E-2</v>
      </c>
      <c r="AR14" s="11">
        <v>7.5826916674388654E-3</v>
      </c>
      <c r="AS14" s="11">
        <v>-6.6693383896894304E-3</v>
      </c>
      <c r="AT14" s="11">
        <v>7.9403479710638047E-2</v>
      </c>
      <c r="AU14" s="11">
        <v>-5.7421613114133872E-2</v>
      </c>
      <c r="AV14" s="11">
        <v>6.6258749216258558E-2</v>
      </c>
      <c r="AW14" s="11">
        <v>-5.3928681229427317E-2</v>
      </c>
      <c r="AX14" s="11">
        <v>-1.9370213375490559E-2</v>
      </c>
      <c r="AY14" s="11">
        <v>1.6905718250070641E-3</v>
      </c>
      <c r="AZ14" s="11">
        <v>-6.107058048123927E-2</v>
      </c>
      <c r="BA14" s="11">
        <v>-6.6889831562848612E-2</v>
      </c>
      <c r="BB14" s="11">
        <v>6.1734282001674842E-2</v>
      </c>
      <c r="BC14" s="11">
        <v>2.8505683499306111E-2</v>
      </c>
      <c r="BD14" s="11">
        <v>1.6418894736842111E-2</v>
      </c>
      <c r="BE14" s="11">
        <v>-2.4118105263157899E-2</v>
      </c>
      <c r="BF14" s="11">
        <v>-5.2420526315789459E-3</v>
      </c>
      <c r="BG14" s="11">
        <v>1.049684210526316E-2</v>
      </c>
      <c r="BH14" s="11">
        <v>-7.3413464178725074E-2</v>
      </c>
      <c r="BI14" s="11">
        <v>3.2270894736842103E-2</v>
      </c>
      <c r="BJ14" s="11">
        <v>2.0017223671233209E-2</v>
      </c>
      <c r="BK14" s="11">
        <v>-3.3691419870768569E-2</v>
      </c>
      <c r="BL14" s="11">
        <v>-5.9737766842370338E-2</v>
      </c>
      <c r="BM14" s="11">
        <v>4.6278325003000387E-2</v>
      </c>
      <c r="BN14" s="11">
        <v>-2.0936538072551379E-2</v>
      </c>
      <c r="BO14" s="11">
        <v>-3.3609045677264478E-2</v>
      </c>
      <c r="BP14" s="11">
        <v>-1.5673733492959141E-2</v>
      </c>
      <c r="BQ14" s="11">
        <v>-1.584352386995078E-2</v>
      </c>
      <c r="BR14" s="11">
        <v>-2.7929429532617921E-2</v>
      </c>
      <c r="BS14" s="11">
        <v>-4.1493955144577897E-2</v>
      </c>
      <c r="BT14" s="11">
        <v>-3.0726476125764419E-2</v>
      </c>
      <c r="BU14" s="11">
        <v>1.8002513732382069E-2</v>
      </c>
      <c r="BV14" s="11">
        <v>-0.10798163319999469</v>
      </c>
      <c r="BW14" s="11">
        <v>-0.13089750855718521</v>
      </c>
      <c r="BX14" s="11">
        <v>1.4335295277300691E-2</v>
      </c>
      <c r="BY14" s="11">
        <v>-4.2604489653349287E-2</v>
      </c>
      <c r="BZ14" s="11">
        <v>6.0034056828782267E-2</v>
      </c>
      <c r="CA14" s="11">
        <v>3.3454631578947368E-2</v>
      </c>
      <c r="CB14" s="11">
        <v>5.9477060293539823E-2</v>
      </c>
      <c r="CC14" s="11">
        <v>0.1205952105263158</v>
      </c>
      <c r="CD14" s="11">
        <v>9.8016709932197757E-2</v>
      </c>
      <c r="CE14" s="11">
        <v>0.1705548421052632</v>
      </c>
      <c r="CF14" s="11">
        <v>-4.2877410075316917E-2</v>
      </c>
      <c r="CG14" s="11">
        <v>-5.7320663667820577E-2</v>
      </c>
      <c r="CH14" s="11">
        <v>-4.8879670456065782E-2</v>
      </c>
      <c r="CI14" s="11">
        <v>-3.828157894736822E-3</v>
      </c>
      <c r="CJ14" s="11">
        <v>1.7796116349141359E-2</v>
      </c>
      <c r="CK14" s="11">
        <v>5.3792086513992962E-2</v>
      </c>
      <c r="CL14" s="11">
        <v>0.13734357045347451</v>
      </c>
      <c r="CM14" s="11">
        <v>-5.0971068777473094E-3</v>
      </c>
      <c r="CN14" s="11">
        <v>-1.940110526315789E-2</v>
      </c>
      <c r="CO14" s="11">
        <v>-7.8763758718324112E-2</v>
      </c>
      <c r="CP14" s="11">
        <v>-9.3659357741041893E-2</v>
      </c>
      <c r="CQ14" s="11">
        <v>-3.2227899887387702E-2</v>
      </c>
      <c r="CR14" s="11">
        <v>0.207719712590648</v>
      </c>
      <c r="CS14" s="11">
        <v>-3.8151052631578849E-3</v>
      </c>
      <c r="CT14" s="11">
        <v>-9.6618862820552417E-3</v>
      </c>
      <c r="CU14" s="11">
        <v>-0.1015449999567145</v>
      </c>
      <c r="CV14" s="11">
        <v>0.1513968411576333</v>
      </c>
      <c r="CW14" s="11">
        <v>4.476388444326003E-2</v>
      </c>
      <c r="CX14" s="11">
        <v>3.6299408888239168E-2</v>
      </c>
      <c r="CY14" s="11">
        <v>9.6361130127283909E-2</v>
      </c>
      <c r="CZ14" s="11">
        <v>6.4063563350383365E-2</v>
      </c>
      <c r="DA14" s="11">
        <v>6.5392578947368413E-2</v>
      </c>
      <c r="DB14" s="11">
        <v>0.104608052631579</v>
      </c>
      <c r="DC14" s="11">
        <v>-4.2998541980200089E-2</v>
      </c>
      <c r="DD14" s="11">
        <v>-5.3898894736842097E-2</v>
      </c>
      <c r="DE14" s="11">
        <v>-6.2526924006459011E-2</v>
      </c>
      <c r="DF14" s="11">
        <v>6.4180407871054571E-2</v>
      </c>
      <c r="DG14" s="11">
        <v>-8.7324805758533047E-2</v>
      </c>
      <c r="DH14" s="11">
        <v>5.8742578947368403E-2</v>
      </c>
      <c r="DI14" s="11">
        <v>8.6646789473684205E-2</v>
      </c>
      <c r="DJ14" s="11">
        <v>1.023724267297355E-3</v>
      </c>
      <c r="DK14" s="11">
        <v>1.9071063117655919E-2</v>
      </c>
      <c r="DL14" s="11">
        <v>4.0754871831899041E-2</v>
      </c>
      <c r="DM14" s="11">
        <v>-3.2421916741778967E-2</v>
      </c>
      <c r="DN14" s="11">
        <v>-4.4935740608495638E-2</v>
      </c>
      <c r="DO14" s="11">
        <v>-7.0288548944531612E-2</v>
      </c>
      <c r="DP14" s="11">
        <v>-6.2914808070300282E-2</v>
      </c>
      <c r="DQ14" s="11">
        <v>7.1172564581132955E-2</v>
      </c>
      <c r="DR14" s="11">
        <v>5.2622519458999567E-2</v>
      </c>
      <c r="DS14" s="11">
        <v>8.9437754388967186E-2</v>
      </c>
      <c r="DT14" s="11">
        <v>-4.4516953597455299E-2</v>
      </c>
      <c r="DU14" s="11">
        <v>-6.8796263157894735E-2</v>
      </c>
      <c r="DV14" s="11">
        <v>-4.5153223904483022E-2</v>
      </c>
      <c r="DW14" s="11">
        <v>1.809894736842108E-3</v>
      </c>
      <c r="DX14" s="11">
        <v>2.7689697360398641E-2</v>
      </c>
      <c r="DY14" s="11">
        <v>4.7660986602341179E-2</v>
      </c>
      <c r="DZ14" s="11">
        <v>2.1697589256116791E-2</v>
      </c>
      <c r="EA14" s="11">
        <v>0.1075255263157895</v>
      </c>
      <c r="EB14" s="11">
        <v>-2.5110526315789479E-2</v>
      </c>
      <c r="EC14" s="11">
        <v>-1.9289631578947371E-2</v>
      </c>
      <c r="ED14" s="11">
        <v>-3.3598368421052627E-2</v>
      </c>
      <c r="EE14" s="11">
        <v>3.399263157894739E-3</v>
      </c>
      <c r="EF14" s="11">
        <v>2.5524210526315781E-2</v>
      </c>
    </row>
    <row r="15" spans="1:136">
      <c r="A15" s="2">
        <v>100</v>
      </c>
      <c r="B15" s="2">
        <v>10</v>
      </c>
      <c r="C15" s="11">
        <v>3.6350225217569622E-2</v>
      </c>
      <c r="D15" s="11">
        <v>-0.27303487269562599</v>
      </c>
      <c r="E15" s="11">
        <v>-9.5344605470970442E-2</v>
      </c>
      <c r="F15" s="11">
        <v>3.4921436556697362E-2</v>
      </c>
      <c r="G15" s="11">
        <v>3.4403920967036511E-2</v>
      </c>
      <c r="H15" s="11">
        <v>-1.2437260581051001E-3</v>
      </c>
      <c r="I15" s="11">
        <v>7.929309065310064E-2</v>
      </c>
      <c r="J15" s="11">
        <v>6.212120974997206E-2</v>
      </c>
      <c r="K15" s="11">
        <v>9.4514797591930877E-2</v>
      </c>
      <c r="L15" s="11">
        <v>8.1171060568646272E-2</v>
      </c>
      <c r="M15" s="11">
        <v>-2.1330164362876949E-3</v>
      </c>
      <c r="N15" s="11">
        <v>-0.10979619442513371</v>
      </c>
      <c r="O15" s="11">
        <v>-1.227079575915271E-2</v>
      </c>
      <c r="P15" s="11">
        <v>6.4116183021661763E-2</v>
      </c>
      <c r="Q15" s="11">
        <v>4.5898731445931602E-2</v>
      </c>
      <c r="R15" s="11">
        <v>0.12669105870981379</v>
      </c>
      <c r="S15" s="11">
        <v>8.5487890205940886E-2</v>
      </c>
      <c r="T15" s="11">
        <v>-4.589107711718423E-2</v>
      </c>
      <c r="U15" s="11">
        <v>-7.8199390437812863E-2</v>
      </c>
      <c r="V15" s="11">
        <v>-0.1101270063308359</v>
      </c>
      <c r="W15" s="11">
        <v>-0.1025435939827431</v>
      </c>
      <c r="X15" s="11">
        <v>-0.2111863273303817</v>
      </c>
      <c r="Y15" s="11">
        <v>-5.202879805714216E-2</v>
      </c>
      <c r="Z15" s="11">
        <v>-6.2704119328443941E-2</v>
      </c>
      <c r="AA15" s="11">
        <v>0.16085038421306441</v>
      </c>
      <c r="AB15" s="11">
        <v>2.2166400740933071E-2</v>
      </c>
      <c r="AC15" s="11">
        <v>-4.3176688480551298E-3</v>
      </c>
      <c r="AD15" s="11">
        <v>-8.171337488818238E-2</v>
      </c>
      <c r="AE15" s="11">
        <v>0.21179264304727199</v>
      </c>
      <c r="AF15" s="11">
        <v>-0.13772628717765439</v>
      </c>
      <c r="AG15" s="11">
        <v>4.4324544215075819E-2</v>
      </c>
      <c r="AH15" s="11">
        <v>3.3604373357676472E-2</v>
      </c>
      <c r="AI15" s="11">
        <v>-8.5430110815606947E-2</v>
      </c>
      <c r="AJ15" s="11">
        <v>-9.4648599674757375E-3</v>
      </c>
      <c r="AK15" s="11">
        <v>-6.9361451191916404E-2</v>
      </c>
      <c r="AL15" s="11">
        <v>-3.2360173796661423E-2</v>
      </c>
      <c r="AM15" s="11">
        <v>-5.5122622134627111E-2</v>
      </c>
      <c r="AN15" s="11">
        <v>-0.10168870591238351</v>
      </c>
      <c r="AO15" s="11">
        <v>-6.3369812463467096E-2</v>
      </c>
      <c r="AP15" s="11">
        <v>7.8285693892754235E-2</v>
      </c>
      <c r="AQ15" s="11">
        <v>3.6453319420235192E-2</v>
      </c>
      <c r="AR15" s="11">
        <v>1.773382575923934E-2</v>
      </c>
      <c r="AS15" s="11">
        <v>-4.8733221354101797E-2</v>
      </c>
      <c r="AT15" s="11">
        <v>7.098981260370496E-2</v>
      </c>
      <c r="AU15" s="11">
        <v>-7.7174077249961781E-2</v>
      </c>
      <c r="AV15" s="11">
        <v>3.7297928699110451E-2</v>
      </c>
      <c r="AW15" s="11">
        <v>-9.1727472793350737E-2</v>
      </c>
      <c r="AX15" s="11">
        <v>-8.1360565954768135E-2</v>
      </c>
      <c r="AY15" s="11">
        <v>2.9005659300491791E-2</v>
      </c>
      <c r="AZ15" s="11">
        <v>-6.7846329118650434E-2</v>
      </c>
      <c r="BA15" s="11">
        <v>1.5151738493797209E-2</v>
      </c>
      <c r="BB15" s="11">
        <v>0.1127248660788131</v>
      </c>
      <c r="BC15" s="11">
        <v>3.0936691622350049E-2</v>
      </c>
      <c r="BD15" s="11">
        <v>7.3647000000000018E-3</v>
      </c>
      <c r="BE15" s="11">
        <v>-4.6218299999999997E-2</v>
      </c>
      <c r="BF15" s="11">
        <v>-5.697760000000001E-2</v>
      </c>
      <c r="BG15" s="11">
        <v>1.377640000000001E-2</v>
      </c>
      <c r="BH15" s="11">
        <v>-9.8649046406420665E-2</v>
      </c>
      <c r="BI15" s="11">
        <v>2.6351799999999991E-2</v>
      </c>
      <c r="BJ15" s="11">
        <v>1.1265027087445249E-2</v>
      </c>
      <c r="BK15" s="11">
        <v>4.5604932300413459E-2</v>
      </c>
      <c r="BL15" s="11">
        <v>-5.940387134134844E-2</v>
      </c>
      <c r="BM15" s="11">
        <v>4.8219004487744091E-2</v>
      </c>
      <c r="BN15" s="11">
        <v>-4.0142569733189887E-2</v>
      </c>
      <c r="BO15" s="11">
        <v>-2.773447595493098E-2</v>
      </c>
      <c r="BP15" s="11">
        <v>-1.4184220707804779E-2</v>
      </c>
      <c r="BQ15" s="11">
        <v>-1.280293129032776E-2</v>
      </c>
      <c r="BR15" s="11">
        <v>-5.0157429122059692E-2</v>
      </c>
      <c r="BS15" s="11">
        <v>-1.682377745028631E-2</v>
      </c>
      <c r="BT15" s="11">
        <v>-5.9850936091850722E-2</v>
      </c>
      <c r="BU15" s="11">
        <v>-1.514008239886341E-2</v>
      </c>
      <c r="BV15" s="11">
        <v>-0.1046400442936901</v>
      </c>
      <c r="BW15" s="11">
        <v>-0.29887898957592779</v>
      </c>
      <c r="BX15" s="11">
        <v>5.385156894446378E-2</v>
      </c>
      <c r="BY15" s="11">
        <v>-0.12602357357708691</v>
      </c>
      <c r="BZ15" s="11">
        <v>0.1029064689773473</v>
      </c>
      <c r="CA15" s="11">
        <v>2.9962900000000001E-2</v>
      </c>
      <c r="CB15" s="11">
        <v>9.268410552323747E-2</v>
      </c>
      <c r="CC15" s="11">
        <v>0.17364959999999999</v>
      </c>
      <c r="CD15" s="11">
        <v>0.1201520839630844</v>
      </c>
      <c r="CE15" s="11">
        <v>7.3367399999999999E-2</v>
      </c>
      <c r="CF15" s="11">
        <v>-4.1349429867967538E-2</v>
      </c>
      <c r="CG15" s="11">
        <v>-8.5886021530163809E-2</v>
      </c>
      <c r="CH15" s="11">
        <v>-8.1342607983328249E-2</v>
      </c>
      <c r="CI15" s="11">
        <v>-6.9334999999999994E-2</v>
      </c>
      <c r="CJ15" s="11">
        <v>4.0671716947061162E-2</v>
      </c>
      <c r="CK15" s="11">
        <v>9.5640748172705348E-2</v>
      </c>
      <c r="CL15" s="11">
        <v>0.16165447304317659</v>
      </c>
      <c r="CM15" s="11">
        <v>-4.6626535792598657E-2</v>
      </c>
      <c r="CN15" s="11">
        <v>2.1760000000000171E-4</v>
      </c>
      <c r="CO15" s="11">
        <v>-0.1069792441995681</v>
      </c>
      <c r="CP15" s="11">
        <v>-0.13009874767373969</v>
      </c>
      <c r="CQ15" s="11">
        <v>2.49633604564388E-2</v>
      </c>
      <c r="CR15" s="11">
        <v>0.18148893223573509</v>
      </c>
      <c r="CS15" s="11">
        <v>1.6912400000000001E-2</v>
      </c>
      <c r="CT15" s="11">
        <v>4.9416703656119249E-3</v>
      </c>
      <c r="CU15" s="11">
        <v>-0.12404993141386809</v>
      </c>
      <c r="CV15" s="11">
        <v>0.18261154771691629</v>
      </c>
      <c r="CW15" s="11">
        <v>2.6072090903126711E-2</v>
      </c>
      <c r="CX15" s="11">
        <v>2.4039607053330959E-2</v>
      </c>
      <c r="CY15" s="11">
        <v>9.2947904335357948E-2</v>
      </c>
      <c r="CZ15" s="11">
        <v>7.9886947944342257E-2</v>
      </c>
      <c r="DA15" s="11">
        <v>8.8861800000000005E-2</v>
      </c>
      <c r="DB15" s="11">
        <v>9.7047700000000001E-2</v>
      </c>
      <c r="DC15" s="11">
        <v>-6.7692431945125919E-2</v>
      </c>
      <c r="DD15" s="11">
        <v>-6.7525099999999977E-2</v>
      </c>
      <c r="DE15" s="11">
        <v>-5.7163634731252508E-2</v>
      </c>
      <c r="DF15" s="11">
        <v>-6.0545262726041799E-3</v>
      </c>
      <c r="DG15" s="11">
        <v>-0.11309156284035971</v>
      </c>
      <c r="DH15" s="11">
        <v>0.1296235</v>
      </c>
      <c r="DI15" s="11">
        <v>4.2810999999999988E-2</v>
      </c>
      <c r="DJ15" s="11">
        <v>-5.1853853094406883E-2</v>
      </c>
      <c r="DK15" s="11">
        <v>0.101774834051468</v>
      </c>
      <c r="DL15" s="11">
        <v>-3.0399320282783332E-4</v>
      </c>
      <c r="DM15" s="11">
        <v>-3.9052116693665768E-2</v>
      </c>
      <c r="DN15" s="11">
        <v>-8.1730712251129128E-2</v>
      </c>
      <c r="DO15" s="11">
        <v>-3.4104415749097068E-2</v>
      </c>
      <c r="DP15" s="11">
        <v>-0.1343049473653663</v>
      </c>
      <c r="DQ15" s="11">
        <v>3.7038688952197418E-2</v>
      </c>
      <c r="DR15" s="11">
        <v>7.0010566617938433E-2</v>
      </c>
      <c r="DS15" s="11">
        <v>9.5715424587646258E-3</v>
      </c>
      <c r="DT15" s="11">
        <v>-7.2163631718163007E-2</v>
      </c>
      <c r="DU15" s="11">
        <v>-0.1171285</v>
      </c>
      <c r="DV15" s="11">
        <v>-4.6727729353239662E-2</v>
      </c>
      <c r="DW15" s="11">
        <v>-6.08268E-2</v>
      </c>
      <c r="DX15" s="11">
        <v>2.1545670320480031E-2</v>
      </c>
      <c r="DY15" s="11">
        <v>-8.3673634692538773E-2</v>
      </c>
      <c r="DZ15" s="11">
        <v>3.6596497763803963E-2</v>
      </c>
      <c r="EA15" s="11">
        <v>0.1091777</v>
      </c>
      <c r="EB15" s="11">
        <v>-5.6128999999999998E-2</v>
      </c>
      <c r="EC15" s="11">
        <v>-1.7783799999999999E-2</v>
      </c>
      <c r="ED15" s="11">
        <v>-7.2383699999999995E-2</v>
      </c>
      <c r="EE15" s="11">
        <v>-3.1901999999999998E-3</v>
      </c>
      <c r="EF15" s="11">
        <v>2.96441E-2</v>
      </c>
    </row>
    <row r="16" spans="1:136">
      <c r="A16" s="2">
        <v>107</v>
      </c>
      <c r="B16" s="2">
        <v>9</v>
      </c>
      <c r="C16" s="11">
        <v>3.9435389831589431E-2</v>
      </c>
      <c r="D16" s="11">
        <v>-0.23433797695998909</v>
      </c>
      <c r="E16" s="11">
        <v>-8.6704171428553314E-2</v>
      </c>
      <c r="F16" s="11">
        <v>7.871547190433098E-2</v>
      </c>
      <c r="G16" s="11">
        <v>8.1465506589492725E-3</v>
      </c>
      <c r="H16" s="11">
        <v>-6.4934945682303775E-4</v>
      </c>
      <c r="I16" s="11">
        <v>0.10921796333624501</v>
      </c>
      <c r="J16" s="11">
        <v>7.3104639142384409E-2</v>
      </c>
      <c r="K16" s="11">
        <v>8.642089158239058E-2</v>
      </c>
      <c r="L16" s="11">
        <v>8.5161604114211434E-2</v>
      </c>
      <c r="M16" s="11">
        <v>-1.3987435861917089E-2</v>
      </c>
      <c r="N16" s="11">
        <v>-0.1202424982791967</v>
      </c>
      <c r="O16" s="11">
        <v>-2.8587076878979191E-2</v>
      </c>
      <c r="P16" s="11">
        <v>6.1045231791422308E-2</v>
      </c>
      <c r="Q16" s="11">
        <v>8.1478643305993262E-2</v>
      </c>
      <c r="R16" s="11">
        <v>0.1031096938877092</v>
      </c>
      <c r="S16" s="11">
        <v>0.1098590443348066</v>
      </c>
      <c r="T16" s="11">
        <v>-3.8406673293611998E-2</v>
      </c>
      <c r="U16" s="11">
        <v>-9.147193495076697E-2</v>
      </c>
      <c r="V16" s="11">
        <v>-7.5571486108906974E-2</v>
      </c>
      <c r="W16" s="11">
        <v>-0.10166567604781181</v>
      </c>
      <c r="X16" s="11">
        <v>-0.24053196162716611</v>
      </c>
      <c r="Y16" s="11">
        <v>-5.0278834461062571E-2</v>
      </c>
      <c r="Z16" s="11">
        <v>-4.3010058183760941E-2</v>
      </c>
      <c r="AA16" s="11">
        <v>0.16615889129731709</v>
      </c>
      <c r="AB16" s="11">
        <v>3.2295414434067762E-2</v>
      </c>
      <c r="AC16" s="11">
        <v>1.27654480354167E-2</v>
      </c>
      <c r="AD16" s="11">
        <v>-5.3136055547856789E-2</v>
      </c>
      <c r="AE16" s="11">
        <v>0.20962824117691051</v>
      </c>
      <c r="AF16" s="11">
        <v>-0.14791561026442651</v>
      </c>
      <c r="AG16" s="11">
        <v>4.3776159735772403E-2</v>
      </c>
      <c r="AH16" s="11">
        <v>3.1765400449440553E-2</v>
      </c>
      <c r="AI16" s="11">
        <v>-4.9078043176568033E-2</v>
      </c>
      <c r="AJ16" s="11">
        <v>7.0259660718760518E-3</v>
      </c>
      <c r="AK16" s="11">
        <v>-3.7433452981487869E-2</v>
      </c>
      <c r="AL16" s="11">
        <v>-5.4397026306529771E-3</v>
      </c>
      <c r="AM16" s="11">
        <v>-6.6076730601797973E-2</v>
      </c>
      <c r="AN16" s="11">
        <v>-0.1064562000896756</v>
      </c>
      <c r="AO16" s="11">
        <v>-6.1424671825912318E-2</v>
      </c>
      <c r="AP16" s="11">
        <v>7.779836814558852E-2</v>
      </c>
      <c r="AQ16" s="11">
        <v>5.4497752943883322E-2</v>
      </c>
      <c r="AR16" s="11">
        <v>3.4371979060270931E-2</v>
      </c>
      <c r="AS16" s="11">
        <v>-5.2642718238233757E-2</v>
      </c>
      <c r="AT16" s="11">
        <v>0.1225640433502848</v>
      </c>
      <c r="AU16" s="11">
        <v>-8.2090271843001925E-2</v>
      </c>
      <c r="AV16" s="11">
        <v>5.2080835436737513E-2</v>
      </c>
      <c r="AW16" s="11">
        <v>-0.10898493864152869</v>
      </c>
      <c r="AX16" s="11">
        <v>-0.1006213291014028</v>
      </c>
      <c r="AY16" s="11">
        <v>1.9601853599139189E-2</v>
      </c>
      <c r="AZ16" s="11">
        <v>-8.8150181520572649E-2</v>
      </c>
      <c r="BA16" s="11">
        <v>-3.3911561984698517E-2</v>
      </c>
      <c r="BB16" s="11">
        <v>0.10803892415273809</v>
      </c>
      <c r="BC16" s="11">
        <v>3.8999391922231702E-2</v>
      </c>
      <c r="BD16" s="11">
        <v>6.2841111111111118E-3</v>
      </c>
      <c r="BE16" s="11">
        <v>-4.414033333333333E-2</v>
      </c>
      <c r="BF16" s="11">
        <v>-5.4584333333333353E-2</v>
      </c>
      <c r="BG16" s="11">
        <v>1.9331222222222229E-2</v>
      </c>
      <c r="BH16" s="11">
        <v>-9.6162034507733696E-2</v>
      </c>
      <c r="BI16" s="11">
        <v>2.5620888888888881E-2</v>
      </c>
      <c r="BJ16" s="11">
        <v>2.0503816283207601E-2</v>
      </c>
      <c r="BK16" s="11">
        <v>5.137162452601142E-2</v>
      </c>
      <c r="BL16" s="11">
        <v>-7.0623565707523178E-2</v>
      </c>
      <c r="BM16" s="11">
        <v>3.9497985491106162E-2</v>
      </c>
      <c r="BN16" s="11">
        <v>-4.7905832604027233E-2</v>
      </c>
      <c r="BO16" s="11">
        <v>-2.1890359953657689E-2</v>
      </c>
      <c r="BP16" s="11">
        <v>-2.0843183547580579E-2</v>
      </c>
      <c r="BQ16" s="11">
        <v>-1.6478016254928601E-2</v>
      </c>
      <c r="BR16" s="11">
        <v>-2.6296848021444389E-2</v>
      </c>
      <c r="BS16" s="11">
        <v>-1.319157314746418E-2</v>
      </c>
      <c r="BT16" s="11">
        <v>-4.6660882493518303E-2</v>
      </c>
      <c r="BU16" s="11">
        <v>-1.5064577536601851E-2</v>
      </c>
      <c r="BV16" s="11">
        <v>-3.658563792374666E-2</v>
      </c>
      <c r="BW16" s="11">
        <v>-0.31797083453836722</v>
      </c>
      <c r="BX16" s="11">
        <v>6.6559519118082902E-2</v>
      </c>
      <c r="BY16" s="11">
        <v>-0.13255840925737919</v>
      </c>
      <c r="BZ16" s="11">
        <v>0.11152584850164921</v>
      </c>
      <c r="CA16" s="11">
        <v>2.7431000000000001E-2</v>
      </c>
      <c r="CB16" s="11">
        <v>0.1158655489891553</v>
      </c>
      <c r="CC16" s="11">
        <v>4.4386333333333347E-2</v>
      </c>
      <c r="CD16" s="11">
        <v>0.15507127162636181</v>
      </c>
      <c r="CE16" s="11">
        <v>9.3613777777777768E-2</v>
      </c>
      <c r="CF16" s="11">
        <v>-5.280008433528089E-2</v>
      </c>
      <c r="CG16" s="11">
        <v>-6.1727878146666561E-2</v>
      </c>
      <c r="CH16" s="11">
        <v>-5.0448724703996098E-2</v>
      </c>
      <c r="CI16" s="11">
        <v>-5.834333333333333E-2</v>
      </c>
      <c r="CJ16" s="11">
        <v>2.970338549376331E-2</v>
      </c>
      <c r="CK16" s="11">
        <v>8.8422689781607638E-2</v>
      </c>
      <c r="CL16" s="11">
        <v>0.19674043815921369</v>
      </c>
      <c r="CM16" s="11">
        <v>-6.9997267456522183E-3</v>
      </c>
      <c r="CN16" s="11">
        <v>9.6095555555555569E-3</v>
      </c>
      <c r="CO16" s="11">
        <v>-0.13464020879390531</v>
      </c>
      <c r="CP16" s="11">
        <v>-0.1111514502016443</v>
      </c>
      <c r="CQ16" s="11">
        <v>2.0333779820360921E-2</v>
      </c>
      <c r="CR16" s="11">
        <v>0.1892865334673984</v>
      </c>
      <c r="CS16" s="11">
        <v>2.1808222222222218E-2</v>
      </c>
      <c r="CT16" s="11">
        <v>2.5557377960834651E-2</v>
      </c>
      <c r="CU16" s="11">
        <v>-0.1354717008642061</v>
      </c>
      <c r="CV16" s="11">
        <v>0.17225152263848631</v>
      </c>
      <c r="CW16" s="11">
        <v>4.7341659174279828E-2</v>
      </c>
      <c r="CX16" s="11">
        <v>1.224028475424996E-2</v>
      </c>
      <c r="CY16" s="11">
        <v>8.1280637874214245E-2</v>
      </c>
      <c r="CZ16" s="11">
        <v>0.1026332591781325</v>
      </c>
      <c r="DA16" s="11">
        <v>0.11818055555555559</v>
      </c>
      <c r="DB16" s="11">
        <v>9.8016666666666655E-2</v>
      </c>
      <c r="DC16" s="11">
        <v>-8.3264051622984642E-2</v>
      </c>
      <c r="DD16" s="11">
        <v>-7.4370111111111095E-2</v>
      </c>
      <c r="DE16" s="11">
        <v>-3.4552400358790022E-2</v>
      </c>
      <c r="DF16" s="11">
        <v>-2.6980135523259619E-3</v>
      </c>
      <c r="DG16" s="11">
        <v>-0.12637191985047269</v>
      </c>
      <c r="DH16" s="11">
        <v>0.13714944444444449</v>
      </c>
      <c r="DI16" s="11">
        <v>4.7828777777777769E-2</v>
      </c>
      <c r="DJ16" s="11">
        <v>-2.914140608062964E-2</v>
      </c>
      <c r="DK16" s="11">
        <v>0.1335943566255807</v>
      </c>
      <c r="DL16" s="11">
        <v>-2.187287424977424E-2</v>
      </c>
      <c r="DM16" s="11">
        <v>-1.8910374168543239E-2</v>
      </c>
      <c r="DN16" s="11">
        <v>-0.1158867317449916</v>
      </c>
      <c r="DO16" s="11">
        <v>-4.656386647977797E-2</v>
      </c>
      <c r="DP16" s="11">
        <v>-0.16033399447581251</v>
      </c>
      <c r="DQ16" s="11">
        <v>4.7070156004531787E-2</v>
      </c>
      <c r="DR16" s="11">
        <v>5.5191251649515209E-2</v>
      </c>
      <c r="DS16" s="11">
        <v>-1.042302437651493E-2</v>
      </c>
      <c r="DT16" s="11">
        <v>-0.10053412782446559</v>
      </c>
      <c r="DU16" s="11">
        <v>-0.12277299999999999</v>
      </c>
      <c r="DV16" s="11">
        <v>-4.5728317172487008E-2</v>
      </c>
      <c r="DW16" s="11">
        <v>-7.1303111111111109E-2</v>
      </c>
      <c r="DX16" s="11">
        <v>2.1947727776040898E-2</v>
      </c>
      <c r="DY16" s="11">
        <v>-9.4984864221236961E-2</v>
      </c>
      <c r="DZ16" s="11">
        <v>1.264917158578936E-2</v>
      </c>
      <c r="EA16" s="11">
        <v>0.13979988888888889</v>
      </c>
      <c r="EB16" s="11">
        <v>-7.0877777777777762E-2</v>
      </c>
      <c r="EC16" s="11">
        <v>-2.4936444444444442E-2</v>
      </c>
      <c r="ED16" s="11">
        <v>-8.0285222222222202E-2</v>
      </c>
      <c r="EE16" s="11">
        <v>-4.3961111111111119E-3</v>
      </c>
      <c r="EF16" s="11">
        <v>3.4548444444444437E-2</v>
      </c>
    </row>
    <row r="17" spans="1:136">
      <c r="A17" s="2">
        <v>120</v>
      </c>
      <c r="B17" s="2">
        <v>8</v>
      </c>
      <c r="C17" s="11">
        <v>3.8913468982799751E-2</v>
      </c>
      <c r="D17" s="11">
        <v>-0.16854736185977429</v>
      </c>
      <c r="E17" s="11">
        <v>-9.6671109192610821E-2</v>
      </c>
      <c r="F17" s="11">
        <v>8.0752164152319103E-2</v>
      </c>
      <c r="G17" s="11">
        <v>0.10538707466373071</v>
      </c>
      <c r="H17" s="11">
        <v>7.9428568480016878E-3</v>
      </c>
      <c r="I17" s="11">
        <v>0.11307752437344649</v>
      </c>
      <c r="J17" s="11">
        <v>4.82869479607657E-2</v>
      </c>
      <c r="K17" s="11">
        <v>0.1015600797223099</v>
      </c>
      <c r="L17" s="11">
        <v>4.2234791145342128E-2</v>
      </c>
      <c r="M17" s="11">
        <v>1.4659142090288421E-2</v>
      </c>
      <c r="N17" s="11">
        <v>-0.1092778268298058</v>
      </c>
      <c r="O17" s="11">
        <v>-1.1306676064132231E-2</v>
      </c>
      <c r="P17" s="11">
        <v>6.6339369138831011E-2</v>
      </c>
      <c r="Q17" s="11">
        <v>0.10026682830356801</v>
      </c>
      <c r="R17" s="11">
        <v>0.13642644520024619</v>
      </c>
      <c r="S17" s="11">
        <v>0.1190543893253307</v>
      </c>
      <c r="T17" s="11">
        <v>-2.3342585510940761E-2</v>
      </c>
      <c r="U17" s="11">
        <v>-6.2405901699897098E-2</v>
      </c>
      <c r="V17" s="11">
        <v>-9.7259655852603044E-2</v>
      </c>
      <c r="W17" s="11">
        <v>-0.1196039840123075</v>
      </c>
      <c r="X17" s="11">
        <v>-0.2379894313203148</v>
      </c>
      <c r="Y17" s="11">
        <v>-7.3623131490407626E-2</v>
      </c>
      <c r="Z17" s="11">
        <v>-4.832567357165625E-2</v>
      </c>
      <c r="AA17" s="11">
        <v>0.19128343691540939</v>
      </c>
      <c r="AB17" s="11">
        <v>4.4538303269439639E-2</v>
      </c>
      <c r="AC17" s="11">
        <v>2.008625473802152E-2</v>
      </c>
      <c r="AD17" s="11">
        <v>-4.9777375460754107E-2</v>
      </c>
      <c r="AE17" s="11">
        <v>0.22212270442845089</v>
      </c>
      <c r="AF17" s="11">
        <v>-0.1202863246558465</v>
      </c>
      <c r="AG17" s="11">
        <v>6.2640141571138702E-2</v>
      </c>
      <c r="AH17" s="11">
        <v>3.5472619172888853E-2</v>
      </c>
      <c r="AI17" s="11">
        <v>-3.058770864151358E-2</v>
      </c>
      <c r="AJ17" s="11">
        <v>4.2602630518956887E-2</v>
      </c>
      <c r="AK17" s="11">
        <v>-2.937588960957525E-2</v>
      </c>
      <c r="AL17" s="11">
        <v>-2.701818216868862E-2</v>
      </c>
      <c r="AM17" s="11">
        <v>-7.5369367587656971E-2</v>
      </c>
      <c r="AN17" s="11">
        <v>-0.1132871203459177</v>
      </c>
      <c r="AO17" s="11">
        <v>-1.2632334595724191E-2</v>
      </c>
      <c r="AP17" s="11">
        <v>7.7242814419585484E-2</v>
      </c>
      <c r="AQ17" s="11">
        <v>6.1277252118221971E-2</v>
      </c>
      <c r="AR17" s="11">
        <v>4.5802625557302828E-2</v>
      </c>
      <c r="AS17" s="11">
        <v>-5.8802956944234333E-2</v>
      </c>
      <c r="AT17" s="11">
        <v>0.1270717931072517</v>
      </c>
      <c r="AU17" s="11">
        <v>-0.11569960953410489</v>
      </c>
      <c r="AV17" s="11">
        <v>5.8529449334631382E-2</v>
      </c>
      <c r="AW17" s="11">
        <v>-7.6189610229816601E-2</v>
      </c>
      <c r="AX17" s="11">
        <v>-9.7619105117607935E-2</v>
      </c>
      <c r="AY17" s="11">
        <v>1.547804570524644E-2</v>
      </c>
      <c r="AZ17" s="11">
        <v>-7.0494230916434586E-2</v>
      </c>
      <c r="BA17" s="11">
        <v>-3.8771615247690558E-2</v>
      </c>
      <c r="BB17" s="11">
        <v>0.1237640631138444</v>
      </c>
      <c r="BC17" s="11">
        <v>2.729282438048998E-2</v>
      </c>
      <c r="BD17" s="11">
        <v>1.9414125000000001E-2</v>
      </c>
      <c r="BE17" s="11">
        <v>-1.6298625000000001E-2</v>
      </c>
      <c r="BF17" s="11">
        <v>-7.7417000000000014E-2</v>
      </c>
      <c r="BG17" s="11">
        <v>-1.3153750000000001E-2</v>
      </c>
      <c r="BH17" s="11">
        <v>-0.1331911133253291</v>
      </c>
      <c r="BI17" s="11">
        <v>5.7450749999999988E-2</v>
      </c>
      <c r="BJ17" s="11">
        <v>9.8580642732364818E-3</v>
      </c>
      <c r="BK17" s="11">
        <v>1.67513267503808E-2</v>
      </c>
      <c r="BL17" s="11">
        <v>-7.7482966799946165E-2</v>
      </c>
      <c r="BM17" s="11">
        <v>2.905901115235426E-2</v>
      </c>
      <c r="BN17" s="11">
        <v>-4.6915525593877988E-2</v>
      </c>
      <c r="BO17" s="11">
        <v>-3.5179615416723611E-2</v>
      </c>
      <c r="BP17" s="11">
        <v>-3.5995979654480911E-2</v>
      </c>
      <c r="BQ17" s="11">
        <v>-1.1376510446451601E-2</v>
      </c>
      <c r="BR17" s="11">
        <v>-9.6463751247498966E-3</v>
      </c>
      <c r="BS17" s="11">
        <v>-4.1034691106065987E-3</v>
      </c>
      <c r="BT17" s="11">
        <v>-5.2650160261977733E-2</v>
      </c>
      <c r="BU17" s="11">
        <v>-3.8510384871554643E-2</v>
      </c>
      <c r="BV17" s="11">
        <v>-3.8240956502194168E-2</v>
      </c>
      <c r="BW17" s="11">
        <v>-0.2083368255173885</v>
      </c>
      <c r="BX17" s="11">
        <v>8.2640989537648424E-2</v>
      </c>
      <c r="BY17" s="11">
        <v>-0.14247737512646691</v>
      </c>
      <c r="BZ17" s="11">
        <v>0.12057815588108529</v>
      </c>
      <c r="CA17" s="11">
        <v>2.7196125000000002E-2</v>
      </c>
      <c r="CB17" s="11">
        <v>0.10916583702074401</v>
      </c>
      <c r="CC17" s="11">
        <v>4.1758499999999997E-2</v>
      </c>
      <c r="CD17" s="11">
        <v>0.17295974121914859</v>
      </c>
      <c r="CE17" s="11">
        <v>9.5707624999999991E-2</v>
      </c>
      <c r="CF17" s="11">
        <v>-5.8238796594696537E-2</v>
      </c>
      <c r="CG17" s="11">
        <v>-7.4714988628731105E-2</v>
      </c>
      <c r="CH17" s="11">
        <v>-3.296907217045305E-2</v>
      </c>
      <c r="CI17" s="11">
        <v>-8.2451250000000004E-2</v>
      </c>
      <c r="CJ17" s="11">
        <v>2.0950827481348411E-2</v>
      </c>
      <c r="CK17" s="11">
        <v>8.3955848259630761E-2</v>
      </c>
      <c r="CL17" s="11">
        <v>0.13683909896473681</v>
      </c>
      <c r="CM17" s="11">
        <v>1.669972893353411E-3</v>
      </c>
      <c r="CN17" s="11">
        <v>1.3630750000000001E-2</v>
      </c>
      <c r="CO17" s="11">
        <v>-0.13741287532952509</v>
      </c>
      <c r="CP17" s="11">
        <v>-0.108221383508889</v>
      </c>
      <c r="CQ17" s="11">
        <v>-5.1907103341726511E-2</v>
      </c>
      <c r="CR17" s="11">
        <v>0.19640263176228931</v>
      </c>
      <c r="CS17" s="11">
        <v>1.1546625E-2</v>
      </c>
      <c r="CT17" s="11">
        <v>1.7339280405090751E-2</v>
      </c>
      <c r="CU17" s="11">
        <v>-0.15535189279975939</v>
      </c>
      <c r="CV17" s="11">
        <v>0.15147138486135439</v>
      </c>
      <c r="CW17" s="11">
        <v>6.3393218804487977E-2</v>
      </c>
      <c r="CX17" s="11">
        <v>1.0772394523947831E-2</v>
      </c>
      <c r="CY17" s="11">
        <v>7.5608913409805675E-2</v>
      </c>
      <c r="CZ17" s="11">
        <v>0.1242488378476205</v>
      </c>
      <c r="DA17" s="11">
        <v>9.4495625E-2</v>
      </c>
      <c r="DB17" s="11">
        <v>0.104271</v>
      </c>
      <c r="DC17" s="11">
        <v>-9.8849392549809512E-2</v>
      </c>
      <c r="DD17" s="11">
        <v>-4.8129999999999992E-2</v>
      </c>
      <c r="DE17" s="11">
        <v>-2.4124863346722019E-2</v>
      </c>
      <c r="DF17" s="11">
        <v>-1.5674444936529901E-2</v>
      </c>
      <c r="DG17" s="11">
        <v>-0.12321246613063939</v>
      </c>
      <c r="DH17" s="11">
        <v>0.16343337499999999</v>
      </c>
      <c r="DI17" s="11">
        <v>7.0181249999999987E-2</v>
      </c>
      <c r="DJ17" s="11">
        <v>-4.5336157540819967E-2</v>
      </c>
      <c r="DK17" s="11">
        <v>0.15603642811654619</v>
      </c>
      <c r="DL17" s="11">
        <v>-3.929731691128693E-3</v>
      </c>
      <c r="DM17" s="11">
        <v>-3.7227475515992328E-2</v>
      </c>
      <c r="DN17" s="11">
        <v>-0.1064799626072864</v>
      </c>
      <c r="DO17" s="11">
        <v>-6.5250544351453679E-2</v>
      </c>
      <c r="DP17" s="11">
        <v>-0.14203415825063481</v>
      </c>
      <c r="DQ17" s="11">
        <v>7.2654005106024863E-2</v>
      </c>
      <c r="DR17" s="11">
        <v>5.5884814876328279E-2</v>
      </c>
      <c r="DS17" s="11">
        <v>-6.5055362314722226E-3</v>
      </c>
      <c r="DT17" s="11">
        <v>-9.3138949685151573E-2</v>
      </c>
      <c r="DU17" s="11">
        <v>-0.129494</v>
      </c>
      <c r="DV17" s="11">
        <v>-4.5148836149058763E-2</v>
      </c>
      <c r="DW17" s="11">
        <v>-7.6599750000000008E-2</v>
      </c>
      <c r="DX17" s="11">
        <v>-2.3035180169188669E-2</v>
      </c>
      <c r="DY17" s="11">
        <v>-0.12601053790105471</v>
      </c>
      <c r="DZ17" s="11">
        <v>-4.7910532459885732E-3</v>
      </c>
      <c r="EA17" s="11">
        <v>0.16457237499999999</v>
      </c>
      <c r="EB17" s="11">
        <v>-7.3783624999999992E-2</v>
      </c>
      <c r="EC17" s="11">
        <v>-2.0359374999999999E-2</v>
      </c>
      <c r="ED17" s="11">
        <v>-8.2855624999999988E-2</v>
      </c>
      <c r="EE17" s="11">
        <v>1.9437499999999921E-4</v>
      </c>
      <c r="EF17" s="11">
        <v>4.0984749999999993E-2</v>
      </c>
    </row>
    <row r="18" spans="1:136">
      <c r="A18" s="2">
        <v>137</v>
      </c>
      <c r="B18" s="2">
        <v>7</v>
      </c>
      <c r="C18" s="11">
        <v>5.9146797802220617E-2</v>
      </c>
      <c r="D18" s="11">
        <v>-0.18401888940316621</v>
      </c>
      <c r="E18" s="11">
        <v>-0.10047562300309219</v>
      </c>
      <c r="F18" s="11">
        <v>0.11938296010218979</v>
      </c>
      <c r="G18" s="11">
        <v>0.10831637328507999</v>
      </c>
      <c r="H18" s="11">
        <v>8.6222277544443261E-3</v>
      </c>
      <c r="I18" s="11">
        <v>0.1286265558355405</v>
      </c>
      <c r="J18" s="11">
        <v>9.1173231687568024E-2</v>
      </c>
      <c r="K18" s="11">
        <v>0.13564788877763229</v>
      </c>
      <c r="L18" s="11">
        <v>5.0758207106719029E-2</v>
      </c>
      <c r="M18" s="11">
        <v>2.9051464376457319E-2</v>
      </c>
      <c r="N18" s="11">
        <v>-0.14120748849629611</v>
      </c>
      <c r="O18" s="11">
        <v>3.1737941097498189E-2</v>
      </c>
      <c r="P18" s="11">
        <v>8.2552611569947768E-2</v>
      </c>
      <c r="Q18" s="11">
        <v>9.3059589912906207E-2</v>
      </c>
      <c r="R18" s="11">
        <v>0.1541891887340214</v>
      </c>
      <c r="S18" s="11">
        <v>0.14380522729889919</v>
      </c>
      <c r="T18" s="11">
        <v>-5.2309697550730873E-2</v>
      </c>
      <c r="U18" s="11">
        <v>-5.5150343051564729E-2</v>
      </c>
      <c r="V18" s="11">
        <v>-0.1213914614259257</v>
      </c>
      <c r="W18" s="11">
        <v>-0.1379172379157062</v>
      </c>
      <c r="X18" s="11">
        <v>-0.21512105739995169</v>
      </c>
      <c r="Y18" s="11">
        <v>-0.1038792439088113</v>
      </c>
      <c r="Z18" s="11">
        <v>-5.1469725750839503E-2</v>
      </c>
      <c r="AA18" s="11">
        <v>0.17257065753452869</v>
      </c>
      <c r="AB18" s="11">
        <v>6.2644805262660919E-2</v>
      </c>
      <c r="AC18" s="11">
        <v>-1.3654204768322529E-3</v>
      </c>
      <c r="AD18" s="11">
        <v>-7.2443789088531399E-2</v>
      </c>
      <c r="AE18" s="11">
        <v>0.25839134891520849</v>
      </c>
      <c r="AF18" s="11">
        <v>-0.1505436398240734</v>
      </c>
      <c r="AG18" s="11">
        <v>8.1719979892753619E-2</v>
      </c>
      <c r="AH18" s="11">
        <v>4.0197460968514703E-2</v>
      </c>
      <c r="AI18" s="11">
        <v>-4.6855541353756011E-2</v>
      </c>
      <c r="AJ18" s="11">
        <v>4.7393756166449127E-2</v>
      </c>
      <c r="AK18" s="11">
        <v>-2.283288536199644E-2</v>
      </c>
      <c r="AL18" s="11">
        <v>-3.2812811779609451E-2</v>
      </c>
      <c r="AM18" s="11">
        <v>-6.6643405424771207E-2</v>
      </c>
      <c r="AN18" s="11">
        <v>-7.9294639955201793E-2</v>
      </c>
      <c r="AO18" s="11">
        <v>-5.4275349676927882E-3</v>
      </c>
      <c r="AP18" s="11">
        <v>7.8278591933806971E-2</v>
      </c>
      <c r="AQ18" s="11">
        <v>6.4154973663518397E-2</v>
      </c>
      <c r="AR18" s="11">
        <v>3.9002474062764268E-2</v>
      </c>
      <c r="AS18" s="11">
        <v>-8.3253127889185943E-2</v>
      </c>
      <c r="AT18" s="11">
        <v>0.16638580942405889</v>
      </c>
      <c r="AU18" s="11">
        <v>-0.13889821464621971</v>
      </c>
      <c r="AV18" s="11">
        <v>6.0235664706469842E-2</v>
      </c>
      <c r="AW18" s="11">
        <v>-9.7766861821235188E-2</v>
      </c>
      <c r="AX18" s="11">
        <v>-0.12606433742612741</v>
      </c>
      <c r="AY18" s="11">
        <v>3.0189358728490181E-2</v>
      </c>
      <c r="AZ18" s="11">
        <v>-5.1646327393508343E-2</v>
      </c>
      <c r="BA18" s="11">
        <v>-3.5302240006763339E-2</v>
      </c>
      <c r="BB18" s="11">
        <v>0.13765604215733709</v>
      </c>
      <c r="BC18" s="11">
        <v>-2.7942050701969749E-2</v>
      </c>
      <c r="BD18" s="11">
        <v>2.0277714285714281E-2</v>
      </c>
      <c r="BE18" s="11">
        <v>-2.2232285714285711E-2</v>
      </c>
      <c r="BF18" s="11">
        <v>-3.8142000000000002E-2</v>
      </c>
      <c r="BG18" s="11">
        <v>-2.3085714285714242E-3</v>
      </c>
      <c r="BH18" s="11">
        <v>-0.1378982651501425</v>
      </c>
      <c r="BI18" s="11">
        <v>3.3489571428571417E-2</v>
      </c>
      <c r="BJ18" s="11">
        <v>-5.9560640504595433E-3</v>
      </c>
      <c r="BK18" s="11">
        <v>9.810839031169187E-4</v>
      </c>
      <c r="BL18" s="11">
        <v>-8.1157673820204085E-2</v>
      </c>
      <c r="BM18" s="11">
        <v>2.8081356373095352E-2</v>
      </c>
      <c r="BN18" s="11">
        <v>-5.2774389623830152E-2</v>
      </c>
      <c r="BO18" s="11">
        <v>-2.0227496106374639E-2</v>
      </c>
      <c r="BP18" s="11">
        <v>-4.6857540334682007E-2</v>
      </c>
      <c r="BQ18" s="11">
        <v>-1.916784109848992E-3</v>
      </c>
      <c r="BR18" s="11">
        <v>-5.7481935839547244E-3</v>
      </c>
      <c r="BS18" s="11">
        <v>-3.9836250971192512E-3</v>
      </c>
      <c r="BT18" s="11">
        <v>-6.1545322892704799E-2</v>
      </c>
      <c r="BU18" s="11">
        <v>8.9206671055132442E-3</v>
      </c>
      <c r="BV18" s="11">
        <v>-3.96244261241478E-2</v>
      </c>
      <c r="BW18" s="11">
        <v>-0.21837549913098869</v>
      </c>
      <c r="BX18" s="11">
        <v>7.4580863414598103E-2</v>
      </c>
      <c r="BY18" s="11">
        <v>-8.7465268272101659E-2</v>
      </c>
      <c r="BZ18" s="11">
        <v>0.15331998780259809</v>
      </c>
      <c r="CA18" s="11">
        <v>3.3285857142857138E-2</v>
      </c>
      <c r="CB18" s="11">
        <v>9.7387282979409254E-2</v>
      </c>
      <c r="CC18" s="11">
        <v>0.1046597142857143</v>
      </c>
      <c r="CD18" s="11">
        <v>0.19371681864683071</v>
      </c>
      <c r="CE18" s="11">
        <v>7.7259857142857144E-2</v>
      </c>
      <c r="CF18" s="11">
        <v>4.3957743386608697E-2</v>
      </c>
      <c r="CG18" s="11">
        <v>-9.1609255563919342E-2</v>
      </c>
      <c r="CH18" s="11">
        <v>-4.5365648959158789E-2</v>
      </c>
      <c r="CI18" s="11">
        <v>-0.1177235714285714</v>
      </c>
      <c r="CJ18" s="11">
        <v>-3.772366500397611E-3</v>
      </c>
      <c r="CK18" s="11">
        <v>9.6058031665523097E-2</v>
      </c>
      <c r="CL18" s="11">
        <v>0.15291394380948509</v>
      </c>
      <c r="CM18" s="11">
        <v>1.554875034200344E-2</v>
      </c>
      <c r="CN18" s="11">
        <v>-2.8616857142857138E-2</v>
      </c>
      <c r="CO18" s="11">
        <v>-0.1505975096222473</v>
      </c>
      <c r="CP18" s="11">
        <v>-0.1162703198079334</v>
      </c>
      <c r="CQ18" s="11">
        <v>-3.8242675594942703E-2</v>
      </c>
      <c r="CR18" s="11">
        <v>0.19372240765220919</v>
      </c>
      <c r="CS18" s="11">
        <v>2.8129285714285711E-2</v>
      </c>
      <c r="CT18" s="11">
        <v>-1.6272494200008831E-2</v>
      </c>
      <c r="CU18" s="11">
        <v>-0.14456482117613489</v>
      </c>
      <c r="CV18" s="11">
        <v>0.1270222681330069</v>
      </c>
      <c r="CW18" s="11">
        <v>6.6558574498316259E-2</v>
      </c>
      <c r="CX18" s="11">
        <v>6.1560185833778078E-2</v>
      </c>
      <c r="CY18" s="11">
        <v>9.3178383907907517E-2</v>
      </c>
      <c r="CZ18" s="11">
        <v>0.13284286330177139</v>
      </c>
      <c r="DA18" s="11">
        <v>7.8357857142857146E-2</v>
      </c>
      <c r="DB18" s="11">
        <v>0.118114</v>
      </c>
      <c r="DC18" s="11">
        <v>-8.2819707211162524E-2</v>
      </c>
      <c r="DD18" s="11">
        <v>-7.1071285714285712E-2</v>
      </c>
      <c r="DE18" s="11">
        <v>-3.8420587486450893E-2</v>
      </c>
      <c r="DF18" s="11">
        <v>-2.8071975077961529E-2</v>
      </c>
      <c r="DG18" s="11">
        <v>-0.11821709327359541</v>
      </c>
      <c r="DH18" s="11">
        <v>0.1924025714285714</v>
      </c>
      <c r="DI18" s="11">
        <v>9.7962857142857129E-2</v>
      </c>
      <c r="DJ18" s="11">
        <v>-4.5204039785289522E-2</v>
      </c>
      <c r="DK18" s="11">
        <v>0.15851362709242739</v>
      </c>
      <c r="DL18" s="11">
        <v>-3.830274067592157E-3</v>
      </c>
      <c r="DM18" s="11">
        <v>-5.250678742263995E-3</v>
      </c>
      <c r="DN18" s="11">
        <v>-0.1251086832695307</v>
      </c>
      <c r="DO18" s="11">
        <v>-3.019901746158983E-2</v>
      </c>
      <c r="DP18" s="11">
        <v>-0.13348647227708049</v>
      </c>
      <c r="DQ18" s="11">
        <v>6.5749458183898837E-2</v>
      </c>
      <c r="DR18" s="11">
        <v>7.6840654771961045E-2</v>
      </c>
      <c r="DS18" s="11">
        <v>-2.5385651257138282E-2</v>
      </c>
      <c r="DT18" s="11">
        <v>-0.1160173901109771</v>
      </c>
      <c r="DU18" s="11">
        <v>-0.15871542857142859</v>
      </c>
      <c r="DV18" s="11">
        <v>-7.0527692506077544E-2</v>
      </c>
      <c r="DW18" s="11">
        <v>-6.8637857142857153E-2</v>
      </c>
      <c r="DX18" s="11">
        <v>-6.8177293521735294E-2</v>
      </c>
      <c r="DY18" s="11">
        <v>-0.16576310466200311</v>
      </c>
      <c r="DZ18" s="11">
        <v>-4.3227854869441883E-2</v>
      </c>
      <c r="EA18" s="11">
        <v>0.19894728571428569</v>
      </c>
      <c r="EB18" s="11">
        <v>-9.7044999999999992E-2</v>
      </c>
      <c r="EC18" s="11">
        <v>-1.959885714285715E-2</v>
      </c>
      <c r="ED18" s="11">
        <v>-8.0269714285714278E-2</v>
      </c>
      <c r="EE18" s="11">
        <v>-1.110285714285716E-3</v>
      </c>
      <c r="EF18" s="11">
        <v>6.3951857142857144E-2</v>
      </c>
    </row>
    <row r="19" spans="1:136">
      <c r="A19" s="2">
        <v>160</v>
      </c>
      <c r="B19" s="2">
        <v>6</v>
      </c>
      <c r="C19" s="11">
        <v>7.386192988077088E-2</v>
      </c>
      <c r="D19" s="11">
        <v>-0.21954286838228931</v>
      </c>
      <c r="E19" s="11">
        <v>-0.1405836765913312</v>
      </c>
      <c r="F19" s="11">
        <v>0.1776886618055605</v>
      </c>
      <c r="G19" s="11">
        <v>9.6065971857177412E-2</v>
      </c>
      <c r="H19" s="11">
        <v>-1.2068788462484921E-2</v>
      </c>
      <c r="I19" s="11">
        <v>0.13411217848757939</v>
      </c>
      <c r="J19" s="11">
        <v>0.11143724417215239</v>
      </c>
      <c r="K19" s="11">
        <v>0.23878941472391671</v>
      </c>
      <c r="L19" s="11">
        <v>2.032664964034506E-2</v>
      </c>
      <c r="M19" s="11">
        <v>-4.3690236156307287E-2</v>
      </c>
      <c r="N19" s="11">
        <v>-0.15184358114798011</v>
      </c>
      <c r="O19" s="11">
        <v>3.1561874488915911E-2</v>
      </c>
      <c r="P19" s="11">
        <v>9.2534186186697107E-2</v>
      </c>
      <c r="Q19" s="11">
        <v>8.1866112736540833E-2</v>
      </c>
      <c r="R19" s="11">
        <v>0.14558327280221009</v>
      </c>
      <c r="S19" s="11">
        <v>0.1226918763357415</v>
      </c>
      <c r="T19" s="11">
        <v>-5.1464717245309592E-2</v>
      </c>
      <c r="U19" s="11">
        <v>-6.7250001618483032E-2</v>
      </c>
      <c r="V19" s="11">
        <v>-9.2688319725313148E-2</v>
      </c>
      <c r="W19" s="11">
        <v>-0.14662099071751011</v>
      </c>
      <c r="X19" s="11">
        <v>-0.14939987335272731</v>
      </c>
      <c r="Y19" s="11">
        <v>-0.10313023893043829</v>
      </c>
      <c r="Z19" s="11">
        <v>-5.7888725378699338E-2</v>
      </c>
      <c r="AA19" s="11">
        <v>0.131832899481091</v>
      </c>
      <c r="AB19" s="11">
        <v>5.1718752810757287E-2</v>
      </c>
      <c r="AC19" s="11">
        <v>-1.4141542708609799E-2</v>
      </c>
      <c r="AD19" s="11">
        <v>-2.399745726106059E-2</v>
      </c>
      <c r="AE19" s="11">
        <v>0.30849285792536868</v>
      </c>
      <c r="AF19" s="11">
        <v>-0.1688305807080431</v>
      </c>
      <c r="AG19" s="11">
        <v>4.1487103444311647E-2</v>
      </c>
      <c r="AH19" s="11">
        <v>5.6557715221703553E-2</v>
      </c>
      <c r="AI19" s="11">
        <v>-8.1770124789496509E-2</v>
      </c>
      <c r="AJ19" s="11">
        <v>5.1545290327262273E-2</v>
      </c>
      <c r="AK19" s="11">
        <v>-4.0581523113162987E-2</v>
      </c>
      <c r="AL19" s="11">
        <v>-1.491460752979841E-2</v>
      </c>
      <c r="AM19" s="11">
        <v>-4.3106011811404943E-2</v>
      </c>
      <c r="AN19" s="11">
        <v>-8.3568294365682083E-2</v>
      </c>
      <c r="AO19" s="11">
        <v>-2.589290304541441E-2</v>
      </c>
      <c r="AP19" s="11">
        <v>8.757412027285208E-2</v>
      </c>
      <c r="AQ19" s="11">
        <v>4.2375665159203019E-2</v>
      </c>
      <c r="AR19" s="11">
        <v>-4.1144514895575801E-2</v>
      </c>
      <c r="AS19" s="11">
        <v>-0.1091988760530663</v>
      </c>
      <c r="AT19" s="11">
        <v>0.18459366381005801</v>
      </c>
      <c r="AU19" s="11">
        <v>-0.1530146264742607</v>
      </c>
      <c r="AV19" s="11">
        <v>-3.0326096026080519E-3</v>
      </c>
      <c r="AW19" s="11">
        <v>-0.13669339712891271</v>
      </c>
      <c r="AX19" s="11">
        <v>-0.2241237953008561</v>
      </c>
      <c r="AY19" s="11">
        <v>6.6273242712472244E-2</v>
      </c>
      <c r="AZ19" s="11">
        <v>-0.11561152836942371</v>
      </c>
      <c r="BA19" s="11">
        <v>-1.509016555835047E-3</v>
      </c>
      <c r="BB19" s="11">
        <v>0.15974619907243159</v>
      </c>
      <c r="BC19" s="11">
        <v>-0.18457178940642721</v>
      </c>
      <c r="BD19" s="11">
        <v>-7.0833333333334206E-5</v>
      </c>
      <c r="BE19" s="11">
        <v>-3.0392666666666669E-2</v>
      </c>
      <c r="BF19" s="11">
        <v>-4.9435666666666662E-2</v>
      </c>
      <c r="BG19" s="11">
        <v>9.6333333333333687E-4</v>
      </c>
      <c r="BH19" s="11">
        <v>-0.14049690595357331</v>
      </c>
      <c r="BI19" s="11">
        <v>2.5938499999999989E-2</v>
      </c>
      <c r="BJ19" s="11">
        <v>-2.1707301538579211E-2</v>
      </c>
      <c r="BK19" s="11">
        <v>-6.9519036629441727E-2</v>
      </c>
      <c r="BL19" s="11">
        <v>-7.9964658146503109E-2</v>
      </c>
      <c r="BM19" s="11">
        <v>3.1786264869145278E-2</v>
      </c>
      <c r="BN19" s="11">
        <v>-6.7252647467271776E-2</v>
      </c>
      <c r="BO19" s="11">
        <v>-2.5728961265115379E-2</v>
      </c>
      <c r="BP19" s="11">
        <v>-6.2818807534132146E-2</v>
      </c>
      <c r="BQ19" s="11">
        <v>-9.9340444543230683E-3</v>
      </c>
      <c r="BR19" s="11">
        <v>6.6752460235200081E-3</v>
      </c>
      <c r="BS19" s="11">
        <v>-2.4256338744482069E-2</v>
      </c>
      <c r="BT19" s="11">
        <v>-8.2323403677311308E-2</v>
      </c>
      <c r="BU19" s="11">
        <v>4.32466349335403E-2</v>
      </c>
      <c r="BV19" s="11">
        <v>-3.0350791965897218E-2</v>
      </c>
      <c r="BW19" s="11">
        <v>-0.30745300680973342</v>
      </c>
      <c r="BX19" s="11">
        <v>5.4830281560316878E-2</v>
      </c>
      <c r="BY19" s="11">
        <v>-7.9866927068945853E-2</v>
      </c>
      <c r="BZ19" s="11">
        <v>6.8702124822053873E-2</v>
      </c>
      <c r="CA19" s="11">
        <v>3.5610166666666658E-2</v>
      </c>
      <c r="CB19" s="11">
        <v>7.8976807618525546E-2</v>
      </c>
      <c r="CC19" s="11">
        <v>2.250566666666666E-2</v>
      </c>
      <c r="CD19" s="11">
        <v>0.21561919809371791</v>
      </c>
      <c r="CE19" s="11">
        <v>8.8474166666666659E-2</v>
      </c>
      <c r="CF19" s="11">
        <v>7.9051524970814385E-2</v>
      </c>
      <c r="CG19" s="11">
        <v>-5.7117624866957151E-2</v>
      </c>
      <c r="CH19" s="11">
        <v>-4.271504374273416E-2</v>
      </c>
      <c r="CI19" s="11">
        <v>-0.16520066666666669</v>
      </c>
      <c r="CJ19" s="11">
        <v>-1.1811922761994231E-2</v>
      </c>
      <c r="CK19" s="11">
        <v>0.1187972629573345</v>
      </c>
      <c r="CL19" s="11">
        <v>0.1153477816387375</v>
      </c>
      <c r="CM19" s="11">
        <v>7.558187099799421E-2</v>
      </c>
      <c r="CN19" s="11">
        <v>-1.5943166666666671E-2</v>
      </c>
      <c r="CO19" s="11">
        <v>-0.16614655777528059</v>
      </c>
      <c r="CP19" s="11">
        <v>-0.13741472475783589</v>
      </c>
      <c r="CQ19" s="11">
        <v>-3.2394607516418629E-2</v>
      </c>
      <c r="CR19" s="11">
        <v>0.17630672424619201</v>
      </c>
      <c r="CS19" s="11">
        <v>4.3775666666666657E-2</v>
      </c>
      <c r="CT19" s="11">
        <v>-2.794063718499688E-2</v>
      </c>
      <c r="CU19" s="11">
        <v>-0.146607543260939</v>
      </c>
      <c r="CV19" s="11">
        <v>9.4553007971378916E-2</v>
      </c>
      <c r="CW19" s="11">
        <v>6.0515878573037342E-2</v>
      </c>
      <c r="CX19" s="11">
        <v>5.7634726368184938E-2</v>
      </c>
      <c r="CY19" s="11">
        <v>0.107892119457191</v>
      </c>
      <c r="CZ19" s="11">
        <v>0.11285182864146399</v>
      </c>
      <c r="DA19" s="11">
        <v>7.5182499999999999E-2</v>
      </c>
      <c r="DB19" s="11">
        <v>0.14796100000000001</v>
      </c>
      <c r="DC19" s="11">
        <v>-6.5587584737896831E-2</v>
      </c>
      <c r="DD19" s="11">
        <v>-6.3547333333333317E-2</v>
      </c>
      <c r="DE19" s="11">
        <v>-3.3018414655792E-2</v>
      </c>
      <c r="DF19" s="11">
        <v>-2.1296342427166989E-2</v>
      </c>
      <c r="DG19" s="11">
        <v>-0.12649079783752129</v>
      </c>
      <c r="DH19" s="11">
        <v>0.22459133333333331</v>
      </c>
      <c r="DI19" s="11">
        <v>0.10846166666666671</v>
      </c>
      <c r="DJ19" s="11">
        <v>-4.8514350722976607E-2</v>
      </c>
      <c r="DK19" s="11">
        <v>0.1241445877842076</v>
      </c>
      <c r="DL19" s="11">
        <v>-1.198278590897381E-2</v>
      </c>
      <c r="DM19" s="11">
        <v>4.6097902485627673E-2</v>
      </c>
      <c r="DN19" s="11">
        <v>-0.17392830172854831</v>
      </c>
      <c r="DO19" s="11">
        <v>-4.8705519860593828E-2</v>
      </c>
      <c r="DP19" s="11">
        <v>-0.17026813067996199</v>
      </c>
      <c r="DQ19" s="11">
        <v>8.0374171838075048E-2</v>
      </c>
      <c r="DR19" s="11">
        <v>7.5962353325048193E-2</v>
      </c>
      <c r="DS19" s="11">
        <v>-4.4918963151879987E-2</v>
      </c>
      <c r="DT19" s="11">
        <v>-0.13312850061934939</v>
      </c>
      <c r="DU19" s="11">
        <v>-0.15058250000000001</v>
      </c>
      <c r="DV19" s="11">
        <v>-7.1593386597402109E-2</v>
      </c>
      <c r="DW19" s="11">
        <v>-0.101297</v>
      </c>
      <c r="DX19" s="11">
        <v>-9.4614193357537776E-2</v>
      </c>
      <c r="DY19" s="11">
        <v>-0.15211940960448689</v>
      </c>
      <c r="DZ19" s="11">
        <v>-7.9643568138435011E-2</v>
      </c>
      <c r="EA19" s="11">
        <v>0.23304766666666671</v>
      </c>
      <c r="EB19" s="11">
        <v>-0.1062485</v>
      </c>
      <c r="EC19" s="11">
        <v>-3.132366666666668E-2</v>
      </c>
      <c r="ED19" s="11">
        <v>-8.61595E-2</v>
      </c>
      <c r="EE19" s="11">
        <v>7.3063333333333296E-3</v>
      </c>
      <c r="EF19" s="11">
        <v>7.4019999999999975E-2</v>
      </c>
    </row>
    <row r="20" spans="1:136">
      <c r="A20" s="2">
        <v>192</v>
      </c>
      <c r="B20" s="2">
        <v>5</v>
      </c>
      <c r="C20" s="11">
        <v>-1.1241331728202891E-2</v>
      </c>
      <c r="D20" s="11">
        <v>-0.22258639368877581</v>
      </c>
      <c r="E20" s="11">
        <v>-0.1461249052642459</v>
      </c>
      <c r="F20" s="11">
        <v>0.2055312643331742</v>
      </c>
      <c r="G20" s="11">
        <v>0.1171831412889391</v>
      </c>
      <c r="H20" s="11">
        <v>1.158302607857771E-2</v>
      </c>
      <c r="I20" s="11">
        <v>0.1858631754766964</v>
      </c>
      <c r="J20" s="11">
        <v>0.1472881321566023</v>
      </c>
      <c r="K20" s="11">
        <v>0.21472450376108179</v>
      </c>
      <c r="L20" s="11">
        <v>8.9997713411883729E-3</v>
      </c>
      <c r="M20" s="11">
        <v>-7.7718228291273506E-2</v>
      </c>
      <c r="N20" s="11">
        <v>-0.16814358818954389</v>
      </c>
      <c r="O20" s="11">
        <v>4.9864886069274132E-2</v>
      </c>
      <c r="P20" s="11">
        <v>9.1169927668525261E-2</v>
      </c>
      <c r="Q20" s="11">
        <v>0.10704532145072811</v>
      </c>
      <c r="R20" s="11">
        <v>0.19094246698951389</v>
      </c>
      <c r="S20" s="11">
        <v>8.2562610707287917E-2</v>
      </c>
      <c r="T20" s="11">
        <v>-8.5465455737815402E-2</v>
      </c>
      <c r="U20" s="11">
        <v>-1.3720364707177321E-2</v>
      </c>
      <c r="V20" s="11">
        <v>-0.1035176032046175</v>
      </c>
      <c r="W20" s="11">
        <v>-0.17308537617758091</v>
      </c>
      <c r="X20" s="11">
        <v>-0.21038641292278501</v>
      </c>
      <c r="Y20" s="11">
        <v>-0.12896503888237379</v>
      </c>
      <c r="Z20" s="11">
        <v>-7.4027168257954579E-2</v>
      </c>
      <c r="AA20" s="11">
        <v>0.13048336848064571</v>
      </c>
      <c r="AB20" s="11">
        <v>3.2898545320226208E-2</v>
      </c>
      <c r="AC20" s="11">
        <v>-4.7248262727967477E-2</v>
      </c>
      <c r="AD20" s="11">
        <v>-2.698730357067794E-2</v>
      </c>
      <c r="AE20" s="11">
        <v>0.16122120715511101</v>
      </c>
      <c r="AF20" s="11">
        <v>-0.22349781963637269</v>
      </c>
      <c r="AG20" s="11">
        <v>3.216324888167648E-2</v>
      </c>
      <c r="AH20" s="11">
        <v>9.0178200714782636E-2</v>
      </c>
      <c r="AI20" s="11">
        <v>-7.8154544921168481E-2</v>
      </c>
      <c r="AJ20" s="11">
        <v>6.1990034547547639E-2</v>
      </c>
      <c r="AK20" s="11">
        <v>-8.2485150626129544E-3</v>
      </c>
      <c r="AL20" s="11">
        <v>-2.0780265108594719E-2</v>
      </c>
      <c r="AM20" s="11">
        <v>-3.3095980748802607E-2</v>
      </c>
      <c r="AN20" s="11">
        <v>-7.5470193518998266E-2</v>
      </c>
      <c r="AO20" s="11">
        <v>-4.528508196468839E-2</v>
      </c>
      <c r="AP20" s="11">
        <v>0.13173046125538779</v>
      </c>
      <c r="AQ20" s="11">
        <v>3.3308231095544441E-2</v>
      </c>
      <c r="AR20" s="11">
        <v>-2.9738999850300981E-2</v>
      </c>
      <c r="AS20" s="11">
        <v>-4.2291716448975919E-2</v>
      </c>
      <c r="AT20" s="11">
        <v>0.23912374744507051</v>
      </c>
      <c r="AU20" s="11">
        <v>-0.14307264092716551</v>
      </c>
      <c r="AV20" s="11">
        <v>-3.2246612786763357E-2</v>
      </c>
      <c r="AW20" s="11">
        <v>-0.2249978407783445</v>
      </c>
      <c r="AX20" s="11">
        <v>-0.20433921996054669</v>
      </c>
      <c r="AY20" s="11">
        <v>-8.2057636017566535E-2</v>
      </c>
      <c r="AZ20" s="11">
        <v>-0.15627400770666389</v>
      </c>
      <c r="BA20" s="11">
        <v>-0.1020775703207792</v>
      </c>
      <c r="BB20" s="11">
        <v>0.1676554233765693</v>
      </c>
      <c r="BC20" s="11">
        <v>-0.24014067499041369</v>
      </c>
      <c r="BD20" s="11">
        <v>8.3636000000000005E-3</v>
      </c>
      <c r="BE20" s="11">
        <v>-3.84684E-2</v>
      </c>
      <c r="BF20" s="11">
        <v>-5.5215800000000002E-2</v>
      </c>
      <c r="BG20" s="11">
        <v>-5.1727000000000002E-2</v>
      </c>
      <c r="BH20" s="11">
        <v>-0.1500573005634544</v>
      </c>
      <c r="BI20" s="11">
        <v>2.3173599999999999E-2</v>
      </c>
      <c r="BJ20" s="11">
        <v>-2.1629511833186621E-2</v>
      </c>
      <c r="BK20" s="11">
        <v>-0.1025982841544454</v>
      </c>
      <c r="BL20" s="11">
        <v>-8.6292231176454737E-2</v>
      </c>
      <c r="BM20" s="11">
        <v>4.7468551464188873E-2</v>
      </c>
      <c r="BN20" s="11">
        <v>-0.1185572414453714</v>
      </c>
      <c r="BO20" s="11">
        <v>3.8461717515979203E-2</v>
      </c>
      <c r="BP20" s="11">
        <v>-6.0407520762954983E-2</v>
      </c>
      <c r="BQ20" s="11">
        <v>-1.5451706960843021E-2</v>
      </c>
      <c r="BR20" s="11">
        <v>1.207363173047259E-2</v>
      </c>
      <c r="BS20" s="11">
        <v>5.4075061911911179E-3</v>
      </c>
      <c r="BT20" s="11">
        <v>-9.6530501214455888E-2</v>
      </c>
      <c r="BU20" s="11">
        <v>-4.0683597104934813E-2</v>
      </c>
      <c r="BV20" s="11">
        <v>8.154344176059905E-2</v>
      </c>
      <c r="BW20" s="11">
        <v>-0.35182955004840472</v>
      </c>
      <c r="BX20" s="11">
        <v>5.7988018276030777E-2</v>
      </c>
      <c r="BY20" s="11">
        <v>-4.6393591496685094E-3</v>
      </c>
      <c r="BZ20" s="11">
        <v>9.02714042602836E-2</v>
      </c>
      <c r="CA20" s="11">
        <v>5.0216200000000003E-2</v>
      </c>
      <c r="CB20" s="11">
        <v>-1.077551010283638E-4</v>
      </c>
      <c r="CC20" s="11">
        <v>1.2914800000000001E-2</v>
      </c>
      <c r="CD20" s="11">
        <v>0.1810274974905971</v>
      </c>
      <c r="CE20" s="11">
        <v>8.577739999999999E-2</v>
      </c>
      <c r="CF20" s="11">
        <v>0.1057848892760917</v>
      </c>
      <c r="CG20" s="11">
        <v>-7.597024074310807E-2</v>
      </c>
      <c r="CH20" s="11">
        <v>-2.219522902413288E-2</v>
      </c>
      <c r="CI20" s="11">
        <v>-0.13148380000000001</v>
      </c>
      <c r="CJ20" s="11">
        <v>-4.1509984783928693E-2</v>
      </c>
      <c r="CK20" s="11">
        <v>8.0589623940621552E-2</v>
      </c>
      <c r="CL20" s="11">
        <v>0.14931315063025169</v>
      </c>
      <c r="CM20" s="11">
        <v>7.9454727181336005E-2</v>
      </c>
      <c r="CN20" s="11">
        <v>-1.9347400000000001E-2</v>
      </c>
      <c r="CO20" s="11">
        <v>-0.22851820318154101</v>
      </c>
      <c r="CP20" s="11">
        <v>-0.15666075519518291</v>
      </c>
      <c r="CQ20" s="11">
        <v>-2.3118045300283038E-2</v>
      </c>
      <c r="CR20" s="11">
        <v>0.1954861104849421</v>
      </c>
      <c r="CS20" s="11">
        <v>2.2293799999999999E-2</v>
      </c>
      <c r="CT20" s="11">
        <v>-1.807671077983496E-2</v>
      </c>
      <c r="CU20" s="11">
        <v>-0.14672800907162681</v>
      </c>
      <c r="CV20" s="11">
        <v>0.11921412821268471</v>
      </c>
      <c r="CW20" s="11">
        <v>6.7903708174845409E-2</v>
      </c>
      <c r="CX20" s="11">
        <v>9.0298550867764463E-2</v>
      </c>
      <c r="CY20" s="11">
        <v>0.1009666571118235</v>
      </c>
      <c r="CZ20" s="11">
        <v>0.15516164514919831</v>
      </c>
      <c r="DA20" s="11">
        <v>7.70816E-2</v>
      </c>
      <c r="DB20" s="11">
        <v>7.6966999999999994E-2</v>
      </c>
      <c r="DC20" s="11">
        <v>-3.7332311138400742E-2</v>
      </c>
      <c r="DD20" s="11">
        <v>-6.8162799999999996E-2</v>
      </c>
      <c r="DE20" s="11">
        <v>-1.0418721606852799E-2</v>
      </c>
      <c r="DF20" s="11">
        <v>-4.5499958490798388E-2</v>
      </c>
      <c r="DG20" s="11">
        <v>-0.1240733079841211</v>
      </c>
      <c r="DH20" s="11">
        <v>0.27829959999999998</v>
      </c>
      <c r="DI20" s="11">
        <v>0.137596</v>
      </c>
      <c r="DJ20" s="11">
        <v>-3.9459946268887811E-2</v>
      </c>
      <c r="DK20" s="11">
        <v>8.4953981446054899E-2</v>
      </c>
      <c r="DL20" s="11">
        <v>-1.9465373333619789E-2</v>
      </c>
      <c r="DM20" s="11">
        <v>-4.2864774108345972E-2</v>
      </c>
      <c r="DN20" s="11">
        <v>-0.18323473362116879</v>
      </c>
      <c r="DO20" s="11">
        <v>-4.9820854676895968E-2</v>
      </c>
      <c r="DP20" s="11">
        <v>-0.20015543475438921</v>
      </c>
      <c r="DQ20" s="11">
        <v>5.7460181624700082E-2</v>
      </c>
      <c r="DR20" s="11">
        <v>7.8512660028290493E-2</v>
      </c>
      <c r="DS20" s="11">
        <v>6.9792757898282515E-2</v>
      </c>
      <c r="DT20" s="11">
        <v>-0.13343598462213829</v>
      </c>
      <c r="DU20" s="11">
        <v>-0.1763758</v>
      </c>
      <c r="DV20" s="11">
        <v>-0.10204218118247529</v>
      </c>
      <c r="DW20" s="11">
        <v>-0.1035466</v>
      </c>
      <c r="DX20" s="11">
        <v>-9.7851218204725254E-2</v>
      </c>
      <c r="DY20" s="11">
        <v>-0.1874018300391932</v>
      </c>
      <c r="DZ20" s="11">
        <v>1.8115126512382701E-2</v>
      </c>
      <c r="EA20" s="11">
        <v>0.29369119999999999</v>
      </c>
      <c r="EB20" s="11">
        <v>-0.1063144</v>
      </c>
      <c r="EC20" s="11">
        <v>2.297759999999999E-2</v>
      </c>
      <c r="ED20" s="11">
        <v>-7.4625799999999992E-2</v>
      </c>
      <c r="EE20" s="11">
        <v>1.7415999999999959E-3</v>
      </c>
      <c r="EF20" s="11">
        <v>8.5799999999999987E-2</v>
      </c>
    </row>
    <row r="21" spans="1:136">
      <c r="A21" s="2">
        <v>241</v>
      </c>
      <c r="B21" s="2">
        <v>4</v>
      </c>
      <c r="C21" s="11">
        <v>-1.038483447742689E-2</v>
      </c>
      <c r="D21" s="11">
        <v>-0.32500828164220219</v>
      </c>
      <c r="E21" s="11">
        <v>-4.3717554879721017E-2</v>
      </c>
      <c r="F21" s="11">
        <v>0.18403858160612999</v>
      </c>
      <c r="G21" s="11">
        <v>0.14384215111256449</v>
      </c>
      <c r="H21" s="11">
        <v>-3.7844077028292407E-2</v>
      </c>
      <c r="I21" s="11">
        <v>0.23932306217775401</v>
      </c>
      <c r="J21" s="11">
        <v>9.0566639244446828E-2</v>
      </c>
      <c r="K21" s="11">
        <v>0.2068800260033955</v>
      </c>
      <c r="L21" s="11">
        <v>5.7226166864944403E-2</v>
      </c>
      <c r="M21" s="11">
        <v>-9.9684593408211258E-2</v>
      </c>
      <c r="N21" s="11">
        <v>-0.13905067586079981</v>
      </c>
      <c r="O21" s="11">
        <v>3.4351989460690638E-2</v>
      </c>
      <c r="P21" s="11">
        <v>0.14477260088968491</v>
      </c>
      <c r="Q21" s="11">
        <v>8.1195369015973365E-2</v>
      </c>
      <c r="R21" s="11">
        <v>0.14269209072332131</v>
      </c>
      <c r="S21" s="11">
        <v>0.2091594754749645</v>
      </c>
      <c r="T21" s="11">
        <v>-9.846167275679743E-2</v>
      </c>
      <c r="U21" s="11">
        <v>8.0215735806459076E-2</v>
      </c>
      <c r="V21" s="11">
        <v>-0.10537077038935461</v>
      </c>
      <c r="W21" s="11">
        <v>-0.15778847961546261</v>
      </c>
      <c r="X21" s="11">
        <v>-0.21363094220511639</v>
      </c>
      <c r="Y21" s="11">
        <v>-9.2729223946204448E-2</v>
      </c>
      <c r="Z21" s="11">
        <v>-0.1093802011477636</v>
      </c>
      <c r="AA21" s="11">
        <v>0.1106359070024788</v>
      </c>
      <c r="AB21" s="11">
        <v>2.1955943889134161E-2</v>
      </c>
      <c r="AC21" s="11">
        <v>-1.882773670680014E-2</v>
      </c>
      <c r="AD21" s="11">
        <v>2.593327599743489E-2</v>
      </c>
      <c r="AE21" s="11">
        <v>0.12810497879624591</v>
      </c>
      <c r="AF21" s="11">
        <v>-0.29514425808336342</v>
      </c>
      <c r="AG21" s="11">
        <v>1.10465721064439E-2</v>
      </c>
      <c r="AH21" s="11">
        <v>0.10758136256479831</v>
      </c>
      <c r="AI21" s="11">
        <v>-7.9594209333291061E-2</v>
      </c>
      <c r="AJ21" s="11">
        <v>7.0405341946468691E-2</v>
      </c>
      <c r="AK21" s="11">
        <v>1.8318368909312599E-2</v>
      </c>
      <c r="AL21" s="11">
        <v>-3.7391486134754182E-2</v>
      </c>
      <c r="AM21" s="11">
        <v>-6.8535807447630548E-2</v>
      </c>
      <c r="AN21" s="11">
        <v>-0.11195605606309431</v>
      </c>
      <c r="AO21" s="11">
        <v>-4.7726395643726653E-2</v>
      </c>
      <c r="AP21" s="11">
        <v>7.2535143570019153E-2</v>
      </c>
      <c r="AQ21" s="11">
        <v>3.7036188450574832E-2</v>
      </c>
      <c r="AR21" s="11">
        <v>-3.4197900630824132E-2</v>
      </c>
      <c r="AS21" s="11">
        <v>-4.5406682060008141E-2</v>
      </c>
      <c r="AT21" s="11">
        <v>0.26483825754799722</v>
      </c>
      <c r="AU21" s="11">
        <v>-6.3455329613280029E-2</v>
      </c>
      <c r="AV21" s="11">
        <v>-6.871391269647964E-2</v>
      </c>
      <c r="AW21" s="11">
        <v>-0.26325491637381482</v>
      </c>
      <c r="AX21" s="11">
        <v>-0.21771830251703739</v>
      </c>
      <c r="AY21" s="11">
        <v>-6.5722294732506903E-2</v>
      </c>
      <c r="AZ21" s="11">
        <v>-9.3059394128593209E-2</v>
      </c>
      <c r="BA21" s="11">
        <v>-1.9293207635707351E-2</v>
      </c>
      <c r="BB21" s="11">
        <v>0.2253461350383382</v>
      </c>
      <c r="BC21" s="11">
        <v>-0.1644605319288267</v>
      </c>
      <c r="BD21" s="11">
        <v>3.8222500000000013E-2</v>
      </c>
      <c r="BE21" s="11">
        <v>-4.0590500000000002E-2</v>
      </c>
      <c r="BF21" s="11">
        <v>-6.2289749999999998E-2</v>
      </c>
      <c r="BG21" s="11">
        <v>-7.8524750000000004E-2</v>
      </c>
      <c r="BH21" s="11">
        <v>-0.1068421096374302</v>
      </c>
      <c r="BI21" s="11">
        <v>4.6276999999999992E-2</v>
      </c>
      <c r="BJ21" s="11">
        <v>-2.3579026181717661E-2</v>
      </c>
      <c r="BK21" s="11">
        <v>-8.2973161890065844E-2</v>
      </c>
      <c r="BL21" s="11">
        <v>-0.1427210926463498</v>
      </c>
      <c r="BM21" s="11">
        <v>4.0795286028720637E-2</v>
      </c>
      <c r="BN21" s="11">
        <v>-6.3647947992248044E-2</v>
      </c>
      <c r="BO21" s="11">
        <v>6.3857236413680254E-2</v>
      </c>
      <c r="BP21" s="11">
        <v>-0.1045091294194143</v>
      </c>
      <c r="BQ21" s="11">
        <v>-5.4542230834504879E-2</v>
      </c>
      <c r="BR21" s="11">
        <v>1.232386218386442E-2</v>
      </c>
      <c r="BS21" s="11">
        <v>5.8601727551761719E-3</v>
      </c>
      <c r="BT21" s="11">
        <v>-9.2952203348257254E-2</v>
      </c>
      <c r="BU21" s="11">
        <v>1.299660700193926E-2</v>
      </c>
      <c r="BV21" s="11">
        <v>4.4339980041273437E-2</v>
      </c>
      <c r="BW21" s="11">
        <v>-0.18446067072040909</v>
      </c>
      <c r="BX21" s="11">
        <v>8.8379334787638542E-2</v>
      </c>
      <c r="BY21" s="11">
        <v>-5.5666292242237493E-2</v>
      </c>
      <c r="BZ21" s="11">
        <v>4.7662928720715619E-2</v>
      </c>
      <c r="CA21" s="11">
        <v>9.5060000000000006E-2</v>
      </c>
      <c r="CB21" s="11">
        <v>7.3466099404929153E-2</v>
      </c>
      <c r="CC21" s="11">
        <v>-8.0194999999999989E-3</v>
      </c>
      <c r="CD21" s="11">
        <v>0.28805606436247322</v>
      </c>
      <c r="CE21" s="11">
        <v>6.1514499999999993E-2</v>
      </c>
      <c r="CF21" s="11">
        <v>0.1145261576111684</v>
      </c>
      <c r="CG21" s="11">
        <v>-8.508533547413108E-2</v>
      </c>
      <c r="CH21" s="11">
        <v>-0.15662644062696859</v>
      </c>
      <c r="CI21" s="11">
        <v>-0.12329225000000001</v>
      </c>
      <c r="CJ21" s="11">
        <v>-5.5140848561157058E-2</v>
      </c>
      <c r="CK21" s="11">
        <v>6.7159630296855705E-2</v>
      </c>
      <c r="CL21" s="11">
        <v>0.18743312154072689</v>
      </c>
      <c r="CM21" s="11">
        <v>6.2994332860424385E-2</v>
      </c>
      <c r="CN21" s="11">
        <v>-1.128025E-2</v>
      </c>
      <c r="CO21" s="11">
        <v>-0.23779198113939251</v>
      </c>
      <c r="CP21" s="11">
        <v>-9.8307306124050364E-2</v>
      </c>
      <c r="CQ21" s="11">
        <v>-2.2912194169496192E-2</v>
      </c>
      <c r="CR21" s="11">
        <v>0.23905996636126789</v>
      </c>
      <c r="CS21" s="11">
        <v>3.0907250000000001E-2</v>
      </c>
      <c r="CT21" s="11">
        <v>-8.6072556871396061E-2</v>
      </c>
      <c r="CU21" s="11">
        <v>-0.1589166223174501</v>
      </c>
      <c r="CV21" s="11">
        <v>0.1543318447745724</v>
      </c>
      <c r="CW21" s="11">
        <v>3.8345516871682743E-2</v>
      </c>
      <c r="CX21" s="11">
        <v>0.1021221756574071</v>
      </c>
      <c r="CY21" s="11">
        <v>0.15245230624531919</v>
      </c>
      <c r="CZ21" s="11">
        <v>0.2374513708258302</v>
      </c>
      <c r="DA21" s="11">
        <v>4.1709749999999997E-2</v>
      </c>
      <c r="DB21" s="11">
        <v>7.1459500000000009E-2</v>
      </c>
      <c r="DC21" s="11">
        <v>-0.1539047953697186</v>
      </c>
      <c r="DD21" s="11">
        <v>-6.7026999999999989E-2</v>
      </c>
      <c r="DE21" s="11">
        <v>-2.897773706032665E-2</v>
      </c>
      <c r="DF21" s="11">
        <v>-0.1488089024897431</v>
      </c>
      <c r="DG21" s="11">
        <v>-0.14818493113172959</v>
      </c>
      <c r="DH21" s="11">
        <v>8.1436999999999996E-2</v>
      </c>
      <c r="DI21" s="11">
        <v>0.17984</v>
      </c>
      <c r="DJ21" s="11">
        <v>-3.7911313190560098E-2</v>
      </c>
      <c r="DK21" s="11">
        <v>0.13950270681890459</v>
      </c>
      <c r="DL21" s="11">
        <v>-1.273699150101321E-2</v>
      </c>
      <c r="DM21" s="11">
        <v>4.2545640208855387E-3</v>
      </c>
      <c r="DN21" s="11">
        <v>-0.22029564086452741</v>
      </c>
      <c r="DO21" s="11">
        <v>1.8558809057787451E-2</v>
      </c>
      <c r="DP21" s="11">
        <v>-0.22901988968023471</v>
      </c>
      <c r="DQ21" s="11">
        <v>7.0422698808183373E-2</v>
      </c>
      <c r="DR21" s="11">
        <v>5.0170859037080733E-2</v>
      </c>
      <c r="DS21" s="11">
        <v>8.4605433605535907E-2</v>
      </c>
      <c r="DT21" s="11">
        <v>-0.17057080268546079</v>
      </c>
      <c r="DU21" s="11">
        <v>-0.14861474999999999</v>
      </c>
      <c r="DV21" s="11">
        <v>-0.15489825112990471</v>
      </c>
      <c r="DW21" s="11">
        <v>-0.103536</v>
      </c>
      <c r="DX21" s="11">
        <v>-0.1168288898747825</v>
      </c>
      <c r="DY21" s="11">
        <v>-0.22566188118798919</v>
      </c>
      <c r="DZ21" s="11">
        <v>0.17989102172490029</v>
      </c>
      <c r="EA21" s="11">
        <v>0.26605774999999998</v>
      </c>
      <c r="EB21" s="11">
        <v>-0.103298</v>
      </c>
      <c r="EC21" s="11">
        <v>2.7189499999999991E-2</v>
      </c>
      <c r="ED21" s="11">
        <v>-8.2729749999999991E-2</v>
      </c>
      <c r="EE21" s="11">
        <v>-2.1309999999999999E-2</v>
      </c>
      <c r="EF21" s="11">
        <v>2.8794500000000001E-2</v>
      </c>
    </row>
    <row r="22" spans="1:136">
      <c r="A22" s="2">
        <v>321</v>
      </c>
      <c r="B22" s="2">
        <v>3</v>
      </c>
      <c r="C22" s="11">
        <v>-2.5922326608526759E-2</v>
      </c>
      <c r="D22" s="11">
        <v>-0.41742192464002892</v>
      </c>
      <c r="E22" s="11">
        <v>-2.2230412259238129E-2</v>
      </c>
      <c r="F22" s="11">
        <v>6.7831060921277567E-2</v>
      </c>
      <c r="G22" s="11">
        <v>0.1038843632903341</v>
      </c>
      <c r="H22" s="11">
        <v>-0.22980554449140059</v>
      </c>
      <c r="I22" s="11">
        <v>0.25443290291045001</v>
      </c>
      <c r="J22" s="11">
        <v>0.1183782811822881</v>
      </c>
      <c r="K22" s="11">
        <v>0.2453659126827557</v>
      </c>
      <c r="L22" s="11">
        <v>0.1074871686512418</v>
      </c>
      <c r="M22" s="11">
        <v>-7.4100058770572547E-2</v>
      </c>
      <c r="N22" s="11">
        <v>-9.8030860807632764E-2</v>
      </c>
      <c r="O22" s="11">
        <v>-6.7158783113674958E-3</v>
      </c>
      <c r="P22" s="11">
        <v>7.2782884128816977E-2</v>
      </c>
      <c r="Q22" s="11">
        <v>8.9282518103847214E-2</v>
      </c>
      <c r="R22" s="11">
        <v>0.18067973019128461</v>
      </c>
      <c r="S22" s="11">
        <v>0.24705662952972959</v>
      </c>
      <c r="T22" s="11">
        <v>-0.1288124219831229</v>
      </c>
      <c r="U22" s="11">
        <v>0.15202918277454339</v>
      </c>
      <c r="V22" s="11">
        <v>-5.7024134634289667E-2</v>
      </c>
      <c r="W22" s="11">
        <v>-0.20748026702429739</v>
      </c>
      <c r="X22" s="11">
        <v>-0.22178675903387041</v>
      </c>
      <c r="Y22" s="11">
        <v>-4.7938332179768291E-2</v>
      </c>
      <c r="Z22" s="11">
        <v>-0.1501501099195742</v>
      </c>
      <c r="AA22" s="11">
        <v>8.2524425578113014E-2</v>
      </c>
      <c r="AB22" s="11">
        <v>-3.8652301253394171E-3</v>
      </c>
      <c r="AC22" s="11">
        <v>-8.5776460715432462E-2</v>
      </c>
      <c r="AD22" s="11">
        <v>1.859374921466125E-2</v>
      </c>
      <c r="AE22" s="11">
        <v>0.13082384281633419</v>
      </c>
      <c r="AF22" s="11">
        <v>-0.42991676804861201</v>
      </c>
      <c r="AG22" s="11">
        <v>1.0812100566842311E-2</v>
      </c>
      <c r="AH22" s="11">
        <v>0.10586595942047269</v>
      </c>
      <c r="AI22" s="11">
        <v>-9.4141260657386039E-2</v>
      </c>
      <c r="AJ22" s="11">
        <v>3.1699849326408271E-2</v>
      </c>
      <c r="AK22" s="11">
        <v>7.8575768704914215E-2</v>
      </c>
      <c r="AL22" s="11">
        <v>-1.1447262237467839E-3</v>
      </c>
      <c r="AM22" s="11">
        <v>-8.4088903467703563E-2</v>
      </c>
      <c r="AN22" s="11">
        <v>-0.1111328096635593</v>
      </c>
      <c r="AO22" s="11">
        <v>-7.4717373393705613E-2</v>
      </c>
      <c r="AP22" s="11">
        <v>6.2536353887992696E-2</v>
      </c>
      <c r="AQ22" s="11">
        <v>-5.5126720724342937E-2</v>
      </c>
      <c r="AR22" s="11">
        <v>-0.10818370054823639</v>
      </c>
      <c r="AS22" s="11">
        <v>7.3843702685833568E-2</v>
      </c>
      <c r="AT22" s="11">
        <v>1.7728370994436651E-2</v>
      </c>
      <c r="AU22" s="11">
        <v>-0.1099145973181844</v>
      </c>
      <c r="AV22" s="11">
        <v>-8.9753981871632596E-2</v>
      </c>
      <c r="AW22" s="11">
        <v>-0.37079927869117352</v>
      </c>
      <c r="AX22" s="11">
        <v>9.875186005693877E-3</v>
      </c>
      <c r="AY22" s="11">
        <v>-9.8456276129363446E-2</v>
      </c>
      <c r="AZ22" s="11">
        <v>-0.2274854962334536</v>
      </c>
      <c r="BA22" s="11">
        <v>-4.9176939747220441E-2</v>
      </c>
      <c r="BB22" s="11">
        <v>0.30192994454042299</v>
      </c>
      <c r="BC22" s="11">
        <v>-0.19562603535051759</v>
      </c>
      <c r="BD22" s="11">
        <v>7.9264000000000001E-2</v>
      </c>
      <c r="BE22" s="11">
        <v>-6.8485666666666667E-2</v>
      </c>
      <c r="BF22" s="11">
        <v>-5.4885999999999997E-2</v>
      </c>
      <c r="BG22" s="11">
        <v>-9.6179666666666663E-2</v>
      </c>
      <c r="BH22" s="11">
        <v>-0.12770700939641619</v>
      </c>
      <c r="BI22" s="11">
        <v>8.234933333333333E-2</v>
      </c>
      <c r="BJ22" s="11">
        <v>-5.4996415150720922E-2</v>
      </c>
      <c r="BK22" s="11">
        <v>-2.085475532976656E-2</v>
      </c>
      <c r="BL22" s="11">
        <v>-0.16178033907103531</v>
      </c>
      <c r="BM22" s="11">
        <v>2.4304832455331882E-3</v>
      </c>
      <c r="BN22" s="11">
        <v>1.5327552023042271E-2</v>
      </c>
      <c r="BO22" s="11">
        <v>5.0484429112750417E-2</v>
      </c>
      <c r="BP22" s="11">
        <v>-7.4835550155106345E-2</v>
      </c>
      <c r="BQ22" s="11">
        <v>-2.7830097398312589E-2</v>
      </c>
      <c r="BR22" s="11">
        <v>2.081360946645289E-2</v>
      </c>
      <c r="BS22" s="11">
        <v>-1.637278237679916E-2</v>
      </c>
      <c r="BT22" s="11">
        <v>6.7143215417725319E-2</v>
      </c>
      <c r="BU22" s="11">
        <v>4.0368468589877637E-2</v>
      </c>
      <c r="BV22" s="11">
        <v>4.8603534589078061E-2</v>
      </c>
      <c r="BW22" s="11">
        <v>-0.1321717915357814</v>
      </c>
      <c r="BX22" s="11">
        <v>0.15293737024999199</v>
      </c>
      <c r="BY22" s="11">
        <v>-5.5597049970371022E-2</v>
      </c>
      <c r="BZ22" s="11">
        <v>4.725773586289217E-2</v>
      </c>
      <c r="CA22" s="11">
        <v>0.14408033333333331</v>
      </c>
      <c r="CB22" s="11">
        <v>6.3604269539688812E-2</v>
      </c>
      <c r="CC22" s="11">
        <v>-0.12510499999999999</v>
      </c>
      <c r="CD22" s="11">
        <v>0.33387803671272293</v>
      </c>
      <c r="CE22" s="11">
        <v>6.6840000000000011E-2</v>
      </c>
      <c r="CF22" s="11">
        <v>0.1007703570340648</v>
      </c>
      <c r="CG22" s="11">
        <v>-0.207085332633513</v>
      </c>
      <c r="CH22" s="11">
        <v>-0.1536062848095433</v>
      </c>
      <c r="CI22" s="11">
        <v>-0.23044799999999999</v>
      </c>
      <c r="CJ22" s="11">
        <v>-0.12632535927858729</v>
      </c>
      <c r="CK22" s="11">
        <v>0.1109235402867822</v>
      </c>
      <c r="CL22" s="11">
        <v>9.499701202354538E-2</v>
      </c>
      <c r="CM22" s="11">
        <v>4.64412789746977E-2</v>
      </c>
      <c r="CN22" s="11">
        <v>2.185133333333333E-2</v>
      </c>
      <c r="CO22" s="11">
        <v>-0.18528575790522681</v>
      </c>
      <c r="CP22" s="11">
        <v>-0.17184373314239881</v>
      </c>
      <c r="CQ22" s="11">
        <v>-1.7159615519123799E-2</v>
      </c>
      <c r="CR22" s="11">
        <v>0.24677276999188669</v>
      </c>
      <c r="CS22" s="11">
        <v>2.443933333333333E-2</v>
      </c>
      <c r="CT22" s="11">
        <v>-0.1260913781887717</v>
      </c>
      <c r="CU22" s="11">
        <v>-0.16735391118636819</v>
      </c>
      <c r="CV22" s="11">
        <v>0.16622267868955429</v>
      </c>
      <c r="CW22" s="11">
        <v>2.2884042331984721E-2</v>
      </c>
      <c r="CX22" s="11">
        <v>3.749593267848913E-3</v>
      </c>
      <c r="CY22" s="11">
        <v>0.16243986871344671</v>
      </c>
      <c r="CZ22" s="11">
        <v>0.26292048459923911</v>
      </c>
      <c r="DA22" s="11">
        <v>3.2453999999999997E-2</v>
      </c>
      <c r="DB22" s="11">
        <v>5.4040666666666667E-2</v>
      </c>
      <c r="DC22" s="11">
        <v>-0.14116723571930959</v>
      </c>
      <c r="DD22" s="11">
        <v>-1.5963333333333329E-2</v>
      </c>
      <c r="DE22" s="11">
        <v>1.7756503501932811E-2</v>
      </c>
      <c r="DF22" s="11">
        <v>-9.7071705636226913E-2</v>
      </c>
      <c r="DG22" s="11">
        <v>-8.8121410503063616E-2</v>
      </c>
      <c r="DH22" s="11">
        <v>8.1455333333333324E-2</v>
      </c>
      <c r="DI22" s="11">
        <v>6.0122333333333333E-2</v>
      </c>
      <c r="DJ22" s="11">
        <v>-5.0246005833095859E-2</v>
      </c>
      <c r="DK22" s="11">
        <v>0.1791347138228401</v>
      </c>
      <c r="DL22" s="11">
        <v>-3.213330743138731E-3</v>
      </c>
      <c r="DM22" s="11">
        <v>4.2676549116040817E-2</v>
      </c>
      <c r="DN22" s="11">
        <v>-0.30537502827220309</v>
      </c>
      <c r="DO22" s="11">
        <v>-2.3768668287448849E-2</v>
      </c>
      <c r="DP22" s="11">
        <v>-0.16956243214073041</v>
      </c>
      <c r="DQ22" s="11">
        <v>0.16540416654463991</v>
      </c>
      <c r="DR22" s="11">
        <v>-6.0925526153180337E-3</v>
      </c>
      <c r="DS22" s="11">
        <v>0.12952383936920511</v>
      </c>
      <c r="DT22" s="11">
        <v>-5.8357008996765318E-2</v>
      </c>
      <c r="DU22" s="11">
        <v>-0.1615456666666667</v>
      </c>
      <c r="DV22" s="11">
        <v>-0.15706236954975081</v>
      </c>
      <c r="DW22" s="11">
        <v>-8.1416000000000016E-2</v>
      </c>
      <c r="DX22" s="11">
        <v>-0.1643521240415392</v>
      </c>
      <c r="DY22" s="11">
        <v>-0.31775437236448251</v>
      </c>
      <c r="DZ22" s="11">
        <v>0.16562624622575561</v>
      </c>
      <c r="EA22" s="11">
        <v>0.14035633333333331</v>
      </c>
      <c r="EB22" s="11">
        <v>-0.1429303333333333</v>
      </c>
      <c r="EC22" s="11">
        <v>8.8085999999999984E-2</v>
      </c>
      <c r="ED22" s="11">
        <v>-5.7499333333333333E-2</v>
      </c>
      <c r="EE22" s="11">
        <v>-4.7635999999999998E-2</v>
      </c>
      <c r="EF22" s="11">
        <v>3.6592666666666662E-2</v>
      </c>
    </row>
    <row r="23" spans="1:136">
      <c r="A23" s="2">
        <v>482</v>
      </c>
      <c r="B23" s="2">
        <v>2</v>
      </c>
      <c r="C23" s="11">
        <v>-3.1325684581971477E-2</v>
      </c>
      <c r="D23" s="11">
        <v>8.8966622734356765E-2</v>
      </c>
      <c r="E23" s="11">
        <v>-1.5061587686965401E-2</v>
      </c>
      <c r="F23" s="11">
        <v>0.1823960753208787</v>
      </c>
      <c r="G23" s="11">
        <v>-2.6971568524368019E-2</v>
      </c>
      <c r="H23" s="11">
        <v>-0.2628102412014528</v>
      </c>
      <c r="I23" s="11">
        <v>0.25570287206557712</v>
      </c>
      <c r="J23" s="11">
        <v>0.15529381690298319</v>
      </c>
      <c r="K23" s="11">
        <v>0.14260757512465491</v>
      </c>
      <c r="L23" s="11">
        <v>0.23244436104246219</v>
      </c>
      <c r="M23" s="11">
        <v>-0.2584499163586424</v>
      </c>
      <c r="N23" s="11">
        <v>-0.12680001369232849</v>
      </c>
      <c r="O23" s="11">
        <v>-1.9407711266769139E-2</v>
      </c>
      <c r="P23" s="11">
        <v>9.040171118212538E-2</v>
      </c>
      <c r="Q23" s="11">
        <v>0.25084967690080678</v>
      </c>
      <c r="R23" s="11">
        <v>8.9628003041144669E-2</v>
      </c>
      <c r="S23" s="11">
        <v>0.16929499991324401</v>
      </c>
      <c r="T23" s="11">
        <v>-0.15460269332742849</v>
      </c>
      <c r="U23" s="11">
        <v>0.21298177286802589</v>
      </c>
      <c r="V23" s="11">
        <v>6.3357010979066042E-2</v>
      </c>
      <c r="W23" s="11">
        <v>-0.33161915024914451</v>
      </c>
      <c r="X23" s="11">
        <v>-0.1817811857978229</v>
      </c>
      <c r="Y23" s="11">
        <v>-7.588763428678244E-3</v>
      </c>
      <c r="Z23" s="11">
        <v>-0.14764040944327361</v>
      </c>
      <c r="AA23" s="11">
        <v>-5.6748445960110291E-2</v>
      </c>
      <c r="AB23" s="11">
        <v>-3.09913850559921E-2</v>
      </c>
      <c r="AC23" s="11">
        <v>-0.1687547996369127</v>
      </c>
      <c r="AD23" s="11">
        <v>2.9952915704841848E-3</v>
      </c>
      <c r="AE23" s="11">
        <v>0.13721198875766</v>
      </c>
      <c r="AF23" s="11">
        <v>-0.32465932564021122</v>
      </c>
      <c r="AG23" s="11">
        <v>-0.145893892939672</v>
      </c>
      <c r="AH23" s="11">
        <v>8.417158452318324E-2</v>
      </c>
      <c r="AI23" s="11">
        <v>-2.3228266622481949E-2</v>
      </c>
      <c r="AJ23" s="11">
        <v>-5.6431378481542303E-3</v>
      </c>
      <c r="AK23" s="11">
        <v>9.1199224275259672E-2</v>
      </c>
      <c r="AL23" s="11">
        <v>-5.1310311182486829E-2</v>
      </c>
      <c r="AM23" s="11">
        <v>-7.769489004865255E-3</v>
      </c>
      <c r="AN23" s="11">
        <v>-0.24231469935730071</v>
      </c>
      <c r="AO23" s="11">
        <v>5.3369521914240978E-3</v>
      </c>
      <c r="AP23" s="11">
        <v>-3.1210993523056942E-3</v>
      </c>
      <c r="AQ23" s="11">
        <v>0.17571220858300701</v>
      </c>
      <c r="AR23" s="11">
        <v>-0.25346079578034408</v>
      </c>
      <c r="AS23" s="11">
        <v>8.1663620780570226E-2</v>
      </c>
      <c r="AT23" s="11">
        <v>0.1095059029649002</v>
      </c>
      <c r="AU23" s="11">
        <v>-0.20359589118158589</v>
      </c>
      <c r="AV23" s="11">
        <v>-4.9150066629292007E-2</v>
      </c>
      <c r="AW23" s="11">
        <v>-0.58225997417421493</v>
      </c>
      <c r="AX23" s="11">
        <v>1.4812779008540821E-2</v>
      </c>
      <c r="AY23" s="11">
        <v>-5.8139600106789993E-2</v>
      </c>
      <c r="AZ23" s="11">
        <v>-0.31598452125580129</v>
      </c>
      <c r="BA23" s="11">
        <v>0.1720809093757327</v>
      </c>
      <c r="BB23" s="11">
        <v>-5.1049484102885123E-2</v>
      </c>
      <c r="BC23" s="11">
        <v>-0.25286918189993951</v>
      </c>
      <c r="BD23" s="11">
        <v>0.12597949999999999</v>
      </c>
      <c r="BE23" s="11">
        <v>-8.6533499999999999E-2</v>
      </c>
      <c r="BF23" s="11">
        <v>-6.0012999999999997E-2</v>
      </c>
      <c r="BG23" s="11">
        <v>-4.4909499999999991E-2</v>
      </c>
      <c r="BH23" s="11">
        <v>-6.3365195703238231E-2</v>
      </c>
      <c r="BI23" s="11">
        <v>0.121209</v>
      </c>
      <c r="BJ23" s="11">
        <v>-0.1040033152679269</v>
      </c>
      <c r="BK23" s="11">
        <v>-5.0098634745350491E-3</v>
      </c>
      <c r="BL23" s="11">
        <v>-0.14953429625023959</v>
      </c>
      <c r="BM23" s="11">
        <v>-6.9495462024450616E-2</v>
      </c>
      <c r="BN23" s="11">
        <v>6.9471707588132049E-3</v>
      </c>
      <c r="BO23" s="11">
        <v>-3.6524941745999073E-2</v>
      </c>
      <c r="BP23" s="11">
        <v>-9.8266399211456468E-2</v>
      </c>
      <c r="BQ23" s="11">
        <v>-7.2047901435266168E-2</v>
      </c>
      <c r="BR23" s="11">
        <v>1.7844321463962809E-2</v>
      </c>
      <c r="BS23" s="11">
        <v>-7.3275388657911791E-2</v>
      </c>
      <c r="BT23" s="11">
        <v>7.018926416463693E-2</v>
      </c>
      <c r="BU23" s="11">
        <v>0.16327468999222081</v>
      </c>
      <c r="BV23" s="11">
        <v>5.326905055788838E-2</v>
      </c>
      <c r="BW23" s="11">
        <v>-1.536251504309036E-2</v>
      </c>
      <c r="BX23" s="11">
        <v>0.1242195235446351</v>
      </c>
      <c r="BY23" s="11">
        <v>0.1182492339269558</v>
      </c>
      <c r="BZ23" s="11">
        <v>7.6697624318448621E-3</v>
      </c>
      <c r="CA23" s="11">
        <v>0.20637549999999999</v>
      </c>
      <c r="CB23" s="11">
        <v>-4.1664988378588452E-2</v>
      </c>
      <c r="CC23" s="11">
        <v>-8.4545000000000009E-2</v>
      </c>
      <c r="CD23" s="11">
        <v>0.19167645501478511</v>
      </c>
      <c r="CE23" s="11">
        <v>5.9602000000000002E-2</v>
      </c>
      <c r="CF23" s="11">
        <v>1.616083543008176E-2</v>
      </c>
      <c r="CG23" s="11">
        <v>-0.21663724162720299</v>
      </c>
      <c r="CH23" s="11">
        <v>-0.16212257431707061</v>
      </c>
      <c r="CI23" s="11">
        <v>-5.9122499999999981E-2</v>
      </c>
      <c r="CJ23" s="11">
        <v>-0.15651589641790081</v>
      </c>
      <c r="CK23" s="11">
        <v>7.1856390536544607E-2</v>
      </c>
      <c r="CL23" s="11">
        <v>0.1640494591789142</v>
      </c>
      <c r="CM23" s="11">
        <v>6.9750090132210951E-3</v>
      </c>
      <c r="CN23" s="11">
        <v>4.9972000000000003E-2</v>
      </c>
      <c r="CO23" s="11">
        <v>-0.26845097690314912</v>
      </c>
      <c r="CP23" s="11">
        <v>-0.24610177245621889</v>
      </c>
      <c r="CQ23" s="11">
        <v>2.4702270079380868E-2</v>
      </c>
      <c r="CR23" s="11">
        <v>0.15099817047394759</v>
      </c>
      <c r="CS23" s="11">
        <v>6.9014999999999993E-2</v>
      </c>
      <c r="CT23" s="11">
        <v>-3.2850224006144763E-2</v>
      </c>
      <c r="CU23" s="11">
        <v>-0.20210388498715681</v>
      </c>
      <c r="CV23" s="11">
        <v>0.15333096827157461</v>
      </c>
      <c r="CW23" s="11">
        <v>-2.418628778900123E-2</v>
      </c>
      <c r="CX23" s="11">
        <v>-8.8716994096526336E-2</v>
      </c>
      <c r="CY23" s="11">
        <v>0.28171082747401988</v>
      </c>
      <c r="CZ23" s="11">
        <v>0.18199879385735121</v>
      </c>
      <c r="DA23" s="11">
        <v>6.4644999999999994E-2</v>
      </c>
      <c r="DB23" s="11">
        <v>1.8748000000000001E-2</v>
      </c>
      <c r="DC23" s="11">
        <v>-0.15794889931825309</v>
      </c>
      <c r="DD23" s="11">
        <v>-1.8409999999999999E-2</v>
      </c>
      <c r="DE23" s="11">
        <v>6.0085947510171572E-2</v>
      </c>
      <c r="DF23" s="11">
        <v>-0.1913738738124513</v>
      </c>
      <c r="DG23" s="11">
        <v>-0.15297665429505281</v>
      </c>
      <c r="DH23" s="11">
        <v>0.13922799999999999</v>
      </c>
      <c r="DI23" s="11">
        <v>9.6041000000000015E-2</v>
      </c>
      <c r="DJ23" s="11">
        <v>-8.7058008172347823E-2</v>
      </c>
      <c r="DK23" s="11">
        <v>0.27783321655884308</v>
      </c>
      <c r="DL23" s="11">
        <v>2.6242652104624471E-2</v>
      </c>
      <c r="DM23" s="11">
        <v>-1.071033430682497E-2</v>
      </c>
      <c r="DN23" s="11">
        <v>-0.26497485648399138</v>
      </c>
      <c r="DO23" s="11">
        <v>8.4670827807182117E-2</v>
      </c>
      <c r="DP23" s="11">
        <v>-0.17683961848490651</v>
      </c>
      <c r="DQ23" s="11">
        <v>0.24594610755878629</v>
      </c>
      <c r="DR23" s="11">
        <v>-8.9886002731306744E-2</v>
      </c>
      <c r="DS23" s="11">
        <v>0.24719455144246849</v>
      </c>
      <c r="DT23" s="11">
        <v>-0.12395522319619889</v>
      </c>
      <c r="DU23" s="11">
        <v>-5.5638E-2</v>
      </c>
      <c r="DV23" s="11">
        <v>-0.19274140121789701</v>
      </c>
      <c r="DW23" s="11">
        <v>2.305249999999999E-2</v>
      </c>
      <c r="DX23" s="11">
        <v>-0.1710027869684545</v>
      </c>
      <c r="DY23" s="11">
        <v>-0.26822192937212391</v>
      </c>
      <c r="DZ23" s="11">
        <v>0.12933301555171881</v>
      </c>
      <c r="EA23" s="11">
        <v>-2.8757000000000001E-2</v>
      </c>
      <c r="EB23" s="11">
        <v>-0.1382285</v>
      </c>
      <c r="EC23" s="11">
        <v>9.3643499999999991E-2</v>
      </c>
      <c r="ED23" s="11">
        <v>3.8898000000000002E-2</v>
      </c>
      <c r="EE23" s="11">
        <v>-6.9210999999999995E-2</v>
      </c>
      <c r="EF23" s="11">
        <v>9.3413999999999997E-2</v>
      </c>
    </row>
    <row r="24" spans="1:136">
      <c r="A24" s="2">
        <v>964</v>
      </c>
      <c r="B24" s="2">
        <v>1</v>
      </c>
      <c r="C24" s="11">
        <v>-2.776696731044102E-2</v>
      </c>
      <c r="D24" s="11">
        <v>8.1988379169623898E-2</v>
      </c>
      <c r="E24" s="11">
        <v>8.1880334610397495E-2</v>
      </c>
      <c r="F24" s="11">
        <v>0.20154571887164621</v>
      </c>
      <c r="G24" s="11">
        <v>-2.2622388562617651E-2</v>
      </c>
      <c r="H24" s="11">
        <v>-0.35082219133103881</v>
      </c>
      <c r="I24" s="11">
        <v>0.2403862447709158</v>
      </c>
      <c r="J24" s="11">
        <v>4.0357249392596467E-3</v>
      </c>
      <c r="K24" s="11">
        <v>5.0444335993488708E-2</v>
      </c>
      <c r="L24" s="11">
        <v>0.33375944447564659</v>
      </c>
      <c r="M24" s="11">
        <v>-0.14681933889950849</v>
      </c>
      <c r="N24" s="11">
        <v>-0.1051917107958454</v>
      </c>
      <c r="O24" s="11">
        <v>3.6648790739543732E-2</v>
      </c>
      <c r="P24" s="11">
        <v>0.1042484144089995</v>
      </c>
      <c r="Q24" s="11">
        <v>-9.0144948798662944E-2</v>
      </c>
      <c r="R24" s="11">
        <v>0.1083654949121912</v>
      </c>
      <c r="S24" s="11">
        <v>0.13988379956700059</v>
      </c>
      <c r="T24" s="11">
        <v>0.27048671467401741</v>
      </c>
      <c r="U24" s="11">
        <v>0.39296188484865302</v>
      </c>
      <c r="V24" s="11">
        <v>0.11654031671685081</v>
      </c>
      <c r="W24" s="11">
        <v>-0.49571198595594262</v>
      </c>
      <c r="X24" s="11">
        <v>3.6157896361251968E-2</v>
      </c>
      <c r="Y24" s="11">
        <v>-2.9398839580432611E-2</v>
      </c>
      <c r="Z24" s="11">
        <v>-0.15040992568878969</v>
      </c>
      <c r="AA24" s="11">
        <v>0.21854457969115479</v>
      </c>
      <c r="AB24" s="11">
        <v>-0.30039379355698248</v>
      </c>
      <c r="AC24" s="11">
        <v>-0.4017473338469546</v>
      </c>
      <c r="AD24" s="11">
        <v>5.9922146810819088E-2</v>
      </c>
      <c r="AE24" s="11">
        <v>0.19314178971175811</v>
      </c>
      <c r="AF24" s="11">
        <v>-0.49538941280416188</v>
      </c>
      <c r="AG24" s="11">
        <v>-0.38005539258279603</v>
      </c>
      <c r="AH24" s="11">
        <v>5.6697360067789589E-2</v>
      </c>
      <c r="AI24" s="11">
        <v>8.8083310984272967E-3</v>
      </c>
      <c r="AJ24" s="11">
        <v>8.089124399937539E-2</v>
      </c>
      <c r="AK24" s="11">
        <v>0.11317916377562411</v>
      </c>
      <c r="AL24" s="11">
        <v>-0.1074544263057416</v>
      </c>
      <c r="AM24" s="11">
        <v>1.89192814205267E-2</v>
      </c>
      <c r="AN24" s="11">
        <v>-0.22118946514543131</v>
      </c>
      <c r="AO24" s="11">
        <v>-6.6090111828990022E-2</v>
      </c>
      <c r="AP24" s="11">
        <v>2.28517154890964E-2</v>
      </c>
      <c r="AQ24" s="11">
        <v>0.35649193169751819</v>
      </c>
      <c r="AR24" s="11">
        <v>-2.0350844492814421E-2</v>
      </c>
      <c r="AS24" s="11">
        <v>3.2867737066227462E-3</v>
      </c>
      <c r="AT24" s="11">
        <v>0.15076897992568081</v>
      </c>
      <c r="AU24" s="11">
        <v>-0.22984101567941989</v>
      </c>
      <c r="AV24" s="11">
        <v>0.24768466023032751</v>
      </c>
      <c r="AW24" s="11">
        <v>0.14871095653144009</v>
      </c>
      <c r="AX24" s="11">
        <v>-0.1114913369162155</v>
      </c>
      <c r="AY24" s="11">
        <v>-0.26743574468647008</v>
      </c>
      <c r="AZ24" s="11">
        <v>-0.60989956018477687</v>
      </c>
      <c r="BA24" s="11">
        <v>0.1017826943099424</v>
      </c>
      <c r="BB24" s="11">
        <v>-8.6159033395334803E-2</v>
      </c>
      <c r="BC24" s="11">
        <v>4.366869614383373E-3</v>
      </c>
      <c r="BD24" s="11">
        <v>1.864E-2</v>
      </c>
      <c r="BE24" s="11">
        <v>-0.104131</v>
      </c>
      <c r="BF24" s="11">
        <v>-0.10023600000000001</v>
      </c>
      <c r="BG24" s="11">
        <v>-0.176624</v>
      </c>
      <c r="BH24" s="11">
        <v>-0.14767356525171971</v>
      </c>
      <c r="BI24" s="11">
        <v>0.169268</v>
      </c>
      <c r="BJ24" s="11">
        <v>-3.3483157548845829E-3</v>
      </c>
      <c r="BK24" s="11">
        <v>-1.00197269490701E-2</v>
      </c>
      <c r="BL24" s="11">
        <v>-0.31716429392471662</v>
      </c>
      <c r="BM24" s="11">
        <v>8.4782939838988242E-2</v>
      </c>
      <c r="BN24" s="11">
        <v>-6.849341845574783E-3</v>
      </c>
      <c r="BO24" s="11">
        <v>0.16110969109564191</v>
      </c>
      <c r="BP24" s="11">
        <v>-0.1233511811293219</v>
      </c>
      <c r="BQ24" s="11">
        <v>6.4169633330115036E-2</v>
      </c>
      <c r="BR24" s="11">
        <v>4.2356223303417713E-2</v>
      </c>
      <c r="BS24" s="11">
        <v>-1.284717484456964E-3</v>
      </c>
      <c r="BT24" s="11">
        <v>5.5799256308256592E-2</v>
      </c>
      <c r="BU24" s="11">
        <v>0.45156953678161682</v>
      </c>
      <c r="BV24" s="11">
        <v>4.625870574066291E-2</v>
      </c>
      <c r="BW24" s="11">
        <v>-0.15102744542241939</v>
      </c>
      <c r="BX24" s="11">
        <v>5.8043369649915091E-2</v>
      </c>
      <c r="BY24" s="11">
        <v>0.11840823105030179</v>
      </c>
      <c r="BZ24" s="11">
        <v>0.25889289884999689</v>
      </c>
      <c r="CA24" s="11">
        <v>0.10002800000000001</v>
      </c>
      <c r="CB24" s="11">
        <v>6.4127083156042083E-2</v>
      </c>
      <c r="CC24" s="11">
        <v>-0.18246999999999999</v>
      </c>
      <c r="CD24" s="11">
        <v>0.14430631074219491</v>
      </c>
      <c r="CE24" s="11">
        <v>0.16556499999999999</v>
      </c>
      <c r="CF24" s="11">
        <v>-4.3964633996731547E-2</v>
      </c>
      <c r="CG24" s="11">
        <v>-0.51996896607392207</v>
      </c>
      <c r="CH24" s="11">
        <v>-0.2129728840293183</v>
      </c>
      <c r="CI24" s="11">
        <v>-5.8507999999999998E-2</v>
      </c>
      <c r="CJ24" s="11">
        <v>-0.3001868935902553</v>
      </c>
      <c r="CK24" s="11">
        <v>0.32305926532838408</v>
      </c>
      <c r="CL24" s="11">
        <v>1.5683747889366519E-2</v>
      </c>
      <c r="CM24" s="11">
        <v>4.4688538323931992E-2</v>
      </c>
      <c r="CN24" s="11">
        <v>1.4921E-2</v>
      </c>
      <c r="CO24" s="11">
        <v>-0.57240960973467503</v>
      </c>
      <c r="CP24" s="11">
        <v>-0.19806734554709299</v>
      </c>
      <c r="CQ24" s="11">
        <v>0.1601896466275006</v>
      </c>
      <c r="CR24" s="11">
        <v>0.1377874560487031</v>
      </c>
      <c r="CS24" s="11">
        <v>-2.6858E-2</v>
      </c>
      <c r="CT24" s="11">
        <v>0.1828965872921165</v>
      </c>
      <c r="CU24" s="11">
        <v>-5.2729044813654813E-2</v>
      </c>
      <c r="CV24" s="11">
        <v>0.182864094907223</v>
      </c>
      <c r="CW24" s="11">
        <v>-0.234993215272846</v>
      </c>
      <c r="CX24" s="11">
        <v>5.5207193708687041E-2</v>
      </c>
      <c r="CY24" s="11">
        <v>0.36022804676873771</v>
      </c>
      <c r="CZ24" s="11">
        <v>0.11220662844456721</v>
      </c>
      <c r="DA24" s="11">
        <v>3.3980000000000003E-2</v>
      </c>
      <c r="DB24" s="11">
        <v>-1.6500000000000001E-2</v>
      </c>
      <c r="DC24" s="11">
        <v>-0.28272977872851818</v>
      </c>
      <c r="DD24" s="11">
        <v>4.9299999999999997E-2</v>
      </c>
      <c r="DE24" s="11">
        <v>-0.13158559129553279</v>
      </c>
      <c r="DF24" s="11">
        <v>-0.19463806375593051</v>
      </c>
      <c r="DG24" s="11">
        <v>-0.24858898273322999</v>
      </c>
      <c r="DH24" s="11">
        <v>0.26580500000000001</v>
      </c>
      <c r="DI24" s="11">
        <v>3.7185000000000003E-2</v>
      </c>
      <c r="DJ24" s="11">
        <v>-0.13248861050923971</v>
      </c>
      <c r="DK24" s="11">
        <v>0.33950921063044381</v>
      </c>
      <c r="DL24" s="11">
        <v>6.1360513215416877E-2</v>
      </c>
      <c r="DM24" s="11">
        <v>-0.10831609512618499</v>
      </c>
      <c r="DN24" s="11">
        <v>-0.51684793899753223</v>
      </c>
      <c r="DO24" s="11">
        <v>8.3114289590005733E-2</v>
      </c>
      <c r="DP24" s="11">
        <v>-0.22357182348369681</v>
      </c>
      <c r="DQ24" s="11">
        <v>0.35907130209664839</v>
      </c>
      <c r="DR24" s="11">
        <v>-2.0515630212029241E-2</v>
      </c>
      <c r="DS24" s="11">
        <v>0.14400697483881431</v>
      </c>
      <c r="DT24" s="11">
        <v>-3.8362866170129663E-2</v>
      </c>
      <c r="DU24" s="11">
        <v>2.178200000000001E-2</v>
      </c>
      <c r="DV24" s="11">
        <v>-0.75045654918922122</v>
      </c>
      <c r="DW24" s="11">
        <v>0.101183</v>
      </c>
      <c r="DX24" s="11">
        <v>-0.17373733044807921</v>
      </c>
      <c r="DY24" s="11">
        <v>-3.2066535729951551E-2</v>
      </c>
      <c r="DZ24" s="11">
        <v>-4.8904664258799802E-2</v>
      </c>
      <c r="EA24" s="11">
        <v>-5.4917000000000001E-2</v>
      </c>
      <c r="EB24" s="11">
        <v>-0.10923099999999999</v>
      </c>
      <c r="EC24" s="11">
        <v>0.143647</v>
      </c>
      <c r="ED24" s="11">
        <v>-6.9834999999999994E-2</v>
      </c>
      <c r="EE24" s="11">
        <v>-0.10748199999999999</v>
      </c>
      <c r="EF24" s="11">
        <v>0.13408500000000001</v>
      </c>
    </row>
    <row r="26" spans="1:136">
      <c r="A26" s="2" t="s">
        <v>145</v>
      </c>
      <c r="B26" s="2" t="s">
        <v>146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  <row r="28" spans="1:136">
      <c r="B28" s="17" t="s">
        <v>248</v>
      </c>
      <c r="C28" s="18">
        <v>3043</v>
      </c>
      <c r="D28" s="18">
        <v>3043</v>
      </c>
      <c r="E28" s="18">
        <v>6130</v>
      </c>
      <c r="F28" s="18">
        <v>6130</v>
      </c>
      <c r="G28" s="18">
        <v>6130</v>
      </c>
      <c r="H28" s="18">
        <v>6130</v>
      </c>
      <c r="I28" s="18">
        <v>6130</v>
      </c>
      <c r="J28" s="18">
        <v>9906</v>
      </c>
      <c r="K28" s="18">
        <v>5324</v>
      </c>
      <c r="L28" s="18">
        <v>5324</v>
      </c>
      <c r="M28" s="18">
        <v>5324</v>
      </c>
      <c r="N28" s="18">
        <v>5324</v>
      </c>
      <c r="O28" s="18">
        <v>5324</v>
      </c>
      <c r="P28" s="18">
        <v>5455</v>
      </c>
      <c r="Q28" s="18">
        <v>5324</v>
      </c>
      <c r="R28" s="18">
        <v>5324</v>
      </c>
      <c r="S28" s="18">
        <v>2388</v>
      </c>
      <c r="T28" s="18">
        <v>2439</v>
      </c>
      <c r="U28" s="18">
        <v>1472</v>
      </c>
      <c r="V28" s="18">
        <v>2388</v>
      </c>
      <c r="W28" s="18">
        <v>4413</v>
      </c>
      <c r="X28" s="18">
        <v>2388</v>
      </c>
      <c r="Y28" s="18">
        <v>3232</v>
      </c>
      <c r="Z28" s="18">
        <v>6259</v>
      </c>
      <c r="AA28" s="18">
        <v>6259</v>
      </c>
      <c r="AB28" s="18">
        <v>6228</v>
      </c>
      <c r="AC28" s="18">
        <v>9906</v>
      </c>
      <c r="AD28" s="18">
        <v>9906</v>
      </c>
      <c r="AE28" s="18">
        <v>5381</v>
      </c>
      <c r="AF28" s="18">
        <v>5455</v>
      </c>
      <c r="AG28" s="18">
        <v>6259</v>
      </c>
      <c r="AH28" s="18">
        <v>6225</v>
      </c>
      <c r="AI28" s="18">
        <v>6225</v>
      </c>
      <c r="AJ28" s="18">
        <v>6225</v>
      </c>
      <c r="AK28" s="18">
        <v>6259</v>
      </c>
      <c r="AL28" s="18">
        <v>6259</v>
      </c>
      <c r="AM28" s="18">
        <v>6225</v>
      </c>
      <c r="AN28" s="18">
        <v>6225</v>
      </c>
      <c r="AO28" s="18">
        <v>6225</v>
      </c>
      <c r="AP28" s="18">
        <v>6225</v>
      </c>
      <c r="AQ28" s="18">
        <v>3064</v>
      </c>
      <c r="AR28" s="18">
        <v>6227</v>
      </c>
      <c r="AS28" s="18">
        <v>3064</v>
      </c>
      <c r="AT28" s="18">
        <v>3064</v>
      </c>
      <c r="AU28" s="18">
        <v>3064</v>
      </c>
      <c r="AV28" s="18">
        <v>3064</v>
      </c>
      <c r="AW28" s="18">
        <v>5205</v>
      </c>
      <c r="AX28" s="18">
        <v>3064</v>
      </c>
      <c r="AY28" s="18">
        <v>8044</v>
      </c>
      <c r="AZ28" s="18">
        <v>5386</v>
      </c>
      <c r="BA28" s="18">
        <v>4903</v>
      </c>
      <c r="BB28" s="18">
        <v>6225</v>
      </c>
      <c r="BC28" s="18">
        <v>4903</v>
      </c>
      <c r="BD28" s="18">
        <v>6291</v>
      </c>
      <c r="BE28" s="18">
        <v>5205</v>
      </c>
      <c r="BF28" s="18">
        <v>8067</v>
      </c>
      <c r="BG28" s="18">
        <v>1475</v>
      </c>
      <c r="BH28" s="18">
        <v>6165</v>
      </c>
      <c r="BI28" s="18">
        <v>1475</v>
      </c>
      <c r="BJ28" s="18">
        <v>6225</v>
      </c>
      <c r="BK28" s="18">
        <v>4303</v>
      </c>
      <c r="BL28" s="18">
        <v>6225</v>
      </c>
      <c r="BM28" s="18">
        <v>4303</v>
      </c>
      <c r="BN28" s="18">
        <v>6225</v>
      </c>
      <c r="BO28" s="18">
        <v>6225</v>
      </c>
      <c r="BP28" s="18">
        <v>6225</v>
      </c>
      <c r="BQ28" s="18">
        <v>6225</v>
      </c>
      <c r="BR28" s="18">
        <v>6225</v>
      </c>
      <c r="BS28" s="18">
        <v>6225</v>
      </c>
      <c r="BT28" s="18">
        <v>3085</v>
      </c>
      <c r="BU28" s="18">
        <v>3085</v>
      </c>
      <c r="BV28" s="18">
        <v>5310</v>
      </c>
      <c r="BW28" s="18">
        <v>3085</v>
      </c>
      <c r="BX28" s="18">
        <v>3064</v>
      </c>
      <c r="BY28" s="18">
        <v>3085</v>
      </c>
      <c r="BZ28" s="18">
        <v>8080</v>
      </c>
      <c r="CA28" s="18">
        <v>5205</v>
      </c>
      <c r="CB28" s="18">
        <v>5475</v>
      </c>
      <c r="CC28" s="18">
        <v>8087</v>
      </c>
      <c r="CD28" s="18">
        <v>5205</v>
      </c>
      <c r="CE28" s="18">
        <v>5205</v>
      </c>
      <c r="CF28" s="18">
        <v>8070</v>
      </c>
      <c r="CG28" s="18">
        <v>8070</v>
      </c>
      <c r="CH28" s="18">
        <v>8070</v>
      </c>
      <c r="CI28" s="18">
        <v>4304</v>
      </c>
      <c r="CJ28" s="18">
        <v>8070</v>
      </c>
      <c r="CK28" s="18">
        <v>8070</v>
      </c>
      <c r="CL28" s="18">
        <v>8070</v>
      </c>
      <c r="CM28" s="18">
        <v>8070</v>
      </c>
      <c r="CN28" s="18">
        <v>5205</v>
      </c>
      <c r="CO28" s="18">
        <v>8070</v>
      </c>
      <c r="CP28" s="18">
        <v>8070</v>
      </c>
      <c r="CQ28" s="18">
        <v>1325</v>
      </c>
      <c r="CR28" s="18">
        <v>3043</v>
      </c>
      <c r="CS28" s="18">
        <v>5205</v>
      </c>
      <c r="CT28" s="18">
        <v>1325</v>
      </c>
      <c r="CU28" s="18">
        <v>3064</v>
      </c>
      <c r="CV28" s="18">
        <v>1325</v>
      </c>
      <c r="CW28" s="18">
        <v>6276</v>
      </c>
      <c r="CX28" s="18">
        <v>8101</v>
      </c>
      <c r="CY28" s="18">
        <v>6276</v>
      </c>
      <c r="CZ28" s="18">
        <v>8101</v>
      </c>
      <c r="DA28" s="18">
        <v>1538</v>
      </c>
      <c r="DB28" s="18">
        <v>5314</v>
      </c>
      <c r="DC28" s="18">
        <v>2007</v>
      </c>
      <c r="DD28" s="18">
        <v>8080</v>
      </c>
      <c r="DE28" s="18">
        <v>2486</v>
      </c>
      <c r="DF28" s="18">
        <v>2486</v>
      </c>
      <c r="DG28" s="18">
        <v>5475</v>
      </c>
      <c r="DH28" s="18">
        <v>1538</v>
      </c>
      <c r="DI28" s="18">
        <v>8080</v>
      </c>
      <c r="DJ28" s="18">
        <v>6225</v>
      </c>
      <c r="DK28" s="18">
        <v>6225</v>
      </c>
      <c r="DL28" s="18">
        <v>5468</v>
      </c>
      <c r="DM28" s="18">
        <v>9945</v>
      </c>
      <c r="DN28" s="18">
        <v>4402</v>
      </c>
      <c r="DO28" s="18">
        <v>4402</v>
      </c>
      <c r="DP28" s="18">
        <v>8933</v>
      </c>
      <c r="DQ28" s="18">
        <v>8933</v>
      </c>
      <c r="DR28" s="18">
        <v>4419</v>
      </c>
      <c r="DS28" s="18">
        <v>2615</v>
      </c>
      <c r="DT28" s="18">
        <v>4419</v>
      </c>
      <c r="DU28" s="18">
        <v>5345</v>
      </c>
      <c r="DV28" s="18">
        <v>3085</v>
      </c>
      <c r="DW28" s="18">
        <v>4304</v>
      </c>
      <c r="DX28" s="18">
        <v>2482</v>
      </c>
      <c r="DY28" s="18">
        <v>2482</v>
      </c>
      <c r="DZ28" s="18">
        <v>6291</v>
      </c>
      <c r="EA28" s="18">
        <v>2321</v>
      </c>
      <c r="EB28" s="18">
        <v>2321</v>
      </c>
      <c r="EC28" s="18">
        <v>2321</v>
      </c>
      <c r="ED28" s="18">
        <v>2321</v>
      </c>
      <c r="EE28" s="18">
        <v>2321</v>
      </c>
      <c r="EF28" s="18">
        <v>2321</v>
      </c>
    </row>
    <row r="29" spans="1:136">
      <c r="B29" s="17" t="s">
        <v>249</v>
      </c>
      <c r="C29" s="18" t="s">
        <v>147</v>
      </c>
      <c r="D29" s="18" t="s">
        <v>147</v>
      </c>
      <c r="E29" s="18" t="s">
        <v>148</v>
      </c>
      <c r="F29" s="18" t="s">
        <v>148</v>
      </c>
      <c r="G29" s="18" t="s">
        <v>148</v>
      </c>
      <c r="H29" s="18" t="s">
        <v>148</v>
      </c>
      <c r="I29" s="18" t="s">
        <v>148</v>
      </c>
      <c r="J29" s="18" t="s">
        <v>149</v>
      </c>
      <c r="K29" s="18" t="s">
        <v>150</v>
      </c>
      <c r="L29" s="18" t="s">
        <v>150</v>
      </c>
      <c r="M29" s="18" t="s">
        <v>150</v>
      </c>
      <c r="N29" s="18" t="s">
        <v>150</v>
      </c>
      <c r="O29" s="18" t="s">
        <v>150</v>
      </c>
      <c r="P29" s="18" t="s">
        <v>151</v>
      </c>
      <c r="Q29" s="18" t="s">
        <v>150</v>
      </c>
      <c r="R29" s="18" t="s">
        <v>150</v>
      </c>
      <c r="S29" s="18" t="s">
        <v>152</v>
      </c>
      <c r="T29" s="18" t="s">
        <v>153</v>
      </c>
      <c r="U29" s="18" t="s">
        <v>154</v>
      </c>
      <c r="V29" s="18" t="s">
        <v>152</v>
      </c>
      <c r="W29" s="18" t="s">
        <v>155</v>
      </c>
      <c r="X29" s="18" t="s">
        <v>152</v>
      </c>
      <c r="Y29" s="18" t="s">
        <v>156</v>
      </c>
      <c r="Z29" s="18" t="s">
        <v>157</v>
      </c>
      <c r="AA29" s="18" t="s">
        <v>157</v>
      </c>
      <c r="AB29" s="18" t="s">
        <v>158</v>
      </c>
      <c r="AC29" s="18" t="s">
        <v>149</v>
      </c>
      <c r="AD29" s="18" t="s">
        <v>149</v>
      </c>
      <c r="AE29" s="18" t="s">
        <v>159</v>
      </c>
      <c r="AF29" s="18" t="s">
        <v>151</v>
      </c>
      <c r="AG29" s="18" t="s">
        <v>157</v>
      </c>
      <c r="AH29" s="18" t="s">
        <v>160</v>
      </c>
      <c r="AI29" s="18" t="s">
        <v>160</v>
      </c>
      <c r="AJ29" s="18" t="s">
        <v>160</v>
      </c>
      <c r="AK29" s="18" t="s">
        <v>157</v>
      </c>
      <c r="AL29" s="18" t="s">
        <v>157</v>
      </c>
      <c r="AM29" s="18" t="s">
        <v>160</v>
      </c>
      <c r="AN29" s="18" t="s">
        <v>160</v>
      </c>
      <c r="AO29" s="18" t="s">
        <v>160</v>
      </c>
      <c r="AP29" s="18" t="s">
        <v>160</v>
      </c>
      <c r="AQ29" s="18" t="s">
        <v>161</v>
      </c>
      <c r="AR29" s="18" t="s">
        <v>162</v>
      </c>
      <c r="AS29" s="18" t="s">
        <v>161</v>
      </c>
      <c r="AT29" s="18" t="s">
        <v>161</v>
      </c>
      <c r="AU29" s="18" t="s">
        <v>161</v>
      </c>
      <c r="AV29" s="18" t="s">
        <v>161</v>
      </c>
      <c r="AW29" s="18" t="s">
        <v>163</v>
      </c>
      <c r="AX29" s="18" t="s">
        <v>161</v>
      </c>
      <c r="AY29" s="18" t="s">
        <v>164</v>
      </c>
      <c r="AZ29" s="18" t="s">
        <v>165</v>
      </c>
      <c r="BA29" s="18" t="s">
        <v>166</v>
      </c>
      <c r="BB29" s="18" t="s">
        <v>160</v>
      </c>
      <c r="BC29" s="18" t="s">
        <v>166</v>
      </c>
      <c r="BD29" s="18" t="s">
        <v>167</v>
      </c>
      <c r="BE29" s="18" t="s">
        <v>163</v>
      </c>
      <c r="BF29" s="18" t="s">
        <v>168</v>
      </c>
      <c r="BG29" s="18" t="s">
        <v>169</v>
      </c>
      <c r="BH29" s="18" t="s">
        <v>170</v>
      </c>
      <c r="BI29" s="18" t="s">
        <v>169</v>
      </c>
      <c r="BJ29" s="18" t="s">
        <v>160</v>
      </c>
      <c r="BK29" s="18" t="s">
        <v>171</v>
      </c>
      <c r="BL29" s="18" t="s">
        <v>160</v>
      </c>
      <c r="BM29" s="18" t="s">
        <v>171</v>
      </c>
      <c r="BN29" s="18" t="s">
        <v>160</v>
      </c>
      <c r="BO29" s="18" t="s">
        <v>160</v>
      </c>
      <c r="BP29" s="18" t="s">
        <v>160</v>
      </c>
      <c r="BQ29" s="18" t="s">
        <v>160</v>
      </c>
      <c r="BR29" s="18" t="s">
        <v>160</v>
      </c>
      <c r="BS29" s="18" t="s">
        <v>160</v>
      </c>
      <c r="BT29" s="18" t="s">
        <v>172</v>
      </c>
      <c r="BU29" s="18" t="s">
        <v>172</v>
      </c>
      <c r="BV29" s="18" t="s">
        <v>173</v>
      </c>
      <c r="BW29" s="18" t="s">
        <v>172</v>
      </c>
      <c r="BX29" s="18" t="s">
        <v>161</v>
      </c>
      <c r="BY29" s="18" t="s">
        <v>172</v>
      </c>
      <c r="BZ29" s="18" t="s">
        <v>174</v>
      </c>
      <c r="CA29" s="18" t="s">
        <v>163</v>
      </c>
      <c r="CB29" s="18" t="s">
        <v>175</v>
      </c>
      <c r="CC29" s="18" t="s">
        <v>176</v>
      </c>
      <c r="CD29" s="18" t="s">
        <v>163</v>
      </c>
      <c r="CE29" s="18" t="s">
        <v>163</v>
      </c>
      <c r="CF29" s="18" t="s">
        <v>177</v>
      </c>
      <c r="CG29" s="18" t="s">
        <v>177</v>
      </c>
      <c r="CH29" s="18" t="s">
        <v>177</v>
      </c>
      <c r="CI29" s="18" t="s">
        <v>178</v>
      </c>
      <c r="CJ29" s="18" t="s">
        <v>177</v>
      </c>
      <c r="CK29" s="18" t="s">
        <v>177</v>
      </c>
      <c r="CL29" s="18" t="s">
        <v>177</v>
      </c>
      <c r="CM29" s="18" t="s">
        <v>177</v>
      </c>
      <c r="CN29" s="18" t="s">
        <v>163</v>
      </c>
      <c r="CO29" s="18" t="s">
        <v>177</v>
      </c>
      <c r="CP29" s="18" t="s">
        <v>177</v>
      </c>
      <c r="CQ29" s="18" t="s">
        <v>179</v>
      </c>
      <c r="CR29" s="18" t="s">
        <v>147</v>
      </c>
      <c r="CS29" s="18" t="s">
        <v>163</v>
      </c>
      <c r="CT29" s="18" t="s">
        <v>179</v>
      </c>
      <c r="CU29" s="18" t="s">
        <v>161</v>
      </c>
      <c r="CV29" s="18" t="s">
        <v>179</v>
      </c>
      <c r="CW29" s="18" t="s">
        <v>180</v>
      </c>
      <c r="CX29" s="18" t="s">
        <v>181</v>
      </c>
      <c r="CY29" s="18" t="s">
        <v>180</v>
      </c>
      <c r="CZ29" s="18" t="s">
        <v>181</v>
      </c>
      <c r="DA29" s="18" t="s">
        <v>182</v>
      </c>
      <c r="DB29" s="18" t="s">
        <v>183</v>
      </c>
      <c r="DC29" s="18" t="s">
        <v>184</v>
      </c>
      <c r="DD29" s="18" t="s">
        <v>174</v>
      </c>
      <c r="DE29" s="18" t="s">
        <v>185</v>
      </c>
      <c r="DF29" s="18" t="s">
        <v>185</v>
      </c>
      <c r="DG29" s="18" t="s">
        <v>175</v>
      </c>
      <c r="DH29" s="18" t="s">
        <v>182</v>
      </c>
      <c r="DI29" s="18" t="s">
        <v>174</v>
      </c>
      <c r="DJ29" s="18" t="s">
        <v>160</v>
      </c>
      <c r="DK29" s="18" t="s">
        <v>160</v>
      </c>
      <c r="DL29" s="18" t="s">
        <v>186</v>
      </c>
      <c r="DM29" s="18" t="s">
        <v>187</v>
      </c>
      <c r="DN29" s="18" t="s">
        <v>188</v>
      </c>
      <c r="DO29" s="18" t="s">
        <v>188</v>
      </c>
      <c r="DP29" s="18" t="s">
        <v>189</v>
      </c>
      <c r="DQ29" s="18" t="s">
        <v>189</v>
      </c>
      <c r="DR29" s="18" t="s">
        <v>190</v>
      </c>
      <c r="DS29" s="18" t="s">
        <v>191</v>
      </c>
      <c r="DT29" s="18" t="s">
        <v>190</v>
      </c>
      <c r="DU29" s="18" t="s">
        <v>192</v>
      </c>
      <c r="DV29" s="18" t="s">
        <v>172</v>
      </c>
      <c r="DW29" s="18" t="s">
        <v>178</v>
      </c>
      <c r="DX29" s="18" t="s">
        <v>193</v>
      </c>
      <c r="DY29" s="18" t="s">
        <v>193</v>
      </c>
      <c r="DZ29" s="18" t="s">
        <v>167</v>
      </c>
      <c r="EA29" s="18" t="s">
        <v>194</v>
      </c>
      <c r="EB29" s="18" t="s">
        <v>194</v>
      </c>
      <c r="EC29" s="18" t="s">
        <v>194</v>
      </c>
      <c r="ED29" s="18" t="s">
        <v>194</v>
      </c>
      <c r="EE29" s="18" t="s">
        <v>194</v>
      </c>
      <c r="EF29" s="18" t="s">
        <v>194</v>
      </c>
    </row>
    <row r="30" spans="1:136">
      <c r="B30" s="17" t="s">
        <v>250</v>
      </c>
      <c r="C30" s="18">
        <v>2540</v>
      </c>
      <c r="D30" s="18">
        <v>5364</v>
      </c>
      <c r="E30" s="18">
        <v>5364</v>
      </c>
      <c r="F30" s="18">
        <v>5364</v>
      </c>
      <c r="G30" s="18">
        <v>5364</v>
      </c>
      <c r="H30" s="18">
        <v>5364</v>
      </c>
      <c r="I30" s="18">
        <v>5364</v>
      </c>
      <c r="J30" s="18">
        <v>5364</v>
      </c>
      <c r="K30" s="18">
        <v>5364</v>
      </c>
      <c r="L30" s="18">
        <v>8941</v>
      </c>
      <c r="M30" s="18">
        <v>5364</v>
      </c>
      <c r="N30" s="18">
        <v>5364</v>
      </c>
      <c r="O30" s="18">
        <v>2408</v>
      </c>
      <c r="P30" s="18">
        <v>2323</v>
      </c>
      <c r="Q30" s="18">
        <v>2408</v>
      </c>
      <c r="R30" s="18">
        <v>2408</v>
      </c>
      <c r="S30" s="18">
        <v>2408</v>
      </c>
      <c r="T30" s="18">
        <v>2408</v>
      </c>
      <c r="U30" s="18">
        <v>2408</v>
      </c>
      <c r="V30" s="18">
        <v>2408</v>
      </c>
      <c r="W30" s="18">
        <v>2323</v>
      </c>
      <c r="X30" s="18">
        <v>5455</v>
      </c>
      <c r="Y30" s="18">
        <v>1449</v>
      </c>
      <c r="Z30" s="18">
        <v>4413</v>
      </c>
      <c r="AA30" s="18">
        <v>4502</v>
      </c>
      <c r="AB30" s="18">
        <v>4502</v>
      </c>
      <c r="AC30" s="18">
        <v>4502</v>
      </c>
      <c r="AD30" s="18">
        <v>4502</v>
      </c>
      <c r="AE30" s="18">
        <v>4502</v>
      </c>
      <c r="AF30" s="18">
        <v>4502</v>
      </c>
      <c r="AG30" s="18">
        <v>4502</v>
      </c>
      <c r="AH30" s="18">
        <v>2323</v>
      </c>
      <c r="AI30" s="18">
        <v>2323</v>
      </c>
      <c r="AJ30" s="18">
        <v>2323</v>
      </c>
      <c r="AK30" s="18">
        <v>2496</v>
      </c>
      <c r="AL30" s="18">
        <v>6246</v>
      </c>
      <c r="AM30" s="18">
        <v>2323</v>
      </c>
      <c r="AN30" s="18">
        <v>2323</v>
      </c>
      <c r="AO30" s="18">
        <v>2323</v>
      </c>
      <c r="AP30" s="18">
        <v>2323</v>
      </c>
      <c r="AQ30" s="18">
        <v>6246</v>
      </c>
      <c r="AR30" s="18">
        <v>2496</v>
      </c>
      <c r="AS30" s="18">
        <v>2496</v>
      </c>
      <c r="AT30" s="18">
        <v>2496</v>
      </c>
      <c r="AU30" s="18">
        <v>2496</v>
      </c>
      <c r="AV30" s="18">
        <v>2337</v>
      </c>
      <c r="AW30" s="18">
        <v>2337</v>
      </c>
      <c r="AX30" s="18">
        <v>2337</v>
      </c>
      <c r="AY30" s="18">
        <v>1475</v>
      </c>
      <c r="AZ30" s="18">
        <v>4303</v>
      </c>
      <c r="BA30" s="18">
        <v>6150</v>
      </c>
      <c r="BB30" s="18">
        <v>3252</v>
      </c>
      <c r="BC30" s="18">
        <v>6150</v>
      </c>
      <c r="BD30" s="18">
        <v>2330</v>
      </c>
      <c r="BE30" s="18">
        <v>2330</v>
      </c>
      <c r="BF30" s="18">
        <v>2330</v>
      </c>
      <c r="BG30" s="18">
        <v>2330</v>
      </c>
      <c r="BH30" s="18">
        <v>2342</v>
      </c>
      <c r="BI30" s="18">
        <v>2330</v>
      </c>
      <c r="BJ30" s="18">
        <v>1906</v>
      </c>
      <c r="BK30" s="18">
        <v>2388</v>
      </c>
      <c r="BL30" s="18">
        <v>8085</v>
      </c>
      <c r="BM30" s="18">
        <v>1529</v>
      </c>
      <c r="BN30" s="18">
        <v>8085</v>
      </c>
      <c r="BO30" s="18">
        <v>8085</v>
      </c>
      <c r="BP30" s="18">
        <v>8085</v>
      </c>
      <c r="BQ30" s="18">
        <v>3252</v>
      </c>
      <c r="BR30" s="18">
        <v>2409</v>
      </c>
      <c r="BS30" s="18">
        <v>3252</v>
      </c>
      <c r="BT30" s="18">
        <v>1529</v>
      </c>
      <c r="BU30" s="18">
        <v>1529</v>
      </c>
      <c r="BV30" s="18">
        <v>1529</v>
      </c>
      <c r="BW30" s="18">
        <v>5340</v>
      </c>
      <c r="BX30" s="18">
        <v>4702</v>
      </c>
      <c r="BY30" s="18">
        <v>2429</v>
      </c>
      <c r="BZ30" s="18">
        <v>5608</v>
      </c>
      <c r="CA30" s="18">
        <v>2330</v>
      </c>
      <c r="CB30" s="18">
        <v>1325</v>
      </c>
      <c r="CC30" s="18">
        <v>2330</v>
      </c>
      <c r="CD30" s="18">
        <v>5608</v>
      </c>
      <c r="CE30" s="18">
        <v>2330</v>
      </c>
      <c r="CF30" s="18">
        <v>1325</v>
      </c>
      <c r="CG30" s="18">
        <v>1325</v>
      </c>
      <c r="CH30" s="18">
        <v>1325</v>
      </c>
      <c r="CI30" s="18">
        <v>2330</v>
      </c>
      <c r="CJ30" s="18">
        <v>6204</v>
      </c>
      <c r="CK30" s="18">
        <v>6259</v>
      </c>
      <c r="CL30" s="18">
        <v>3086</v>
      </c>
      <c r="CM30" s="18">
        <v>6259</v>
      </c>
      <c r="CN30" s="18">
        <v>2330</v>
      </c>
      <c r="CO30" s="18">
        <v>2609</v>
      </c>
      <c r="CP30" s="18">
        <v>2609</v>
      </c>
      <c r="CQ30" s="18">
        <v>5475</v>
      </c>
      <c r="CR30" s="18">
        <v>2609</v>
      </c>
      <c r="CS30" s="18">
        <v>2330</v>
      </c>
      <c r="CT30" s="18">
        <v>5475</v>
      </c>
      <c r="CU30" s="18">
        <v>5475</v>
      </c>
      <c r="CV30" s="18">
        <v>5475</v>
      </c>
      <c r="CW30" s="18">
        <v>5475</v>
      </c>
      <c r="CX30" s="18">
        <v>1906</v>
      </c>
      <c r="CY30" s="18">
        <v>2364</v>
      </c>
      <c r="CZ30" s="18">
        <v>1906</v>
      </c>
      <c r="DA30" s="18">
        <v>2330</v>
      </c>
      <c r="DB30" s="18">
        <v>2330</v>
      </c>
      <c r="DC30" s="18">
        <v>2364</v>
      </c>
      <c r="DD30" s="18">
        <v>2330</v>
      </c>
      <c r="DE30" s="18">
        <v>2364</v>
      </c>
      <c r="DF30" s="18">
        <v>2364</v>
      </c>
      <c r="DG30" s="18">
        <v>2364</v>
      </c>
      <c r="DH30" s="18">
        <v>2330</v>
      </c>
      <c r="DI30" s="18">
        <v>2330</v>
      </c>
      <c r="DJ30" s="18">
        <v>2362</v>
      </c>
      <c r="DK30" s="18">
        <v>3252</v>
      </c>
      <c r="DL30" s="18">
        <v>3043</v>
      </c>
      <c r="DM30" s="18">
        <v>3043</v>
      </c>
      <c r="DN30" s="18">
        <v>3043</v>
      </c>
      <c r="DO30" s="18">
        <v>5314</v>
      </c>
      <c r="DP30" s="18">
        <v>3043</v>
      </c>
      <c r="DQ30" s="18">
        <v>5314</v>
      </c>
      <c r="DR30" s="18">
        <v>1906</v>
      </c>
      <c r="DS30" s="18">
        <v>8077</v>
      </c>
      <c r="DT30" s="18">
        <v>1314</v>
      </c>
      <c r="DU30" s="18">
        <v>2330</v>
      </c>
      <c r="DV30" s="18">
        <v>5314</v>
      </c>
      <c r="DW30" s="18">
        <v>2330</v>
      </c>
      <c r="DX30" s="18">
        <v>5314</v>
      </c>
      <c r="DY30" s="18">
        <v>5314</v>
      </c>
      <c r="DZ30" s="18">
        <v>5314</v>
      </c>
      <c r="EA30" s="18">
        <v>2330</v>
      </c>
      <c r="EB30" s="18">
        <v>2330</v>
      </c>
      <c r="EC30" s="18">
        <v>2330</v>
      </c>
      <c r="ED30" s="18">
        <v>2330</v>
      </c>
      <c r="EE30" s="18">
        <v>2330</v>
      </c>
      <c r="EF30" s="18">
        <v>2330</v>
      </c>
    </row>
    <row r="31" spans="1:136">
      <c r="B31" s="17" t="s">
        <v>249</v>
      </c>
      <c r="C31" s="18" t="s">
        <v>195</v>
      </c>
      <c r="D31" s="18" t="s">
        <v>196</v>
      </c>
      <c r="E31" s="18" t="s">
        <v>196</v>
      </c>
      <c r="F31" s="18" t="s">
        <v>196</v>
      </c>
      <c r="G31" s="18" t="s">
        <v>196</v>
      </c>
      <c r="H31" s="18" t="s">
        <v>196</v>
      </c>
      <c r="I31" s="18" t="s">
        <v>196</v>
      </c>
      <c r="J31" s="18" t="s">
        <v>196</v>
      </c>
      <c r="K31" s="18" t="s">
        <v>196</v>
      </c>
      <c r="L31" s="18" t="s">
        <v>197</v>
      </c>
      <c r="M31" s="18" t="s">
        <v>196</v>
      </c>
      <c r="N31" s="18" t="s">
        <v>196</v>
      </c>
      <c r="O31" s="18" t="s">
        <v>198</v>
      </c>
      <c r="P31" s="18" t="s">
        <v>199</v>
      </c>
      <c r="Q31" s="18" t="s">
        <v>198</v>
      </c>
      <c r="R31" s="18" t="s">
        <v>198</v>
      </c>
      <c r="S31" s="18" t="s">
        <v>198</v>
      </c>
      <c r="T31" s="18" t="s">
        <v>198</v>
      </c>
      <c r="U31" s="18" t="s">
        <v>198</v>
      </c>
      <c r="V31" s="18" t="s">
        <v>198</v>
      </c>
      <c r="W31" s="18" t="s">
        <v>199</v>
      </c>
      <c r="X31" s="18" t="s">
        <v>151</v>
      </c>
      <c r="Y31" s="18" t="s">
        <v>200</v>
      </c>
      <c r="Z31" s="18" t="s">
        <v>155</v>
      </c>
      <c r="AA31" s="18" t="s">
        <v>201</v>
      </c>
      <c r="AB31" s="18" t="s">
        <v>201</v>
      </c>
      <c r="AC31" s="18" t="s">
        <v>201</v>
      </c>
      <c r="AD31" s="18" t="s">
        <v>201</v>
      </c>
      <c r="AE31" s="18" t="s">
        <v>201</v>
      </c>
      <c r="AF31" s="18" t="s">
        <v>201</v>
      </c>
      <c r="AG31" s="18" t="s">
        <v>201</v>
      </c>
      <c r="AH31" s="18" t="s">
        <v>199</v>
      </c>
      <c r="AI31" s="18" t="s">
        <v>199</v>
      </c>
      <c r="AJ31" s="18" t="s">
        <v>199</v>
      </c>
      <c r="AK31" s="18" t="s">
        <v>202</v>
      </c>
      <c r="AL31" s="18" t="s">
        <v>203</v>
      </c>
      <c r="AM31" s="18" t="s">
        <v>199</v>
      </c>
      <c r="AN31" s="18" t="s">
        <v>199</v>
      </c>
      <c r="AO31" s="18" t="s">
        <v>199</v>
      </c>
      <c r="AP31" s="18" t="s">
        <v>199</v>
      </c>
      <c r="AQ31" s="18" t="s">
        <v>203</v>
      </c>
      <c r="AR31" s="18" t="s">
        <v>202</v>
      </c>
      <c r="AS31" s="18" t="s">
        <v>202</v>
      </c>
      <c r="AT31" s="18" t="s">
        <v>202</v>
      </c>
      <c r="AU31" s="18" t="s">
        <v>202</v>
      </c>
      <c r="AV31" s="18" t="s">
        <v>204</v>
      </c>
      <c r="AW31" s="18" t="s">
        <v>204</v>
      </c>
      <c r="AX31" s="18" t="s">
        <v>204</v>
      </c>
      <c r="AY31" s="18" t="s">
        <v>169</v>
      </c>
      <c r="AZ31" s="18" t="s">
        <v>171</v>
      </c>
      <c r="BA31" s="18" t="s">
        <v>205</v>
      </c>
      <c r="BB31" s="18" t="s">
        <v>206</v>
      </c>
      <c r="BC31" s="18" t="s">
        <v>205</v>
      </c>
      <c r="BD31" s="18" t="s">
        <v>207</v>
      </c>
      <c r="BE31" s="18" t="s">
        <v>207</v>
      </c>
      <c r="BF31" s="18" t="s">
        <v>207</v>
      </c>
      <c r="BG31" s="18" t="s">
        <v>207</v>
      </c>
      <c r="BH31" s="18" t="s">
        <v>208</v>
      </c>
      <c r="BI31" s="18" t="s">
        <v>207</v>
      </c>
      <c r="BJ31" s="18" t="s">
        <v>209</v>
      </c>
      <c r="BK31" s="18" t="s">
        <v>152</v>
      </c>
      <c r="BL31" s="18" t="s">
        <v>210</v>
      </c>
      <c r="BM31" s="18" t="s">
        <v>211</v>
      </c>
      <c r="BN31" s="18" t="s">
        <v>210</v>
      </c>
      <c r="BO31" s="18" t="s">
        <v>210</v>
      </c>
      <c r="BP31" s="18" t="s">
        <v>210</v>
      </c>
      <c r="BQ31" s="18" t="s">
        <v>206</v>
      </c>
      <c r="BR31" s="18" t="s">
        <v>212</v>
      </c>
      <c r="BS31" s="18" t="s">
        <v>206</v>
      </c>
      <c r="BT31" s="18" t="s">
        <v>211</v>
      </c>
      <c r="BU31" s="18" t="s">
        <v>211</v>
      </c>
      <c r="BV31" s="18" t="s">
        <v>211</v>
      </c>
      <c r="BW31" s="18" t="s">
        <v>213</v>
      </c>
      <c r="BX31" s="18" t="s">
        <v>214</v>
      </c>
      <c r="BY31" s="18" t="s">
        <v>215</v>
      </c>
      <c r="BZ31" s="18" t="s">
        <v>216</v>
      </c>
      <c r="CA31" s="18" t="s">
        <v>207</v>
      </c>
      <c r="CB31" s="18" t="s">
        <v>179</v>
      </c>
      <c r="CC31" s="18" t="s">
        <v>207</v>
      </c>
      <c r="CD31" s="18" t="s">
        <v>216</v>
      </c>
      <c r="CE31" s="18" t="s">
        <v>207</v>
      </c>
      <c r="CF31" s="18" t="s">
        <v>179</v>
      </c>
      <c r="CG31" s="18" t="s">
        <v>179</v>
      </c>
      <c r="CH31" s="18" t="s">
        <v>179</v>
      </c>
      <c r="CI31" s="18" t="s">
        <v>207</v>
      </c>
      <c r="CJ31" s="18" t="s">
        <v>217</v>
      </c>
      <c r="CK31" s="18" t="s">
        <v>157</v>
      </c>
      <c r="CL31" s="18" t="s">
        <v>218</v>
      </c>
      <c r="CM31" s="18" t="s">
        <v>157</v>
      </c>
      <c r="CN31" s="18" t="s">
        <v>207</v>
      </c>
      <c r="CO31" s="18" t="s">
        <v>219</v>
      </c>
      <c r="CP31" s="18" t="s">
        <v>219</v>
      </c>
      <c r="CQ31" s="18" t="s">
        <v>175</v>
      </c>
      <c r="CR31" s="18" t="s">
        <v>219</v>
      </c>
      <c r="CS31" s="18" t="s">
        <v>207</v>
      </c>
      <c r="CT31" s="18" t="s">
        <v>175</v>
      </c>
      <c r="CU31" s="18" t="s">
        <v>175</v>
      </c>
      <c r="CV31" s="18" t="s">
        <v>175</v>
      </c>
      <c r="CW31" s="18" t="s">
        <v>175</v>
      </c>
      <c r="CX31" s="18" t="s">
        <v>209</v>
      </c>
      <c r="CY31" s="18" t="s">
        <v>220</v>
      </c>
      <c r="CZ31" s="18" t="s">
        <v>209</v>
      </c>
      <c r="DA31" s="18" t="s">
        <v>207</v>
      </c>
      <c r="DB31" s="18" t="s">
        <v>207</v>
      </c>
      <c r="DC31" s="18" t="s">
        <v>220</v>
      </c>
      <c r="DD31" s="18" t="s">
        <v>207</v>
      </c>
      <c r="DE31" s="18" t="s">
        <v>220</v>
      </c>
      <c r="DF31" s="18" t="s">
        <v>220</v>
      </c>
      <c r="DG31" s="18" t="s">
        <v>220</v>
      </c>
      <c r="DH31" s="18" t="s">
        <v>207</v>
      </c>
      <c r="DI31" s="18" t="s">
        <v>207</v>
      </c>
      <c r="DJ31" s="18" t="s">
        <v>221</v>
      </c>
      <c r="DK31" s="18" t="s">
        <v>206</v>
      </c>
      <c r="DL31" s="18" t="s">
        <v>147</v>
      </c>
      <c r="DM31" s="18" t="s">
        <v>147</v>
      </c>
      <c r="DN31" s="18" t="s">
        <v>147</v>
      </c>
      <c r="DO31" s="18" t="s">
        <v>183</v>
      </c>
      <c r="DP31" s="18" t="s">
        <v>147</v>
      </c>
      <c r="DQ31" s="18" t="s">
        <v>183</v>
      </c>
      <c r="DR31" s="18" t="s">
        <v>209</v>
      </c>
      <c r="DS31" s="18" t="s">
        <v>222</v>
      </c>
      <c r="DT31" s="18" t="s">
        <v>223</v>
      </c>
      <c r="DU31" s="18" t="s">
        <v>207</v>
      </c>
      <c r="DV31" s="18" t="s">
        <v>183</v>
      </c>
      <c r="DW31" s="18" t="s">
        <v>207</v>
      </c>
      <c r="DX31" s="18" t="s">
        <v>183</v>
      </c>
      <c r="DY31" s="18" t="s">
        <v>183</v>
      </c>
      <c r="DZ31" s="18" t="s">
        <v>183</v>
      </c>
      <c r="EA31" s="18" t="s">
        <v>207</v>
      </c>
      <c r="EB31" s="18" t="s">
        <v>207</v>
      </c>
      <c r="EC31" s="18" t="s">
        <v>207</v>
      </c>
      <c r="ED31" s="18" t="s">
        <v>207</v>
      </c>
      <c r="EE31" s="18" t="s">
        <v>207</v>
      </c>
      <c r="EF31" s="18" t="s">
        <v>207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6"/>
  <sheetViews>
    <sheetView topLeftCell="DV1" zoomScale="150" zoomScaleNormal="85" workbookViewId="0">
      <selection activeCell="EI11" sqref="EI11:EI24"/>
    </sheetView>
  </sheetViews>
  <sheetFormatPr baseColWidth="10" defaultColWidth="8.83203125" defaultRowHeight="15"/>
  <sheetData>
    <row r="1" spans="1:139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9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9">
      <c r="A3" s="1"/>
      <c r="B3" s="2" t="s">
        <v>136</v>
      </c>
      <c r="C3" s="11">
        <v>-9.1369017958641052E-2</v>
      </c>
      <c r="D3" s="11">
        <v>-0.1108541637659073</v>
      </c>
      <c r="E3" s="11">
        <v>1.095622777938843E-3</v>
      </c>
      <c r="F3" s="11">
        <v>-0.13442955911159521</v>
      </c>
      <c r="G3" s="11">
        <v>-0.1746680736541748</v>
      </c>
      <c r="H3" s="11">
        <v>5.4118875414133072E-3</v>
      </c>
      <c r="I3" s="11">
        <v>-3.5852931439876563E-2</v>
      </c>
      <c r="J3" s="11">
        <v>-7.7711276710033417E-2</v>
      </c>
      <c r="K3" s="11">
        <v>-1.449720188975334E-2</v>
      </c>
      <c r="L3" s="11">
        <v>-4.7656506299972527E-2</v>
      </c>
      <c r="M3" s="11">
        <v>-5.7244118303060532E-2</v>
      </c>
      <c r="N3" s="11">
        <v>2.682022750377655E-5</v>
      </c>
      <c r="O3" s="11">
        <v>-3.0116423964500431E-2</v>
      </c>
      <c r="P3" s="11">
        <v>-4.0258027613162987E-2</v>
      </c>
      <c r="Q3" s="11">
        <v>3.7178266793489461E-3</v>
      </c>
      <c r="R3" s="11">
        <v>2.9201550409197811E-2</v>
      </c>
      <c r="S3" s="11">
        <v>7.7254641801118851E-3</v>
      </c>
      <c r="T3" s="11">
        <v>-5.8597654104232788E-2</v>
      </c>
      <c r="U3" s="11">
        <v>6.510857492685318E-4</v>
      </c>
      <c r="V3" s="11">
        <v>-0.107098214328289</v>
      </c>
      <c r="W3" s="11">
        <v>-0.19089989364147189</v>
      </c>
      <c r="X3" s="11">
        <v>-7.1200095117092133E-2</v>
      </c>
      <c r="Y3" s="11">
        <v>-0.1000832766294479</v>
      </c>
      <c r="Z3" s="11">
        <v>-4.923209547996521E-2</v>
      </c>
      <c r="AA3" s="11">
        <v>-2.046559751033783E-2</v>
      </c>
      <c r="AB3" s="11">
        <v>-6.9066941738128662E-2</v>
      </c>
      <c r="AC3" s="11">
        <v>-5.033314973115921E-2</v>
      </c>
      <c r="AD3" s="11">
        <v>-1.914726942777634E-2</v>
      </c>
      <c r="AE3" s="11">
        <v>-1.0799495503306391E-2</v>
      </c>
      <c r="AF3" s="11">
        <v>1.033585891127586E-2</v>
      </c>
      <c r="AG3" s="11">
        <v>6.015850231051445E-3</v>
      </c>
      <c r="AH3" s="11">
        <v>-0.26610976457595831</v>
      </c>
      <c r="AI3" s="11">
        <v>-0.14365202188491821</v>
      </c>
      <c r="AJ3" s="11">
        <v>-0.25451940298080439</v>
      </c>
      <c r="AK3" s="11">
        <v>2.8104119002819061E-2</v>
      </c>
      <c r="AL3" s="11">
        <v>-5.1742583513259888E-2</v>
      </c>
      <c r="AM3" s="11">
        <v>-8.2977190613746643E-2</v>
      </c>
      <c r="AN3" s="11">
        <v>-7.0350959897041321E-2</v>
      </c>
      <c r="AO3" s="11">
        <v>-0.1968108415603638</v>
      </c>
      <c r="AP3" s="11">
        <v>-0.25679254531860352</v>
      </c>
      <c r="AQ3" s="11">
        <v>-5.9776842594146729E-2</v>
      </c>
      <c r="AR3" s="11">
        <v>-4.1728809475898743E-2</v>
      </c>
      <c r="AS3" s="11">
        <v>-8.1946820020675659E-2</v>
      </c>
      <c r="AT3" s="11">
        <v>-0.13346004486083979</v>
      </c>
      <c r="AU3" s="11">
        <v>3.601998090744019E-3</v>
      </c>
      <c r="AV3" s="11">
        <v>7.9997703433036804E-3</v>
      </c>
      <c r="AW3" s="11">
        <v>2.431571483612061E-3</v>
      </c>
      <c r="AX3" s="11">
        <v>1.277367025613785E-2</v>
      </c>
      <c r="AY3" s="11">
        <v>2.707108855247498E-3</v>
      </c>
      <c r="AZ3" s="11">
        <v>1.4640374109148979E-2</v>
      </c>
      <c r="BA3" s="11">
        <v>3.6530185490846627E-2</v>
      </c>
      <c r="BB3" s="11">
        <v>3.3319383859634399E-2</v>
      </c>
      <c r="BC3" s="11">
        <v>1.1332087218761441E-2</v>
      </c>
      <c r="BD3" s="11">
        <v>-7.7839195728302002E-4</v>
      </c>
      <c r="BE3" s="11">
        <v>-1.704639196395874E-2</v>
      </c>
      <c r="BF3" s="11">
        <v>-2.8747007250785831E-2</v>
      </c>
      <c r="BG3" s="11">
        <v>-3.7359297275543209E-3</v>
      </c>
      <c r="BH3" s="11">
        <v>3.0615001916885379E-2</v>
      </c>
      <c r="BI3" s="11">
        <v>-1.3157427310943599E-3</v>
      </c>
      <c r="BJ3" s="11">
        <v>-6.5720930695533752E-2</v>
      </c>
      <c r="BK3" s="11">
        <v>-4.0063485503196723E-2</v>
      </c>
      <c r="BL3" s="11">
        <v>-8.8971659541130066E-2</v>
      </c>
      <c r="BM3" s="11">
        <v>-2.1720856428146359E-2</v>
      </c>
      <c r="BN3" s="11">
        <v>-6.8609192967414856E-2</v>
      </c>
      <c r="BO3" s="11">
        <v>-5.5181741714477539E-2</v>
      </c>
      <c r="BP3" s="11">
        <v>-8.5352331399917603E-2</v>
      </c>
      <c r="BQ3" s="11">
        <v>-3.6593899130821228E-2</v>
      </c>
      <c r="BR3" s="11">
        <v>3.5782556980848312E-2</v>
      </c>
      <c r="BS3" s="11">
        <v>3.381897509098053E-2</v>
      </c>
      <c r="BT3" s="11">
        <v>3.7881385535001748E-2</v>
      </c>
      <c r="BU3" s="11">
        <v>3.3238206058740623E-2</v>
      </c>
      <c r="BV3" s="11">
        <v>4.6295918524265289E-2</v>
      </c>
      <c r="BW3" s="11">
        <v>3.5180661827325821E-2</v>
      </c>
      <c r="BX3" s="11">
        <v>2.4767490103840831E-2</v>
      </c>
      <c r="BY3" s="11">
        <v>3.3294945955276489E-2</v>
      </c>
      <c r="BZ3" s="11">
        <v>5.243389680981636E-2</v>
      </c>
      <c r="CA3" s="11">
        <v>4.8576407134532928E-3</v>
      </c>
      <c r="CB3" s="11">
        <v>3.7053938955068588E-2</v>
      </c>
      <c r="CC3" s="11">
        <v>2.6344805955886841E-2</v>
      </c>
      <c r="CD3" s="11">
        <v>3.6022435873746872E-2</v>
      </c>
      <c r="CE3" s="11">
        <v>2.6176232844591141E-2</v>
      </c>
      <c r="CF3" s="11">
        <v>1.8041616305708889E-2</v>
      </c>
      <c r="CG3" s="11">
        <v>1.433759741485119E-2</v>
      </c>
      <c r="CH3" s="11">
        <v>1.081309281289577E-2</v>
      </c>
      <c r="CI3" s="11">
        <v>9.3775922432541847E-3</v>
      </c>
      <c r="CJ3" s="11">
        <v>3.1418859958648682E-2</v>
      </c>
      <c r="CK3" s="11">
        <v>2.9902642592787739E-2</v>
      </c>
      <c r="CL3" s="11">
        <v>2.813007682561874E-2</v>
      </c>
      <c r="CM3" s="11">
        <v>1.7964363098144531E-2</v>
      </c>
      <c r="CN3" s="11">
        <v>6.8069854751229286E-3</v>
      </c>
      <c r="CO3" s="11">
        <v>4.2052153497934341E-2</v>
      </c>
      <c r="CP3" s="11">
        <v>3.3009041100740433E-2</v>
      </c>
      <c r="CQ3" s="11">
        <v>2.371090650558472E-2</v>
      </c>
      <c r="CR3" s="11">
        <v>2.6173286139965061E-2</v>
      </c>
      <c r="CS3" s="11">
        <v>1.9619772210717201E-2</v>
      </c>
      <c r="CT3" s="11">
        <v>1.4876773580908781E-2</v>
      </c>
      <c r="CU3" s="11">
        <v>4.0978025645017617E-2</v>
      </c>
      <c r="CV3" s="11">
        <v>3.9532899856567383E-2</v>
      </c>
      <c r="CW3" s="11">
        <v>2.4221045896410939E-2</v>
      </c>
      <c r="CX3" s="11">
        <v>4.2955689132213593E-2</v>
      </c>
      <c r="CY3" s="11">
        <v>2.8871554881334301E-2</v>
      </c>
      <c r="CZ3" s="11">
        <v>4.7397840768098831E-2</v>
      </c>
      <c r="DA3" s="11">
        <v>2.8573086485266689E-2</v>
      </c>
      <c r="DB3" s="11">
        <v>2.5090832263231281E-2</v>
      </c>
      <c r="DC3" s="11">
        <v>2.0950637757778171E-2</v>
      </c>
      <c r="DD3" s="11">
        <v>2.0789520815014839E-2</v>
      </c>
      <c r="DE3" s="11">
        <v>3.3207852393388748E-2</v>
      </c>
      <c r="DF3" s="11">
        <v>2.975026331841946E-2</v>
      </c>
      <c r="DG3" s="11">
        <v>1.9087659195065498E-2</v>
      </c>
      <c r="DH3" s="11">
        <v>2.3787431418895721E-2</v>
      </c>
      <c r="DI3" s="11">
        <v>1.9194494932889938E-2</v>
      </c>
      <c r="DJ3" s="11">
        <v>3.5664934664964683E-2</v>
      </c>
      <c r="DK3" s="11">
        <v>3.7067931145429611E-2</v>
      </c>
      <c r="DL3" s="11">
        <v>2.47370321303606E-2</v>
      </c>
      <c r="DM3" s="11">
        <v>3.1437266618013382E-2</v>
      </c>
      <c r="DN3" s="11">
        <v>2.590093947947025E-2</v>
      </c>
      <c r="DO3" s="11">
        <v>2.2398050874471661E-2</v>
      </c>
      <c r="DP3" s="11">
        <v>1.9147077575325969E-2</v>
      </c>
      <c r="DQ3" s="11">
        <v>2.4746008217334751E-2</v>
      </c>
      <c r="DR3" s="11">
        <v>3.8861591368913651E-2</v>
      </c>
      <c r="DS3" s="11">
        <v>2.9537344351410869E-2</v>
      </c>
      <c r="DT3" s="11">
        <v>3.6585744470357888E-2</v>
      </c>
      <c r="DU3" s="11">
        <v>1.0436186566948891E-2</v>
      </c>
      <c r="DV3" s="11">
        <v>1.354960352182388E-2</v>
      </c>
      <c r="DW3" s="11">
        <v>3.0600432306528091E-2</v>
      </c>
      <c r="DX3" s="11">
        <v>3.076322935521603E-2</v>
      </c>
      <c r="DY3" s="11">
        <v>2.6879474520683289E-2</v>
      </c>
      <c r="DZ3" s="11">
        <v>3.8272425532341003E-2</v>
      </c>
      <c r="EA3" s="11">
        <v>3.7800624966621399E-2</v>
      </c>
      <c r="EB3" s="11">
        <v>9.2485006898641586E-3</v>
      </c>
      <c r="EC3" s="11">
        <v>1.0824577882885929E-2</v>
      </c>
      <c r="ED3" s="11">
        <v>3.1915292143821723E-2</v>
      </c>
      <c r="EE3" s="11">
        <v>1.992469280958176E-2</v>
      </c>
      <c r="EF3" s="11">
        <v>3.6655358970165253E-2</v>
      </c>
    </row>
    <row r="4" spans="1:139">
      <c r="A4" s="1"/>
      <c r="B4" s="2" t="s">
        <v>137</v>
      </c>
      <c r="C4" s="11">
        <v>4.5735888183116913E-2</v>
      </c>
      <c r="D4" s="11">
        <v>0.1421964764595032</v>
      </c>
      <c r="E4" s="11">
        <v>0.12357825040817259</v>
      </c>
      <c r="F4" s="11">
        <v>0.10848225653171539</v>
      </c>
      <c r="G4" s="11">
        <v>9.5342576503753662E-2</v>
      </c>
      <c r="H4" s="11">
        <v>9.0842671692371368E-2</v>
      </c>
      <c r="I4" s="11">
        <v>7.6174549758434296E-2</v>
      </c>
      <c r="J4" s="11">
        <v>5.9771746397018433E-2</v>
      </c>
      <c r="K4" s="11">
        <v>6.8689219653606415E-2</v>
      </c>
      <c r="L4" s="11">
        <v>6.0447685420513153E-2</v>
      </c>
      <c r="M4" s="11">
        <v>2.7975643053650859E-2</v>
      </c>
      <c r="N4" s="11">
        <v>9.7275795415043831E-3</v>
      </c>
      <c r="O4" s="11">
        <v>9.3574635684490204E-3</v>
      </c>
      <c r="P4" s="11">
        <v>-1.796905649825931E-3</v>
      </c>
      <c r="Q4" s="11">
        <v>-2.5195966009050612E-3</v>
      </c>
      <c r="R4" s="11">
        <v>-3.085714997723699E-3</v>
      </c>
      <c r="S4" s="11">
        <v>-3.105835290625691E-3</v>
      </c>
      <c r="T4" s="11">
        <v>-4.2619518935680389E-3</v>
      </c>
      <c r="U4" s="11">
        <v>-9.374961256980896E-3</v>
      </c>
      <c r="V4" s="11">
        <v>-1.153737679123878E-2</v>
      </c>
      <c r="W4" s="11">
        <v>-1.192781608551741E-2</v>
      </c>
      <c r="X4" s="11">
        <v>-1.2192427180707449E-2</v>
      </c>
      <c r="Y4" s="11">
        <v>-1.5751872211694721E-2</v>
      </c>
      <c r="Z4" s="11">
        <v>-1.7309032380580899E-2</v>
      </c>
      <c r="AA4" s="11">
        <v>-1.7488019540905949E-2</v>
      </c>
      <c r="AB4" s="11">
        <v>-1.846657320857048E-2</v>
      </c>
      <c r="AC4" s="11">
        <v>-1.864372193813324E-2</v>
      </c>
      <c r="AD4" s="11">
        <v>-1.8953690305352211E-2</v>
      </c>
      <c r="AE4" s="11">
        <v>-1.921507716178894E-2</v>
      </c>
      <c r="AF4" s="11">
        <v>-2.0113235339522358E-2</v>
      </c>
      <c r="AG4" s="11">
        <v>-2.026095055043697E-2</v>
      </c>
      <c r="AH4" s="11">
        <v>-2.0400110632181171E-2</v>
      </c>
      <c r="AI4" s="11">
        <v>-2.257528901100159E-2</v>
      </c>
      <c r="AJ4" s="11">
        <v>-2.2869756445288662E-2</v>
      </c>
      <c r="AK4" s="11">
        <v>-2.3673111572861671E-2</v>
      </c>
      <c r="AL4" s="11">
        <v>-5.0100833177566528E-2</v>
      </c>
      <c r="AM4" s="11">
        <v>-2.9040023684501651E-2</v>
      </c>
      <c r="AN4" s="11">
        <v>-2.910598739981651E-2</v>
      </c>
      <c r="AO4" s="11">
        <v>-3.0611878260970119E-2</v>
      </c>
      <c r="AP4" s="11">
        <v>-3.0782695859670639E-2</v>
      </c>
      <c r="AQ4" s="11">
        <v>-2.7796577662229541E-2</v>
      </c>
      <c r="AR4" s="11">
        <v>-2.7182344347238541E-2</v>
      </c>
      <c r="AS4" s="11">
        <v>-2.4847416207194328E-2</v>
      </c>
      <c r="AT4" s="11">
        <v>-2.531261928379536E-2</v>
      </c>
      <c r="AU4" s="11">
        <v>-2.5429589673876759E-2</v>
      </c>
      <c r="AV4" s="11">
        <v>-2.5587804615497589E-2</v>
      </c>
      <c r="AW4" s="11">
        <v>-2.59556844830513E-2</v>
      </c>
      <c r="AX4" s="11">
        <v>-2.625242434442043E-2</v>
      </c>
      <c r="AY4" s="11">
        <v>-3.3910792320966721E-2</v>
      </c>
      <c r="AZ4" s="11">
        <v>-2.8038723394274712E-2</v>
      </c>
      <c r="BA4" s="11">
        <v>-2.7945993468165401E-2</v>
      </c>
      <c r="BB4" s="11">
        <v>-3.2719224691390991E-2</v>
      </c>
      <c r="BC4" s="11">
        <v>-3.2609779387712479E-2</v>
      </c>
      <c r="BD4" s="11">
        <v>-3.2060969620943069E-2</v>
      </c>
      <c r="BE4" s="11">
        <v>-3.2296057790517807E-2</v>
      </c>
      <c r="BF4" s="11">
        <v>-3.2346583902835853E-2</v>
      </c>
      <c r="BG4" s="11">
        <v>-3.2194517552852631E-2</v>
      </c>
      <c r="BH4" s="11">
        <v>-1.9704345613718029E-2</v>
      </c>
      <c r="BI4" s="11">
        <v>-2.780326642096043E-2</v>
      </c>
      <c r="BJ4" s="11">
        <v>-2.80107855796814E-2</v>
      </c>
      <c r="BK4" s="11">
        <v>-3.0229432508349419E-2</v>
      </c>
      <c r="BL4" s="11">
        <v>-2.991438657045364E-2</v>
      </c>
      <c r="BM4" s="11">
        <v>-3.1547844409942627E-2</v>
      </c>
      <c r="BN4" s="11">
        <v>-3.8578428328037262E-2</v>
      </c>
      <c r="BO4" s="11">
        <v>-2.9772218316793438E-2</v>
      </c>
      <c r="BP4" s="11">
        <v>-3.6932468414306641E-2</v>
      </c>
      <c r="BQ4" s="11">
        <v>-3.3658269792795181E-2</v>
      </c>
      <c r="BR4" s="11">
        <v>-1.1724528856575491E-2</v>
      </c>
      <c r="BS4" s="11">
        <v>-1.5890749171376228E-2</v>
      </c>
      <c r="BT4" s="11">
        <v>-2.0781641826033589E-2</v>
      </c>
      <c r="BU4" s="11">
        <v>-2.0965751260519031E-2</v>
      </c>
      <c r="BV4" s="11">
        <v>-1.7983367666602131E-2</v>
      </c>
      <c r="BW4" s="11">
        <v>-2.2088326513767239E-2</v>
      </c>
      <c r="BX4" s="11">
        <v>-3.0406095087528229E-2</v>
      </c>
      <c r="BY4" s="11">
        <v>-3.0804829671978951E-2</v>
      </c>
      <c r="BZ4" s="11">
        <v>-3.0603507533669468E-2</v>
      </c>
      <c r="CA4" s="11">
        <v>-3.099978901445866E-2</v>
      </c>
      <c r="CB4" s="11">
        <v>-2.641275338828564E-2</v>
      </c>
      <c r="CC4" s="11">
        <v>-2.8904115781188011E-2</v>
      </c>
      <c r="CD4" s="11">
        <v>-2.8219865635037419E-2</v>
      </c>
      <c r="CE4" s="11">
        <v>-2.8157502412796021E-2</v>
      </c>
      <c r="CF4" s="11">
        <v>-3.0116477981209751E-2</v>
      </c>
      <c r="CG4" s="11">
        <v>-3.000578656792641E-2</v>
      </c>
      <c r="CH4" s="11">
        <v>-3.004055842757225E-2</v>
      </c>
      <c r="CI4" s="11">
        <v>-3.1394515186548233E-2</v>
      </c>
      <c r="CJ4" s="11">
        <v>-3.1854711472988129E-2</v>
      </c>
      <c r="CK4" s="11">
        <v>-3.1971924006938927E-2</v>
      </c>
      <c r="CL4" s="11">
        <v>-3.5468246787786477E-2</v>
      </c>
      <c r="CM4" s="11">
        <v>-3.1219955533742901E-2</v>
      </c>
      <c r="CN4" s="11">
        <v>-3.586915135383606E-2</v>
      </c>
      <c r="CO4" s="11">
        <v>-3.1749378889799118E-2</v>
      </c>
      <c r="CP4" s="11">
        <v>-3.1618151813745499E-2</v>
      </c>
      <c r="CQ4" s="11">
        <v>-2.7020266279578209E-2</v>
      </c>
      <c r="CR4" s="11">
        <v>-2.5449879467487339E-2</v>
      </c>
      <c r="CS4" s="11">
        <v>-2.9090225696563721E-2</v>
      </c>
      <c r="CT4" s="11">
        <v>-2.5807581841945652E-2</v>
      </c>
      <c r="CU4" s="11">
        <v>-2.6407243683934212E-2</v>
      </c>
      <c r="CV4" s="11">
        <v>-2.782540954649448E-2</v>
      </c>
      <c r="CW4" s="11">
        <v>-3.4329790621995933E-2</v>
      </c>
      <c r="CX4" s="11">
        <v>-2.7993788942694661E-2</v>
      </c>
      <c r="CY4" s="11">
        <v>-2.6280265301465992E-2</v>
      </c>
      <c r="CZ4" s="11">
        <v>-2.7791231870651249E-2</v>
      </c>
      <c r="DA4" s="11">
        <v>-2.9591461643576619E-2</v>
      </c>
      <c r="DB4" s="11">
        <v>-3.4101340919733047E-2</v>
      </c>
      <c r="DC4" s="11">
        <v>-3.4843210130929947E-2</v>
      </c>
      <c r="DD4" s="11">
        <v>-3.2262604683637619E-2</v>
      </c>
      <c r="DE4" s="11">
        <v>-2.881589904427528E-2</v>
      </c>
      <c r="DF4" s="11">
        <v>-2.8322570025920871E-2</v>
      </c>
      <c r="DG4" s="11">
        <v>-2.6369631290435791E-2</v>
      </c>
      <c r="DH4" s="11">
        <v>-3.1315241008996957E-2</v>
      </c>
      <c r="DI4" s="11">
        <v>-2.9898226261138919E-2</v>
      </c>
      <c r="DJ4" s="11">
        <v>-2.9556438326835629E-2</v>
      </c>
      <c r="DK4" s="11">
        <v>-2.8653092682361599E-2</v>
      </c>
      <c r="DL4" s="11">
        <v>-2.926721982657909E-2</v>
      </c>
      <c r="DM4" s="11">
        <v>-2.9532833024859428E-2</v>
      </c>
      <c r="DN4" s="11">
        <v>-3.190428763628006E-2</v>
      </c>
      <c r="DO4" s="11">
        <v>-2.7400294318795201E-2</v>
      </c>
      <c r="DP4" s="11">
        <v>-3.3020105212926858E-2</v>
      </c>
      <c r="DQ4" s="11">
        <v>-2.694530226290226E-2</v>
      </c>
      <c r="DR4" s="11">
        <v>-2.806044556200504E-2</v>
      </c>
      <c r="DS4" s="11">
        <v>-2.7914209291338921E-2</v>
      </c>
      <c r="DT4" s="11">
        <v>-2.7555149048566822E-2</v>
      </c>
      <c r="DU4" s="11">
        <v>-2.540554478764534E-2</v>
      </c>
      <c r="DV4" s="11">
        <v>-2.6828791946172711E-2</v>
      </c>
      <c r="DW4" s="11">
        <v>-3.7095267325639718E-2</v>
      </c>
      <c r="DX4" s="11">
        <v>-2.7448661625385281E-2</v>
      </c>
      <c r="DY4" s="11">
        <v>-3.1317904591560357E-2</v>
      </c>
      <c r="DZ4" s="11">
        <v>-2.4290399625897411E-2</v>
      </c>
      <c r="EA4" s="11">
        <v>-8.3518818020820618E-2</v>
      </c>
      <c r="EB4" s="11">
        <v>-7.7344618737697601E-2</v>
      </c>
      <c r="EC4" s="11">
        <v>-7.0242889225482941E-2</v>
      </c>
      <c r="ED4" s="11">
        <v>-6.3896283507347107E-2</v>
      </c>
      <c r="EE4" s="11">
        <v>-9.7872823476791382E-2</v>
      </c>
      <c r="EF4" s="11">
        <v>-7.6828889548778534E-2</v>
      </c>
    </row>
    <row r="5" spans="1:139">
      <c r="A5" s="1"/>
      <c r="B5" s="2" t="s">
        <v>138</v>
      </c>
      <c r="C5" s="11">
        <v>0.50836324691772461</v>
      </c>
      <c r="D5" s="11">
        <v>0.76913774013519287</v>
      </c>
      <c r="E5" s="11">
        <v>0.54195535182952881</v>
      </c>
      <c r="F5" s="11">
        <v>1.1543282270431521</v>
      </c>
      <c r="G5" s="11">
        <v>0.54750555753707886</v>
      </c>
      <c r="H5" s="11">
        <v>0.91896617412567139</v>
      </c>
      <c r="I5" s="11">
        <v>0.66497212648391724</v>
      </c>
      <c r="J5" s="11">
        <v>0.96098613739013672</v>
      </c>
      <c r="K5" s="11">
        <v>1.069318890571594</v>
      </c>
      <c r="L5" s="11">
        <v>0.58301490545272827</v>
      </c>
      <c r="M5" s="11">
        <v>0.48336148262023931</v>
      </c>
      <c r="N5" s="11">
        <v>0.4335099458694458</v>
      </c>
      <c r="O5" s="11">
        <v>6.3416294753551483E-2</v>
      </c>
      <c r="P5" s="11">
        <v>3.3898822963237762E-2</v>
      </c>
      <c r="Q5" s="11">
        <v>-0.63935673236846924</v>
      </c>
      <c r="R5" s="11">
        <v>-5.0250470638275153E-2</v>
      </c>
      <c r="S5" s="11">
        <v>6.6091194748878479E-2</v>
      </c>
      <c r="T5" s="11">
        <v>-6.0526482760906219E-2</v>
      </c>
      <c r="U5" s="11">
        <v>-5.0881840288639069E-2</v>
      </c>
      <c r="V5" s="11">
        <v>0.12953431904315951</v>
      </c>
      <c r="W5" s="11">
        <v>0.1782713979482651</v>
      </c>
      <c r="X5" s="11">
        <v>0.22364641726017001</v>
      </c>
      <c r="Y5" s="11">
        <v>0.2607954740524292</v>
      </c>
      <c r="Z5" s="11">
        <v>0.17032516002655029</v>
      </c>
      <c r="AA5" s="11">
        <v>0.14871090650558469</v>
      </c>
      <c r="AB5" s="11">
        <v>0.13639476895332339</v>
      </c>
      <c r="AC5" s="11">
        <v>0.1064975261688232</v>
      </c>
      <c r="AD5" s="11">
        <v>0.1051289364695549</v>
      </c>
      <c r="AE5" s="11">
        <v>9.8157517611980438E-2</v>
      </c>
      <c r="AF5" s="11">
        <v>8.0513276159763336E-2</v>
      </c>
      <c r="AG5" s="11">
        <v>5.8855693787336349E-2</v>
      </c>
      <c r="AH5" s="11">
        <v>3.0879952013492581E-2</v>
      </c>
      <c r="AI5" s="11">
        <v>-1.261719036847353E-2</v>
      </c>
      <c r="AJ5" s="11">
        <v>4.1990965604782098E-2</v>
      </c>
      <c r="AK5" s="11">
        <v>7.5650393962860107E-2</v>
      </c>
      <c r="AL5" s="11">
        <v>6.6236443817615509E-2</v>
      </c>
      <c r="AM5" s="11">
        <v>3.2869942486286163E-2</v>
      </c>
      <c r="AN5" s="11">
        <v>3.6517307162284851E-2</v>
      </c>
      <c r="AO5" s="11">
        <v>6.8531297147274017E-2</v>
      </c>
      <c r="AP5" s="11">
        <v>6.5215103328227997E-2</v>
      </c>
      <c r="AQ5" s="11">
        <v>0.1400775462388992</v>
      </c>
      <c r="AR5" s="11">
        <v>0.16342324018478391</v>
      </c>
      <c r="AS5" s="11">
        <v>0.18792152404785159</v>
      </c>
      <c r="AT5" s="11">
        <v>0.19995155930519101</v>
      </c>
      <c r="AU5" s="11">
        <v>0.19402837753295901</v>
      </c>
      <c r="AV5" s="11">
        <v>0.15869356691837311</v>
      </c>
      <c r="AW5" s="11">
        <v>-3.568306565284729E-2</v>
      </c>
      <c r="AX5" s="11">
        <v>3.6226339638233178E-2</v>
      </c>
      <c r="AY5" s="11">
        <v>0.1132773458957672</v>
      </c>
      <c r="AZ5" s="11">
        <v>0.104707270860672</v>
      </c>
      <c r="BA5" s="11">
        <v>6.849505752325058E-2</v>
      </c>
      <c r="BB5" s="11">
        <v>-7.3811113834381104E-3</v>
      </c>
      <c r="BC5" s="11">
        <v>-3.7875480949878693E-2</v>
      </c>
      <c r="BD5" s="11">
        <v>-2.379884384572506E-2</v>
      </c>
      <c r="BE5" s="11">
        <v>1.822005026042461E-3</v>
      </c>
      <c r="BF5" s="11">
        <v>-2.3551452904939651E-2</v>
      </c>
      <c r="BG5" s="11">
        <v>5.2555324509739876E-4</v>
      </c>
      <c r="BH5" s="11">
        <v>5.9344802051782608E-2</v>
      </c>
      <c r="BI5" s="11">
        <v>1.4028729870915409E-2</v>
      </c>
      <c r="BJ5" s="11">
        <v>8.2117840647697449E-3</v>
      </c>
      <c r="BK5" s="11">
        <v>5.5602390319108963E-2</v>
      </c>
      <c r="BL5" s="11">
        <v>-3.1602058559656143E-2</v>
      </c>
      <c r="BM5" s="11">
        <v>6.5659098327159882E-2</v>
      </c>
      <c r="BN5" s="11">
        <v>-5.0475221127271652E-2</v>
      </c>
      <c r="BO5" s="11">
        <v>-5.4688155651092529E-2</v>
      </c>
      <c r="BP5" s="11">
        <v>-3.0284570530056949E-3</v>
      </c>
      <c r="BQ5" s="11">
        <v>7.9566333442926407E-3</v>
      </c>
      <c r="BR5" s="11">
        <v>-2.7654411271214489E-2</v>
      </c>
      <c r="BS5" s="11">
        <v>-6.0201874002814293E-3</v>
      </c>
      <c r="BT5" s="11">
        <v>4.3329164385795593E-2</v>
      </c>
      <c r="BU5" s="11">
        <v>4.8520129173994057E-2</v>
      </c>
      <c r="BV5" s="11">
        <v>0.14270420372486109</v>
      </c>
      <c r="BW5" s="11">
        <v>0.13052307069301611</v>
      </c>
      <c r="BX5" s="11">
        <v>5.2400790154933929E-2</v>
      </c>
      <c r="BY5" s="11">
        <v>6.0546338558197021E-2</v>
      </c>
      <c r="BZ5" s="11">
        <v>5.7873823679983616E-3</v>
      </c>
      <c r="CA5" s="11">
        <v>-2.9747102409601212E-2</v>
      </c>
      <c r="CB5" s="11">
        <v>-3.9389632642269128E-2</v>
      </c>
      <c r="CC5" s="11">
        <v>1.370896119624376E-2</v>
      </c>
      <c r="CD5" s="11">
        <v>1.4963460154831409E-2</v>
      </c>
      <c r="CE5" s="11">
        <v>1.9200652837753299E-2</v>
      </c>
      <c r="CF5" s="11">
        <v>4.381309449672699E-2</v>
      </c>
      <c r="CG5" s="11">
        <v>3.0113250017166141E-2</v>
      </c>
      <c r="CH5" s="11">
        <v>4.3025322258472443E-2</v>
      </c>
      <c r="CI5" s="11">
        <v>2.937228232622147E-2</v>
      </c>
      <c r="CJ5" s="11">
        <v>4.1782274842262268E-2</v>
      </c>
      <c r="CK5" s="11">
        <v>3.7300810217857361E-2</v>
      </c>
      <c r="CL5" s="11">
        <v>6.0941599309444427E-2</v>
      </c>
      <c r="CM5" s="11">
        <v>-3.8412053138017647E-2</v>
      </c>
      <c r="CN5" s="11">
        <v>2.307451143860817E-2</v>
      </c>
      <c r="CO5" s="11">
        <v>0.1589557081460953</v>
      </c>
      <c r="CP5" s="11">
        <v>-3.6965128034353263E-2</v>
      </c>
      <c r="CQ5" s="11">
        <v>6.9797366857528687E-2</v>
      </c>
      <c r="CR5" s="11">
        <v>-3.3767849206924438E-2</v>
      </c>
      <c r="CS5" s="11">
        <v>2.6915153488516811E-2</v>
      </c>
      <c r="CT5" s="11">
        <v>5.3638488054275513E-2</v>
      </c>
      <c r="CU5" s="11">
        <v>6.3532985746860504E-2</v>
      </c>
      <c r="CV5" s="11">
        <v>5.5906884372234338E-2</v>
      </c>
      <c r="CW5" s="11">
        <v>4.8717334866523743E-2</v>
      </c>
      <c r="CX5" s="11">
        <v>3.1909029930830002E-2</v>
      </c>
      <c r="CY5" s="11">
        <v>2.966258488595486E-2</v>
      </c>
      <c r="CZ5" s="11">
        <v>3.6755949258804321E-2</v>
      </c>
      <c r="DA5" s="11">
        <v>2.631759271025658E-2</v>
      </c>
      <c r="DB5" s="11">
        <v>2.7680350467562679E-2</v>
      </c>
      <c r="DC5" s="11">
        <v>3.7085290998220437E-2</v>
      </c>
      <c r="DD5" s="11">
        <v>1.9733298569917679E-2</v>
      </c>
      <c r="DE5" s="11">
        <v>4.1370406746864319E-2</v>
      </c>
      <c r="DF5" s="11">
        <v>4.0565907955169678E-2</v>
      </c>
      <c r="DG5" s="11">
        <v>3.3224057406187057E-2</v>
      </c>
      <c r="DH5" s="11">
        <v>2.4580571800470349E-2</v>
      </c>
      <c r="DI5" s="11">
        <v>-2.881684526801109E-2</v>
      </c>
      <c r="DJ5" s="11">
        <v>2.9332105070352551E-2</v>
      </c>
      <c r="DK5" s="11">
        <v>3.2709039747715003E-2</v>
      </c>
      <c r="DL5" s="11">
        <v>3.5447288304567337E-2</v>
      </c>
      <c r="DM5" s="11">
        <v>4.903421550989151E-2</v>
      </c>
      <c r="DN5" s="11">
        <v>-0.11219848692417141</v>
      </c>
      <c r="DO5" s="11">
        <v>5.3319718688726432E-2</v>
      </c>
      <c r="DP5" s="11">
        <v>5.3090192377567291E-2</v>
      </c>
      <c r="DQ5" s="11">
        <v>6.7249387502670288E-2</v>
      </c>
      <c r="DR5" s="11">
        <v>3.8297854363918298E-2</v>
      </c>
      <c r="DS5" s="11">
        <v>4.5268747955560677E-2</v>
      </c>
      <c r="DT5" s="11">
        <v>8.5754990577697754E-3</v>
      </c>
      <c r="DU5" s="11">
        <v>1.5342086553573611E-3</v>
      </c>
      <c r="DV5" s="11">
        <v>3.8169108331203461E-2</v>
      </c>
      <c r="DW5" s="11">
        <v>3.0193541198968891E-2</v>
      </c>
      <c r="DX5" s="11">
        <v>3.4144993871450417E-2</v>
      </c>
      <c r="DY5" s="11">
        <v>5.4498199373483658E-2</v>
      </c>
      <c r="DZ5" s="11">
        <v>4.3653316795825958E-2</v>
      </c>
      <c r="EA5" s="11">
        <v>2.1745305508375171E-2</v>
      </c>
      <c r="EB5" s="11">
        <v>6.247103214263916E-3</v>
      </c>
      <c r="EC5" s="11">
        <v>2.142295241355896E-2</v>
      </c>
      <c r="ED5" s="11">
        <v>1.7024625092744831E-2</v>
      </c>
      <c r="EE5" s="11">
        <v>5.3500138223171227E-2</v>
      </c>
      <c r="EF5" s="11">
        <v>5.7897597551345832E-2</v>
      </c>
    </row>
    <row r="6" spans="1:139">
      <c r="A6" s="2" t="s">
        <v>139</v>
      </c>
      <c r="B6" s="1"/>
      <c r="C6" s="11">
        <f t="array" ref="C6">MATCH(MAX(ABS(C3:C5)),ABS(C3:C5),0)</f>
        <v>3</v>
      </c>
      <c r="D6" s="11">
        <f t="array" ref="D6">MATCH(MAX(ABS(D3:D5)),ABS(D3:D5),0)</f>
        <v>3</v>
      </c>
      <c r="E6" s="11">
        <f t="array" ref="E6">MATCH(MAX(ABS(E3:E5)),ABS(E3:E5),0)</f>
        <v>3</v>
      </c>
      <c r="F6" s="11">
        <f t="array" ref="F6">MATCH(MAX(ABS(F3:F5)),ABS(F3:F5),0)</f>
        <v>3</v>
      </c>
      <c r="G6" s="11">
        <f t="array" ref="G6">MATCH(MAX(ABS(G3:G5)),ABS(G3:G5),0)</f>
        <v>3</v>
      </c>
      <c r="H6" s="11">
        <f t="array" ref="H6">MATCH(MAX(ABS(H3:H5)),ABS(H3:H5),0)</f>
        <v>3</v>
      </c>
      <c r="I6" s="11">
        <f t="array" ref="I6">MATCH(MAX(ABS(I3:I5)),ABS(I3:I5),0)</f>
        <v>3</v>
      </c>
      <c r="J6" s="11">
        <f t="array" ref="J6">MATCH(MAX(ABS(J3:J5)),ABS(J3:J5),0)</f>
        <v>3</v>
      </c>
      <c r="K6" s="11">
        <f t="array" ref="K6">MATCH(MAX(ABS(K3:K5)),ABS(K3:K5),0)</f>
        <v>3</v>
      </c>
      <c r="L6" s="11">
        <f t="array" ref="L6">MATCH(MAX(ABS(L3:L5)),ABS(L3:L5),0)</f>
        <v>3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1</v>
      </c>
      <c r="Q6" s="11">
        <f t="array" ref="Q6">MATCH(MAX(ABS(Q3:Q5)),ABS(Q3:Q5),0)</f>
        <v>3</v>
      </c>
      <c r="R6" s="11">
        <f t="array" ref="R6">MATCH(MAX(ABS(R3:R5)),ABS(R3:R5),0)</f>
        <v>3</v>
      </c>
      <c r="S6" s="11">
        <f t="array" ref="S6">MATCH(MAX(ABS(S3:S5)),ABS(S3:S5),0)</f>
        <v>3</v>
      </c>
      <c r="T6" s="11">
        <f t="array" ref="T6">MATCH(MAX(ABS(T3:T5)),ABS(T3:T5),0)</f>
        <v>3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1</v>
      </c>
      <c r="X6" s="11">
        <f t="array" ref="X6">MATCH(MAX(ABS(X3:X5)),ABS(X3:X5),0)</f>
        <v>3</v>
      </c>
      <c r="Y6" s="11">
        <f t="array" ref="Y6">MATCH(MAX(ABS(Y3:Y5)),ABS(Y3:Y5),0)</f>
        <v>3</v>
      </c>
      <c r="Z6" s="11">
        <f t="array" ref="Z6">MATCH(MAX(ABS(Z3:Z5)),ABS(Z3:Z5),0)</f>
        <v>3</v>
      </c>
      <c r="AA6" s="11">
        <f t="array" ref="AA6">MATCH(MAX(ABS(AA3:AA5)),ABS(AA3:AA5),0)</f>
        <v>3</v>
      </c>
      <c r="AB6" s="11">
        <f t="array" ref="AB6">MATCH(MAX(ABS(AB3:AB5)),ABS(AB3:AB5),0)</f>
        <v>3</v>
      </c>
      <c r="AC6" s="11">
        <f t="array" ref="AC6">MATCH(MAX(ABS(AC3:AC5)),ABS(AC3:AC5),0)</f>
        <v>3</v>
      </c>
      <c r="AD6" s="11">
        <f t="array" ref="AD6">MATCH(MAX(ABS(AD3:AD5)),ABS(AD3:AD5),0)</f>
        <v>3</v>
      </c>
      <c r="AE6" s="11">
        <f t="array" ref="AE6">MATCH(MAX(ABS(AE3:AE5)),ABS(AE3:AE5),0)</f>
        <v>3</v>
      </c>
      <c r="AF6" s="11">
        <f t="array" ref="AF6">MATCH(MAX(ABS(AF3:AF5)),ABS(AF3:AF5),0)</f>
        <v>3</v>
      </c>
      <c r="AG6" s="11">
        <f t="array" ref="AG6">MATCH(MAX(ABS(AG3:AG5)),ABS(AG3:AG5),0)</f>
        <v>3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3</v>
      </c>
      <c r="AL6" s="11">
        <f t="array" ref="AL6">MATCH(MAX(ABS(AL3:AL5)),ABS(AL3:AL5),0)</f>
        <v>3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3</v>
      </c>
      <c r="AR6" s="11">
        <f t="array" ref="AR6">MATCH(MAX(ABS(AR3:AR5)),ABS(AR3:AR5),0)</f>
        <v>3</v>
      </c>
      <c r="AS6" s="11">
        <f t="array" ref="AS6">MATCH(MAX(ABS(AS3:AS5)),ABS(AS3:AS5),0)</f>
        <v>3</v>
      </c>
      <c r="AT6" s="11">
        <f t="array" ref="AT6">MATCH(MAX(ABS(AT3:AT5)),ABS(AT3:AT5),0)</f>
        <v>3</v>
      </c>
      <c r="AU6" s="11">
        <f t="array" ref="AU6">MATCH(MAX(ABS(AU3:AU5)),ABS(AU3:AU5),0)</f>
        <v>3</v>
      </c>
      <c r="AV6" s="11">
        <f t="array" ref="AV6">MATCH(MAX(ABS(AV3:AV5)),ABS(AV3:AV5),0)</f>
        <v>3</v>
      </c>
      <c r="AW6" s="11">
        <f t="array" ref="AW6">MATCH(MAX(ABS(AW3:AW5)),ABS(AW3:AW5),0)</f>
        <v>3</v>
      </c>
      <c r="AX6" s="11">
        <f t="array" ref="AX6">MATCH(MAX(ABS(AX3:AX5)),ABS(AX3:AX5),0)</f>
        <v>3</v>
      </c>
      <c r="AY6" s="11">
        <f t="array" ref="AY6">MATCH(MAX(ABS(AY3:AY5)),ABS(AY3:AY5),0)</f>
        <v>3</v>
      </c>
      <c r="AZ6" s="11">
        <f t="array" ref="AZ6">MATCH(MAX(ABS(AZ3:AZ5)),ABS(AZ3:AZ5),0)</f>
        <v>3</v>
      </c>
      <c r="BA6" s="11">
        <f t="array" ref="BA6">MATCH(MAX(ABS(BA3:BA5)),ABS(BA3:BA5),0)</f>
        <v>3</v>
      </c>
      <c r="BB6" s="11">
        <f t="array" ref="BB6">MATCH(MAX(ABS(BB3:BB5)),ABS(BB3:BB5),0)</f>
        <v>1</v>
      </c>
      <c r="BC6" s="11">
        <f t="array" ref="BC6">MATCH(MAX(ABS(BC3:BC5)),ABS(BC3:BC5),0)</f>
        <v>3</v>
      </c>
      <c r="BD6" s="11">
        <f t="array" ref="BD6">MATCH(MAX(ABS(BD3:BD5)),ABS(BD3:BD5),0)</f>
        <v>2</v>
      </c>
      <c r="BE6" s="11">
        <f t="array" ref="BE6">MATCH(MAX(ABS(BE3:BE5)),ABS(BE3:BE5),0)</f>
        <v>2</v>
      </c>
      <c r="BF6" s="11">
        <f t="array" ref="BF6">MATCH(MAX(ABS(BF3:BF5)),ABS(BF3:BF5),0)</f>
        <v>2</v>
      </c>
      <c r="BG6" s="11">
        <f t="array" ref="BG6">MATCH(MAX(ABS(BG3:BG5)),ABS(BG3:BG5),0)</f>
        <v>2</v>
      </c>
      <c r="BH6" s="11">
        <f t="array" ref="BH6">MATCH(MAX(ABS(BH3:BH5)),ABS(BH3:BH5),0)</f>
        <v>3</v>
      </c>
      <c r="BI6" s="11">
        <f t="array" ref="BI6">MATCH(MAX(ABS(BI3:BI5)),ABS(BI3:BI5),0)</f>
        <v>2</v>
      </c>
      <c r="BJ6" s="11">
        <f t="array" ref="BJ6">MATCH(MAX(ABS(BJ3:BJ5)),ABS(BJ3:BJ5),0)</f>
        <v>1</v>
      </c>
      <c r="BK6" s="11">
        <f t="array" ref="BK6">MATCH(MAX(ABS(BK3:BK5)),ABS(BK3:BK5),0)</f>
        <v>3</v>
      </c>
      <c r="BL6" s="11">
        <f t="array" ref="BL6">MATCH(MAX(ABS(BL3:BL5)),ABS(BL3:BL5),0)</f>
        <v>1</v>
      </c>
      <c r="BM6" s="11">
        <f t="array" ref="BM6">MATCH(MAX(ABS(BM3:BM5)),ABS(BM3:BM5),0)</f>
        <v>3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1</v>
      </c>
      <c r="BT6" s="11">
        <f t="array" ref="BT6">MATCH(MAX(ABS(BT3:BT5)),ABS(BT3:BT5),0)</f>
        <v>3</v>
      </c>
      <c r="BU6" s="11">
        <f t="array" ref="BU6">MATCH(MAX(ABS(BU3:BU5)),ABS(BU3:BU5),0)</f>
        <v>3</v>
      </c>
      <c r="BV6" s="11">
        <f t="array" ref="BV6">MATCH(MAX(ABS(BV3:BV5)),ABS(BV3:BV5),0)</f>
        <v>3</v>
      </c>
      <c r="BW6" s="11">
        <f t="array" ref="BW6">MATCH(MAX(ABS(BW3:BW5)),ABS(BW3:BW5),0)</f>
        <v>3</v>
      </c>
      <c r="BX6" s="11">
        <f t="array" ref="BX6">MATCH(MAX(ABS(BX3:BX5)),ABS(BX3:BX5),0)</f>
        <v>3</v>
      </c>
      <c r="BY6" s="11">
        <f t="array" ref="BY6">MATCH(MAX(ABS(BY3:BY5)),ABS(BY3:BY5),0)</f>
        <v>3</v>
      </c>
      <c r="BZ6" s="11">
        <f t="array" ref="BZ6">MATCH(MAX(ABS(BZ3:BZ5)),ABS(BZ3:BZ5),0)</f>
        <v>1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2</v>
      </c>
      <c r="CD6" s="11">
        <f t="array" ref="CD6">MATCH(MAX(ABS(CD3:CD5)),ABS(CD3:CD5),0)</f>
        <v>1</v>
      </c>
      <c r="CE6" s="11">
        <f t="array" ref="CE6">MATCH(MAX(ABS(CE3:CE5)),ABS(CE3:CE5),0)</f>
        <v>2</v>
      </c>
      <c r="CF6" s="11">
        <f t="array" ref="CF6">MATCH(MAX(ABS(CF3:CF5)),ABS(CF3:CF5),0)</f>
        <v>3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2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3</v>
      </c>
      <c r="CN6" s="11">
        <f t="array" ref="CN6">MATCH(MAX(ABS(CN3:CN5)),ABS(CN3:CN5),0)</f>
        <v>2</v>
      </c>
      <c r="CO6" s="11">
        <f t="array" ref="CO6">MATCH(MAX(ABS(CO3:CO5)),ABS(CO3:CO5),0)</f>
        <v>3</v>
      </c>
      <c r="CP6" s="11">
        <f t="array" ref="CP6">MATCH(MAX(ABS(CP3:CP5)),ABS(CP3:CP5),0)</f>
        <v>3</v>
      </c>
      <c r="CQ6" s="11">
        <f t="array" ref="CQ6">MATCH(MAX(ABS(CQ3:CQ5)),ABS(CQ3:CQ5),0)</f>
        <v>3</v>
      </c>
      <c r="CR6" s="11">
        <f t="array" ref="CR6">MATCH(MAX(ABS(CR3:CR5)),ABS(CR3:CR5),0)</f>
        <v>3</v>
      </c>
      <c r="CS6" s="11">
        <f t="array" ref="CS6">MATCH(MAX(ABS(CS3:CS5)),ABS(CS3:CS5),0)</f>
        <v>2</v>
      </c>
      <c r="CT6" s="11">
        <f t="array" ref="CT6">MATCH(MAX(ABS(CT3:CT5)),ABS(CT3:CT5),0)</f>
        <v>3</v>
      </c>
      <c r="CU6" s="11">
        <f t="array" ref="CU6">MATCH(MAX(ABS(CU3:CU5)),ABS(CU3:CU5),0)</f>
        <v>3</v>
      </c>
      <c r="CV6" s="11">
        <f t="array" ref="CV6">MATCH(MAX(ABS(CV3:CV5)),ABS(CV3:CV5),0)</f>
        <v>3</v>
      </c>
      <c r="CW6" s="11">
        <f t="array" ref="CW6">MATCH(MAX(ABS(CW3:CW5)),ABS(CW3:CW5),0)</f>
        <v>3</v>
      </c>
      <c r="CX6" s="11">
        <f t="array" ref="CX6">MATCH(MAX(ABS(CX3:CX5)),ABS(CX3:CX5),0)</f>
        <v>1</v>
      </c>
      <c r="CY6" s="11">
        <f t="array" ref="CY6">MATCH(MAX(ABS(CY3:CY5)),ABS(CY3:CY5),0)</f>
        <v>3</v>
      </c>
      <c r="CZ6" s="11">
        <f t="array" ref="CZ6">MATCH(MAX(ABS(CZ3:CZ5)),ABS(CZ3:CZ5),0)</f>
        <v>1</v>
      </c>
      <c r="DA6" s="11">
        <f t="array" ref="DA6">MATCH(MAX(ABS(DA3:DA5)),ABS(DA3:DA5),0)</f>
        <v>2</v>
      </c>
      <c r="DB6" s="11">
        <f t="array" ref="DB6">MATCH(MAX(ABS(DB3:DB5)),ABS(DB3:DB5),0)</f>
        <v>2</v>
      </c>
      <c r="DC6" s="11">
        <f t="array" ref="DC6">MATCH(MAX(ABS(DC3:DC5)),ABS(DC3:DC5),0)</f>
        <v>3</v>
      </c>
      <c r="DD6" s="11">
        <f t="array" ref="DD6">MATCH(MAX(ABS(DD3:DD5)),ABS(DD3:DD5),0)</f>
        <v>2</v>
      </c>
      <c r="DE6" s="11">
        <f t="array" ref="DE6">MATCH(MAX(ABS(DE3:DE5)),ABS(DE3:DE5),0)</f>
        <v>3</v>
      </c>
      <c r="DF6" s="11">
        <f t="array" ref="DF6">MATCH(MAX(ABS(DF3:DF5)),ABS(DF3:DF5),0)</f>
        <v>3</v>
      </c>
      <c r="DG6" s="11">
        <f t="array" ref="DG6">MATCH(MAX(ABS(DG3:DG5)),ABS(DG3:DG5),0)</f>
        <v>3</v>
      </c>
      <c r="DH6" s="11">
        <f t="array" ref="DH6">MATCH(MAX(ABS(DH3:DH5)),ABS(DH3:DH5),0)</f>
        <v>2</v>
      </c>
      <c r="DI6" s="11">
        <f t="array" ref="DI6">MATCH(MAX(ABS(DI3:DI5)),ABS(DI3:DI5),0)</f>
        <v>2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3</v>
      </c>
      <c r="DM6" s="11">
        <f t="array" ref="DM6">MATCH(MAX(ABS(DM3:DM5)),ABS(DM3:DM5),0)</f>
        <v>3</v>
      </c>
      <c r="DN6" s="11">
        <f t="array" ref="DN6">MATCH(MAX(ABS(DN3:DN5)),ABS(DN3:DN5),0)</f>
        <v>3</v>
      </c>
      <c r="DO6" s="11">
        <f t="array" ref="DO6">MATCH(MAX(ABS(DO3:DO5)),ABS(DO3:DO5),0)</f>
        <v>3</v>
      </c>
      <c r="DP6" s="11">
        <f t="array" ref="DP6">MATCH(MAX(ABS(DP3:DP5)),ABS(DP3:DP5),0)</f>
        <v>3</v>
      </c>
      <c r="DQ6" s="11">
        <f t="array" ref="DQ6">MATCH(MAX(ABS(DQ3:DQ5)),ABS(DQ3:DQ5),0)</f>
        <v>3</v>
      </c>
      <c r="DR6" s="11">
        <f t="array" ref="DR6">MATCH(MAX(ABS(DR3:DR5)),ABS(DR3:DR5),0)</f>
        <v>1</v>
      </c>
      <c r="DS6" s="11">
        <f t="array" ref="DS6">MATCH(MAX(ABS(DS3:DS5)),ABS(DS3:DS5),0)</f>
        <v>3</v>
      </c>
      <c r="DT6" s="11">
        <f t="array" ref="DT6">MATCH(MAX(ABS(DT3:DT5)),ABS(DT3:DT5),0)</f>
        <v>1</v>
      </c>
      <c r="DU6" s="11">
        <f t="array" ref="DU6">MATCH(MAX(ABS(DU3:DU5)),ABS(DU3:DU5),0)</f>
        <v>2</v>
      </c>
      <c r="DV6" s="11">
        <f t="array" ref="DV6">MATCH(MAX(ABS(DV3:DV5)),ABS(DV3:DV5),0)</f>
        <v>3</v>
      </c>
      <c r="DW6" s="11">
        <f t="array" ref="DW6">MATCH(MAX(ABS(DW3:DW5)),ABS(DW3:DW5),0)</f>
        <v>2</v>
      </c>
      <c r="DX6" s="11">
        <f t="array" ref="DX6">MATCH(MAX(ABS(DX3:DX5)),ABS(DX3:DX5),0)</f>
        <v>3</v>
      </c>
      <c r="DY6" s="11">
        <f t="array" ref="DY6">MATCH(MAX(ABS(DY3:DY5)),ABS(DY3:DY5),0)</f>
        <v>3</v>
      </c>
      <c r="DZ6" s="11">
        <f t="array" ref="DZ6">MATCH(MAX(ABS(DZ3:DZ5)),ABS(DZ3:DZ5),0)</f>
        <v>3</v>
      </c>
      <c r="EA6" s="11">
        <f t="array" ref="EA6">MATCH(MAX(ABS(EA3:EA5)),ABS(EA3:EA5),0)</f>
        <v>2</v>
      </c>
      <c r="EB6" s="11">
        <f t="array" ref="EB6">MATCH(MAX(ABS(EB3:EB5)),ABS(EB3:EB5),0)</f>
        <v>2</v>
      </c>
      <c r="EC6" s="11">
        <f t="array" ref="EC6">MATCH(MAX(ABS(EC3:EC5)),ABS(EC3:EC5),0)</f>
        <v>2</v>
      </c>
      <c r="ED6" s="11">
        <f t="array" ref="ED6">MATCH(MAX(ABS(ED3:ED5)),ABS(ED3:ED5),0)</f>
        <v>2</v>
      </c>
      <c r="EE6" s="11">
        <f t="array" ref="EE6">MATCH(MAX(ABS(EE3:EE5)),ABS(EE3:EE5),0)</f>
        <v>2</v>
      </c>
      <c r="EF6" s="11">
        <f t="array" ref="EF6">MATCH(MAX(ABS(EF3:EF5)),ABS(EF3:EF5),0)</f>
        <v>2</v>
      </c>
    </row>
    <row r="7" spans="1:139">
      <c r="C7" s="12" t="str">
        <f t="shared" ref="C7:AH7" si="0">IF(C6=1,"bm",IF(C6=2,"size",IF(C6=3,"mom")))</f>
        <v>mom</v>
      </c>
      <c r="D7" s="12" t="str">
        <f t="shared" si="0"/>
        <v>mom</v>
      </c>
      <c r="E7" s="12" t="str">
        <f t="shared" si="0"/>
        <v>mom</v>
      </c>
      <c r="F7" s="12" t="str">
        <f t="shared" si="0"/>
        <v>mom</v>
      </c>
      <c r="G7" s="12" t="str">
        <f t="shared" si="0"/>
        <v>mom</v>
      </c>
      <c r="H7" s="12" t="str">
        <f t="shared" si="0"/>
        <v>mom</v>
      </c>
      <c r="I7" s="12" t="str">
        <f t="shared" si="0"/>
        <v>mom</v>
      </c>
      <c r="J7" s="12" t="str">
        <f t="shared" si="0"/>
        <v>mom</v>
      </c>
      <c r="K7" s="12" t="str">
        <f t="shared" si="0"/>
        <v>mom</v>
      </c>
      <c r="L7" s="12" t="str">
        <f t="shared" si="0"/>
        <v>mom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bm</v>
      </c>
      <c r="Q7" s="12" t="str">
        <f t="shared" si="0"/>
        <v>mom</v>
      </c>
      <c r="R7" s="12" t="str">
        <f t="shared" si="0"/>
        <v>mom</v>
      </c>
      <c r="S7" s="12" t="str">
        <f t="shared" si="0"/>
        <v>mom</v>
      </c>
      <c r="T7" s="12" t="str">
        <f t="shared" si="0"/>
        <v>mom</v>
      </c>
      <c r="U7" s="12" t="str">
        <f t="shared" si="0"/>
        <v>mom</v>
      </c>
      <c r="V7" s="12" t="str">
        <f t="shared" si="0"/>
        <v>mom</v>
      </c>
      <c r="W7" s="12" t="str">
        <f t="shared" si="0"/>
        <v>bm</v>
      </c>
      <c r="X7" s="12" t="str">
        <f t="shared" si="0"/>
        <v>mom</v>
      </c>
      <c r="Y7" s="12" t="str">
        <f t="shared" si="0"/>
        <v>mom</v>
      </c>
      <c r="Z7" s="12" t="str">
        <f t="shared" si="0"/>
        <v>mom</v>
      </c>
      <c r="AA7" s="12" t="str">
        <f t="shared" si="0"/>
        <v>mom</v>
      </c>
      <c r="AB7" s="12" t="str">
        <f t="shared" si="0"/>
        <v>mom</v>
      </c>
      <c r="AC7" s="12" t="str">
        <f t="shared" si="0"/>
        <v>mom</v>
      </c>
      <c r="AD7" s="12" t="str">
        <f t="shared" si="0"/>
        <v>mom</v>
      </c>
      <c r="AE7" s="12" t="str">
        <f t="shared" si="0"/>
        <v>mom</v>
      </c>
      <c r="AF7" s="12" t="str">
        <f t="shared" si="0"/>
        <v>mom</v>
      </c>
      <c r="AG7" s="12" t="str">
        <f t="shared" si="0"/>
        <v>mom</v>
      </c>
      <c r="AH7" s="12" t="str">
        <f t="shared" si="0"/>
        <v>bm</v>
      </c>
      <c r="AI7" s="12" t="str">
        <f t="shared" ref="AI7:BN7" si="1">IF(AI6=1,"bm",IF(AI6=2,"size",IF(AI6=3,"mom")))</f>
        <v>bm</v>
      </c>
      <c r="AJ7" s="12" t="str">
        <f t="shared" si="1"/>
        <v>bm</v>
      </c>
      <c r="AK7" s="12" t="str">
        <f t="shared" si="1"/>
        <v>mom</v>
      </c>
      <c r="AL7" s="12" t="str">
        <f t="shared" si="1"/>
        <v>mom</v>
      </c>
      <c r="AM7" s="12" t="str">
        <f t="shared" si="1"/>
        <v>bm</v>
      </c>
      <c r="AN7" s="12" t="str">
        <f t="shared" si="1"/>
        <v>bm</v>
      </c>
      <c r="AO7" s="12" t="str">
        <f t="shared" si="1"/>
        <v>bm</v>
      </c>
      <c r="AP7" s="12" t="str">
        <f t="shared" si="1"/>
        <v>bm</v>
      </c>
      <c r="AQ7" s="12" t="str">
        <f t="shared" si="1"/>
        <v>mom</v>
      </c>
      <c r="AR7" s="12" t="str">
        <f t="shared" si="1"/>
        <v>mom</v>
      </c>
      <c r="AS7" s="12" t="str">
        <f t="shared" si="1"/>
        <v>mom</v>
      </c>
      <c r="AT7" s="12" t="str">
        <f t="shared" si="1"/>
        <v>mom</v>
      </c>
      <c r="AU7" s="12" t="str">
        <f t="shared" si="1"/>
        <v>mom</v>
      </c>
      <c r="AV7" s="12" t="str">
        <f t="shared" si="1"/>
        <v>mom</v>
      </c>
      <c r="AW7" s="12" t="str">
        <f t="shared" si="1"/>
        <v>mom</v>
      </c>
      <c r="AX7" s="12" t="str">
        <f t="shared" si="1"/>
        <v>mom</v>
      </c>
      <c r="AY7" s="12" t="str">
        <f t="shared" si="1"/>
        <v>mom</v>
      </c>
      <c r="AZ7" s="12" t="str">
        <f t="shared" si="1"/>
        <v>mom</v>
      </c>
      <c r="BA7" s="12" t="str">
        <f t="shared" si="1"/>
        <v>mom</v>
      </c>
      <c r="BB7" s="12" t="str">
        <f t="shared" si="1"/>
        <v>bm</v>
      </c>
      <c r="BC7" s="12" t="str">
        <f t="shared" si="1"/>
        <v>mom</v>
      </c>
      <c r="BD7" s="12" t="str">
        <f t="shared" si="1"/>
        <v>size</v>
      </c>
      <c r="BE7" s="12" t="str">
        <f t="shared" si="1"/>
        <v>size</v>
      </c>
      <c r="BF7" s="12" t="str">
        <f t="shared" si="1"/>
        <v>size</v>
      </c>
      <c r="BG7" s="12" t="str">
        <f t="shared" si="1"/>
        <v>size</v>
      </c>
      <c r="BH7" s="12" t="str">
        <f t="shared" si="1"/>
        <v>mom</v>
      </c>
      <c r="BI7" s="12" t="str">
        <f t="shared" si="1"/>
        <v>size</v>
      </c>
      <c r="BJ7" s="12" t="str">
        <f t="shared" si="1"/>
        <v>bm</v>
      </c>
      <c r="BK7" s="12" t="str">
        <f t="shared" si="1"/>
        <v>mom</v>
      </c>
      <c r="BL7" s="12" t="str">
        <f t="shared" si="1"/>
        <v>bm</v>
      </c>
      <c r="BM7" s="12" t="str">
        <f t="shared" si="1"/>
        <v>mom</v>
      </c>
      <c r="BN7" s="12" t="str">
        <f t="shared" si="1"/>
        <v>bm</v>
      </c>
      <c r="BO7" s="12" t="str">
        <f t="shared" ref="BO7:CT7" si="2">IF(BO6=1,"bm",IF(BO6=2,"size",IF(BO6=3,"mom")))</f>
        <v>bm</v>
      </c>
      <c r="BP7" s="12" t="str">
        <f t="shared" si="2"/>
        <v>bm</v>
      </c>
      <c r="BQ7" s="12" t="str">
        <f t="shared" si="2"/>
        <v>bm</v>
      </c>
      <c r="BR7" s="12" t="str">
        <f t="shared" si="2"/>
        <v>bm</v>
      </c>
      <c r="BS7" s="12" t="str">
        <f t="shared" si="2"/>
        <v>bm</v>
      </c>
      <c r="BT7" s="12" t="str">
        <f t="shared" si="2"/>
        <v>mom</v>
      </c>
      <c r="BU7" s="12" t="str">
        <f t="shared" si="2"/>
        <v>mom</v>
      </c>
      <c r="BV7" s="12" t="str">
        <f t="shared" si="2"/>
        <v>mom</v>
      </c>
      <c r="BW7" s="12" t="str">
        <f t="shared" si="2"/>
        <v>mom</v>
      </c>
      <c r="BX7" s="12" t="str">
        <f t="shared" si="2"/>
        <v>mom</v>
      </c>
      <c r="BY7" s="12" t="str">
        <f t="shared" si="2"/>
        <v>mom</v>
      </c>
      <c r="BZ7" s="12" t="str">
        <f t="shared" si="2"/>
        <v>bm</v>
      </c>
      <c r="CA7" s="12" t="str">
        <f t="shared" si="2"/>
        <v>size</v>
      </c>
      <c r="CB7" s="12" t="str">
        <f t="shared" si="2"/>
        <v>mom</v>
      </c>
      <c r="CC7" s="12" t="str">
        <f t="shared" si="2"/>
        <v>size</v>
      </c>
      <c r="CD7" s="12" t="str">
        <f t="shared" si="2"/>
        <v>bm</v>
      </c>
      <c r="CE7" s="12" t="str">
        <f t="shared" si="2"/>
        <v>size</v>
      </c>
      <c r="CF7" s="12" t="str">
        <f t="shared" si="2"/>
        <v>mom</v>
      </c>
      <c r="CG7" s="12" t="str">
        <f t="shared" si="2"/>
        <v>mom</v>
      </c>
      <c r="CH7" s="12" t="str">
        <f t="shared" si="2"/>
        <v>mom</v>
      </c>
      <c r="CI7" s="12" t="str">
        <f t="shared" si="2"/>
        <v>size</v>
      </c>
      <c r="CJ7" s="12" t="str">
        <f t="shared" si="2"/>
        <v>mom</v>
      </c>
      <c r="CK7" s="12" t="str">
        <f t="shared" si="2"/>
        <v>mom</v>
      </c>
      <c r="CL7" s="12" t="str">
        <f t="shared" si="2"/>
        <v>mom</v>
      </c>
      <c r="CM7" s="12" t="str">
        <f t="shared" si="2"/>
        <v>mom</v>
      </c>
      <c r="CN7" s="12" t="str">
        <f t="shared" si="2"/>
        <v>size</v>
      </c>
      <c r="CO7" s="12" t="str">
        <f t="shared" si="2"/>
        <v>mom</v>
      </c>
      <c r="CP7" s="12" t="str">
        <f t="shared" si="2"/>
        <v>mom</v>
      </c>
      <c r="CQ7" s="12" t="str">
        <f t="shared" si="2"/>
        <v>mom</v>
      </c>
      <c r="CR7" s="12" t="str">
        <f t="shared" si="2"/>
        <v>mom</v>
      </c>
      <c r="CS7" s="12" t="str">
        <f t="shared" si="2"/>
        <v>size</v>
      </c>
      <c r="CT7" s="12" t="str">
        <f t="shared" si="2"/>
        <v>mom</v>
      </c>
      <c r="CU7" s="12" t="str">
        <f t="shared" ref="CU7:DZ7" si="3">IF(CU6=1,"bm",IF(CU6=2,"size",IF(CU6=3,"mom")))</f>
        <v>mom</v>
      </c>
      <c r="CV7" s="12" t="str">
        <f t="shared" si="3"/>
        <v>mom</v>
      </c>
      <c r="CW7" s="12" t="str">
        <f t="shared" si="3"/>
        <v>mom</v>
      </c>
      <c r="CX7" s="12" t="str">
        <f t="shared" si="3"/>
        <v>bm</v>
      </c>
      <c r="CY7" s="12" t="str">
        <f t="shared" si="3"/>
        <v>mom</v>
      </c>
      <c r="CZ7" s="12" t="str">
        <f t="shared" si="3"/>
        <v>bm</v>
      </c>
      <c r="DA7" s="12" t="str">
        <f t="shared" si="3"/>
        <v>size</v>
      </c>
      <c r="DB7" s="12" t="str">
        <f t="shared" si="3"/>
        <v>size</v>
      </c>
      <c r="DC7" s="12" t="str">
        <f t="shared" si="3"/>
        <v>mom</v>
      </c>
      <c r="DD7" s="12" t="str">
        <f t="shared" si="3"/>
        <v>size</v>
      </c>
      <c r="DE7" s="12" t="str">
        <f t="shared" si="3"/>
        <v>mom</v>
      </c>
      <c r="DF7" s="12" t="str">
        <f t="shared" si="3"/>
        <v>mom</v>
      </c>
      <c r="DG7" s="12" t="str">
        <f t="shared" si="3"/>
        <v>mom</v>
      </c>
      <c r="DH7" s="12" t="str">
        <f t="shared" si="3"/>
        <v>size</v>
      </c>
      <c r="DI7" s="12" t="str">
        <f t="shared" si="3"/>
        <v>size</v>
      </c>
      <c r="DJ7" s="12" t="str">
        <f t="shared" si="3"/>
        <v>bm</v>
      </c>
      <c r="DK7" s="12" t="str">
        <f t="shared" si="3"/>
        <v>bm</v>
      </c>
      <c r="DL7" s="12" t="str">
        <f t="shared" si="3"/>
        <v>mom</v>
      </c>
      <c r="DM7" s="12" t="str">
        <f t="shared" si="3"/>
        <v>mom</v>
      </c>
      <c r="DN7" s="12" t="str">
        <f t="shared" si="3"/>
        <v>mom</v>
      </c>
      <c r="DO7" s="12" t="str">
        <f t="shared" si="3"/>
        <v>mom</v>
      </c>
      <c r="DP7" s="12" t="str">
        <f t="shared" si="3"/>
        <v>mom</v>
      </c>
      <c r="DQ7" s="12" t="str">
        <f t="shared" si="3"/>
        <v>mom</v>
      </c>
      <c r="DR7" s="12" t="str">
        <f t="shared" si="3"/>
        <v>bm</v>
      </c>
      <c r="DS7" s="12" t="str">
        <f t="shared" si="3"/>
        <v>mom</v>
      </c>
      <c r="DT7" s="12" t="str">
        <f t="shared" si="3"/>
        <v>bm</v>
      </c>
      <c r="DU7" s="12" t="str">
        <f t="shared" si="3"/>
        <v>size</v>
      </c>
      <c r="DV7" s="12" t="str">
        <f t="shared" si="3"/>
        <v>mom</v>
      </c>
      <c r="DW7" s="12" t="str">
        <f t="shared" si="3"/>
        <v>size</v>
      </c>
      <c r="DX7" s="12" t="str">
        <f t="shared" si="3"/>
        <v>mom</v>
      </c>
      <c r="DY7" s="12" t="str">
        <f t="shared" si="3"/>
        <v>mom</v>
      </c>
      <c r="DZ7" s="12" t="str">
        <f t="shared" si="3"/>
        <v>mom</v>
      </c>
      <c r="EA7" s="12" t="str">
        <f t="shared" ref="EA7:EF7" si="4">IF(EA6=1,"bm",IF(EA6=2,"size",IF(EA6=3,"mom")))</f>
        <v>size</v>
      </c>
      <c r="EB7" s="12" t="str">
        <f t="shared" si="4"/>
        <v>size</v>
      </c>
      <c r="EC7" s="12" t="str">
        <f t="shared" si="4"/>
        <v>size</v>
      </c>
      <c r="ED7" s="12" t="str">
        <f t="shared" si="4"/>
        <v>size</v>
      </c>
      <c r="EE7" s="12" t="str">
        <f t="shared" si="4"/>
        <v>size</v>
      </c>
      <c r="EF7" s="12" t="str">
        <f t="shared" si="4"/>
        <v>size</v>
      </c>
    </row>
    <row r="8" spans="1:139">
      <c r="C8" s="11">
        <f t="shared" ref="C8:AH8" si="5">IF(C6=1,C3,IF(C6=2,C4,IF(C6=3,C5)))</f>
        <v>0.50836324691772461</v>
      </c>
      <c r="D8" s="11">
        <f t="shared" si="5"/>
        <v>0.76913774013519287</v>
      </c>
      <c r="E8" s="11">
        <f t="shared" si="5"/>
        <v>0.54195535182952881</v>
      </c>
      <c r="F8" s="11">
        <f t="shared" si="5"/>
        <v>1.1543282270431521</v>
      </c>
      <c r="G8" s="11">
        <f t="shared" si="5"/>
        <v>0.54750555753707886</v>
      </c>
      <c r="H8" s="11">
        <f t="shared" si="5"/>
        <v>0.91896617412567139</v>
      </c>
      <c r="I8" s="11">
        <f t="shared" si="5"/>
        <v>0.66497212648391724</v>
      </c>
      <c r="J8" s="11">
        <f t="shared" si="5"/>
        <v>0.96098613739013672</v>
      </c>
      <c r="K8" s="11">
        <f t="shared" si="5"/>
        <v>1.069318890571594</v>
      </c>
      <c r="L8" s="11">
        <f t="shared" si="5"/>
        <v>0.58301490545272827</v>
      </c>
      <c r="M8" s="11">
        <f t="shared" si="5"/>
        <v>0.48336148262023931</v>
      </c>
      <c r="N8" s="11">
        <f t="shared" si="5"/>
        <v>0.4335099458694458</v>
      </c>
      <c r="O8" s="11">
        <f t="shared" si="5"/>
        <v>6.3416294753551483E-2</v>
      </c>
      <c r="P8" s="11">
        <f t="shared" si="5"/>
        <v>-4.0258027613162987E-2</v>
      </c>
      <c r="Q8" s="11">
        <f t="shared" si="5"/>
        <v>-0.63935673236846924</v>
      </c>
      <c r="R8" s="11">
        <f t="shared" si="5"/>
        <v>-5.0250470638275153E-2</v>
      </c>
      <c r="S8" s="11">
        <f t="shared" si="5"/>
        <v>6.6091194748878479E-2</v>
      </c>
      <c r="T8" s="11">
        <f t="shared" si="5"/>
        <v>-6.0526482760906219E-2</v>
      </c>
      <c r="U8" s="11">
        <f t="shared" si="5"/>
        <v>-5.0881840288639069E-2</v>
      </c>
      <c r="V8" s="11">
        <f t="shared" si="5"/>
        <v>0.12953431904315951</v>
      </c>
      <c r="W8" s="11">
        <f t="shared" si="5"/>
        <v>-0.19089989364147189</v>
      </c>
      <c r="X8" s="11">
        <f t="shared" si="5"/>
        <v>0.22364641726017001</v>
      </c>
      <c r="Y8" s="11">
        <f t="shared" si="5"/>
        <v>0.2607954740524292</v>
      </c>
      <c r="Z8" s="11">
        <f t="shared" si="5"/>
        <v>0.17032516002655029</v>
      </c>
      <c r="AA8" s="11">
        <f t="shared" si="5"/>
        <v>0.14871090650558469</v>
      </c>
      <c r="AB8" s="11">
        <f t="shared" si="5"/>
        <v>0.13639476895332339</v>
      </c>
      <c r="AC8" s="11">
        <f t="shared" si="5"/>
        <v>0.1064975261688232</v>
      </c>
      <c r="AD8" s="11">
        <f t="shared" si="5"/>
        <v>0.1051289364695549</v>
      </c>
      <c r="AE8" s="11">
        <f t="shared" si="5"/>
        <v>9.8157517611980438E-2</v>
      </c>
      <c r="AF8" s="11">
        <f t="shared" si="5"/>
        <v>8.0513276159763336E-2</v>
      </c>
      <c r="AG8" s="11">
        <f t="shared" si="5"/>
        <v>5.8855693787336349E-2</v>
      </c>
      <c r="AH8" s="11">
        <f t="shared" si="5"/>
        <v>-0.26610976457595831</v>
      </c>
      <c r="AI8" s="11">
        <f t="shared" ref="AI8:BN8" si="6">IF(AI6=1,AI3,IF(AI6=2,AI4,IF(AI6=3,AI5)))</f>
        <v>-0.14365202188491821</v>
      </c>
      <c r="AJ8" s="11">
        <f t="shared" si="6"/>
        <v>-0.25451940298080439</v>
      </c>
      <c r="AK8" s="11">
        <f t="shared" si="6"/>
        <v>7.5650393962860107E-2</v>
      </c>
      <c r="AL8" s="11">
        <f t="shared" si="6"/>
        <v>6.6236443817615509E-2</v>
      </c>
      <c r="AM8" s="11">
        <f t="shared" si="6"/>
        <v>-8.2977190613746643E-2</v>
      </c>
      <c r="AN8" s="11">
        <f t="shared" si="6"/>
        <v>-7.0350959897041321E-2</v>
      </c>
      <c r="AO8" s="11">
        <f t="shared" si="6"/>
        <v>-0.1968108415603638</v>
      </c>
      <c r="AP8" s="11">
        <f t="shared" si="6"/>
        <v>-0.25679254531860352</v>
      </c>
      <c r="AQ8" s="11">
        <f t="shared" si="6"/>
        <v>0.1400775462388992</v>
      </c>
      <c r="AR8" s="11">
        <f t="shared" si="6"/>
        <v>0.16342324018478391</v>
      </c>
      <c r="AS8" s="11">
        <f t="shared" si="6"/>
        <v>0.18792152404785159</v>
      </c>
      <c r="AT8" s="11">
        <f t="shared" si="6"/>
        <v>0.19995155930519101</v>
      </c>
      <c r="AU8" s="11">
        <f t="shared" si="6"/>
        <v>0.19402837753295901</v>
      </c>
      <c r="AV8" s="11">
        <f t="shared" si="6"/>
        <v>0.15869356691837311</v>
      </c>
      <c r="AW8" s="11">
        <f t="shared" si="6"/>
        <v>-3.568306565284729E-2</v>
      </c>
      <c r="AX8" s="11">
        <f t="shared" si="6"/>
        <v>3.6226339638233178E-2</v>
      </c>
      <c r="AY8" s="11">
        <f t="shared" si="6"/>
        <v>0.1132773458957672</v>
      </c>
      <c r="AZ8" s="11">
        <f t="shared" si="6"/>
        <v>0.104707270860672</v>
      </c>
      <c r="BA8" s="11">
        <f t="shared" si="6"/>
        <v>6.849505752325058E-2</v>
      </c>
      <c r="BB8" s="11">
        <f t="shared" si="6"/>
        <v>3.3319383859634399E-2</v>
      </c>
      <c r="BC8" s="11">
        <f t="shared" si="6"/>
        <v>-3.7875480949878693E-2</v>
      </c>
      <c r="BD8" s="11">
        <f t="shared" si="6"/>
        <v>-3.2060969620943069E-2</v>
      </c>
      <c r="BE8" s="11">
        <f t="shared" si="6"/>
        <v>-3.2296057790517807E-2</v>
      </c>
      <c r="BF8" s="11">
        <f t="shared" si="6"/>
        <v>-3.2346583902835853E-2</v>
      </c>
      <c r="BG8" s="11">
        <f t="shared" si="6"/>
        <v>-3.2194517552852631E-2</v>
      </c>
      <c r="BH8" s="11">
        <f t="shared" si="6"/>
        <v>5.9344802051782608E-2</v>
      </c>
      <c r="BI8" s="11">
        <f t="shared" si="6"/>
        <v>-2.780326642096043E-2</v>
      </c>
      <c r="BJ8" s="11">
        <f t="shared" si="6"/>
        <v>-6.5720930695533752E-2</v>
      </c>
      <c r="BK8" s="11">
        <f t="shared" si="6"/>
        <v>5.5602390319108963E-2</v>
      </c>
      <c r="BL8" s="11">
        <f t="shared" si="6"/>
        <v>-8.8971659541130066E-2</v>
      </c>
      <c r="BM8" s="11">
        <f t="shared" si="6"/>
        <v>6.5659098327159882E-2</v>
      </c>
      <c r="BN8" s="11">
        <f t="shared" si="6"/>
        <v>-6.8609192967414856E-2</v>
      </c>
      <c r="BO8" s="11">
        <f t="shared" ref="BO8:CT8" si="7">IF(BO6=1,BO3,IF(BO6=2,BO4,IF(BO6=3,BO5)))</f>
        <v>-5.5181741714477539E-2</v>
      </c>
      <c r="BP8" s="11">
        <f t="shared" si="7"/>
        <v>-8.5352331399917603E-2</v>
      </c>
      <c r="BQ8" s="11">
        <f t="shared" si="7"/>
        <v>-3.6593899130821228E-2</v>
      </c>
      <c r="BR8" s="11">
        <f t="shared" si="7"/>
        <v>3.5782556980848312E-2</v>
      </c>
      <c r="BS8" s="11">
        <f t="shared" si="7"/>
        <v>3.381897509098053E-2</v>
      </c>
      <c r="BT8" s="11">
        <f t="shared" si="7"/>
        <v>4.3329164385795593E-2</v>
      </c>
      <c r="BU8" s="11">
        <f t="shared" si="7"/>
        <v>4.8520129173994057E-2</v>
      </c>
      <c r="BV8" s="11">
        <f t="shared" si="7"/>
        <v>0.14270420372486109</v>
      </c>
      <c r="BW8" s="11">
        <f t="shared" si="7"/>
        <v>0.13052307069301611</v>
      </c>
      <c r="BX8" s="11">
        <f t="shared" si="7"/>
        <v>5.2400790154933929E-2</v>
      </c>
      <c r="BY8" s="11">
        <f t="shared" si="7"/>
        <v>6.0546338558197021E-2</v>
      </c>
      <c r="BZ8" s="11">
        <f t="shared" si="7"/>
        <v>5.243389680981636E-2</v>
      </c>
      <c r="CA8" s="11">
        <f t="shared" si="7"/>
        <v>-3.099978901445866E-2</v>
      </c>
      <c r="CB8" s="11">
        <f t="shared" si="7"/>
        <v>-3.9389632642269128E-2</v>
      </c>
      <c r="CC8" s="11">
        <f t="shared" si="7"/>
        <v>-2.8904115781188011E-2</v>
      </c>
      <c r="CD8" s="11">
        <f t="shared" si="7"/>
        <v>3.6022435873746872E-2</v>
      </c>
      <c r="CE8" s="11">
        <f t="shared" si="7"/>
        <v>-2.8157502412796021E-2</v>
      </c>
      <c r="CF8" s="11">
        <f t="shared" si="7"/>
        <v>4.381309449672699E-2</v>
      </c>
      <c r="CG8" s="11">
        <f t="shared" si="7"/>
        <v>3.0113250017166141E-2</v>
      </c>
      <c r="CH8" s="11">
        <f t="shared" si="7"/>
        <v>4.3025322258472443E-2</v>
      </c>
      <c r="CI8" s="11">
        <f t="shared" si="7"/>
        <v>-3.1394515186548233E-2</v>
      </c>
      <c r="CJ8" s="11">
        <f t="shared" si="7"/>
        <v>4.1782274842262268E-2</v>
      </c>
      <c r="CK8" s="11">
        <f t="shared" si="7"/>
        <v>3.7300810217857361E-2</v>
      </c>
      <c r="CL8" s="11">
        <f t="shared" si="7"/>
        <v>6.0941599309444427E-2</v>
      </c>
      <c r="CM8" s="11">
        <f t="shared" si="7"/>
        <v>-3.8412053138017647E-2</v>
      </c>
      <c r="CN8" s="11">
        <f t="shared" si="7"/>
        <v>-3.586915135383606E-2</v>
      </c>
      <c r="CO8" s="11">
        <f t="shared" si="7"/>
        <v>0.1589557081460953</v>
      </c>
      <c r="CP8" s="11">
        <f t="shared" si="7"/>
        <v>-3.6965128034353263E-2</v>
      </c>
      <c r="CQ8" s="11">
        <f t="shared" si="7"/>
        <v>6.9797366857528687E-2</v>
      </c>
      <c r="CR8" s="11">
        <f t="shared" si="7"/>
        <v>-3.3767849206924438E-2</v>
      </c>
      <c r="CS8" s="11">
        <f t="shared" si="7"/>
        <v>-2.9090225696563721E-2</v>
      </c>
      <c r="CT8" s="11">
        <f t="shared" si="7"/>
        <v>5.3638488054275513E-2</v>
      </c>
      <c r="CU8" s="11">
        <f t="shared" ref="CU8:DZ8" si="8">IF(CU6=1,CU3,IF(CU6=2,CU4,IF(CU6=3,CU5)))</f>
        <v>6.3532985746860504E-2</v>
      </c>
      <c r="CV8" s="11">
        <f t="shared" si="8"/>
        <v>5.5906884372234338E-2</v>
      </c>
      <c r="CW8" s="11">
        <f t="shared" si="8"/>
        <v>4.8717334866523743E-2</v>
      </c>
      <c r="CX8" s="11">
        <f t="shared" si="8"/>
        <v>4.2955689132213593E-2</v>
      </c>
      <c r="CY8" s="11">
        <f t="shared" si="8"/>
        <v>2.966258488595486E-2</v>
      </c>
      <c r="CZ8" s="11">
        <f t="shared" si="8"/>
        <v>4.7397840768098831E-2</v>
      </c>
      <c r="DA8" s="11">
        <f t="shared" si="8"/>
        <v>-2.9591461643576619E-2</v>
      </c>
      <c r="DB8" s="11">
        <f t="shared" si="8"/>
        <v>-3.4101340919733047E-2</v>
      </c>
      <c r="DC8" s="11">
        <f t="shared" si="8"/>
        <v>3.7085290998220437E-2</v>
      </c>
      <c r="DD8" s="11">
        <f t="shared" si="8"/>
        <v>-3.2262604683637619E-2</v>
      </c>
      <c r="DE8" s="11">
        <f t="shared" si="8"/>
        <v>4.1370406746864319E-2</v>
      </c>
      <c r="DF8" s="11">
        <f t="shared" si="8"/>
        <v>4.0565907955169678E-2</v>
      </c>
      <c r="DG8" s="11">
        <f t="shared" si="8"/>
        <v>3.3224057406187057E-2</v>
      </c>
      <c r="DH8" s="11">
        <f t="shared" si="8"/>
        <v>-3.1315241008996957E-2</v>
      </c>
      <c r="DI8" s="11">
        <f t="shared" si="8"/>
        <v>-2.9898226261138919E-2</v>
      </c>
      <c r="DJ8" s="11">
        <f t="shared" si="8"/>
        <v>3.5664934664964683E-2</v>
      </c>
      <c r="DK8" s="11">
        <f t="shared" si="8"/>
        <v>3.7067931145429611E-2</v>
      </c>
      <c r="DL8" s="11">
        <f t="shared" si="8"/>
        <v>3.5447288304567337E-2</v>
      </c>
      <c r="DM8" s="11">
        <f t="shared" si="8"/>
        <v>4.903421550989151E-2</v>
      </c>
      <c r="DN8" s="11">
        <f t="shared" si="8"/>
        <v>-0.11219848692417141</v>
      </c>
      <c r="DO8" s="11">
        <f t="shared" si="8"/>
        <v>5.3319718688726432E-2</v>
      </c>
      <c r="DP8" s="11">
        <f t="shared" si="8"/>
        <v>5.3090192377567291E-2</v>
      </c>
      <c r="DQ8" s="11">
        <f t="shared" si="8"/>
        <v>6.7249387502670288E-2</v>
      </c>
      <c r="DR8" s="11">
        <f t="shared" si="8"/>
        <v>3.8861591368913651E-2</v>
      </c>
      <c r="DS8" s="11">
        <f t="shared" si="8"/>
        <v>4.5268747955560677E-2</v>
      </c>
      <c r="DT8" s="11">
        <f t="shared" si="8"/>
        <v>3.6585744470357888E-2</v>
      </c>
      <c r="DU8" s="11">
        <f t="shared" si="8"/>
        <v>-2.540554478764534E-2</v>
      </c>
      <c r="DV8" s="11">
        <f t="shared" si="8"/>
        <v>3.8169108331203461E-2</v>
      </c>
      <c r="DW8" s="11">
        <f t="shared" si="8"/>
        <v>-3.7095267325639718E-2</v>
      </c>
      <c r="DX8" s="11">
        <f t="shared" si="8"/>
        <v>3.4144993871450417E-2</v>
      </c>
      <c r="DY8" s="11">
        <f t="shared" si="8"/>
        <v>5.4498199373483658E-2</v>
      </c>
      <c r="DZ8" s="11">
        <f t="shared" si="8"/>
        <v>4.3653316795825958E-2</v>
      </c>
      <c r="EA8" s="11">
        <f t="shared" ref="EA8:EF8" si="9">IF(EA6=1,EA3,IF(EA6=2,EA4,IF(EA6=3,EA5)))</f>
        <v>-8.3518818020820618E-2</v>
      </c>
      <c r="EB8" s="11">
        <f t="shared" si="9"/>
        <v>-7.7344618737697601E-2</v>
      </c>
      <c r="EC8" s="11">
        <f t="shared" si="9"/>
        <v>-7.0242889225482941E-2</v>
      </c>
      <c r="ED8" s="11">
        <f t="shared" si="9"/>
        <v>-6.3896283507347107E-2</v>
      </c>
      <c r="EE8" s="11">
        <f t="shared" si="9"/>
        <v>-9.7872823476791382E-2</v>
      </c>
      <c r="EF8" s="11">
        <f t="shared" si="9"/>
        <v>-7.6828889548778534E-2</v>
      </c>
    </row>
    <row r="10" spans="1:139">
      <c r="A10" s="19" t="s">
        <v>140</v>
      </c>
      <c r="B10" s="19"/>
      <c r="C10" s="19" t="s">
        <v>141</v>
      </c>
      <c r="D10" s="19">
        <v>964</v>
      </c>
    </row>
    <row r="11" spans="1:139">
      <c r="A11" s="19" t="s">
        <v>142</v>
      </c>
      <c r="B11" s="19" t="s">
        <v>143</v>
      </c>
      <c r="C11" s="19" t="s">
        <v>3</v>
      </c>
      <c r="D11" s="19" t="s">
        <v>4</v>
      </c>
      <c r="E11" s="19" t="s">
        <v>5</v>
      </c>
      <c r="F11" s="19" t="s">
        <v>6</v>
      </c>
      <c r="G11" s="19" t="s">
        <v>7</v>
      </c>
      <c r="H11" s="19" t="s">
        <v>8</v>
      </c>
      <c r="I11" s="19" t="s">
        <v>9</v>
      </c>
      <c r="J11" s="19" t="s">
        <v>10</v>
      </c>
      <c r="K11" s="19" t="s">
        <v>11</v>
      </c>
      <c r="L11" s="19" t="s">
        <v>12</v>
      </c>
      <c r="M11" s="19" t="s">
        <v>13</v>
      </c>
      <c r="N11" s="19" t="s">
        <v>14</v>
      </c>
      <c r="O11" s="19" t="s">
        <v>15</v>
      </c>
      <c r="P11" s="19" t="s">
        <v>16</v>
      </c>
      <c r="Q11" s="19" t="s">
        <v>17</v>
      </c>
      <c r="R11" s="19" t="s">
        <v>18</v>
      </c>
      <c r="S11" s="19" t="s">
        <v>19</v>
      </c>
      <c r="T11" s="19" t="s">
        <v>20</v>
      </c>
      <c r="U11" s="19" t="s">
        <v>21</v>
      </c>
      <c r="V11" s="19" t="s">
        <v>22</v>
      </c>
      <c r="W11" s="19" t="s">
        <v>23</v>
      </c>
      <c r="X11" s="19" t="s">
        <v>24</v>
      </c>
      <c r="Y11" s="19" t="s">
        <v>25</v>
      </c>
      <c r="Z11" s="19" t="s">
        <v>26</v>
      </c>
      <c r="AA11" s="19" t="s">
        <v>27</v>
      </c>
      <c r="AB11" s="19" t="s">
        <v>28</v>
      </c>
      <c r="AC11" s="19" t="s">
        <v>29</v>
      </c>
      <c r="AD11" s="19" t="s">
        <v>30</v>
      </c>
      <c r="AE11" s="19" t="s">
        <v>31</v>
      </c>
      <c r="AF11" s="19" t="s">
        <v>32</v>
      </c>
      <c r="AG11" s="19" t="s">
        <v>33</v>
      </c>
      <c r="AH11" s="19" t="s">
        <v>34</v>
      </c>
      <c r="AI11" s="19" t="s">
        <v>35</v>
      </c>
      <c r="AJ11" s="19" t="s">
        <v>36</v>
      </c>
      <c r="AK11" s="19" t="s">
        <v>37</v>
      </c>
      <c r="AL11" s="19" t="s">
        <v>38</v>
      </c>
      <c r="AM11" s="19" t="s">
        <v>39</v>
      </c>
      <c r="AN11" s="19" t="s">
        <v>40</v>
      </c>
      <c r="AO11" s="19" t="s">
        <v>41</v>
      </c>
      <c r="AP11" s="19" t="s">
        <v>42</v>
      </c>
      <c r="AQ11" s="19" t="s">
        <v>43</v>
      </c>
      <c r="AR11" s="19" t="s">
        <v>44</v>
      </c>
      <c r="AS11" s="19" t="s">
        <v>45</v>
      </c>
      <c r="AT11" s="19" t="s">
        <v>46</v>
      </c>
      <c r="AU11" s="19" t="s">
        <v>47</v>
      </c>
      <c r="AV11" s="19" t="s">
        <v>48</v>
      </c>
      <c r="AW11" s="19" t="s">
        <v>49</v>
      </c>
      <c r="AX11" s="19" t="s">
        <v>50</v>
      </c>
      <c r="AY11" s="19" t="s">
        <v>51</v>
      </c>
      <c r="AZ11" s="19" t="s">
        <v>52</v>
      </c>
      <c r="BA11" s="19" t="s">
        <v>53</v>
      </c>
      <c r="BB11" s="19" t="s">
        <v>54</v>
      </c>
      <c r="BC11" s="19" t="s">
        <v>55</v>
      </c>
      <c r="BD11" s="19" t="s">
        <v>56</v>
      </c>
      <c r="BE11" s="19" t="s">
        <v>57</v>
      </c>
      <c r="BF11" s="19" t="s">
        <v>58</v>
      </c>
      <c r="BG11" s="19" t="s">
        <v>59</v>
      </c>
      <c r="BH11" s="19" t="s">
        <v>60</v>
      </c>
      <c r="BI11" s="19" t="s">
        <v>61</v>
      </c>
      <c r="BJ11" s="19" t="s">
        <v>62</v>
      </c>
      <c r="BK11" s="19" t="s">
        <v>63</v>
      </c>
      <c r="BL11" s="19" t="s">
        <v>64</v>
      </c>
      <c r="BM11" s="19" t="s">
        <v>65</v>
      </c>
      <c r="BN11" s="19" t="s">
        <v>66</v>
      </c>
      <c r="BO11" s="19" t="s">
        <v>67</v>
      </c>
      <c r="BP11" s="19" t="s">
        <v>68</v>
      </c>
      <c r="BQ11" s="19" t="s">
        <v>69</v>
      </c>
      <c r="BR11" s="19" t="s">
        <v>70</v>
      </c>
      <c r="BS11" s="19" t="s">
        <v>71</v>
      </c>
      <c r="BT11" s="19" t="s">
        <v>72</v>
      </c>
      <c r="BU11" s="19" t="s">
        <v>73</v>
      </c>
      <c r="BV11" s="19" t="s">
        <v>74</v>
      </c>
      <c r="BW11" s="19" t="s">
        <v>75</v>
      </c>
      <c r="BX11" s="19" t="s">
        <v>76</v>
      </c>
      <c r="BY11" s="19" t="s">
        <v>77</v>
      </c>
      <c r="BZ11" s="19" t="s">
        <v>78</v>
      </c>
      <c r="CA11" s="19" t="s">
        <v>79</v>
      </c>
      <c r="CB11" s="19" t="s">
        <v>80</v>
      </c>
      <c r="CC11" s="19" t="s">
        <v>81</v>
      </c>
      <c r="CD11" s="19" t="s">
        <v>82</v>
      </c>
      <c r="CE11" s="19" t="s">
        <v>83</v>
      </c>
      <c r="CF11" s="19" t="s">
        <v>84</v>
      </c>
      <c r="CG11" s="19" t="s">
        <v>85</v>
      </c>
      <c r="CH11" s="19" t="s">
        <v>86</v>
      </c>
      <c r="CI11" s="19" t="s">
        <v>87</v>
      </c>
      <c r="CJ11" s="19" t="s">
        <v>88</v>
      </c>
      <c r="CK11" s="19" t="s">
        <v>89</v>
      </c>
      <c r="CL11" s="19" t="s">
        <v>90</v>
      </c>
      <c r="CM11" s="19" t="s">
        <v>91</v>
      </c>
      <c r="CN11" s="19" t="s">
        <v>92</v>
      </c>
      <c r="CO11" s="19" t="s">
        <v>93</v>
      </c>
      <c r="CP11" s="19" t="s">
        <v>94</v>
      </c>
      <c r="CQ11" s="19" t="s">
        <v>95</v>
      </c>
      <c r="CR11" s="19" t="s">
        <v>96</v>
      </c>
      <c r="CS11" s="19" t="s">
        <v>97</v>
      </c>
      <c r="CT11" s="19" t="s">
        <v>98</v>
      </c>
      <c r="CU11" s="19" t="s">
        <v>99</v>
      </c>
      <c r="CV11" s="19" t="s">
        <v>100</v>
      </c>
      <c r="CW11" s="19" t="s">
        <v>101</v>
      </c>
      <c r="CX11" s="19" t="s">
        <v>102</v>
      </c>
      <c r="CY11" s="19" t="s">
        <v>103</v>
      </c>
      <c r="CZ11" s="19" t="s">
        <v>104</v>
      </c>
      <c r="DA11" s="19" t="s">
        <v>105</v>
      </c>
      <c r="DB11" s="19" t="s">
        <v>106</v>
      </c>
      <c r="DC11" s="19" t="s">
        <v>107</v>
      </c>
      <c r="DD11" s="19" t="s">
        <v>108</v>
      </c>
      <c r="DE11" s="19" t="s">
        <v>109</v>
      </c>
      <c r="DF11" s="19" t="s">
        <v>110</v>
      </c>
      <c r="DG11" s="19" t="s">
        <v>111</v>
      </c>
      <c r="DH11" s="19" t="s">
        <v>112</v>
      </c>
      <c r="DI11" s="19" t="s">
        <v>113</v>
      </c>
      <c r="DJ11" s="19" t="s">
        <v>114</v>
      </c>
      <c r="DK11" s="19" t="s">
        <v>115</v>
      </c>
      <c r="DL11" s="19" t="s">
        <v>116</v>
      </c>
      <c r="DM11" s="19" t="s">
        <v>117</v>
      </c>
      <c r="DN11" s="19" t="s">
        <v>118</v>
      </c>
      <c r="DO11" s="19" t="s">
        <v>119</v>
      </c>
      <c r="DP11" s="19" t="s">
        <v>120</v>
      </c>
      <c r="DQ11" s="19" t="s">
        <v>121</v>
      </c>
      <c r="DR11" s="19" t="s">
        <v>122</v>
      </c>
      <c r="DS11" s="19" t="s">
        <v>123</v>
      </c>
      <c r="DT11" s="19" t="s">
        <v>124</v>
      </c>
      <c r="DU11" s="19" t="s">
        <v>125</v>
      </c>
      <c r="DV11" s="19" t="s">
        <v>126</v>
      </c>
      <c r="DW11" s="19" t="s">
        <v>127</v>
      </c>
      <c r="DX11" s="19" t="s">
        <v>128</v>
      </c>
      <c r="DY11" s="19" t="s">
        <v>129</v>
      </c>
      <c r="DZ11" s="19" t="s">
        <v>130</v>
      </c>
      <c r="EA11" s="19" t="s">
        <v>131</v>
      </c>
      <c r="EB11" s="19" t="s">
        <v>132</v>
      </c>
      <c r="EC11" s="19" t="s">
        <v>133</v>
      </c>
      <c r="ED11" s="19" t="s">
        <v>134</v>
      </c>
      <c r="EE11" s="19" t="s">
        <v>135</v>
      </c>
      <c r="EF11" s="19" t="s">
        <v>144</v>
      </c>
      <c r="EG11" s="19" t="s">
        <v>224</v>
      </c>
      <c r="EH11" s="19" t="s">
        <v>225</v>
      </c>
      <c r="EI11" s="2" t="s">
        <v>226</v>
      </c>
    </row>
    <row r="12" spans="1:139">
      <c r="A12" s="19">
        <v>10</v>
      </c>
      <c r="B12" s="19">
        <v>96</v>
      </c>
      <c r="C12" s="11">
        <v>-1.4499246984096079E-2</v>
      </c>
      <c r="D12" s="11">
        <v>1.467855149787607E-2</v>
      </c>
      <c r="E12" s="11">
        <v>-1.3937245408664461E-3</v>
      </c>
      <c r="F12" s="11">
        <v>-5.5959384784458728E-2</v>
      </c>
      <c r="G12" s="11">
        <v>3.1947448518630461E-2</v>
      </c>
      <c r="H12" s="11">
        <v>9.5992583565995809E-3</v>
      </c>
      <c r="I12" s="11">
        <v>-8.6581522633444978E-3</v>
      </c>
      <c r="J12" s="11">
        <v>7.3897936559287961E-3</v>
      </c>
      <c r="K12" s="11">
        <v>2.918799813369918E-2</v>
      </c>
      <c r="L12" s="11">
        <v>8.7585559641662342E-3</v>
      </c>
      <c r="M12" s="11">
        <v>2.688917383320695E-2</v>
      </c>
      <c r="N12" s="11">
        <v>-3.4703354243462818E-2</v>
      </c>
      <c r="O12" s="11">
        <v>2.7914759067240381E-2</v>
      </c>
      <c r="P12" s="11">
        <v>2.1420421204462348E-2</v>
      </c>
      <c r="Q12" s="11">
        <v>-5.1156833739640466E-3</v>
      </c>
      <c r="R12" s="11">
        <v>-1.315348866053859E-2</v>
      </c>
      <c r="S12" s="11">
        <v>1.105502977333921E-2</v>
      </c>
      <c r="T12" s="11">
        <v>-4.7867716345524697E-2</v>
      </c>
      <c r="U12" s="11">
        <v>1.356523083780981E-3</v>
      </c>
      <c r="V12" s="11">
        <v>9.5109536536482214E-3</v>
      </c>
      <c r="W12" s="11">
        <v>-2.227844197331175E-2</v>
      </c>
      <c r="X12" s="11">
        <v>-0.10964075134733541</v>
      </c>
      <c r="Y12" s="11">
        <v>2.0598393527691269E-2</v>
      </c>
      <c r="Z12" s="11">
        <v>-5.3152086976860878E-2</v>
      </c>
      <c r="AA12" s="11">
        <v>2.691847942081162E-2</v>
      </c>
      <c r="AB12" s="11">
        <v>1.073332960413877E-2</v>
      </c>
      <c r="AC12" s="11">
        <v>-4.6772945626311249E-2</v>
      </c>
      <c r="AD12" s="11">
        <v>-2.5304298312235208E-3</v>
      </c>
      <c r="AE12" s="11">
        <v>4.6437716666984021E-2</v>
      </c>
      <c r="AF12" s="11">
        <v>-5.2012102776767682E-2</v>
      </c>
      <c r="AG12" s="11">
        <v>-3.814930420809846E-3</v>
      </c>
      <c r="AH12" s="11">
        <v>-1.3405804649633229E-2</v>
      </c>
      <c r="AI12" s="11">
        <v>-1.9506051180185949E-2</v>
      </c>
      <c r="AJ12" s="11">
        <v>-1.298374754605458E-2</v>
      </c>
      <c r="AK12" s="11">
        <v>-1.6475368224135679E-2</v>
      </c>
      <c r="AL12" s="11">
        <v>-4.7800489952077287E-2</v>
      </c>
      <c r="AM12" s="11">
        <v>-3.0086115612597931E-2</v>
      </c>
      <c r="AN12" s="11">
        <v>-6.9233234313428524E-2</v>
      </c>
      <c r="AO12" s="11">
        <v>-2.228793039673051E-3</v>
      </c>
      <c r="AP12" s="11">
        <v>3.3718344781849152E-2</v>
      </c>
      <c r="AQ12" s="11">
        <v>-1.6969305775294419E-3</v>
      </c>
      <c r="AR12" s="11">
        <v>2.2223025987592161E-2</v>
      </c>
      <c r="AS12" s="11">
        <v>1.9976272910371209E-2</v>
      </c>
      <c r="AT12" s="11">
        <v>7.2195382352435097E-2</v>
      </c>
      <c r="AU12" s="11">
        <v>3.713536440044597E-3</v>
      </c>
      <c r="AV12" s="11">
        <v>5.3715630656719707E-2</v>
      </c>
      <c r="AW12" s="11">
        <v>-1.7169704763403071E-2</v>
      </c>
      <c r="AX12" s="11">
        <v>-4.4696011972897853E-2</v>
      </c>
      <c r="AY12" s="11">
        <v>1.749132165900753E-2</v>
      </c>
      <c r="AZ12" s="11">
        <v>-2.361455316530062E-2</v>
      </c>
      <c r="BA12" s="11">
        <v>-2.6434329877061579E-2</v>
      </c>
      <c r="BB12" s="11">
        <v>1.527460525245942E-2</v>
      </c>
      <c r="BC12" s="11">
        <v>-2.669096629233754E-2</v>
      </c>
      <c r="BD12" s="11">
        <v>4.9233947916666673E-2</v>
      </c>
      <c r="BE12" s="11">
        <v>-4.5598218750000002E-2</v>
      </c>
      <c r="BF12" s="11">
        <v>-2.360069791666667E-2</v>
      </c>
      <c r="BG12" s="11">
        <v>1.0003802083333339E-2</v>
      </c>
      <c r="BH12" s="11">
        <v>-3.5079589029917008E-2</v>
      </c>
      <c r="BI12" s="11">
        <v>2.0838031249999951E-2</v>
      </c>
      <c r="BJ12" s="11">
        <v>7.9599331991781624E-4</v>
      </c>
      <c r="BK12" s="11">
        <v>-6.5738349503457333E-4</v>
      </c>
      <c r="BL12" s="11">
        <v>-2.4709245830148639E-2</v>
      </c>
      <c r="BM12" s="11">
        <v>5.030568452332447E-2</v>
      </c>
      <c r="BN12" s="11">
        <v>-1.1516535512096511E-2</v>
      </c>
      <c r="BO12" s="11">
        <v>-2.4246310256236889E-2</v>
      </c>
      <c r="BP12" s="11">
        <v>1.0508985305294091E-2</v>
      </c>
      <c r="BQ12" s="11">
        <v>-1.3896749618746689E-2</v>
      </c>
      <c r="BR12" s="11">
        <v>-2.2610084533988121E-3</v>
      </c>
      <c r="BS12" s="11">
        <v>1.886329338439598E-2</v>
      </c>
      <c r="BT12" s="11">
        <v>1.636478331442541E-2</v>
      </c>
      <c r="BU12" s="11">
        <v>1.691501722427486E-2</v>
      </c>
      <c r="BV12" s="11">
        <v>-4.2282389085929989E-2</v>
      </c>
      <c r="BW12" s="11">
        <v>-4.4477003891650199E-2</v>
      </c>
      <c r="BX12" s="11">
        <v>-6.985153858139255E-3</v>
      </c>
      <c r="BY12" s="11">
        <v>5.8929916357564061E-2</v>
      </c>
      <c r="BZ12" s="11">
        <v>4.5356945691272972E-2</v>
      </c>
      <c r="CA12" s="11">
        <v>1.4580583333333331E-2</v>
      </c>
      <c r="CB12" s="11">
        <v>2.7173862793031672E-2</v>
      </c>
      <c r="CC12" s="11">
        <v>6.5566041666666686E-2</v>
      </c>
      <c r="CD12" s="11">
        <v>0.1109336335844525</v>
      </c>
      <c r="CE12" s="11">
        <v>0.15400715625000011</v>
      </c>
      <c r="CF12" s="11">
        <v>8.0212745139300254E-3</v>
      </c>
      <c r="CG12" s="11">
        <v>-4.9277959963080598E-2</v>
      </c>
      <c r="CH12" s="11">
        <v>-1.6463112378785821E-2</v>
      </c>
      <c r="CI12" s="11">
        <v>-2.4341229166666659E-2</v>
      </c>
      <c r="CJ12" s="11">
        <v>5.4120066914195013E-2</v>
      </c>
      <c r="CK12" s="11">
        <v>5.6101440647790157E-2</v>
      </c>
      <c r="CL12" s="11">
        <v>7.8440280286020903E-2</v>
      </c>
      <c r="CM12" s="11">
        <v>2.635395083816933E-2</v>
      </c>
      <c r="CN12" s="11">
        <v>-2.3307249999999981E-2</v>
      </c>
      <c r="CO12" s="11">
        <v>-2.4819785255212591E-2</v>
      </c>
      <c r="CP12" s="11">
        <v>1.0050220356918669E-3</v>
      </c>
      <c r="CQ12" s="11">
        <v>-6.2684347003574781E-2</v>
      </c>
      <c r="CR12" s="11">
        <v>5.7159986521513537E-2</v>
      </c>
      <c r="CS12" s="11">
        <v>-1.4509312499999989E-2</v>
      </c>
      <c r="CT12" s="11">
        <v>-9.3290632299768764E-3</v>
      </c>
      <c r="CU12" s="11">
        <v>-7.4779529281356727E-2</v>
      </c>
      <c r="CV12" s="11">
        <v>6.5033306495688795E-2</v>
      </c>
      <c r="CW12" s="11">
        <v>1.303666937857764E-2</v>
      </c>
      <c r="CX12" s="11">
        <v>6.098988253699178E-2</v>
      </c>
      <c r="CY12" s="11">
        <v>1.6420596247805602E-2</v>
      </c>
      <c r="CZ12" s="11">
        <v>7.7792327339500603E-2</v>
      </c>
      <c r="DA12" s="11">
        <v>3.6978520833333327E-2</v>
      </c>
      <c r="DB12" s="11">
        <v>8.8981854166666707E-2</v>
      </c>
      <c r="DC12" s="11">
        <v>-4.5013637925414574E-3</v>
      </c>
      <c r="DD12" s="11">
        <v>-3.909141666666667E-2</v>
      </c>
      <c r="DE12" s="11">
        <v>-2.473764441509502E-2</v>
      </c>
      <c r="DF12" s="11">
        <v>1.1624319687869001E-2</v>
      </c>
      <c r="DG12" s="11">
        <v>-4.7394421629824317E-2</v>
      </c>
      <c r="DH12" s="11">
        <v>6.1195427083333309E-2</v>
      </c>
      <c r="DI12" s="11">
        <v>5.9749010416666679E-2</v>
      </c>
      <c r="DJ12" s="11">
        <v>8.0625982547704502E-3</v>
      </c>
      <c r="DK12" s="11">
        <v>-1.5945953127016341E-2</v>
      </c>
      <c r="DL12" s="11">
        <v>1.8669833333803058E-2</v>
      </c>
      <c r="DM12" s="11">
        <v>9.143493333529153E-3</v>
      </c>
      <c r="DN12" s="11">
        <v>1.854144345861243E-2</v>
      </c>
      <c r="DO12" s="11">
        <v>-1.9030728267897829E-2</v>
      </c>
      <c r="DP12" s="11">
        <v>-5.9408694556660431E-2</v>
      </c>
      <c r="DQ12" s="11">
        <v>7.454064748047276E-2</v>
      </c>
      <c r="DR12" s="11">
        <v>1.8778943279386909E-2</v>
      </c>
      <c r="DS12" s="11">
        <v>4.6024279005124763E-2</v>
      </c>
      <c r="DT12" s="11">
        <v>-4.5297883394400537E-2</v>
      </c>
      <c r="DU12" s="11">
        <v>-5.7230229166666681E-2</v>
      </c>
      <c r="DV12" s="11">
        <v>-1.6751441513820589E-2</v>
      </c>
      <c r="DW12" s="11">
        <v>4.4967552083333348E-2</v>
      </c>
      <c r="DX12" s="11">
        <v>1.8099136778333389E-2</v>
      </c>
      <c r="DY12" s="11">
        <v>6.2728222094769928E-2</v>
      </c>
      <c r="DZ12" s="11">
        <v>2.0038890123589111E-2</v>
      </c>
      <c r="EA12" s="11">
        <v>5.1097697916666678E-2</v>
      </c>
      <c r="EB12" s="11">
        <v>5.7861666666666738E-3</v>
      </c>
      <c r="EC12" s="11">
        <v>-9.8060416666666747E-3</v>
      </c>
      <c r="ED12" s="11">
        <v>-6.9577500000000013E-3</v>
      </c>
      <c r="EE12" s="11">
        <v>-2.6506687500000001E-2</v>
      </c>
      <c r="EF12" s="11">
        <v>2.9233395833333311E-2</v>
      </c>
      <c r="EG12" s="8">
        <f t="shared" ref="EG12:EG24" si="10">AVERAGE(C12:EF12)</f>
        <v>4.781654836550033E-3</v>
      </c>
      <c r="EH12" s="9">
        <f t="shared" ref="EH12:EH24" si="11">STDEV(C12:EF12)</f>
        <v>4.0153353120156693E-2</v>
      </c>
      <c r="EI12" s="20">
        <f t="shared" ref="EI12:EI24" si="12">EG12/EH12</f>
        <v>0.11908482019524484</v>
      </c>
    </row>
    <row r="13" spans="1:139">
      <c r="A13" s="19">
        <v>20</v>
      </c>
      <c r="B13" s="19">
        <v>48</v>
      </c>
      <c r="C13" s="11">
        <v>7.4773642018864783E-3</v>
      </c>
      <c r="D13" s="11">
        <v>-5.4568599887918068E-3</v>
      </c>
      <c r="E13" s="11">
        <v>-5.52362670328634E-3</v>
      </c>
      <c r="F13" s="11">
        <v>-5.9986526692922967E-2</v>
      </c>
      <c r="G13" s="11">
        <v>1.2047404300105931E-2</v>
      </c>
      <c r="H13" s="11">
        <v>1.7388387027498991E-2</v>
      </c>
      <c r="I13" s="11">
        <v>3.2285991683865867E-2</v>
      </c>
      <c r="J13" s="11">
        <v>2.3000408652571691E-2</v>
      </c>
      <c r="K13" s="11">
        <v>6.0326139227570137E-2</v>
      </c>
      <c r="L13" s="11">
        <v>2.1980470378722781E-2</v>
      </c>
      <c r="M13" s="11">
        <v>3.2797582260047169E-3</v>
      </c>
      <c r="N13" s="11">
        <v>-4.3392417465696789E-2</v>
      </c>
      <c r="O13" s="11">
        <v>1.7422698810949939E-2</v>
      </c>
      <c r="P13" s="11">
        <v>2.0856913061405559E-2</v>
      </c>
      <c r="Q13" s="11">
        <v>1.7456384496362699E-2</v>
      </c>
      <c r="R13" s="11">
        <v>-1.6510711082829949E-2</v>
      </c>
      <c r="S13" s="11">
        <v>-6.0138030070422746E-3</v>
      </c>
      <c r="T13" s="11">
        <v>-7.4234081511722602E-2</v>
      </c>
      <c r="U13" s="11">
        <v>-2.8761330590554329E-2</v>
      </c>
      <c r="V13" s="11">
        <v>2.216639903053957E-3</v>
      </c>
      <c r="W13" s="11">
        <v>-3.1103087884369891E-2</v>
      </c>
      <c r="X13" s="11">
        <v>-0.1211277708527381</v>
      </c>
      <c r="Y13" s="11">
        <v>-6.6833587265454353E-3</v>
      </c>
      <c r="Z13" s="11">
        <v>-8.125140212123555E-2</v>
      </c>
      <c r="AA13" s="11">
        <v>4.7712648450258188E-2</v>
      </c>
      <c r="AB13" s="11">
        <v>1.5001573328978489E-2</v>
      </c>
      <c r="AC13" s="11">
        <v>-6.6771700381929838E-2</v>
      </c>
      <c r="AD13" s="11">
        <v>-2.0440228373792429E-2</v>
      </c>
      <c r="AE13" s="11">
        <v>7.7071416726800679E-2</v>
      </c>
      <c r="AF13" s="11">
        <v>-7.3281160828311181E-2</v>
      </c>
      <c r="AG13" s="11">
        <v>9.9052077270740842E-3</v>
      </c>
      <c r="AH13" s="11">
        <v>-9.6413392395163916E-3</v>
      </c>
      <c r="AI13" s="11">
        <v>-1.20675500740728E-2</v>
      </c>
      <c r="AJ13" s="11">
        <v>1.628046998827572E-2</v>
      </c>
      <c r="AK13" s="11">
        <v>-3.8359390282872087E-2</v>
      </c>
      <c r="AL13" s="11">
        <v>-4.9258884794550067E-2</v>
      </c>
      <c r="AM13" s="11">
        <v>-4.6282443536828928E-2</v>
      </c>
      <c r="AN13" s="11">
        <v>-0.10533023813603409</v>
      </c>
      <c r="AO13" s="11">
        <v>-9.3111878994149404E-3</v>
      </c>
      <c r="AP13" s="11">
        <v>5.9550840361997717E-2</v>
      </c>
      <c r="AQ13" s="11">
        <v>-2.3400741595164692E-3</v>
      </c>
      <c r="AR13" s="11">
        <v>2.0848043794723811E-2</v>
      </c>
      <c r="AS13" s="11">
        <v>2.340496354159733E-2</v>
      </c>
      <c r="AT13" s="11">
        <v>8.6422914727599456E-2</v>
      </c>
      <c r="AU13" s="11">
        <v>-1.5695418426472509E-2</v>
      </c>
      <c r="AV13" s="11">
        <v>7.9665975648470139E-2</v>
      </c>
      <c r="AW13" s="11">
        <v>-2.682123797038095E-2</v>
      </c>
      <c r="AX13" s="11">
        <v>-3.2799832135855793E-2</v>
      </c>
      <c r="AY13" s="11">
        <v>1.42622039071387E-2</v>
      </c>
      <c r="AZ13" s="11">
        <v>-3.1220536093770089E-2</v>
      </c>
      <c r="BA13" s="11">
        <v>-2.618827405064264E-2</v>
      </c>
      <c r="BB13" s="11">
        <v>4.2875374496810892E-2</v>
      </c>
      <c r="BC13" s="11">
        <v>-1.9110867274842121E-2</v>
      </c>
      <c r="BD13" s="11">
        <v>4.1676729166666669E-2</v>
      </c>
      <c r="BE13" s="11">
        <v>-4.604862500000001E-2</v>
      </c>
      <c r="BF13" s="11">
        <v>-2.6302541666666669E-2</v>
      </c>
      <c r="BG13" s="11">
        <v>8.3309166666666636E-3</v>
      </c>
      <c r="BH13" s="11">
        <v>-4.1023656192191983E-2</v>
      </c>
      <c r="BI13" s="11">
        <v>2.5832708333333339E-2</v>
      </c>
      <c r="BJ13" s="11">
        <v>1.6847085990264871E-2</v>
      </c>
      <c r="BK13" s="11">
        <v>-8.8783959160913702E-3</v>
      </c>
      <c r="BL13" s="11">
        <v>-3.1947860213175139E-2</v>
      </c>
      <c r="BM13" s="11">
        <v>5.3371768695190711E-2</v>
      </c>
      <c r="BN13" s="11">
        <v>-1.105254187527629E-2</v>
      </c>
      <c r="BO13" s="11">
        <v>-3.0878716233474109E-2</v>
      </c>
      <c r="BP13" s="11">
        <v>-9.4326956946515182E-3</v>
      </c>
      <c r="BQ13" s="11">
        <v>-4.1653063789425779E-2</v>
      </c>
      <c r="BR13" s="11">
        <v>-6.6814174835574522E-3</v>
      </c>
      <c r="BS13" s="11">
        <v>7.4194718402196772E-3</v>
      </c>
      <c r="BT13" s="11">
        <v>5.2107167580298965E-4</v>
      </c>
      <c r="BU13" s="11">
        <v>1.552716642111396E-2</v>
      </c>
      <c r="BV13" s="11">
        <v>-7.9930834101057502E-2</v>
      </c>
      <c r="BW13" s="11">
        <v>-7.5714005636679529E-2</v>
      </c>
      <c r="BX13" s="11">
        <v>-7.4563880601007104E-4</v>
      </c>
      <c r="BY13" s="11">
        <v>3.9201956575141389E-2</v>
      </c>
      <c r="BZ13" s="11">
        <v>7.6138123059050211E-2</v>
      </c>
      <c r="CA13" s="11">
        <v>2.4012187500000001E-2</v>
      </c>
      <c r="CB13" s="11">
        <v>2.6017379522694919E-2</v>
      </c>
      <c r="CC13" s="11">
        <v>0.1201179166666667</v>
      </c>
      <c r="CD13" s="11">
        <v>0.1050858328923274</v>
      </c>
      <c r="CE13" s="11">
        <v>0.1838277291666667</v>
      </c>
      <c r="CF13" s="11">
        <v>-1.2043667015059319E-2</v>
      </c>
      <c r="CG13" s="11">
        <v>-5.8014967807239318E-2</v>
      </c>
      <c r="CH13" s="11">
        <v>-4.0295060582103241E-3</v>
      </c>
      <c r="CI13" s="11">
        <v>-7.8951666666666753E-3</v>
      </c>
      <c r="CJ13" s="11">
        <v>5.481018067884004E-2</v>
      </c>
      <c r="CK13" s="11">
        <v>6.568712626679736E-2</v>
      </c>
      <c r="CL13" s="11">
        <v>7.2724175153218551E-2</v>
      </c>
      <c r="CM13" s="11">
        <v>1.4010734772878621E-2</v>
      </c>
      <c r="CN13" s="11">
        <v>-3.013066666666666E-2</v>
      </c>
      <c r="CO13" s="11">
        <v>-3.5334344080657359E-2</v>
      </c>
      <c r="CP13" s="11">
        <v>-2.0576995740129469E-2</v>
      </c>
      <c r="CQ13" s="11">
        <v>-7.1178864968403879E-2</v>
      </c>
      <c r="CR13" s="11">
        <v>0.11164488638047471</v>
      </c>
      <c r="CS13" s="11">
        <v>3.9479583333333346E-3</v>
      </c>
      <c r="CT13" s="11">
        <v>4.0854011561625853E-4</v>
      </c>
      <c r="CU13" s="11">
        <v>-0.1070909617136373</v>
      </c>
      <c r="CV13" s="11">
        <v>7.7656051256972655E-2</v>
      </c>
      <c r="CW13" s="11">
        <v>3.6309119756433333E-2</v>
      </c>
      <c r="CX13" s="11">
        <v>6.0033255240053027E-2</v>
      </c>
      <c r="CY13" s="11">
        <v>4.1201751884096749E-2</v>
      </c>
      <c r="CZ13" s="11">
        <v>5.7224220353485122E-2</v>
      </c>
      <c r="DA13" s="11">
        <v>4.9445770833333333E-2</v>
      </c>
      <c r="DB13" s="11">
        <v>0.10623525</v>
      </c>
      <c r="DC13" s="11">
        <v>-1.41498668272943E-2</v>
      </c>
      <c r="DD13" s="11">
        <v>-5.1406291666666652E-2</v>
      </c>
      <c r="DE13" s="11">
        <v>-2.2441996429236069E-2</v>
      </c>
      <c r="DF13" s="11">
        <v>1.727163202818234E-2</v>
      </c>
      <c r="DG13" s="11">
        <v>-7.1335760214919608E-2</v>
      </c>
      <c r="DH13" s="11">
        <v>8.8720708333333301E-2</v>
      </c>
      <c r="DI13" s="11">
        <v>8.9748124999999984E-2</v>
      </c>
      <c r="DJ13" s="11">
        <v>-3.3317561795107452E-3</v>
      </c>
      <c r="DK13" s="11">
        <v>1.240907421862765E-2</v>
      </c>
      <c r="DL13" s="11">
        <v>2.2050690678088229E-2</v>
      </c>
      <c r="DM13" s="11">
        <v>-1.1655894415520189E-2</v>
      </c>
      <c r="DN13" s="11">
        <v>1.277588948620326E-2</v>
      </c>
      <c r="DO13" s="11">
        <v>-4.4325139422202869E-2</v>
      </c>
      <c r="DP13" s="11">
        <v>-5.8032308890701628E-2</v>
      </c>
      <c r="DQ13" s="11">
        <v>8.712901139257051E-2</v>
      </c>
      <c r="DR13" s="11">
        <v>1.377120927231194E-2</v>
      </c>
      <c r="DS13" s="11">
        <v>2.991519389132713E-2</v>
      </c>
      <c r="DT13" s="11">
        <v>-3.542630104766481E-2</v>
      </c>
      <c r="DU13" s="11">
        <v>-3.3005958333333342E-2</v>
      </c>
      <c r="DV13" s="11">
        <v>-9.8528047622480752E-3</v>
      </c>
      <c r="DW13" s="11">
        <v>4.2028479166666688E-2</v>
      </c>
      <c r="DX13" s="11">
        <v>2.3229609548966131E-2</v>
      </c>
      <c r="DY13" s="11">
        <v>9.5046248038774313E-3</v>
      </c>
      <c r="DZ13" s="11">
        <v>3.028525147494129E-2</v>
      </c>
      <c r="EA13" s="11">
        <v>6.2118416666666669E-2</v>
      </c>
      <c r="EB13" s="11">
        <v>2.0102083333333259E-4</v>
      </c>
      <c r="EC13" s="11">
        <v>-1.877502083333334E-2</v>
      </c>
      <c r="ED13" s="11">
        <v>7.0839791666666759E-3</v>
      </c>
      <c r="EE13" s="11">
        <v>-4.1234374999999997E-2</v>
      </c>
      <c r="EF13" s="11">
        <v>4.4513041666666663E-2</v>
      </c>
      <c r="EG13" s="9">
        <f t="shared" si="10"/>
        <v>4.3301437900103998E-3</v>
      </c>
      <c r="EH13">
        <f t="shared" si="11"/>
        <v>4.9475678897053336E-2</v>
      </c>
      <c r="EI13" s="20">
        <f t="shared" si="12"/>
        <v>8.7520654320284497E-2</v>
      </c>
    </row>
    <row r="14" spans="1:139">
      <c r="A14" s="19">
        <v>50</v>
      </c>
      <c r="B14" s="19">
        <v>19</v>
      </c>
      <c r="C14" s="11">
        <v>3.3228977675766179E-2</v>
      </c>
      <c r="D14" s="11">
        <v>-0.14164364875262561</v>
      </c>
      <c r="E14" s="11">
        <v>-4.7920746013269233E-2</v>
      </c>
      <c r="F14" s="11">
        <v>-6.0341904906032563E-2</v>
      </c>
      <c r="G14" s="11">
        <v>5.3656630442780677E-2</v>
      </c>
      <c r="H14" s="11">
        <v>-1.1508260862123591E-2</v>
      </c>
      <c r="I14" s="11">
        <v>3.0100135286935441E-2</v>
      </c>
      <c r="J14" s="11">
        <v>4.5231574032403382E-2</v>
      </c>
      <c r="K14" s="11">
        <v>5.0827466260847963E-2</v>
      </c>
      <c r="L14" s="11">
        <v>5.6271084976235522E-2</v>
      </c>
      <c r="M14" s="11">
        <v>-1.902171446498398E-2</v>
      </c>
      <c r="N14" s="11">
        <v>-5.7369426657022049E-2</v>
      </c>
      <c r="O14" s="11">
        <v>1.4944079385485289E-3</v>
      </c>
      <c r="P14" s="11">
        <v>5.8345921898241233E-2</v>
      </c>
      <c r="Q14" s="11">
        <v>7.9297657581564457E-2</v>
      </c>
      <c r="R14" s="11">
        <v>1.776230862917853E-2</v>
      </c>
      <c r="S14" s="11">
        <v>-2.480674609276777E-2</v>
      </c>
      <c r="T14" s="11">
        <v>-3.5019554834400057E-2</v>
      </c>
      <c r="U14" s="11">
        <v>-3.0556169330400691E-2</v>
      </c>
      <c r="V14" s="11">
        <v>-5.2421300158885083E-2</v>
      </c>
      <c r="W14" s="11">
        <v>-7.4008159388253003E-2</v>
      </c>
      <c r="X14" s="11">
        <v>-0.1866856956103469</v>
      </c>
      <c r="Y14" s="11">
        <v>-5.5190991412221717E-2</v>
      </c>
      <c r="Z14" s="11">
        <v>-0.1167040316714288</v>
      </c>
      <c r="AA14" s="11">
        <v>9.9905879497324754E-2</v>
      </c>
      <c r="AB14" s="11">
        <v>2.7335978605554132E-2</v>
      </c>
      <c r="AC14" s="11">
        <v>3.086562338789272E-3</v>
      </c>
      <c r="AD14" s="11">
        <v>-6.9874591735142114E-2</v>
      </c>
      <c r="AE14" s="11">
        <v>0.11683691983956609</v>
      </c>
      <c r="AF14" s="11">
        <v>-9.6080095456633624E-2</v>
      </c>
      <c r="AG14" s="11">
        <v>2.5329295010953049E-2</v>
      </c>
      <c r="AH14" s="11">
        <v>-5.250277930506024E-3</v>
      </c>
      <c r="AI14" s="11">
        <v>-7.2072950927120863E-2</v>
      </c>
      <c r="AJ14" s="11">
        <v>-1.505903608315101E-2</v>
      </c>
      <c r="AK14" s="11">
        <v>-7.7475339022454029E-2</v>
      </c>
      <c r="AL14" s="11">
        <v>-5.1230182968129499E-2</v>
      </c>
      <c r="AM14" s="11">
        <v>-6.1242166378625243E-2</v>
      </c>
      <c r="AN14" s="11">
        <v>-9.8594666769543718E-2</v>
      </c>
      <c r="AO14" s="11">
        <v>-6.0905705465409951E-2</v>
      </c>
      <c r="AP14" s="11">
        <v>6.9976525152084204E-2</v>
      </c>
      <c r="AQ14" s="11">
        <v>2.973338049727765E-2</v>
      </c>
      <c r="AR14" s="11">
        <v>7.5826916674388654E-3</v>
      </c>
      <c r="AS14" s="11">
        <v>-6.6693383896894304E-3</v>
      </c>
      <c r="AT14" s="11">
        <v>7.9403479710638047E-2</v>
      </c>
      <c r="AU14" s="11">
        <v>-5.7421613114133872E-2</v>
      </c>
      <c r="AV14" s="11">
        <v>6.6258749216258558E-2</v>
      </c>
      <c r="AW14" s="11">
        <v>-5.3928681229427317E-2</v>
      </c>
      <c r="AX14" s="11">
        <v>-1.9370213375490559E-2</v>
      </c>
      <c r="AY14" s="11">
        <v>1.6905718250070641E-3</v>
      </c>
      <c r="AZ14" s="11">
        <v>-6.107058048123927E-2</v>
      </c>
      <c r="BA14" s="11">
        <v>-6.6889831562848612E-2</v>
      </c>
      <c r="BB14" s="11">
        <v>6.1734282001674842E-2</v>
      </c>
      <c r="BC14" s="11">
        <v>2.8505683499306111E-2</v>
      </c>
      <c r="BD14" s="11">
        <v>1.6418894736842111E-2</v>
      </c>
      <c r="BE14" s="11">
        <v>-2.4118105263157899E-2</v>
      </c>
      <c r="BF14" s="11">
        <v>-5.2420526315789459E-3</v>
      </c>
      <c r="BG14" s="11">
        <v>1.049684210526316E-2</v>
      </c>
      <c r="BH14" s="11">
        <v>-7.3413464178725074E-2</v>
      </c>
      <c r="BI14" s="11">
        <v>3.2270894736842103E-2</v>
      </c>
      <c r="BJ14" s="11">
        <v>2.0017223671233209E-2</v>
      </c>
      <c r="BK14" s="11">
        <v>-3.3691419870768569E-2</v>
      </c>
      <c r="BL14" s="11">
        <v>-5.9737766842370338E-2</v>
      </c>
      <c r="BM14" s="11">
        <v>4.6278325003000387E-2</v>
      </c>
      <c r="BN14" s="11">
        <v>-2.0936538072551379E-2</v>
      </c>
      <c r="BO14" s="11">
        <v>-3.3609045677264478E-2</v>
      </c>
      <c r="BP14" s="11">
        <v>-1.5673733492959141E-2</v>
      </c>
      <c r="BQ14" s="11">
        <v>-1.584352386995078E-2</v>
      </c>
      <c r="BR14" s="11">
        <v>-2.7929429532617921E-2</v>
      </c>
      <c r="BS14" s="11">
        <v>-4.1493955144577897E-2</v>
      </c>
      <c r="BT14" s="11">
        <v>-3.0726476125764419E-2</v>
      </c>
      <c r="BU14" s="11">
        <v>1.8002513732382069E-2</v>
      </c>
      <c r="BV14" s="11">
        <v>-0.10798163319999469</v>
      </c>
      <c r="BW14" s="11">
        <v>-0.13089750855718521</v>
      </c>
      <c r="BX14" s="11">
        <v>1.4335295277300691E-2</v>
      </c>
      <c r="BY14" s="11">
        <v>-4.2604489653349287E-2</v>
      </c>
      <c r="BZ14" s="11">
        <v>6.0034056828782267E-2</v>
      </c>
      <c r="CA14" s="11">
        <v>3.3454631578947368E-2</v>
      </c>
      <c r="CB14" s="11">
        <v>5.9477060293539823E-2</v>
      </c>
      <c r="CC14" s="11">
        <v>0.1205952105263158</v>
      </c>
      <c r="CD14" s="11">
        <v>9.8016709932197757E-2</v>
      </c>
      <c r="CE14" s="11">
        <v>0.1705548421052632</v>
      </c>
      <c r="CF14" s="11">
        <v>-4.2877410075316917E-2</v>
      </c>
      <c r="CG14" s="11">
        <v>-5.7320663667820577E-2</v>
      </c>
      <c r="CH14" s="11">
        <v>-4.8879670456065782E-2</v>
      </c>
      <c r="CI14" s="11">
        <v>-3.828157894736822E-3</v>
      </c>
      <c r="CJ14" s="11">
        <v>1.7796116349141359E-2</v>
      </c>
      <c r="CK14" s="11">
        <v>5.3792086513992962E-2</v>
      </c>
      <c r="CL14" s="11">
        <v>0.13734357045347451</v>
      </c>
      <c r="CM14" s="11">
        <v>-5.0971068777473094E-3</v>
      </c>
      <c r="CN14" s="11">
        <v>-1.940110526315789E-2</v>
      </c>
      <c r="CO14" s="11">
        <v>-7.8763758718324112E-2</v>
      </c>
      <c r="CP14" s="11">
        <v>-9.3659357741041893E-2</v>
      </c>
      <c r="CQ14" s="11">
        <v>-3.2227899887387702E-2</v>
      </c>
      <c r="CR14" s="11">
        <v>0.207719712590648</v>
      </c>
      <c r="CS14" s="11">
        <v>-3.8151052631578849E-3</v>
      </c>
      <c r="CT14" s="11">
        <v>-9.6618862820552417E-3</v>
      </c>
      <c r="CU14" s="11">
        <v>-0.1015449999567145</v>
      </c>
      <c r="CV14" s="11">
        <v>0.1513968411576333</v>
      </c>
      <c r="CW14" s="11">
        <v>4.476388444326003E-2</v>
      </c>
      <c r="CX14" s="11">
        <v>3.6299408888239168E-2</v>
      </c>
      <c r="CY14" s="11">
        <v>9.6361130127283909E-2</v>
      </c>
      <c r="CZ14" s="11">
        <v>6.4063563350383365E-2</v>
      </c>
      <c r="DA14" s="11">
        <v>6.5392578947368413E-2</v>
      </c>
      <c r="DB14" s="11">
        <v>0.104608052631579</v>
      </c>
      <c r="DC14" s="11">
        <v>-4.2998541980200089E-2</v>
      </c>
      <c r="DD14" s="11">
        <v>-5.3898894736842097E-2</v>
      </c>
      <c r="DE14" s="11">
        <v>-6.2526924006459011E-2</v>
      </c>
      <c r="DF14" s="11">
        <v>6.4180407871054571E-2</v>
      </c>
      <c r="DG14" s="11">
        <v>-8.7324805758533047E-2</v>
      </c>
      <c r="DH14" s="11">
        <v>5.8742578947368403E-2</v>
      </c>
      <c r="DI14" s="11">
        <v>8.6646789473684205E-2</v>
      </c>
      <c r="DJ14" s="11">
        <v>1.023724267297355E-3</v>
      </c>
      <c r="DK14" s="11">
        <v>1.9071063117655919E-2</v>
      </c>
      <c r="DL14" s="11">
        <v>4.0754871831899041E-2</v>
      </c>
      <c r="DM14" s="11">
        <v>-3.2421916741778967E-2</v>
      </c>
      <c r="DN14" s="11">
        <v>-4.4935740608495638E-2</v>
      </c>
      <c r="DO14" s="11">
        <v>-7.0288548944531612E-2</v>
      </c>
      <c r="DP14" s="11">
        <v>-6.2914808070300282E-2</v>
      </c>
      <c r="DQ14" s="11">
        <v>7.1172564581132955E-2</v>
      </c>
      <c r="DR14" s="11">
        <v>5.2622519458999567E-2</v>
      </c>
      <c r="DS14" s="11">
        <v>8.9437754388967186E-2</v>
      </c>
      <c r="DT14" s="11">
        <v>-4.4516953597455299E-2</v>
      </c>
      <c r="DU14" s="11">
        <v>-6.8796263157894735E-2</v>
      </c>
      <c r="DV14" s="11">
        <v>-4.5153223904483022E-2</v>
      </c>
      <c r="DW14" s="11">
        <v>1.809894736842108E-3</v>
      </c>
      <c r="DX14" s="11">
        <v>2.7689697360398641E-2</v>
      </c>
      <c r="DY14" s="11">
        <v>4.7660986602341179E-2</v>
      </c>
      <c r="DZ14" s="11">
        <v>2.1697589256116791E-2</v>
      </c>
      <c r="EA14" s="11">
        <v>0.1075255263157895</v>
      </c>
      <c r="EB14" s="11">
        <v>-2.5110526315789479E-2</v>
      </c>
      <c r="EC14" s="11">
        <v>-1.9289631578947371E-2</v>
      </c>
      <c r="ED14" s="11">
        <v>-3.3598368421052627E-2</v>
      </c>
      <c r="EE14" s="11">
        <v>3.399263157894739E-3</v>
      </c>
      <c r="EF14" s="11">
        <v>2.5524210526315781E-2</v>
      </c>
      <c r="EG14" s="8">
        <f t="shared" si="10"/>
        <v>-1.4853729970475034E-3</v>
      </c>
      <c r="EH14">
        <f t="shared" si="11"/>
        <v>6.5818326871795202E-2</v>
      </c>
      <c r="EI14" s="20">
        <f t="shared" si="12"/>
        <v>-2.2567772042288464E-2</v>
      </c>
    </row>
    <row r="15" spans="1:139">
      <c r="A15" s="19">
        <v>100</v>
      </c>
      <c r="B15" s="19">
        <v>10</v>
      </c>
      <c r="C15" s="11">
        <v>3.6350225217569622E-2</v>
      </c>
      <c r="D15" s="11">
        <v>-0.27303487269562599</v>
      </c>
      <c r="E15" s="11">
        <v>-9.5344605470970442E-2</v>
      </c>
      <c r="F15" s="11">
        <v>3.4921436556697362E-2</v>
      </c>
      <c r="G15" s="11">
        <v>3.4403920967036511E-2</v>
      </c>
      <c r="H15" s="11">
        <v>-1.2437260581051001E-3</v>
      </c>
      <c r="I15" s="11">
        <v>7.929309065310064E-2</v>
      </c>
      <c r="J15" s="11">
        <v>6.212120974997206E-2</v>
      </c>
      <c r="K15" s="11">
        <v>9.4514797591930877E-2</v>
      </c>
      <c r="L15" s="11">
        <v>8.1171060568646272E-2</v>
      </c>
      <c r="M15" s="11">
        <v>-2.1330164362876949E-3</v>
      </c>
      <c r="N15" s="11">
        <v>-0.10979619442513371</v>
      </c>
      <c r="O15" s="11">
        <v>-1.227079575915271E-2</v>
      </c>
      <c r="P15" s="11">
        <v>6.4116183021661763E-2</v>
      </c>
      <c r="Q15" s="11">
        <v>4.5898731445931602E-2</v>
      </c>
      <c r="R15" s="11">
        <v>0.12669105870981379</v>
      </c>
      <c r="S15" s="11">
        <v>8.5487890205940886E-2</v>
      </c>
      <c r="T15" s="11">
        <v>-4.589107711718423E-2</v>
      </c>
      <c r="U15" s="11">
        <v>-7.8199390437812863E-2</v>
      </c>
      <c r="V15" s="11">
        <v>-0.1101270063308359</v>
      </c>
      <c r="W15" s="11">
        <v>-0.1025435939827431</v>
      </c>
      <c r="X15" s="11">
        <v>-0.2111863273303817</v>
      </c>
      <c r="Y15" s="11">
        <v>-5.202879805714216E-2</v>
      </c>
      <c r="Z15" s="11">
        <v>-6.2704119328443941E-2</v>
      </c>
      <c r="AA15" s="11">
        <v>0.16085038421306441</v>
      </c>
      <c r="AB15" s="11">
        <v>2.2166400740933071E-2</v>
      </c>
      <c r="AC15" s="11">
        <v>-4.3176688480551298E-3</v>
      </c>
      <c r="AD15" s="11">
        <v>-8.171337488818238E-2</v>
      </c>
      <c r="AE15" s="11">
        <v>0.21179264304727199</v>
      </c>
      <c r="AF15" s="11">
        <v>-0.13772628717765439</v>
      </c>
      <c r="AG15" s="11">
        <v>4.4324544215075819E-2</v>
      </c>
      <c r="AH15" s="11">
        <v>3.3604373357676472E-2</v>
      </c>
      <c r="AI15" s="11">
        <v>-8.5430110815606947E-2</v>
      </c>
      <c r="AJ15" s="11">
        <v>-9.4648599674757375E-3</v>
      </c>
      <c r="AK15" s="11">
        <v>-6.9361451191916404E-2</v>
      </c>
      <c r="AL15" s="11">
        <v>-3.2360173796661423E-2</v>
      </c>
      <c r="AM15" s="11">
        <v>-5.5122622134627111E-2</v>
      </c>
      <c r="AN15" s="11">
        <v>-0.10168870591238351</v>
      </c>
      <c r="AO15" s="11">
        <v>-6.3369812463467096E-2</v>
      </c>
      <c r="AP15" s="11">
        <v>7.8285693892754235E-2</v>
      </c>
      <c r="AQ15" s="11">
        <v>3.6453319420235192E-2</v>
      </c>
      <c r="AR15" s="11">
        <v>1.773382575923934E-2</v>
      </c>
      <c r="AS15" s="11">
        <v>-4.8733221354101797E-2</v>
      </c>
      <c r="AT15" s="11">
        <v>7.098981260370496E-2</v>
      </c>
      <c r="AU15" s="11">
        <v>-7.7174077249961781E-2</v>
      </c>
      <c r="AV15" s="11">
        <v>3.7297928699110451E-2</v>
      </c>
      <c r="AW15" s="11">
        <v>-9.1727472793350737E-2</v>
      </c>
      <c r="AX15" s="11">
        <v>-8.1360565954768135E-2</v>
      </c>
      <c r="AY15" s="11">
        <v>2.9005659300491791E-2</v>
      </c>
      <c r="AZ15" s="11">
        <v>-6.7846329118650434E-2</v>
      </c>
      <c r="BA15" s="11">
        <v>1.5151738493797209E-2</v>
      </c>
      <c r="BB15" s="11">
        <v>0.1127248660788131</v>
      </c>
      <c r="BC15" s="11">
        <v>3.0936691622350049E-2</v>
      </c>
      <c r="BD15" s="11">
        <v>7.3647000000000018E-3</v>
      </c>
      <c r="BE15" s="11">
        <v>-4.6218299999999997E-2</v>
      </c>
      <c r="BF15" s="11">
        <v>-5.697760000000001E-2</v>
      </c>
      <c r="BG15" s="11">
        <v>1.377640000000001E-2</v>
      </c>
      <c r="BH15" s="11">
        <v>-9.8649046406420665E-2</v>
      </c>
      <c r="BI15" s="11">
        <v>2.6351799999999991E-2</v>
      </c>
      <c r="BJ15" s="11">
        <v>1.1265027087445249E-2</v>
      </c>
      <c r="BK15" s="11">
        <v>4.5604932300413459E-2</v>
      </c>
      <c r="BL15" s="11">
        <v>-5.940387134134844E-2</v>
      </c>
      <c r="BM15" s="11">
        <v>4.8219004487744091E-2</v>
      </c>
      <c r="BN15" s="11">
        <v>-4.0142569733189887E-2</v>
      </c>
      <c r="BO15" s="11">
        <v>-2.773447595493098E-2</v>
      </c>
      <c r="BP15" s="11">
        <v>-1.4184220707804779E-2</v>
      </c>
      <c r="BQ15" s="11">
        <v>-1.280293129032776E-2</v>
      </c>
      <c r="BR15" s="11">
        <v>-5.0157429122059692E-2</v>
      </c>
      <c r="BS15" s="11">
        <v>-1.682377745028631E-2</v>
      </c>
      <c r="BT15" s="11">
        <v>-5.9850936091850722E-2</v>
      </c>
      <c r="BU15" s="11">
        <v>-1.514008239886341E-2</v>
      </c>
      <c r="BV15" s="11">
        <v>-0.1046400442936901</v>
      </c>
      <c r="BW15" s="11">
        <v>-0.29887898957592779</v>
      </c>
      <c r="BX15" s="11">
        <v>5.385156894446378E-2</v>
      </c>
      <c r="BY15" s="11">
        <v>-0.12602357357708691</v>
      </c>
      <c r="BZ15" s="11">
        <v>0.1029064689773473</v>
      </c>
      <c r="CA15" s="11">
        <v>2.9962900000000001E-2</v>
      </c>
      <c r="CB15" s="11">
        <v>9.268410552323747E-2</v>
      </c>
      <c r="CC15" s="11">
        <v>0.17364959999999999</v>
      </c>
      <c r="CD15" s="11">
        <v>0.1201520839630844</v>
      </c>
      <c r="CE15" s="11">
        <v>7.3367399999999999E-2</v>
      </c>
      <c r="CF15" s="11">
        <v>-4.1349429867967538E-2</v>
      </c>
      <c r="CG15" s="11">
        <v>-8.5886021530163809E-2</v>
      </c>
      <c r="CH15" s="11">
        <v>-8.1342607983328249E-2</v>
      </c>
      <c r="CI15" s="11">
        <v>-6.9334999999999994E-2</v>
      </c>
      <c r="CJ15" s="11">
        <v>4.0671716947061162E-2</v>
      </c>
      <c r="CK15" s="11">
        <v>9.5640748172705348E-2</v>
      </c>
      <c r="CL15" s="11">
        <v>0.16165447304317659</v>
      </c>
      <c r="CM15" s="11">
        <v>-4.6626535792598657E-2</v>
      </c>
      <c r="CN15" s="11">
        <v>2.1760000000000171E-4</v>
      </c>
      <c r="CO15" s="11">
        <v>-0.1069792441995681</v>
      </c>
      <c r="CP15" s="11">
        <v>-0.13009874767373969</v>
      </c>
      <c r="CQ15" s="11">
        <v>2.49633604564388E-2</v>
      </c>
      <c r="CR15" s="11">
        <v>0.18148893223573509</v>
      </c>
      <c r="CS15" s="11">
        <v>1.6912400000000001E-2</v>
      </c>
      <c r="CT15" s="11">
        <v>4.9416703656119249E-3</v>
      </c>
      <c r="CU15" s="11">
        <v>-0.12404993141386809</v>
      </c>
      <c r="CV15" s="11">
        <v>0.18261154771691629</v>
      </c>
      <c r="CW15" s="11">
        <v>2.6072090903126711E-2</v>
      </c>
      <c r="CX15" s="11">
        <v>2.4039607053330959E-2</v>
      </c>
      <c r="CY15" s="11">
        <v>9.2947904335357948E-2</v>
      </c>
      <c r="CZ15" s="11">
        <v>7.9886947944342257E-2</v>
      </c>
      <c r="DA15" s="11">
        <v>8.8861800000000005E-2</v>
      </c>
      <c r="DB15" s="11">
        <v>9.7047700000000001E-2</v>
      </c>
      <c r="DC15" s="11">
        <v>-6.7692431945125919E-2</v>
      </c>
      <c r="DD15" s="11">
        <v>-6.7525099999999977E-2</v>
      </c>
      <c r="DE15" s="11">
        <v>-5.7163634731252508E-2</v>
      </c>
      <c r="DF15" s="11">
        <v>-6.0545262726041799E-3</v>
      </c>
      <c r="DG15" s="11">
        <v>-0.11309156284035971</v>
      </c>
      <c r="DH15" s="11">
        <v>0.1296235</v>
      </c>
      <c r="DI15" s="11">
        <v>4.2810999999999988E-2</v>
      </c>
      <c r="DJ15" s="11">
        <v>-5.1853853094406883E-2</v>
      </c>
      <c r="DK15" s="11">
        <v>0.101774834051468</v>
      </c>
      <c r="DL15" s="11">
        <v>-3.0399320282783332E-4</v>
      </c>
      <c r="DM15" s="11">
        <v>-3.9052116693665768E-2</v>
      </c>
      <c r="DN15" s="11">
        <v>-8.1730712251129128E-2</v>
      </c>
      <c r="DO15" s="11">
        <v>-3.4104415749097068E-2</v>
      </c>
      <c r="DP15" s="11">
        <v>-0.1343049473653663</v>
      </c>
      <c r="DQ15" s="11">
        <v>3.7038688952197418E-2</v>
      </c>
      <c r="DR15" s="11">
        <v>7.0010566617938433E-2</v>
      </c>
      <c r="DS15" s="11">
        <v>9.5715424587646258E-3</v>
      </c>
      <c r="DT15" s="11">
        <v>-7.2163631718163007E-2</v>
      </c>
      <c r="DU15" s="11">
        <v>-0.1171285</v>
      </c>
      <c r="DV15" s="11">
        <v>-4.6727729353239662E-2</v>
      </c>
      <c r="DW15" s="11">
        <v>-6.08268E-2</v>
      </c>
      <c r="DX15" s="11">
        <v>2.1545670320480031E-2</v>
      </c>
      <c r="DY15" s="11">
        <v>-8.3673634692538773E-2</v>
      </c>
      <c r="DZ15" s="11">
        <v>3.6596497763803963E-2</v>
      </c>
      <c r="EA15" s="11">
        <v>0.1091777</v>
      </c>
      <c r="EB15" s="11">
        <v>-5.6128999999999998E-2</v>
      </c>
      <c r="EC15" s="11">
        <v>-1.7783799999999999E-2</v>
      </c>
      <c r="ED15" s="11">
        <v>-7.2383699999999995E-2</v>
      </c>
      <c r="EE15" s="11">
        <v>-3.1901999999999998E-3</v>
      </c>
      <c r="EF15" s="11">
        <v>2.96441E-2</v>
      </c>
      <c r="EG15" s="8">
        <f t="shared" si="10"/>
        <v>-6.7827151989288802E-3</v>
      </c>
      <c r="EH15">
        <f t="shared" si="11"/>
        <v>8.6314249679694727E-2</v>
      </c>
      <c r="EI15" s="20">
        <f t="shared" si="12"/>
        <v>-7.8581638884645283E-2</v>
      </c>
    </row>
    <row r="16" spans="1:139">
      <c r="A16" s="19">
        <v>107</v>
      </c>
      <c r="B16" s="19">
        <v>9</v>
      </c>
      <c r="C16" s="11">
        <v>3.9435389831589431E-2</v>
      </c>
      <c r="D16" s="11">
        <v>-0.23433797695998909</v>
      </c>
      <c r="E16" s="11">
        <v>-8.6704171428553314E-2</v>
      </c>
      <c r="F16" s="11">
        <v>7.871547190433098E-2</v>
      </c>
      <c r="G16" s="11">
        <v>8.1465506589492725E-3</v>
      </c>
      <c r="H16" s="11">
        <v>-6.4934945682303775E-4</v>
      </c>
      <c r="I16" s="11">
        <v>0.10921796333624501</v>
      </c>
      <c r="J16" s="11">
        <v>7.3104639142384409E-2</v>
      </c>
      <c r="K16" s="11">
        <v>8.642089158239058E-2</v>
      </c>
      <c r="L16" s="11">
        <v>8.5161604114211434E-2</v>
      </c>
      <c r="M16" s="11">
        <v>-1.3987435861917089E-2</v>
      </c>
      <c r="N16" s="11">
        <v>-0.1202424982791967</v>
      </c>
      <c r="O16" s="11">
        <v>-2.8587076878979191E-2</v>
      </c>
      <c r="P16" s="11">
        <v>6.1045231791422308E-2</v>
      </c>
      <c r="Q16" s="11">
        <v>8.1478643305993262E-2</v>
      </c>
      <c r="R16" s="11">
        <v>0.1031096938877092</v>
      </c>
      <c r="S16" s="11">
        <v>0.1098590443348066</v>
      </c>
      <c r="T16" s="11">
        <v>-3.8406673293611998E-2</v>
      </c>
      <c r="U16" s="11">
        <v>-9.147193495076697E-2</v>
      </c>
      <c r="V16" s="11">
        <v>-7.5571486108906974E-2</v>
      </c>
      <c r="W16" s="11">
        <v>-0.10166567604781181</v>
      </c>
      <c r="X16" s="11">
        <v>-0.24053196162716611</v>
      </c>
      <c r="Y16" s="11">
        <v>-5.0278834461062571E-2</v>
      </c>
      <c r="Z16" s="11">
        <v>-4.3010058183760941E-2</v>
      </c>
      <c r="AA16" s="11">
        <v>0.16615889129731709</v>
      </c>
      <c r="AB16" s="11">
        <v>3.2295414434067762E-2</v>
      </c>
      <c r="AC16" s="11">
        <v>1.27654480354167E-2</v>
      </c>
      <c r="AD16" s="11">
        <v>-5.3136055547856789E-2</v>
      </c>
      <c r="AE16" s="11">
        <v>0.20962824117691051</v>
      </c>
      <c r="AF16" s="11">
        <v>-0.14791561026442651</v>
      </c>
      <c r="AG16" s="11">
        <v>4.3776159735772403E-2</v>
      </c>
      <c r="AH16" s="11">
        <v>3.1765400449440553E-2</v>
      </c>
      <c r="AI16" s="11">
        <v>-4.9078043176568033E-2</v>
      </c>
      <c r="AJ16" s="11">
        <v>7.0259660718760518E-3</v>
      </c>
      <c r="AK16" s="11">
        <v>-3.7433452981487869E-2</v>
      </c>
      <c r="AL16" s="11">
        <v>-5.4397026306529771E-3</v>
      </c>
      <c r="AM16" s="11">
        <v>-6.6076730601797973E-2</v>
      </c>
      <c r="AN16" s="11">
        <v>-0.1064562000896756</v>
      </c>
      <c r="AO16" s="11">
        <v>-6.1424671825912318E-2</v>
      </c>
      <c r="AP16" s="11">
        <v>7.779836814558852E-2</v>
      </c>
      <c r="AQ16" s="11">
        <v>5.4497752943883322E-2</v>
      </c>
      <c r="AR16" s="11">
        <v>3.4371979060270931E-2</v>
      </c>
      <c r="AS16" s="11">
        <v>-5.2642718238233757E-2</v>
      </c>
      <c r="AT16" s="11">
        <v>0.1225640433502848</v>
      </c>
      <c r="AU16" s="11">
        <v>-8.2090271843001925E-2</v>
      </c>
      <c r="AV16" s="11">
        <v>5.2080835436737513E-2</v>
      </c>
      <c r="AW16" s="11">
        <v>-0.10898493864152869</v>
      </c>
      <c r="AX16" s="11">
        <v>-0.1006213291014028</v>
      </c>
      <c r="AY16" s="11">
        <v>1.9601853599139189E-2</v>
      </c>
      <c r="AZ16" s="11">
        <v>-8.8150181520572649E-2</v>
      </c>
      <c r="BA16" s="11">
        <v>-3.3911561984698517E-2</v>
      </c>
      <c r="BB16" s="11">
        <v>0.10803892415273809</v>
      </c>
      <c r="BC16" s="11">
        <v>3.8999391922231702E-2</v>
      </c>
      <c r="BD16" s="11">
        <v>6.2841111111111118E-3</v>
      </c>
      <c r="BE16" s="11">
        <v>-4.414033333333333E-2</v>
      </c>
      <c r="BF16" s="11">
        <v>-5.4584333333333353E-2</v>
      </c>
      <c r="BG16" s="11">
        <v>1.9331222222222229E-2</v>
      </c>
      <c r="BH16" s="11">
        <v>-9.6162034507733696E-2</v>
      </c>
      <c r="BI16" s="11">
        <v>2.5620888888888881E-2</v>
      </c>
      <c r="BJ16" s="11">
        <v>2.0503816283207601E-2</v>
      </c>
      <c r="BK16" s="11">
        <v>5.137162452601142E-2</v>
      </c>
      <c r="BL16" s="11">
        <v>-7.0623565707523178E-2</v>
      </c>
      <c r="BM16" s="11">
        <v>3.9497985491106162E-2</v>
      </c>
      <c r="BN16" s="11">
        <v>-4.7905832604027233E-2</v>
      </c>
      <c r="BO16" s="11">
        <v>-2.1890359953657689E-2</v>
      </c>
      <c r="BP16" s="11">
        <v>-2.0843183547580579E-2</v>
      </c>
      <c r="BQ16" s="11">
        <v>-1.6478016254928601E-2</v>
      </c>
      <c r="BR16" s="11">
        <v>-2.6296848021444389E-2</v>
      </c>
      <c r="BS16" s="11">
        <v>-1.319157314746418E-2</v>
      </c>
      <c r="BT16" s="11">
        <v>-4.6660882493518303E-2</v>
      </c>
      <c r="BU16" s="11">
        <v>-1.5064577536601851E-2</v>
      </c>
      <c r="BV16" s="11">
        <v>-3.658563792374666E-2</v>
      </c>
      <c r="BW16" s="11">
        <v>-0.31797083453836722</v>
      </c>
      <c r="BX16" s="11">
        <v>6.6559519118082902E-2</v>
      </c>
      <c r="BY16" s="11">
        <v>-0.13255840925737919</v>
      </c>
      <c r="BZ16" s="11">
        <v>0.11152584850164921</v>
      </c>
      <c r="CA16" s="11">
        <v>2.7431000000000001E-2</v>
      </c>
      <c r="CB16" s="11">
        <v>0.1158655489891553</v>
      </c>
      <c r="CC16" s="11">
        <v>4.4386333333333347E-2</v>
      </c>
      <c r="CD16" s="11">
        <v>0.15507127162636181</v>
      </c>
      <c r="CE16" s="11">
        <v>9.3613777777777768E-2</v>
      </c>
      <c r="CF16" s="11">
        <v>-5.280008433528089E-2</v>
      </c>
      <c r="CG16" s="11">
        <v>-6.1727878146666561E-2</v>
      </c>
      <c r="CH16" s="11">
        <v>-5.0448724703996098E-2</v>
      </c>
      <c r="CI16" s="11">
        <v>-5.834333333333333E-2</v>
      </c>
      <c r="CJ16" s="11">
        <v>2.970338549376331E-2</v>
      </c>
      <c r="CK16" s="11">
        <v>8.8422689781607638E-2</v>
      </c>
      <c r="CL16" s="11">
        <v>0.19674043815921369</v>
      </c>
      <c r="CM16" s="11">
        <v>-6.9997267456522183E-3</v>
      </c>
      <c r="CN16" s="11">
        <v>9.6095555555555569E-3</v>
      </c>
      <c r="CO16" s="11">
        <v>-0.13464020879390531</v>
      </c>
      <c r="CP16" s="11">
        <v>-0.1111514502016443</v>
      </c>
      <c r="CQ16" s="11">
        <v>2.0333779820360921E-2</v>
      </c>
      <c r="CR16" s="11">
        <v>0.1892865334673984</v>
      </c>
      <c r="CS16" s="11">
        <v>2.1808222222222218E-2</v>
      </c>
      <c r="CT16" s="11">
        <v>2.5557377960834651E-2</v>
      </c>
      <c r="CU16" s="11">
        <v>-0.1354717008642061</v>
      </c>
      <c r="CV16" s="11">
        <v>0.17225152263848631</v>
      </c>
      <c r="CW16" s="11">
        <v>4.7341659174279828E-2</v>
      </c>
      <c r="CX16" s="11">
        <v>1.224028475424996E-2</v>
      </c>
      <c r="CY16" s="11">
        <v>8.1280637874214245E-2</v>
      </c>
      <c r="CZ16" s="11">
        <v>0.1026332591781325</v>
      </c>
      <c r="DA16" s="11">
        <v>0.11818055555555559</v>
      </c>
      <c r="DB16" s="11">
        <v>9.8016666666666655E-2</v>
      </c>
      <c r="DC16" s="11">
        <v>-8.3264051622984642E-2</v>
      </c>
      <c r="DD16" s="11">
        <v>-7.4370111111111095E-2</v>
      </c>
      <c r="DE16" s="11">
        <v>-3.4552400358790022E-2</v>
      </c>
      <c r="DF16" s="11">
        <v>-2.6980135523259619E-3</v>
      </c>
      <c r="DG16" s="11">
        <v>-0.12637191985047269</v>
      </c>
      <c r="DH16" s="11">
        <v>0.13714944444444449</v>
      </c>
      <c r="DI16" s="11">
        <v>4.7828777777777769E-2</v>
      </c>
      <c r="DJ16" s="11">
        <v>-2.914140608062964E-2</v>
      </c>
      <c r="DK16" s="11">
        <v>0.1335943566255807</v>
      </c>
      <c r="DL16" s="11">
        <v>-2.187287424977424E-2</v>
      </c>
      <c r="DM16" s="11">
        <v>-1.8910374168543239E-2</v>
      </c>
      <c r="DN16" s="11">
        <v>-0.1158867317449916</v>
      </c>
      <c r="DO16" s="11">
        <v>-4.656386647977797E-2</v>
      </c>
      <c r="DP16" s="11">
        <v>-0.16033399447581251</v>
      </c>
      <c r="DQ16" s="11">
        <v>4.7070156004531787E-2</v>
      </c>
      <c r="DR16" s="11">
        <v>5.5191251649515209E-2</v>
      </c>
      <c r="DS16" s="11">
        <v>-1.042302437651493E-2</v>
      </c>
      <c r="DT16" s="11">
        <v>-0.10053412782446559</v>
      </c>
      <c r="DU16" s="11">
        <v>-0.12277299999999999</v>
      </c>
      <c r="DV16" s="11">
        <v>-4.5728317172487008E-2</v>
      </c>
      <c r="DW16" s="11">
        <v>-7.1303111111111109E-2</v>
      </c>
      <c r="DX16" s="11">
        <v>2.1947727776040898E-2</v>
      </c>
      <c r="DY16" s="11">
        <v>-9.4984864221236961E-2</v>
      </c>
      <c r="DZ16" s="11">
        <v>1.264917158578936E-2</v>
      </c>
      <c r="EA16" s="11">
        <v>0.13979988888888889</v>
      </c>
      <c r="EB16" s="11">
        <v>-7.0877777777777762E-2</v>
      </c>
      <c r="EC16" s="11">
        <v>-2.4936444444444442E-2</v>
      </c>
      <c r="ED16" s="11">
        <v>-8.0285222222222202E-2</v>
      </c>
      <c r="EE16" s="11">
        <v>-4.3961111111111119E-3</v>
      </c>
      <c r="EF16" s="11">
        <v>3.4548444444444437E-2</v>
      </c>
      <c r="EG16" s="8">
        <f t="shared" si="10"/>
        <v>-4.2107563146126931E-3</v>
      </c>
      <c r="EH16">
        <f t="shared" si="11"/>
        <v>8.9717775360345489E-2</v>
      </c>
      <c r="EI16" s="20">
        <f t="shared" si="12"/>
        <v>-4.6933356268593039E-2</v>
      </c>
    </row>
    <row r="17" spans="1:139">
      <c r="A17" s="19">
        <v>120</v>
      </c>
      <c r="B17" s="19">
        <v>8</v>
      </c>
      <c r="C17" s="11">
        <v>3.8913468982799751E-2</v>
      </c>
      <c r="D17" s="11">
        <v>-0.16854736185977429</v>
      </c>
      <c r="E17" s="11">
        <v>-9.6671109192610821E-2</v>
      </c>
      <c r="F17" s="11">
        <v>8.0752164152319103E-2</v>
      </c>
      <c r="G17" s="11">
        <v>0.10538707466373071</v>
      </c>
      <c r="H17" s="11">
        <v>7.9428568480016878E-3</v>
      </c>
      <c r="I17" s="11">
        <v>0.11307752437344649</v>
      </c>
      <c r="J17" s="11">
        <v>4.82869479607657E-2</v>
      </c>
      <c r="K17" s="11">
        <v>0.1015600797223099</v>
      </c>
      <c r="L17" s="11">
        <v>4.2234791145342128E-2</v>
      </c>
      <c r="M17" s="11">
        <v>1.4659142090288421E-2</v>
      </c>
      <c r="N17" s="11">
        <v>-0.1092778268298058</v>
      </c>
      <c r="O17" s="11">
        <v>-1.1306676064132231E-2</v>
      </c>
      <c r="P17" s="11">
        <v>6.6339369138831011E-2</v>
      </c>
      <c r="Q17" s="11">
        <v>0.10026682830356801</v>
      </c>
      <c r="R17" s="11">
        <v>0.13642644520024619</v>
      </c>
      <c r="S17" s="11">
        <v>0.1190543893253307</v>
      </c>
      <c r="T17" s="11">
        <v>-2.3342585510940761E-2</v>
      </c>
      <c r="U17" s="11">
        <v>-6.2405901699897098E-2</v>
      </c>
      <c r="V17" s="11">
        <v>-9.7259655852603044E-2</v>
      </c>
      <c r="W17" s="11">
        <v>-0.1196039840123075</v>
      </c>
      <c r="X17" s="11">
        <v>-0.2379894313203148</v>
      </c>
      <c r="Y17" s="11">
        <v>-7.3623131490407626E-2</v>
      </c>
      <c r="Z17" s="11">
        <v>-4.832567357165625E-2</v>
      </c>
      <c r="AA17" s="11">
        <v>0.19128343691540939</v>
      </c>
      <c r="AB17" s="11">
        <v>4.4538303269439639E-2</v>
      </c>
      <c r="AC17" s="11">
        <v>2.008625473802152E-2</v>
      </c>
      <c r="AD17" s="11">
        <v>-4.9777375460754107E-2</v>
      </c>
      <c r="AE17" s="11">
        <v>0.22212270442845089</v>
      </c>
      <c r="AF17" s="11">
        <v>-0.1202863246558465</v>
      </c>
      <c r="AG17" s="11">
        <v>6.2640141571138702E-2</v>
      </c>
      <c r="AH17" s="11">
        <v>3.5472619172888853E-2</v>
      </c>
      <c r="AI17" s="11">
        <v>-3.058770864151358E-2</v>
      </c>
      <c r="AJ17" s="11">
        <v>4.2602630518956887E-2</v>
      </c>
      <c r="AK17" s="11">
        <v>-2.937588960957525E-2</v>
      </c>
      <c r="AL17" s="11">
        <v>-2.701818216868862E-2</v>
      </c>
      <c r="AM17" s="11">
        <v>-7.5369367587656971E-2</v>
      </c>
      <c r="AN17" s="11">
        <v>-0.1132871203459177</v>
      </c>
      <c r="AO17" s="11">
        <v>-1.2632334595724191E-2</v>
      </c>
      <c r="AP17" s="11">
        <v>7.7242814419585484E-2</v>
      </c>
      <c r="AQ17" s="11">
        <v>6.1277252118221971E-2</v>
      </c>
      <c r="AR17" s="11">
        <v>4.5802625557302828E-2</v>
      </c>
      <c r="AS17" s="11">
        <v>-5.8802956944234333E-2</v>
      </c>
      <c r="AT17" s="11">
        <v>0.1270717931072517</v>
      </c>
      <c r="AU17" s="11">
        <v>-0.11569960953410489</v>
      </c>
      <c r="AV17" s="11">
        <v>5.8529449334631382E-2</v>
      </c>
      <c r="AW17" s="11">
        <v>-7.6189610229816601E-2</v>
      </c>
      <c r="AX17" s="11">
        <v>-9.7619105117607935E-2</v>
      </c>
      <c r="AY17" s="11">
        <v>1.547804570524644E-2</v>
      </c>
      <c r="AZ17" s="11">
        <v>-7.0494230916434586E-2</v>
      </c>
      <c r="BA17" s="11">
        <v>-3.8771615247690558E-2</v>
      </c>
      <c r="BB17" s="11">
        <v>0.1237640631138444</v>
      </c>
      <c r="BC17" s="11">
        <v>2.729282438048998E-2</v>
      </c>
      <c r="BD17" s="11">
        <v>1.9414125000000001E-2</v>
      </c>
      <c r="BE17" s="11">
        <v>-1.6298625000000001E-2</v>
      </c>
      <c r="BF17" s="11">
        <v>-7.7417000000000014E-2</v>
      </c>
      <c r="BG17" s="11">
        <v>-1.3153750000000001E-2</v>
      </c>
      <c r="BH17" s="11">
        <v>-0.1331911133253291</v>
      </c>
      <c r="BI17" s="11">
        <v>5.7450749999999988E-2</v>
      </c>
      <c r="BJ17" s="11">
        <v>9.8580642732364818E-3</v>
      </c>
      <c r="BK17" s="11">
        <v>1.67513267503808E-2</v>
      </c>
      <c r="BL17" s="11">
        <v>-7.7482966799946165E-2</v>
      </c>
      <c r="BM17" s="11">
        <v>2.905901115235426E-2</v>
      </c>
      <c r="BN17" s="11">
        <v>-4.6915525593877988E-2</v>
      </c>
      <c r="BO17" s="11">
        <v>-3.5179615416723611E-2</v>
      </c>
      <c r="BP17" s="11">
        <v>-3.5995979654480911E-2</v>
      </c>
      <c r="BQ17" s="11">
        <v>-1.1376510446451601E-2</v>
      </c>
      <c r="BR17" s="11">
        <v>-9.6463751247498966E-3</v>
      </c>
      <c r="BS17" s="11">
        <v>-4.1034691106065987E-3</v>
      </c>
      <c r="BT17" s="11">
        <v>-5.2650160261977733E-2</v>
      </c>
      <c r="BU17" s="11">
        <v>-3.8510384871554643E-2</v>
      </c>
      <c r="BV17" s="11">
        <v>-3.8240956502194168E-2</v>
      </c>
      <c r="BW17" s="11">
        <v>-0.2083368255173885</v>
      </c>
      <c r="BX17" s="11">
        <v>8.2640989537648424E-2</v>
      </c>
      <c r="BY17" s="11">
        <v>-0.14247737512646691</v>
      </c>
      <c r="BZ17" s="11">
        <v>0.12057815588108529</v>
      </c>
      <c r="CA17" s="11">
        <v>2.7196125000000002E-2</v>
      </c>
      <c r="CB17" s="11">
        <v>0.10916583702074401</v>
      </c>
      <c r="CC17" s="11">
        <v>4.1758499999999997E-2</v>
      </c>
      <c r="CD17" s="11">
        <v>0.17295974121914859</v>
      </c>
      <c r="CE17" s="11">
        <v>9.5707624999999991E-2</v>
      </c>
      <c r="CF17" s="11">
        <v>-5.8238796594696537E-2</v>
      </c>
      <c r="CG17" s="11">
        <v>-7.4714988628731105E-2</v>
      </c>
      <c r="CH17" s="11">
        <v>-3.296907217045305E-2</v>
      </c>
      <c r="CI17" s="11">
        <v>-8.2451250000000004E-2</v>
      </c>
      <c r="CJ17" s="11">
        <v>2.0950827481348411E-2</v>
      </c>
      <c r="CK17" s="11">
        <v>8.3955848259630761E-2</v>
      </c>
      <c r="CL17" s="11">
        <v>0.13683909896473681</v>
      </c>
      <c r="CM17" s="11">
        <v>1.669972893353411E-3</v>
      </c>
      <c r="CN17" s="11">
        <v>1.3630750000000001E-2</v>
      </c>
      <c r="CO17" s="11">
        <v>-0.13741287532952509</v>
      </c>
      <c r="CP17" s="11">
        <v>-0.108221383508889</v>
      </c>
      <c r="CQ17" s="11">
        <v>-5.1907103341726511E-2</v>
      </c>
      <c r="CR17" s="11">
        <v>0.19640263176228931</v>
      </c>
      <c r="CS17" s="11">
        <v>1.1546625E-2</v>
      </c>
      <c r="CT17" s="11">
        <v>1.7339280405090751E-2</v>
      </c>
      <c r="CU17" s="11">
        <v>-0.15535189279975939</v>
      </c>
      <c r="CV17" s="11">
        <v>0.15147138486135439</v>
      </c>
      <c r="CW17" s="11">
        <v>6.3393218804487977E-2</v>
      </c>
      <c r="CX17" s="11">
        <v>1.0772394523947831E-2</v>
      </c>
      <c r="CY17" s="11">
        <v>7.5608913409805675E-2</v>
      </c>
      <c r="CZ17" s="11">
        <v>0.1242488378476205</v>
      </c>
      <c r="DA17" s="11">
        <v>9.4495625E-2</v>
      </c>
      <c r="DB17" s="11">
        <v>0.104271</v>
      </c>
      <c r="DC17" s="11">
        <v>-9.8849392549809512E-2</v>
      </c>
      <c r="DD17" s="11">
        <v>-4.8129999999999992E-2</v>
      </c>
      <c r="DE17" s="11">
        <v>-2.4124863346722019E-2</v>
      </c>
      <c r="DF17" s="11">
        <v>-1.5674444936529901E-2</v>
      </c>
      <c r="DG17" s="11">
        <v>-0.12321246613063939</v>
      </c>
      <c r="DH17" s="11">
        <v>0.16343337499999999</v>
      </c>
      <c r="DI17" s="11">
        <v>7.0181249999999987E-2</v>
      </c>
      <c r="DJ17" s="11">
        <v>-4.5336157540819967E-2</v>
      </c>
      <c r="DK17" s="11">
        <v>0.15603642811654619</v>
      </c>
      <c r="DL17" s="11">
        <v>-3.929731691128693E-3</v>
      </c>
      <c r="DM17" s="11">
        <v>-3.7227475515992328E-2</v>
      </c>
      <c r="DN17" s="11">
        <v>-0.1064799626072864</v>
      </c>
      <c r="DO17" s="11">
        <v>-6.5250544351453679E-2</v>
      </c>
      <c r="DP17" s="11">
        <v>-0.14203415825063481</v>
      </c>
      <c r="DQ17" s="11">
        <v>7.2654005106024863E-2</v>
      </c>
      <c r="DR17" s="11">
        <v>5.5884814876328279E-2</v>
      </c>
      <c r="DS17" s="11">
        <v>-6.5055362314722226E-3</v>
      </c>
      <c r="DT17" s="11">
        <v>-9.3138949685151573E-2</v>
      </c>
      <c r="DU17" s="11">
        <v>-0.129494</v>
      </c>
      <c r="DV17" s="11">
        <v>-4.5148836149058763E-2</v>
      </c>
      <c r="DW17" s="11">
        <v>-7.6599750000000008E-2</v>
      </c>
      <c r="DX17" s="11">
        <v>-2.3035180169188669E-2</v>
      </c>
      <c r="DY17" s="11">
        <v>-0.12601053790105471</v>
      </c>
      <c r="DZ17" s="11">
        <v>-4.7910532459885732E-3</v>
      </c>
      <c r="EA17" s="11">
        <v>0.16457237499999999</v>
      </c>
      <c r="EB17" s="11">
        <v>-7.3783624999999992E-2</v>
      </c>
      <c r="EC17" s="11">
        <v>-2.0359374999999999E-2</v>
      </c>
      <c r="ED17" s="11">
        <v>-8.2855624999999988E-2</v>
      </c>
      <c r="EE17" s="11">
        <v>1.9437499999999921E-4</v>
      </c>
      <c r="EF17" s="11">
        <v>4.0984749999999993E-2</v>
      </c>
      <c r="EG17" s="8">
        <f t="shared" si="10"/>
        <v>-1.905196682712334E-3</v>
      </c>
      <c r="EH17">
        <f t="shared" si="11"/>
        <v>8.9722958602554442E-2</v>
      </c>
      <c r="EI17" s="20">
        <f t="shared" si="12"/>
        <v>-2.1234215995392873E-2</v>
      </c>
    </row>
    <row r="18" spans="1:139">
      <c r="A18" s="19">
        <v>137</v>
      </c>
      <c r="B18" s="19">
        <v>7</v>
      </c>
      <c r="C18" s="11">
        <v>5.9146797802220617E-2</v>
      </c>
      <c r="D18" s="11">
        <v>-0.18401888940316621</v>
      </c>
      <c r="E18" s="11">
        <v>-0.10047562300309219</v>
      </c>
      <c r="F18" s="11">
        <v>0.11938296010218979</v>
      </c>
      <c r="G18" s="11">
        <v>0.10831637328507999</v>
      </c>
      <c r="H18" s="11">
        <v>8.6222277544443261E-3</v>
      </c>
      <c r="I18" s="11">
        <v>0.1286265558355405</v>
      </c>
      <c r="J18" s="11">
        <v>9.1173231687568024E-2</v>
      </c>
      <c r="K18" s="11">
        <v>0.13564788877763229</v>
      </c>
      <c r="L18" s="11">
        <v>5.0758207106719029E-2</v>
      </c>
      <c r="M18" s="11">
        <v>2.9051464376457319E-2</v>
      </c>
      <c r="N18" s="11">
        <v>-0.14120748849629611</v>
      </c>
      <c r="O18" s="11">
        <v>3.1737941097498189E-2</v>
      </c>
      <c r="P18" s="11">
        <v>8.2552611569947768E-2</v>
      </c>
      <c r="Q18" s="11">
        <v>9.3059589912906207E-2</v>
      </c>
      <c r="R18" s="11">
        <v>0.1541891887340214</v>
      </c>
      <c r="S18" s="11">
        <v>0.14380522729889919</v>
      </c>
      <c r="T18" s="11">
        <v>-5.2309697550730873E-2</v>
      </c>
      <c r="U18" s="11">
        <v>-5.5150343051564729E-2</v>
      </c>
      <c r="V18" s="11">
        <v>-0.1213914614259257</v>
      </c>
      <c r="W18" s="11">
        <v>-0.1379172379157062</v>
      </c>
      <c r="X18" s="11">
        <v>-0.21512105739995169</v>
      </c>
      <c r="Y18" s="11">
        <v>-0.1038792439088113</v>
      </c>
      <c r="Z18" s="11">
        <v>-5.1469725750839503E-2</v>
      </c>
      <c r="AA18" s="11">
        <v>0.17257065753452869</v>
      </c>
      <c r="AB18" s="11">
        <v>6.2644805262660919E-2</v>
      </c>
      <c r="AC18" s="11">
        <v>-1.3654204768322529E-3</v>
      </c>
      <c r="AD18" s="11">
        <v>-7.2443789088531399E-2</v>
      </c>
      <c r="AE18" s="11">
        <v>0.25839134891520849</v>
      </c>
      <c r="AF18" s="11">
        <v>-0.1505436398240734</v>
      </c>
      <c r="AG18" s="11">
        <v>8.1719979892753619E-2</v>
      </c>
      <c r="AH18" s="11">
        <v>4.0197460968514703E-2</v>
      </c>
      <c r="AI18" s="11">
        <v>-4.6855541353756011E-2</v>
      </c>
      <c r="AJ18" s="11">
        <v>4.7393756166449127E-2</v>
      </c>
      <c r="AK18" s="11">
        <v>-2.283288536199644E-2</v>
      </c>
      <c r="AL18" s="11">
        <v>-3.2812811779609451E-2</v>
      </c>
      <c r="AM18" s="11">
        <v>-6.6643405424771207E-2</v>
      </c>
      <c r="AN18" s="11">
        <v>-7.9294639955201793E-2</v>
      </c>
      <c r="AO18" s="11">
        <v>-5.4275349676927882E-3</v>
      </c>
      <c r="AP18" s="11">
        <v>7.8278591933806971E-2</v>
      </c>
      <c r="AQ18" s="11">
        <v>6.4154973663518397E-2</v>
      </c>
      <c r="AR18" s="11">
        <v>3.9002474062764268E-2</v>
      </c>
      <c r="AS18" s="11">
        <v>-8.3253127889185943E-2</v>
      </c>
      <c r="AT18" s="11">
        <v>0.16638580942405889</v>
      </c>
      <c r="AU18" s="11">
        <v>-0.13889821464621971</v>
      </c>
      <c r="AV18" s="11">
        <v>6.0235664706469842E-2</v>
      </c>
      <c r="AW18" s="11">
        <v>-9.7766861821235188E-2</v>
      </c>
      <c r="AX18" s="11">
        <v>-0.12606433742612741</v>
      </c>
      <c r="AY18" s="11">
        <v>3.0189358728490181E-2</v>
      </c>
      <c r="AZ18" s="11">
        <v>-5.1646327393508343E-2</v>
      </c>
      <c r="BA18" s="11">
        <v>-3.5302240006763339E-2</v>
      </c>
      <c r="BB18" s="11">
        <v>0.13765604215733709</v>
      </c>
      <c r="BC18" s="11">
        <v>-2.7942050701969749E-2</v>
      </c>
      <c r="BD18" s="11">
        <v>2.0277714285714281E-2</v>
      </c>
      <c r="BE18" s="11">
        <v>-2.2232285714285711E-2</v>
      </c>
      <c r="BF18" s="11">
        <v>-3.8142000000000002E-2</v>
      </c>
      <c r="BG18" s="11">
        <v>-2.3085714285714242E-3</v>
      </c>
      <c r="BH18" s="11">
        <v>-0.1378982651501425</v>
      </c>
      <c r="BI18" s="11">
        <v>3.3489571428571417E-2</v>
      </c>
      <c r="BJ18" s="11">
        <v>-5.9560640504595433E-3</v>
      </c>
      <c r="BK18" s="11">
        <v>9.810839031169187E-4</v>
      </c>
      <c r="BL18" s="11">
        <v>-8.1157673820204085E-2</v>
      </c>
      <c r="BM18" s="11">
        <v>2.8081356373095352E-2</v>
      </c>
      <c r="BN18" s="11">
        <v>-5.2774389623830152E-2</v>
      </c>
      <c r="BO18" s="11">
        <v>-2.0227496106374639E-2</v>
      </c>
      <c r="BP18" s="11">
        <v>-4.6857540334682007E-2</v>
      </c>
      <c r="BQ18" s="11">
        <v>-1.916784109848992E-3</v>
      </c>
      <c r="BR18" s="11">
        <v>-5.7481935839547244E-3</v>
      </c>
      <c r="BS18" s="11">
        <v>-3.9836250971192512E-3</v>
      </c>
      <c r="BT18" s="11">
        <v>-6.1545322892704799E-2</v>
      </c>
      <c r="BU18" s="11">
        <v>8.9206671055132442E-3</v>
      </c>
      <c r="BV18" s="11">
        <v>-3.96244261241478E-2</v>
      </c>
      <c r="BW18" s="11">
        <v>-0.21837549913098869</v>
      </c>
      <c r="BX18" s="11">
        <v>7.4580863414598103E-2</v>
      </c>
      <c r="BY18" s="11">
        <v>-8.7465268272101659E-2</v>
      </c>
      <c r="BZ18" s="11">
        <v>0.15331998780259809</v>
      </c>
      <c r="CA18" s="11">
        <v>3.3285857142857138E-2</v>
      </c>
      <c r="CB18" s="11">
        <v>9.7387282979409254E-2</v>
      </c>
      <c r="CC18" s="11">
        <v>0.1046597142857143</v>
      </c>
      <c r="CD18" s="11">
        <v>0.19371681864683071</v>
      </c>
      <c r="CE18" s="11">
        <v>7.7259857142857144E-2</v>
      </c>
      <c r="CF18" s="11">
        <v>4.3957743386608697E-2</v>
      </c>
      <c r="CG18" s="11">
        <v>-9.1609255563919342E-2</v>
      </c>
      <c r="CH18" s="11">
        <v>-4.5365648959158789E-2</v>
      </c>
      <c r="CI18" s="11">
        <v>-0.1177235714285714</v>
      </c>
      <c r="CJ18" s="11">
        <v>-3.772366500397611E-3</v>
      </c>
      <c r="CK18" s="11">
        <v>9.6058031665523097E-2</v>
      </c>
      <c r="CL18" s="11">
        <v>0.15291394380948509</v>
      </c>
      <c r="CM18" s="11">
        <v>1.554875034200344E-2</v>
      </c>
      <c r="CN18" s="11">
        <v>-2.8616857142857138E-2</v>
      </c>
      <c r="CO18" s="11">
        <v>-0.1505975096222473</v>
      </c>
      <c r="CP18" s="11">
        <v>-0.1162703198079334</v>
      </c>
      <c r="CQ18" s="11">
        <v>-3.8242675594942703E-2</v>
      </c>
      <c r="CR18" s="11">
        <v>0.19372240765220919</v>
      </c>
      <c r="CS18" s="11">
        <v>2.8129285714285711E-2</v>
      </c>
      <c r="CT18" s="11">
        <v>-1.6272494200008831E-2</v>
      </c>
      <c r="CU18" s="11">
        <v>-0.14456482117613489</v>
      </c>
      <c r="CV18" s="11">
        <v>0.1270222681330069</v>
      </c>
      <c r="CW18" s="11">
        <v>6.6558574498316259E-2</v>
      </c>
      <c r="CX18" s="11">
        <v>6.1560185833778078E-2</v>
      </c>
      <c r="CY18" s="11">
        <v>9.3178383907907517E-2</v>
      </c>
      <c r="CZ18" s="11">
        <v>0.13284286330177139</v>
      </c>
      <c r="DA18" s="11">
        <v>7.8357857142857146E-2</v>
      </c>
      <c r="DB18" s="11">
        <v>0.118114</v>
      </c>
      <c r="DC18" s="11">
        <v>-8.2819707211162524E-2</v>
      </c>
      <c r="DD18" s="11">
        <v>-7.1071285714285712E-2</v>
      </c>
      <c r="DE18" s="11">
        <v>-3.8420587486450893E-2</v>
      </c>
      <c r="DF18" s="11">
        <v>-2.8071975077961529E-2</v>
      </c>
      <c r="DG18" s="11">
        <v>-0.11821709327359541</v>
      </c>
      <c r="DH18" s="11">
        <v>0.1924025714285714</v>
      </c>
      <c r="DI18" s="11">
        <v>9.7962857142857129E-2</v>
      </c>
      <c r="DJ18" s="11">
        <v>-4.5204039785289522E-2</v>
      </c>
      <c r="DK18" s="11">
        <v>0.15851362709242739</v>
      </c>
      <c r="DL18" s="11">
        <v>-3.830274067592157E-3</v>
      </c>
      <c r="DM18" s="11">
        <v>-5.250678742263995E-3</v>
      </c>
      <c r="DN18" s="11">
        <v>-0.1251086832695307</v>
      </c>
      <c r="DO18" s="11">
        <v>-3.019901746158983E-2</v>
      </c>
      <c r="DP18" s="11">
        <v>-0.13348647227708049</v>
      </c>
      <c r="DQ18" s="11">
        <v>6.5749458183898837E-2</v>
      </c>
      <c r="DR18" s="11">
        <v>7.6840654771961045E-2</v>
      </c>
      <c r="DS18" s="11">
        <v>-2.5385651257138282E-2</v>
      </c>
      <c r="DT18" s="11">
        <v>-0.1160173901109771</v>
      </c>
      <c r="DU18" s="11">
        <v>-0.15871542857142859</v>
      </c>
      <c r="DV18" s="11">
        <v>-7.0527692506077544E-2</v>
      </c>
      <c r="DW18" s="11">
        <v>-6.8637857142857153E-2</v>
      </c>
      <c r="DX18" s="11">
        <v>-6.8177293521735294E-2</v>
      </c>
      <c r="DY18" s="11">
        <v>-0.16576310466200311</v>
      </c>
      <c r="DZ18" s="11">
        <v>-4.3227854869441883E-2</v>
      </c>
      <c r="EA18" s="11">
        <v>0.19894728571428569</v>
      </c>
      <c r="EB18" s="11">
        <v>-9.7044999999999992E-2</v>
      </c>
      <c r="EC18" s="11">
        <v>-1.959885714285715E-2</v>
      </c>
      <c r="ED18" s="11">
        <v>-8.0269714285714278E-2</v>
      </c>
      <c r="EE18" s="11">
        <v>-1.110285714285716E-3</v>
      </c>
      <c r="EF18" s="11">
        <v>6.3951857142857144E-2</v>
      </c>
      <c r="EG18" s="8">
        <f t="shared" si="10"/>
        <v>-1.0637235430815236E-4</v>
      </c>
      <c r="EH18">
        <f t="shared" si="11"/>
        <v>9.8127970415014018E-2</v>
      </c>
      <c r="EI18" s="20">
        <f t="shared" si="12"/>
        <v>-1.0840166555801597E-3</v>
      </c>
    </row>
    <row r="19" spans="1:139">
      <c r="A19" s="19">
        <v>160</v>
      </c>
      <c r="B19" s="19">
        <v>6</v>
      </c>
      <c r="C19" s="11">
        <v>7.386192988077088E-2</v>
      </c>
      <c r="D19" s="11">
        <v>-0.21954286838228931</v>
      </c>
      <c r="E19" s="11">
        <v>-0.1405836765913312</v>
      </c>
      <c r="F19" s="11">
        <v>0.1776886618055605</v>
      </c>
      <c r="G19" s="11">
        <v>9.6065971857177412E-2</v>
      </c>
      <c r="H19" s="11">
        <v>-1.2068788462484921E-2</v>
      </c>
      <c r="I19" s="11">
        <v>0.13411217848757939</v>
      </c>
      <c r="J19" s="11">
        <v>0.11143724417215239</v>
      </c>
      <c r="K19" s="11">
        <v>0.23878941472391671</v>
      </c>
      <c r="L19" s="11">
        <v>2.032664964034506E-2</v>
      </c>
      <c r="M19" s="11">
        <v>-4.3690236156307287E-2</v>
      </c>
      <c r="N19" s="11">
        <v>-0.15184358114798011</v>
      </c>
      <c r="O19" s="11">
        <v>3.1561874488915911E-2</v>
      </c>
      <c r="P19" s="11">
        <v>9.2534186186697107E-2</v>
      </c>
      <c r="Q19" s="11">
        <v>8.1866112736540833E-2</v>
      </c>
      <c r="R19" s="11">
        <v>0.14558327280221009</v>
      </c>
      <c r="S19" s="11">
        <v>0.1226918763357415</v>
      </c>
      <c r="T19" s="11">
        <v>-5.1464717245309592E-2</v>
      </c>
      <c r="U19" s="11">
        <v>-6.7250001618483032E-2</v>
      </c>
      <c r="V19" s="11">
        <v>-9.2688319725313148E-2</v>
      </c>
      <c r="W19" s="11">
        <v>-0.14662099071751011</v>
      </c>
      <c r="X19" s="11">
        <v>-0.14939987335272731</v>
      </c>
      <c r="Y19" s="11">
        <v>-0.10313023893043829</v>
      </c>
      <c r="Z19" s="11">
        <v>-5.7888725378699338E-2</v>
      </c>
      <c r="AA19" s="11">
        <v>0.131832899481091</v>
      </c>
      <c r="AB19" s="11">
        <v>5.1718752810757287E-2</v>
      </c>
      <c r="AC19" s="11">
        <v>-1.4141542708609799E-2</v>
      </c>
      <c r="AD19" s="11">
        <v>-2.399745726106059E-2</v>
      </c>
      <c r="AE19" s="11">
        <v>0.30849285792536868</v>
      </c>
      <c r="AF19" s="11">
        <v>-0.1688305807080431</v>
      </c>
      <c r="AG19" s="11">
        <v>4.1487103444311647E-2</v>
      </c>
      <c r="AH19" s="11">
        <v>5.6557715221703553E-2</v>
      </c>
      <c r="AI19" s="11">
        <v>-8.1770124789496509E-2</v>
      </c>
      <c r="AJ19" s="11">
        <v>5.1545290327262273E-2</v>
      </c>
      <c r="AK19" s="11">
        <v>-4.0581523113162987E-2</v>
      </c>
      <c r="AL19" s="11">
        <v>-1.491460752979841E-2</v>
      </c>
      <c r="AM19" s="11">
        <v>-4.3106011811404943E-2</v>
      </c>
      <c r="AN19" s="11">
        <v>-8.3568294365682083E-2</v>
      </c>
      <c r="AO19" s="11">
        <v>-2.589290304541441E-2</v>
      </c>
      <c r="AP19" s="11">
        <v>8.757412027285208E-2</v>
      </c>
      <c r="AQ19" s="11">
        <v>4.2375665159203019E-2</v>
      </c>
      <c r="AR19" s="11">
        <v>-4.1144514895575801E-2</v>
      </c>
      <c r="AS19" s="11">
        <v>-0.1091988760530663</v>
      </c>
      <c r="AT19" s="11">
        <v>0.18459366381005801</v>
      </c>
      <c r="AU19" s="11">
        <v>-0.1530146264742607</v>
      </c>
      <c r="AV19" s="11">
        <v>-3.0326096026080519E-3</v>
      </c>
      <c r="AW19" s="11">
        <v>-0.13669339712891271</v>
      </c>
      <c r="AX19" s="11">
        <v>-0.2241237953008561</v>
      </c>
      <c r="AY19" s="11">
        <v>6.6273242712472244E-2</v>
      </c>
      <c r="AZ19" s="11">
        <v>-0.11561152836942371</v>
      </c>
      <c r="BA19" s="11">
        <v>-1.509016555835047E-3</v>
      </c>
      <c r="BB19" s="11">
        <v>0.15974619907243159</v>
      </c>
      <c r="BC19" s="11">
        <v>-0.18457178940642721</v>
      </c>
      <c r="BD19" s="11">
        <v>-7.0833333333334206E-5</v>
      </c>
      <c r="BE19" s="11">
        <v>-3.0392666666666669E-2</v>
      </c>
      <c r="BF19" s="11">
        <v>-4.9435666666666662E-2</v>
      </c>
      <c r="BG19" s="11">
        <v>9.6333333333333687E-4</v>
      </c>
      <c r="BH19" s="11">
        <v>-0.14049690595357331</v>
      </c>
      <c r="BI19" s="11">
        <v>2.5938499999999989E-2</v>
      </c>
      <c r="BJ19" s="11">
        <v>-2.1707301538579211E-2</v>
      </c>
      <c r="BK19" s="11">
        <v>-6.9519036629441727E-2</v>
      </c>
      <c r="BL19" s="11">
        <v>-7.9964658146503109E-2</v>
      </c>
      <c r="BM19" s="11">
        <v>3.1786264869145278E-2</v>
      </c>
      <c r="BN19" s="11">
        <v>-6.7252647467271776E-2</v>
      </c>
      <c r="BO19" s="11">
        <v>-2.5728961265115379E-2</v>
      </c>
      <c r="BP19" s="11">
        <v>-6.2818807534132146E-2</v>
      </c>
      <c r="BQ19" s="11">
        <v>-9.9340444543230683E-3</v>
      </c>
      <c r="BR19" s="11">
        <v>6.6752460235200081E-3</v>
      </c>
      <c r="BS19" s="11">
        <v>-2.4256338744482069E-2</v>
      </c>
      <c r="BT19" s="11">
        <v>-8.2323403677311308E-2</v>
      </c>
      <c r="BU19" s="11">
        <v>4.32466349335403E-2</v>
      </c>
      <c r="BV19" s="11">
        <v>-3.0350791965897218E-2</v>
      </c>
      <c r="BW19" s="11">
        <v>-0.30745300680973342</v>
      </c>
      <c r="BX19" s="11">
        <v>5.4830281560316878E-2</v>
      </c>
      <c r="BY19" s="11">
        <v>-7.9866927068945853E-2</v>
      </c>
      <c r="BZ19" s="11">
        <v>6.8702124822053873E-2</v>
      </c>
      <c r="CA19" s="11">
        <v>3.5610166666666658E-2</v>
      </c>
      <c r="CB19" s="11">
        <v>7.8976807618525546E-2</v>
      </c>
      <c r="CC19" s="11">
        <v>2.250566666666666E-2</v>
      </c>
      <c r="CD19" s="11">
        <v>0.21561919809371791</v>
      </c>
      <c r="CE19" s="11">
        <v>8.8474166666666659E-2</v>
      </c>
      <c r="CF19" s="11">
        <v>7.9051524970814385E-2</v>
      </c>
      <c r="CG19" s="11">
        <v>-5.7117624866957151E-2</v>
      </c>
      <c r="CH19" s="11">
        <v>-4.271504374273416E-2</v>
      </c>
      <c r="CI19" s="11">
        <v>-0.16520066666666669</v>
      </c>
      <c r="CJ19" s="11">
        <v>-1.1811922761994231E-2</v>
      </c>
      <c r="CK19" s="11">
        <v>0.1187972629573345</v>
      </c>
      <c r="CL19" s="11">
        <v>0.1153477816387375</v>
      </c>
      <c r="CM19" s="11">
        <v>7.558187099799421E-2</v>
      </c>
      <c r="CN19" s="11">
        <v>-1.5943166666666671E-2</v>
      </c>
      <c r="CO19" s="11">
        <v>-0.16614655777528059</v>
      </c>
      <c r="CP19" s="11">
        <v>-0.13741472475783589</v>
      </c>
      <c r="CQ19" s="11">
        <v>-3.2394607516418629E-2</v>
      </c>
      <c r="CR19" s="11">
        <v>0.17630672424619201</v>
      </c>
      <c r="CS19" s="11">
        <v>4.3775666666666657E-2</v>
      </c>
      <c r="CT19" s="11">
        <v>-2.794063718499688E-2</v>
      </c>
      <c r="CU19" s="11">
        <v>-0.146607543260939</v>
      </c>
      <c r="CV19" s="11">
        <v>9.4553007971378916E-2</v>
      </c>
      <c r="CW19" s="11">
        <v>6.0515878573037342E-2</v>
      </c>
      <c r="CX19" s="11">
        <v>5.7634726368184938E-2</v>
      </c>
      <c r="CY19" s="11">
        <v>0.107892119457191</v>
      </c>
      <c r="CZ19" s="11">
        <v>0.11285182864146399</v>
      </c>
      <c r="DA19" s="11">
        <v>7.5182499999999999E-2</v>
      </c>
      <c r="DB19" s="11">
        <v>0.14796100000000001</v>
      </c>
      <c r="DC19" s="11">
        <v>-6.5587584737896831E-2</v>
      </c>
      <c r="DD19" s="11">
        <v>-6.3547333333333317E-2</v>
      </c>
      <c r="DE19" s="11">
        <v>-3.3018414655792E-2</v>
      </c>
      <c r="DF19" s="11">
        <v>-2.1296342427166989E-2</v>
      </c>
      <c r="DG19" s="11">
        <v>-0.12649079783752129</v>
      </c>
      <c r="DH19" s="11">
        <v>0.22459133333333331</v>
      </c>
      <c r="DI19" s="11">
        <v>0.10846166666666671</v>
      </c>
      <c r="DJ19" s="11">
        <v>-4.8514350722976607E-2</v>
      </c>
      <c r="DK19" s="11">
        <v>0.1241445877842076</v>
      </c>
      <c r="DL19" s="11">
        <v>-1.198278590897381E-2</v>
      </c>
      <c r="DM19" s="11">
        <v>4.6097902485627673E-2</v>
      </c>
      <c r="DN19" s="11">
        <v>-0.17392830172854831</v>
      </c>
      <c r="DO19" s="11">
        <v>-4.8705519860593828E-2</v>
      </c>
      <c r="DP19" s="11">
        <v>-0.17026813067996199</v>
      </c>
      <c r="DQ19" s="11">
        <v>8.0374171838075048E-2</v>
      </c>
      <c r="DR19" s="11">
        <v>7.5962353325048193E-2</v>
      </c>
      <c r="DS19" s="11">
        <v>-4.4918963151879987E-2</v>
      </c>
      <c r="DT19" s="11">
        <v>-0.13312850061934939</v>
      </c>
      <c r="DU19" s="11">
        <v>-0.15058250000000001</v>
      </c>
      <c r="DV19" s="11">
        <v>-7.1593386597402109E-2</v>
      </c>
      <c r="DW19" s="11">
        <v>-0.101297</v>
      </c>
      <c r="DX19" s="11">
        <v>-9.4614193357537776E-2</v>
      </c>
      <c r="DY19" s="11">
        <v>-0.15211940960448689</v>
      </c>
      <c r="DZ19" s="11">
        <v>-7.9643568138435011E-2</v>
      </c>
      <c r="EA19" s="11">
        <v>0.23304766666666671</v>
      </c>
      <c r="EB19" s="11">
        <v>-0.1062485</v>
      </c>
      <c r="EC19" s="11">
        <v>-3.132366666666668E-2</v>
      </c>
      <c r="ED19" s="11">
        <v>-8.61595E-2</v>
      </c>
      <c r="EE19" s="11">
        <v>7.3063333333333296E-3</v>
      </c>
      <c r="EF19" s="11">
        <v>7.4019999999999975E-2</v>
      </c>
      <c r="EG19" s="8">
        <f t="shared" si="10"/>
        <v>-7.314964757076681E-3</v>
      </c>
      <c r="EH19">
        <f t="shared" si="11"/>
        <v>0.1086658674245662</v>
      </c>
      <c r="EI19" s="20">
        <f t="shared" si="12"/>
        <v>-6.7316121708176593E-2</v>
      </c>
    </row>
    <row r="20" spans="1:139">
      <c r="A20" s="19">
        <v>192</v>
      </c>
      <c r="B20" s="19">
        <v>5</v>
      </c>
      <c r="C20" s="11">
        <v>-1.1241331728202891E-2</v>
      </c>
      <c r="D20" s="11">
        <v>-0.22258639368877581</v>
      </c>
      <c r="E20" s="11">
        <v>-0.1461249052642459</v>
      </c>
      <c r="F20" s="11">
        <v>0.2055312643331742</v>
      </c>
      <c r="G20" s="11">
        <v>0.1171831412889391</v>
      </c>
      <c r="H20" s="11">
        <v>1.158302607857771E-2</v>
      </c>
      <c r="I20" s="11">
        <v>0.1858631754766964</v>
      </c>
      <c r="J20" s="11">
        <v>0.1472881321566023</v>
      </c>
      <c r="K20" s="11">
        <v>0.21472450376108179</v>
      </c>
      <c r="L20" s="11">
        <v>8.9997713411883729E-3</v>
      </c>
      <c r="M20" s="11">
        <v>-7.7718228291273506E-2</v>
      </c>
      <c r="N20" s="11">
        <v>-0.16814358818954389</v>
      </c>
      <c r="O20" s="11">
        <v>4.9864886069274132E-2</v>
      </c>
      <c r="P20" s="11">
        <v>9.1169927668525261E-2</v>
      </c>
      <c r="Q20" s="11">
        <v>0.10704532145072811</v>
      </c>
      <c r="R20" s="11">
        <v>0.19094246698951389</v>
      </c>
      <c r="S20" s="11">
        <v>8.2562610707287917E-2</v>
      </c>
      <c r="T20" s="11">
        <v>-8.5465455737815402E-2</v>
      </c>
      <c r="U20" s="11">
        <v>-1.3720364707177321E-2</v>
      </c>
      <c r="V20" s="11">
        <v>-0.1035176032046175</v>
      </c>
      <c r="W20" s="11">
        <v>-0.17308537617758091</v>
      </c>
      <c r="X20" s="11">
        <v>-0.21038641292278501</v>
      </c>
      <c r="Y20" s="11">
        <v>-0.12896503888237379</v>
      </c>
      <c r="Z20" s="11">
        <v>-7.4027168257954579E-2</v>
      </c>
      <c r="AA20" s="11">
        <v>0.13048336848064571</v>
      </c>
      <c r="AB20" s="11">
        <v>3.2898545320226208E-2</v>
      </c>
      <c r="AC20" s="11">
        <v>-4.7248262727967477E-2</v>
      </c>
      <c r="AD20" s="11">
        <v>-2.698730357067794E-2</v>
      </c>
      <c r="AE20" s="11">
        <v>0.16122120715511101</v>
      </c>
      <c r="AF20" s="11">
        <v>-0.22349781963637269</v>
      </c>
      <c r="AG20" s="11">
        <v>3.216324888167648E-2</v>
      </c>
      <c r="AH20" s="11">
        <v>9.0178200714782636E-2</v>
      </c>
      <c r="AI20" s="11">
        <v>-7.8154544921168481E-2</v>
      </c>
      <c r="AJ20" s="11">
        <v>6.1990034547547639E-2</v>
      </c>
      <c r="AK20" s="11">
        <v>-8.2485150626129544E-3</v>
      </c>
      <c r="AL20" s="11">
        <v>-2.0780265108594719E-2</v>
      </c>
      <c r="AM20" s="11">
        <v>-3.3095980748802607E-2</v>
      </c>
      <c r="AN20" s="11">
        <v>-7.5470193518998266E-2</v>
      </c>
      <c r="AO20" s="11">
        <v>-4.528508196468839E-2</v>
      </c>
      <c r="AP20" s="11">
        <v>0.13173046125538779</v>
      </c>
      <c r="AQ20" s="11">
        <v>3.3308231095544441E-2</v>
      </c>
      <c r="AR20" s="11">
        <v>-2.9738999850300981E-2</v>
      </c>
      <c r="AS20" s="11">
        <v>-4.2291716448975919E-2</v>
      </c>
      <c r="AT20" s="11">
        <v>0.23912374744507051</v>
      </c>
      <c r="AU20" s="11">
        <v>-0.14307264092716551</v>
      </c>
      <c r="AV20" s="11">
        <v>-3.2246612786763357E-2</v>
      </c>
      <c r="AW20" s="11">
        <v>-0.2249978407783445</v>
      </c>
      <c r="AX20" s="11">
        <v>-0.20433921996054669</v>
      </c>
      <c r="AY20" s="11">
        <v>-8.2057636017566535E-2</v>
      </c>
      <c r="AZ20" s="11">
        <v>-0.15627400770666389</v>
      </c>
      <c r="BA20" s="11">
        <v>-0.1020775703207792</v>
      </c>
      <c r="BB20" s="11">
        <v>0.1676554233765693</v>
      </c>
      <c r="BC20" s="11">
        <v>-0.24014067499041369</v>
      </c>
      <c r="BD20" s="11">
        <v>8.3636000000000005E-3</v>
      </c>
      <c r="BE20" s="11">
        <v>-3.84684E-2</v>
      </c>
      <c r="BF20" s="11">
        <v>-5.5215800000000002E-2</v>
      </c>
      <c r="BG20" s="11">
        <v>-5.1727000000000002E-2</v>
      </c>
      <c r="BH20" s="11">
        <v>-0.1500573005634544</v>
      </c>
      <c r="BI20" s="11">
        <v>2.3173599999999999E-2</v>
      </c>
      <c r="BJ20" s="11">
        <v>-2.1629511833186621E-2</v>
      </c>
      <c r="BK20" s="11">
        <v>-0.1025982841544454</v>
      </c>
      <c r="BL20" s="11">
        <v>-8.6292231176454737E-2</v>
      </c>
      <c r="BM20" s="11">
        <v>4.7468551464188873E-2</v>
      </c>
      <c r="BN20" s="11">
        <v>-0.1185572414453714</v>
      </c>
      <c r="BO20" s="11">
        <v>3.8461717515979203E-2</v>
      </c>
      <c r="BP20" s="11">
        <v>-6.0407520762954983E-2</v>
      </c>
      <c r="BQ20" s="11">
        <v>-1.5451706960843021E-2</v>
      </c>
      <c r="BR20" s="11">
        <v>1.207363173047259E-2</v>
      </c>
      <c r="BS20" s="11">
        <v>5.4075061911911179E-3</v>
      </c>
      <c r="BT20" s="11">
        <v>-9.6530501214455888E-2</v>
      </c>
      <c r="BU20" s="11">
        <v>-4.0683597104934813E-2</v>
      </c>
      <c r="BV20" s="11">
        <v>8.154344176059905E-2</v>
      </c>
      <c r="BW20" s="11">
        <v>-0.35182955004840472</v>
      </c>
      <c r="BX20" s="11">
        <v>5.7988018276030777E-2</v>
      </c>
      <c r="BY20" s="11">
        <v>-4.6393591496685094E-3</v>
      </c>
      <c r="BZ20" s="11">
        <v>9.02714042602836E-2</v>
      </c>
      <c r="CA20" s="11">
        <v>5.0216200000000003E-2</v>
      </c>
      <c r="CB20" s="11">
        <v>-1.077551010283638E-4</v>
      </c>
      <c r="CC20" s="11">
        <v>1.2914800000000001E-2</v>
      </c>
      <c r="CD20" s="11">
        <v>0.1810274974905971</v>
      </c>
      <c r="CE20" s="11">
        <v>8.577739999999999E-2</v>
      </c>
      <c r="CF20" s="11">
        <v>0.1057848892760917</v>
      </c>
      <c r="CG20" s="11">
        <v>-7.597024074310807E-2</v>
      </c>
      <c r="CH20" s="11">
        <v>-2.219522902413288E-2</v>
      </c>
      <c r="CI20" s="11">
        <v>-0.13148380000000001</v>
      </c>
      <c r="CJ20" s="11">
        <v>-4.1509984783928693E-2</v>
      </c>
      <c r="CK20" s="11">
        <v>8.0589623940621552E-2</v>
      </c>
      <c r="CL20" s="11">
        <v>0.14931315063025169</v>
      </c>
      <c r="CM20" s="11">
        <v>7.9454727181336005E-2</v>
      </c>
      <c r="CN20" s="11">
        <v>-1.9347400000000001E-2</v>
      </c>
      <c r="CO20" s="11">
        <v>-0.22851820318154101</v>
      </c>
      <c r="CP20" s="11">
        <v>-0.15666075519518291</v>
      </c>
      <c r="CQ20" s="11">
        <v>-2.3118045300283038E-2</v>
      </c>
      <c r="CR20" s="11">
        <v>0.1954861104849421</v>
      </c>
      <c r="CS20" s="11">
        <v>2.2293799999999999E-2</v>
      </c>
      <c r="CT20" s="11">
        <v>-1.807671077983496E-2</v>
      </c>
      <c r="CU20" s="11">
        <v>-0.14672800907162681</v>
      </c>
      <c r="CV20" s="11">
        <v>0.11921412821268471</v>
      </c>
      <c r="CW20" s="11">
        <v>6.7903708174845409E-2</v>
      </c>
      <c r="CX20" s="11">
        <v>9.0298550867764463E-2</v>
      </c>
      <c r="CY20" s="11">
        <v>0.1009666571118235</v>
      </c>
      <c r="CZ20" s="11">
        <v>0.15516164514919831</v>
      </c>
      <c r="DA20" s="11">
        <v>7.70816E-2</v>
      </c>
      <c r="DB20" s="11">
        <v>7.6966999999999994E-2</v>
      </c>
      <c r="DC20" s="11">
        <v>-3.7332311138400742E-2</v>
      </c>
      <c r="DD20" s="11">
        <v>-6.8162799999999996E-2</v>
      </c>
      <c r="DE20" s="11">
        <v>-1.0418721606852799E-2</v>
      </c>
      <c r="DF20" s="11">
        <v>-4.5499958490798388E-2</v>
      </c>
      <c r="DG20" s="11">
        <v>-0.1240733079841211</v>
      </c>
      <c r="DH20" s="11">
        <v>0.27829959999999998</v>
      </c>
      <c r="DI20" s="11">
        <v>0.137596</v>
      </c>
      <c r="DJ20" s="11">
        <v>-3.9459946268887811E-2</v>
      </c>
      <c r="DK20" s="11">
        <v>8.4953981446054899E-2</v>
      </c>
      <c r="DL20" s="11">
        <v>-1.9465373333619789E-2</v>
      </c>
      <c r="DM20" s="11">
        <v>-4.2864774108345972E-2</v>
      </c>
      <c r="DN20" s="11">
        <v>-0.18323473362116879</v>
      </c>
      <c r="DO20" s="11">
        <v>-4.9820854676895968E-2</v>
      </c>
      <c r="DP20" s="11">
        <v>-0.20015543475438921</v>
      </c>
      <c r="DQ20" s="11">
        <v>5.7460181624700082E-2</v>
      </c>
      <c r="DR20" s="11">
        <v>7.8512660028290493E-2</v>
      </c>
      <c r="DS20" s="11">
        <v>6.9792757898282515E-2</v>
      </c>
      <c r="DT20" s="11">
        <v>-0.13343598462213829</v>
      </c>
      <c r="DU20" s="11">
        <v>-0.1763758</v>
      </c>
      <c r="DV20" s="11">
        <v>-0.10204218118247529</v>
      </c>
      <c r="DW20" s="11">
        <v>-0.1035466</v>
      </c>
      <c r="DX20" s="11">
        <v>-9.7851218204725254E-2</v>
      </c>
      <c r="DY20" s="11">
        <v>-0.1874018300391932</v>
      </c>
      <c r="DZ20" s="11">
        <v>1.8115126512382701E-2</v>
      </c>
      <c r="EA20" s="11">
        <v>0.29369119999999999</v>
      </c>
      <c r="EB20" s="11">
        <v>-0.1063144</v>
      </c>
      <c r="EC20" s="11">
        <v>2.297759999999999E-2</v>
      </c>
      <c r="ED20" s="11">
        <v>-7.4625799999999992E-2</v>
      </c>
      <c r="EE20" s="11">
        <v>1.7415999999999959E-3</v>
      </c>
      <c r="EF20" s="11">
        <v>8.5799999999999987E-2</v>
      </c>
      <c r="EG20" s="8">
        <f t="shared" si="10"/>
        <v>-1.0844914618685381E-2</v>
      </c>
      <c r="EH20">
        <f t="shared" si="11"/>
        <v>0.11857679179538884</v>
      </c>
      <c r="EI20" s="20">
        <f t="shared" si="12"/>
        <v>-9.1458998464041028E-2</v>
      </c>
    </row>
    <row r="21" spans="1:139">
      <c r="A21" s="19">
        <v>241</v>
      </c>
      <c r="B21" s="19">
        <v>4</v>
      </c>
      <c r="C21" s="11">
        <v>-1.038483447742689E-2</v>
      </c>
      <c r="D21" s="11">
        <v>-0.32500828164220219</v>
      </c>
      <c r="E21" s="11">
        <v>-4.3717554879721017E-2</v>
      </c>
      <c r="F21" s="11">
        <v>0.18403858160612999</v>
      </c>
      <c r="G21" s="11">
        <v>0.14384215111256449</v>
      </c>
      <c r="H21" s="11">
        <v>-3.7844077028292407E-2</v>
      </c>
      <c r="I21" s="11">
        <v>0.23932306217775401</v>
      </c>
      <c r="J21" s="11">
        <v>9.0566639244446828E-2</v>
      </c>
      <c r="K21" s="11">
        <v>0.2068800260033955</v>
      </c>
      <c r="L21" s="11">
        <v>5.7226166864944403E-2</v>
      </c>
      <c r="M21" s="11">
        <v>-9.9684593408211258E-2</v>
      </c>
      <c r="N21" s="11">
        <v>-0.13905067586079981</v>
      </c>
      <c r="O21" s="11">
        <v>3.4351989460690638E-2</v>
      </c>
      <c r="P21" s="11">
        <v>0.14477260088968491</v>
      </c>
      <c r="Q21" s="11">
        <v>8.1195369015973365E-2</v>
      </c>
      <c r="R21" s="11">
        <v>0.14269209072332131</v>
      </c>
      <c r="S21" s="11">
        <v>0.2091594754749645</v>
      </c>
      <c r="T21" s="11">
        <v>-9.846167275679743E-2</v>
      </c>
      <c r="U21" s="11">
        <v>8.0215735806459076E-2</v>
      </c>
      <c r="V21" s="11">
        <v>-0.10537077038935461</v>
      </c>
      <c r="W21" s="11">
        <v>-0.15778847961546261</v>
      </c>
      <c r="X21" s="11">
        <v>-0.21363094220511639</v>
      </c>
      <c r="Y21" s="11">
        <v>-9.2729223946204448E-2</v>
      </c>
      <c r="Z21" s="11">
        <v>-0.1093802011477636</v>
      </c>
      <c r="AA21" s="11">
        <v>0.1106359070024788</v>
      </c>
      <c r="AB21" s="11">
        <v>2.1955943889134161E-2</v>
      </c>
      <c r="AC21" s="11">
        <v>-1.882773670680014E-2</v>
      </c>
      <c r="AD21" s="11">
        <v>2.593327599743489E-2</v>
      </c>
      <c r="AE21" s="11">
        <v>0.12810497879624591</v>
      </c>
      <c r="AF21" s="11">
        <v>-0.29514425808336342</v>
      </c>
      <c r="AG21" s="11">
        <v>1.10465721064439E-2</v>
      </c>
      <c r="AH21" s="11">
        <v>0.10758136256479831</v>
      </c>
      <c r="AI21" s="11">
        <v>-7.9594209333291061E-2</v>
      </c>
      <c r="AJ21" s="11">
        <v>7.0405341946468691E-2</v>
      </c>
      <c r="AK21" s="11">
        <v>1.8318368909312599E-2</v>
      </c>
      <c r="AL21" s="11">
        <v>-3.7391486134754182E-2</v>
      </c>
      <c r="AM21" s="11">
        <v>-6.8535807447630548E-2</v>
      </c>
      <c r="AN21" s="11">
        <v>-0.11195605606309431</v>
      </c>
      <c r="AO21" s="11">
        <v>-4.7726395643726653E-2</v>
      </c>
      <c r="AP21" s="11">
        <v>7.2535143570019153E-2</v>
      </c>
      <c r="AQ21" s="11">
        <v>3.7036188450574832E-2</v>
      </c>
      <c r="AR21" s="11">
        <v>-3.4197900630824132E-2</v>
      </c>
      <c r="AS21" s="11">
        <v>-4.5406682060008141E-2</v>
      </c>
      <c r="AT21" s="11">
        <v>0.26483825754799722</v>
      </c>
      <c r="AU21" s="11">
        <v>-6.3455329613280029E-2</v>
      </c>
      <c r="AV21" s="11">
        <v>-6.871391269647964E-2</v>
      </c>
      <c r="AW21" s="11">
        <v>-0.26325491637381482</v>
      </c>
      <c r="AX21" s="11">
        <v>-0.21771830251703739</v>
      </c>
      <c r="AY21" s="11">
        <v>-6.5722294732506903E-2</v>
      </c>
      <c r="AZ21" s="11">
        <v>-9.3059394128593209E-2</v>
      </c>
      <c r="BA21" s="11">
        <v>-1.9293207635707351E-2</v>
      </c>
      <c r="BB21" s="11">
        <v>0.2253461350383382</v>
      </c>
      <c r="BC21" s="11">
        <v>-0.1644605319288267</v>
      </c>
      <c r="BD21" s="11">
        <v>3.8222500000000013E-2</v>
      </c>
      <c r="BE21" s="11">
        <v>-4.0590500000000002E-2</v>
      </c>
      <c r="BF21" s="11">
        <v>-6.2289749999999998E-2</v>
      </c>
      <c r="BG21" s="11">
        <v>-7.8524750000000004E-2</v>
      </c>
      <c r="BH21" s="11">
        <v>-0.1068421096374302</v>
      </c>
      <c r="BI21" s="11">
        <v>4.6276999999999992E-2</v>
      </c>
      <c r="BJ21" s="11">
        <v>-2.3579026181717661E-2</v>
      </c>
      <c r="BK21" s="11">
        <v>-8.2973161890065844E-2</v>
      </c>
      <c r="BL21" s="11">
        <v>-0.1427210926463498</v>
      </c>
      <c r="BM21" s="11">
        <v>4.0795286028720637E-2</v>
      </c>
      <c r="BN21" s="11">
        <v>-6.3647947992248044E-2</v>
      </c>
      <c r="BO21" s="11">
        <v>6.3857236413680254E-2</v>
      </c>
      <c r="BP21" s="11">
        <v>-0.1045091294194143</v>
      </c>
      <c r="BQ21" s="11">
        <v>-5.4542230834504879E-2</v>
      </c>
      <c r="BR21" s="11">
        <v>1.232386218386442E-2</v>
      </c>
      <c r="BS21" s="11">
        <v>5.8601727551761719E-3</v>
      </c>
      <c r="BT21" s="11">
        <v>-9.2952203348257254E-2</v>
      </c>
      <c r="BU21" s="11">
        <v>1.299660700193926E-2</v>
      </c>
      <c r="BV21" s="11">
        <v>4.4339980041273437E-2</v>
      </c>
      <c r="BW21" s="11">
        <v>-0.18446067072040909</v>
      </c>
      <c r="BX21" s="11">
        <v>8.8379334787638542E-2</v>
      </c>
      <c r="BY21" s="11">
        <v>-5.5666292242237493E-2</v>
      </c>
      <c r="BZ21" s="11">
        <v>4.7662928720715619E-2</v>
      </c>
      <c r="CA21" s="11">
        <v>9.5060000000000006E-2</v>
      </c>
      <c r="CB21" s="11">
        <v>7.3466099404929153E-2</v>
      </c>
      <c r="CC21" s="11">
        <v>-8.0194999999999989E-3</v>
      </c>
      <c r="CD21" s="11">
        <v>0.28805606436247322</v>
      </c>
      <c r="CE21" s="11">
        <v>6.1514499999999993E-2</v>
      </c>
      <c r="CF21" s="11">
        <v>0.1145261576111684</v>
      </c>
      <c r="CG21" s="11">
        <v>-8.508533547413108E-2</v>
      </c>
      <c r="CH21" s="11">
        <v>-0.15662644062696859</v>
      </c>
      <c r="CI21" s="11">
        <v>-0.12329225000000001</v>
      </c>
      <c r="CJ21" s="11">
        <v>-5.5140848561157058E-2</v>
      </c>
      <c r="CK21" s="11">
        <v>6.7159630296855705E-2</v>
      </c>
      <c r="CL21" s="11">
        <v>0.18743312154072689</v>
      </c>
      <c r="CM21" s="11">
        <v>6.2994332860424385E-2</v>
      </c>
      <c r="CN21" s="11">
        <v>-1.128025E-2</v>
      </c>
      <c r="CO21" s="11">
        <v>-0.23779198113939251</v>
      </c>
      <c r="CP21" s="11">
        <v>-9.8307306124050364E-2</v>
      </c>
      <c r="CQ21" s="11">
        <v>-2.2912194169496192E-2</v>
      </c>
      <c r="CR21" s="11">
        <v>0.23905996636126789</v>
      </c>
      <c r="CS21" s="11">
        <v>3.0907250000000001E-2</v>
      </c>
      <c r="CT21" s="11">
        <v>-8.6072556871396061E-2</v>
      </c>
      <c r="CU21" s="11">
        <v>-0.1589166223174501</v>
      </c>
      <c r="CV21" s="11">
        <v>0.1543318447745724</v>
      </c>
      <c r="CW21" s="11">
        <v>3.8345516871682743E-2</v>
      </c>
      <c r="CX21" s="11">
        <v>0.1021221756574071</v>
      </c>
      <c r="CY21" s="11">
        <v>0.15245230624531919</v>
      </c>
      <c r="CZ21" s="11">
        <v>0.2374513708258302</v>
      </c>
      <c r="DA21" s="11">
        <v>4.1709749999999997E-2</v>
      </c>
      <c r="DB21" s="11">
        <v>7.1459500000000009E-2</v>
      </c>
      <c r="DC21" s="11">
        <v>-0.1539047953697186</v>
      </c>
      <c r="DD21" s="11">
        <v>-6.7026999999999989E-2</v>
      </c>
      <c r="DE21" s="11">
        <v>-2.897773706032665E-2</v>
      </c>
      <c r="DF21" s="11">
        <v>-0.1488089024897431</v>
      </c>
      <c r="DG21" s="11">
        <v>-0.14818493113172959</v>
      </c>
      <c r="DH21" s="11">
        <v>8.1436999999999996E-2</v>
      </c>
      <c r="DI21" s="11">
        <v>0.17984</v>
      </c>
      <c r="DJ21" s="11">
        <v>-3.7911313190560098E-2</v>
      </c>
      <c r="DK21" s="11">
        <v>0.13950270681890459</v>
      </c>
      <c r="DL21" s="11">
        <v>-1.273699150101321E-2</v>
      </c>
      <c r="DM21" s="11">
        <v>4.2545640208855387E-3</v>
      </c>
      <c r="DN21" s="11">
        <v>-0.22029564086452741</v>
      </c>
      <c r="DO21" s="11">
        <v>1.8558809057787451E-2</v>
      </c>
      <c r="DP21" s="11">
        <v>-0.22901988968023471</v>
      </c>
      <c r="DQ21" s="11">
        <v>7.0422698808183373E-2</v>
      </c>
      <c r="DR21" s="11">
        <v>5.0170859037080733E-2</v>
      </c>
      <c r="DS21" s="11">
        <v>8.4605433605535907E-2</v>
      </c>
      <c r="DT21" s="11">
        <v>-0.17057080268546079</v>
      </c>
      <c r="DU21" s="11">
        <v>-0.14861474999999999</v>
      </c>
      <c r="DV21" s="11">
        <v>-0.15489825112990471</v>
      </c>
      <c r="DW21" s="11">
        <v>-0.103536</v>
      </c>
      <c r="DX21" s="11">
        <v>-0.1168288898747825</v>
      </c>
      <c r="DY21" s="11">
        <v>-0.22566188118798919</v>
      </c>
      <c r="DZ21" s="11">
        <v>0.17989102172490029</v>
      </c>
      <c r="EA21" s="11">
        <v>0.26605774999999998</v>
      </c>
      <c r="EB21" s="11">
        <v>-0.103298</v>
      </c>
      <c r="EC21" s="11">
        <v>2.7189499999999991E-2</v>
      </c>
      <c r="ED21" s="11">
        <v>-8.2729749999999991E-2</v>
      </c>
      <c r="EE21" s="11">
        <v>-2.1309999999999999E-2</v>
      </c>
      <c r="EF21" s="11">
        <v>2.8794500000000001E-2</v>
      </c>
      <c r="EG21" s="9">
        <f t="shared" si="10"/>
        <v>-8.8140201748599899E-3</v>
      </c>
      <c r="EH21">
        <f t="shared" si="11"/>
        <v>0.125950367977015</v>
      </c>
      <c r="EI21" s="20">
        <f t="shared" si="12"/>
        <v>-6.9980106580303778E-2</v>
      </c>
    </row>
    <row r="22" spans="1:139">
      <c r="A22" s="19">
        <v>321</v>
      </c>
      <c r="B22" s="19">
        <v>3</v>
      </c>
      <c r="C22" s="11">
        <v>-2.5922326608526759E-2</v>
      </c>
      <c r="D22" s="11">
        <v>-0.41742192464002892</v>
      </c>
      <c r="E22" s="11">
        <v>-2.2230412259238129E-2</v>
      </c>
      <c r="F22" s="11">
        <v>6.7831060921277567E-2</v>
      </c>
      <c r="G22" s="11">
        <v>0.1038843632903341</v>
      </c>
      <c r="H22" s="11">
        <v>-0.22980554449140059</v>
      </c>
      <c r="I22" s="11">
        <v>0.25443290291045001</v>
      </c>
      <c r="J22" s="11">
        <v>0.1183782811822881</v>
      </c>
      <c r="K22" s="11">
        <v>0.2453659126827557</v>
      </c>
      <c r="L22" s="11">
        <v>0.1074871686512418</v>
      </c>
      <c r="M22" s="11">
        <v>-7.4100058770572547E-2</v>
      </c>
      <c r="N22" s="11">
        <v>-9.8030860807632764E-2</v>
      </c>
      <c r="O22" s="11">
        <v>-6.7158783113674958E-3</v>
      </c>
      <c r="P22" s="11">
        <v>7.2782884128816977E-2</v>
      </c>
      <c r="Q22" s="11">
        <v>8.9282518103847214E-2</v>
      </c>
      <c r="R22" s="11">
        <v>0.18067973019128461</v>
      </c>
      <c r="S22" s="11">
        <v>0.24705662952972959</v>
      </c>
      <c r="T22" s="11">
        <v>-0.1288124219831229</v>
      </c>
      <c r="U22" s="11">
        <v>0.15202918277454339</v>
      </c>
      <c r="V22" s="11">
        <v>-5.7024134634289667E-2</v>
      </c>
      <c r="W22" s="11">
        <v>-0.20748026702429739</v>
      </c>
      <c r="X22" s="11">
        <v>-0.22178675903387041</v>
      </c>
      <c r="Y22" s="11">
        <v>-4.7938332179768291E-2</v>
      </c>
      <c r="Z22" s="11">
        <v>-0.1501501099195742</v>
      </c>
      <c r="AA22" s="11">
        <v>8.2524425578113014E-2</v>
      </c>
      <c r="AB22" s="11">
        <v>-3.8652301253394171E-3</v>
      </c>
      <c r="AC22" s="11">
        <v>-8.5776460715432462E-2</v>
      </c>
      <c r="AD22" s="11">
        <v>1.859374921466125E-2</v>
      </c>
      <c r="AE22" s="11">
        <v>0.13082384281633419</v>
      </c>
      <c r="AF22" s="11">
        <v>-0.42991676804861201</v>
      </c>
      <c r="AG22" s="11">
        <v>1.0812100566842311E-2</v>
      </c>
      <c r="AH22" s="11">
        <v>0.10586595942047269</v>
      </c>
      <c r="AI22" s="11">
        <v>-9.4141260657386039E-2</v>
      </c>
      <c r="AJ22" s="11">
        <v>3.1699849326408271E-2</v>
      </c>
      <c r="AK22" s="11">
        <v>7.8575768704914215E-2</v>
      </c>
      <c r="AL22" s="11">
        <v>-1.1447262237467839E-3</v>
      </c>
      <c r="AM22" s="11">
        <v>-8.4088903467703563E-2</v>
      </c>
      <c r="AN22" s="11">
        <v>-0.1111328096635593</v>
      </c>
      <c r="AO22" s="11">
        <v>-7.4717373393705613E-2</v>
      </c>
      <c r="AP22" s="11">
        <v>6.2536353887992696E-2</v>
      </c>
      <c r="AQ22" s="11">
        <v>-5.5126720724342937E-2</v>
      </c>
      <c r="AR22" s="11">
        <v>-0.10818370054823639</v>
      </c>
      <c r="AS22" s="11">
        <v>7.3843702685833568E-2</v>
      </c>
      <c r="AT22" s="11">
        <v>1.7728370994436651E-2</v>
      </c>
      <c r="AU22" s="11">
        <v>-0.1099145973181844</v>
      </c>
      <c r="AV22" s="11">
        <v>-8.9753981871632596E-2</v>
      </c>
      <c r="AW22" s="11">
        <v>-0.37079927869117352</v>
      </c>
      <c r="AX22" s="11">
        <v>9.875186005693877E-3</v>
      </c>
      <c r="AY22" s="11">
        <v>-9.8456276129363446E-2</v>
      </c>
      <c r="AZ22" s="11">
        <v>-0.2274854962334536</v>
      </c>
      <c r="BA22" s="11">
        <v>-4.9176939747220441E-2</v>
      </c>
      <c r="BB22" s="11">
        <v>0.30192994454042299</v>
      </c>
      <c r="BC22" s="11">
        <v>-0.19562603535051759</v>
      </c>
      <c r="BD22" s="11">
        <v>7.9264000000000001E-2</v>
      </c>
      <c r="BE22" s="11">
        <v>-6.8485666666666667E-2</v>
      </c>
      <c r="BF22" s="11">
        <v>-5.4885999999999997E-2</v>
      </c>
      <c r="BG22" s="11">
        <v>-9.6179666666666663E-2</v>
      </c>
      <c r="BH22" s="11">
        <v>-0.12770700939641619</v>
      </c>
      <c r="BI22" s="11">
        <v>8.234933333333333E-2</v>
      </c>
      <c r="BJ22" s="11">
        <v>-5.4996415150720922E-2</v>
      </c>
      <c r="BK22" s="11">
        <v>-2.085475532976656E-2</v>
      </c>
      <c r="BL22" s="11">
        <v>-0.16178033907103531</v>
      </c>
      <c r="BM22" s="11">
        <v>2.4304832455331882E-3</v>
      </c>
      <c r="BN22" s="11">
        <v>1.5327552023042271E-2</v>
      </c>
      <c r="BO22" s="11">
        <v>5.0484429112750417E-2</v>
      </c>
      <c r="BP22" s="11">
        <v>-7.4835550155106345E-2</v>
      </c>
      <c r="BQ22" s="11">
        <v>-2.7830097398312589E-2</v>
      </c>
      <c r="BR22" s="11">
        <v>2.081360946645289E-2</v>
      </c>
      <c r="BS22" s="11">
        <v>-1.637278237679916E-2</v>
      </c>
      <c r="BT22" s="11">
        <v>6.7143215417725319E-2</v>
      </c>
      <c r="BU22" s="11">
        <v>4.0368468589877637E-2</v>
      </c>
      <c r="BV22" s="11">
        <v>4.8603534589078061E-2</v>
      </c>
      <c r="BW22" s="11">
        <v>-0.1321717915357814</v>
      </c>
      <c r="BX22" s="11">
        <v>0.15293737024999199</v>
      </c>
      <c r="BY22" s="11">
        <v>-5.5597049970371022E-2</v>
      </c>
      <c r="BZ22" s="11">
        <v>4.725773586289217E-2</v>
      </c>
      <c r="CA22" s="11">
        <v>0.14408033333333331</v>
      </c>
      <c r="CB22" s="11">
        <v>6.3604269539688812E-2</v>
      </c>
      <c r="CC22" s="11">
        <v>-0.12510499999999999</v>
      </c>
      <c r="CD22" s="11">
        <v>0.33387803671272293</v>
      </c>
      <c r="CE22" s="11">
        <v>6.6840000000000011E-2</v>
      </c>
      <c r="CF22" s="11">
        <v>0.1007703570340648</v>
      </c>
      <c r="CG22" s="11">
        <v>-0.207085332633513</v>
      </c>
      <c r="CH22" s="11">
        <v>-0.1536062848095433</v>
      </c>
      <c r="CI22" s="11">
        <v>-0.23044799999999999</v>
      </c>
      <c r="CJ22" s="11">
        <v>-0.12632535927858729</v>
      </c>
      <c r="CK22" s="11">
        <v>0.1109235402867822</v>
      </c>
      <c r="CL22" s="11">
        <v>9.499701202354538E-2</v>
      </c>
      <c r="CM22" s="11">
        <v>4.64412789746977E-2</v>
      </c>
      <c r="CN22" s="11">
        <v>2.185133333333333E-2</v>
      </c>
      <c r="CO22" s="11">
        <v>-0.18528575790522681</v>
      </c>
      <c r="CP22" s="11">
        <v>-0.17184373314239881</v>
      </c>
      <c r="CQ22" s="11">
        <v>-1.7159615519123799E-2</v>
      </c>
      <c r="CR22" s="11">
        <v>0.24677276999188669</v>
      </c>
      <c r="CS22" s="11">
        <v>2.443933333333333E-2</v>
      </c>
      <c r="CT22" s="11">
        <v>-0.1260913781887717</v>
      </c>
      <c r="CU22" s="11">
        <v>-0.16735391118636819</v>
      </c>
      <c r="CV22" s="11">
        <v>0.16622267868955429</v>
      </c>
      <c r="CW22" s="11">
        <v>2.2884042331984721E-2</v>
      </c>
      <c r="CX22" s="11">
        <v>3.749593267848913E-3</v>
      </c>
      <c r="CY22" s="11">
        <v>0.16243986871344671</v>
      </c>
      <c r="CZ22" s="11">
        <v>0.26292048459923911</v>
      </c>
      <c r="DA22" s="11">
        <v>3.2453999999999997E-2</v>
      </c>
      <c r="DB22" s="11">
        <v>5.4040666666666667E-2</v>
      </c>
      <c r="DC22" s="11">
        <v>-0.14116723571930959</v>
      </c>
      <c r="DD22" s="11">
        <v>-1.5963333333333329E-2</v>
      </c>
      <c r="DE22" s="11">
        <v>1.7756503501932811E-2</v>
      </c>
      <c r="DF22" s="11">
        <v>-9.7071705636226913E-2</v>
      </c>
      <c r="DG22" s="11">
        <v>-8.8121410503063616E-2</v>
      </c>
      <c r="DH22" s="11">
        <v>8.1455333333333324E-2</v>
      </c>
      <c r="DI22" s="11">
        <v>6.0122333333333333E-2</v>
      </c>
      <c r="DJ22" s="11">
        <v>-5.0246005833095859E-2</v>
      </c>
      <c r="DK22" s="11">
        <v>0.1791347138228401</v>
      </c>
      <c r="DL22" s="11">
        <v>-3.213330743138731E-3</v>
      </c>
      <c r="DM22" s="11">
        <v>4.2676549116040817E-2</v>
      </c>
      <c r="DN22" s="11">
        <v>-0.30537502827220309</v>
      </c>
      <c r="DO22" s="11">
        <v>-2.3768668287448849E-2</v>
      </c>
      <c r="DP22" s="11">
        <v>-0.16956243214073041</v>
      </c>
      <c r="DQ22" s="11">
        <v>0.16540416654463991</v>
      </c>
      <c r="DR22" s="11">
        <v>-6.0925526153180337E-3</v>
      </c>
      <c r="DS22" s="11">
        <v>0.12952383936920511</v>
      </c>
      <c r="DT22" s="11">
        <v>-5.8357008996765318E-2</v>
      </c>
      <c r="DU22" s="11">
        <v>-0.1615456666666667</v>
      </c>
      <c r="DV22" s="11">
        <v>-0.15706236954975081</v>
      </c>
      <c r="DW22" s="11">
        <v>-8.1416000000000016E-2</v>
      </c>
      <c r="DX22" s="11">
        <v>-0.1643521240415392</v>
      </c>
      <c r="DY22" s="11">
        <v>-0.31775437236448251</v>
      </c>
      <c r="DZ22" s="11">
        <v>0.16562624622575561</v>
      </c>
      <c r="EA22" s="11">
        <v>0.14035633333333331</v>
      </c>
      <c r="EB22" s="11">
        <v>-0.1429303333333333</v>
      </c>
      <c r="EC22" s="11">
        <v>8.8085999999999984E-2</v>
      </c>
      <c r="ED22" s="11">
        <v>-5.7499333333333333E-2</v>
      </c>
      <c r="EE22" s="11">
        <v>-4.7635999999999998E-2</v>
      </c>
      <c r="EF22" s="11">
        <v>3.6592666666666662E-2</v>
      </c>
      <c r="EG22" s="9">
        <f t="shared" si="10"/>
        <v>-1.5901627561534577E-2</v>
      </c>
      <c r="EH22">
        <f t="shared" si="11"/>
        <v>0.13907777616101602</v>
      </c>
      <c r="EI22" s="20">
        <f t="shared" si="12"/>
        <v>-0.11433622251138538</v>
      </c>
    </row>
    <row r="23" spans="1:139">
      <c r="A23" s="19">
        <v>482</v>
      </c>
      <c r="B23" s="19">
        <v>2</v>
      </c>
      <c r="C23" s="11">
        <v>-3.1325684581971477E-2</v>
      </c>
      <c r="D23" s="11">
        <v>8.8966622734356765E-2</v>
      </c>
      <c r="E23" s="11">
        <v>-1.5061587686965401E-2</v>
      </c>
      <c r="F23" s="11">
        <v>0.1823960753208787</v>
      </c>
      <c r="G23" s="11">
        <v>-2.6971568524368019E-2</v>
      </c>
      <c r="H23" s="11">
        <v>-0.2628102412014528</v>
      </c>
      <c r="I23" s="11">
        <v>0.25570287206557712</v>
      </c>
      <c r="J23" s="11">
        <v>0.15529381690298319</v>
      </c>
      <c r="K23" s="11">
        <v>0.14260757512465491</v>
      </c>
      <c r="L23" s="11">
        <v>0.23244436104246219</v>
      </c>
      <c r="M23" s="11">
        <v>-0.2584499163586424</v>
      </c>
      <c r="N23" s="11">
        <v>-0.12680001369232849</v>
      </c>
      <c r="O23" s="11">
        <v>-1.9407711266769139E-2</v>
      </c>
      <c r="P23" s="11">
        <v>9.040171118212538E-2</v>
      </c>
      <c r="Q23" s="11">
        <v>0.25084967690080678</v>
      </c>
      <c r="R23" s="11">
        <v>8.9628003041144669E-2</v>
      </c>
      <c r="S23" s="11">
        <v>0.16929499991324401</v>
      </c>
      <c r="T23" s="11">
        <v>-0.15460269332742849</v>
      </c>
      <c r="U23" s="11">
        <v>0.21298177286802589</v>
      </c>
      <c r="V23" s="11">
        <v>6.3357010979066042E-2</v>
      </c>
      <c r="W23" s="11">
        <v>-0.33161915024914451</v>
      </c>
      <c r="X23" s="11">
        <v>-0.1817811857978229</v>
      </c>
      <c r="Y23" s="11">
        <v>-7.588763428678244E-3</v>
      </c>
      <c r="Z23" s="11">
        <v>-0.14764040944327361</v>
      </c>
      <c r="AA23" s="11">
        <v>-5.6748445960110291E-2</v>
      </c>
      <c r="AB23" s="11">
        <v>-3.09913850559921E-2</v>
      </c>
      <c r="AC23" s="11">
        <v>-0.1687547996369127</v>
      </c>
      <c r="AD23" s="11">
        <v>2.9952915704841848E-3</v>
      </c>
      <c r="AE23" s="11">
        <v>0.13721198875766</v>
      </c>
      <c r="AF23" s="11">
        <v>-0.32465932564021122</v>
      </c>
      <c r="AG23" s="11">
        <v>-0.145893892939672</v>
      </c>
      <c r="AH23" s="11">
        <v>8.417158452318324E-2</v>
      </c>
      <c r="AI23" s="11">
        <v>-2.3228266622481949E-2</v>
      </c>
      <c r="AJ23" s="11">
        <v>-5.6431378481542303E-3</v>
      </c>
      <c r="AK23" s="11">
        <v>9.1199224275259672E-2</v>
      </c>
      <c r="AL23" s="11">
        <v>-5.1310311182486829E-2</v>
      </c>
      <c r="AM23" s="11">
        <v>-7.769489004865255E-3</v>
      </c>
      <c r="AN23" s="11">
        <v>-0.24231469935730071</v>
      </c>
      <c r="AO23" s="11">
        <v>5.3369521914240978E-3</v>
      </c>
      <c r="AP23" s="11">
        <v>-3.1210993523056942E-3</v>
      </c>
      <c r="AQ23" s="11">
        <v>0.17571220858300701</v>
      </c>
      <c r="AR23" s="11">
        <v>-0.25346079578034408</v>
      </c>
      <c r="AS23" s="11">
        <v>8.1663620780570226E-2</v>
      </c>
      <c r="AT23" s="11">
        <v>0.1095059029649002</v>
      </c>
      <c r="AU23" s="11">
        <v>-0.20359589118158589</v>
      </c>
      <c r="AV23" s="11">
        <v>-4.9150066629292007E-2</v>
      </c>
      <c r="AW23" s="11">
        <v>-0.58225997417421493</v>
      </c>
      <c r="AX23" s="11">
        <v>1.4812779008540821E-2</v>
      </c>
      <c r="AY23" s="11">
        <v>-5.8139600106789993E-2</v>
      </c>
      <c r="AZ23" s="11">
        <v>-0.31598452125580129</v>
      </c>
      <c r="BA23" s="11">
        <v>0.1720809093757327</v>
      </c>
      <c r="BB23" s="11">
        <v>-5.1049484102885123E-2</v>
      </c>
      <c r="BC23" s="11">
        <v>-0.25286918189993951</v>
      </c>
      <c r="BD23" s="11">
        <v>0.12597949999999999</v>
      </c>
      <c r="BE23" s="11">
        <v>-8.6533499999999999E-2</v>
      </c>
      <c r="BF23" s="11">
        <v>-6.0012999999999997E-2</v>
      </c>
      <c r="BG23" s="11">
        <v>-4.4909499999999991E-2</v>
      </c>
      <c r="BH23" s="11">
        <v>-6.3365195703238231E-2</v>
      </c>
      <c r="BI23" s="11">
        <v>0.121209</v>
      </c>
      <c r="BJ23" s="11">
        <v>-0.1040033152679269</v>
      </c>
      <c r="BK23" s="11">
        <v>-5.0098634745350491E-3</v>
      </c>
      <c r="BL23" s="11">
        <v>-0.14953429625023959</v>
      </c>
      <c r="BM23" s="11">
        <v>-6.9495462024450616E-2</v>
      </c>
      <c r="BN23" s="11">
        <v>6.9471707588132049E-3</v>
      </c>
      <c r="BO23" s="11">
        <v>-3.6524941745999073E-2</v>
      </c>
      <c r="BP23" s="11">
        <v>-9.8266399211456468E-2</v>
      </c>
      <c r="BQ23" s="11">
        <v>-7.2047901435266168E-2</v>
      </c>
      <c r="BR23" s="11">
        <v>1.7844321463962809E-2</v>
      </c>
      <c r="BS23" s="11">
        <v>-7.3275388657911791E-2</v>
      </c>
      <c r="BT23" s="11">
        <v>7.018926416463693E-2</v>
      </c>
      <c r="BU23" s="11">
        <v>0.16327468999222081</v>
      </c>
      <c r="BV23" s="11">
        <v>5.326905055788838E-2</v>
      </c>
      <c r="BW23" s="11">
        <v>-1.536251504309036E-2</v>
      </c>
      <c r="BX23" s="11">
        <v>0.1242195235446351</v>
      </c>
      <c r="BY23" s="11">
        <v>0.1182492339269558</v>
      </c>
      <c r="BZ23" s="11">
        <v>7.6697624318448621E-3</v>
      </c>
      <c r="CA23" s="11">
        <v>0.20637549999999999</v>
      </c>
      <c r="CB23" s="11">
        <v>-4.1664988378588452E-2</v>
      </c>
      <c r="CC23" s="11">
        <v>-8.4545000000000009E-2</v>
      </c>
      <c r="CD23" s="11">
        <v>0.19167645501478511</v>
      </c>
      <c r="CE23" s="11">
        <v>5.9602000000000002E-2</v>
      </c>
      <c r="CF23" s="11">
        <v>1.616083543008176E-2</v>
      </c>
      <c r="CG23" s="11">
        <v>-0.21663724162720299</v>
      </c>
      <c r="CH23" s="11">
        <v>-0.16212257431707061</v>
      </c>
      <c r="CI23" s="11">
        <v>-5.9122499999999981E-2</v>
      </c>
      <c r="CJ23" s="11">
        <v>-0.15651589641790081</v>
      </c>
      <c r="CK23" s="11">
        <v>7.1856390536544607E-2</v>
      </c>
      <c r="CL23" s="11">
        <v>0.1640494591789142</v>
      </c>
      <c r="CM23" s="11">
        <v>6.9750090132210951E-3</v>
      </c>
      <c r="CN23" s="11">
        <v>4.9972000000000003E-2</v>
      </c>
      <c r="CO23" s="11">
        <v>-0.26845097690314912</v>
      </c>
      <c r="CP23" s="11">
        <v>-0.24610177245621889</v>
      </c>
      <c r="CQ23" s="11">
        <v>2.4702270079380868E-2</v>
      </c>
      <c r="CR23" s="11">
        <v>0.15099817047394759</v>
      </c>
      <c r="CS23" s="11">
        <v>6.9014999999999993E-2</v>
      </c>
      <c r="CT23" s="11">
        <v>-3.2850224006144763E-2</v>
      </c>
      <c r="CU23" s="11">
        <v>-0.20210388498715681</v>
      </c>
      <c r="CV23" s="11">
        <v>0.15333096827157461</v>
      </c>
      <c r="CW23" s="11">
        <v>-2.418628778900123E-2</v>
      </c>
      <c r="CX23" s="11">
        <v>-8.8716994096526336E-2</v>
      </c>
      <c r="CY23" s="11">
        <v>0.28171082747401988</v>
      </c>
      <c r="CZ23" s="11">
        <v>0.18199879385735121</v>
      </c>
      <c r="DA23" s="11">
        <v>6.4644999999999994E-2</v>
      </c>
      <c r="DB23" s="11">
        <v>1.8748000000000001E-2</v>
      </c>
      <c r="DC23" s="11">
        <v>-0.15794889931825309</v>
      </c>
      <c r="DD23" s="11">
        <v>-1.8409999999999999E-2</v>
      </c>
      <c r="DE23" s="11">
        <v>6.0085947510171572E-2</v>
      </c>
      <c r="DF23" s="11">
        <v>-0.1913738738124513</v>
      </c>
      <c r="DG23" s="11">
        <v>-0.15297665429505281</v>
      </c>
      <c r="DH23" s="11">
        <v>0.13922799999999999</v>
      </c>
      <c r="DI23" s="11">
        <v>9.6041000000000015E-2</v>
      </c>
      <c r="DJ23" s="11">
        <v>-8.7058008172347823E-2</v>
      </c>
      <c r="DK23" s="11">
        <v>0.27783321655884308</v>
      </c>
      <c r="DL23" s="11">
        <v>2.6242652104624471E-2</v>
      </c>
      <c r="DM23" s="11">
        <v>-1.071033430682497E-2</v>
      </c>
      <c r="DN23" s="11">
        <v>-0.26497485648399138</v>
      </c>
      <c r="DO23" s="11">
        <v>8.4670827807182117E-2</v>
      </c>
      <c r="DP23" s="11">
        <v>-0.17683961848490651</v>
      </c>
      <c r="DQ23" s="11">
        <v>0.24594610755878629</v>
      </c>
      <c r="DR23" s="11">
        <v>-8.9886002731306744E-2</v>
      </c>
      <c r="DS23" s="11">
        <v>0.24719455144246849</v>
      </c>
      <c r="DT23" s="11">
        <v>-0.12395522319619889</v>
      </c>
      <c r="DU23" s="11">
        <v>-5.5638E-2</v>
      </c>
      <c r="DV23" s="11">
        <v>-0.19274140121789701</v>
      </c>
      <c r="DW23" s="11">
        <v>2.305249999999999E-2</v>
      </c>
      <c r="DX23" s="11">
        <v>-0.1710027869684545</v>
      </c>
      <c r="DY23" s="11">
        <v>-0.26822192937212391</v>
      </c>
      <c r="DZ23" s="11">
        <v>0.12933301555171881</v>
      </c>
      <c r="EA23" s="11">
        <v>-2.8757000000000001E-2</v>
      </c>
      <c r="EB23" s="11">
        <v>-0.1382285</v>
      </c>
      <c r="EC23" s="11">
        <v>9.3643499999999991E-2</v>
      </c>
      <c r="ED23" s="11">
        <v>3.8898000000000002E-2</v>
      </c>
      <c r="EE23" s="11">
        <v>-6.9210999999999995E-2</v>
      </c>
      <c r="EF23" s="11">
        <v>9.3413999999999997E-2</v>
      </c>
      <c r="EG23" s="9">
        <f t="shared" si="10"/>
        <v>-1.6159929303226961E-2</v>
      </c>
      <c r="EH23">
        <f t="shared" si="11"/>
        <v>0.1510038766136069</v>
      </c>
      <c r="EI23" s="20">
        <f t="shared" si="12"/>
        <v>-0.1070166519272711</v>
      </c>
    </row>
    <row r="24" spans="1:139">
      <c r="A24" s="19">
        <v>964</v>
      </c>
      <c r="B24" s="19">
        <v>1</v>
      </c>
      <c r="C24" s="11">
        <v>-2.776696731044102E-2</v>
      </c>
      <c r="D24" s="11">
        <v>8.1988379169623898E-2</v>
      </c>
      <c r="E24" s="11">
        <v>8.1880334610397495E-2</v>
      </c>
      <c r="F24" s="11">
        <v>0.20154571887164621</v>
      </c>
      <c r="G24" s="11">
        <v>-2.2622388562617651E-2</v>
      </c>
      <c r="H24" s="11">
        <v>-0.35082219133103881</v>
      </c>
      <c r="I24" s="11">
        <v>0.2403862447709158</v>
      </c>
      <c r="J24" s="11">
        <v>4.0357249392596467E-3</v>
      </c>
      <c r="K24" s="11">
        <v>5.0444335993488708E-2</v>
      </c>
      <c r="L24" s="11">
        <v>0.33375944447564659</v>
      </c>
      <c r="M24" s="11">
        <v>-0.14681933889950849</v>
      </c>
      <c r="N24" s="11">
        <v>-0.1051917107958454</v>
      </c>
      <c r="O24" s="11">
        <v>3.6648790739543732E-2</v>
      </c>
      <c r="P24" s="11">
        <v>0.1042484144089995</v>
      </c>
      <c r="Q24" s="11">
        <v>-9.0144948798662944E-2</v>
      </c>
      <c r="R24" s="11">
        <v>0.1083654949121912</v>
      </c>
      <c r="S24" s="11">
        <v>0.13988379956700059</v>
      </c>
      <c r="T24" s="11">
        <v>0.27048671467401741</v>
      </c>
      <c r="U24" s="11">
        <v>0.39296188484865302</v>
      </c>
      <c r="V24" s="11">
        <v>0.11654031671685081</v>
      </c>
      <c r="W24" s="11">
        <v>-0.49571198595594262</v>
      </c>
      <c r="X24" s="11">
        <v>3.6157896361251968E-2</v>
      </c>
      <c r="Y24" s="11">
        <v>-2.9398839580432611E-2</v>
      </c>
      <c r="Z24" s="11">
        <v>-0.15040992568878969</v>
      </c>
      <c r="AA24" s="11">
        <v>0.21854457969115479</v>
      </c>
      <c r="AB24" s="11">
        <v>-0.30039379355698248</v>
      </c>
      <c r="AC24" s="11">
        <v>-0.4017473338469546</v>
      </c>
      <c r="AD24" s="11">
        <v>5.9922146810819088E-2</v>
      </c>
      <c r="AE24" s="11">
        <v>0.19314178971175811</v>
      </c>
      <c r="AF24" s="11">
        <v>-0.49538941280416188</v>
      </c>
      <c r="AG24" s="11">
        <v>-0.38005539258279603</v>
      </c>
      <c r="AH24" s="11">
        <v>5.6697360067789589E-2</v>
      </c>
      <c r="AI24" s="11">
        <v>8.8083310984272967E-3</v>
      </c>
      <c r="AJ24" s="11">
        <v>8.089124399937539E-2</v>
      </c>
      <c r="AK24" s="11">
        <v>0.11317916377562411</v>
      </c>
      <c r="AL24" s="11">
        <v>-0.1074544263057416</v>
      </c>
      <c r="AM24" s="11">
        <v>1.89192814205267E-2</v>
      </c>
      <c r="AN24" s="11">
        <v>-0.22118946514543131</v>
      </c>
      <c r="AO24" s="11">
        <v>-6.6090111828990022E-2</v>
      </c>
      <c r="AP24" s="11">
        <v>2.28517154890964E-2</v>
      </c>
      <c r="AQ24" s="11">
        <v>0.35649193169751819</v>
      </c>
      <c r="AR24" s="11">
        <v>-2.0350844492814421E-2</v>
      </c>
      <c r="AS24" s="11">
        <v>3.2867737066227462E-3</v>
      </c>
      <c r="AT24" s="11">
        <v>0.15076897992568081</v>
      </c>
      <c r="AU24" s="11">
        <v>-0.22984101567941989</v>
      </c>
      <c r="AV24" s="11">
        <v>0.24768466023032751</v>
      </c>
      <c r="AW24" s="11">
        <v>0.14871095653144009</v>
      </c>
      <c r="AX24" s="11">
        <v>-0.1114913369162155</v>
      </c>
      <c r="AY24" s="11">
        <v>-0.26743574468647008</v>
      </c>
      <c r="AZ24" s="11">
        <v>-0.60989956018477687</v>
      </c>
      <c r="BA24" s="11">
        <v>0.1017826943099424</v>
      </c>
      <c r="BB24" s="11">
        <v>-8.6159033395334803E-2</v>
      </c>
      <c r="BC24" s="11">
        <v>4.366869614383373E-3</v>
      </c>
      <c r="BD24" s="11">
        <v>1.864E-2</v>
      </c>
      <c r="BE24" s="11">
        <v>-0.104131</v>
      </c>
      <c r="BF24" s="11">
        <v>-0.10023600000000001</v>
      </c>
      <c r="BG24" s="11">
        <v>-0.176624</v>
      </c>
      <c r="BH24" s="11">
        <v>-0.14767356525171971</v>
      </c>
      <c r="BI24" s="11">
        <v>0.169268</v>
      </c>
      <c r="BJ24" s="11">
        <v>-3.3483157548845829E-3</v>
      </c>
      <c r="BK24" s="11">
        <v>-1.00197269490701E-2</v>
      </c>
      <c r="BL24" s="11">
        <v>-0.31716429392471662</v>
      </c>
      <c r="BM24" s="11">
        <v>8.4782939838988242E-2</v>
      </c>
      <c r="BN24" s="11">
        <v>-6.849341845574783E-3</v>
      </c>
      <c r="BO24" s="11">
        <v>0.16110969109564191</v>
      </c>
      <c r="BP24" s="11">
        <v>-0.1233511811293219</v>
      </c>
      <c r="BQ24" s="11">
        <v>6.4169633330115036E-2</v>
      </c>
      <c r="BR24" s="11">
        <v>4.2356223303417713E-2</v>
      </c>
      <c r="BS24" s="11">
        <v>-1.284717484456964E-3</v>
      </c>
      <c r="BT24" s="11">
        <v>5.5799256308256592E-2</v>
      </c>
      <c r="BU24" s="11">
        <v>0.45156953678161682</v>
      </c>
      <c r="BV24" s="11">
        <v>4.625870574066291E-2</v>
      </c>
      <c r="BW24" s="11">
        <v>-0.15102744542241939</v>
      </c>
      <c r="BX24" s="11">
        <v>5.8043369649915091E-2</v>
      </c>
      <c r="BY24" s="11">
        <v>0.11840823105030179</v>
      </c>
      <c r="BZ24" s="11">
        <v>0.25889289884999689</v>
      </c>
      <c r="CA24" s="11">
        <v>0.10002800000000001</v>
      </c>
      <c r="CB24" s="11">
        <v>6.4127083156042083E-2</v>
      </c>
      <c r="CC24" s="11">
        <v>-0.18246999999999999</v>
      </c>
      <c r="CD24" s="11">
        <v>0.14430631074219491</v>
      </c>
      <c r="CE24" s="11">
        <v>0.16556499999999999</v>
      </c>
      <c r="CF24" s="11">
        <v>-4.3964633996731547E-2</v>
      </c>
      <c r="CG24" s="11">
        <v>-0.51996896607392207</v>
      </c>
      <c r="CH24" s="11">
        <v>-0.2129728840293183</v>
      </c>
      <c r="CI24" s="11">
        <v>-5.8507999999999998E-2</v>
      </c>
      <c r="CJ24" s="11">
        <v>-0.3001868935902553</v>
      </c>
      <c r="CK24" s="11">
        <v>0.32305926532838408</v>
      </c>
      <c r="CL24" s="11">
        <v>1.5683747889366519E-2</v>
      </c>
      <c r="CM24" s="11">
        <v>4.4688538323931992E-2</v>
      </c>
      <c r="CN24" s="11">
        <v>1.4921E-2</v>
      </c>
      <c r="CO24" s="11">
        <v>-0.57240960973467503</v>
      </c>
      <c r="CP24" s="11">
        <v>-0.19806734554709299</v>
      </c>
      <c r="CQ24" s="11">
        <v>0.1601896466275006</v>
      </c>
      <c r="CR24" s="11">
        <v>0.1377874560487031</v>
      </c>
      <c r="CS24" s="11">
        <v>-2.6858E-2</v>
      </c>
      <c r="CT24" s="11">
        <v>0.1828965872921165</v>
      </c>
      <c r="CU24" s="11">
        <v>-5.2729044813654813E-2</v>
      </c>
      <c r="CV24" s="11">
        <v>0.182864094907223</v>
      </c>
      <c r="CW24" s="11">
        <v>-0.234993215272846</v>
      </c>
      <c r="CX24" s="11">
        <v>5.5207193708687041E-2</v>
      </c>
      <c r="CY24" s="11">
        <v>0.36022804676873771</v>
      </c>
      <c r="CZ24" s="11">
        <v>0.11220662844456721</v>
      </c>
      <c r="DA24" s="11">
        <v>3.3980000000000003E-2</v>
      </c>
      <c r="DB24" s="11">
        <v>-1.6500000000000001E-2</v>
      </c>
      <c r="DC24" s="11">
        <v>-0.28272977872851818</v>
      </c>
      <c r="DD24" s="11">
        <v>4.9299999999999997E-2</v>
      </c>
      <c r="DE24" s="11">
        <v>-0.13158559129553279</v>
      </c>
      <c r="DF24" s="11">
        <v>-0.19463806375593051</v>
      </c>
      <c r="DG24" s="11">
        <v>-0.24858898273322999</v>
      </c>
      <c r="DH24" s="11">
        <v>0.26580500000000001</v>
      </c>
      <c r="DI24" s="11">
        <v>3.7185000000000003E-2</v>
      </c>
      <c r="DJ24" s="11">
        <v>-0.13248861050923971</v>
      </c>
      <c r="DK24" s="11">
        <v>0.33950921063044381</v>
      </c>
      <c r="DL24" s="11">
        <v>6.1360513215416877E-2</v>
      </c>
      <c r="DM24" s="11">
        <v>-0.10831609512618499</v>
      </c>
      <c r="DN24" s="11">
        <v>-0.51684793899753223</v>
      </c>
      <c r="DO24" s="11">
        <v>8.3114289590005733E-2</v>
      </c>
      <c r="DP24" s="11">
        <v>-0.22357182348369681</v>
      </c>
      <c r="DQ24" s="11">
        <v>0.35907130209664839</v>
      </c>
      <c r="DR24" s="11">
        <v>-2.0515630212029241E-2</v>
      </c>
      <c r="DS24" s="11">
        <v>0.14400697483881431</v>
      </c>
      <c r="DT24" s="11">
        <v>-3.8362866170129663E-2</v>
      </c>
      <c r="DU24" s="11">
        <v>2.178200000000001E-2</v>
      </c>
      <c r="DV24" s="11">
        <v>-0.75045654918922122</v>
      </c>
      <c r="DW24" s="11">
        <v>0.101183</v>
      </c>
      <c r="DX24" s="11">
        <v>-0.17373733044807921</v>
      </c>
      <c r="DY24" s="11">
        <v>-3.2066535729951551E-2</v>
      </c>
      <c r="DZ24" s="11">
        <v>-4.8904664258799802E-2</v>
      </c>
      <c r="EA24" s="11">
        <v>-5.4917000000000001E-2</v>
      </c>
      <c r="EB24" s="11">
        <v>-0.10923099999999999</v>
      </c>
      <c r="EC24" s="11">
        <v>0.143647</v>
      </c>
      <c r="ED24" s="11">
        <v>-6.9834999999999994E-2</v>
      </c>
      <c r="EE24" s="11">
        <v>-0.10748199999999999</v>
      </c>
      <c r="EF24" s="11">
        <v>0.13408500000000001</v>
      </c>
      <c r="EG24" s="9">
        <f t="shared" si="10"/>
        <v>-1.6190530306794293E-2</v>
      </c>
      <c r="EH24">
        <f t="shared" si="11"/>
        <v>0.21123530528336423</v>
      </c>
      <c r="EI24" s="20">
        <f t="shared" si="12"/>
        <v>-7.6646895200948084E-2</v>
      </c>
    </row>
    <row r="25" spans="1:139">
      <c r="A25" s="19"/>
      <c r="B25" s="19"/>
    </row>
    <row r="26" spans="1:139">
      <c r="A26" s="19" t="s">
        <v>145</v>
      </c>
      <c r="B26" s="19" t="s">
        <v>146</v>
      </c>
      <c r="C26" s="6">
        <v>-1.7446770539390338E-2</v>
      </c>
      <c r="D26" s="6">
        <v>2.070106053181563E-2</v>
      </c>
      <c r="E26" s="6">
        <v>2.3982129254766709E-2</v>
      </c>
      <c r="F26" s="6">
        <v>-6.557578972823077E-3</v>
      </c>
      <c r="G26" s="6">
        <v>3.1845129800519692E-2</v>
      </c>
      <c r="H26" s="6">
        <v>3.4348532736990518E-2</v>
      </c>
      <c r="I26" s="6">
        <v>-8.2549327813252367E-3</v>
      </c>
      <c r="J26" s="6">
        <v>1.2843524394052759E-2</v>
      </c>
      <c r="K26" s="6">
        <v>-5.1018524626790823E-2</v>
      </c>
      <c r="L26" s="6">
        <v>8.7394274103658827E-4</v>
      </c>
      <c r="M26" s="6">
        <v>2.3389575505495919E-2</v>
      </c>
      <c r="N26" s="6">
        <v>1.2988972200332851E-2</v>
      </c>
      <c r="O26" s="6">
        <v>5.8545887256348812E-3</v>
      </c>
      <c r="P26" s="6">
        <v>2.7413206571790558E-2</v>
      </c>
      <c r="Q26" s="6">
        <v>-3.7129361176928542E-3</v>
      </c>
      <c r="R26" s="6">
        <v>2.4076614047823328E-2</v>
      </c>
      <c r="S26" s="6">
        <v>-1.219002529903996E-2</v>
      </c>
      <c r="T26" s="6">
        <v>-3.9749578159589592E-2</v>
      </c>
      <c r="U26" s="6">
        <v>-7.3155449831649552E-2</v>
      </c>
      <c r="V26" s="6">
        <v>-5.8260229910114661E-2</v>
      </c>
      <c r="W26" s="6">
        <v>7.7279756550837221E-4</v>
      </c>
      <c r="X26" s="6">
        <v>4.459152113521897E-2</v>
      </c>
      <c r="Y26" s="6">
        <v>-2.7699680050213091E-2</v>
      </c>
      <c r="Z26" s="6">
        <v>2.0950059497436462E-3</v>
      </c>
      <c r="AA26" s="6">
        <v>-2.340055099256411E-2</v>
      </c>
      <c r="AB26" s="6">
        <v>3.2129371097322189E-2</v>
      </c>
      <c r="AC26" s="6">
        <v>3.890327309406643E-2</v>
      </c>
      <c r="AD26" s="6">
        <v>-4.286538217110427E-2</v>
      </c>
      <c r="AE26" s="6">
        <v>1.8647194550152159E-2</v>
      </c>
      <c r="AF26" s="6">
        <v>1.5229768322528949E-2</v>
      </c>
      <c r="AG26" s="6">
        <v>3.6016603778892417E-2</v>
      </c>
      <c r="AH26" s="6">
        <v>9.3546113853161701E-3</v>
      </c>
      <c r="AI26" s="6">
        <v>1.0748251336838139E-2</v>
      </c>
      <c r="AJ26" s="6">
        <v>1.335775405308097E-2</v>
      </c>
      <c r="AK26" s="6">
        <v>-5.3327473290953921E-3</v>
      </c>
      <c r="AL26" s="6">
        <v>1.383135807261675E-3</v>
      </c>
      <c r="AM26" s="6">
        <v>2.079592842007446E-2</v>
      </c>
      <c r="AN26" s="6">
        <v>3.1517702220390638E-2</v>
      </c>
      <c r="AO26" s="6">
        <v>6.2417165333294418E-3</v>
      </c>
      <c r="AP26" s="6">
        <v>6.1452616535713897E-3</v>
      </c>
      <c r="AQ26" s="6">
        <v>1.694635767669651E-2</v>
      </c>
      <c r="AR26" s="6">
        <v>3.4682830454308228E-2</v>
      </c>
      <c r="AS26" s="6">
        <v>3.0985886171969678E-3</v>
      </c>
      <c r="AT26" s="6">
        <v>1.508134714348611E-2</v>
      </c>
      <c r="AU26" s="6">
        <v>-1.9251209229863991E-2</v>
      </c>
      <c r="AV26" s="6">
        <v>3.8711513387631437E-2</v>
      </c>
      <c r="AW26" s="6">
        <v>-2.1856951135736599E-2</v>
      </c>
      <c r="AX26" s="6">
        <v>7.7743007097896798E-3</v>
      </c>
      <c r="AY26" s="6">
        <v>4.2397246695325942E-2</v>
      </c>
      <c r="AZ26" s="6">
        <v>-2.630897486115975E-2</v>
      </c>
      <c r="BA26" s="6">
        <v>9.5717493087162323E-3</v>
      </c>
      <c r="BB26" s="6">
        <v>-2.424974126627483E-2</v>
      </c>
      <c r="BC26" s="6">
        <v>2.0163374143915822E-2</v>
      </c>
      <c r="BD26" s="6">
        <v>-3.5049987821160239E-3</v>
      </c>
      <c r="BE26" s="6">
        <v>2.0151935098542271E-2</v>
      </c>
      <c r="BF26" s="6">
        <v>5.8133623077027128E-4</v>
      </c>
      <c r="BG26" s="6">
        <v>-5.2197009532526043E-3</v>
      </c>
      <c r="BH26" s="6">
        <v>-0.11587176140213</v>
      </c>
      <c r="BI26" s="6">
        <v>8.7252256924373536E-3</v>
      </c>
      <c r="BJ26" s="6">
        <v>-1.6377260977822151E-2</v>
      </c>
      <c r="BK26" s="6">
        <v>2.0840371600260421E-2</v>
      </c>
      <c r="BL26" s="6">
        <v>4.4975872102114713E-2</v>
      </c>
      <c r="BM26" s="6">
        <v>2.3954306081863871E-2</v>
      </c>
      <c r="BN26" s="6">
        <v>3.0239101391442601E-2</v>
      </c>
      <c r="BO26" s="6">
        <v>-4.372588759108751E-2</v>
      </c>
      <c r="BP26" s="6">
        <v>2.1889469568198618E-2</v>
      </c>
      <c r="BQ26" s="6">
        <v>8.6274302635084028E-3</v>
      </c>
      <c r="BR26" s="6">
        <v>-1.9192953994658781E-2</v>
      </c>
      <c r="BS26" s="6">
        <v>1.973512988813305E-2</v>
      </c>
      <c r="BT26" s="6">
        <v>4.7694337483699438E-2</v>
      </c>
      <c r="BU26" s="6">
        <v>1.145481680658339E-2</v>
      </c>
      <c r="BV26" s="6">
        <v>4.3228620735213191E-2</v>
      </c>
      <c r="BW26" s="6">
        <v>-4.2747430436922793E-2</v>
      </c>
      <c r="BX26" s="6">
        <v>-1.781129242779457E-2</v>
      </c>
      <c r="BY26" s="6">
        <v>-0.1511530968690756</v>
      </c>
      <c r="BZ26" s="6">
        <v>0.12422400361957529</v>
      </c>
      <c r="CA26" s="6">
        <v>-4.5572538445296431E-3</v>
      </c>
      <c r="CB26" s="6">
        <v>6.0211240204911178E-2</v>
      </c>
      <c r="CC26" s="6">
        <v>8.5992033482502284E-2</v>
      </c>
      <c r="CD26" s="6">
        <v>-5.8084795823660634E-3</v>
      </c>
      <c r="CE26" s="6">
        <v>-6.0413469889680736E-3</v>
      </c>
      <c r="CF26" s="6">
        <v>2.4523243722520739E-3</v>
      </c>
      <c r="CG26" s="6">
        <v>8.963625193702289E-2</v>
      </c>
      <c r="CH26" s="6">
        <v>7.099273252675789E-2</v>
      </c>
      <c r="CI26" s="6">
        <v>2.7170642901783448E-2</v>
      </c>
      <c r="CJ26" s="6">
        <v>5.2468428425330033E-2</v>
      </c>
      <c r="CK26" s="6">
        <v>2.9480660943049509E-2</v>
      </c>
      <c r="CL26" s="6">
        <v>6.6825081060201283E-2</v>
      </c>
      <c r="CM26" s="6">
        <v>-2.8772229019816971E-2</v>
      </c>
      <c r="CN26" s="6">
        <v>3.9462515901637851E-2</v>
      </c>
      <c r="CO26" s="6">
        <v>-2.9031086977359909E-2</v>
      </c>
      <c r="CP26" s="6">
        <v>1.3983882519467901E-2</v>
      </c>
      <c r="CQ26" s="6">
        <v>-3.2276964959333833E-2</v>
      </c>
      <c r="CR26" s="6">
        <v>3.1035766128940231E-3</v>
      </c>
      <c r="CS26" s="6">
        <v>2.5591855767083171E-2</v>
      </c>
      <c r="CT26" s="6">
        <v>4.4391886287193302E-2</v>
      </c>
      <c r="CU26" s="6">
        <v>-3.0338958549577438E-2</v>
      </c>
      <c r="CV26" s="6">
        <v>-1.2579764545717069E-3</v>
      </c>
      <c r="CW26" s="6">
        <v>2.336356455857952E-3</v>
      </c>
      <c r="CX26" s="6">
        <v>-6.4264144925906069E-2</v>
      </c>
      <c r="CY26" s="6">
        <v>1.2909779458992439E-2</v>
      </c>
      <c r="CZ26" s="6">
        <v>-0.12547709467085871</v>
      </c>
      <c r="DA26" s="6">
        <v>1.1690682939792569E-2</v>
      </c>
      <c r="DB26" s="6">
        <v>6.3378437007417512E-3</v>
      </c>
      <c r="DC26" s="6">
        <v>-0.1173053564693855</v>
      </c>
      <c r="DD26" s="6">
        <v>-3.6010872049446613E-2</v>
      </c>
      <c r="DE26" s="6">
        <v>0.1389113040722679</v>
      </c>
      <c r="DF26" s="6">
        <v>-5.1143506226105737E-2</v>
      </c>
      <c r="DG26" s="6">
        <v>7.6731447181969059E-2</v>
      </c>
      <c r="DH26" s="6">
        <v>1.550878219700816E-2</v>
      </c>
      <c r="DI26" s="6">
        <v>2.3223773674755831E-2</v>
      </c>
      <c r="DJ26" s="6">
        <v>-1.8372876361227891E-2</v>
      </c>
      <c r="DK26" s="6">
        <v>6.2199014085099431E-2</v>
      </c>
      <c r="DL26" s="6">
        <v>2.0098304486957191E-2</v>
      </c>
      <c r="DM26" s="6">
        <v>1.349893974806809E-2</v>
      </c>
      <c r="DN26" s="6">
        <v>-3.025221272842088E-2</v>
      </c>
      <c r="DO26" s="6">
        <v>-1.7022835708053841E-2</v>
      </c>
      <c r="DP26" s="6">
        <v>-2.1788523272461981E-2</v>
      </c>
      <c r="DQ26" s="6">
        <v>8.5745624585137223E-2</v>
      </c>
      <c r="DR26" s="6">
        <v>2.8106743604973752E-2</v>
      </c>
      <c r="DS26" s="6">
        <v>-2.3031598073594501E-3</v>
      </c>
      <c r="DT26" s="6">
        <v>5.8471198131487503E-2</v>
      </c>
      <c r="DU26" s="6">
        <v>6.7658949048647651E-2</v>
      </c>
      <c r="DV26" s="6">
        <v>5.0207706404322644E-3</v>
      </c>
      <c r="DW26" s="6">
        <v>3.7416183675207063E-2</v>
      </c>
      <c r="DX26" s="6">
        <v>8.4111003746042121E-2</v>
      </c>
      <c r="DY26" s="6">
        <v>-3.6832398544012837E-2</v>
      </c>
      <c r="DZ26" s="6">
        <v>3.0917028169369942E-3</v>
      </c>
      <c r="EA26" s="6">
        <v>-1.957628214294549E-3</v>
      </c>
      <c r="EB26" s="6">
        <v>2.6459103603519739E-2</v>
      </c>
      <c r="EC26" s="6">
        <v>-2.4752538760690269E-2</v>
      </c>
      <c r="ED26" s="6">
        <v>3.4115490982559941E-2</v>
      </c>
      <c r="EE26" s="6">
        <v>2.1061973989032982E-2</v>
      </c>
      <c r="EF26" s="6">
        <v>-2.0277392706005919E-2</v>
      </c>
      <c r="EG26" s="6">
        <f>AVERAGE(C26:EF26)</f>
        <v>7.3485376145559517E-3</v>
      </c>
      <c r="EH26" s="6">
        <f>STDEV(C26:EF26)</f>
        <v>4.2276369775976368E-2</v>
      </c>
      <c r="EI26" s="6">
        <f>EG26/EH26</f>
        <v>0.17382139605401439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topLeftCell="DT1" zoomScale="164" zoomScaleNormal="90" workbookViewId="0">
      <selection activeCell="EG9" sqref="EG9"/>
    </sheetView>
  </sheetViews>
  <sheetFormatPr baseColWidth="10" defaultColWidth="8.83203125" defaultRowHeight="15"/>
  <sheetData>
    <row r="1" spans="1:138" s="1" customFormat="1">
      <c r="A1" s="2" t="s">
        <v>0</v>
      </c>
    </row>
    <row r="2" spans="1:138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8" s="1" customFormat="1">
      <c r="B3" s="2" t="s">
        <v>136</v>
      </c>
      <c r="C3" s="11">
        <v>-9.1369017958641052E-2</v>
      </c>
      <c r="D3" s="11">
        <v>-0.1108541637659073</v>
      </c>
      <c r="E3" s="11">
        <v>1.095622777938843E-3</v>
      </c>
      <c r="F3" s="11">
        <v>-0.13442955911159521</v>
      </c>
      <c r="G3" s="11">
        <v>-0.1746680736541748</v>
      </c>
      <c r="H3" s="11">
        <v>5.4118875414133072E-3</v>
      </c>
      <c r="I3" s="11">
        <v>-3.5852931439876563E-2</v>
      </c>
      <c r="J3" s="11">
        <v>-7.7711276710033417E-2</v>
      </c>
      <c r="K3" s="11">
        <v>-1.449720188975334E-2</v>
      </c>
      <c r="L3" s="11">
        <v>-4.7656506299972527E-2</v>
      </c>
      <c r="M3" s="11">
        <v>-5.7244118303060532E-2</v>
      </c>
      <c r="N3" s="11">
        <v>2.682022750377655E-5</v>
      </c>
      <c r="O3" s="11">
        <v>-3.0116423964500431E-2</v>
      </c>
      <c r="P3" s="11">
        <v>-4.0258027613162987E-2</v>
      </c>
      <c r="Q3" s="11">
        <v>3.7178266793489461E-3</v>
      </c>
      <c r="R3" s="11">
        <v>2.9201550409197811E-2</v>
      </c>
      <c r="S3" s="11">
        <v>7.7254641801118851E-3</v>
      </c>
      <c r="T3" s="11">
        <v>-5.8597654104232788E-2</v>
      </c>
      <c r="U3" s="11">
        <v>6.510857492685318E-4</v>
      </c>
      <c r="V3" s="11">
        <v>-0.107098214328289</v>
      </c>
      <c r="W3" s="11">
        <v>-0.19089989364147189</v>
      </c>
      <c r="X3" s="11">
        <v>-7.1200095117092133E-2</v>
      </c>
      <c r="Y3" s="11">
        <v>-0.1000832766294479</v>
      </c>
      <c r="Z3" s="11">
        <v>-4.923209547996521E-2</v>
      </c>
      <c r="AA3" s="11">
        <v>-2.046559751033783E-2</v>
      </c>
      <c r="AB3" s="11">
        <v>-6.9066941738128662E-2</v>
      </c>
      <c r="AC3" s="11">
        <v>-5.033314973115921E-2</v>
      </c>
      <c r="AD3" s="11">
        <v>-1.914726942777634E-2</v>
      </c>
      <c r="AE3" s="11">
        <v>-1.0799495503306391E-2</v>
      </c>
      <c r="AF3" s="11">
        <v>1.033585891127586E-2</v>
      </c>
      <c r="AG3" s="11">
        <v>6.015850231051445E-3</v>
      </c>
      <c r="AH3" s="11">
        <v>-0.26610976457595831</v>
      </c>
      <c r="AI3" s="11">
        <v>-0.14365202188491821</v>
      </c>
      <c r="AJ3" s="11">
        <v>-0.25451940298080439</v>
      </c>
      <c r="AK3" s="11">
        <v>2.8104119002819061E-2</v>
      </c>
      <c r="AL3" s="11">
        <v>-5.1742583513259888E-2</v>
      </c>
      <c r="AM3" s="11">
        <v>-8.2977190613746643E-2</v>
      </c>
      <c r="AN3" s="11">
        <v>-7.0350959897041321E-2</v>
      </c>
      <c r="AO3" s="11">
        <v>-0.1968108415603638</v>
      </c>
      <c r="AP3" s="11">
        <v>-0.25679254531860352</v>
      </c>
      <c r="AQ3" s="11">
        <v>-5.9776842594146729E-2</v>
      </c>
      <c r="AR3" s="11">
        <v>-4.1728809475898743E-2</v>
      </c>
      <c r="AS3" s="11">
        <v>-8.1946820020675659E-2</v>
      </c>
      <c r="AT3" s="11">
        <v>-0.13346004486083979</v>
      </c>
      <c r="AU3" s="11">
        <v>3.601998090744019E-3</v>
      </c>
      <c r="AV3" s="11">
        <v>7.9997703433036804E-3</v>
      </c>
      <c r="AW3" s="11">
        <v>2.431571483612061E-3</v>
      </c>
      <c r="AX3" s="11">
        <v>1.277367025613785E-2</v>
      </c>
      <c r="AY3" s="11">
        <v>2.707108855247498E-3</v>
      </c>
      <c r="AZ3" s="11">
        <v>1.4640374109148979E-2</v>
      </c>
      <c r="BA3" s="11">
        <v>3.6530185490846627E-2</v>
      </c>
      <c r="BB3" s="11">
        <v>3.3319383859634399E-2</v>
      </c>
      <c r="BC3" s="11">
        <v>1.1332087218761441E-2</v>
      </c>
      <c r="BD3" s="11">
        <v>-7.7839195728302002E-4</v>
      </c>
      <c r="BE3" s="11">
        <v>-1.704639196395874E-2</v>
      </c>
      <c r="BF3" s="11">
        <v>-2.8747007250785831E-2</v>
      </c>
      <c r="BG3" s="11">
        <v>-3.7359297275543209E-3</v>
      </c>
      <c r="BH3" s="11">
        <v>3.0615001916885379E-2</v>
      </c>
      <c r="BI3" s="11">
        <v>-1.3157427310943599E-3</v>
      </c>
      <c r="BJ3" s="11">
        <v>-6.5720930695533752E-2</v>
      </c>
      <c r="BK3" s="11">
        <v>-4.0063485503196723E-2</v>
      </c>
      <c r="BL3" s="11">
        <v>-8.8971659541130066E-2</v>
      </c>
      <c r="BM3" s="11">
        <v>-2.1720856428146359E-2</v>
      </c>
      <c r="BN3" s="11">
        <v>-6.8609192967414856E-2</v>
      </c>
      <c r="BO3" s="11">
        <v>-5.5181741714477539E-2</v>
      </c>
      <c r="BP3" s="11">
        <v>-8.5352331399917603E-2</v>
      </c>
      <c r="BQ3" s="11">
        <v>-3.6593899130821228E-2</v>
      </c>
      <c r="BR3" s="11">
        <v>3.5782556980848312E-2</v>
      </c>
      <c r="BS3" s="11">
        <v>3.381897509098053E-2</v>
      </c>
      <c r="BT3" s="11">
        <v>3.7881385535001748E-2</v>
      </c>
      <c r="BU3" s="11">
        <v>3.3238206058740623E-2</v>
      </c>
      <c r="BV3" s="11">
        <v>4.6295918524265289E-2</v>
      </c>
      <c r="BW3" s="11">
        <v>3.5180661827325821E-2</v>
      </c>
      <c r="BX3" s="11">
        <v>2.4767490103840831E-2</v>
      </c>
      <c r="BY3" s="11">
        <v>3.3294945955276489E-2</v>
      </c>
      <c r="BZ3" s="11">
        <v>5.243389680981636E-2</v>
      </c>
      <c r="CA3" s="11">
        <v>4.8576407134532928E-3</v>
      </c>
      <c r="CB3" s="11">
        <v>3.7053938955068588E-2</v>
      </c>
      <c r="CC3" s="11">
        <v>2.6344805955886841E-2</v>
      </c>
      <c r="CD3" s="11">
        <v>3.6022435873746872E-2</v>
      </c>
      <c r="CE3" s="11">
        <v>2.6176232844591141E-2</v>
      </c>
      <c r="CF3" s="11">
        <v>1.8041616305708889E-2</v>
      </c>
      <c r="CG3" s="11">
        <v>1.433759741485119E-2</v>
      </c>
      <c r="CH3" s="11">
        <v>1.081309281289577E-2</v>
      </c>
      <c r="CI3" s="11">
        <v>9.3775922432541847E-3</v>
      </c>
      <c r="CJ3" s="11">
        <v>3.1418859958648682E-2</v>
      </c>
      <c r="CK3" s="11">
        <v>2.9902642592787739E-2</v>
      </c>
      <c r="CL3" s="11">
        <v>2.813007682561874E-2</v>
      </c>
      <c r="CM3" s="11">
        <v>1.7964363098144531E-2</v>
      </c>
      <c r="CN3" s="11">
        <v>6.8069854751229286E-3</v>
      </c>
      <c r="CO3" s="11">
        <v>4.2052153497934341E-2</v>
      </c>
      <c r="CP3" s="11">
        <v>3.3009041100740433E-2</v>
      </c>
      <c r="CQ3" s="11">
        <v>2.371090650558472E-2</v>
      </c>
      <c r="CR3" s="11">
        <v>2.6173286139965061E-2</v>
      </c>
      <c r="CS3" s="11">
        <v>1.9619772210717201E-2</v>
      </c>
      <c r="CT3" s="11">
        <v>1.4876773580908781E-2</v>
      </c>
      <c r="CU3" s="11">
        <v>4.0978025645017617E-2</v>
      </c>
      <c r="CV3" s="11">
        <v>3.9532899856567383E-2</v>
      </c>
      <c r="CW3" s="11">
        <v>2.4221045896410939E-2</v>
      </c>
      <c r="CX3" s="11">
        <v>4.2955689132213593E-2</v>
      </c>
      <c r="CY3" s="11">
        <v>2.8871554881334301E-2</v>
      </c>
      <c r="CZ3" s="11">
        <v>4.7397840768098831E-2</v>
      </c>
      <c r="DA3" s="11">
        <v>2.8573086485266689E-2</v>
      </c>
      <c r="DB3" s="11">
        <v>2.5090832263231281E-2</v>
      </c>
      <c r="DC3" s="11">
        <v>2.0950637757778171E-2</v>
      </c>
      <c r="DD3" s="11">
        <v>2.0789520815014839E-2</v>
      </c>
      <c r="DE3" s="11">
        <v>3.3207852393388748E-2</v>
      </c>
      <c r="DF3" s="11">
        <v>2.975026331841946E-2</v>
      </c>
      <c r="DG3" s="11">
        <v>1.9087659195065498E-2</v>
      </c>
      <c r="DH3" s="11">
        <v>2.3787431418895721E-2</v>
      </c>
      <c r="DI3" s="11">
        <v>1.9194494932889938E-2</v>
      </c>
      <c r="DJ3" s="11">
        <v>3.5664934664964683E-2</v>
      </c>
      <c r="DK3" s="11">
        <v>3.7067931145429611E-2</v>
      </c>
      <c r="DL3" s="11">
        <v>2.47370321303606E-2</v>
      </c>
      <c r="DM3" s="11">
        <v>3.1437266618013382E-2</v>
      </c>
      <c r="DN3" s="11">
        <v>2.590093947947025E-2</v>
      </c>
      <c r="DO3" s="11">
        <v>2.2398050874471661E-2</v>
      </c>
      <c r="DP3" s="11">
        <v>1.9147077575325969E-2</v>
      </c>
      <c r="DQ3" s="11">
        <v>2.4746008217334751E-2</v>
      </c>
      <c r="DR3" s="11">
        <v>3.8861591368913651E-2</v>
      </c>
      <c r="DS3" s="11">
        <v>2.9537344351410869E-2</v>
      </c>
      <c r="DT3" s="11">
        <v>3.6585744470357888E-2</v>
      </c>
      <c r="DU3" s="11">
        <v>1.0436186566948891E-2</v>
      </c>
      <c r="DV3" s="11">
        <v>1.354960352182388E-2</v>
      </c>
      <c r="DW3" s="11">
        <v>3.0600432306528091E-2</v>
      </c>
      <c r="DX3" s="11">
        <v>3.076322935521603E-2</v>
      </c>
      <c r="DY3" s="11">
        <v>2.6879474520683289E-2</v>
      </c>
      <c r="DZ3" s="11">
        <v>3.8272425532341003E-2</v>
      </c>
      <c r="EA3" s="11">
        <v>3.7800624966621399E-2</v>
      </c>
      <c r="EB3" s="11">
        <v>9.2485006898641586E-3</v>
      </c>
      <c r="EC3" s="11">
        <v>1.0824577882885929E-2</v>
      </c>
      <c r="ED3" s="11">
        <v>3.1915292143821723E-2</v>
      </c>
      <c r="EE3" s="11">
        <v>1.992469280958176E-2</v>
      </c>
      <c r="EF3" s="11">
        <v>3.6655358970165253E-2</v>
      </c>
    </row>
    <row r="4" spans="1:138" s="1" customFormat="1">
      <c r="B4" s="2" t="s">
        <v>137</v>
      </c>
      <c r="C4" s="11">
        <v>4.5735888183116913E-2</v>
      </c>
      <c r="D4" s="11">
        <v>0.1421964764595032</v>
      </c>
      <c r="E4" s="11">
        <v>0.12357825040817259</v>
      </c>
      <c r="F4" s="11">
        <v>0.10848225653171539</v>
      </c>
      <c r="G4" s="11">
        <v>9.5342576503753662E-2</v>
      </c>
      <c r="H4" s="11">
        <v>9.0842671692371368E-2</v>
      </c>
      <c r="I4" s="11">
        <v>7.6174549758434296E-2</v>
      </c>
      <c r="J4" s="11">
        <v>5.9771746397018433E-2</v>
      </c>
      <c r="K4" s="11">
        <v>6.8689219653606415E-2</v>
      </c>
      <c r="L4" s="11">
        <v>6.0447685420513153E-2</v>
      </c>
      <c r="M4" s="11">
        <v>2.7975643053650859E-2</v>
      </c>
      <c r="N4" s="11">
        <v>9.7275795415043831E-3</v>
      </c>
      <c r="O4" s="11">
        <v>9.3574635684490204E-3</v>
      </c>
      <c r="P4" s="11">
        <v>-1.796905649825931E-3</v>
      </c>
      <c r="Q4" s="11">
        <v>-2.5195966009050612E-3</v>
      </c>
      <c r="R4" s="11">
        <v>-3.085714997723699E-3</v>
      </c>
      <c r="S4" s="11">
        <v>-3.105835290625691E-3</v>
      </c>
      <c r="T4" s="11">
        <v>-4.2619518935680389E-3</v>
      </c>
      <c r="U4" s="11">
        <v>-9.374961256980896E-3</v>
      </c>
      <c r="V4" s="11">
        <v>-1.153737679123878E-2</v>
      </c>
      <c r="W4" s="11">
        <v>-1.192781608551741E-2</v>
      </c>
      <c r="X4" s="11">
        <v>-1.2192427180707449E-2</v>
      </c>
      <c r="Y4" s="11">
        <v>-1.5751872211694721E-2</v>
      </c>
      <c r="Z4" s="11">
        <v>-1.7309032380580899E-2</v>
      </c>
      <c r="AA4" s="11">
        <v>-1.7488019540905949E-2</v>
      </c>
      <c r="AB4" s="11">
        <v>-1.846657320857048E-2</v>
      </c>
      <c r="AC4" s="11">
        <v>-1.864372193813324E-2</v>
      </c>
      <c r="AD4" s="11">
        <v>-1.8953690305352211E-2</v>
      </c>
      <c r="AE4" s="11">
        <v>-1.921507716178894E-2</v>
      </c>
      <c r="AF4" s="11">
        <v>-2.0113235339522358E-2</v>
      </c>
      <c r="AG4" s="11">
        <v>-2.026095055043697E-2</v>
      </c>
      <c r="AH4" s="11">
        <v>-2.0400110632181171E-2</v>
      </c>
      <c r="AI4" s="11">
        <v>-2.257528901100159E-2</v>
      </c>
      <c r="AJ4" s="11">
        <v>-2.2869756445288662E-2</v>
      </c>
      <c r="AK4" s="11">
        <v>-2.3673111572861671E-2</v>
      </c>
      <c r="AL4" s="11">
        <v>-5.0100833177566528E-2</v>
      </c>
      <c r="AM4" s="11">
        <v>-2.9040023684501651E-2</v>
      </c>
      <c r="AN4" s="11">
        <v>-2.910598739981651E-2</v>
      </c>
      <c r="AO4" s="11">
        <v>-3.0611878260970119E-2</v>
      </c>
      <c r="AP4" s="11">
        <v>-3.0782695859670639E-2</v>
      </c>
      <c r="AQ4" s="11">
        <v>-2.7796577662229541E-2</v>
      </c>
      <c r="AR4" s="11">
        <v>-2.7182344347238541E-2</v>
      </c>
      <c r="AS4" s="11">
        <v>-2.4847416207194328E-2</v>
      </c>
      <c r="AT4" s="11">
        <v>-2.531261928379536E-2</v>
      </c>
      <c r="AU4" s="11">
        <v>-2.5429589673876759E-2</v>
      </c>
      <c r="AV4" s="11">
        <v>-2.5587804615497589E-2</v>
      </c>
      <c r="AW4" s="11">
        <v>-2.59556844830513E-2</v>
      </c>
      <c r="AX4" s="11">
        <v>-2.625242434442043E-2</v>
      </c>
      <c r="AY4" s="11">
        <v>-3.3910792320966721E-2</v>
      </c>
      <c r="AZ4" s="11">
        <v>-2.8038723394274712E-2</v>
      </c>
      <c r="BA4" s="11">
        <v>-2.7945993468165401E-2</v>
      </c>
      <c r="BB4" s="11">
        <v>-3.2719224691390991E-2</v>
      </c>
      <c r="BC4" s="11">
        <v>-3.2609779387712479E-2</v>
      </c>
      <c r="BD4" s="11">
        <v>-3.2060969620943069E-2</v>
      </c>
      <c r="BE4" s="11">
        <v>-3.2296057790517807E-2</v>
      </c>
      <c r="BF4" s="11">
        <v>-3.2346583902835853E-2</v>
      </c>
      <c r="BG4" s="11">
        <v>-3.2194517552852631E-2</v>
      </c>
      <c r="BH4" s="11">
        <v>-1.9704345613718029E-2</v>
      </c>
      <c r="BI4" s="11">
        <v>-2.780326642096043E-2</v>
      </c>
      <c r="BJ4" s="11">
        <v>-2.80107855796814E-2</v>
      </c>
      <c r="BK4" s="11">
        <v>-3.0229432508349419E-2</v>
      </c>
      <c r="BL4" s="11">
        <v>-2.991438657045364E-2</v>
      </c>
      <c r="BM4" s="11">
        <v>-3.1547844409942627E-2</v>
      </c>
      <c r="BN4" s="11">
        <v>-3.8578428328037262E-2</v>
      </c>
      <c r="BO4" s="11">
        <v>-2.9772218316793438E-2</v>
      </c>
      <c r="BP4" s="11">
        <v>-3.6932468414306641E-2</v>
      </c>
      <c r="BQ4" s="11">
        <v>-3.3658269792795181E-2</v>
      </c>
      <c r="BR4" s="11">
        <v>-1.1724528856575491E-2</v>
      </c>
      <c r="BS4" s="11">
        <v>-1.5890749171376228E-2</v>
      </c>
      <c r="BT4" s="11">
        <v>-2.0781641826033589E-2</v>
      </c>
      <c r="BU4" s="11">
        <v>-2.0965751260519031E-2</v>
      </c>
      <c r="BV4" s="11">
        <v>-1.7983367666602131E-2</v>
      </c>
      <c r="BW4" s="11">
        <v>-2.2088326513767239E-2</v>
      </c>
      <c r="BX4" s="11">
        <v>-3.0406095087528229E-2</v>
      </c>
      <c r="BY4" s="11">
        <v>-3.0804829671978951E-2</v>
      </c>
      <c r="BZ4" s="11">
        <v>-3.0603507533669468E-2</v>
      </c>
      <c r="CA4" s="11">
        <v>-3.099978901445866E-2</v>
      </c>
      <c r="CB4" s="11">
        <v>-2.641275338828564E-2</v>
      </c>
      <c r="CC4" s="11">
        <v>-2.8904115781188011E-2</v>
      </c>
      <c r="CD4" s="11">
        <v>-2.8219865635037419E-2</v>
      </c>
      <c r="CE4" s="11">
        <v>-2.8157502412796021E-2</v>
      </c>
      <c r="CF4" s="11">
        <v>-3.0116477981209751E-2</v>
      </c>
      <c r="CG4" s="11">
        <v>-3.000578656792641E-2</v>
      </c>
      <c r="CH4" s="11">
        <v>-3.004055842757225E-2</v>
      </c>
      <c r="CI4" s="11">
        <v>-3.1394515186548233E-2</v>
      </c>
      <c r="CJ4" s="11">
        <v>-3.1854711472988129E-2</v>
      </c>
      <c r="CK4" s="11">
        <v>-3.1971924006938927E-2</v>
      </c>
      <c r="CL4" s="11">
        <v>-3.5468246787786477E-2</v>
      </c>
      <c r="CM4" s="11">
        <v>-3.1219955533742901E-2</v>
      </c>
      <c r="CN4" s="11">
        <v>-3.586915135383606E-2</v>
      </c>
      <c r="CO4" s="11">
        <v>-3.1749378889799118E-2</v>
      </c>
      <c r="CP4" s="11">
        <v>-3.1618151813745499E-2</v>
      </c>
      <c r="CQ4" s="11">
        <v>-2.7020266279578209E-2</v>
      </c>
      <c r="CR4" s="11">
        <v>-2.5449879467487339E-2</v>
      </c>
      <c r="CS4" s="11">
        <v>-2.9090225696563721E-2</v>
      </c>
      <c r="CT4" s="11">
        <v>-2.5807581841945652E-2</v>
      </c>
      <c r="CU4" s="11">
        <v>-2.6407243683934212E-2</v>
      </c>
      <c r="CV4" s="11">
        <v>-2.782540954649448E-2</v>
      </c>
      <c r="CW4" s="11">
        <v>-3.4329790621995933E-2</v>
      </c>
      <c r="CX4" s="11">
        <v>-2.7993788942694661E-2</v>
      </c>
      <c r="CY4" s="11">
        <v>-2.6280265301465992E-2</v>
      </c>
      <c r="CZ4" s="11">
        <v>-2.7791231870651249E-2</v>
      </c>
      <c r="DA4" s="11">
        <v>-2.9591461643576619E-2</v>
      </c>
      <c r="DB4" s="11">
        <v>-3.4101340919733047E-2</v>
      </c>
      <c r="DC4" s="11">
        <v>-3.4843210130929947E-2</v>
      </c>
      <c r="DD4" s="11">
        <v>-3.2262604683637619E-2</v>
      </c>
      <c r="DE4" s="11">
        <v>-2.881589904427528E-2</v>
      </c>
      <c r="DF4" s="11">
        <v>-2.8322570025920871E-2</v>
      </c>
      <c r="DG4" s="11">
        <v>-2.6369631290435791E-2</v>
      </c>
      <c r="DH4" s="11">
        <v>-3.1315241008996957E-2</v>
      </c>
      <c r="DI4" s="11">
        <v>-2.9898226261138919E-2</v>
      </c>
      <c r="DJ4" s="11">
        <v>-2.9556438326835629E-2</v>
      </c>
      <c r="DK4" s="11">
        <v>-2.8653092682361599E-2</v>
      </c>
      <c r="DL4" s="11">
        <v>-2.926721982657909E-2</v>
      </c>
      <c r="DM4" s="11">
        <v>-2.9532833024859428E-2</v>
      </c>
      <c r="DN4" s="11">
        <v>-3.190428763628006E-2</v>
      </c>
      <c r="DO4" s="11">
        <v>-2.7400294318795201E-2</v>
      </c>
      <c r="DP4" s="11">
        <v>-3.3020105212926858E-2</v>
      </c>
      <c r="DQ4" s="11">
        <v>-2.694530226290226E-2</v>
      </c>
      <c r="DR4" s="11">
        <v>-2.806044556200504E-2</v>
      </c>
      <c r="DS4" s="11">
        <v>-2.7914209291338921E-2</v>
      </c>
      <c r="DT4" s="11">
        <v>-2.7555149048566822E-2</v>
      </c>
      <c r="DU4" s="11">
        <v>-2.540554478764534E-2</v>
      </c>
      <c r="DV4" s="11">
        <v>-2.6828791946172711E-2</v>
      </c>
      <c r="DW4" s="11">
        <v>-3.7095267325639718E-2</v>
      </c>
      <c r="DX4" s="11">
        <v>-2.7448661625385281E-2</v>
      </c>
      <c r="DY4" s="11">
        <v>-3.1317904591560357E-2</v>
      </c>
      <c r="DZ4" s="11">
        <v>-2.4290399625897411E-2</v>
      </c>
      <c r="EA4" s="11">
        <v>-8.3518818020820618E-2</v>
      </c>
      <c r="EB4" s="11">
        <v>-7.7344618737697601E-2</v>
      </c>
      <c r="EC4" s="11">
        <v>-7.0242889225482941E-2</v>
      </c>
      <c r="ED4" s="11">
        <v>-6.3896283507347107E-2</v>
      </c>
      <c r="EE4" s="11">
        <v>-9.7872823476791382E-2</v>
      </c>
      <c r="EF4" s="11">
        <v>-7.6828889548778534E-2</v>
      </c>
    </row>
    <row r="5" spans="1:138" s="1" customFormat="1">
      <c r="B5" s="2" t="s">
        <v>138</v>
      </c>
      <c r="C5" s="11">
        <v>0.50836324691772461</v>
      </c>
      <c r="D5" s="11">
        <v>0.76913774013519287</v>
      </c>
      <c r="E5" s="11">
        <v>0.54195535182952881</v>
      </c>
      <c r="F5" s="11">
        <v>1.1543282270431521</v>
      </c>
      <c r="G5" s="11">
        <v>0.54750555753707886</v>
      </c>
      <c r="H5" s="11">
        <v>0.91896617412567139</v>
      </c>
      <c r="I5" s="11">
        <v>0.66497212648391724</v>
      </c>
      <c r="J5" s="11">
        <v>0.96098613739013672</v>
      </c>
      <c r="K5" s="11">
        <v>1.069318890571594</v>
      </c>
      <c r="L5" s="11">
        <v>0.58301490545272827</v>
      </c>
      <c r="M5" s="11">
        <v>0.48336148262023931</v>
      </c>
      <c r="N5" s="11">
        <v>0.4335099458694458</v>
      </c>
      <c r="O5" s="11">
        <v>6.3416294753551483E-2</v>
      </c>
      <c r="P5" s="11">
        <v>3.3898822963237762E-2</v>
      </c>
      <c r="Q5" s="11">
        <v>-0.63935673236846924</v>
      </c>
      <c r="R5" s="11">
        <v>-5.0250470638275153E-2</v>
      </c>
      <c r="S5" s="11">
        <v>6.6091194748878479E-2</v>
      </c>
      <c r="T5" s="11">
        <v>-6.0526482760906219E-2</v>
      </c>
      <c r="U5" s="11">
        <v>-5.0881840288639069E-2</v>
      </c>
      <c r="V5" s="11">
        <v>0.12953431904315951</v>
      </c>
      <c r="W5" s="11">
        <v>0.1782713979482651</v>
      </c>
      <c r="X5" s="11">
        <v>0.22364641726017001</v>
      </c>
      <c r="Y5" s="11">
        <v>0.2607954740524292</v>
      </c>
      <c r="Z5" s="11">
        <v>0.17032516002655029</v>
      </c>
      <c r="AA5" s="11">
        <v>0.14871090650558469</v>
      </c>
      <c r="AB5" s="11">
        <v>0.13639476895332339</v>
      </c>
      <c r="AC5" s="11">
        <v>0.1064975261688232</v>
      </c>
      <c r="AD5" s="11">
        <v>0.1051289364695549</v>
      </c>
      <c r="AE5" s="11">
        <v>9.8157517611980438E-2</v>
      </c>
      <c r="AF5" s="11">
        <v>8.0513276159763336E-2</v>
      </c>
      <c r="AG5" s="11">
        <v>5.8855693787336349E-2</v>
      </c>
      <c r="AH5" s="11">
        <v>3.0879952013492581E-2</v>
      </c>
      <c r="AI5" s="11">
        <v>-1.261719036847353E-2</v>
      </c>
      <c r="AJ5" s="11">
        <v>4.1990965604782098E-2</v>
      </c>
      <c r="AK5" s="11">
        <v>7.5650393962860107E-2</v>
      </c>
      <c r="AL5" s="11">
        <v>6.6236443817615509E-2</v>
      </c>
      <c r="AM5" s="11">
        <v>3.2869942486286163E-2</v>
      </c>
      <c r="AN5" s="11">
        <v>3.6517307162284851E-2</v>
      </c>
      <c r="AO5" s="11">
        <v>6.8531297147274017E-2</v>
      </c>
      <c r="AP5" s="11">
        <v>6.5215103328227997E-2</v>
      </c>
      <c r="AQ5" s="11">
        <v>0.1400775462388992</v>
      </c>
      <c r="AR5" s="11">
        <v>0.16342324018478391</v>
      </c>
      <c r="AS5" s="11">
        <v>0.18792152404785159</v>
      </c>
      <c r="AT5" s="11">
        <v>0.19995155930519101</v>
      </c>
      <c r="AU5" s="11">
        <v>0.19402837753295901</v>
      </c>
      <c r="AV5" s="11">
        <v>0.15869356691837311</v>
      </c>
      <c r="AW5" s="11">
        <v>-3.568306565284729E-2</v>
      </c>
      <c r="AX5" s="11">
        <v>3.6226339638233178E-2</v>
      </c>
      <c r="AY5" s="11">
        <v>0.1132773458957672</v>
      </c>
      <c r="AZ5" s="11">
        <v>0.104707270860672</v>
      </c>
      <c r="BA5" s="11">
        <v>6.849505752325058E-2</v>
      </c>
      <c r="BB5" s="11">
        <v>-7.3811113834381104E-3</v>
      </c>
      <c r="BC5" s="11">
        <v>-3.7875480949878693E-2</v>
      </c>
      <c r="BD5" s="11">
        <v>-2.379884384572506E-2</v>
      </c>
      <c r="BE5" s="11">
        <v>1.822005026042461E-3</v>
      </c>
      <c r="BF5" s="11">
        <v>-2.3551452904939651E-2</v>
      </c>
      <c r="BG5" s="11">
        <v>5.2555324509739876E-4</v>
      </c>
      <c r="BH5" s="11">
        <v>5.9344802051782608E-2</v>
      </c>
      <c r="BI5" s="11">
        <v>1.4028729870915409E-2</v>
      </c>
      <c r="BJ5" s="11">
        <v>8.2117840647697449E-3</v>
      </c>
      <c r="BK5" s="11">
        <v>5.5602390319108963E-2</v>
      </c>
      <c r="BL5" s="11">
        <v>-3.1602058559656143E-2</v>
      </c>
      <c r="BM5" s="11">
        <v>6.5659098327159882E-2</v>
      </c>
      <c r="BN5" s="11">
        <v>-5.0475221127271652E-2</v>
      </c>
      <c r="BO5" s="11">
        <v>-5.4688155651092529E-2</v>
      </c>
      <c r="BP5" s="11">
        <v>-3.0284570530056949E-3</v>
      </c>
      <c r="BQ5" s="11">
        <v>7.9566333442926407E-3</v>
      </c>
      <c r="BR5" s="11">
        <v>-2.7654411271214489E-2</v>
      </c>
      <c r="BS5" s="11">
        <v>-6.0201874002814293E-3</v>
      </c>
      <c r="BT5" s="11">
        <v>4.3329164385795593E-2</v>
      </c>
      <c r="BU5" s="11">
        <v>4.8520129173994057E-2</v>
      </c>
      <c r="BV5" s="11">
        <v>0.14270420372486109</v>
      </c>
      <c r="BW5" s="11">
        <v>0.13052307069301611</v>
      </c>
      <c r="BX5" s="11">
        <v>5.2400790154933929E-2</v>
      </c>
      <c r="BY5" s="11">
        <v>6.0546338558197021E-2</v>
      </c>
      <c r="BZ5" s="11">
        <v>5.7873823679983616E-3</v>
      </c>
      <c r="CA5" s="11">
        <v>-2.9747102409601212E-2</v>
      </c>
      <c r="CB5" s="11">
        <v>-3.9389632642269128E-2</v>
      </c>
      <c r="CC5" s="11">
        <v>1.370896119624376E-2</v>
      </c>
      <c r="CD5" s="11">
        <v>1.4963460154831409E-2</v>
      </c>
      <c r="CE5" s="11">
        <v>1.9200652837753299E-2</v>
      </c>
      <c r="CF5" s="11">
        <v>4.381309449672699E-2</v>
      </c>
      <c r="CG5" s="11">
        <v>3.0113250017166141E-2</v>
      </c>
      <c r="CH5" s="11">
        <v>4.3025322258472443E-2</v>
      </c>
      <c r="CI5" s="11">
        <v>2.937228232622147E-2</v>
      </c>
      <c r="CJ5" s="11">
        <v>4.1782274842262268E-2</v>
      </c>
      <c r="CK5" s="11">
        <v>3.7300810217857361E-2</v>
      </c>
      <c r="CL5" s="11">
        <v>6.0941599309444427E-2</v>
      </c>
      <c r="CM5" s="11">
        <v>-3.8412053138017647E-2</v>
      </c>
      <c r="CN5" s="11">
        <v>2.307451143860817E-2</v>
      </c>
      <c r="CO5" s="11">
        <v>0.1589557081460953</v>
      </c>
      <c r="CP5" s="11">
        <v>-3.6965128034353263E-2</v>
      </c>
      <c r="CQ5" s="11">
        <v>6.9797366857528687E-2</v>
      </c>
      <c r="CR5" s="11">
        <v>-3.3767849206924438E-2</v>
      </c>
      <c r="CS5" s="11">
        <v>2.6915153488516811E-2</v>
      </c>
      <c r="CT5" s="11">
        <v>5.3638488054275513E-2</v>
      </c>
      <c r="CU5" s="11">
        <v>6.3532985746860504E-2</v>
      </c>
      <c r="CV5" s="11">
        <v>5.5906884372234338E-2</v>
      </c>
      <c r="CW5" s="11">
        <v>4.8717334866523743E-2</v>
      </c>
      <c r="CX5" s="11">
        <v>3.1909029930830002E-2</v>
      </c>
      <c r="CY5" s="11">
        <v>2.966258488595486E-2</v>
      </c>
      <c r="CZ5" s="11">
        <v>3.6755949258804321E-2</v>
      </c>
      <c r="DA5" s="11">
        <v>2.631759271025658E-2</v>
      </c>
      <c r="DB5" s="11">
        <v>2.7680350467562679E-2</v>
      </c>
      <c r="DC5" s="11">
        <v>3.7085290998220437E-2</v>
      </c>
      <c r="DD5" s="11">
        <v>1.9733298569917679E-2</v>
      </c>
      <c r="DE5" s="11">
        <v>4.1370406746864319E-2</v>
      </c>
      <c r="DF5" s="11">
        <v>4.0565907955169678E-2</v>
      </c>
      <c r="DG5" s="11">
        <v>3.3224057406187057E-2</v>
      </c>
      <c r="DH5" s="11">
        <v>2.4580571800470349E-2</v>
      </c>
      <c r="DI5" s="11">
        <v>-2.881684526801109E-2</v>
      </c>
      <c r="DJ5" s="11">
        <v>2.9332105070352551E-2</v>
      </c>
      <c r="DK5" s="11">
        <v>3.2709039747715003E-2</v>
      </c>
      <c r="DL5" s="11">
        <v>3.5447288304567337E-2</v>
      </c>
      <c r="DM5" s="11">
        <v>4.903421550989151E-2</v>
      </c>
      <c r="DN5" s="11">
        <v>-0.11219848692417141</v>
      </c>
      <c r="DO5" s="11">
        <v>5.3319718688726432E-2</v>
      </c>
      <c r="DP5" s="11">
        <v>5.3090192377567291E-2</v>
      </c>
      <c r="DQ5" s="11">
        <v>6.7249387502670288E-2</v>
      </c>
      <c r="DR5" s="11">
        <v>3.8297854363918298E-2</v>
      </c>
      <c r="DS5" s="11">
        <v>4.5268747955560677E-2</v>
      </c>
      <c r="DT5" s="11">
        <v>8.5754990577697754E-3</v>
      </c>
      <c r="DU5" s="11">
        <v>1.5342086553573611E-3</v>
      </c>
      <c r="DV5" s="11">
        <v>3.8169108331203461E-2</v>
      </c>
      <c r="DW5" s="11">
        <v>3.0193541198968891E-2</v>
      </c>
      <c r="DX5" s="11">
        <v>3.4144993871450417E-2</v>
      </c>
      <c r="DY5" s="11">
        <v>5.4498199373483658E-2</v>
      </c>
      <c r="DZ5" s="11">
        <v>4.3653316795825958E-2</v>
      </c>
      <c r="EA5" s="11">
        <v>2.1745305508375171E-2</v>
      </c>
      <c r="EB5" s="11">
        <v>6.247103214263916E-3</v>
      </c>
      <c r="EC5" s="11">
        <v>2.142295241355896E-2</v>
      </c>
      <c r="ED5" s="11">
        <v>1.7024625092744831E-2</v>
      </c>
      <c r="EE5" s="11">
        <v>5.3500138223171227E-2</v>
      </c>
      <c r="EF5" s="11">
        <v>5.7897597551345832E-2</v>
      </c>
    </row>
    <row r="6" spans="1:138" s="1" customFormat="1">
      <c r="A6" s="2" t="s">
        <v>139</v>
      </c>
      <c r="C6" s="11">
        <f t="array" ref="C6">MATCH(MAX(ABS(C3:C5)),ABS(C3:C5),0)</f>
        <v>3</v>
      </c>
      <c r="D6" s="11">
        <f t="array" ref="D6">MATCH(MAX(ABS(D3:D5)),ABS(D3:D5),0)</f>
        <v>3</v>
      </c>
      <c r="E6" s="11">
        <f t="array" ref="E6">MATCH(MAX(ABS(E3:E5)),ABS(E3:E5),0)</f>
        <v>3</v>
      </c>
      <c r="F6" s="11">
        <f t="array" ref="F6">MATCH(MAX(ABS(F3:F5)),ABS(F3:F5),0)</f>
        <v>3</v>
      </c>
      <c r="G6" s="11">
        <f t="array" ref="G6">MATCH(MAX(ABS(G3:G5)),ABS(G3:G5),0)</f>
        <v>3</v>
      </c>
      <c r="H6" s="11">
        <f t="array" ref="H6">MATCH(MAX(ABS(H3:H5)),ABS(H3:H5),0)</f>
        <v>3</v>
      </c>
      <c r="I6" s="11">
        <f t="array" ref="I6">MATCH(MAX(ABS(I3:I5)),ABS(I3:I5),0)</f>
        <v>3</v>
      </c>
      <c r="J6" s="11">
        <f t="array" ref="J6">MATCH(MAX(ABS(J3:J5)),ABS(J3:J5),0)</f>
        <v>3</v>
      </c>
      <c r="K6" s="11">
        <f t="array" ref="K6">MATCH(MAX(ABS(K3:K5)),ABS(K3:K5),0)</f>
        <v>3</v>
      </c>
      <c r="L6" s="11">
        <f t="array" ref="L6">MATCH(MAX(ABS(L3:L5)),ABS(L3:L5),0)</f>
        <v>3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1</v>
      </c>
      <c r="Q6" s="11">
        <f t="array" ref="Q6">MATCH(MAX(ABS(Q3:Q5)),ABS(Q3:Q5),0)</f>
        <v>3</v>
      </c>
      <c r="R6" s="11">
        <f t="array" ref="R6">MATCH(MAX(ABS(R3:R5)),ABS(R3:R5),0)</f>
        <v>3</v>
      </c>
      <c r="S6" s="11">
        <f t="array" ref="S6">MATCH(MAX(ABS(S3:S5)),ABS(S3:S5),0)</f>
        <v>3</v>
      </c>
      <c r="T6" s="11">
        <f t="array" ref="T6">MATCH(MAX(ABS(T3:T5)),ABS(T3:T5),0)</f>
        <v>3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1</v>
      </c>
      <c r="X6" s="11">
        <f t="array" ref="X6">MATCH(MAX(ABS(X3:X5)),ABS(X3:X5),0)</f>
        <v>3</v>
      </c>
      <c r="Y6" s="11">
        <f t="array" ref="Y6">MATCH(MAX(ABS(Y3:Y5)),ABS(Y3:Y5),0)</f>
        <v>3</v>
      </c>
      <c r="Z6" s="11">
        <f t="array" ref="Z6">MATCH(MAX(ABS(Z3:Z5)),ABS(Z3:Z5),0)</f>
        <v>3</v>
      </c>
      <c r="AA6" s="11">
        <f t="array" ref="AA6">MATCH(MAX(ABS(AA3:AA5)),ABS(AA3:AA5),0)</f>
        <v>3</v>
      </c>
      <c r="AB6" s="11">
        <f t="array" ref="AB6">MATCH(MAX(ABS(AB3:AB5)),ABS(AB3:AB5),0)</f>
        <v>3</v>
      </c>
      <c r="AC6" s="11">
        <f t="array" ref="AC6">MATCH(MAX(ABS(AC3:AC5)),ABS(AC3:AC5),0)</f>
        <v>3</v>
      </c>
      <c r="AD6" s="11">
        <f t="array" ref="AD6">MATCH(MAX(ABS(AD3:AD5)),ABS(AD3:AD5),0)</f>
        <v>3</v>
      </c>
      <c r="AE6" s="11">
        <f t="array" ref="AE6">MATCH(MAX(ABS(AE3:AE5)),ABS(AE3:AE5),0)</f>
        <v>3</v>
      </c>
      <c r="AF6" s="11">
        <f t="array" ref="AF6">MATCH(MAX(ABS(AF3:AF5)),ABS(AF3:AF5),0)</f>
        <v>3</v>
      </c>
      <c r="AG6" s="11">
        <f t="array" ref="AG6">MATCH(MAX(ABS(AG3:AG5)),ABS(AG3:AG5),0)</f>
        <v>3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3</v>
      </c>
      <c r="AL6" s="11">
        <f t="array" ref="AL6">MATCH(MAX(ABS(AL3:AL5)),ABS(AL3:AL5),0)</f>
        <v>3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3</v>
      </c>
      <c r="AR6" s="11">
        <f t="array" ref="AR6">MATCH(MAX(ABS(AR3:AR5)),ABS(AR3:AR5),0)</f>
        <v>3</v>
      </c>
      <c r="AS6" s="11">
        <f t="array" ref="AS6">MATCH(MAX(ABS(AS3:AS5)),ABS(AS3:AS5),0)</f>
        <v>3</v>
      </c>
      <c r="AT6" s="11">
        <f t="array" ref="AT6">MATCH(MAX(ABS(AT3:AT5)),ABS(AT3:AT5),0)</f>
        <v>3</v>
      </c>
      <c r="AU6" s="11">
        <f t="array" ref="AU6">MATCH(MAX(ABS(AU3:AU5)),ABS(AU3:AU5),0)</f>
        <v>3</v>
      </c>
      <c r="AV6" s="11">
        <f t="array" ref="AV6">MATCH(MAX(ABS(AV3:AV5)),ABS(AV3:AV5),0)</f>
        <v>3</v>
      </c>
      <c r="AW6" s="11">
        <f t="array" ref="AW6">MATCH(MAX(ABS(AW3:AW5)),ABS(AW3:AW5),0)</f>
        <v>3</v>
      </c>
      <c r="AX6" s="11">
        <f t="array" ref="AX6">MATCH(MAX(ABS(AX3:AX5)),ABS(AX3:AX5),0)</f>
        <v>3</v>
      </c>
      <c r="AY6" s="11">
        <f t="array" ref="AY6">MATCH(MAX(ABS(AY3:AY5)),ABS(AY3:AY5),0)</f>
        <v>3</v>
      </c>
      <c r="AZ6" s="11">
        <f t="array" ref="AZ6">MATCH(MAX(ABS(AZ3:AZ5)),ABS(AZ3:AZ5),0)</f>
        <v>3</v>
      </c>
      <c r="BA6" s="11">
        <f t="array" ref="BA6">MATCH(MAX(ABS(BA3:BA5)),ABS(BA3:BA5),0)</f>
        <v>3</v>
      </c>
      <c r="BB6" s="11">
        <f t="array" ref="BB6">MATCH(MAX(ABS(BB3:BB5)),ABS(BB3:BB5),0)</f>
        <v>1</v>
      </c>
      <c r="BC6" s="11">
        <f t="array" ref="BC6">MATCH(MAX(ABS(BC3:BC5)),ABS(BC3:BC5),0)</f>
        <v>3</v>
      </c>
      <c r="BD6" s="11">
        <f t="array" ref="BD6">MATCH(MAX(ABS(BD3:BD5)),ABS(BD3:BD5),0)</f>
        <v>2</v>
      </c>
      <c r="BE6" s="11">
        <f t="array" ref="BE6">MATCH(MAX(ABS(BE3:BE5)),ABS(BE3:BE5),0)</f>
        <v>2</v>
      </c>
      <c r="BF6" s="11">
        <f t="array" ref="BF6">MATCH(MAX(ABS(BF3:BF5)),ABS(BF3:BF5),0)</f>
        <v>2</v>
      </c>
      <c r="BG6" s="11">
        <f t="array" ref="BG6">MATCH(MAX(ABS(BG3:BG5)),ABS(BG3:BG5),0)</f>
        <v>2</v>
      </c>
      <c r="BH6" s="11">
        <f t="array" ref="BH6">MATCH(MAX(ABS(BH3:BH5)),ABS(BH3:BH5),0)</f>
        <v>3</v>
      </c>
      <c r="BI6" s="11">
        <f t="array" ref="BI6">MATCH(MAX(ABS(BI3:BI5)),ABS(BI3:BI5),0)</f>
        <v>2</v>
      </c>
      <c r="BJ6" s="11">
        <f t="array" ref="BJ6">MATCH(MAX(ABS(BJ3:BJ5)),ABS(BJ3:BJ5),0)</f>
        <v>1</v>
      </c>
      <c r="BK6" s="11">
        <f t="array" ref="BK6">MATCH(MAX(ABS(BK3:BK5)),ABS(BK3:BK5),0)</f>
        <v>3</v>
      </c>
      <c r="BL6" s="11">
        <f t="array" ref="BL6">MATCH(MAX(ABS(BL3:BL5)),ABS(BL3:BL5),0)</f>
        <v>1</v>
      </c>
      <c r="BM6" s="11">
        <f t="array" ref="BM6">MATCH(MAX(ABS(BM3:BM5)),ABS(BM3:BM5),0)</f>
        <v>3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1</v>
      </c>
      <c r="BT6" s="11">
        <f t="array" ref="BT6">MATCH(MAX(ABS(BT3:BT5)),ABS(BT3:BT5),0)</f>
        <v>3</v>
      </c>
      <c r="BU6" s="11">
        <f t="array" ref="BU6">MATCH(MAX(ABS(BU3:BU5)),ABS(BU3:BU5),0)</f>
        <v>3</v>
      </c>
      <c r="BV6" s="11">
        <f t="array" ref="BV6">MATCH(MAX(ABS(BV3:BV5)),ABS(BV3:BV5),0)</f>
        <v>3</v>
      </c>
      <c r="BW6" s="11">
        <f t="array" ref="BW6">MATCH(MAX(ABS(BW3:BW5)),ABS(BW3:BW5),0)</f>
        <v>3</v>
      </c>
      <c r="BX6" s="11">
        <f t="array" ref="BX6">MATCH(MAX(ABS(BX3:BX5)),ABS(BX3:BX5),0)</f>
        <v>3</v>
      </c>
      <c r="BY6" s="11">
        <f t="array" ref="BY6">MATCH(MAX(ABS(BY3:BY5)),ABS(BY3:BY5),0)</f>
        <v>3</v>
      </c>
      <c r="BZ6" s="11">
        <f t="array" ref="BZ6">MATCH(MAX(ABS(BZ3:BZ5)),ABS(BZ3:BZ5),0)</f>
        <v>1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2</v>
      </c>
      <c r="CD6" s="11">
        <f t="array" ref="CD6">MATCH(MAX(ABS(CD3:CD5)),ABS(CD3:CD5),0)</f>
        <v>1</v>
      </c>
      <c r="CE6" s="11">
        <f t="array" ref="CE6">MATCH(MAX(ABS(CE3:CE5)),ABS(CE3:CE5),0)</f>
        <v>2</v>
      </c>
      <c r="CF6" s="11">
        <f t="array" ref="CF6">MATCH(MAX(ABS(CF3:CF5)),ABS(CF3:CF5),0)</f>
        <v>3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2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3</v>
      </c>
      <c r="CN6" s="11">
        <f t="array" ref="CN6">MATCH(MAX(ABS(CN3:CN5)),ABS(CN3:CN5),0)</f>
        <v>2</v>
      </c>
      <c r="CO6" s="11">
        <f t="array" ref="CO6">MATCH(MAX(ABS(CO3:CO5)),ABS(CO3:CO5),0)</f>
        <v>3</v>
      </c>
      <c r="CP6" s="11">
        <f t="array" ref="CP6">MATCH(MAX(ABS(CP3:CP5)),ABS(CP3:CP5),0)</f>
        <v>3</v>
      </c>
      <c r="CQ6" s="11">
        <f t="array" ref="CQ6">MATCH(MAX(ABS(CQ3:CQ5)),ABS(CQ3:CQ5),0)</f>
        <v>3</v>
      </c>
      <c r="CR6" s="11">
        <f t="array" ref="CR6">MATCH(MAX(ABS(CR3:CR5)),ABS(CR3:CR5),0)</f>
        <v>3</v>
      </c>
      <c r="CS6" s="11">
        <f t="array" ref="CS6">MATCH(MAX(ABS(CS3:CS5)),ABS(CS3:CS5),0)</f>
        <v>2</v>
      </c>
      <c r="CT6" s="11">
        <f t="array" ref="CT6">MATCH(MAX(ABS(CT3:CT5)),ABS(CT3:CT5),0)</f>
        <v>3</v>
      </c>
      <c r="CU6" s="11">
        <f t="array" ref="CU6">MATCH(MAX(ABS(CU3:CU5)),ABS(CU3:CU5),0)</f>
        <v>3</v>
      </c>
      <c r="CV6" s="11">
        <f t="array" ref="CV6">MATCH(MAX(ABS(CV3:CV5)),ABS(CV3:CV5),0)</f>
        <v>3</v>
      </c>
      <c r="CW6" s="11">
        <f t="array" ref="CW6">MATCH(MAX(ABS(CW3:CW5)),ABS(CW3:CW5),0)</f>
        <v>3</v>
      </c>
      <c r="CX6" s="11">
        <f t="array" ref="CX6">MATCH(MAX(ABS(CX3:CX5)),ABS(CX3:CX5),0)</f>
        <v>1</v>
      </c>
      <c r="CY6" s="11">
        <f t="array" ref="CY6">MATCH(MAX(ABS(CY3:CY5)),ABS(CY3:CY5),0)</f>
        <v>3</v>
      </c>
      <c r="CZ6" s="11">
        <f t="array" ref="CZ6">MATCH(MAX(ABS(CZ3:CZ5)),ABS(CZ3:CZ5),0)</f>
        <v>1</v>
      </c>
      <c r="DA6" s="11">
        <f t="array" ref="DA6">MATCH(MAX(ABS(DA3:DA5)),ABS(DA3:DA5),0)</f>
        <v>2</v>
      </c>
      <c r="DB6" s="11">
        <f t="array" ref="DB6">MATCH(MAX(ABS(DB3:DB5)),ABS(DB3:DB5),0)</f>
        <v>2</v>
      </c>
      <c r="DC6" s="11">
        <f t="array" ref="DC6">MATCH(MAX(ABS(DC3:DC5)),ABS(DC3:DC5),0)</f>
        <v>3</v>
      </c>
      <c r="DD6" s="11">
        <f t="array" ref="DD6">MATCH(MAX(ABS(DD3:DD5)),ABS(DD3:DD5),0)</f>
        <v>2</v>
      </c>
      <c r="DE6" s="11">
        <f t="array" ref="DE6">MATCH(MAX(ABS(DE3:DE5)),ABS(DE3:DE5),0)</f>
        <v>3</v>
      </c>
      <c r="DF6" s="11">
        <f t="array" ref="DF6">MATCH(MAX(ABS(DF3:DF5)),ABS(DF3:DF5),0)</f>
        <v>3</v>
      </c>
      <c r="DG6" s="11">
        <f t="array" ref="DG6">MATCH(MAX(ABS(DG3:DG5)),ABS(DG3:DG5),0)</f>
        <v>3</v>
      </c>
      <c r="DH6" s="11">
        <f t="array" ref="DH6">MATCH(MAX(ABS(DH3:DH5)),ABS(DH3:DH5),0)</f>
        <v>2</v>
      </c>
      <c r="DI6" s="11">
        <f t="array" ref="DI6">MATCH(MAX(ABS(DI3:DI5)),ABS(DI3:DI5),0)</f>
        <v>2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3</v>
      </c>
      <c r="DM6" s="11">
        <f t="array" ref="DM6">MATCH(MAX(ABS(DM3:DM5)),ABS(DM3:DM5),0)</f>
        <v>3</v>
      </c>
      <c r="DN6" s="11">
        <f t="array" ref="DN6">MATCH(MAX(ABS(DN3:DN5)),ABS(DN3:DN5),0)</f>
        <v>3</v>
      </c>
      <c r="DO6" s="11">
        <f t="array" ref="DO6">MATCH(MAX(ABS(DO3:DO5)),ABS(DO3:DO5),0)</f>
        <v>3</v>
      </c>
      <c r="DP6" s="11">
        <f t="array" ref="DP6">MATCH(MAX(ABS(DP3:DP5)),ABS(DP3:DP5),0)</f>
        <v>3</v>
      </c>
      <c r="DQ6" s="11">
        <f t="array" ref="DQ6">MATCH(MAX(ABS(DQ3:DQ5)),ABS(DQ3:DQ5),0)</f>
        <v>3</v>
      </c>
      <c r="DR6" s="11">
        <f t="array" ref="DR6">MATCH(MAX(ABS(DR3:DR5)),ABS(DR3:DR5),0)</f>
        <v>1</v>
      </c>
      <c r="DS6" s="11">
        <f t="array" ref="DS6">MATCH(MAX(ABS(DS3:DS5)),ABS(DS3:DS5),0)</f>
        <v>3</v>
      </c>
      <c r="DT6" s="11">
        <f t="array" ref="DT6">MATCH(MAX(ABS(DT3:DT5)),ABS(DT3:DT5),0)</f>
        <v>1</v>
      </c>
      <c r="DU6" s="11">
        <f t="array" ref="DU6">MATCH(MAX(ABS(DU3:DU5)),ABS(DU3:DU5),0)</f>
        <v>2</v>
      </c>
      <c r="DV6" s="11">
        <f t="array" ref="DV6">MATCH(MAX(ABS(DV3:DV5)),ABS(DV3:DV5),0)</f>
        <v>3</v>
      </c>
      <c r="DW6" s="11">
        <f t="array" ref="DW6">MATCH(MAX(ABS(DW3:DW5)),ABS(DW3:DW5),0)</f>
        <v>2</v>
      </c>
      <c r="DX6" s="11">
        <f t="array" ref="DX6">MATCH(MAX(ABS(DX3:DX5)),ABS(DX3:DX5),0)</f>
        <v>3</v>
      </c>
      <c r="DY6" s="11">
        <f t="array" ref="DY6">MATCH(MAX(ABS(DY3:DY5)),ABS(DY3:DY5),0)</f>
        <v>3</v>
      </c>
      <c r="DZ6" s="11">
        <f t="array" ref="DZ6">MATCH(MAX(ABS(DZ3:DZ5)),ABS(DZ3:DZ5),0)</f>
        <v>3</v>
      </c>
      <c r="EA6" s="11">
        <f t="array" ref="EA6">MATCH(MAX(ABS(EA3:EA5)),ABS(EA3:EA5),0)</f>
        <v>2</v>
      </c>
      <c r="EB6" s="11">
        <f t="array" ref="EB6">MATCH(MAX(ABS(EB3:EB5)),ABS(EB3:EB5),0)</f>
        <v>2</v>
      </c>
      <c r="EC6" s="11">
        <f t="array" ref="EC6">MATCH(MAX(ABS(EC3:EC5)),ABS(EC3:EC5),0)</f>
        <v>2</v>
      </c>
      <c r="ED6" s="11">
        <f t="array" ref="ED6">MATCH(MAX(ABS(ED3:ED5)),ABS(ED3:ED5),0)</f>
        <v>2</v>
      </c>
      <c r="EE6" s="11">
        <f t="array" ref="EE6">MATCH(MAX(ABS(EE3:EE5)),ABS(EE3:EE5),0)</f>
        <v>2</v>
      </c>
      <c r="EF6" s="11">
        <f t="array" ref="EF6">MATCH(MAX(ABS(EF3:EF5)),ABS(EF3:EF5),0)</f>
        <v>2</v>
      </c>
    </row>
    <row r="7" spans="1:138">
      <c r="C7" s="12" t="str">
        <f t="shared" ref="C7:AH7" si="0">IF(C6=1,"bm",IF(C6=2,"size",IF(C6=3,"mom")))</f>
        <v>mom</v>
      </c>
      <c r="D7" s="12" t="str">
        <f t="shared" si="0"/>
        <v>mom</v>
      </c>
      <c r="E7" s="12" t="str">
        <f t="shared" si="0"/>
        <v>mom</v>
      </c>
      <c r="F7" s="12" t="str">
        <f t="shared" si="0"/>
        <v>mom</v>
      </c>
      <c r="G7" s="12" t="str">
        <f t="shared" si="0"/>
        <v>mom</v>
      </c>
      <c r="H7" s="12" t="str">
        <f t="shared" si="0"/>
        <v>mom</v>
      </c>
      <c r="I7" s="12" t="str">
        <f t="shared" si="0"/>
        <v>mom</v>
      </c>
      <c r="J7" s="12" t="str">
        <f t="shared" si="0"/>
        <v>mom</v>
      </c>
      <c r="K7" s="12" t="str">
        <f t="shared" si="0"/>
        <v>mom</v>
      </c>
      <c r="L7" s="12" t="str">
        <f t="shared" si="0"/>
        <v>mom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bm</v>
      </c>
      <c r="Q7" s="12" t="str">
        <f t="shared" si="0"/>
        <v>mom</v>
      </c>
      <c r="R7" s="12" t="str">
        <f t="shared" si="0"/>
        <v>mom</v>
      </c>
      <c r="S7" s="12" t="str">
        <f t="shared" si="0"/>
        <v>mom</v>
      </c>
      <c r="T7" s="12" t="str">
        <f t="shared" si="0"/>
        <v>mom</v>
      </c>
      <c r="U7" s="12" t="str">
        <f t="shared" si="0"/>
        <v>mom</v>
      </c>
      <c r="V7" s="12" t="str">
        <f t="shared" si="0"/>
        <v>mom</v>
      </c>
      <c r="W7" s="12" t="str">
        <f t="shared" si="0"/>
        <v>bm</v>
      </c>
      <c r="X7" s="12" t="str">
        <f t="shared" si="0"/>
        <v>mom</v>
      </c>
      <c r="Y7" s="12" t="str">
        <f t="shared" si="0"/>
        <v>mom</v>
      </c>
      <c r="Z7" s="12" t="str">
        <f t="shared" si="0"/>
        <v>mom</v>
      </c>
      <c r="AA7" s="12" t="str">
        <f t="shared" si="0"/>
        <v>mom</v>
      </c>
      <c r="AB7" s="12" t="str">
        <f t="shared" si="0"/>
        <v>mom</v>
      </c>
      <c r="AC7" s="12" t="str">
        <f t="shared" si="0"/>
        <v>mom</v>
      </c>
      <c r="AD7" s="12" t="str">
        <f t="shared" si="0"/>
        <v>mom</v>
      </c>
      <c r="AE7" s="12" t="str">
        <f t="shared" si="0"/>
        <v>mom</v>
      </c>
      <c r="AF7" s="12" t="str">
        <f t="shared" si="0"/>
        <v>mom</v>
      </c>
      <c r="AG7" s="12" t="str">
        <f t="shared" si="0"/>
        <v>mom</v>
      </c>
      <c r="AH7" s="12" t="str">
        <f t="shared" si="0"/>
        <v>bm</v>
      </c>
      <c r="AI7" s="12" t="str">
        <f t="shared" ref="AI7:BN7" si="1">IF(AI6=1,"bm",IF(AI6=2,"size",IF(AI6=3,"mom")))</f>
        <v>bm</v>
      </c>
      <c r="AJ7" s="12" t="str">
        <f t="shared" si="1"/>
        <v>bm</v>
      </c>
      <c r="AK7" s="12" t="str">
        <f t="shared" si="1"/>
        <v>mom</v>
      </c>
      <c r="AL7" s="12" t="str">
        <f t="shared" si="1"/>
        <v>mom</v>
      </c>
      <c r="AM7" s="12" t="str">
        <f t="shared" si="1"/>
        <v>bm</v>
      </c>
      <c r="AN7" s="12" t="str">
        <f t="shared" si="1"/>
        <v>bm</v>
      </c>
      <c r="AO7" s="12" t="str">
        <f t="shared" si="1"/>
        <v>bm</v>
      </c>
      <c r="AP7" s="12" t="str">
        <f t="shared" si="1"/>
        <v>bm</v>
      </c>
      <c r="AQ7" s="12" t="str">
        <f t="shared" si="1"/>
        <v>mom</v>
      </c>
      <c r="AR7" s="12" t="str">
        <f t="shared" si="1"/>
        <v>mom</v>
      </c>
      <c r="AS7" s="12" t="str">
        <f t="shared" si="1"/>
        <v>mom</v>
      </c>
      <c r="AT7" s="12" t="str">
        <f t="shared" si="1"/>
        <v>mom</v>
      </c>
      <c r="AU7" s="12" t="str">
        <f t="shared" si="1"/>
        <v>mom</v>
      </c>
      <c r="AV7" s="12" t="str">
        <f t="shared" si="1"/>
        <v>mom</v>
      </c>
      <c r="AW7" s="12" t="str">
        <f t="shared" si="1"/>
        <v>mom</v>
      </c>
      <c r="AX7" s="12" t="str">
        <f t="shared" si="1"/>
        <v>mom</v>
      </c>
      <c r="AY7" s="12" t="str">
        <f t="shared" si="1"/>
        <v>mom</v>
      </c>
      <c r="AZ7" s="12" t="str">
        <f t="shared" si="1"/>
        <v>mom</v>
      </c>
      <c r="BA7" s="12" t="str">
        <f t="shared" si="1"/>
        <v>mom</v>
      </c>
      <c r="BB7" s="12" t="str">
        <f t="shared" si="1"/>
        <v>bm</v>
      </c>
      <c r="BC7" s="12" t="str">
        <f t="shared" si="1"/>
        <v>mom</v>
      </c>
      <c r="BD7" s="12" t="str">
        <f t="shared" si="1"/>
        <v>size</v>
      </c>
      <c r="BE7" s="12" t="str">
        <f t="shared" si="1"/>
        <v>size</v>
      </c>
      <c r="BF7" s="12" t="str">
        <f t="shared" si="1"/>
        <v>size</v>
      </c>
      <c r="BG7" s="12" t="str">
        <f t="shared" si="1"/>
        <v>size</v>
      </c>
      <c r="BH7" s="12" t="str">
        <f t="shared" si="1"/>
        <v>mom</v>
      </c>
      <c r="BI7" s="12" t="str">
        <f t="shared" si="1"/>
        <v>size</v>
      </c>
      <c r="BJ7" s="12" t="str">
        <f t="shared" si="1"/>
        <v>bm</v>
      </c>
      <c r="BK7" s="12" t="str">
        <f t="shared" si="1"/>
        <v>mom</v>
      </c>
      <c r="BL7" s="12" t="str">
        <f t="shared" si="1"/>
        <v>bm</v>
      </c>
      <c r="BM7" s="12" t="str">
        <f t="shared" si="1"/>
        <v>mom</v>
      </c>
      <c r="BN7" s="12" t="str">
        <f t="shared" si="1"/>
        <v>bm</v>
      </c>
      <c r="BO7" s="12" t="str">
        <f t="shared" ref="BO7:CT7" si="2">IF(BO6=1,"bm",IF(BO6=2,"size",IF(BO6=3,"mom")))</f>
        <v>bm</v>
      </c>
      <c r="BP7" s="12" t="str">
        <f t="shared" si="2"/>
        <v>bm</v>
      </c>
      <c r="BQ7" s="12" t="str">
        <f t="shared" si="2"/>
        <v>bm</v>
      </c>
      <c r="BR7" s="12" t="str">
        <f t="shared" si="2"/>
        <v>bm</v>
      </c>
      <c r="BS7" s="12" t="str">
        <f t="shared" si="2"/>
        <v>bm</v>
      </c>
      <c r="BT7" s="12" t="str">
        <f t="shared" si="2"/>
        <v>mom</v>
      </c>
      <c r="BU7" s="12" t="str">
        <f t="shared" si="2"/>
        <v>mom</v>
      </c>
      <c r="BV7" s="12" t="str">
        <f t="shared" si="2"/>
        <v>mom</v>
      </c>
      <c r="BW7" s="12" t="str">
        <f t="shared" si="2"/>
        <v>mom</v>
      </c>
      <c r="BX7" s="12" t="str">
        <f t="shared" si="2"/>
        <v>mom</v>
      </c>
      <c r="BY7" s="12" t="str">
        <f t="shared" si="2"/>
        <v>mom</v>
      </c>
      <c r="BZ7" s="12" t="str">
        <f t="shared" si="2"/>
        <v>bm</v>
      </c>
      <c r="CA7" s="12" t="str">
        <f t="shared" si="2"/>
        <v>size</v>
      </c>
      <c r="CB7" s="12" t="str">
        <f t="shared" si="2"/>
        <v>mom</v>
      </c>
      <c r="CC7" s="12" t="str">
        <f t="shared" si="2"/>
        <v>size</v>
      </c>
      <c r="CD7" s="12" t="str">
        <f t="shared" si="2"/>
        <v>bm</v>
      </c>
      <c r="CE7" s="12" t="str">
        <f t="shared" si="2"/>
        <v>size</v>
      </c>
      <c r="CF7" s="12" t="str">
        <f t="shared" si="2"/>
        <v>mom</v>
      </c>
      <c r="CG7" s="12" t="str">
        <f t="shared" si="2"/>
        <v>mom</v>
      </c>
      <c r="CH7" s="12" t="str">
        <f t="shared" si="2"/>
        <v>mom</v>
      </c>
      <c r="CI7" s="12" t="str">
        <f t="shared" si="2"/>
        <v>size</v>
      </c>
      <c r="CJ7" s="12" t="str">
        <f t="shared" si="2"/>
        <v>mom</v>
      </c>
      <c r="CK7" s="12" t="str">
        <f t="shared" si="2"/>
        <v>mom</v>
      </c>
      <c r="CL7" s="12" t="str">
        <f t="shared" si="2"/>
        <v>mom</v>
      </c>
      <c r="CM7" s="12" t="str">
        <f t="shared" si="2"/>
        <v>mom</v>
      </c>
      <c r="CN7" s="12" t="str">
        <f t="shared" si="2"/>
        <v>size</v>
      </c>
      <c r="CO7" s="12" t="str">
        <f t="shared" si="2"/>
        <v>mom</v>
      </c>
      <c r="CP7" s="12" t="str">
        <f t="shared" si="2"/>
        <v>mom</v>
      </c>
      <c r="CQ7" s="12" t="str">
        <f t="shared" si="2"/>
        <v>mom</v>
      </c>
      <c r="CR7" s="12" t="str">
        <f t="shared" si="2"/>
        <v>mom</v>
      </c>
      <c r="CS7" s="12" t="str">
        <f t="shared" si="2"/>
        <v>size</v>
      </c>
      <c r="CT7" s="12" t="str">
        <f t="shared" si="2"/>
        <v>mom</v>
      </c>
      <c r="CU7" s="12" t="str">
        <f t="shared" ref="CU7:DZ7" si="3">IF(CU6=1,"bm",IF(CU6=2,"size",IF(CU6=3,"mom")))</f>
        <v>mom</v>
      </c>
      <c r="CV7" s="12" t="str">
        <f t="shared" si="3"/>
        <v>mom</v>
      </c>
      <c r="CW7" s="12" t="str">
        <f t="shared" si="3"/>
        <v>mom</v>
      </c>
      <c r="CX7" s="12" t="str">
        <f t="shared" si="3"/>
        <v>bm</v>
      </c>
      <c r="CY7" s="12" t="str">
        <f t="shared" si="3"/>
        <v>mom</v>
      </c>
      <c r="CZ7" s="12" t="str">
        <f t="shared" si="3"/>
        <v>bm</v>
      </c>
      <c r="DA7" s="12" t="str">
        <f t="shared" si="3"/>
        <v>size</v>
      </c>
      <c r="DB7" s="12" t="str">
        <f t="shared" si="3"/>
        <v>size</v>
      </c>
      <c r="DC7" s="12" t="str">
        <f t="shared" si="3"/>
        <v>mom</v>
      </c>
      <c r="DD7" s="12" t="str">
        <f t="shared" si="3"/>
        <v>size</v>
      </c>
      <c r="DE7" s="12" t="str">
        <f t="shared" si="3"/>
        <v>mom</v>
      </c>
      <c r="DF7" s="12" t="str">
        <f t="shared" si="3"/>
        <v>mom</v>
      </c>
      <c r="DG7" s="12" t="str">
        <f t="shared" si="3"/>
        <v>mom</v>
      </c>
      <c r="DH7" s="12" t="str">
        <f t="shared" si="3"/>
        <v>size</v>
      </c>
      <c r="DI7" s="12" t="str">
        <f t="shared" si="3"/>
        <v>size</v>
      </c>
      <c r="DJ7" s="12" t="str">
        <f t="shared" si="3"/>
        <v>bm</v>
      </c>
      <c r="DK7" s="12" t="str">
        <f t="shared" si="3"/>
        <v>bm</v>
      </c>
      <c r="DL7" s="12" t="str">
        <f t="shared" si="3"/>
        <v>mom</v>
      </c>
      <c r="DM7" s="12" t="str">
        <f t="shared" si="3"/>
        <v>mom</v>
      </c>
      <c r="DN7" s="12" t="str">
        <f t="shared" si="3"/>
        <v>mom</v>
      </c>
      <c r="DO7" s="12" t="str">
        <f t="shared" si="3"/>
        <v>mom</v>
      </c>
      <c r="DP7" s="12" t="str">
        <f t="shared" si="3"/>
        <v>mom</v>
      </c>
      <c r="DQ7" s="12" t="str">
        <f t="shared" si="3"/>
        <v>mom</v>
      </c>
      <c r="DR7" s="12" t="str">
        <f t="shared" si="3"/>
        <v>bm</v>
      </c>
      <c r="DS7" s="12" t="str">
        <f t="shared" si="3"/>
        <v>mom</v>
      </c>
      <c r="DT7" s="12" t="str">
        <f t="shared" si="3"/>
        <v>bm</v>
      </c>
      <c r="DU7" s="12" t="str">
        <f t="shared" si="3"/>
        <v>size</v>
      </c>
      <c r="DV7" s="12" t="str">
        <f t="shared" si="3"/>
        <v>mom</v>
      </c>
      <c r="DW7" s="12" t="str">
        <f t="shared" si="3"/>
        <v>size</v>
      </c>
      <c r="DX7" s="12" t="str">
        <f t="shared" si="3"/>
        <v>mom</v>
      </c>
      <c r="DY7" s="12" t="str">
        <f t="shared" si="3"/>
        <v>mom</v>
      </c>
      <c r="DZ7" s="12" t="str">
        <f t="shared" si="3"/>
        <v>mom</v>
      </c>
      <c r="EA7" s="12" t="str">
        <f t="shared" ref="EA7:EF7" si="4">IF(EA6=1,"bm",IF(EA6=2,"size",IF(EA6=3,"mom")))</f>
        <v>size</v>
      </c>
      <c r="EB7" s="12" t="str">
        <f t="shared" si="4"/>
        <v>size</v>
      </c>
      <c r="EC7" s="12" t="str">
        <f t="shared" si="4"/>
        <v>size</v>
      </c>
      <c r="ED7" s="12" t="str">
        <f t="shared" si="4"/>
        <v>size</v>
      </c>
      <c r="EE7" s="12" t="str">
        <f t="shared" si="4"/>
        <v>size</v>
      </c>
      <c r="EF7" s="12" t="str">
        <f t="shared" si="4"/>
        <v>size</v>
      </c>
    </row>
    <row r="8" spans="1:138">
      <c r="C8" s="11">
        <f t="shared" ref="C8:AH8" si="5">IF(C6=1,C3,IF(C6=2,C4,IF(C6=3,C5)))</f>
        <v>0.50836324691772461</v>
      </c>
      <c r="D8" s="11">
        <f t="shared" si="5"/>
        <v>0.76913774013519287</v>
      </c>
      <c r="E8" s="11">
        <f t="shared" si="5"/>
        <v>0.54195535182952881</v>
      </c>
      <c r="F8" s="11">
        <f t="shared" si="5"/>
        <v>1.1543282270431521</v>
      </c>
      <c r="G8" s="11">
        <f t="shared" si="5"/>
        <v>0.54750555753707886</v>
      </c>
      <c r="H8" s="11">
        <f t="shared" si="5"/>
        <v>0.91896617412567139</v>
      </c>
      <c r="I8" s="11">
        <f t="shared" si="5"/>
        <v>0.66497212648391724</v>
      </c>
      <c r="J8" s="11">
        <f t="shared" si="5"/>
        <v>0.96098613739013672</v>
      </c>
      <c r="K8" s="11">
        <f t="shared" si="5"/>
        <v>1.069318890571594</v>
      </c>
      <c r="L8" s="11">
        <f t="shared" si="5"/>
        <v>0.58301490545272827</v>
      </c>
      <c r="M8" s="11">
        <f t="shared" si="5"/>
        <v>0.48336148262023931</v>
      </c>
      <c r="N8" s="11">
        <f t="shared" si="5"/>
        <v>0.4335099458694458</v>
      </c>
      <c r="O8" s="11">
        <f t="shared" si="5"/>
        <v>6.3416294753551483E-2</v>
      </c>
      <c r="P8" s="11">
        <f t="shared" si="5"/>
        <v>-4.0258027613162987E-2</v>
      </c>
      <c r="Q8" s="11">
        <f t="shared" si="5"/>
        <v>-0.63935673236846924</v>
      </c>
      <c r="R8" s="11">
        <f t="shared" si="5"/>
        <v>-5.0250470638275153E-2</v>
      </c>
      <c r="S8" s="11">
        <f t="shared" si="5"/>
        <v>6.6091194748878479E-2</v>
      </c>
      <c r="T8" s="11">
        <f t="shared" si="5"/>
        <v>-6.0526482760906219E-2</v>
      </c>
      <c r="U8" s="11">
        <f t="shared" si="5"/>
        <v>-5.0881840288639069E-2</v>
      </c>
      <c r="V8" s="11">
        <f t="shared" si="5"/>
        <v>0.12953431904315951</v>
      </c>
      <c r="W8" s="11">
        <f t="shared" si="5"/>
        <v>-0.19089989364147189</v>
      </c>
      <c r="X8" s="11">
        <f t="shared" si="5"/>
        <v>0.22364641726017001</v>
      </c>
      <c r="Y8" s="11">
        <f t="shared" si="5"/>
        <v>0.2607954740524292</v>
      </c>
      <c r="Z8" s="11">
        <f t="shared" si="5"/>
        <v>0.17032516002655029</v>
      </c>
      <c r="AA8" s="11">
        <f t="shared" si="5"/>
        <v>0.14871090650558469</v>
      </c>
      <c r="AB8" s="11">
        <f t="shared" si="5"/>
        <v>0.13639476895332339</v>
      </c>
      <c r="AC8" s="11">
        <f t="shared" si="5"/>
        <v>0.1064975261688232</v>
      </c>
      <c r="AD8" s="11">
        <f t="shared" si="5"/>
        <v>0.1051289364695549</v>
      </c>
      <c r="AE8" s="11">
        <f t="shared" si="5"/>
        <v>9.8157517611980438E-2</v>
      </c>
      <c r="AF8" s="11">
        <f t="shared" si="5"/>
        <v>8.0513276159763336E-2</v>
      </c>
      <c r="AG8" s="11">
        <f t="shared" si="5"/>
        <v>5.8855693787336349E-2</v>
      </c>
      <c r="AH8" s="11">
        <f t="shared" si="5"/>
        <v>-0.26610976457595831</v>
      </c>
      <c r="AI8" s="11">
        <f t="shared" ref="AI8:BN8" si="6">IF(AI6=1,AI3,IF(AI6=2,AI4,IF(AI6=3,AI5)))</f>
        <v>-0.14365202188491821</v>
      </c>
      <c r="AJ8" s="11">
        <f t="shared" si="6"/>
        <v>-0.25451940298080439</v>
      </c>
      <c r="AK8" s="11">
        <f t="shared" si="6"/>
        <v>7.5650393962860107E-2</v>
      </c>
      <c r="AL8" s="11">
        <f t="shared" si="6"/>
        <v>6.6236443817615509E-2</v>
      </c>
      <c r="AM8" s="11">
        <f t="shared" si="6"/>
        <v>-8.2977190613746643E-2</v>
      </c>
      <c r="AN8" s="11">
        <f t="shared" si="6"/>
        <v>-7.0350959897041321E-2</v>
      </c>
      <c r="AO8" s="11">
        <f t="shared" si="6"/>
        <v>-0.1968108415603638</v>
      </c>
      <c r="AP8" s="11">
        <f t="shared" si="6"/>
        <v>-0.25679254531860352</v>
      </c>
      <c r="AQ8" s="11">
        <f t="shared" si="6"/>
        <v>0.1400775462388992</v>
      </c>
      <c r="AR8" s="11">
        <f t="shared" si="6"/>
        <v>0.16342324018478391</v>
      </c>
      <c r="AS8" s="11">
        <f t="shared" si="6"/>
        <v>0.18792152404785159</v>
      </c>
      <c r="AT8" s="11">
        <f t="shared" si="6"/>
        <v>0.19995155930519101</v>
      </c>
      <c r="AU8" s="11">
        <f t="shared" si="6"/>
        <v>0.19402837753295901</v>
      </c>
      <c r="AV8" s="11">
        <f t="shared" si="6"/>
        <v>0.15869356691837311</v>
      </c>
      <c r="AW8" s="11">
        <f t="shared" si="6"/>
        <v>-3.568306565284729E-2</v>
      </c>
      <c r="AX8" s="11">
        <f t="shared" si="6"/>
        <v>3.6226339638233178E-2</v>
      </c>
      <c r="AY8" s="11">
        <f t="shared" si="6"/>
        <v>0.1132773458957672</v>
      </c>
      <c r="AZ8" s="11">
        <f t="shared" si="6"/>
        <v>0.104707270860672</v>
      </c>
      <c r="BA8" s="11">
        <f t="shared" si="6"/>
        <v>6.849505752325058E-2</v>
      </c>
      <c r="BB8" s="11">
        <f t="shared" si="6"/>
        <v>3.3319383859634399E-2</v>
      </c>
      <c r="BC8" s="11">
        <f t="shared" si="6"/>
        <v>-3.7875480949878693E-2</v>
      </c>
      <c r="BD8" s="11">
        <f t="shared" si="6"/>
        <v>-3.2060969620943069E-2</v>
      </c>
      <c r="BE8" s="11">
        <f t="shared" si="6"/>
        <v>-3.2296057790517807E-2</v>
      </c>
      <c r="BF8" s="11">
        <f t="shared" si="6"/>
        <v>-3.2346583902835853E-2</v>
      </c>
      <c r="BG8" s="11">
        <f t="shared" si="6"/>
        <v>-3.2194517552852631E-2</v>
      </c>
      <c r="BH8" s="11">
        <f t="shared" si="6"/>
        <v>5.9344802051782608E-2</v>
      </c>
      <c r="BI8" s="11">
        <f t="shared" si="6"/>
        <v>-2.780326642096043E-2</v>
      </c>
      <c r="BJ8" s="11">
        <f t="shared" si="6"/>
        <v>-6.5720930695533752E-2</v>
      </c>
      <c r="BK8" s="11">
        <f t="shared" si="6"/>
        <v>5.5602390319108963E-2</v>
      </c>
      <c r="BL8" s="11">
        <f t="shared" si="6"/>
        <v>-8.8971659541130066E-2</v>
      </c>
      <c r="BM8" s="11">
        <f t="shared" si="6"/>
        <v>6.5659098327159882E-2</v>
      </c>
      <c r="BN8" s="11">
        <f t="shared" si="6"/>
        <v>-6.8609192967414856E-2</v>
      </c>
      <c r="BO8" s="11">
        <f t="shared" ref="BO8:CT8" si="7">IF(BO6=1,BO3,IF(BO6=2,BO4,IF(BO6=3,BO5)))</f>
        <v>-5.5181741714477539E-2</v>
      </c>
      <c r="BP8" s="11">
        <f t="shared" si="7"/>
        <v>-8.5352331399917603E-2</v>
      </c>
      <c r="BQ8" s="11">
        <f t="shared" si="7"/>
        <v>-3.6593899130821228E-2</v>
      </c>
      <c r="BR8" s="11">
        <f t="shared" si="7"/>
        <v>3.5782556980848312E-2</v>
      </c>
      <c r="BS8" s="11">
        <f t="shared" si="7"/>
        <v>3.381897509098053E-2</v>
      </c>
      <c r="BT8" s="11">
        <f t="shared" si="7"/>
        <v>4.3329164385795593E-2</v>
      </c>
      <c r="BU8" s="11">
        <f t="shared" si="7"/>
        <v>4.8520129173994057E-2</v>
      </c>
      <c r="BV8" s="11">
        <f t="shared" si="7"/>
        <v>0.14270420372486109</v>
      </c>
      <c r="BW8" s="11">
        <f t="shared" si="7"/>
        <v>0.13052307069301611</v>
      </c>
      <c r="BX8" s="11">
        <f t="shared" si="7"/>
        <v>5.2400790154933929E-2</v>
      </c>
      <c r="BY8" s="11">
        <f t="shared" si="7"/>
        <v>6.0546338558197021E-2</v>
      </c>
      <c r="BZ8" s="11">
        <f t="shared" si="7"/>
        <v>5.243389680981636E-2</v>
      </c>
      <c r="CA8" s="11">
        <f t="shared" si="7"/>
        <v>-3.099978901445866E-2</v>
      </c>
      <c r="CB8" s="11">
        <f t="shared" si="7"/>
        <v>-3.9389632642269128E-2</v>
      </c>
      <c r="CC8" s="11">
        <f t="shared" si="7"/>
        <v>-2.8904115781188011E-2</v>
      </c>
      <c r="CD8" s="11">
        <f t="shared" si="7"/>
        <v>3.6022435873746872E-2</v>
      </c>
      <c r="CE8" s="11">
        <f t="shared" si="7"/>
        <v>-2.8157502412796021E-2</v>
      </c>
      <c r="CF8" s="11">
        <f t="shared" si="7"/>
        <v>4.381309449672699E-2</v>
      </c>
      <c r="CG8" s="11">
        <f t="shared" si="7"/>
        <v>3.0113250017166141E-2</v>
      </c>
      <c r="CH8" s="11">
        <f t="shared" si="7"/>
        <v>4.3025322258472443E-2</v>
      </c>
      <c r="CI8" s="11">
        <f t="shared" si="7"/>
        <v>-3.1394515186548233E-2</v>
      </c>
      <c r="CJ8" s="11">
        <f t="shared" si="7"/>
        <v>4.1782274842262268E-2</v>
      </c>
      <c r="CK8" s="11">
        <f t="shared" si="7"/>
        <v>3.7300810217857361E-2</v>
      </c>
      <c r="CL8" s="11">
        <f t="shared" si="7"/>
        <v>6.0941599309444427E-2</v>
      </c>
      <c r="CM8" s="11">
        <f t="shared" si="7"/>
        <v>-3.8412053138017647E-2</v>
      </c>
      <c r="CN8" s="11">
        <f t="shared" si="7"/>
        <v>-3.586915135383606E-2</v>
      </c>
      <c r="CO8" s="11">
        <f t="shared" si="7"/>
        <v>0.1589557081460953</v>
      </c>
      <c r="CP8" s="11">
        <f t="shared" si="7"/>
        <v>-3.6965128034353263E-2</v>
      </c>
      <c r="CQ8" s="11">
        <f t="shared" si="7"/>
        <v>6.9797366857528687E-2</v>
      </c>
      <c r="CR8" s="11">
        <f t="shared" si="7"/>
        <v>-3.3767849206924438E-2</v>
      </c>
      <c r="CS8" s="11">
        <f t="shared" si="7"/>
        <v>-2.9090225696563721E-2</v>
      </c>
      <c r="CT8" s="11">
        <f t="shared" si="7"/>
        <v>5.3638488054275513E-2</v>
      </c>
      <c r="CU8" s="11">
        <f t="shared" ref="CU8:DZ8" si="8">IF(CU6=1,CU3,IF(CU6=2,CU4,IF(CU6=3,CU5)))</f>
        <v>6.3532985746860504E-2</v>
      </c>
      <c r="CV8" s="11">
        <f t="shared" si="8"/>
        <v>5.5906884372234338E-2</v>
      </c>
      <c r="CW8" s="11">
        <f t="shared" si="8"/>
        <v>4.8717334866523743E-2</v>
      </c>
      <c r="CX8" s="11">
        <f t="shared" si="8"/>
        <v>4.2955689132213593E-2</v>
      </c>
      <c r="CY8" s="11">
        <f t="shared" si="8"/>
        <v>2.966258488595486E-2</v>
      </c>
      <c r="CZ8" s="11">
        <f t="shared" si="8"/>
        <v>4.7397840768098831E-2</v>
      </c>
      <c r="DA8" s="11">
        <f t="shared" si="8"/>
        <v>-2.9591461643576619E-2</v>
      </c>
      <c r="DB8" s="11">
        <f t="shared" si="8"/>
        <v>-3.4101340919733047E-2</v>
      </c>
      <c r="DC8" s="11">
        <f t="shared" si="8"/>
        <v>3.7085290998220437E-2</v>
      </c>
      <c r="DD8" s="11">
        <f t="shared" si="8"/>
        <v>-3.2262604683637619E-2</v>
      </c>
      <c r="DE8" s="11">
        <f t="shared" si="8"/>
        <v>4.1370406746864319E-2</v>
      </c>
      <c r="DF8" s="11">
        <f t="shared" si="8"/>
        <v>4.0565907955169678E-2</v>
      </c>
      <c r="DG8" s="11">
        <f t="shared" si="8"/>
        <v>3.3224057406187057E-2</v>
      </c>
      <c r="DH8" s="11">
        <f t="shared" si="8"/>
        <v>-3.1315241008996957E-2</v>
      </c>
      <c r="DI8" s="11">
        <f t="shared" si="8"/>
        <v>-2.9898226261138919E-2</v>
      </c>
      <c r="DJ8" s="11">
        <f t="shared" si="8"/>
        <v>3.5664934664964683E-2</v>
      </c>
      <c r="DK8" s="11">
        <f t="shared" si="8"/>
        <v>3.7067931145429611E-2</v>
      </c>
      <c r="DL8" s="11">
        <f t="shared" si="8"/>
        <v>3.5447288304567337E-2</v>
      </c>
      <c r="DM8" s="11">
        <f t="shared" si="8"/>
        <v>4.903421550989151E-2</v>
      </c>
      <c r="DN8" s="11">
        <f t="shared" si="8"/>
        <v>-0.11219848692417141</v>
      </c>
      <c r="DO8" s="11">
        <f t="shared" si="8"/>
        <v>5.3319718688726432E-2</v>
      </c>
      <c r="DP8" s="11">
        <f t="shared" si="8"/>
        <v>5.3090192377567291E-2</v>
      </c>
      <c r="DQ8" s="11">
        <f t="shared" si="8"/>
        <v>6.7249387502670288E-2</v>
      </c>
      <c r="DR8" s="11">
        <f t="shared" si="8"/>
        <v>3.8861591368913651E-2</v>
      </c>
      <c r="DS8" s="11">
        <f t="shared" si="8"/>
        <v>4.5268747955560677E-2</v>
      </c>
      <c r="DT8" s="11">
        <f t="shared" si="8"/>
        <v>3.6585744470357888E-2</v>
      </c>
      <c r="DU8" s="11">
        <f t="shared" si="8"/>
        <v>-2.540554478764534E-2</v>
      </c>
      <c r="DV8" s="11">
        <f t="shared" si="8"/>
        <v>3.8169108331203461E-2</v>
      </c>
      <c r="DW8" s="11">
        <f t="shared" si="8"/>
        <v>-3.7095267325639718E-2</v>
      </c>
      <c r="DX8" s="11">
        <f t="shared" si="8"/>
        <v>3.4144993871450417E-2</v>
      </c>
      <c r="DY8" s="11">
        <f t="shared" si="8"/>
        <v>5.4498199373483658E-2</v>
      </c>
      <c r="DZ8" s="11">
        <f t="shared" si="8"/>
        <v>4.3653316795825958E-2</v>
      </c>
      <c r="EA8" s="11">
        <f t="shared" ref="EA8:EF8" si="9">IF(EA6=1,EA3,IF(EA6=2,EA4,IF(EA6=3,EA5)))</f>
        <v>-8.3518818020820618E-2</v>
      </c>
      <c r="EB8" s="11">
        <f t="shared" si="9"/>
        <v>-7.7344618737697601E-2</v>
      </c>
      <c r="EC8" s="11">
        <f t="shared" si="9"/>
        <v>-7.0242889225482941E-2</v>
      </c>
      <c r="ED8" s="11">
        <f t="shared" si="9"/>
        <v>-6.3896283507347107E-2</v>
      </c>
      <c r="EE8" s="11">
        <f t="shared" si="9"/>
        <v>-9.7872823476791382E-2</v>
      </c>
      <c r="EF8" s="11">
        <f t="shared" si="9"/>
        <v>-7.6828889548778534E-2</v>
      </c>
    </row>
    <row r="10" spans="1:138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8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144</v>
      </c>
      <c r="EG11" s="3" t="s">
        <v>227</v>
      </c>
      <c r="EH11" s="3" t="s">
        <v>228</v>
      </c>
    </row>
    <row r="12" spans="1:138">
      <c r="A12" s="2">
        <v>10</v>
      </c>
      <c r="B12" s="2">
        <v>96</v>
      </c>
      <c r="C12" s="13">
        <f>IF(預測IC!C12&gt;預測IC!C$26,1,0)</f>
        <v>1</v>
      </c>
      <c r="D12" s="13">
        <f>IF(預測IC!D12&gt;預測IC!D$26,1,0)</f>
        <v>0</v>
      </c>
      <c r="E12" s="13">
        <f>IF(預測IC!E12&gt;預測IC!E$26,1,0)</f>
        <v>0</v>
      </c>
      <c r="F12" s="13">
        <f>IF(預測IC!F12&gt;預測IC!F$26,1,0)</f>
        <v>0</v>
      </c>
      <c r="G12" s="13">
        <f>IF(預測IC!G12&gt;預測IC!G$26,1,0)</f>
        <v>1</v>
      </c>
      <c r="H12" s="13">
        <f>IF(預測IC!H12&gt;預測IC!H$26,1,0)</f>
        <v>0</v>
      </c>
      <c r="I12" s="13">
        <f>IF(預測IC!I12&gt;預測IC!I$26,1,0)</f>
        <v>0</v>
      </c>
      <c r="J12" s="13">
        <f>IF(預測IC!J12&gt;預測IC!J$26,1,0)</f>
        <v>0</v>
      </c>
      <c r="K12" s="13">
        <f>IF(預測IC!K12&gt;預測IC!K$26,1,0)</f>
        <v>1</v>
      </c>
      <c r="L12" s="13">
        <f>IF(預測IC!L12&gt;預測IC!L$26,1,0)</f>
        <v>1</v>
      </c>
      <c r="M12" s="13">
        <f>IF(預測IC!M12&gt;預測IC!M$26,1,0)</f>
        <v>1</v>
      </c>
      <c r="N12" s="13">
        <f>IF(預測IC!N12&gt;預測IC!N$26,1,0)</f>
        <v>0</v>
      </c>
      <c r="O12" s="13">
        <f>IF(預測IC!O12&gt;預測IC!O$26,1,0)</f>
        <v>1</v>
      </c>
      <c r="P12" s="13">
        <f>IF(預測IC!P12&gt;預測IC!P$26,1,0)</f>
        <v>0</v>
      </c>
      <c r="Q12" s="13">
        <f>IF(預測IC!Q12&gt;預測IC!Q$26,1,0)</f>
        <v>0</v>
      </c>
      <c r="R12" s="13">
        <f>IF(預測IC!R12&gt;預測IC!R$26,1,0)</f>
        <v>0</v>
      </c>
      <c r="S12" s="13">
        <f>IF(預測IC!S12&gt;預測IC!S$26,1,0)</f>
        <v>1</v>
      </c>
      <c r="T12" s="13">
        <f>IF(預測IC!T12&gt;預測IC!T$26,1,0)</f>
        <v>0</v>
      </c>
      <c r="U12" s="13">
        <f>IF(預測IC!U12&gt;預測IC!U$26,1,0)</f>
        <v>1</v>
      </c>
      <c r="V12" s="13">
        <f>IF(預測IC!V12&gt;預測IC!V$26,1,0)</f>
        <v>1</v>
      </c>
      <c r="W12" s="13">
        <f>IF(預測IC!W12&gt;預測IC!W$26,1,0)</f>
        <v>0</v>
      </c>
      <c r="X12" s="13">
        <f>IF(預測IC!X12&gt;預測IC!X$26,1,0)</f>
        <v>0</v>
      </c>
      <c r="Y12" s="13">
        <f>IF(預測IC!Y12&gt;預測IC!Y$26,1,0)</f>
        <v>1</v>
      </c>
      <c r="Z12" s="13">
        <f>IF(預測IC!Z12&gt;預測IC!Z$26,1,0)</f>
        <v>0</v>
      </c>
      <c r="AA12" s="13">
        <f>IF(預測IC!AA12&gt;預測IC!AA$26,1,0)</f>
        <v>1</v>
      </c>
      <c r="AB12" s="13">
        <f>IF(預測IC!AB12&gt;預測IC!AB$26,1,0)</f>
        <v>0</v>
      </c>
      <c r="AC12" s="13">
        <f>IF(預測IC!AC12&gt;預測IC!AC$26,1,0)</f>
        <v>0</v>
      </c>
      <c r="AD12" s="13">
        <f>IF(預測IC!AD12&gt;預測IC!AD$26,1,0)</f>
        <v>1</v>
      </c>
      <c r="AE12" s="13">
        <f>IF(預測IC!AE12&gt;預測IC!AE$26,1,0)</f>
        <v>1</v>
      </c>
      <c r="AF12" s="13">
        <f>IF(預測IC!AF12&gt;預測IC!AF$26,1,0)</f>
        <v>0</v>
      </c>
      <c r="AG12" s="13">
        <f>IF(預測IC!AG12&gt;預測IC!AG$26,1,0)</f>
        <v>0</v>
      </c>
      <c r="AH12" s="13">
        <f>IF(預測IC!AH12&gt;預測IC!AH$26,1,0)</f>
        <v>0</v>
      </c>
      <c r="AI12" s="13">
        <f>IF(預測IC!AI12&gt;預測IC!AI$26,1,0)</f>
        <v>0</v>
      </c>
      <c r="AJ12" s="13">
        <f>IF(預測IC!AJ12&gt;預測IC!AJ$26,1,0)</f>
        <v>0</v>
      </c>
      <c r="AK12" s="13">
        <f>IF(預測IC!AK12&gt;預測IC!AK$26,1,0)</f>
        <v>0</v>
      </c>
      <c r="AL12" s="13">
        <f>IF(預測IC!AL12&gt;預測IC!AL$26,1,0)</f>
        <v>0</v>
      </c>
      <c r="AM12" s="13">
        <f>IF(預測IC!AM12&gt;預測IC!AM$26,1,0)</f>
        <v>0</v>
      </c>
      <c r="AN12" s="13">
        <f>IF(預測IC!AN12&gt;預測IC!AN$26,1,0)</f>
        <v>0</v>
      </c>
      <c r="AO12" s="13">
        <f>IF(預測IC!AO12&gt;預測IC!AO$26,1,0)</f>
        <v>0</v>
      </c>
      <c r="AP12" s="13">
        <f>IF(預測IC!AP12&gt;預測IC!AP$26,1,0)</f>
        <v>1</v>
      </c>
      <c r="AQ12" s="13">
        <f>IF(預測IC!AQ12&gt;預測IC!AQ$26,1,0)</f>
        <v>0</v>
      </c>
      <c r="AR12" s="13">
        <f>IF(預測IC!AR12&gt;預測IC!AR$26,1,0)</f>
        <v>0</v>
      </c>
      <c r="AS12" s="13">
        <f>IF(預測IC!AS12&gt;預測IC!AS$26,1,0)</f>
        <v>1</v>
      </c>
      <c r="AT12" s="13">
        <f>IF(預測IC!AT12&gt;預測IC!AT$26,1,0)</f>
        <v>1</v>
      </c>
      <c r="AU12" s="13">
        <f>IF(預測IC!AU12&gt;預測IC!AU$26,1,0)</f>
        <v>1</v>
      </c>
      <c r="AV12" s="13">
        <f>IF(預測IC!AV12&gt;預測IC!AV$26,1,0)</f>
        <v>1</v>
      </c>
      <c r="AW12" s="13">
        <f>IF(預測IC!AW12&gt;預測IC!AW$26,1,0)</f>
        <v>1</v>
      </c>
      <c r="AX12" s="13">
        <f>IF(預測IC!AX12&gt;預測IC!AX$26,1,0)</f>
        <v>0</v>
      </c>
      <c r="AY12" s="13">
        <f>IF(預測IC!AY12&gt;預測IC!AY$26,1,0)</f>
        <v>0</v>
      </c>
      <c r="AZ12" s="13">
        <f>IF(預測IC!AZ12&gt;預測IC!AZ$26,1,0)</f>
        <v>1</v>
      </c>
      <c r="BA12" s="13">
        <f>IF(預測IC!BA12&gt;預測IC!BA$26,1,0)</f>
        <v>0</v>
      </c>
      <c r="BB12" s="13">
        <f>IF(預測IC!BB12&gt;預測IC!BB$26,1,0)</f>
        <v>1</v>
      </c>
      <c r="BC12" s="13">
        <f>IF(預測IC!BC12&gt;預測IC!BC$26,1,0)</f>
        <v>0</v>
      </c>
      <c r="BD12" s="13">
        <f>IF(預測IC!BD12&gt;預測IC!BD$26,1,0)</f>
        <v>1</v>
      </c>
      <c r="BE12" s="13">
        <f>IF(預測IC!BE12&gt;預測IC!BE$26,1,0)</f>
        <v>0</v>
      </c>
      <c r="BF12" s="13">
        <f>IF(預測IC!BF12&gt;預測IC!BF$26,1,0)</f>
        <v>0</v>
      </c>
      <c r="BG12" s="13">
        <f>IF(預測IC!BG12&gt;預測IC!BG$26,1,0)</f>
        <v>1</v>
      </c>
      <c r="BH12" s="13">
        <f>IF(預測IC!BH12&gt;預測IC!BH$26,1,0)</f>
        <v>1</v>
      </c>
      <c r="BI12" s="13">
        <f>IF(預測IC!BI12&gt;預測IC!BI$26,1,0)</f>
        <v>1</v>
      </c>
      <c r="BJ12" s="13">
        <f>IF(預測IC!BJ12&gt;預測IC!BJ$26,1,0)</f>
        <v>1</v>
      </c>
      <c r="BK12" s="13">
        <f>IF(預測IC!BK12&gt;預測IC!BK$26,1,0)</f>
        <v>0</v>
      </c>
      <c r="BL12" s="13">
        <f>IF(預測IC!BL12&gt;預測IC!BL$26,1,0)</f>
        <v>0</v>
      </c>
      <c r="BM12" s="13">
        <f>IF(預測IC!BM12&gt;預測IC!BM$26,1,0)</f>
        <v>1</v>
      </c>
      <c r="BN12" s="13">
        <f>IF(預測IC!BN12&gt;預測IC!BN$26,1,0)</f>
        <v>0</v>
      </c>
      <c r="BO12" s="13">
        <f>IF(預測IC!BO12&gt;預測IC!BO$26,1,0)</f>
        <v>1</v>
      </c>
      <c r="BP12" s="13">
        <f>IF(預測IC!BP12&gt;預測IC!BP$26,1,0)</f>
        <v>0</v>
      </c>
      <c r="BQ12" s="13">
        <f>IF(預測IC!BQ12&gt;預測IC!BQ$26,1,0)</f>
        <v>0</v>
      </c>
      <c r="BR12" s="13">
        <f>IF(預測IC!BR12&gt;預測IC!BR$26,1,0)</f>
        <v>1</v>
      </c>
      <c r="BS12" s="13">
        <f>IF(預測IC!BS12&gt;預測IC!BS$26,1,0)</f>
        <v>0</v>
      </c>
      <c r="BT12" s="13">
        <f>IF(預測IC!BT12&gt;預測IC!BT$26,1,0)</f>
        <v>0</v>
      </c>
      <c r="BU12" s="13">
        <f>IF(預測IC!BU12&gt;預測IC!BU$26,1,0)</f>
        <v>1</v>
      </c>
      <c r="BV12" s="13">
        <f>IF(預測IC!BV12&gt;預測IC!BV$26,1,0)</f>
        <v>0</v>
      </c>
      <c r="BW12" s="13">
        <f>IF(預測IC!BW12&gt;預測IC!BW$26,1,0)</f>
        <v>0</v>
      </c>
      <c r="BX12" s="13">
        <f>IF(預測IC!BX12&gt;預測IC!BX$26,1,0)</f>
        <v>1</v>
      </c>
      <c r="BY12" s="13">
        <f>IF(預測IC!BY12&gt;預測IC!BY$26,1,0)</f>
        <v>1</v>
      </c>
      <c r="BZ12" s="13">
        <f>IF(預測IC!BZ12&gt;預測IC!BZ$26,1,0)</f>
        <v>0</v>
      </c>
      <c r="CA12" s="13">
        <f>IF(預測IC!CA12&gt;預測IC!CA$26,1,0)</f>
        <v>1</v>
      </c>
      <c r="CB12" s="13">
        <f>IF(預測IC!CB12&gt;預測IC!CB$26,1,0)</f>
        <v>0</v>
      </c>
      <c r="CC12" s="13">
        <f>IF(預測IC!CC12&gt;預測IC!CC$26,1,0)</f>
        <v>0</v>
      </c>
      <c r="CD12" s="13">
        <f>IF(預測IC!CD12&gt;預測IC!CD$26,1,0)</f>
        <v>1</v>
      </c>
      <c r="CE12" s="13">
        <f>IF(預測IC!CE12&gt;預測IC!CE$26,1,0)</f>
        <v>1</v>
      </c>
      <c r="CF12" s="13">
        <f>IF(預測IC!CF12&gt;預測IC!CF$26,1,0)</f>
        <v>1</v>
      </c>
      <c r="CG12" s="13">
        <f>IF(預測IC!CG12&gt;預測IC!CG$26,1,0)</f>
        <v>0</v>
      </c>
      <c r="CH12" s="13">
        <f>IF(預測IC!CH12&gt;預測IC!CH$26,1,0)</f>
        <v>0</v>
      </c>
      <c r="CI12" s="13">
        <f>IF(預測IC!CI12&gt;預測IC!CI$26,1,0)</f>
        <v>0</v>
      </c>
      <c r="CJ12" s="13">
        <f>IF(預測IC!CJ12&gt;預測IC!CJ$26,1,0)</f>
        <v>1</v>
      </c>
      <c r="CK12" s="13">
        <f>IF(預測IC!CK12&gt;預測IC!CK$26,1,0)</f>
        <v>1</v>
      </c>
      <c r="CL12" s="13">
        <f>IF(預測IC!CL12&gt;預測IC!CL$26,1,0)</f>
        <v>1</v>
      </c>
      <c r="CM12" s="13">
        <f>IF(預測IC!CM12&gt;預測IC!CM$26,1,0)</f>
        <v>1</v>
      </c>
      <c r="CN12" s="13">
        <f>IF(預測IC!CN12&gt;預測IC!CN$26,1,0)</f>
        <v>0</v>
      </c>
      <c r="CO12" s="13">
        <f>IF(預測IC!CO12&gt;預測IC!CO$26,1,0)</f>
        <v>1</v>
      </c>
      <c r="CP12" s="13">
        <f>IF(預測IC!CP12&gt;預測IC!CP$26,1,0)</f>
        <v>0</v>
      </c>
      <c r="CQ12" s="13">
        <f>IF(預測IC!CQ12&gt;預測IC!CQ$26,1,0)</f>
        <v>0</v>
      </c>
      <c r="CR12" s="13">
        <f>IF(預測IC!CR12&gt;預測IC!CR$26,1,0)</f>
        <v>1</v>
      </c>
      <c r="CS12" s="13">
        <f>IF(預測IC!CS12&gt;預測IC!CS$26,1,0)</f>
        <v>0</v>
      </c>
      <c r="CT12" s="13">
        <f>IF(預測IC!CT12&gt;預測IC!CT$26,1,0)</f>
        <v>0</v>
      </c>
      <c r="CU12" s="13">
        <f>IF(預測IC!CU12&gt;預測IC!CU$26,1,0)</f>
        <v>0</v>
      </c>
      <c r="CV12" s="13">
        <f>IF(預測IC!CV12&gt;預測IC!CV$26,1,0)</f>
        <v>1</v>
      </c>
      <c r="CW12" s="13">
        <f>IF(預測IC!CW12&gt;預測IC!CW$26,1,0)</f>
        <v>1</v>
      </c>
      <c r="CX12" s="13">
        <f>IF(預測IC!CX12&gt;預測IC!CX$26,1,0)</f>
        <v>1</v>
      </c>
      <c r="CY12" s="13">
        <f>IF(預測IC!CY12&gt;預測IC!CY$26,1,0)</f>
        <v>1</v>
      </c>
      <c r="CZ12" s="13">
        <f>IF(預測IC!CZ12&gt;預測IC!CZ$26,1,0)</f>
        <v>1</v>
      </c>
      <c r="DA12" s="13">
        <f>IF(預測IC!DA12&gt;預測IC!DA$26,1,0)</f>
        <v>1</v>
      </c>
      <c r="DB12" s="13">
        <f>IF(預測IC!DB12&gt;預測IC!DB$26,1,0)</f>
        <v>1</v>
      </c>
      <c r="DC12" s="13">
        <f>IF(預測IC!DC12&gt;預測IC!DC$26,1,0)</f>
        <v>1</v>
      </c>
      <c r="DD12" s="13">
        <f>IF(預測IC!DD12&gt;預測IC!DD$26,1,0)</f>
        <v>0</v>
      </c>
      <c r="DE12" s="13">
        <f>IF(預測IC!DE12&gt;預測IC!DE$26,1,0)</f>
        <v>0</v>
      </c>
      <c r="DF12" s="13">
        <f>IF(預測IC!DF12&gt;預測IC!DF$26,1,0)</f>
        <v>1</v>
      </c>
      <c r="DG12" s="13">
        <f>IF(預測IC!DG12&gt;預測IC!DG$26,1,0)</f>
        <v>0</v>
      </c>
      <c r="DH12" s="13">
        <f>IF(預測IC!DH12&gt;預測IC!DH$26,1,0)</f>
        <v>1</v>
      </c>
      <c r="DI12" s="13">
        <f>IF(預測IC!DI12&gt;預測IC!DI$26,1,0)</f>
        <v>1</v>
      </c>
      <c r="DJ12" s="13">
        <f>IF(預測IC!DJ12&gt;預測IC!DJ$26,1,0)</f>
        <v>1</v>
      </c>
      <c r="DK12" s="13">
        <f>IF(預測IC!DK12&gt;預測IC!DK$26,1,0)</f>
        <v>0</v>
      </c>
      <c r="DL12" s="13">
        <f>IF(預測IC!DL12&gt;預測IC!DL$26,1,0)</f>
        <v>0</v>
      </c>
      <c r="DM12" s="13">
        <f>IF(預測IC!DM12&gt;預測IC!DM$26,1,0)</f>
        <v>0</v>
      </c>
      <c r="DN12" s="13">
        <f>IF(預測IC!DN12&gt;預測IC!DN$26,1,0)</f>
        <v>1</v>
      </c>
      <c r="DO12" s="13">
        <f>IF(預測IC!DO12&gt;預測IC!DO$26,1,0)</f>
        <v>0</v>
      </c>
      <c r="DP12" s="13">
        <f>IF(預測IC!DP12&gt;預測IC!DP$26,1,0)</f>
        <v>0</v>
      </c>
      <c r="DQ12" s="13">
        <f>IF(預測IC!DQ12&gt;預測IC!DQ$26,1,0)</f>
        <v>0</v>
      </c>
      <c r="DR12" s="13">
        <f>IF(預測IC!DR12&gt;預測IC!DR$26,1,0)</f>
        <v>0</v>
      </c>
      <c r="DS12" s="13">
        <f>IF(預測IC!DS12&gt;預測IC!DS$26,1,0)</f>
        <v>1</v>
      </c>
      <c r="DT12" s="13">
        <f>IF(預測IC!DT12&gt;預測IC!DT$26,1,0)</f>
        <v>0</v>
      </c>
      <c r="DU12" s="13">
        <f>IF(預測IC!DU12&gt;預測IC!DU$26,1,0)</f>
        <v>0</v>
      </c>
      <c r="DV12" s="13">
        <f>IF(預測IC!DV12&gt;預測IC!DV$26,1,0)</f>
        <v>0</v>
      </c>
      <c r="DW12" s="13">
        <f>IF(預測IC!DW12&gt;預測IC!DW$26,1,0)</f>
        <v>1</v>
      </c>
      <c r="DX12" s="13">
        <f>IF(預測IC!DX12&gt;預測IC!DX$26,1,0)</f>
        <v>0</v>
      </c>
      <c r="DY12" s="13">
        <f>IF(預測IC!DY12&gt;預測IC!DY$26,1,0)</f>
        <v>1</v>
      </c>
      <c r="DZ12" s="13">
        <f>IF(預測IC!DZ12&gt;預測IC!DZ$26,1,0)</f>
        <v>1</v>
      </c>
      <c r="EA12" s="13">
        <f>IF(預測IC!EA12&gt;預測IC!EA$26,1,0)</f>
        <v>1</v>
      </c>
      <c r="EB12" s="13">
        <f>IF(預測IC!EB12&gt;預測IC!EB$26,1,0)</f>
        <v>0</v>
      </c>
      <c r="EC12" s="13">
        <f>IF(預測IC!EC12&gt;預測IC!EC$26,1,0)</f>
        <v>1</v>
      </c>
      <c r="ED12" s="13">
        <f>IF(預測IC!ED12&gt;預測IC!ED$26,1,0)</f>
        <v>0</v>
      </c>
      <c r="EE12" s="13">
        <f>IF(預測IC!EE12&gt;預測IC!EE$26,1,0)</f>
        <v>0</v>
      </c>
      <c r="EF12" s="13">
        <f>IF(預測IC!EF12&gt;預測IC!EF$26,1,0)</f>
        <v>1</v>
      </c>
      <c r="EG12" s="1">
        <f t="shared" ref="EG12:EG24" si="10">SUM(C12:EF12)</f>
        <v>62</v>
      </c>
      <c r="EH12" s="20">
        <f t="shared" ref="EH12:EH24" si="11">SUM(C12:EF12)/134</f>
        <v>0.46268656716417911</v>
      </c>
    </row>
    <row r="13" spans="1:138">
      <c r="A13" s="2">
        <v>20</v>
      </c>
      <c r="B13" s="2">
        <v>48</v>
      </c>
      <c r="C13" s="13">
        <f>IF(預測IC!C13&gt;預測IC!C$26,1,0)</f>
        <v>1</v>
      </c>
      <c r="D13" s="13">
        <f>IF(預測IC!D13&gt;預測IC!D$26,1,0)</f>
        <v>0</v>
      </c>
      <c r="E13" s="13">
        <f>IF(預測IC!E13&gt;預測IC!E$26,1,0)</f>
        <v>0</v>
      </c>
      <c r="F13" s="13">
        <f>IF(預測IC!F13&gt;預測IC!F$26,1,0)</f>
        <v>0</v>
      </c>
      <c r="G13" s="13">
        <f>IF(預測IC!G13&gt;預測IC!G$26,1,0)</f>
        <v>0</v>
      </c>
      <c r="H13" s="13">
        <f>IF(預測IC!H13&gt;預測IC!H$26,1,0)</f>
        <v>0</v>
      </c>
      <c r="I13" s="13">
        <f>IF(預測IC!I13&gt;預測IC!I$26,1,0)</f>
        <v>1</v>
      </c>
      <c r="J13" s="13">
        <f>IF(預測IC!J13&gt;預測IC!J$26,1,0)</f>
        <v>1</v>
      </c>
      <c r="K13" s="13">
        <f>IF(預測IC!K13&gt;預測IC!K$26,1,0)</f>
        <v>1</v>
      </c>
      <c r="L13" s="13">
        <f>IF(預測IC!L13&gt;預測IC!L$26,1,0)</f>
        <v>1</v>
      </c>
      <c r="M13" s="13">
        <f>IF(預測IC!M13&gt;預測IC!M$26,1,0)</f>
        <v>0</v>
      </c>
      <c r="N13" s="13">
        <f>IF(預測IC!N13&gt;預測IC!N$26,1,0)</f>
        <v>0</v>
      </c>
      <c r="O13" s="13">
        <f>IF(預測IC!O13&gt;預測IC!O$26,1,0)</f>
        <v>1</v>
      </c>
      <c r="P13" s="13">
        <f>IF(預測IC!P13&gt;預測IC!P$26,1,0)</f>
        <v>0</v>
      </c>
      <c r="Q13" s="13">
        <f>IF(預測IC!Q13&gt;預測IC!Q$26,1,0)</f>
        <v>1</v>
      </c>
      <c r="R13" s="13">
        <f>IF(預測IC!R13&gt;預測IC!R$26,1,0)</f>
        <v>0</v>
      </c>
      <c r="S13" s="13">
        <f>IF(預測IC!S13&gt;預測IC!S$26,1,0)</f>
        <v>1</v>
      </c>
      <c r="T13" s="13">
        <f>IF(預測IC!T13&gt;預測IC!T$26,1,0)</f>
        <v>0</v>
      </c>
      <c r="U13" s="13">
        <f>IF(預測IC!U13&gt;預測IC!U$26,1,0)</f>
        <v>1</v>
      </c>
      <c r="V13" s="13">
        <f>IF(預測IC!V13&gt;預測IC!V$26,1,0)</f>
        <v>1</v>
      </c>
      <c r="W13" s="13">
        <f>IF(預測IC!W13&gt;預測IC!W$26,1,0)</f>
        <v>0</v>
      </c>
      <c r="X13" s="13">
        <f>IF(預測IC!X13&gt;預測IC!X$26,1,0)</f>
        <v>0</v>
      </c>
      <c r="Y13" s="13">
        <f>IF(預測IC!Y13&gt;預測IC!Y$26,1,0)</f>
        <v>1</v>
      </c>
      <c r="Z13" s="13">
        <f>IF(預測IC!Z13&gt;預測IC!Z$26,1,0)</f>
        <v>0</v>
      </c>
      <c r="AA13" s="13">
        <f>IF(預測IC!AA13&gt;預測IC!AA$26,1,0)</f>
        <v>1</v>
      </c>
      <c r="AB13" s="13">
        <f>IF(預測IC!AB13&gt;預測IC!AB$26,1,0)</f>
        <v>0</v>
      </c>
      <c r="AC13" s="13">
        <f>IF(預測IC!AC13&gt;預測IC!AC$26,1,0)</f>
        <v>0</v>
      </c>
      <c r="AD13" s="13">
        <f>IF(預測IC!AD13&gt;預測IC!AD$26,1,0)</f>
        <v>1</v>
      </c>
      <c r="AE13" s="13">
        <f>IF(預測IC!AE13&gt;預測IC!AE$26,1,0)</f>
        <v>1</v>
      </c>
      <c r="AF13" s="13">
        <f>IF(預測IC!AF13&gt;預測IC!AF$26,1,0)</f>
        <v>0</v>
      </c>
      <c r="AG13" s="13">
        <f>IF(預測IC!AG13&gt;預測IC!AG$26,1,0)</f>
        <v>0</v>
      </c>
      <c r="AH13" s="13">
        <f>IF(預測IC!AH13&gt;預測IC!AH$26,1,0)</f>
        <v>0</v>
      </c>
      <c r="AI13" s="13">
        <f>IF(預測IC!AI13&gt;預測IC!AI$26,1,0)</f>
        <v>0</v>
      </c>
      <c r="AJ13" s="13">
        <f>IF(預測IC!AJ13&gt;預測IC!AJ$26,1,0)</f>
        <v>1</v>
      </c>
      <c r="AK13" s="13">
        <f>IF(預測IC!AK13&gt;預測IC!AK$26,1,0)</f>
        <v>0</v>
      </c>
      <c r="AL13" s="13">
        <f>IF(預測IC!AL13&gt;預測IC!AL$26,1,0)</f>
        <v>0</v>
      </c>
      <c r="AM13" s="13">
        <f>IF(預測IC!AM13&gt;預測IC!AM$26,1,0)</f>
        <v>0</v>
      </c>
      <c r="AN13" s="13">
        <f>IF(預測IC!AN13&gt;預測IC!AN$26,1,0)</f>
        <v>0</v>
      </c>
      <c r="AO13" s="13">
        <f>IF(預測IC!AO13&gt;預測IC!AO$26,1,0)</f>
        <v>0</v>
      </c>
      <c r="AP13" s="13">
        <f>IF(預測IC!AP13&gt;預測IC!AP$26,1,0)</f>
        <v>1</v>
      </c>
      <c r="AQ13" s="13">
        <f>IF(預測IC!AQ13&gt;預測IC!AQ$26,1,0)</f>
        <v>0</v>
      </c>
      <c r="AR13" s="13">
        <f>IF(預測IC!AR13&gt;預測IC!AR$26,1,0)</f>
        <v>0</v>
      </c>
      <c r="AS13" s="13">
        <f>IF(預測IC!AS13&gt;預測IC!AS$26,1,0)</f>
        <v>1</v>
      </c>
      <c r="AT13" s="13">
        <f>IF(預測IC!AT13&gt;預測IC!AT$26,1,0)</f>
        <v>1</v>
      </c>
      <c r="AU13" s="13">
        <f>IF(預測IC!AU13&gt;預測IC!AU$26,1,0)</f>
        <v>1</v>
      </c>
      <c r="AV13" s="13">
        <f>IF(預測IC!AV13&gt;預測IC!AV$26,1,0)</f>
        <v>1</v>
      </c>
      <c r="AW13" s="13">
        <f>IF(預測IC!AW13&gt;預測IC!AW$26,1,0)</f>
        <v>0</v>
      </c>
      <c r="AX13" s="13">
        <f>IF(預測IC!AX13&gt;預測IC!AX$26,1,0)</f>
        <v>0</v>
      </c>
      <c r="AY13" s="13">
        <f>IF(預測IC!AY13&gt;預測IC!AY$26,1,0)</f>
        <v>0</v>
      </c>
      <c r="AZ13" s="13">
        <f>IF(預測IC!AZ13&gt;預測IC!AZ$26,1,0)</f>
        <v>0</v>
      </c>
      <c r="BA13" s="13">
        <f>IF(預測IC!BA13&gt;預測IC!BA$26,1,0)</f>
        <v>0</v>
      </c>
      <c r="BB13" s="13">
        <f>IF(預測IC!BB13&gt;預測IC!BB$26,1,0)</f>
        <v>1</v>
      </c>
      <c r="BC13" s="13">
        <f>IF(預測IC!BC13&gt;預測IC!BC$26,1,0)</f>
        <v>0</v>
      </c>
      <c r="BD13" s="13">
        <f>IF(預測IC!BD13&gt;預測IC!BD$26,1,0)</f>
        <v>1</v>
      </c>
      <c r="BE13" s="13">
        <f>IF(預測IC!BE13&gt;預測IC!BE$26,1,0)</f>
        <v>0</v>
      </c>
      <c r="BF13" s="13">
        <f>IF(預測IC!BF13&gt;預測IC!BF$26,1,0)</f>
        <v>0</v>
      </c>
      <c r="BG13" s="13">
        <f>IF(預測IC!BG13&gt;預測IC!BG$26,1,0)</f>
        <v>1</v>
      </c>
      <c r="BH13" s="13">
        <f>IF(預測IC!BH13&gt;預測IC!BH$26,1,0)</f>
        <v>1</v>
      </c>
      <c r="BI13" s="13">
        <f>IF(預測IC!BI13&gt;預測IC!BI$26,1,0)</f>
        <v>1</v>
      </c>
      <c r="BJ13" s="13">
        <f>IF(預測IC!BJ13&gt;預測IC!BJ$26,1,0)</f>
        <v>1</v>
      </c>
      <c r="BK13" s="13">
        <f>IF(預測IC!BK13&gt;預測IC!BK$26,1,0)</f>
        <v>0</v>
      </c>
      <c r="BL13" s="13">
        <f>IF(預測IC!BL13&gt;預測IC!BL$26,1,0)</f>
        <v>0</v>
      </c>
      <c r="BM13" s="13">
        <f>IF(預測IC!BM13&gt;預測IC!BM$26,1,0)</f>
        <v>1</v>
      </c>
      <c r="BN13" s="13">
        <f>IF(預測IC!BN13&gt;預測IC!BN$26,1,0)</f>
        <v>0</v>
      </c>
      <c r="BO13" s="13">
        <f>IF(預測IC!BO13&gt;預測IC!BO$26,1,0)</f>
        <v>1</v>
      </c>
      <c r="BP13" s="13">
        <f>IF(預測IC!BP13&gt;預測IC!BP$26,1,0)</f>
        <v>0</v>
      </c>
      <c r="BQ13" s="13">
        <f>IF(預測IC!BQ13&gt;預測IC!BQ$26,1,0)</f>
        <v>0</v>
      </c>
      <c r="BR13" s="13">
        <f>IF(預測IC!BR13&gt;預測IC!BR$26,1,0)</f>
        <v>1</v>
      </c>
      <c r="BS13" s="13">
        <f>IF(預測IC!BS13&gt;預測IC!BS$26,1,0)</f>
        <v>0</v>
      </c>
      <c r="BT13" s="13">
        <f>IF(預測IC!BT13&gt;預測IC!BT$26,1,0)</f>
        <v>0</v>
      </c>
      <c r="BU13" s="13">
        <f>IF(預測IC!BU13&gt;預測IC!BU$26,1,0)</f>
        <v>1</v>
      </c>
      <c r="BV13" s="13">
        <f>IF(預測IC!BV13&gt;預測IC!BV$26,1,0)</f>
        <v>0</v>
      </c>
      <c r="BW13" s="13">
        <f>IF(預測IC!BW13&gt;預測IC!BW$26,1,0)</f>
        <v>0</v>
      </c>
      <c r="BX13" s="13">
        <f>IF(預測IC!BX13&gt;預測IC!BX$26,1,0)</f>
        <v>1</v>
      </c>
      <c r="BY13" s="13">
        <f>IF(預測IC!BY13&gt;預測IC!BY$26,1,0)</f>
        <v>1</v>
      </c>
      <c r="BZ13" s="13">
        <f>IF(預測IC!BZ13&gt;預測IC!BZ$26,1,0)</f>
        <v>0</v>
      </c>
      <c r="CA13" s="13">
        <f>IF(預測IC!CA13&gt;預測IC!CA$26,1,0)</f>
        <v>1</v>
      </c>
      <c r="CB13" s="13">
        <f>IF(預測IC!CB13&gt;預測IC!CB$26,1,0)</f>
        <v>0</v>
      </c>
      <c r="CC13" s="13">
        <f>IF(預測IC!CC13&gt;預測IC!CC$26,1,0)</f>
        <v>1</v>
      </c>
      <c r="CD13" s="13">
        <f>IF(預測IC!CD13&gt;預測IC!CD$26,1,0)</f>
        <v>1</v>
      </c>
      <c r="CE13" s="13">
        <f>IF(預測IC!CE13&gt;預測IC!CE$26,1,0)</f>
        <v>1</v>
      </c>
      <c r="CF13" s="13">
        <f>IF(預測IC!CF13&gt;預測IC!CF$26,1,0)</f>
        <v>0</v>
      </c>
      <c r="CG13" s="13">
        <f>IF(預測IC!CG13&gt;預測IC!CG$26,1,0)</f>
        <v>0</v>
      </c>
      <c r="CH13" s="13">
        <f>IF(預測IC!CH13&gt;預測IC!CH$26,1,0)</f>
        <v>0</v>
      </c>
      <c r="CI13" s="13">
        <f>IF(預測IC!CI13&gt;預測IC!CI$26,1,0)</f>
        <v>0</v>
      </c>
      <c r="CJ13" s="13">
        <f>IF(預測IC!CJ13&gt;預測IC!CJ$26,1,0)</f>
        <v>1</v>
      </c>
      <c r="CK13" s="13">
        <f>IF(預測IC!CK13&gt;預測IC!CK$26,1,0)</f>
        <v>1</v>
      </c>
      <c r="CL13" s="13">
        <f>IF(預測IC!CL13&gt;預測IC!CL$26,1,0)</f>
        <v>1</v>
      </c>
      <c r="CM13" s="13">
        <f>IF(預測IC!CM13&gt;預測IC!CM$26,1,0)</f>
        <v>1</v>
      </c>
      <c r="CN13" s="13">
        <f>IF(預測IC!CN13&gt;預測IC!CN$26,1,0)</f>
        <v>0</v>
      </c>
      <c r="CO13" s="13">
        <f>IF(預測IC!CO13&gt;預測IC!CO$26,1,0)</f>
        <v>0</v>
      </c>
      <c r="CP13" s="13">
        <f>IF(預測IC!CP13&gt;預測IC!CP$26,1,0)</f>
        <v>0</v>
      </c>
      <c r="CQ13" s="13">
        <f>IF(預測IC!CQ13&gt;預測IC!CQ$26,1,0)</f>
        <v>0</v>
      </c>
      <c r="CR13" s="13">
        <f>IF(預測IC!CR13&gt;預測IC!CR$26,1,0)</f>
        <v>1</v>
      </c>
      <c r="CS13" s="13">
        <f>IF(預測IC!CS13&gt;預測IC!CS$26,1,0)</f>
        <v>0</v>
      </c>
      <c r="CT13" s="13">
        <f>IF(預測IC!CT13&gt;預測IC!CT$26,1,0)</f>
        <v>0</v>
      </c>
      <c r="CU13" s="13">
        <f>IF(預測IC!CU13&gt;預測IC!CU$26,1,0)</f>
        <v>0</v>
      </c>
      <c r="CV13" s="13">
        <f>IF(預測IC!CV13&gt;預測IC!CV$26,1,0)</f>
        <v>1</v>
      </c>
      <c r="CW13" s="13">
        <f>IF(預測IC!CW13&gt;預測IC!CW$26,1,0)</f>
        <v>1</v>
      </c>
      <c r="CX13" s="13">
        <f>IF(預測IC!CX13&gt;預測IC!CX$26,1,0)</f>
        <v>1</v>
      </c>
      <c r="CY13" s="13">
        <f>IF(預測IC!CY13&gt;預測IC!CY$26,1,0)</f>
        <v>1</v>
      </c>
      <c r="CZ13" s="13">
        <f>IF(預測IC!CZ13&gt;預測IC!CZ$26,1,0)</f>
        <v>1</v>
      </c>
      <c r="DA13" s="13">
        <f>IF(預測IC!DA13&gt;預測IC!DA$26,1,0)</f>
        <v>1</v>
      </c>
      <c r="DB13" s="13">
        <f>IF(預測IC!DB13&gt;預測IC!DB$26,1,0)</f>
        <v>1</v>
      </c>
      <c r="DC13" s="13">
        <f>IF(預測IC!DC13&gt;預測IC!DC$26,1,0)</f>
        <v>1</v>
      </c>
      <c r="DD13" s="13">
        <f>IF(預測IC!DD13&gt;預測IC!DD$26,1,0)</f>
        <v>0</v>
      </c>
      <c r="DE13" s="13">
        <f>IF(預測IC!DE13&gt;預測IC!DE$26,1,0)</f>
        <v>0</v>
      </c>
      <c r="DF13" s="13">
        <f>IF(預測IC!DF13&gt;預測IC!DF$26,1,0)</f>
        <v>1</v>
      </c>
      <c r="DG13" s="13">
        <f>IF(預測IC!DG13&gt;預測IC!DG$26,1,0)</f>
        <v>0</v>
      </c>
      <c r="DH13" s="13">
        <f>IF(預測IC!DH13&gt;預測IC!DH$26,1,0)</f>
        <v>1</v>
      </c>
      <c r="DI13" s="13">
        <f>IF(預測IC!DI13&gt;預測IC!DI$26,1,0)</f>
        <v>1</v>
      </c>
      <c r="DJ13" s="13">
        <f>IF(預測IC!DJ13&gt;預測IC!DJ$26,1,0)</f>
        <v>1</v>
      </c>
      <c r="DK13" s="13">
        <f>IF(預測IC!DK13&gt;預測IC!DK$26,1,0)</f>
        <v>0</v>
      </c>
      <c r="DL13" s="13">
        <f>IF(預測IC!DL13&gt;預測IC!DL$26,1,0)</f>
        <v>1</v>
      </c>
      <c r="DM13" s="13">
        <f>IF(預測IC!DM13&gt;預測IC!DM$26,1,0)</f>
        <v>0</v>
      </c>
      <c r="DN13" s="13">
        <f>IF(預測IC!DN13&gt;預測IC!DN$26,1,0)</f>
        <v>1</v>
      </c>
      <c r="DO13" s="13">
        <f>IF(預測IC!DO13&gt;預測IC!DO$26,1,0)</f>
        <v>0</v>
      </c>
      <c r="DP13" s="13">
        <f>IF(預測IC!DP13&gt;預測IC!DP$26,1,0)</f>
        <v>0</v>
      </c>
      <c r="DQ13" s="13">
        <f>IF(預測IC!DQ13&gt;預測IC!DQ$26,1,0)</f>
        <v>1</v>
      </c>
      <c r="DR13" s="13">
        <f>IF(預測IC!DR13&gt;預測IC!DR$26,1,0)</f>
        <v>0</v>
      </c>
      <c r="DS13" s="13">
        <f>IF(預測IC!DS13&gt;預測IC!DS$26,1,0)</f>
        <v>1</v>
      </c>
      <c r="DT13" s="13">
        <f>IF(預測IC!DT13&gt;預測IC!DT$26,1,0)</f>
        <v>0</v>
      </c>
      <c r="DU13" s="13">
        <f>IF(預測IC!DU13&gt;預測IC!DU$26,1,0)</f>
        <v>0</v>
      </c>
      <c r="DV13" s="13">
        <f>IF(預測IC!DV13&gt;預測IC!DV$26,1,0)</f>
        <v>0</v>
      </c>
      <c r="DW13" s="13">
        <f>IF(預測IC!DW13&gt;預測IC!DW$26,1,0)</f>
        <v>1</v>
      </c>
      <c r="DX13" s="13">
        <f>IF(預測IC!DX13&gt;預測IC!DX$26,1,0)</f>
        <v>0</v>
      </c>
      <c r="DY13" s="13">
        <f>IF(預測IC!DY13&gt;預測IC!DY$26,1,0)</f>
        <v>1</v>
      </c>
      <c r="DZ13" s="13">
        <f>IF(預測IC!DZ13&gt;預測IC!DZ$26,1,0)</f>
        <v>1</v>
      </c>
      <c r="EA13" s="13">
        <f>IF(預測IC!EA13&gt;預測IC!EA$26,1,0)</f>
        <v>1</v>
      </c>
      <c r="EB13" s="13">
        <f>IF(預測IC!EB13&gt;預測IC!EB$26,1,0)</f>
        <v>0</v>
      </c>
      <c r="EC13" s="13">
        <f>IF(預測IC!EC13&gt;預測IC!EC$26,1,0)</f>
        <v>1</v>
      </c>
      <c r="ED13" s="13">
        <f>IF(預測IC!ED13&gt;預測IC!ED$26,1,0)</f>
        <v>0</v>
      </c>
      <c r="EE13" s="13">
        <f>IF(預測IC!EE13&gt;預測IC!EE$26,1,0)</f>
        <v>0</v>
      </c>
      <c r="EF13" s="13">
        <f>IF(預測IC!EF13&gt;預測IC!EF$26,1,0)</f>
        <v>1</v>
      </c>
      <c r="EG13" s="1">
        <f t="shared" si="10"/>
        <v>63</v>
      </c>
      <c r="EH13" s="20">
        <f t="shared" si="11"/>
        <v>0.47014925373134331</v>
      </c>
    </row>
    <row r="14" spans="1:138">
      <c r="A14" s="2">
        <v>50</v>
      </c>
      <c r="B14" s="2">
        <v>19</v>
      </c>
      <c r="C14" s="13">
        <f>IF(預測IC!C14&gt;預測IC!C$26,1,0)</f>
        <v>1</v>
      </c>
      <c r="D14" s="13">
        <f>IF(預測IC!D14&gt;預測IC!D$26,1,0)</f>
        <v>0</v>
      </c>
      <c r="E14" s="13">
        <f>IF(預測IC!E14&gt;預測IC!E$26,1,0)</f>
        <v>0</v>
      </c>
      <c r="F14" s="13">
        <f>IF(預測IC!F14&gt;預測IC!F$26,1,0)</f>
        <v>0</v>
      </c>
      <c r="G14" s="13">
        <f>IF(預測IC!G14&gt;預測IC!G$26,1,0)</f>
        <v>1</v>
      </c>
      <c r="H14" s="13">
        <f>IF(預測IC!H14&gt;預測IC!H$26,1,0)</f>
        <v>0</v>
      </c>
      <c r="I14" s="13">
        <f>IF(預測IC!I14&gt;預測IC!I$26,1,0)</f>
        <v>1</v>
      </c>
      <c r="J14" s="13">
        <f>IF(預測IC!J14&gt;預測IC!J$26,1,0)</f>
        <v>1</v>
      </c>
      <c r="K14" s="13">
        <f>IF(預測IC!K14&gt;預測IC!K$26,1,0)</f>
        <v>1</v>
      </c>
      <c r="L14" s="13">
        <f>IF(預測IC!L14&gt;預測IC!L$26,1,0)</f>
        <v>1</v>
      </c>
      <c r="M14" s="13">
        <f>IF(預測IC!M14&gt;預測IC!M$26,1,0)</f>
        <v>0</v>
      </c>
      <c r="N14" s="13">
        <f>IF(預測IC!N14&gt;預測IC!N$26,1,0)</f>
        <v>0</v>
      </c>
      <c r="O14" s="13">
        <f>IF(預測IC!O14&gt;預測IC!O$26,1,0)</f>
        <v>0</v>
      </c>
      <c r="P14" s="13">
        <f>IF(預測IC!P14&gt;預測IC!P$26,1,0)</f>
        <v>1</v>
      </c>
      <c r="Q14" s="13">
        <f>IF(預測IC!Q14&gt;預測IC!Q$26,1,0)</f>
        <v>1</v>
      </c>
      <c r="R14" s="13">
        <f>IF(預測IC!R14&gt;預測IC!R$26,1,0)</f>
        <v>0</v>
      </c>
      <c r="S14" s="13">
        <f>IF(預測IC!S14&gt;預測IC!S$26,1,0)</f>
        <v>0</v>
      </c>
      <c r="T14" s="13">
        <f>IF(預測IC!T14&gt;預測IC!T$26,1,0)</f>
        <v>1</v>
      </c>
      <c r="U14" s="13">
        <f>IF(預測IC!U14&gt;預測IC!U$26,1,0)</f>
        <v>1</v>
      </c>
      <c r="V14" s="13">
        <f>IF(預測IC!V14&gt;預測IC!V$26,1,0)</f>
        <v>1</v>
      </c>
      <c r="W14" s="13">
        <f>IF(預測IC!W14&gt;預測IC!W$26,1,0)</f>
        <v>0</v>
      </c>
      <c r="X14" s="13">
        <f>IF(預測IC!X14&gt;預測IC!X$26,1,0)</f>
        <v>0</v>
      </c>
      <c r="Y14" s="13">
        <f>IF(預測IC!Y14&gt;預測IC!Y$26,1,0)</f>
        <v>0</v>
      </c>
      <c r="Z14" s="13">
        <f>IF(預測IC!Z14&gt;預測IC!Z$26,1,0)</f>
        <v>0</v>
      </c>
      <c r="AA14" s="13">
        <f>IF(預測IC!AA14&gt;預測IC!AA$26,1,0)</f>
        <v>1</v>
      </c>
      <c r="AB14" s="13">
        <f>IF(預測IC!AB14&gt;預測IC!AB$26,1,0)</f>
        <v>0</v>
      </c>
      <c r="AC14" s="13">
        <f>IF(預測IC!AC14&gt;預測IC!AC$26,1,0)</f>
        <v>0</v>
      </c>
      <c r="AD14" s="13">
        <f>IF(預測IC!AD14&gt;預測IC!AD$26,1,0)</f>
        <v>0</v>
      </c>
      <c r="AE14" s="13">
        <f>IF(預測IC!AE14&gt;預測IC!AE$26,1,0)</f>
        <v>1</v>
      </c>
      <c r="AF14" s="13">
        <f>IF(預測IC!AF14&gt;預測IC!AF$26,1,0)</f>
        <v>0</v>
      </c>
      <c r="AG14" s="13">
        <f>IF(預測IC!AG14&gt;預測IC!AG$26,1,0)</f>
        <v>0</v>
      </c>
      <c r="AH14" s="13">
        <f>IF(預測IC!AH14&gt;預測IC!AH$26,1,0)</f>
        <v>0</v>
      </c>
      <c r="AI14" s="13">
        <f>IF(預測IC!AI14&gt;預測IC!AI$26,1,0)</f>
        <v>0</v>
      </c>
      <c r="AJ14" s="13">
        <f>IF(預測IC!AJ14&gt;預測IC!AJ$26,1,0)</f>
        <v>0</v>
      </c>
      <c r="AK14" s="13">
        <f>IF(預測IC!AK14&gt;預測IC!AK$26,1,0)</f>
        <v>0</v>
      </c>
      <c r="AL14" s="13">
        <f>IF(預測IC!AL14&gt;預測IC!AL$26,1,0)</f>
        <v>0</v>
      </c>
      <c r="AM14" s="13">
        <f>IF(預測IC!AM14&gt;預測IC!AM$26,1,0)</f>
        <v>0</v>
      </c>
      <c r="AN14" s="13">
        <f>IF(預測IC!AN14&gt;預測IC!AN$26,1,0)</f>
        <v>0</v>
      </c>
      <c r="AO14" s="13">
        <f>IF(預測IC!AO14&gt;預測IC!AO$26,1,0)</f>
        <v>0</v>
      </c>
      <c r="AP14" s="13">
        <f>IF(預測IC!AP14&gt;預測IC!AP$26,1,0)</f>
        <v>1</v>
      </c>
      <c r="AQ14" s="13">
        <f>IF(預測IC!AQ14&gt;預測IC!AQ$26,1,0)</f>
        <v>1</v>
      </c>
      <c r="AR14" s="13">
        <f>IF(預測IC!AR14&gt;預測IC!AR$26,1,0)</f>
        <v>0</v>
      </c>
      <c r="AS14" s="13">
        <f>IF(預測IC!AS14&gt;預測IC!AS$26,1,0)</f>
        <v>0</v>
      </c>
      <c r="AT14" s="13">
        <f>IF(預測IC!AT14&gt;預測IC!AT$26,1,0)</f>
        <v>1</v>
      </c>
      <c r="AU14" s="13">
        <f>IF(預測IC!AU14&gt;預測IC!AU$26,1,0)</f>
        <v>0</v>
      </c>
      <c r="AV14" s="13">
        <f>IF(預測IC!AV14&gt;預測IC!AV$26,1,0)</f>
        <v>1</v>
      </c>
      <c r="AW14" s="13">
        <f>IF(預測IC!AW14&gt;預測IC!AW$26,1,0)</f>
        <v>0</v>
      </c>
      <c r="AX14" s="13">
        <f>IF(預測IC!AX14&gt;預測IC!AX$26,1,0)</f>
        <v>0</v>
      </c>
      <c r="AY14" s="13">
        <f>IF(預測IC!AY14&gt;預測IC!AY$26,1,0)</f>
        <v>0</v>
      </c>
      <c r="AZ14" s="13">
        <f>IF(預測IC!AZ14&gt;預測IC!AZ$26,1,0)</f>
        <v>0</v>
      </c>
      <c r="BA14" s="13">
        <f>IF(預測IC!BA14&gt;預測IC!BA$26,1,0)</f>
        <v>0</v>
      </c>
      <c r="BB14" s="13">
        <f>IF(預測IC!BB14&gt;預測IC!BB$26,1,0)</f>
        <v>1</v>
      </c>
      <c r="BC14" s="13">
        <f>IF(預測IC!BC14&gt;預測IC!BC$26,1,0)</f>
        <v>1</v>
      </c>
      <c r="BD14" s="13">
        <f>IF(預測IC!BD14&gt;預測IC!BD$26,1,0)</f>
        <v>1</v>
      </c>
      <c r="BE14" s="13">
        <f>IF(預測IC!BE14&gt;預測IC!BE$26,1,0)</f>
        <v>0</v>
      </c>
      <c r="BF14" s="13">
        <f>IF(預測IC!BF14&gt;預測IC!BF$26,1,0)</f>
        <v>0</v>
      </c>
      <c r="BG14" s="13">
        <f>IF(預測IC!BG14&gt;預測IC!BG$26,1,0)</f>
        <v>1</v>
      </c>
      <c r="BH14" s="13">
        <f>IF(預測IC!BH14&gt;預測IC!BH$26,1,0)</f>
        <v>1</v>
      </c>
      <c r="BI14" s="13">
        <f>IF(預測IC!BI14&gt;預測IC!BI$26,1,0)</f>
        <v>1</v>
      </c>
      <c r="BJ14" s="13">
        <f>IF(預測IC!BJ14&gt;預測IC!BJ$26,1,0)</f>
        <v>1</v>
      </c>
      <c r="BK14" s="13">
        <f>IF(預測IC!BK14&gt;預測IC!BK$26,1,0)</f>
        <v>0</v>
      </c>
      <c r="BL14" s="13">
        <f>IF(預測IC!BL14&gt;預測IC!BL$26,1,0)</f>
        <v>0</v>
      </c>
      <c r="BM14" s="13">
        <f>IF(預測IC!BM14&gt;預測IC!BM$26,1,0)</f>
        <v>1</v>
      </c>
      <c r="BN14" s="13">
        <f>IF(預測IC!BN14&gt;預測IC!BN$26,1,0)</f>
        <v>0</v>
      </c>
      <c r="BO14" s="13">
        <f>IF(預測IC!BO14&gt;預測IC!BO$26,1,0)</f>
        <v>1</v>
      </c>
      <c r="BP14" s="13">
        <f>IF(預測IC!BP14&gt;預測IC!BP$26,1,0)</f>
        <v>0</v>
      </c>
      <c r="BQ14" s="13">
        <f>IF(預測IC!BQ14&gt;預測IC!BQ$26,1,0)</f>
        <v>0</v>
      </c>
      <c r="BR14" s="13">
        <f>IF(預測IC!BR14&gt;預測IC!BR$26,1,0)</f>
        <v>0</v>
      </c>
      <c r="BS14" s="13">
        <f>IF(預測IC!BS14&gt;預測IC!BS$26,1,0)</f>
        <v>0</v>
      </c>
      <c r="BT14" s="13">
        <f>IF(預測IC!BT14&gt;預測IC!BT$26,1,0)</f>
        <v>0</v>
      </c>
      <c r="BU14" s="13">
        <f>IF(預測IC!BU14&gt;預測IC!BU$26,1,0)</f>
        <v>1</v>
      </c>
      <c r="BV14" s="13">
        <f>IF(預測IC!BV14&gt;預測IC!BV$26,1,0)</f>
        <v>0</v>
      </c>
      <c r="BW14" s="13">
        <f>IF(預測IC!BW14&gt;預測IC!BW$26,1,0)</f>
        <v>0</v>
      </c>
      <c r="BX14" s="13">
        <f>IF(預測IC!BX14&gt;預測IC!BX$26,1,0)</f>
        <v>1</v>
      </c>
      <c r="BY14" s="13">
        <f>IF(預測IC!BY14&gt;預測IC!BY$26,1,0)</f>
        <v>1</v>
      </c>
      <c r="BZ14" s="13">
        <f>IF(預測IC!BZ14&gt;預測IC!BZ$26,1,0)</f>
        <v>0</v>
      </c>
      <c r="CA14" s="13">
        <f>IF(預測IC!CA14&gt;預測IC!CA$26,1,0)</f>
        <v>1</v>
      </c>
      <c r="CB14" s="13">
        <f>IF(預測IC!CB14&gt;預測IC!CB$26,1,0)</f>
        <v>0</v>
      </c>
      <c r="CC14" s="13">
        <f>IF(預測IC!CC14&gt;預測IC!CC$26,1,0)</f>
        <v>1</v>
      </c>
      <c r="CD14" s="13">
        <f>IF(預測IC!CD14&gt;預測IC!CD$26,1,0)</f>
        <v>1</v>
      </c>
      <c r="CE14" s="13">
        <f>IF(預測IC!CE14&gt;預測IC!CE$26,1,0)</f>
        <v>1</v>
      </c>
      <c r="CF14" s="13">
        <f>IF(預測IC!CF14&gt;預測IC!CF$26,1,0)</f>
        <v>0</v>
      </c>
      <c r="CG14" s="13">
        <f>IF(預測IC!CG14&gt;預測IC!CG$26,1,0)</f>
        <v>0</v>
      </c>
      <c r="CH14" s="13">
        <f>IF(預測IC!CH14&gt;預測IC!CH$26,1,0)</f>
        <v>0</v>
      </c>
      <c r="CI14" s="13">
        <f>IF(預測IC!CI14&gt;預測IC!CI$26,1,0)</f>
        <v>0</v>
      </c>
      <c r="CJ14" s="13">
        <f>IF(預測IC!CJ14&gt;預測IC!CJ$26,1,0)</f>
        <v>0</v>
      </c>
      <c r="CK14" s="13">
        <f>IF(預測IC!CK14&gt;預測IC!CK$26,1,0)</f>
        <v>1</v>
      </c>
      <c r="CL14" s="13">
        <f>IF(預測IC!CL14&gt;預測IC!CL$26,1,0)</f>
        <v>1</v>
      </c>
      <c r="CM14" s="13">
        <f>IF(預測IC!CM14&gt;預測IC!CM$26,1,0)</f>
        <v>1</v>
      </c>
      <c r="CN14" s="13">
        <f>IF(預測IC!CN14&gt;預測IC!CN$26,1,0)</f>
        <v>0</v>
      </c>
      <c r="CO14" s="13">
        <f>IF(預測IC!CO14&gt;預測IC!CO$26,1,0)</f>
        <v>0</v>
      </c>
      <c r="CP14" s="13">
        <f>IF(預測IC!CP14&gt;預測IC!CP$26,1,0)</f>
        <v>0</v>
      </c>
      <c r="CQ14" s="13">
        <f>IF(預測IC!CQ14&gt;預測IC!CQ$26,1,0)</f>
        <v>1</v>
      </c>
      <c r="CR14" s="13">
        <f>IF(預測IC!CR14&gt;預測IC!CR$26,1,0)</f>
        <v>1</v>
      </c>
      <c r="CS14" s="13">
        <f>IF(預測IC!CS14&gt;預測IC!CS$26,1,0)</f>
        <v>0</v>
      </c>
      <c r="CT14" s="13">
        <f>IF(預測IC!CT14&gt;預測IC!CT$26,1,0)</f>
        <v>0</v>
      </c>
      <c r="CU14" s="13">
        <f>IF(預測IC!CU14&gt;預測IC!CU$26,1,0)</f>
        <v>0</v>
      </c>
      <c r="CV14" s="13">
        <f>IF(預測IC!CV14&gt;預測IC!CV$26,1,0)</f>
        <v>1</v>
      </c>
      <c r="CW14" s="13">
        <f>IF(預測IC!CW14&gt;預測IC!CW$26,1,0)</f>
        <v>1</v>
      </c>
      <c r="CX14" s="13">
        <f>IF(預測IC!CX14&gt;預測IC!CX$26,1,0)</f>
        <v>1</v>
      </c>
      <c r="CY14" s="13">
        <f>IF(預測IC!CY14&gt;預測IC!CY$26,1,0)</f>
        <v>1</v>
      </c>
      <c r="CZ14" s="13">
        <f>IF(預測IC!CZ14&gt;預測IC!CZ$26,1,0)</f>
        <v>1</v>
      </c>
      <c r="DA14" s="13">
        <f>IF(預測IC!DA14&gt;預測IC!DA$26,1,0)</f>
        <v>1</v>
      </c>
      <c r="DB14" s="13">
        <f>IF(預測IC!DB14&gt;預測IC!DB$26,1,0)</f>
        <v>1</v>
      </c>
      <c r="DC14" s="13">
        <f>IF(預測IC!DC14&gt;預測IC!DC$26,1,0)</f>
        <v>1</v>
      </c>
      <c r="DD14" s="13">
        <f>IF(預測IC!DD14&gt;預測IC!DD$26,1,0)</f>
        <v>0</v>
      </c>
      <c r="DE14" s="13">
        <f>IF(預測IC!DE14&gt;預測IC!DE$26,1,0)</f>
        <v>0</v>
      </c>
      <c r="DF14" s="13">
        <f>IF(預測IC!DF14&gt;預測IC!DF$26,1,0)</f>
        <v>1</v>
      </c>
      <c r="DG14" s="13">
        <f>IF(預測IC!DG14&gt;預測IC!DG$26,1,0)</f>
        <v>0</v>
      </c>
      <c r="DH14" s="13">
        <f>IF(預測IC!DH14&gt;預測IC!DH$26,1,0)</f>
        <v>1</v>
      </c>
      <c r="DI14" s="13">
        <f>IF(預測IC!DI14&gt;預測IC!DI$26,1,0)</f>
        <v>1</v>
      </c>
      <c r="DJ14" s="13">
        <f>IF(預測IC!DJ14&gt;預測IC!DJ$26,1,0)</f>
        <v>1</v>
      </c>
      <c r="DK14" s="13">
        <f>IF(預測IC!DK14&gt;預測IC!DK$26,1,0)</f>
        <v>0</v>
      </c>
      <c r="DL14" s="13">
        <f>IF(預測IC!DL14&gt;預測IC!DL$26,1,0)</f>
        <v>1</v>
      </c>
      <c r="DM14" s="13">
        <f>IF(預測IC!DM14&gt;預測IC!DM$26,1,0)</f>
        <v>0</v>
      </c>
      <c r="DN14" s="13">
        <f>IF(預測IC!DN14&gt;預測IC!DN$26,1,0)</f>
        <v>0</v>
      </c>
      <c r="DO14" s="13">
        <f>IF(預測IC!DO14&gt;預測IC!DO$26,1,0)</f>
        <v>0</v>
      </c>
      <c r="DP14" s="13">
        <f>IF(預測IC!DP14&gt;預測IC!DP$26,1,0)</f>
        <v>0</v>
      </c>
      <c r="DQ14" s="13">
        <f>IF(預測IC!DQ14&gt;預測IC!DQ$26,1,0)</f>
        <v>0</v>
      </c>
      <c r="DR14" s="13">
        <f>IF(預測IC!DR14&gt;預測IC!DR$26,1,0)</f>
        <v>1</v>
      </c>
      <c r="DS14" s="13">
        <f>IF(預測IC!DS14&gt;預測IC!DS$26,1,0)</f>
        <v>1</v>
      </c>
      <c r="DT14" s="13">
        <f>IF(預測IC!DT14&gt;預測IC!DT$26,1,0)</f>
        <v>0</v>
      </c>
      <c r="DU14" s="13">
        <f>IF(預測IC!DU14&gt;預測IC!DU$26,1,0)</f>
        <v>0</v>
      </c>
      <c r="DV14" s="13">
        <f>IF(預測IC!DV14&gt;預測IC!DV$26,1,0)</f>
        <v>0</v>
      </c>
      <c r="DW14" s="13">
        <f>IF(預測IC!DW14&gt;預測IC!DW$26,1,0)</f>
        <v>0</v>
      </c>
      <c r="DX14" s="13">
        <f>IF(預測IC!DX14&gt;預測IC!DX$26,1,0)</f>
        <v>0</v>
      </c>
      <c r="DY14" s="13">
        <f>IF(預測IC!DY14&gt;預測IC!DY$26,1,0)</f>
        <v>1</v>
      </c>
      <c r="DZ14" s="13">
        <f>IF(預測IC!DZ14&gt;預測IC!DZ$26,1,0)</f>
        <v>1</v>
      </c>
      <c r="EA14" s="13">
        <f>IF(預測IC!EA14&gt;預測IC!EA$26,1,0)</f>
        <v>1</v>
      </c>
      <c r="EB14" s="13">
        <f>IF(預測IC!EB14&gt;預測IC!EB$26,1,0)</f>
        <v>0</v>
      </c>
      <c r="EC14" s="13">
        <f>IF(預測IC!EC14&gt;預測IC!EC$26,1,0)</f>
        <v>1</v>
      </c>
      <c r="ED14" s="13">
        <f>IF(預測IC!ED14&gt;預測IC!ED$26,1,0)</f>
        <v>0</v>
      </c>
      <c r="EE14" s="13">
        <f>IF(預測IC!EE14&gt;預測IC!EE$26,1,0)</f>
        <v>0</v>
      </c>
      <c r="EF14" s="13">
        <f>IF(預測IC!EF14&gt;預測IC!EF$26,1,0)</f>
        <v>1</v>
      </c>
      <c r="EG14" s="1">
        <f t="shared" si="10"/>
        <v>58</v>
      </c>
      <c r="EH14" s="20">
        <f t="shared" si="11"/>
        <v>0.43283582089552236</v>
      </c>
    </row>
    <row r="15" spans="1:138">
      <c r="A15" s="2">
        <v>100</v>
      </c>
      <c r="B15" s="2">
        <v>10</v>
      </c>
      <c r="C15" s="13">
        <f>IF(預測IC!C15&gt;預測IC!C$26,1,0)</f>
        <v>1</v>
      </c>
      <c r="D15" s="13">
        <f>IF(預測IC!D15&gt;預測IC!D$26,1,0)</f>
        <v>0</v>
      </c>
      <c r="E15" s="13">
        <f>IF(預測IC!E15&gt;預測IC!E$26,1,0)</f>
        <v>0</v>
      </c>
      <c r="F15" s="13">
        <f>IF(預測IC!F15&gt;預測IC!F$26,1,0)</f>
        <v>1</v>
      </c>
      <c r="G15" s="13">
        <f>IF(預測IC!G15&gt;預測IC!G$26,1,0)</f>
        <v>1</v>
      </c>
      <c r="H15" s="13">
        <f>IF(預測IC!H15&gt;預測IC!H$26,1,0)</f>
        <v>0</v>
      </c>
      <c r="I15" s="13">
        <f>IF(預測IC!I15&gt;預測IC!I$26,1,0)</f>
        <v>1</v>
      </c>
      <c r="J15" s="13">
        <f>IF(預測IC!J15&gt;預測IC!J$26,1,0)</f>
        <v>1</v>
      </c>
      <c r="K15" s="13">
        <f>IF(預測IC!K15&gt;預測IC!K$26,1,0)</f>
        <v>1</v>
      </c>
      <c r="L15" s="13">
        <f>IF(預測IC!L15&gt;預測IC!L$26,1,0)</f>
        <v>1</v>
      </c>
      <c r="M15" s="13">
        <f>IF(預測IC!M15&gt;預測IC!M$26,1,0)</f>
        <v>0</v>
      </c>
      <c r="N15" s="13">
        <f>IF(預測IC!N15&gt;預測IC!N$26,1,0)</f>
        <v>0</v>
      </c>
      <c r="O15" s="13">
        <f>IF(預測IC!O15&gt;預測IC!O$26,1,0)</f>
        <v>0</v>
      </c>
      <c r="P15" s="13">
        <f>IF(預測IC!P15&gt;預測IC!P$26,1,0)</f>
        <v>1</v>
      </c>
      <c r="Q15" s="13">
        <f>IF(預測IC!Q15&gt;預測IC!Q$26,1,0)</f>
        <v>1</v>
      </c>
      <c r="R15" s="13">
        <f>IF(預測IC!R15&gt;預測IC!R$26,1,0)</f>
        <v>1</v>
      </c>
      <c r="S15" s="13">
        <f>IF(預測IC!S15&gt;預測IC!S$26,1,0)</f>
        <v>1</v>
      </c>
      <c r="T15" s="13">
        <f>IF(預測IC!T15&gt;預測IC!T$26,1,0)</f>
        <v>0</v>
      </c>
      <c r="U15" s="13">
        <f>IF(預測IC!U15&gt;預測IC!U$26,1,0)</f>
        <v>0</v>
      </c>
      <c r="V15" s="13">
        <f>IF(預測IC!V15&gt;預測IC!V$26,1,0)</f>
        <v>0</v>
      </c>
      <c r="W15" s="13">
        <f>IF(預測IC!W15&gt;預測IC!W$26,1,0)</f>
        <v>0</v>
      </c>
      <c r="X15" s="13">
        <f>IF(預測IC!X15&gt;預測IC!X$26,1,0)</f>
        <v>0</v>
      </c>
      <c r="Y15" s="13">
        <f>IF(預測IC!Y15&gt;預測IC!Y$26,1,0)</f>
        <v>0</v>
      </c>
      <c r="Z15" s="13">
        <f>IF(預測IC!Z15&gt;預測IC!Z$26,1,0)</f>
        <v>0</v>
      </c>
      <c r="AA15" s="13">
        <f>IF(預測IC!AA15&gt;預測IC!AA$26,1,0)</f>
        <v>1</v>
      </c>
      <c r="AB15" s="13">
        <f>IF(預測IC!AB15&gt;預測IC!AB$26,1,0)</f>
        <v>0</v>
      </c>
      <c r="AC15" s="13">
        <f>IF(預測IC!AC15&gt;預測IC!AC$26,1,0)</f>
        <v>0</v>
      </c>
      <c r="AD15" s="13">
        <f>IF(預測IC!AD15&gt;預測IC!AD$26,1,0)</f>
        <v>0</v>
      </c>
      <c r="AE15" s="13">
        <f>IF(預測IC!AE15&gt;預測IC!AE$26,1,0)</f>
        <v>1</v>
      </c>
      <c r="AF15" s="13">
        <f>IF(預測IC!AF15&gt;預測IC!AF$26,1,0)</f>
        <v>0</v>
      </c>
      <c r="AG15" s="13">
        <f>IF(預測IC!AG15&gt;預測IC!AG$26,1,0)</f>
        <v>1</v>
      </c>
      <c r="AH15" s="13">
        <f>IF(預測IC!AH15&gt;預測IC!AH$26,1,0)</f>
        <v>1</v>
      </c>
      <c r="AI15" s="13">
        <f>IF(預測IC!AI15&gt;預測IC!AI$26,1,0)</f>
        <v>0</v>
      </c>
      <c r="AJ15" s="13">
        <f>IF(預測IC!AJ15&gt;預測IC!AJ$26,1,0)</f>
        <v>0</v>
      </c>
      <c r="AK15" s="13">
        <f>IF(預測IC!AK15&gt;預測IC!AK$26,1,0)</f>
        <v>0</v>
      </c>
      <c r="AL15" s="13">
        <f>IF(預測IC!AL15&gt;預測IC!AL$26,1,0)</f>
        <v>0</v>
      </c>
      <c r="AM15" s="13">
        <f>IF(預測IC!AM15&gt;預測IC!AM$26,1,0)</f>
        <v>0</v>
      </c>
      <c r="AN15" s="13">
        <f>IF(預測IC!AN15&gt;預測IC!AN$26,1,0)</f>
        <v>0</v>
      </c>
      <c r="AO15" s="13">
        <f>IF(預測IC!AO15&gt;預測IC!AO$26,1,0)</f>
        <v>0</v>
      </c>
      <c r="AP15" s="13">
        <f>IF(預測IC!AP15&gt;預測IC!AP$26,1,0)</f>
        <v>1</v>
      </c>
      <c r="AQ15" s="13">
        <f>IF(預測IC!AQ15&gt;預測IC!AQ$26,1,0)</f>
        <v>1</v>
      </c>
      <c r="AR15" s="13">
        <f>IF(預測IC!AR15&gt;預測IC!AR$26,1,0)</f>
        <v>0</v>
      </c>
      <c r="AS15" s="13">
        <f>IF(預測IC!AS15&gt;預測IC!AS$26,1,0)</f>
        <v>0</v>
      </c>
      <c r="AT15" s="13">
        <f>IF(預測IC!AT15&gt;預測IC!AT$26,1,0)</f>
        <v>1</v>
      </c>
      <c r="AU15" s="13">
        <f>IF(預測IC!AU15&gt;預測IC!AU$26,1,0)</f>
        <v>0</v>
      </c>
      <c r="AV15" s="13">
        <f>IF(預測IC!AV15&gt;預測IC!AV$26,1,0)</f>
        <v>0</v>
      </c>
      <c r="AW15" s="13">
        <f>IF(預測IC!AW15&gt;預測IC!AW$26,1,0)</f>
        <v>0</v>
      </c>
      <c r="AX15" s="13">
        <f>IF(預測IC!AX15&gt;預測IC!AX$26,1,0)</f>
        <v>0</v>
      </c>
      <c r="AY15" s="13">
        <f>IF(預測IC!AY15&gt;預測IC!AY$26,1,0)</f>
        <v>0</v>
      </c>
      <c r="AZ15" s="13">
        <f>IF(預測IC!AZ15&gt;預測IC!AZ$26,1,0)</f>
        <v>0</v>
      </c>
      <c r="BA15" s="13">
        <f>IF(預測IC!BA15&gt;預測IC!BA$26,1,0)</f>
        <v>1</v>
      </c>
      <c r="BB15" s="13">
        <f>IF(預測IC!BB15&gt;預測IC!BB$26,1,0)</f>
        <v>1</v>
      </c>
      <c r="BC15" s="13">
        <f>IF(預測IC!BC15&gt;預測IC!BC$26,1,0)</f>
        <v>1</v>
      </c>
      <c r="BD15" s="13">
        <f>IF(預測IC!BD15&gt;預測IC!BD$26,1,0)</f>
        <v>1</v>
      </c>
      <c r="BE15" s="13">
        <f>IF(預測IC!BE15&gt;預測IC!BE$26,1,0)</f>
        <v>0</v>
      </c>
      <c r="BF15" s="13">
        <f>IF(預測IC!BF15&gt;預測IC!BF$26,1,0)</f>
        <v>0</v>
      </c>
      <c r="BG15" s="13">
        <f>IF(預測IC!BG15&gt;預測IC!BG$26,1,0)</f>
        <v>1</v>
      </c>
      <c r="BH15" s="13">
        <f>IF(預測IC!BH15&gt;預測IC!BH$26,1,0)</f>
        <v>1</v>
      </c>
      <c r="BI15" s="13">
        <f>IF(預測IC!BI15&gt;預測IC!BI$26,1,0)</f>
        <v>1</v>
      </c>
      <c r="BJ15" s="13">
        <f>IF(預測IC!BJ15&gt;預測IC!BJ$26,1,0)</f>
        <v>1</v>
      </c>
      <c r="BK15" s="13">
        <f>IF(預測IC!BK15&gt;預測IC!BK$26,1,0)</f>
        <v>1</v>
      </c>
      <c r="BL15" s="13">
        <f>IF(預測IC!BL15&gt;預測IC!BL$26,1,0)</f>
        <v>0</v>
      </c>
      <c r="BM15" s="13">
        <f>IF(預測IC!BM15&gt;預測IC!BM$26,1,0)</f>
        <v>1</v>
      </c>
      <c r="BN15" s="13">
        <f>IF(預測IC!BN15&gt;預測IC!BN$26,1,0)</f>
        <v>0</v>
      </c>
      <c r="BO15" s="13">
        <f>IF(預測IC!BO15&gt;預測IC!BO$26,1,0)</f>
        <v>1</v>
      </c>
      <c r="BP15" s="13">
        <f>IF(預測IC!BP15&gt;預測IC!BP$26,1,0)</f>
        <v>0</v>
      </c>
      <c r="BQ15" s="13">
        <f>IF(預測IC!BQ15&gt;預測IC!BQ$26,1,0)</f>
        <v>0</v>
      </c>
      <c r="BR15" s="13">
        <f>IF(預測IC!BR15&gt;預測IC!BR$26,1,0)</f>
        <v>0</v>
      </c>
      <c r="BS15" s="13">
        <f>IF(預測IC!BS15&gt;預測IC!BS$26,1,0)</f>
        <v>0</v>
      </c>
      <c r="BT15" s="13">
        <f>IF(預測IC!BT15&gt;預測IC!BT$26,1,0)</f>
        <v>0</v>
      </c>
      <c r="BU15" s="13">
        <f>IF(預測IC!BU15&gt;預測IC!BU$26,1,0)</f>
        <v>0</v>
      </c>
      <c r="BV15" s="13">
        <f>IF(預測IC!BV15&gt;預測IC!BV$26,1,0)</f>
        <v>0</v>
      </c>
      <c r="BW15" s="13">
        <f>IF(預測IC!BW15&gt;預測IC!BW$26,1,0)</f>
        <v>0</v>
      </c>
      <c r="BX15" s="13">
        <f>IF(預測IC!BX15&gt;預測IC!BX$26,1,0)</f>
        <v>1</v>
      </c>
      <c r="BY15" s="13">
        <f>IF(預測IC!BY15&gt;預測IC!BY$26,1,0)</f>
        <v>1</v>
      </c>
      <c r="BZ15" s="13">
        <f>IF(預測IC!BZ15&gt;預測IC!BZ$26,1,0)</f>
        <v>0</v>
      </c>
      <c r="CA15" s="13">
        <f>IF(預測IC!CA15&gt;預測IC!CA$26,1,0)</f>
        <v>1</v>
      </c>
      <c r="CB15" s="13">
        <f>IF(預測IC!CB15&gt;預測IC!CB$26,1,0)</f>
        <v>1</v>
      </c>
      <c r="CC15" s="13">
        <f>IF(預測IC!CC15&gt;預測IC!CC$26,1,0)</f>
        <v>1</v>
      </c>
      <c r="CD15" s="13">
        <f>IF(預測IC!CD15&gt;預測IC!CD$26,1,0)</f>
        <v>1</v>
      </c>
      <c r="CE15" s="13">
        <f>IF(預測IC!CE15&gt;預測IC!CE$26,1,0)</f>
        <v>1</v>
      </c>
      <c r="CF15" s="13">
        <f>IF(預測IC!CF15&gt;預測IC!CF$26,1,0)</f>
        <v>0</v>
      </c>
      <c r="CG15" s="13">
        <f>IF(預測IC!CG15&gt;預測IC!CG$26,1,0)</f>
        <v>0</v>
      </c>
      <c r="CH15" s="13">
        <f>IF(預測IC!CH15&gt;預測IC!CH$26,1,0)</f>
        <v>0</v>
      </c>
      <c r="CI15" s="13">
        <f>IF(預測IC!CI15&gt;預測IC!CI$26,1,0)</f>
        <v>0</v>
      </c>
      <c r="CJ15" s="13">
        <f>IF(預測IC!CJ15&gt;預測IC!CJ$26,1,0)</f>
        <v>0</v>
      </c>
      <c r="CK15" s="13">
        <f>IF(預測IC!CK15&gt;預測IC!CK$26,1,0)</f>
        <v>1</v>
      </c>
      <c r="CL15" s="13">
        <f>IF(預測IC!CL15&gt;預測IC!CL$26,1,0)</f>
        <v>1</v>
      </c>
      <c r="CM15" s="13">
        <f>IF(預測IC!CM15&gt;預測IC!CM$26,1,0)</f>
        <v>0</v>
      </c>
      <c r="CN15" s="13">
        <f>IF(預測IC!CN15&gt;預測IC!CN$26,1,0)</f>
        <v>0</v>
      </c>
      <c r="CO15" s="13">
        <f>IF(預測IC!CO15&gt;預測IC!CO$26,1,0)</f>
        <v>0</v>
      </c>
      <c r="CP15" s="13">
        <f>IF(預測IC!CP15&gt;預測IC!CP$26,1,0)</f>
        <v>0</v>
      </c>
      <c r="CQ15" s="13">
        <f>IF(預測IC!CQ15&gt;預測IC!CQ$26,1,0)</f>
        <v>1</v>
      </c>
      <c r="CR15" s="13">
        <f>IF(預測IC!CR15&gt;預測IC!CR$26,1,0)</f>
        <v>1</v>
      </c>
      <c r="CS15" s="13">
        <f>IF(預測IC!CS15&gt;預測IC!CS$26,1,0)</f>
        <v>0</v>
      </c>
      <c r="CT15" s="13">
        <f>IF(預測IC!CT15&gt;預測IC!CT$26,1,0)</f>
        <v>0</v>
      </c>
      <c r="CU15" s="13">
        <f>IF(預測IC!CU15&gt;預測IC!CU$26,1,0)</f>
        <v>0</v>
      </c>
      <c r="CV15" s="13">
        <f>IF(預測IC!CV15&gt;預測IC!CV$26,1,0)</f>
        <v>1</v>
      </c>
      <c r="CW15" s="13">
        <f>IF(預測IC!CW15&gt;預測IC!CW$26,1,0)</f>
        <v>1</v>
      </c>
      <c r="CX15" s="13">
        <f>IF(預測IC!CX15&gt;預測IC!CX$26,1,0)</f>
        <v>1</v>
      </c>
      <c r="CY15" s="13">
        <f>IF(預測IC!CY15&gt;預測IC!CY$26,1,0)</f>
        <v>1</v>
      </c>
      <c r="CZ15" s="13">
        <f>IF(預測IC!CZ15&gt;預測IC!CZ$26,1,0)</f>
        <v>1</v>
      </c>
      <c r="DA15" s="13">
        <f>IF(預測IC!DA15&gt;預測IC!DA$26,1,0)</f>
        <v>1</v>
      </c>
      <c r="DB15" s="13">
        <f>IF(預測IC!DB15&gt;預測IC!DB$26,1,0)</f>
        <v>1</v>
      </c>
      <c r="DC15" s="13">
        <f>IF(預測IC!DC15&gt;預測IC!DC$26,1,0)</f>
        <v>1</v>
      </c>
      <c r="DD15" s="13">
        <f>IF(預測IC!DD15&gt;預測IC!DD$26,1,0)</f>
        <v>0</v>
      </c>
      <c r="DE15" s="13">
        <f>IF(預測IC!DE15&gt;預測IC!DE$26,1,0)</f>
        <v>0</v>
      </c>
      <c r="DF15" s="13">
        <f>IF(預測IC!DF15&gt;預測IC!DF$26,1,0)</f>
        <v>1</v>
      </c>
      <c r="DG15" s="13">
        <f>IF(預測IC!DG15&gt;預測IC!DG$26,1,0)</f>
        <v>0</v>
      </c>
      <c r="DH15" s="13">
        <f>IF(預測IC!DH15&gt;預測IC!DH$26,1,0)</f>
        <v>1</v>
      </c>
      <c r="DI15" s="13">
        <f>IF(預測IC!DI15&gt;預測IC!DI$26,1,0)</f>
        <v>1</v>
      </c>
      <c r="DJ15" s="13">
        <f>IF(預測IC!DJ15&gt;預測IC!DJ$26,1,0)</f>
        <v>0</v>
      </c>
      <c r="DK15" s="13">
        <f>IF(預測IC!DK15&gt;預測IC!DK$26,1,0)</f>
        <v>1</v>
      </c>
      <c r="DL15" s="13">
        <f>IF(預測IC!DL15&gt;預測IC!DL$26,1,0)</f>
        <v>0</v>
      </c>
      <c r="DM15" s="13">
        <f>IF(預測IC!DM15&gt;預測IC!DM$26,1,0)</f>
        <v>0</v>
      </c>
      <c r="DN15" s="13">
        <f>IF(預測IC!DN15&gt;預測IC!DN$26,1,0)</f>
        <v>0</v>
      </c>
      <c r="DO15" s="13">
        <f>IF(預測IC!DO15&gt;預測IC!DO$26,1,0)</f>
        <v>0</v>
      </c>
      <c r="DP15" s="13">
        <f>IF(預測IC!DP15&gt;預測IC!DP$26,1,0)</f>
        <v>0</v>
      </c>
      <c r="DQ15" s="13">
        <f>IF(預測IC!DQ15&gt;預測IC!DQ$26,1,0)</f>
        <v>0</v>
      </c>
      <c r="DR15" s="13">
        <f>IF(預測IC!DR15&gt;預測IC!DR$26,1,0)</f>
        <v>1</v>
      </c>
      <c r="DS15" s="13">
        <f>IF(預測IC!DS15&gt;預測IC!DS$26,1,0)</f>
        <v>1</v>
      </c>
      <c r="DT15" s="13">
        <f>IF(預測IC!DT15&gt;預測IC!DT$26,1,0)</f>
        <v>0</v>
      </c>
      <c r="DU15" s="13">
        <f>IF(預測IC!DU15&gt;預測IC!DU$26,1,0)</f>
        <v>0</v>
      </c>
      <c r="DV15" s="13">
        <f>IF(預測IC!DV15&gt;預測IC!DV$26,1,0)</f>
        <v>0</v>
      </c>
      <c r="DW15" s="13">
        <f>IF(預測IC!DW15&gt;預測IC!DW$26,1,0)</f>
        <v>0</v>
      </c>
      <c r="DX15" s="13">
        <f>IF(預測IC!DX15&gt;預測IC!DX$26,1,0)</f>
        <v>0</v>
      </c>
      <c r="DY15" s="13">
        <f>IF(預測IC!DY15&gt;預測IC!DY$26,1,0)</f>
        <v>0</v>
      </c>
      <c r="DZ15" s="13">
        <f>IF(預測IC!DZ15&gt;預測IC!DZ$26,1,0)</f>
        <v>1</v>
      </c>
      <c r="EA15" s="13">
        <f>IF(預測IC!EA15&gt;預測IC!EA$26,1,0)</f>
        <v>1</v>
      </c>
      <c r="EB15" s="13">
        <f>IF(預測IC!EB15&gt;預測IC!EB$26,1,0)</f>
        <v>0</v>
      </c>
      <c r="EC15" s="13">
        <f>IF(預測IC!EC15&gt;預測IC!EC$26,1,0)</f>
        <v>1</v>
      </c>
      <c r="ED15" s="13">
        <f>IF(預測IC!ED15&gt;預測IC!ED$26,1,0)</f>
        <v>0</v>
      </c>
      <c r="EE15" s="13">
        <f>IF(預測IC!EE15&gt;預測IC!EE$26,1,0)</f>
        <v>0</v>
      </c>
      <c r="EF15" s="13">
        <f>IF(預測IC!EF15&gt;預測IC!EF$26,1,0)</f>
        <v>1</v>
      </c>
      <c r="EG15" s="1">
        <f t="shared" si="10"/>
        <v>58</v>
      </c>
      <c r="EH15" s="20">
        <f t="shared" si="11"/>
        <v>0.43283582089552236</v>
      </c>
    </row>
    <row r="16" spans="1:138">
      <c r="A16" s="2">
        <v>107</v>
      </c>
      <c r="B16" s="2">
        <v>9</v>
      </c>
      <c r="C16" s="13">
        <f>IF(預測IC!C16&gt;預測IC!C$26,1,0)</f>
        <v>1</v>
      </c>
      <c r="D16" s="13">
        <f>IF(預測IC!D16&gt;預測IC!D$26,1,0)</f>
        <v>0</v>
      </c>
      <c r="E16" s="13">
        <f>IF(預測IC!E16&gt;預測IC!E$26,1,0)</f>
        <v>0</v>
      </c>
      <c r="F16" s="13">
        <f>IF(預測IC!F16&gt;預測IC!F$26,1,0)</f>
        <v>1</v>
      </c>
      <c r="G16" s="13">
        <f>IF(預測IC!G16&gt;預測IC!G$26,1,0)</f>
        <v>0</v>
      </c>
      <c r="H16" s="13">
        <f>IF(預測IC!H16&gt;預測IC!H$26,1,0)</f>
        <v>0</v>
      </c>
      <c r="I16" s="13">
        <f>IF(預測IC!I16&gt;預測IC!I$26,1,0)</f>
        <v>1</v>
      </c>
      <c r="J16" s="13">
        <f>IF(預測IC!J16&gt;預測IC!J$26,1,0)</f>
        <v>1</v>
      </c>
      <c r="K16" s="13">
        <f>IF(預測IC!K16&gt;預測IC!K$26,1,0)</f>
        <v>1</v>
      </c>
      <c r="L16" s="13">
        <f>IF(預測IC!L16&gt;預測IC!L$26,1,0)</f>
        <v>1</v>
      </c>
      <c r="M16" s="13">
        <f>IF(預測IC!M16&gt;預測IC!M$26,1,0)</f>
        <v>0</v>
      </c>
      <c r="N16" s="13">
        <f>IF(預測IC!N16&gt;預測IC!N$26,1,0)</f>
        <v>0</v>
      </c>
      <c r="O16" s="13">
        <f>IF(預測IC!O16&gt;預測IC!O$26,1,0)</f>
        <v>0</v>
      </c>
      <c r="P16" s="13">
        <f>IF(預測IC!P16&gt;預測IC!P$26,1,0)</f>
        <v>1</v>
      </c>
      <c r="Q16" s="13">
        <f>IF(預測IC!Q16&gt;預測IC!Q$26,1,0)</f>
        <v>1</v>
      </c>
      <c r="R16" s="13">
        <f>IF(預測IC!R16&gt;預測IC!R$26,1,0)</f>
        <v>1</v>
      </c>
      <c r="S16" s="13">
        <f>IF(預測IC!S16&gt;預測IC!S$26,1,0)</f>
        <v>1</v>
      </c>
      <c r="T16" s="13">
        <f>IF(預測IC!T16&gt;預測IC!T$26,1,0)</f>
        <v>1</v>
      </c>
      <c r="U16" s="13">
        <f>IF(預測IC!U16&gt;預測IC!U$26,1,0)</f>
        <v>0</v>
      </c>
      <c r="V16" s="13">
        <f>IF(預測IC!V16&gt;預測IC!V$26,1,0)</f>
        <v>0</v>
      </c>
      <c r="W16" s="13">
        <f>IF(預測IC!W16&gt;預測IC!W$26,1,0)</f>
        <v>0</v>
      </c>
      <c r="X16" s="13">
        <f>IF(預測IC!X16&gt;預測IC!X$26,1,0)</f>
        <v>0</v>
      </c>
      <c r="Y16" s="13">
        <f>IF(預測IC!Y16&gt;預測IC!Y$26,1,0)</f>
        <v>0</v>
      </c>
      <c r="Z16" s="13">
        <f>IF(預測IC!Z16&gt;預測IC!Z$26,1,0)</f>
        <v>0</v>
      </c>
      <c r="AA16" s="13">
        <f>IF(預測IC!AA16&gt;預測IC!AA$26,1,0)</f>
        <v>1</v>
      </c>
      <c r="AB16" s="13">
        <f>IF(預測IC!AB16&gt;預測IC!AB$26,1,0)</f>
        <v>1</v>
      </c>
      <c r="AC16" s="13">
        <f>IF(預測IC!AC16&gt;預測IC!AC$26,1,0)</f>
        <v>0</v>
      </c>
      <c r="AD16" s="13">
        <f>IF(預測IC!AD16&gt;預測IC!AD$26,1,0)</f>
        <v>0</v>
      </c>
      <c r="AE16" s="13">
        <f>IF(預測IC!AE16&gt;預測IC!AE$26,1,0)</f>
        <v>1</v>
      </c>
      <c r="AF16" s="13">
        <f>IF(預測IC!AF16&gt;預測IC!AF$26,1,0)</f>
        <v>0</v>
      </c>
      <c r="AG16" s="13">
        <f>IF(預測IC!AG16&gt;預測IC!AG$26,1,0)</f>
        <v>1</v>
      </c>
      <c r="AH16" s="13">
        <f>IF(預測IC!AH16&gt;預測IC!AH$26,1,0)</f>
        <v>1</v>
      </c>
      <c r="AI16" s="13">
        <f>IF(預測IC!AI16&gt;預測IC!AI$26,1,0)</f>
        <v>0</v>
      </c>
      <c r="AJ16" s="13">
        <f>IF(預測IC!AJ16&gt;預測IC!AJ$26,1,0)</f>
        <v>0</v>
      </c>
      <c r="AK16" s="13">
        <f>IF(預測IC!AK16&gt;預測IC!AK$26,1,0)</f>
        <v>0</v>
      </c>
      <c r="AL16" s="13">
        <f>IF(預測IC!AL16&gt;預測IC!AL$26,1,0)</f>
        <v>0</v>
      </c>
      <c r="AM16" s="13">
        <f>IF(預測IC!AM16&gt;預測IC!AM$26,1,0)</f>
        <v>0</v>
      </c>
      <c r="AN16" s="13">
        <f>IF(預測IC!AN16&gt;預測IC!AN$26,1,0)</f>
        <v>0</v>
      </c>
      <c r="AO16" s="13">
        <f>IF(預測IC!AO16&gt;預測IC!AO$26,1,0)</f>
        <v>0</v>
      </c>
      <c r="AP16" s="13">
        <f>IF(預測IC!AP16&gt;預測IC!AP$26,1,0)</f>
        <v>1</v>
      </c>
      <c r="AQ16" s="13">
        <f>IF(預測IC!AQ16&gt;預測IC!AQ$26,1,0)</f>
        <v>1</v>
      </c>
      <c r="AR16" s="13">
        <f>IF(預測IC!AR16&gt;預測IC!AR$26,1,0)</f>
        <v>0</v>
      </c>
      <c r="AS16" s="13">
        <f>IF(預測IC!AS16&gt;預測IC!AS$26,1,0)</f>
        <v>0</v>
      </c>
      <c r="AT16" s="13">
        <f>IF(預測IC!AT16&gt;預測IC!AT$26,1,0)</f>
        <v>1</v>
      </c>
      <c r="AU16" s="13">
        <f>IF(預測IC!AU16&gt;預測IC!AU$26,1,0)</f>
        <v>0</v>
      </c>
      <c r="AV16" s="13">
        <f>IF(預測IC!AV16&gt;預測IC!AV$26,1,0)</f>
        <v>1</v>
      </c>
      <c r="AW16" s="13">
        <f>IF(預測IC!AW16&gt;預測IC!AW$26,1,0)</f>
        <v>0</v>
      </c>
      <c r="AX16" s="13">
        <f>IF(預測IC!AX16&gt;預測IC!AX$26,1,0)</f>
        <v>0</v>
      </c>
      <c r="AY16" s="13">
        <f>IF(預測IC!AY16&gt;預測IC!AY$26,1,0)</f>
        <v>0</v>
      </c>
      <c r="AZ16" s="13">
        <f>IF(預測IC!AZ16&gt;預測IC!AZ$26,1,0)</f>
        <v>0</v>
      </c>
      <c r="BA16" s="13">
        <f>IF(預測IC!BA16&gt;預測IC!BA$26,1,0)</f>
        <v>0</v>
      </c>
      <c r="BB16" s="13">
        <f>IF(預測IC!BB16&gt;預測IC!BB$26,1,0)</f>
        <v>1</v>
      </c>
      <c r="BC16" s="13">
        <f>IF(預測IC!BC16&gt;預測IC!BC$26,1,0)</f>
        <v>1</v>
      </c>
      <c r="BD16" s="13">
        <f>IF(預測IC!BD16&gt;預測IC!BD$26,1,0)</f>
        <v>1</v>
      </c>
      <c r="BE16" s="13">
        <f>IF(預測IC!BE16&gt;預測IC!BE$26,1,0)</f>
        <v>0</v>
      </c>
      <c r="BF16" s="13">
        <f>IF(預測IC!BF16&gt;預測IC!BF$26,1,0)</f>
        <v>0</v>
      </c>
      <c r="BG16" s="13">
        <f>IF(預測IC!BG16&gt;預測IC!BG$26,1,0)</f>
        <v>1</v>
      </c>
      <c r="BH16" s="13">
        <f>IF(預測IC!BH16&gt;預測IC!BH$26,1,0)</f>
        <v>1</v>
      </c>
      <c r="BI16" s="13">
        <f>IF(預測IC!BI16&gt;預測IC!BI$26,1,0)</f>
        <v>1</v>
      </c>
      <c r="BJ16" s="13">
        <f>IF(預測IC!BJ16&gt;預測IC!BJ$26,1,0)</f>
        <v>1</v>
      </c>
      <c r="BK16" s="13">
        <f>IF(預測IC!BK16&gt;預測IC!BK$26,1,0)</f>
        <v>1</v>
      </c>
      <c r="BL16" s="13">
        <f>IF(預測IC!BL16&gt;預測IC!BL$26,1,0)</f>
        <v>0</v>
      </c>
      <c r="BM16" s="13">
        <f>IF(預測IC!BM16&gt;預測IC!BM$26,1,0)</f>
        <v>1</v>
      </c>
      <c r="BN16" s="13">
        <f>IF(預測IC!BN16&gt;預測IC!BN$26,1,0)</f>
        <v>0</v>
      </c>
      <c r="BO16" s="13">
        <f>IF(預測IC!BO16&gt;預測IC!BO$26,1,0)</f>
        <v>1</v>
      </c>
      <c r="BP16" s="13">
        <f>IF(預測IC!BP16&gt;預測IC!BP$26,1,0)</f>
        <v>0</v>
      </c>
      <c r="BQ16" s="13">
        <f>IF(預測IC!BQ16&gt;預測IC!BQ$26,1,0)</f>
        <v>0</v>
      </c>
      <c r="BR16" s="13">
        <f>IF(預測IC!BR16&gt;預測IC!BR$26,1,0)</f>
        <v>0</v>
      </c>
      <c r="BS16" s="13">
        <f>IF(預測IC!BS16&gt;預測IC!BS$26,1,0)</f>
        <v>0</v>
      </c>
      <c r="BT16" s="13">
        <f>IF(預測IC!BT16&gt;預測IC!BT$26,1,0)</f>
        <v>0</v>
      </c>
      <c r="BU16" s="13">
        <f>IF(預測IC!BU16&gt;預測IC!BU$26,1,0)</f>
        <v>0</v>
      </c>
      <c r="BV16" s="13">
        <f>IF(預測IC!BV16&gt;預測IC!BV$26,1,0)</f>
        <v>0</v>
      </c>
      <c r="BW16" s="13">
        <f>IF(預測IC!BW16&gt;預測IC!BW$26,1,0)</f>
        <v>0</v>
      </c>
      <c r="BX16" s="13">
        <f>IF(預測IC!BX16&gt;預測IC!BX$26,1,0)</f>
        <v>1</v>
      </c>
      <c r="BY16" s="13">
        <f>IF(預測IC!BY16&gt;預測IC!BY$26,1,0)</f>
        <v>1</v>
      </c>
      <c r="BZ16" s="13">
        <f>IF(預測IC!BZ16&gt;預測IC!BZ$26,1,0)</f>
        <v>0</v>
      </c>
      <c r="CA16" s="13">
        <f>IF(預測IC!CA16&gt;預測IC!CA$26,1,0)</f>
        <v>1</v>
      </c>
      <c r="CB16" s="13">
        <f>IF(預測IC!CB16&gt;預測IC!CB$26,1,0)</f>
        <v>1</v>
      </c>
      <c r="CC16" s="13">
        <f>IF(預測IC!CC16&gt;預測IC!CC$26,1,0)</f>
        <v>0</v>
      </c>
      <c r="CD16" s="13">
        <f>IF(預測IC!CD16&gt;預測IC!CD$26,1,0)</f>
        <v>1</v>
      </c>
      <c r="CE16" s="13">
        <f>IF(預測IC!CE16&gt;預測IC!CE$26,1,0)</f>
        <v>1</v>
      </c>
      <c r="CF16" s="13">
        <f>IF(預測IC!CF16&gt;預測IC!CF$26,1,0)</f>
        <v>0</v>
      </c>
      <c r="CG16" s="13">
        <f>IF(預測IC!CG16&gt;預測IC!CG$26,1,0)</f>
        <v>0</v>
      </c>
      <c r="CH16" s="13">
        <f>IF(預測IC!CH16&gt;預測IC!CH$26,1,0)</f>
        <v>0</v>
      </c>
      <c r="CI16" s="13">
        <f>IF(預測IC!CI16&gt;預測IC!CI$26,1,0)</f>
        <v>0</v>
      </c>
      <c r="CJ16" s="13">
        <f>IF(預測IC!CJ16&gt;預測IC!CJ$26,1,0)</f>
        <v>0</v>
      </c>
      <c r="CK16" s="13">
        <f>IF(預測IC!CK16&gt;預測IC!CK$26,1,0)</f>
        <v>1</v>
      </c>
      <c r="CL16" s="13">
        <f>IF(預測IC!CL16&gt;預測IC!CL$26,1,0)</f>
        <v>1</v>
      </c>
      <c r="CM16" s="13">
        <f>IF(預測IC!CM16&gt;預測IC!CM$26,1,0)</f>
        <v>1</v>
      </c>
      <c r="CN16" s="13">
        <f>IF(預測IC!CN16&gt;預測IC!CN$26,1,0)</f>
        <v>0</v>
      </c>
      <c r="CO16" s="13">
        <f>IF(預測IC!CO16&gt;預測IC!CO$26,1,0)</f>
        <v>0</v>
      </c>
      <c r="CP16" s="13">
        <f>IF(預測IC!CP16&gt;預測IC!CP$26,1,0)</f>
        <v>0</v>
      </c>
      <c r="CQ16" s="13">
        <f>IF(預測IC!CQ16&gt;預測IC!CQ$26,1,0)</f>
        <v>1</v>
      </c>
      <c r="CR16" s="13">
        <f>IF(預測IC!CR16&gt;預測IC!CR$26,1,0)</f>
        <v>1</v>
      </c>
      <c r="CS16" s="13">
        <f>IF(預測IC!CS16&gt;預測IC!CS$26,1,0)</f>
        <v>0</v>
      </c>
      <c r="CT16" s="13">
        <f>IF(預測IC!CT16&gt;預測IC!CT$26,1,0)</f>
        <v>0</v>
      </c>
      <c r="CU16" s="13">
        <f>IF(預測IC!CU16&gt;預測IC!CU$26,1,0)</f>
        <v>0</v>
      </c>
      <c r="CV16" s="13">
        <f>IF(預測IC!CV16&gt;預測IC!CV$26,1,0)</f>
        <v>1</v>
      </c>
      <c r="CW16" s="13">
        <f>IF(預測IC!CW16&gt;預測IC!CW$26,1,0)</f>
        <v>1</v>
      </c>
      <c r="CX16" s="13">
        <f>IF(預測IC!CX16&gt;預測IC!CX$26,1,0)</f>
        <v>1</v>
      </c>
      <c r="CY16" s="13">
        <f>IF(預測IC!CY16&gt;預測IC!CY$26,1,0)</f>
        <v>1</v>
      </c>
      <c r="CZ16" s="13">
        <f>IF(預測IC!CZ16&gt;預測IC!CZ$26,1,0)</f>
        <v>1</v>
      </c>
      <c r="DA16" s="13">
        <f>IF(預測IC!DA16&gt;預測IC!DA$26,1,0)</f>
        <v>1</v>
      </c>
      <c r="DB16" s="13">
        <f>IF(預測IC!DB16&gt;預測IC!DB$26,1,0)</f>
        <v>1</v>
      </c>
      <c r="DC16" s="13">
        <f>IF(預測IC!DC16&gt;預測IC!DC$26,1,0)</f>
        <v>1</v>
      </c>
      <c r="DD16" s="13">
        <f>IF(預測IC!DD16&gt;預測IC!DD$26,1,0)</f>
        <v>0</v>
      </c>
      <c r="DE16" s="13">
        <f>IF(預測IC!DE16&gt;預測IC!DE$26,1,0)</f>
        <v>0</v>
      </c>
      <c r="DF16" s="13">
        <f>IF(預測IC!DF16&gt;預測IC!DF$26,1,0)</f>
        <v>1</v>
      </c>
      <c r="DG16" s="13">
        <f>IF(預測IC!DG16&gt;預測IC!DG$26,1,0)</f>
        <v>0</v>
      </c>
      <c r="DH16" s="13">
        <f>IF(預測IC!DH16&gt;預測IC!DH$26,1,0)</f>
        <v>1</v>
      </c>
      <c r="DI16" s="13">
        <f>IF(預測IC!DI16&gt;預測IC!DI$26,1,0)</f>
        <v>1</v>
      </c>
      <c r="DJ16" s="13">
        <f>IF(預測IC!DJ16&gt;預測IC!DJ$26,1,0)</f>
        <v>0</v>
      </c>
      <c r="DK16" s="13">
        <f>IF(預測IC!DK16&gt;預測IC!DK$26,1,0)</f>
        <v>1</v>
      </c>
      <c r="DL16" s="13">
        <f>IF(預測IC!DL16&gt;預測IC!DL$26,1,0)</f>
        <v>0</v>
      </c>
      <c r="DM16" s="13">
        <f>IF(預測IC!DM16&gt;預測IC!DM$26,1,0)</f>
        <v>0</v>
      </c>
      <c r="DN16" s="13">
        <f>IF(預測IC!DN16&gt;預測IC!DN$26,1,0)</f>
        <v>0</v>
      </c>
      <c r="DO16" s="13">
        <f>IF(預測IC!DO16&gt;預測IC!DO$26,1,0)</f>
        <v>0</v>
      </c>
      <c r="DP16" s="13">
        <f>IF(預測IC!DP16&gt;預測IC!DP$26,1,0)</f>
        <v>0</v>
      </c>
      <c r="DQ16" s="13">
        <f>IF(預測IC!DQ16&gt;預測IC!DQ$26,1,0)</f>
        <v>0</v>
      </c>
      <c r="DR16" s="13">
        <f>IF(預測IC!DR16&gt;預測IC!DR$26,1,0)</f>
        <v>1</v>
      </c>
      <c r="DS16" s="13">
        <f>IF(預測IC!DS16&gt;預測IC!DS$26,1,0)</f>
        <v>0</v>
      </c>
      <c r="DT16" s="13">
        <f>IF(預測IC!DT16&gt;預測IC!DT$26,1,0)</f>
        <v>0</v>
      </c>
      <c r="DU16" s="13">
        <f>IF(預測IC!DU16&gt;預測IC!DU$26,1,0)</f>
        <v>0</v>
      </c>
      <c r="DV16" s="13">
        <f>IF(預測IC!DV16&gt;預測IC!DV$26,1,0)</f>
        <v>0</v>
      </c>
      <c r="DW16" s="13">
        <f>IF(預測IC!DW16&gt;預測IC!DW$26,1,0)</f>
        <v>0</v>
      </c>
      <c r="DX16" s="13">
        <f>IF(預測IC!DX16&gt;預測IC!DX$26,1,0)</f>
        <v>0</v>
      </c>
      <c r="DY16" s="13">
        <f>IF(預測IC!DY16&gt;預測IC!DY$26,1,0)</f>
        <v>0</v>
      </c>
      <c r="DZ16" s="13">
        <f>IF(預測IC!DZ16&gt;預測IC!DZ$26,1,0)</f>
        <v>1</v>
      </c>
      <c r="EA16" s="13">
        <f>IF(預測IC!EA16&gt;預測IC!EA$26,1,0)</f>
        <v>1</v>
      </c>
      <c r="EB16" s="13">
        <f>IF(預測IC!EB16&gt;預測IC!EB$26,1,0)</f>
        <v>0</v>
      </c>
      <c r="EC16" s="13">
        <f>IF(預測IC!EC16&gt;預測IC!EC$26,1,0)</f>
        <v>0</v>
      </c>
      <c r="ED16" s="13">
        <f>IF(預測IC!ED16&gt;預測IC!ED$26,1,0)</f>
        <v>0</v>
      </c>
      <c r="EE16" s="13">
        <f>IF(預測IC!EE16&gt;預測IC!EE$26,1,0)</f>
        <v>0</v>
      </c>
      <c r="EF16" s="13">
        <f>IF(預測IC!EF16&gt;預測IC!EF$26,1,0)</f>
        <v>1</v>
      </c>
      <c r="EG16" s="1">
        <f t="shared" si="10"/>
        <v>57</v>
      </c>
      <c r="EH16" s="20">
        <f t="shared" si="11"/>
        <v>0.42537313432835822</v>
      </c>
    </row>
    <row r="17" spans="1:138">
      <c r="A17" s="2">
        <v>120</v>
      </c>
      <c r="B17" s="2">
        <v>8</v>
      </c>
      <c r="C17" s="13">
        <f>IF(預測IC!C17&gt;預測IC!C$26,1,0)</f>
        <v>1</v>
      </c>
      <c r="D17" s="13">
        <f>IF(預測IC!D17&gt;預測IC!D$26,1,0)</f>
        <v>0</v>
      </c>
      <c r="E17" s="13">
        <f>IF(預測IC!E17&gt;預測IC!E$26,1,0)</f>
        <v>0</v>
      </c>
      <c r="F17" s="13">
        <f>IF(預測IC!F17&gt;預測IC!F$26,1,0)</f>
        <v>1</v>
      </c>
      <c r="G17" s="13">
        <f>IF(預測IC!G17&gt;預測IC!G$26,1,0)</f>
        <v>1</v>
      </c>
      <c r="H17" s="13">
        <f>IF(預測IC!H17&gt;預測IC!H$26,1,0)</f>
        <v>0</v>
      </c>
      <c r="I17" s="13">
        <f>IF(預測IC!I17&gt;預測IC!I$26,1,0)</f>
        <v>1</v>
      </c>
      <c r="J17" s="13">
        <f>IF(預測IC!J17&gt;預測IC!J$26,1,0)</f>
        <v>1</v>
      </c>
      <c r="K17" s="13">
        <f>IF(預測IC!K17&gt;預測IC!K$26,1,0)</f>
        <v>1</v>
      </c>
      <c r="L17" s="13">
        <f>IF(預測IC!L17&gt;預測IC!L$26,1,0)</f>
        <v>1</v>
      </c>
      <c r="M17" s="13">
        <f>IF(預測IC!M17&gt;預測IC!M$26,1,0)</f>
        <v>0</v>
      </c>
      <c r="N17" s="13">
        <f>IF(預測IC!N17&gt;預測IC!N$26,1,0)</f>
        <v>0</v>
      </c>
      <c r="O17" s="13">
        <f>IF(預測IC!O17&gt;預測IC!O$26,1,0)</f>
        <v>0</v>
      </c>
      <c r="P17" s="13">
        <f>IF(預測IC!P17&gt;預測IC!P$26,1,0)</f>
        <v>1</v>
      </c>
      <c r="Q17" s="13">
        <f>IF(預測IC!Q17&gt;預測IC!Q$26,1,0)</f>
        <v>1</v>
      </c>
      <c r="R17" s="13">
        <f>IF(預測IC!R17&gt;預測IC!R$26,1,0)</f>
        <v>1</v>
      </c>
      <c r="S17" s="13">
        <f>IF(預測IC!S17&gt;預測IC!S$26,1,0)</f>
        <v>1</v>
      </c>
      <c r="T17" s="13">
        <f>IF(預測IC!T17&gt;預測IC!T$26,1,0)</f>
        <v>1</v>
      </c>
      <c r="U17" s="13">
        <f>IF(預測IC!U17&gt;預測IC!U$26,1,0)</f>
        <v>1</v>
      </c>
      <c r="V17" s="13">
        <f>IF(預測IC!V17&gt;預測IC!V$26,1,0)</f>
        <v>0</v>
      </c>
      <c r="W17" s="13">
        <f>IF(預測IC!W17&gt;預測IC!W$26,1,0)</f>
        <v>0</v>
      </c>
      <c r="X17" s="13">
        <f>IF(預測IC!X17&gt;預測IC!X$26,1,0)</f>
        <v>0</v>
      </c>
      <c r="Y17" s="13">
        <f>IF(預測IC!Y17&gt;預測IC!Y$26,1,0)</f>
        <v>0</v>
      </c>
      <c r="Z17" s="13">
        <f>IF(預測IC!Z17&gt;預測IC!Z$26,1,0)</f>
        <v>0</v>
      </c>
      <c r="AA17" s="13">
        <f>IF(預測IC!AA17&gt;預測IC!AA$26,1,0)</f>
        <v>1</v>
      </c>
      <c r="AB17" s="13">
        <f>IF(預測IC!AB17&gt;預測IC!AB$26,1,0)</f>
        <v>1</v>
      </c>
      <c r="AC17" s="13">
        <f>IF(預測IC!AC17&gt;預測IC!AC$26,1,0)</f>
        <v>0</v>
      </c>
      <c r="AD17" s="13">
        <f>IF(預測IC!AD17&gt;預測IC!AD$26,1,0)</f>
        <v>0</v>
      </c>
      <c r="AE17" s="13">
        <f>IF(預測IC!AE17&gt;預測IC!AE$26,1,0)</f>
        <v>1</v>
      </c>
      <c r="AF17" s="13">
        <f>IF(預測IC!AF17&gt;預測IC!AF$26,1,0)</f>
        <v>0</v>
      </c>
      <c r="AG17" s="13">
        <f>IF(預測IC!AG17&gt;預測IC!AG$26,1,0)</f>
        <v>1</v>
      </c>
      <c r="AH17" s="13">
        <f>IF(預測IC!AH17&gt;預測IC!AH$26,1,0)</f>
        <v>1</v>
      </c>
      <c r="AI17" s="13">
        <f>IF(預測IC!AI17&gt;預測IC!AI$26,1,0)</f>
        <v>0</v>
      </c>
      <c r="AJ17" s="13">
        <f>IF(預測IC!AJ17&gt;預測IC!AJ$26,1,0)</f>
        <v>1</v>
      </c>
      <c r="AK17" s="13">
        <f>IF(預測IC!AK17&gt;預測IC!AK$26,1,0)</f>
        <v>0</v>
      </c>
      <c r="AL17" s="13">
        <f>IF(預測IC!AL17&gt;預測IC!AL$26,1,0)</f>
        <v>0</v>
      </c>
      <c r="AM17" s="13">
        <f>IF(預測IC!AM17&gt;預測IC!AM$26,1,0)</f>
        <v>0</v>
      </c>
      <c r="AN17" s="13">
        <f>IF(預測IC!AN17&gt;預測IC!AN$26,1,0)</f>
        <v>0</v>
      </c>
      <c r="AO17" s="13">
        <f>IF(預測IC!AO17&gt;預測IC!AO$26,1,0)</f>
        <v>0</v>
      </c>
      <c r="AP17" s="13">
        <f>IF(預測IC!AP17&gt;預測IC!AP$26,1,0)</f>
        <v>1</v>
      </c>
      <c r="AQ17" s="13">
        <f>IF(預測IC!AQ17&gt;預測IC!AQ$26,1,0)</f>
        <v>1</v>
      </c>
      <c r="AR17" s="13">
        <f>IF(預測IC!AR17&gt;預測IC!AR$26,1,0)</f>
        <v>1</v>
      </c>
      <c r="AS17" s="13">
        <f>IF(預測IC!AS17&gt;預測IC!AS$26,1,0)</f>
        <v>0</v>
      </c>
      <c r="AT17" s="13">
        <f>IF(預測IC!AT17&gt;預測IC!AT$26,1,0)</f>
        <v>1</v>
      </c>
      <c r="AU17" s="13">
        <f>IF(預測IC!AU17&gt;預測IC!AU$26,1,0)</f>
        <v>0</v>
      </c>
      <c r="AV17" s="13">
        <f>IF(預測IC!AV17&gt;預測IC!AV$26,1,0)</f>
        <v>1</v>
      </c>
      <c r="AW17" s="13">
        <f>IF(預測IC!AW17&gt;預測IC!AW$26,1,0)</f>
        <v>0</v>
      </c>
      <c r="AX17" s="13">
        <f>IF(預測IC!AX17&gt;預測IC!AX$26,1,0)</f>
        <v>0</v>
      </c>
      <c r="AY17" s="13">
        <f>IF(預測IC!AY17&gt;預測IC!AY$26,1,0)</f>
        <v>0</v>
      </c>
      <c r="AZ17" s="13">
        <f>IF(預測IC!AZ17&gt;預測IC!AZ$26,1,0)</f>
        <v>0</v>
      </c>
      <c r="BA17" s="13">
        <f>IF(預測IC!BA17&gt;預測IC!BA$26,1,0)</f>
        <v>0</v>
      </c>
      <c r="BB17" s="13">
        <f>IF(預測IC!BB17&gt;預測IC!BB$26,1,0)</f>
        <v>1</v>
      </c>
      <c r="BC17" s="13">
        <f>IF(預測IC!BC17&gt;預測IC!BC$26,1,0)</f>
        <v>1</v>
      </c>
      <c r="BD17" s="13">
        <f>IF(預測IC!BD17&gt;預測IC!BD$26,1,0)</f>
        <v>1</v>
      </c>
      <c r="BE17" s="13">
        <f>IF(預測IC!BE17&gt;預測IC!BE$26,1,0)</f>
        <v>0</v>
      </c>
      <c r="BF17" s="13">
        <f>IF(預測IC!BF17&gt;預測IC!BF$26,1,0)</f>
        <v>0</v>
      </c>
      <c r="BG17" s="13">
        <f>IF(預測IC!BG17&gt;預測IC!BG$26,1,0)</f>
        <v>0</v>
      </c>
      <c r="BH17" s="13">
        <f>IF(預測IC!BH17&gt;預測IC!BH$26,1,0)</f>
        <v>0</v>
      </c>
      <c r="BI17" s="13">
        <f>IF(預測IC!BI17&gt;預測IC!BI$26,1,0)</f>
        <v>1</v>
      </c>
      <c r="BJ17" s="13">
        <f>IF(預測IC!BJ17&gt;預測IC!BJ$26,1,0)</f>
        <v>1</v>
      </c>
      <c r="BK17" s="13">
        <f>IF(預測IC!BK17&gt;預測IC!BK$26,1,0)</f>
        <v>0</v>
      </c>
      <c r="BL17" s="13">
        <f>IF(預測IC!BL17&gt;預測IC!BL$26,1,0)</f>
        <v>0</v>
      </c>
      <c r="BM17" s="13">
        <f>IF(預測IC!BM17&gt;預測IC!BM$26,1,0)</f>
        <v>1</v>
      </c>
      <c r="BN17" s="13">
        <f>IF(預測IC!BN17&gt;預測IC!BN$26,1,0)</f>
        <v>0</v>
      </c>
      <c r="BO17" s="13">
        <f>IF(預測IC!BO17&gt;預測IC!BO$26,1,0)</f>
        <v>1</v>
      </c>
      <c r="BP17" s="13">
        <f>IF(預測IC!BP17&gt;預測IC!BP$26,1,0)</f>
        <v>0</v>
      </c>
      <c r="BQ17" s="13">
        <f>IF(預測IC!BQ17&gt;預測IC!BQ$26,1,0)</f>
        <v>0</v>
      </c>
      <c r="BR17" s="13">
        <f>IF(預測IC!BR17&gt;預測IC!BR$26,1,0)</f>
        <v>1</v>
      </c>
      <c r="BS17" s="13">
        <f>IF(預測IC!BS17&gt;預測IC!BS$26,1,0)</f>
        <v>0</v>
      </c>
      <c r="BT17" s="13">
        <f>IF(預測IC!BT17&gt;預測IC!BT$26,1,0)</f>
        <v>0</v>
      </c>
      <c r="BU17" s="13">
        <f>IF(預測IC!BU17&gt;預測IC!BU$26,1,0)</f>
        <v>0</v>
      </c>
      <c r="BV17" s="13">
        <f>IF(預測IC!BV17&gt;預測IC!BV$26,1,0)</f>
        <v>0</v>
      </c>
      <c r="BW17" s="13">
        <f>IF(預測IC!BW17&gt;預測IC!BW$26,1,0)</f>
        <v>0</v>
      </c>
      <c r="BX17" s="13">
        <f>IF(預測IC!BX17&gt;預測IC!BX$26,1,0)</f>
        <v>1</v>
      </c>
      <c r="BY17" s="13">
        <f>IF(預測IC!BY17&gt;預測IC!BY$26,1,0)</f>
        <v>1</v>
      </c>
      <c r="BZ17" s="13">
        <f>IF(預測IC!BZ17&gt;預測IC!BZ$26,1,0)</f>
        <v>0</v>
      </c>
      <c r="CA17" s="13">
        <f>IF(預測IC!CA17&gt;預測IC!CA$26,1,0)</f>
        <v>1</v>
      </c>
      <c r="CB17" s="13">
        <f>IF(預測IC!CB17&gt;預測IC!CB$26,1,0)</f>
        <v>1</v>
      </c>
      <c r="CC17" s="13">
        <f>IF(預測IC!CC17&gt;預測IC!CC$26,1,0)</f>
        <v>0</v>
      </c>
      <c r="CD17" s="13">
        <f>IF(預測IC!CD17&gt;預測IC!CD$26,1,0)</f>
        <v>1</v>
      </c>
      <c r="CE17" s="13">
        <f>IF(預測IC!CE17&gt;預測IC!CE$26,1,0)</f>
        <v>1</v>
      </c>
      <c r="CF17" s="13">
        <f>IF(預測IC!CF17&gt;預測IC!CF$26,1,0)</f>
        <v>0</v>
      </c>
      <c r="CG17" s="13">
        <f>IF(預測IC!CG17&gt;預測IC!CG$26,1,0)</f>
        <v>0</v>
      </c>
      <c r="CH17" s="13">
        <f>IF(預測IC!CH17&gt;預測IC!CH$26,1,0)</f>
        <v>0</v>
      </c>
      <c r="CI17" s="13">
        <f>IF(預測IC!CI17&gt;預測IC!CI$26,1,0)</f>
        <v>0</v>
      </c>
      <c r="CJ17" s="13">
        <f>IF(預測IC!CJ17&gt;預測IC!CJ$26,1,0)</f>
        <v>0</v>
      </c>
      <c r="CK17" s="13">
        <f>IF(預測IC!CK17&gt;預測IC!CK$26,1,0)</f>
        <v>1</v>
      </c>
      <c r="CL17" s="13">
        <f>IF(預測IC!CL17&gt;預測IC!CL$26,1,0)</f>
        <v>1</v>
      </c>
      <c r="CM17" s="13">
        <f>IF(預測IC!CM17&gt;預測IC!CM$26,1,0)</f>
        <v>1</v>
      </c>
      <c r="CN17" s="13">
        <f>IF(預測IC!CN17&gt;預測IC!CN$26,1,0)</f>
        <v>0</v>
      </c>
      <c r="CO17" s="13">
        <f>IF(預測IC!CO17&gt;預測IC!CO$26,1,0)</f>
        <v>0</v>
      </c>
      <c r="CP17" s="13">
        <f>IF(預測IC!CP17&gt;預測IC!CP$26,1,0)</f>
        <v>0</v>
      </c>
      <c r="CQ17" s="13">
        <f>IF(預測IC!CQ17&gt;預測IC!CQ$26,1,0)</f>
        <v>0</v>
      </c>
      <c r="CR17" s="13">
        <f>IF(預測IC!CR17&gt;預測IC!CR$26,1,0)</f>
        <v>1</v>
      </c>
      <c r="CS17" s="13">
        <f>IF(預測IC!CS17&gt;預測IC!CS$26,1,0)</f>
        <v>0</v>
      </c>
      <c r="CT17" s="13">
        <f>IF(預測IC!CT17&gt;預測IC!CT$26,1,0)</f>
        <v>0</v>
      </c>
      <c r="CU17" s="13">
        <f>IF(預測IC!CU17&gt;預測IC!CU$26,1,0)</f>
        <v>0</v>
      </c>
      <c r="CV17" s="13">
        <f>IF(預測IC!CV17&gt;預測IC!CV$26,1,0)</f>
        <v>1</v>
      </c>
      <c r="CW17" s="13">
        <f>IF(預測IC!CW17&gt;預測IC!CW$26,1,0)</f>
        <v>1</v>
      </c>
      <c r="CX17" s="13">
        <f>IF(預測IC!CX17&gt;預測IC!CX$26,1,0)</f>
        <v>1</v>
      </c>
      <c r="CY17" s="13">
        <f>IF(預測IC!CY17&gt;預測IC!CY$26,1,0)</f>
        <v>1</v>
      </c>
      <c r="CZ17" s="13">
        <f>IF(預測IC!CZ17&gt;預測IC!CZ$26,1,0)</f>
        <v>1</v>
      </c>
      <c r="DA17" s="13">
        <f>IF(預測IC!DA17&gt;預測IC!DA$26,1,0)</f>
        <v>1</v>
      </c>
      <c r="DB17" s="13">
        <f>IF(預測IC!DB17&gt;預測IC!DB$26,1,0)</f>
        <v>1</v>
      </c>
      <c r="DC17" s="13">
        <f>IF(預測IC!DC17&gt;預測IC!DC$26,1,0)</f>
        <v>1</v>
      </c>
      <c r="DD17" s="13">
        <f>IF(預測IC!DD17&gt;預測IC!DD$26,1,0)</f>
        <v>0</v>
      </c>
      <c r="DE17" s="13">
        <f>IF(預測IC!DE17&gt;預測IC!DE$26,1,0)</f>
        <v>0</v>
      </c>
      <c r="DF17" s="13">
        <f>IF(預測IC!DF17&gt;預測IC!DF$26,1,0)</f>
        <v>1</v>
      </c>
      <c r="DG17" s="13">
        <f>IF(預測IC!DG17&gt;預測IC!DG$26,1,0)</f>
        <v>0</v>
      </c>
      <c r="DH17" s="13">
        <f>IF(預測IC!DH17&gt;預測IC!DH$26,1,0)</f>
        <v>1</v>
      </c>
      <c r="DI17" s="13">
        <f>IF(預測IC!DI17&gt;預測IC!DI$26,1,0)</f>
        <v>1</v>
      </c>
      <c r="DJ17" s="13">
        <f>IF(預測IC!DJ17&gt;預測IC!DJ$26,1,0)</f>
        <v>0</v>
      </c>
      <c r="DK17" s="13">
        <f>IF(預測IC!DK17&gt;預測IC!DK$26,1,0)</f>
        <v>1</v>
      </c>
      <c r="DL17" s="13">
        <f>IF(預測IC!DL17&gt;預測IC!DL$26,1,0)</f>
        <v>0</v>
      </c>
      <c r="DM17" s="13">
        <f>IF(預測IC!DM17&gt;預測IC!DM$26,1,0)</f>
        <v>0</v>
      </c>
      <c r="DN17" s="13">
        <f>IF(預測IC!DN17&gt;預測IC!DN$26,1,0)</f>
        <v>0</v>
      </c>
      <c r="DO17" s="13">
        <f>IF(預測IC!DO17&gt;預測IC!DO$26,1,0)</f>
        <v>0</v>
      </c>
      <c r="DP17" s="13">
        <f>IF(預測IC!DP17&gt;預測IC!DP$26,1,0)</f>
        <v>0</v>
      </c>
      <c r="DQ17" s="13">
        <f>IF(預測IC!DQ17&gt;預測IC!DQ$26,1,0)</f>
        <v>0</v>
      </c>
      <c r="DR17" s="13">
        <f>IF(預測IC!DR17&gt;預測IC!DR$26,1,0)</f>
        <v>1</v>
      </c>
      <c r="DS17" s="13">
        <f>IF(預測IC!DS17&gt;預測IC!DS$26,1,0)</f>
        <v>0</v>
      </c>
      <c r="DT17" s="13">
        <f>IF(預測IC!DT17&gt;預測IC!DT$26,1,0)</f>
        <v>0</v>
      </c>
      <c r="DU17" s="13">
        <f>IF(預測IC!DU17&gt;預測IC!DU$26,1,0)</f>
        <v>0</v>
      </c>
      <c r="DV17" s="13">
        <f>IF(預測IC!DV17&gt;預測IC!DV$26,1,0)</f>
        <v>0</v>
      </c>
      <c r="DW17" s="13">
        <f>IF(預測IC!DW17&gt;預測IC!DW$26,1,0)</f>
        <v>0</v>
      </c>
      <c r="DX17" s="13">
        <f>IF(預測IC!DX17&gt;預測IC!DX$26,1,0)</f>
        <v>0</v>
      </c>
      <c r="DY17" s="13">
        <f>IF(預測IC!DY17&gt;預測IC!DY$26,1,0)</f>
        <v>0</v>
      </c>
      <c r="DZ17" s="13">
        <f>IF(預測IC!DZ17&gt;預測IC!DZ$26,1,0)</f>
        <v>0</v>
      </c>
      <c r="EA17" s="13">
        <f>IF(預測IC!EA17&gt;預測IC!EA$26,1,0)</f>
        <v>1</v>
      </c>
      <c r="EB17" s="13">
        <f>IF(預測IC!EB17&gt;預測IC!EB$26,1,0)</f>
        <v>0</v>
      </c>
      <c r="EC17" s="13">
        <f>IF(預測IC!EC17&gt;預測IC!EC$26,1,0)</f>
        <v>1</v>
      </c>
      <c r="ED17" s="13">
        <f>IF(預測IC!ED17&gt;預測IC!ED$26,1,0)</f>
        <v>0</v>
      </c>
      <c r="EE17" s="13">
        <f>IF(預測IC!EE17&gt;預測IC!EE$26,1,0)</f>
        <v>0</v>
      </c>
      <c r="EF17" s="13">
        <f>IF(預測IC!EF17&gt;預測IC!EF$26,1,0)</f>
        <v>1</v>
      </c>
      <c r="EG17" s="1">
        <f t="shared" si="10"/>
        <v>58</v>
      </c>
      <c r="EH17" s="20">
        <f t="shared" si="11"/>
        <v>0.43283582089552236</v>
      </c>
    </row>
    <row r="18" spans="1:138">
      <c r="A18" s="2">
        <v>137</v>
      </c>
      <c r="B18" s="2">
        <v>7</v>
      </c>
      <c r="C18" s="13">
        <f>IF(預測IC!C18&gt;預測IC!C$26,1,0)</f>
        <v>1</v>
      </c>
      <c r="D18" s="13">
        <f>IF(預測IC!D18&gt;預測IC!D$26,1,0)</f>
        <v>0</v>
      </c>
      <c r="E18" s="13">
        <f>IF(預測IC!E18&gt;預測IC!E$26,1,0)</f>
        <v>0</v>
      </c>
      <c r="F18" s="13">
        <f>IF(預測IC!F18&gt;預測IC!F$26,1,0)</f>
        <v>1</v>
      </c>
      <c r="G18" s="13">
        <f>IF(預測IC!G18&gt;預測IC!G$26,1,0)</f>
        <v>1</v>
      </c>
      <c r="H18" s="13">
        <f>IF(預測IC!H18&gt;預測IC!H$26,1,0)</f>
        <v>0</v>
      </c>
      <c r="I18" s="13">
        <f>IF(預測IC!I18&gt;預測IC!I$26,1,0)</f>
        <v>1</v>
      </c>
      <c r="J18" s="13">
        <f>IF(預測IC!J18&gt;預測IC!J$26,1,0)</f>
        <v>1</v>
      </c>
      <c r="K18" s="13">
        <f>IF(預測IC!K18&gt;預測IC!K$26,1,0)</f>
        <v>1</v>
      </c>
      <c r="L18" s="13">
        <f>IF(預測IC!L18&gt;預測IC!L$26,1,0)</f>
        <v>1</v>
      </c>
      <c r="M18" s="13">
        <f>IF(預測IC!M18&gt;預測IC!M$26,1,0)</f>
        <v>1</v>
      </c>
      <c r="N18" s="13">
        <f>IF(預測IC!N18&gt;預測IC!N$26,1,0)</f>
        <v>0</v>
      </c>
      <c r="O18" s="13">
        <f>IF(預測IC!O18&gt;預測IC!O$26,1,0)</f>
        <v>1</v>
      </c>
      <c r="P18" s="13">
        <f>IF(預測IC!P18&gt;預測IC!P$26,1,0)</f>
        <v>1</v>
      </c>
      <c r="Q18" s="13">
        <f>IF(預測IC!Q18&gt;預測IC!Q$26,1,0)</f>
        <v>1</v>
      </c>
      <c r="R18" s="13">
        <f>IF(預測IC!R18&gt;預測IC!R$26,1,0)</f>
        <v>1</v>
      </c>
      <c r="S18" s="13">
        <f>IF(預測IC!S18&gt;預測IC!S$26,1,0)</f>
        <v>1</v>
      </c>
      <c r="T18" s="13">
        <f>IF(預測IC!T18&gt;預測IC!T$26,1,0)</f>
        <v>0</v>
      </c>
      <c r="U18" s="13">
        <f>IF(預測IC!U18&gt;預測IC!U$26,1,0)</f>
        <v>1</v>
      </c>
      <c r="V18" s="13">
        <f>IF(預測IC!V18&gt;預測IC!V$26,1,0)</f>
        <v>0</v>
      </c>
      <c r="W18" s="13">
        <f>IF(預測IC!W18&gt;預測IC!W$26,1,0)</f>
        <v>0</v>
      </c>
      <c r="X18" s="13">
        <f>IF(預測IC!X18&gt;預測IC!X$26,1,0)</f>
        <v>0</v>
      </c>
      <c r="Y18" s="13">
        <f>IF(預測IC!Y18&gt;預測IC!Y$26,1,0)</f>
        <v>0</v>
      </c>
      <c r="Z18" s="13">
        <f>IF(預測IC!Z18&gt;預測IC!Z$26,1,0)</f>
        <v>0</v>
      </c>
      <c r="AA18" s="13">
        <f>IF(預測IC!AA18&gt;預測IC!AA$26,1,0)</f>
        <v>1</v>
      </c>
      <c r="AB18" s="13">
        <f>IF(預測IC!AB18&gt;預測IC!AB$26,1,0)</f>
        <v>1</v>
      </c>
      <c r="AC18" s="13">
        <f>IF(預測IC!AC18&gt;預測IC!AC$26,1,0)</f>
        <v>0</v>
      </c>
      <c r="AD18" s="13">
        <f>IF(預測IC!AD18&gt;預測IC!AD$26,1,0)</f>
        <v>0</v>
      </c>
      <c r="AE18" s="13">
        <f>IF(預測IC!AE18&gt;預測IC!AE$26,1,0)</f>
        <v>1</v>
      </c>
      <c r="AF18" s="13">
        <f>IF(預測IC!AF18&gt;預測IC!AF$26,1,0)</f>
        <v>0</v>
      </c>
      <c r="AG18" s="13">
        <f>IF(預測IC!AG18&gt;預測IC!AG$26,1,0)</f>
        <v>1</v>
      </c>
      <c r="AH18" s="13">
        <f>IF(預測IC!AH18&gt;預測IC!AH$26,1,0)</f>
        <v>1</v>
      </c>
      <c r="AI18" s="13">
        <f>IF(預測IC!AI18&gt;預測IC!AI$26,1,0)</f>
        <v>0</v>
      </c>
      <c r="AJ18" s="13">
        <f>IF(預測IC!AJ18&gt;預測IC!AJ$26,1,0)</f>
        <v>1</v>
      </c>
      <c r="AK18" s="13">
        <f>IF(預測IC!AK18&gt;預測IC!AK$26,1,0)</f>
        <v>0</v>
      </c>
      <c r="AL18" s="13">
        <f>IF(預測IC!AL18&gt;預測IC!AL$26,1,0)</f>
        <v>0</v>
      </c>
      <c r="AM18" s="13">
        <f>IF(預測IC!AM18&gt;預測IC!AM$26,1,0)</f>
        <v>0</v>
      </c>
      <c r="AN18" s="13">
        <f>IF(預測IC!AN18&gt;預測IC!AN$26,1,0)</f>
        <v>0</v>
      </c>
      <c r="AO18" s="13">
        <f>IF(預測IC!AO18&gt;預測IC!AO$26,1,0)</f>
        <v>0</v>
      </c>
      <c r="AP18" s="13">
        <f>IF(預測IC!AP18&gt;預測IC!AP$26,1,0)</f>
        <v>1</v>
      </c>
      <c r="AQ18" s="13">
        <f>IF(預測IC!AQ18&gt;預測IC!AQ$26,1,0)</f>
        <v>1</v>
      </c>
      <c r="AR18" s="13">
        <f>IF(預測IC!AR18&gt;預測IC!AR$26,1,0)</f>
        <v>1</v>
      </c>
      <c r="AS18" s="13">
        <f>IF(預測IC!AS18&gt;預測IC!AS$26,1,0)</f>
        <v>0</v>
      </c>
      <c r="AT18" s="13">
        <f>IF(預測IC!AT18&gt;預測IC!AT$26,1,0)</f>
        <v>1</v>
      </c>
      <c r="AU18" s="13">
        <f>IF(預測IC!AU18&gt;預測IC!AU$26,1,0)</f>
        <v>0</v>
      </c>
      <c r="AV18" s="13">
        <f>IF(預測IC!AV18&gt;預測IC!AV$26,1,0)</f>
        <v>1</v>
      </c>
      <c r="AW18" s="13">
        <f>IF(預測IC!AW18&gt;預測IC!AW$26,1,0)</f>
        <v>0</v>
      </c>
      <c r="AX18" s="13">
        <f>IF(預測IC!AX18&gt;預測IC!AX$26,1,0)</f>
        <v>0</v>
      </c>
      <c r="AY18" s="13">
        <f>IF(預測IC!AY18&gt;預測IC!AY$26,1,0)</f>
        <v>0</v>
      </c>
      <c r="AZ18" s="13">
        <f>IF(預測IC!AZ18&gt;預測IC!AZ$26,1,0)</f>
        <v>0</v>
      </c>
      <c r="BA18" s="13">
        <f>IF(預測IC!BA18&gt;預測IC!BA$26,1,0)</f>
        <v>0</v>
      </c>
      <c r="BB18" s="13">
        <f>IF(預測IC!BB18&gt;預測IC!BB$26,1,0)</f>
        <v>1</v>
      </c>
      <c r="BC18" s="13">
        <f>IF(預測IC!BC18&gt;預測IC!BC$26,1,0)</f>
        <v>0</v>
      </c>
      <c r="BD18" s="13">
        <f>IF(預測IC!BD18&gt;預測IC!BD$26,1,0)</f>
        <v>1</v>
      </c>
      <c r="BE18" s="13">
        <f>IF(預測IC!BE18&gt;預測IC!BE$26,1,0)</f>
        <v>0</v>
      </c>
      <c r="BF18" s="13">
        <f>IF(預測IC!BF18&gt;預測IC!BF$26,1,0)</f>
        <v>0</v>
      </c>
      <c r="BG18" s="13">
        <f>IF(預測IC!BG18&gt;預測IC!BG$26,1,0)</f>
        <v>1</v>
      </c>
      <c r="BH18" s="13">
        <f>IF(預測IC!BH18&gt;預測IC!BH$26,1,0)</f>
        <v>0</v>
      </c>
      <c r="BI18" s="13">
        <f>IF(預測IC!BI18&gt;預測IC!BI$26,1,0)</f>
        <v>1</v>
      </c>
      <c r="BJ18" s="13">
        <f>IF(預測IC!BJ18&gt;預測IC!BJ$26,1,0)</f>
        <v>1</v>
      </c>
      <c r="BK18" s="13">
        <f>IF(預測IC!BK18&gt;預測IC!BK$26,1,0)</f>
        <v>0</v>
      </c>
      <c r="BL18" s="13">
        <f>IF(預測IC!BL18&gt;預測IC!BL$26,1,0)</f>
        <v>0</v>
      </c>
      <c r="BM18" s="13">
        <f>IF(預測IC!BM18&gt;預測IC!BM$26,1,0)</f>
        <v>1</v>
      </c>
      <c r="BN18" s="13">
        <f>IF(預測IC!BN18&gt;預測IC!BN$26,1,0)</f>
        <v>0</v>
      </c>
      <c r="BO18" s="13">
        <f>IF(預測IC!BO18&gt;預測IC!BO$26,1,0)</f>
        <v>1</v>
      </c>
      <c r="BP18" s="13">
        <f>IF(預測IC!BP18&gt;預測IC!BP$26,1,0)</f>
        <v>0</v>
      </c>
      <c r="BQ18" s="13">
        <f>IF(預測IC!BQ18&gt;預測IC!BQ$26,1,0)</f>
        <v>0</v>
      </c>
      <c r="BR18" s="13">
        <f>IF(預測IC!BR18&gt;預測IC!BR$26,1,0)</f>
        <v>1</v>
      </c>
      <c r="BS18" s="13">
        <f>IF(預測IC!BS18&gt;預測IC!BS$26,1,0)</f>
        <v>0</v>
      </c>
      <c r="BT18" s="13">
        <f>IF(預測IC!BT18&gt;預測IC!BT$26,1,0)</f>
        <v>0</v>
      </c>
      <c r="BU18" s="13">
        <f>IF(預測IC!BU18&gt;預測IC!BU$26,1,0)</f>
        <v>0</v>
      </c>
      <c r="BV18" s="13">
        <f>IF(預測IC!BV18&gt;預測IC!BV$26,1,0)</f>
        <v>0</v>
      </c>
      <c r="BW18" s="13">
        <f>IF(預測IC!BW18&gt;預測IC!BW$26,1,0)</f>
        <v>0</v>
      </c>
      <c r="BX18" s="13">
        <f>IF(預測IC!BX18&gt;預測IC!BX$26,1,0)</f>
        <v>1</v>
      </c>
      <c r="BY18" s="13">
        <f>IF(預測IC!BY18&gt;預測IC!BY$26,1,0)</f>
        <v>1</v>
      </c>
      <c r="BZ18" s="13">
        <f>IF(預測IC!BZ18&gt;預測IC!BZ$26,1,0)</f>
        <v>1</v>
      </c>
      <c r="CA18" s="13">
        <f>IF(預測IC!CA18&gt;預測IC!CA$26,1,0)</f>
        <v>1</v>
      </c>
      <c r="CB18" s="13">
        <f>IF(預測IC!CB18&gt;預測IC!CB$26,1,0)</f>
        <v>1</v>
      </c>
      <c r="CC18" s="13">
        <f>IF(預測IC!CC18&gt;預測IC!CC$26,1,0)</f>
        <v>1</v>
      </c>
      <c r="CD18" s="13">
        <f>IF(預測IC!CD18&gt;預測IC!CD$26,1,0)</f>
        <v>1</v>
      </c>
      <c r="CE18" s="13">
        <f>IF(預測IC!CE18&gt;預測IC!CE$26,1,0)</f>
        <v>1</v>
      </c>
      <c r="CF18" s="13">
        <f>IF(預測IC!CF18&gt;預測IC!CF$26,1,0)</f>
        <v>1</v>
      </c>
      <c r="CG18" s="13">
        <f>IF(預測IC!CG18&gt;預測IC!CG$26,1,0)</f>
        <v>0</v>
      </c>
      <c r="CH18" s="13">
        <f>IF(預測IC!CH18&gt;預測IC!CH$26,1,0)</f>
        <v>0</v>
      </c>
      <c r="CI18" s="13">
        <f>IF(預測IC!CI18&gt;預測IC!CI$26,1,0)</f>
        <v>0</v>
      </c>
      <c r="CJ18" s="13">
        <f>IF(預測IC!CJ18&gt;預測IC!CJ$26,1,0)</f>
        <v>0</v>
      </c>
      <c r="CK18" s="13">
        <f>IF(預測IC!CK18&gt;預測IC!CK$26,1,0)</f>
        <v>1</v>
      </c>
      <c r="CL18" s="13">
        <f>IF(預測IC!CL18&gt;預測IC!CL$26,1,0)</f>
        <v>1</v>
      </c>
      <c r="CM18" s="13">
        <f>IF(預測IC!CM18&gt;預測IC!CM$26,1,0)</f>
        <v>1</v>
      </c>
      <c r="CN18" s="13">
        <f>IF(預測IC!CN18&gt;預測IC!CN$26,1,0)</f>
        <v>0</v>
      </c>
      <c r="CO18" s="13">
        <f>IF(預測IC!CO18&gt;預測IC!CO$26,1,0)</f>
        <v>0</v>
      </c>
      <c r="CP18" s="13">
        <f>IF(預測IC!CP18&gt;預測IC!CP$26,1,0)</f>
        <v>0</v>
      </c>
      <c r="CQ18" s="13">
        <f>IF(預測IC!CQ18&gt;預測IC!CQ$26,1,0)</f>
        <v>0</v>
      </c>
      <c r="CR18" s="13">
        <f>IF(預測IC!CR18&gt;預測IC!CR$26,1,0)</f>
        <v>1</v>
      </c>
      <c r="CS18" s="13">
        <f>IF(預測IC!CS18&gt;預測IC!CS$26,1,0)</f>
        <v>1</v>
      </c>
      <c r="CT18" s="13">
        <f>IF(預測IC!CT18&gt;預測IC!CT$26,1,0)</f>
        <v>0</v>
      </c>
      <c r="CU18" s="13">
        <f>IF(預測IC!CU18&gt;預測IC!CU$26,1,0)</f>
        <v>0</v>
      </c>
      <c r="CV18" s="13">
        <f>IF(預測IC!CV18&gt;預測IC!CV$26,1,0)</f>
        <v>1</v>
      </c>
      <c r="CW18" s="13">
        <f>IF(預測IC!CW18&gt;預測IC!CW$26,1,0)</f>
        <v>1</v>
      </c>
      <c r="CX18" s="13">
        <f>IF(預測IC!CX18&gt;預測IC!CX$26,1,0)</f>
        <v>1</v>
      </c>
      <c r="CY18" s="13">
        <f>IF(預測IC!CY18&gt;預測IC!CY$26,1,0)</f>
        <v>1</v>
      </c>
      <c r="CZ18" s="13">
        <f>IF(預測IC!CZ18&gt;預測IC!CZ$26,1,0)</f>
        <v>1</v>
      </c>
      <c r="DA18" s="13">
        <f>IF(預測IC!DA18&gt;預測IC!DA$26,1,0)</f>
        <v>1</v>
      </c>
      <c r="DB18" s="13">
        <f>IF(預測IC!DB18&gt;預測IC!DB$26,1,0)</f>
        <v>1</v>
      </c>
      <c r="DC18" s="13">
        <f>IF(預測IC!DC18&gt;預測IC!DC$26,1,0)</f>
        <v>1</v>
      </c>
      <c r="DD18" s="13">
        <f>IF(預測IC!DD18&gt;預測IC!DD$26,1,0)</f>
        <v>0</v>
      </c>
      <c r="DE18" s="13">
        <f>IF(預測IC!DE18&gt;預測IC!DE$26,1,0)</f>
        <v>0</v>
      </c>
      <c r="DF18" s="13">
        <f>IF(預測IC!DF18&gt;預測IC!DF$26,1,0)</f>
        <v>1</v>
      </c>
      <c r="DG18" s="13">
        <f>IF(預測IC!DG18&gt;預測IC!DG$26,1,0)</f>
        <v>0</v>
      </c>
      <c r="DH18" s="13">
        <f>IF(預測IC!DH18&gt;預測IC!DH$26,1,0)</f>
        <v>1</v>
      </c>
      <c r="DI18" s="13">
        <f>IF(預測IC!DI18&gt;預測IC!DI$26,1,0)</f>
        <v>1</v>
      </c>
      <c r="DJ18" s="13">
        <f>IF(預測IC!DJ18&gt;預測IC!DJ$26,1,0)</f>
        <v>0</v>
      </c>
      <c r="DK18" s="13">
        <f>IF(預測IC!DK18&gt;預測IC!DK$26,1,0)</f>
        <v>1</v>
      </c>
      <c r="DL18" s="13">
        <f>IF(預測IC!DL18&gt;預測IC!DL$26,1,0)</f>
        <v>0</v>
      </c>
      <c r="DM18" s="13">
        <f>IF(預測IC!DM18&gt;預測IC!DM$26,1,0)</f>
        <v>0</v>
      </c>
      <c r="DN18" s="13">
        <f>IF(預測IC!DN18&gt;預測IC!DN$26,1,0)</f>
        <v>0</v>
      </c>
      <c r="DO18" s="13">
        <f>IF(預測IC!DO18&gt;預測IC!DO$26,1,0)</f>
        <v>0</v>
      </c>
      <c r="DP18" s="13">
        <f>IF(預測IC!DP18&gt;預測IC!DP$26,1,0)</f>
        <v>0</v>
      </c>
      <c r="DQ18" s="13">
        <f>IF(預測IC!DQ18&gt;預測IC!DQ$26,1,0)</f>
        <v>0</v>
      </c>
      <c r="DR18" s="13">
        <f>IF(預測IC!DR18&gt;預測IC!DR$26,1,0)</f>
        <v>1</v>
      </c>
      <c r="DS18" s="13">
        <f>IF(預測IC!DS18&gt;預測IC!DS$26,1,0)</f>
        <v>0</v>
      </c>
      <c r="DT18" s="13">
        <f>IF(預測IC!DT18&gt;預測IC!DT$26,1,0)</f>
        <v>0</v>
      </c>
      <c r="DU18" s="13">
        <f>IF(預測IC!DU18&gt;預測IC!DU$26,1,0)</f>
        <v>0</v>
      </c>
      <c r="DV18" s="13">
        <f>IF(預測IC!DV18&gt;預測IC!DV$26,1,0)</f>
        <v>0</v>
      </c>
      <c r="DW18" s="13">
        <f>IF(預測IC!DW18&gt;預測IC!DW$26,1,0)</f>
        <v>0</v>
      </c>
      <c r="DX18" s="13">
        <f>IF(預測IC!DX18&gt;預測IC!DX$26,1,0)</f>
        <v>0</v>
      </c>
      <c r="DY18" s="13">
        <f>IF(預測IC!DY18&gt;預測IC!DY$26,1,0)</f>
        <v>0</v>
      </c>
      <c r="DZ18" s="13">
        <f>IF(預測IC!DZ18&gt;預測IC!DZ$26,1,0)</f>
        <v>0</v>
      </c>
      <c r="EA18" s="13">
        <f>IF(預測IC!EA18&gt;預測IC!EA$26,1,0)</f>
        <v>1</v>
      </c>
      <c r="EB18" s="13">
        <f>IF(預測IC!EB18&gt;預測IC!EB$26,1,0)</f>
        <v>0</v>
      </c>
      <c r="EC18" s="13">
        <f>IF(預測IC!EC18&gt;預測IC!EC$26,1,0)</f>
        <v>1</v>
      </c>
      <c r="ED18" s="13">
        <f>IF(預測IC!ED18&gt;預測IC!ED$26,1,0)</f>
        <v>0</v>
      </c>
      <c r="EE18" s="13">
        <f>IF(預測IC!EE18&gt;預測IC!EE$26,1,0)</f>
        <v>0</v>
      </c>
      <c r="EF18" s="13">
        <f>IF(預測IC!EF18&gt;預測IC!EF$26,1,0)</f>
        <v>1</v>
      </c>
      <c r="EG18" s="1">
        <f t="shared" si="10"/>
        <v>63</v>
      </c>
      <c r="EH18" s="20">
        <f t="shared" si="11"/>
        <v>0.47014925373134331</v>
      </c>
    </row>
    <row r="19" spans="1:138">
      <c r="A19" s="2">
        <v>160</v>
      </c>
      <c r="B19" s="2">
        <v>6</v>
      </c>
      <c r="C19" s="13">
        <f>IF(預測IC!C19&gt;預測IC!C$26,1,0)</f>
        <v>1</v>
      </c>
      <c r="D19" s="13">
        <f>IF(預測IC!D19&gt;預測IC!D$26,1,0)</f>
        <v>0</v>
      </c>
      <c r="E19" s="13">
        <f>IF(預測IC!E19&gt;預測IC!E$26,1,0)</f>
        <v>0</v>
      </c>
      <c r="F19" s="13">
        <f>IF(預測IC!F19&gt;預測IC!F$26,1,0)</f>
        <v>1</v>
      </c>
      <c r="G19" s="13">
        <f>IF(預測IC!G19&gt;預測IC!G$26,1,0)</f>
        <v>1</v>
      </c>
      <c r="H19" s="13">
        <f>IF(預測IC!H19&gt;預測IC!H$26,1,0)</f>
        <v>0</v>
      </c>
      <c r="I19" s="13">
        <f>IF(預測IC!I19&gt;預測IC!I$26,1,0)</f>
        <v>1</v>
      </c>
      <c r="J19" s="13">
        <f>IF(預測IC!J19&gt;預測IC!J$26,1,0)</f>
        <v>1</v>
      </c>
      <c r="K19" s="13">
        <f>IF(預測IC!K19&gt;預測IC!K$26,1,0)</f>
        <v>1</v>
      </c>
      <c r="L19" s="13">
        <f>IF(預測IC!L19&gt;預測IC!L$26,1,0)</f>
        <v>1</v>
      </c>
      <c r="M19" s="13">
        <f>IF(預測IC!M19&gt;預測IC!M$26,1,0)</f>
        <v>0</v>
      </c>
      <c r="N19" s="13">
        <f>IF(預測IC!N19&gt;預測IC!N$26,1,0)</f>
        <v>0</v>
      </c>
      <c r="O19" s="13">
        <f>IF(預測IC!O19&gt;預測IC!O$26,1,0)</f>
        <v>1</v>
      </c>
      <c r="P19" s="13">
        <f>IF(預測IC!P19&gt;預測IC!P$26,1,0)</f>
        <v>1</v>
      </c>
      <c r="Q19" s="13">
        <f>IF(預測IC!Q19&gt;預測IC!Q$26,1,0)</f>
        <v>1</v>
      </c>
      <c r="R19" s="13">
        <f>IF(預測IC!R19&gt;預測IC!R$26,1,0)</f>
        <v>1</v>
      </c>
      <c r="S19" s="13">
        <f>IF(預測IC!S19&gt;預測IC!S$26,1,0)</f>
        <v>1</v>
      </c>
      <c r="T19" s="13">
        <f>IF(預測IC!T19&gt;預測IC!T$26,1,0)</f>
        <v>0</v>
      </c>
      <c r="U19" s="13">
        <f>IF(預測IC!U19&gt;預測IC!U$26,1,0)</f>
        <v>1</v>
      </c>
      <c r="V19" s="13">
        <f>IF(預測IC!V19&gt;預測IC!V$26,1,0)</f>
        <v>0</v>
      </c>
      <c r="W19" s="13">
        <f>IF(預測IC!W19&gt;預測IC!W$26,1,0)</f>
        <v>0</v>
      </c>
      <c r="X19" s="13">
        <f>IF(預測IC!X19&gt;預測IC!X$26,1,0)</f>
        <v>0</v>
      </c>
      <c r="Y19" s="13">
        <f>IF(預測IC!Y19&gt;預測IC!Y$26,1,0)</f>
        <v>0</v>
      </c>
      <c r="Z19" s="13">
        <f>IF(預測IC!Z19&gt;預測IC!Z$26,1,0)</f>
        <v>0</v>
      </c>
      <c r="AA19" s="13">
        <f>IF(預測IC!AA19&gt;預測IC!AA$26,1,0)</f>
        <v>1</v>
      </c>
      <c r="AB19" s="13">
        <f>IF(預測IC!AB19&gt;預測IC!AB$26,1,0)</f>
        <v>1</v>
      </c>
      <c r="AC19" s="13">
        <f>IF(預測IC!AC19&gt;預測IC!AC$26,1,0)</f>
        <v>0</v>
      </c>
      <c r="AD19" s="13">
        <f>IF(預測IC!AD19&gt;預測IC!AD$26,1,0)</f>
        <v>1</v>
      </c>
      <c r="AE19" s="13">
        <f>IF(預測IC!AE19&gt;預測IC!AE$26,1,0)</f>
        <v>1</v>
      </c>
      <c r="AF19" s="13">
        <f>IF(預測IC!AF19&gt;預測IC!AF$26,1,0)</f>
        <v>0</v>
      </c>
      <c r="AG19" s="13">
        <f>IF(預測IC!AG19&gt;預測IC!AG$26,1,0)</f>
        <v>1</v>
      </c>
      <c r="AH19" s="13">
        <f>IF(預測IC!AH19&gt;預測IC!AH$26,1,0)</f>
        <v>1</v>
      </c>
      <c r="AI19" s="13">
        <f>IF(預測IC!AI19&gt;預測IC!AI$26,1,0)</f>
        <v>0</v>
      </c>
      <c r="AJ19" s="13">
        <f>IF(預測IC!AJ19&gt;預測IC!AJ$26,1,0)</f>
        <v>1</v>
      </c>
      <c r="AK19" s="13">
        <f>IF(預測IC!AK19&gt;預測IC!AK$26,1,0)</f>
        <v>0</v>
      </c>
      <c r="AL19" s="13">
        <f>IF(預測IC!AL19&gt;預測IC!AL$26,1,0)</f>
        <v>0</v>
      </c>
      <c r="AM19" s="13">
        <f>IF(預測IC!AM19&gt;預測IC!AM$26,1,0)</f>
        <v>0</v>
      </c>
      <c r="AN19" s="13">
        <f>IF(預測IC!AN19&gt;預測IC!AN$26,1,0)</f>
        <v>0</v>
      </c>
      <c r="AO19" s="13">
        <f>IF(預測IC!AO19&gt;預測IC!AO$26,1,0)</f>
        <v>0</v>
      </c>
      <c r="AP19" s="13">
        <f>IF(預測IC!AP19&gt;預測IC!AP$26,1,0)</f>
        <v>1</v>
      </c>
      <c r="AQ19" s="13">
        <f>IF(預測IC!AQ19&gt;預測IC!AQ$26,1,0)</f>
        <v>1</v>
      </c>
      <c r="AR19" s="13">
        <f>IF(預測IC!AR19&gt;預測IC!AR$26,1,0)</f>
        <v>0</v>
      </c>
      <c r="AS19" s="13">
        <f>IF(預測IC!AS19&gt;預測IC!AS$26,1,0)</f>
        <v>0</v>
      </c>
      <c r="AT19" s="13">
        <f>IF(預測IC!AT19&gt;預測IC!AT$26,1,0)</f>
        <v>1</v>
      </c>
      <c r="AU19" s="13">
        <f>IF(預測IC!AU19&gt;預測IC!AU$26,1,0)</f>
        <v>0</v>
      </c>
      <c r="AV19" s="13">
        <f>IF(預測IC!AV19&gt;預測IC!AV$26,1,0)</f>
        <v>0</v>
      </c>
      <c r="AW19" s="13">
        <f>IF(預測IC!AW19&gt;預測IC!AW$26,1,0)</f>
        <v>0</v>
      </c>
      <c r="AX19" s="13">
        <f>IF(預測IC!AX19&gt;預測IC!AX$26,1,0)</f>
        <v>0</v>
      </c>
      <c r="AY19" s="13">
        <f>IF(預測IC!AY19&gt;預測IC!AY$26,1,0)</f>
        <v>1</v>
      </c>
      <c r="AZ19" s="13">
        <f>IF(預測IC!AZ19&gt;預測IC!AZ$26,1,0)</f>
        <v>0</v>
      </c>
      <c r="BA19" s="13">
        <f>IF(預測IC!BA19&gt;預測IC!BA$26,1,0)</f>
        <v>0</v>
      </c>
      <c r="BB19" s="13">
        <f>IF(預測IC!BB19&gt;預測IC!BB$26,1,0)</f>
        <v>1</v>
      </c>
      <c r="BC19" s="13">
        <f>IF(預測IC!BC19&gt;預測IC!BC$26,1,0)</f>
        <v>0</v>
      </c>
      <c r="BD19" s="13">
        <f>IF(預測IC!BD19&gt;預測IC!BD$26,1,0)</f>
        <v>1</v>
      </c>
      <c r="BE19" s="13">
        <f>IF(預測IC!BE19&gt;預測IC!BE$26,1,0)</f>
        <v>0</v>
      </c>
      <c r="BF19" s="13">
        <f>IF(預測IC!BF19&gt;預測IC!BF$26,1,0)</f>
        <v>0</v>
      </c>
      <c r="BG19" s="13">
        <f>IF(預測IC!BG19&gt;預測IC!BG$26,1,0)</f>
        <v>1</v>
      </c>
      <c r="BH19" s="13">
        <f>IF(預測IC!BH19&gt;預測IC!BH$26,1,0)</f>
        <v>0</v>
      </c>
      <c r="BI19" s="13">
        <f>IF(預測IC!BI19&gt;預測IC!BI$26,1,0)</f>
        <v>1</v>
      </c>
      <c r="BJ19" s="13">
        <f>IF(預測IC!BJ19&gt;預測IC!BJ$26,1,0)</f>
        <v>0</v>
      </c>
      <c r="BK19" s="13">
        <f>IF(預測IC!BK19&gt;預測IC!BK$26,1,0)</f>
        <v>0</v>
      </c>
      <c r="BL19" s="13">
        <f>IF(預測IC!BL19&gt;預測IC!BL$26,1,0)</f>
        <v>0</v>
      </c>
      <c r="BM19" s="13">
        <f>IF(預測IC!BM19&gt;預測IC!BM$26,1,0)</f>
        <v>1</v>
      </c>
      <c r="BN19" s="13">
        <f>IF(預測IC!BN19&gt;預測IC!BN$26,1,0)</f>
        <v>0</v>
      </c>
      <c r="BO19" s="13">
        <f>IF(預測IC!BO19&gt;預測IC!BO$26,1,0)</f>
        <v>1</v>
      </c>
      <c r="BP19" s="13">
        <f>IF(預測IC!BP19&gt;預測IC!BP$26,1,0)</f>
        <v>0</v>
      </c>
      <c r="BQ19" s="13">
        <f>IF(預測IC!BQ19&gt;預測IC!BQ$26,1,0)</f>
        <v>0</v>
      </c>
      <c r="BR19" s="13">
        <f>IF(預測IC!BR19&gt;預測IC!BR$26,1,0)</f>
        <v>1</v>
      </c>
      <c r="BS19" s="13">
        <f>IF(預測IC!BS19&gt;預測IC!BS$26,1,0)</f>
        <v>0</v>
      </c>
      <c r="BT19" s="13">
        <f>IF(預測IC!BT19&gt;預測IC!BT$26,1,0)</f>
        <v>0</v>
      </c>
      <c r="BU19" s="13">
        <f>IF(預測IC!BU19&gt;預測IC!BU$26,1,0)</f>
        <v>1</v>
      </c>
      <c r="BV19" s="13">
        <f>IF(預測IC!BV19&gt;預測IC!BV$26,1,0)</f>
        <v>0</v>
      </c>
      <c r="BW19" s="13">
        <f>IF(預測IC!BW19&gt;預測IC!BW$26,1,0)</f>
        <v>0</v>
      </c>
      <c r="BX19" s="13">
        <f>IF(預測IC!BX19&gt;預測IC!BX$26,1,0)</f>
        <v>1</v>
      </c>
      <c r="BY19" s="13">
        <f>IF(預測IC!BY19&gt;預測IC!BY$26,1,0)</f>
        <v>1</v>
      </c>
      <c r="BZ19" s="13">
        <f>IF(預測IC!BZ19&gt;預測IC!BZ$26,1,0)</f>
        <v>0</v>
      </c>
      <c r="CA19" s="13">
        <f>IF(預測IC!CA19&gt;預測IC!CA$26,1,0)</f>
        <v>1</v>
      </c>
      <c r="CB19" s="13">
        <f>IF(預測IC!CB19&gt;預測IC!CB$26,1,0)</f>
        <v>1</v>
      </c>
      <c r="CC19" s="13">
        <f>IF(預測IC!CC19&gt;預測IC!CC$26,1,0)</f>
        <v>0</v>
      </c>
      <c r="CD19" s="13">
        <f>IF(預測IC!CD19&gt;預測IC!CD$26,1,0)</f>
        <v>1</v>
      </c>
      <c r="CE19" s="13">
        <f>IF(預測IC!CE19&gt;預測IC!CE$26,1,0)</f>
        <v>1</v>
      </c>
      <c r="CF19" s="13">
        <f>IF(預測IC!CF19&gt;預測IC!CF$26,1,0)</f>
        <v>1</v>
      </c>
      <c r="CG19" s="13">
        <f>IF(預測IC!CG19&gt;預測IC!CG$26,1,0)</f>
        <v>0</v>
      </c>
      <c r="CH19" s="13">
        <f>IF(預測IC!CH19&gt;預測IC!CH$26,1,0)</f>
        <v>0</v>
      </c>
      <c r="CI19" s="13">
        <f>IF(預測IC!CI19&gt;預測IC!CI$26,1,0)</f>
        <v>0</v>
      </c>
      <c r="CJ19" s="13">
        <f>IF(預測IC!CJ19&gt;預測IC!CJ$26,1,0)</f>
        <v>0</v>
      </c>
      <c r="CK19" s="13">
        <f>IF(預測IC!CK19&gt;預測IC!CK$26,1,0)</f>
        <v>1</v>
      </c>
      <c r="CL19" s="13">
        <f>IF(預測IC!CL19&gt;預測IC!CL$26,1,0)</f>
        <v>1</v>
      </c>
      <c r="CM19" s="13">
        <f>IF(預測IC!CM19&gt;預測IC!CM$26,1,0)</f>
        <v>1</v>
      </c>
      <c r="CN19" s="13">
        <f>IF(預測IC!CN19&gt;預測IC!CN$26,1,0)</f>
        <v>0</v>
      </c>
      <c r="CO19" s="13">
        <f>IF(預測IC!CO19&gt;預測IC!CO$26,1,0)</f>
        <v>0</v>
      </c>
      <c r="CP19" s="13">
        <f>IF(預測IC!CP19&gt;預測IC!CP$26,1,0)</f>
        <v>0</v>
      </c>
      <c r="CQ19" s="13">
        <f>IF(預測IC!CQ19&gt;預測IC!CQ$26,1,0)</f>
        <v>0</v>
      </c>
      <c r="CR19" s="13">
        <f>IF(預測IC!CR19&gt;預測IC!CR$26,1,0)</f>
        <v>1</v>
      </c>
      <c r="CS19" s="13">
        <f>IF(預測IC!CS19&gt;預測IC!CS$26,1,0)</f>
        <v>1</v>
      </c>
      <c r="CT19" s="13">
        <f>IF(預測IC!CT19&gt;預測IC!CT$26,1,0)</f>
        <v>0</v>
      </c>
      <c r="CU19" s="13">
        <f>IF(預測IC!CU19&gt;預測IC!CU$26,1,0)</f>
        <v>0</v>
      </c>
      <c r="CV19" s="13">
        <f>IF(預測IC!CV19&gt;預測IC!CV$26,1,0)</f>
        <v>1</v>
      </c>
      <c r="CW19" s="13">
        <f>IF(預測IC!CW19&gt;預測IC!CW$26,1,0)</f>
        <v>1</v>
      </c>
      <c r="CX19" s="13">
        <f>IF(預測IC!CX19&gt;預測IC!CX$26,1,0)</f>
        <v>1</v>
      </c>
      <c r="CY19" s="13">
        <f>IF(預測IC!CY19&gt;預測IC!CY$26,1,0)</f>
        <v>1</v>
      </c>
      <c r="CZ19" s="13">
        <f>IF(預測IC!CZ19&gt;預測IC!CZ$26,1,0)</f>
        <v>1</v>
      </c>
      <c r="DA19" s="13">
        <f>IF(預測IC!DA19&gt;預測IC!DA$26,1,0)</f>
        <v>1</v>
      </c>
      <c r="DB19" s="13">
        <f>IF(預測IC!DB19&gt;預測IC!DB$26,1,0)</f>
        <v>1</v>
      </c>
      <c r="DC19" s="13">
        <f>IF(預測IC!DC19&gt;預測IC!DC$26,1,0)</f>
        <v>1</v>
      </c>
      <c r="DD19" s="13">
        <f>IF(預測IC!DD19&gt;預測IC!DD$26,1,0)</f>
        <v>0</v>
      </c>
      <c r="DE19" s="13">
        <f>IF(預測IC!DE19&gt;預測IC!DE$26,1,0)</f>
        <v>0</v>
      </c>
      <c r="DF19" s="13">
        <f>IF(預測IC!DF19&gt;預測IC!DF$26,1,0)</f>
        <v>1</v>
      </c>
      <c r="DG19" s="13">
        <f>IF(預測IC!DG19&gt;預測IC!DG$26,1,0)</f>
        <v>0</v>
      </c>
      <c r="DH19" s="13">
        <f>IF(預測IC!DH19&gt;預測IC!DH$26,1,0)</f>
        <v>1</v>
      </c>
      <c r="DI19" s="13">
        <f>IF(預測IC!DI19&gt;預測IC!DI$26,1,0)</f>
        <v>1</v>
      </c>
      <c r="DJ19" s="13">
        <f>IF(預測IC!DJ19&gt;預測IC!DJ$26,1,0)</f>
        <v>0</v>
      </c>
      <c r="DK19" s="13">
        <f>IF(預測IC!DK19&gt;預測IC!DK$26,1,0)</f>
        <v>1</v>
      </c>
      <c r="DL19" s="13">
        <f>IF(預測IC!DL19&gt;預測IC!DL$26,1,0)</f>
        <v>0</v>
      </c>
      <c r="DM19" s="13">
        <f>IF(預測IC!DM19&gt;預測IC!DM$26,1,0)</f>
        <v>1</v>
      </c>
      <c r="DN19" s="13">
        <f>IF(預測IC!DN19&gt;預測IC!DN$26,1,0)</f>
        <v>0</v>
      </c>
      <c r="DO19" s="13">
        <f>IF(預測IC!DO19&gt;預測IC!DO$26,1,0)</f>
        <v>0</v>
      </c>
      <c r="DP19" s="13">
        <f>IF(預測IC!DP19&gt;預測IC!DP$26,1,0)</f>
        <v>0</v>
      </c>
      <c r="DQ19" s="13">
        <f>IF(預測IC!DQ19&gt;預測IC!DQ$26,1,0)</f>
        <v>0</v>
      </c>
      <c r="DR19" s="13">
        <f>IF(預測IC!DR19&gt;預測IC!DR$26,1,0)</f>
        <v>1</v>
      </c>
      <c r="DS19" s="13">
        <f>IF(預測IC!DS19&gt;預測IC!DS$26,1,0)</f>
        <v>0</v>
      </c>
      <c r="DT19" s="13">
        <f>IF(預測IC!DT19&gt;預測IC!DT$26,1,0)</f>
        <v>0</v>
      </c>
      <c r="DU19" s="13">
        <f>IF(預測IC!DU19&gt;預測IC!DU$26,1,0)</f>
        <v>0</v>
      </c>
      <c r="DV19" s="13">
        <f>IF(預測IC!DV19&gt;預測IC!DV$26,1,0)</f>
        <v>0</v>
      </c>
      <c r="DW19" s="13">
        <f>IF(預測IC!DW19&gt;預測IC!DW$26,1,0)</f>
        <v>0</v>
      </c>
      <c r="DX19" s="13">
        <f>IF(預測IC!DX19&gt;預測IC!DX$26,1,0)</f>
        <v>0</v>
      </c>
      <c r="DY19" s="13">
        <f>IF(預測IC!DY19&gt;預測IC!DY$26,1,0)</f>
        <v>0</v>
      </c>
      <c r="DZ19" s="13">
        <f>IF(預測IC!DZ19&gt;預測IC!DZ$26,1,0)</f>
        <v>0</v>
      </c>
      <c r="EA19" s="13">
        <f>IF(預測IC!EA19&gt;預測IC!EA$26,1,0)</f>
        <v>1</v>
      </c>
      <c r="EB19" s="13">
        <f>IF(預測IC!EB19&gt;預測IC!EB$26,1,0)</f>
        <v>0</v>
      </c>
      <c r="EC19" s="13">
        <f>IF(預測IC!EC19&gt;預測IC!EC$26,1,0)</f>
        <v>0</v>
      </c>
      <c r="ED19" s="13">
        <f>IF(預測IC!ED19&gt;預測IC!ED$26,1,0)</f>
        <v>0</v>
      </c>
      <c r="EE19" s="13">
        <f>IF(預測IC!EE19&gt;預測IC!EE$26,1,0)</f>
        <v>0</v>
      </c>
      <c r="EF19" s="13">
        <f>IF(預測IC!EF19&gt;預測IC!EF$26,1,0)</f>
        <v>1</v>
      </c>
      <c r="EG19" s="1">
        <f t="shared" si="10"/>
        <v>60</v>
      </c>
      <c r="EH19" s="20">
        <f t="shared" si="11"/>
        <v>0.44776119402985076</v>
      </c>
    </row>
    <row r="20" spans="1:138">
      <c r="A20" s="2">
        <v>192</v>
      </c>
      <c r="B20" s="2">
        <v>5</v>
      </c>
      <c r="C20" s="13">
        <f>IF(預測IC!C20&gt;預測IC!C$26,1,0)</f>
        <v>1</v>
      </c>
      <c r="D20" s="13">
        <f>IF(預測IC!D20&gt;預測IC!D$26,1,0)</f>
        <v>0</v>
      </c>
      <c r="E20" s="13">
        <f>IF(預測IC!E20&gt;預測IC!E$26,1,0)</f>
        <v>0</v>
      </c>
      <c r="F20" s="13">
        <f>IF(預測IC!F20&gt;預測IC!F$26,1,0)</f>
        <v>1</v>
      </c>
      <c r="G20" s="13">
        <f>IF(預測IC!G20&gt;預測IC!G$26,1,0)</f>
        <v>1</v>
      </c>
      <c r="H20" s="13">
        <f>IF(預測IC!H20&gt;預測IC!H$26,1,0)</f>
        <v>0</v>
      </c>
      <c r="I20" s="13">
        <f>IF(預測IC!I20&gt;預測IC!I$26,1,0)</f>
        <v>1</v>
      </c>
      <c r="J20" s="13">
        <f>IF(預測IC!J20&gt;預測IC!J$26,1,0)</f>
        <v>1</v>
      </c>
      <c r="K20" s="13">
        <f>IF(預測IC!K20&gt;預測IC!K$26,1,0)</f>
        <v>1</v>
      </c>
      <c r="L20" s="13">
        <f>IF(預測IC!L20&gt;預測IC!L$26,1,0)</f>
        <v>1</v>
      </c>
      <c r="M20" s="13">
        <f>IF(預測IC!M20&gt;預測IC!M$26,1,0)</f>
        <v>0</v>
      </c>
      <c r="N20" s="13">
        <f>IF(預測IC!N20&gt;預測IC!N$26,1,0)</f>
        <v>0</v>
      </c>
      <c r="O20" s="13">
        <f>IF(預測IC!O20&gt;預測IC!O$26,1,0)</f>
        <v>1</v>
      </c>
      <c r="P20" s="13">
        <f>IF(預測IC!P20&gt;預測IC!P$26,1,0)</f>
        <v>1</v>
      </c>
      <c r="Q20" s="13">
        <f>IF(預測IC!Q20&gt;預測IC!Q$26,1,0)</f>
        <v>1</v>
      </c>
      <c r="R20" s="13">
        <f>IF(預測IC!R20&gt;預測IC!R$26,1,0)</f>
        <v>1</v>
      </c>
      <c r="S20" s="13">
        <f>IF(預測IC!S20&gt;預測IC!S$26,1,0)</f>
        <v>1</v>
      </c>
      <c r="T20" s="13">
        <f>IF(預測IC!T20&gt;預測IC!T$26,1,0)</f>
        <v>0</v>
      </c>
      <c r="U20" s="13">
        <f>IF(預測IC!U20&gt;預測IC!U$26,1,0)</f>
        <v>1</v>
      </c>
      <c r="V20" s="13">
        <f>IF(預測IC!V20&gt;預測IC!V$26,1,0)</f>
        <v>0</v>
      </c>
      <c r="W20" s="13">
        <f>IF(預測IC!W20&gt;預測IC!W$26,1,0)</f>
        <v>0</v>
      </c>
      <c r="X20" s="13">
        <f>IF(預測IC!X20&gt;預測IC!X$26,1,0)</f>
        <v>0</v>
      </c>
      <c r="Y20" s="13">
        <f>IF(預測IC!Y20&gt;預測IC!Y$26,1,0)</f>
        <v>0</v>
      </c>
      <c r="Z20" s="13">
        <f>IF(預測IC!Z20&gt;預測IC!Z$26,1,0)</f>
        <v>0</v>
      </c>
      <c r="AA20" s="13">
        <f>IF(預測IC!AA20&gt;預測IC!AA$26,1,0)</f>
        <v>1</v>
      </c>
      <c r="AB20" s="13">
        <f>IF(預測IC!AB20&gt;預測IC!AB$26,1,0)</f>
        <v>1</v>
      </c>
      <c r="AC20" s="13">
        <f>IF(預測IC!AC20&gt;預測IC!AC$26,1,0)</f>
        <v>0</v>
      </c>
      <c r="AD20" s="13">
        <f>IF(預測IC!AD20&gt;預測IC!AD$26,1,0)</f>
        <v>1</v>
      </c>
      <c r="AE20" s="13">
        <f>IF(預測IC!AE20&gt;預測IC!AE$26,1,0)</f>
        <v>1</v>
      </c>
      <c r="AF20" s="13">
        <f>IF(預測IC!AF20&gt;預測IC!AF$26,1,0)</f>
        <v>0</v>
      </c>
      <c r="AG20" s="13">
        <f>IF(預測IC!AG20&gt;預測IC!AG$26,1,0)</f>
        <v>0</v>
      </c>
      <c r="AH20" s="13">
        <f>IF(預測IC!AH20&gt;預測IC!AH$26,1,0)</f>
        <v>1</v>
      </c>
      <c r="AI20" s="13">
        <f>IF(預測IC!AI20&gt;預測IC!AI$26,1,0)</f>
        <v>0</v>
      </c>
      <c r="AJ20" s="13">
        <f>IF(預測IC!AJ20&gt;預測IC!AJ$26,1,0)</f>
        <v>1</v>
      </c>
      <c r="AK20" s="13">
        <f>IF(預測IC!AK20&gt;預測IC!AK$26,1,0)</f>
        <v>0</v>
      </c>
      <c r="AL20" s="13">
        <f>IF(預測IC!AL20&gt;預測IC!AL$26,1,0)</f>
        <v>0</v>
      </c>
      <c r="AM20" s="13">
        <f>IF(預測IC!AM20&gt;預測IC!AM$26,1,0)</f>
        <v>0</v>
      </c>
      <c r="AN20" s="13">
        <f>IF(預測IC!AN20&gt;預測IC!AN$26,1,0)</f>
        <v>0</v>
      </c>
      <c r="AO20" s="13">
        <f>IF(預測IC!AO20&gt;預測IC!AO$26,1,0)</f>
        <v>0</v>
      </c>
      <c r="AP20" s="13">
        <f>IF(預測IC!AP20&gt;預測IC!AP$26,1,0)</f>
        <v>1</v>
      </c>
      <c r="AQ20" s="13">
        <f>IF(預測IC!AQ20&gt;預測IC!AQ$26,1,0)</f>
        <v>1</v>
      </c>
      <c r="AR20" s="13">
        <f>IF(預測IC!AR20&gt;預測IC!AR$26,1,0)</f>
        <v>0</v>
      </c>
      <c r="AS20" s="13">
        <f>IF(預測IC!AS20&gt;預測IC!AS$26,1,0)</f>
        <v>0</v>
      </c>
      <c r="AT20" s="13">
        <f>IF(預測IC!AT20&gt;預測IC!AT$26,1,0)</f>
        <v>1</v>
      </c>
      <c r="AU20" s="13">
        <f>IF(預測IC!AU20&gt;預測IC!AU$26,1,0)</f>
        <v>0</v>
      </c>
      <c r="AV20" s="13">
        <f>IF(預測IC!AV20&gt;預測IC!AV$26,1,0)</f>
        <v>0</v>
      </c>
      <c r="AW20" s="13">
        <f>IF(預測IC!AW20&gt;預測IC!AW$26,1,0)</f>
        <v>0</v>
      </c>
      <c r="AX20" s="13">
        <f>IF(預測IC!AX20&gt;預測IC!AX$26,1,0)</f>
        <v>0</v>
      </c>
      <c r="AY20" s="13">
        <f>IF(預測IC!AY20&gt;預測IC!AY$26,1,0)</f>
        <v>0</v>
      </c>
      <c r="AZ20" s="13">
        <f>IF(預測IC!AZ20&gt;預測IC!AZ$26,1,0)</f>
        <v>0</v>
      </c>
      <c r="BA20" s="13">
        <f>IF(預測IC!BA20&gt;預測IC!BA$26,1,0)</f>
        <v>0</v>
      </c>
      <c r="BB20" s="13">
        <f>IF(預測IC!BB20&gt;預測IC!BB$26,1,0)</f>
        <v>1</v>
      </c>
      <c r="BC20" s="13">
        <f>IF(預測IC!BC20&gt;預測IC!BC$26,1,0)</f>
        <v>0</v>
      </c>
      <c r="BD20" s="13">
        <f>IF(預測IC!BD20&gt;預測IC!BD$26,1,0)</f>
        <v>1</v>
      </c>
      <c r="BE20" s="13">
        <f>IF(預測IC!BE20&gt;預測IC!BE$26,1,0)</f>
        <v>0</v>
      </c>
      <c r="BF20" s="13">
        <f>IF(預測IC!BF20&gt;預測IC!BF$26,1,0)</f>
        <v>0</v>
      </c>
      <c r="BG20" s="13">
        <f>IF(預測IC!BG20&gt;預測IC!BG$26,1,0)</f>
        <v>0</v>
      </c>
      <c r="BH20" s="13">
        <f>IF(預測IC!BH20&gt;預測IC!BH$26,1,0)</f>
        <v>0</v>
      </c>
      <c r="BI20" s="13">
        <f>IF(預測IC!BI20&gt;預測IC!BI$26,1,0)</f>
        <v>1</v>
      </c>
      <c r="BJ20" s="13">
        <f>IF(預測IC!BJ20&gt;預測IC!BJ$26,1,0)</f>
        <v>0</v>
      </c>
      <c r="BK20" s="13">
        <f>IF(預測IC!BK20&gt;預測IC!BK$26,1,0)</f>
        <v>0</v>
      </c>
      <c r="BL20" s="13">
        <f>IF(預測IC!BL20&gt;預測IC!BL$26,1,0)</f>
        <v>0</v>
      </c>
      <c r="BM20" s="13">
        <f>IF(預測IC!BM20&gt;預測IC!BM$26,1,0)</f>
        <v>1</v>
      </c>
      <c r="BN20" s="13">
        <f>IF(預測IC!BN20&gt;預測IC!BN$26,1,0)</f>
        <v>0</v>
      </c>
      <c r="BO20" s="13">
        <f>IF(預測IC!BO20&gt;預測IC!BO$26,1,0)</f>
        <v>1</v>
      </c>
      <c r="BP20" s="13">
        <f>IF(預測IC!BP20&gt;預測IC!BP$26,1,0)</f>
        <v>0</v>
      </c>
      <c r="BQ20" s="13">
        <f>IF(預測IC!BQ20&gt;預測IC!BQ$26,1,0)</f>
        <v>0</v>
      </c>
      <c r="BR20" s="13">
        <f>IF(預測IC!BR20&gt;預測IC!BR$26,1,0)</f>
        <v>1</v>
      </c>
      <c r="BS20" s="13">
        <f>IF(預測IC!BS20&gt;預測IC!BS$26,1,0)</f>
        <v>0</v>
      </c>
      <c r="BT20" s="13">
        <f>IF(預測IC!BT20&gt;預測IC!BT$26,1,0)</f>
        <v>0</v>
      </c>
      <c r="BU20" s="13">
        <f>IF(預測IC!BU20&gt;預測IC!BU$26,1,0)</f>
        <v>0</v>
      </c>
      <c r="BV20" s="13">
        <f>IF(預測IC!BV20&gt;預測IC!BV$26,1,0)</f>
        <v>1</v>
      </c>
      <c r="BW20" s="13">
        <f>IF(預測IC!BW20&gt;預測IC!BW$26,1,0)</f>
        <v>0</v>
      </c>
      <c r="BX20" s="13">
        <f>IF(預測IC!BX20&gt;預測IC!BX$26,1,0)</f>
        <v>1</v>
      </c>
      <c r="BY20" s="13">
        <f>IF(預測IC!BY20&gt;預測IC!BY$26,1,0)</f>
        <v>1</v>
      </c>
      <c r="BZ20" s="13">
        <f>IF(預測IC!BZ20&gt;預測IC!BZ$26,1,0)</f>
        <v>0</v>
      </c>
      <c r="CA20" s="13">
        <f>IF(預測IC!CA20&gt;預測IC!CA$26,1,0)</f>
        <v>1</v>
      </c>
      <c r="CB20" s="13">
        <f>IF(預測IC!CB20&gt;預測IC!CB$26,1,0)</f>
        <v>0</v>
      </c>
      <c r="CC20" s="13">
        <f>IF(預測IC!CC20&gt;預測IC!CC$26,1,0)</f>
        <v>0</v>
      </c>
      <c r="CD20" s="13">
        <f>IF(預測IC!CD20&gt;預測IC!CD$26,1,0)</f>
        <v>1</v>
      </c>
      <c r="CE20" s="13">
        <f>IF(預測IC!CE20&gt;預測IC!CE$26,1,0)</f>
        <v>1</v>
      </c>
      <c r="CF20" s="13">
        <f>IF(預測IC!CF20&gt;預測IC!CF$26,1,0)</f>
        <v>1</v>
      </c>
      <c r="CG20" s="13">
        <f>IF(預測IC!CG20&gt;預測IC!CG$26,1,0)</f>
        <v>0</v>
      </c>
      <c r="CH20" s="13">
        <f>IF(預測IC!CH20&gt;預測IC!CH$26,1,0)</f>
        <v>0</v>
      </c>
      <c r="CI20" s="13">
        <f>IF(預測IC!CI20&gt;預測IC!CI$26,1,0)</f>
        <v>0</v>
      </c>
      <c r="CJ20" s="13">
        <f>IF(預測IC!CJ20&gt;預測IC!CJ$26,1,0)</f>
        <v>0</v>
      </c>
      <c r="CK20" s="13">
        <f>IF(預測IC!CK20&gt;預測IC!CK$26,1,0)</f>
        <v>1</v>
      </c>
      <c r="CL20" s="13">
        <f>IF(預測IC!CL20&gt;預測IC!CL$26,1,0)</f>
        <v>1</v>
      </c>
      <c r="CM20" s="13">
        <f>IF(預測IC!CM20&gt;預測IC!CM$26,1,0)</f>
        <v>1</v>
      </c>
      <c r="CN20" s="13">
        <f>IF(預測IC!CN20&gt;預測IC!CN$26,1,0)</f>
        <v>0</v>
      </c>
      <c r="CO20" s="13">
        <f>IF(預測IC!CO20&gt;預測IC!CO$26,1,0)</f>
        <v>0</v>
      </c>
      <c r="CP20" s="13">
        <f>IF(預測IC!CP20&gt;預測IC!CP$26,1,0)</f>
        <v>0</v>
      </c>
      <c r="CQ20" s="13">
        <f>IF(預測IC!CQ20&gt;預測IC!CQ$26,1,0)</f>
        <v>1</v>
      </c>
      <c r="CR20" s="13">
        <f>IF(預測IC!CR20&gt;預測IC!CR$26,1,0)</f>
        <v>1</v>
      </c>
      <c r="CS20" s="13">
        <f>IF(預測IC!CS20&gt;預測IC!CS$26,1,0)</f>
        <v>0</v>
      </c>
      <c r="CT20" s="13">
        <f>IF(預測IC!CT20&gt;預測IC!CT$26,1,0)</f>
        <v>0</v>
      </c>
      <c r="CU20" s="13">
        <f>IF(預測IC!CU20&gt;預測IC!CU$26,1,0)</f>
        <v>0</v>
      </c>
      <c r="CV20" s="13">
        <f>IF(預測IC!CV20&gt;預測IC!CV$26,1,0)</f>
        <v>1</v>
      </c>
      <c r="CW20" s="13">
        <f>IF(預測IC!CW20&gt;預測IC!CW$26,1,0)</f>
        <v>1</v>
      </c>
      <c r="CX20" s="13">
        <f>IF(預測IC!CX20&gt;預測IC!CX$26,1,0)</f>
        <v>1</v>
      </c>
      <c r="CY20" s="13">
        <f>IF(預測IC!CY20&gt;預測IC!CY$26,1,0)</f>
        <v>1</v>
      </c>
      <c r="CZ20" s="13">
        <f>IF(預測IC!CZ20&gt;預測IC!CZ$26,1,0)</f>
        <v>1</v>
      </c>
      <c r="DA20" s="13">
        <f>IF(預測IC!DA20&gt;預測IC!DA$26,1,0)</f>
        <v>1</v>
      </c>
      <c r="DB20" s="13">
        <f>IF(預測IC!DB20&gt;預測IC!DB$26,1,0)</f>
        <v>1</v>
      </c>
      <c r="DC20" s="13">
        <f>IF(預測IC!DC20&gt;預測IC!DC$26,1,0)</f>
        <v>1</v>
      </c>
      <c r="DD20" s="13">
        <f>IF(預測IC!DD20&gt;預測IC!DD$26,1,0)</f>
        <v>0</v>
      </c>
      <c r="DE20" s="13">
        <f>IF(預測IC!DE20&gt;預測IC!DE$26,1,0)</f>
        <v>0</v>
      </c>
      <c r="DF20" s="13">
        <f>IF(預測IC!DF20&gt;預測IC!DF$26,1,0)</f>
        <v>1</v>
      </c>
      <c r="DG20" s="13">
        <f>IF(預測IC!DG20&gt;預測IC!DG$26,1,0)</f>
        <v>0</v>
      </c>
      <c r="DH20" s="13">
        <f>IF(預測IC!DH20&gt;預測IC!DH$26,1,0)</f>
        <v>1</v>
      </c>
      <c r="DI20" s="13">
        <f>IF(預測IC!DI20&gt;預測IC!DI$26,1,0)</f>
        <v>1</v>
      </c>
      <c r="DJ20" s="13">
        <f>IF(預測IC!DJ20&gt;預測IC!DJ$26,1,0)</f>
        <v>0</v>
      </c>
      <c r="DK20" s="13">
        <f>IF(預測IC!DK20&gt;預測IC!DK$26,1,0)</f>
        <v>1</v>
      </c>
      <c r="DL20" s="13">
        <f>IF(預測IC!DL20&gt;預測IC!DL$26,1,0)</f>
        <v>0</v>
      </c>
      <c r="DM20" s="13">
        <f>IF(預測IC!DM20&gt;預測IC!DM$26,1,0)</f>
        <v>0</v>
      </c>
      <c r="DN20" s="13">
        <f>IF(預測IC!DN20&gt;預測IC!DN$26,1,0)</f>
        <v>0</v>
      </c>
      <c r="DO20" s="13">
        <f>IF(預測IC!DO20&gt;預測IC!DO$26,1,0)</f>
        <v>0</v>
      </c>
      <c r="DP20" s="13">
        <f>IF(預測IC!DP20&gt;預測IC!DP$26,1,0)</f>
        <v>0</v>
      </c>
      <c r="DQ20" s="13">
        <f>IF(預測IC!DQ20&gt;預測IC!DQ$26,1,0)</f>
        <v>0</v>
      </c>
      <c r="DR20" s="13">
        <f>IF(預測IC!DR20&gt;預測IC!DR$26,1,0)</f>
        <v>1</v>
      </c>
      <c r="DS20" s="13">
        <f>IF(預測IC!DS20&gt;預測IC!DS$26,1,0)</f>
        <v>1</v>
      </c>
      <c r="DT20" s="13">
        <f>IF(預測IC!DT20&gt;預測IC!DT$26,1,0)</f>
        <v>0</v>
      </c>
      <c r="DU20" s="13">
        <f>IF(預測IC!DU20&gt;預測IC!DU$26,1,0)</f>
        <v>0</v>
      </c>
      <c r="DV20" s="13">
        <f>IF(預測IC!DV20&gt;預測IC!DV$26,1,0)</f>
        <v>0</v>
      </c>
      <c r="DW20" s="13">
        <f>IF(預測IC!DW20&gt;預測IC!DW$26,1,0)</f>
        <v>0</v>
      </c>
      <c r="DX20" s="13">
        <f>IF(預測IC!DX20&gt;預測IC!DX$26,1,0)</f>
        <v>0</v>
      </c>
      <c r="DY20" s="13">
        <f>IF(預測IC!DY20&gt;預測IC!DY$26,1,0)</f>
        <v>0</v>
      </c>
      <c r="DZ20" s="13">
        <f>IF(預測IC!DZ20&gt;預測IC!DZ$26,1,0)</f>
        <v>1</v>
      </c>
      <c r="EA20" s="13">
        <f>IF(預測IC!EA20&gt;預測IC!EA$26,1,0)</f>
        <v>1</v>
      </c>
      <c r="EB20" s="13">
        <f>IF(預測IC!EB20&gt;預測IC!EB$26,1,0)</f>
        <v>0</v>
      </c>
      <c r="EC20" s="13">
        <f>IF(預測IC!EC20&gt;預測IC!EC$26,1,0)</f>
        <v>1</v>
      </c>
      <c r="ED20" s="13">
        <f>IF(預測IC!ED20&gt;預測IC!ED$26,1,0)</f>
        <v>0</v>
      </c>
      <c r="EE20" s="13">
        <f>IF(預測IC!EE20&gt;預測IC!EE$26,1,0)</f>
        <v>0</v>
      </c>
      <c r="EF20" s="13">
        <f>IF(預測IC!EF20&gt;預測IC!EF$26,1,0)</f>
        <v>1</v>
      </c>
      <c r="EG20" s="1">
        <f t="shared" si="10"/>
        <v>58</v>
      </c>
      <c r="EH20" s="20">
        <f t="shared" si="11"/>
        <v>0.43283582089552236</v>
      </c>
    </row>
    <row r="21" spans="1:138">
      <c r="A21" s="2">
        <v>241</v>
      </c>
      <c r="B21" s="2">
        <v>4</v>
      </c>
      <c r="C21" s="13">
        <f>IF(預測IC!C21&gt;預測IC!C$26,1,0)</f>
        <v>1</v>
      </c>
      <c r="D21" s="13">
        <f>IF(預測IC!D21&gt;預測IC!D$26,1,0)</f>
        <v>0</v>
      </c>
      <c r="E21" s="13">
        <f>IF(預測IC!E21&gt;預測IC!E$26,1,0)</f>
        <v>0</v>
      </c>
      <c r="F21" s="13">
        <f>IF(預測IC!F21&gt;預測IC!F$26,1,0)</f>
        <v>1</v>
      </c>
      <c r="G21" s="13">
        <f>IF(預測IC!G21&gt;預測IC!G$26,1,0)</f>
        <v>1</v>
      </c>
      <c r="H21" s="13">
        <f>IF(預測IC!H21&gt;預測IC!H$26,1,0)</f>
        <v>0</v>
      </c>
      <c r="I21" s="13">
        <f>IF(預測IC!I21&gt;預測IC!I$26,1,0)</f>
        <v>1</v>
      </c>
      <c r="J21" s="13">
        <f>IF(預測IC!J21&gt;預測IC!J$26,1,0)</f>
        <v>1</v>
      </c>
      <c r="K21" s="13">
        <f>IF(預測IC!K21&gt;預測IC!K$26,1,0)</f>
        <v>1</v>
      </c>
      <c r="L21" s="13">
        <f>IF(預測IC!L21&gt;預測IC!L$26,1,0)</f>
        <v>1</v>
      </c>
      <c r="M21" s="13">
        <f>IF(預測IC!M21&gt;預測IC!M$26,1,0)</f>
        <v>0</v>
      </c>
      <c r="N21" s="13">
        <f>IF(預測IC!N21&gt;預測IC!N$26,1,0)</f>
        <v>0</v>
      </c>
      <c r="O21" s="13">
        <f>IF(預測IC!O21&gt;預測IC!O$26,1,0)</f>
        <v>1</v>
      </c>
      <c r="P21" s="13">
        <f>IF(預測IC!P21&gt;預測IC!P$26,1,0)</f>
        <v>1</v>
      </c>
      <c r="Q21" s="13">
        <f>IF(預測IC!Q21&gt;預測IC!Q$26,1,0)</f>
        <v>1</v>
      </c>
      <c r="R21" s="13">
        <f>IF(預測IC!R21&gt;預測IC!R$26,1,0)</f>
        <v>1</v>
      </c>
      <c r="S21" s="13">
        <f>IF(預測IC!S21&gt;預測IC!S$26,1,0)</f>
        <v>1</v>
      </c>
      <c r="T21" s="13">
        <f>IF(預測IC!T21&gt;預測IC!T$26,1,0)</f>
        <v>0</v>
      </c>
      <c r="U21" s="13">
        <f>IF(預測IC!U21&gt;預測IC!U$26,1,0)</f>
        <v>1</v>
      </c>
      <c r="V21" s="13">
        <f>IF(預測IC!V21&gt;預測IC!V$26,1,0)</f>
        <v>0</v>
      </c>
      <c r="W21" s="13">
        <f>IF(預測IC!W21&gt;預測IC!W$26,1,0)</f>
        <v>0</v>
      </c>
      <c r="X21" s="13">
        <f>IF(預測IC!X21&gt;預測IC!X$26,1,0)</f>
        <v>0</v>
      </c>
      <c r="Y21" s="13">
        <f>IF(預測IC!Y21&gt;預測IC!Y$26,1,0)</f>
        <v>0</v>
      </c>
      <c r="Z21" s="13">
        <f>IF(預測IC!Z21&gt;預測IC!Z$26,1,0)</f>
        <v>0</v>
      </c>
      <c r="AA21" s="13">
        <f>IF(預測IC!AA21&gt;預測IC!AA$26,1,0)</f>
        <v>1</v>
      </c>
      <c r="AB21" s="13">
        <f>IF(預測IC!AB21&gt;預測IC!AB$26,1,0)</f>
        <v>0</v>
      </c>
      <c r="AC21" s="13">
        <f>IF(預測IC!AC21&gt;預測IC!AC$26,1,0)</f>
        <v>0</v>
      </c>
      <c r="AD21" s="13">
        <f>IF(預測IC!AD21&gt;預測IC!AD$26,1,0)</f>
        <v>1</v>
      </c>
      <c r="AE21" s="13">
        <f>IF(預測IC!AE21&gt;預測IC!AE$26,1,0)</f>
        <v>1</v>
      </c>
      <c r="AF21" s="13">
        <f>IF(預測IC!AF21&gt;預測IC!AF$26,1,0)</f>
        <v>0</v>
      </c>
      <c r="AG21" s="13">
        <f>IF(預測IC!AG21&gt;預測IC!AG$26,1,0)</f>
        <v>0</v>
      </c>
      <c r="AH21" s="13">
        <f>IF(預測IC!AH21&gt;預測IC!AH$26,1,0)</f>
        <v>1</v>
      </c>
      <c r="AI21" s="13">
        <f>IF(預測IC!AI21&gt;預測IC!AI$26,1,0)</f>
        <v>0</v>
      </c>
      <c r="AJ21" s="13">
        <f>IF(預測IC!AJ21&gt;預測IC!AJ$26,1,0)</f>
        <v>1</v>
      </c>
      <c r="AK21" s="13">
        <f>IF(預測IC!AK21&gt;預測IC!AK$26,1,0)</f>
        <v>1</v>
      </c>
      <c r="AL21" s="13">
        <f>IF(預測IC!AL21&gt;預測IC!AL$26,1,0)</f>
        <v>0</v>
      </c>
      <c r="AM21" s="13">
        <f>IF(預測IC!AM21&gt;預測IC!AM$26,1,0)</f>
        <v>0</v>
      </c>
      <c r="AN21" s="13">
        <f>IF(預測IC!AN21&gt;預測IC!AN$26,1,0)</f>
        <v>0</v>
      </c>
      <c r="AO21" s="13">
        <f>IF(預測IC!AO21&gt;預測IC!AO$26,1,0)</f>
        <v>0</v>
      </c>
      <c r="AP21" s="13">
        <f>IF(預測IC!AP21&gt;預測IC!AP$26,1,0)</f>
        <v>1</v>
      </c>
      <c r="AQ21" s="13">
        <f>IF(預測IC!AQ21&gt;預測IC!AQ$26,1,0)</f>
        <v>1</v>
      </c>
      <c r="AR21" s="13">
        <f>IF(預測IC!AR21&gt;預測IC!AR$26,1,0)</f>
        <v>0</v>
      </c>
      <c r="AS21" s="13">
        <f>IF(預測IC!AS21&gt;預測IC!AS$26,1,0)</f>
        <v>0</v>
      </c>
      <c r="AT21" s="13">
        <f>IF(預測IC!AT21&gt;預測IC!AT$26,1,0)</f>
        <v>1</v>
      </c>
      <c r="AU21" s="13">
        <f>IF(預測IC!AU21&gt;預測IC!AU$26,1,0)</f>
        <v>0</v>
      </c>
      <c r="AV21" s="13">
        <f>IF(預測IC!AV21&gt;預測IC!AV$26,1,0)</f>
        <v>0</v>
      </c>
      <c r="AW21" s="13">
        <f>IF(預測IC!AW21&gt;預測IC!AW$26,1,0)</f>
        <v>0</v>
      </c>
      <c r="AX21" s="13">
        <f>IF(預測IC!AX21&gt;預測IC!AX$26,1,0)</f>
        <v>0</v>
      </c>
      <c r="AY21" s="13">
        <f>IF(預測IC!AY21&gt;預測IC!AY$26,1,0)</f>
        <v>0</v>
      </c>
      <c r="AZ21" s="13">
        <f>IF(預測IC!AZ21&gt;預測IC!AZ$26,1,0)</f>
        <v>0</v>
      </c>
      <c r="BA21" s="13">
        <f>IF(預測IC!BA21&gt;預測IC!BA$26,1,0)</f>
        <v>0</v>
      </c>
      <c r="BB21" s="13">
        <f>IF(預測IC!BB21&gt;預測IC!BB$26,1,0)</f>
        <v>1</v>
      </c>
      <c r="BC21" s="13">
        <f>IF(預測IC!BC21&gt;預測IC!BC$26,1,0)</f>
        <v>0</v>
      </c>
      <c r="BD21" s="13">
        <f>IF(預測IC!BD21&gt;預測IC!BD$26,1,0)</f>
        <v>1</v>
      </c>
      <c r="BE21" s="13">
        <f>IF(預測IC!BE21&gt;預測IC!BE$26,1,0)</f>
        <v>0</v>
      </c>
      <c r="BF21" s="13">
        <f>IF(預測IC!BF21&gt;預測IC!BF$26,1,0)</f>
        <v>0</v>
      </c>
      <c r="BG21" s="13">
        <f>IF(預測IC!BG21&gt;預測IC!BG$26,1,0)</f>
        <v>0</v>
      </c>
      <c r="BH21" s="13">
        <f>IF(預測IC!BH21&gt;預測IC!BH$26,1,0)</f>
        <v>1</v>
      </c>
      <c r="BI21" s="13">
        <f>IF(預測IC!BI21&gt;預測IC!BI$26,1,0)</f>
        <v>1</v>
      </c>
      <c r="BJ21" s="13">
        <f>IF(預測IC!BJ21&gt;預測IC!BJ$26,1,0)</f>
        <v>0</v>
      </c>
      <c r="BK21" s="13">
        <f>IF(預測IC!BK21&gt;預測IC!BK$26,1,0)</f>
        <v>0</v>
      </c>
      <c r="BL21" s="13">
        <f>IF(預測IC!BL21&gt;預測IC!BL$26,1,0)</f>
        <v>0</v>
      </c>
      <c r="BM21" s="13">
        <f>IF(預測IC!BM21&gt;預測IC!BM$26,1,0)</f>
        <v>1</v>
      </c>
      <c r="BN21" s="13">
        <f>IF(預測IC!BN21&gt;預測IC!BN$26,1,0)</f>
        <v>0</v>
      </c>
      <c r="BO21" s="13">
        <f>IF(預測IC!BO21&gt;預測IC!BO$26,1,0)</f>
        <v>1</v>
      </c>
      <c r="BP21" s="13">
        <f>IF(預測IC!BP21&gt;預測IC!BP$26,1,0)</f>
        <v>0</v>
      </c>
      <c r="BQ21" s="13">
        <f>IF(預測IC!BQ21&gt;預測IC!BQ$26,1,0)</f>
        <v>0</v>
      </c>
      <c r="BR21" s="13">
        <f>IF(預測IC!BR21&gt;預測IC!BR$26,1,0)</f>
        <v>1</v>
      </c>
      <c r="BS21" s="13">
        <f>IF(預測IC!BS21&gt;預測IC!BS$26,1,0)</f>
        <v>0</v>
      </c>
      <c r="BT21" s="13">
        <f>IF(預測IC!BT21&gt;預測IC!BT$26,1,0)</f>
        <v>0</v>
      </c>
      <c r="BU21" s="13">
        <f>IF(預測IC!BU21&gt;預測IC!BU$26,1,0)</f>
        <v>1</v>
      </c>
      <c r="BV21" s="13">
        <f>IF(預測IC!BV21&gt;預測IC!BV$26,1,0)</f>
        <v>1</v>
      </c>
      <c r="BW21" s="13">
        <f>IF(預測IC!BW21&gt;預測IC!BW$26,1,0)</f>
        <v>0</v>
      </c>
      <c r="BX21" s="13">
        <f>IF(預測IC!BX21&gt;預測IC!BX$26,1,0)</f>
        <v>1</v>
      </c>
      <c r="BY21" s="13">
        <f>IF(預測IC!BY21&gt;預測IC!BY$26,1,0)</f>
        <v>1</v>
      </c>
      <c r="BZ21" s="13">
        <f>IF(預測IC!BZ21&gt;預測IC!BZ$26,1,0)</f>
        <v>0</v>
      </c>
      <c r="CA21" s="13">
        <f>IF(預測IC!CA21&gt;預測IC!CA$26,1,0)</f>
        <v>1</v>
      </c>
      <c r="CB21" s="13">
        <f>IF(預測IC!CB21&gt;預測IC!CB$26,1,0)</f>
        <v>1</v>
      </c>
      <c r="CC21" s="13">
        <f>IF(預測IC!CC21&gt;預測IC!CC$26,1,0)</f>
        <v>0</v>
      </c>
      <c r="CD21" s="13">
        <f>IF(預測IC!CD21&gt;預測IC!CD$26,1,0)</f>
        <v>1</v>
      </c>
      <c r="CE21" s="13">
        <f>IF(預測IC!CE21&gt;預測IC!CE$26,1,0)</f>
        <v>1</v>
      </c>
      <c r="CF21" s="13">
        <f>IF(預測IC!CF21&gt;預測IC!CF$26,1,0)</f>
        <v>1</v>
      </c>
      <c r="CG21" s="13">
        <f>IF(預測IC!CG21&gt;預測IC!CG$26,1,0)</f>
        <v>0</v>
      </c>
      <c r="CH21" s="13">
        <f>IF(預測IC!CH21&gt;預測IC!CH$26,1,0)</f>
        <v>0</v>
      </c>
      <c r="CI21" s="13">
        <f>IF(預測IC!CI21&gt;預測IC!CI$26,1,0)</f>
        <v>0</v>
      </c>
      <c r="CJ21" s="13">
        <f>IF(預測IC!CJ21&gt;預測IC!CJ$26,1,0)</f>
        <v>0</v>
      </c>
      <c r="CK21" s="13">
        <f>IF(預測IC!CK21&gt;預測IC!CK$26,1,0)</f>
        <v>1</v>
      </c>
      <c r="CL21" s="13">
        <f>IF(預測IC!CL21&gt;預測IC!CL$26,1,0)</f>
        <v>1</v>
      </c>
      <c r="CM21" s="13">
        <f>IF(預測IC!CM21&gt;預測IC!CM$26,1,0)</f>
        <v>1</v>
      </c>
      <c r="CN21" s="13">
        <f>IF(預測IC!CN21&gt;預測IC!CN$26,1,0)</f>
        <v>0</v>
      </c>
      <c r="CO21" s="13">
        <f>IF(預測IC!CO21&gt;預測IC!CO$26,1,0)</f>
        <v>0</v>
      </c>
      <c r="CP21" s="13">
        <f>IF(預測IC!CP21&gt;預測IC!CP$26,1,0)</f>
        <v>0</v>
      </c>
      <c r="CQ21" s="13">
        <f>IF(預測IC!CQ21&gt;預測IC!CQ$26,1,0)</f>
        <v>1</v>
      </c>
      <c r="CR21" s="13">
        <f>IF(預測IC!CR21&gt;預測IC!CR$26,1,0)</f>
        <v>1</v>
      </c>
      <c r="CS21" s="13">
        <f>IF(預測IC!CS21&gt;預測IC!CS$26,1,0)</f>
        <v>1</v>
      </c>
      <c r="CT21" s="13">
        <f>IF(預測IC!CT21&gt;預測IC!CT$26,1,0)</f>
        <v>0</v>
      </c>
      <c r="CU21" s="13">
        <f>IF(預測IC!CU21&gt;預測IC!CU$26,1,0)</f>
        <v>0</v>
      </c>
      <c r="CV21" s="13">
        <f>IF(預測IC!CV21&gt;預測IC!CV$26,1,0)</f>
        <v>1</v>
      </c>
      <c r="CW21" s="13">
        <f>IF(預測IC!CW21&gt;預測IC!CW$26,1,0)</f>
        <v>1</v>
      </c>
      <c r="CX21" s="13">
        <f>IF(預測IC!CX21&gt;預測IC!CX$26,1,0)</f>
        <v>1</v>
      </c>
      <c r="CY21" s="13">
        <f>IF(預測IC!CY21&gt;預測IC!CY$26,1,0)</f>
        <v>1</v>
      </c>
      <c r="CZ21" s="13">
        <f>IF(預測IC!CZ21&gt;預測IC!CZ$26,1,0)</f>
        <v>1</v>
      </c>
      <c r="DA21" s="13">
        <f>IF(預測IC!DA21&gt;預測IC!DA$26,1,0)</f>
        <v>1</v>
      </c>
      <c r="DB21" s="13">
        <f>IF(預測IC!DB21&gt;預測IC!DB$26,1,0)</f>
        <v>1</v>
      </c>
      <c r="DC21" s="13">
        <f>IF(預測IC!DC21&gt;預測IC!DC$26,1,0)</f>
        <v>0</v>
      </c>
      <c r="DD21" s="13">
        <f>IF(預測IC!DD21&gt;預測IC!DD$26,1,0)</f>
        <v>0</v>
      </c>
      <c r="DE21" s="13">
        <f>IF(預測IC!DE21&gt;預測IC!DE$26,1,0)</f>
        <v>0</v>
      </c>
      <c r="DF21" s="13">
        <f>IF(預測IC!DF21&gt;預測IC!DF$26,1,0)</f>
        <v>0</v>
      </c>
      <c r="DG21" s="13">
        <f>IF(預測IC!DG21&gt;預測IC!DG$26,1,0)</f>
        <v>0</v>
      </c>
      <c r="DH21" s="13">
        <f>IF(預測IC!DH21&gt;預測IC!DH$26,1,0)</f>
        <v>1</v>
      </c>
      <c r="DI21" s="13">
        <f>IF(預測IC!DI21&gt;預測IC!DI$26,1,0)</f>
        <v>1</v>
      </c>
      <c r="DJ21" s="13">
        <f>IF(預測IC!DJ21&gt;預測IC!DJ$26,1,0)</f>
        <v>0</v>
      </c>
      <c r="DK21" s="13">
        <f>IF(預測IC!DK21&gt;預測IC!DK$26,1,0)</f>
        <v>1</v>
      </c>
      <c r="DL21" s="13">
        <f>IF(預測IC!DL21&gt;預測IC!DL$26,1,0)</f>
        <v>0</v>
      </c>
      <c r="DM21" s="13">
        <f>IF(預測IC!DM21&gt;預測IC!DM$26,1,0)</f>
        <v>0</v>
      </c>
      <c r="DN21" s="13">
        <f>IF(預測IC!DN21&gt;預測IC!DN$26,1,0)</f>
        <v>0</v>
      </c>
      <c r="DO21" s="13">
        <f>IF(預測IC!DO21&gt;預測IC!DO$26,1,0)</f>
        <v>1</v>
      </c>
      <c r="DP21" s="13">
        <f>IF(預測IC!DP21&gt;預測IC!DP$26,1,0)</f>
        <v>0</v>
      </c>
      <c r="DQ21" s="13">
        <f>IF(預測IC!DQ21&gt;預測IC!DQ$26,1,0)</f>
        <v>0</v>
      </c>
      <c r="DR21" s="13">
        <f>IF(預測IC!DR21&gt;預測IC!DR$26,1,0)</f>
        <v>1</v>
      </c>
      <c r="DS21" s="13">
        <f>IF(預測IC!DS21&gt;預測IC!DS$26,1,0)</f>
        <v>1</v>
      </c>
      <c r="DT21" s="13">
        <f>IF(預測IC!DT21&gt;預測IC!DT$26,1,0)</f>
        <v>0</v>
      </c>
      <c r="DU21" s="13">
        <f>IF(預測IC!DU21&gt;預測IC!DU$26,1,0)</f>
        <v>0</v>
      </c>
      <c r="DV21" s="13">
        <f>IF(預測IC!DV21&gt;預測IC!DV$26,1,0)</f>
        <v>0</v>
      </c>
      <c r="DW21" s="13">
        <f>IF(預測IC!DW21&gt;預測IC!DW$26,1,0)</f>
        <v>0</v>
      </c>
      <c r="DX21" s="13">
        <f>IF(預測IC!DX21&gt;預測IC!DX$26,1,0)</f>
        <v>0</v>
      </c>
      <c r="DY21" s="13">
        <f>IF(預測IC!DY21&gt;預測IC!DY$26,1,0)</f>
        <v>0</v>
      </c>
      <c r="DZ21" s="13">
        <f>IF(預測IC!DZ21&gt;預測IC!DZ$26,1,0)</f>
        <v>1</v>
      </c>
      <c r="EA21" s="13">
        <f>IF(預測IC!EA21&gt;預測IC!EA$26,1,0)</f>
        <v>1</v>
      </c>
      <c r="EB21" s="13">
        <f>IF(預測IC!EB21&gt;預測IC!EB$26,1,0)</f>
        <v>0</v>
      </c>
      <c r="EC21" s="13">
        <f>IF(預測IC!EC21&gt;預測IC!EC$26,1,0)</f>
        <v>1</v>
      </c>
      <c r="ED21" s="13">
        <f>IF(預測IC!ED21&gt;預測IC!ED$26,1,0)</f>
        <v>0</v>
      </c>
      <c r="EE21" s="13">
        <f>IF(預測IC!EE21&gt;預測IC!EE$26,1,0)</f>
        <v>0</v>
      </c>
      <c r="EF21" s="13">
        <f>IF(預測IC!EF21&gt;預測IC!EF$26,1,0)</f>
        <v>1</v>
      </c>
      <c r="EG21" s="1">
        <f t="shared" si="10"/>
        <v>61</v>
      </c>
      <c r="EH21" s="20">
        <f t="shared" si="11"/>
        <v>0.45522388059701491</v>
      </c>
    </row>
    <row r="22" spans="1:138">
      <c r="A22" s="2">
        <v>321</v>
      </c>
      <c r="B22" s="2">
        <v>3</v>
      </c>
      <c r="C22" s="13">
        <f>IF(預測IC!C22&gt;預測IC!C$26,1,0)</f>
        <v>0</v>
      </c>
      <c r="D22" s="13">
        <f>IF(預測IC!D22&gt;預測IC!D$26,1,0)</f>
        <v>0</v>
      </c>
      <c r="E22" s="13">
        <f>IF(預測IC!E22&gt;預測IC!E$26,1,0)</f>
        <v>0</v>
      </c>
      <c r="F22" s="13">
        <f>IF(預測IC!F22&gt;預測IC!F$26,1,0)</f>
        <v>1</v>
      </c>
      <c r="G22" s="13">
        <f>IF(預測IC!G22&gt;預測IC!G$26,1,0)</f>
        <v>1</v>
      </c>
      <c r="H22" s="13">
        <f>IF(預測IC!H22&gt;預測IC!H$26,1,0)</f>
        <v>0</v>
      </c>
      <c r="I22" s="13">
        <f>IF(預測IC!I22&gt;預測IC!I$26,1,0)</f>
        <v>1</v>
      </c>
      <c r="J22" s="13">
        <f>IF(預測IC!J22&gt;預測IC!J$26,1,0)</f>
        <v>1</v>
      </c>
      <c r="K22" s="13">
        <f>IF(預測IC!K22&gt;預測IC!K$26,1,0)</f>
        <v>1</v>
      </c>
      <c r="L22" s="13">
        <f>IF(預測IC!L22&gt;預測IC!L$26,1,0)</f>
        <v>1</v>
      </c>
      <c r="M22" s="13">
        <f>IF(預測IC!M22&gt;預測IC!M$26,1,0)</f>
        <v>0</v>
      </c>
      <c r="N22" s="13">
        <f>IF(預測IC!N22&gt;預測IC!N$26,1,0)</f>
        <v>0</v>
      </c>
      <c r="O22" s="13">
        <f>IF(預測IC!O22&gt;預測IC!O$26,1,0)</f>
        <v>0</v>
      </c>
      <c r="P22" s="13">
        <f>IF(預測IC!P22&gt;預測IC!P$26,1,0)</f>
        <v>1</v>
      </c>
      <c r="Q22" s="13">
        <f>IF(預測IC!Q22&gt;預測IC!Q$26,1,0)</f>
        <v>1</v>
      </c>
      <c r="R22" s="13">
        <f>IF(預測IC!R22&gt;預測IC!R$26,1,0)</f>
        <v>1</v>
      </c>
      <c r="S22" s="13">
        <f>IF(預測IC!S22&gt;預測IC!S$26,1,0)</f>
        <v>1</v>
      </c>
      <c r="T22" s="13">
        <f>IF(預測IC!T22&gt;預測IC!T$26,1,0)</f>
        <v>0</v>
      </c>
      <c r="U22" s="13">
        <f>IF(預測IC!U22&gt;預測IC!U$26,1,0)</f>
        <v>1</v>
      </c>
      <c r="V22" s="13">
        <f>IF(預測IC!V22&gt;預測IC!V$26,1,0)</f>
        <v>1</v>
      </c>
      <c r="W22" s="13">
        <f>IF(預測IC!W22&gt;預測IC!W$26,1,0)</f>
        <v>0</v>
      </c>
      <c r="X22" s="13">
        <f>IF(預測IC!X22&gt;預測IC!X$26,1,0)</f>
        <v>0</v>
      </c>
      <c r="Y22" s="13">
        <f>IF(預測IC!Y22&gt;預測IC!Y$26,1,0)</f>
        <v>0</v>
      </c>
      <c r="Z22" s="13">
        <f>IF(預測IC!Z22&gt;預測IC!Z$26,1,0)</f>
        <v>0</v>
      </c>
      <c r="AA22" s="13">
        <f>IF(預測IC!AA22&gt;預測IC!AA$26,1,0)</f>
        <v>1</v>
      </c>
      <c r="AB22" s="13">
        <f>IF(預測IC!AB22&gt;預測IC!AB$26,1,0)</f>
        <v>0</v>
      </c>
      <c r="AC22" s="13">
        <f>IF(預測IC!AC22&gt;預測IC!AC$26,1,0)</f>
        <v>0</v>
      </c>
      <c r="AD22" s="13">
        <f>IF(預測IC!AD22&gt;預測IC!AD$26,1,0)</f>
        <v>1</v>
      </c>
      <c r="AE22" s="13">
        <f>IF(預測IC!AE22&gt;預測IC!AE$26,1,0)</f>
        <v>1</v>
      </c>
      <c r="AF22" s="13">
        <f>IF(預測IC!AF22&gt;預測IC!AF$26,1,0)</f>
        <v>0</v>
      </c>
      <c r="AG22" s="13">
        <f>IF(預測IC!AG22&gt;預測IC!AG$26,1,0)</f>
        <v>0</v>
      </c>
      <c r="AH22" s="13">
        <f>IF(預測IC!AH22&gt;預測IC!AH$26,1,0)</f>
        <v>1</v>
      </c>
      <c r="AI22" s="13">
        <f>IF(預測IC!AI22&gt;預測IC!AI$26,1,0)</f>
        <v>0</v>
      </c>
      <c r="AJ22" s="13">
        <f>IF(預測IC!AJ22&gt;預測IC!AJ$26,1,0)</f>
        <v>1</v>
      </c>
      <c r="AK22" s="13">
        <f>IF(預測IC!AK22&gt;預測IC!AK$26,1,0)</f>
        <v>1</v>
      </c>
      <c r="AL22" s="13">
        <f>IF(預測IC!AL22&gt;預測IC!AL$26,1,0)</f>
        <v>0</v>
      </c>
      <c r="AM22" s="13">
        <f>IF(預測IC!AM22&gt;預測IC!AM$26,1,0)</f>
        <v>0</v>
      </c>
      <c r="AN22" s="13">
        <f>IF(預測IC!AN22&gt;預測IC!AN$26,1,0)</f>
        <v>0</v>
      </c>
      <c r="AO22" s="13">
        <f>IF(預測IC!AO22&gt;預測IC!AO$26,1,0)</f>
        <v>0</v>
      </c>
      <c r="AP22" s="13">
        <f>IF(預測IC!AP22&gt;預測IC!AP$26,1,0)</f>
        <v>1</v>
      </c>
      <c r="AQ22" s="13">
        <f>IF(預測IC!AQ22&gt;預測IC!AQ$26,1,0)</f>
        <v>0</v>
      </c>
      <c r="AR22" s="13">
        <f>IF(預測IC!AR22&gt;預測IC!AR$26,1,0)</f>
        <v>0</v>
      </c>
      <c r="AS22" s="13">
        <f>IF(預測IC!AS22&gt;預測IC!AS$26,1,0)</f>
        <v>1</v>
      </c>
      <c r="AT22" s="13">
        <f>IF(預測IC!AT22&gt;預測IC!AT$26,1,0)</f>
        <v>1</v>
      </c>
      <c r="AU22" s="13">
        <f>IF(預測IC!AU22&gt;預測IC!AU$26,1,0)</f>
        <v>0</v>
      </c>
      <c r="AV22" s="13">
        <f>IF(預測IC!AV22&gt;預測IC!AV$26,1,0)</f>
        <v>0</v>
      </c>
      <c r="AW22" s="13">
        <f>IF(預測IC!AW22&gt;預測IC!AW$26,1,0)</f>
        <v>0</v>
      </c>
      <c r="AX22" s="13">
        <f>IF(預測IC!AX22&gt;預測IC!AX$26,1,0)</f>
        <v>1</v>
      </c>
      <c r="AY22" s="13">
        <f>IF(預測IC!AY22&gt;預測IC!AY$26,1,0)</f>
        <v>0</v>
      </c>
      <c r="AZ22" s="13">
        <f>IF(預測IC!AZ22&gt;預測IC!AZ$26,1,0)</f>
        <v>0</v>
      </c>
      <c r="BA22" s="13">
        <f>IF(預測IC!BA22&gt;預測IC!BA$26,1,0)</f>
        <v>0</v>
      </c>
      <c r="BB22" s="13">
        <f>IF(預測IC!BB22&gt;預測IC!BB$26,1,0)</f>
        <v>1</v>
      </c>
      <c r="BC22" s="13">
        <f>IF(預測IC!BC22&gt;預測IC!BC$26,1,0)</f>
        <v>0</v>
      </c>
      <c r="BD22" s="13">
        <f>IF(預測IC!BD22&gt;預測IC!BD$26,1,0)</f>
        <v>1</v>
      </c>
      <c r="BE22" s="13">
        <f>IF(預測IC!BE22&gt;預測IC!BE$26,1,0)</f>
        <v>0</v>
      </c>
      <c r="BF22" s="13">
        <f>IF(預測IC!BF22&gt;預測IC!BF$26,1,0)</f>
        <v>0</v>
      </c>
      <c r="BG22" s="13">
        <f>IF(預測IC!BG22&gt;預測IC!BG$26,1,0)</f>
        <v>0</v>
      </c>
      <c r="BH22" s="13">
        <f>IF(預測IC!BH22&gt;預測IC!BH$26,1,0)</f>
        <v>0</v>
      </c>
      <c r="BI22" s="13">
        <f>IF(預測IC!BI22&gt;預測IC!BI$26,1,0)</f>
        <v>1</v>
      </c>
      <c r="BJ22" s="13">
        <f>IF(預測IC!BJ22&gt;預測IC!BJ$26,1,0)</f>
        <v>0</v>
      </c>
      <c r="BK22" s="13">
        <f>IF(預測IC!BK22&gt;預測IC!BK$26,1,0)</f>
        <v>0</v>
      </c>
      <c r="BL22" s="13">
        <f>IF(預測IC!BL22&gt;預測IC!BL$26,1,0)</f>
        <v>0</v>
      </c>
      <c r="BM22" s="13">
        <f>IF(預測IC!BM22&gt;預測IC!BM$26,1,0)</f>
        <v>0</v>
      </c>
      <c r="BN22" s="13">
        <f>IF(預測IC!BN22&gt;預測IC!BN$26,1,0)</f>
        <v>0</v>
      </c>
      <c r="BO22" s="13">
        <f>IF(預測IC!BO22&gt;預測IC!BO$26,1,0)</f>
        <v>1</v>
      </c>
      <c r="BP22" s="13">
        <f>IF(預測IC!BP22&gt;預測IC!BP$26,1,0)</f>
        <v>0</v>
      </c>
      <c r="BQ22" s="13">
        <f>IF(預測IC!BQ22&gt;預測IC!BQ$26,1,0)</f>
        <v>0</v>
      </c>
      <c r="BR22" s="13">
        <f>IF(預測IC!BR22&gt;預測IC!BR$26,1,0)</f>
        <v>1</v>
      </c>
      <c r="BS22" s="13">
        <f>IF(預測IC!BS22&gt;預測IC!BS$26,1,0)</f>
        <v>0</v>
      </c>
      <c r="BT22" s="13">
        <f>IF(預測IC!BT22&gt;預測IC!BT$26,1,0)</f>
        <v>1</v>
      </c>
      <c r="BU22" s="13">
        <f>IF(預測IC!BU22&gt;預測IC!BU$26,1,0)</f>
        <v>1</v>
      </c>
      <c r="BV22" s="13">
        <f>IF(預測IC!BV22&gt;預測IC!BV$26,1,0)</f>
        <v>1</v>
      </c>
      <c r="BW22" s="13">
        <f>IF(預測IC!BW22&gt;預測IC!BW$26,1,0)</f>
        <v>0</v>
      </c>
      <c r="BX22" s="13">
        <f>IF(預測IC!BX22&gt;預測IC!BX$26,1,0)</f>
        <v>1</v>
      </c>
      <c r="BY22" s="13">
        <f>IF(預測IC!BY22&gt;預測IC!BY$26,1,0)</f>
        <v>1</v>
      </c>
      <c r="BZ22" s="13">
        <f>IF(預測IC!BZ22&gt;預測IC!BZ$26,1,0)</f>
        <v>0</v>
      </c>
      <c r="CA22" s="13">
        <f>IF(預測IC!CA22&gt;預測IC!CA$26,1,0)</f>
        <v>1</v>
      </c>
      <c r="CB22" s="13">
        <f>IF(預測IC!CB22&gt;預測IC!CB$26,1,0)</f>
        <v>1</v>
      </c>
      <c r="CC22" s="13">
        <f>IF(預測IC!CC22&gt;預測IC!CC$26,1,0)</f>
        <v>0</v>
      </c>
      <c r="CD22" s="13">
        <f>IF(預測IC!CD22&gt;預測IC!CD$26,1,0)</f>
        <v>1</v>
      </c>
      <c r="CE22" s="13">
        <f>IF(預測IC!CE22&gt;預測IC!CE$26,1,0)</f>
        <v>1</v>
      </c>
      <c r="CF22" s="13">
        <f>IF(預測IC!CF22&gt;預測IC!CF$26,1,0)</f>
        <v>1</v>
      </c>
      <c r="CG22" s="13">
        <f>IF(預測IC!CG22&gt;預測IC!CG$26,1,0)</f>
        <v>0</v>
      </c>
      <c r="CH22" s="13">
        <f>IF(預測IC!CH22&gt;預測IC!CH$26,1,0)</f>
        <v>0</v>
      </c>
      <c r="CI22" s="13">
        <f>IF(預測IC!CI22&gt;預測IC!CI$26,1,0)</f>
        <v>0</v>
      </c>
      <c r="CJ22" s="13">
        <f>IF(預測IC!CJ22&gt;預測IC!CJ$26,1,0)</f>
        <v>0</v>
      </c>
      <c r="CK22" s="13">
        <f>IF(預測IC!CK22&gt;預測IC!CK$26,1,0)</f>
        <v>1</v>
      </c>
      <c r="CL22" s="13">
        <f>IF(預測IC!CL22&gt;預測IC!CL$26,1,0)</f>
        <v>1</v>
      </c>
      <c r="CM22" s="13">
        <f>IF(預測IC!CM22&gt;預測IC!CM$26,1,0)</f>
        <v>1</v>
      </c>
      <c r="CN22" s="13">
        <f>IF(預測IC!CN22&gt;預測IC!CN$26,1,0)</f>
        <v>0</v>
      </c>
      <c r="CO22" s="13">
        <f>IF(預測IC!CO22&gt;預測IC!CO$26,1,0)</f>
        <v>0</v>
      </c>
      <c r="CP22" s="13">
        <f>IF(預測IC!CP22&gt;預測IC!CP$26,1,0)</f>
        <v>0</v>
      </c>
      <c r="CQ22" s="13">
        <f>IF(預測IC!CQ22&gt;預測IC!CQ$26,1,0)</f>
        <v>1</v>
      </c>
      <c r="CR22" s="13">
        <f>IF(預測IC!CR22&gt;預測IC!CR$26,1,0)</f>
        <v>1</v>
      </c>
      <c r="CS22" s="13">
        <f>IF(預測IC!CS22&gt;預測IC!CS$26,1,0)</f>
        <v>0</v>
      </c>
      <c r="CT22" s="13">
        <f>IF(預測IC!CT22&gt;預測IC!CT$26,1,0)</f>
        <v>0</v>
      </c>
      <c r="CU22" s="13">
        <f>IF(預測IC!CU22&gt;預測IC!CU$26,1,0)</f>
        <v>0</v>
      </c>
      <c r="CV22" s="13">
        <f>IF(預測IC!CV22&gt;預測IC!CV$26,1,0)</f>
        <v>1</v>
      </c>
      <c r="CW22" s="13">
        <f>IF(預測IC!CW22&gt;預測IC!CW$26,1,0)</f>
        <v>1</v>
      </c>
      <c r="CX22" s="13">
        <f>IF(預測IC!CX22&gt;預測IC!CX$26,1,0)</f>
        <v>1</v>
      </c>
      <c r="CY22" s="13">
        <f>IF(預測IC!CY22&gt;預測IC!CY$26,1,0)</f>
        <v>1</v>
      </c>
      <c r="CZ22" s="13">
        <f>IF(預測IC!CZ22&gt;預測IC!CZ$26,1,0)</f>
        <v>1</v>
      </c>
      <c r="DA22" s="13">
        <f>IF(預測IC!DA22&gt;預測IC!DA$26,1,0)</f>
        <v>1</v>
      </c>
      <c r="DB22" s="13">
        <f>IF(預測IC!DB22&gt;預測IC!DB$26,1,0)</f>
        <v>1</v>
      </c>
      <c r="DC22" s="13">
        <f>IF(預測IC!DC22&gt;預測IC!DC$26,1,0)</f>
        <v>0</v>
      </c>
      <c r="DD22" s="13">
        <f>IF(預測IC!DD22&gt;預測IC!DD$26,1,0)</f>
        <v>1</v>
      </c>
      <c r="DE22" s="13">
        <f>IF(預測IC!DE22&gt;預測IC!DE$26,1,0)</f>
        <v>0</v>
      </c>
      <c r="DF22" s="13">
        <f>IF(預測IC!DF22&gt;預測IC!DF$26,1,0)</f>
        <v>0</v>
      </c>
      <c r="DG22" s="13">
        <f>IF(預測IC!DG22&gt;預測IC!DG$26,1,0)</f>
        <v>0</v>
      </c>
      <c r="DH22" s="13">
        <f>IF(預測IC!DH22&gt;預測IC!DH$26,1,0)</f>
        <v>1</v>
      </c>
      <c r="DI22" s="13">
        <f>IF(預測IC!DI22&gt;預測IC!DI$26,1,0)</f>
        <v>1</v>
      </c>
      <c r="DJ22" s="13">
        <f>IF(預測IC!DJ22&gt;預測IC!DJ$26,1,0)</f>
        <v>0</v>
      </c>
      <c r="DK22" s="13">
        <f>IF(預測IC!DK22&gt;預測IC!DK$26,1,0)</f>
        <v>1</v>
      </c>
      <c r="DL22" s="13">
        <f>IF(預測IC!DL22&gt;預測IC!DL$26,1,0)</f>
        <v>0</v>
      </c>
      <c r="DM22" s="13">
        <f>IF(預測IC!DM22&gt;預測IC!DM$26,1,0)</f>
        <v>1</v>
      </c>
      <c r="DN22" s="13">
        <f>IF(預測IC!DN22&gt;預測IC!DN$26,1,0)</f>
        <v>0</v>
      </c>
      <c r="DO22" s="13">
        <f>IF(預測IC!DO22&gt;預測IC!DO$26,1,0)</f>
        <v>0</v>
      </c>
      <c r="DP22" s="13">
        <f>IF(預測IC!DP22&gt;預測IC!DP$26,1,0)</f>
        <v>0</v>
      </c>
      <c r="DQ22" s="13">
        <f>IF(預測IC!DQ22&gt;預測IC!DQ$26,1,0)</f>
        <v>1</v>
      </c>
      <c r="DR22" s="13">
        <f>IF(預測IC!DR22&gt;預測IC!DR$26,1,0)</f>
        <v>0</v>
      </c>
      <c r="DS22" s="13">
        <f>IF(預測IC!DS22&gt;預測IC!DS$26,1,0)</f>
        <v>1</v>
      </c>
      <c r="DT22" s="13">
        <f>IF(預測IC!DT22&gt;預測IC!DT$26,1,0)</f>
        <v>0</v>
      </c>
      <c r="DU22" s="13">
        <f>IF(預測IC!DU22&gt;預測IC!DU$26,1,0)</f>
        <v>0</v>
      </c>
      <c r="DV22" s="13">
        <f>IF(預測IC!DV22&gt;預測IC!DV$26,1,0)</f>
        <v>0</v>
      </c>
      <c r="DW22" s="13">
        <f>IF(預測IC!DW22&gt;預測IC!DW$26,1,0)</f>
        <v>0</v>
      </c>
      <c r="DX22" s="13">
        <f>IF(預測IC!DX22&gt;預測IC!DX$26,1,0)</f>
        <v>0</v>
      </c>
      <c r="DY22" s="13">
        <f>IF(預測IC!DY22&gt;預測IC!DY$26,1,0)</f>
        <v>0</v>
      </c>
      <c r="DZ22" s="13">
        <f>IF(預測IC!DZ22&gt;預測IC!DZ$26,1,0)</f>
        <v>1</v>
      </c>
      <c r="EA22" s="13">
        <f>IF(預測IC!EA22&gt;預測IC!EA$26,1,0)</f>
        <v>1</v>
      </c>
      <c r="EB22" s="13">
        <f>IF(預測IC!EB22&gt;預測IC!EB$26,1,0)</f>
        <v>0</v>
      </c>
      <c r="EC22" s="13">
        <f>IF(預測IC!EC22&gt;預測IC!EC$26,1,0)</f>
        <v>1</v>
      </c>
      <c r="ED22" s="13">
        <f>IF(預測IC!ED22&gt;預測IC!ED$26,1,0)</f>
        <v>0</v>
      </c>
      <c r="EE22" s="13">
        <f>IF(預測IC!EE22&gt;預測IC!EE$26,1,0)</f>
        <v>0</v>
      </c>
      <c r="EF22" s="13">
        <f>IF(預測IC!EF22&gt;預測IC!EF$26,1,0)</f>
        <v>1</v>
      </c>
      <c r="EG22" s="1">
        <f t="shared" si="10"/>
        <v>60</v>
      </c>
      <c r="EH22" s="20">
        <f t="shared" si="11"/>
        <v>0.44776119402985076</v>
      </c>
    </row>
    <row r="23" spans="1:138">
      <c r="A23" s="2">
        <v>482</v>
      </c>
      <c r="B23" s="2">
        <v>2</v>
      </c>
      <c r="C23" s="13">
        <f>IF(預測IC!C23&gt;預測IC!C$26,1,0)</f>
        <v>0</v>
      </c>
      <c r="D23" s="13">
        <f>IF(預測IC!D23&gt;預測IC!D$26,1,0)</f>
        <v>1</v>
      </c>
      <c r="E23" s="13">
        <f>IF(預測IC!E23&gt;預測IC!E$26,1,0)</f>
        <v>0</v>
      </c>
      <c r="F23" s="13">
        <f>IF(預測IC!F23&gt;預測IC!F$26,1,0)</f>
        <v>1</v>
      </c>
      <c r="G23" s="13">
        <f>IF(預測IC!G23&gt;預測IC!G$26,1,0)</f>
        <v>0</v>
      </c>
      <c r="H23" s="13">
        <f>IF(預測IC!H23&gt;預測IC!H$26,1,0)</f>
        <v>0</v>
      </c>
      <c r="I23" s="13">
        <f>IF(預測IC!I23&gt;預測IC!I$26,1,0)</f>
        <v>1</v>
      </c>
      <c r="J23" s="13">
        <f>IF(預測IC!J23&gt;預測IC!J$26,1,0)</f>
        <v>1</v>
      </c>
      <c r="K23" s="13">
        <f>IF(預測IC!K23&gt;預測IC!K$26,1,0)</f>
        <v>1</v>
      </c>
      <c r="L23" s="13">
        <f>IF(預測IC!L23&gt;預測IC!L$26,1,0)</f>
        <v>1</v>
      </c>
      <c r="M23" s="13">
        <f>IF(預測IC!M23&gt;預測IC!M$26,1,0)</f>
        <v>0</v>
      </c>
      <c r="N23" s="13">
        <f>IF(預測IC!N23&gt;預測IC!N$26,1,0)</f>
        <v>0</v>
      </c>
      <c r="O23" s="13">
        <f>IF(預測IC!O23&gt;預測IC!O$26,1,0)</f>
        <v>0</v>
      </c>
      <c r="P23" s="13">
        <f>IF(預測IC!P23&gt;預測IC!P$26,1,0)</f>
        <v>1</v>
      </c>
      <c r="Q23" s="13">
        <f>IF(預測IC!Q23&gt;預測IC!Q$26,1,0)</f>
        <v>1</v>
      </c>
      <c r="R23" s="13">
        <f>IF(預測IC!R23&gt;預測IC!R$26,1,0)</f>
        <v>1</v>
      </c>
      <c r="S23" s="13">
        <f>IF(預測IC!S23&gt;預測IC!S$26,1,0)</f>
        <v>1</v>
      </c>
      <c r="T23" s="13">
        <f>IF(預測IC!T23&gt;預測IC!T$26,1,0)</f>
        <v>0</v>
      </c>
      <c r="U23" s="13">
        <f>IF(預測IC!U23&gt;預測IC!U$26,1,0)</f>
        <v>1</v>
      </c>
      <c r="V23" s="13">
        <f>IF(預測IC!V23&gt;預測IC!V$26,1,0)</f>
        <v>1</v>
      </c>
      <c r="W23" s="13">
        <f>IF(預測IC!W23&gt;預測IC!W$26,1,0)</f>
        <v>0</v>
      </c>
      <c r="X23" s="13">
        <f>IF(預測IC!X23&gt;預測IC!X$26,1,0)</f>
        <v>0</v>
      </c>
      <c r="Y23" s="13">
        <f>IF(預測IC!Y23&gt;預測IC!Y$26,1,0)</f>
        <v>1</v>
      </c>
      <c r="Z23" s="13">
        <f>IF(預測IC!Z23&gt;預測IC!Z$26,1,0)</f>
        <v>0</v>
      </c>
      <c r="AA23" s="13">
        <f>IF(預測IC!AA23&gt;預測IC!AA$26,1,0)</f>
        <v>0</v>
      </c>
      <c r="AB23" s="13">
        <f>IF(預測IC!AB23&gt;預測IC!AB$26,1,0)</f>
        <v>0</v>
      </c>
      <c r="AC23" s="13">
        <f>IF(預測IC!AC23&gt;預測IC!AC$26,1,0)</f>
        <v>0</v>
      </c>
      <c r="AD23" s="13">
        <f>IF(預測IC!AD23&gt;預測IC!AD$26,1,0)</f>
        <v>1</v>
      </c>
      <c r="AE23" s="13">
        <f>IF(預測IC!AE23&gt;預測IC!AE$26,1,0)</f>
        <v>1</v>
      </c>
      <c r="AF23" s="13">
        <f>IF(預測IC!AF23&gt;預測IC!AF$26,1,0)</f>
        <v>0</v>
      </c>
      <c r="AG23" s="13">
        <f>IF(預測IC!AG23&gt;預測IC!AG$26,1,0)</f>
        <v>0</v>
      </c>
      <c r="AH23" s="13">
        <f>IF(預測IC!AH23&gt;預測IC!AH$26,1,0)</f>
        <v>1</v>
      </c>
      <c r="AI23" s="13">
        <f>IF(預測IC!AI23&gt;預測IC!AI$26,1,0)</f>
        <v>0</v>
      </c>
      <c r="AJ23" s="13">
        <f>IF(預測IC!AJ23&gt;預測IC!AJ$26,1,0)</f>
        <v>0</v>
      </c>
      <c r="AK23" s="13">
        <f>IF(預測IC!AK23&gt;預測IC!AK$26,1,0)</f>
        <v>1</v>
      </c>
      <c r="AL23" s="13">
        <f>IF(預測IC!AL23&gt;預測IC!AL$26,1,0)</f>
        <v>0</v>
      </c>
      <c r="AM23" s="13">
        <f>IF(預測IC!AM23&gt;預測IC!AM$26,1,0)</f>
        <v>0</v>
      </c>
      <c r="AN23" s="13">
        <f>IF(預測IC!AN23&gt;預測IC!AN$26,1,0)</f>
        <v>0</v>
      </c>
      <c r="AO23" s="13">
        <f>IF(預測IC!AO23&gt;預測IC!AO$26,1,0)</f>
        <v>0</v>
      </c>
      <c r="AP23" s="13">
        <f>IF(預測IC!AP23&gt;預測IC!AP$26,1,0)</f>
        <v>0</v>
      </c>
      <c r="AQ23" s="13">
        <f>IF(預測IC!AQ23&gt;預測IC!AQ$26,1,0)</f>
        <v>1</v>
      </c>
      <c r="AR23" s="13">
        <f>IF(預測IC!AR23&gt;預測IC!AR$26,1,0)</f>
        <v>0</v>
      </c>
      <c r="AS23" s="13">
        <f>IF(預測IC!AS23&gt;預測IC!AS$26,1,0)</f>
        <v>1</v>
      </c>
      <c r="AT23" s="13">
        <f>IF(預測IC!AT23&gt;預測IC!AT$26,1,0)</f>
        <v>1</v>
      </c>
      <c r="AU23" s="13">
        <f>IF(預測IC!AU23&gt;預測IC!AU$26,1,0)</f>
        <v>0</v>
      </c>
      <c r="AV23" s="13">
        <f>IF(預測IC!AV23&gt;預測IC!AV$26,1,0)</f>
        <v>0</v>
      </c>
      <c r="AW23" s="13">
        <f>IF(預測IC!AW23&gt;預測IC!AW$26,1,0)</f>
        <v>0</v>
      </c>
      <c r="AX23" s="13">
        <f>IF(預測IC!AX23&gt;預測IC!AX$26,1,0)</f>
        <v>1</v>
      </c>
      <c r="AY23" s="13">
        <f>IF(預測IC!AY23&gt;預測IC!AY$26,1,0)</f>
        <v>0</v>
      </c>
      <c r="AZ23" s="13">
        <f>IF(預測IC!AZ23&gt;預測IC!AZ$26,1,0)</f>
        <v>0</v>
      </c>
      <c r="BA23" s="13">
        <f>IF(預測IC!BA23&gt;預測IC!BA$26,1,0)</f>
        <v>1</v>
      </c>
      <c r="BB23" s="13">
        <f>IF(預測IC!BB23&gt;預測IC!BB$26,1,0)</f>
        <v>0</v>
      </c>
      <c r="BC23" s="13">
        <f>IF(預測IC!BC23&gt;預測IC!BC$26,1,0)</f>
        <v>0</v>
      </c>
      <c r="BD23" s="13">
        <f>IF(預測IC!BD23&gt;預測IC!BD$26,1,0)</f>
        <v>1</v>
      </c>
      <c r="BE23" s="13">
        <f>IF(預測IC!BE23&gt;預測IC!BE$26,1,0)</f>
        <v>0</v>
      </c>
      <c r="BF23" s="13">
        <f>IF(預測IC!BF23&gt;預測IC!BF$26,1,0)</f>
        <v>0</v>
      </c>
      <c r="BG23" s="13">
        <f>IF(預測IC!BG23&gt;預測IC!BG$26,1,0)</f>
        <v>0</v>
      </c>
      <c r="BH23" s="13">
        <f>IF(預測IC!BH23&gt;預測IC!BH$26,1,0)</f>
        <v>1</v>
      </c>
      <c r="BI23" s="13">
        <f>IF(預測IC!BI23&gt;預測IC!BI$26,1,0)</f>
        <v>1</v>
      </c>
      <c r="BJ23" s="13">
        <f>IF(預測IC!BJ23&gt;預測IC!BJ$26,1,0)</f>
        <v>0</v>
      </c>
      <c r="BK23" s="13">
        <f>IF(預測IC!BK23&gt;預測IC!BK$26,1,0)</f>
        <v>0</v>
      </c>
      <c r="BL23" s="13">
        <f>IF(預測IC!BL23&gt;預測IC!BL$26,1,0)</f>
        <v>0</v>
      </c>
      <c r="BM23" s="13">
        <f>IF(預測IC!BM23&gt;預測IC!BM$26,1,0)</f>
        <v>0</v>
      </c>
      <c r="BN23" s="13">
        <f>IF(預測IC!BN23&gt;預測IC!BN$26,1,0)</f>
        <v>0</v>
      </c>
      <c r="BO23" s="13">
        <f>IF(預測IC!BO23&gt;預測IC!BO$26,1,0)</f>
        <v>1</v>
      </c>
      <c r="BP23" s="13">
        <f>IF(預測IC!BP23&gt;預測IC!BP$26,1,0)</f>
        <v>0</v>
      </c>
      <c r="BQ23" s="13">
        <f>IF(預測IC!BQ23&gt;預測IC!BQ$26,1,0)</f>
        <v>0</v>
      </c>
      <c r="BR23" s="13">
        <f>IF(預測IC!BR23&gt;預測IC!BR$26,1,0)</f>
        <v>1</v>
      </c>
      <c r="BS23" s="13">
        <f>IF(預測IC!BS23&gt;預測IC!BS$26,1,0)</f>
        <v>0</v>
      </c>
      <c r="BT23" s="13">
        <f>IF(預測IC!BT23&gt;預測IC!BT$26,1,0)</f>
        <v>1</v>
      </c>
      <c r="BU23" s="13">
        <f>IF(預測IC!BU23&gt;預測IC!BU$26,1,0)</f>
        <v>1</v>
      </c>
      <c r="BV23" s="13">
        <f>IF(預測IC!BV23&gt;預測IC!BV$26,1,0)</f>
        <v>1</v>
      </c>
      <c r="BW23" s="13">
        <f>IF(預測IC!BW23&gt;預測IC!BW$26,1,0)</f>
        <v>1</v>
      </c>
      <c r="BX23" s="13">
        <f>IF(預測IC!BX23&gt;預測IC!BX$26,1,0)</f>
        <v>1</v>
      </c>
      <c r="BY23" s="13">
        <f>IF(預測IC!BY23&gt;預測IC!BY$26,1,0)</f>
        <v>1</v>
      </c>
      <c r="BZ23" s="13">
        <f>IF(預測IC!BZ23&gt;預測IC!BZ$26,1,0)</f>
        <v>0</v>
      </c>
      <c r="CA23" s="13">
        <f>IF(預測IC!CA23&gt;預測IC!CA$26,1,0)</f>
        <v>1</v>
      </c>
      <c r="CB23" s="13">
        <f>IF(預測IC!CB23&gt;預測IC!CB$26,1,0)</f>
        <v>0</v>
      </c>
      <c r="CC23" s="13">
        <f>IF(預測IC!CC23&gt;預測IC!CC$26,1,0)</f>
        <v>0</v>
      </c>
      <c r="CD23" s="13">
        <f>IF(預測IC!CD23&gt;預測IC!CD$26,1,0)</f>
        <v>1</v>
      </c>
      <c r="CE23" s="13">
        <f>IF(預測IC!CE23&gt;預測IC!CE$26,1,0)</f>
        <v>1</v>
      </c>
      <c r="CF23" s="13">
        <f>IF(預測IC!CF23&gt;預測IC!CF$26,1,0)</f>
        <v>1</v>
      </c>
      <c r="CG23" s="13">
        <f>IF(預測IC!CG23&gt;預測IC!CG$26,1,0)</f>
        <v>0</v>
      </c>
      <c r="CH23" s="13">
        <f>IF(預測IC!CH23&gt;預測IC!CH$26,1,0)</f>
        <v>0</v>
      </c>
      <c r="CI23" s="13">
        <f>IF(預測IC!CI23&gt;預測IC!CI$26,1,0)</f>
        <v>0</v>
      </c>
      <c r="CJ23" s="13">
        <f>IF(預測IC!CJ23&gt;預測IC!CJ$26,1,0)</f>
        <v>0</v>
      </c>
      <c r="CK23" s="13">
        <f>IF(預測IC!CK23&gt;預測IC!CK$26,1,0)</f>
        <v>1</v>
      </c>
      <c r="CL23" s="13">
        <f>IF(預測IC!CL23&gt;預測IC!CL$26,1,0)</f>
        <v>1</v>
      </c>
      <c r="CM23" s="13">
        <f>IF(預測IC!CM23&gt;預測IC!CM$26,1,0)</f>
        <v>1</v>
      </c>
      <c r="CN23" s="13">
        <f>IF(預測IC!CN23&gt;預測IC!CN$26,1,0)</f>
        <v>1</v>
      </c>
      <c r="CO23" s="13">
        <f>IF(預測IC!CO23&gt;預測IC!CO$26,1,0)</f>
        <v>0</v>
      </c>
      <c r="CP23" s="13">
        <f>IF(預測IC!CP23&gt;預測IC!CP$26,1,0)</f>
        <v>0</v>
      </c>
      <c r="CQ23" s="13">
        <f>IF(預測IC!CQ23&gt;預測IC!CQ$26,1,0)</f>
        <v>1</v>
      </c>
      <c r="CR23" s="13">
        <f>IF(預測IC!CR23&gt;預測IC!CR$26,1,0)</f>
        <v>1</v>
      </c>
      <c r="CS23" s="13">
        <f>IF(預測IC!CS23&gt;預測IC!CS$26,1,0)</f>
        <v>1</v>
      </c>
      <c r="CT23" s="13">
        <f>IF(預測IC!CT23&gt;預測IC!CT$26,1,0)</f>
        <v>0</v>
      </c>
      <c r="CU23" s="13">
        <f>IF(預測IC!CU23&gt;預測IC!CU$26,1,0)</f>
        <v>0</v>
      </c>
      <c r="CV23" s="13">
        <f>IF(預測IC!CV23&gt;預測IC!CV$26,1,0)</f>
        <v>1</v>
      </c>
      <c r="CW23" s="13">
        <f>IF(預測IC!CW23&gt;預測IC!CW$26,1,0)</f>
        <v>0</v>
      </c>
      <c r="CX23" s="13">
        <f>IF(預測IC!CX23&gt;預測IC!CX$26,1,0)</f>
        <v>0</v>
      </c>
      <c r="CY23" s="13">
        <f>IF(預測IC!CY23&gt;預測IC!CY$26,1,0)</f>
        <v>1</v>
      </c>
      <c r="CZ23" s="13">
        <f>IF(預測IC!CZ23&gt;預測IC!CZ$26,1,0)</f>
        <v>1</v>
      </c>
      <c r="DA23" s="13">
        <f>IF(預測IC!DA23&gt;預測IC!DA$26,1,0)</f>
        <v>1</v>
      </c>
      <c r="DB23" s="13">
        <f>IF(預測IC!DB23&gt;預測IC!DB$26,1,0)</f>
        <v>1</v>
      </c>
      <c r="DC23" s="13">
        <f>IF(預測IC!DC23&gt;預測IC!DC$26,1,0)</f>
        <v>0</v>
      </c>
      <c r="DD23" s="13">
        <f>IF(預測IC!DD23&gt;預測IC!DD$26,1,0)</f>
        <v>1</v>
      </c>
      <c r="DE23" s="13">
        <f>IF(預測IC!DE23&gt;預測IC!DE$26,1,0)</f>
        <v>0</v>
      </c>
      <c r="DF23" s="13">
        <f>IF(預測IC!DF23&gt;預測IC!DF$26,1,0)</f>
        <v>0</v>
      </c>
      <c r="DG23" s="13">
        <f>IF(預測IC!DG23&gt;預測IC!DG$26,1,0)</f>
        <v>0</v>
      </c>
      <c r="DH23" s="13">
        <f>IF(預測IC!DH23&gt;預測IC!DH$26,1,0)</f>
        <v>1</v>
      </c>
      <c r="DI23" s="13">
        <f>IF(預測IC!DI23&gt;預測IC!DI$26,1,0)</f>
        <v>1</v>
      </c>
      <c r="DJ23" s="13">
        <f>IF(預測IC!DJ23&gt;預測IC!DJ$26,1,0)</f>
        <v>0</v>
      </c>
      <c r="DK23" s="13">
        <f>IF(預測IC!DK23&gt;預測IC!DK$26,1,0)</f>
        <v>1</v>
      </c>
      <c r="DL23" s="13">
        <f>IF(預測IC!DL23&gt;預測IC!DL$26,1,0)</f>
        <v>1</v>
      </c>
      <c r="DM23" s="13">
        <f>IF(預測IC!DM23&gt;預測IC!DM$26,1,0)</f>
        <v>0</v>
      </c>
      <c r="DN23" s="13">
        <f>IF(預測IC!DN23&gt;預測IC!DN$26,1,0)</f>
        <v>0</v>
      </c>
      <c r="DO23" s="13">
        <f>IF(預測IC!DO23&gt;預測IC!DO$26,1,0)</f>
        <v>1</v>
      </c>
      <c r="DP23" s="13">
        <f>IF(預測IC!DP23&gt;預測IC!DP$26,1,0)</f>
        <v>0</v>
      </c>
      <c r="DQ23" s="13">
        <f>IF(預測IC!DQ23&gt;預測IC!DQ$26,1,0)</f>
        <v>1</v>
      </c>
      <c r="DR23" s="13">
        <f>IF(預測IC!DR23&gt;預測IC!DR$26,1,0)</f>
        <v>0</v>
      </c>
      <c r="DS23" s="13">
        <f>IF(預測IC!DS23&gt;預測IC!DS$26,1,0)</f>
        <v>1</v>
      </c>
      <c r="DT23" s="13">
        <f>IF(預測IC!DT23&gt;預測IC!DT$26,1,0)</f>
        <v>0</v>
      </c>
      <c r="DU23" s="13">
        <f>IF(預測IC!DU23&gt;預測IC!DU$26,1,0)</f>
        <v>0</v>
      </c>
      <c r="DV23" s="13">
        <f>IF(預測IC!DV23&gt;預測IC!DV$26,1,0)</f>
        <v>0</v>
      </c>
      <c r="DW23" s="13">
        <f>IF(預測IC!DW23&gt;預測IC!DW$26,1,0)</f>
        <v>0</v>
      </c>
      <c r="DX23" s="13">
        <f>IF(預測IC!DX23&gt;預測IC!DX$26,1,0)</f>
        <v>0</v>
      </c>
      <c r="DY23" s="13">
        <f>IF(預測IC!DY23&gt;預測IC!DY$26,1,0)</f>
        <v>0</v>
      </c>
      <c r="DZ23" s="13">
        <f>IF(預測IC!DZ23&gt;預測IC!DZ$26,1,0)</f>
        <v>1</v>
      </c>
      <c r="EA23" s="13">
        <f>IF(預測IC!EA23&gt;預測IC!EA$26,1,0)</f>
        <v>0</v>
      </c>
      <c r="EB23" s="13">
        <f>IF(預測IC!EB23&gt;預測IC!EB$26,1,0)</f>
        <v>0</v>
      </c>
      <c r="EC23" s="13">
        <f>IF(預測IC!EC23&gt;預測IC!EC$26,1,0)</f>
        <v>1</v>
      </c>
      <c r="ED23" s="13">
        <f>IF(預測IC!ED23&gt;預測IC!ED$26,1,0)</f>
        <v>1</v>
      </c>
      <c r="EE23" s="13">
        <f>IF(預測IC!EE23&gt;預測IC!EE$26,1,0)</f>
        <v>0</v>
      </c>
      <c r="EF23" s="13">
        <f>IF(預測IC!EF23&gt;預測IC!EF$26,1,0)</f>
        <v>1</v>
      </c>
      <c r="EG23" s="1">
        <f t="shared" si="10"/>
        <v>61</v>
      </c>
      <c r="EH23" s="20">
        <f t="shared" si="11"/>
        <v>0.45522388059701491</v>
      </c>
    </row>
    <row r="24" spans="1:138">
      <c r="A24" s="2">
        <v>964</v>
      </c>
      <c r="B24" s="2">
        <v>1</v>
      </c>
      <c r="C24" s="13">
        <f>IF(預測IC!C24&gt;預測IC!C$26,1,0)</f>
        <v>0</v>
      </c>
      <c r="D24" s="13">
        <f>IF(預測IC!D24&gt;預測IC!D$26,1,0)</f>
        <v>1</v>
      </c>
      <c r="E24" s="13">
        <f>IF(預測IC!E24&gt;預測IC!E$26,1,0)</f>
        <v>1</v>
      </c>
      <c r="F24" s="13">
        <f>IF(預測IC!F24&gt;預測IC!F$26,1,0)</f>
        <v>1</v>
      </c>
      <c r="G24" s="13">
        <f>IF(預測IC!G24&gt;預測IC!G$26,1,0)</f>
        <v>0</v>
      </c>
      <c r="H24" s="13">
        <f>IF(預測IC!H24&gt;預測IC!H$26,1,0)</f>
        <v>0</v>
      </c>
      <c r="I24" s="13">
        <f>IF(預測IC!I24&gt;預測IC!I$26,1,0)</f>
        <v>1</v>
      </c>
      <c r="J24" s="13">
        <f>IF(預測IC!J24&gt;預測IC!J$26,1,0)</f>
        <v>0</v>
      </c>
      <c r="K24" s="13">
        <f>IF(預測IC!K24&gt;預測IC!K$26,1,0)</f>
        <v>1</v>
      </c>
      <c r="L24" s="13">
        <f>IF(預測IC!L24&gt;預測IC!L$26,1,0)</f>
        <v>1</v>
      </c>
      <c r="M24" s="13">
        <f>IF(預測IC!M24&gt;預測IC!M$26,1,0)</f>
        <v>0</v>
      </c>
      <c r="N24" s="13">
        <f>IF(預測IC!N24&gt;預測IC!N$26,1,0)</f>
        <v>0</v>
      </c>
      <c r="O24" s="13">
        <f>IF(預測IC!O24&gt;預測IC!O$26,1,0)</f>
        <v>1</v>
      </c>
      <c r="P24" s="13">
        <f>IF(預測IC!P24&gt;預測IC!P$26,1,0)</f>
        <v>1</v>
      </c>
      <c r="Q24" s="13">
        <f>IF(預測IC!Q24&gt;預測IC!Q$26,1,0)</f>
        <v>0</v>
      </c>
      <c r="R24" s="13">
        <f>IF(預測IC!R24&gt;預測IC!R$26,1,0)</f>
        <v>1</v>
      </c>
      <c r="S24" s="13">
        <f>IF(預測IC!S24&gt;預測IC!S$26,1,0)</f>
        <v>1</v>
      </c>
      <c r="T24" s="13">
        <f>IF(預測IC!T24&gt;預測IC!T$26,1,0)</f>
        <v>1</v>
      </c>
      <c r="U24" s="13">
        <f>IF(預測IC!U24&gt;預測IC!U$26,1,0)</f>
        <v>1</v>
      </c>
      <c r="V24" s="13">
        <f>IF(預測IC!V24&gt;預測IC!V$26,1,0)</f>
        <v>1</v>
      </c>
      <c r="W24" s="13">
        <f>IF(預測IC!W24&gt;預測IC!W$26,1,0)</f>
        <v>0</v>
      </c>
      <c r="X24" s="13">
        <f>IF(預測IC!X24&gt;預測IC!X$26,1,0)</f>
        <v>0</v>
      </c>
      <c r="Y24" s="13">
        <f>IF(預測IC!Y24&gt;預測IC!Y$26,1,0)</f>
        <v>0</v>
      </c>
      <c r="Z24" s="13">
        <f>IF(預測IC!Z24&gt;預測IC!Z$26,1,0)</f>
        <v>0</v>
      </c>
      <c r="AA24" s="13">
        <f>IF(預測IC!AA24&gt;預測IC!AA$26,1,0)</f>
        <v>1</v>
      </c>
      <c r="AB24" s="13">
        <f>IF(預測IC!AB24&gt;預測IC!AB$26,1,0)</f>
        <v>0</v>
      </c>
      <c r="AC24" s="13">
        <f>IF(預測IC!AC24&gt;預測IC!AC$26,1,0)</f>
        <v>0</v>
      </c>
      <c r="AD24" s="13">
        <f>IF(預測IC!AD24&gt;預測IC!AD$26,1,0)</f>
        <v>1</v>
      </c>
      <c r="AE24" s="13">
        <f>IF(預測IC!AE24&gt;預測IC!AE$26,1,0)</f>
        <v>1</v>
      </c>
      <c r="AF24" s="13">
        <f>IF(預測IC!AF24&gt;預測IC!AF$26,1,0)</f>
        <v>0</v>
      </c>
      <c r="AG24" s="13">
        <f>IF(預測IC!AG24&gt;預測IC!AG$26,1,0)</f>
        <v>0</v>
      </c>
      <c r="AH24" s="13">
        <f>IF(預測IC!AH24&gt;預測IC!AH$26,1,0)</f>
        <v>1</v>
      </c>
      <c r="AI24" s="13">
        <f>IF(預測IC!AI24&gt;預測IC!AI$26,1,0)</f>
        <v>0</v>
      </c>
      <c r="AJ24" s="13">
        <f>IF(預測IC!AJ24&gt;預測IC!AJ$26,1,0)</f>
        <v>1</v>
      </c>
      <c r="AK24" s="13">
        <f>IF(預測IC!AK24&gt;預測IC!AK$26,1,0)</f>
        <v>1</v>
      </c>
      <c r="AL24" s="13">
        <f>IF(預測IC!AL24&gt;預測IC!AL$26,1,0)</f>
        <v>0</v>
      </c>
      <c r="AM24" s="13">
        <f>IF(預測IC!AM24&gt;預測IC!AM$26,1,0)</f>
        <v>0</v>
      </c>
      <c r="AN24" s="13">
        <f>IF(預測IC!AN24&gt;預測IC!AN$26,1,0)</f>
        <v>0</v>
      </c>
      <c r="AO24" s="13">
        <f>IF(預測IC!AO24&gt;預測IC!AO$26,1,0)</f>
        <v>0</v>
      </c>
      <c r="AP24" s="13">
        <f>IF(預測IC!AP24&gt;預測IC!AP$26,1,0)</f>
        <v>1</v>
      </c>
      <c r="AQ24" s="13">
        <f>IF(預測IC!AQ24&gt;預測IC!AQ$26,1,0)</f>
        <v>1</v>
      </c>
      <c r="AR24" s="13">
        <f>IF(預測IC!AR24&gt;預測IC!AR$26,1,0)</f>
        <v>0</v>
      </c>
      <c r="AS24" s="13">
        <f>IF(預測IC!AS24&gt;預測IC!AS$26,1,0)</f>
        <v>1</v>
      </c>
      <c r="AT24" s="13">
        <f>IF(預測IC!AT24&gt;預測IC!AT$26,1,0)</f>
        <v>1</v>
      </c>
      <c r="AU24" s="13">
        <f>IF(預測IC!AU24&gt;預測IC!AU$26,1,0)</f>
        <v>0</v>
      </c>
      <c r="AV24" s="13">
        <f>IF(預測IC!AV24&gt;預測IC!AV$26,1,0)</f>
        <v>1</v>
      </c>
      <c r="AW24" s="13">
        <f>IF(預測IC!AW24&gt;預測IC!AW$26,1,0)</f>
        <v>1</v>
      </c>
      <c r="AX24" s="13">
        <f>IF(預測IC!AX24&gt;預測IC!AX$26,1,0)</f>
        <v>0</v>
      </c>
      <c r="AY24" s="13">
        <f>IF(預測IC!AY24&gt;預測IC!AY$26,1,0)</f>
        <v>0</v>
      </c>
      <c r="AZ24" s="13">
        <f>IF(預測IC!AZ24&gt;預測IC!AZ$26,1,0)</f>
        <v>0</v>
      </c>
      <c r="BA24" s="13">
        <f>IF(預測IC!BA24&gt;預測IC!BA$26,1,0)</f>
        <v>1</v>
      </c>
      <c r="BB24" s="13">
        <f>IF(預測IC!BB24&gt;預測IC!BB$26,1,0)</f>
        <v>0</v>
      </c>
      <c r="BC24" s="13">
        <f>IF(預測IC!BC24&gt;預測IC!BC$26,1,0)</f>
        <v>0</v>
      </c>
      <c r="BD24" s="13">
        <f>IF(預測IC!BD24&gt;預測IC!BD$26,1,0)</f>
        <v>1</v>
      </c>
      <c r="BE24" s="13">
        <f>IF(預測IC!BE24&gt;預測IC!BE$26,1,0)</f>
        <v>0</v>
      </c>
      <c r="BF24" s="13">
        <f>IF(預測IC!BF24&gt;預測IC!BF$26,1,0)</f>
        <v>0</v>
      </c>
      <c r="BG24" s="13">
        <f>IF(預測IC!BG24&gt;預測IC!BG$26,1,0)</f>
        <v>0</v>
      </c>
      <c r="BH24" s="13">
        <f>IF(預測IC!BH24&gt;預測IC!BH$26,1,0)</f>
        <v>0</v>
      </c>
      <c r="BI24" s="13">
        <f>IF(預測IC!BI24&gt;預測IC!BI$26,1,0)</f>
        <v>1</v>
      </c>
      <c r="BJ24" s="13">
        <f>IF(預測IC!BJ24&gt;預測IC!BJ$26,1,0)</f>
        <v>1</v>
      </c>
      <c r="BK24" s="13">
        <f>IF(預測IC!BK24&gt;預測IC!BK$26,1,0)</f>
        <v>0</v>
      </c>
      <c r="BL24" s="13">
        <f>IF(預測IC!BL24&gt;預測IC!BL$26,1,0)</f>
        <v>0</v>
      </c>
      <c r="BM24" s="13">
        <f>IF(預測IC!BM24&gt;預測IC!BM$26,1,0)</f>
        <v>1</v>
      </c>
      <c r="BN24" s="13">
        <f>IF(預測IC!BN24&gt;預測IC!BN$26,1,0)</f>
        <v>0</v>
      </c>
      <c r="BO24" s="13">
        <f>IF(預測IC!BO24&gt;預測IC!BO$26,1,0)</f>
        <v>1</v>
      </c>
      <c r="BP24" s="13">
        <f>IF(預測IC!BP24&gt;預測IC!BP$26,1,0)</f>
        <v>0</v>
      </c>
      <c r="BQ24" s="13">
        <f>IF(預測IC!BQ24&gt;預測IC!BQ$26,1,0)</f>
        <v>1</v>
      </c>
      <c r="BR24" s="13">
        <f>IF(預測IC!BR24&gt;預測IC!BR$26,1,0)</f>
        <v>1</v>
      </c>
      <c r="BS24" s="13">
        <f>IF(預測IC!BS24&gt;預測IC!BS$26,1,0)</f>
        <v>0</v>
      </c>
      <c r="BT24" s="13">
        <f>IF(預測IC!BT24&gt;預測IC!BT$26,1,0)</f>
        <v>1</v>
      </c>
      <c r="BU24" s="13">
        <f>IF(預測IC!BU24&gt;預測IC!BU$26,1,0)</f>
        <v>1</v>
      </c>
      <c r="BV24" s="13">
        <f>IF(預測IC!BV24&gt;預測IC!BV$26,1,0)</f>
        <v>1</v>
      </c>
      <c r="BW24" s="13">
        <f>IF(預測IC!BW24&gt;預測IC!BW$26,1,0)</f>
        <v>0</v>
      </c>
      <c r="BX24" s="13">
        <f>IF(預測IC!BX24&gt;預測IC!BX$26,1,0)</f>
        <v>1</v>
      </c>
      <c r="BY24" s="13">
        <f>IF(預測IC!BY24&gt;預測IC!BY$26,1,0)</f>
        <v>1</v>
      </c>
      <c r="BZ24" s="13">
        <f>IF(預測IC!BZ24&gt;預測IC!BZ$26,1,0)</f>
        <v>1</v>
      </c>
      <c r="CA24" s="13">
        <f>IF(預測IC!CA24&gt;預測IC!CA$26,1,0)</f>
        <v>1</v>
      </c>
      <c r="CB24" s="13">
        <f>IF(預測IC!CB24&gt;預測IC!CB$26,1,0)</f>
        <v>1</v>
      </c>
      <c r="CC24" s="13">
        <f>IF(預測IC!CC24&gt;預測IC!CC$26,1,0)</f>
        <v>0</v>
      </c>
      <c r="CD24" s="13">
        <f>IF(預測IC!CD24&gt;預測IC!CD$26,1,0)</f>
        <v>1</v>
      </c>
      <c r="CE24" s="13">
        <f>IF(預測IC!CE24&gt;預測IC!CE$26,1,0)</f>
        <v>1</v>
      </c>
      <c r="CF24" s="13">
        <f>IF(預測IC!CF24&gt;預測IC!CF$26,1,0)</f>
        <v>0</v>
      </c>
      <c r="CG24" s="13">
        <f>IF(預測IC!CG24&gt;預測IC!CG$26,1,0)</f>
        <v>0</v>
      </c>
      <c r="CH24" s="13">
        <f>IF(預測IC!CH24&gt;預測IC!CH$26,1,0)</f>
        <v>0</v>
      </c>
      <c r="CI24" s="13">
        <f>IF(預測IC!CI24&gt;預測IC!CI$26,1,0)</f>
        <v>0</v>
      </c>
      <c r="CJ24" s="13">
        <f>IF(預測IC!CJ24&gt;預測IC!CJ$26,1,0)</f>
        <v>0</v>
      </c>
      <c r="CK24" s="13">
        <f>IF(預測IC!CK24&gt;預測IC!CK$26,1,0)</f>
        <v>1</v>
      </c>
      <c r="CL24" s="13">
        <f>IF(預測IC!CL24&gt;預測IC!CL$26,1,0)</f>
        <v>0</v>
      </c>
      <c r="CM24" s="13">
        <f>IF(預測IC!CM24&gt;預測IC!CM$26,1,0)</f>
        <v>1</v>
      </c>
      <c r="CN24" s="13">
        <f>IF(預測IC!CN24&gt;預測IC!CN$26,1,0)</f>
        <v>0</v>
      </c>
      <c r="CO24" s="13">
        <f>IF(預測IC!CO24&gt;預測IC!CO$26,1,0)</f>
        <v>0</v>
      </c>
      <c r="CP24" s="13">
        <f>IF(預測IC!CP24&gt;預測IC!CP$26,1,0)</f>
        <v>0</v>
      </c>
      <c r="CQ24" s="13">
        <f>IF(預測IC!CQ24&gt;預測IC!CQ$26,1,0)</f>
        <v>1</v>
      </c>
      <c r="CR24" s="13">
        <f>IF(預測IC!CR24&gt;預測IC!CR$26,1,0)</f>
        <v>1</v>
      </c>
      <c r="CS24" s="13">
        <f>IF(預測IC!CS24&gt;預測IC!CS$26,1,0)</f>
        <v>0</v>
      </c>
      <c r="CT24" s="13">
        <f>IF(預測IC!CT24&gt;預測IC!CT$26,1,0)</f>
        <v>1</v>
      </c>
      <c r="CU24" s="13">
        <f>IF(預測IC!CU24&gt;預測IC!CU$26,1,0)</f>
        <v>0</v>
      </c>
      <c r="CV24" s="13">
        <f>IF(預測IC!CV24&gt;預測IC!CV$26,1,0)</f>
        <v>1</v>
      </c>
      <c r="CW24" s="13">
        <f>IF(預測IC!CW24&gt;預測IC!CW$26,1,0)</f>
        <v>0</v>
      </c>
      <c r="CX24" s="13">
        <f>IF(預測IC!CX24&gt;預測IC!CX$26,1,0)</f>
        <v>1</v>
      </c>
      <c r="CY24" s="13">
        <f>IF(預測IC!CY24&gt;預測IC!CY$26,1,0)</f>
        <v>1</v>
      </c>
      <c r="CZ24" s="13">
        <f>IF(預測IC!CZ24&gt;預測IC!CZ$26,1,0)</f>
        <v>1</v>
      </c>
      <c r="DA24" s="13">
        <f>IF(預測IC!DA24&gt;預測IC!DA$26,1,0)</f>
        <v>1</v>
      </c>
      <c r="DB24" s="13">
        <f>IF(預測IC!DB24&gt;預測IC!DB$26,1,0)</f>
        <v>0</v>
      </c>
      <c r="DC24" s="13">
        <f>IF(預測IC!DC24&gt;預測IC!DC$26,1,0)</f>
        <v>0</v>
      </c>
      <c r="DD24" s="13">
        <f>IF(預測IC!DD24&gt;預測IC!DD$26,1,0)</f>
        <v>1</v>
      </c>
      <c r="DE24" s="13">
        <f>IF(預測IC!DE24&gt;預測IC!DE$26,1,0)</f>
        <v>0</v>
      </c>
      <c r="DF24" s="13">
        <f>IF(預測IC!DF24&gt;預測IC!DF$26,1,0)</f>
        <v>0</v>
      </c>
      <c r="DG24" s="13">
        <f>IF(預測IC!DG24&gt;預測IC!DG$26,1,0)</f>
        <v>0</v>
      </c>
      <c r="DH24" s="13">
        <f>IF(預測IC!DH24&gt;預測IC!DH$26,1,0)</f>
        <v>1</v>
      </c>
      <c r="DI24" s="13">
        <f>IF(預測IC!DI24&gt;預測IC!DI$26,1,0)</f>
        <v>1</v>
      </c>
      <c r="DJ24" s="13">
        <f>IF(預測IC!DJ24&gt;預測IC!DJ$26,1,0)</f>
        <v>0</v>
      </c>
      <c r="DK24" s="13">
        <f>IF(預測IC!DK24&gt;預測IC!DK$26,1,0)</f>
        <v>1</v>
      </c>
      <c r="DL24" s="13">
        <f>IF(預測IC!DL24&gt;預測IC!DL$26,1,0)</f>
        <v>1</v>
      </c>
      <c r="DM24" s="13">
        <f>IF(預測IC!DM24&gt;預測IC!DM$26,1,0)</f>
        <v>0</v>
      </c>
      <c r="DN24" s="13">
        <f>IF(預測IC!DN24&gt;預測IC!DN$26,1,0)</f>
        <v>0</v>
      </c>
      <c r="DO24" s="13">
        <f>IF(預測IC!DO24&gt;預測IC!DO$26,1,0)</f>
        <v>1</v>
      </c>
      <c r="DP24" s="13">
        <f>IF(預測IC!DP24&gt;預測IC!DP$26,1,0)</f>
        <v>0</v>
      </c>
      <c r="DQ24" s="13">
        <f>IF(預測IC!DQ24&gt;預測IC!DQ$26,1,0)</f>
        <v>1</v>
      </c>
      <c r="DR24" s="13">
        <f>IF(預測IC!DR24&gt;預測IC!DR$26,1,0)</f>
        <v>0</v>
      </c>
      <c r="DS24" s="13">
        <f>IF(預測IC!DS24&gt;預測IC!DS$26,1,0)</f>
        <v>1</v>
      </c>
      <c r="DT24" s="13">
        <f>IF(預測IC!DT24&gt;預測IC!DT$26,1,0)</f>
        <v>0</v>
      </c>
      <c r="DU24" s="13">
        <f>IF(預測IC!DU24&gt;預測IC!DU$26,1,0)</f>
        <v>0</v>
      </c>
      <c r="DV24" s="13">
        <f>IF(預測IC!DV24&gt;預測IC!DV$26,1,0)</f>
        <v>0</v>
      </c>
      <c r="DW24" s="13">
        <f>IF(預測IC!DW24&gt;預測IC!DW$26,1,0)</f>
        <v>1</v>
      </c>
      <c r="DX24" s="13">
        <f>IF(預測IC!DX24&gt;預測IC!DX$26,1,0)</f>
        <v>0</v>
      </c>
      <c r="DY24" s="13">
        <f>IF(預測IC!DY24&gt;預測IC!DY$26,1,0)</f>
        <v>1</v>
      </c>
      <c r="DZ24" s="13">
        <f>IF(預測IC!DZ24&gt;預測IC!DZ$26,1,0)</f>
        <v>0</v>
      </c>
      <c r="EA24" s="13">
        <f>IF(預測IC!EA24&gt;預測IC!EA$26,1,0)</f>
        <v>0</v>
      </c>
      <c r="EB24" s="13">
        <f>IF(預測IC!EB24&gt;預測IC!EB$26,1,0)</f>
        <v>0</v>
      </c>
      <c r="EC24" s="13">
        <f>IF(預測IC!EC24&gt;預測IC!EC$26,1,0)</f>
        <v>1</v>
      </c>
      <c r="ED24" s="13">
        <f>IF(預測IC!ED24&gt;預測IC!ED$26,1,0)</f>
        <v>0</v>
      </c>
      <c r="EE24" s="13">
        <f>IF(預測IC!EE24&gt;預測IC!EE$26,1,0)</f>
        <v>0</v>
      </c>
      <c r="EF24" s="13">
        <f>IF(預測IC!EF24&gt;預測IC!EF$26,1,0)</f>
        <v>1</v>
      </c>
      <c r="EG24" s="1">
        <f t="shared" si="10"/>
        <v>65</v>
      </c>
      <c r="EH24" s="20">
        <f t="shared" si="11"/>
        <v>0.48507462686567165</v>
      </c>
    </row>
    <row r="26" spans="1:138">
      <c r="A26" s="2" t="s">
        <v>145</v>
      </c>
      <c r="B26" s="2" t="s">
        <v>146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tabSelected="1" topLeftCell="A6" zoomScale="194" zoomScaleNormal="90" workbookViewId="0">
      <selection activeCell="D12" sqref="D12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1">
        <v>-9.1369017958641052E-2</v>
      </c>
      <c r="D3" s="11">
        <v>-0.1108541637659073</v>
      </c>
      <c r="E3" s="11">
        <v>1.095622777938843E-3</v>
      </c>
      <c r="F3" s="11">
        <v>-0.13442955911159521</v>
      </c>
      <c r="G3" s="11">
        <v>-0.1746680736541748</v>
      </c>
      <c r="H3" s="11">
        <v>5.4118875414133072E-3</v>
      </c>
      <c r="I3" s="11">
        <v>-3.5852931439876563E-2</v>
      </c>
      <c r="J3" s="11">
        <v>-7.7711276710033417E-2</v>
      </c>
      <c r="K3" s="11">
        <v>-1.449720188975334E-2</v>
      </c>
      <c r="L3" s="11">
        <v>-4.7656506299972527E-2</v>
      </c>
      <c r="M3" s="11">
        <v>-5.7244118303060532E-2</v>
      </c>
      <c r="N3" s="11">
        <v>2.682022750377655E-5</v>
      </c>
      <c r="O3" s="11">
        <v>-3.0116423964500431E-2</v>
      </c>
      <c r="P3" s="11">
        <v>-4.0258027613162987E-2</v>
      </c>
      <c r="Q3" s="11">
        <v>3.7178266793489461E-3</v>
      </c>
      <c r="R3" s="11">
        <v>2.9201550409197811E-2</v>
      </c>
      <c r="S3" s="11">
        <v>7.7254641801118851E-3</v>
      </c>
      <c r="T3" s="11">
        <v>-5.8597654104232788E-2</v>
      </c>
      <c r="U3" s="11">
        <v>6.510857492685318E-4</v>
      </c>
      <c r="V3" s="11">
        <v>-0.107098214328289</v>
      </c>
      <c r="W3" s="11">
        <v>-0.19089989364147189</v>
      </c>
      <c r="X3" s="11">
        <v>-7.1200095117092133E-2</v>
      </c>
      <c r="Y3" s="11">
        <v>-0.1000832766294479</v>
      </c>
      <c r="Z3" s="11">
        <v>-4.923209547996521E-2</v>
      </c>
      <c r="AA3" s="11">
        <v>-2.046559751033783E-2</v>
      </c>
      <c r="AB3" s="11">
        <v>-6.9066941738128662E-2</v>
      </c>
      <c r="AC3" s="11">
        <v>-5.033314973115921E-2</v>
      </c>
      <c r="AD3" s="11">
        <v>-1.914726942777634E-2</v>
      </c>
      <c r="AE3" s="11">
        <v>-1.0799495503306391E-2</v>
      </c>
      <c r="AF3" s="11">
        <v>1.033585891127586E-2</v>
      </c>
      <c r="AG3" s="11">
        <v>6.015850231051445E-3</v>
      </c>
      <c r="AH3" s="11">
        <v>-0.26610976457595831</v>
      </c>
      <c r="AI3" s="11">
        <v>-0.14365202188491821</v>
      </c>
      <c r="AJ3" s="11">
        <v>-0.25451940298080439</v>
      </c>
      <c r="AK3" s="11">
        <v>2.8104119002819061E-2</v>
      </c>
      <c r="AL3" s="11">
        <v>-5.1742583513259888E-2</v>
      </c>
      <c r="AM3" s="11">
        <v>-8.2977190613746643E-2</v>
      </c>
      <c r="AN3" s="11">
        <v>-7.0350959897041321E-2</v>
      </c>
      <c r="AO3" s="11">
        <v>-0.1968108415603638</v>
      </c>
      <c r="AP3" s="11">
        <v>-0.25679254531860352</v>
      </c>
      <c r="AQ3" s="11">
        <v>-5.9776842594146729E-2</v>
      </c>
      <c r="AR3" s="11">
        <v>-4.1728809475898743E-2</v>
      </c>
      <c r="AS3" s="11">
        <v>-8.1946820020675659E-2</v>
      </c>
      <c r="AT3" s="11">
        <v>-0.13346004486083979</v>
      </c>
      <c r="AU3" s="11">
        <v>3.601998090744019E-3</v>
      </c>
      <c r="AV3" s="11">
        <v>7.9997703433036804E-3</v>
      </c>
      <c r="AW3" s="11">
        <v>2.431571483612061E-3</v>
      </c>
      <c r="AX3" s="11">
        <v>1.277367025613785E-2</v>
      </c>
      <c r="AY3" s="11">
        <v>2.707108855247498E-3</v>
      </c>
      <c r="AZ3" s="11">
        <v>1.4640374109148979E-2</v>
      </c>
      <c r="BA3" s="11">
        <v>3.6530185490846627E-2</v>
      </c>
      <c r="BB3" s="11">
        <v>3.3319383859634399E-2</v>
      </c>
      <c r="BC3" s="11">
        <v>1.1332087218761441E-2</v>
      </c>
      <c r="BD3" s="11">
        <v>-7.7839195728302002E-4</v>
      </c>
      <c r="BE3" s="11">
        <v>-1.704639196395874E-2</v>
      </c>
      <c r="BF3" s="11">
        <v>-2.8747007250785831E-2</v>
      </c>
      <c r="BG3" s="11">
        <v>-3.7359297275543209E-3</v>
      </c>
      <c r="BH3" s="11">
        <v>3.0615001916885379E-2</v>
      </c>
      <c r="BI3" s="11">
        <v>-1.3157427310943599E-3</v>
      </c>
      <c r="BJ3" s="11">
        <v>-6.5720930695533752E-2</v>
      </c>
      <c r="BK3" s="11">
        <v>-4.0063485503196723E-2</v>
      </c>
      <c r="BL3" s="11">
        <v>-8.8971659541130066E-2</v>
      </c>
      <c r="BM3" s="11">
        <v>-2.1720856428146359E-2</v>
      </c>
      <c r="BN3" s="11">
        <v>-6.8609192967414856E-2</v>
      </c>
      <c r="BO3" s="11">
        <v>-5.5181741714477539E-2</v>
      </c>
      <c r="BP3" s="11">
        <v>-8.5352331399917603E-2</v>
      </c>
      <c r="BQ3" s="11">
        <v>-3.6593899130821228E-2</v>
      </c>
      <c r="BR3" s="11">
        <v>3.5782556980848312E-2</v>
      </c>
      <c r="BS3" s="11">
        <v>3.381897509098053E-2</v>
      </c>
      <c r="BT3" s="11">
        <v>3.7881385535001748E-2</v>
      </c>
      <c r="BU3" s="11">
        <v>3.3238206058740623E-2</v>
      </c>
      <c r="BV3" s="11">
        <v>4.6295918524265289E-2</v>
      </c>
      <c r="BW3" s="11">
        <v>3.5180661827325821E-2</v>
      </c>
      <c r="BX3" s="11">
        <v>2.4767490103840831E-2</v>
      </c>
      <c r="BY3" s="11">
        <v>3.3294945955276489E-2</v>
      </c>
      <c r="BZ3" s="11">
        <v>5.243389680981636E-2</v>
      </c>
      <c r="CA3" s="11">
        <v>4.8576407134532928E-3</v>
      </c>
      <c r="CB3" s="11">
        <v>3.7053938955068588E-2</v>
      </c>
      <c r="CC3" s="11">
        <v>2.6344805955886841E-2</v>
      </c>
      <c r="CD3" s="11">
        <v>3.6022435873746872E-2</v>
      </c>
      <c r="CE3" s="11">
        <v>2.6176232844591141E-2</v>
      </c>
      <c r="CF3" s="11">
        <v>1.8041616305708889E-2</v>
      </c>
      <c r="CG3" s="11">
        <v>1.433759741485119E-2</v>
      </c>
      <c r="CH3" s="11">
        <v>1.081309281289577E-2</v>
      </c>
      <c r="CI3" s="11">
        <v>9.3775922432541847E-3</v>
      </c>
      <c r="CJ3" s="11">
        <v>3.1418859958648682E-2</v>
      </c>
      <c r="CK3" s="11">
        <v>2.9902642592787739E-2</v>
      </c>
      <c r="CL3" s="11">
        <v>2.813007682561874E-2</v>
      </c>
      <c r="CM3" s="11">
        <v>1.7964363098144531E-2</v>
      </c>
      <c r="CN3" s="11">
        <v>6.8069854751229286E-3</v>
      </c>
      <c r="CO3" s="11">
        <v>4.2052153497934341E-2</v>
      </c>
      <c r="CP3" s="11">
        <v>3.3009041100740433E-2</v>
      </c>
      <c r="CQ3" s="11">
        <v>2.371090650558472E-2</v>
      </c>
      <c r="CR3" s="11">
        <v>2.6173286139965061E-2</v>
      </c>
      <c r="CS3" s="11">
        <v>1.9619772210717201E-2</v>
      </c>
      <c r="CT3" s="11">
        <v>1.4876773580908781E-2</v>
      </c>
      <c r="CU3" s="11">
        <v>4.0978025645017617E-2</v>
      </c>
      <c r="CV3" s="11">
        <v>3.9532899856567383E-2</v>
      </c>
      <c r="CW3" s="11">
        <v>2.4221045896410939E-2</v>
      </c>
      <c r="CX3" s="11">
        <v>4.2955689132213593E-2</v>
      </c>
      <c r="CY3" s="11">
        <v>2.8871554881334301E-2</v>
      </c>
      <c r="CZ3" s="11">
        <v>4.7397840768098831E-2</v>
      </c>
      <c r="DA3" s="11">
        <v>2.8573086485266689E-2</v>
      </c>
      <c r="DB3" s="11">
        <v>2.5090832263231281E-2</v>
      </c>
      <c r="DC3" s="11">
        <v>2.0950637757778171E-2</v>
      </c>
      <c r="DD3" s="11">
        <v>2.0789520815014839E-2</v>
      </c>
      <c r="DE3" s="11">
        <v>3.3207852393388748E-2</v>
      </c>
      <c r="DF3" s="11">
        <v>2.975026331841946E-2</v>
      </c>
      <c r="DG3" s="11">
        <v>1.9087659195065498E-2</v>
      </c>
      <c r="DH3" s="11">
        <v>2.3787431418895721E-2</v>
      </c>
      <c r="DI3" s="11">
        <v>1.9194494932889938E-2</v>
      </c>
      <c r="DJ3" s="11">
        <v>3.5664934664964683E-2</v>
      </c>
      <c r="DK3" s="11">
        <v>3.7067931145429611E-2</v>
      </c>
      <c r="DL3" s="11">
        <v>2.47370321303606E-2</v>
      </c>
      <c r="DM3" s="11">
        <v>3.1437266618013382E-2</v>
      </c>
      <c r="DN3" s="11">
        <v>2.590093947947025E-2</v>
      </c>
      <c r="DO3" s="11">
        <v>2.2398050874471661E-2</v>
      </c>
      <c r="DP3" s="11">
        <v>1.9147077575325969E-2</v>
      </c>
      <c r="DQ3" s="11">
        <v>2.4746008217334751E-2</v>
      </c>
      <c r="DR3" s="11">
        <v>3.8861591368913651E-2</v>
      </c>
      <c r="DS3" s="11">
        <v>2.9537344351410869E-2</v>
      </c>
      <c r="DT3" s="11">
        <v>3.6585744470357888E-2</v>
      </c>
      <c r="DU3" s="11">
        <v>1.0436186566948891E-2</v>
      </c>
      <c r="DV3" s="11">
        <v>1.354960352182388E-2</v>
      </c>
      <c r="DW3" s="11">
        <v>3.0600432306528091E-2</v>
      </c>
      <c r="DX3" s="11">
        <v>3.076322935521603E-2</v>
      </c>
      <c r="DY3" s="11">
        <v>2.6879474520683289E-2</v>
      </c>
      <c r="DZ3" s="11">
        <v>3.8272425532341003E-2</v>
      </c>
      <c r="EA3" s="11">
        <v>3.7800624966621399E-2</v>
      </c>
      <c r="EB3" s="11">
        <v>9.2485006898641586E-3</v>
      </c>
      <c r="EC3" s="11">
        <v>1.0824577882885929E-2</v>
      </c>
      <c r="ED3" s="11">
        <v>3.1915292143821723E-2</v>
      </c>
      <c r="EE3" s="11">
        <v>1.992469280958176E-2</v>
      </c>
      <c r="EF3" s="11">
        <v>3.6655358970165253E-2</v>
      </c>
    </row>
    <row r="4" spans="1:136" s="1" customFormat="1">
      <c r="B4" s="2" t="s">
        <v>137</v>
      </c>
      <c r="C4" s="11">
        <v>4.5735888183116913E-2</v>
      </c>
      <c r="D4" s="11">
        <v>0.1421964764595032</v>
      </c>
      <c r="E4" s="11">
        <v>0.12357825040817259</v>
      </c>
      <c r="F4" s="11">
        <v>0.10848225653171539</v>
      </c>
      <c r="G4" s="11">
        <v>9.5342576503753662E-2</v>
      </c>
      <c r="H4" s="11">
        <v>9.0842671692371368E-2</v>
      </c>
      <c r="I4" s="11">
        <v>7.6174549758434296E-2</v>
      </c>
      <c r="J4" s="11">
        <v>5.9771746397018433E-2</v>
      </c>
      <c r="K4" s="11">
        <v>6.8689219653606415E-2</v>
      </c>
      <c r="L4" s="11">
        <v>6.0447685420513153E-2</v>
      </c>
      <c r="M4" s="11">
        <v>2.7975643053650859E-2</v>
      </c>
      <c r="N4" s="11">
        <v>9.7275795415043831E-3</v>
      </c>
      <c r="O4" s="11">
        <v>9.3574635684490204E-3</v>
      </c>
      <c r="P4" s="11">
        <v>-1.796905649825931E-3</v>
      </c>
      <c r="Q4" s="11">
        <v>-2.5195966009050612E-3</v>
      </c>
      <c r="R4" s="11">
        <v>-3.085714997723699E-3</v>
      </c>
      <c r="S4" s="11">
        <v>-3.105835290625691E-3</v>
      </c>
      <c r="T4" s="11">
        <v>-4.2619518935680389E-3</v>
      </c>
      <c r="U4" s="11">
        <v>-9.374961256980896E-3</v>
      </c>
      <c r="V4" s="11">
        <v>-1.153737679123878E-2</v>
      </c>
      <c r="W4" s="11">
        <v>-1.192781608551741E-2</v>
      </c>
      <c r="X4" s="11">
        <v>-1.2192427180707449E-2</v>
      </c>
      <c r="Y4" s="11">
        <v>-1.5751872211694721E-2</v>
      </c>
      <c r="Z4" s="11">
        <v>-1.7309032380580899E-2</v>
      </c>
      <c r="AA4" s="11">
        <v>-1.7488019540905949E-2</v>
      </c>
      <c r="AB4" s="11">
        <v>-1.846657320857048E-2</v>
      </c>
      <c r="AC4" s="11">
        <v>-1.864372193813324E-2</v>
      </c>
      <c r="AD4" s="11">
        <v>-1.8953690305352211E-2</v>
      </c>
      <c r="AE4" s="11">
        <v>-1.921507716178894E-2</v>
      </c>
      <c r="AF4" s="11">
        <v>-2.0113235339522358E-2</v>
      </c>
      <c r="AG4" s="11">
        <v>-2.026095055043697E-2</v>
      </c>
      <c r="AH4" s="11">
        <v>-2.0400110632181171E-2</v>
      </c>
      <c r="AI4" s="11">
        <v>-2.257528901100159E-2</v>
      </c>
      <c r="AJ4" s="11">
        <v>-2.2869756445288662E-2</v>
      </c>
      <c r="AK4" s="11">
        <v>-2.3673111572861671E-2</v>
      </c>
      <c r="AL4" s="11">
        <v>-5.0100833177566528E-2</v>
      </c>
      <c r="AM4" s="11">
        <v>-2.9040023684501651E-2</v>
      </c>
      <c r="AN4" s="11">
        <v>-2.910598739981651E-2</v>
      </c>
      <c r="AO4" s="11">
        <v>-3.0611878260970119E-2</v>
      </c>
      <c r="AP4" s="11">
        <v>-3.0782695859670639E-2</v>
      </c>
      <c r="AQ4" s="11">
        <v>-2.7796577662229541E-2</v>
      </c>
      <c r="AR4" s="11">
        <v>-2.7182344347238541E-2</v>
      </c>
      <c r="AS4" s="11">
        <v>-2.4847416207194328E-2</v>
      </c>
      <c r="AT4" s="11">
        <v>-2.531261928379536E-2</v>
      </c>
      <c r="AU4" s="11">
        <v>-2.5429589673876759E-2</v>
      </c>
      <c r="AV4" s="11">
        <v>-2.5587804615497589E-2</v>
      </c>
      <c r="AW4" s="11">
        <v>-2.59556844830513E-2</v>
      </c>
      <c r="AX4" s="11">
        <v>-2.625242434442043E-2</v>
      </c>
      <c r="AY4" s="11">
        <v>-3.3910792320966721E-2</v>
      </c>
      <c r="AZ4" s="11">
        <v>-2.8038723394274712E-2</v>
      </c>
      <c r="BA4" s="11">
        <v>-2.7945993468165401E-2</v>
      </c>
      <c r="BB4" s="11">
        <v>-3.2719224691390991E-2</v>
      </c>
      <c r="BC4" s="11">
        <v>-3.2609779387712479E-2</v>
      </c>
      <c r="BD4" s="11">
        <v>-3.2060969620943069E-2</v>
      </c>
      <c r="BE4" s="11">
        <v>-3.2296057790517807E-2</v>
      </c>
      <c r="BF4" s="11">
        <v>-3.2346583902835853E-2</v>
      </c>
      <c r="BG4" s="11">
        <v>-3.2194517552852631E-2</v>
      </c>
      <c r="BH4" s="11">
        <v>-1.9704345613718029E-2</v>
      </c>
      <c r="BI4" s="11">
        <v>-2.780326642096043E-2</v>
      </c>
      <c r="BJ4" s="11">
        <v>-2.80107855796814E-2</v>
      </c>
      <c r="BK4" s="11">
        <v>-3.0229432508349419E-2</v>
      </c>
      <c r="BL4" s="11">
        <v>-2.991438657045364E-2</v>
      </c>
      <c r="BM4" s="11">
        <v>-3.1547844409942627E-2</v>
      </c>
      <c r="BN4" s="11">
        <v>-3.8578428328037262E-2</v>
      </c>
      <c r="BO4" s="11">
        <v>-2.9772218316793438E-2</v>
      </c>
      <c r="BP4" s="11">
        <v>-3.6932468414306641E-2</v>
      </c>
      <c r="BQ4" s="11">
        <v>-3.3658269792795181E-2</v>
      </c>
      <c r="BR4" s="11">
        <v>-1.1724528856575491E-2</v>
      </c>
      <c r="BS4" s="11">
        <v>-1.5890749171376228E-2</v>
      </c>
      <c r="BT4" s="11">
        <v>-2.0781641826033589E-2</v>
      </c>
      <c r="BU4" s="11">
        <v>-2.0965751260519031E-2</v>
      </c>
      <c r="BV4" s="11">
        <v>-1.7983367666602131E-2</v>
      </c>
      <c r="BW4" s="11">
        <v>-2.2088326513767239E-2</v>
      </c>
      <c r="BX4" s="11">
        <v>-3.0406095087528229E-2</v>
      </c>
      <c r="BY4" s="11">
        <v>-3.0804829671978951E-2</v>
      </c>
      <c r="BZ4" s="11">
        <v>-3.0603507533669468E-2</v>
      </c>
      <c r="CA4" s="11">
        <v>-3.099978901445866E-2</v>
      </c>
      <c r="CB4" s="11">
        <v>-2.641275338828564E-2</v>
      </c>
      <c r="CC4" s="11">
        <v>-2.8904115781188011E-2</v>
      </c>
      <c r="CD4" s="11">
        <v>-2.8219865635037419E-2</v>
      </c>
      <c r="CE4" s="11">
        <v>-2.8157502412796021E-2</v>
      </c>
      <c r="CF4" s="11">
        <v>-3.0116477981209751E-2</v>
      </c>
      <c r="CG4" s="11">
        <v>-3.000578656792641E-2</v>
      </c>
      <c r="CH4" s="11">
        <v>-3.004055842757225E-2</v>
      </c>
      <c r="CI4" s="11">
        <v>-3.1394515186548233E-2</v>
      </c>
      <c r="CJ4" s="11">
        <v>-3.1854711472988129E-2</v>
      </c>
      <c r="CK4" s="11">
        <v>-3.1971924006938927E-2</v>
      </c>
      <c r="CL4" s="11">
        <v>-3.5468246787786477E-2</v>
      </c>
      <c r="CM4" s="11">
        <v>-3.1219955533742901E-2</v>
      </c>
      <c r="CN4" s="11">
        <v>-3.586915135383606E-2</v>
      </c>
      <c r="CO4" s="11">
        <v>-3.1749378889799118E-2</v>
      </c>
      <c r="CP4" s="11">
        <v>-3.1618151813745499E-2</v>
      </c>
      <c r="CQ4" s="11">
        <v>-2.7020266279578209E-2</v>
      </c>
      <c r="CR4" s="11">
        <v>-2.5449879467487339E-2</v>
      </c>
      <c r="CS4" s="11">
        <v>-2.9090225696563721E-2</v>
      </c>
      <c r="CT4" s="11">
        <v>-2.5807581841945652E-2</v>
      </c>
      <c r="CU4" s="11">
        <v>-2.6407243683934212E-2</v>
      </c>
      <c r="CV4" s="11">
        <v>-2.782540954649448E-2</v>
      </c>
      <c r="CW4" s="11">
        <v>-3.4329790621995933E-2</v>
      </c>
      <c r="CX4" s="11">
        <v>-2.7993788942694661E-2</v>
      </c>
      <c r="CY4" s="11">
        <v>-2.6280265301465992E-2</v>
      </c>
      <c r="CZ4" s="11">
        <v>-2.7791231870651249E-2</v>
      </c>
      <c r="DA4" s="11">
        <v>-2.9591461643576619E-2</v>
      </c>
      <c r="DB4" s="11">
        <v>-3.4101340919733047E-2</v>
      </c>
      <c r="DC4" s="11">
        <v>-3.4843210130929947E-2</v>
      </c>
      <c r="DD4" s="11">
        <v>-3.2262604683637619E-2</v>
      </c>
      <c r="DE4" s="11">
        <v>-2.881589904427528E-2</v>
      </c>
      <c r="DF4" s="11">
        <v>-2.8322570025920871E-2</v>
      </c>
      <c r="DG4" s="11">
        <v>-2.6369631290435791E-2</v>
      </c>
      <c r="DH4" s="11">
        <v>-3.1315241008996957E-2</v>
      </c>
      <c r="DI4" s="11">
        <v>-2.9898226261138919E-2</v>
      </c>
      <c r="DJ4" s="11">
        <v>-2.9556438326835629E-2</v>
      </c>
      <c r="DK4" s="11">
        <v>-2.8653092682361599E-2</v>
      </c>
      <c r="DL4" s="11">
        <v>-2.926721982657909E-2</v>
      </c>
      <c r="DM4" s="11">
        <v>-2.9532833024859428E-2</v>
      </c>
      <c r="DN4" s="11">
        <v>-3.190428763628006E-2</v>
      </c>
      <c r="DO4" s="11">
        <v>-2.7400294318795201E-2</v>
      </c>
      <c r="DP4" s="11">
        <v>-3.3020105212926858E-2</v>
      </c>
      <c r="DQ4" s="11">
        <v>-2.694530226290226E-2</v>
      </c>
      <c r="DR4" s="11">
        <v>-2.806044556200504E-2</v>
      </c>
      <c r="DS4" s="11">
        <v>-2.7914209291338921E-2</v>
      </c>
      <c r="DT4" s="11">
        <v>-2.7555149048566822E-2</v>
      </c>
      <c r="DU4" s="11">
        <v>-2.540554478764534E-2</v>
      </c>
      <c r="DV4" s="11">
        <v>-2.6828791946172711E-2</v>
      </c>
      <c r="DW4" s="11">
        <v>-3.7095267325639718E-2</v>
      </c>
      <c r="DX4" s="11">
        <v>-2.7448661625385281E-2</v>
      </c>
      <c r="DY4" s="11">
        <v>-3.1317904591560357E-2</v>
      </c>
      <c r="DZ4" s="11">
        <v>-2.4290399625897411E-2</v>
      </c>
      <c r="EA4" s="11">
        <v>-8.3518818020820618E-2</v>
      </c>
      <c r="EB4" s="11">
        <v>-7.7344618737697601E-2</v>
      </c>
      <c r="EC4" s="11">
        <v>-7.0242889225482941E-2</v>
      </c>
      <c r="ED4" s="11">
        <v>-6.3896283507347107E-2</v>
      </c>
      <c r="EE4" s="11">
        <v>-9.7872823476791382E-2</v>
      </c>
      <c r="EF4" s="11">
        <v>-7.6828889548778534E-2</v>
      </c>
    </row>
    <row r="5" spans="1:136" s="1" customFormat="1">
      <c r="B5" s="2" t="s">
        <v>138</v>
      </c>
      <c r="C5" s="11">
        <v>0.50836324691772461</v>
      </c>
      <c r="D5" s="11">
        <v>0.76913774013519287</v>
      </c>
      <c r="E5" s="11">
        <v>0.54195535182952881</v>
      </c>
      <c r="F5" s="11">
        <v>1.1543282270431521</v>
      </c>
      <c r="G5" s="11">
        <v>0.54750555753707886</v>
      </c>
      <c r="H5" s="11">
        <v>0.91896617412567139</v>
      </c>
      <c r="I5" s="11">
        <v>0.66497212648391724</v>
      </c>
      <c r="J5" s="11">
        <v>0.96098613739013672</v>
      </c>
      <c r="K5" s="11">
        <v>1.069318890571594</v>
      </c>
      <c r="L5" s="11">
        <v>0.58301490545272827</v>
      </c>
      <c r="M5" s="11">
        <v>0.48336148262023931</v>
      </c>
      <c r="N5" s="11">
        <v>0.4335099458694458</v>
      </c>
      <c r="O5" s="11">
        <v>6.3416294753551483E-2</v>
      </c>
      <c r="P5" s="11">
        <v>3.3898822963237762E-2</v>
      </c>
      <c r="Q5" s="11">
        <v>-0.63935673236846924</v>
      </c>
      <c r="R5" s="11">
        <v>-5.0250470638275153E-2</v>
      </c>
      <c r="S5" s="11">
        <v>6.6091194748878479E-2</v>
      </c>
      <c r="T5" s="11">
        <v>-6.0526482760906219E-2</v>
      </c>
      <c r="U5" s="11">
        <v>-5.0881840288639069E-2</v>
      </c>
      <c r="V5" s="11">
        <v>0.12953431904315951</v>
      </c>
      <c r="W5" s="11">
        <v>0.1782713979482651</v>
      </c>
      <c r="X5" s="11">
        <v>0.22364641726017001</v>
      </c>
      <c r="Y5" s="11">
        <v>0.2607954740524292</v>
      </c>
      <c r="Z5" s="11">
        <v>0.17032516002655029</v>
      </c>
      <c r="AA5" s="11">
        <v>0.14871090650558469</v>
      </c>
      <c r="AB5" s="11">
        <v>0.13639476895332339</v>
      </c>
      <c r="AC5" s="11">
        <v>0.1064975261688232</v>
      </c>
      <c r="AD5" s="11">
        <v>0.1051289364695549</v>
      </c>
      <c r="AE5" s="11">
        <v>9.8157517611980438E-2</v>
      </c>
      <c r="AF5" s="11">
        <v>8.0513276159763336E-2</v>
      </c>
      <c r="AG5" s="11">
        <v>5.8855693787336349E-2</v>
      </c>
      <c r="AH5" s="11">
        <v>3.0879952013492581E-2</v>
      </c>
      <c r="AI5" s="11">
        <v>-1.261719036847353E-2</v>
      </c>
      <c r="AJ5" s="11">
        <v>4.1990965604782098E-2</v>
      </c>
      <c r="AK5" s="11">
        <v>7.5650393962860107E-2</v>
      </c>
      <c r="AL5" s="11">
        <v>6.6236443817615509E-2</v>
      </c>
      <c r="AM5" s="11">
        <v>3.2869942486286163E-2</v>
      </c>
      <c r="AN5" s="11">
        <v>3.6517307162284851E-2</v>
      </c>
      <c r="AO5" s="11">
        <v>6.8531297147274017E-2</v>
      </c>
      <c r="AP5" s="11">
        <v>6.5215103328227997E-2</v>
      </c>
      <c r="AQ5" s="11">
        <v>0.1400775462388992</v>
      </c>
      <c r="AR5" s="11">
        <v>0.16342324018478391</v>
      </c>
      <c r="AS5" s="11">
        <v>0.18792152404785159</v>
      </c>
      <c r="AT5" s="11">
        <v>0.19995155930519101</v>
      </c>
      <c r="AU5" s="11">
        <v>0.19402837753295901</v>
      </c>
      <c r="AV5" s="11">
        <v>0.15869356691837311</v>
      </c>
      <c r="AW5" s="11">
        <v>-3.568306565284729E-2</v>
      </c>
      <c r="AX5" s="11">
        <v>3.6226339638233178E-2</v>
      </c>
      <c r="AY5" s="11">
        <v>0.1132773458957672</v>
      </c>
      <c r="AZ5" s="11">
        <v>0.104707270860672</v>
      </c>
      <c r="BA5" s="11">
        <v>6.849505752325058E-2</v>
      </c>
      <c r="BB5" s="11">
        <v>-7.3811113834381104E-3</v>
      </c>
      <c r="BC5" s="11">
        <v>-3.7875480949878693E-2</v>
      </c>
      <c r="BD5" s="11">
        <v>-2.379884384572506E-2</v>
      </c>
      <c r="BE5" s="11">
        <v>1.822005026042461E-3</v>
      </c>
      <c r="BF5" s="11">
        <v>-2.3551452904939651E-2</v>
      </c>
      <c r="BG5" s="11">
        <v>5.2555324509739876E-4</v>
      </c>
      <c r="BH5" s="11">
        <v>5.9344802051782608E-2</v>
      </c>
      <c r="BI5" s="11">
        <v>1.4028729870915409E-2</v>
      </c>
      <c r="BJ5" s="11">
        <v>8.2117840647697449E-3</v>
      </c>
      <c r="BK5" s="11">
        <v>5.5602390319108963E-2</v>
      </c>
      <c r="BL5" s="11">
        <v>-3.1602058559656143E-2</v>
      </c>
      <c r="BM5" s="11">
        <v>6.5659098327159882E-2</v>
      </c>
      <c r="BN5" s="11">
        <v>-5.0475221127271652E-2</v>
      </c>
      <c r="BO5" s="11">
        <v>-5.4688155651092529E-2</v>
      </c>
      <c r="BP5" s="11">
        <v>-3.0284570530056949E-3</v>
      </c>
      <c r="BQ5" s="11">
        <v>7.9566333442926407E-3</v>
      </c>
      <c r="BR5" s="11">
        <v>-2.7654411271214489E-2</v>
      </c>
      <c r="BS5" s="11">
        <v>-6.0201874002814293E-3</v>
      </c>
      <c r="BT5" s="11">
        <v>4.3329164385795593E-2</v>
      </c>
      <c r="BU5" s="11">
        <v>4.8520129173994057E-2</v>
      </c>
      <c r="BV5" s="11">
        <v>0.14270420372486109</v>
      </c>
      <c r="BW5" s="11">
        <v>0.13052307069301611</v>
      </c>
      <c r="BX5" s="11">
        <v>5.2400790154933929E-2</v>
      </c>
      <c r="BY5" s="11">
        <v>6.0546338558197021E-2</v>
      </c>
      <c r="BZ5" s="11">
        <v>5.7873823679983616E-3</v>
      </c>
      <c r="CA5" s="11">
        <v>-2.9747102409601212E-2</v>
      </c>
      <c r="CB5" s="11">
        <v>-3.9389632642269128E-2</v>
      </c>
      <c r="CC5" s="11">
        <v>1.370896119624376E-2</v>
      </c>
      <c r="CD5" s="11">
        <v>1.4963460154831409E-2</v>
      </c>
      <c r="CE5" s="11">
        <v>1.9200652837753299E-2</v>
      </c>
      <c r="CF5" s="11">
        <v>4.381309449672699E-2</v>
      </c>
      <c r="CG5" s="11">
        <v>3.0113250017166141E-2</v>
      </c>
      <c r="CH5" s="11">
        <v>4.3025322258472443E-2</v>
      </c>
      <c r="CI5" s="11">
        <v>2.937228232622147E-2</v>
      </c>
      <c r="CJ5" s="11">
        <v>4.1782274842262268E-2</v>
      </c>
      <c r="CK5" s="11">
        <v>3.7300810217857361E-2</v>
      </c>
      <c r="CL5" s="11">
        <v>6.0941599309444427E-2</v>
      </c>
      <c r="CM5" s="11">
        <v>-3.8412053138017647E-2</v>
      </c>
      <c r="CN5" s="11">
        <v>2.307451143860817E-2</v>
      </c>
      <c r="CO5" s="11">
        <v>0.1589557081460953</v>
      </c>
      <c r="CP5" s="11">
        <v>-3.6965128034353263E-2</v>
      </c>
      <c r="CQ5" s="11">
        <v>6.9797366857528687E-2</v>
      </c>
      <c r="CR5" s="11">
        <v>-3.3767849206924438E-2</v>
      </c>
      <c r="CS5" s="11">
        <v>2.6915153488516811E-2</v>
      </c>
      <c r="CT5" s="11">
        <v>5.3638488054275513E-2</v>
      </c>
      <c r="CU5" s="11">
        <v>6.3532985746860504E-2</v>
      </c>
      <c r="CV5" s="11">
        <v>5.5906884372234338E-2</v>
      </c>
      <c r="CW5" s="11">
        <v>4.8717334866523743E-2</v>
      </c>
      <c r="CX5" s="11">
        <v>3.1909029930830002E-2</v>
      </c>
      <c r="CY5" s="11">
        <v>2.966258488595486E-2</v>
      </c>
      <c r="CZ5" s="11">
        <v>3.6755949258804321E-2</v>
      </c>
      <c r="DA5" s="11">
        <v>2.631759271025658E-2</v>
      </c>
      <c r="DB5" s="11">
        <v>2.7680350467562679E-2</v>
      </c>
      <c r="DC5" s="11">
        <v>3.7085290998220437E-2</v>
      </c>
      <c r="DD5" s="11">
        <v>1.9733298569917679E-2</v>
      </c>
      <c r="DE5" s="11">
        <v>4.1370406746864319E-2</v>
      </c>
      <c r="DF5" s="11">
        <v>4.0565907955169678E-2</v>
      </c>
      <c r="DG5" s="11">
        <v>3.3224057406187057E-2</v>
      </c>
      <c r="DH5" s="11">
        <v>2.4580571800470349E-2</v>
      </c>
      <c r="DI5" s="11">
        <v>-2.881684526801109E-2</v>
      </c>
      <c r="DJ5" s="11">
        <v>2.9332105070352551E-2</v>
      </c>
      <c r="DK5" s="11">
        <v>3.2709039747715003E-2</v>
      </c>
      <c r="DL5" s="11">
        <v>3.5447288304567337E-2</v>
      </c>
      <c r="DM5" s="11">
        <v>4.903421550989151E-2</v>
      </c>
      <c r="DN5" s="11">
        <v>-0.11219848692417141</v>
      </c>
      <c r="DO5" s="11">
        <v>5.3319718688726432E-2</v>
      </c>
      <c r="DP5" s="11">
        <v>5.3090192377567291E-2</v>
      </c>
      <c r="DQ5" s="11">
        <v>6.7249387502670288E-2</v>
      </c>
      <c r="DR5" s="11">
        <v>3.8297854363918298E-2</v>
      </c>
      <c r="DS5" s="11">
        <v>4.5268747955560677E-2</v>
      </c>
      <c r="DT5" s="11">
        <v>8.5754990577697754E-3</v>
      </c>
      <c r="DU5" s="11">
        <v>1.5342086553573611E-3</v>
      </c>
      <c r="DV5" s="11">
        <v>3.8169108331203461E-2</v>
      </c>
      <c r="DW5" s="11">
        <v>3.0193541198968891E-2</v>
      </c>
      <c r="DX5" s="11">
        <v>3.4144993871450417E-2</v>
      </c>
      <c r="DY5" s="11">
        <v>5.4498199373483658E-2</v>
      </c>
      <c r="DZ5" s="11">
        <v>4.3653316795825958E-2</v>
      </c>
      <c r="EA5" s="11">
        <v>2.1745305508375171E-2</v>
      </c>
      <c r="EB5" s="11">
        <v>6.247103214263916E-3</v>
      </c>
      <c r="EC5" s="11">
        <v>2.142295241355896E-2</v>
      </c>
      <c r="ED5" s="11">
        <v>1.7024625092744831E-2</v>
      </c>
      <c r="EE5" s="11">
        <v>5.3500138223171227E-2</v>
      </c>
      <c r="EF5" s="11">
        <v>5.7897597551345832E-2</v>
      </c>
    </row>
    <row r="6" spans="1:136" s="1" customFormat="1">
      <c r="A6" s="2" t="s">
        <v>139</v>
      </c>
      <c r="C6" s="11">
        <f t="array" ref="C6">MATCH(MAX(ABS(C3:C5)),ABS(C3:C5),0)</f>
        <v>3</v>
      </c>
      <c r="D6" s="11">
        <f t="array" ref="D6">MATCH(MAX(ABS(D3:D5)),ABS(D3:D5),0)</f>
        <v>3</v>
      </c>
      <c r="E6" s="11">
        <f t="array" ref="E6">MATCH(MAX(ABS(E3:E5)),ABS(E3:E5),0)</f>
        <v>3</v>
      </c>
      <c r="F6" s="11">
        <f t="array" ref="F6">MATCH(MAX(ABS(F3:F5)),ABS(F3:F5),0)</f>
        <v>3</v>
      </c>
      <c r="G6" s="11">
        <f t="array" ref="G6">MATCH(MAX(ABS(G3:G5)),ABS(G3:G5),0)</f>
        <v>3</v>
      </c>
      <c r="H6" s="11">
        <f t="array" ref="H6">MATCH(MAX(ABS(H3:H5)),ABS(H3:H5),0)</f>
        <v>3</v>
      </c>
      <c r="I6" s="11">
        <f t="array" ref="I6">MATCH(MAX(ABS(I3:I5)),ABS(I3:I5),0)</f>
        <v>3</v>
      </c>
      <c r="J6" s="11">
        <f t="array" ref="J6">MATCH(MAX(ABS(J3:J5)),ABS(J3:J5),0)</f>
        <v>3</v>
      </c>
      <c r="K6" s="11">
        <f t="array" ref="K6">MATCH(MAX(ABS(K3:K5)),ABS(K3:K5),0)</f>
        <v>3</v>
      </c>
      <c r="L6" s="11">
        <f t="array" ref="L6">MATCH(MAX(ABS(L3:L5)),ABS(L3:L5),0)</f>
        <v>3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1</v>
      </c>
      <c r="Q6" s="11">
        <f t="array" ref="Q6">MATCH(MAX(ABS(Q3:Q5)),ABS(Q3:Q5),0)</f>
        <v>3</v>
      </c>
      <c r="R6" s="11">
        <f t="array" ref="R6">MATCH(MAX(ABS(R3:R5)),ABS(R3:R5),0)</f>
        <v>3</v>
      </c>
      <c r="S6" s="11">
        <f t="array" ref="S6">MATCH(MAX(ABS(S3:S5)),ABS(S3:S5),0)</f>
        <v>3</v>
      </c>
      <c r="T6" s="11">
        <f t="array" ref="T6">MATCH(MAX(ABS(T3:T5)),ABS(T3:T5),0)</f>
        <v>3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1</v>
      </c>
      <c r="X6" s="11">
        <f t="array" ref="X6">MATCH(MAX(ABS(X3:X5)),ABS(X3:X5),0)</f>
        <v>3</v>
      </c>
      <c r="Y6" s="11">
        <f t="array" ref="Y6">MATCH(MAX(ABS(Y3:Y5)),ABS(Y3:Y5),0)</f>
        <v>3</v>
      </c>
      <c r="Z6" s="11">
        <f t="array" ref="Z6">MATCH(MAX(ABS(Z3:Z5)),ABS(Z3:Z5),0)</f>
        <v>3</v>
      </c>
      <c r="AA6" s="11">
        <f t="array" ref="AA6">MATCH(MAX(ABS(AA3:AA5)),ABS(AA3:AA5),0)</f>
        <v>3</v>
      </c>
      <c r="AB6" s="11">
        <f t="array" ref="AB6">MATCH(MAX(ABS(AB3:AB5)),ABS(AB3:AB5),0)</f>
        <v>3</v>
      </c>
      <c r="AC6" s="11">
        <f t="array" ref="AC6">MATCH(MAX(ABS(AC3:AC5)),ABS(AC3:AC5),0)</f>
        <v>3</v>
      </c>
      <c r="AD6" s="11">
        <f t="array" ref="AD6">MATCH(MAX(ABS(AD3:AD5)),ABS(AD3:AD5),0)</f>
        <v>3</v>
      </c>
      <c r="AE6" s="11">
        <f t="array" ref="AE6">MATCH(MAX(ABS(AE3:AE5)),ABS(AE3:AE5),0)</f>
        <v>3</v>
      </c>
      <c r="AF6" s="11">
        <f t="array" ref="AF6">MATCH(MAX(ABS(AF3:AF5)),ABS(AF3:AF5),0)</f>
        <v>3</v>
      </c>
      <c r="AG6" s="11">
        <f t="array" ref="AG6">MATCH(MAX(ABS(AG3:AG5)),ABS(AG3:AG5),0)</f>
        <v>3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3</v>
      </c>
      <c r="AL6" s="11">
        <f t="array" ref="AL6">MATCH(MAX(ABS(AL3:AL5)),ABS(AL3:AL5),0)</f>
        <v>3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3</v>
      </c>
      <c r="AR6" s="11">
        <f t="array" ref="AR6">MATCH(MAX(ABS(AR3:AR5)),ABS(AR3:AR5),0)</f>
        <v>3</v>
      </c>
      <c r="AS6" s="11">
        <f t="array" ref="AS6">MATCH(MAX(ABS(AS3:AS5)),ABS(AS3:AS5),0)</f>
        <v>3</v>
      </c>
      <c r="AT6" s="11">
        <f t="array" ref="AT6">MATCH(MAX(ABS(AT3:AT5)),ABS(AT3:AT5),0)</f>
        <v>3</v>
      </c>
      <c r="AU6" s="11">
        <f t="array" ref="AU6">MATCH(MAX(ABS(AU3:AU5)),ABS(AU3:AU5),0)</f>
        <v>3</v>
      </c>
      <c r="AV6" s="11">
        <f t="array" ref="AV6">MATCH(MAX(ABS(AV3:AV5)),ABS(AV3:AV5),0)</f>
        <v>3</v>
      </c>
      <c r="AW6" s="11">
        <f t="array" ref="AW6">MATCH(MAX(ABS(AW3:AW5)),ABS(AW3:AW5),0)</f>
        <v>3</v>
      </c>
      <c r="AX6" s="11">
        <f t="array" ref="AX6">MATCH(MAX(ABS(AX3:AX5)),ABS(AX3:AX5),0)</f>
        <v>3</v>
      </c>
      <c r="AY6" s="11">
        <f t="array" ref="AY6">MATCH(MAX(ABS(AY3:AY5)),ABS(AY3:AY5),0)</f>
        <v>3</v>
      </c>
      <c r="AZ6" s="11">
        <f t="array" ref="AZ6">MATCH(MAX(ABS(AZ3:AZ5)),ABS(AZ3:AZ5),0)</f>
        <v>3</v>
      </c>
      <c r="BA6" s="11">
        <f t="array" ref="BA6">MATCH(MAX(ABS(BA3:BA5)),ABS(BA3:BA5),0)</f>
        <v>3</v>
      </c>
      <c r="BB6" s="11">
        <f t="array" ref="BB6">MATCH(MAX(ABS(BB3:BB5)),ABS(BB3:BB5),0)</f>
        <v>1</v>
      </c>
      <c r="BC6" s="11">
        <f t="array" ref="BC6">MATCH(MAX(ABS(BC3:BC5)),ABS(BC3:BC5),0)</f>
        <v>3</v>
      </c>
      <c r="BD6" s="11">
        <f t="array" ref="BD6">MATCH(MAX(ABS(BD3:BD5)),ABS(BD3:BD5),0)</f>
        <v>2</v>
      </c>
      <c r="BE6" s="11">
        <f t="array" ref="BE6">MATCH(MAX(ABS(BE3:BE5)),ABS(BE3:BE5),0)</f>
        <v>2</v>
      </c>
      <c r="BF6" s="11">
        <f t="array" ref="BF6">MATCH(MAX(ABS(BF3:BF5)),ABS(BF3:BF5),0)</f>
        <v>2</v>
      </c>
      <c r="BG6" s="11">
        <f t="array" ref="BG6">MATCH(MAX(ABS(BG3:BG5)),ABS(BG3:BG5),0)</f>
        <v>2</v>
      </c>
      <c r="BH6" s="11">
        <f t="array" ref="BH6">MATCH(MAX(ABS(BH3:BH5)),ABS(BH3:BH5),0)</f>
        <v>3</v>
      </c>
      <c r="BI6" s="11">
        <f t="array" ref="BI6">MATCH(MAX(ABS(BI3:BI5)),ABS(BI3:BI5),0)</f>
        <v>2</v>
      </c>
      <c r="BJ6" s="11">
        <f t="array" ref="BJ6">MATCH(MAX(ABS(BJ3:BJ5)),ABS(BJ3:BJ5),0)</f>
        <v>1</v>
      </c>
      <c r="BK6" s="11">
        <f t="array" ref="BK6">MATCH(MAX(ABS(BK3:BK5)),ABS(BK3:BK5),0)</f>
        <v>3</v>
      </c>
      <c r="BL6" s="11">
        <f t="array" ref="BL6">MATCH(MAX(ABS(BL3:BL5)),ABS(BL3:BL5),0)</f>
        <v>1</v>
      </c>
      <c r="BM6" s="11">
        <f t="array" ref="BM6">MATCH(MAX(ABS(BM3:BM5)),ABS(BM3:BM5),0)</f>
        <v>3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1</v>
      </c>
      <c r="BT6" s="11">
        <f t="array" ref="BT6">MATCH(MAX(ABS(BT3:BT5)),ABS(BT3:BT5),0)</f>
        <v>3</v>
      </c>
      <c r="BU6" s="11">
        <f t="array" ref="BU6">MATCH(MAX(ABS(BU3:BU5)),ABS(BU3:BU5),0)</f>
        <v>3</v>
      </c>
      <c r="BV6" s="11">
        <f t="array" ref="BV6">MATCH(MAX(ABS(BV3:BV5)),ABS(BV3:BV5),0)</f>
        <v>3</v>
      </c>
      <c r="BW6" s="11">
        <f t="array" ref="BW6">MATCH(MAX(ABS(BW3:BW5)),ABS(BW3:BW5),0)</f>
        <v>3</v>
      </c>
      <c r="BX6" s="11">
        <f t="array" ref="BX6">MATCH(MAX(ABS(BX3:BX5)),ABS(BX3:BX5),0)</f>
        <v>3</v>
      </c>
      <c r="BY6" s="11">
        <f t="array" ref="BY6">MATCH(MAX(ABS(BY3:BY5)),ABS(BY3:BY5),0)</f>
        <v>3</v>
      </c>
      <c r="BZ6" s="11">
        <f t="array" ref="BZ6">MATCH(MAX(ABS(BZ3:BZ5)),ABS(BZ3:BZ5),0)</f>
        <v>1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2</v>
      </c>
      <c r="CD6" s="11">
        <f t="array" ref="CD6">MATCH(MAX(ABS(CD3:CD5)),ABS(CD3:CD5),0)</f>
        <v>1</v>
      </c>
      <c r="CE6" s="11">
        <f t="array" ref="CE6">MATCH(MAX(ABS(CE3:CE5)),ABS(CE3:CE5),0)</f>
        <v>2</v>
      </c>
      <c r="CF6" s="11">
        <f t="array" ref="CF6">MATCH(MAX(ABS(CF3:CF5)),ABS(CF3:CF5),0)</f>
        <v>3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2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3</v>
      </c>
      <c r="CN6" s="11">
        <f t="array" ref="CN6">MATCH(MAX(ABS(CN3:CN5)),ABS(CN3:CN5),0)</f>
        <v>2</v>
      </c>
      <c r="CO6" s="11">
        <f t="array" ref="CO6">MATCH(MAX(ABS(CO3:CO5)),ABS(CO3:CO5),0)</f>
        <v>3</v>
      </c>
      <c r="CP6" s="11">
        <f t="array" ref="CP6">MATCH(MAX(ABS(CP3:CP5)),ABS(CP3:CP5),0)</f>
        <v>3</v>
      </c>
      <c r="CQ6" s="11">
        <f t="array" ref="CQ6">MATCH(MAX(ABS(CQ3:CQ5)),ABS(CQ3:CQ5),0)</f>
        <v>3</v>
      </c>
      <c r="CR6" s="11">
        <f t="array" ref="CR6">MATCH(MAX(ABS(CR3:CR5)),ABS(CR3:CR5),0)</f>
        <v>3</v>
      </c>
      <c r="CS6" s="11">
        <f t="array" ref="CS6">MATCH(MAX(ABS(CS3:CS5)),ABS(CS3:CS5),0)</f>
        <v>2</v>
      </c>
      <c r="CT6" s="11">
        <f t="array" ref="CT6">MATCH(MAX(ABS(CT3:CT5)),ABS(CT3:CT5),0)</f>
        <v>3</v>
      </c>
      <c r="CU6" s="11">
        <f t="array" ref="CU6">MATCH(MAX(ABS(CU3:CU5)),ABS(CU3:CU5),0)</f>
        <v>3</v>
      </c>
      <c r="CV6" s="11">
        <f t="array" ref="CV6">MATCH(MAX(ABS(CV3:CV5)),ABS(CV3:CV5),0)</f>
        <v>3</v>
      </c>
      <c r="CW6" s="11">
        <f t="array" ref="CW6">MATCH(MAX(ABS(CW3:CW5)),ABS(CW3:CW5),0)</f>
        <v>3</v>
      </c>
      <c r="CX6" s="11">
        <f t="array" ref="CX6">MATCH(MAX(ABS(CX3:CX5)),ABS(CX3:CX5),0)</f>
        <v>1</v>
      </c>
      <c r="CY6" s="11">
        <f t="array" ref="CY6">MATCH(MAX(ABS(CY3:CY5)),ABS(CY3:CY5),0)</f>
        <v>3</v>
      </c>
      <c r="CZ6" s="11">
        <f t="array" ref="CZ6">MATCH(MAX(ABS(CZ3:CZ5)),ABS(CZ3:CZ5),0)</f>
        <v>1</v>
      </c>
      <c r="DA6" s="11">
        <f t="array" ref="DA6">MATCH(MAX(ABS(DA3:DA5)),ABS(DA3:DA5),0)</f>
        <v>2</v>
      </c>
      <c r="DB6" s="11">
        <f t="array" ref="DB6">MATCH(MAX(ABS(DB3:DB5)),ABS(DB3:DB5),0)</f>
        <v>2</v>
      </c>
      <c r="DC6" s="11">
        <f t="array" ref="DC6">MATCH(MAX(ABS(DC3:DC5)),ABS(DC3:DC5),0)</f>
        <v>3</v>
      </c>
      <c r="DD6" s="11">
        <f t="array" ref="DD6">MATCH(MAX(ABS(DD3:DD5)),ABS(DD3:DD5),0)</f>
        <v>2</v>
      </c>
      <c r="DE6" s="11">
        <f t="array" ref="DE6">MATCH(MAX(ABS(DE3:DE5)),ABS(DE3:DE5),0)</f>
        <v>3</v>
      </c>
      <c r="DF6" s="11">
        <f t="array" ref="DF6">MATCH(MAX(ABS(DF3:DF5)),ABS(DF3:DF5),0)</f>
        <v>3</v>
      </c>
      <c r="DG6" s="11">
        <f t="array" ref="DG6">MATCH(MAX(ABS(DG3:DG5)),ABS(DG3:DG5),0)</f>
        <v>3</v>
      </c>
      <c r="DH6" s="11">
        <f t="array" ref="DH6">MATCH(MAX(ABS(DH3:DH5)),ABS(DH3:DH5),0)</f>
        <v>2</v>
      </c>
      <c r="DI6" s="11">
        <f t="array" ref="DI6">MATCH(MAX(ABS(DI3:DI5)),ABS(DI3:DI5),0)</f>
        <v>2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3</v>
      </c>
      <c r="DM6" s="11">
        <f t="array" ref="DM6">MATCH(MAX(ABS(DM3:DM5)),ABS(DM3:DM5),0)</f>
        <v>3</v>
      </c>
      <c r="DN6" s="11">
        <f t="array" ref="DN6">MATCH(MAX(ABS(DN3:DN5)),ABS(DN3:DN5),0)</f>
        <v>3</v>
      </c>
      <c r="DO6" s="11">
        <f t="array" ref="DO6">MATCH(MAX(ABS(DO3:DO5)),ABS(DO3:DO5),0)</f>
        <v>3</v>
      </c>
      <c r="DP6" s="11">
        <f t="array" ref="DP6">MATCH(MAX(ABS(DP3:DP5)),ABS(DP3:DP5),0)</f>
        <v>3</v>
      </c>
      <c r="DQ6" s="11">
        <f t="array" ref="DQ6">MATCH(MAX(ABS(DQ3:DQ5)),ABS(DQ3:DQ5),0)</f>
        <v>3</v>
      </c>
      <c r="DR6" s="11">
        <f t="array" ref="DR6">MATCH(MAX(ABS(DR3:DR5)),ABS(DR3:DR5),0)</f>
        <v>1</v>
      </c>
      <c r="DS6" s="11">
        <f t="array" ref="DS6">MATCH(MAX(ABS(DS3:DS5)),ABS(DS3:DS5),0)</f>
        <v>3</v>
      </c>
      <c r="DT6" s="11">
        <f t="array" ref="DT6">MATCH(MAX(ABS(DT3:DT5)),ABS(DT3:DT5),0)</f>
        <v>1</v>
      </c>
      <c r="DU6" s="11">
        <f t="array" ref="DU6">MATCH(MAX(ABS(DU3:DU5)),ABS(DU3:DU5),0)</f>
        <v>2</v>
      </c>
      <c r="DV6" s="11">
        <f t="array" ref="DV6">MATCH(MAX(ABS(DV3:DV5)),ABS(DV3:DV5),0)</f>
        <v>3</v>
      </c>
      <c r="DW6" s="11">
        <f t="array" ref="DW6">MATCH(MAX(ABS(DW3:DW5)),ABS(DW3:DW5),0)</f>
        <v>2</v>
      </c>
      <c r="DX6" s="11">
        <f t="array" ref="DX6">MATCH(MAX(ABS(DX3:DX5)),ABS(DX3:DX5),0)</f>
        <v>3</v>
      </c>
      <c r="DY6" s="11">
        <f t="array" ref="DY6">MATCH(MAX(ABS(DY3:DY5)),ABS(DY3:DY5),0)</f>
        <v>3</v>
      </c>
      <c r="DZ6" s="11">
        <f t="array" ref="DZ6">MATCH(MAX(ABS(DZ3:DZ5)),ABS(DZ3:DZ5),0)</f>
        <v>3</v>
      </c>
      <c r="EA6" s="11">
        <f t="array" ref="EA6">MATCH(MAX(ABS(EA3:EA5)),ABS(EA3:EA5),0)</f>
        <v>2</v>
      </c>
      <c r="EB6" s="11">
        <f t="array" ref="EB6">MATCH(MAX(ABS(EB3:EB5)),ABS(EB3:EB5),0)</f>
        <v>2</v>
      </c>
      <c r="EC6" s="11">
        <f t="array" ref="EC6">MATCH(MAX(ABS(EC3:EC5)),ABS(EC3:EC5),0)</f>
        <v>2</v>
      </c>
      <c r="ED6" s="11">
        <f t="array" ref="ED6">MATCH(MAX(ABS(ED3:ED5)),ABS(ED3:ED5),0)</f>
        <v>2</v>
      </c>
      <c r="EE6" s="11">
        <f t="array" ref="EE6">MATCH(MAX(ABS(EE3:EE5)),ABS(EE3:EE5),0)</f>
        <v>2</v>
      </c>
      <c r="EF6" s="11">
        <f t="array" ref="EF6">MATCH(MAX(ABS(EF3:EF5)),ABS(EF3:EF5),0)</f>
        <v>2</v>
      </c>
    </row>
    <row r="7" spans="1:136">
      <c r="C7" s="12" t="str">
        <f t="shared" ref="C7:AH7" si="0">IF(C6=1,"bm",IF(C6=2,"size",IF(C6=3,"mom")))</f>
        <v>mom</v>
      </c>
      <c r="D7" s="12" t="str">
        <f t="shared" si="0"/>
        <v>mom</v>
      </c>
      <c r="E7" s="12" t="str">
        <f t="shared" si="0"/>
        <v>mom</v>
      </c>
      <c r="F7" s="12" t="str">
        <f t="shared" si="0"/>
        <v>mom</v>
      </c>
      <c r="G7" s="12" t="str">
        <f t="shared" si="0"/>
        <v>mom</v>
      </c>
      <c r="H7" s="12" t="str">
        <f t="shared" si="0"/>
        <v>mom</v>
      </c>
      <c r="I7" s="12" t="str">
        <f t="shared" si="0"/>
        <v>mom</v>
      </c>
      <c r="J7" s="12" t="str">
        <f t="shared" si="0"/>
        <v>mom</v>
      </c>
      <c r="K7" s="12" t="str">
        <f t="shared" si="0"/>
        <v>mom</v>
      </c>
      <c r="L7" s="12" t="str">
        <f t="shared" si="0"/>
        <v>mom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bm</v>
      </c>
      <c r="Q7" s="12" t="str">
        <f t="shared" si="0"/>
        <v>mom</v>
      </c>
      <c r="R7" s="12" t="str">
        <f t="shared" si="0"/>
        <v>mom</v>
      </c>
      <c r="S7" s="12" t="str">
        <f t="shared" si="0"/>
        <v>mom</v>
      </c>
      <c r="T7" s="12" t="str">
        <f t="shared" si="0"/>
        <v>mom</v>
      </c>
      <c r="U7" s="12" t="str">
        <f t="shared" si="0"/>
        <v>mom</v>
      </c>
      <c r="V7" s="12" t="str">
        <f t="shared" si="0"/>
        <v>mom</v>
      </c>
      <c r="W7" s="12" t="str">
        <f t="shared" si="0"/>
        <v>bm</v>
      </c>
      <c r="X7" s="12" t="str">
        <f t="shared" si="0"/>
        <v>mom</v>
      </c>
      <c r="Y7" s="12" t="str">
        <f t="shared" si="0"/>
        <v>mom</v>
      </c>
      <c r="Z7" s="12" t="str">
        <f t="shared" si="0"/>
        <v>mom</v>
      </c>
      <c r="AA7" s="12" t="str">
        <f t="shared" si="0"/>
        <v>mom</v>
      </c>
      <c r="AB7" s="12" t="str">
        <f t="shared" si="0"/>
        <v>mom</v>
      </c>
      <c r="AC7" s="12" t="str">
        <f t="shared" si="0"/>
        <v>mom</v>
      </c>
      <c r="AD7" s="12" t="str">
        <f t="shared" si="0"/>
        <v>mom</v>
      </c>
      <c r="AE7" s="12" t="str">
        <f t="shared" si="0"/>
        <v>mom</v>
      </c>
      <c r="AF7" s="12" t="str">
        <f t="shared" si="0"/>
        <v>mom</v>
      </c>
      <c r="AG7" s="12" t="str">
        <f t="shared" si="0"/>
        <v>mom</v>
      </c>
      <c r="AH7" s="12" t="str">
        <f t="shared" si="0"/>
        <v>bm</v>
      </c>
      <c r="AI7" s="12" t="str">
        <f t="shared" ref="AI7:BN7" si="1">IF(AI6=1,"bm",IF(AI6=2,"size",IF(AI6=3,"mom")))</f>
        <v>bm</v>
      </c>
      <c r="AJ7" s="12" t="str">
        <f t="shared" si="1"/>
        <v>bm</v>
      </c>
      <c r="AK7" s="12" t="str">
        <f t="shared" si="1"/>
        <v>mom</v>
      </c>
      <c r="AL7" s="12" t="str">
        <f t="shared" si="1"/>
        <v>mom</v>
      </c>
      <c r="AM7" s="12" t="str">
        <f t="shared" si="1"/>
        <v>bm</v>
      </c>
      <c r="AN7" s="12" t="str">
        <f t="shared" si="1"/>
        <v>bm</v>
      </c>
      <c r="AO7" s="12" t="str">
        <f t="shared" si="1"/>
        <v>bm</v>
      </c>
      <c r="AP7" s="12" t="str">
        <f t="shared" si="1"/>
        <v>bm</v>
      </c>
      <c r="AQ7" s="12" t="str">
        <f t="shared" si="1"/>
        <v>mom</v>
      </c>
      <c r="AR7" s="12" t="str">
        <f t="shared" si="1"/>
        <v>mom</v>
      </c>
      <c r="AS7" s="12" t="str">
        <f t="shared" si="1"/>
        <v>mom</v>
      </c>
      <c r="AT7" s="12" t="str">
        <f t="shared" si="1"/>
        <v>mom</v>
      </c>
      <c r="AU7" s="12" t="str">
        <f t="shared" si="1"/>
        <v>mom</v>
      </c>
      <c r="AV7" s="12" t="str">
        <f t="shared" si="1"/>
        <v>mom</v>
      </c>
      <c r="AW7" s="12" t="str">
        <f t="shared" si="1"/>
        <v>mom</v>
      </c>
      <c r="AX7" s="12" t="str">
        <f t="shared" si="1"/>
        <v>mom</v>
      </c>
      <c r="AY7" s="12" t="str">
        <f t="shared" si="1"/>
        <v>mom</v>
      </c>
      <c r="AZ7" s="12" t="str">
        <f t="shared" si="1"/>
        <v>mom</v>
      </c>
      <c r="BA7" s="12" t="str">
        <f t="shared" si="1"/>
        <v>mom</v>
      </c>
      <c r="BB7" s="12" t="str">
        <f t="shared" si="1"/>
        <v>bm</v>
      </c>
      <c r="BC7" s="12" t="str">
        <f t="shared" si="1"/>
        <v>mom</v>
      </c>
      <c r="BD7" s="12" t="str">
        <f t="shared" si="1"/>
        <v>size</v>
      </c>
      <c r="BE7" s="12" t="str">
        <f t="shared" si="1"/>
        <v>size</v>
      </c>
      <c r="BF7" s="12" t="str">
        <f t="shared" si="1"/>
        <v>size</v>
      </c>
      <c r="BG7" s="12" t="str">
        <f t="shared" si="1"/>
        <v>size</v>
      </c>
      <c r="BH7" s="12" t="str">
        <f t="shared" si="1"/>
        <v>mom</v>
      </c>
      <c r="BI7" s="12" t="str">
        <f t="shared" si="1"/>
        <v>size</v>
      </c>
      <c r="BJ7" s="12" t="str">
        <f t="shared" si="1"/>
        <v>bm</v>
      </c>
      <c r="BK7" s="12" t="str">
        <f t="shared" si="1"/>
        <v>mom</v>
      </c>
      <c r="BL7" s="12" t="str">
        <f t="shared" si="1"/>
        <v>bm</v>
      </c>
      <c r="BM7" s="12" t="str">
        <f t="shared" si="1"/>
        <v>mom</v>
      </c>
      <c r="BN7" s="12" t="str">
        <f t="shared" si="1"/>
        <v>bm</v>
      </c>
      <c r="BO7" s="12" t="str">
        <f t="shared" ref="BO7:CT7" si="2">IF(BO6=1,"bm",IF(BO6=2,"size",IF(BO6=3,"mom")))</f>
        <v>bm</v>
      </c>
      <c r="BP7" s="12" t="str">
        <f t="shared" si="2"/>
        <v>bm</v>
      </c>
      <c r="BQ7" s="12" t="str">
        <f t="shared" si="2"/>
        <v>bm</v>
      </c>
      <c r="BR7" s="12" t="str">
        <f t="shared" si="2"/>
        <v>bm</v>
      </c>
      <c r="BS7" s="12" t="str">
        <f t="shared" si="2"/>
        <v>bm</v>
      </c>
      <c r="BT7" s="12" t="str">
        <f t="shared" si="2"/>
        <v>mom</v>
      </c>
      <c r="BU7" s="12" t="str">
        <f t="shared" si="2"/>
        <v>mom</v>
      </c>
      <c r="BV7" s="12" t="str">
        <f t="shared" si="2"/>
        <v>mom</v>
      </c>
      <c r="BW7" s="12" t="str">
        <f t="shared" si="2"/>
        <v>mom</v>
      </c>
      <c r="BX7" s="12" t="str">
        <f t="shared" si="2"/>
        <v>mom</v>
      </c>
      <c r="BY7" s="12" t="str">
        <f t="shared" si="2"/>
        <v>mom</v>
      </c>
      <c r="BZ7" s="12" t="str">
        <f t="shared" si="2"/>
        <v>bm</v>
      </c>
      <c r="CA7" s="12" t="str">
        <f t="shared" si="2"/>
        <v>size</v>
      </c>
      <c r="CB7" s="12" t="str">
        <f t="shared" si="2"/>
        <v>mom</v>
      </c>
      <c r="CC7" s="12" t="str">
        <f t="shared" si="2"/>
        <v>size</v>
      </c>
      <c r="CD7" s="12" t="str">
        <f t="shared" si="2"/>
        <v>bm</v>
      </c>
      <c r="CE7" s="12" t="str">
        <f t="shared" si="2"/>
        <v>size</v>
      </c>
      <c r="CF7" s="12" t="str">
        <f t="shared" si="2"/>
        <v>mom</v>
      </c>
      <c r="CG7" s="12" t="str">
        <f t="shared" si="2"/>
        <v>mom</v>
      </c>
      <c r="CH7" s="12" t="str">
        <f t="shared" si="2"/>
        <v>mom</v>
      </c>
      <c r="CI7" s="12" t="str">
        <f t="shared" si="2"/>
        <v>size</v>
      </c>
      <c r="CJ7" s="12" t="str">
        <f t="shared" si="2"/>
        <v>mom</v>
      </c>
      <c r="CK7" s="12" t="str">
        <f t="shared" si="2"/>
        <v>mom</v>
      </c>
      <c r="CL7" s="12" t="str">
        <f t="shared" si="2"/>
        <v>mom</v>
      </c>
      <c r="CM7" s="12" t="str">
        <f t="shared" si="2"/>
        <v>mom</v>
      </c>
      <c r="CN7" s="12" t="str">
        <f t="shared" si="2"/>
        <v>size</v>
      </c>
      <c r="CO7" s="12" t="str">
        <f t="shared" si="2"/>
        <v>mom</v>
      </c>
      <c r="CP7" s="12" t="str">
        <f t="shared" si="2"/>
        <v>mom</v>
      </c>
      <c r="CQ7" s="12" t="str">
        <f t="shared" si="2"/>
        <v>mom</v>
      </c>
      <c r="CR7" s="12" t="str">
        <f t="shared" si="2"/>
        <v>mom</v>
      </c>
      <c r="CS7" s="12" t="str">
        <f t="shared" si="2"/>
        <v>size</v>
      </c>
      <c r="CT7" s="12" t="str">
        <f t="shared" si="2"/>
        <v>mom</v>
      </c>
      <c r="CU7" s="12" t="str">
        <f t="shared" ref="CU7:DZ7" si="3">IF(CU6=1,"bm",IF(CU6=2,"size",IF(CU6=3,"mom")))</f>
        <v>mom</v>
      </c>
      <c r="CV7" s="12" t="str">
        <f t="shared" si="3"/>
        <v>mom</v>
      </c>
      <c r="CW7" s="12" t="str">
        <f t="shared" si="3"/>
        <v>mom</v>
      </c>
      <c r="CX7" s="12" t="str">
        <f t="shared" si="3"/>
        <v>bm</v>
      </c>
      <c r="CY7" s="12" t="str">
        <f t="shared" si="3"/>
        <v>mom</v>
      </c>
      <c r="CZ7" s="12" t="str">
        <f t="shared" si="3"/>
        <v>bm</v>
      </c>
      <c r="DA7" s="12" t="str">
        <f t="shared" si="3"/>
        <v>size</v>
      </c>
      <c r="DB7" s="12" t="str">
        <f t="shared" si="3"/>
        <v>size</v>
      </c>
      <c r="DC7" s="12" t="str">
        <f t="shared" si="3"/>
        <v>mom</v>
      </c>
      <c r="DD7" s="12" t="str">
        <f t="shared" si="3"/>
        <v>size</v>
      </c>
      <c r="DE7" s="12" t="str">
        <f t="shared" si="3"/>
        <v>mom</v>
      </c>
      <c r="DF7" s="12" t="str">
        <f t="shared" si="3"/>
        <v>mom</v>
      </c>
      <c r="DG7" s="12" t="str">
        <f t="shared" si="3"/>
        <v>mom</v>
      </c>
      <c r="DH7" s="12" t="str">
        <f t="shared" si="3"/>
        <v>size</v>
      </c>
      <c r="DI7" s="12" t="str">
        <f t="shared" si="3"/>
        <v>size</v>
      </c>
      <c r="DJ7" s="12" t="str">
        <f t="shared" si="3"/>
        <v>bm</v>
      </c>
      <c r="DK7" s="12" t="str">
        <f t="shared" si="3"/>
        <v>bm</v>
      </c>
      <c r="DL7" s="12" t="str">
        <f t="shared" si="3"/>
        <v>mom</v>
      </c>
      <c r="DM7" s="12" t="str">
        <f t="shared" si="3"/>
        <v>mom</v>
      </c>
      <c r="DN7" s="12" t="str">
        <f t="shared" si="3"/>
        <v>mom</v>
      </c>
      <c r="DO7" s="12" t="str">
        <f t="shared" si="3"/>
        <v>mom</v>
      </c>
      <c r="DP7" s="12" t="str">
        <f t="shared" si="3"/>
        <v>mom</v>
      </c>
      <c r="DQ7" s="12" t="str">
        <f t="shared" si="3"/>
        <v>mom</v>
      </c>
      <c r="DR7" s="12" t="str">
        <f t="shared" si="3"/>
        <v>bm</v>
      </c>
      <c r="DS7" s="12" t="str">
        <f t="shared" si="3"/>
        <v>mom</v>
      </c>
      <c r="DT7" s="12" t="str">
        <f t="shared" si="3"/>
        <v>bm</v>
      </c>
      <c r="DU7" s="12" t="str">
        <f t="shared" si="3"/>
        <v>size</v>
      </c>
      <c r="DV7" s="12" t="str">
        <f t="shared" si="3"/>
        <v>mom</v>
      </c>
      <c r="DW7" s="12" t="str">
        <f t="shared" si="3"/>
        <v>size</v>
      </c>
      <c r="DX7" s="12" t="str">
        <f t="shared" si="3"/>
        <v>mom</v>
      </c>
      <c r="DY7" s="12" t="str">
        <f t="shared" si="3"/>
        <v>mom</v>
      </c>
      <c r="DZ7" s="12" t="str">
        <f t="shared" si="3"/>
        <v>mom</v>
      </c>
      <c r="EA7" s="12" t="str">
        <f t="shared" ref="EA7:EF7" si="4">IF(EA6=1,"bm",IF(EA6=2,"size",IF(EA6=3,"mom")))</f>
        <v>size</v>
      </c>
      <c r="EB7" s="12" t="str">
        <f t="shared" si="4"/>
        <v>size</v>
      </c>
      <c r="EC7" s="12" t="str">
        <f t="shared" si="4"/>
        <v>size</v>
      </c>
      <c r="ED7" s="12" t="str">
        <f t="shared" si="4"/>
        <v>size</v>
      </c>
      <c r="EE7" s="12" t="str">
        <f t="shared" si="4"/>
        <v>size</v>
      </c>
      <c r="EF7" s="12" t="str">
        <f t="shared" si="4"/>
        <v>size</v>
      </c>
    </row>
    <row r="8" spans="1:136">
      <c r="C8" s="11">
        <f t="shared" ref="C8:AH8" si="5">IF(C6=1,C3,IF(C6=2,C4,IF(C6=3,C5)))</f>
        <v>0.50836324691772461</v>
      </c>
      <c r="D8" s="11">
        <f t="shared" si="5"/>
        <v>0.76913774013519287</v>
      </c>
      <c r="E8" s="11">
        <f t="shared" si="5"/>
        <v>0.54195535182952881</v>
      </c>
      <c r="F8" s="11">
        <f t="shared" si="5"/>
        <v>1.1543282270431521</v>
      </c>
      <c r="G8" s="11">
        <f t="shared" si="5"/>
        <v>0.54750555753707886</v>
      </c>
      <c r="H8" s="11">
        <f t="shared" si="5"/>
        <v>0.91896617412567139</v>
      </c>
      <c r="I8" s="11">
        <f t="shared" si="5"/>
        <v>0.66497212648391724</v>
      </c>
      <c r="J8" s="11">
        <f t="shared" si="5"/>
        <v>0.96098613739013672</v>
      </c>
      <c r="K8" s="11">
        <f t="shared" si="5"/>
        <v>1.069318890571594</v>
      </c>
      <c r="L8" s="11">
        <f t="shared" si="5"/>
        <v>0.58301490545272827</v>
      </c>
      <c r="M8" s="11">
        <f t="shared" si="5"/>
        <v>0.48336148262023931</v>
      </c>
      <c r="N8" s="11">
        <f t="shared" si="5"/>
        <v>0.4335099458694458</v>
      </c>
      <c r="O8" s="11">
        <f t="shared" si="5"/>
        <v>6.3416294753551483E-2</v>
      </c>
      <c r="P8" s="11">
        <f t="shared" si="5"/>
        <v>-4.0258027613162987E-2</v>
      </c>
      <c r="Q8" s="11">
        <f t="shared" si="5"/>
        <v>-0.63935673236846924</v>
      </c>
      <c r="R8" s="11">
        <f t="shared" si="5"/>
        <v>-5.0250470638275153E-2</v>
      </c>
      <c r="S8" s="11">
        <f t="shared" si="5"/>
        <v>6.6091194748878479E-2</v>
      </c>
      <c r="T8" s="11">
        <f t="shared" si="5"/>
        <v>-6.0526482760906219E-2</v>
      </c>
      <c r="U8" s="11">
        <f t="shared" si="5"/>
        <v>-5.0881840288639069E-2</v>
      </c>
      <c r="V8" s="11">
        <f t="shared" si="5"/>
        <v>0.12953431904315951</v>
      </c>
      <c r="W8" s="11">
        <f t="shared" si="5"/>
        <v>-0.19089989364147189</v>
      </c>
      <c r="X8" s="11">
        <f t="shared" si="5"/>
        <v>0.22364641726017001</v>
      </c>
      <c r="Y8" s="11">
        <f t="shared" si="5"/>
        <v>0.2607954740524292</v>
      </c>
      <c r="Z8" s="11">
        <f t="shared" si="5"/>
        <v>0.17032516002655029</v>
      </c>
      <c r="AA8" s="11">
        <f t="shared" si="5"/>
        <v>0.14871090650558469</v>
      </c>
      <c r="AB8" s="11">
        <f t="shared" si="5"/>
        <v>0.13639476895332339</v>
      </c>
      <c r="AC8" s="11">
        <f t="shared" si="5"/>
        <v>0.1064975261688232</v>
      </c>
      <c r="AD8" s="11">
        <f t="shared" si="5"/>
        <v>0.1051289364695549</v>
      </c>
      <c r="AE8" s="11">
        <f t="shared" si="5"/>
        <v>9.8157517611980438E-2</v>
      </c>
      <c r="AF8" s="11">
        <f t="shared" si="5"/>
        <v>8.0513276159763336E-2</v>
      </c>
      <c r="AG8" s="11">
        <f t="shared" si="5"/>
        <v>5.8855693787336349E-2</v>
      </c>
      <c r="AH8" s="11">
        <f t="shared" si="5"/>
        <v>-0.26610976457595831</v>
      </c>
      <c r="AI8" s="11">
        <f t="shared" ref="AI8:BN8" si="6">IF(AI6=1,AI3,IF(AI6=2,AI4,IF(AI6=3,AI5)))</f>
        <v>-0.14365202188491821</v>
      </c>
      <c r="AJ8" s="11">
        <f t="shared" si="6"/>
        <v>-0.25451940298080439</v>
      </c>
      <c r="AK8" s="11">
        <f t="shared" si="6"/>
        <v>7.5650393962860107E-2</v>
      </c>
      <c r="AL8" s="11">
        <f t="shared" si="6"/>
        <v>6.6236443817615509E-2</v>
      </c>
      <c r="AM8" s="11">
        <f t="shared" si="6"/>
        <v>-8.2977190613746643E-2</v>
      </c>
      <c r="AN8" s="11">
        <f t="shared" si="6"/>
        <v>-7.0350959897041321E-2</v>
      </c>
      <c r="AO8" s="11">
        <f t="shared" si="6"/>
        <v>-0.1968108415603638</v>
      </c>
      <c r="AP8" s="11">
        <f t="shared" si="6"/>
        <v>-0.25679254531860352</v>
      </c>
      <c r="AQ8" s="11">
        <f t="shared" si="6"/>
        <v>0.1400775462388992</v>
      </c>
      <c r="AR8" s="11">
        <f t="shared" si="6"/>
        <v>0.16342324018478391</v>
      </c>
      <c r="AS8" s="11">
        <f t="shared" si="6"/>
        <v>0.18792152404785159</v>
      </c>
      <c r="AT8" s="11">
        <f t="shared" si="6"/>
        <v>0.19995155930519101</v>
      </c>
      <c r="AU8" s="11">
        <f t="shared" si="6"/>
        <v>0.19402837753295901</v>
      </c>
      <c r="AV8" s="11">
        <f t="shared" si="6"/>
        <v>0.15869356691837311</v>
      </c>
      <c r="AW8" s="11">
        <f t="shared" si="6"/>
        <v>-3.568306565284729E-2</v>
      </c>
      <c r="AX8" s="11">
        <f t="shared" si="6"/>
        <v>3.6226339638233178E-2</v>
      </c>
      <c r="AY8" s="11">
        <f t="shared" si="6"/>
        <v>0.1132773458957672</v>
      </c>
      <c r="AZ8" s="11">
        <f t="shared" si="6"/>
        <v>0.104707270860672</v>
      </c>
      <c r="BA8" s="11">
        <f t="shared" si="6"/>
        <v>6.849505752325058E-2</v>
      </c>
      <c r="BB8" s="11">
        <f t="shared" si="6"/>
        <v>3.3319383859634399E-2</v>
      </c>
      <c r="BC8" s="11">
        <f t="shared" si="6"/>
        <v>-3.7875480949878693E-2</v>
      </c>
      <c r="BD8" s="11">
        <f t="shared" si="6"/>
        <v>-3.2060969620943069E-2</v>
      </c>
      <c r="BE8" s="11">
        <f t="shared" si="6"/>
        <v>-3.2296057790517807E-2</v>
      </c>
      <c r="BF8" s="11">
        <f t="shared" si="6"/>
        <v>-3.2346583902835853E-2</v>
      </c>
      <c r="BG8" s="11">
        <f t="shared" si="6"/>
        <v>-3.2194517552852631E-2</v>
      </c>
      <c r="BH8" s="11">
        <f t="shared" si="6"/>
        <v>5.9344802051782608E-2</v>
      </c>
      <c r="BI8" s="11">
        <f t="shared" si="6"/>
        <v>-2.780326642096043E-2</v>
      </c>
      <c r="BJ8" s="11">
        <f t="shared" si="6"/>
        <v>-6.5720930695533752E-2</v>
      </c>
      <c r="BK8" s="11">
        <f t="shared" si="6"/>
        <v>5.5602390319108963E-2</v>
      </c>
      <c r="BL8" s="11">
        <f t="shared" si="6"/>
        <v>-8.8971659541130066E-2</v>
      </c>
      <c r="BM8" s="11">
        <f t="shared" si="6"/>
        <v>6.5659098327159882E-2</v>
      </c>
      <c r="BN8" s="11">
        <f t="shared" si="6"/>
        <v>-6.8609192967414856E-2</v>
      </c>
      <c r="BO8" s="11">
        <f t="shared" ref="BO8:CT8" si="7">IF(BO6=1,BO3,IF(BO6=2,BO4,IF(BO6=3,BO5)))</f>
        <v>-5.5181741714477539E-2</v>
      </c>
      <c r="BP8" s="11">
        <f t="shared" si="7"/>
        <v>-8.5352331399917603E-2</v>
      </c>
      <c r="BQ8" s="11">
        <f t="shared" si="7"/>
        <v>-3.6593899130821228E-2</v>
      </c>
      <c r="BR8" s="11">
        <f t="shared" si="7"/>
        <v>3.5782556980848312E-2</v>
      </c>
      <c r="BS8" s="11">
        <f t="shared" si="7"/>
        <v>3.381897509098053E-2</v>
      </c>
      <c r="BT8" s="11">
        <f t="shared" si="7"/>
        <v>4.3329164385795593E-2</v>
      </c>
      <c r="BU8" s="11">
        <f t="shared" si="7"/>
        <v>4.8520129173994057E-2</v>
      </c>
      <c r="BV8" s="11">
        <f t="shared" si="7"/>
        <v>0.14270420372486109</v>
      </c>
      <c r="BW8" s="11">
        <f t="shared" si="7"/>
        <v>0.13052307069301611</v>
      </c>
      <c r="BX8" s="11">
        <f t="shared" si="7"/>
        <v>5.2400790154933929E-2</v>
      </c>
      <c r="BY8" s="11">
        <f t="shared" si="7"/>
        <v>6.0546338558197021E-2</v>
      </c>
      <c r="BZ8" s="11">
        <f t="shared" si="7"/>
        <v>5.243389680981636E-2</v>
      </c>
      <c r="CA8" s="11">
        <f t="shared" si="7"/>
        <v>-3.099978901445866E-2</v>
      </c>
      <c r="CB8" s="11">
        <f t="shared" si="7"/>
        <v>-3.9389632642269128E-2</v>
      </c>
      <c r="CC8" s="11">
        <f t="shared" si="7"/>
        <v>-2.8904115781188011E-2</v>
      </c>
      <c r="CD8" s="11">
        <f t="shared" si="7"/>
        <v>3.6022435873746872E-2</v>
      </c>
      <c r="CE8" s="11">
        <f t="shared" si="7"/>
        <v>-2.8157502412796021E-2</v>
      </c>
      <c r="CF8" s="11">
        <f t="shared" si="7"/>
        <v>4.381309449672699E-2</v>
      </c>
      <c r="CG8" s="11">
        <f t="shared" si="7"/>
        <v>3.0113250017166141E-2</v>
      </c>
      <c r="CH8" s="11">
        <f t="shared" si="7"/>
        <v>4.3025322258472443E-2</v>
      </c>
      <c r="CI8" s="11">
        <f t="shared" si="7"/>
        <v>-3.1394515186548233E-2</v>
      </c>
      <c r="CJ8" s="11">
        <f t="shared" si="7"/>
        <v>4.1782274842262268E-2</v>
      </c>
      <c r="CK8" s="11">
        <f t="shared" si="7"/>
        <v>3.7300810217857361E-2</v>
      </c>
      <c r="CL8" s="11">
        <f t="shared" si="7"/>
        <v>6.0941599309444427E-2</v>
      </c>
      <c r="CM8" s="11">
        <f t="shared" si="7"/>
        <v>-3.8412053138017647E-2</v>
      </c>
      <c r="CN8" s="11">
        <f t="shared" si="7"/>
        <v>-3.586915135383606E-2</v>
      </c>
      <c r="CO8" s="11">
        <f t="shared" si="7"/>
        <v>0.1589557081460953</v>
      </c>
      <c r="CP8" s="11">
        <f t="shared" si="7"/>
        <v>-3.6965128034353263E-2</v>
      </c>
      <c r="CQ8" s="11">
        <f t="shared" si="7"/>
        <v>6.9797366857528687E-2</v>
      </c>
      <c r="CR8" s="11">
        <f t="shared" si="7"/>
        <v>-3.3767849206924438E-2</v>
      </c>
      <c r="CS8" s="11">
        <f t="shared" si="7"/>
        <v>-2.9090225696563721E-2</v>
      </c>
      <c r="CT8" s="11">
        <f t="shared" si="7"/>
        <v>5.3638488054275513E-2</v>
      </c>
      <c r="CU8" s="11">
        <f t="shared" ref="CU8:DZ8" si="8">IF(CU6=1,CU3,IF(CU6=2,CU4,IF(CU6=3,CU5)))</f>
        <v>6.3532985746860504E-2</v>
      </c>
      <c r="CV8" s="11">
        <f t="shared" si="8"/>
        <v>5.5906884372234338E-2</v>
      </c>
      <c r="CW8" s="11">
        <f t="shared" si="8"/>
        <v>4.8717334866523743E-2</v>
      </c>
      <c r="CX8" s="11">
        <f t="shared" si="8"/>
        <v>4.2955689132213593E-2</v>
      </c>
      <c r="CY8" s="11">
        <f t="shared" si="8"/>
        <v>2.966258488595486E-2</v>
      </c>
      <c r="CZ8" s="11">
        <f t="shared" si="8"/>
        <v>4.7397840768098831E-2</v>
      </c>
      <c r="DA8" s="11">
        <f t="shared" si="8"/>
        <v>-2.9591461643576619E-2</v>
      </c>
      <c r="DB8" s="11">
        <f t="shared" si="8"/>
        <v>-3.4101340919733047E-2</v>
      </c>
      <c r="DC8" s="11">
        <f t="shared" si="8"/>
        <v>3.7085290998220437E-2</v>
      </c>
      <c r="DD8" s="11">
        <f t="shared" si="8"/>
        <v>-3.2262604683637619E-2</v>
      </c>
      <c r="DE8" s="11">
        <f t="shared" si="8"/>
        <v>4.1370406746864319E-2</v>
      </c>
      <c r="DF8" s="11">
        <f t="shared" si="8"/>
        <v>4.0565907955169678E-2</v>
      </c>
      <c r="DG8" s="11">
        <f t="shared" si="8"/>
        <v>3.3224057406187057E-2</v>
      </c>
      <c r="DH8" s="11">
        <f t="shared" si="8"/>
        <v>-3.1315241008996957E-2</v>
      </c>
      <c r="DI8" s="11">
        <f t="shared" si="8"/>
        <v>-2.9898226261138919E-2</v>
      </c>
      <c r="DJ8" s="11">
        <f t="shared" si="8"/>
        <v>3.5664934664964683E-2</v>
      </c>
      <c r="DK8" s="11">
        <f t="shared" si="8"/>
        <v>3.7067931145429611E-2</v>
      </c>
      <c r="DL8" s="11">
        <f t="shared" si="8"/>
        <v>3.5447288304567337E-2</v>
      </c>
      <c r="DM8" s="11">
        <f t="shared" si="8"/>
        <v>4.903421550989151E-2</v>
      </c>
      <c r="DN8" s="11">
        <f t="shared" si="8"/>
        <v>-0.11219848692417141</v>
      </c>
      <c r="DO8" s="11">
        <f t="shared" si="8"/>
        <v>5.3319718688726432E-2</v>
      </c>
      <c r="DP8" s="11">
        <f t="shared" si="8"/>
        <v>5.3090192377567291E-2</v>
      </c>
      <c r="DQ8" s="11">
        <f t="shared" si="8"/>
        <v>6.7249387502670288E-2</v>
      </c>
      <c r="DR8" s="11">
        <f t="shared" si="8"/>
        <v>3.8861591368913651E-2</v>
      </c>
      <c r="DS8" s="11">
        <f t="shared" si="8"/>
        <v>4.5268747955560677E-2</v>
      </c>
      <c r="DT8" s="11">
        <f t="shared" si="8"/>
        <v>3.6585744470357888E-2</v>
      </c>
      <c r="DU8" s="11">
        <f t="shared" si="8"/>
        <v>-2.540554478764534E-2</v>
      </c>
      <c r="DV8" s="11">
        <f t="shared" si="8"/>
        <v>3.8169108331203461E-2</v>
      </c>
      <c r="DW8" s="11">
        <f t="shared" si="8"/>
        <v>-3.7095267325639718E-2</v>
      </c>
      <c r="DX8" s="11">
        <f t="shared" si="8"/>
        <v>3.4144993871450417E-2</v>
      </c>
      <c r="DY8" s="11">
        <f t="shared" si="8"/>
        <v>5.4498199373483658E-2</v>
      </c>
      <c r="DZ8" s="11">
        <f t="shared" si="8"/>
        <v>4.3653316795825958E-2</v>
      </c>
      <c r="EA8" s="11">
        <f t="shared" ref="EA8:EF8" si="9">IF(EA6=1,EA3,IF(EA6=2,EA4,IF(EA6=3,EA5)))</f>
        <v>-8.3518818020820618E-2</v>
      </c>
      <c r="EB8" s="11">
        <f t="shared" si="9"/>
        <v>-7.7344618737697601E-2</v>
      </c>
      <c r="EC8" s="11">
        <f t="shared" si="9"/>
        <v>-7.0242889225482941E-2</v>
      </c>
      <c r="ED8" s="11">
        <f t="shared" si="9"/>
        <v>-6.3896283507347107E-2</v>
      </c>
      <c r="EE8" s="11">
        <f t="shared" si="9"/>
        <v>-9.7872823476791382E-2</v>
      </c>
      <c r="EF8" s="11">
        <f t="shared" si="9"/>
        <v>-7.6828889548778534E-2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144</v>
      </c>
    </row>
    <row r="12" spans="1:136">
      <c r="A12" s="2">
        <v>10</v>
      </c>
      <c r="B12" s="2">
        <v>96</v>
      </c>
      <c r="C12" s="14">
        <v>-1.4499246984096079E-2</v>
      </c>
      <c r="D12" s="14">
        <f>C12+預測IC!D12</f>
        <v>1.793045137799907E-4</v>
      </c>
      <c r="E12" s="14">
        <f>D12+預測IC!E12</f>
        <v>-1.2144200270864554E-3</v>
      </c>
      <c r="F12" s="14">
        <f>E12+預測IC!F12</f>
        <v>-5.7173804811545187E-2</v>
      </c>
      <c r="G12" s="14">
        <f>F12+預測IC!G12</f>
        <v>-2.5226356292914726E-2</v>
      </c>
      <c r="H12" s="14">
        <f>G12+預測IC!H12</f>
        <v>-1.5627097936315143E-2</v>
      </c>
      <c r="I12" s="14">
        <f>H12+預測IC!I12</f>
        <v>-2.4285250199659641E-2</v>
      </c>
      <c r="J12" s="14">
        <f>I12+預測IC!J12</f>
        <v>-1.6895456543730845E-2</v>
      </c>
      <c r="K12" s="14">
        <f>J12+預測IC!K12</f>
        <v>1.2292541589968335E-2</v>
      </c>
      <c r="L12" s="14">
        <f>K12+預測IC!L12</f>
        <v>2.1051097554134569E-2</v>
      </c>
      <c r="M12" s="14">
        <f>L12+預測IC!M12</f>
        <v>4.794027138734152E-2</v>
      </c>
      <c r="N12" s="14">
        <f>M12+預測IC!N12</f>
        <v>1.3236917143878701E-2</v>
      </c>
      <c r="O12" s="14">
        <f>N12+預測IC!O12</f>
        <v>4.1151676211119079E-2</v>
      </c>
      <c r="P12" s="14">
        <f>O12+預測IC!P12</f>
        <v>6.2572097415581424E-2</v>
      </c>
      <c r="Q12" s="14">
        <f>P12+預測IC!Q12</f>
        <v>5.7456414041617374E-2</v>
      </c>
      <c r="R12" s="14">
        <f>Q12+預測IC!R12</f>
        <v>4.4302925381078787E-2</v>
      </c>
      <c r="S12" s="14">
        <f>R12+預測IC!S12</f>
        <v>5.5357955154417993E-2</v>
      </c>
      <c r="T12" s="14">
        <f>S12+預測IC!T12</f>
        <v>7.4902388088932959E-3</v>
      </c>
      <c r="U12" s="14">
        <f>T12+預測IC!U12</f>
        <v>8.8467618926742764E-3</v>
      </c>
      <c r="V12" s="14">
        <f>U12+預測IC!V12</f>
        <v>1.8357715546322498E-2</v>
      </c>
      <c r="W12" s="14">
        <f>V12+預測IC!W12</f>
        <v>-3.9207264269892524E-3</v>
      </c>
      <c r="X12" s="14">
        <f>W12+預測IC!X12</f>
        <v>-0.11356147777432465</v>
      </c>
      <c r="Y12" s="14">
        <f>X12+預測IC!Y12</f>
        <v>-9.2963084246633382E-2</v>
      </c>
      <c r="Z12" s="14">
        <f>Y12+預測IC!Z12</f>
        <v>-0.14611517122349427</v>
      </c>
      <c r="AA12" s="14">
        <f>Z12+預測IC!AA12</f>
        <v>-0.11919669180268265</v>
      </c>
      <c r="AB12" s="14">
        <f>AA12+預測IC!AB12</f>
        <v>-0.10846336219854388</v>
      </c>
      <c r="AC12" s="14">
        <f>AB12+預測IC!AC12</f>
        <v>-0.15523630782485515</v>
      </c>
      <c r="AD12" s="14">
        <f>AC12+預測IC!AD12</f>
        <v>-0.15776673765607865</v>
      </c>
      <c r="AE12" s="14">
        <f>AD12+預測IC!AE12</f>
        <v>-0.11132902098909464</v>
      </c>
      <c r="AF12" s="14">
        <f>AE12+預測IC!AF12</f>
        <v>-0.16334112376586232</v>
      </c>
      <c r="AG12" s="14">
        <f>AF12+預測IC!AG12</f>
        <v>-0.16715605418667218</v>
      </c>
      <c r="AH12" s="14">
        <f>AG12+預測IC!AH12</f>
        <v>-0.18056185883630541</v>
      </c>
      <c r="AI12" s="14">
        <f>AH12+預測IC!AI12</f>
        <v>-0.20006791001649135</v>
      </c>
      <c r="AJ12" s="14">
        <f>AI12+預測IC!AJ12</f>
        <v>-0.21305165756254593</v>
      </c>
      <c r="AK12" s="14">
        <f>AJ12+預測IC!AK12</f>
        <v>-0.2295270257866816</v>
      </c>
      <c r="AL12" s="14">
        <f>AK12+預測IC!AL12</f>
        <v>-0.27732751573875891</v>
      </c>
      <c r="AM12" s="14">
        <f>AL12+預測IC!AM12</f>
        <v>-0.30741363135135685</v>
      </c>
      <c r="AN12" s="14">
        <f>AM12+預測IC!AN12</f>
        <v>-0.37664686566478539</v>
      </c>
      <c r="AO12" s="14">
        <f>AN12+預測IC!AO12</f>
        <v>-0.37887565870445844</v>
      </c>
      <c r="AP12" s="14">
        <f>AO12+預測IC!AP12</f>
        <v>-0.34515731392260929</v>
      </c>
      <c r="AQ12" s="14">
        <f>AP12+預測IC!AQ12</f>
        <v>-0.34685424450013874</v>
      </c>
      <c r="AR12" s="14">
        <f>AQ12+預測IC!AR12</f>
        <v>-0.32463121851254656</v>
      </c>
      <c r="AS12" s="14">
        <f>AR12+預測IC!AS12</f>
        <v>-0.30465494560217538</v>
      </c>
      <c r="AT12" s="14">
        <f>AS12+預測IC!AT12</f>
        <v>-0.23245956324974026</v>
      </c>
      <c r="AU12" s="14">
        <f>AT12+預測IC!AU12</f>
        <v>-0.22874602680969566</v>
      </c>
      <c r="AV12" s="14">
        <f>AU12+預測IC!AV12</f>
        <v>-0.17503039615297594</v>
      </c>
      <c r="AW12" s="14">
        <f>AV12+預測IC!AW12</f>
        <v>-0.19220010091637901</v>
      </c>
      <c r="AX12" s="14">
        <f>AW12+預測IC!AX12</f>
        <v>-0.23689611288927687</v>
      </c>
      <c r="AY12" s="14">
        <f>AX12+預測IC!AY12</f>
        <v>-0.21940479123026935</v>
      </c>
      <c r="AZ12" s="14">
        <f>AY12+預測IC!AZ12</f>
        <v>-0.24301934439556996</v>
      </c>
      <c r="BA12" s="14">
        <f>AZ12+預測IC!BA12</f>
        <v>-0.26945367427263156</v>
      </c>
      <c r="BB12" s="14">
        <f>BA12+預測IC!BB12</f>
        <v>-0.25417906902017212</v>
      </c>
      <c r="BC12" s="14">
        <f>BB12+預測IC!BC12</f>
        <v>-0.28087003531250965</v>
      </c>
      <c r="BD12" s="14">
        <f>BC12+預測IC!BD12</f>
        <v>-0.23163608739584296</v>
      </c>
      <c r="BE12" s="14">
        <f>BD12+預測IC!BE12</f>
        <v>-0.27723430614584299</v>
      </c>
      <c r="BF12" s="14">
        <f>BE12+預測IC!BF12</f>
        <v>-0.30083500406250968</v>
      </c>
      <c r="BG12" s="14">
        <f>BF12+預測IC!BG12</f>
        <v>-0.29083120197917633</v>
      </c>
      <c r="BH12" s="14">
        <f>BG12+預測IC!BH12</f>
        <v>-0.32591079100909337</v>
      </c>
      <c r="BI12" s="14">
        <f>BH12+預測IC!BI12</f>
        <v>-0.30507275975909343</v>
      </c>
      <c r="BJ12" s="14">
        <f>BI12+預測IC!BJ12</f>
        <v>-0.30427676643917562</v>
      </c>
      <c r="BK12" s="14">
        <f>BJ12+預測IC!BK12</f>
        <v>-0.3049341499342102</v>
      </c>
      <c r="BL12" s="14">
        <f>BK12+預測IC!BL12</f>
        <v>-0.32964339576435886</v>
      </c>
      <c r="BM12" s="14">
        <f>BL12+預測IC!BM12</f>
        <v>-0.2793377112410344</v>
      </c>
      <c r="BN12" s="14">
        <f>BM12+預測IC!BN12</f>
        <v>-0.29085424675313093</v>
      </c>
      <c r="BO12" s="14">
        <f>BN12+預測IC!BO12</f>
        <v>-0.31510055700936784</v>
      </c>
      <c r="BP12" s="14">
        <f>BO12+預測IC!BP12</f>
        <v>-0.30459157170407375</v>
      </c>
      <c r="BQ12" s="14">
        <f>BP12+預測IC!BQ12</f>
        <v>-0.31848832132282046</v>
      </c>
      <c r="BR12" s="14">
        <f>BQ12+預測IC!BR12</f>
        <v>-0.32074932977621928</v>
      </c>
      <c r="BS12" s="14">
        <f>BR12+預測IC!BS12</f>
        <v>-0.30188603639182332</v>
      </c>
      <c r="BT12" s="14">
        <f>BS12+預測IC!BT12</f>
        <v>-0.2855212530773979</v>
      </c>
      <c r="BU12" s="14">
        <f>BT12+預測IC!BU12</f>
        <v>-0.26860623585312304</v>
      </c>
      <c r="BV12" s="14">
        <f>BU12+預測IC!BV12</f>
        <v>-0.310888624939053</v>
      </c>
      <c r="BW12" s="14">
        <f>BV12+預測IC!BW12</f>
        <v>-0.35536562883070322</v>
      </c>
      <c r="BX12" s="14">
        <f>BW12+預測IC!BX12</f>
        <v>-0.36235078268884247</v>
      </c>
      <c r="BY12" s="14">
        <f>BX12+預測IC!BY12</f>
        <v>-0.3034208663312784</v>
      </c>
      <c r="BZ12" s="14">
        <f>BY12+預測IC!BZ12</f>
        <v>-0.25806392064000544</v>
      </c>
      <c r="CA12" s="14">
        <f>BZ12+預測IC!CA12</f>
        <v>-0.2434833373066721</v>
      </c>
      <c r="CB12" s="14">
        <f>CA12+預測IC!CB12</f>
        <v>-0.21630947451364044</v>
      </c>
      <c r="CC12" s="14">
        <f>CB12+預測IC!CC12</f>
        <v>-0.15074343284697375</v>
      </c>
      <c r="CD12" s="14">
        <f>CC12+預測IC!CD12</f>
        <v>-3.9809799262521248E-2</v>
      </c>
      <c r="CE12" s="14">
        <f>CD12+預測IC!CE12</f>
        <v>0.11419735698747886</v>
      </c>
      <c r="CF12" s="14">
        <f>CE12+預測IC!CF12</f>
        <v>0.12221863150140888</v>
      </c>
      <c r="CG12" s="14">
        <f>CF12+預測IC!CG12</f>
        <v>7.2940671538328283E-2</v>
      </c>
      <c r="CH12" s="14">
        <f>CG12+預測IC!CH12</f>
        <v>5.6477559159542459E-2</v>
      </c>
      <c r="CI12" s="14">
        <f>CH12+預測IC!CI12</f>
        <v>3.2136329992875801E-2</v>
      </c>
      <c r="CJ12" s="14">
        <f>CI12+預測IC!CJ12</f>
        <v>8.625639690707082E-2</v>
      </c>
      <c r="CK12" s="14">
        <f>CJ12+預測IC!CK12</f>
        <v>0.14235783755486098</v>
      </c>
      <c r="CL12" s="14">
        <f>CK12+預測IC!CL12</f>
        <v>0.22079811784088188</v>
      </c>
      <c r="CM12" s="14">
        <f>CL12+預測IC!CM12</f>
        <v>0.24715206867905121</v>
      </c>
      <c r="CN12" s="14">
        <f>CM12+預測IC!CN12</f>
        <v>0.22384481867905123</v>
      </c>
      <c r="CO12" s="14">
        <f>CN12+預測IC!CO12</f>
        <v>0.19902503342383865</v>
      </c>
      <c r="CP12" s="14">
        <f>CO12+預測IC!CP12</f>
        <v>0.20003005545953051</v>
      </c>
      <c r="CQ12" s="14">
        <f>CP12+預測IC!CQ12</f>
        <v>0.13734570845595573</v>
      </c>
      <c r="CR12" s="14">
        <f>CQ12+預測IC!CR12</f>
        <v>0.19450569497746928</v>
      </c>
      <c r="CS12" s="14">
        <f>CR12+預測IC!CS12</f>
        <v>0.1799963824774693</v>
      </c>
      <c r="CT12" s="14">
        <f>CS12+預測IC!CT12</f>
        <v>0.17066731924749243</v>
      </c>
      <c r="CU12" s="14">
        <f>CT12+預測IC!CU12</f>
        <v>9.58877899661357E-2</v>
      </c>
      <c r="CV12" s="14">
        <f>CU12+預測IC!CV12</f>
        <v>0.16092109646182451</v>
      </c>
      <c r="CW12" s="14">
        <f>CV12+預測IC!CW12</f>
        <v>0.17395776584040215</v>
      </c>
      <c r="CX12" s="14">
        <f>CW12+預測IC!CX12</f>
        <v>0.23494764837739393</v>
      </c>
      <c r="CY12" s="14">
        <f>CX12+預測IC!CY12</f>
        <v>0.25136824462519952</v>
      </c>
      <c r="CZ12" s="14">
        <f>CY12+預測IC!CZ12</f>
        <v>0.32916057196470011</v>
      </c>
      <c r="DA12" s="14">
        <f>CZ12+預測IC!DA12</f>
        <v>0.36613909279803342</v>
      </c>
      <c r="DB12" s="14">
        <f>DA12+預測IC!DB12</f>
        <v>0.45512094696470012</v>
      </c>
      <c r="DC12" s="14">
        <f>DB12+預測IC!DC12</f>
        <v>0.45061958317215867</v>
      </c>
      <c r="DD12" s="14">
        <f>DC12+預測IC!DD12</f>
        <v>0.41152816650549201</v>
      </c>
      <c r="DE12" s="14">
        <f>DD12+預測IC!DE12</f>
        <v>0.38679052209039699</v>
      </c>
      <c r="DF12" s="14">
        <f>DE12+預測IC!DF12</f>
        <v>0.39841484177826597</v>
      </c>
      <c r="DG12" s="14">
        <f>DF12+預測IC!DG12</f>
        <v>0.35102042014844165</v>
      </c>
      <c r="DH12" s="14">
        <f>DG12+預測IC!DH12</f>
        <v>0.41221584723177496</v>
      </c>
      <c r="DI12" s="14">
        <f>DH12+預測IC!DI12</f>
        <v>0.47196485764844165</v>
      </c>
      <c r="DJ12" s="14">
        <f>DI12+預測IC!DJ12</f>
        <v>0.48002745590321211</v>
      </c>
      <c r="DK12" s="14">
        <f>DJ12+預測IC!DK12</f>
        <v>0.46408150277619575</v>
      </c>
      <c r="DL12" s="14">
        <f>DK12+預測IC!DL12</f>
        <v>0.48275133610999882</v>
      </c>
      <c r="DM12" s="14">
        <f>DL12+預測IC!DM12</f>
        <v>0.49189482944352797</v>
      </c>
      <c r="DN12" s="14">
        <f>DM12+預測IC!DN12</f>
        <v>0.51043627290214044</v>
      </c>
      <c r="DO12" s="14">
        <f>DN12+預測IC!DO12</f>
        <v>0.49140554463424263</v>
      </c>
      <c r="DP12" s="14">
        <f>DO12+預測IC!DP12</f>
        <v>0.43199685007758221</v>
      </c>
      <c r="DQ12" s="14">
        <f>DP12+預測IC!DQ12</f>
        <v>0.50653749755805499</v>
      </c>
      <c r="DR12" s="14">
        <f>DQ12+預測IC!DR12</f>
        <v>0.52531644083744189</v>
      </c>
      <c r="DS12" s="14">
        <f>DR12+預測IC!DS12</f>
        <v>0.57134071984256662</v>
      </c>
      <c r="DT12" s="14">
        <f>DS12+預測IC!DT12</f>
        <v>0.52604283644816607</v>
      </c>
      <c r="DU12" s="14">
        <f>DT12+預測IC!DU12</f>
        <v>0.46881260728149937</v>
      </c>
      <c r="DV12" s="14">
        <f>DU12+預測IC!DV12</f>
        <v>0.4520611657676788</v>
      </c>
      <c r="DW12" s="14">
        <f>DV12+預測IC!DW12</f>
        <v>0.49702871785101216</v>
      </c>
      <c r="DX12" s="14">
        <f>DW12+預測IC!DX12</f>
        <v>0.51512785462934552</v>
      </c>
      <c r="DY12" s="14">
        <f>DX12+預測IC!DY12</f>
        <v>0.57785607672411543</v>
      </c>
      <c r="DZ12" s="14">
        <f>DY12+預測IC!DZ12</f>
        <v>0.59789496684770449</v>
      </c>
      <c r="EA12" s="14">
        <f>DZ12+預測IC!EA12</f>
        <v>0.64899266476437112</v>
      </c>
      <c r="EB12" s="14">
        <f>EA12+預測IC!EB12</f>
        <v>0.65477883143103777</v>
      </c>
      <c r="EC12" s="14">
        <f>EB12+預測IC!EC12</f>
        <v>0.64497278976437111</v>
      </c>
      <c r="ED12" s="14">
        <f>EC12+預測IC!ED12</f>
        <v>0.63801503976437113</v>
      </c>
      <c r="EE12" s="14">
        <f>ED12+預測IC!EE12</f>
        <v>0.61150835226437117</v>
      </c>
      <c r="EF12" s="14">
        <f>EE12+預測IC!EF12</f>
        <v>0.64074174809770446</v>
      </c>
    </row>
    <row r="13" spans="1:136">
      <c r="A13" s="2">
        <v>20</v>
      </c>
      <c r="B13" s="2">
        <v>48</v>
      </c>
      <c r="C13" s="14">
        <v>7.4773642018864783E-3</v>
      </c>
      <c r="D13" s="14">
        <f>C13+預測IC!D13</f>
        <v>2.0205042130946715E-3</v>
      </c>
      <c r="E13" s="14">
        <f>D13+預測IC!E13</f>
        <v>-3.5031224901916685E-3</v>
      </c>
      <c r="F13" s="14">
        <f>E13+預測IC!F13</f>
        <v>-6.348964918311463E-2</v>
      </c>
      <c r="G13" s="14">
        <f>F13+預測IC!G13</f>
        <v>-5.1442244883008699E-2</v>
      </c>
      <c r="H13" s="14">
        <f>G13+預測IC!H13</f>
        <v>-3.4053857855509712E-2</v>
      </c>
      <c r="I13" s="14">
        <f>H13+預測IC!I13</f>
        <v>-1.7678661716438449E-3</v>
      </c>
      <c r="J13" s="14">
        <f>I13+預測IC!J13</f>
        <v>2.1232542480927846E-2</v>
      </c>
      <c r="K13" s="14">
        <f>J13+預測IC!K13</f>
        <v>8.1558681708497976E-2</v>
      </c>
      <c r="L13" s="14">
        <f>K13+預測IC!L13</f>
        <v>0.10353915208722075</v>
      </c>
      <c r="M13" s="14">
        <f>L13+預測IC!M13</f>
        <v>0.10681891031322548</v>
      </c>
      <c r="N13" s="14">
        <f>M13+預測IC!N13</f>
        <v>6.3426492847528687E-2</v>
      </c>
      <c r="O13" s="14">
        <f>N13+預測IC!O13</f>
        <v>8.084919165847862E-2</v>
      </c>
      <c r="P13" s="14">
        <f>O13+預測IC!P13</f>
        <v>0.10170610471988417</v>
      </c>
      <c r="Q13" s="14">
        <f>P13+預測IC!Q13</f>
        <v>0.11916248921624686</v>
      </c>
      <c r="R13" s="14">
        <f>Q13+預測IC!R13</f>
        <v>0.10265177813341692</v>
      </c>
      <c r="S13" s="14">
        <f>R13+預測IC!S13</f>
        <v>9.6637975126374648E-2</v>
      </c>
      <c r="T13" s="14">
        <f>S13+預測IC!T13</f>
        <v>2.2403893614652046E-2</v>
      </c>
      <c r="U13" s="14">
        <f>T13+預測IC!U13</f>
        <v>-6.3574369759022836E-3</v>
      </c>
      <c r="V13" s="14">
        <f>U13+預測IC!V13</f>
        <v>-4.1407970728483262E-3</v>
      </c>
      <c r="W13" s="14">
        <f>V13+預測IC!W13</f>
        <v>-3.5243884957218218E-2</v>
      </c>
      <c r="X13" s="14">
        <f>W13+預測IC!X13</f>
        <v>-0.15637165580995632</v>
      </c>
      <c r="Y13" s="14">
        <f>X13+預測IC!Y13</f>
        <v>-0.16305501453650176</v>
      </c>
      <c r="Z13" s="14">
        <f>Y13+預測IC!Z13</f>
        <v>-0.24430641665773731</v>
      </c>
      <c r="AA13" s="14">
        <f>Z13+預測IC!AA13</f>
        <v>-0.19659376820747912</v>
      </c>
      <c r="AB13" s="14">
        <f>AA13+預測IC!AB13</f>
        <v>-0.18159219487850062</v>
      </c>
      <c r="AC13" s="14">
        <f>AB13+預測IC!AC13</f>
        <v>-0.24836389526043046</v>
      </c>
      <c r="AD13" s="14">
        <f>AC13+預測IC!AD13</f>
        <v>-0.2688041236342229</v>
      </c>
      <c r="AE13" s="14">
        <f>AD13+預測IC!AE13</f>
        <v>-0.19173270690742222</v>
      </c>
      <c r="AF13" s="14">
        <f>AE13+預測IC!AF13</f>
        <v>-0.26501386773573343</v>
      </c>
      <c r="AG13" s="14">
        <f>AF13+預測IC!AG13</f>
        <v>-0.25510866000865934</v>
      </c>
      <c r="AH13" s="14">
        <f>AG13+預測IC!AH13</f>
        <v>-0.26474999924817572</v>
      </c>
      <c r="AI13" s="14">
        <f>AH13+預測IC!AI13</f>
        <v>-0.2768175493222485</v>
      </c>
      <c r="AJ13" s="14">
        <f>AI13+預測IC!AJ13</f>
        <v>-0.2605370793339728</v>
      </c>
      <c r="AK13" s="14">
        <f>AJ13+預測IC!AK13</f>
        <v>-0.29889646961684491</v>
      </c>
      <c r="AL13" s="14">
        <f>AK13+預測IC!AL13</f>
        <v>-0.348155354411395</v>
      </c>
      <c r="AM13" s="14">
        <f>AL13+預測IC!AM13</f>
        <v>-0.39443779794822392</v>
      </c>
      <c r="AN13" s="14">
        <f>AM13+預測IC!AN13</f>
        <v>-0.49976803608425802</v>
      </c>
      <c r="AO13" s="14">
        <f>AN13+預測IC!AO13</f>
        <v>-0.509079223983673</v>
      </c>
      <c r="AP13" s="14">
        <f>AO13+預測IC!AP13</f>
        <v>-0.4495283836216753</v>
      </c>
      <c r="AQ13" s="14">
        <f>AP13+預測IC!AQ13</f>
        <v>-0.45186845778119178</v>
      </c>
      <c r="AR13" s="14">
        <f>AQ13+預測IC!AR13</f>
        <v>-0.43102041398646795</v>
      </c>
      <c r="AS13" s="14">
        <f>AR13+預測IC!AS13</f>
        <v>-0.40761545044487063</v>
      </c>
      <c r="AT13" s="14">
        <f>AS13+預測IC!AT13</f>
        <v>-0.32119253571727119</v>
      </c>
      <c r="AU13" s="14">
        <f>AT13+預測IC!AU13</f>
        <v>-0.33688795414374367</v>
      </c>
      <c r="AV13" s="14">
        <f>AU13+預測IC!AV13</f>
        <v>-0.25722197849527351</v>
      </c>
      <c r="AW13" s="14">
        <f>AV13+預測IC!AW13</f>
        <v>-0.28404321646565445</v>
      </c>
      <c r="AX13" s="14">
        <f>AW13+預測IC!AX13</f>
        <v>-0.31684304860151025</v>
      </c>
      <c r="AY13" s="14">
        <f>AX13+預測IC!AY13</f>
        <v>-0.30258084469437152</v>
      </c>
      <c r="AZ13" s="14">
        <f>AY13+預測IC!AZ13</f>
        <v>-0.33380138078814159</v>
      </c>
      <c r="BA13" s="14">
        <f>AZ13+預測IC!BA13</f>
        <v>-0.3599896548387842</v>
      </c>
      <c r="BB13" s="14">
        <f>BA13+預測IC!BB13</f>
        <v>-0.31711428034197331</v>
      </c>
      <c r="BC13" s="14">
        <f>BB13+預測IC!BC13</f>
        <v>-0.33622514761681543</v>
      </c>
      <c r="BD13" s="14">
        <f>BC13+預測IC!BD13</f>
        <v>-0.29454841845014879</v>
      </c>
      <c r="BE13" s="14">
        <f>BD13+預測IC!BE13</f>
        <v>-0.3405970434501488</v>
      </c>
      <c r="BF13" s="14">
        <f>BE13+預測IC!BF13</f>
        <v>-0.36689958511681547</v>
      </c>
      <c r="BG13" s="14">
        <f>BF13+預測IC!BG13</f>
        <v>-0.35856866845014879</v>
      </c>
      <c r="BH13" s="14">
        <f>BG13+預測IC!BH13</f>
        <v>-0.39959232464234079</v>
      </c>
      <c r="BI13" s="14">
        <f>BH13+預測IC!BI13</f>
        <v>-0.37375961630900745</v>
      </c>
      <c r="BJ13" s="14">
        <f>BI13+預測IC!BJ13</f>
        <v>-0.35691253031874259</v>
      </c>
      <c r="BK13" s="14">
        <f>BJ13+預測IC!BK13</f>
        <v>-0.36579092623483395</v>
      </c>
      <c r="BL13" s="14">
        <f>BK13+預測IC!BL13</f>
        <v>-0.39773878644800909</v>
      </c>
      <c r="BM13" s="14">
        <f>BL13+預測IC!BM13</f>
        <v>-0.34436701775281836</v>
      </c>
      <c r="BN13" s="14">
        <f>BM13+預測IC!BN13</f>
        <v>-0.35541955962809463</v>
      </c>
      <c r="BO13" s="14">
        <f>BN13+預測IC!BO13</f>
        <v>-0.38629827586156873</v>
      </c>
      <c r="BP13" s="14">
        <f>BO13+預測IC!BP13</f>
        <v>-0.39573097155622022</v>
      </c>
      <c r="BQ13" s="14">
        <f>BP13+預測IC!BQ13</f>
        <v>-0.43738403534564602</v>
      </c>
      <c r="BR13" s="14">
        <f>BQ13+預測IC!BR13</f>
        <v>-0.44406545282920346</v>
      </c>
      <c r="BS13" s="14">
        <f>BR13+預測IC!BS13</f>
        <v>-0.43664598098898377</v>
      </c>
      <c r="BT13" s="14">
        <f>BS13+預測IC!BT13</f>
        <v>-0.43612490931318076</v>
      </c>
      <c r="BU13" s="14">
        <f>BT13+預測IC!BU13</f>
        <v>-0.42059774289206681</v>
      </c>
      <c r="BV13" s="14">
        <f>BU13+預測IC!BV13</f>
        <v>-0.50052857699312425</v>
      </c>
      <c r="BW13" s="14">
        <f>BV13+預測IC!BW13</f>
        <v>-0.57624258262980377</v>
      </c>
      <c r="BX13" s="14">
        <f>BW13+預測IC!BX13</f>
        <v>-0.57698822143581385</v>
      </c>
      <c r="BY13" s="14">
        <f>BX13+預測IC!BY13</f>
        <v>-0.53778626486067249</v>
      </c>
      <c r="BZ13" s="14">
        <f>BY13+預測IC!BZ13</f>
        <v>-0.46164814180162228</v>
      </c>
      <c r="CA13" s="14">
        <f>BZ13+預測IC!CA13</f>
        <v>-0.43763595430162228</v>
      </c>
      <c r="CB13" s="14">
        <f>CA13+預測IC!CB13</f>
        <v>-0.41161857477892738</v>
      </c>
      <c r="CC13" s="14">
        <f>CB13+預測IC!CC13</f>
        <v>-0.29150065811226067</v>
      </c>
      <c r="CD13" s="14">
        <f>CC13+預測IC!CD13</f>
        <v>-0.18641482521993327</v>
      </c>
      <c r="CE13" s="14">
        <f>CD13+預測IC!CE13</f>
        <v>-2.5870960532665688E-3</v>
      </c>
      <c r="CF13" s="14">
        <f>CE13+預測IC!CF13</f>
        <v>-1.4630763068325888E-2</v>
      </c>
      <c r="CG13" s="14">
        <f>CF13+預測IC!CG13</f>
        <v>-7.2645730875565209E-2</v>
      </c>
      <c r="CH13" s="14">
        <f>CG13+預測IC!CH13</f>
        <v>-7.6675236933775537E-2</v>
      </c>
      <c r="CI13" s="14">
        <f>CH13+預測IC!CI13</f>
        <v>-8.4570403600442212E-2</v>
      </c>
      <c r="CJ13" s="14">
        <f>CI13+預測IC!CJ13</f>
        <v>-2.9760222921602172E-2</v>
      </c>
      <c r="CK13" s="14">
        <f>CJ13+預測IC!CK13</f>
        <v>3.5926903345195188E-2</v>
      </c>
      <c r="CL13" s="14">
        <f>CK13+預測IC!CL13</f>
        <v>0.10865107849841374</v>
      </c>
      <c r="CM13" s="14">
        <f>CL13+預測IC!CM13</f>
        <v>0.12266181327129236</v>
      </c>
      <c r="CN13" s="14">
        <f>CM13+預測IC!CN13</f>
        <v>9.2531146604625691E-2</v>
      </c>
      <c r="CO13" s="14">
        <f>CN13+預測IC!CO13</f>
        <v>5.7196802523968332E-2</v>
      </c>
      <c r="CP13" s="14">
        <f>CO13+預測IC!CP13</f>
        <v>3.661980678383886E-2</v>
      </c>
      <c r="CQ13" s="14">
        <f>CP13+預測IC!CQ13</f>
        <v>-3.455905818456502E-2</v>
      </c>
      <c r="CR13" s="14">
        <f>CQ13+預測IC!CR13</f>
        <v>7.7085828195909686E-2</v>
      </c>
      <c r="CS13" s="14">
        <f>CR13+預測IC!CS13</f>
        <v>8.1033786529243021E-2</v>
      </c>
      <c r="CT13" s="14">
        <f>CS13+預測IC!CT13</f>
        <v>8.1442326644859286E-2</v>
      </c>
      <c r="CU13" s="14">
        <f>CT13+預測IC!CU13</f>
        <v>-2.5648635068778014E-2</v>
      </c>
      <c r="CV13" s="14">
        <f>CU13+預測IC!CV13</f>
        <v>5.2007416188194641E-2</v>
      </c>
      <c r="CW13" s="14">
        <f>CV13+預測IC!CW13</f>
        <v>8.8316535944627975E-2</v>
      </c>
      <c r="CX13" s="14">
        <f>CW13+預測IC!CX13</f>
        <v>0.148349791184681</v>
      </c>
      <c r="CY13" s="14">
        <f>CX13+預測IC!CY13</f>
        <v>0.18955154306877775</v>
      </c>
      <c r="CZ13" s="14">
        <f>CY13+預測IC!CZ13</f>
        <v>0.24677576342226287</v>
      </c>
      <c r="DA13" s="14">
        <f>CZ13+預測IC!DA13</f>
        <v>0.29622153425559622</v>
      </c>
      <c r="DB13" s="14">
        <f>DA13+預測IC!DB13</f>
        <v>0.40245678425559622</v>
      </c>
      <c r="DC13" s="14">
        <f>DB13+預測IC!DC13</f>
        <v>0.38830691742830192</v>
      </c>
      <c r="DD13" s="14">
        <f>DC13+預測IC!DD13</f>
        <v>0.33690062576163526</v>
      </c>
      <c r="DE13" s="14">
        <f>DD13+預測IC!DE13</f>
        <v>0.31445862933239921</v>
      </c>
      <c r="DF13" s="14">
        <f>DE13+預測IC!DF13</f>
        <v>0.33173026136058154</v>
      </c>
      <c r="DG13" s="14">
        <f>DF13+預測IC!DG13</f>
        <v>0.26039450114566193</v>
      </c>
      <c r="DH13" s="14">
        <f>DG13+預測IC!DH13</f>
        <v>0.34911520947899521</v>
      </c>
      <c r="DI13" s="14">
        <f>DH13+預測IC!DI13</f>
        <v>0.43886333447899517</v>
      </c>
      <c r="DJ13" s="14">
        <f>DI13+預測IC!DJ13</f>
        <v>0.43553157829948441</v>
      </c>
      <c r="DK13" s="14">
        <f>DJ13+預測IC!DK13</f>
        <v>0.44794065251811205</v>
      </c>
      <c r="DL13" s="14">
        <f>DK13+預測IC!DL13</f>
        <v>0.46999134319620028</v>
      </c>
      <c r="DM13" s="14">
        <f>DL13+預測IC!DM13</f>
        <v>0.45833544878068011</v>
      </c>
      <c r="DN13" s="14">
        <f>DM13+預測IC!DN13</f>
        <v>0.47111133826688339</v>
      </c>
      <c r="DO13" s="14">
        <f>DN13+預測IC!DO13</f>
        <v>0.4267861988446805</v>
      </c>
      <c r="DP13" s="14">
        <f>DO13+預測IC!DP13</f>
        <v>0.36875388995397884</v>
      </c>
      <c r="DQ13" s="14">
        <f>DP13+預測IC!DQ13</f>
        <v>0.45588290134654935</v>
      </c>
      <c r="DR13" s="14">
        <f>DQ13+預測IC!DR13</f>
        <v>0.46965411061886131</v>
      </c>
      <c r="DS13" s="14">
        <f>DR13+預測IC!DS13</f>
        <v>0.49956930451018844</v>
      </c>
      <c r="DT13" s="14">
        <f>DS13+預測IC!DT13</f>
        <v>0.46414300346252363</v>
      </c>
      <c r="DU13" s="14">
        <f>DT13+預測IC!DU13</f>
        <v>0.43113704512919027</v>
      </c>
      <c r="DV13" s="14">
        <f>DU13+預測IC!DV13</f>
        <v>0.42128424036694218</v>
      </c>
      <c r="DW13" s="14">
        <f>DV13+預測IC!DW13</f>
        <v>0.46331271953360886</v>
      </c>
      <c r="DX13" s="14">
        <f>DW13+預測IC!DX13</f>
        <v>0.486542329082575</v>
      </c>
      <c r="DY13" s="14">
        <f>DX13+預測IC!DY13</f>
        <v>0.49604695388645242</v>
      </c>
      <c r="DZ13" s="14">
        <f>DY13+預測IC!DZ13</f>
        <v>0.52633220536139369</v>
      </c>
      <c r="EA13" s="14">
        <f>DZ13+預測IC!EA13</f>
        <v>0.58845062202806031</v>
      </c>
      <c r="EB13" s="14">
        <f>EA13+預測IC!EB13</f>
        <v>0.5886516428613936</v>
      </c>
      <c r="EC13" s="14">
        <f>EB13+預測IC!EC13</f>
        <v>0.56987662202806022</v>
      </c>
      <c r="ED13" s="14">
        <f>EC13+預測IC!ED13</f>
        <v>0.57696060119472692</v>
      </c>
      <c r="EE13" s="14">
        <f>ED13+預測IC!EE13</f>
        <v>0.53572622619472687</v>
      </c>
      <c r="EF13" s="14">
        <f>EE13+預測IC!EF13</f>
        <v>0.58023926786139357</v>
      </c>
    </row>
    <row r="14" spans="1:136">
      <c r="A14" s="2">
        <v>50</v>
      </c>
      <c r="B14" s="2">
        <v>19</v>
      </c>
      <c r="C14" s="14">
        <v>3.3228977675766179E-2</v>
      </c>
      <c r="D14" s="14">
        <f>C14+預測IC!D14</f>
        <v>-0.10841467107685943</v>
      </c>
      <c r="E14" s="14">
        <f>D14+預測IC!E14</f>
        <v>-0.15633541709012866</v>
      </c>
      <c r="F14" s="14">
        <f>E14+預測IC!F14</f>
        <v>-0.21667732199616122</v>
      </c>
      <c r="G14" s="14">
        <f>F14+預測IC!G14</f>
        <v>-0.16302069155338053</v>
      </c>
      <c r="H14" s="14">
        <f>G14+預測IC!H14</f>
        <v>-0.17452895241550412</v>
      </c>
      <c r="I14" s="14">
        <f>H14+預測IC!I14</f>
        <v>-0.14442881712856867</v>
      </c>
      <c r="J14" s="14">
        <f>I14+預測IC!J14</f>
        <v>-9.9197243096165288E-2</v>
      </c>
      <c r="K14" s="14">
        <f>J14+預測IC!K14</f>
        <v>-4.8369776835317325E-2</v>
      </c>
      <c r="L14" s="14">
        <f>K14+預測IC!L14</f>
        <v>7.9013081409181965E-3</v>
      </c>
      <c r="M14" s="14">
        <f>L14+預測IC!M14</f>
        <v>-1.1120406324065784E-2</v>
      </c>
      <c r="N14" s="14">
        <f>M14+預測IC!N14</f>
        <v>-6.8489832981087836E-2</v>
      </c>
      <c r="O14" s="14">
        <f>N14+預測IC!O14</f>
        <v>-6.6995425042539303E-2</v>
      </c>
      <c r="P14" s="14">
        <f>O14+預測IC!P14</f>
        <v>-8.6495031442980694E-3</v>
      </c>
      <c r="Q14" s="14">
        <f>P14+預測IC!Q14</f>
        <v>7.0648154437266381E-2</v>
      </c>
      <c r="R14" s="14">
        <f>Q14+預測IC!R14</f>
        <v>8.8410463066444914E-2</v>
      </c>
      <c r="S14" s="14">
        <f>R14+預測IC!S14</f>
        <v>6.3603716973677143E-2</v>
      </c>
      <c r="T14" s="14">
        <f>S14+預測IC!T14</f>
        <v>2.8584162139277086E-2</v>
      </c>
      <c r="U14" s="14">
        <f>T14+預測IC!U14</f>
        <v>-1.9720071911236044E-3</v>
      </c>
      <c r="V14" s="14">
        <f>U14+預測IC!V14</f>
        <v>-5.4393307350008691E-2</v>
      </c>
      <c r="W14" s="14">
        <f>V14+預測IC!W14</f>
        <v>-0.12840146673826169</v>
      </c>
      <c r="X14" s="14">
        <f>W14+預測IC!X14</f>
        <v>-0.31508716234860856</v>
      </c>
      <c r="Y14" s="14">
        <f>X14+預測IC!Y14</f>
        <v>-0.37027815376083029</v>
      </c>
      <c r="Z14" s="14">
        <f>Y14+預測IC!Z14</f>
        <v>-0.48698218543225907</v>
      </c>
      <c r="AA14" s="14">
        <f>Z14+預測IC!AA14</f>
        <v>-0.38707630593493431</v>
      </c>
      <c r="AB14" s="14">
        <f>AA14+預測IC!AB14</f>
        <v>-0.35974032732938016</v>
      </c>
      <c r="AC14" s="14">
        <f>AB14+預測IC!AC14</f>
        <v>-0.35665376499059087</v>
      </c>
      <c r="AD14" s="14">
        <f>AC14+預測IC!AD14</f>
        <v>-0.42652835672573297</v>
      </c>
      <c r="AE14" s="14">
        <f>AD14+預測IC!AE14</f>
        <v>-0.30969143688616685</v>
      </c>
      <c r="AF14" s="14">
        <f>AE14+預測IC!AF14</f>
        <v>-0.4057715323428005</v>
      </c>
      <c r="AG14" s="14">
        <f>AF14+預測IC!AG14</f>
        <v>-0.38044223733184745</v>
      </c>
      <c r="AH14" s="14">
        <f>AG14+預測IC!AH14</f>
        <v>-0.38569251526235349</v>
      </c>
      <c r="AI14" s="14">
        <f>AH14+預測IC!AI14</f>
        <v>-0.45776546618947433</v>
      </c>
      <c r="AJ14" s="14">
        <f>AI14+預測IC!AJ14</f>
        <v>-0.47282450227262535</v>
      </c>
      <c r="AK14" s="14">
        <f>AJ14+預測IC!AK14</f>
        <v>-0.55029984129507936</v>
      </c>
      <c r="AL14" s="14">
        <f>AK14+預測IC!AL14</f>
        <v>-0.6015300242632089</v>
      </c>
      <c r="AM14" s="14">
        <f>AL14+預測IC!AM14</f>
        <v>-0.66277219064183412</v>
      </c>
      <c r="AN14" s="14">
        <f>AM14+預測IC!AN14</f>
        <v>-0.76136685741137788</v>
      </c>
      <c r="AO14" s="14">
        <f>AN14+預測IC!AO14</f>
        <v>-0.82227256287678785</v>
      </c>
      <c r="AP14" s="14">
        <f>AO14+預測IC!AP14</f>
        <v>-0.75229603772470366</v>
      </c>
      <c r="AQ14" s="14">
        <f>AP14+預測IC!AQ14</f>
        <v>-0.72256265722742596</v>
      </c>
      <c r="AR14" s="14">
        <f>AQ14+預測IC!AR14</f>
        <v>-0.71497996555998711</v>
      </c>
      <c r="AS14" s="14">
        <f>AR14+預測IC!AS14</f>
        <v>-0.72164930394967652</v>
      </c>
      <c r="AT14" s="14">
        <f>AS14+預測IC!AT14</f>
        <v>-0.64224582423903853</v>
      </c>
      <c r="AU14" s="14">
        <f>AT14+預測IC!AU14</f>
        <v>-0.69966743735317238</v>
      </c>
      <c r="AV14" s="14">
        <f>AU14+預測IC!AV14</f>
        <v>-0.63340868813691387</v>
      </c>
      <c r="AW14" s="14">
        <f>AV14+預測IC!AW14</f>
        <v>-0.68733736936634116</v>
      </c>
      <c r="AX14" s="14">
        <f>AW14+預測IC!AX14</f>
        <v>-0.70670758274183176</v>
      </c>
      <c r="AY14" s="14">
        <f>AX14+預測IC!AY14</f>
        <v>-0.70501701091682467</v>
      </c>
      <c r="AZ14" s="14">
        <f>AY14+預測IC!AZ14</f>
        <v>-0.76608759139806393</v>
      </c>
      <c r="BA14" s="14">
        <f>AZ14+預測IC!BA14</f>
        <v>-0.83297742296091259</v>
      </c>
      <c r="BB14" s="14">
        <f>BA14+預測IC!BB14</f>
        <v>-0.77124314095923774</v>
      </c>
      <c r="BC14" s="14">
        <f>BB14+預測IC!BC14</f>
        <v>-0.74273745745993158</v>
      </c>
      <c r="BD14" s="14">
        <f>BC14+預測IC!BD14</f>
        <v>-0.72631856272308948</v>
      </c>
      <c r="BE14" s="14">
        <f>BD14+預測IC!BE14</f>
        <v>-0.75043666798624742</v>
      </c>
      <c r="BF14" s="14">
        <f>BE14+預測IC!BF14</f>
        <v>-0.75567872061782637</v>
      </c>
      <c r="BG14" s="14">
        <f>BF14+預測IC!BG14</f>
        <v>-0.74518187851256323</v>
      </c>
      <c r="BH14" s="14">
        <f>BG14+預測IC!BH14</f>
        <v>-0.81859534269128831</v>
      </c>
      <c r="BI14" s="14">
        <f>BH14+預測IC!BI14</f>
        <v>-0.78632444795444623</v>
      </c>
      <c r="BJ14" s="14">
        <f>BI14+預測IC!BJ14</f>
        <v>-0.76630722428321296</v>
      </c>
      <c r="BK14" s="14">
        <f>BJ14+預測IC!BK14</f>
        <v>-0.79999864415398148</v>
      </c>
      <c r="BL14" s="14">
        <f>BK14+預測IC!BL14</f>
        <v>-0.85973641099635179</v>
      </c>
      <c r="BM14" s="14">
        <f>BL14+預測IC!BM14</f>
        <v>-0.81345808599335134</v>
      </c>
      <c r="BN14" s="14">
        <f>BM14+預測IC!BN14</f>
        <v>-0.8343946240659027</v>
      </c>
      <c r="BO14" s="14">
        <f>BN14+預測IC!BO14</f>
        <v>-0.86800366974316723</v>
      </c>
      <c r="BP14" s="14">
        <f>BO14+預測IC!BP14</f>
        <v>-0.88367740323612631</v>
      </c>
      <c r="BQ14" s="14">
        <f>BP14+預測IC!BQ14</f>
        <v>-0.89952092710607712</v>
      </c>
      <c r="BR14" s="14">
        <f>BQ14+預測IC!BR14</f>
        <v>-0.92745035663869502</v>
      </c>
      <c r="BS14" s="14">
        <f>BR14+預測IC!BS14</f>
        <v>-0.96894431178327289</v>
      </c>
      <c r="BT14" s="14">
        <f>BS14+預測IC!BT14</f>
        <v>-0.9996707879090373</v>
      </c>
      <c r="BU14" s="14">
        <f>BT14+預測IC!BU14</f>
        <v>-0.98166827417665525</v>
      </c>
      <c r="BV14" s="14">
        <f>BU14+預測IC!BV14</f>
        <v>-1.0896499073766499</v>
      </c>
      <c r="BW14" s="14">
        <f>BV14+預測IC!BW14</f>
        <v>-1.2205474159338352</v>
      </c>
      <c r="BX14" s="14">
        <f>BW14+預測IC!BX14</f>
        <v>-1.2062121206565346</v>
      </c>
      <c r="BY14" s="14">
        <f>BX14+預測IC!BY14</f>
        <v>-1.2488166103098839</v>
      </c>
      <c r="BZ14" s="14">
        <f>BY14+預測IC!BZ14</f>
        <v>-1.1887825534811016</v>
      </c>
      <c r="CA14" s="14">
        <f>BZ14+預測IC!CA14</f>
        <v>-1.1553279219021542</v>
      </c>
      <c r="CB14" s="14">
        <f>CA14+預測IC!CB14</f>
        <v>-1.0958508616086144</v>
      </c>
      <c r="CC14" s="14">
        <f>CB14+預測IC!CC14</f>
        <v>-0.97525565108229861</v>
      </c>
      <c r="CD14" s="14">
        <f>CC14+預測IC!CD14</f>
        <v>-0.87723894115010081</v>
      </c>
      <c r="CE14" s="14">
        <f>CD14+預測IC!CE14</f>
        <v>-0.70668409904483764</v>
      </c>
      <c r="CF14" s="14">
        <f>CE14+預測IC!CF14</f>
        <v>-0.74956150912015451</v>
      </c>
      <c r="CG14" s="14">
        <f>CF14+預測IC!CG14</f>
        <v>-0.80688217278797514</v>
      </c>
      <c r="CH14" s="14">
        <f>CG14+預測IC!CH14</f>
        <v>-0.85576184324404092</v>
      </c>
      <c r="CI14" s="14">
        <f>CH14+預測IC!CI14</f>
        <v>-0.8595900011387777</v>
      </c>
      <c r="CJ14" s="14">
        <f>CI14+預測IC!CJ14</f>
        <v>-0.84179388478963635</v>
      </c>
      <c r="CK14" s="14">
        <f>CJ14+預測IC!CK14</f>
        <v>-0.78800179827564343</v>
      </c>
      <c r="CL14" s="14">
        <f>CK14+預測IC!CL14</f>
        <v>-0.65065822782216887</v>
      </c>
      <c r="CM14" s="14">
        <f>CL14+預測IC!CM14</f>
        <v>-0.6557553346999162</v>
      </c>
      <c r="CN14" s="14">
        <f>CM14+預測IC!CN14</f>
        <v>-0.67515643996307406</v>
      </c>
      <c r="CO14" s="14">
        <f>CN14+預測IC!CO14</f>
        <v>-0.75392019868139815</v>
      </c>
      <c r="CP14" s="14">
        <f>CO14+預測IC!CP14</f>
        <v>-0.84757955642243998</v>
      </c>
      <c r="CQ14" s="14">
        <f>CP14+預測IC!CQ14</f>
        <v>-0.87980745630982771</v>
      </c>
      <c r="CR14" s="14">
        <f>CQ14+預測IC!CR14</f>
        <v>-0.67208774371917968</v>
      </c>
      <c r="CS14" s="14">
        <f>CR14+預測IC!CS14</f>
        <v>-0.67590284898233755</v>
      </c>
      <c r="CT14" s="14">
        <f>CS14+預測IC!CT14</f>
        <v>-0.68556473526439277</v>
      </c>
      <c r="CU14" s="14">
        <f>CT14+預測IC!CU14</f>
        <v>-0.78710973522110728</v>
      </c>
      <c r="CV14" s="14">
        <f>CU14+預測IC!CV14</f>
        <v>-0.63571289406347398</v>
      </c>
      <c r="CW14" s="14">
        <f>CV14+預測IC!CW14</f>
        <v>-0.59094900962021391</v>
      </c>
      <c r="CX14" s="14">
        <f>CW14+預測IC!CX14</f>
        <v>-0.55464960073197478</v>
      </c>
      <c r="CY14" s="14">
        <f>CX14+預測IC!CY14</f>
        <v>-0.45828847060469086</v>
      </c>
      <c r="CZ14" s="14">
        <f>CY14+預測IC!CZ14</f>
        <v>-0.39422490725430748</v>
      </c>
      <c r="DA14" s="14">
        <f>CZ14+預測IC!DA14</f>
        <v>-0.32883232830693909</v>
      </c>
      <c r="DB14" s="14">
        <f>DA14+預測IC!DB14</f>
        <v>-0.22422427567536007</v>
      </c>
      <c r="DC14" s="14">
        <f>DB14+預測IC!DC14</f>
        <v>-0.26722281765556016</v>
      </c>
      <c r="DD14" s="14">
        <f>DC14+預測IC!DD14</f>
        <v>-0.32112171239240228</v>
      </c>
      <c r="DE14" s="14">
        <f>DD14+預測IC!DE14</f>
        <v>-0.38364863639886126</v>
      </c>
      <c r="DF14" s="14">
        <f>DE14+預測IC!DF14</f>
        <v>-0.31946822852780671</v>
      </c>
      <c r="DG14" s="14">
        <f>DF14+預測IC!DG14</f>
        <v>-0.40679303428633973</v>
      </c>
      <c r="DH14" s="14">
        <f>DG14+預測IC!DH14</f>
        <v>-0.34805045533897133</v>
      </c>
      <c r="DI14" s="14">
        <f>DH14+預測IC!DI14</f>
        <v>-0.26140366586528713</v>
      </c>
      <c r="DJ14" s="14">
        <f>DI14+預測IC!DJ14</f>
        <v>-0.26037994159798977</v>
      </c>
      <c r="DK14" s="14">
        <f>DJ14+預測IC!DK14</f>
        <v>-0.24130887848033386</v>
      </c>
      <c r="DL14" s="14">
        <f>DK14+預測IC!DL14</f>
        <v>-0.20055400664843481</v>
      </c>
      <c r="DM14" s="14">
        <f>DL14+預測IC!DM14</f>
        <v>-0.23297592339021378</v>
      </c>
      <c r="DN14" s="14">
        <f>DM14+預測IC!DN14</f>
        <v>-0.27791166399870942</v>
      </c>
      <c r="DO14" s="14">
        <f>DN14+預測IC!DO14</f>
        <v>-0.34820021294324105</v>
      </c>
      <c r="DP14" s="14">
        <f>DO14+預測IC!DP14</f>
        <v>-0.41111502101354136</v>
      </c>
      <c r="DQ14" s="14">
        <f>DP14+預測IC!DQ14</f>
        <v>-0.33994245643240839</v>
      </c>
      <c r="DR14" s="14">
        <f>DQ14+預測IC!DR14</f>
        <v>-0.28731993697340885</v>
      </c>
      <c r="DS14" s="14">
        <f>DR14+預測IC!DS14</f>
        <v>-0.19788218258444168</v>
      </c>
      <c r="DT14" s="14">
        <f>DS14+預測IC!DT14</f>
        <v>-0.24239913618189698</v>
      </c>
      <c r="DU14" s="14">
        <f>DT14+預測IC!DU14</f>
        <v>-0.31119539933979173</v>
      </c>
      <c r="DV14" s="14">
        <f>DU14+預測IC!DV14</f>
        <v>-0.35634862324427474</v>
      </c>
      <c r="DW14" s="14">
        <f>DV14+預測IC!DW14</f>
        <v>-0.35453872850743262</v>
      </c>
      <c r="DX14" s="14">
        <f>DW14+預測IC!DX14</f>
        <v>-0.32684903114703401</v>
      </c>
      <c r="DY14" s="14">
        <f>DX14+預測IC!DY14</f>
        <v>-0.27918804454469281</v>
      </c>
      <c r="DZ14" s="14">
        <f>DY14+預測IC!DZ14</f>
        <v>-0.257490455288576</v>
      </c>
      <c r="EA14" s="14">
        <f>DZ14+預測IC!EA14</f>
        <v>-0.14996492897278652</v>
      </c>
      <c r="EB14" s="14">
        <f>EA14+預測IC!EB14</f>
        <v>-0.17507545528857599</v>
      </c>
      <c r="EC14" s="14">
        <f>EB14+預測IC!EC14</f>
        <v>-0.19436508686752335</v>
      </c>
      <c r="ED14" s="14">
        <f>EC14+預測IC!ED14</f>
        <v>-0.22796345528857598</v>
      </c>
      <c r="EE14" s="14">
        <f>ED14+預測IC!EE14</f>
        <v>-0.22456419213068124</v>
      </c>
      <c r="EF14" s="14">
        <f>EE14+預測IC!EF14</f>
        <v>-0.19903998160436545</v>
      </c>
    </row>
    <row r="15" spans="1:136">
      <c r="A15" s="2">
        <v>100</v>
      </c>
      <c r="B15" s="2">
        <v>10</v>
      </c>
      <c r="C15" s="14">
        <v>3.6350225217569622E-2</v>
      </c>
      <c r="D15" s="14">
        <f>C15+預測IC!D15</f>
        <v>-0.23668464747805637</v>
      </c>
      <c r="E15" s="14">
        <f>D15+預測IC!E15</f>
        <v>-0.3320292529490268</v>
      </c>
      <c r="F15" s="14">
        <f>E15+預測IC!F15</f>
        <v>-0.29710781639232942</v>
      </c>
      <c r="G15" s="14">
        <f>F15+預測IC!G15</f>
        <v>-0.26270389542529293</v>
      </c>
      <c r="H15" s="14">
        <f>G15+預測IC!H15</f>
        <v>-0.26394762148339801</v>
      </c>
      <c r="I15" s="14">
        <f>H15+預測IC!I15</f>
        <v>-0.18465453083029737</v>
      </c>
      <c r="J15" s="14">
        <f>I15+預測IC!J15</f>
        <v>-0.1225333210803253</v>
      </c>
      <c r="K15" s="14">
        <f>J15+預測IC!K15</f>
        <v>-2.8018523488394426E-2</v>
      </c>
      <c r="L15" s="14">
        <f>K15+預測IC!L15</f>
        <v>5.3152537080251847E-2</v>
      </c>
      <c r="M15" s="14">
        <f>L15+預測IC!M15</f>
        <v>5.1019520643964152E-2</v>
      </c>
      <c r="N15" s="14">
        <f>M15+預測IC!N15</f>
        <v>-5.8776673781169554E-2</v>
      </c>
      <c r="O15" s="14">
        <f>N15+預測IC!O15</f>
        <v>-7.1047469540322261E-2</v>
      </c>
      <c r="P15" s="14">
        <f>O15+預測IC!P15</f>
        <v>-6.9312865186604983E-3</v>
      </c>
      <c r="Q15" s="14">
        <f>P15+預測IC!Q15</f>
        <v>3.8967444927271104E-2</v>
      </c>
      <c r="R15" s="14">
        <f>Q15+預測IC!R15</f>
        <v>0.1656585036370849</v>
      </c>
      <c r="S15" s="14">
        <f>R15+預測IC!S15</f>
        <v>0.25114639384302578</v>
      </c>
      <c r="T15" s="14">
        <f>S15+預測IC!T15</f>
        <v>0.20525531672584155</v>
      </c>
      <c r="U15" s="14">
        <f>T15+預測IC!U15</f>
        <v>0.1270559262880287</v>
      </c>
      <c r="V15" s="14">
        <f>U15+預測IC!V15</f>
        <v>1.6928919957192798E-2</v>
      </c>
      <c r="W15" s="14">
        <f>V15+預測IC!W15</f>
        <v>-8.56146740255503E-2</v>
      </c>
      <c r="X15" s="14">
        <f>W15+預測IC!X15</f>
        <v>-0.29680100135593201</v>
      </c>
      <c r="Y15" s="14">
        <f>X15+預測IC!Y15</f>
        <v>-0.34882979941307418</v>
      </c>
      <c r="Z15" s="14">
        <f>Y15+預測IC!Z15</f>
        <v>-0.41153391874151812</v>
      </c>
      <c r="AA15" s="14">
        <f>Z15+預測IC!AA15</f>
        <v>-0.25068353452845371</v>
      </c>
      <c r="AB15" s="14">
        <f>AA15+預測IC!AB15</f>
        <v>-0.22851713378752064</v>
      </c>
      <c r="AC15" s="14">
        <f>AB15+預測IC!AC15</f>
        <v>-0.23283480263557577</v>
      </c>
      <c r="AD15" s="14">
        <f>AC15+預測IC!AD15</f>
        <v>-0.31454817752375813</v>
      </c>
      <c r="AE15" s="14">
        <f>AD15+預測IC!AE15</f>
        <v>-0.10275553447648614</v>
      </c>
      <c r="AF15" s="14">
        <f>AE15+預測IC!AF15</f>
        <v>-0.24048182165414053</v>
      </c>
      <c r="AG15" s="14">
        <f>AF15+預測IC!AG15</f>
        <v>-0.19615727743906472</v>
      </c>
      <c r="AH15" s="14">
        <f>AG15+預測IC!AH15</f>
        <v>-0.16255290408138826</v>
      </c>
      <c r="AI15" s="14">
        <f>AH15+預測IC!AI15</f>
        <v>-0.2479830148969952</v>
      </c>
      <c r="AJ15" s="14">
        <f>AI15+預測IC!AJ15</f>
        <v>-0.25744787486447096</v>
      </c>
      <c r="AK15" s="14">
        <f>AJ15+預測IC!AK15</f>
        <v>-0.32680932605638735</v>
      </c>
      <c r="AL15" s="14">
        <f>AK15+預測IC!AL15</f>
        <v>-0.3591694998530488</v>
      </c>
      <c r="AM15" s="14">
        <f>AL15+預測IC!AM15</f>
        <v>-0.4142921219876759</v>
      </c>
      <c r="AN15" s="14">
        <f>AM15+預測IC!AN15</f>
        <v>-0.51598082790005939</v>
      </c>
      <c r="AO15" s="14">
        <f>AN15+預測IC!AO15</f>
        <v>-0.57935064036352646</v>
      </c>
      <c r="AP15" s="14">
        <f>AO15+預測IC!AP15</f>
        <v>-0.50106494647077227</v>
      </c>
      <c r="AQ15" s="14">
        <f>AP15+預測IC!AQ15</f>
        <v>-0.46461162705053705</v>
      </c>
      <c r="AR15" s="14">
        <f>AQ15+預測IC!AR15</f>
        <v>-0.44687780129129773</v>
      </c>
      <c r="AS15" s="14">
        <f>AR15+預測IC!AS15</f>
        <v>-0.49561102264539952</v>
      </c>
      <c r="AT15" s="14">
        <f>AS15+預測IC!AT15</f>
        <v>-0.42462121004169456</v>
      </c>
      <c r="AU15" s="14">
        <f>AT15+預測IC!AU15</f>
        <v>-0.50179528729165634</v>
      </c>
      <c r="AV15" s="14">
        <f>AU15+預測IC!AV15</f>
        <v>-0.46449735859254587</v>
      </c>
      <c r="AW15" s="14">
        <f>AV15+預測IC!AW15</f>
        <v>-0.55622483138589662</v>
      </c>
      <c r="AX15" s="14">
        <f>AW15+預測IC!AX15</f>
        <v>-0.63758539734066477</v>
      </c>
      <c r="AY15" s="14">
        <f>AX15+預測IC!AY15</f>
        <v>-0.60857973804017296</v>
      </c>
      <c r="AZ15" s="14">
        <f>AY15+預測IC!AZ15</f>
        <v>-0.67642606715882336</v>
      </c>
      <c r="BA15" s="14">
        <f>AZ15+預測IC!BA15</f>
        <v>-0.66127432866502611</v>
      </c>
      <c r="BB15" s="14">
        <f>BA15+預測IC!BB15</f>
        <v>-0.54854946258621307</v>
      </c>
      <c r="BC15" s="14">
        <f>BB15+預測IC!BC15</f>
        <v>-0.51761277096386304</v>
      </c>
      <c r="BD15" s="14">
        <f>BC15+預測IC!BD15</f>
        <v>-0.51024807096386304</v>
      </c>
      <c r="BE15" s="14">
        <f>BD15+預測IC!BE15</f>
        <v>-0.55646637096386309</v>
      </c>
      <c r="BF15" s="14">
        <f>BE15+預測IC!BF15</f>
        <v>-0.61344397096386305</v>
      </c>
      <c r="BG15" s="14">
        <f>BF15+預測IC!BG15</f>
        <v>-0.59966757096386303</v>
      </c>
      <c r="BH15" s="14">
        <f>BG15+預測IC!BH15</f>
        <v>-0.69831661737028372</v>
      </c>
      <c r="BI15" s="14">
        <f>BH15+預測IC!BI15</f>
        <v>-0.67196481737028368</v>
      </c>
      <c r="BJ15" s="14">
        <f>BI15+預測IC!BJ15</f>
        <v>-0.66069979028283843</v>
      </c>
      <c r="BK15" s="14">
        <f>BJ15+預測IC!BK15</f>
        <v>-0.61509485798242491</v>
      </c>
      <c r="BL15" s="14">
        <f>BK15+預測IC!BL15</f>
        <v>-0.67449872932377331</v>
      </c>
      <c r="BM15" s="14">
        <f>BL15+預測IC!BM15</f>
        <v>-0.62627972483602923</v>
      </c>
      <c r="BN15" s="14">
        <f>BM15+預測IC!BN15</f>
        <v>-0.66642229456921909</v>
      </c>
      <c r="BO15" s="14">
        <f>BN15+預測IC!BO15</f>
        <v>-0.69415677052415004</v>
      </c>
      <c r="BP15" s="14">
        <f>BO15+預測IC!BP15</f>
        <v>-0.70834099123195482</v>
      </c>
      <c r="BQ15" s="14">
        <f>BP15+預測IC!BQ15</f>
        <v>-0.72114392252228254</v>
      </c>
      <c r="BR15" s="14">
        <f>BQ15+預測IC!BR15</f>
        <v>-0.77130135164434221</v>
      </c>
      <c r="BS15" s="14">
        <f>BR15+預測IC!BS15</f>
        <v>-0.78812512909462851</v>
      </c>
      <c r="BT15" s="14">
        <f>BS15+預測IC!BT15</f>
        <v>-0.84797606518647928</v>
      </c>
      <c r="BU15" s="14">
        <f>BT15+預測IC!BU15</f>
        <v>-0.86311614758534272</v>
      </c>
      <c r="BV15" s="14">
        <f>BU15+預測IC!BV15</f>
        <v>-0.96775619187903283</v>
      </c>
      <c r="BW15" s="14">
        <f>BV15+預測IC!BW15</f>
        <v>-1.2666351814549606</v>
      </c>
      <c r="BX15" s="14">
        <f>BW15+預測IC!BX15</f>
        <v>-1.2127836125104967</v>
      </c>
      <c r="BY15" s="14">
        <f>BX15+預測IC!BY15</f>
        <v>-1.3388071860875836</v>
      </c>
      <c r="BZ15" s="14">
        <f>BY15+預測IC!BZ15</f>
        <v>-1.2359007171102363</v>
      </c>
      <c r="CA15" s="14">
        <f>BZ15+預測IC!CA15</f>
        <v>-1.2059378171102364</v>
      </c>
      <c r="CB15" s="14">
        <f>CA15+預測IC!CB15</f>
        <v>-1.1132537115869989</v>
      </c>
      <c r="CC15" s="14">
        <f>CB15+預測IC!CC15</f>
        <v>-0.93960411158699897</v>
      </c>
      <c r="CD15" s="14">
        <f>CC15+預測IC!CD15</f>
        <v>-0.81945202762391456</v>
      </c>
      <c r="CE15" s="14">
        <f>CD15+預測IC!CE15</f>
        <v>-0.74608462762391459</v>
      </c>
      <c r="CF15" s="14">
        <f>CE15+預測IC!CF15</f>
        <v>-0.78743405749188211</v>
      </c>
      <c r="CG15" s="14">
        <f>CF15+預測IC!CG15</f>
        <v>-0.87332007902204589</v>
      </c>
      <c r="CH15" s="14">
        <f>CG15+預測IC!CH15</f>
        <v>-0.95466268700537416</v>
      </c>
      <c r="CI15" s="14">
        <f>CH15+預測IC!CI15</f>
        <v>-1.0239976870053742</v>
      </c>
      <c r="CJ15" s="14">
        <f>CI15+預測IC!CJ15</f>
        <v>-0.98332597005831301</v>
      </c>
      <c r="CK15" s="14">
        <f>CJ15+預測IC!CK15</f>
        <v>-0.88768522188560772</v>
      </c>
      <c r="CL15" s="14">
        <f>CK15+預測IC!CL15</f>
        <v>-0.72603074884243113</v>
      </c>
      <c r="CM15" s="14">
        <f>CL15+預測IC!CM15</f>
        <v>-0.77265728463502981</v>
      </c>
      <c r="CN15" s="14">
        <f>CM15+預測IC!CN15</f>
        <v>-0.77243968463502977</v>
      </c>
      <c r="CO15" s="14">
        <f>CN15+預測IC!CO15</f>
        <v>-0.87941892883459782</v>
      </c>
      <c r="CP15" s="14">
        <f>CO15+預測IC!CP15</f>
        <v>-1.0095176765083376</v>
      </c>
      <c r="CQ15" s="14">
        <f>CP15+預測IC!CQ15</f>
        <v>-0.9845543160518988</v>
      </c>
      <c r="CR15" s="14">
        <f>CQ15+預測IC!CR15</f>
        <v>-0.80306538381616366</v>
      </c>
      <c r="CS15" s="14">
        <f>CR15+預測IC!CS15</f>
        <v>-0.78615298381616361</v>
      </c>
      <c r="CT15" s="14">
        <f>CS15+預測IC!CT15</f>
        <v>-0.78121131345055173</v>
      </c>
      <c r="CU15" s="14">
        <f>CT15+預測IC!CU15</f>
        <v>-0.90526124486441983</v>
      </c>
      <c r="CV15" s="14">
        <f>CU15+預測IC!CV15</f>
        <v>-0.7226496971475036</v>
      </c>
      <c r="CW15" s="14">
        <f>CV15+預測IC!CW15</f>
        <v>-0.69657760624437692</v>
      </c>
      <c r="CX15" s="14">
        <f>CW15+預測IC!CX15</f>
        <v>-0.67253799919104595</v>
      </c>
      <c r="CY15" s="14">
        <f>CX15+預測IC!CY15</f>
        <v>-0.57959009485568802</v>
      </c>
      <c r="CZ15" s="14">
        <f>CY15+預測IC!CZ15</f>
        <v>-0.49970314691134576</v>
      </c>
      <c r="DA15" s="14">
        <f>CZ15+預測IC!DA15</f>
        <v>-0.41084134691134577</v>
      </c>
      <c r="DB15" s="14">
        <f>DA15+預測IC!DB15</f>
        <v>-0.31379364691134576</v>
      </c>
      <c r="DC15" s="14">
        <f>DB15+預測IC!DC15</f>
        <v>-0.38148607885647168</v>
      </c>
      <c r="DD15" s="14">
        <f>DC15+預測IC!DD15</f>
        <v>-0.44901117885647168</v>
      </c>
      <c r="DE15" s="14">
        <f>DD15+預測IC!DE15</f>
        <v>-0.5061748135877242</v>
      </c>
      <c r="DF15" s="14">
        <f>DE15+預測IC!DF15</f>
        <v>-0.51222933986032837</v>
      </c>
      <c r="DG15" s="14">
        <f>DF15+預測IC!DG15</f>
        <v>-0.62532090270068807</v>
      </c>
      <c r="DH15" s="14">
        <f>DG15+預測IC!DH15</f>
        <v>-0.49569740270068807</v>
      </c>
      <c r="DI15" s="14">
        <f>DH15+預測IC!DI15</f>
        <v>-0.45288640270068808</v>
      </c>
      <c r="DJ15" s="14">
        <f>DI15+預測IC!DJ15</f>
        <v>-0.50474025579509496</v>
      </c>
      <c r="DK15" s="14">
        <f>DJ15+預測IC!DK15</f>
        <v>-0.40296542174362693</v>
      </c>
      <c r="DL15" s="14">
        <f>DK15+預測IC!DL15</f>
        <v>-0.40326941494645474</v>
      </c>
      <c r="DM15" s="14">
        <f>DL15+預測IC!DM15</f>
        <v>-0.4423215316401205</v>
      </c>
      <c r="DN15" s="14">
        <f>DM15+預測IC!DN15</f>
        <v>-0.5240522438912496</v>
      </c>
      <c r="DO15" s="14">
        <f>DN15+預測IC!DO15</f>
        <v>-0.55815665964034666</v>
      </c>
      <c r="DP15" s="14">
        <f>DO15+預測IC!DP15</f>
        <v>-0.69246160700571302</v>
      </c>
      <c r="DQ15" s="14">
        <f>DP15+預測IC!DQ15</f>
        <v>-0.6554229180535156</v>
      </c>
      <c r="DR15" s="14">
        <f>DQ15+預測IC!DR15</f>
        <v>-0.58541235143557713</v>
      </c>
      <c r="DS15" s="14">
        <f>DR15+預測IC!DS15</f>
        <v>-0.57584080897681256</v>
      </c>
      <c r="DT15" s="14">
        <f>DS15+預測IC!DT15</f>
        <v>-0.64800444069497554</v>
      </c>
      <c r="DU15" s="14">
        <f>DT15+預測IC!DU15</f>
        <v>-0.76513294069497551</v>
      </c>
      <c r="DV15" s="14">
        <f>DU15+預測IC!DV15</f>
        <v>-0.81186067004821516</v>
      </c>
      <c r="DW15" s="14">
        <f>DV15+預測IC!DW15</f>
        <v>-0.87268747004821512</v>
      </c>
      <c r="DX15" s="14">
        <f>DW15+預測IC!DX15</f>
        <v>-0.85114179972773507</v>
      </c>
      <c r="DY15" s="14">
        <f>DX15+預測IC!DY15</f>
        <v>-0.93481543442027382</v>
      </c>
      <c r="DZ15" s="14">
        <f>DY15+預測IC!DZ15</f>
        <v>-0.8982189366564699</v>
      </c>
      <c r="EA15" s="14">
        <f>DZ15+預測IC!EA15</f>
        <v>-0.78904123665646986</v>
      </c>
      <c r="EB15" s="14">
        <f>EA15+預測IC!EB15</f>
        <v>-0.84517023665646984</v>
      </c>
      <c r="EC15" s="14">
        <f>EB15+預測IC!EC15</f>
        <v>-0.86295403665646986</v>
      </c>
      <c r="ED15" s="14">
        <f>EC15+預測IC!ED15</f>
        <v>-0.93533773665646991</v>
      </c>
      <c r="EE15" s="14">
        <f>ED15+預測IC!EE15</f>
        <v>-0.93852793665646994</v>
      </c>
      <c r="EF15" s="14">
        <f>EE15+預測IC!EF15</f>
        <v>-0.90888383665646999</v>
      </c>
    </row>
    <row r="16" spans="1:136">
      <c r="A16" s="2">
        <v>107</v>
      </c>
      <c r="B16" s="2">
        <v>9</v>
      </c>
      <c r="C16" s="14">
        <v>3.9435389831589431E-2</v>
      </c>
      <c r="D16" s="14">
        <f>C16+預測IC!D16</f>
        <v>-0.19490258712839967</v>
      </c>
      <c r="E16" s="14">
        <f>D16+預測IC!E16</f>
        <v>-0.281606758556953</v>
      </c>
      <c r="F16" s="14">
        <f>E16+預測IC!F16</f>
        <v>-0.20289128665262202</v>
      </c>
      <c r="G16" s="14">
        <f>F16+預測IC!G16</f>
        <v>-0.19474473599367276</v>
      </c>
      <c r="H16" s="14">
        <f>G16+預測IC!H16</f>
        <v>-0.1953940854504958</v>
      </c>
      <c r="I16" s="14">
        <f>H16+預測IC!I16</f>
        <v>-8.6176122114250797E-2</v>
      </c>
      <c r="J16" s="14">
        <f>I16+預測IC!J16</f>
        <v>-1.3071482971866388E-2</v>
      </c>
      <c r="K16" s="14">
        <f>J16+預測IC!K16</f>
        <v>7.3349408610524192E-2</v>
      </c>
      <c r="L16" s="14">
        <f>K16+預測IC!L16</f>
        <v>0.15851101272473561</v>
      </c>
      <c r="M16" s="14">
        <f>L16+預測IC!M16</f>
        <v>0.14452357686281853</v>
      </c>
      <c r="N16" s="14">
        <f>M16+預測IC!N16</f>
        <v>2.4281078583621829E-2</v>
      </c>
      <c r="O16" s="14">
        <f>N16+預測IC!O16</f>
        <v>-4.3059982953573619E-3</v>
      </c>
      <c r="P16" s="14">
        <f>O16+預測IC!P16</f>
        <v>5.6739233496064946E-2</v>
      </c>
      <c r="Q16" s="14">
        <f>P16+預測IC!Q16</f>
        <v>0.13821787680205821</v>
      </c>
      <c r="R16" s="14">
        <f>Q16+預測IC!R16</f>
        <v>0.2413275706897674</v>
      </c>
      <c r="S16" s="14">
        <f>R16+預測IC!S16</f>
        <v>0.35118661502457399</v>
      </c>
      <c r="T16" s="14">
        <f>S16+預測IC!T16</f>
        <v>0.31277994173096202</v>
      </c>
      <c r="U16" s="14">
        <f>T16+預測IC!U16</f>
        <v>0.22130800678019505</v>
      </c>
      <c r="V16" s="14">
        <f>U16+預測IC!V16</f>
        <v>0.14573652067128806</v>
      </c>
      <c r="W16" s="14">
        <f>V16+預測IC!W16</f>
        <v>4.4070844623476255E-2</v>
      </c>
      <c r="X16" s="14">
        <f>W16+預測IC!X16</f>
        <v>-0.19646111700368984</v>
      </c>
      <c r="Y16" s="14">
        <f>X16+預測IC!Y16</f>
        <v>-0.24673995146475242</v>
      </c>
      <c r="Z16" s="14">
        <f>Y16+預測IC!Z16</f>
        <v>-0.28975000964851338</v>
      </c>
      <c r="AA16" s="14">
        <f>Z16+預測IC!AA16</f>
        <v>-0.12359111835119629</v>
      </c>
      <c r="AB16" s="14">
        <f>AA16+預測IC!AB16</f>
        <v>-9.1295703917128532E-2</v>
      </c>
      <c r="AC16" s="14">
        <f>AB16+預測IC!AC16</f>
        <v>-7.8530255881711836E-2</v>
      </c>
      <c r="AD16" s="14">
        <f>AC16+預測IC!AD16</f>
        <v>-0.13166631142956864</v>
      </c>
      <c r="AE16" s="14">
        <f>AD16+預測IC!AE16</f>
        <v>7.7961929747341868E-2</v>
      </c>
      <c r="AF16" s="14">
        <f>AE16+預測IC!AF16</f>
        <v>-6.9953680517084643E-2</v>
      </c>
      <c r="AG16" s="14">
        <f>AF16+預測IC!AG16</f>
        <v>-2.617752078131224E-2</v>
      </c>
      <c r="AH16" s="14">
        <f>AG16+預測IC!AH16</f>
        <v>5.5878796681283135E-3</v>
      </c>
      <c r="AI16" s="14">
        <f>AH16+預測IC!AI16</f>
        <v>-4.3490163508439719E-2</v>
      </c>
      <c r="AJ16" s="14">
        <f>AI16+預測IC!AJ16</f>
        <v>-3.6464197436563664E-2</v>
      </c>
      <c r="AK16" s="14">
        <f>AJ16+預測IC!AK16</f>
        <v>-7.3897650418051533E-2</v>
      </c>
      <c r="AL16" s="14">
        <f>AK16+預測IC!AL16</f>
        <v>-7.9337353048704512E-2</v>
      </c>
      <c r="AM16" s="14">
        <f>AL16+預測IC!AM16</f>
        <v>-0.14541408365050248</v>
      </c>
      <c r="AN16" s="14">
        <f>AM16+預測IC!AN16</f>
        <v>-0.25187028374017806</v>
      </c>
      <c r="AO16" s="14">
        <f>AN16+預測IC!AO16</f>
        <v>-0.31329495556609038</v>
      </c>
      <c r="AP16" s="14">
        <f>AO16+預測IC!AP16</f>
        <v>-0.23549658742050186</v>
      </c>
      <c r="AQ16" s="14">
        <f>AP16+預測IC!AQ16</f>
        <v>-0.18099883447661855</v>
      </c>
      <c r="AR16" s="14">
        <f>AQ16+預測IC!AR16</f>
        <v>-0.14662685541634762</v>
      </c>
      <c r="AS16" s="14">
        <f>AR16+預測IC!AS16</f>
        <v>-0.19926957365458137</v>
      </c>
      <c r="AT16" s="14">
        <f>AS16+預測IC!AT16</f>
        <v>-7.6705530304296568E-2</v>
      </c>
      <c r="AU16" s="14">
        <f>AT16+預測IC!AU16</f>
        <v>-0.15879580214729849</v>
      </c>
      <c r="AV16" s="14">
        <f>AU16+預測IC!AV16</f>
        <v>-0.10671496671056098</v>
      </c>
      <c r="AW16" s="14">
        <f>AV16+預測IC!AW16</f>
        <v>-0.21569990535208966</v>
      </c>
      <c r="AX16" s="14">
        <f>AW16+預測IC!AX16</f>
        <v>-0.31632123445349247</v>
      </c>
      <c r="AY16" s="14">
        <f>AX16+預測IC!AY16</f>
        <v>-0.29671938085435329</v>
      </c>
      <c r="AZ16" s="14">
        <f>AY16+預測IC!AZ16</f>
        <v>-0.38486956237492592</v>
      </c>
      <c r="BA16" s="14">
        <f>AZ16+預測IC!BA16</f>
        <v>-0.41878112435962445</v>
      </c>
      <c r="BB16" s="14">
        <f>BA16+預測IC!BB16</f>
        <v>-0.31074220020688637</v>
      </c>
      <c r="BC16" s="14">
        <f>BB16+預測IC!BC16</f>
        <v>-0.27174280828465469</v>
      </c>
      <c r="BD16" s="14">
        <f>BC16+預測IC!BD16</f>
        <v>-0.26545869717354359</v>
      </c>
      <c r="BE16" s="14">
        <f>BD16+預測IC!BE16</f>
        <v>-0.30959903050687693</v>
      </c>
      <c r="BF16" s="14">
        <f>BE16+預測IC!BF16</f>
        <v>-0.36418336384021027</v>
      </c>
      <c r="BG16" s="14">
        <f>BF16+預測IC!BG16</f>
        <v>-0.34485214161798805</v>
      </c>
      <c r="BH16" s="14">
        <f>BG16+預測IC!BH16</f>
        <v>-0.44101417612572175</v>
      </c>
      <c r="BI16" s="14">
        <f>BH16+預測IC!BI16</f>
        <v>-0.41539328723683289</v>
      </c>
      <c r="BJ16" s="14">
        <f>BI16+預測IC!BJ16</f>
        <v>-0.39488947095362531</v>
      </c>
      <c r="BK16" s="14">
        <f>BJ16+預測IC!BK16</f>
        <v>-0.3435178464276139</v>
      </c>
      <c r="BL16" s="14">
        <f>BK16+預測IC!BL16</f>
        <v>-0.41414141213513711</v>
      </c>
      <c r="BM16" s="14">
        <f>BL16+預測IC!BM16</f>
        <v>-0.37464342664403094</v>
      </c>
      <c r="BN16" s="14">
        <f>BM16+預測IC!BN16</f>
        <v>-0.4225492592480582</v>
      </c>
      <c r="BO16" s="14">
        <f>BN16+預測IC!BO16</f>
        <v>-0.44443961920171587</v>
      </c>
      <c r="BP16" s="14">
        <f>BO16+預測IC!BP16</f>
        <v>-0.46528280274929645</v>
      </c>
      <c r="BQ16" s="14">
        <f>BP16+預測IC!BQ16</f>
        <v>-0.48176081900422507</v>
      </c>
      <c r="BR16" s="14">
        <f>BQ16+預測IC!BR16</f>
        <v>-0.50805766702566946</v>
      </c>
      <c r="BS16" s="14">
        <f>BR16+預測IC!BS16</f>
        <v>-0.52124924017313368</v>
      </c>
      <c r="BT16" s="14">
        <f>BS16+預測IC!BT16</f>
        <v>-0.56791012266665197</v>
      </c>
      <c r="BU16" s="14">
        <f>BT16+預測IC!BU16</f>
        <v>-0.58297470020325382</v>
      </c>
      <c r="BV16" s="14">
        <f>BU16+預測IC!BV16</f>
        <v>-0.61956033812700051</v>
      </c>
      <c r="BW16" s="14">
        <f>BV16+預測IC!BW16</f>
        <v>-0.93753117266536767</v>
      </c>
      <c r="BX16" s="14">
        <f>BW16+預測IC!BX16</f>
        <v>-0.87097165354728479</v>
      </c>
      <c r="BY16" s="14">
        <f>BX16+預測IC!BY16</f>
        <v>-1.0035300628046639</v>
      </c>
      <c r="BZ16" s="14">
        <f>BY16+預測IC!BZ16</f>
        <v>-0.89200421430301469</v>
      </c>
      <c r="CA16" s="14">
        <f>BZ16+預測IC!CA16</f>
        <v>-0.8645732143030147</v>
      </c>
      <c r="CB16" s="14">
        <f>CA16+預測IC!CB16</f>
        <v>-0.74870766531385935</v>
      </c>
      <c r="CC16" s="14">
        <f>CB16+預測IC!CC16</f>
        <v>-0.70432133198052604</v>
      </c>
      <c r="CD16" s="14">
        <f>CC16+預測IC!CD16</f>
        <v>-0.54925006035416424</v>
      </c>
      <c r="CE16" s="14">
        <f>CD16+預測IC!CE16</f>
        <v>-0.45563628257638644</v>
      </c>
      <c r="CF16" s="14">
        <f>CE16+預測IC!CF16</f>
        <v>-0.50843636691166738</v>
      </c>
      <c r="CG16" s="14">
        <f>CF16+預測IC!CG16</f>
        <v>-0.57016424505833396</v>
      </c>
      <c r="CH16" s="14">
        <f>CG16+預測IC!CH16</f>
        <v>-0.62061296976233005</v>
      </c>
      <c r="CI16" s="14">
        <f>CH16+預測IC!CI16</f>
        <v>-0.67895630309566335</v>
      </c>
      <c r="CJ16" s="14">
        <f>CI16+預測IC!CJ16</f>
        <v>-0.64925291760190007</v>
      </c>
      <c r="CK16" s="14">
        <f>CJ16+預測IC!CK16</f>
        <v>-0.56083022782029246</v>
      </c>
      <c r="CL16" s="14">
        <f>CK16+預測IC!CL16</f>
        <v>-0.36408978966107874</v>
      </c>
      <c r="CM16" s="14">
        <f>CL16+預測IC!CM16</f>
        <v>-0.37108951640673093</v>
      </c>
      <c r="CN16" s="14">
        <f>CM16+預測IC!CN16</f>
        <v>-0.3614799608511754</v>
      </c>
      <c r="CO16" s="14">
        <f>CN16+預測IC!CO16</f>
        <v>-0.49612016964508071</v>
      </c>
      <c r="CP16" s="14">
        <f>CO16+預測IC!CP16</f>
        <v>-0.60727161984672495</v>
      </c>
      <c r="CQ16" s="14">
        <f>CP16+預測IC!CQ16</f>
        <v>-0.58693784002636407</v>
      </c>
      <c r="CR16" s="14">
        <f>CQ16+預測IC!CR16</f>
        <v>-0.39765130655896563</v>
      </c>
      <c r="CS16" s="14">
        <f>CR16+預測IC!CS16</f>
        <v>-0.3758430843367434</v>
      </c>
      <c r="CT16" s="14">
        <f>CS16+預測IC!CT16</f>
        <v>-0.35028570637590878</v>
      </c>
      <c r="CU16" s="14">
        <f>CT16+預測IC!CU16</f>
        <v>-0.48575740724011485</v>
      </c>
      <c r="CV16" s="14">
        <f>CU16+預測IC!CV16</f>
        <v>-0.31350588460162854</v>
      </c>
      <c r="CW16" s="14">
        <f>CV16+預測IC!CW16</f>
        <v>-0.26616422542734869</v>
      </c>
      <c r="CX16" s="14">
        <f>CW16+預測IC!CX16</f>
        <v>-0.2539239406730987</v>
      </c>
      <c r="CY16" s="14">
        <f>CX16+預測IC!CY16</f>
        <v>-0.17264330279888446</v>
      </c>
      <c r="CZ16" s="14">
        <f>CY16+預測IC!CZ16</f>
        <v>-7.0010043620751958E-2</v>
      </c>
      <c r="DA16" s="14">
        <f>CZ16+預測IC!DA16</f>
        <v>4.8170511934803636E-2</v>
      </c>
      <c r="DB16" s="14">
        <f>DA16+預測IC!DB16</f>
        <v>0.14618717860147029</v>
      </c>
      <c r="DC16" s="14">
        <f>DB16+預測IC!DC16</f>
        <v>6.292312697848565E-2</v>
      </c>
      <c r="DD16" s="14">
        <f>DC16+預測IC!DD16</f>
        <v>-1.1446984132625446E-2</v>
      </c>
      <c r="DE16" s="14">
        <f>DD16+預測IC!DE16</f>
        <v>-4.5999384491415468E-2</v>
      </c>
      <c r="DF16" s="14">
        <f>DE16+預測IC!DF16</f>
        <v>-4.869739804374143E-2</v>
      </c>
      <c r="DG16" s="14">
        <f>DF16+預測IC!DG16</f>
        <v>-0.17506931789421412</v>
      </c>
      <c r="DH16" s="14">
        <f>DG16+預測IC!DH16</f>
        <v>-3.7919873449769631E-2</v>
      </c>
      <c r="DI16" s="14">
        <f>DH16+預測IC!DI16</f>
        <v>9.9089043280081376E-3</v>
      </c>
      <c r="DJ16" s="14">
        <f>DI16+預測IC!DJ16</f>
        <v>-1.9232501752621502E-2</v>
      </c>
      <c r="DK16" s="14">
        <f>DJ16+預測IC!DK16</f>
        <v>0.11436185487295919</v>
      </c>
      <c r="DL16" s="14">
        <f>DK16+預測IC!DL16</f>
        <v>9.2488980623184947E-2</v>
      </c>
      <c r="DM16" s="14">
        <f>DL16+預測IC!DM16</f>
        <v>7.3578606454641704E-2</v>
      </c>
      <c r="DN16" s="14">
        <f>DM16+預測IC!DN16</f>
        <v>-4.2308125290349899E-2</v>
      </c>
      <c r="DO16" s="14">
        <f>DN16+預測IC!DO16</f>
        <v>-8.8871991770127862E-2</v>
      </c>
      <c r="DP16" s="14">
        <f>DO16+預測IC!DP16</f>
        <v>-0.24920598624594037</v>
      </c>
      <c r="DQ16" s="14">
        <f>DP16+預測IC!DQ16</f>
        <v>-0.20213583024140858</v>
      </c>
      <c r="DR16" s="14">
        <f>DQ16+預測IC!DR16</f>
        <v>-0.14694457859189336</v>
      </c>
      <c r="DS16" s="14">
        <f>DR16+預測IC!DS16</f>
        <v>-0.15736760296840829</v>
      </c>
      <c r="DT16" s="14">
        <f>DS16+預測IC!DT16</f>
        <v>-0.25790173079287387</v>
      </c>
      <c r="DU16" s="14">
        <f>DT16+預測IC!DU16</f>
        <v>-0.38067473079287384</v>
      </c>
      <c r="DV16" s="14">
        <f>DU16+預測IC!DV16</f>
        <v>-0.42640304796536083</v>
      </c>
      <c r="DW16" s="14">
        <f>DV16+預測IC!DW16</f>
        <v>-0.49770615907647192</v>
      </c>
      <c r="DX16" s="14">
        <f>DW16+預測IC!DX16</f>
        <v>-0.47575843130043105</v>
      </c>
      <c r="DY16" s="14">
        <f>DX16+預測IC!DY16</f>
        <v>-0.57074329552166803</v>
      </c>
      <c r="DZ16" s="14">
        <f>DY16+預測IC!DZ16</f>
        <v>-0.55809412393587865</v>
      </c>
      <c r="EA16" s="14">
        <f>DZ16+預測IC!EA16</f>
        <v>-0.41829423504698976</v>
      </c>
      <c r="EB16" s="14">
        <f>EA16+預測IC!EB16</f>
        <v>-0.48917201282476752</v>
      </c>
      <c r="EC16" s="14">
        <f>EB16+預測IC!EC16</f>
        <v>-0.51410845726921195</v>
      </c>
      <c r="ED16" s="14">
        <f>EC16+預測IC!ED16</f>
        <v>-0.59439367949143418</v>
      </c>
      <c r="EE16" s="14">
        <f>ED16+預測IC!EE16</f>
        <v>-0.59878979060254534</v>
      </c>
      <c r="EF16" s="14">
        <f>EE16+預測IC!EF16</f>
        <v>-0.56424134615810084</v>
      </c>
    </row>
    <row r="17" spans="1:136">
      <c r="A17" s="2">
        <v>120</v>
      </c>
      <c r="B17" s="2">
        <v>8</v>
      </c>
      <c r="C17" s="14">
        <v>3.8913468982799751E-2</v>
      </c>
      <c r="D17" s="14">
        <f>C17+預測IC!D17</f>
        <v>-0.12963389287697452</v>
      </c>
      <c r="E17" s="14">
        <f>D17+預測IC!E17</f>
        <v>-0.22630500206958534</v>
      </c>
      <c r="F17" s="14">
        <f>E17+預測IC!F17</f>
        <v>-0.14555283791726625</v>
      </c>
      <c r="G17" s="14">
        <f>F17+預測IC!G17</f>
        <v>-4.0165763253535547E-2</v>
      </c>
      <c r="H17" s="14">
        <f>G17+預測IC!H17</f>
        <v>-3.2222906405533859E-2</v>
      </c>
      <c r="I17" s="14">
        <f>H17+預測IC!I17</f>
        <v>8.0854617967912629E-2</v>
      </c>
      <c r="J17" s="14">
        <f>I17+預測IC!J17</f>
        <v>0.12914156592867831</v>
      </c>
      <c r="K17" s="14">
        <f>J17+預測IC!K17</f>
        <v>0.23070164565098822</v>
      </c>
      <c r="L17" s="14">
        <f>K17+預測IC!L17</f>
        <v>0.27293643679633034</v>
      </c>
      <c r="M17" s="14">
        <f>L17+預測IC!M17</f>
        <v>0.28759557888661874</v>
      </c>
      <c r="N17" s="14">
        <f>M17+預測IC!N17</f>
        <v>0.17831775205681294</v>
      </c>
      <c r="O17" s="14">
        <f>N17+預測IC!O17</f>
        <v>0.1670110759926807</v>
      </c>
      <c r="P17" s="14">
        <f>O17+預測IC!P17</f>
        <v>0.23335044513151171</v>
      </c>
      <c r="Q17" s="14">
        <f>P17+預測IC!Q17</f>
        <v>0.33361727343507974</v>
      </c>
      <c r="R17" s="14">
        <f>Q17+預測IC!R17</f>
        <v>0.4700437186353259</v>
      </c>
      <c r="S17" s="14">
        <f>R17+預測IC!S17</f>
        <v>0.58909810796065665</v>
      </c>
      <c r="T17" s="14">
        <f>S17+預測IC!T17</f>
        <v>0.56575552244971594</v>
      </c>
      <c r="U17" s="14">
        <f>T17+預測IC!U17</f>
        <v>0.50334962074981882</v>
      </c>
      <c r="V17" s="14">
        <f>U17+預測IC!V17</f>
        <v>0.40608996489721577</v>
      </c>
      <c r="W17" s="14">
        <f>V17+預測IC!W17</f>
        <v>0.28648598088490829</v>
      </c>
      <c r="X17" s="14">
        <f>W17+預測IC!X17</f>
        <v>4.8496549564593483E-2</v>
      </c>
      <c r="Y17" s="14">
        <f>X17+預測IC!Y17</f>
        <v>-2.5126581925814143E-2</v>
      </c>
      <c r="Z17" s="14">
        <f>Y17+預測IC!Z17</f>
        <v>-7.3452255497470392E-2</v>
      </c>
      <c r="AA17" s="14">
        <f>Z17+預測IC!AA17</f>
        <v>0.117831181417939</v>
      </c>
      <c r="AB17" s="14">
        <f>AA17+預測IC!AB17</f>
        <v>0.16236948468737863</v>
      </c>
      <c r="AC17" s="14">
        <f>AB17+預測IC!AC17</f>
        <v>0.18245573942540017</v>
      </c>
      <c r="AD17" s="14">
        <f>AC17+預測IC!AD17</f>
        <v>0.13267836396464605</v>
      </c>
      <c r="AE17" s="14">
        <f>AD17+預測IC!AE17</f>
        <v>0.35480106839309694</v>
      </c>
      <c r="AF17" s="14">
        <f>AE17+預測IC!AF17</f>
        <v>0.23451474373725045</v>
      </c>
      <c r="AG17" s="14">
        <f>AF17+預測IC!AG17</f>
        <v>0.29715488530838918</v>
      </c>
      <c r="AH17" s="14">
        <f>AG17+預測IC!AH17</f>
        <v>0.33262750448127804</v>
      </c>
      <c r="AI17" s="14">
        <f>AH17+預測IC!AI17</f>
        <v>0.30203979583976448</v>
      </c>
      <c r="AJ17" s="14">
        <f>AI17+預測IC!AJ17</f>
        <v>0.34464242635872139</v>
      </c>
      <c r="AK17" s="14">
        <f>AJ17+預測IC!AK17</f>
        <v>0.31526653674914612</v>
      </c>
      <c r="AL17" s="14">
        <f>AK17+預測IC!AL17</f>
        <v>0.2882483545804575</v>
      </c>
      <c r="AM17" s="14">
        <f>AL17+預測IC!AM17</f>
        <v>0.21287898699280053</v>
      </c>
      <c r="AN17" s="14">
        <f>AM17+預測IC!AN17</f>
        <v>9.9591866646882826E-2</v>
      </c>
      <c r="AO17" s="14">
        <f>AN17+預測IC!AO17</f>
        <v>8.6959532051158639E-2</v>
      </c>
      <c r="AP17" s="14">
        <f>AO17+預測IC!AP17</f>
        <v>0.16420234647074411</v>
      </c>
      <c r="AQ17" s="14">
        <f>AP17+預測IC!AQ17</f>
        <v>0.22547959858896607</v>
      </c>
      <c r="AR17" s="14">
        <f>AQ17+預測IC!AR17</f>
        <v>0.2712822241462689</v>
      </c>
      <c r="AS17" s="14">
        <f>AR17+預測IC!AS17</f>
        <v>0.21247926720203458</v>
      </c>
      <c r="AT17" s="14">
        <f>AS17+預測IC!AT17</f>
        <v>0.33955106030928628</v>
      </c>
      <c r="AU17" s="14">
        <f>AT17+預測IC!AU17</f>
        <v>0.22385145077518137</v>
      </c>
      <c r="AV17" s="14">
        <f>AU17+預測IC!AV17</f>
        <v>0.28238090010981276</v>
      </c>
      <c r="AW17" s="14">
        <f>AV17+預測IC!AW17</f>
        <v>0.20619128987999616</v>
      </c>
      <c r="AX17" s="14">
        <f>AW17+預測IC!AX17</f>
        <v>0.10857218476238822</v>
      </c>
      <c r="AY17" s="14">
        <f>AX17+預測IC!AY17</f>
        <v>0.12405023046763466</v>
      </c>
      <c r="AZ17" s="14">
        <f>AY17+預測IC!AZ17</f>
        <v>5.3555999551200079E-2</v>
      </c>
      <c r="BA17" s="14">
        <f>AZ17+預測IC!BA17</f>
        <v>1.4784384303509521E-2</v>
      </c>
      <c r="BB17" s="14">
        <f>BA17+預測IC!BB17</f>
        <v>0.13854844741735392</v>
      </c>
      <c r="BC17" s="14">
        <f>BB17+預測IC!BC17</f>
        <v>0.16584127179784391</v>
      </c>
      <c r="BD17" s="14">
        <f>BC17+預測IC!BD17</f>
        <v>0.18525539679784392</v>
      </c>
      <c r="BE17" s="14">
        <f>BD17+預測IC!BE17</f>
        <v>0.16895677179784391</v>
      </c>
      <c r="BF17" s="14">
        <f>BE17+預測IC!BF17</f>
        <v>9.1539771797843894E-2</v>
      </c>
      <c r="BG17" s="14">
        <f>BF17+預測IC!BG17</f>
        <v>7.8386021797843888E-2</v>
      </c>
      <c r="BH17" s="14">
        <f>BG17+預測IC!BH17</f>
        <v>-5.4805091527485209E-2</v>
      </c>
      <c r="BI17" s="14">
        <f>BH17+預測IC!BI17</f>
        <v>2.6456584725147794E-3</v>
      </c>
      <c r="BJ17" s="14">
        <f>BI17+預測IC!BJ17</f>
        <v>1.2503722745751261E-2</v>
      </c>
      <c r="BK17" s="14">
        <f>BJ17+預測IC!BK17</f>
        <v>2.9255049496132061E-2</v>
      </c>
      <c r="BL17" s="14">
        <f>BK17+預測IC!BL17</f>
        <v>-4.8227917303814108E-2</v>
      </c>
      <c r="BM17" s="14">
        <f>BL17+預測IC!BM17</f>
        <v>-1.9168906151459848E-2</v>
      </c>
      <c r="BN17" s="14">
        <f>BM17+預測IC!BN17</f>
        <v>-6.6084431745337832E-2</v>
      </c>
      <c r="BO17" s="14">
        <f>BN17+預測IC!BO17</f>
        <v>-0.10126404716206144</v>
      </c>
      <c r="BP17" s="14">
        <f>BO17+預測IC!BP17</f>
        <v>-0.13726002681654237</v>
      </c>
      <c r="BQ17" s="14">
        <f>BP17+預測IC!BQ17</f>
        <v>-0.14863653726299397</v>
      </c>
      <c r="BR17" s="14">
        <f>BQ17+預測IC!BR17</f>
        <v>-0.15828291238774386</v>
      </c>
      <c r="BS17" s="14">
        <f>BR17+預測IC!BS17</f>
        <v>-0.16238638149835047</v>
      </c>
      <c r="BT17" s="14">
        <f>BS17+預測IC!BT17</f>
        <v>-0.21503654176032821</v>
      </c>
      <c r="BU17" s="14">
        <f>BT17+預測IC!BU17</f>
        <v>-0.25354692663188283</v>
      </c>
      <c r="BV17" s="14">
        <f>BU17+預測IC!BV17</f>
        <v>-0.291787883134077</v>
      </c>
      <c r="BW17" s="14">
        <f>BV17+預測IC!BW17</f>
        <v>-0.50012470865146552</v>
      </c>
      <c r="BX17" s="14">
        <f>BW17+預測IC!BX17</f>
        <v>-0.4174837191138171</v>
      </c>
      <c r="BY17" s="14">
        <f>BX17+預測IC!BY17</f>
        <v>-0.55996109424028395</v>
      </c>
      <c r="BZ17" s="14">
        <f>BY17+預測IC!BZ17</f>
        <v>-0.43938293835919867</v>
      </c>
      <c r="CA17" s="14">
        <f>BZ17+預測IC!CA17</f>
        <v>-0.41218681335919866</v>
      </c>
      <c r="CB17" s="14">
        <f>CA17+預測IC!CB17</f>
        <v>-0.30302097633845465</v>
      </c>
      <c r="CC17" s="14">
        <f>CB17+預測IC!CC17</f>
        <v>-0.26126247633845467</v>
      </c>
      <c r="CD17" s="14">
        <f>CC17+預測IC!CD17</f>
        <v>-8.8302735119306086E-2</v>
      </c>
      <c r="CE17" s="14">
        <f>CD17+預測IC!CE17</f>
        <v>7.4048898806939045E-3</v>
      </c>
      <c r="CF17" s="14">
        <f>CE17+預測IC!CF17</f>
        <v>-5.0833906714002633E-2</v>
      </c>
      <c r="CG17" s="14">
        <f>CF17+預測IC!CG17</f>
        <v>-0.12554889534273372</v>
      </c>
      <c r="CH17" s="14">
        <f>CG17+預測IC!CH17</f>
        <v>-0.15851796751318678</v>
      </c>
      <c r="CI17" s="14">
        <f>CH17+預測IC!CI17</f>
        <v>-0.24096921751318678</v>
      </c>
      <c r="CJ17" s="14">
        <f>CI17+預測IC!CJ17</f>
        <v>-0.22001839003183837</v>
      </c>
      <c r="CK17" s="14">
        <f>CJ17+預測IC!CK17</f>
        <v>-0.13606254177220761</v>
      </c>
      <c r="CL17" s="14">
        <f>CK17+預測IC!CL17</f>
        <v>7.7655719252919808E-4</v>
      </c>
      <c r="CM17" s="14">
        <f>CL17+預測IC!CM17</f>
        <v>2.4465300858826089E-3</v>
      </c>
      <c r="CN17" s="14">
        <f>CM17+預測IC!CN17</f>
        <v>1.6077280085882609E-2</v>
      </c>
      <c r="CO17" s="14">
        <f>CN17+預測IC!CO17</f>
        <v>-0.12133559524364249</v>
      </c>
      <c r="CP17" s="14">
        <f>CO17+預測IC!CP17</f>
        <v>-0.2295569787525315</v>
      </c>
      <c r="CQ17" s="14">
        <f>CP17+預測IC!CQ17</f>
        <v>-0.28146408209425799</v>
      </c>
      <c r="CR17" s="14">
        <f>CQ17+預測IC!CR17</f>
        <v>-8.5061450331968685E-2</v>
      </c>
      <c r="CS17" s="14">
        <f>CR17+預測IC!CS17</f>
        <v>-7.3514825331968681E-2</v>
      </c>
      <c r="CT17" s="14">
        <f>CS17+預測IC!CT17</f>
        <v>-5.6175544926877929E-2</v>
      </c>
      <c r="CU17" s="14">
        <f>CT17+預測IC!CU17</f>
        <v>-0.21152743772663732</v>
      </c>
      <c r="CV17" s="14">
        <f>CU17+預測IC!CV17</f>
        <v>-6.0056052865282927E-2</v>
      </c>
      <c r="CW17" s="14">
        <f>CV17+預測IC!CW17</f>
        <v>3.3371659392050501E-3</v>
      </c>
      <c r="CX17" s="14">
        <f>CW17+預測IC!CX17</f>
        <v>1.4109560463152881E-2</v>
      </c>
      <c r="CY17" s="14">
        <f>CX17+預測IC!CY17</f>
        <v>8.971847387295856E-2</v>
      </c>
      <c r="CZ17" s="14">
        <f>CY17+預測IC!CZ17</f>
        <v>0.21396731172057906</v>
      </c>
      <c r="DA17" s="14">
        <f>CZ17+預測IC!DA17</f>
        <v>0.30846293672057906</v>
      </c>
      <c r="DB17" s="14">
        <f>DA17+預測IC!DB17</f>
        <v>0.41273393672057906</v>
      </c>
      <c r="DC17" s="14">
        <f>DB17+預測IC!DC17</f>
        <v>0.31388454417076955</v>
      </c>
      <c r="DD17" s="14">
        <f>DC17+預測IC!DD17</f>
        <v>0.26575454417076955</v>
      </c>
      <c r="DE17" s="14">
        <f>DD17+預測IC!DE17</f>
        <v>0.24162968082404754</v>
      </c>
      <c r="DF17" s="14">
        <f>DE17+預測IC!DF17</f>
        <v>0.22595523588751765</v>
      </c>
      <c r="DG17" s="14">
        <f>DF17+預測IC!DG17</f>
        <v>0.10274276975687825</v>
      </c>
      <c r="DH17" s="14">
        <f>DG17+預測IC!DH17</f>
        <v>0.26617614475687823</v>
      </c>
      <c r="DI17" s="14">
        <f>DH17+預測IC!DI17</f>
        <v>0.3363573947568782</v>
      </c>
      <c r="DJ17" s="14">
        <f>DI17+預測IC!DJ17</f>
        <v>0.29102123721605822</v>
      </c>
      <c r="DK17" s="14">
        <f>DJ17+預測IC!DK17</f>
        <v>0.44705766533260438</v>
      </c>
      <c r="DL17" s="14">
        <f>DK17+預測IC!DL17</f>
        <v>0.44312793364147568</v>
      </c>
      <c r="DM17" s="14">
        <f>DL17+預測IC!DM17</f>
        <v>0.40590045812548337</v>
      </c>
      <c r="DN17" s="14">
        <f>DM17+預測IC!DN17</f>
        <v>0.29942049551819694</v>
      </c>
      <c r="DO17" s="14">
        <f>DN17+預測IC!DO17</f>
        <v>0.23416995116674327</v>
      </c>
      <c r="DP17" s="14">
        <f>DO17+預測IC!DP17</f>
        <v>9.2135792916108461E-2</v>
      </c>
      <c r="DQ17" s="14">
        <f>DP17+預測IC!DQ17</f>
        <v>0.16478979802213334</v>
      </c>
      <c r="DR17" s="14">
        <f>DQ17+預測IC!DR17</f>
        <v>0.22067461289846163</v>
      </c>
      <c r="DS17" s="14">
        <f>DR17+預測IC!DS17</f>
        <v>0.21416907666698942</v>
      </c>
      <c r="DT17" s="14">
        <f>DS17+預測IC!DT17</f>
        <v>0.12103012698183785</v>
      </c>
      <c r="DU17" s="14">
        <f>DT17+預測IC!DU17</f>
        <v>-8.4638730181621491E-3</v>
      </c>
      <c r="DV17" s="14">
        <f>DU17+預測IC!DV17</f>
        <v>-5.3612709167220912E-2</v>
      </c>
      <c r="DW17" s="14">
        <f>DV17+預測IC!DW17</f>
        <v>-0.13021245916722091</v>
      </c>
      <c r="DX17" s="14">
        <f>DW17+預測IC!DX17</f>
        <v>-0.15324763933640959</v>
      </c>
      <c r="DY17" s="14">
        <f>DX17+預測IC!DY17</f>
        <v>-0.27925817723746427</v>
      </c>
      <c r="DZ17" s="14">
        <f>DY17+預測IC!DZ17</f>
        <v>-0.28404923048345282</v>
      </c>
      <c r="EA17" s="14">
        <f>DZ17+預測IC!EA17</f>
        <v>-0.11947685548345283</v>
      </c>
      <c r="EB17" s="14">
        <f>EA17+預測IC!EB17</f>
        <v>-0.19326048048345282</v>
      </c>
      <c r="EC17" s="14">
        <f>EB17+預測IC!EC17</f>
        <v>-0.2136198554834528</v>
      </c>
      <c r="ED17" s="14">
        <f>EC17+預測IC!ED17</f>
        <v>-0.29647548048345279</v>
      </c>
      <c r="EE17" s="14">
        <f>ED17+預測IC!EE17</f>
        <v>-0.29628110548345277</v>
      </c>
      <c r="EF17" s="14">
        <f>EE17+預測IC!EF17</f>
        <v>-0.25529635548345275</v>
      </c>
    </row>
    <row r="18" spans="1:136">
      <c r="A18" s="2">
        <v>137</v>
      </c>
      <c r="B18" s="2">
        <v>7</v>
      </c>
      <c r="C18" s="14">
        <v>5.9146797802220617E-2</v>
      </c>
      <c r="D18" s="14">
        <f>C18+預測IC!D18</f>
        <v>-0.12487209160094559</v>
      </c>
      <c r="E18" s="14">
        <f>D18+預測IC!E18</f>
        <v>-0.2253477146040378</v>
      </c>
      <c r="F18" s="14">
        <f>E18+預測IC!F18</f>
        <v>-0.105964754501848</v>
      </c>
      <c r="G18" s="14">
        <f>F18+預測IC!G18</f>
        <v>2.3516187832319929E-3</v>
      </c>
      <c r="H18" s="14">
        <f>G18+預測IC!H18</f>
        <v>1.0973846537676319E-2</v>
      </c>
      <c r="I18" s="14">
        <f>H18+預測IC!I18</f>
        <v>0.13960040237321683</v>
      </c>
      <c r="J18" s="14">
        <f>I18+預測IC!J18</f>
        <v>0.23077363406078485</v>
      </c>
      <c r="K18" s="14">
        <f>J18+預測IC!K18</f>
        <v>0.36642152283841711</v>
      </c>
      <c r="L18" s="14">
        <f>K18+預測IC!L18</f>
        <v>0.41717972994513614</v>
      </c>
      <c r="M18" s="14">
        <f>L18+預測IC!M18</f>
        <v>0.44623119432159347</v>
      </c>
      <c r="N18" s="14">
        <f>M18+預測IC!N18</f>
        <v>0.30502370582529736</v>
      </c>
      <c r="O18" s="14">
        <f>N18+預測IC!O18</f>
        <v>0.33676164692279553</v>
      </c>
      <c r="P18" s="14">
        <f>O18+預測IC!P18</f>
        <v>0.41931425849274329</v>
      </c>
      <c r="Q18" s="14">
        <f>P18+預測IC!Q18</f>
        <v>0.51237384840564948</v>
      </c>
      <c r="R18" s="14">
        <f>Q18+預測IC!R18</f>
        <v>0.66656303713967091</v>
      </c>
      <c r="S18" s="14">
        <f>R18+預測IC!S18</f>
        <v>0.81036826443857013</v>
      </c>
      <c r="T18" s="14">
        <f>S18+預測IC!T18</f>
        <v>0.75805856688783924</v>
      </c>
      <c r="U18" s="14">
        <f>T18+預測IC!U18</f>
        <v>0.70290822383627449</v>
      </c>
      <c r="V18" s="14">
        <f>U18+預測IC!V18</f>
        <v>0.58151676241034878</v>
      </c>
      <c r="W18" s="14">
        <f>V18+預測IC!W18</f>
        <v>0.44359952449464257</v>
      </c>
      <c r="X18" s="14">
        <f>W18+預測IC!X18</f>
        <v>0.22847846709469088</v>
      </c>
      <c r="Y18" s="14">
        <f>X18+預測IC!Y18</f>
        <v>0.12459922318587958</v>
      </c>
      <c r="Z18" s="14">
        <f>Y18+預測IC!Z18</f>
        <v>7.3129497435040075E-2</v>
      </c>
      <c r="AA18" s="14">
        <f>Z18+預測IC!AA18</f>
        <v>0.24570015496956876</v>
      </c>
      <c r="AB18" s="14">
        <f>AA18+預測IC!AB18</f>
        <v>0.30834496023222968</v>
      </c>
      <c r="AC18" s="14">
        <f>AB18+預測IC!AC18</f>
        <v>0.30697953975539743</v>
      </c>
      <c r="AD18" s="14">
        <f>AC18+預測IC!AD18</f>
        <v>0.23453575066686605</v>
      </c>
      <c r="AE18" s="14">
        <f>AD18+預測IC!AE18</f>
        <v>0.49292709958207453</v>
      </c>
      <c r="AF18" s="14">
        <f>AE18+預測IC!AF18</f>
        <v>0.34238345975800111</v>
      </c>
      <c r="AG18" s="14">
        <f>AF18+預測IC!AG18</f>
        <v>0.4241034396507547</v>
      </c>
      <c r="AH18" s="14">
        <f>AG18+預測IC!AH18</f>
        <v>0.46430090061926943</v>
      </c>
      <c r="AI18" s="14">
        <f>AH18+預測IC!AI18</f>
        <v>0.4174453592655134</v>
      </c>
      <c r="AJ18" s="14">
        <f>AI18+預測IC!AJ18</f>
        <v>0.46483911543196255</v>
      </c>
      <c r="AK18" s="14">
        <f>AJ18+預測IC!AK18</f>
        <v>0.44200623006996609</v>
      </c>
      <c r="AL18" s="14">
        <f>AK18+預測IC!AL18</f>
        <v>0.40919341829035666</v>
      </c>
      <c r="AM18" s="14">
        <f>AL18+預測IC!AM18</f>
        <v>0.34255001286558545</v>
      </c>
      <c r="AN18" s="14">
        <f>AM18+預測IC!AN18</f>
        <v>0.26325537291038364</v>
      </c>
      <c r="AO18" s="14">
        <f>AN18+預測IC!AO18</f>
        <v>0.25782783794269087</v>
      </c>
      <c r="AP18" s="14">
        <f>AO18+預測IC!AP18</f>
        <v>0.33610642987649786</v>
      </c>
      <c r="AQ18" s="14">
        <f>AP18+預測IC!AQ18</f>
        <v>0.40026140354001627</v>
      </c>
      <c r="AR18" s="14">
        <f>AQ18+預測IC!AR18</f>
        <v>0.43926387760278052</v>
      </c>
      <c r="AS18" s="14">
        <f>AR18+預測IC!AS18</f>
        <v>0.35601074971359459</v>
      </c>
      <c r="AT18" s="14">
        <f>AS18+預測IC!AT18</f>
        <v>0.52239655913765348</v>
      </c>
      <c r="AU18" s="14">
        <f>AT18+預測IC!AU18</f>
        <v>0.38349834449143377</v>
      </c>
      <c r="AV18" s="14">
        <f>AU18+預測IC!AV18</f>
        <v>0.44373400919790362</v>
      </c>
      <c r="AW18" s="14">
        <f>AV18+預測IC!AW18</f>
        <v>0.34596714737666845</v>
      </c>
      <c r="AX18" s="14">
        <f>AW18+預測IC!AX18</f>
        <v>0.21990280995054104</v>
      </c>
      <c r="AY18" s="14">
        <f>AX18+預測IC!AY18</f>
        <v>0.25009216867903122</v>
      </c>
      <c r="AZ18" s="14">
        <f>AY18+預測IC!AZ18</f>
        <v>0.19844584128552289</v>
      </c>
      <c r="BA18" s="14">
        <f>AZ18+預測IC!BA18</f>
        <v>0.16314360127875954</v>
      </c>
      <c r="BB18" s="14">
        <f>BA18+預測IC!BB18</f>
        <v>0.30079964343609666</v>
      </c>
      <c r="BC18" s="14">
        <f>BB18+預測IC!BC18</f>
        <v>0.27285759273412691</v>
      </c>
      <c r="BD18" s="14">
        <f>BC18+預測IC!BD18</f>
        <v>0.2931353070198412</v>
      </c>
      <c r="BE18" s="14">
        <f>BD18+預測IC!BE18</f>
        <v>0.27090302130555549</v>
      </c>
      <c r="BF18" s="14">
        <f>BE18+預測IC!BF18</f>
        <v>0.23276102130555548</v>
      </c>
      <c r="BG18" s="14">
        <f>BF18+預測IC!BG18</f>
        <v>0.23045244987698404</v>
      </c>
      <c r="BH18" s="14">
        <f>BG18+預測IC!BH18</f>
        <v>9.2554184726841543E-2</v>
      </c>
      <c r="BI18" s="14">
        <f>BH18+預測IC!BI18</f>
        <v>0.12604375615541297</v>
      </c>
      <c r="BJ18" s="14">
        <f>BI18+預測IC!BJ18</f>
        <v>0.12008769210495343</v>
      </c>
      <c r="BK18" s="14">
        <f>BJ18+預測IC!BK18</f>
        <v>0.12106877600807035</v>
      </c>
      <c r="BL18" s="14">
        <f>BK18+預測IC!BL18</f>
        <v>3.9911102187866268E-2</v>
      </c>
      <c r="BM18" s="14">
        <f>BL18+預測IC!BM18</f>
        <v>6.7992458560961616E-2</v>
      </c>
      <c r="BN18" s="14">
        <f>BM18+預測IC!BN18</f>
        <v>1.5218068937131464E-2</v>
      </c>
      <c r="BO18" s="14">
        <f>BN18+預測IC!BO18</f>
        <v>-5.0094271692431754E-3</v>
      </c>
      <c r="BP18" s="14">
        <f>BO18+預測IC!BP18</f>
        <v>-5.1866967503925179E-2</v>
      </c>
      <c r="BQ18" s="14">
        <f>BP18+預測IC!BQ18</f>
        <v>-5.3783751613774168E-2</v>
      </c>
      <c r="BR18" s="14">
        <f>BQ18+預測IC!BR18</f>
        <v>-5.9531945197728892E-2</v>
      </c>
      <c r="BS18" s="14">
        <f>BR18+預測IC!BS18</f>
        <v>-6.3515570294848139E-2</v>
      </c>
      <c r="BT18" s="14">
        <f>BS18+預測IC!BT18</f>
        <v>-0.12506089318755292</v>
      </c>
      <c r="BU18" s="14">
        <f>BT18+預測IC!BU18</f>
        <v>-0.11614022608203968</v>
      </c>
      <c r="BV18" s="14">
        <f>BU18+預測IC!BV18</f>
        <v>-0.15576465220618749</v>
      </c>
      <c r="BW18" s="14">
        <f>BV18+預測IC!BW18</f>
        <v>-0.37414015133717615</v>
      </c>
      <c r="BX18" s="14">
        <f>BW18+預測IC!BX18</f>
        <v>-0.29955928792257802</v>
      </c>
      <c r="BY18" s="14">
        <f>BX18+預測IC!BY18</f>
        <v>-0.38702455619467968</v>
      </c>
      <c r="BZ18" s="14">
        <f>BY18+預測IC!BZ18</f>
        <v>-0.23370456839208159</v>
      </c>
      <c r="CA18" s="14">
        <f>BZ18+預測IC!CA18</f>
        <v>-0.20041871124922445</v>
      </c>
      <c r="CB18" s="14">
        <f>CA18+預測IC!CB18</f>
        <v>-0.10303142826981519</v>
      </c>
      <c r="CC18" s="14">
        <f>CB18+預測IC!CC18</f>
        <v>1.628286015899108E-3</v>
      </c>
      <c r="CD18" s="14">
        <f>CC18+預測IC!CD18</f>
        <v>0.19534510466272981</v>
      </c>
      <c r="CE18" s="14">
        <f>CD18+預測IC!CE18</f>
        <v>0.27260496180558696</v>
      </c>
      <c r="CF18" s="14">
        <f>CE18+預測IC!CF18</f>
        <v>0.31656270519219565</v>
      </c>
      <c r="CG18" s="14">
        <f>CF18+預測IC!CG18</f>
        <v>0.22495344962827629</v>
      </c>
      <c r="CH18" s="14">
        <f>CG18+預測IC!CH18</f>
        <v>0.1795878006691175</v>
      </c>
      <c r="CI18" s="14">
        <f>CH18+預測IC!CI18</f>
        <v>6.1864229240546104E-2</v>
      </c>
      <c r="CJ18" s="14">
        <f>CI18+預測IC!CJ18</f>
        <v>5.8091862740148492E-2</v>
      </c>
      <c r="CK18" s="14">
        <f>CJ18+預測IC!CK18</f>
        <v>0.15414989440567159</v>
      </c>
      <c r="CL18" s="14">
        <f>CK18+預測IC!CL18</f>
        <v>0.3070638382151567</v>
      </c>
      <c r="CM18" s="14">
        <f>CL18+預測IC!CM18</f>
        <v>0.32261258855716013</v>
      </c>
      <c r="CN18" s="14">
        <f>CM18+預測IC!CN18</f>
        <v>0.29399573141430302</v>
      </c>
      <c r="CO18" s="14">
        <f>CN18+預測IC!CO18</f>
        <v>0.14339822179205572</v>
      </c>
      <c r="CP18" s="14">
        <f>CO18+預測IC!CP18</f>
        <v>2.7127901984122321E-2</v>
      </c>
      <c r="CQ18" s="14">
        <f>CP18+預測IC!CQ18</f>
        <v>-1.1114773610820382E-2</v>
      </c>
      <c r="CR18" s="14">
        <f>CQ18+預測IC!CR18</f>
        <v>0.1826076340413888</v>
      </c>
      <c r="CS18" s="14">
        <f>CR18+預測IC!CS18</f>
        <v>0.21073691975567452</v>
      </c>
      <c r="CT18" s="14">
        <f>CS18+預測IC!CT18</f>
        <v>0.19446442555566568</v>
      </c>
      <c r="CU18" s="14">
        <f>CT18+預測IC!CU18</f>
        <v>4.9899604379530782E-2</v>
      </c>
      <c r="CV18" s="14">
        <f>CU18+預測IC!CV18</f>
        <v>0.17692187251253769</v>
      </c>
      <c r="CW18" s="14">
        <f>CV18+預測IC!CW18</f>
        <v>0.24348044701085395</v>
      </c>
      <c r="CX18" s="14">
        <f>CW18+預測IC!CX18</f>
        <v>0.30504063284463201</v>
      </c>
      <c r="CY18" s="14">
        <f>CX18+預測IC!CY18</f>
        <v>0.39821901675253951</v>
      </c>
      <c r="CZ18" s="14">
        <f>CY18+預測IC!CZ18</f>
        <v>0.53106188005431088</v>
      </c>
      <c r="DA18" s="14">
        <f>CZ18+預測IC!DA18</f>
        <v>0.60941973719716802</v>
      </c>
      <c r="DB18" s="14">
        <f>DA18+預測IC!DB18</f>
        <v>0.72753373719716796</v>
      </c>
      <c r="DC18" s="14">
        <f>DB18+預測IC!DC18</f>
        <v>0.64471402998600547</v>
      </c>
      <c r="DD18" s="14">
        <f>DC18+預測IC!DD18</f>
        <v>0.5736427442717198</v>
      </c>
      <c r="DE18" s="14">
        <f>DD18+預測IC!DE18</f>
        <v>0.53522215678526885</v>
      </c>
      <c r="DF18" s="14">
        <f>DE18+預測IC!DF18</f>
        <v>0.5071501817073073</v>
      </c>
      <c r="DG18" s="14">
        <f>DF18+預測IC!DG18</f>
        <v>0.38893308843371188</v>
      </c>
      <c r="DH18" s="14">
        <f>DG18+預測IC!DH18</f>
        <v>0.5813356598622833</v>
      </c>
      <c r="DI18" s="14">
        <f>DH18+預測IC!DI18</f>
        <v>0.67929851700514043</v>
      </c>
      <c r="DJ18" s="14">
        <f>DI18+預測IC!DJ18</f>
        <v>0.6340944772198509</v>
      </c>
      <c r="DK18" s="14">
        <f>DJ18+預測IC!DK18</f>
        <v>0.79260810431227835</v>
      </c>
      <c r="DL18" s="14">
        <f>DK18+預測IC!DL18</f>
        <v>0.78877783024468617</v>
      </c>
      <c r="DM18" s="14">
        <f>DL18+預測IC!DM18</f>
        <v>0.78352715150242214</v>
      </c>
      <c r="DN18" s="14">
        <f>DM18+預測IC!DN18</f>
        <v>0.65841846823289141</v>
      </c>
      <c r="DO18" s="14">
        <f>DN18+預測IC!DO18</f>
        <v>0.62821945077130159</v>
      </c>
      <c r="DP18" s="14">
        <f>DO18+預測IC!DP18</f>
        <v>0.4947329784942211</v>
      </c>
      <c r="DQ18" s="14">
        <f>DP18+預測IC!DQ18</f>
        <v>0.56048243667811992</v>
      </c>
      <c r="DR18" s="14">
        <f>DQ18+預測IC!DR18</f>
        <v>0.63732309145008093</v>
      </c>
      <c r="DS18" s="14">
        <f>DR18+預測IC!DS18</f>
        <v>0.61193744019294261</v>
      </c>
      <c r="DT18" s="14">
        <f>DS18+預測IC!DT18</f>
        <v>0.49592005008196549</v>
      </c>
      <c r="DU18" s="14">
        <f>DT18+預測IC!DU18</f>
        <v>0.33720462151053687</v>
      </c>
      <c r="DV18" s="14">
        <f>DU18+預測IC!DV18</f>
        <v>0.26667692900445933</v>
      </c>
      <c r="DW18" s="14">
        <f>DV18+預測IC!DW18</f>
        <v>0.19803907186160219</v>
      </c>
      <c r="DX18" s="14">
        <f>DW18+預測IC!DX18</f>
        <v>0.1298617783398669</v>
      </c>
      <c r="DY18" s="14">
        <f>DX18+預測IC!DY18</f>
        <v>-3.5901326322136218E-2</v>
      </c>
      <c r="DZ18" s="14">
        <f>DY18+預測IC!DZ18</f>
        <v>-7.9129181191578107E-2</v>
      </c>
      <c r="EA18" s="14">
        <f>DZ18+預測IC!EA18</f>
        <v>0.11981810452270758</v>
      </c>
      <c r="EB18" s="14">
        <f>EA18+預測IC!EB18</f>
        <v>2.2773104522707588E-2</v>
      </c>
      <c r="EC18" s="14">
        <f>EB18+預測IC!EC18</f>
        <v>3.1742473798504374E-3</v>
      </c>
      <c r="ED18" s="14">
        <f>EC18+預測IC!ED18</f>
        <v>-7.7095466905863844E-2</v>
      </c>
      <c r="EE18" s="14">
        <f>ED18+預測IC!EE18</f>
        <v>-7.820575262014956E-2</v>
      </c>
      <c r="EF18" s="14">
        <f>EE18+預測IC!EF18</f>
        <v>-1.4253895477292416E-2</v>
      </c>
    </row>
    <row r="19" spans="1:136">
      <c r="A19" s="2">
        <v>160</v>
      </c>
      <c r="B19" s="2">
        <v>6</v>
      </c>
      <c r="C19" s="14">
        <v>7.386192988077088E-2</v>
      </c>
      <c r="D19" s="14">
        <f>C19+預測IC!D19</f>
        <v>-0.14568093850151842</v>
      </c>
      <c r="E19" s="14">
        <f>D19+預測IC!E19</f>
        <v>-0.28626461509284962</v>
      </c>
      <c r="F19" s="14">
        <f>E19+預測IC!F19</f>
        <v>-0.10857595328728911</v>
      </c>
      <c r="G19" s="14">
        <f>F19+預測IC!G19</f>
        <v>-1.25099814301117E-2</v>
      </c>
      <c r="H19" s="14">
        <f>G19+預測IC!H19</f>
        <v>-2.4578769892596622E-2</v>
      </c>
      <c r="I19" s="14">
        <f>H19+預測IC!I19</f>
        <v>0.10953340859498277</v>
      </c>
      <c r="J19" s="14">
        <f>I19+預測IC!J19</f>
        <v>0.22097065276713518</v>
      </c>
      <c r="K19" s="14">
        <f>J19+預測IC!K19</f>
        <v>0.45976006749105192</v>
      </c>
      <c r="L19" s="14">
        <f>K19+預測IC!L19</f>
        <v>0.480086717131397</v>
      </c>
      <c r="M19" s="14">
        <f>L19+預測IC!M19</f>
        <v>0.43639648097508971</v>
      </c>
      <c r="N19" s="14">
        <f>M19+預測IC!N19</f>
        <v>0.28455289982710963</v>
      </c>
      <c r="O19" s="14">
        <f>N19+預測IC!O19</f>
        <v>0.31611477431602553</v>
      </c>
      <c r="P19" s="14">
        <f>O19+預測IC!P19</f>
        <v>0.40864896050272265</v>
      </c>
      <c r="Q19" s="14">
        <f>P19+預測IC!Q19</f>
        <v>0.49051507323926347</v>
      </c>
      <c r="R19" s="14">
        <f>Q19+預測IC!R19</f>
        <v>0.63609834604147353</v>
      </c>
      <c r="S19" s="14">
        <f>R19+預測IC!S19</f>
        <v>0.75879022237721505</v>
      </c>
      <c r="T19" s="14">
        <f>S19+預測IC!T19</f>
        <v>0.70732550513190551</v>
      </c>
      <c r="U19" s="14">
        <f>T19+預測IC!U19</f>
        <v>0.64007550351342246</v>
      </c>
      <c r="V19" s="14">
        <f>U19+預測IC!V19</f>
        <v>0.54738718378810935</v>
      </c>
      <c r="W19" s="14">
        <f>V19+預測IC!W19</f>
        <v>0.40076619307059924</v>
      </c>
      <c r="X19" s="14">
        <f>W19+預測IC!X19</f>
        <v>0.25136631971787193</v>
      </c>
      <c r="Y19" s="14">
        <f>X19+預測IC!Y19</f>
        <v>0.14823608078743364</v>
      </c>
      <c r="Z19" s="14">
        <f>Y19+預測IC!Z19</f>
        <v>9.0347355408734301E-2</v>
      </c>
      <c r="AA19" s="14">
        <f>Z19+預測IC!AA19</f>
        <v>0.22218025488982529</v>
      </c>
      <c r="AB19" s="14">
        <f>AA19+預測IC!AB19</f>
        <v>0.27389900770058256</v>
      </c>
      <c r="AC19" s="14">
        <f>AB19+預測IC!AC19</f>
        <v>0.25975746499197278</v>
      </c>
      <c r="AD19" s="14">
        <f>AC19+預測IC!AD19</f>
        <v>0.23576000773091219</v>
      </c>
      <c r="AE19" s="14">
        <f>AD19+預測IC!AE19</f>
        <v>0.54425286565628084</v>
      </c>
      <c r="AF19" s="14">
        <f>AE19+預測IC!AF19</f>
        <v>0.37542228494823771</v>
      </c>
      <c r="AG19" s="14">
        <f>AF19+預測IC!AG19</f>
        <v>0.41690938839254937</v>
      </c>
      <c r="AH19" s="14">
        <f>AG19+預測IC!AH19</f>
        <v>0.47346710361425293</v>
      </c>
      <c r="AI19" s="14">
        <f>AH19+預測IC!AI19</f>
        <v>0.3916969788247564</v>
      </c>
      <c r="AJ19" s="14">
        <f>AI19+預測IC!AJ19</f>
        <v>0.4432422691520187</v>
      </c>
      <c r="AK19" s="14">
        <f>AJ19+預測IC!AK19</f>
        <v>0.40266074603885571</v>
      </c>
      <c r="AL19" s="14">
        <f>AK19+預測IC!AL19</f>
        <v>0.38774613850905731</v>
      </c>
      <c r="AM19" s="14">
        <f>AL19+預測IC!AM19</f>
        <v>0.34464012669765237</v>
      </c>
      <c r="AN19" s="14">
        <f>AM19+預測IC!AN19</f>
        <v>0.26107183233197029</v>
      </c>
      <c r="AO19" s="14">
        <f>AN19+預測IC!AO19</f>
        <v>0.23517892928655587</v>
      </c>
      <c r="AP19" s="14">
        <f>AO19+預測IC!AP19</f>
        <v>0.32275304955940798</v>
      </c>
      <c r="AQ19" s="14">
        <f>AP19+預測IC!AQ19</f>
        <v>0.36512871471861097</v>
      </c>
      <c r="AR19" s="14">
        <f>AQ19+預測IC!AR19</f>
        <v>0.32398419982303517</v>
      </c>
      <c r="AS19" s="14">
        <f>AR19+預測IC!AS19</f>
        <v>0.21478532376996887</v>
      </c>
      <c r="AT19" s="14">
        <f>AS19+預測IC!AT19</f>
        <v>0.39937898758002688</v>
      </c>
      <c r="AU19" s="14">
        <f>AT19+預測IC!AU19</f>
        <v>0.24636436110576618</v>
      </c>
      <c r="AV19" s="14">
        <f>AU19+預測IC!AV19</f>
        <v>0.24333175150315814</v>
      </c>
      <c r="AW19" s="14">
        <f>AV19+預測IC!AW19</f>
        <v>0.10663835437424543</v>
      </c>
      <c r="AX19" s="14">
        <f>AW19+預測IC!AX19</f>
        <v>-0.11748544092661067</v>
      </c>
      <c r="AY19" s="14">
        <f>AX19+預測IC!AY19</f>
        <v>-5.121219821413843E-2</v>
      </c>
      <c r="AZ19" s="14">
        <f>AY19+預測IC!AZ19</f>
        <v>-0.16682372658356215</v>
      </c>
      <c r="BA19" s="14">
        <f>AZ19+預測IC!BA19</f>
        <v>-0.1683327431393972</v>
      </c>
      <c r="BB19" s="14">
        <f>BA19+預測IC!BB19</f>
        <v>-8.5865440669656012E-3</v>
      </c>
      <c r="BC19" s="14">
        <f>BB19+預測IC!BC19</f>
        <v>-0.19315833347339281</v>
      </c>
      <c r="BD19" s="14">
        <f>BC19+預測IC!BD19</f>
        <v>-0.19322916680672614</v>
      </c>
      <c r="BE19" s="14">
        <f>BD19+預測IC!BE19</f>
        <v>-0.22362183347339282</v>
      </c>
      <c r="BF19" s="14">
        <f>BE19+預測IC!BF19</f>
        <v>-0.27305750014005947</v>
      </c>
      <c r="BG19" s="14">
        <f>BF19+預測IC!BG19</f>
        <v>-0.27209416680672616</v>
      </c>
      <c r="BH19" s="14">
        <f>BG19+預測IC!BH19</f>
        <v>-0.41259107276029949</v>
      </c>
      <c r="BI19" s="14">
        <f>BH19+預測IC!BI19</f>
        <v>-0.38665257276029952</v>
      </c>
      <c r="BJ19" s="14">
        <f>BI19+預測IC!BJ19</f>
        <v>-0.40835987429887871</v>
      </c>
      <c r="BK19" s="14">
        <f>BJ19+預測IC!BK19</f>
        <v>-0.47787891092832047</v>
      </c>
      <c r="BL19" s="14">
        <f>BK19+預測IC!BL19</f>
        <v>-0.55784356907482358</v>
      </c>
      <c r="BM19" s="14">
        <f>BL19+預測IC!BM19</f>
        <v>-0.52605730420567831</v>
      </c>
      <c r="BN19" s="14">
        <f>BM19+預測IC!BN19</f>
        <v>-0.59330995167295009</v>
      </c>
      <c r="BO19" s="14">
        <f>BN19+預測IC!BO19</f>
        <v>-0.61903891293806546</v>
      </c>
      <c r="BP19" s="14">
        <f>BO19+預測IC!BP19</f>
        <v>-0.68185772047219761</v>
      </c>
      <c r="BQ19" s="14">
        <f>BP19+預測IC!BQ19</f>
        <v>-0.69179176492652072</v>
      </c>
      <c r="BR19" s="14">
        <f>BQ19+預測IC!BR19</f>
        <v>-0.68511651890300074</v>
      </c>
      <c r="BS19" s="14">
        <f>BR19+預測IC!BS19</f>
        <v>-0.70937285764748281</v>
      </c>
      <c r="BT19" s="14">
        <f>BS19+預測IC!BT19</f>
        <v>-0.79169626132479409</v>
      </c>
      <c r="BU19" s="14">
        <f>BT19+預測IC!BU19</f>
        <v>-0.74844962639125379</v>
      </c>
      <c r="BV19" s="14">
        <f>BU19+預測IC!BV19</f>
        <v>-0.77880041835715097</v>
      </c>
      <c r="BW19" s="14">
        <f>BV19+預測IC!BW19</f>
        <v>-1.0862534251668845</v>
      </c>
      <c r="BX19" s="14">
        <f>BW19+預測IC!BX19</f>
        <v>-1.0314231436065677</v>
      </c>
      <c r="BY19" s="14">
        <f>BX19+預測IC!BY19</f>
        <v>-1.1112900706755136</v>
      </c>
      <c r="BZ19" s="14">
        <f>BY19+預測IC!BZ19</f>
        <v>-1.0425879458534597</v>
      </c>
      <c r="CA19" s="14">
        <f>BZ19+預測IC!CA19</f>
        <v>-1.0069777791867931</v>
      </c>
      <c r="CB19" s="14">
        <f>CA19+預測IC!CB19</f>
        <v>-0.92800097156826755</v>
      </c>
      <c r="CC19" s="14">
        <f>CB19+預測IC!CC19</f>
        <v>-0.90549530490160091</v>
      </c>
      <c r="CD19" s="14">
        <f>CC19+預測IC!CD19</f>
        <v>-0.68987610680788303</v>
      </c>
      <c r="CE19" s="14">
        <f>CD19+預測IC!CE19</f>
        <v>-0.6014019401412164</v>
      </c>
      <c r="CF19" s="14">
        <f>CE19+預測IC!CF19</f>
        <v>-0.52235041517040204</v>
      </c>
      <c r="CG19" s="14">
        <f>CF19+預測IC!CG19</f>
        <v>-0.57946804003735919</v>
      </c>
      <c r="CH19" s="14">
        <f>CG19+預測IC!CH19</f>
        <v>-0.62218308378009335</v>
      </c>
      <c r="CI19" s="14">
        <f>CH19+預測IC!CI19</f>
        <v>-0.78738375044676001</v>
      </c>
      <c r="CJ19" s="14">
        <f>CI19+預測IC!CJ19</f>
        <v>-0.79919567320875429</v>
      </c>
      <c r="CK19" s="14">
        <f>CJ19+預測IC!CK19</f>
        <v>-0.68039841025141978</v>
      </c>
      <c r="CL19" s="14">
        <f>CK19+預測IC!CL19</f>
        <v>-0.56505062861268229</v>
      </c>
      <c r="CM19" s="14">
        <f>CL19+預測IC!CM19</f>
        <v>-0.48946875761468811</v>
      </c>
      <c r="CN19" s="14">
        <f>CM19+預測IC!CN19</f>
        <v>-0.50541192428135473</v>
      </c>
      <c r="CO19" s="14">
        <f>CN19+預測IC!CO19</f>
        <v>-0.67155848205663538</v>
      </c>
      <c r="CP19" s="14">
        <f>CO19+預測IC!CP19</f>
        <v>-0.80897320681447127</v>
      </c>
      <c r="CQ19" s="14">
        <f>CP19+預測IC!CQ19</f>
        <v>-0.84136781433088992</v>
      </c>
      <c r="CR19" s="14">
        <f>CQ19+預測IC!CR19</f>
        <v>-0.66506109008469794</v>
      </c>
      <c r="CS19" s="14">
        <f>CR19+預測IC!CS19</f>
        <v>-0.62128542341803128</v>
      </c>
      <c r="CT19" s="14">
        <f>CS19+預測IC!CT19</f>
        <v>-0.64922606060302812</v>
      </c>
      <c r="CU19" s="14">
        <f>CT19+預測IC!CU19</f>
        <v>-0.79583360386396707</v>
      </c>
      <c r="CV19" s="14">
        <f>CU19+預測IC!CV19</f>
        <v>-0.70128059589258818</v>
      </c>
      <c r="CW19" s="14">
        <f>CV19+預測IC!CW19</f>
        <v>-0.64076471731955087</v>
      </c>
      <c r="CX19" s="14">
        <f>CW19+預測IC!CX19</f>
        <v>-0.58312999095136597</v>
      </c>
      <c r="CY19" s="14">
        <f>CX19+預測IC!CY19</f>
        <v>-0.47523787149417496</v>
      </c>
      <c r="CZ19" s="14">
        <f>CY19+預測IC!CZ19</f>
        <v>-0.36238604285271098</v>
      </c>
      <c r="DA19" s="14">
        <f>CZ19+預測IC!DA19</f>
        <v>-0.28720354285271099</v>
      </c>
      <c r="DB19" s="14">
        <f>DA19+預測IC!DB19</f>
        <v>-0.13924254285271098</v>
      </c>
      <c r="DC19" s="14">
        <f>DB19+預測IC!DC19</f>
        <v>-0.20483012759060781</v>
      </c>
      <c r="DD19" s="14">
        <f>DC19+預測IC!DD19</f>
        <v>-0.2683774609239411</v>
      </c>
      <c r="DE19" s="14">
        <f>DD19+預測IC!DE19</f>
        <v>-0.30139587557973313</v>
      </c>
      <c r="DF19" s="14">
        <f>DE19+預測IC!DF19</f>
        <v>-0.32269221800690012</v>
      </c>
      <c r="DG19" s="14">
        <f>DF19+預測IC!DG19</f>
        <v>-0.44918301584442144</v>
      </c>
      <c r="DH19" s="14">
        <f>DG19+預測IC!DH19</f>
        <v>-0.22459168251108813</v>
      </c>
      <c r="DI19" s="14">
        <f>DH19+預測IC!DI19</f>
        <v>-0.11613001584442142</v>
      </c>
      <c r="DJ19" s="14">
        <f>DI19+預測IC!DJ19</f>
        <v>-0.16464436656739803</v>
      </c>
      <c r="DK19" s="14">
        <f>DJ19+預測IC!DK19</f>
        <v>-4.0499778783190429E-2</v>
      </c>
      <c r="DL19" s="14">
        <f>DK19+預測IC!DL19</f>
        <v>-5.2482564692164238E-2</v>
      </c>
      <c r="DM19" s="14">
        <f>DL19+預測IC!DM19</f>
        <v>-6.3846622065365649E-3</v>
      </c>
      <c r="DN19" s="14">
        <f>DM19+預測IC!DN19</f>
        <v>-0.18031296393508489</v>
      </c>
      <c r="DO19" s="14">
        <f>DN19+預測IC!DO19</f>
        <v>-0.22901848379567871</v>
      </c>
      <c r="DP19" s="14">
        <f>DO19+預測IC!DP19</f>
        <v>-0.39928661447564073</v>
      </c>
      <c r="DQ19" s="14">
        <f>DP19+預測IC!DQ19</f>
        <v>-0.31891244263756569</v>
      </c>
      <c r="DR19" s="14">
        <f>DQ19+預測IC!DR19</f>
        <v>-0.24295008931251749</v>
      </c>
      <c r="DS19" s="14">
        <f>DR19+預測IC!DS19</f>
        <v>-0.28786905246439748</v>
      </c>
      <c r="DT19" s="14">
        <f>DS19+預測IC!DT19</f>
        <v>-0.42099755308374687</v>
      </c>
      <c r="DU19" s="14">
        <f>DT19+預測IC!DU19</f>
        <v>-0.57158005308374693</v>
      </c>
      <c r="DV19" s="14">
        <f>DU19+預測IC!DV19</f>
        <v>-0.64317343968114904</v>
      </c>
      <c r="DW19" s="14">
        <f>DV19+預測IC!DW19</f>
        <v>-0.74447043968114901</v>
      </c>
      <c r="DX19" s="14">
        <f>DW19+預測IC!DX19</f>
        <v>-0.83908463303868674</v>
      </c>
      <c r="DY19" s="14">
        <f>DX19+預測IC!DY19</f>
        <v>-0.99120404264317363</v>
      </c>
      <c r="DZ19" s="14">
        <f>DY19+預測IC!DZ19</f>
        <v>-1.0708476107816087</v>
      </c>
      <c r="EA19" s="14">
        <f>DZ19+預測IC!EA19</f>
        <v>-0.83779994411494196</v>
      </c>
      <c r="EB19" s="14">
        <f>EA19+預測IC!EB19</f>
        <v>-0.94404844411494193</v>
      </c>
      <c r="EC19" s="14">
        <f>EB19+預測IC!EC19</f>
        <v>-0.97537211078160857</v>
      </c>
      <c r="ED19" s="14">
        <f>EC19+預測IC!ED19</f>
        <v>-1.0615316107816086</v>
      </c>
      <c r="EE19" s="14">
        <f>ED19+預測IC!EE19</f>
        <v>-1.0542252774482752</v>
      </c>
      <c r="EF19" s="14">
        <f>EE19+預測IC!EF19</f>
        <v>-0.98020527744827524</v>
      </c>
    </row>
    <row r="20" spans="1:136">
      <c r="A20" s="2">
        <v>192</v>
      </c>
      <c r="B20" s="2">
        <v>5</v>
      </c>
      <c r="C20" s="14">
        <v>-1.1241331728202891E-2</v>
      </c>
      <c r="D20" s="14">
        <f>C20+預測IC!D20</f>
        <v>-0.23382772541697869</v>
      </c>
      <c r="E20" s="14">
        <f>D20+預測IC!E20</f>
        <v>-0.37995263068122459</v>
      </c>
      <c r="F20" s="14">
        <f>E20+預測IC!F20</f>
        <v>-0.17442136634805039</v>
      </c>
      <c r="G20" s="14">
        <f>F20+預測IC!G20</f>
        <v>-5.7238225059111289E-2</v>
      </c>
      <c r="H20" s="14">
        <f>G20+預測IC!H20</f>
        <v>-4.5655198980533579E-2</v>
      </c>
      <c r="I20" s="14">
        <f>H20+預測IC!I20</f>
        <v>0.14020797649616282</v>
      </c>
      <c r="J20" s="14">
        <f>I20+預測IC!J20</f>
        <v>0.28749610865276509</v>
      </c>
      <c r="K20" s="14">
        <f>J20+預測IC!K20</f>
        <v>0.50222061241384686</v>
      </c>
      <c r="L20" s="14">
        <f>K20+預測IC!L20</f>
        <v>0.5112203837550352</v>
      </c>
      <c r="M20" s="14">
        <f>L20+預測IC!M20</f>
        <v>0.4335021554637617</v>
      </c>
      <c r="N20" s="14">
        <f>M20+預測IC!N20</f>
        <v>0.2653585672742178</v>
      </c>
      <c r="O20" s="14">
        <f>N20+預測IC!O20</f>
        <v>0.31522345334349194</v>
      </c>
      <c r="P20" s="14">
        <f>O20+預測IC!P20</f>
        <v>0.40639338101201722</v>
      </c>
      <c r="Q20" s="14">
        <f>P20+預測IC!Q20</f>
        <v>0.51343870246274537</v>
      </c>
      <c r="R20" s="14">
        <f>Q20+預測IC!R20</f>
        <v>0.70438116945225926</v>
      </c>
      <c r="S20" s="14">
        <f>R20+預測IC!S20</f>
        <v>0.78694378015954713</v>
      </c>
      <c r="T20" s="14">
        <f>S20+預測IC!T20</f>
        <v>0.70147832442173175</v>
      </c>
      <c r="U20" s="14">
        <f>T20+預測IC!U20</f>
        <v>0.68775795971455445</v>
      </c>
      <c r="V20" s="14">
        <f>U20+預測IC!V20</f>
        <v>0.584240356509937</v>
      </c>
      <c r="W20" s="14">
        <f>V20+預測IC!W20</f>
        <v>0.41115498033235609</v>
      </c>
      <c r="X20" s="14">
        <f>W20+預測IC!X20</f>
        <v>0.20076856740957108</v>
      </c>
      <c r="Y20" s="14">
        <f>X20+預測IC!Y20</f>
        <v>7.1803528527197291E-2</v>
      </c>
      <c r="Z20" s="14">
        <f>Y20+預測IC!Z20</f>
        <v>-2.2236397307572875E-3</v>
      </c>
      <c r="AA20" s="14">
        <f>Z20+預測IC!AA20</f>
        <v>0.12825972874988842</v>
      </c>
      <c r="AB20" s="14">
        <f>AA20+預測IC!AB20</f>
        <v>0.16115827407011463</v>
      </c>
      <c r="AC20" s="14">
        <f>AB20+預測IC!AC20</f>
        <v>0.11391001134214715</v>
      </c>
      <c r="AD20" s="14">
        <f>AC20+預測IC!AD20</f>
        <v>8.692270777146921E-2</v>
      </c>
      <c r="AE20" s="14">
        <f>AD20+預測IC!AE20</f>
        <v>0.24814391492658022</v>
      </c>
      <c r="AF20" s="14">
        <f>AE20+預測IC!AF20</f>
        <v>2.4646095290207531E-2</v>
      </c>
      <c r="AG20" s="14">
        <f>AF20+預測IC!AG20</f>
        <v>5.6809344171884012E-2</v>
      </c>
      <c r="AH20" s="14">
        <f>AG20+預測IC!AH20</f>
        <v>0.14698754488666665</v>
      </c>
      <c r="AI20" s="14">
        <f>AH20+預測IC!AI20</f>
        <v>6.8832999965498173E-2</v>
      </c>
      <c r="AJ20" s="14">
        <f>AI20+預測IC!AJ20</f>
        <v>0.1308230345130458</v>
      </c>
      <c r="AK20" s="14">
        <f>AJ20+預測IC!AK20</f>
        <v>0.12257451945043285</v>
      </c>
      <c r="AL20" s="14">
        <f>AK20+預測IC!AL20</f>
        <v>0.10179425434183813</v>
      </c>
      <c r="AM20" s="14">
        <f>AL20+預測IC!AM20</f>
        <v>6.8698273593035514E-2</v>
      </c>
      <c r="AN20" s="14">
        <f>AM20+預測IC!AN20</f>
        <v>-6.7719199259627522E-3</v>
      </c>
      <c r="AO20" s="14">
        <f>AN20+預測IC!AO20</f>
        <v>-5.2057001890651142E-2</v>
      </c>
      <c r="AP20" s="14">
        <f>AO20+預測IC!AP20</f>
        <v>7.9673459364736646E-2</v>
      </c>
      <c r="AQ20" s="14">
        <f>AP20+預測IC!AQ20</f>
        <v>0.11298169046028109</v>
      </c>
      <c r="AR20" s="14">
        <f>AQ20+預測IC!AR20</f>
        <v>8.3242690609980102E-2</v>
      </c>
      <c r="AS20" s="14">
        <f>AR20+預測IC!AS20</f>
        <v>4.0950974161004183E-2</v>
      </c>
      <c r="AT20" s="14">
        <f>AS20+預測IC!AT20</f>
        <v>0.28007472160607472</v>
      </c>
      <c r="AU20" s="14">
        <f>AT20+預測IC!AU20</f>
        <v>0.1370020806789092</v>
      </c>
      <c r="AV20" s="14">
        <f>AU20+預測IC!AV20</f>
        <v>0.10475546789214585</v>
      </c>
      <c r="AW20" s="14">
        <f>AV20+預測IC!AW20</f>
        <v>-0.12024237288619866</v>
      </c>
      <c r="AX20" s="14">
        <f>AW20+預測IC!AX20</f>
        <v>-0.32458159284674537</v>
      </c>
      <c r="AY20" s="14">
        <f>AX20+預測IC!AY20</f>
        <v>-0.40663922886431192</v>
      </c>
      <c r="AZ20" s="14">
        <f>AY20+預測IC!AZ20</f>
        <v>-0.56291323657097581</v>
      </c>
      <c r="BA20" s="14">
        <f>AZ20+預測IC!BA20</f>
        <v>-0.66499080689175505</v>
      </c>
      <c r="BB20" s="14">
        <f>BA20+預測IC!BB20</f>
        <v>-0.49733538351518575</v>
      </c>
      <c r="BC20" s="14">
        <f>BB20+預測IC!BC20</f>
        <v>-0.7374760585055995</v>
      </c>
      <c r="BD20" s="14">
        <f>BC20+預測IC!BD20</f>
        <v>-0.72911245850559947</v>
      </c>
      <c r="BE20" s="14">
        <f>BD20+預測IC!BE20</f>
        <v>-0.76758085850559943</v>
      </c>
      <c r="BF20" s="14">
        <f>BE20+預測IC!BF20</f>
        <v>-0.82279665850559947</v>
      </c>
      <c r="BG20" s="14">
        <f>BF20+預測IC!BG20</f>
        <v>-0.87452365850559943</v>
      </c>
      <c r="BH20" s="14">
        <f>BG20+預測IC!BH20</f>
        <v>-1.0245809590690538</v>
      </c>
      <c r="BI20" s="14">
        <f>BH20+預測IC!BI20</f>
        <v>-1.0014073590690538</v>
      </c>
      <c r="BJ20" s="14">
        <f>BI20+預測IC!BJ20</f>
        <v>-1.0230368709022404</v>
      </c>
      <c r="BK20" s="14">
        <f>BJ20+預測IC!BK20</f>
        <v>-1.1256351550566859</v>
      </c>
      <c r="BL20" s="14">
        <f>BK20+預測IC!BL20</f>
        <v>-1.2119273862331406</v>
      </c>
      <c r="BM20" s="14">
        <f>BL20+預測IC!BM20</f>
        <v>-1.1644588347689517</v>
      </c>
      <c r="BN20" s="14">
        <f>BM20+預測IC!BN20</f>
        <v>-1.2830160762143232</v>
      </c>
      <c r="BO20" s="14">
        <f>BN20+預測IC!BO20</f>
        <v>-1.2445543586983441</v>
      </c>
      <c r="BP20" s="14">
        <f>BO20+預測IC!BP20</f>
        <v>-1.3049618794612992</v>
      </c>
      <c r="BQ20" s="14">
        <f>BP20+預測IC!BQ20</f>
        <v>-1.3204135864221422</v>
      </c>
      <c r="BR20" s="14">
        <f>BQ20+預測IC!BR20</f>
        <v>-1.3083399546916696</v>
      </c>
      <c r="BS20" s="14">
        <f>BR20+預測IC!BS20</f>
        <v>-1.3029324485004785</v>
      </c>
      <c r="BT20" s="14">
        <f>BS20+預測IC!BT20</f>
        <v>-1.3994629497149345</v>
      </c>
      <c r="BU20" s="14">
        <f>BT20+預測IC!BU20</f>
        <v>-1.4401465468198693</v>
      </c>
      <c r="BV20" s="14">
        <f>BU20+預測IC!BV20</f>
        <v>-1.3586031050592702</v>
      </c>
      <c r="BW20" s="14">
        <f>BV20+預測IC!BW20</f>
        <v>-1.7104326551076749</v>
      </c>
      <c r="BX20" s="14">
        <f>BW20+預測IC!BX20</f>
        <v>-1.6524446368316441</v>
      </c>
      <c r="BY20" s="14">
        <f>BX20+預測IC!BY20</f>
        <v>-1.6570839959813126</v>
      </c>
      <c r="BZ20" s="14">
        <f>BY20+預測IC!BZ20</f>
        <v>-1.5668125917210289</v>
      </c>
      <c r="CA20" s="14">
        <f>BZ20+預測IC!CA20</f>
        <v>-1.516596391721029</v>
      </c>
      <c r="CB20" s="14">
        <f>CA20+預測IC!CB20</f>
        <v>-1.5167041468220575</v>
      </c>
      <c r="CC20" s="14">
        <f>CB20+預測IC!CC20</f>
        <v>-1.5037893468220576</v>
      </c>
      <c r="CD20" s="14">
        <f>CC20+預測IC!CD20</f>
        <v>-1.3227618493314606</v>
      </c>
      <c r="CE20" s="14">
        <f>CD20+預測IC!CE20</f>
        <v>-1.2369844493314606</v>
      </c>
      <c r="CF20" s="14">
        <f>CE20+預測IC!CF20</f>
        <v>-1.1311995600553688</v>
      </c>
      <c r="CG20" s="14">
        <f>CF20+預測IC!CG20</f>
        <v>-1.2071698007984768</v>
      </c>
      <c r="CH20" s="14">
        <f>CG20+預測IC!CH20</f>
        <v>-1.2293650298226098</v>
      </c>
      <c r="CI20" s="14">
        <f>CH20+預測IC!CI20</f>
        <v>-1.3608488298226098</v>
      </c>
      <c r="CJ20" s="14">
        <f>CI20+預測IC!CJ20</f>
        <v>-1.4023588146065384</v>
      </c>
      <c r="CK20" s="14">
        <f>CJ20+預測IC!CK20</f>
        <v>-1.3217691906659168</v>
      </c>
      <c r="CL20" s="14">
        <f>CK20+預測IC!CL20</f>
        <v>-1.1724560400356652</v>
      </c>
      <c r="CM20" s="14">
        <f>CL20+預測IC!CM20</f>
        <v>-1.0930013128543292</v>
      </c>
      <c r="CN20" s="14">
        <f>CM20+預測IC!CN20</f>
        <v>-1.1123487128543292</v>
      </c>
      <c r="CO20" s="14">
        <f>CN20+預測IC!CO20</f>
        <v>-1.3408669160358702</v>
      </c>
      <c r="CP20" s="14">
        <f>CO20+預測IC!CP20</f>
        <v>-1.497527671231053</v>
      </c>
      <c r="CQ20" s="14">
        <f>CP20+預測IC!CQ20</f>
        <v>-1.5206457165313361</v>
      </c>
      <c r="CR20" s="14">
        <f>CQ20+預測IC!CR20</f>
        <v>-1.3251596060463939</v>
      </c>
      <c r="CS20" s="14">
        <f>CR20+預測IC!CS20</f>
        <v>-1.302865806046394</v>
      </c>
      <c r="CT20" s="14">
        <f>CS20+預測IC!CT20</f>
        <v>-1.320942516826229</v>
      </c>
      <c r="CU20" s="14">
        <f>CT20+預測IC!CU20</f>
        <v>-1.4676705258978557</v>
      </c>
      <c r="CV20" s="14">
        <f>CU20+預測IC!CV20</f>
        <v>-1.3484563976851711</v>
      </c>
      <c r="CW20" s="14">
        <f>CV20+預測IC!CW20</f>
        <v>-1.2805526895103256</v>
      </c>
      <c r="CX20" s="14">
        <f>CW20+預測IC!CX20</f>
        <v>-1.1902541386425611</v>
      </c>
      <c r="CY20" s="14">
        <f>CX20+預測IC!CY20</f>
        <v>-1.0892874815307376</v>
      </c>
      <c r="CZ20" s="14">
        <f>CY20+預測IC!CZ20</f>
        <v>-0.93412583638153934</v>
      </c>
      <c r="DA20" s="14">
        <f>CZ20+預測IC!DA20</f>
        <v>-0.85704423638153937</v>
      </c>
      <c r="DB20" s="14">
        <f>DA20+預測IC!DB20</f>
        <v>-0.78007723638153936</v>
      </c>
      <c r="DC20" s="14">
        <f>DB20+預測IC!DC20</f>
        <v>-0.81740954751994011</v>
      </c>
      <c r="DD20" s="14">
        <f>DC20+預測IC!DD20</f>
        <v>-0.88557234751994007</v>
      </c>
      <c r="DE20" s="14">
        <f>DD20+預測IC!DE20</f>
        <v>-0.89599106912679283</v>
      </c>
      <c r="DF20" s="14">
        <f>DE20+預測IC!DF20</f>
        <v>-0.94149102761759118</v>
      </c>
      <c r="DG20" s="14">
        <f>DF20+預測IC!DG20</f>
        <v>-1.0655643356017124</v>
      </c>
      <c r="DH20" s="14">
        <f>DG20+預測IC!DH20</f>
        <v>-0.7872647356017124</v>
      </c>
      <c r="DI20" s="14">
        <f>DH20+預測IC!DI20</f>
        <v>-0.64966873560171234</v>
      </c>
      <c r="DJ20" s="14">
        <f>DI20+預測IC!DJ20</f>
        <v>-0.68912868187060017</v>
      </c>
      <c r="DK20" s="14">
        <f>DJ20+預測IC!DK20</f>
        <v>-0.60417470042454524</v>
      </c>
      <c r="DL20" s="14">
        <f>DK20+預測IC!DL20</f>
        <v>-0.62364007375816499</v>
      </c>
      <c r="DM20" s="14">
        <f>DL20+預測IC!DM20</f>
        <v>-0.66650484786651099</v>
      </c>
      <c r="DN20" s="14">
        <f>DM20+預測IC!DN20</f>
        <v>-0.84973958148767981</v>
      </c>
      <c r="DO20" s="14">
        <f>DN20+預測IC!DO20</f>
        <v>-0.89956043616457582</v>
      </c>
      <c r="DP20" s="14">
        <f>DO20+預測IC!DP20</f>
        <v>-1.0997158709189649</v>
      </c>
      <c r="DQ20" s="14">
        <f>DP20+預測IC!DQ20</f>
        <v>-1.0422556892942649</v>
      </c>
      <c r="DR20" s="14">
        <f>DQ20+預測IC!DR20</f>
        <v>-0.96374302926597444</v>
      </c>
      <c r="DS20" s="14">
        <f>DR20+預測IC!DS20</f>
        <v>-0.8939502713676919</v>
      </c>
      <c r="DT20" s="14">
        <f>DS20+預測IC!DT20</f>
        <v>-1.0273862559898301</v>
      </c>
      <c r="DU20" s="14">
        <f>DT20+預測IC!DU20</f>
        <v>-1.2037620559898301</v>
      </c>
      <c r="DV20" s="14">
        <f>DU20+預測IC!DV20</f>
        <v>-1.3058042371723053</v>
      </c>
      <c r="DW20" s="14">
        <f>DV20+預測IC!DW20</f>
        <v>-1.4093508371723054</v>
      </c>
      <c r="DX20" s="14">
        <f>DW20+預測IC!DX20</f>
        <v>-1.5072020553770307</v>
      </c>
      <c r="DY20" s="14">
        <f>DX20+預測IC!DY20</f>
        <v>-1.6946038854162238</v>
      </c>
      <c r="DZ20" s="14">
        <f>DY20+預測IC!DZ20</f>
        <v>-1.6764887589038411</v>
      </c>
      <c r="EA20" s="14">
        <f>DZ20+預測IC!EA20</f>
        <v>-1.382797558903841</v>
      </c>
      <c r="EB20" s="14">
        <f>EA20+預測IC!EB20</f>
        <v>-1.4891119589038411</v>
      </c>
      <c r="EC20" s="14">
        <f>EB20+預測IC!EC20</f>
        <v>-1.4661343589038411</v>
      </c>
      <c r="ED20" s="14">
        <f>EC20+預測IC!ED20</f>
        <v>-1.5407601589038411</v>
      </c>
      <c r="EE20" s="14">
        <f>ED20+預測IC!EE20</f>
        <v>-1.5390185589038412</v>
      </c>
      <c r="EF20" s="14">
        <f>EE20+預測IC!EF20</f>
        <v>-1.4532185589038411</v>
      </c>
    </row>
    <row r="21" spans="1:136">
      <c r="A21" s="2">
        <v>241</v>
      </c>
      <c r="B21" s="2">
        <v>4</v>
      </c>
      <c r="C21" s="14">
        <v>-1.038483447742689E-2</v>
      </c>
      <c r="D21" s="14">
        <f>C21+預測IC!D21</f>
        <v>-0.33539311611962908</v>
      </c>
      <c r="E21" s="14">
        <f>D21+預測IC!E21</f>
        <v>-0.37911067099935009</v>
      </c>
      <c r="F21" s="14">
        <f>E21+預測IC!F21</f>
        <v>-0.1950720893932201</v>
      </c>
      <c r="G21" s="14">
        <f>F21+預測IC!G21</f>
        <v>-5.1229938280655613E-2</v>
      </c>
      <c r="H21" s="14">
        <f>G21+預測IC!H21</f>
        <v>-8.9074015308948012E-2</v>
      </c>
      <c r="I21" s="14">
        <f>H21+預測IC!I21</f>
        <v>0.150249046868806</v>
      </c>
      <c r="J21" s="14">
        <f>I21+預測IC!J21</f>
        <v>0.24081568611325282</v>
      </c>
      <c r="K21" s="14">
        <f>J21+預測IC!K21</f>
        <v>0.44769571211664833</v>
      </c>
      <c r="L21" s="14">
        <f>K21+預測IC!L21</f>
        <v>0.50492187898159269</v>
      </c>
      <c r="M21" s="14">
        <f>L21+預測IC!M21</f>
        <v>0.40523728557338146</v>
      </c>
      <c r="N21" s="14">
        <f>M21+預測IC!N21</f>
        <v>0.26618660971258168</v>
      </c>
      <c r="O21" s="14">
        <f>N21+預測IC!O21</f>
        <v>0.3005385991732723</v>
      </c>
      <c r="P21" s="14">
        <f>O21+預測IC!P21</f>
        <v>0.44531120006295721</v>
      </c>
      <c r="Q21" s="14">
        <f>P21+預測IC!Q21</f>
        <v>0.52650656907893056</v>
      </c>
      <c r="R21" s="14">
        <f>Q21+預測IC!R21</f>
        <v>0.66919865980225191</v>
      </c>
      <c r="S21" s="14">
        <f>R21+預測IC!S21</f>
        <v>0.8783581352772164</v>
      </c>
      <c r="T21" s="14">
        <f>S21+預測IC!T21</f>
        <v>0.779896462520419</v>
      </c>
      <c r="U21" s="14">
        <f>T21+預測IC!U21</f>
        <v>0.86011219832687802</v>
      </c>
      <c r="V21" s="14">
        <f>U21+預測IC!V21</f>
        <v>0.75474142793752341</v>
      </c>
      <c r="W21" s="14">
        <f>V21+預測IC!W21</f>
        <v>0.59695294832206081</v>
      </c>
      <c r="X21" s="14">
        <f>W21+預測IC!X21</f>
        <v>0.38332200611694445</v>
      </c>
      <c r="Y21" s="14">
        <f>X21+預測IC!Y21</f>
        <v>0.29059278217074003</v>
      </c>
      <c r="Z21" s="14">
        <f>Y21+預測IC!Z21</f>
        <v>0.18121258102297644</v>
      </c>
      <c r="AA21" s="14">
        <f>Z21+預測IC!AA21</f>
        <v>0.29184848802545527</v>
      </c>
      <c r="AB21" s="14">
        <f>AA21+預測IC!AB21</f>
        <v>0.3138044319145894</v>
      </c>
      <c r="AC21" s="14">
        <f>AB21+預測IC!AC21</f>
        <v>0.29497669520778924</v>
      </c>
      <c r="AD21" s="14">
        <f>AC21+預測IC!AD21</f>
        <v>0.32090997120522413</v>
      </c>
      <c r="AE21" s="14">
        <f>AD21+預測IC!AE21</f>
        <v>0.44901495000147007</v>
      </c>
      <c r="AF21" s="14">
        <f>AE21+預測IC!AF21</f>
        <v>0.15387069191810665</v>
      </c>
      <c r="AG21" s="14">
        <f>AF21+預測IC!AG21</f>
        <v>0.16491726402455054</v>
      </c>
      <c r="AH21" s="14">
        <f>AG21+預測IC!AH21</f>
        <v>0.27249862658934887</v>
      </c>
      <c r="AI21" s="14">
        <f>AH21+預測IC!AI21</f>
        <v>0.19290441725605781</v>
      </c>
      <c r="AJ21" s="14">
        <f>AI21+預測IC!AJ21</f>
        <v>0.26330975920252653</v>
      </c>
      <c r="AK21" s="14">
        <f>AJ21+預測IC!AK21</f>
        <v>0.28162812811183913</v>
      </c>
      <c r="AL21" s="14">
        <f>AK21+預測IC!AL21</f>
        <v>0.24423664197708495</v>
      </c>
      <c r="AM21" s="14">
        <f>AL21+預測IC!AM21</f>
        <v>0.1757008345294544</v>
      </c>
      <c r="AN21" s="14">
        <f>AM21+預測IC!AN21</f>
        <v>6.3744778466360091E-2</v>
      </c>
      <c r="AO21" s="14">
        <f>AN21+預測IC!AO21</f>
        <v>1.6018382822633438E-2</v>
      </c>
      <c r="AP21" s="14">
        <f>AO21+預測IC!AP21</f>
        <v>8.8553526392652598E-2</v>
      </c>
      <c r="AQ21" s="14">
        <f>AP21+預測IC!AQ21</f>
        <v>0.12558971484322742</v>
      </c>
      <c r="AR21" s="14">
        <f>AQ21+預測IC!AR21</f>
        <v>9.1391814212403291E-2</v>
      </c>
      <c r="AS21" s="14">
        <f>AR21+預測IC!AS21</f>
        <v>4.598513215239515E-2</v>
      </c>
      <c r="AT21" s="14">
        <f>AS21+預測IC!AT21</f>
        <v>0.31082338970039236</v>
      </c>
      <c r="AU21" s="14">
        <f>AT21+預測IC!AU21</f>
        <v>0.24736806008711232</v>
      </c>
      <c r="AV21" s="14">
        <f>AU21+預測IC!AV21</f>
        <v>0.17865414739063268</v>
      </c>
      <c r="AW21" s="14">
        <f>AV21+預測IC!AW21</f>
        <v>-8.460076898318214E-2</v>
      </c>
      <c r="AX21" s="14">
        <f>AW21+預測IC!AX21</f>
        <v>-0.30231907150021953</v>
      </c>
      <c r="AY21" s="14">
        <f>AX21+預測IC!AY21</f>
        <v>-0.36804136623272643</v>
      </c>
      <c r="AZ21" s="14">
        <f>AY21+預測IC!AZ21</f>
        <v>-0.46110076036131964</v>
      </c>
      <c r="BA21" s="14">
        <f>AZ21+預測IC!BA21</f>
        <v>-0.48039396799702699</v>
      </c>
      <c r="BB21" s="14">
        <f>BA21+預測IC!BB21</f>
        <v>-0.25504783295868882</v>
      </c>
      <c r="BC21" s="14">
        <f>BB21+預測IC!BC21</f>
        <v>-0.41950836488751553</v>
      </c>
      <c r="BD21" s="14">
        <f>BC21+預測IC!BD21</f>
        <v>-0.38128586488751554</v>
      </c>
      <c r="BE21" s="14">
        <f>BD21+預測IC!BE21</f>
        <v>-0.42187636488751556</v>
      </c>
      <c r="BF21" s="14">
        <f>BE21+預測IC!BF21</f>
        <v>-0.48416611488751554</v>
      </c>
      <c r="BG21" s="14">
        <f>BF21+預測IC!BG21</f>
        <v>-0.56269086488751552</v>
      </c>
      <c r="BH21" s="14">
        <f>BG21+預測IC!BH21</f>
        <v>-0.66953297452494576</v>
      </c>
      <c r="BI21" s="14">
        <f>BH21+預測IC!BI21</f>
        <v>-0.62325597452494574</v>
      </c>
      <c r="BJ21" s="14">
        <f>BI21+預測IC!BJ21</f>
        <v>-0.64683500070666344</v>
      </c>
      <c r="BK21" s="14">
        <f>BJ21+預測IC!BK21</f>
        <v>-0.72980816259672932</v>
      </c>
      <c r="BL21" s="14">
        <f>BK21+預測IC!BL21</f>
        <v>-0.87252925524307912</v>
      </c>
      <c r="BM21" s="14">
        <f>BL21+預測IC!BM21</f>
        <v>-0.83173396921435849</v>
      </c>
      <c r="BN21" s="14">
        <f>BM21+預測IC!BN21</f>
        <v>-0.89538191720660654</v>
      </c>
      <c r="BO21" s="14">
        <f>BN21+預測IC!BO21</f>
        <v>-0.8315246807929263</v>
      </c>
      <c r="BP21" s="14">
        <f>BO21+預測IC!BP21</f>
        <v>-0.93603381021234056</v>
      </c>
      <c r="BQ21" s="14">
        <f>BP21+預測IC!BQ21</f>
        <v>-0.99057604104684538</v>
      </c>
      <c r="BR21" s="14">
        <f>BQ21+預測IC!BR21</f>
        <v>-0.97825217886298099</v>
      </c>
      <c r="BS21" s="14">
        <f>BR21+預測IC!BS21</f>
        <v>-0.97239200610780485</v>
      </c>
      <c r="BT21" s="14">
        <f>BS21+預測IC!BT21</f>
        <v>-1.0653442094560621</v>
      </c>
      <c r="BU21" s="14">
        <f>BT21+預測IC!BU21</f>
        <v>-1.052347602454123</v>
      </c>
      <c r="BV21" s="14">
        <f>BU21+預測IC!BV21</f>
        <v>-1.0080076224128496</v>
      </c>
      <c r="BW21" s="14">
        <f>BV21+預測IC!BW21</f>
        <v>-1.1924682931332586</v>
      </c>
      <c r="BX21" s="14">
        <f>BW21+預測IC!BX21</f>
        <v>-1.1040889583456202</v>
      </c>
      <c r="BY21" s="14">
        <f>BX21+預測IC!BY21</f>
        <v>-1.1597552505878577</v>
      </c>
      <c r="BZ21" s="14">
        <f>BY21+預測IC!BZ21</f>
        <v>-1.1120923218671421</v>
      </c>
      <c r="CA21" s="14">
        <f>BZ21+預測IC!CA21</f>
        <v>-1.0170323218671422</v>
      </c>
      <c r="CB21" s="14">
        <f>CA21+預測IC!CB21</f>
        <v>-0.943566222462213</v>
      </c>
      <c r="CC21" s="14">
        <f>CB21+預測IC!CC21</f>
        <v>-0.95158572246221296</v>
      </c>
      <c r="CD21" s="14">
        <f>CC21+預測IC!CD21</f>
        <v>-0.66352965809973974</v>
      </c>
      <c r="CE21" s="14">
        <f>CD21+預測IC!CE21</f>
        <v>-0.60201515809973971</v>
      </c>
      <c r="CF21" s="14">
        <f>CE21+預測IC!CF21</f>
        <v>-0.4874890004885713</v>
      </c>
      <c r="CG21" s="14">
        <f>CF21+預測IC!CG21</f>
        <v>-0.57257433596270235</v>
      </c>
      <c r="CH21" s="14">
        <f>CG21+預測IC!CH21</f>
        <v>-0.72920077658967097</v>
      </c>
      <c r="CI21" s="14">
        <f>CH21+預測IC!CI21</f>
        <v>-0.85249302658967097</v>
      </c>
      <c r="CJ21" s="14">
        <f>CI21+預測IC!CJ21</f>
        <v>-0.90763387515082805</v>
      </c>
      <c r="CK21" s="14">
        <f>CJ21+預測IC!CK21</f>
        <v>-0.84047424485397237</v>
      </c>
      <c r="CL21" s="14">
        <f>CK21+預測IC!CL21</f>
        <v>-0.65304112331324549</v>
      </c>
      <c r="CM21" s="14">
        <f>CL21+預測IC!CM21</f>
        <v>-0.59004679045282105</v>
      </c>
      <c r="CN21" s="14">
        <f>CM21+預測IC!CN21</f>
        <v>-0.60132704045282104</v>
      </c>
      <c r="CO21" s="14">
        <f>CN21+預測IC!CO21</f>
        <v>-0.83911902159221352</v>
      </c>
      <c r="CP21" s="14">
        <f>CO21+預測IC!CP21</f>
        <v>-0.93742632771626389</v>
      </c>
      <c r="CQ21" s="14">
        <f>CP21+預測IC!CQ21</f>
        <v>-0.96033852188576008</v>
      </c>
      <c r="CR21" s="14">
        <f>CQ21+預測IC!CR21</f>
        <v>-0.72127855552449216</v>
      </c>
      <c r="CS21" s="14">
        <f>CR21+預測IC!CS21</f>
        <v>-0.69037130552449211</v>
      </c>
      <c r="CT21" s="14">
        <f>CS21+預測IC!CT21</f>
        <v>-0.77644386239588814</v>
      </c>
      <c r="CU21" s="14">
        <f>CT21+預測IC!CU21</f>
        <v>-0.93536048471333821</v>
      </c>
      <c r="CV21" s="14">
        <f>CU21+預測IC!CV21</f>
        <v>-0.78102863993876581</v>
      </c>
      <c r="CW21" s="14">
        <f>CV21+預測IC!CW21</f>
        <v>-0.74268312306708306</v>
      </c>
      <c r="CX21" s="14">
        <f>CW21+預測IC!CX21</f>
        <v>-0.64056094740967595</v>
      </c>
      <c r="CY21" s="14">
        <f>CX21+預測IC!CY21</f>
        <v>-0.48810864116435676</v>
      </c>
      <c r="CZ21" s="14">
        <f>CY21+預測IC!CZ21</f>
        <v>-0.25065727033852658</v>
      </c>
      <c r="DA21" s="14">
        <f>CZ21+預測IC!DA21</f>
        <v>-0.20894752033852659</v>
      </c>
      <c r="DB21" s="14">
        <f>DA21+預測IC!DB21</f>
        <v>-0.13748802033852658</v>
      </c>
      <c r="DC21" s="14">
        <f>DB21+預測IC!DC21</f>
        <v>-0.29139281570824516</v>
      </c>
      <c r="DD21" s="14">
        <f>DC21+預測IC!DD21</f>
        <v>-0.35841981570824516</v>
      </c>
      <c r="DE21" s="14">
        <f>DD21+預測IC!DE21</f>
        <v>-0.3873975527685718</v>
      </c>
      <c r="DF21" s="14">
        <f>DE21+預測IC!DF21</f>
        <v>-0.5362064552583149</v>
      </c>
      <c r="DG21" s="14">
        <f>DF21+預測IC!DG21</f>
        <v>-0.68439138639004449</v>
      </c>
      <c r="DH21" s="14">
        <f>DG21+預測IC!DH21</f>
        <v>-0.60295438639004451</v>
      </c>
      <c r="DI21" s="14">
        <f>DH21+預測IC!DI21</f>
        <v>-0.42311438639004451</v>
      </c>
      <c r="DJ21" s="14">
        <f>DI21+預測IC!DJ21</f>
        <v>-0.46102569958060458</v>
      </c>
      <c r="DK21" s="14">
        <f>DJ21+預測IC!DK21</f>
        <v>-0.32152299276169999</v>
      </c>
      <c r="DL21" s="14">
        <f>DK21+預測IC!DL21</f>
        <v>-0.33425998426271319</v>
      </c>
      <c r="DM21" s="14">
        <f>DL21+預測IC!DM21</f>
        <v>-0.33000542024182766</v>
      </c>
      <c r="DN21" s="14">
        <f>DM21+預測IC!DN21</f>
        <v>-0.55030106110635502</v>
      </c>
      <c r="DO21" s="14">
        <f>DN21+預測IC!DO21</f>
        <v>-0.53174225204856751</v>
      </c>
      <c r="DP21" s="14">
        <f>DO21+預測IC!DP21</f>
        <v>-0.76076214172880219</v>
      </c>
      <c r="DQ21" s="14">
        <f>DP21+預測IC!DQ21</f>
        <v>-0.69033944292061877</v>
      </c>
      <c r="DR21" s="14">
        <f>DQ21+預測IC!DR21</f>
        <v>-0.64016858388353803</v>
      </c>
      <c r="DS21" s="14">
        <f>DR21+預測IC!DS21</f>
        <v>-0.55556315027800207</v>
      </c>
      <c r="DT21" s="14">
        <f>DS21+預測IC!DT21</f>
        <v>-0.72613395296346284</v>
      </c>
      <c r="DU21" s="14">
        <f>DT21+預測IC!DU21</f>
        <v>-0.87474870296346285</v>
      </c>
      <c r="DV21" s="14">
        <f>DU21+預測IC!DV21</f>
        <v>-1.0296469540933675</v>
      </c>
      <c r="DW21" s="14">
        <f>DV21+預測IC!DW21</f>
        <v>-1.1331829540933676</v>
      </c>
      <c r="DX21" s="14">
        <f>DW21+預測IC!DX21</f>
        <v>-1.25001184396815</v>
      </c>
      <c r="DY21" s="14">
        <f>DX21+預測IC!DY21</f>
        <v>-1.4756737251561391</v>
      </c>
      <c r="DZ21" s="14">
        <f>DY21+預測IC!DZ21</f>
        <v>-1.2957827034312388</v>
      </c>
      <c r="EA21" s="14">
        <f>DZ21+預測IC!EA21</f>
        <v>-1.0297249534312387</v>
      </c>
      <c r="EB21" s="14">
        <f>EA21+預測IC!EB21</f>
        <v>-1.1330229534312388</v>
      </c>
      <c r="EC21" s="14">
        <f>EB21+預測IC!EC21</f>
        <v>-1.1058334534312388</v>
      </c>
      <c r="ED21" s="14">
        <f>EC21+預測IC!ED21</f>
        <v>-1.1885632034312388</v>
      </c>
      <c r="EE21" s="14">
        <f>ED21+預測IC!EE21</f>
        <v>-1.2098732034312387</v>
      </c>
      <c r="EF21" s="14">
        <f>EE21+預測IC!EF21</f>
        <v>-1.1810787034312387</v>
      </c>
    </row>
    <row r="22" spans="1:136">
      <c r="A22" s="2">
        <v>321</v>
      </c>
      <c r="B22" s="2">
        <v>3</v>
      </c>
      <c r="C22" s="14">
        <v>-2.5922326608526759E-2</v>
      </c>
      <c r="D22" s="14">
        <f>C22+預測IC!D22</f>
        <v>-0.4433442512485557</v>
      </c>
      <c r="E22" s="14">
        <f>D22+預測IC!E22</f>
        <v>-0.46557466350779381</v>
      </c>
      <c r="F22" s="14">
        <f>E22+預測IC!F22</f>
        <v>-0.39774360258651625</v>
      </c>
      <c r="G22" s="14">
        <f>F22+預測IC!G22</f>
        <v>-0.29385923929618218</v>
      </c>
      <c r="H22" s="14">
        <f>G22+預測IC!H22</f>
        <v>-0.52366478378758274</v>
      </c>
      <c r="I22" s="14">
        <f>H22+預測IC!I22</f>
        <v>-0.26923188087713273</v>
      </c>
      <c r="J22" s="14">
        <f>I22+預測IC!J22</f>
        <v>-0.15085359969484463</v>
      </c>
      <c r="K22" s="14">
        <f>J22+預測IC!K22</f>
        <v>9.4512312987911073E-2</v>
      </c>
      <c r="L22" s="14">
        <f>K22+預測IC!L22</f>
        <v>0.20199948163915288</v>
      </c>
      <c r="M22" s="14">
        <f>L22+預測IC!M22</f>
        <v>0.12789942286858033</v>
      </c>
      <c r="N22" s="14">
        <f>M22+預測IC!N22</f>
        <v>2.9868562060947568E-2</v>
      </c>
      <c r="O22" s="14">
        <f>N22+預測IC!O22</f>
        <v>2.3152683749580072E-2</v>
      </c>
      <c r="P22" s="14">
        <f>O22+預測IC!P22</f>
        <v>9.5935567878397049E-2</v>
      </c>
      <c r="Q22" s="14">
        <f>P22+預測IC!Q22</f>
        <v>0.18521808598224426</v>
      </c>
      <c r="R22" s="14">
        <f>Q22+預測IC!R22</f>
        <v>0.3658978161735289</v>
      </c>
      <c r="S22" s="14">
        <f>R22+預測IC!S22</f>
        <v>0.61295444570325852</v>
      </c>
      <c r="T22" s="14">
        <f>S22+預測IC!T22</f>
        <v>0.48414202372013559</v>
      </c>
      <c r="U22" s="14">
        <f>T22+預測IC!U22</f>
        <v>0.63617120649467895</v>
      </c>
      <c r="V22" s="14">
        <f>U22+預測IC!V22</f>
        <v>0.57914707186038927</v>
      </c>
      <c r="W22" s="14">
        <f>V22+預測IC!W22</f>
        <v>0.37166680483609188</v>
      </c>
      <c r="X22" s="14">
        <f>W22+預測IC!X22</f>
        <v>0.14988004580222147</v>
      </c>
      <c r="Y22" s="14">
        <f>X22+預測IC!Y22</f>
        <v>0.10194171362245319</v>
      </c>
      <c r="Z22" s="14">
        <f>Y22+預測IC!Z22</f>
        <v>-4.8208396297121009E-2</v>
      </c>
      <c r="AA22" s="14">
        <f>Z22+預測IC!AA22</f>
        <v>3.4316029280992005E-2</v>
      </c>
      <c r="AB22" s="14">
        <f>AA22+預測IC!AB22</f>
        <v>3.0450799155652589E-2</v>
      </c>
      <c r="AC22" s="14">
        <f>AB22+預測IC!AC22</f>
        <v>-5.5325661559779873E-2</v>
      </c>
      <c r="AD22" s="14">
        <f>AC22+預測IC!AD22</f>
        <v>-3.673191234511862E-2</v>
      </c>
      <c r="AE22" s="14">
        <f>AD22+預測IC!AE22</f>
        <v>9.4091930471215571E-2</v>
      </c>
      <c r="AF22" s="14">
        <f>AE22+預測IC!AF22</f>
        <v>-0.33582483757739645</v>
      </c>
      <c r="AG22" s="14">
        <f>AF22+預測IC!AG22</f>
        <v>-0.32501273701055416</v>
      </c>
      <c r="AH22" s="14">
        <f>AG22+預測IC!AH22</f>
        <v>-0.21914677759008147</v>
      </c>
      <c r="AI22" s="14">
        <f>AH22+預測IC!AI22</f>
        <v>-0.31328803824746754</v>
      </c>
      <c r="AJ22" s="14">
        <f>AI22+預測IC!AJ22</f>
        <v>-0.28158818892105925</v>
      </c>
      <c r="AK22" s="14">
        <f>AJ22+預測IC!AK22</f>
        <v>-0.20301242021614502</v>
      </c>
      <c r="AL22" s="14">
        <f>AK22+預測IC!AL22</f>
        <v>-0.2041571464398918</v>
      </c>
      <c r="AM22" s="14">
        <f>AL22+預測IC!AM22</f>
        <v>-0.28824604990759539</v>
      </c>
      <c r="AN22" s="14">
        <f>AM22+預測IC!AN22</f>
        <v>-0.39937885957115471</v>
      </c>
      <c r="AO22" s="14">
        <f>AN22+預測IC!AO22</f>
        <v>-0.47409623296486031</v>
      </c>
      <c r="AP22" s="14">
        <f>AO22+預測IC!AP22</f>
        <v>-0.41155987907686764</v>
      </c>
      <c r="AQ22" s="14">
        <f>AP22+預測IC!AQ22</f>
        <v>-0.46668659980121058</v>
      </c>
      <c r="AR22" s="14">
        <f>AQ22+預測IC!AR22</f>
        <v>-0.57487030034944697</v>
      </c>
      <c r="AS22" s="14">
        <f>AR22+預測IC!AS22</f>
        <v>-0.50102659766361346</v>
      </c>
      <c r="AT22" s="14">
        <f>AS22+預測IC!AT22</f>
        <v>-0.48329822666917682</v>
      </c>
      <c r="AU22" s="14">
        <f>AT22+預測IC!AU22</f>
        <v>-0.59321282398736119</v>
      </c>
      <c r="AV22" s="14">
        <f>AU22+預測IC!AV22</f>
        <v>-0.68296680585899383</v>
      </c>
      <c r="AW22" s="14">
        <f>AV22+預測IC!AW22</f>
        <v>-1.0537660845501673</v>
      </c>
      <c r="AX22" s="14">
        <f>AW22+預測IC!AX22</f>
        <v>-1.0438908985444735</v>
      </c>
      <c r="AY22" s="14">
        <f>AX22+預測IC!AY22</f>
        <v>-1.142347174673837</v>
      </c>
      <c r="AZ22" s="14">
        <f>AY22+預測IC!AZ22</f>
        <v>-1.3698326709072906</v>
      </c>
      <c r="BA22" s="14">
        <f>AZ22+預測IC!BA22</f>
        <v>-1.4190096106545109</v>
      </c>
      <c r="BB22" s="14">
        <f>BA22+預測IC!BB22</f>
        <v>-1.1170796661140878</v>
      </c>
      <c r="BC22" s="14">
        <f>BB22+預測IC!BC22</f>
        <v>-1.3127057014646053</v>
      </c>
      <c r="BD22" s="14">
        <f>BC22+預測IC!BD22</f>
        <v>-1.2334417014646053</v>
      </c>
      <c r="BE22" s="14">
        <f>BD22+預測IC!BE22</f>
        <v>-1.301927368131272</v>
      </c>
      <c r="BF22" s="14">
        <f>BE22+預測IC!BF22</f>
        <v>-1.356813368131272</v>
      </c>
      <c r="BG22" s="14">
        <f>BF22+預測IC!BG22</f>
        <v>-1.4529930347979385</v>
      </c>
      <c r="BH22" s="14">
        <f>BG22+預測IC!BH22</f>
        <v>-1.5807000441943546</v>
      </c>
      <c r="BI22" s="14">
        <f>BH22+預測IC!BI22</f>
        <v>-1.4983507108610212</v>
      </c>
      <c r="BJ22" s="14">
        <f>BI22+預測IC!BJ22</f>
        <v>-1.5533471260117422</v>
      </c>
      <c r="BK22" s="14">
        <f>BJ22+預測IC!BK22</f>
        <v>-1.5742018813415088</v>
      </c>
      <c r="BL22" s="14">
        <f>BK22+預測IC!BL22</f>
        <v>-1.7359822204125441</v>
      </c>
      <c r="BM22" s="14">
        <f>BL22+預測IC!BM22</f>
        <v>-1.7335517371670108</v>
      </c>
      <c r="BN22" s="14">
        <f>BM22+預測IC!BN22</f>
        <v>-1.7182241851439686</v>
      </c>
      <c r="BO22" s="14">
        <f>BN22+預測IC!BO22</f>
        <v>-1.6677397560312182</v>
      </c>
      <c r="BP22" s="14">
        <f>BO22+預測IC!BP22</f>
        <v>-1.7425753061863245</v>
      </c>
      <c r="BQ22" s="14">
        <f>BP22+預測IC!BQ22</f>
        <v>-1.770405403584637</v>
      </c>
      <c r="BR22" s="14">
        <f>BQ22+預測IC!BR22</f>
        <v>-1.7495917941181842</v>
      </c>
      <c r="BS22" s="14">
        <f>BR22+預測IC!BS22</f>
        <v>-1.7659645764949834</v>
      </c>
      <c r="BT22" s="14">
        <f>BS22+預測IC!BT22</f>
        <v>-1.698821361077258</v>
      </c>
      <c r="BU22" s="14">
        <f>BT22+預測IC!BU22</f>
        <v>-1.6584528924873805</v>
      </c>
      <c r="BV22" s="14">
        <f>BU22+預測IC!BV22</f>
        <v>-1.6098493578983024</v>
      </c>
      <c r="BW22" s="14">
        <f>BV22+預測IC!BW22</f>
        <v>-1.7420211494340838</v>
      </c>
      <c r="BX22" s="14">
        <f>BW22+預測IC!BX22</f>
        <v>-1.5890837791840919</v>
      </c>
      <c r="BY22" s="14">
        <f>BX22+預測IC!BY22</f>
        <v>-1.644680829154463</v>
      </c>
      <c r="BZ22" s="14">
        <f>BY22+預測IC!BZ22</f>
        <v>-1.597423093291571</v>
      </c>
      <c r="CA22" s="14">
        <f>BZ22+預測IC!CA22</f>
        <v>-1.4533427599582376</v>
      </c>
      <c r="CB22" s="14">
        <f>CA22+預測IC!CB22</f>
        <v>-1.3897384904185488</v>
      </c>
      <c r="CC22" s="14">
        <f>CB22+預測IC!CC22</f>
        <v>-1.5148434904185488</v>
      </c>
      <c r="CD22" s="14">
        <f>CC22+預測IC!CD22</f>
        <v>-1.1809654537058258</v>
      </c>
      <c r="CE22" s="14">
        <f>CD22+預測IC!CE22</f>
        <v>-1.1141254537058258</v>
      </c>
      <c r="CF22" s="14">
        <f>CE22+預測IC!CF22</f>
        <v>-1.013355096671761</v>
      </c>
      <c r="CG22" s="14">
        <f>CF22+預測IC!CG22</f>
        <v>-1.220440429305274</v>
      </c>
      <c r="CH22" s="14">
        <f>CG22+預測IC!CH22</f>
        <v>-1.3740467141148174</v>
      </c>
      <c r="CI22" s="14">
        <f>CH22+預測IC!CI22</f>
        <v>-1.6044947141148174</v>
      </c>
      <c r="CJ22" s="14">
        <f>CI22+預測IC!CJ22</f>
        <v>-1.7308200733934047</v>
      </c>
      <c r="CK22" s="14">
        <f>CJ22+預測IC!CK22</f>
        <v>-1.6198965331066226</v>
      </c>
      <c r="CL22" s="14">
        <f>CK22+預測IC!CL22</f>
        <v>-1.5248995210830771</v>
      </c>
      <c r="CM22" s="14">
        <f>CL22+預測IC!CM22</f>
        <v>-1.4784582421083794</v>
      </c>
      <c r="CN22" s="14">
        <f>CM22+預測IC!CN22</f>
        <v>-1.4566069087750462</v>
      </c>
      <c r="CO22" s="14">
        <f>CN22+預測IC!CO22</f>
        <v>-1.6418926666802729</v>
      </c>
      <c r="CP22" s="14">
        <f>CO22+預測IC!CP22</f>
        <v>-1.8137363998226717</v>
      </c>
      <c r="CQ22" s="14">
        <f>CP22+預測IC!CQ22</f>
        <v>-1.8308960153417955</v>
      </c>
      <c r="CR22" s="14">
        <f>CQ22+預測IC!CR22</f>
        <v>-1.5841232453499088</v>
      </c>
      <c r="CS22" s="14">
        <f>CR22+預測IC!CS22</f>
        <v>-1.5596839120165755</v>
      </c>
      <c r="CT22" s="14">
        <f>CS22+預測IC!CT22</f>
        <v>-1.6857752902053473</v>
      </c>
      <c r="CU22" s="14">
        <f>CT22+預測IC!CU22</f>
        <v>-1.8531292013917156</v>
      </c>
      <c r="CV22" s="14">
        <f>CU22+預測IC!CV22</f>
        <v>-1.6869065227021613</v>
      </c>
      <c r="CW22" s="14">
        <f>CV22+預測IC!CW22</f>
        <v>-1.6640224803701766</v>
      </c>
      <c r="CX22" s="14">
        <f>CW22+預測IC!CX22</f>
        <v>-1.6602728871023278</v>
      </c>
      <c r="CY22" s="14">
        <f>CX22+預測IC!CY22</f>
        <v>-1.4978330183888811</v>
      </c>
      <c r="CZ22" s="14">
        <f>CY22+預測IC!CZ22</f>
        <v>-1.2349125337896418</v>
      </c>
      <c r="DA22" s="14">
        <f>CZ22+預測IC!DA22</f>
        <v>-1.2024585337896418</v>
      </c>
      <c r="DB22" s="14">
        <f>DA22+預測IC!DB22</f>
        <v>-1.1484178671229752</v>
      </c>
      <c r="DC22" s="14">
        <f>DB22+預測IC!DC22</f>
        <v>-1.2895851028422849</v>
      </c>
      <c r="DD22" s="14">
        <f>DC22+預測IC!DD22</f>
        <v>-1.3055484361756182</v>
      </c>
      <c r="DE22" s="14">
        <f>DD22+預測IC!DE22</f>
        <v>-1.2877919326736853</v>
      </c>
      <c r="DF22" s="14">
        <f>DE22+預測IC!DF22</f>
        <v>-1.3848636383099122</v>
      </c>
      <c r="DG22" s="14">
        <f>DF22+預測IC!DG22</f>
        <v>-1.4729850488129759</v>
      </c>
      <c r="DH22" s="14">
        <f>DG22+預測IC!DH22</f>
        <v>-1.3915297154796424</v>
      </c>
      <c r="DI22" s="14">
        <f>DH22+預測IC!DI22</f>
        <v>-1.331407382146309</v>
      </c>
      <c r="DJ22" s="14">
        <f>DI22+預測IC!DJ22</f>
        <v>-1.3816533879794048</v>
      </c>
      <c r="DK22" s="14">
        <f>DJ22+預測IC!DK22</f>
        <v>-1.2025186741565648</v>
      </c>
      <c r="DL22" s="14">
        <f>DK22+預測IC!DL22</f>
        <v>-1.2057320048997036</v>
      </c>
      <c r="DM22" s="14">
        <f>DL22+預測IC!DM22</f>
        <v>-1.1630554557836628</v>
      </c>
      <c r="DN22" s="14">
        <f>DM22+預測IC!DN22</f>
        <v>-1.4684304840558657</v>
      </c>
      <c r="DO22" s="14">
        <f>DN22+預測IC!DO22</f>
        <v>-1.4921991523433147</v>
      </c>
      <c r="DP22" s="14">
        <f>DO22+預測IC!DP22</f>
        <v>-1.661761584484045</v>
      </c>
      <c r="DQ22" s="14">
        <f>DP22+預測IC!DQ22</f>
        <v>-1.496357417939405</v>
      </c>
      <c r="DR22" s="14">
        <f>DQ22+預測IC!DR22</f>
        <v>-1.502449970554723</v>
      </c>
      <c r="DS22" s="14">
        <f>DR22+預測IC!DS22</f>
        <v>-1.3729261311855179</v>
      </c>
      <c r="DT22" s="14">
        <f>DS22+預測IC!DT22</f>
        <v>-1.4312831401822832</v>
      </c>
      <c r="DU22" s="14">
        <f>DT22+預測IC!DU22</f>
        <v>-1.5928288068489498</v>
      </c>
      <c r="DV22" s="14">
        <f>DU22+預測IC!DV22</f>
        <v>-1.7498911763987006</v>
      </c>
      <c r="DW22" s="14">
        <f>DV22+預測IC!DW22</f>
        <v>-1.8313071763987006</v>
      </c>
      <c r="DX22" s="14">
        <f>DW22+預測IC!DX22</f>
        <v>-1.9956593004402396</v>
      </c>
      <c r="DY22" s="14">
        <f>DX22+預測IC!DY22</f>
        <v>-2.3134136728047223</v>
      </c>
      <c r="DZ22" s="14">
        <f>DY22+預測IC!DZ22</f>
        <v>-2.1477874265789669</v>
      </c>
      <c r="EA22" s="14">
        <f>DZ22+預測IC!EA22</f>
        <v>-2.0074310932456338</v>
      </c>
      <c r="EB22" s="14">
        <f>EA22+預測IC!EB22</f>
        <v>-2.150361426578967</v>
      </c>
      <c r="EC22" s="14">
        <f>EB22+預測IC!EC22</f>
        <v>-2.0622754265789669</v>
      </c>
      <c r="ED22" s="14">
        <f>EC22+預測IC!ED22</f>
        <v>-2.1197747599123002</v>
      </c>
      <c r="EE22" s="14">
        <f>ED22+預測IC!EE22</f>
        <v>-2.1674107599123</v>
      </c>
      <c r="EF22" s="14">
        <f>EE22+預測IC!EF22</f>
        <v>-2.1308180932456335</v>
      </c>
    </row>
    <row r="23" spans="1:136">
      <c r="A23" s="2">
        <v>482</v>
      </c>
      <c r="B23" s="2">
        <v>2</v>
      </c>
      <c r="C23" s="14">
        <v>-3.1325684581971477E-2</v>
      </c>
      <c r="D23" s="14">
        <f>C23+預測IC!D23</f>
        <v>5.7640938152385288E-2</v>
      </c>
      <c r="E23" s="14">
        <f>D23+預測IC!E23</f>
        <v>4.2579350465419885E-2</v>
      </c>
      <c r="F23" s="14">
        <f>E23+預測IC!F23</f>
        <v>0.22497542578629859</v>
      </c>
      <c r="G23" s="14">
        <f>F23+預測IC!G23</f>
        <v>0.19800385726193057</v>
      </c>
      <c r="H23" s="14">
        <f>G23+預測IC!H23</f>
        <v>-6.4806383939522233E-2</v>
      </c>
      <c r="I23" s="14">
        <f>H23+預測IC!I23</f>
        <v>0.19089648812605489</v>
      </c>
      <c r="J23" s="14">
        <f>I23+預測IC!J23</f>
        <v>0.34619030502903808</v>
      </c>
      <c r="K23" s="14">
        <f>J23+預測IC!K23</f>
        <v>0.48879788015369297</v>
      </c>
      <c r="L23" s="14">
        <f>K23+預測IC!L23</f>
        <v>0.72124224119615521</v>
      </c>
      <c r="M23" s="14">
        <f>L23+預測IC!M23</f>
        <v>0.46279232483751281</v>
      </c>
      <c r="N23" s="14">
        <f>M23+預測IC!N23</f>
        <v>0.33599231114518435</v>
      </c>
      <c r="O23" s="14">
        <f>N23+預測IC!O23</f>
        <v>0.3165845998784152</v>
      </c>
      <c r="P23" s="14">
        <f>O23+預測IC!P23</f>
        <v>0.40698631106054056</v>
      </c>
      <c r="Q23" s="14">
        <f>P23+預測IC!Q23</f>
        <v>0.65783598796134735</v>
      </c>
      <c r="R23" s="14">
        <f>Q23+預測IC!R23</f>
        <v>0.74746399100249206</v>
      </c>
      <c r="S23" s="14">
        <f>R23+預測IC!S23</f>
        <v>0.91675899091573609</v>
      </c>
      <c r="T23" s="14">
        <f>S23+預測IC!T23</f>
        <v>0.76215629758830761</v>
      </c>
      <c r="U23" s="14">
        <f>T23+預測IC!U23</f>
        <v>0.97513807045633349</v>
      </c>
      <c r="V23" s="14">
        <f>U23+預測IC!V23</f>
        <v>1.0384950814353995</v>
      </c>
      <c r="W23" s="14">
        <f>V23+預測IC!W23</f>
        <v>0.70687593118625491</v>
      </c>
      <c r="X23" s="14">
        <f>W23+預測IC!X23</f>
        <v>0.52509474538843204</v>
      </c>
      <c r="Y23" s="14">
        <f>X23+預測IC!Y23</f>
        <v>0.51750598195975384</v>
      </c>
      <c r="Z23" s="14">
        <f>Y23+預測IC!Z23</f>
        <v>0.36986557251648022</v>
      </c>
      <c r="AA23" s="14">
        <f>Z23+預測IC!AA23</f>
        <v>0.31311712655636992</v>
      </c>
      <c r="AB23" s="14">
        <f>AA23+預測IC!AB23</f>
        <v>0.28212574150037784</v>
      </c>
      <c r="AC23" s="14">
        <f>AB23+預測IC!AC23</f>
        <v>0.11337094186346514</v>
      </c>
      <c r="AD23" s="14">
        <f>AC23+預測IC!AD23</f>
        <v>0.11636623343394932</v>
      </c>
      <c r="AE23" s="14">
        <f>AD23+預測IC!AE23</f>
        <v>0.2535782221916093</v>
      </c>
      <c r="AF23" s="14">
        <f>AE23+預測IC!AF23</f>
        <v>-7.1081103448601912E-2</v>
      </c>
      <c r="AG23" s="14">
        <f>AF23+預測IC!AG23</f>
        <v>-0.21697499638827392</v>
      </c>
      <c r="AH23" s="14">
        <f>AG23+預測IC!AH23</f>
        <v>-0.13280341186509068</v>
      </c>
      <c r="AI23" s="14">
        <f>AH23+預測IC!AI23</f>
        <v>-0.15603167848757263</v>
      </c>
      <c r="AJ23" s="14">
        <f>AI23+預測IC!AJ23</f>
        <v>-0.16167481633572686</v>
      </c>
      <c r="AK23" s="14">
        <f>AJ23+預測IC!AK23</f>
        <v>-7.047559206046719E-2</v>
      </c>
      <c r="AL23" s="14">
        <f>AK23+預測IC!AL23</f>
        <v>-0.12178590324295402</v>
      </c>
      <c r="AM23" s="14">
        <f>AL23+預測IC!AM23</f>
        <v>-0.12955539224781928</v>
      </c>
      <c r="AN23" s="14">
        <f>AM23+預測IC!AN23</f>
        <v>-0.37187009160511997</v>
      </c>
      <c r="AO23" s="14">
        <f>AN23+預測IC!AO23</f>
        <v>-0.36653313941369586</v>
      </c>
      <c r="AP23" s="14">
        <f>AO23+預測IC!AP23</f>
        <v>-0.36965423876600156</v>
      </c>
      <c r="AQ23" s="14">
        <f>AP23+預測IC!AQ23</f>
        <v>-0.19394203018299455</v>
      </c>
      <c r="AR23" s="14">
        <f>AQ23+預測IC!AR23</f>
        <v>-0.44740282596333864</v>
      </c>
      <c r="AS23" s="14">
        <f>AR23+預測IC!AS23</f>
        <v>-0.36573920518276842</v>
      </c>
      <c r="AT23" s="14">
        <f>AS23+預測IC!AT23</f>
        <v>-0.25623330221786822</v>
      </c>
      <c r="AU23" s="14">
        <f>AT23+預測IC!AU23</f>
        <v>-0.45982919339945411</v>
      </c>
      <c r="AV23" s="14">
        <f>AU23+預測IC!AV23</f>
        <v>-0.50897926002874616</v>
      </c>
      <c r="AW23" s="14">
        <f>AV23+預測IC!AW23</f>
        <v>-1.0912392342029611</v>
      </c>
      <c r="AX23" s="14">
        <f>AW23+預測IC!AX23</f>
        <v>-1.0764264551944203</v>
      </c>
      <c r="AY23" s="14">
        <f>AX23+預測IC!AY23</f>
        <v>-1.1345660553012102</v>
      </c>
      <c r="AZ23" s="14">
        <f>AY23+預測IC!AZ23</f>
        <v>-1.4505505765570115</v>
      </c>
      <c r="BA23" s="14">
        <f>AZ23+預測IC!BA23</f>
        <v>-1.2784696671812787</v>
      </c>
      <c r="BB23" s="14">
        <f>BA23+預測IC!BB23</f>
        <v>-1.3295191512841638</v>
      </c>
      <c r="BC23" s="14">
        <f>BB23+預測IC!BC23</f>
        <v>-1.5823883331841033</v>
      </c>
      <c r="BD23" s="14">
        <f>BC23+預測IC!BD23</f>
        <v>-1.4564088331841034</v>
      </c>
      <c r="BE23" s="14">
        <f>BD23+預測IC!BE23</f>
        <v>-1.5429423331841035</v>
      </c>
      <c r="BF23" s="14">
        <f>BE23+預測IC!BF23</f>
        <v>-1.6029553331841035</v>
      </c>
      <c r="BG23" s="14">
        <f>BF23+預測IC!BG23</f>
        <v>-1.6478648331841035</v>
      </c>
      <c r="BH23" s="14">
        <f>BG23+預測IC!BH23</f>
        <v>-1.7112300288873417</v>
      </c>
      <c r="BI23" s="14">
        <f>BH23+預測IC!BI23</f>
        <v>-1.5900210288873418</v>
      </c>
      <c r="BJ23" s="14">
        <f>BI23+預測IC!BJ23</f>
        <v>-1.6940243441552687</v>
      </c>
      <c r="BK23" s="14">
        <f>BJ23+預測IC!BK23</f>
        <v>-1.6990342076298037</v>
      </c>
      <c r="BL23" s="14">
        <f>BK23+預測IC!BL23</f>
        <v>-1.8485685038800432</v>
      </c>
      <c r="BM23" s="14">
        <f>BL23+預測IC!BM23</f>
        <v>-1.9180639659044938</v>
      </c>
      <c r="BN23" s="14">
        <f>BM23+預測IC!BN23</f>
        <v>-1.9111167951456807</v>
      </c>
      <c r="BO23" s="14">
        <f>BN23+預測IC!BO23</f>
        <v>-1.9476417368916796</v>
      </c>
      <c r="BP23" s="14">
        <f>BO23+預測IC!BP23</f>
        <v>-2.0459081361031362</v>
      </c>
      <c r="BQ23" s="14">
        <f>BP23+預測IC!BQ23</f>
        <v>-2.1179560375384021</v>
      </c>
      <c r="BR23" s="14">
        <f>BQ23+預測IC!BR23</f>
        <v>-2.1001117160744394</v>
      </c>
      <c r="BS23" s="14">
        <f>BR23+預測IC!BS23</f>
        <v>-2.1733871047323512</v>
      </c>
      <c r="BT23" s="14">
        <f>BS23+預測IC!BT23</f>
        <v>-2.1031978405677143</v>
      </c>
      <c r="BU23" s="14">
        <f>BT23+預測IC!BU23</f>
        <v>-1.9399231505754935</v>
      </c>
      <c r="BV23" s="14">
        <f>BU23+預測IC!BV23</f>
        <v>-1.8866541000176051</v>
      </c>
      <c r="BW23" s="14">
        <f>BV23+預測IC!BW23</f>
        <v>-1.9020166150606954</v>
      </c>
      <c r="BX23" s="14">
        <f>BW23+預測IC!BX23</f>
        <v>-1.7777970915160604</v>
      </c>
      <c r="BY23" s="14">
        <f>BX23+預測IC!BY23</f>
        <v>-1.6595478575891045</v>
      </c>
      <c r="BZ23" s="14">
        <f>BY23+預測IC!BZ23</f>
        <v>-1.6518780951572596</v>
      </c>
      <c r="CA23" s="14">
        <f>BZ23+預測IC!CA23</f>
        <v>-1.4455025951572595</v>
      </c>
      <c r="CB23" s="14">
        <f>CA23+預測IC!CB23</f>
        <v>-1.487167583535848</v>
      </c>
      <c r="CC23" s="14">
        <f>CB23+預測IC!CC23</f>
        <v>-1.5717125835358481</v>
      </c>
      <c r="CD23" s="14">
        <f>CC23+預測IC!CD23</f>
        <v>-1.3800361285210629</v>
      </c>
      <c r="CE23" s="14">
        <f>CD23+預測IC!CE23</f>
        <v>-1.320434128521063</v>
      </c>
      <c r="CF23" s="14">
        <f>CE23+預測IC!CF23</f>
        <v>-1.3042732930909813</v>
      </c>
      <c r="CG23" s="14">
        <f>CF23+預測IC!CG23</f>
        <v>-1.5209105347181842</v>
      </c>
      <c r="CH23" s="14">
        <f>CG23+預測IC!CH23</f>
        <v>-1.6830331090352548</v>
      </c>
      <c r="CI23" s="14">
        <f>CH23+預測IC!CI23</f>
        <v>-1.7421556090352548</v>
      </c>
      <c r="CJ23" s="14">
        <f>CI23+預測IC!CJ23</f>
        <v>-1.8986715054531556</v>
      </c>
      <c r="CK23" s="14">
        <f>CJ23+預測IC!CK23</f>
        <v>-1.826815114916611</v>
      </c>
      <c r="CL23" s="14">
        <f>CK23+預測IC!CL23</f>
        <v>-1.6627656557376969</v>
      </c>
      <c r="CM23" s="14">
        <f>CL23+預測IC!CM23</f>
        <v>-1.6557906467244758</v>
      </c>
      <c r="CN23" s="14">
        <f>CM23+預測IC!CN23</f>
        <v>-1.6058186467244759</v>
      </c>
      <c r="CO23" s="14">
        <f>CN23+預測IC!CO23</f>
        <v>-1.8742696236276251</v>
      </c>
      <c r="CP23" s="14">
        <f>CO23+預測IC!CP23</f>
        <v>-2.120371396083844</v>
      </c>
      <c r="CQ23" s="14">
        <f>CP23+預測IC!CQ23</f>
        <v>-2.0956691260044629</v>
      </c>
      <c r="CR23" s="14">
        <f>CQ23+預測IC!CR23</f>
        <v>-1.9446709555305153</v>
      </c>
      <c r="CS23" s="14">
        <f>CR23+預測IC!CS23</f>
        <v>-1.8756559555305152</v>
      </c>
      <c r="CT23" s="14">
        <f>CS23+預測IC!CT23</f>
        <v>-1.90850617953666</v>
      </c>
      <c r="CU23" s="14">
        <f>CT23+預測IC!CU23</f>
        <v>-2.1106100645238168</v>
      </c>
      <c r="CV23" s="14">
        <f>CU23+預測IC!CV23</f>
        <v>-1.9572790962522422</v>
      </c>
      <c r="CW23" s="14">
        <f>CV23+預測IC!CW23</f>
        <v>-1.9814653840412435</v>
      </c>
      <c r="CX23" s="14">
        <f>CW23+預測IC!CX23</f>
        <v>-2.07018237813777</v>
      </c>
      <c r="CY23" s="14">
        <f>CX23+預測IC!CY23</f>
        <v>-1.7884715506637501</v>
      </c>
      <c r="CZ23" s="14">
        <f>CY23+預測IC!CZ23</f>
        <v>-1.6064727568063988</v>
      </c>
      <c r="DA23" s="14">
        <f>CZ23+預測IC!DA23</f>
        <v>-1.5418277568063987</v>
      </c>
      <c r="DB23" s="14">
        <f>DA23+預測IC!DB23</f>
        <v>-1.5230797568063987</v>
      </c>
      <c r="DC23" s="14">
        <f>DB23+預測IC!DC23</f>
        <v>-1.6810286561246519</v>
      </c>
      <c r="DD23" s="14">
        <f>DC23+預測IC!DD23</f>
        <v>-1.6994386561246519</v>
      </c>
      <c r="DE23" s="14">
        <f>DD23+預測IC!DE23</f>
        <v>-1.6393527086144803</v>
      </c>
      <c r="DF23" s="14">
        <f>DE23+預測IC!DF23</f>
        <v>-1.8307265824269316</v>
      </c>
      <c r="DG23" s="14">
        <f>DF23+預測IC!DG23</f>
        <v>-1.9837032367219845</v>
      </c>
      <c r="DH23" s="14">
        <f>DG23+預測IC!DH23</f>
        <v>-1.8444752367219845</v>
      </c>
      <c r="DI23" s="14">
        <f>DH23+預測IC!DI23</f>
        <v>-1.7484342367219845</v>
      </c>
      <c r="DJ23" s="14">
        <f>DI23+預測IC!DJ23</f>
        <v>-1.8354922448943323</v>
      </c>
      <c r="DK23" s="14">
        <f>DJ23+預測IC!DK23</f>
        <v>-1.5576590283354892</v>
      </c>
      <c r="DL23" s="14">
        <f>DK23+預測IC!DL23</f>
        <v>-1.5314163762308648</v>
      </c>
      <c r="DM23" s="14">
        <f>DL23+預測IC!DM23</f>
        <v>-1.5421267105376897</v>
      </c>
      <c r="DN23" s="14">
        <f>DM23+預測IC!DN23</f>
        <v>-1.807101567021681</v>
      </c>
      <c r="DO23" s="14">
        <f>DN23+預測IC!DO23</f>
        <v>-1.7224307392144989</v>
      </c>
      <c r="DP23" s="14">
        <f>DO23+預測IC!DP23</f>
        <v>-1.8992703576994054</v>
      </c>
      <c r="DQ23" s="14">
        <f>DP23+預測IC!DQ23</f>
        <v>-1.6533242501406191</v>
      </c>
      <c r="DR23" s="14">
        <f>DQ23+預測IC!DR23</f>
        <v>-1.7432102528719258</v>
      </c>
      <c r="DS23" s="14">
        <f>DR23+預測IC!DS23</f>
        <v>-1.4960157014294573</v>
      </c>
      <c r="DT23" s="14">
        <f>DS23+預測IC!DT23</f>
        <v>-1.6199709246256562</v>
      </c>
      <c r="DU23" s="14">
        <f>DT23+預測IC!DU23</f>
        <v>-1.6756089246256562</v>
      </c>
      <c r="DV23" s="14">
        <f>DU23+預測IC!DV23</f>
        <v>-1.8683503258435532</v>
      </c>
      <c r="DW23" s="14">
        <f>DV23+預測IC!DW23</f>
        <v>-1.8452978258435533</v>
      </c>
      <c r="DX23" s="14">
        <f>DW23+預測IC!DX23</f>
        <v>-2.0163006128120076</v>
      </c>
      <c r="DY23" s="14">
        <f>DX23+預測IC!DY23</f>
        <v>-2.2845225421841313</v>
      </c>
      <c r="DZ23" s="14">
        <f>DY23+預測IC!DZ23</f>
        <v>-2.1551895266324124</v>
      </c>
      <c r="EA23" s="14">
        <f>DZ23+預測IC!EA23</f>
        <v>-2.1839465266324125</v>
      </c>
      <c r="EB23" s="14">
        <f>EA23+預測IC!EB23</f>
        <v>-2.3221750266324124</v>
      </c>
      <c r="EC23" s="14">
        <f>EB23+預測IC!EC23</f>
        <v>-2.2285315266324126</v>
      </c>
      <c r="ED23" s="14">
        <f>EC23+預測IC!ED23</f>
        <v>-2.1896335266324125</v>
      </c>
      <c r="EE23" s="14">
        <f>ED23+預測IC!EE23</f>
        <v>-2.2588445266324126</v>
      </c>
      <c r="EF23" s="14">
        <f>EE23+預測IC!EF23</f>
        <v>-2.1654305266324125</v>
      </c>
    </row>
    <row r="24" spans="1:136">
      <c r="A24" s="2">
        <v>964</v>
      </c>
      <c r="B24" s="2">
        <v>1</v>
      </c>
      <c r="C24" s="14">
        <v>-2.776696731044102E-2</v>
      </c>
      <c r="D24" s="14">
        <f>C24+預測IC!D24</f>
        <v>5.4221411859182875E-2</v>
      </c>
      <c r="E24" s="14">
        <f>D24+預測IC!E24</f>
        <v>0.13610174646958037</v>
      </c>
      <c r="F24" s="14">
        <f>E24+預測IC!F24</f>
        <v>0.33764746534122658</v>
      </c>
      <c r="G24" s="14">
        <f>F24+預測IC!G24</f>
        <v>0.31502507677860891</v>
      </c>
      <c r="H24" s="14">
        <f>G24+預測IC!H24</f>
        <v>-3.5797114552429898E-2</v>
      </c>
      <c r="I24" s="14">
        <f>H24+預測IC!I24</f>
        <v>0.2045891302184859</v>
      </c>
      <c r="J24" s="14">
        <f>I24+預測IC!J24</f>
        <v>0.20862485515774554</v>
      </c>
      <c r="K24" s="14">
        <f>J24+預測IC!K24</f>
        <v>0.25906919115123422</v>
      </c>
      <c r="L24" s="14">
        <f>K24+預測IC!L24</f>
        <v>0.59282863562688082</v>
      </c>
      <c r="M24" s="14">
        <f>L24+預測IC!M24</f>
        <v>0.44600929672737233</v>
      </c>
      <c r="N24" s="14">
        <f>M24+預測IC!N24</f>
        <v>0.34081758593152695</v>
      </c>
      <c r="O24" s="14">
        <f>N24+預測IC!O24</f>
        <v>0.37746637667107069</v>
      </c>
      <c r="P24" s="14">
        <f>O24+預測IC!P24</f>
        <v>0.4817147910800702</v>
      </c>
      <c r="Q24" s="14">
        <f>P24+預測IC!Q24</f>
        <v>0.39156984228140723</v>
      </c>
      <c r="R24" s="14">
        <f>Q24+預測IC!R24</f>
        <v>0.49993533719359845</v>
      </c>
      <c r="S24" s="14">
        <f>R24+預測IC!S24</f>
        <v>0.63981913676059898</v>
      </c>
      <c r="T24" s="14">
        <f>S24+預測IC!T24</f>
        <v>0.9103058514346164</v>
      </c>
      <c r="U24" s="14">
        <f>T24+預測IC!U24</f>
        <v>1.3032677362832694</v>
      </c>
      <c r="V24" s="14">
        <f>U24+預測IC!V24</f>
        <v>1.4198080530001203</v>
      </c>
      <c r="W24" s="14">
        <f>V24+預測IC!W24</f>
        <v>0.92409606704417757</v>
      </c>
      <c r="X24" s="14">
        <f>W24+預測IC!X24</f>
        <v>0.96025396340542957</v>
      </c>
      <c r="Y24" s="14">
        <f>X24+預測IC!Y24</f>
        <v>0.93085512382499691</v>
      </c>
      <c r="Z24" s="14">
        <f>Y24+預測IC!Z24</f>
        <v>0.78044519813620727</v>
      </c>
      <c r="AA24" s="14">
        <f>Z24+預測IC!AA24</f>
        <v>0.99898977782736209</v>
      </c>
      <c r="AB24" s="14">
        <f>AA24+預測IC!AB24</f>
        <v>0.69859598427037961</v>
      </c>
      <c r="AC24" s="14">
        <f>AB24+預測IC!AC24</f>
        <v>0.29684865042342501</v>
      </c>
      <c r="AD24" s="14">
        <f>AC24+預測IC!AD24</f>
        <v>0.3567707972342441</v>
      </c>
      <c r="AE24" s="14">
        <f>AD24+預測IC!AE24</f>
        <v>0.5499125869460022</v>
      </c>
      <c r="AF24" s="14">
        <f>AE24+預測IC!AF24</f>
        <v>5.4523174141840325E-2</v>
      </c>
      <c r="AG24" s="14">
        <f>AF24+預測IC!AG24</f>
        <v>-0.3255322184409557</v>
      </c>
      <c r="AH24" s="14">
        <f>AG24+預測IC!AH24</f>
        <v>-0.26883485837316612</v>
      </c>
      <c r="AI24" s="14">
        <f>AH24+預測IC!AI24</f>
        <v>-0.26002652727473885</v>
      </c>
      <c r="AJ24" s="14">
        <f>AI24+預測IC!AJ24</f>
        <v>-0.17913528327536346</v>
      </c>
      <c r="AK24" s="14">
        <f>AJ24+預測IC!AK24</f>
        <v>-6.5956119499739355E-2</v>
      </c>
      <c r="AL24" s="14">
        <f>AK24+預測IC!AL24</f>
        <v>-0.17341054580548096</v>
      </c>
      <c r="AM24" s="14">
        <f>AL24+預測IC!AM24</f>
        <v>-0.15449126438495425</v>
      </c>
      <c r="AN24" s="14">
        <f>AM24+預測IC!AN24</f>
        <v>-0.37568072953038556</v>
      </c>
      <c r="AO24" s="14">
        <f>AN24+預測IC!AO24</f>
        <v>-0.44177084135937561</v>
      </c>
      <c r="AP24" s="14">
        <f>AO24+預測IC!AP24</f>
        <v>-0.41891912587027919</v>
      </c>
      <c r="AQ24" s="14">
        <f>AP24+預測IC!AQ24</f>
        <v>-6.2427194172760991E-2</v>
      </c>
      <c r="AR24" s="14">
        <f>AQ24+預測IC!AR24</f>
        <v>-8.2778038665575412E-2</v>
      </c>
      <c r="AS24" s="14">
        <f>AR24+預測IC!AS24</f>
        <v>-7.9491264958952673E-2</v>
      </c>
      <c r="AT24" s="14">
        <f>AS24+預測IC!AT24</f>
        <v>7.1277714966728134E-2</v>
      </c>
      <c r="AU24" s="14">
        <f>AT24+預測IC!AU24</f>
        <v>-0.15856330071269176</v>
      </c>
      <c r="AV24" s="14">
        <f>AU24+預測IC!AV24</f>
        <v>8.9121359517635751E-2</v>
      </c>
      <c r="AW24" s="14">
        <f>AV24+預測IC!AW24</f>
        <v>0.23783231604907584</v>
      </c>
      <c r="AX24" s="14">
        <f>AW24+預測IC!AX24</f>
        <v>0.12634097913286035</v>
      </c>
      <c r="AY24" s="14">
        <f>AX24+預測IC!AY24</f>
        <v>-0.14109476555360972</v>
      </c>
      <c r="AZ24" s="14">
        <f>AY24+預測IC!AZ24</f>
        <v>-0.75099432573838665</v>
      </c>
      <c r="BA24" s="14">
        <f>AZ24+預測IC!BA24</f>
        <v>-0.64921163142844429</v>
      </c>
      <c r="BB24" s="14">
        <f>BA24+預測IC!BB24</f>
        <v>-0.73537066482377911</v>
      </c>
      <c r="BC24" s="14">
        <f>BB24+預測IC!BC24</f>
        <v>-0.73100379520939573</v>
      </c>
      <c r="BD24" s="14">
        <f>BC24+預測IC!BD24</f>
        <v>-0.71236379520939574</v>
      </c>
      <c r="BE24" s="14">
        <f>BD24+預測IC!BE24</f>
        <v>-0.81649479520939572</v>
      </c>
      <c r="BF24" s="14">
        <f>BE24+預測IC!BF24</f>
        <v>-0.91673079520939571</v>
      </c>
      <c r="BG24" s="14">
        <f>BF24+預測IC!BG24</f>
        <v>-1.0933547952093958</v>
      </c>
      <c r="BH24" s="14">
        <f>BG24+預測IC!BH24</f>
        <v>-1.2410283604611156</v>
      </c>
      <c r="BI24" s="14">
        <f>BH24+預測IC!BI24</f>
        <v>-1.0717603604611157</v>
      </c>
      <c r="BJ24" s="14">
        <f>BI24+預測IC!BJ24</f>
        <v>-1.0751086762160003</v>
      </c>
      <c r="BK24" s="14">
        <f>BJ24+預測IC!BK24</f>
        <v>-1.0851284031650703</v>
      </c>
      <c r="BL24" s="14">
        <f>BK24+預測IC!BL24</f>
        <v>-1.4022926970897869</v>
      </c>
      <c r="BM24" s="14">
        <f>BL24+預測IC!BM24</f>
        <v>-1.3175097572507986</v>
      </c>
      <c r="BN24" s="14">
        <f>BM24+預測IC!BN24</f>
        <v>-1.3243590990963734</v>
      </c>
      <c r="BO24" s="14">
        <f>BN24+預測IC!BO24</f>
        <v>-1.1632494080007314</v>
      </c>
      <c r="BP24" s="14">
        <f>BO24+預測IC!BP24</f>
        <v>-1.2866005891300534</v>
      </c>
      <c r="BQ24" s="14">
        <f>BP24+預測IC!BQ24</f>
        <v>-1.2224309557999384</v>
      </c>
      <c r="BR24" s="14">
        <f>BQ24+預測IC!BR24</f>
        <v>-1.1800747324965206</v>
      </c>
      <c r="BS24" s="14">
        <f>BR24+預測IC!BS24</f>
        <v>-1.1813594499809776</v>
      </c>
      <c r="BT24" s="14">
        <f>BS24+預測IC!BT24</f>
        <v>-1.1255601936727211</v>
      </c>
      <c r="BU24" s="14">
        <f>BT24+預測IC!BU24</f>
        <v>-0.67399065689110427</v>
      </c>
      <c r="BV24" s="14">
        <f>BU24+預測IC!BV24</f>
        <v>-0.62773195115044134</v>
      </c>
      <c r="BW24" s="14">
        <f>BV24+預測IC!BW24</f>
        <v>-0.77875939657286075</v>
      </c>
      <c r="BX24" s="14">
        <f>BW24+預測IC!BX24</f>
        <v>-0.72071602692294567</v>
      </c>
      <c r="BY24" s="14">
        <f>BX24+預測IC!BY24</f>
        <v>-0.60230779587264394</v>
      </c>
      <c r="BZ24" s="14">
        <f>BY24+預測IC!BZ24</f>
        <v>-0.34341489702264705</v>
      </c>
      <c r="CA24" s="14">
        <f>BZ24+預測IC!CA24</f>
        <v>-0.24338689702264704</v>
      </c>
      <c r="CB24" s="14">
        <f>CA24+預測IC!CB24</f>
        <v>-0.17925981386660494</v>
      </c>
      <c r="CC24" s="14">
        <f>CB24+預測IC!CC24</f>
        <v>-0.36172981386660497</v>
      </c>
      <c r="CD24" s="14">
        <f>CC24+預測IC!CD24</f>
        <v>-0.21742350312441006</v>
      </c>
      <c r="CE24" s="14">
        <f>CD24+預測IC!CE24</f>
        <v>-5.1858503124410066E-2</v>
      </c>
      <c r="CF24" s="14">
        <f>CE24+預測IC!CF24</f>
        <v>-9.5823137121141613E-2</v>
      </c>
      <c r="CG24" s="14">
        <f>CF24+預測IC!CG24</f>
        <v>-0.61579210319506372</v>
      </c>
      <c r="CH24" s="14">
        <f>CG24+預測IC!CH24</f>
        <v>-0.82876498722438208</v>
      </c>
      <c r="CI24" s="14">
        <f>CH24+預測IC!CI24</f>
        <v>-0.88727298722438208</v>
      </c>
      <c r="CJ24" s="14">
        <f>CI24+預測IC!CJ24</f>
        <v>-1.1874598808146373</v>
      </c>
      <c r="CK24" s="14">
        <f>CJ24+預測IC!CK24</f>
        <v>-0.86440061548625313</v>
      </c>
      <c r="CL24" s="14">
        <f>CK24+預測IC!CL24</f>
        <v>-0.84871686759688658</v>
      </c>
      <c r="CM24" s="14">
        <f>CL24+預測IC!CM24</f>
        <v>-0.80402832927295464</v>
      </c>
      <c r="CN24" s="14">
        <f>CM24+預測IC!CN24</f>
        <v>-0.78910732927295468</v>
      </c>
      <c r="CO24" s="14">
        <f>CN24+預測IC!CO24</f>
        <v>-1.3615169390076298</v>
      </c>
      <c r="CP24" s="14">
        <f>CO24+預測IC!CP24</f>
        <v>-1.5595842845547228</v>
      </c>
      <c r="CQ24" s="14">
        <f>CP24+預測IC!CQ24</f>
        <v>-1.3993946379272222</v>
      </c>
      <c r="CR24" s="14">
        <f>CQ24+預測IC!CR24</f>
        <v>-1.2616071818785191</v>
      </c>
      <c r="CS24" s="14">
        <f>CR24+預測IC!CS24</f>
        <v>-1.2884651818785191</v>
      </c>
      <c r="CT24" s="14">
        <f>CS24+預測IC!CT24</f>
        <v>-1.1055685945864027</v>
      </c>
      <c r="CU24" s="14">
        <f>CT24+預測IC!CU24</f>
        <v>-1.1582976394000575</v>
      </c>
      <c r="CV24" s="14">
        <f>CU24+預測IC!CV24</f>
        <v>-0.97543354449283448</v>
      </c>
      <c r="CW24" s="14">
        <f>CV24+預測IC!CW24</f>
        <v>-1.2104267597656806</v>
      </c>
      <c r="CX24" s="14">
        <f>CW24+預測IC!CX24</f>
        <v>-1.1552195660569935</v>
      </c>
      <c r="CY24" s="14">
        <f>CX24+預測IC!CY24</f>
        <v>-0.79499151928825573</v>
      </c>
      <c r="CZ24" s="14">
        <f>CY24+預測IC!CZ24</f>
        <v>-0.68278489084368854</v>
      </c>
      <c r="DA24" s="14">
        <f>CZ24+預測IC!DA24</f>
        <v>-0.64880489084368853</v>
      </c>
      <c r="DB24" s="14">
        <f>DA24+預測IC!DB24</f>
        <v>-0.66530489084368849</v>
      </c>
      <c r="DC24" s="14">
        <f>DB24+預測IC!DC24</f>
        <v>-0.94803466957220661</v>
      </c>
      <c r="DD24" s="14">
        <f>DC24+預測IC!DD24</f>
        <v>-0.8987346695722066</v>
      </c>
      <c r="DE24" s="14">
        <f>DD24+預測IC!DE24</f>
        <v>-1.0303202608677393</v>
      </c>
      <c r="DF24" s="14">
        <f>DE24+預測IC!DF24</f>
        <v>-1.2249583246236697</v>
      </c>
      <c r="DG24" s="14">
        <f>DF24+預測IC!DG24</f>
        <v>-1.4735473073568996</v>
      </c>
      <c r="DH24" s="14">
        <f>DG24+預測IC!DH24</f>
        <v>-1.2077423073568996</v>
      </c>
      <c r="DI24" s="14">
        <f>DH24+預測IC!DI24</f>
        <v>-1.1705573073568996</v>
      </c>
      <c r="DJ24" s="14">
        <f>DI24+預測IC!DJ24</f>
        <v>-1.3030459178661393</v>
      </c>
      <c r="DK24" s="14">
        <f>DJ24+預測IC!DK24</f>
        <v>-0.96353670723569551</v>
      </c>
      <c r="DL24" s="14">
        <f>DK24+預測IC!DL24</f>
        <v>-0.9021761940202786</v>
      </c>
      <c r="DM24" s="14">
        <f>DL24+預測IC!DM24</f>
        <v>-1.0104922891464636</v>
      </c>
      <c r="DN24" s="14">
        <f>DM24+預測IC!DN24</f>
        <v>-1.5273402281439958</v>
      </c>
      <c r="DO24" s="14">
        <f>DN24+預測IC!DO24</f>
        <v>-1.4442259385539902</v>
      </c>
      <c r="DP24" s="14">
        <f>DO24+預測IC!DP24</f>
        <v>-1.6677977620376869</v>
      </c>
      <c r="DQ24" s="14">
        <f>DP24+預測IC!DQ24</f>
        <v>-1.3087264599410386</v>
      </c>
      <c r="DR24" s="14">
        <f>DQ24+預測IC!DR24</f>
        <v>-1.3292420901530679</v>
      </c>
      <c r="DS24" s="14">
        <f>DR24+預測IC!DS24</f>
        <v>-1.1852351153142537</v>
      </c>
      <c r="DT24" s="14">
        <f>DS24+預測IC!DT24</f>
        <v>-1.2235979814843834</v>
      </c>
      <c r="DU24" s="14">
        <f>DT24+預測IC!DU24</f>
        <v>-1.2018159814843834</v>
      </c>
      <c r="DV24" s="14">
        <f>DU24+預測IC!DV24</f>
        <v>-1.9522725306736046</v>
      </c>
      <c r="DW24" s="14">
        <f>DV24+預測IC!DW24</f>
        <v>-1.8510895306736046</v>
      </c>
      <c r="DX24" s="14">
        <f>DW24+預測IC!DX24</f>
        <v>-2.0248268611216838</v>
      </c>
      <c r="DY24" s="14">
        <f>DX24+預測IC!DY24</f>
        <v>-2.0568933968516352</v>
      </c>
      <c r="DZ24" s="14">
        <f>DY24+預測IC!DZ24</f>
        <v>-2.105798061110435</v>
      </c>
      <c r="EA24" s="14">
        <f>DZ24+預測IC!EA24</f>
        <v>-2.1607150611104351</v>
      </c>
      <c r="EB24" s="14">
        <f>EA24+預測IC!EB24</f>
        <v>-2.269946061110435</v>
      </c>
      <c r="EC24" s="14">
        <f>EB24+預測IC!EC24</f>
        <v>-2.1262990611104349</v>
      </c>
      <c r="ED24" s="14">
        <f>EC24+預測IC!ED24</f>
        <v>-2.1961340611104347</v>
      </c>
      <c r="EE24" s="14">
        <f>ED24+預測IC!EE24</f>
        <v>-2.3036160611104348</v>
      </c>
      <c r="EF24" s="14">
        <f>EE24+預測IC!EF24</f>
        <v>-2.169531061110435</v>
      </c>
    </row>
    <row r="25" spans="1:136">
      <c r="A25" s="2" t="s">
        <v>145</v>
      </c>
      <c r="B25" s="2" t="s">
        <v>146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6"/>
  <sheetViews>
    <sheetView topLeftCell="A23" zoomScale="176" zoomScaleNormal="90" workbookViewId="0">
      <selection activeCell="M31" sqref="M31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1">
        <v>-9.1369017958641052E-2</v>
      </c>
      <c r="D3" s="11">
        <v>-0.1108541637659073</v>
      </c>
      <c r="E3" s="11">
        <v>1.095622777938843E-3</v>
      </c>
      <c r="F3" s="11">
        <v>-0.13442955911159521</v>
      </c>
      <c r="G3" s="11">
        <v>-0.1746680736541748</v>
      </c>
      <c r="H3" s="11">
        <v>5.4118875414133072E-3</v>
      </c>
      <c r="I3" s="11">
        <v>-3.5852931439876563E-2</v>
      </c>
      <c r="J3" s="11">
        <v>-7.7711276710033417E-2</v>
      </c>
      <c r="K3" s="11">
        <v>-1.449720188975334E-2</v>
      </c>
      <c r="L3" s="11">
        <v>-4.7656506299972527E-2</v>
      </c>
      <c r="M3" s="11">
        <v>-5.7244118303060532E-2</v>
      </c>
      <c r="N3" s="11">
        <v>2.682022750377655E-5</v>
      </c>
      <c r="O3" s="11">
        <v>-3.0116423964500431E-2</v>
      </c>
      <c r="P3" s="11">
        <v>-4.0258027613162987E-2</v>
      </c>
      <c r="Q3" s="11">
        <v>3.7178266793489461E-3</v>
      </c>
      <c r="R3" s="11">
        <v>2.9201550409197811E-2</v>
      </c>
      <c r="S3" s="11">
        <v>7.7254641801118851E-3</v>
      </c>
      <c r="T3" s="11">
        <v>-5.8597654104232788E-2</v>
      </c>
      <c r="U3" s="11">
        <v>6.510857492685318E-4</v>
      </c>
      <c r="V3" s="11">
        <v>-0.107098214328289</v>
      </c>
      <c r="W3" s="11">
        <v>-0.19089989364147189</v>
      </c>
      <c r="X3" s="11">
        <v>-7.1200095117092133E-2</v>
      </c>
      <c r="Y3" s="11">
        <v>-0.1000832766294479</v>
      </c>
      <c r="Z3" s="11">
        <v>-4.923209547996521E-2</v>
      </c>
      <c r="AA3" s="11">
        <v>-2.046559751033783E-2</v>
      </c>
      <c r="AB3" s="11">
        <v>-6.9066941738128662E-2</v>
      </c>
      <c r="AC3" s="11">
        <v>-5.033314973115921E-2</v>
      </c>
      <c r="AD3" s="11">
        <v>-1.914726942777634E-2</v>
      </c>
      <c r="AE3" s="11">
        <v>-1.0799495503306391E-2</v>
      </c>
      <c r="AF3" s="11">
        <v>1.033585891127586E-2</v>
      </c>
      <c r="AG3" s="11">
        <v>6.015850231051445E-3</v>
      </c>
      <c r="AH3" s="11">
        <v>-0.26610976457595831</v>
      </c>
      <c r="AI3" s="11">
        <v>-0.14365202188491821</v>
      </c>
      <c r="AJ3" s="11">
        <v>-0.25451940298080439</v>
      </c>
      <c r="AK3" s="11">
        <v>2.8104119002819061E-2</v>
      </c>
      <c r="AL3" s="11">
        <v>-5.1742583513259888E-2</v>
      </c>
      <c r="AM3" s="11">
        <v>-8.2977190613746643E-2</v>
      </c>
      <c r="AN3" s="11">
        <v>-7.0350959897041321E-2</v>
      </c>
      <c r="AO3" s="11">
        <v>-0.1968108415603638</v>
      </c>
      <c r="AP3" s="11">
        <v>-0.25679254531860352</v>
      </c>
      <c r="AQ3" s="11">
        <v>-5.9776842594146729E-2</v>
      </c>
      <c r="AR3" s="11">
        <v>-4.1728809475898743E-2</v>
      </c>
      <c r="AS3" s="11">
        <v>-8.1946820020675659E-2</v>
      </c>
      <c r="AT3" s="11">
        <v>-0.13346004486083979</v>
      </c>
      <c r="AU3" s="11">
        <v>3.601998090744019E-3</v>
      </c>
      <c r="AV3" s="11">
        <v>7.9997703433036804E-3</v>
      </c>
      <c r="AW3" s="11">
        <v>2.431571483612061E-3</v>
      </c>
      <c r="AX3" s="11">
        <v>1.277367025613785E-2</v>
      </c>
      <c r="AY3" s="11">
        <v>2.707108855247498E-3</v>
      </c>
      <c r="AZ3" s="11">
        <v>1.4640374109148979E-2</v>
      </c>
      <c r="BA3" s="11">
        <v>3.6530185490846627E-2</v>
      </c>
      <c r="BB3" s="11">
        <v>3.3319383859634399E-2</v>
      </c>
      <c r="BC3" s="11">
        <v>1.1332087218761441E-2</v>
      </c>
      <c r="BD3" s="11">
        <v>-7.7839195728302002E-4</v>
      </c>
      <c r="BE3" s="11">
        <v>-1.704639196395874E-2</v>
      </c>
      <c r="BF3" s="11">
        <v>-2.8747007250785831E-2</v>
      </c>
      <c r="BG3" s="11">
        <v>-3.7359297275543209E-3</v>
      </c>
      <c r="BH3" s="11">
        <v>3.0615001916885379E-2</v>
      </c>
      <c r="BI3" s="11">
        <v>-1.3157427310943599E-3</v>
      </c>
      <c r="BJ3" s="11">
        <v>-6.5720930695533752E-2</v>
      </c>
      <c r="BK3" s="11">
        <v>-4.0063485503196723E-2</v>
      </c>
      <c r="BL3" s="11">
        <v>-8.8971659541130066E-2</v>
      </c>
      <c r="BM3" s="11">
        <v>-2.1720856428146359E-2</v>
      </c>
      <c r="BN3" s="11">
        <v>-6.8609192967414856E-2</v>
      </c>
      <c r="BO3" s="11">
        <v>-5.5181741714477539E-2</v>
      </c>
      <c r="BP3" s="11">
        <v>-8.5352331399917603E-2</v>
      </c>
      <c r="BQ3" s="11">
        <v>-3.6593899130821228E-2</v>
      </c>
      <c r="BR3" s="11">
        <v>3.5782556980848312E-2</v>
      </c>
      <c r="BS3" s="11">
        <v>3.381897509098053E-2</v>
      </c>
      <c r="BT3" s="11">
        <v>3.7881385535001748E-2</v>
      </c>
      <c r="BU3" s="11">
        <v>3.3238206058740623E-2</v>
      </c>
      <c r="BV3" s="11">
        <v>4.6295918524265289E-2</v>
      </c>
      <c r="BW3" s="11">
        <v>3.5180661827325821E-2</v>
      </c>
      <c r="BX3" s="11">
        <v>2.4767490103840831E-2</v>
      </c>
      <c r="BY3" s="11">
        <v>3.3294945955276489E-2</v>
      </c>
      <c r="BZ3" s="11">
        <v>5.243389680981636E-2</v>
      </c>
      <c r="CA3" s="11">
        <v>4.8576407134532928E-3</v>
      </c>
      <c r="CB3" s="11">
        <v>3.7053938955068588E-2</v>
      </c>
      <c r="CC3" s="11">
        <v>2.6344805955886841E-2</v>
      </c>
      <c r="CD3" s="11">
        <v>3.6022435873746872E-2</v>
      </c>
      <c r="CE3" s="11">
        <v>2.6176232844591141E-2</v>
      </c>
      <c r="CF3" s="11">
        <v>1.8041616305708889E-2</v>
      </c>
      <c r="CG3" s="11">
        <v>1.433759741485119E-2</v>
      </c>
      <c r="CH3" s="11">
        <v>1.081309281289577E-2</v>
      </c>
      <c r="CI3" s="11">
        <v>9.3775922432541847E-3</v>
      </c>
      <c r="CJ3" s="11">
        <v>3.1418859958648682E-2</v>
      </c>
      <c r="CK3" s="11">
        <v>2.9902642592787739E-2</v>
      </c>
      <c r="CL3" s="11">
        <v>2.813007682561874E-2</v>
      </c>
      <c r="CM3" s="11">
        <v>1.7964363098144531E-2</v>
      </c>
      <c r="CN3" s="11">
        <v>6.8069854751229286E-3</v>
      </c>
      <c r="CO3" s="11">
        <v>4.2052153497934341E-2</v>
      </c>
      <c r="CP3" s="11">
        <v>3.3009041100740433E-2</v>
      </c>
      <c r="CQ3" s="11">
        <v>2.371090650558472E-2</v>
      </c>
      <c r="CR3" s="11">
        <v>2.6173286139965061E-2</v>
      </c>
      <c r="CS3" s="11">
        <v>1.9619772210717201E-2</v>
      </c>
      <c r="CT3" s="11">
        <v>1.4876773580908781E-2</v>
      </c>
      <c r="CU3" s="11">
        <v>4.0978025645017617E-2</v>
      </c>
      <c r="CV3" s="11">
        <v>3.9532899856567383E-2</v>
      </c>
      <c r="CW3" s="11">
        <v>2.4221045896410939E-2</v>
      </c>
      <c r="CX3" s="11">
        <v>4.2955689132213593E-2</v>
      </c>
      <c r="CY3" s="11">
        <v>2.8871554881334301E-2</v>
      </c>
      <c r="CZ3" s="11">
        <v>4.7397840768098831E-2</v>
      </c>
      <c r="DA3" s="11">
        <v>2.8573086485266689E-2</v>
      </c>
      <c r="DB3" s="11">
        <v>2.5090832263231281E-2</v>
      </c>
      <c r="DC3" s="11">
        <v>2.0950637757778171E-2</v>
      </c>
      <c r="DD3" s="11">
        <v>2.0789520815014839E-2</v>
      </c>
      <c r="DE3" s="11">
        <v>3.3207852393388748E-2</v>
      </c>
      <c r="DF3" s="11">
        <v>2.975026331841946E-2</v>
      </c>
      <c r="DG3" s="11">
        <v>1.9087659195065498E-2</v>
      </c>
      <c r="DH3" s="11">
        <v>2.3787431418895721E-2</v>
      </c>
      <c r="DI3" s="11">
        <v>1.9194494932889938E-2</v>
      </c>
      <c r="DJ3" s="11">
        <v>3.5664934664964683E-2</v>
      </c>
      <c r="DK3" s="11">
        <v>3.7067931145429611E-2</v>
      </c>
      <c r="DL3" s="11">
        <v>2.47370321303606E-2</v>
      </c>
      <c r="DM3" s="11">
        <v>3.1437266618013382E-2</v>
      </c>
      <c r="DN3" s="11">
        <v>2.590093947947025E-2</v>
      </c>
      <c r="DO3" s="11">
        <v>2.2398050874471661E-2</v>
      </c>
      <c r="DP3" s="11">
        <v>1.9147077575325969E-2</v>
      </c>
      <c r="DQ3" s="11">
        <v>2.4746008217334751E-2</v>
      </c>
      <c r="DR3" s="11">
        <v>3.8861591368913651E-2</v>
      </c>
      <c r="DS3" s="11">
        <v>2.9537344351410869E-2</v>
      </c>
      <c r="DT3" s="11">
        <v>3.6585744470357888E-2</v>
      </c>
      <c r="DU3" s="11">
        <v>1.0436186566948891E-2</v>
      </c>
      <c r="DV3" s="11">
        <v>1.354960352182388E-2</v>
      </c>
      <c r="DW3" s="11">
        <v>3.0600432306528091E-2</v>
      </c>
      <c r="DX3" s="11">
        <v>3.076322935521603E-2</v>
      </c>
      <c r="DY3" s="11">
        <v>2.6879474520683289E-2</v>
      </c>
      <c r="DZ3" s="11">
        <v>3.8272425532341003E-2</v>
      </c>
      <c r="EA3" s="11">
        <v>3.7800624966621399E-2</v>
      </c>
      <c r="EB3" s="11">
        <v>9.2485006898641586E-3</v>
      </c>
      <c r="EC3" s="11">
        <v>1.0824577882885929E-2</v>
      </c>
      <c r="ED3" s="11">
        <v>3.1915292143821723E-2</v>
      </c>
      <c r="EE3" s="11">
        <v>1.992469280958176E-2</v>
      </c>
      <c r="EF3" s="11">
        <v>3.6655358970165253E-2</v>
      </c>
    </row>
    <row r="4" spans="1:136" s="1" customFormat="1">
      <c r="B4" s="2" t="s">
        <v>137</v>
      </c>
      <c r="C4" s="11">
        <v>4.5735888183116913E-2</v>
      </c>
      <c r="D4" s="11">
        <v>0.1421964764595032</v>
      </c>
      <c r="E4" s="11">
        <v>0.12357825040817259</v>
      </c>
      <c r="F4" s="11">
        <v>0.10848225653171539</v>
      </c>
      <c r="G4" s="11">
        <v>9.5342576503753662E-2</v>
      </c>
      <c r="H4" s="11">
        <v>9.0842671692371368E-2</v>
      </c>
      <c r="I4" s="11">
        <v>7.6174549758434296E-2</v>
      </c>
      <c r="J4" s="11">
        <v>5.9771746397018433E-2</v>
      </c>
      <c r="K4" s="11">
        <v>6.8689219653606415E-2</v>
      </c>
      <c r="L4" s="11">
        <v>6.0447685420513153E-2</v>
      </c>
      <c r="M4" s="11">
        <v>2.7975643053650859E-2</v>
      </c>
      <c r="N4" s="11">
        <v>9.7275795415043831E-3</v>
      </c>
      <c r="O4" s="11">
        <v>9.3574635684490204E-3</v>
      </c>
      <c r="P4" s="11">
        <v>-1.796905649825931E-3</v>
      </c>
      <c r="Q4" s="11">
        <v>-2.5195966009050612E-3</v>
      </c>
      <c r="R4" s="11">
        <v>-3.085714997723699E-3</v>
      </c>
      <c r="S4" s="11">
        <v>-3.105835290625691E-3</v>
      </c>
      <c r="T4" s="11">
        <v>-4.2619518935680389E-3</v>
      </c>
      <c r="U4" s="11">
        <v>-9.374961256980896E-3</v>
      </c>
      <c r="V4" s="11">
        <v>-1.153737679123878E-2</v>
      </c>
      <c r="W4" s="11">
        <v>-1.192781608551741E-2</v>
      </c>
      <c r="X4" s="11">
        <v>-1.2192427180707449E-2</v>
      </c>
      <c r="Y4" s="11">
        <v>-1.5751872211694721E-2</v>
      </c>
      <c r="Z4" s="11">
        <v>-1.7309032380580899E-2</v>
      </c>
      <c r="AA4" s="11">
        <v>-1.7488019540905949E-2</v>
      </c>
      <c r="AB4" s="11">
        <v>-1.846657320857048E-2</v>
      </c>
      <c r="AC4" s="11">
        <v>-1.864372193813324E-2</v>
      </c>
      <c r="AD4" s="11">
        <v>-1.8953690305352211E-2</v>
      </c>
      <c r="AE4" s="11">
        <v>-1.921507716178894E-2</v>
      </c>
      <c r="AF4" s="11">
        <v>-2.0113235339522358E-2</v>
      </c>
      <c r="AG4" s="11">
        <v>-2.026095055043697E-2</v>
      </c>
      <c r="AH4" s="11">
        <v>-2.0400110632181171E-2</v>
      </c>
      <c r="AI4" s="11">
        <v>-2.257528901100159E-2</v>
      </c>
      <c r="AJ4" s="11">
        <v>-2.2869756445288662E-2</v>
      </c>
      <c r="AK4" s="11">
        <v>-2.3673111572861671E-2</v>
      </c>
      <c r="AL4" s="11">
        <v>-5.0100833177566528E-2</v>
      </c>
      <c r="AM4" s="11">
        <v>-2.9040023684501651E-2</v>
      </c>
      <c r="AN4" s="11">
        <v>-2.910598739981651E-2</v>
      </c>
      <c r="AO4" s="11">
        <v>-3.0611878260970119E-2</v>
      </c>
      <c r="AP4" s="11">
        <v>-3.0782695859670639E-2</v>
      </c>
      <c r="AQ4" s="11">
        <v>-2.7796577662229541E-2</v>
      </c>
      <c r="AR4" s="11">
        <v>-2.7182344347238541E-2</v>
      </c>
      <c r="AS4" s="11">
        <v>-2.4847416207194328E-2</v>
      </c>
      <c r="AT4" s="11">
        <v>-2.531261928379536E-2</v>
      </c>
      <c r="AU4" s="11">
        <v>-2.5429589673876759E-2</v>
      </c>
      <c r="AV4" s="11">
        <v>-2.5587804615497589E-2</v>
      </c>
      <c r="AW4" s="11">
        <v>-2.59556844830513E-2</v>
      </c>
      <c r="AX4" s="11">
        <v>-2.625242434442043E-2</v>
      </c>
      <c r="AY4" s="11">
        <v>-3.3910792320966721E-2</v>
      </c>
      <c r="AZ4" s="11">
        <v>-2.8038723394274712E-2</v>
      </c>
      <c r="BA4" s="11">
        <v>-2.7945993468165401E-2</v>
      </c>
      <c r="BB4" s="11">
        <v>-3.2719224691390991E-2</v>
      </c>
      <c r="BC4" s="11">
        <v>-3.2609779387712479E-2</v>
      </c>
      <c r="BD4" s="11">
        <v>-3.2060969620943069E-2</v>
      </c>
      <c r="BE4" s="11">
        <v>-3.2296057790517807E-2</v>
      </c>
      <c r="BF4" s="11">
        <v>-3.2346583902835853E-2</v>
      </c>
      <c r="BG4" s="11">
        <v>-3.2194517552852631E-2</v>
      </c>
      <c r="BH4" s="11">
        <v>-1.9704345613718029E-2</v>
      </c>
      <c r="BI4" s="11">
        <v>-2.780326642096043E-2</v>
      </c>
      <c r="BJ4" s="11">
        <v>-2.80107855796814E-2</v>
      </c>
      <c r="BK4" s="11">
        <v>-3.0229432508349419E-2</v>
      </c>
      <c r="BL4" s="11">
        <v>-2.991438657045364E-2</v>
      </c>
      <c r="BM4" s="11">
        <v>-3.1547844409942627E-2</v>
      </c>
      <c r="BN4" s="11">
        <v>-3.8578428328037262E-2</v>
      </c>
      <c r="BO4" s="11">
        <v>-2.9772218316793438E-2</v>
      </c>
      <c r="BP4" s="11">
        <v>-3.6932468414306641E-2</v>
      </c>
      <c r="BQ4" s="11">
        <v>-3.3658269792795181E-2</v>
      </c>
      <c r="BR4" s="11">
        <v>-1.1724528856575491E-2</v>
      </c>
      <c r="BS4" s="11">
        <v>-1.5890749171376228E-2</v>
      </c>
      <c r="BT4" s="11">
        <v>-2.0781641826033589E-2</v>
      </c>
      <c r="BU4" s="11">
        <v>-2.0965751260519031E-2</v>
      </c>
      <c r="BV4" s="11">
        <v>-1.7983367666602131E-2</v>
      </c>
      <c r="BW4" s="11">
        <v>-2.2088326513767239E-2</v>
      </c>
      <c r="BX4" s="11">
        <v>-3.0406095087528229E-2</v>
      </c>
      <c r="BY4" s="11">
        <v>-3.0804829671978951E-2</v>
      </c>
      <c r="BZ4" s="11">
        <v>-3.0603507533669468E-2</v>
      </c>
      <c r="CA4" s="11">
        <v>-3.099978901445866E-2</v>
      </c>
      <c r="CB4" s="11">
        <v>-2.641275338828564E-2</v>
      </c>
      <c r="CC4" s="11">
        <v>-2.8904115781188011E-2</v>
      </c>
      <c r="CD4" s="11">
        <v>-2.8219865635037419E-2</v>
      </c>
      <c r="CE4" s="11">
        <v>-2.8157502412796021E-2</v>
      </c>
      <c r="CF4" s="11">
        <v>-3.0116477981209751E-2</v>
      </c>
      <c r="CG4" s="11">
        <v>-3.000578656792641E-2</v>
      </c>
      <c r="CH4" s="11">
        <v>-3.004055842757225E-2</v>
      </c>
      <c r="CI4" s="11">
        <v>-3.1394515186548233E-2</v>
      </c>
      <c r="CJ4" s="11">
        <v>-3.1854711472988129E-2</v>
      </c>
      <c r="CK4" s="11">
        <v>-3.1971924006938927E-2</v>
      </c>
      <c r="CL4" s="11">
        <v>-3.5468246787786477E-2</v>
      </c>
      <c r="CM4" s="11">
        <v>-3.1219955533742901E-2</v>
      </c>
      <c r="CN4" s="11">
        <v>-3.586915135383606E-2</v>
      </c>
      <c r="CO4" s="11">
        <v>-3.1749378889799118E-2</v>
      </c>
      <c r="CP4" s="11">
        <v>-3.1618151813745499E-2</v>
      </c>
      <c r="CQ4" s="11">
        <v>-2.7020266279578209E-2</v>
      </c>
      <c r="CR4" s="11">
        <v>-2.5449879467487339E-2</v>
      </c>
      <c r="CS4" s="11">
        <v>-2.9090225696563721E-2</v>
      </c>
      <c r="CT4" s="11">
        <v>-2.5807581841945652E-2</v>
      </c>
      <c r="CU4" s="11">
        <v>-2.6407243683934212E-2</v>
      </c>
      <c r="CV4" s="11">
        <v>-2.782540954649448E-2</v>
      </c>
      <c r="CW4" s="11">
        <v>-3.4329790621995933E-2</v>
      </c>
      <c r="CX4" s="11">
        <v>-2.7993788942694661E-2</v>
      </c>
      <c r="CY4" s="11">
        <v>-2.6280265301465992E-2</v>
      </c>
      <c r="CZ4" s="11">
        <v>-2.7791231870651249E-2</v>
      </c>
      <c r="DA4" s="11">
        <v>-2.9591461643576619E-2</v>
      </c>
      <c r="DB4" s="11">
        <v>-3.4101340919733047E-2</v>
      </c>
      <c r="DC4" s="11">
        <v>-3.4843210130929947E-2</v>
      </c>
      <c r="DD4" s="11">
        <v>-3.2262604683637619E-2</v>
      </c>
      <c r="DE4" s="11">
        <v>-2.881589904427528E-2</v>
      </c>
      <c r="DF4" s="11">
        <v>-2.8322570025920871E-2</v>
      </c>
      <c r="DG4" s="11">
        <v>-2.6369631290435791E-2</v>
      </c>
      <c r="DH4" s="11">
        <v>-3.1315241008996957E-2</v>
      </c>
      <c r="DI4" s="11">
        <v>-2.9898226261138919E-2</v>
      </c>
      <c r="DJ4" s="11">
        <v>-2.9556438326835629E-2</v>
      </c>
      <c r="DK4" s="11">
        <v>-2.8653092682361599E-2</v>
      </c>
      <c r="DL4" s="11">
        <v>-2.926721982657909E-2</v>
      </c>
      <c r="DM4" s="11">
        <v>-2.9532833024859428E-2</v>
      </c>
      <c r="DN4" s="11">
        <v>-3.190428763628006E-2</v>
      </c>
      <c r="DO4" s="11">
        <v>-2.7400294318795201E-2</v>
      </c>
      <c r="DP4" s="11">
        <v>-3.3020105212926858E-2</v>
      </c>
      <c r="DQ4" s="11">
        <v>-2.694530226290226E-2</v>
      </c>
      <c r="DR4" s="11">
        <v>-2.806044556200504E-2</v>
      </c>
      <c r="DS4" s="11">
        <v>-2.7914209291338921E-2</v>
      </c>
      <c r="DT4" s="11">
        <v>-2.7555149048566822E-2</v>
      </c>
      <c r="DU4" s="11">
        <v>-2.540554478764534E-2</v>
      </c>
      <c r="DV4" s="11">
        <v>-2.6828791946172711E-2</v>
      </c>
      <c r="DW4" s="11">
        <v>-3.7095267325639718E-2</v>
      </c>
      <c r="DX4" s="11">
        <v>-2.7448661625385281E-2</v>
      </c>
      <c r="DY4" s="11">
        <v>-3.1317904591560357E-2</v>
      </c>
      <c r="DZ4" s="11">
        <v>-2.4290399625897411E-2</v>
      </c>
      <c r="EA4" s="11">
        <v>-8.3518818020820618E-2</v>
      </c>
      <c r="EB4" s="11">
        <v>-7.7344618737697601E-2</v>
      </c>
      <c r="EC4" s="11">
        <v>-7.0242889225482941E-2</v>
      </c>
      <c r="ED4" s="11">
        <v>-6.3896283507347107E-2</v>
      </c>
      <c r="EE4" s="11">
        <v>-9.7872823476791382E-2</v>
      </c>
      <c r="EF4" s="11">
        <v>-7.6828889548778534E-2</v>
      </c>
    </row>
    <row r="5" spans="1:136" s="1" customFormat="1">
      <c r="B5" s="2" t="s">
        <v>138</v>
      </c>
      <c r="C5" s="11">
        <v>0.50836324691772461</v>
      </c>
      <c r="D5" s="11">
        <v>0.76913774013519287</v>
      </c>
      <c r="E5" s="11">
        <v>0.54195535182952881</v>
      </c>
      <c r="F5" s="11">
        <v>1.1543282270431521</v>
      </c>
      <c r="G5" s="11">
        <v>0.54750555753707886</v>
      </c>
      <c r="H5" s="11">
        <v>0.91896617412567139</v>
      </c>
      <c r="I5" s="11">
        <v>0.66497212648391724</v>
      </c>
      <c r="J5" s="11">
        <v>0.96098613739013672</v>
      </c>
      <c r="K5" s="11">
        <v>1.069318890571594</v>
      </c>
      <c r="L5" s="11">
        <v>0.58301490545272827</v>
      </c>
      <c r="M5" s="11">
        <v>0.48336148262023931</v>
      </c>
      <c r="N5" s="11">
        <v>0.4335099458694458</v>
      </c>
      <c r="O5" s="11">
        <v>6.3416294753551483E-2</v>
      </c>
      <c r="P5" s="11">
        <v>3.3898822963237762E-2</v>
      </c>
      <c r="Q5" s="11">
        <v>-0.63935673236846924</v>
      </c>
      <c r="R5" s="11">
        <v>-5.0250470638275153E-2</v>
      </c>
      <c r="S5" s="11">
        <v>6.6091194748878479E-2</v>
      </c>
      <c r="T5" s="11">
        <v>-6.0526482760906219E-2</v>
      </c>
      <c r="U5" s="11">
        <v>-5.0881840288639069E-2</v>
      </c>
      <c r="V5" s="11">
        <v>0.12953431904315951</v>
      </c>
      <c r="W5" s="11">
        <v>0.1782713979482651</v>
      </c>
      <c r="X5" s="11">
        <v>0.22364641726017001</v>
      </c>
      <c r="Y5" s="11">
        <v>0.2607954740524292</v>
      </c>
      <c r="Z5" s="11">
        <v>0.17032516002655029</v>
      </c>
      <c r="AA5" s="11">
        <v>0.14871090650558469</v>
      </c>
      <c r="AB5" s="11">
        <v>0.13639476895332339</v>
      </c>
      <c r="AC5" s="11">
        <v>0.1064975261688232</v>
      </c>
      <c r="AD5" s="11">
        <v>0.1051289364695549</v>
      </c>
      <c r="AE5" s="11">
        <v>9.8157517611980438E-2</v>
      </c>
      <c r="AF5" s="11">
        <v>8.0513276159763336E-2</v>
      </c>
      <c r="AG5" s="11">
        <v>5.8855693787336349E-2</v>
      </c>
      <c r="AH5" s="11">
        <v>3.0879952013492581E-2</v>
      </c>
      <c r="AI5" s="11">
        <v>-1.261719036847353E-2</v>
      </c>
      <c r="AJ5" s="11">
        <v>4.1990965604782098E-2</v>
      </c>
      <c r="AK5" s="11">
        <v>7.5650393962860107E-2</v>
      </c>
      <c r="AL5" s="11">
        <v>6.6236443817615509E-2</v>
      </c>
      <c r="AM5" s="11">
        <v>3.2869942486286163E-2</v>
      </c>
      <c r="AN5" s="11">
        <v>3.6517307162284851E-2</v>
      </c>
      <c r="AO5" s="11">
        <v>6.8531297147274017E-2</v>
      </c>
      <c r="AP5" s="11">
        <v>6.5215103328227997E-2</v>
      </c>
      <c r="AQ5" s="11">
        <v>0.1400775462388992</v>
      </c>
      <c r="AR5" s="11">
        <v>0.16342324018478391</v>
      </c>
      <c r="AS5" s="11">
        <v>0.18792152404785159</v>
      </c>
      <c r="AT5" s="11">
        <v>0.19995155930519101</v>
      </c>
      <c r="AU5" s="11">
        <v>0.19402837753295901</v>
      </c>
      <c r="AV5" s="11">
        <v>0.15869356691837311</v>
      </c>
      <c r="AW5" s="11">
        <v>-3.568306565284729E-2</v>
      </c>
      <c r="AX5" s="11">
        <v>3.6226339638233178E-2</v>
      </c>
      <c r="AY5" s="11">
        <v>0.1132773458957672</v>
      </c>
      <c r="AZ5" s="11">
        <v>0.104707270860672</v>
      </c>
      <c r="BA5" s="11">
        <v>6.849505752325058E-2</v>
      </c>
      <c r="BB5" s="11">
        <v>-7.3811113834381104E-3</v>
      </c>
      <c r="BC5" s="11">
        <v>-3.7875480949878693E-2</v>
      </c>
      <c r="BD5" s="11">
        <v>-2.379884384572506E-2</v>
      </c>
      <c r="BE5" s="11">
        <v>1.822005026042461E-3</v>
      </c>
      <c r="BF5" s="11">
        <v>-2.3551452904939651E-2</v>
      </c>
      <c r="BG5" s="11">
        <v>5.2555324509739876E-4</v>
      </c>
      <c r="BH5" s="11">
        <v>5.9344802051782608E-2</v>
      </c>
      <c r="BI5" s="11">
        <v>1.4028729870915409E-2</v>
      </c>
      <c r="BJ5" s="11">
        <v>8.2117840647697449E-3</v>
      </c>
      <c r="BK5" s="11">
        <v>5.5602390319108963E-2</v>
      </c>
      <c r="BL5" s="11">
        <v>-3.1602058559656143E-2</v>
      </c>
      <c r="BM5" s="11">
        <v>6.5659098327159882E-2</v>
      </c>
      <c r="BN5" s="11">
        <v>-5.0475221127271652E-2</v>
      </c>
      <c r="BO5" s="11">
        <v>-5.4688155651092529E-2</v>
      </c>
      <c r="BP5" s="11">
        <v>-3.0284570530056949E-3</v>
      </c>
      <c r="BQ5" s="11">
        <v>7.9566333442926407E-3</v>
      </c>
      <c r="BR5" s="11">
        <v>-2.7654411271214489E-2</v>
      </c>
      <c r="BS5" s="11">
        <v>-6.0201874002814293E-3</v>
      </c>
      <c r="BT5" s="11">
        <v>4.3329164385795593E-2</v>
      </c>
      <c r="BU5" s="11">
        <v>4.8520129173994057E-2</v>
      </c>
      <c r="BV5" s="11">
        <v>0.14270420372486109</v>
      </c>
      <c r="BW5" s="11">
        <v>0.13052307069301611</v>
      </c>
      <c r="BX5" s="11">
        <v>5.2400790154933929E-2</v>
      </c>
      <c r="BY5" s="11">
        <v>6.0546338558197021E-2</v>
      </c>
      <c r="BZ5" s="11">
        <v>5.7873823679983616E-3</v>
      </c>
      <c r="CA5" s="11">
        <v>-2.9747102409601212E-2</v>
      </c>
      <c r="CB5" s="11">
        <v>-3.9389632642269128E-2</v>
      </c>
      <c r="CC5" s="11">
        <v>1.370896119624376E-2</v>
      </c>
      <c r="CD5" s="11">
        <v>1.4963460154831409E-2</v>
      </c>
      <c r="CE5" s="11">
        <v>1.9200652837753299E-2</v>
      </c>
      <c r="CF5" s="11">
        <v>4.381309449672699E-2</v>
      </c>
      <c r="CG5" s="11">
        <v>3.0113250017166141E-2</v>
      </c>
      <c r="CH5" s="11">
        <v>4.3025322258472443E-2</v>
      </c>
      <c r="CI5" s="11">
        <v>2.937228232622147E-2</v>
      </c>
      <c r="CJ5" s="11">
        <v>4.1782274842262268E-2</v>
      </c>
      <c r="CK5" s="11">
        <v>3.7300810217857361E-2</v>
      </c>
      <c r="CL5" s="11">
        <v>6.0941599309444427E-2</v>
      </c>
      <c r="CM5" s="11">
        <v>-3.8412053138017647E-2</v>
      </c>
      <c r="CN5" s="11">
        <v>2.307451143860817E-2</v>
      </c>
      <c r="CO5" s="11">
        <v>0.1589557081460953</v>
      </c>
      <c r="CP5" s="11">
        <v>-3.6965128034353263E-2</v>
      </c>
      <c r="CQ5" s="11">
        <v>6.9797366857528687E-2</v>
      </c>
      <c r="CR5" s="11">
        <v>-3.3767849206924438E-2</v>
      </c>
      <c r="CS5" s="11">
        <v>2.6915153488516811E-2</v>
      </c>
      <c r="CT5" s="11">
        <v>5.3638488054275513E-2</v>
      </c>
      <c r="CU5" s="11">
        <v>6.3532985746860504E-2</v>
      </c>
      <c r="CV5" s="11">
        <v>5.5906884372234338E-2</v>
      </c>
      <c r="CW5" s="11">
        <v>4.8717334866523743E-2</v>
      </c>
      <c r="CX5" s="11">
        <v>3.1909029930830002E-2</v>
      </c>
      <c r="CY5" s="11">
        <v>2.966258488595486E-2</v>
      </c>
      <c r="CZ5" s="11">
        <v>3.6755949258804321E-2</v>
      </c>
      <c r="DA5" s="11">
        <v>2.631759271025658E-2</v>
      </c>
      <c r="DB5" s="11">
        <v>2.7680350467562679E-2</v>
      </c>
      <c r="DC5" s="11">
        <v>3.7085290998220437E-2</v>
      </c>
      <c r="DD5" s="11">
        <v>1.9733298569917679E-2</v>
      </c>
      <c r="DE5" s="11">
        <v>4.1370406746864319E-2</v>
      </c>
      <c r="DF5" s="11">
        <v>4.0565907955169678E-2</v>
      </c>
      <c r="DG5" s="11">
        <v>3.3224057406187057E-2</v>
      </c>
      <c r="DH5" s="11">
        <v>2.4580571800470349E-2</v>
      </c>
      <c r="DI5" s="11">
        <v>-2.881684526801109E-2</v>
      </c>
      <c r="DJ5" s="11">
        <v>2.9332105070352551E-2</v>
      </c>
      <c r="DK5" s="11">
        <v>3.2709039747715003E-2</v>
      </c>
      <c r="DL5" s="11">
        <v>3.5447288304567337E-2</v>
      </c>
      <c r="DM5" s="11">
        <v>4.903421550989151E-2</v>
      </c>
      <c r="DN5" s="11">
        <v>-0.11219848692417141</v>
      </c>
      <c r="DO5" s="11">
        <v>5.3319718688726432E-2</v>
      </c>
      <c r="DP5" s="11">
        <v>5.3090192377567291E-2</v>
      </c>
      <c r="DQ5" s="11">
        <v>6.7249387502670288E-2</v>
      </c>
      <c r="DR5" s="11">
        <v>3.8297854363918298E-2</v>
      </c>
      <c r="DS5" s="11">
        <v>4.5268747955560677E-2</v>
      </c>
      <c r="DT5" s="11">
        <v>8.5754990577697754E-3</v>
      </c>
      <c r="DU5" s="11">
        <v>1.5342086553573611E-3</v>
      </c>
      <c r="DV5" s="11">
        <v>3.8169108331203461E-2</v>
      </c>
      <c r="DW5" s="11">
        <v>3.0193541198968891E-2</v>
      </c>
      <c r="DX5" s="11">
        <v>3.4144993871450417E-2</v>
      </c>
      <c r="DY5" s="11">
        <v>5.4498199373483658E-2</v>
      </c>
      <c r="DZ5" s="11">
        <v>4.3653316795825958E-2</v>
      </c>
      <c r="EA5" s="11">
        <v>2.1745305508375171E-2</v>
      </c>
      <c r="EB5" s="11">
        <v>6.247103214263916E-3</v>
      </c>
      <c r="EC5" s="11">
        <v>2.142295241355896E-2</v>
      </c>
      <c r="ED5" s="11">
        <v>1.7024625092744831E-2</v>
      </c>
      <c r="EE5" s="11">
        <v>5.3500138223171227E-2</v>
      </c>
      <c r="EF5" s="11">
        <v>5.7897597551345832E-2</v>
      </c>
    </row>
    <row r="6" spans="1:136" s="1" customFormat="1">
      <c r="A6" s="2" t="s">
        <v>139</v>
      </c>
      <c r="C6" s="11">
        <f t="array" ref="C6">MATCH(MAX(ABS(C3:C5)),ABS(C3:C5),0)</f>
        <v>3</v>
      </c>
      <c r="D6" s="11">
        <f t="array" ref="D6">MATCH(MAX(ABS(D3:D5)),ABS(D3:D5),0)</f>
        <v>3</v>
      </c>
      <c r="E6" s="11">
        <f t="array" ref="E6">MATCH(MAX(ABS(E3:E5)),ABS(E3:E5),0)</f>
        <v>3</v>
      </c>
      <c r="F6" s="11">
        <f t="array" ref="F6">MATCH(MAX(ABS(F3:F5)),ABS(F3:F5),0)</f>
        <v>3</v>
      </c>
      <c r="G6" s="11">
        <f t="array" ref="G6">MATCH(MAX(ABS(G3:G5)),ABS(G3:G5),0)</f>
        <v>3</v>
      </c>
      <c r="H6" s="11">
        <f t="array" ref="H6">MATCH(MAX(ABS(H3:H5)),ABS(H3:H5),0)</f>
        <v>3</v>
      </c>
      <c r="I6" s="11">
        <f t="array" ref="I6">MATCH(MAX(ABS(I3:I5)),ABS(I3:I5),0)</f>
        <v>3</v>
      </c>
      <c r="J6" s="11">
        <f t="array" ref="J6">MATCH(MAX(ABS(J3:J5)),ABS(J3:J5),0)</f>
        <v>3</v>
      </c>
      <c r="K6" s="11">
        <f t="array" ref="K6">MATCH(MAX(ABS(K3:K5)),ABS(K3:K5),0)</f>
        <v>3</v>
      </c>
      <c r="L6" s="11">
        <f t="array" ref="L6">MATCH(MAX(ABS(L3:L5)),ABS(L3:L5),0)</f>
        <v>3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1</v>
      </c>
      <c r="Q6" s="11">
        <f t="array" ref="Q6">MATCH(MAX(ABS(Q3:Q5)),ABS(Q3:Q5),0)</f>
        <v>3</v>
      </c>
      <c r="R6" s="11">
        <f t="array" ref="R6">MATCH(MAX(ABS(R3:R5)),ABS(R3:R5),0)</f>
        <v>3</v>
      </c>
      <c r="S6" s="11">
        <f t="array" ref="S6">MATCH(MAX(ABS(S3:S5)),ABS(S3:S5),0)</f>
        <v>3</v>
      </c>
      <c r="T6" s="11">
        <f t="array" ref="T6">MATCH(MAX(ABS(T3:T5)),ABS(T3:T5),0)</f>
        <v>3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1</v>
      </c>
      <c r="X6" s="11">
        <f t="array" ref="X6">MATCH(MAX(ABS(X3:X5)),ABS(X3:X5),0)</f>
        <v>3</v>
      </c>
      <c r="Y6" s="11">
        <f t="array" ref="Y6">MATCH(MAX(ABS(Y3:Y5)),ABS(Y3:Y5),0)</f>
        <v>3</v>
      </c>
      <c r="Z6" s="11">
        <f t="array" ref="Z6">MATCH(MAX(ABS(Z3:Z5)),ABS(Z3:Z5),0)</f>
        <v>3</v>
      </c>
      <c r="AA6" s="11">
        <f t="array" ref="AA6">MATCH(MAX(ABS(AA3:AA5)),ABS(AA3:AA5),0)</f>
        <v>3</v>
      </c>
      <c r="AB6" s="11">
        <f t="array" ref="AB6">MATCH(MAX(ABS(AB3:AB5)),ABS(AB3:AB5),0)</f>
        <v>3</v>
      </c>
      <c r="AC6" s="11">
        <f t="array" ref="AC6">MATCH(MAX(ABS(AC3:AC5)),ABS(AC3:AC5),0)</f>
        <v>3</v>
      </c>
      <c r="AD6" s="11">
        <f t="array" ref="AD6">MATCH(MAX(ABS(AD3:AD5)),ABS(AD3:AD5),0)</f>
        <v>3</v>
      </c>
      <c r="AE6" s="11">
        <f t="array" ref="AE6">MATCH(MAX(ABS(AE3:AE5)),ABS(AE3:AE5),0)</f>
        <v>3</v>
      </c>
      <c r="AF6" s="11">
        <f t="array" ref="AF6">MATCH(MAX(ABS(AF3:AF5)),ABS(AF3:AF5),0)</f>
        <v>3</v>
      </c>
      <c r="AG6" s="11">
        <f t="array" ref="AG6">MATCH(MAX(ABS(AG3:AG5)),ABS(AG3:AG5),0)</f>
        <v>3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3</v>
      </c>
      <c r="AL6" s="11">
        <f t="array" ref="AL6">MATCH(MAX(ABS(AL3:AL5)),ABS(AL3:AL5),0)</f>
        <v>3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3</v>
      </c>
      <c r="AR6" s="11">
        <f t="array" ref="AR6">MATCH(MAX(ABS(AR3:AR5)),ABS(AR3:AR5),0)</f>
        <v>3</v>
      </c>
      <c r="AS6" s="11">
        <f t="array" ref="AS6">MATCH(MAX(ABS(AS3:AS5)),ABS(AS3:AS5),0)</f>
        <v>3</v>
      </c>
      <c r="AT6" s="11">
        <f t="array" ref="AT6">MATCH(MAX(ABS(AT3:AT5)),ABS(AT3:AT5),0)</f>
        <v>3</v>
      </c>
      <c r="AU6" s="11">
        <f t="array" ref="AU6">MATCH(MAX(ABS(AU3:AU5)),ABS(AU3:AU5),0)</f>
        <v>3</v>
      </c>
      <c r="AV6" s="11">
        <f t="array" ref="AV6">MATCH(MAX(ABS(AV3:AV5)),ABS(AV3:AV5),0)</f>
        <v>3</v>
      </c>
      <c r="AW6" s="11">
        <f t="array" ref="AW6">MATCH(MAX(ABS(AW3:AW5)),ABS(AW3:AW5),0)</f>
        <v>3</v>
      </c>
      <c r="AX6" s="11">
        <f t="array" ref="AX6">MATCH(MAX(ABS(AX3:AX5)),ABS(AX3:AX5),0)</f>
        <v>3</v>
      </c>
      <c r="AY6" s="11">
        <f t="array" ref="AY6">MATCH(MAX(ABS(AY3:AY5)),ABS(AY3:AY5),0)</f>
        <v>3</v>
      </c>
      <c r="AZ6" s="11">
        <f t="array" ref="AZ6">MATCH(MAX(ABS(AZ3:AZ5)),ABS(AZ3:AZ5),0)</f>
        <v>3</v>
      </c>
      <c r="BA6" s="11">
        <f t="array" ref="BA6">MATCH(MAX(ABS(BA3:BA5)),ABS(BA3:BA5),0)</f>
        <v>3</v>
      </c>
      <c r="BB6" s="11">
        <f t="array" ref="BB6">MATCH(MAX(ABS(BB3:BB5)),ABS(BB3:BB5),0)</f>
        <v>1</v>
      </c>
      <c r="BC6" s="11">
        <f t="array" ref="BC6">MATCH(MAX(ABS(BC3:BC5)),ABS(BC3:BC5),0)</f>
        <v>3</v>
      </c>
      <c r="BD6" s="11">
        <f t="array" ref="BD6">MATCH(MAX(ABS(BD3:BD5)),ABS(BD3:BD5),0)</f>
        <v>2</v>
      </c>
      <c r="BE6" s="11">
        <f t="array" ref="BE6">MATCH(MAX(ABS(BE3:BE5)),ABS(BE3:BE5),0)</f>
        <v>2</v>
      </c>
      <c r="BF6" s="11">
        <f t="array" ref="BF6">MATCH(MAX(ABS(BF3:BF5)),ABS(BF3:BF5),0)</f>
        <v>2</v>
      </c>
      <c r="BG6" s="11">
        <f t="array" ref="BG6">MATCH(MAX(ABS(BG3:BG5)),ABS(BG3:BG5),0)</f>
        <v>2</v>
      </c>
      <c r="BH6" s="11">
        <f t="array" ref="BH6">MATCH(MAX(ABS(BH3:BH5)),ABS(BH3:BH5),0)</f>
        <v>3</v>
      </c>
      <c r="BI6" s="11">
        <f t="array" ref="BI6">MATCH(MAX(ABS(BI3:BI5)),ABS(BI3:BI5),0)</f>
        <v>2</v>
      </c>
      <c r="BJ6" s="11">
        <f t="array" ref="BJ6">MATCH(MAX(ABS(BJ3:BJ5)),ABS(BJ3:BJ5),0)</f>
        <v>1</v>
      </c>
      <c r="BK6" s="11">
        <f t="array" ref="BK6">MATCH(MAX(ABS(BK3:BK5)),ABS(BK3:BK5),0)</f>
        <v>3</v>
      </c>
      <c r="BL6" s="11">
        <f t="array" ref="BL6">MATCH(MAX(ABS(BL3:BL5)),ABS(BL3:BL5),0)</f>
        <v>1</v>
      </c>
      <c r="BM6" s="11">
        <f t="array" ref="BM6">MATCH(MAX(ABS(BM3:BM5)),ABS(BM3:BM5),0)</f>
        <v>3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1</v>
      </c>
      <c r="BT6" s="11">
        <f t="array" ref="BT6">MATCH(MAX(ABS(BT3:BT5)),ABS(BT3:BT5),0)</f>
        <v>3</v>
      </c>
      <c r="BU6" s="11">
        <f t="array" ref="BU6">MATCH(MAX(ABS(BU3:BU5)),ABS(BU3:BU5),0)</f>
        <v>3</v>
      </c>
      <c r="BV6" s="11">
        <f t="array" ref="BV6">MATCH(MAX(ABS(BV3:BV5)),ABS(BV3:BV5),0)</f>
        <v>3</v>
      </c>
      <c r="BW6" s="11">
        <f t="array" ref="BW6">MATCH(MAX(ABS(BW3:BW5)),ABS(BW3:BW5),0)</f>
        <v>3</v>
      </c>
      <c r="BX6" s="11">
        <f t="array" ref="BX6">MATCH(MAX(ABS(BX3:BX5)),ABS(BX3:BX5),0)</f>
        <v>3</v>
      </c>
      <c r="BY6" s="11">
        <f t="array" ref="BY6">MATCH(MAX(ABS(BY3:BY5)),ABS(BY3:BY5),0)</f>
        <v>3</v>
      </c>
      <c r="BZ6" s="11">
        <f t="array" ref="BZ6">MATCH(MAX(ABS(BZ3:BZ5)),ABS(BZ3:BZ5),0)</f>
        <v>1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2</v>
      </c>
      <c r="CD6" s="11">
        <f t="array" ref="CD6">MATCH(MAX(ABS(CD3:CD5)),ABS(CD3:CD5),0)</f>
        <v>1</v>
      </c>
      <c r="CE6" s="11">
        <f t="array" ref="CE6">MATCH(MAX(ABS(CE3:CE5)),ABS(CE3:CE5),0)</f>
        <v>2</v>
      </c>
      <c r="CF6" s="11">
        <f t="array" ref="CF6">MATCH(MAX(ABS(CF3:CF5)),ABS(CF3:CF5),0)</f>
        <v>3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2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3</v>
      </c>
      <c r="CN6" s="11">
        <f t="array" ref="CN6">MATCH(MAX(ABS(CN3:CN5)),ABS(CN3:CN5),0)</f>
        <v>2</v>
      </c>
      <c r="CO6" s="11">
        <f t="array" ref="CO6">MATCH(MAX(ABS(CO3:CO5)),ABS(CO3:CO5),0)</f>
        <v>3</v>
      </c>
      <c r="CP6" s="11">
        <f t="array" ref="CP6">MATCH(MAX(ABS(CP3:CP5)),ABS(CP3:CP5),0)</f>
        <v>3</v>
      </c>
      <c r="CQ6" s="11">
        <f t="array" ref="CQ6">MATCH(MAX(ABS(CQ3:CQ5)),ABS(CQ3:CQ5),0)</f>
        <v>3</v>
      </c>
      <c r="CR6" s="11">
        <f t="array" ref="CR6">MATCH(MAX(ABS(CR3:CR5)),ABS(CR3:CR5),0)</f>
        <v>3</v>
      </c>
      <c r="CS6" s="11">
        <f t="array" ref="CS6">MATCH(MAX(ABS(CS3:CS5)),ABS(CS3:CS5),0)</f>
        <v>2</v>
      </c>
      <c r="CT6" s="11">
        <f t="array" ref="CT6">MATCH(MAX(ABS(CT3:CT5)),ABS(CT3:CT5),0)</f>
        <v>3</v>
      </c>
      <c r="CU6" s="11">
        <f t="array" ref="CU6">MATCH(MAX(ABS(CU3:CU5)),ABS(CU3:CU5),0)</f>
        <v>3</v>
      </c>
      <c r="CV6" s="11">
        <f t="array" ref="CV6">MATCH(MAX(ABS(CV3:CV5)),ABS(CV3:CV5),0)</f>
        <v>3</v>
      </c>
      <c r="CW6" s="11">
        <f t="array" ref="CW6">MATCH(MAX(ABS(CW3:CW5)),ABS(CW3:CW5),0)</f>
        <v>3</v>
      </c>
      <c r="CX6" s="11">
        <f t="array" ref="CX6">MATCH(MAX(ABS(CX3:CX5)),ABS(CX3:CX5),0)</f>
        <v>1</v>
      </c>
      <c r="CY6" s="11">
        <f t="array" ref="CY6">MATCH(MAX(ABS(CY3:CY5)),ABS(CY3:CY5),0)</f>
        <v>3</v>
      </c>
      <c r="CZ6" s="11">
        <f t="array" ref="CZ6">MATCH(MAX(ABS(CZ3:CZ5)),ABS(CZ3:CZ5),0)</f>
        <v>1</v>
      </c>
      <c r="DA6" s="11">
        <f t="array" ref="DA6">MATCH(MAX(ABS(DA3:DA5)),ABS(DA3:DA5),0)</f>
        <v>2</v>
      </c>
      <c r="DB6" s="11">
        <f t="array" ref="DB6">MATCH(MAX(ABS(DB3:DB5)),ABS(DB3:DB5),0)</f>
        <v>2</v>
      </c>
      <c r="DC6" s="11">
        <f t="array" ref="DC6">MATCH(MAX(ABS(DC3:DC5)),ABS(DC3:DC5),0)</f>
        <v>3</v>
      </c>
      <c r="DD6" s="11">
        <f t="array" ref="DD6">MATCH(MAX(ABS(DD3:DD5)),ABS(DD3:DD5),0)</f>
        <v>2</v>
      </c>
      <c r="DE6" s="11">
        <f t="array" ref="DE6">MATCH(MAX(ABS(DE3:DE5)),ABS(DE3:DE5),0)</f>
        <v>3</v>
      </c>
      <c r="DF6" s="11">
        <f t="array" ref="DF6">MATCH(MAX(ABS(DF3:DF5)),ABS(DF3:DF5),0)</f>
        <v>3</v>
      </c>
      <c r="DG6" s="11">
        <f t="array" ref="DG6">MATCH(MAX(ABS(DG3:DG5)),ABS(DG3:DG5),0)</f>
        <v>3</v>
      </c>
      <c r="DH6" s="11">
        <f t="array" ref="DH6">MATCH(MAX(ABS(DH3:DH5)),ABS(DH3:DH5),0)</f>
        <v>2</v>
      </c>
      <c r="DI6" s="11">
        <f t="array" ref="DI6">MATCH(MAX(ABS(DI3:DI5)),ABS(DI3:DI5),0)</f>
        <v>2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3</v>
      </c>
      <c r="DM6" s="11">
        <f t="array" ref="DM6">MATCH(MAX(ABS(DM3:DM5)),ABS(DM3:DM5),0)</f>
        <v>3</v>
      </c>
      <c r="DN6" s="11">
        <f t="array" ref="DN6">MATCH(MAX(ABS(DN3:DN5)),ABS(DN3:DN5),0)</f>
        <v>3</v>
      </c>
      <c r="DO6" s="11">
        <f t="array" ref="DO6">MATCH(MAX(ABS(DO3:DO5)),ABS(DO3:DO5),0)</f>
        <v>3</v>
      </c>
      <c r="DP6" s="11">
        <f t="array" ref="DP6">MATCH(MAX(ABS(DP3:DP5)),ABS(DP3:DP5),0)</f>
        <v>3</v>
      </c>
      <c r="DQ6" s="11">
        <f t="array" ref="DQ6">MATCH(MAX(ABS(DQ3:DQ5)),ABS(DQ3:DQ5),0)</f>
        <v>3</v>
      </c>
      <c r="DR6" s="11">
        <f t="array" ref="DR6">MATCH(MAX(ABS(DR3:DR5)),ABS(DR3:DR5),0)</f>
        <v>1</v>
      </c>
      <c r="DS6" s="11">
        <f t="array" ref="DS6">MATCH(MAX(ABS(DS3:DS5)),ABS(DS3:DS5),0)</f>
        <v>3</v>
      </c>
      <c r="DT6" s="11">
        <f t="array" ref="DT6">MATCH(MAX(ABS(DT3:DT5)),ABS(DT3:DT5),0)</f>
        <v>1</v>
      </c>
      <c r="DU6" s="11">
        <f t="array" ref="DU6">MATCH(MAX(ABS(DU3:DU5)),ABS(DU3:DU5),0)</f>
        <v>2</v>
      </c>
      <c r="DV6" s="11">
        <f t="array" ref="DV6">MATCH(MAX(ABS(DV3:DV5)),ABS(DV3:DV5),0)</f>
        <v>3</v>
      </c>
      <c r="DW6" s="11">
        <f t="array" ref="DW6">MATCH(MAX(ABS(DW3:DW5)),ABS(DW3:DW5),0)</f>
        <v>2</v>
      </c>
      <c r="DX6" s="11">
        <f t="array" ref="DX6">MATCH(MAX(ABS(DX3:DX5)),ABS(DX3:DX5),0)</f>
        <v>3</v>
      </c>
      <c r="DY6" s="11">
        <f t="array" ref="DY6">MATCH(MAX(ABS(DY3:DY5)),ABS(DY3:DY5),0)</f>
        <v>3</v>
      </c>
      <c r="DZ6" s="11">
        <f t="array" ref="DZ6">MATCH(MAX(ABS(DZ3:DZ5)),ABS(DZ3:DZ5),0)</f>
        <v>3</v>
      </c>
      <c r="EA6" s="11">
        <f t="array" ref="EA6">MATCH(MAX(ABS(EA3:EA5)),ABS(EA3:EA5),0)</f>
        <v>2</v>
      </c>
      <c r="EB6" s="11">
        <f t="array" ref="EB6">MATCH(MAX(ABS(EB3:EB5)),ABS(EB3:EB5),0)</f>
        <v>2</v>
      </c>
      <c r="EC6" s="11">
        <f t="array" ref="EC6">MATCH(MAX(ABS(EC3:EC5)),ABS(EC3:EC5),0)</f>
        <v>2</v>
      </c>
      <c r="ED6" s="11">
        <f t="array" ref="ED6">MATCH(MAX(ABS(ED3:ED5)),ABS(ED3:ED5),0)</f>
        <v>2</v>
      </c>
      <c r="EE6" s="11">
        <f t="array" ref="EE6">MATCH(MAX(ABS(EE3:EE5)),ABS(EE3:EE5),0)</f>
        <v>2</v>
      </c>
      <c r="EF6" s="11">
        <f t="array" ref="EF6">MATCH(MAX(ABS(EF3:EF5)),ABS(EF3:EF5),0)</f>
        <v>2</v>
      </c>
    </row>
    <row r="7" spans="1:136">
      <c r="C7" s="12" t="str">
        <f t="shared" ref="C7:AH7" si="0">IF(C6=1,"bm",IF(C6=2,"size",IF(C6=3,"mom")))</f>
        <v>mom</v>
      </c>
      <c r="D7" s="12" t="str">
        <f t="shared" si="0"/>
        <v>mom</v>
      </c>
      <c r="E7" s="12" t="str">
        <f t="shared" si="0"/>
        <v>mom</v>
      </c>
      <c r="F7" s="12" t="str">
        <f t="shared" si="0"/>
        <v>mom</v>
      </c>
      <c r="G7" s="12" t="str">
        <f t="shared" si="0"/>
        <v>mom</v>
      </c>
      <c r="H7" s="12" t="str">
        <f t="shared" si="0"/>
        <v>mom</v>
      </c>
      <c r="I7" s="12" t="str">
        <f t="shared" si="0"/>
        <v>mom</v>
      </c>
      <c r="J7" s="12" t="str">
        <f t="shared" si="0"/>
        <v>mom</v>
      </c>
      <c r="K7" s="12" t="str">
        <f t="shared" si="0"/>
        <v>mom</v>
      </c>
      <c r="L7" s="12" t="str">
        <f t="shared" si="0"/>
        <v>mom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bm</v>
      </c>
      <c r="Q7" s="12" t="str">
        <f t="shared" si="0"/>
        <v>mom</v>
      </c>
      <c r="R7" s="12" t="str">
        <f t="shared" si="0"/>
        <v>mom</v>
      </c>
      <c r="S7" s="12" t="str">
        <f t="shared" si="0"/>
        <v>mom</v>
      </c>
      <c r="T7" s="12" t="str">
        <f t="shared" si="0"/>
        <v>mom</v>
      </c>
      <c r="U7" s="12" t="str">
        <f t="shared" si="0"/>
        <v>mom</v>
      </c>
      <c r="V7" s="12" t="str">
        <f t="shared" si="0"/>
        <v>mom</v>
      </c>
      <c r="W7" s="12" t="str">
        <f t="shared" si="0"/>
        <v>bm</v>
      </c>
      <c r="X7" s="12" t="str">
        <f t="shared" si="0"/>
        <v>mom</v>
      </c>
      <c r="Y7" s="12" t="str">
        <f t="shared" si="0"/>
        <v>mom</v>
      </c>
      <c r="Z7" s="12" t="str">
        <f t="shared" si="0"/>
        <v>mom</v>
      </c>
      <c r="AA7" s="12" t="str">
        <f t="shared" si="0"/>
        <v>mom</v>
      </c>
      <c r="AB7" s="12" t="str">
        <f t="shared" si="0"/>
        <v>mom</v>
      </c>
      <c r="AC7" s="12" t="str">
        <f t="shared" si="0"/>
        <v>mom</v>
      </c>
      <c r="AD7" s="12" t="str">
        <f t="shared" si="0"/>
        <v>mom</v>
      </c>
      <c r="AE7" s="12" t="str">
        <f t="shared" si="0"/>
        <v>mom</v>
      </c>
      <c r="AF7" s="12" t="str">
        <f t="shared" si="0"/>
        <v>mom</v>
      </c>
      <c r="AG7" s="12" t="str">
        <f t="shared" si="0"/>
        <v>mom</v>
      </c>
      <c r="AH7" s="12" t="str">
        <f t="shared" si="0"/>
        <v>bm</v>
      </c>
      <c r="AI7" s="12" t="str">
        <f t="shared" ref="AI7:BN7" si="1">IF(AI6=1,"bm",IF(AI6=2,"size",IF(AI6=3,"mom")))</f>
        <v>bm</v>
      </c>
      <c r="AJ7" s="12" t="str">
        <f t="shared" si="1"/>
        <v>bm</v>
      </c>
      <c r="AK7" s="12" t="str">
        <f t="shared" si="1"/>
        <v>mom</v>
      </c>
      <c r="AL7" s="12" t="str">
        <f t="shared" si="1"/>
        <v>mom</v>
      </c>
      <c r="AM7" s="12" t="str">
        <f t="shared" si="1"/>
        <v>bm</v>
      </c>
      <c r="AN7" s="12" t="str">
        <f t="shared" si="1"/>
        <v>bm</v>
      </c>
      <c r="AO7" s="12" t="str">
        <f t="shared" si="1"/>
        <v>bm</v>
      </c>
      <c r="AP7" s="12" t="str">
        <f t="shared" si="1"/>
        <v>bm</v>
      </c>
      <c r="AQ7" s="12" t="str">
        <f t="shared" si="1"/>
        <v>mom</v>
      </c>
      <c r="AR7" s="12" t="str">
        <f t="shared" si="1"/>
        <v>mom</v>
      </c>
      <c r="AS7" s="12" t="str">
        <f t="shared" si="1"/>
        <v>mom</v>
      </c>
      <c r="AT7" s="12" t="str">
        <f t="shared" si="1"/>
        <v>mom</v>
      </c>
      <c r="AU7" s="12" t="str">
        <f t="shared" si="1"/>
        <v>mom</v>
      </c>
      <c r="AV7" s="12" t="str">
        <f t="shared" si="1"/>
        <v>mom</v>
      </c>
      <c r="AW7" s="12" t="str">
        <f t="shared" si="1"/>
        <v>mom</v>
      </c>
      <c r="AX7" s="12" t="str">
        <f t="shared" si="1"/>
        <v>mom</v>
      </c>
      <c r="AY7" s="12" t="str">
        <f t="shared" si="1"/>
        <v>mom</v>
      </c>
      <c r="AZ7" s="12" t="str">
        <f t="shared" si="1"/>
        <v>mom</v>
      </c>
      <c r="BA7" s="12" t="str">
        <f t="shared" si="1"/>
        <v>mom</v>
      </c>
      <c r="BB7" s="12" t="str">
        <f t="shared" si="1"/>
        <v>bm</v>
      </c>
      <c r="BC7" s="12" t="str">
        <f t="shared" si="1"/>
        <v>mom</v>
      </c>
      <c r="BD7" s="12" t="str">
        <f t="shared" si="1"/>
        <v>size</v>
      </c>
      <c r="BE7" s="12" t="str">
        <f t="shared" si="1"/>
        <v>size</v>
      </c>
      <c r="BF7" s="12" t="str">
        <f t="shared" si="1"/>
        <v>size</v>
      </c>
      <c r="BG7" s="12" t="str">
        <f t="shared" si="1"/>
        <v>size</v>
      </c>
      <c r="BH7" s="12" t="str">
        <f t="shared" si="1"/>
        <v>mom</v>
      </c>
      <c r="BI7" s="12" t="str">
        <f t="shared" si="1"/>
        <v>size</v>
      </c>
      <c r="BJ7" s="12" t="str">
        <f t="shared" si="1"/>
        <v>bm</v>
      </c>
      <c r="BK7" s="12" t="str">
        <f t="shared" si="1"/>
        <v>mom</v>
      </c>
      <c r="BL7" s="12" t="str">
        <f t="shared" si="1"/>
        <v>bm</v>
      </c>
      <c r="BM7" s="12" t="str">
        <f t="shared" si="1"/>
        <v>mom</v>
      </c>
      <c r="BN7" s="12" t="str">
        <f t="shared" si="1"/>
        <v>bm</v>
      </c>
      <c r="BO7" s="12" t="str">
        <f t="shared" ref="BO7:CT7" si="2">IF(BO6=1,"bm",IF(BO6=2,"size",IF(BO6=3,"mom")))</f>
        <v>bm</v>
      </c>
      <c r="BP7" s="12" t="str">
        <f t="shared" si="2"/>
        <v>bm</v>
      </c>
      <c r="BQ7" s="12" t="str">
        <f t="shared" si="2"/>
        <v>bm</v>
      </c>
      <c r="BR7" s="12" t="str">
        <f t="shared" si="2"/>
        <v>bm</v>
      </c>
      <c r="BS7" s="12" t="str">
        <f t="shared" si="2"/>
        <v>bm</v>
      </c>
      <c r="BT7" s="12" t="str">
        <f t="shared" si="2"/>
        <v>mom</v>
      </c>
      <c r="BU7" s="12" t="str">
        <f t="shared" si="2"/>
        <v>mom</v>
      </c>
      <c r="BV7" s="12" t="str">
        <f t="shared" si="2"/>
        <v>mom</v>
      </c>
      <c r="BW7" s="12" t="str">
        <f t="shared" si="2"/>
        <v>mom</v>
      </c>
      <c r="BX7" s="12" t="str">
        <f t="shared" si="2"/>
        <v>mom</v>
      </c>
      <c r="BY7" s="12" t="str">
        <f t="shared" si="2"/>
        <v>mom</v>
      </c>
      <c r="BZ7" s="12" t="str">
        <f t="shared" si="2"/>
        <v>bm</v>
      </c>
      <c r="CA7" s="12" t="str">
        <f t="shared" si="2"/>
        <v>size</v>
      </c>
      <c r="CB7" s="12" t="str">
        <f t="shared" si="2"/>
        <v>mom</v>
      </c>
      <c r="CC7" s="12" t="str">
        <f t="shared" si="2"/>
        <v>size</v>
      </c>
      <c r="CD7" s="12" t="str">
        <f t="shared" si="2"/>
        <v>bm</v>
      </c>
      <c r="CE7" s="12" t="str">
        <f t="shared" si="2"/>
        <v>size</v>
      </c>
      <c r="CF7" s="12" t="str">
        <f t="shared" si="2"/>
        <v>mom</v>
      </c>
      <c r="CG7" s="12" t="str">
        <f t="shared" si="2"/>
        <v>mom</v>
      </c>
      <c r="CH7" s="12" t="str">
        <f t="shared" si="2"/>
        <v>mom</v>
      </c>
      <c r="CI7" s="12" t="str">
        <f t="shared" si="2"/>
        <v>size</v>
      </c>
      <c r="CJ7" s="12" t="str">
        <f t="shared" si="2"/>
        <v>mom</v>
      </c>
      <c r="CK7" s="12" t="str">
        <f t="shared" si="2"/>
        <v>mom</v>
      </c>
      <c r="CL7" s="12" t="str">
        <f t="shared" si="2"/>
        <v>mom</v>
      </c>
      <c r="CM7" s="12" t="str">
        <f t="shared" si="2"/>
        <v>mom</v>
      </c>
      <c r="CN7" s="12" t="str">
        <f t="shared" si="2"/>
        <v>size</v>
      </c>
      <c r="CO7" s="12" t="str">
        <f t="shared" si="2"/>
        <v>mom</v>
      </c>
      <c r="CP7" s="12" t="str">
        <f t="shared" si="2"/>
        <v>mom</v>
      </c>
      <c r="CQ7" s="12" t="str">
        <f t="shared" si="2"/>
        <v>mom</v>
      </c>
      <c r="CR7" s="12" t="str">
        <f t="shared" si="2"/>
        <v>mom</v>
      </c>
      <c r="CS7" s="12" t="str">
        <f t="shared" si="2"/>
        <v>size</v>
      </c>
      <c r="CT7" s="12" t="str">
        <f t="shared" si="2"/>
        <v>mom</v>
      </c>
      <c r="CU7" s="12" t="str">
        <f t="shared" ref="CU7:DZ7" si="3">IF(CU6=1,"bm",IF(CU6=2,"size",IF(CU6=3,"mom")))</f>
        <v>mom</v>
      </c>
      <c r="CV7" s="12" t="str">
        <f t="shared" si="3"/>
        <v>mom</v>
      </c>
      <c r="CW7" s="12" t="str">
        <f t="shared" si="3"/>
        <v>mom</v>
      </c>
      <c r="CX7" s="12" t="str">
        <f t="shared" si="3"/>
        <v>bm</v>
      </c>
      <c r="CY7" s="12" t="str">
        <f t="shared" si="3"/>
        <v>mom</v>
      </c>
      <c r="CZ7" s="12" t="str">
        <f t="shared" si="3"/>
        <v>bm</v>
      </c>
      <c r="DA7" s="12" t="str">
        <f t="shared" si="3"/>
        <v>size</v>
      </c>
      <c r="DB7" s="12" t="str">
        <f t="shared" si="3"/>
        <v>size</v>
      </c>
      <c r="DC7" s="12" t="str">
        <f t="shared" si="3"/>
        <v>mom</v>
      </c>
      <c r="DD7" s="12" t="str">
        <f t="shared" si="3"/>
        <v>size</v>
      </c>
      <c r="DE7" s="12" t="str">
        <f t="shared" si="3"/>
        <v>mom</v>
      </c>
      <c r="DF7" s="12" t="str">
        <f t="shared" si="3"/>
        <v>mom</v>
      </c>
      <c r="DG7" s="12" t="str">
        <f t="shared" si="3"/>
        <v>mom</v>
      </c>
      <c r="DH7" s="12" t="str">
        <f t="shared" si="3"/>
        <v>size</v>
      </c>
      <c r="DI7" s="12" t="str">
        <f t="shared" si="3"/>
        <v>size</v>
      </c>
      <c r="DJ7" s="12" t="str">
        <f t="shared" si="3"/>
        <v>bm</v>
      </c>
      <c r="DK7" s="12" t="str">
        <f t="shared" si="3"/>
        <v>bm</v>
      </c>
      <c r="DL7" s="12" t="str">
        <f t="shared" si="3"/>
        <v>mom</v>
      </c>
      <c r="DM7" s="12" t="str">
        <f t="shared" si="3"/>
        <v>mom</v>
      </c>
      <c r="DN7" s="12" t="str">
        <f t="shared" si="3"/>
        <v>mom</v>
      </c>
      <c r="DO7" s="12" t="str">
        <f t="shared" si="3"/>
        <v>mom</v>
      </c>
      <c r="DP7" s="12" t="str">
        <f t="shared" si="3"/>
        <v>mom</v>
      </c>
      <c r="DQ7" s="12" t="str">
        <f t="shared" si="3"/>
        <v>mom</v>
      </c>
      <c r="DR7" s="12" t="str">
        <f t="shared" si="3"/>
        <v>bm</v>
      </c>
      <c r="DS7" s="12" t="str">
        <f t="shared" si="3"/>
        <v>mom</v>
      </c>
      <c r="DT7" s="12" t="str">
        <f t="shared" si="3"/>
        <v>bm</v>
      </c>
      <c r="DU7" s="12" t="str">
        <f t="shared" si="3"/>
        <v>size</v>
      </c>
      <c r="DV7" s="12" t="str">
        <f t="shared" si="3"/>
        <v>mom</v>
      </c>
      <c r="DW7" s="12" t="str">
        <f t="shared" si="3"/>
        <v>size</v>
      </c>
      <c r="DX7" s="12" t="str">
        <f t="shared" si="3"/>
        <v>mom</v>
      </c>
      <c r="DY7" s="12" t="str">
        <f t="shared" si="3"/>
        <v>mom</v>
      </c>
      <c r="DZ7" s="12" t="str">
        <f t="shared" si="3"/>
        <v>mom</v>
      </c>
      <c r="EA7" s="12" t="str">
        <f t="shared" ref="EA7:EF7" si="4">IF(EA6=1,"bm",IF(EA6=2,"size",IF(EA6=3,"mom")))</f>
        <v>size</v>
      </c>
      <c r="EB7" s="12" t="str">
        <f t="shared" si="4"/>
        <v>size</v>
      </c>
      <c r="EC7" s="12" t="str">
        <f t="shared" si="4"/>
        <v>size</v>
      </c>
      <c r="ED7" s="12" t="str">
        <f t="shared" si="4"/>
        <v>size</v>
      </c>
      <c r="EE7" s="12" t="str">
        <f t="shared" si="4"/>
        <v>size</v>
      </c>
      <c r="EF7" s="12" t="str">
        <f t="shared" si="4"/>
        <v>size</v>
      </c>
    </row>
    <row r="8" spans="1:136">
      <c r="C8" s="11">
        <f t="shared" ref="C8:AH8" si="5">IF(C6=1,C3,IF(C6=2,C4,IF(C6=3,C5)))</f>
        <v>0.50836324691772461</v>
      </c>
      <c r="D8" s="11">
        <f t="shared" si="5"/>
        <v>0.76913774013519287</v>
      </c>
      <c r="E8" s="11">
        <f t="shared" si="5"/>
        <v>0.54195535182952881</v>
      </c>
      <c r="F8" s="11">
        <f t="shared" si="5"/>
        <v>1.1543282270431521</v>
      </c>
      <c r="G8" s="11">
        <f t="shared" si="5"/>
        <v>0.54750555753707886</v>
      </c>
      <c r="H8" s="11">
        <f t="shared" si="5"/>
        <v>0.91896617412567139</v>
      </c>
      <c r="I8" s="11">
        <f t="shared" si="5"/>
        <v>0.66497212648391724</v>
      </c>
      <c r="J8" s="11">
        <f t="shared" si="5"/>
        <v>0.96098613739013672</v>
      </c>
      <c r="K8" s="11">
        <f t="shared" si="5"/>
        <v>1.069318890571594</v>
      </c>
      <c r="L8" s="11">
        <f t="shared" si="5"/>
        <v>0.58301490545272827</v>
      </c>
      <c r="M8" s="11">
        <f t="shared" si="5"/>
        <v>0.48336148262023931</v>
      </c>
      <c r="N8" s="11">
        <f t="shared" si="5"/>
        <v>0.4335099458694458</v>
      </c>
      <c r="O8" s="11">
        <f t="shared" si="5"/>
        <v>6.3416294753551483E-2</v>
      </c>
      <c r="P8" s="11">
        <f t="shared" si="5"/>
        <v>-4.0258027613162987E-2</v>
      </c>
      <c r="Q8" s="11">
        <f t="shared" si="5"/>
        <v>-0.63935673236846924</v>
      </c>
      <c r="R8" s="11">
        <f t="shared" si="5"/>
        <v>-5.0250470638275153E-2</v>
      </c>
      <c r="S8" s="11">
        <f t="shared" si="5"/>
        <v>6.6091194748878479E-2</v>
      </c>
      <c r="T8" s="11">
        <f t="shared" si="5"/>
        <v>-6.0526482760906219E-2</v>
      </c>
      <c r="U8" s="11">
        <f t="shared" si="5"/>
        <v>-5.0881840288639069E-2</v>
      </c>
      <c r="V8" s="11">
        <f t="shared" si="5"/>
        <v>0.12953431904315951</v>
      </c>
      <c r="W8" s="11">
        <f t="shared" si="5"/>
        <v>-0.19089989364147189</v>
      </c>
      <c r="X8" s="11">
        <f t="shared" si="5"/>
        <v>0.22364641726017001</v>
      </c>
      <c r="Y8" s="11">
        <f t="shared" si="5"/>
        <v>0.2607954740524292</v>
      </c>
      <c r="Z8" s="11">
        <f t="shared" si="5"/>
        <v>0.17032516002655029</v>
      </c>
      <c r="AA8" s="11">
        <f t="shared" si="5"/>
        <v>0.14871090650558469</v>
      </c>
      <c r="AB8" s="11">
        <f t="shared" si="5"/>
        <v>0.13639476895332339</v>
      </c>
      <c r="AC8" s="11">
        <f t="shared" si="5"/>
        <v>0.1064975261688232</v>
      </c>
      <c r="AD8" s="11">
        <f t="shared" si="5"/>
        <v>0.1051289364695549</v>
      </c>
      <c r="AE8" s="11">
        <f t="shared" si="5"/>
        <v>9.8157517611980438E-2</v>
      </c>
      <c r="AF8" s="11">
        <f t="shared" si="5"/>
        <v>8.0513276159763336E-2</v>
      </c>
      <c r="AG8" s="11">
        <f t="shared" si="5"/>
        <v>5.8855693787336349E-2</v>
      </c>
      <c r="AH8" s="11">
        <f t="shared" si="5"/>
        <v>-0.26610976457595831</v>
      </c>
      <c r="AI8" s="11">
        <f t="shared" ref="AI8:BN8" si="6">IF(AI6=1,AI3,IF(AI6=2,AI4,IF(AI6=3,AI5)))</f>
        <v>-0.14365202188491821</v>
      </c>
      <c r="AJ8" s="11">
        <f t="shared" si="6"/>
        <v>-0.25451940298080439</v>
      </c>
      <c r="AK8" s="11">
        <f t="shared" si="6"/>
        <v>7.5650393962860107E-2</v>
      </c>
      <c r="AL8" s="11">
        <f t="shared" si="6"/>
        <v>6.6236443817615509E-2</v>
      </c>
      <c r="AM8" s="11">
        <f t="shared" si="6"/>
        <v>-8.2977190613746643E-2</v>
      </c>
      <c r="AN8" s="11">
        <f t="shared" si="6"/>
        <v>-7.0350959897041321E-2</v>
      </c>
      <c r="AO8" s="11">
        <f t="shared" si="6"/>
        <v>-0.1968108415603638</v>
      </c>
      <c r="AP8" s="11">
        <f t="shared" si="6"/>
        <v>-0.25679254531860352</v>
      </c>
      <c r="AQ8" s="11">
        <f t="shared" si="6"/>
        <v>0.1400775462388992</v>
      </c>
      <c r="AR8" s="11">
        <f t="shared" si="6"/>
        <v>0.16342324018478391</v>
      </c>
      <c r="AS8" s="11">
        <f t="shared" si="6"/>
        <v>0.18792152404785159</v>
      </c>
      <c r="AT8" s="11">
        <f t="shared" si="6"/>
        <v>0.19995155930519101</v>
      </c>
      <c r="AU8" s="11">
        <f t="shared" si="6"/>
        <v>0.19402837753295901</v>
      </c>
      <c r="AV8" s="11">
        <f t="shared" si="6"/>
        <v>0.15869356691837311</v>
      </c>
      <c r="AW8" s="11">
        <f t="shared" si="6"/>
        <v>-3.568306565284729E-2</v>
      </c>
      <c r="AX8" s="11">
        <f t="shared" si="6"/>
        <v>3.6226339638233178E-2</v>
      </c>
      <c r="AY8" s="11">
        <f t="shared" si="6"/>
        <v>0.1132773458957672</v>
      </c>
      <c r="AZ8" s="11">
        <f t="shared" si="6"/>
        <v>0.104707270860672</v>
      </c>
      <c r="BA8" s="11">
        <f t="shared" si="6"/>
        <v>6.849505752325058E-2</v>
      </c>
      <c r="BB8" s="11">
        <f t="shared" si="6"/>
        <v>3.3319383859634399E-2</v>
      </c>
      <c r="BC8" s="11">
        <f t="shared" si="6"/>
        <v>-3.7875480949878693E-2</v>
      </c>
      <c r="BD8" s="11">
        <f t="shared" si="6"/>
        <v>-3.2060969620943069E-2</v>
      </c>
      <c r="BE8" s="11">
        <f t="shared" si="6"/>
        <v>-3.2296057790517807E-2</v>
      </c>
      <c r="BF8" s="11">
        <f t="shared" si="6"/>
        <v>-3.2346583902835853E-2</v>
      </c>
      <c r="BG8" s="11">
        <f t="shared" si="6"/>
        <v>-3.2194517552852631E-2</v>
      </c>
      <c r="BH8" s="11">
        <f t="shared" si="6"/>
        <v>5.9344802051782608E-2</v>
      </c>
      <c r="BI8" s="11">
        <f t="shared" si="6"/>
        <v>-2.780326642096043E-2</v>
      </c>
      <c r="BJ8" s="11">
        <f t="shared" si="6"/>
        <v>-6.5720930695533752E-2</v>
      </c>
      <c r="BK8" s="11">
        <f t="shared" si="6"/>
        <v>5.5602390319108963E-2</v>
      </c>
      <c r="BL8" s="11">
        <f t="shared" si="6"/>
        <v>-8.8971659541130066E-2</v>
      </c>
      <c r="BM8" s="11">
        <f t="shared" si="6"/>
        <v>6.5659098327159882E-2</v>
      </c>
      <c r="BN8" s="11">
        <f t="shared" si="6"/>
        <v>-6.8609192967414856E-2</v>
      </c>
      <c r="BO8" s="11">
        <f t="shared" ref="BO8:CT8" si="7">IF(BO6=1,BO3,IF(BO6=2,BO4,IF(BO6=3,BO5)))</f>
        <v>-5.5181741714477539E-2</v>
      </c>
      <c r="BP8" s="11">
        <f t="shared" si="7"/>
        <v>-8.5352331399917603E-2</v>
      </c>
      <c r="BQ8" s="11">
        <f t="shared" si="7"/>
        <v>-3.6593899130821228E-2</v>
      </c>
      <c r="BR8" s="11">
        <f t="shared" si="7"/>
        <v>3.5782556980848312E-2</v>
      </c>
      <c r="BS8" s="11">
        <f t="shared" si="7"/>
        <v>3.381897509098053E-2</v>
      </c>
      <c r="BT8" s="11">
        <f t="shared" si="7"/>
        <v>4.3329164385795593E-2</v>
      </c>
      <c r="BU8" s="11">
        <f t="shared" si="7"/>
        <v>4.8520129173994057E-2</v>
      </c>
      <c r="BV8" s="11">
        <f t="shared" si="7"/>
        <v>0.14270420372486109</v>
      </c>
      <c r="BW8" s="11">
        <f t="shared" si="7"/>
        <v>0.13052307069301611</v>
      </c>
      <c r="BX8" s="11">
        <f t="shared" si="7"/>
        <v>5.2400790154933929E-2</v>
      </c>
      <c r="BY8" s="11">
        <f t="shared" si="7"/>
        <v>6.0546338558197021E-2</v>
      </c>
      <c r="BZ8" s="11">
        <f t="shared" si="7"/>
        <v>5.243389680981636E-2</v>
      </c>
      <c r="CA8" s="11">
        <f t="shared" si="7"/>
        <v>-3.099978901445866E-2</v>
      </c>
      <c r="CB8" s="11">
        <f t="shared" si="7"/>
        <v>-3.9389632642269128E-2</v>
      </c>
      <c r="CC8" s="11">
        <f t="shared" si="7"/>
        <v>-2.8904115781188011E-2</v>
      </c>
      <c r="CD8" s="11">
        <f t="shared" si="7"/>
        <v>3.6022435873746872E-2</v>
      </c>
      <c r="CE8" s="11">
        <f t="shared" si="7"/>
        <v>-2.8157502412796021E-2</v>
      </c>
      <c r="CF8" s="11">
        <f t="shared" si="7"/>
        <v>4.381309449672699E-2</v>
      </c>
      <c r="CG8" s="11">
        <f t="shared" si="7"/>
        <v>3.0113250017166141E-2</v>
      </c>
      <c r="CH8" s="11">
        <f t="shared" si="7"/>
        <v>4.3025322258472443E-2</v>
      </c>
      <c r="CI8" s="11">
        <f t="shared" si="7"/>
        <v>-3.1394515186548233E-2</v>
      </c>
      <c r="CJ8" s="11">
        <f t="shared" si="7"/>
        <v>4.1782274842262268E-2</v>
      </c>
      <c r="CK8" s="11">
        <f t="shared" si="7"/>
        <v>3.7300810217857361E-2</v>
      </c>
      <c r="CL8" s="11">
        <f t="shared" si="7"/>
        <v>6.0941599309444427E-2</v>
      </c>
      <c r="CM8" s="11">
        <f t="shared" si="7"/>
        <v>-3.8412053138017647E-2</v>
      </c>
      <c r="CN8" s="11">
        <f t="shared" si="7"/>
        <v>-3.586915135383606E-2</v>
      </c>
      <c r="CO8" s="11">
        <f t="shared" si="7"/>
        <v>0.1589557081460953</v>
      </c>
      <c r="CP8" s="11">
        <f t="shared" si="7"/>
        <v>-3.6965128034353263E-2</v>
      </c>
      <c r="CQ8" s="11">
        <f t="shared" si="7"/>
        <v>6.9797366857528687E-2</v>
      </c>
      <c r="CR8" s="11">
        <f t="shared" si="7"/>
        <v>-3.3767849206924438E-2</v>
      </c>
      <c r="CS8" s="11">
        <f t="shared" si="7"/>
        <v>-2.9090225696563721E-2</v>
      </c>
      <c r="CT8" s="11">
        <f t="shared" si="7"/>
        <v>5.3638488054275513E-2</v>
      </c>
      <c r="CU8" s="11">
        <f t="shared" ref="CU8:DZ8" si="8">IF(CU6=1,CU3,IF(CU6=2,CU4,IF(CU6=3,CU5)))</f>
        <v>6.3532985746860504E-2</v>
      </c>
      <c r="CV8" s="11">
        <f t="shared" si="8"/>
        <v>5.5906884372234338E-2</v>
      </c>
      <c r="CW8" s="11">
        <f t="shared" si="8"/>
        <v>4.8717334866523743E-2</v>
      </c>
      <c r="CX8" s="11">
        <f t="shared" si="8"/>
        <v>4.2955689132213593E-2</v>
      </c>
      <c r="CY8" s="11">
        <f t="shared" si="8"/>
        <v>2.966258488595486E-2</v>
      </c>
      <c r="CZ8" s="11">
        <f t="shared" si="8"/>
        <v>4.7397840768098831E-2</v>
      </c>
      <c r="DA8" s="11">
        <f t="shared" si="8"/>
        <v>-2.9591461643576619E-2</v>
      </c>
      <c r="DB8" s="11">
        <f t="shared" si="8"/>
        <v>-3.4101340919733047E-2</v>
      </c>
      <c r="DC8" s="11">
        <f t="shared" si="8"/>
        <v>3.7085290998220437E-2</v>
      </c>
      <c r="DD8" s="11">
        <f t="shared" si="8"/>
        <v>-3.2262604683637619E-2</v>
      </c>
      <c r="DE8" s="11">
        <f t="shared" si="8"/>
        <v>4.1370406746864319E-2</v>
      </c>
      <c r="DF8" s="11">
        <f t="shared" si="8"/>
        <v>4.0565907955169678E-2</v>
      </c>
      <c r="DG8" s="11">
        <f t="shared" si="8"/>
        <v>3.3224057406187057E-2</v>
      </c>
      <c r="DH8" s="11">
        <f t="shared" si="8"/>
        <v>-3.1315241008996957E-2</v>
      </c>
      <c r="DI8" s="11">
        <f t="shared" si="8"/>
        <v>-2.9898226261138919E-2</v>
      </c>
      <c r="DJ8" s="11">
        <f t="shared" si="8"/>
        <v>3.5664934664964683E-2</v>
      </c>
      <c r="DK8" s="11">
        <f t="shared" si="8"/>
        <v>3.7067931145429611E-2</v>
      </c>
      <c r="DL8" s="11">
        <f t="shared" si="8"/>
        <v>3.5447288304567337E-2</v>
      </c>
      <c r="DM8" s="11">
        <f t="shared" si="8"/>
        <v>4.903421550989151E-2</v>
      </c>
      <c r="DN8" s="11">
        <f t="shared" si="8"/>
        <v>-0.11219848692417141</v>
      </c>
      <c r="DO8" s="11">
        <f t="shared" si="8"/>
        <v>5.3319718688726432E-2</v>
      </c>
      <c r="DP8" s="11">
        <f t="shared" si="8"/>
        <v>5.3090192377567291E-2</v>
      </c>
      <c r="DQ8" s="11">
        <f t="shared" si="8"/>
        <v>6.7249387502670288E-2</v>
      </c>
      <c r="DR8" s="11">
        <f t="shared" si="8"/>
        <v>3.8861591368913651E-2</v>
      </c>
      <c r="DS8" s="11">
        <f t="shared" si="8"/>
        <v>4.5268747955560677E-2</v>
      </c>
      <c r="DT8" s="11">
        <f t="shared" si="8"/>
        <v>3.6585744470357888E-2</v>
      </c>
      <c r="DU8" s="11">
        <f t="shared" si="8"/>
        <v>-2.540554478764534E-2</v>
      </c>
      <c r="DV8" s="11">
        <f t="shared" si="8"/>
        <v>3.8169108331203461E-2</v>
      </c>
      <c r="DW8" s="11">
        <f t="shared" si="8"/>
        <v>-3.7095267325639718E-2</v>
      </c>
      <c r="DX8" s="11">
        <f t="shared" si="8"/>
        <v>3.4144993871450417E-2</v>
      </c>
      <c r="DY8" s="11">
        <f t="shared" si="8"/>
        <v>5.4498199373483658E-2</v>
      </c>
      <c r="DZ8" s="11">
        <f t="shared" si="8"/>
        <v>4.3653316795825958E-2</v>
      </c>
      <c r="EA8" s="11">
        <f t="shared" ref="EA8:EF8" si="9">IF(EA6=1,EA3,IF(EA6=2,EA4,IF(EA6=3,EA5)))</f>
        <v>-8.3518818020820618E-2</v>
      </c>
      <c r="EB8" s="11">
        <f t="shared" si="9"/>
        <v>-7.7344618737697601E-2</v>
      </c>
      <c r="EC8" s="11">
        <f t="shared" si="9"/>
        <v>-7.0242889225482941E-2</v>
      </c>
      <c r="ED8" s="11">
        <f t="shared" si="9"/>
        <v>-6.3896283507347107E-2</v>
      </c>
      <c r="EE8" s="11">
        <f t="shared" si="9"/>
        <v>-9.7872823476791382E-2</v>
      </c>
      <c r="EF8" s="11">
        <f t="shared" si="9"/>
        <v>-7.6828889548778534E-2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/>
      <c r="B11" s="2" t="s">
        <v>142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144</v>
      </c>
    </row>
    <row r="12" spans="1:136">
      <c r="A12" s="2"/>
      <c r="B12" s="2" t="s">
        <v>229</v>
      </c>
      <c r="C12" s="14">
        <v>-1.4499246984096079E-2</v>
      </c>
      <c r="D12" s="14">
        <v>1.793045137799907E-4</v>
      </c>
      <c r="E12" s="14">
        <v>-1.2144200270864549E-3</v>
      </c>
      <c r="F12" s="14">
        <v>-5.7173804811545187E-2</v>
      </c>
      <c r="G12" s="14">
        <v>-2.5226356292914729E-2</v>
      </c>
      <c r="H12" s="14">
        <v>-1.562709793631514E-2</v>
      </c>
      <c r="I12" s="14">
        <v>-2.4285250199659641E-2</v>
      </c>
      <c r="J12" s="14">
        <v>-1.6895456543730841E-2</v>
      </c>
      <c r="K12" s="14">
        <v>1.229254158996834E-2</v>
      </c>
      <c r="L12" s="14">
        <v>2.1051097554134569E-2</v>
      </c>
      <c r="M12" s="14">
        <v>4.794027138734152E-2</v>
      </c>
      <c r="N12" s="14">
        <v>1.32369171438787E-2</v>
      </c>
      <c r="O12" s="14">
        <v>4.1151676211119079E-2</v>
      </c>
      <c r="P12" s="14">
        <v>6.2572097415581424E-2</v>
      </c>
      <c r="Q12" s="14">
        <v>5.7456414041617367E-2</v>
      </c>
      <c r="R12" s="14">
        <v>4.4302925381078793E-2</v>
      </c>
      <c r="S12" s="14">
        <v>5.5357955154417993E-2</v>
      </c>
      <c r="T12" s="14">
        <v>7.4902388088932959E-3</v>
      </c>
      <c r="U12" s="14">
        <v>8.8467618926742764E-3</v>
      </c>
      <c r="V12" s="14">
        <v>1.8357715546322501E-2</v>
      </c>
      <c r="W12" s="14">
        <v>-3.9207264269892524E-3</v>
      </c>
      <c r="X12" s="14">
        <v>-0.1135614777743247</v>
      </c>
      <c r="Y12" s="14">
        <v>-9.2963084246633382E-2</v>
      </c>
      <c r="Z12" s="14">
        <v>-0.14611517122349429</v>
      </c>
      <c r="AA12" s="14">
        <v>-0.11919669180268259</v>
      </c>
      <c r="AB12" s="14">
        <v>-0.1084633621985439</v>
      </c>
      <c r="AC12" s="14">
        <v>-0.15523630782485509</v>
      </c>
      <c r="AD12" s="14">
        <v>-0.15776673765607871</v>
      </c>
      <c r="AE12" s="14">
        <v>-0.1113290209890946</v>
      </c>
      <c r="AF12" s="14">
        <v>-0.16334112376586229</v>
      </c>
      <c r="AG12" s="14">
        <v>-0.1671560541866722</v>
      </c>
      <c r="AH12" s="14">
        <v>-0.18056185883630541</v>
      </c>
      <c r="AI12" s="14">
        <v>-0.20006791001649141</v>
      </c>
      <c r="AJ12" s="14">
        <v>-0.2130516575625459</v>
      </c>
      <c r="AK12" s="14">
        <v>-0.2295270257866816</v>
      </c>
      <c r="AL12" s="14">
        <v>-0.27732751573875891</v>
      </c>
      <c r="AM12" s="14">
        <v>-0.30741363135135691</v>
      </c>
      <c r="AN12" s="14">
        <v>-0.37664686566478539</v>
      </c>
      <c r="AO12" s="14">
        <v>-0.37887565870445838</v>
      </c>
      <c r="AP12" s="14">
        <v>-0.34515731392260929</v>
      </c>
      <c r="AQ12" s="14">
        <v>-0.34685424450013869</v>
      </c>
      <c r="AR12" s="14">
        <v>-0.32463121851254662</v>
      </c>
      <c r="AS12" s="14">
        <v>-0.30465494560217538</v>
      </c>
      <c r="AT12" s="14">
        <v>-0.23245956324974029</v>
      </c>
      <c r="AU12" s="14">
        <v>-0.22874602680969569</v>
      </c>
      <c r="AV12" s="14">
        <v>-0.17503039615297589</v>
      </c>
      <c r="AW12" s="14">
        <v>-0.19220010091637901</v>
      </c>
      <c r="AX12" s="14">
        <v>-0.23689611288927689</v>
      </c>
      <c r="AY12" s="14">
        <v>-0.21940479123026929</v>
      </c>
      <c r="AZ12" s="14">
        <v>-0.24301934439556999</v>
      </c>
      <c r="BA12" s="14">
        <v>-0.26945367427263162</v>
      </c>
      <c r="BB12" s="14">
        <v>-0.25417906902017212</v>
      </c>
      <c r="BC12" s="14">
        <v>-0.28087003531250959</v>
      </c>
      <c r="BD12" s="14">
        <v>-0.23163608739584299</v>
      </c>
      <c r="BE12" s="14">
        <v>-0.27723430614584299</v>
      </c>
      <c r="BF12" s="14">
        <v>-0.30083500406250968</v>
      </c>
      <c r="BG12" s="14">
        <v>-0.29083120197917628</v>
      </c>
      <c r="BH12" s="14">
        <v>-0.32591079100909343</v>
      </c>
      <c r="BI12" s="14">
        <v>-0.30507275975909343</v>
      </c>
      <c r="BJ12" s="14">
        <v>-0.30427676643917562</v>
      </c>
      <c r="BK12" s="14">
        <v>-0.3049341499342102</v>
      </c>
      <c r="BL12" s="14">
        <v>-0.32964339576435892</v>
      </c>
      <c r="BM12" s="14">
        <v>-0.2793377112410344</v>
      </c>
      <c r="BN12" s="14">
        <v>-0.29085424675313087</v>
      </c>
      <c r="BO12" s="14">
        <v>-0.31510055700936779</v>
      </c>
      <c r="BP12" s="14">
        <v>-0.30459157170407369</v>
      </c>
      <c r="BQ12" s="14">
        <v>-0.31848832132282051</v>
      </c>
      <c r="BR12" s="14">
        <v>-0.32074932977621928</v>
      </c>
      <c r="BS12" s="14">
        <v>-0.30188603639182332</v>
      </c>
      <c r="BT12" s="14">
        <v>-0.2855212530773979</v>
      </c>
      <c r="BU12" s="14">
        <v>-0.26860623585312299</v>
      </c>
      <c r="BV12" s="14">
        <v>-0.310888624939053</v>
      </c>
      <c r="BW12" s="14">
        <v>-0.35536562883070322</v>
      </c>
      <c r="BX12" s="14">
        <v>-0.36235078268884252</v>
      </c>
      <c r="BY12" s="14">
        <v>-0.3034208663312784</v>
      </c>
      <c r="BZ12" s="14">
        <v>-0.25806392064000538</v>
      </c>
      <c r="CA12" s="14">
        <v>-0.2434833373066721</v>
      </c>
      <c r="CB12" s="14">
        <v>-0.21630947451364041</v>
      </c>
      <c r="CC12" s="14">
        <v>-0.15074343284697381</v>
      </c>
      <c r="CD12" s="14">
        <v>-3.9809799262521248E-2</v>
      </c>
      <c r="CE12" s="14">
        <v>0.1141973569874789</v>
      </c>
      <c r="CF12" s="14">
        <v>0.12221863150140889</v>
      </c>
      <c r="CG12" s="14">
        <v>7.2940671538328283E-2</v>
      </c>
      <c r="CH12" s="14">
        <v>5.6477559159542459E-2</v>
      </c>
      <c r="CI12" s="14">
        <v>3.2136329992875801E-2</v>
      </c>
      <c r="CJ12" s="14">
        <v>8.625639690707082E-2</v>
      </c>
      <c r="CK12" s="14">
        <v>0.14235783755486101</v>
      </c>
      <c r="CL12" s="14">
        <v>0.22079811784088191</v>
      </c>
      <c r="CM12" s="14">
        <v>0.24715206867905121</v>
      </c>
      <c r="CN12" s="14">
        <v>0.22384481867905121</v>
      </c>
      <c r="CO12" s="14">
        <v>0.19902503342383859</v>
      </c>
      <c r="CP12" s="14">
        <v>0.20003005545953051</v>
      </c>
      <c r="CQ12" s="14">
        <v>0.1373457084559557</v>
      </c>
      <c r="CR12" s="14">
        <v>0.19450569497746931</v>
      </c>
      <c r="CS12" s="14">
        <v>0.1799963824774693</v>
      </c>
      <c r="CT12" s="14">
        <v>0.1706673192474924</v>
      </c>
      <c r="CU12" s="14">
        <v>9.58877899661357E-2</v>
      </c>
      <c r="CV12" s="14">
        <v>0.16092109646182451</v>
      </c>
      <c r="CW12" s="14">
        <v>0.17395776584040221</v>
      </c>
      <c r="CX12" s="14">
        <v>0.2349476483773939</v>
      </c>
      <c r="CY12" s="14">
        <v>0.25136824462519952</v>
      </c>
      <c r="CZ12" s="14">
        <v>0.32916057196470011</v>
      </c>
      <c r="DA12" s="14">
        <v>0.36613909279803342</v>
      </c>
      <c r="DB12" s="14">
        <v>0.45512094696470012</v>
      </c>
      <c r="DC12" s="14">
        <v>0.45061958317215872</v>
      </c>
      <c r="DD12" s="14">
        <v>0.41152816650549201</v>
      </c>
      <c r="DE12" s="14">
        <v>0.38679052209039699</v>
      </c>
      <c r="DF12" s="14">
        <v>0.39841484177826603</v>
      </c>
      <c r="DG12" s="14">
        <v>0.35102042014844159</v>
      </c>
      <c r="DH12" s="14">
        <v>0.41221584723177501</v>
      </c>
      <c r="DI12" s="14">
        <v>0.47196485764844159</v>
      </c>
      <c r="DJ12" s="14">
        <v>0.48002745590321211</v>
      </c>
      <c r="DK12" s="14">
        <v>0.46408150277619581</v>
      </c>
      <c r="DL12" s="14">
        <v>0.48275133610999882</v>
      </c>
      <c r="DM12" s="14">
        <v>0.49189482944352803</v>
      </c>
      <c r="DN12" s="14">
        <v>0.51043627290214044</v>
      </c>
      <c r="DO12" s="14">
        <v>0.49140554463424257</v>
      </c>
      <c r="DP12" s="14">
        <v>0.43199685007758221</v>
      </c>
      <c r="DQ12" s="14">
        <v>0.50653749755805499</v>
      </c>
      <c r="DR12" s="14">
        <v>0.52531644083744189</v>
      </c>
      <c r="DS12" s="14">
        <v>0.57134071984256662</v>
      </c>
      <c r="DT12" s="14">
        <v>0.52604283644816607</v>
      </c>
      <c r="DU12" s="14">
        <v>0.46881260728149943</v>
      </c>
      <c r="DV12" s="14">
        <v>0.4520611657676788</v>
      </c>
      <c r="DW12" s="14">
        <v>0.49702871785101221</v>
      </c>
      <c r="DX12" s="14">
        <v>0.51512785462934552</v>
      </c>
      <c r="DY12" s="14">
        <v>0.57785607672411543</v>
      </c>
      <c r="DZ12" s="14">
        <v>0.59789496684770449</v>
      </c>
      <c r="EA12" s="14">
        <v>0.64899266476437112</v>
      </c>
      <c r="EB12" s="14">
        <v>0.65477883143103777</v>
      </c>
      <c r="EC12" s="14">
        <v>0.64497278976437111</v>
      </c>
      <c r="ED12" s="14">
        <v>0.63801503976437113</v>
      </c>
      <c r="EE12" s="14">
        <v>0.61150835226437117</v>
      </c>
      <c r="EF12" s="14">
        <v>0.64074174809770446</v>
      </c>
    </row>
    <row r="13" spans="1:136">
      <c r="A13" s="2"/>
      <c r="B13" s="2" t="s">
        <v>230</v>
      </c>
      <c r="C13" s="14">
        <v>7.4773642018864783E-3</v>
      </c>
      <c r="D13" s="14">
        <v>2.020504213094671E-3</v>
      </c>
      <c r="E13" s="14">
        <v>-3.5031224901916689E-3</v>
      </c>
      <c r="F13" s="14">
        <v>-6.348964918311463E-2</v>
      </c>
      <c r="G13" s="14">
        <v>-5.1442244883008699E-2</v>
      </c>
      <c r="H13" s="14">
        <v>-3.4053857855509712E-2</v>
      </c>
      <c r="I13" s="14">
        <v>-1.7678661716438451E-3</v>
      </c>
      <c r="J13" s="14">
        <v>2.123254248092785E-2</v>
      </c>
      <c r="K13" s="14">
        <v>8.1558681708497976E-2</v>
      </c>
      <c r="L13" s="14">
        <v>0.1035391520872208</v>
      </c>
      <c r="M13" s="14">
        <v>0.1068189103132255</v>
      </c>
      <c r="N13" s="14">
        <v>6.3426492847528687E-2</v>
      </c>
      <c r="O13" s="14">
        <v>8.084919165847862E-2</v>
      </c>
      <c r="P13" s="14">
        <v>0.1017061047198842</v>
      </c>
      <c r="Q13" s="14">
        <v>0.11916248921624691</v>
      </c>
      <c r="R13" s="14">
        <v>0.1026517781334169</v>
      </c>
      <c r="S13" s="14">
        <v>9.6637975126374648E-2</v>
      </c>
      <c r="T13" s="14">
        <v>2.2403893614652049E-2</v>
      </c>
      <c r="U13" s="14">
        <v>-6.3574369759022836E-3</v>
      </c>
      <c r="V13" s="14">
        <v>-4.1407970728483262E-3</v>
      </c>
      <c r="W13" s="14">
        <v>-3.5243884957218218E-2</v>
      </c>
      <c r="X13" s="14">
        <v>-0.15637165580995629</v>
      </c>
      <c r="Y13" s="14">
        <v>-0.16305501453650181</v>
      </c>
      <c r="Z13" s="14">
        <v>-0.24430641665773731</v>
      </c>
      <c r="AA13" s="14">
        <v>-0.19659376820747909</v>
      </c>
      <c r="AB13" s="14">
        <v>-0.18159219487850059</v>
      </c>
      <c r="AC13" s="14">
        <v>-0.24836389526043051</v>
      </c>
      <c r="AD13" s="14">
        <v>-0.2688041236342229</v>
      </c>
      <c r="AE13" s="14">
        <v>-0.1917327069074222</v>
      </c>
      <c r="AF13" s="14">
        <v>-0.26501386773573338</v>
      </c>
      <c r="AG13" s="14">
        <v>-0.25510866000865928</v>
      </c>
      <c r="AH13" s="14">
        <v>-0.26474999924817572</v>
      </c>
      <c r="AI13" s="14">
        <v>-0.2768175493222485</v>
      </c>
      <c r="AJ13" s="14">
        <v>-0.2605370793339728</v>
      </c>
      <c r="AK13" s="14">
        <v>-0.29889646961684491</v>
      </c>
      <c r="AL13" s="14">
        <v>-0.348155354411395</v>
      </c>
      <c r="AM13" s="14">
        <v>-0.39443779794822392</v>
      </c>
      <c r="AN13" s="14">
        <v>-0.49976803608425802</v>
      </c>
      <c r="AO13" s="14">
        <v>-0.509079223983673</v>
      </c>
      <c r="AP13" s="14">
        <v>-0.4495283836216753</v>
      </c>
      <c r="AQ13" s="14">
        <v>-0.45186845778119178</v>
      </c>
      <c r="AR13" s="14">
        <v>-0.43102041398646801</v>
      </c>
      <c r="AS13" s="14">
        <v>-0.40761545044487058</v>
      </c>
      <c r="AT13" s="14">
        <v>-0.32119253571727119</v>
      </c>
      <c r="AU13" s="14">
        <v>-0.33688795414374367</v>
      </c>
      <c r="AV13" s="14">
        <v>-0.25722197849527351</v>
      </c>
      <c r="AW13" s="14">
        <v>-0.28404321646565439</v>
      </c>
      <c r="AX13" s="14">
        <v>-0.31684304860151019</v>
      </c>
      <c r="AY13" s="14">
        <v>-0.30258084469437152</v>
      </c>
      <c r="AZ13" s="14">
        <v>-0.33380138078814159</v>
      </c>
      <c r="BA13" s="14">
        <v>-0.3599896548387842</v>
      </c>
      <c r="BB13" s="14">
        <v>-0.31711428034197331</v>
      </c>
      <c r="BC13" s="14">
        <v>-0.33622514761681538</v>
      </c>
      <c r="BD13" s="14">
        <v>-0.29454841845014879</v>
      </c>
      <c r="BE13" s="14">
        <v>-0.3405970434501488</v>
      </c>
      <c r="BF13" s="14">
        <v>-0.36689958511681547</v>
      </c>
      <c r="BG13" s="14">
        <v>-0.35856866845014879</v>
      </c>
      <c r="BH13" s="14">
        <v>-0.39959232464234079</v>
      </c>
      <c r="BI13" s="14">
        <v>-0.37375961630900739</v>
      </c>
      <c r="BJ13" s="14">
        <v>-0.35691253031874259</v>
      </c>
      <c r="BK13" s="14">
        <v>-0.36579092623483389</v>
      </c>
      <c r="BL13" s="14">
        <v>-0.39773878644800909</v>
      </c>
      <c r="BM13" s="14">
        <v>-0.34436701775281842</v>
      </c>
      <c r="BN13" s="14">
        <v>-0.35541955962809457</v>
      </c>
      <c r="BO13" s="14">
        <v>-0.38629827586156867</v>
      </c>
      <c r="BP13" s="14">
        <v>-0.39573097155622022</v>
      </c>
      <c r="BQ13" s="14">
        <v>-0.43738403534564602</v>
      </c>
      <c r="BR13" s="14">
        <v>-0.44406545282920351</v>
      </c>
      <c r="BS13" s="14">
        <v>-0.43664598098898377</v>
      </c>
      <c r="BT13" s="14">
        <v>-0.43612490931318082</v>
      </c>
      <c r="BU13" s="14">
        <v>-0.42059774289206681</v>
      </c>
      <c r="BV13" s="14">
        <v>-0.50052857699312425</v>
      </c>
      <c r="BW13" s="14">
        <v>-0.57624258262980377</v>
      </c>
      <c r="BX13" s="14">
        <v>-0.57698822143581385</v>
      </c>
      <c r="BY13" s="14">
        <v>-0.53778626486067249</v>
      </c>
      <c r="BZ13" s="14">
        <v>-0.46164814180162228</v>
      </c>
      <c r="CA13" s="14">
        <v>-0.43763595430162228</v>
      </c>
      <c r="CB13" s="14">
        <v>-0.41161857477892738</v>
      </c>
      <c r="CC13" s="14">
        <v>-0.29150065811226072</v>
      </c>
      <c r="CD13" s="14">
        <v>-0.1864148252199333</v>
      </c>
      <c r="CE13" s="14">
        <v>-2.5870960532665692E-3</v>
      </c>
      <c r="CF13" s="14">
        <v>-1.463076306832589E-2</v>
      </c>
      <c r="CG13" s="14">
        <v>-7.2645730875565209E-2</v>
      </c>
      <c r="CH13" s="14">
        <v>-7.6675236933775537E-2</v>
      </c>
      <c r="CI13" s="14">
        <v>-8.4570403600442212E-2</v>
      </c>
      <c r="CJ13" s="14">
        <v>-2.9760222921602169E-2</v>
      </c>
      <c r="CK13" s="14">
        <v>3.5926903345195188E-2</v>
      </c>
      <c r="CL13" s="14">
        <v>0.1086510784984137</v>
      </c>
      <c r="CM13" s="14">
        <v>0.1226618132712924</v>
      </c>
      <c r="CN13" s="14">
        <v>9.2531146604625691E-2</v>
      </c>
      <c r="CO13" s="14">
        <v>5.7196802523968332E-2</v>
      </c>
      <c r="CP13" s="14">
        <v>3.661980678383886E-2</v>
      </c>
      <c r="CQ13" s="14">
        <v>-3.455905818456502E-2</v>
      </c>
      <c r="CR13" s="14">
        <v>7.7085828195909686E-2</v>
      </c>
      <c r="CS13" s="14">
        <v>8.1033786529243021E-2</v>
      </c>
      <c r="CT13" s="14">
        <v>8.1442326644859286E-2</v>
      </c>
      <c r="CU13" s="14">
        <v>-2.5648635068778011E-2</v>
      </c>
      <c r="CV13" s="14">
        <v>5.2007416188194641E-2</v>
      </c>
      <c r="CW13" s="14">
        <v>8.8316535944627975E-2</v>
      </c>
      <c r="CX13" s="14">
        <v>0.148349791184681</v>
      </c>
      <c r="CY13" s="14">
        <v>0.18955154306877781</v>
      </c>
      <c r="CZ13" s="14">
        <v>0.2467757634222629</v>
      </c>
      <c r="DA13" s="14">
        <v>0.29622153425559622</v>
      </c>
      <c r="DB13" s="14">
        <v>0.40245678425559622</v>
      </c>
      <c r="DC13" s="14">
        <v>0.38830691742830192</v>
      </c>
      <c r="DD13" s="14">
        <v>0.33690062576163532</v>
      </c>
      <c r="DE13" s="14">
        <v>0.31445862933239921</v>
      </c>
      <c r="DF13" s="14">
        <v>0.33173026136058148</v>
      </c>
      <c r="DG13" s="14">
        <v>0.26039450114566193</v>
      </c>
      <c r="DH13" s="14">
        <v>0.34911520947899521</v>
      </c>
      <c r="DI13" s="14">
        <v>0.43886333447899523</v>
      </c>
      <c r="DJ13" s="14">
        <v>0.43553157829948441</v>
      </c>
      <c r="DK13" s="14">
        <v>0.44794065251811199</v>
      </c>
      <c r="DL13" s="14">
        <v>0.46999134319620028</v>
      </c>
      <c r="DM13" s="14">
        <v>0.45833544878068011</v>
      </c>
      <c r="DN13" s="14">
        <v>0.47111133826688339</v>
      </c>
      <c r="DO13" s="14">
        <v>0.4267861988446805</v>
      </c>
      <c r="DP13" s="14">
        <v>0.36875388995397879</v>
      </c>
      <c r="DQ13" s="14">
        <v>0.45588290134654941</v>
      </c>
      <c r="DR13" s="14">
        <v>0.46965411061886131</v>
      </c>
      <c r="DS13" s="14">
        <v>0.49956930451018838</v>
      </c>
      <c r="DT13" s="14">
        <v>0.46414300346252357</v>
      </c>
      <c r="DU13" s="14">
        <v>0.43113704512919032</v>
      </c>
      <c r="DV13" s="14">
        <v>0.42128424036694218</v>
      </c>
      <c r="DW13" s="14">
        <v>0.46331271953360892</v>
      </c>
      <c r="DX13" s="14">
        <v>0.486542329082575</v>
      </c>
      <c r="DY13" s="14">
        <v>0.49604695388645242</v>
      </c>
      <c r="DZ13" s="14">
        <v>0.52633220536139369</v>
      </c>
      <c r="EA13" s="14">
        <v>0.58845062202806031</v>
      </c>
      <c r="EB13" s="14">
        <v>0.5886516428613936</v>
      </c>
      <c r="EC13" s="14">
        <v>0.56987662202806022</v>
      </c>
      <c r="ED13" s="14">
        <v>0.57696060119472692</v>
      </c>
      <c r="EE13" s="14">
        <v>0.53572622619472687</v>
      </c>
      <c r="EF13" s="14">
        <v>0.58023926786139357</v>
      </c>
    </row>
    <row r="14" spans="1:136">
      <c r="A14" s="2"/>
      <c r="B14" s="2" t="s">
        <v>231</v>
      </c>
      <c r="C14" s="14">
        <v>3.3228977675766179E-2</v>
      </c>
      <c r="D14" s="14">
        <v>-0.1084146710768594</v>
      </c>
      <c r="E14" s="14">
        <v>-0.15633541709012869</v>
      </c>
      <c r="F14" s="14">
        <v>-0.21667732199616119</v>
      </c>
      <c r="G14" s="14">
        <v>-0.1630206915533805</v>
      </c>
      <c r="H14" s="14">
        <v>-0.17452895241550409</v>
      </c>
      <c r="I14" s="14">
        <v>-0.1444288171285687</v>
      </c>
      <c r="J14" s="14">
        <v>-9.9197243096165288E-2</v>
      </c>
      <c r="K14" s="14">
        <v>-4.8369776835317332E-2</v>
      </c>
      <c r="L14" s="14">
        <v>7.9013081409181965E-3</v>
      </c>
      <c r="M14" s="14">
        <v>-1.1120406324065781E-2</v>
      </c>
      <c r="N14" s="14">
        <v>-6.8489832981087836E-2</v>
      </c>
      <c r="O14" s="14">
        <v>-6.6995425042539303E-2</v>
      </c>
      <c r="P14" s="14">
        <v>-8.6495031442980694E-3</v>
      </c>
      <c r="Q14" s="14">
        <v>7.0648154437266381E-2</v>
      </c>
      <c r="R14" s="14">
        <v>8.8410463066444914E-2</v>
      </c>
      <c r="S14" s="14">
        <v>6.3603716973677143E-2</v>
      </c>
      <c r="T14" s="14">
        <v>2.858416213927709E-2</v>
      </c>
      <c r="U14" s="14">
        <v>-1.9720071911236039E-3</v>
      </c>
      <c r="V14" s="14">
        <v>-5.4393307350008691E-2</v>
      </c>
      <c r="W14" s="14">
        <v>-0.12840146673826169</v>
      </c>
      <c r="X14" s="14">
        <v>-0.31508716234860862</v>
      </c>
      <c r="Y14" s="14">
        <v>-0.37027815376083029</v>
      </c>
      <c r="Z14" s="14">
        <v>-0.48698218543225907</v>
      </c>
      <c r="AA14" s="14">
        <v>-0.38707630593493431</v>
      </c>
      <c r="AB14" s="14">
        <v>-0.35974032732938022</v>
      </c>
      <c r="AC14" s="14">
        <v>-0.35665376499059093</v>
      </c>
      <c r="AD14" s="14">
        <v>-0.42652835672573303</v>
      </c>
      <c r="AE14" s="14">
        <v>-0.30969143688616679</v>
      </c>
      <c r="AF14" s="14">
        <v>-0.4057715323428005</v>
      </c>
      <c r="AG14" s="14">
        <v>-0.38044223733184751</v>
      </c>
      <c r="AH14" s="14">
        <v>-0.38569251526235349</v>
      </c>
      <c r="AI14" s="14">
        <v>-0.45776546618947428</v>
      </c>
      <c r="AJ14" s="14">
        <v>-0.47282450227262529</v>
      </c>
      <c r="AK14" s="14">
        <v>-0.55029984129507936</v>
      </c>
      <c r="AL14" s="14">
        <v>-0.6015300242632089</v>
      </c>
      <c r="AM14" s="14">
        <v>-0.66277219064183412</v>
      </c>
      <c r="AN14" s="14">
        <v>-0.76136685741137788</v>
      </c>
      <c r="AO14" s="14">
        <v>-0.82227256287678785</v>
      </c>
      <c r="AP14" s="14">
        <v>-0.75229603772470366</v>
      </c>
      <c r="AQ14" s="14">
        <v>-0.72256265722742596</v>
      </c>
      <c r="AR14" s="14">
        <v>-0.71497996555998711</v>
      </c>
      <c r="AS14" s="14">
        <v>-0.72164930394967652</v>
      </c>
      <c r="AT14" s="14">
        <v>-0.64224582423903853</v>
      </c>
      <c r="AU14" s="14">
        <v>-0.69966743735317238</v>
      </c>
      <c r="AV14" s="14">
        <v>-0.63340868813691387</v>
      </c>
      <c r="AW14" s="14">
        <v>-0.68733736936634116</v>
      </c>
      <c r="AX14" s="14">
        <v>-0.70670758274183176</v>
      </c>
      <c r="AY14" s="14">
        <v>-0.70501701091682467</v>
      </c>
      <c r="AZ14" s="14">
        <v>-0.76608759139806393</v>
      </c>
      <c r="BA14" s="14">
        <v>-0.83297742296091259</v>
      </c>
      <c r="BB14" s="14">
        <v>-0.77124314095923774</v>
      </c>
      <c r="BC14" s="14">
        <v>-0.74273745745993158</v>
      </c>
      <c r="BD14" s="14">
        <v>-0.72631856272308948</v>
      </c>
      <c r="BE14" s="14">
        <v>-0.75043666798624742</v>
      </c>
      <c r="BF14" s="14">
        <v>-0.75567872061782637</v>
      </c>
      <c r="BG14" s="14">
        <v>-0.74518187851256323</v>
      </c>
      <c r="BH14" s="14">
        <v>-0.81859534269128831</v>
      </c>
      <c r="BI14" s="14">
        <v>-0.78632444795444623</v>
      </c>
      <c r="BJ14" s="14">
        <v>-0.76630722428321296</v>
      </c>
      <c r="BK14" s="14">
        <v>-0.79999864415398148</v>
      </c>
      <c r="BL14" s="14">
        <v>-0.85973641099635179</v>
      </c>
      <c r="BM14" s="14">
        <v>-0.81345808599335134</v>
      </c>
      <c r="BN14" s="14">
        <v>-0.8343946240659027</v>
      </c>
      <c r="BO14" s="14">
        <v>-0.86800366974316723</v>
      </c>
      <c r="BP14" s="14">
        <v>-0.88367740323612631</v>
      </c>
      <c r="BQ14" s="14">
        <v>-0.89952092710607712</v>
      </c>
      <c r="BR14" s="14">
        <v>-0.92745035663869502</v>
      </c>
      <c r="BS14" s="14">
        <v>-0.96894431178327289</v>
      </c>
      <c r="BT14" s="14">
        <v>-0.9996707879090373</v>
      </c>
      <c r="BU14" s="14">
        <v>-0.98166827417665525</v>
      </c>
      <c r="BV14" s="14">
        <v>-1.0896499073766499</v>
      </c>
      <c r="BW14" s="14">
        <v>-1.220547415933835</v>
      </c>
      <c r="BX14" s="14">
        <v>-1.206212120656535</v>
      </c>
      <c r="BY14" s="14">
        <v>-1.2488166103098839</v>
      </c>
      <c r="BZ14" s="14">
        <v>-1.1887825534811021</v>
      </c>
      <c r="CA14" s="14">
        <v>-1.1553279219021539</v>
      </c>
      <c r="CB14" s="14">
        <v>-1.095850861608614</v>
      </c>
      <c r="CC14" s="14">
        <v>-0.97525565108229861</v>
      </c>
      <c r="CD14" s="14">
        <v>-0.87723894115010081</v>
      </c>
      <c r="CE14" s="14">
        <v>-0.70668409904483764</v>
      </c>
      <c r="CF14" s="14">
        <v>-0.74956150912015451</v>
      </c>
      <c r="CG14" s="14">
        <v>-0.80688217278797514</v>
      </c>
      <c r="CH14" s="14">
        <v>-0.85576184324404092</v>
      </c>
      <c r="CI14" s="14">
        <v>-0.8595900011387777</v>
      </c>
      <c r="CJ14" s="14">
        <v>-0.84179388478963635</v>
      </c>
      <c r="CK14" s="14">
        <v>-0.78800179827564343</v>
      </c>
      <c r="CL14" s="14">
        <v>-0.65065822782216887</v>
      </c>
      <c r="CM14" s="14">
        <v>-0.6557553346999162</v>
      </c>
      <c r="CN14" s="14">
        <v>-0.67515643996307406</v>
      </c>
      <c r="CO14" s="14">
        <v>-0.75392019868139815</v>
      </c>
      <c r="CP14" s="14">
        <v>-0.84757955642243998</v>
      </c>
      <c r="CQ14" s="14">
        <v>-0.87980745630982771</v>
      </c>
      <c r="CR14" s="14">
        <v>-0.67208774371917968</v>
      </c>
      <c r="CS14" s="14">
        <v>-0.67590284898233755</v>
      </c>
      <c r="CT14" s="14">
        <v>-0.68556473526439277</v>
      </c>
      <c r="CU14" s="14">
        <v>-0.78710973522110728</v>
      </c>
      <c r="CV14" s="14">
        <v>-0.63571289406347398</v>
      </c>
      <c r="CW14" s="14">
        <v>-0.59094900962021391</v>
      </c>
      <c r="CX14" s="14">
        <v>-0.55464960073197478</v>
      </c>
      <c r="CY14" s="14">
        <v>-0.45828847060469091</v>
      </c>
      <c r="CZ14" s="14">
        <v>-0.39422490725430748</v>
      </c>
      <c r="DA14" s="14">
        <v>-0.32883232830693909</v>
      </c>
      <c r="DB14" s="14">
        <v>-0.2242242756753601</v>
      </c>
      <c r="DC14" s="14">
        <v>-0.26722281765556022</v>
      </c>
      <c r="DD14" s="14">
        <v>-0.32112171239240228</v>
      </c>
      <c r="DE14" s="14">
        <v>-0.38364863639886132</v>
      </c>
      <c r="DF14" s="14">
        <v>-0.31946822852780671</v>
      </c>
      <c r="DG14" s="14">
        <v>-0.40679303428633973</v>
      </c>
      <c r="DH14" s="14">
        <v>-0.34805045533897128</v>
      </c>
      <c r="DI14" s="14">
        <v>-0.26140366586528713</v>
      </c>
      <c r="DJ14" s="14">
        <v>-0.26037994159798977</v>
      </c>
      <c r="DK14" s="14">
        <v>-0.24130887848033389</v>
      </c>
      <c r="DL14" s="14">
        <v>-0.20055400664843481</v>
      </c>
      <c r="DM14" s="14">
        <v>-0.23297592339021381</v>
      </c>
      <c r="DN14" s="14">
        <v>-0.27791166399870942</v>
      </c>
      <c r="DO14" s="14">
        <v>-0.34820021294324099</v>
      </c>
      <c r="DP14" s="14">
        <v>-0.41111502101354142</v>
      </c>
      <c r="DQ14" s="14">
        <v>-0.33994245643240839</v>
      </c>
      <c r="DR14" s="14">
        <v>-0.28731993697340891</v>
      </c>
      <c r="DS14" s="14">
        <v>-0.19788218258444171</v>
      </c>
      <c r="DT14" s="14">
        <v>-0.24239913618189701</v>
      </c>
      <c r="DU14" s="14">
        <v>-0.31119539933979168</v>
      </c>
      <c r="DV14" s="14">
        <v>-0.35634862324427469</v>
      </c>
      <c r="DW14" s="14">
        <v>-0.35453872850743262</v>
      </c>
      <c r="DX14" s="14">
        <v>-0.32684903114703401</v>
      </c>
      <c r="DY14" s="14">
        <v>-0.27918804454469281</v>
      </c>
      <c r="DZ14" s="14">
        <v>-0.257490455288576</v>
      </c>
      <c r="EA14" s="14">
        <v>-0.14996492897278649</v>
      </c>
      <c r="EB14" s="14">
        <v>-0.17507545528857599</v>
      </c>
      <c r="EC14" s="14">
        <v>-0.19436508686752341</v>
      </c>
      <c r="ED14" s="14">
        <v>-0.22796345528857601</v>
      </c>
      <c r="EE14" s="14">
        <v>-0.22456419213068121</v>
      </c>
      <c r="EF14" s="14">
        <v>-0.19903998160436551</v>
      </c>
    </row>
    <row r="15" spans="1:136">
      <c r="A15" s="2"/>
      <c r="B15" s="2" t="s">
        <v>232</v>
      </c>
      <c r="C15" s="14">
        <v>3.6350225217569622E-2</v>
      </c>
      <c r="D15" s="14">
        <v>-0.2366846474780564</v>
      </c>
      <c r="E15" s="14">
        <v>-0.3320292529490268</v>
      </c>
      <c r="F15" s="14">
        <v>-0.29710781639232942</v>
      </c>
      <c r="G15" s="14">
        <v>-0.26270389542529288</v>
      </c>
      <c r="H15" s="14">
        <v>-0.26394762148339801</v>
      </c>
      <c r="I15" s="14">
        <v>-0.1846545308302974</v>
      </c>
      <c r="J15" s="14">
        <v>-0.1225333210803253</v>
      </c>
      <c r="K15" s="14">
        <v>-2.8018523488394429E-2</v>
      </c>
      <c r="L15" s="14">
        <v>5.3152537080251847E-2</v>
      </c>
      <c r="M15" s="14">
        <v>5.1019520643964152E-2</v>
      </c>
      <c r="N15" s="14">
        <v>-5.8776673781169547E-2</v>
      </c>
      <c r="O15" s="14">
        <v>-7.1047469540322261E-2</v>
      </c>
      <c r="P15" s="14">
        <v>-6.9312865186604983E-3</v>
      </c>
      <c r="Q15" s="14">
        <v>3.8967444927271097E-2</v>
      </c>
      <c r="R15" s="14">
        <v>0.1656585036370849</v>
      </c>
      <c r="S15" s="14">
        <v>0.25114639384302578</v>
      </c>
      <c r="T15" s="14">
        <v>0.20525531672584149</v>
      </c>
      <c r="U15" s="14">
        <v>0.1270559262880287</v>
      </c>
      <c r="V15" s="14">
        <v>1.6928919957192801E-2</v>
      </c>
      <c r="W15" s="14">
        <v>-8.56146740255503E-2</v>
      </c>
      <c r="X15" s="14">
        <v>-0.29680100135593201</v>
      </c>
      <c r="Y15" s="14">
        <v>-0.34882979941307418</v>
      </c>
      <c r="Z15" s="14">
        <v>-0.41153391874151812</v>
      </c>
      <c r="AA15" s="14">
        <v>-0.25068353452845371</v>
      </c>
      <c r="AB15" s="14">
        <v>-0.22851713378752059</v>
      </c>
      <c r="AC15" s="14">
        <v>-0.23283480263557579</v>
      </c>
      <c r="AD15" s="14">
        <v>-0.31454817752375808</v>
      </c>
      <c r="AE15" s="14">
        <v>-0.1027555344764861</v>
      </c>
      <c r="AF15" s="14">
        <v>-0.2404818216541405</v>
      </c>
      <c r="AG15" s="14">
        <v>-0.19615727743906469</v>
      </c>
      <c r="AH15" s="14">
        <v>-0.16255290408138831</v>
      </c>
      <c r="AI15" s="14">
        <v>-0.2479830148969952</v>
      </c>
      <c r="AJ15" s="14">
        <v>-0.25744787486447102</v>
      </c>
      <c r="AK15" s="14">
        <v>-0.32680932605638741</v>
      </c>
      <c r="AL15" s="14">
        <v>-0.3591694998530488</v>
      </c>
      <c r="AM15" s="14">
        <v>-0.4142921219876759</v>
      </c>
      <c r="AN15" s="14">
        <v>-0.51598082790005939</v>
      </c>
      <c r="AO15" s="14">
        <v>-0.57935064036352646</v>
      </c>
      <c r="AP15" s="14">
        <v>-0.50106494647077227</v>
      </c>
      <c r="AQ15" s="14">
        <v>-0.46461162705053699</v>
      </c>
      <c r="AR15" s="14">
        <v>-0.44687780129129773</v>
      </c>
      <c r="AS15" s="14">
        <v>-0.49561102264539952</v>
      </c>
      <c r="AT15" s="14">
        <v>-0.42462121004169462</v>
      </c>
      <c r="AU15" s="14">
        <v>-0.50179528729165634</v>
      </c>
      <c r="AV15" s="14">
        <v>-0.46449735859254587</v>
      </c>
      <c r="AW15" s="14">
        <v>-0.55622483138589662</v>
      </c>
      <c r="AX15" s="14">
        <v>-0.63758539734066477</v>
      </c>
      <c r="AY15" s="14">
        <v>-0.60857973804017296</v>
      </c>
      <c r="AZ15" s="14">
        <v>-0.67642606715882336</v>
      </c>
      <c r="BA15" s="14">
        <v>-0.66127432866502611</v>
      </c>
      <c r="BB15" s="14">
        <v>-0.54854946258621307</v>
      </c>
      <c r="BC15" s="14">
        <v>-0.51761277096386304</v>
      </c>
      <c r="BD15" s="14">
        <v>-0.51024807096386304</v>
      </c>
      <c r="BE15" s="14">
        <v>-0.55646637096386309</v>
      </c>
      <c r="BF15" s="14">
        <v>-0.61344397096386305</v>
      </c>
      <c r="BG15" s="14">
        <v>-0.59966757096386303</v>
      </c>
      <c r="BH15" s="14">
        <v>-0.69831661737028372</v>
      </c>
      <c r="BI15" s="14">
        <v>-0.67196481737028368</v>
      </c>
      <c r="BJ15" s="14">
        <v>-0.66069979028283843</v>
      </c>
      <c r="BK15" s="14">
        <v>-0.61509485798242491</v>
      </c>
      <c r="BL15" s="14">
        <v>-0.67449872932377331</v>
      </c>
      <c r="BM15" s="14">
        <v>-0.62627972483602923</v>
      </c>
      <c r="BN15" s="14">
        <v>-0.66642229456921909</v>
      </c>
      <c r="BO15" s="14">
        <v>-0.69415677052415004</v>
      </c>
      <c r="BP15" s="14">
        <v>-0.70834099123195482</v>
      </c>
      <c r="BQ15" s="14">
        <v>-0.72114392252228254</v>
      </c>
      <c r="BR15" s="14">
        <v>-0.77130135164434221</v>
      </c>
      <c r="BS15" s="14">
        <v>-0.78812512909462851</v>
      </c>
      <c r="BT15" s="14">
        <v>-0.84797606518647928</v>
      </c>
      <c r="BU15" s="14">
        <v>-0.86311614758534272</v>
      </c>
      <c r="BV15" s="14">
        <v>-0.96775619187903283</v>
      </c>
      <c r="BW15" s="14">
        <v>-1.266635181454961</v>
      </c>
      <c r="BX15" s="14">
        <v>-1.2127836125104969</v>
      </c>
      <c r="BY15" s="14">
        <v>-1.3388071860875841</v>
      </c>
      <c r="BZ15" s="14">
        <v>-1.2359007171102361</v>
      </c>
      <c r="CA15" s="14">
        <v>-1.205937817110236</v>
      </c>
      <c r="CB15" s="14">
        <v>-1.1132537115869989</v>
      </c>
      <c r="CC15" s="14">
        <v>-0.93960411158699897</v>
      </c>
      <c r="CD15" s="14">
        <v>-0.81945202762391456</v>
      </c>
      <c r="CE15" s="14">
        <v>-0.74608462762391459</v>
      </c>
      <c r="CF15" s="14">
        <v>-0.78743405749188211</v>
      </c>
      <c r="CG15" s="14">
        <v>-0.87332007902204589</v>
      </c>
      <c r="CH15" s="14">
        <v>-0.95466268700537416</v>
      </c>
      <c r="CI15" s="14">
        <v>-1.023997687005374</v>
      </c>
      <c r="CJ15" s="14">
        <v>-0.98332597005831301</v>
      </c>
      <c r="CK15" s="14">
        <v>-0.88768522188560772</v>
      </c>
      <c r="CL15" s="14">
        <v>-0.72603074884243113</v>
      </c>
      <c r="CM15" s="14">
        <v>-0.77265728463502981</v>
      </c>
      <c r="CN15" s="14">
        <v>-0.77243968463502977</v>
      </c>
      <c r="CO15" s="14">
        <v>-0.87941892883459782</v>
      </c>
      <c r="CP15" s="14">
        <v>-1.009517676508338</v>
      </c>
      <c r="CQ15" s="14">
        <v>-0.9845543160518988</v>
      </c>
      <c r="CR15" s="14">
        <v>-0.80306538381616366</v>
      </c>
      <c r="CS15" s="14">
        <v>-0.78615298381616361</v>
      </c>
      <c r="CT15" s="14">
        <v>-0.78121131345055173</v>
      </c>
      <c r="CU15" s="14">
        <v>-0.90526124486441983</v>
      </c>
      <c r="CV15" s="14">
        <v>-0.7226496971475036</v>
      </c>
      <c r="CW15" s="14">
        <v>-0.69657760624437692</v>
      </c>
      <c r="CX15" s="14">
        <v>-0.67253799919104595</v>
      </c>
      <c r="CY15" s="14">
        <v>-0.57959009485568802</v>
      </c>
      <c r="CZ15" s="14">
        <v>-0.49970314691134582</v>
      </c>
      <c r="DA15" s="14">
        <v>-0.41084134691134577</v>
      </c>
      <c r="DB15" s="14">
        <v>-0.31379364691134581</v>
      </c>
      <c r="DC15" s="14">
        <v>-0.38148607885647168</v>
      </c>
      <c r="DD15" s="14">
        <v>-0.44901117885647168</v>
      </c>
      <c r="DE15" s="14">
        <v>-0.5061748135877242</v>
      </c>
      <c r="DF15" s="14">
        <v>-0.51222933986032837</v>
      </c>
      <c r="DG15" s="14">
        <v>-0.62532090270068807</v>
      </c>
      <c r="DH15" s="14">
        <v>-0.49569740270068807</v>
      </c>
      <c r="DI15" s="14">
        <v>-0.45288640270068808</v>
      </c>
      <c r="DJ15" s="14">
        <v>-0.50474025579509496</v>
      </c>
      <c r="DK15" s="14">
        <v>-0.40296542174362687</v>
      </c>
      <c r="DL15" s="14">
        <v>-0.40326941494645469</v>
      </c>
      <c r="DM15" s="14">
        <v>-0.4423215316401205</v>
      </c>
      <c r="DN15" s="14">
        <v>-0.5240522438912496</v>
      </c>
      <c r="DO15" s="14">
        <v>-0.55815665964034666</v>
      </c>
      <c r="DP15" s="14">
        <v>-0.69246160700571302</v>
      </c>
      <c r="DQ15" s="14">
        <v>-0.6554229180535156</v>
      </c>
      <c r="DR15" s="14">
        <v>-0.58541235143557713</v>
      </c>
      <c r="DS15" s="14">
        <v>-0.57584080897681256</v>
      </c>
      <c r="DT15" s="14">
        <v>-0.64800444069497554</v>
      </c>
      <c r="DU15" s="14">
        <v>-0.76513294069497551</v>
      </c>
      <c r="DV15" s="14">
        <v>-0.81186067004821516</v>
      </c>
      <c r="DW15" s="14">
        <v>-0.87268747004821512</v>
      </c>
      <c r="DX15" s="14">
        <v>-0.85114179972773507</v>
      </c>
      <c r="DY15" s="14">
        <v>-0.93481543442027382</v>
      </c>
      <c r="DZ15" s="14">
        <v>-0.8982189366564699</v>
      </c>
      <c r="EA15" s="14">
        <v>-0.78904123665646986</v>
      </c>
      <c r="EB15" s="14">
        <v>-0.84517023665646984</v>
      </c>
      <c r="EC15" s="14">
        <v>-0.86295403665646986</v>
      </c>
      <c r="ED15" s="14">
        <v>-0.93533773665646991</v>
      </c>
      <c r="EE15" s="14">
        <v>-0.93852793665646994</v>
      </c>
      <c r="EF15" s="14">
        <v>-0.90888383665646999</v>
      </c>
    </row>
    <row r="16" spans="1:136">
      <c r="A16" s="2"/>
      <c r="B16" s="2" t="s">
        <v>233</v>
      </c>
      <c r="C16" s="14">
        <v>3.9435389831589431E-2</v>
      </c>
      <c r="D16" s="14">
        <v>-0.1949025871283997</v>
      </c>
      <c r="E16" s="14">
        <v>-0.281606758556953</v>
      </c>
      <c r="F16" s="14">
        <v>-0.20289128665262199</v>
      </c>
      <c r="G16" s="14">
        <v>-0.19474473599367281</v>
      </c>
      <c r="H16" s="14">
        <v>-0.1953940854504958</v>
      </c>
      <c r="I16" s="14">
        <v>-8.6176122114250797E-2</v>
      </c>
      <c r="J16" s="14">
        <v>-1.307148297186639E-2</v>
      </c>
      <c r="K16" s="14">
        <v>7.3349408610524192E-2</v>
      </c>
      <c r="L16" s="14">
        <v>0.15851101272473561</v>
      </c>
      <c r="M16" s="14">
        <v>0.1445235768628185</v>
      </c>
      <c r="N16" s="14">
        <v>2.4281078583621829E-2</v>
      </c>
      <c r="O16" s="14">
        <v>-4.3059982953573619E-3</v>
      </c>
      <c r="P16" s="14">
        <v>5.6739233496064953E-2</v>
      </c>
      <c r="Q16" s="14">
        <v>0.13821787680205819</v>
      </c>
      <c r="R16" s="14">
        <v>0.2413275706897674</v>
      </c>
      <c r="S16" s="14">
        <v>0.35118661502457399</v>
      </c>
      <c r="T16" s="14">
        <v>0.31277994173096202</v>
      </c>
      <c r="U16" s="14">
        <v>0.22130800678019499</v>
      </c>
      <c r="V16" s="14">
        <v>0.14573652067128809</v>
      </c>
      <c r="W16" s="14">
        <v>4.4070844623476248E-2</v>
      </c>
      <c r="X16" s="14">
        <v>-0.19646111700368979</v>
      </c>
      <c r="Y16" s="14">
        <v>-0.24673995146475239</v>
      </c>
      <c r="Z16" s="14">
        <v>-0.28975000964851338</v>
      </c>
      <c r="AA16" s="14">
        <v>-0.12359111835119629</v>
      </c>
      <c r="AB16" s="14">
        <v>-9.1295703917128532E-2</v>
      </c>
      <c r="AC16" s="14">
        <v>-7.8530255881711836E-2</v>
      </c>
      <c r="AD16" s="14">
        <v>-0.13166631142956861</v>
      </c>
      <c r="AE16" s="14">
        <v>7.7961929747341868E-2</v>
      </c>
      <c r="AF16" s="14">
        <v>-6.9953680517084643E-2</v>
      </c>
      <c r="AG16" s="14">
        <v>-2.617752078131224E-2</v>
      </c>
      <c r="AH16" s="14">
        <v>5.5878796681283144E-3</v>
      </c>
      <c r="AI16" s="14">
        <v>-4.3490163508439719E-2</v>
      </c>
      <c r="AJ16" s="14">
        <v>-3.6464197436563657E-2</v>
      </c>
      <c r="AK16" s="14">
        <v>-7.3897650418051533E-2</v>
      </c>
      <c r="AL16" s="14">
        <v>-7.9337353048704512E-2</v>
      </c>
      <c r="AM16" s="14">
        <v>-0.14541408365050251</v>
      </c>
      <c r="AN16" s="14">
        <v>-0.25187028374017811</v>
      </c>
      <c r="AO16" s="14">
        <v>-0.31329495556609038</v>
      </c>
      <c r="AP16" s="14">
        <v>-0.23549658742050189</v>
      </c>
      <c r="AQ16" s="14">
        <v>-0.18099883447661849</v>
      </c>
      <c r="AR16" s="14">
        <v>-0.1466268554163476</v>
      </c>
      <c r="AS16" s="14">
        <v>-0.19926957365458139</v>
      </c>
      <c r="AT16" s="14">
        <v>-7.6705530304296568E-2</v>
      </c>
      <c r="AU16" s="14">
        <v>-0.15879580214729849</v>
      </c>
      <c r="AV16" s="14">
        <v>-0.10671496671056099</v>
      </c>
      <c r="AW16" s="14">
        <v>-0.21569990535208969</v>
      </c>
      <c r="AX16" s="14">
        <v>-0.31632123445349247</v>
      </c>
      <c r="AY16" s="14">
        <v>-0.29671938085435329</v>
      </c>
      <c r="AZ16" s="14">
        <v>-0.38486956237492592</v>
      </c>
      <c r="BA16" s="14">
        <v>-0.41878112435962439</v>
      </c>
      <c r="BB16" s="14">
        <v>-0.31074220020688642</v>
      </c>
      <c r="BC16" s="14">
        <v>-0.27174280828465469</v>
      </c>
      <c r="BD16" s="14">
        <v>-0.26545869717354359</v>
      </c>
      <c r="BE16" s="14">
        <v>-0.30959903050687693</v>
      </c>
      <c r="BF16" s="14">
        <v>-0.36418336384021027</v>
      </c>
      <c r="BG16" s="14">
        <v>-0.34485214161798811</v>
      </c>
      <c r="BH16" s="14">
        <v>-0.44101417612572169</v>
      </c>
      <c r="BI16" s="14">
        <v>-0.41539328723683289</v>
      </c>
      <c r="BJ16" s="14">
        <v>-0.39488947095362531</v>
      </c>
      <c r="BK16" s="14">
        <v>-0.3435178464276139</v>
      </c>
      <c r="BL16" s="14">
        <v>-0.41414141213513711</v>
      </c>
      <c r="BM16" s="14">
        <v>-0.37464342664403089</v>
      </c>
      <c r="BN16" s="14">
        <v>-0.4225492592480582</v>
      </c>
      <c r="BO16" s="14">
        <v>-0.44443961920171587</v>
      </c>
      <c r="BP16" s="14">
        <v>-0.46528280274929651</v>
      </c>
      <c r="BQ16" s="14">
        <v>-0.48176081900422513</v>
      </c>
      <c r="BR16" s="14">
        <v>-0.50805766702566946</v>
      </c>
      <c r="BS16" s="14">
        <v>-0.52124924017313368</v>
      </c>
      <c r="BT16" s="14">
        <v>-0.56791012266665197</v>
      </c>
      <c r="BU16" s="14">
        <v>-0.58297470020325382</v>
      </c>
      <c r="BV16" s="14">
        <v>-0.61956033812700051</v>
      </c>
      <c r="BW16" s="14">
        <v>-0.93753117266536767</v>
      </c>
      <c r="BX16" s="14">
        <v>-0.87097165354728479</v>
      </c>
      <c r="BY16" s="14">
        <v>-1.0035300628046639</v>
      </c>
      <c r="BZ16" s="14">
        <v>-0.89200421430301469</v>
      </c>
      <c r="CA16" s="14">
        <v>-0.8645732143030147</v>
      </c>
      <c r="CB16" s="14">
        <v>-0.74870766531385935</v>
      </c>
      <c r="CC16" s="14">
        <v>-0.70432133198052604</v>
      </c>
      <c r="CD16" s="14">
        <v>-0.54925006035416424</v>
      </c>
      <c r="CE16" s="14">
        <v>-0.45563628257638639</v>
      </c>
      <c r="CF16" s="14">
        <v>-0.50843636691166738</v>
      </c>
      <c r="CG16" s="14">
        <v>-0.57016424505833396</v>
      </c>
      <c r="CH16" s="14">
        <v>-0.62061296976233005</v>
      </c>
      <c r="CI16" s="14">
        <v>-0.67895630309566335</v>
      </c>
      <c r="CJ16" s="14">
        <v>-0.64925291760190007</v>
      </c>
      <c r="CK16" s="14">
        <v>-0.56083022782029246</v>
      </c>
      <c r="CL16" s="14">
        <v>-0.36408978966107869</v>
      </c>
      <c r="CM16" s="14">
        <v>-0.37108951640673088</v>
      </c>
      <c r="CN16" s="14">
        <v>-0.3614799608511754</v>
      </c>
      <c r="CO16" s="14">
        <v>-0.49612016964508071</v>
      </c>
      <c r="CP16" s="14">
        <v>-0.60727161984672495</v>
      </c>
      <c r="CQ16" s="14">
        <v>-0.58693784002636407</v>
      </c>
      <c r="CR16" s="14">
        <v>-0.39765130655896558</v>
      </c>
      <c r="CS16" s="14">
        <v>-0.3758430843367434</v>
      </c>
      <c r="CT16" s="14">
        <v>-0.35028570637590878</v>
      </c>
      <c r="CU16" s="14">
        <v>-0.48575740724011479</v>
      </c>
      <c r="CV16" s="14">
        <v>-0.31350588460162848</v>
      </c>
      <c r="CW16" s="14">
        <v>-0.26616422542734869</v>
      </c>
      <c r="CX16" s="14">
        <v>-0.2539239406730987</v>
      </c>
      <c r="CY16" s="14">
        <v>-0.17264330279888451</v>
      </c>
      <c r="CZ16" s="14">
        <v>-7.0010043620751958E-2</v>
      </c>
      <c r="DA16" s="14">
        <v>4.8170511934803643E-2</v>
      </c>
      <c r="DB16" s="14">
        <v>0.14618717860147029</v>
      </c>
      <c r="DC16" s="14">
        <v>6.292312697848565E-2</v>
      </c>
      <c r="DD16" s="14">
        <v>-1.1446984132625449E-2</v>
      </c>
      <c r="DE16" s="14">
        <v>-4.5999384491415468E-2</v>
      </c>
      <c r="DF16" s="14">
        <v>-4.869739804374143E-2</v>
      </c>
      <c r="DG16" s="14">
        <v>-0.17506931789421409</v>
      </c>
      <c r="DH16" s="14">
        <v>-3.7919873449769631E-2</v>
      </c>
      <c r="DI16" s="14">
        <v>9.9089043280081376E-3</v>
      </c>
      <c r="DJ16" s="14">
        <v>-1.9232501752621499E-2</v>
      </c>
      <c r="DK16" s="14">
        <v>0.1143618548729592</v>
      </c>
      <c r="DL16" s="14">
        <v>9.2488980623184947E-2</v>
      </c>
      <c r="DM16" s="14">
        <v>7.3578606454641704E-2</v>
      </c>
      <c r="DN16" s="14">
        <v>-4.2308125290349899E-2</v>
      </c>
      <c r="DO16" s="14">
        <v>-8.8871991770127862E-2</v>
      </c>
      <c r="DP16" s="14">
        <v>-0.2492059862459404</v>
      </c>
      <c r="DQ16" s="14">
        <v>-0.2021358302414086</v>
      </c>
      <c r="DR16" s="14">
        <v>-0.14694457859189339</v>
      </c>
      <c r="DS16" s="14">
        <v>-0.15736760296840829</v>
      </c>
      <c r="DT16" s="14">
        <v>-0.25790173079287387</v>
      </c>
      <c r="DU16" s="14">
        <v>-0.38067473079287378</v>
      </c>
      <c r="DV16" s="14">
        <v>-0.42640304796536083</v>
      </c>
      <c r="DW16" s="14">
        <v>-0.49770615907647192</v>
      </c>
      <c r="DX16" s="14">
        <v>-0.47575843130043111</v>
      </c>
      <c r="DY16" s="14">
        <v>-0.57074329552166803</v>
      </c>
      <c r="DZ16" s="14">
        <v>-0.55809412393587865</v>
      </c>
      <c r="EA16" s="14">
        <v>-0.41829423504698982</v>
      </c>
      <c r="EB16" s="14">
        <v>-0.48917201282476752</v>
      </c>
      <c r="EC16" s="14">
        <v>-0.51410845726921195</v>
      </c>
      <c r="ED16" s="14">
        <v>-0.59439367949143418</v>
      </c>
      <c r="EE16" s="14">
        <v>-0.59878979060254534</v>
      </c>
      <c r="EF16" s="14">
        <v>-0.56424134615810084</v>
      </c>
    </row>
    <row r="17" spans="1:136">
      <c r="A17" s="2"/>
      <c r="B17" s="2" t="s">
        <v>234</v>
      </c>
      <c r="C17" s="14">
        <v>3.8913468982799751E-2</v>
      </c>
      <c r="D17" s="14">
        <v>-0.12963389287697449</v>
      </c>
      <c r="E17" s="14">
        <v>-0.22630500206958529</v>
      </c>
      <c r="F17" s="14">
        <v>-0.14555283791726631</v>
      </c>
      <c r="G17" s="14">
        <v>-4.0165763253535547E-2</v>
      </c>
      <c r="H17" s="14">
        <v>-3.2222906405533859E-2</v>
      </c>
      <c r="I17" s="14">
        <v>8.0854617967912629E-2</v>
      </c>
      <c r="J17" s="14">
        <v>0.12914156592867829</v>
      </c>
      <c r="K17" s="14">
        <v>0.23070164565098819</v>
      </c>
      <c r="L17" s="14">
        <v>0.27293643679633028</v>
      </c>
      <c r="M17" s="14">
        <v>0.28759557888661869</v>
      </c>
      <c r="N17" s="14">
        <v>0.17831775205681291</v>
      </c>
      <c r="O17" s="14">
        <v>0.1670110759926807</v>
      </c>
      <c r="P17" s="14">
        <v>0.23335044513151171</v>
      </c>
      <c r="Q17" s="14">
        <v>0.33361727343507969</v>
      </c>
      <c r="R17" s="14">
        <v>0.4700437186353259</v>
      </c>
      <c r="S17" s="14">
        <v>0.58909810796065665</v>
      </c>
      <c r="T17" s="14">
        <v>0.56575552244971594</v>
      </c>
      <c r="U17" s="14">
        <v>0.50334962074981882</v>
      </c>
      <c r="V17" s="14">
        <v>0.40608996489721583</v>
      </c>
      <c r="W17" s="14">
        <v>0.28648598088490829</v>
      </c>
      <c r="X17" s="14">
        <v>4.8496549564593483E-2</v>
      </c>
      <c r="Y17" s="14">
        <v>-2.5126581925814139E-2</v>
      </c>
      <c r="Z17" s="14">
        <v>-7.3452255497470392E-2</v>
      </c>
      <c r="AA17" s="14">
        <v>0.117831181417939</v>
      </c>
      <c r="AB17" s="14">
        <v>0.16236948468737861</v>
      </c>
      <c r="AC17" s="14">
        <v>0.18245573942540019</v>
      </c>
      <c r="AD17" s="14">
        <v>0.13267836396464611</v>
      </c>
      <c r="AE17" s="14">
        <v>0.35480106839309689</v>
      </c>
      <c r="AF17" s="14">
        <v>0.23451474373725051</v>
      </c>
      <c r="AG17" s="14">
        <v>0.29715488530838918</v>
      </c>
      <c r="AH17" s="14">
        <v>0.33262750448127798</v>
      </c>
      <c r="AI17" s="14">
        <v>0.30203979583976448</v>
      </c>
      <c r="AJ17" s="14">
        <v>0.34464242635872139</v>
      </c>
      <c r="AK17" s="14">
        <v>0.31526653674914612</v>
      </c>
      <c r="AL17" s="14">
        <v>0.2882483545804575</v>
      </c>
      <c r="AM17" s="14">
        <v>0.2128789869928005</v>
      </c>
      <c r="AN17" s="14">
        <v>9.9591866646882826E-2</v>
      </c>
      <c r="AO17" s="14">
        <v>8.6959532051158639E-2</v>
      </c>
      <c r="AP17" s="14">
        <v>0.16420234647074411</v>
      </c>
      <c r="AQ17" s="14">
        <v>0.2254795985889661</v>
      </c>
      <c r="AR17" s="14">
        <v>0.2712822241462689</v>
      </c>
      <c r="AS17" s="14">
        <v>0.21247926720203461</v>
      </c>
      <c r="AT17" s="14">
        <v>0.33955106030928628</v>
      </c>
      <c r="AU17" s="14">
        <v>0.2238514507751814</v>
      </c>
      <c r="AV17" s="14">
        <v>0.28238090010981282</v>
      </c>
      <c r="AW17" s="14">
        <v>0.20619128987999619</v>
      </c>
      <c r="AX17" s="14">
        <v>0.1085721847623882</v>
      </c>
      <c r="AY17" s="14">
        <v>0.12405023046763471</v>
      </c>
      <c r="AZ17" s="14">
        <v>5.3555999551200079E-2</v>
      </c>
      <c r="BA17" s="14">
        <v>1.4784384303509521E-2</v>
      </c>
      <c r="BB17" s="14">
        <v>0.13854844741735389</v>
      </c>
      <c r="BC17" s="14">
        <v>0.16584127179784389</v>
      </c>
      <c r="BD17" s="14">
        <v>0.18525539679784389</v>
      </c>
      <c r="BE17" s="14">
        <v>0.16895677179784391</v>
      </c>
      <c r="BF17" s="14">
        <v>9.1539771797843894E-2</v>
      </c>
      <c r="BG17" s="14">
        <v>7.8386021797843888E-2</v>
      </c>
      <c r="BH17" s="14">
        <v>-5.4805091527485209E-2</v>
      </c>
      <c r="BI17" s="14">
        <v>2.645658472514779E-3</v>
      </c>
      <c r="BJ17" s="14">
        <v>1.2503722745751259E-2</v>
      </c>
      <c r="BK17" s="14">
        <v>2.9255049496132061E-2</v>
      </c>
      <c r="BL17" s="14">
        <v>-4.8227917303814108E-2</v>
      </c>
      <c r="BM17" s="14">
        <v>-1.9168906151459851E-2</v>
      </c>
      <c r="BN17" s="14">
        <v>-6.6084431745337832E-2</v>
      </c>
      <c r="BO17" s="14">
        <v>-0.1012640471620614</v>
      </c>
      <c r="BP17" s="14">
        <v>-0.1372600268165424</v>
      </c>
      <c r="BQ17" s="14">
        <v>-0.148636537262994</v>
      </c>
      <c r="BR17" s="14">
        <v>-0.15828291238774389</v>
      </c>
      <c r="BS17" s="14">
        <v>-0.1623863814983505</v>
      </c>
      <c r="BT17" s="14">
        <v>-0.21503654176032819</v>
      </c>
      <c r="BU17" s="14">
        <v>-0.25354692663188277</v>
      </c>
      <c r="BV17" s="14">
        <v>-0.291787883134077</v>
      </c>
      <c r="BW17" s="14">
        <v>-0.50012470865146552</v>
      </c>
      <c r="BX17" s="14">
        <v>-0.4174837191138171</v>
      </c>
      <c r="BY17" s="14">
        <v>-0.55996109424028395</v>
      </c>
      <c r="BZ17" s="14">
        <v>-0.43938293835919873</v>
      </c>
      <c r="CA17" s="14">
        <v>-0.41218681335919871</v>
      </c>
      <c r="CB17" s="14">
        <v>-0.30302097633845471</v>
      </c>
      <c r="CC17" s="14">
        <v>-0.26126247633845467</v>
      </c>
      <c r="CD17" s="14">
        <v>-8.8302735119306086E-2</v>
      </c>
      <c r="CE17" s="14">
        <v>7.4048898806939054E-3</v>
      </c>
      <c r="CF17" s="14">
        <v>-5.0833906714002633E-2</v>
      </c>
      <c r="CG17" s="14">
        <v>-0.1255488953427337</v>
      </c>
      <c r="CH17" s="14">
        <v>-0.15851796751318681</v>
      </c>
      <c r="CI17" s="14">
        <v>-0.24096921751318681</v>
      </c>
      <c r="CJ17" s="14">
        <v>-0.2200183900318384</v>
      </c>
      <c r="CK17" s="14">
        <v>-0.13606254177220761</v>
      </c>
      <c r="CL17" s="14">
        <v>7.7655719252919808E-4</v>
      </c>
      <c r="CM17" s="14">
        <v>2.4465300858826089E-3</v>
      </c>
      <c r="CN17" s="14">
        <v>1.6077280085882609E-2</v>
      </c>
      <c r="CO17" s="14">
        <v>-0.1213355952436425</v>
      </c>
      <c r="CP17" s="14">
        <v>-0.2295569787525315</v>
      </c>
      <c r="CQ17" s="14">
        <v>-0.28146408209425799</v>
      </c>
      <c r="CR17" s="14">
        <v>-8.5061450331968685E-2</v>
      </c>
      <c r="CS17" s="14">
        <v>-7.3514825331968681E-2</v>
      </c>
      <c r="CT17" s="14">
        <v>-5.6175544926877929E-2</v>
      </c>
      <c r="CU17" s="14">
        <v>-0.21152743772663729</v>
      </c>
      <c r="CV17" s="14">
        <v>-6.0056052865282927E-2</v>
      </c>
      <c r="CW17" s="14">
        <v>3.3371659392050501E-3</v>
      </c>
      <c r="CX17" s="14">
        <v>1.4109560463152881E-2</v>
      </c>
      <c r="CY17" s="14">
        <v>8.971847387295856E-2</v>
      </c>
      <c r="CZ17" s="14">
        <v>0.21396731172057909</v>
      </c>
      <c r="DA17" s="14">
        <v>0.30846293672057912</v>
      </c>
      <c r="DB17" s="14">
        <v>0.41273393672057912</v>
      </c>
      <c r="DC17" s="14">
        <v>0.31388454417076961</v>
      </c>
      <c r="DD17" s="14">
        <v>0.26575454417076949</v>
      </c>
      <c r="DE17" s="14">
        <v>0.24162968082404751</v>
      </c>
      <c r="DF17" s="14">
        <v>0.22595523588751759</v>
      </c>
      <c r="DG17" s="14">
        <v>0.10274276975687829</v>
      </c>
      <c r="DH17" s="14">
        <v>0.26617614475687817</v>
      </c>
      <c r="DI17" s="14">
        <v>0.3363573947568782</v>
      </c>
      <c r="DJ17" s="14">
        <v>0.29102123721605822</v>
      </c>
      <c r="DK17" s="14">
        <v>0.44705766533260438</v>
      </c>
      <c r="DL17" s="14">
        <v>0.44312793364147568</v>
      </c>
      <c r="DM17" s="14">
        <v>0.40590045812548342</v>
      </c>
      <c r="DN17" s="14">
        <v>0.29942049551819688</v>
      </c>
      <c r="DO17" s="14">
        <v>0.2341699511667433</v>
      </c>
      <c r="DP17" s="14">
        <v>9.2135792916108461E-2</v>
      </c>
      <c r="DQ17" s="14">
        <v>0.16478979802213331</v>
      </c>
      <c r="DR17" s="14">
        <v>0.2206746128984616</v>
      </c>
      <c r="DS17" s="14">
        <v>0.21416907666698939</v>
      </c>
      <c r="DT17" s="14">
        <v>0.12103012698183779</v>
      </c>
      <c r="DU17" s="14">
        <v>-8.4638730181621491E-3</v>
      </c>
      <c r="DV17" s="14">
        <v>-5.3612709167220912E-2</v>
      </c>
      <c r="DW17" s="14">
        <v>-0.13021245916722091</v>
      </c>
      <c r="DX17" s="14">
        <v>-0.15324763933640961</v>
      </c>
      <c r="DY17" s="14">
        <v>-0.27925817723746432</v>
      </c>
      <c r="DZ17" s="14">
        <v>-0.28404923048345282</v>
      </c>
      <c r="EA17" s="14">
        <v>-0.1194768554834528</v>
      </c>
      <c r="EB17" s="14">
        <v>-0.19326048048345279</v>
      </c>
      <c r="EC17" s="14">
        <v>-0.2136198554834528</v>
      </c>
      <c r="ED17" s="14">
        <v>-0.29647548048345279</v>
      </c>
      <c r="EE17" s="14">
        <v>-0.29628110548345282</v>
      </c>
      <c r="EF17" s="14">
        <v>-0.25529635548345281</v>
      </c>
    </row>
    <row r="18" spans="1:136">
      <c r="A18" s="2"/>
      <c r="B18" s="2" t="s">
        <v>235</v>
      </c>
      <c r="C18" s="14">
        <v>5.9146797802220617E-2</v>
      </c>
      <c r="D18" s="14">
        <v>-0.1248720916009456</v>
      </c>
      <c r="E18" s="14">
        <v>-0.2253477146040378</v>
      </c>
      <c r="F18" s="14">
        <v>-0.105964754501848</v>
      </c>
      <c r="G18" s="14">
        <v>2.3516187832319929E-3</v>
      </c>
      <c r="H18" s="14">
        <v>1.0973846537676321E-2</v>
      </c>
      <c r="I18" s="14">
        <v>0.1396004023732168</v>
      </c>
      <c r="J18" s="14">
        <v>0.23077363406078491</v>
      </c>
      <c r="K18" s="14">
        <v>0.36642152283841711</v>
      </c>
      <c r="L18" s="14">
        <v>0.41717972994513608</v>
      </c>
      <c r="M18" s="14">
        <v>0.44623119432159353</v>
      </c>
      <c r="N18" s="14">
        <v>0.30502370582529742</v>
      </c>
      <c r="O18" s="14">
        <v>0.33676164692279548</v>
      </c>
      <c r="P18" s="14">
        <v>0.41931425849274329</v>
      </c>
      <c r="Q18" s="14">
        <v>0.51237384840564948</v>
      </c>
      <c r="R18" s="14">
        <v>0.66656303713967091</v>
      </c>
      <c r="S18" s="14">
        <v>0.81036826443857013</v>
      </c>
      <c r="T18" s="14">
        <v>0.75805856688783924</v>
      </c>
      <c r="U18" s="14">
        <v>0.70290822383627449</v>
      </c>
      <c r="V18" s="14">
        <v>0.58151676241034878</v>
      </c>
      <c r="W18" s="14">
        <v>0.44359952449464263</v>
      </c>
      <c r="X18" s="14">
        <v>0.22847846709469091</v>
      </c>
      <c r="Y18" s="14">
        <v>0.1245992231858796</v>
      </c>
      <c r="Z18" s="14">
        <v>7.3129497435040075E-2</v>
      </c>
      <c r="AA18" s="14">
        <v>0.24570015496956879</v>
      </c>
      <c r="AB18" s="14">
        <v>0.30834496023222968</v>
      </c>
      <c r="AC18" s="14">
        <v>0.30697953975539738</v>
      </c>
      <c r="AD18" s="14">
        <v>0.23453575066686599</v>
      </c>
      <c r="AE18" s="14">
        <v>0.49292709958207448</v>
      </c>
      <c r="AF18" s="14">
        <v>0.34238345975800111</v>
      </c>
      <c r="AG18" s="14">
        <v>0.4241034396507547</v>
      </c>
      <c r="AH18" s="14">
        <v>0.46430090061926937</v>
      </c>
      <c r="AI18" s="14">
        <v>0.4174453592655134</v>
      </c>
      <c r="AJ18" s="14">
        <v>0.46483911543196249</v>
      </c>
      <c r="AK18" s="14">
        <v>0.44200623006996609</v>
      </c>
      <c r="AL18" s="14">
        <v>0.40919341829035671</v>
      </c>
      <c r="AM18" s="14">
        <v>0.34255001286558551</v>
      </c>
      <c r="AN18" s="14">
        <v>0.26325537291038359</v>
      </c>
      <c r="AO18" s="14">
        <v>0.25782783794269087</v>
      </c>
      <c r="AP18" s="14">
        <v>0.33610642987649791</v>
      </c>
      <c r="AQ18" s="14">
        <v>0.40026140354001633</v>
      </c>
      <c r="AR18" s="14">
        <v>0.43926387760278052</v>
      </c>
      <c r="AS18" s="14">
        <v>0.35601074971359459</v>
      </c>
      <c r="AT18" s="14">
        <v>0.52239655913765348</v>
      </c>
      <c r="AU18" s="14">
        <v>0.38349834449143377</v>
      </c>
      <c r="AV18" s="14">
        <v>0.44373400919790362</v>
      </c>
      <c r="AW18" s="14">
        <v>0.34596714737666839</v>
      </c>
      <c r="AX18" s="14">
        <v>0.21990280995054101</v>
      </c>
      <c r="AY18" s="14">
        <v>0.25009216867903122</v>
      </c>
      <c r="AZ18" s="14">
        <v>0.19844584128552289</v>
      </c>
      <c r="BA18" s="14">
        <v>0.16314360127875949</v>
      </c>
      <c r="BB18" s="14">
        <v>0.30079964343609672</v>
      </c>
      <c r="BC18" s="14">
        <v>0.27285759273412691</v>
      </c>
      <c r="BD18" s="14">
        <v>0.2931353070198412</v>
      </c>
      <c r="BE18" s="14">
        <v>0.27090302130555549</v>
      </c>
      <c r="BF18" s="14">
        <v>0.23276102130555551</v>
      </c>
      <c r="BG18" s="14">
        <v>0.23045244987698399</v>
      </c>
      <c r="BH18" s="14">
        <v>9.2554184726841543E-2</v>
      </c>
      <c r="BI18" s="14">
        <v>0.12604375615541299</v>
      </c>
      <c r="BJ18" s="14">
        <v>0.1200876921049534</v>
      </c>
      <c r="BK18" s="14">
        <v>0.12106877600807039</v>
      </c>
      <c r="BL18" s="14">
        <v>3.9911102187866268E-2</v>
      </c>
      <c r="BM18" s="14">
        <v>6.7992458560961616E-2</v>
      </c>
      <c r="BN18" s="14">
        <v>1.521806893713146E-2</v>
      </c>
      <c r="BO18" s="14">
        <v>-5.0094271692431754E-3</v>
      </c>
      <c r="BP18" s="14">
        <v>-5.1866967503925179E-2</v>
      </c>
      <c r="BQ18" s="14">
        <v>-5.3783751613774168E-2</v>
      </c>
      <c r="BR18" s="14">
        <v>-5.9531945197728892E-2</v>
      </c>
      <c r="BS18" s="14">
        <v>-6.3515570294848139E-2</v>
      </c>
      <c r="BT18" s="14">
        <v>-0.1250608931875529</v>
      </c>
      <c r="BU18" s="14">
        <v>-0.11614022608203969</v>
      </c>
      <c r="BV18" s="14">
        <v>-0.15576465220618749</v>
      </c>
      <c r="BW18" s="14">
        <v>-0.37414015133717621</v>
      </c>
      <c r="BX18" s="14">
        <v>-0.29955928792257802</v>
      </c>
      <c r="BY18" s="14">
        <v>-0.38702455619467968</v>
      </c>
      <c r="BZ18" s="14">
        <v>-0.23370456839208159</v>
      </c>
      <c r="CA18" s="14">
        <v>-0.20041871124922439</v>
      </c>
      <c r="CB18" s="14">
        <v>-0.10303142826981521</v>
      </c>
      <c r="CC18" s="14">
        <v>1.628286015899108E-3</v>
      </c>
      <c r="CD18" s="14">
        <v>0.19534510466272981</v>
      </c>
      <c r="CE18" s="14">
        <v>0.27260496180558702</v>
      </c>
      <c r="CF18" s="14">
        <v>0.31656270519219559</v>
      </c>
      <c r="CG18" s="14">
        <v>0.22495344962827629</v>
      </c>
      <c r="CH18" s="14">
        <v>0.1795878006691175</v>
      </c>
      <c r="CI18" s="14">
        <v>6.1864229240546097E-2</v>
      </c>
      <c r="CJ18" s="14">
        <v>5.8091862740148492E-2</v>
      </c>
      <c r="CK18" s="14">
        <v>0.15414989440567159</v>
      </c>
      <c r="CL18" s="14">
        <v>0.3070638382151567</v>
      </c>
      <c r="CM18" s="14">
        <v>0.32261258855716007</v>
      </c>
      <c r="CN18" s="14">
        <v>0.29399573141430302</v>
      </c>
      <c r="CO18" s="14">
        <v>0.14339822179205569</v>
      </c>
      <c r="CP18" s="14">
        <v>2.7127901984122321E-2</v>
      </c>
      <c r="CQ18" s="14">
        <v>-1.111477361082038E-2</v>
      </c>
      <c r="CR18" s="14">
        <v>0.1826076340413888</v>
      </c>
      <c r="CS18" s="14">
        <v>0.21073691975567449</v>
      </c>
      <c r="CT18" s="14">
        <v>0.1944644255556657</v>
      </c>
      <c r="CU18" s="14">
        <v>4.9899604379530782E-2</v>
      </c>
      <c r="CV18" s="14">
        <v>0.17692187251253769</v>
      </c>
      <c r="CW18" s="14">
        <v>0.24348044701085389</v>
      </c>
      <c r="CX18" s="14">
        <v>0.30504063284463201</v>
      </c>
      <c r="CY18" s="14">
        <v>0.39821901675253951</v>
      </c>
      <c r="CZ18" s="14">
        <v>0.53106188005431088</v>
      </c>
      <c r="DA18" s="14">
        <v>0.60941973719716802</v>
      </c>
      <c r="DB18" s="14">
        <v>0.72753373719716796</v>
      </c>
      <c r="DC18" s="14">
        <v>0.64471402998600547</v>
      </c>
      <c r="DD18" s="14">
        <v>0.5736427442717198</v>
      </c>
      <c r="DE18" s="14">
        <v>0.53522215678526885</v>
      </c>
      <c r="DF18" s="14">
        <v>0.5071501817073073</v>
      </c>
      <c r="DG18" s="14">
        <v>0.38893308843371188</v>
      </c>
      <c r="DH18" s="14">
        <v>0.5813356598622833</v>
      </c>
      <c r="DI18" s="14">
        <v>0.67929851700514043</v>
      </c>
      <c r="DJ18" s="14">
        <v>0.6340944772198509</v>
      </c>
      <c r="DK18" s="14">
        <v>0.79260810431227835</v>
      </c>
      <c r="DL18" s="14">
        <v>0.78877783024468617</v>
      </c>
      <c r="DM18" s="14">
        <v>0.78352715150242214</v>
      </c>
      <c r="DN18" s="14">
        <v>0.65841846823289141</v>
      </c>
      <c r="DO18" s="14">
        <v>0.62821945077130159</v>
      </c>
      <c r="DP18" s="14">
        <v>0.4947329784942211</v>
      </c>
      <c r="DQ18" s="14">
        <v>0.56048243667811992</v>
      </c>
      <c r="DR18" s="14">
        <v>0.63732309145008093</v>
      </c>
      <c r="DS18" s="14">
        <v>0.61193744019294261</v>
      </c>
      <c r="DT18" s="14">
        <v>0.49592005008196549</v>
      </c>
      <c r="DU18" s="14">
        <v>0.33720462151053687</v>
      </c>
      <c r="DV18" s="14">
        <v>0.26667692900445927</v>
      </c>
      <c r="DW18" s="14">
        <v>0.19803907186160219</v>
      </c>
      <c r="DX18" s="14">
        <v>0.1298617783398669</v>
      </c>
      <c r="DY18" s="14">
        <v>-3.5901326322136218E-2</v>
      </c>
      <c r="DZ18" s="14">
        <v>-7.9129181191578107E-2</v>
      </c>
      <c r="EA18" s="14">
        <v>0.11981810452270759</v>
      </c>
      <c r="EB18" s="14">
        <v>2.2773104522707591E-2</v>
      </c>
      <c r="EC18" s="14">
        <v>3.174247379850437E-3</v>
      </c>
      <c r="ED18" s="14">
        <v>-7.7095466905863844E-2</v>
      </c>
      <c r="EE18" s="14">
        <v>-7.820575262014956E-2</v>
      </c>
      <c r="EF18" s="14">
        <v>-1.425389547729242E-2</v>
      </c>
    </row>
    <row r="19" spans="1:136">
      <c r="A19" s="2"/>
      <c r="B19" s="2" t="s">
        <v>236</v>
      </c>
      <c r="C19" s="14">
        <v>7.386192988077088E-2</v>
      </c>
      <c r="D19" s="14">
        <v>-0.14568093850151839</v>
      </c>
      <c r="E19" s="14">
        <v>-0.28626461509284962</v>
      </c>
      <c r="F19" s="14">
        <v>-0.1085759532872891</v>
      </c>
      <c r="G19" s="14">
        <v>-1.25099814301117E-2</v>
      </c>
      <c r="H19" s="14">
        <v>-2.4578769892596618E-2</v>
      </c>
      <c r="I19" s="14">
        <v>0.1095334085949828</v>
      </c>
      <c r="J19" s="14">
        <v>0.22097065276713521</v>
      </c>
      <c r="K19" s="14">
        <v>0.45976006749105192</v>
      </c>
      <c r="L19" s="14">
        <v>0.480086717131397</v>
      </c>
      <c r="M19" s="14">
        <v>0.43639648097508971</v>
      </c>
      <c r="N19" s="14">
        <v>0.28455289982710957</v>
      </c>
      <c r="O19" s="14">
        <v>0.31611477431602553</v>
      </c>
      <c r="P19" s="14">
        <v>0.40864896050272259</v>
      </c>
      <c r="Q19" s="14">
        <v>0.49051507323926352</v>
      </c>
      <c r="R19" s="14">
        <v>0.63609834604147353</v>
      </c>
      <c r="S19" s="14">
        <v>0.75879022237721505</v>
      </c>
      <c r="T19" s="14">
        <v>0.70732550513190551</v>
      </c>
      <c r="U19" s="14">
        <v>0.64007550351342246</v>
      </c>
      <c r="V19" s="14">
        <v>0.54738718378810935</v>
      </c>
      <c r="W19" s="14">
        <v>0.40076619307059919</v>
      </c>
      <c r="X19" s="14">
        <v>0.25136631971787188</v>
      </c>
      <c r="Y19" s="14">
        <v>0.14823608078743361</v>
      </c>
      <c r="Z19" s="14">
        <v>9.0347355408734301E-2</v>
      </c>
      <c r="AA19" s="14">
        <v>0.22218025488982529</v>
      </c>
      <c r="AB19" s="14">
        <v>0.27389900770058262</v>
      </c>
      <c r="AC19" s="14">
        <v>0.25975746499197278</v>
      </c>
      <c r="AD19" s="14">
        <v>0.23576000773091221</v>
      </c>
      <c r="AE19" s="14">
        <v>0.54425286565628084</v>
      </c>
      <c r="AF19" s="14">
        <v>0.37542228494823771</v>
      </c>
      <c r="AG19" s="14">
        <v>0.41690938839254937</v>
      </c>
      <c r="AH19" s="14">
        <v>0.47346710361425293</v>
      </c>
      <c r="AI19" s="14">
        <v>0.3916969788247564</v>
      </c>
      <c r="AJ19" s="14">
        <v>0.4432422691520187</v>
      </c>
      <c r="AK19" s="14">
        <v>0.40266074603885571</v>
      </c>
      <c r="AL19" s="14">
        <v>0.38774613850905731</v>
      </c>
      <c r="AM19" s="14">
        <v>0.34464012669765243</v>
      </c>
      <c r="AN19" s="14">
        <v>0.26107183233197029</v>
      </c>
      <c r="AO19" s="14">
        <v>0.2351789292865559</v>
      </c>
      <c r="AP19" s="14">
        <v>0.32275304955940798</v>
      </c>
      <c r="AQ19" s="14">
        <v>0.36512871471861102</v>
      </c>
      <c r="AR19" s="14">
        <v>0.32398419982303522</v>
      </c>
      <c r="AS19" s="14">
        <v>0.21478532376996889</v>
      </c>
      <c r="AT19" s="14">
        <v>0.39937898758002688</v>
      </c>
      <c r="AU19" s="14">
        <v>0.24636436110576621</v>
      </c>
      <c r="AV19" s="14">
        <v>0.24333175150315811</v>
      </c>
      <c r="AW19" s="14">
        <v>0.1066383543742454</v>
      </c>
      <c r="AX19" s="14">
        <v>-0.1174854409266107</v>
      </c>
      <c r="AY19" s="14">
        <v>-5.121219821413843E-2</v>
      </c>
      <c r="AZ19" s="14">
        <v>-0.16682372658356209</v>
      </c>
      <c r="BA19" s="14">
        <v>-0.1683327431393972</v>
      </c>
      <c r="BB19" s="14">
        <v>-8.5865440669656012E-3</v>
      </c>
      <c r="BC19" s="14">
        <v>-0.19315833347339281</v>
      </c>
      <c r="BD19" s="14">
        <v>-0.19322916680672611</v>
      </c>
      <c r="BE19" s="14">
        <v>-0.22362183347339279</v>
      </c>
      <c r="BF19" s="14">
        <v>-0.27305750014005947</v>
      </c>
      <c r="BG19" s="14">
        <v>-0.27209416680672621</v>
      </c>
      <c r="BH19" s="14">
        <v>-0.41259107276029949</v>
      </c>
      <c r="BI19" s="14">
        <v>-0.38665257276029952</v>
      </c>
      <c r="BJ19" s="14">
        <v>-0.40835987429887871</v>
      </c>
      <c r="BK19" s="14">
        <v>-0.47787891092832052</v>
      </c>
      <c r="BL19" s="14">
        <v>-0.55784356907482358</v>
      </c>
      <c r="BM19" s="14">
        <v>-0.52605730420567831</v>
      </c>
      <c r="BN19" s="14">
        <v>-0.59330995167295009</v>
      </c>
      <c r="BO19" s="14">
        <v>-0.61903891293806546</v>
      </c>
      <c r="BP19" s="14">
        <v>-0.68185772047219761</v>
      </c>
      <c r="BQ19" s="14">
        <v>-0.69179176492652072</v>
      </c>
      <c r="BR19" s="14">
        <v>-0.68511651890300074</v>
      </c>
      <c r="BS19" s="14">
        <v>-0.70937285764748281</v>
      </c>
      <c r="BT19" s="14">
        <v>-0.79169626132479409</v>
      </c>
      <c r="BU19" s="14">
        <v>-0.74844962639125379</v>
      </c>
      <c r="BV19" s="14">
        <v>-0.77880041835715097</v>
      </c>
      <c r="BW19" s="14">
        <v>-1.0862534251668849</v>
      </c>
      <c r="BX19" s="14">
        <v>-1.0314231436065679</v>
      </c>
      <c r="BY19" s="14">
        <v>-1.111290070675514</v>
      </c>
      <c r="BZ19" s="14">
        <v>-1.0425879458534599</v>
      </c>
      <c r="CA19" s="14">
        <v>-1.0069777791867931</v>
      </c>
      <c r="CB19" s="14">
        <v>-0.92800097156826755</v>
      </c>
      <c r="CC19" s="14">
        <v>-0.90549530490160091</v>
      </c>
      <c r="CD19" s="14">
        <v>-0.68987610680788303</v>
      </c>
      <c r="CE19" s="14">
        <v>-0.6014019401412164</v>
      </c>
      <c r="CF19" s="14">
        <v>-0.52235041517040204</v>
      </c>
      <c r="CG19" s="14">
        <v>-0.57946804003735919</v>
      </c>
      <c r="CH19" s="14">
        <v>-0.62218308378009335</v>
      </c>
      <c r="CI19" s="14">
        <v>-0.78738375044676001</v>
      </c>
      <c r="CJ19" s="14">
        <v>-0.79919567320875429</v>
      </c>
      <c r="CK19" s="14">
        <v>-0.68039841025141978</v>
      </c>
      <c r="CL19" s="14">
        <v>-0.56505062861268229</v>
      </c>
      <c r="CM19" s="14">
        <v>-0.48946875761468811</v>
      </c>
      <c r="CN19" s="14">
        <v>-0.50541192428135473</v>
      </c>
      <c r="CO19" s="14">
        <v>-0.67155848205663538</v>
      </c>
      <c r="CP19" s="14">
        <v>-0.80897320681447127</v>
      </c>
      <c r="CQ19" s="14">
        <v>-0.84136781433088992</v>
      </c>
      <c r="CR19" s="14">
        <v>-0.66506109008469794</v>
      </c>
      <c r="CS19" s="14">
        <v>-0.62128542341803128</v>
      </c>
      <c r="CT19" s="14">
        <v>-0.64922606060302812</v>
      </c>
      <c r="CU19" s="14">
        <v>-0.79583360386396707</v>
      </c>
      <c r="CV19" s="14">
        <v>-0.70128059589258818</v>
      </c>
      <c r="CW19" s="14">
        <v>-0.64076471731955087</v>
      </c>
      <c r="CX19" s="14">
        <v>-0.58312999095136597</v>
      </c>
      <c r="CY19" s="14">
        <v>-0.47523787149417501</v>
      </c>
      <c r="CZ19" s="14">
        <v>-0.36238604285271098</v>
      </c>
      <c r="DA19" s="14">
        <v>-0.28720354285271099</v>
      </c>
      <c r="DB19" s="14">
        <v>-0.13924254285271101</v>
      </c>
      <c r="DC19" s="14">
        <v>-0.20483012759060781</v>
      </c>
      <c r="DD19" s="14">
        <v>-0.2683774609239411</v>
      </c>
      <c r="DE19" s="14">
        <v>-0.30139587557973307</v>
      </c>
      <c r="DF19" s="14">
        <v>-0.32269221800690012</v>
      </c>
      <c r="DG19" s="14">
        <v>-0.44918301584442138</v>
      </c>
      <c r="DH19" s="14">
        <v>-0.2245916825110881</v>
      </c>
      <c r="DI19" s="14">
        <v>-0.1161300158444214</v>
      </c>
      <c r="DJ19" s="14">
        <v>-0.164644366567398</v>
      </c>
      <c r="DK19" s="14">
        <v>-4.0499778783190429E-2</v>
      </c>
      <c r="DL19" s="14">
        <v>-5.2482564692164238E-2</v>
      </c>
      <c r="DM19" s="14">
        <v>-6.3846622065365649E-3</v>
      </c>
      <c r="DN19" s="14">
        <v>-0.18031296393508489</v>
      </c>
      <c r="DO19" s="14">
        <v>-0.22901848379567871</v>
      </c>
      <c r="DP19" s="14">
        <v>-0.39928661447564068</v>
      </c>
      <c r="DQ19" s="14">
        <v>-0.31891244263756569</v>
      </c>
      <c r="DR19" s="14">
        <v>-0.24295008931251749</v>
      </c>
      <c r="DS19" s="14">
        <v>-0.28786905246439748</v>
      </c>
      <c r="DT19" s="14">
        <v>-0.42099755308374692</v>
      </c>
      <c r="DU19" s="14">
        <v>-0.57158005308374693</v>
      </c>
      <c r="DV19" s="14">
        <v>-0.64317343968114904</v>
      </c>
      <c r="DW19" s="14">
        <v>-0.74447043968114901</v>
      </c>
      <c r="DX19" s="14">
        <v>-0.83908463303868674</v>
      </c>
      <c r="DY19" s="14">
        <v>-0.99120404264317363</v>
      </c>
      <c r="DZ19" s="14">
        <v>-1.0708476107816089</v>
      </c>
      <c r="EA19" s="14">
        <v>-0.83779994411494196</v>
      </c>
      <c r="EB19" s="14">
        <v>-0.94404844411494193</v>
      </c>
      <c r="EC19" s="14">
        <v>-0.97537211078160857</v>
      </c>
      <c r="ED19" s="14">
        <v>-1.0615316107816091</v>
      </c>
      <c r="EE19" s="14">
        <v>-1.054225277448275</v>
      </c>
      <c r="EF19" s="14">
        <v>-0.98020527744827524</v>
      </c>
    </row>
    <row r="20" spans="1:136">
      <c r="A20" s="2"/>
      <c r="B20" s="2" t="s">
        <v>237</v>
      </c>
      <c r="C20" s="14">
        <v>-1.1241331728202891E-2</v>
      </c>
      <c r="D20" s="14">
        <v>-0.23382772541697869</v>
      </c>
      <c r="E20" s="14">
        <v>-0.37995263068122459</v>
      </c>
      <c r="F20" s="14">
        <v>-0.17442136634805039</v>
      </c>
      <c r="G20" s="14">
        <v>-5.7238225059111289E-2</v>
      </c>
      <c r="H20" s="14">
        <v>-4.5655198980533579E-2</v>
      </c>
      <c r="I20" s="14">
        <v>0.14020797649616279</v>
      </c>
      <c r="J20" s="14">
        <v>0.28749610865276509</v>
      </c>
      <c r="K20" s="14">
        <v>0.50222061241384686</v>
      </c>
      <c r="L20" s="14">
        <v>0.5112203837550352</v>
      </c>
      <c r="M20" s="14">
        <v>0.4335021554637617</v>
      </c>
      <c r="N20" s="14">
        <v>0.2653585672742178</v>
      </c>
      <c r="O20" s="14">
        <v>0.31522345334349189</v>
      </c>
      <c r="P20" s="14">
        <v>0.40639338101201722</v>
      </c>
      <c r="Q20" s="14">
        <v>0.51343870246274537</v>
      </c>
      <c r="R20" s="14">
        <v>0.70438116945225926</v>
      </c>
      <c r="S20" s="14">
        <v>0.78694378015954713</v>
      </c>
      <c r="T20" s="14">
        <v>0.70147832442173175</v>
      </c>
      <c r="U20" s="14">
        <v>0.68775795971455445</v>
      </c>
      <c r="V20" s="14">
        <v>0.584240356509937</v>
      </c>
      <c r="W20" s="14">
        <v>0.41115498033235609</v>
      </c>
      <c r="X20" s="14">
        <v>0.20076856740957111</v>
      </c>
      <c r="Y20" s="14">
        <v>7.1803528527197291E-2</v>
      </c>
      <c r="Z20" s="14">
        <v>-2.2236397307572871E-3</v>
      </c>
      <c r="AA20" s="14">
        <v>0.12825972874988839</v>
      </c>
      <c r="AB20" s="14">
        <v>0.1611582740701146</v>
      </c>
      <c r="AC20" s="14">
        <v>0.11391001134214709</v>
      </c>
      <c r="AD20" s="14">
        <v>8.692270777146921E-2</v>
      </c>
      <c r="AE20" s="14">
        <v>0.24814391492658019</v>
      </c>
      <c r="AF20" s="14">
        <v>2.4646095290207531E-2</v>
      </c>
      <c r="AG20" s="14">
        <v>5.6809344171884012E-2</v>
      </c>
      <c r="AH20" s="14">
        <v>0.14698754488666671</v>
      </c>
      <c r="AI20" s="14">
        <v>6.8832999965498173E-2</v>
      </c>
      <c r="AJ20" s="14">
        <v>0.1308230345130458</v>
      </c>
      <c r="AK20" s="14">
        <v>0.12257451945043291</v>
      </c>
      <c r="AL20" s="14">
        <v>0.1017942543418381</v>
      </c>
      <c r="AM20" s="14">
        <v>6.8698273593035514E-2</v>
      </c>
      <c r="AN20" s="14">
        <v>-6.7719199259627522E-3</v>
      </c>
      <c r="AO20" s="14">
        <v>-5.2057001890651142E-2</v>
      </c>
      <c r="AP20" s="14">
        <v>7.9673459364736646E-2</v>
      </c>
      <c r="AQ20" s="14">
        <v>0.1129816904602811</v>
      </c>
      <c r="AR20" s="14">
        <v>8.3242690609980102E-2</v>
      </c>
      <c r="AS20" s="14">
        <v>4.0950974161004183E-2</v>
      </c>
      <c r="AT20" s="14">
        <v>0.28007472160607472</v>
      </c>
      <c r="AU20" s="14">
        <v>0.1370020806789092</v>
      </c>
      <c r="AV20" s="14">
        <v>0.10475546789214581</v>
      </c>
      <c r="AW20" s="14">
        <v>-0.1202423728861987</v>
      </c>
      <c r="AX20" s="14">
        <v>-0.32458159284674543</v>
      </c>
      <c r="AY20" s="14">
        <v>-0.40663922886431192</v>
      </c>
      <c r="AZ20" s="14">
        <v>-0.56291323657097581</v>
      </c>
      <c r="BA20" s="14">
        <v>-0.66499080689175505</v>
      </c>
      <c r="BB20" s="14">
        <v>-0.49733538351518569</v>
      </c>
      <c r="BC20" s="14">
        <v>-0.7374760585055995</v>
      </c>
      <c r="BD20" s="14">
        <v>-0.72911245850559947</v>
      </c>
      <c r="BE20" s="14">
        <v>-0.76758085850559943</v>
      </c>
      <c r="BF20" s="14">
        <v>-0.82279665850559947</v>
      </c>
      <c r="BG20" s="14">
        <v>-0.87452365850559943</v>
      </c>
      <c r="BH20" s="14">
        <v>-1.024580959069054</v>
      </c>
      <c r="BI20" s="14">
        <v>-1.001407359069054</v>
      </c>
      <c r="BJ20" s="14">
        <v>-1.0230368709022399</v>
      </c>
      <c r="BK20" s="14">
        <v>-1.1256351550566861</v>
      </c>
      <c r="BL20" s="14">
        <v>-1.211927386233141</v>
      </c>
      <c r="BM20" s="14">
        <v>-1.164458834768952</v>
      </c>
      <c r="BN20" s="14">
        <v>-1.283016076214323</v>
      </c>
      <c r="BO20" s="14">
        <v>-1.2445543586983441</v>
      </c>
      <c r="BP20" s="14">
        <v>-1.3049618794612989</v>
      </c>
      <c r="BQ20" s="14">
        <v>-1.320413586422142</v>
      </c>
      <c r="BR20" s="14">
        <v>-1.3083399546916701</v>
      </c>
      <c r="BS20" s="14">
        <v>-1.302932448500479</v>
      </c>
      <c r="BT20" s="14">
        <v>-1.399462949714934</v>
      </c>
      <c r="BU20" s="14">
        <v>-1.4401465468198691</v>
      </c>
      <c r="BV20" s="14">
        <v>-1.35860310505927</v>
      </c>
      <c r="BW20" s="14">
        <v>-1.7104326551076749</v>
      </c>
      <c r="BX20" s="14">
        <v>-1.6524446368316441</v>
      </c>
      <c r="BY20" s="14">
        <v>-1.6570839959813131</v>
      </c>
      <c r="BZ20" s="14">
        <v>-1.5668125917210289</v>
      </c>
      <c r="CA20" s="14">
        <v>-1.516596391721029</v>
      </c>
      <c r="CB20" s="14">
        <v>-1.516704146822057</v>
      </c>
      <c r="CC20" s="14">
        <v>-1.503789346822058</v>
      </c>
      <c r="CD20" s="14">
        <v>-1.322761849331461</v>
      </c>
      <c r="CE20" s="14">
        <v>-1.236984449331461</v>
      </c>
      <c r="CF20" s="14">
        <v>-1.131199560055369</v>
      </c>
      <c r="CG20" s="14">
        <v>-1.207169800798477</v>
      </c>
      <c r="CH20" s="14">
        <v>-1.22936502982261</v>
      </c>
      <c r="CI20" s="14">
        <v>-1.36084882982261</v>
      </c>
      <c r="CJ20" s="14">
        <v>-1.402358814606538</v>
      </c>
      <c r="CK20" s="14">
        <v>-1.321769190665917</v>
      </c>
      <c r="CL20" s="14">
        <v>-1.1724560400356649</v>
      </c>
      <c r="CM20" s="14">
        <v>-1.093001312854329</v>
      </c>
      <c r="CN20" s="14">
        <v>-1.112348712854329</v>
      </c>
      <c r="CO20" s="14">
        <v>-1.3408669160358699</v>
      </c>
      <c r="CP20" s="14">
        <v>-1.497527671231053</v>
      </c>
      <c r="CQ20" s="14">
        <v>-1.5206457165313361</v>
      </c>
      <c r="CR20" s="14">
        <v>-1.3251596060463939</v>
      </c>
      <c r="CS20" s="14">
        <v>-1.302865806046394</v>
      </c>
      <c r="CT20" s="14">
        <v>-1.320942516826229</v>
      </c>
      <c r="CU20" s="14">
        <v>-1.467670525897856</v>
      </c>
      <c r="CV20" s="14">
        <v>-1.3484563976851709</v>
      </c>
      <c r="CW20" s="14">
        <v>-1.2805526895103261</v>
      </c>
      <c r="CX20" s="14">
        <v>-1.1902541386425609</v>
      </c>
      <c r="CY20" s="14">
        <v>-1.0892874815307381</v>
      </c>
      <c r="CZ20" s="14">
        <v>-0.93412583638153934</v>
      </c>
      <c r="DA20" s="14">
        <v>-0.85704423638153937</v>
      </c>
      <c r="DB20" s="14">
        <v>-0.78007723638153936</v>
      </c>
      <c r="DC20" s="14">
        <v>-0.81740954751994011</v>
      </c>
      <c r="DD20" s="14">
        <v>-0.88557234751994007</v>
      </c>
      <c r="DE20" s="14">
        <v>-0.89599106912679283</v>
      </c>
      <c r="DF20" s="14">
        <v>-0.94149102761759118</v>
      </c>
      <c r="DG20" s="14">
        <v>-1.0655643356017119</v>
      </c>
      <c r="DH20" s="14">
        <v>-0.7872647356017124</v>
      </c>
      <c r="DI20" s="14">
        <v>-0.64966873560171234</v>
      </c>
      <c r="DJ20" s="14">
        <v>-0.68912868187060017</v>
      </c>
      <c r="DK20" s="14">
        <v>-0.60417470042454524</v>
      </c>
      <c r="DL20" s="14">
        <v>-0.62364007375816499</v>
      </c>
      <c r="DM20" s="14">
        <v>-0.66650484786651099</v>
      </c>
      <c r="DN20" s="14">
        <v>-0.84973958148767981</v>
      </c>
      <c r="DO20" s="14">
        <v>-0.89956043616457582</v>
      </c>
      <c r="DP20" s="14">
        <v>-1.0997158709189649</v>
      </c>
      <c r="DQ20" s="14">
        <v>-1.0422556892942649</v>
      </c>
      <c r="DR20" s="14">
        <v>-0.96374302926597444</v>
      </c>
      <c r="DS20" s="14">
        <v>-0.8939502713676919</v>
      </c>
      <c r="DT20" s="14">
        <v>-1.0273862559898299</v>
      </c>
      <c r="DU20" s="14">
        <v>-1.2037620559898301</v>
      </c>
      <c r="DV20" s="14">
        <v>-1.3058042371723051</v>
      </c>
      <c r="DW20" s="14">
        <v>-1.4093508371723049</v>
      </c>
      <c r="DX20" s="14">
        <v>-1.5072020553770309</v>
      </c>
      <c r="DY20" s="14">
        <v>-1.694603885416224</v>
      </c>
      <c r="DZ20" s="14">
        <v>-1.6764887589038411</v>
      </c>
      <c r="EA20" s="14">
        <v>-1.382797558903841</v>
      </c>
      <c r="EB20" s="14">
        <v>-1.4891119589038411</v>
      </c>
      <c r="EC20" s="14">
        <v>-1.4661343589038409</v>
      </c>
      <c r="ED20" s="14">
        <v>-1.5407601589038411</v>
      </c>
      <c r="EE20" s="14">
        <v>-1.539018558903841</v>
      </c>
      <c r="EF20" s="14">
        <v>-1.4532185589038411</v>
      </c>
    </row>
    <row r="21" spans="1:136">
      <c r="A21" s="2"/>
      <c r="B21" s="2" t="s">
        <v>238</v>
      </c>
      <c r="C21" s="14">
        <v>-1.038483447742689E-2</v>
      </c>
      <c r="D21" s="14">
        <v>-0.33539311611962908</v>
      </c>
      <c r="E21" s="14">
        <v>-0.37911067099935009</v>
      </c>
      <c r="F21" s="14">
        <v>-0.1950720893932201</v>
      </c>
      <c r="G21" s="14">
        <v>-5.1229938280655613E-2</v>
      </c>
      <c r="H21" s="14">
        <v>-8.9074015308948012E-2</v>
      </c>
      <c r="I21" s="14">
        <v>0.150249046868806</v>
      </c>
      <c r="J21" s="14">
        <v>0.2408156861132528</v>
      </c>
      <c r="K21" s="14">
        <v>0.44769571211664833</v>
      </c>
      <c r="L21" s="14">
        <v>0.50492187898159269</v>
      </c>
      <c r="M21" s="14">
        <v>0.40523728557338151</v>
      </c>
      <c r="N21" s="14">
        <v>0.26618660971258168</v>
      </c>
      <c r="O21" s="14">
        <v>0.3005385991732723</v>
      </c>
      <c r="P21" s="14">
        <v>0.44531120006295721</v>
      </c>
      <c r="Q21" s="14">
        <v>0.52650656907893056</v>
      </c>
      <c r="R21" s="14">
        <v>0.66919865980225191</v>
      </c>
      <c r="S21" s="14">
        <v>0.8783581352772164</v>
      </c>
      <c r="T21" s="14">
        <v>0.779896462520419</v>
      </c>
      <c r="U21" s="14">
        <v>0.86011219832687802</v>
      </c>
      <c r="V21" s="14">
        <v>0.75474142793752341</v>
      </c>
      <c r="W21" s="14">
        <v>0.59695294832206081</v>
      </c>
      <c r="X21" s="14">
        <v>0.38332200611694439</v>
      </c>
      <c r="Y21" s="14">
        <v>0.29059278217074003</v>
      </c>
      <c r="Z21" s="14">
        <v>0.18121258102297641</v>
      </c>
      <c r="AA21" s="14">
        <v>0.29184848802545532</v>
      </c>
      <c r="AB21" s="14">
        <v>0.3138044319145894</v>
      </c>
      <c r="AC21" s="14">
        <v>0.29497669520778919</v>
      </c>
      <c r="AD21" s="14">
        <v>0.32090997120522408</v>
      </c>
      <c r="AE21" s="14">
        <v>0.44901495000147013</v>
      </c>
      <c r="AF21" s="14">
        <v>0.15387069191810671</v>
      </c>
      <c r="AG21" s="14">
        <v>0.16491726402455051</v>
      </c>
      <c r="AH21" s="14">
        <v>0.27249862658934892</v>
      </c>
      <c r="AI21" s="14">
        <v>0.19290441725605781</v>
      </c>
      <c r="AJ21" s="14">
        <v>0.26330975920252653</v>
      </c>
      <c r="AK21" s="14">
        <v>0.28162812811183913</v>
      </c>
      <c r="AL21" s="14">
        <v>0.24423664197708489</v>
      </c>
      <c r="AM21" s="14">
        <v>0.1757008345294544</v>
      </c>
      <c r="AN21" s="14">
        <v>6.3744778466360091E-2</v>
      </c>
      <c r="AO21" s="14">
        <v>1.6018382822633442E-2</v>
      </c>
      <c r="AP21" s="14">
        <v>8.8553526392652598E-2</v>
      </c>
      <c r="AQ21" s="14">
        <v>0.1255897148432274</v>
      </c>
      <c r="AR21" s="14">
        <v>9.1391814212403291E-2</v>
      </c>
      <c r="AS21" s="14">
        <v>4.598513215239515E-2</v>
      </c>
      <c r="AT21" s="14">
        <v>0.31082338970039242</v>
      </c>
      <c r="AU21" s="14">
        <v>0.24736806008711229</v>
      </c>
      <c r="AV21" s="14">
        <v>0.17865414739063271</v>
      </c>
      <c r="AW21" s="14">
        <v>-8.460076898318214E-2</v>
      </c>
      <c r="AX21" s="14">
        <v>-0.30231907150021953</v>
      </c>
      <c r="AY21" s="14">
        <v>-0.36804136623272637</v>
      </c>
      <c r="AZ21" s="14">
        <v>-0.46110076036131958</v>
      </c>
      <c r="BA21" s="14">
        <v>-0.48039396799702699</v>
      </c>
      <c r="BB21" s="14">
        <v>-0.25504783295868882</v>
      </c>
      <c r="BC21" s="14">
        <v>-0.41950836488751547</v>
      </c>
      <c r="BD21" s="14">
        <v>-0.38128586488751548</v>
      </c>
      <c r="BE21" s="14">
        <v>-0.42187636488751562</v>
      </c>
      <c r="BF21" s="14">
        <v>-0.48416611488751549</v>
      </c>
      <c r="BG21" s="14">
        <v>-0.56269086488751552</v>
      </c>
      <c r="BH21" s="14">
        <v>-0.66953297452494576</v>
      </c>
      <c r="BI21" s="14">
        <v>-0.62325597452494574</v>
      </c>
      <c r="BJ21" s="14">
        <v>-0.64683500070666344</v>
      </c>
      <c r="BK21" s="14">
        <v>-0.72980816259672932</v>
      </c>
      <c r="BL21" s="14">
        <v>-0.87252925524307912</v>
      </c>
      <c r="BM21" s="14">
        <v>-0.83173396921435849</v>
      </c>
      <c r="BN21" s="14">
        <v>-0.89538191720660654</v>
      </c>
      <c r="BO21" s="14">
        <v>-0.8315246807929263</v>
      </c>
      <c r="BP21" s="14">
        <v>-0.93603381021234056</v>
      </c>
      <c r="BQ21" s="14">
        <v>-0.99057604104684538</v>
      </c>
      <c r="BR21" s="14">
        <v>-0.97825217886298099</v>
      </c>
      <c r="BS21" s="14">
        <v>-0.97239200610780485</v>
      </c>
      <c r="BT21" s="14">
        <v>-1.0653442094560619</v>
      </c>
      <c r="BU21" s="14">
        <v>-1.052347602454123</v>
      </c>
      <c r="BV21" s="14">
        <v>-1.00800762241285</v>
      </c>
      <c r="BW21" s="14">
        <v>-1.1924682931332591</v>
      </c>
      <c r="BX21" s="14">
        <v>-1.1040889583456199</v>
      </c>
      <c r="BY21" s="14">
        <v>-1.1597552505878581</v>
      </c>
      <c r="BZ21" s="14">
        <v>-1.1120923218671419</v>
      </c>
      <c r="CA21" s="14">
        <v>-1.017032321867142</v>
      </c>
      <c r="CB21" s="14">
        <v>-0.943566222462213</v>
      </c>
      <c r="CC21" s="14">
        <v>-0.95158572246221296</v>
      </c>
      <c r="CD21" s="14">
        <v>-0.66352965809973974</v>
      </c>
      <c r="CE21" s="14">
        <v>-0.60201515809973971</v>
      </c>
      <c r="CF21" s="14">
        <v>-0.4874890004885713</v>
      </c>
      <c r="CG21" s="14">
        <v>-0.57257433596270235</v>
      </c>
      <c r="CH21" s="14">
        <v>-0.72920077658967097</v>
      </c>
      <c r="CI21" s="14">
        <v>-0.85249302658967097</v>
      </c>
      <c r="CJ21" s="14">
        <v>-0.90763387515082805</v>
      </c>
      <c r="CK21" s="14">
        <v>-0.84047424485397237</v>
      </c>
      <c r="CL21" s="14">
        <v>-0.65304112331324549</v>
      </c>
      <c r="CM21" s="14">
        <v>-0.59004679045282105</v>
      </c>
      <c r="CN21" s="14">
        <v>-0.60132704045282104</v>
      </c>
      <c r="CO21" s="14">
        <v>-0.83911902159221352</v>
      </c>
      <c r="CP21" s="14">
        <v>-0.93742632771626389</v>
      </c>
      <c r="CQ21" s="14">
        <v>-0.96033852188576008</v>
      </c>
      <c r="CR21" s="14">
        <v>-0.72127855552449216</v>
      </c>
      <c r="CS21" s="14">
        <v>-0.69037130552449211</v>
      </c>
      <c r="CT21" s="14">
        <v>-0.77644386239588814</v>
      </c>
      <c r="CU21" s="14">
        <v>-0.93536048471333821</v>
      </c>
      <c r="CV21" s="14">
        <v>-0.78102863993876581</v>
      </c>
      <c r="CW21" s="14">
        <v>-0.74268312306708306</v>
      </c>
      <c r="CX21" s="14">
        <v>-0.64056094740967595</v>
      </c>
      <c r="CY21" s="14">
        <v>-0.48810864116435682</v>
      </c>
      <c r="CZ21" s="14">
        <v>-0.25065727033852658</v>
      </c>
      <c r="DA21" s="14">
        <v>-0.20894752033852659</v>
      </c>
      <c r="DB21" s="14">
        <v>-0.13748802033852661</v>
      </c>
      <c r="DC21" s="14">
        <v>-0.29139281570824521</v>
      </c>
      <c r="DD21" s="14">
        <v>-0.35841981570824522</v>
      </c>
      <c r="DE21" s="14">
        <v>-0.3873975527685718</v>
      </c>
      <c r="DF21" s="14">
        <v>-0.5362064552583149</v>
      </c>
      <c r="DG21" s="14">
        <v>-0.68439138639004449</v>
      </c>
      <c r="DH21" s="14">
        <v>-0.60295438639004451</v>
      </c>
      <c r="DI21" s="14">
        <v>-0.42311438639004451</v>
      </c>
      <c r="DJ21" s="14">
        <v>-0.46102569958060458</v>
      </c>
      <c r="DK21" s="14">
        <v>-0.32152299276169999</v>
      </c>
      <c r="DL21" s="14">
        <v>-0.33425998426271319</v>
      </c>
      <c r="DM21" s="14">
        <v>-0.33000542024182772</v>
      </c>
      <c r="DN21" s="14">
        <v>-0.55030106110635502</v>
      </c>
      <c r="DO21" s="14">
        <v>-0.53174225204856751</v>
      </c>
      <c r="DP21" s="14">
        <v>-0.76076214172880219</v>
      </c>
      <c r="DQ21" s="14">
        <v>-0.69033944292061877</v>
      </c>
      <c r="DR21" s="14">
        <v>-0.64016858388353803</v>
      </c>
      <c r="DS21" s="14">
        <v>-0.55556315027800207</v>
      </c>
      <c r="DT21" s="14">
        <v>-0.72613395296346284</v>
      </c>
      <c r="DU21" s="14">
        <v>-0.87474870296346285</v>
      </c>
      <c r="DV21" s="14">
        <v>-1.029646954093367</v>
      </c>
      <c r="DW21" s="14">
        <v>-1.133182954093368</v>
      </c>
      <c r="DX21" s="14">
        <v>-1.25001184396815</v>
      </c>
      <c r="DY21" s="14">
        <v>-1.4756737251561389</v>
      </c>
      <c r="DZ21" s="14">
        <v>-1.295782703431239</v>
      </c>
      <c r="EA21" s="14">
        <v>-1.0297249534312389</v>
      </c>
      <c r="EB21" s="14">
        <v>-1.133022953431239</v>
      </c>
      <c r="EC21" s="14">
        <v>-1.1058334534312391</v>
      </c>
      <c r="ED21" s="14">
        <v>-1.188563203431239</v>
      </c>
      <c r="EE21" s="14">
        <v>-1.2098732034312389</v>
      </c>
      <c r="EF21" s="14">
        <v>-1.1810787034312391</v>
      </c>
    </row>
    <row r="22" spans="1:136">
      <c r="A22" s="2"/>
      <c r="B22" s="2" t="s">
        <v>239</v>
      </c>
      <c r="C22" s="14">
        <v>-2.5922326608526759E-2</v>
      </c>
      <c r="D22" s="14">
        <v>-0.4433442512485557</v>
      </c>
      <c r="E22" s="14">
        <v>-0.46557466350779381</v>
      </c>
      <c r="F22" s="14">
        <v>-0.39774360258651631</v>
      </c>
      <c r="G22" s="14">
        <v>-0.29385923929618218</v>
      </c>
      <c r="H22" s="14">
        <v>-0.52366478378758274</v>
      </c>
      <c r="I22" s="14">
        <v>-0.26923188087713268</v>
      </c>
      <c r="J22" s="14">
        <v>-0.1508535996948446</v>
      </c>
      <c r="K22" s="14">
        <v>9.4512312987911073E-2</v>
      </c>
      <c r="L22" s="14">
        <v>0.20199948163915291</v>
      </c>
      <c r="M22" s="14">
        <v>0.1278994228685803</v>
      </c>
      <c r="N22" s="14">
        <v>2.9868562060947571E-2</v>
      </c>
      <c r="O22" s="14">
        <v>2.3152683749580068E-2</v>
      </c>
      <c r="P22" s="14">
        <v>9.5935567878397049E-2</v>
      </c>
      <c r="Q22" s="14">
        <v>0.18521808598224429</v>
      </c>
      <c r="R22" s="14">
        <v>0.3658978161735289</v>
      </c>
      <c r="S22" s="14">
        <v>0.61295444570325852</v>
      </c>
      <c r="T22" s="14">
        <v>0.48414202372013559</v>
      </c>
      <c r="U22" s="14">
        <v>0.63617120649467895</v>
      </c>
      <c r="V22" s="14">
        <v>0.57914707186038927</v>
      </c>
      <c r="W22" s="14">
        <v>0.37166680483609188</v>
      </c>
      <c r="X22" s="14">
        <v>0.1498800458022215</v>
      </c>
      <c r="Y22" s="14">
        <v>0.1019417136224532</v>
      </c>
      <c r="Z22" s="14">
        <v>-4.8208396297121009E-2</v>
      </c>
      <c r="AA22" s="14">
        <v>3.4316029280992012E-2</v>
      </c>
      <c r="AB22" s="14">
        <v>3.0450799155652589E-2</v>
      </c>
      <c r="AC22" s="14">
        <v>-5.5325661559779873E-2</v>
      </c>
      <c r="AD22" s="14">
        <v>-3.673191234511862E-2</v>
      </c>
      <c r="AE22" s="14">
        <v>9.4091930471215571E-2</v>
      </c>
      <c r="AF22" s="14">
        <v>-0.33582483757739651</v>
      </c>
      <c r="AG22" s="14">
        <v>-0.32501273701055422</v>
      </c>
      <c r="AH22" s="14">
        <v>-0.2191467775900815</v>
      </c>
      <c r="AI22" s="14">
        <v>-0.31328803824746748</v>
      </c>
      <c r="AJ22" s="14">
        <v>-0.28158818892105919</v>
      </c>
      <c r="AK22" s="14">
        <v>-0.20301242021614499</v>
      </c>
      <c r="AL22" s="14">
        <v>-0.2041571464398918</v>
      </c>
      <c r="AM22" s="14">
        <v>-0.28824604990759539</v>
      </c>
      <c r="AN22" s="14">
        <v>-0.39937885957115471</v>
      </c>
      <c r="AO22" s="14">
        <v>-0.47409623296486031</v>
      </c>
      <c r="AP22" s="14">
        <v>-0.41155987907686759</v>
      </c>
      <c r="AQ22" s="14">
        <v>-0.46668659980121058</v>
      </c>
      <c r="AR22" s="14">
        <v>-0.57487030034944697</v>
      </c>
      <c r="AS22" s="14">
        <v>-0.50102659766361346</v>
      </c>
      <c r="AT22" s="14">
        <v>-0.48329822666917682</v>
      </c>
      <c r="AU22" s="14">
        <v>-0.59321282398736119</v>
      </c>
      <c r="AV22" s="14">
        <v>-0.68296680585899383</v>
      </c>
      <c r="AW22" s="14">
        <v>-1.0537660845501671</v>
      </c>
      <c r="AX22" s="14">
        <v>-1.043890898544473</v>
      </c>
      <c r="AY22" s="14">
        <v>-1.142347174673837</v>
      </c>
      <c r="AZ22" s="14">
        <v>-1.369832670907291</v>
      </c>
      <c r="BA22" s="14">
        <v>-1.4190096106545109</v>
      </c>
      <c r="BB22" s="14">
        <v>-1.117079666114088</v>
      </c>
      <c r="BC22" s="14">
        <v>-1.3127057014646051</v>
      </c>
      <c r="BD22" s="14">
        <v>-1.2334417014646051</v>
      </c>
      <c r="BE22" s="14">
        <v>-1.301927368131272</v>
      </c>
      <c r="BF22" s="14">
        <v>-1.356813368131272</v>
      </c>
      <c r="BG22" s="14">
        <v>-1.452993034797939</v>
      </c>
      <c r="BH22" s="14">
        <v>-1.5807000441943551</v>
      </c>
      <c r="BI22" s="14">
        <v>-1.498350710861021</v>
      </c>
      <c r="BJ22" s="14">
        <v>-1.553347126011742</v>
      </c>
      <c r="BK22" s="14">
        <v>-1.5742018813415091</v>
      </c>
      <c r="BL22" s="14">
        <v>-1.7359822204125439</v>
      </c>
      <c r="BM22" s="14">
        <v>-1.7335517371670111</v>
      </c>
      <c r="BN22" s="14">
        <v>-1.718224185143969</v>
      </c>
      <c r="BO22" s="14">
        <v>-1.6677397560312179</v>
      </c>
      <c r="BP22" s="14">
        <v>-1.7425753061863249</v>
      </c>
      <c r="BQ22" s="14">
        <v>-1.770405403584637</v>
      </c>
      <c r="BR22" s="14">
        <v>-1.749591794118184</v>
      </c>
      <c r="BS22" s="14">
        <v>-1.765964576494983</v>
      </c>
      <c r="BT22" s="14">
        <v>-1.698821361077258</v>
      </c>
      <c r="BU22" s="14">
        <v>-1.65845289248738</v>
      </c>
      <c r="BV22" s="14">
        <v>-1.609849357898302</v>
      </c>
      <c r="BW22" s="14">
        <v>-1.742021149434084</v>
      </c>
      <c r="BX22" s="14">
        <v>-1.5890837791840919</v>
      </c>
      <c r="BY22" s="14">
        <v>-1.644680829154463</v>
      </c>
      <c r="BZ22" s="14">
        <v>-1.597423093291571</v>
      </c>
      <c r="CA22" s="14">
        <v>-1.453342759958238</v>
      </c>
      <c r="CB22" s="14">
        <v>-1.389738490418549</v>
      </c>
      <c r="CC22" s="14">
        <v>-1.514843490418549</v>
      </c>
      <c r="CD22" s="14">
        <v>-1.1809654537058261</v>
      </c>
      <c r="CE22" s="14">
        <v>-1.1141254537058261</v>
      </c>
      <c r="CF22" s="14">
        <v>-1.013355096671761</v>
      </c>
      <c r="CG22" s="14">
        <v>-1.220440429305274</v>
      </c>
      <c r="CH22" s="14">
        <v>-1.3740467141148169</v>
      </c>
      <c r="CI22" s="14">
        <v>-1.6044947141148169</v>
      </c>
      <c r="CJ22" s="14">
        <v>-1.7308200733934049</v>
      </c>
      <c r="CK22" s="14">
        <v>-1.6198965331066231</v>
      </c>
      <c r="CL22" s="14">
        <v>-1.5248995210830769</v>
      </c>
      <c r="CM22" s="14">
        <v>-1.478458242108379</v>
      </c>
      <c r="CN22" s="14">
        <v>-1.4566069087750459</v>
      </c>
      <c r="CO22" s="14">
        <v>-1.6418926666802729</v>
      </c>
      <c r="CP22" s="14">
        <v>-1.8137363998226721</v>
      </c>
      <c r="CQ22" s="14">
        <v>-1.830896015341795</v>
      </c>
      <c r="CR22" s="14">
        <v>-1.584123245349909</v>
      </c>
      <c r="CS22" s="14">
        <v>-1.559683912016576</v>
      </c>
      <c r="CT22" s="14">
        <v>-1.6857752902053471</v>
      </c>
      <c r="CU22" s="14">
        <v>-1.853129201391716</v>
      </c>
      <c r="CV22" s="14">
        <v>-1.6869065227021609</v>
      </c>
      <c r="CW22" s="14">
        <v>-1.6640224803701771</v>
      </c>
      <c r="CX22" s="14">
        <v>-1.660272887102328</v>
      </c>
      <c r="CY22" s="14">
        <v>-1.4978330183888811</v>
      </c>
      <c r="CZ22" s="14">
        <v>-1.2349125337896421</v>
      </c>
      <c r="DA22" s="14">
        <v>-1.2024585337896421</v>
      </c>
      <c r="DB22" s="14">
        <v>-1.148417867122975</v>
      </c>
      <c r="DC22" s="14">
        <v>-1.2895851028422849</v>
      </c>
      <c r="DD22" s="14">
        <v>-1.305548436175618</v>
      </c>
      <c r="DE22" s="14">
        <v>-1.2877919326736851</v>
      </c>
      <c r="DF22" s="14">
        <v>-1.384863638309912</v>
      </c>
      <c r="DG22" s="14">
        <v>-1.4729850488129761</v>
      </c>
      <c r="DH22" s="14">
        <v>-1.391529715479642</v>
      </c>
      <c r="DI22" s="14">
        <v>-1.331407382146309</v>
      </c>
      <c r="DJ22" s="14">
        <v>-1.3816533879794051</v>
      </c>
      <c r="DK22" s="14">
        <v>-1.202518674156565</v>
      </c>
      <c r="DL22" s="14">
        <v>-1.205732004899704</v>
      </c>
      <c r="DM22" s="14">
        <v>-1.163055455783663</v>
      </c>
      <c r="DN22" s="14">
        <v>-1.468430484055866</v>
      </c>
      <c r="DO22" s="14">
        <v>-1.4921991523433149</v>
      </c>
      <c r="DP22" s="14">
        <v>-1.661761584484045</v>
      </c>
      <c r="DQ22" s="14">
        <v>-1.496357417939405</v>
      </c>
      <c r="DR22" s="14">
        <v>-1.502449970554723</v>
      </c>
      <c r="DS22" s="14">
        <v>-1.3729261311855181</v>
      </c>
      <c r="DT22" s="14">
        <v>-1.431283140182283</v>
      </c>
      <c r="DU22" s="14">
        <v>-1.59282880684895</v>
      </c>
      <c r="DV22" s="14">
        <v>-1.7498911763987011</v>
      </c>
      <c r="DW22" s="14">
        <v>-1.831307176398701</v>
      </c>
      <c r="DX22" s="14">
        <v>-1.9956593004402401</v>
      </c>
      <c r="DY22" s="14">
        <v>-2.3134136728047219</v>
      </c>
      <c r="DZ22" s="14">
        <v>-2.1477874265789669</v>
      </c>
      <c r="EA22" s="14">
        <v>-2.0074310932456338</v>
      </c>
      <c r="EB22" s="14">
        <v>-2.150361426578967</v>
      </c>
      <c r="EC22" s="14">
        <v>-2.0622754265789669</v>
      </c>
      <c r="ED22" s="14">
        <v>-2.1197747599122998</v>
      </c>
      <c r="EE22" s="14">
        <v>-2.1674107599123</v>
      </c>
      <c r="EF22" s="14">
        <v>-2.130818093245634</v>
      </c>
    </row>
    <row r="23" spans="1:136">
      <c r="A23" s="2"/>
      <c r="B23" s="2" t="s">
        <v>240</v>
      </c>
      <c r="C23" s="14">
        <v>-3.1325684581971477E-2</v>
      </c>
      <c r="D23" s="14">
        <v>5.7640938152385288E-2</v>
      </c>
      <c r="E23" s="14">
        <v>4.2579350465419892E-2</v>
      </c>
      <c r="F23" s="14">
        <v>0.22497542578629859</v>
      </c>
      <c r="G23" s="14">
        <v>0.19800385726193059</v>
      </c>
      <c r="H23" s="14">
        <v>-6.4806383939522233E-2</v>
      </c>
      <c r="I23" s="14">
        <v>0.19089648812605489</v>
      </c>
      <c r="J23" s="14">
        <v>0.34619030502903808</v>
      </c>
      <c r="K23" s="14">
        <v>0.48879788015369302</v>
      </c>
      <c r="L23" s="14">
        <v>0.72124224119615521</v>
      </c>
      <c r="M23" s="14">
        <v>0.46279232483751281</v>
      </c>
      <c r="N23" s="14">
        <v>0.33599231114518441</v>
      </c>
      <c r="O23" s="14">
        <v>0.3165845998784152</v>
      </c>
      <c r="P23" s="14">
        <v>0.40698631106054062</v>
      </c>
      <c r="Q23" s="14">
        <v>0.65783598796134735</v>
      </c>
      <c r="R23" s="14">
        <v>0.74746399100249206</v>
      </c>
      <c r="S23" s="14">
        <v>0.91675899091573609</v>
      </c>
      <c r="T23" s="14">
        <v>0.76215629758830761</v>
      </c>
      <c r="U23" s="14">
        <v>0.97513807045633349</v>
      </c>
      <c r="V23" s="14">
        <v>1.038495081435399</v>
      </c>
      <c r="W23" s="14">
        <v>0.70687593118625491</v>
      </c>
      <c r="X23" s="14">
        <v>0.52509474538843204</v>
      </c>
      <c r="Y23" s="14">
        <v>0.51750598195975384</v>
      </c>
      <c r="Z23" s="14">
        <v>0.36986557251648022</v>
      </c>
      <c r="AA23" s="14">
        <v>0.31311712655636992</v>
      </c>
      <c r="AB23" s="14">
        <v>0.28212574150037778</v>
      </c>
      <c r="AC23" s="14">
        <v>0.11337094186346509</v>
      </c>
      <c r="AD23" s="14">
        <v>0.11636623343394931</v>
      </c>
      <c r="AE23" s="14">
        <v>0.2535782221916093</v>
      </c>
      <c r="AF23" s="14">
        <v>-7.1081103448601912E-2</v>
      </c>
      <c r="AG23" s="14">
        <v>-0.21697499638827389</v>
      </c>
      <c r="AH23" s="14">
        <v>-0.1328034118650907</v>
      </c>
      <c r="AI23" s="14">
        <v>-0.1560316784875726</v>
      </c>
      <c r="AJ23" s="14">
        <v>-0.16167481633572689</v>
      </c>
      <c r="AK23" s="14">
        <v>-7.047559206046719E-2</v>
      </c>
      <c r="AL23" s="14">
        <v>-0.12178590324295401</v>
      </c>
      <c r="AM23" s="14">
        <v>-0.12955539224781931</v>
      </c>
      <c r="AN23" s="14">
        <v>-0.37187009160512002</v>
      </c>
      <c r="AO23" s="14">
        <v>-0.36653313941369592</v>
      </c>
      <c r="AP23" s="14">
        <v>-0.36965423876600162</v>
      </c>
      <c r="AQ23" s="14">
        <v>-0.19394203018299461</v>
      </c>
      <c r="AR23" s="14">
        <v>-0.44740282596333858</v>
      </c>
      <c r="AS23" s="14">
        <v>-0.36573920518276842</v>
      </c>
      <c r="AT23" s="14">
        <v>-0.25623330221786822</v>
      </c>
      <c r="AU23" s="14">
        <v>-0.45982919339945411</v>
      </c>
      <c r="AV23" s="14">
        <v>-0.50897926002874616</v>
      </c>
      <c r="AW23" s="14">
        <v>-1.0912392342029611</v>
      </c>
      <c r="AX23" s="14">
        <v>-1.07642645519442</v>
      </c>
      <c r="AY23" s="14">
        <v>-1.13456605530121</v>
      </c>
      <c r="AZ23" s="14">
        <v>-1.450550576557011</v>
      </c>
      <c r="BA23" s="14">
        <v>-1.278469667181279</v>
      </c>
      <c r="BB23" s="14">
        <v>-1.329519151284164</v>
      </c>
      <c r="BC23" s="14">
        <v>-1.5823883331841031</v>
      </c>
      <c r="BD23" s="14">
        <v>-1.456408833184103</v>
      </c>
      <c r="BE23" s="14">
        <v>-1.542942333184103</v>
      </c>
      <c r="BF23" s="14">
        <v>-1.602955333184104</v>
      </c>
      <c r="BG23" s="14">
        <v>-1.647864833184103</v>
      </c>
      <c r="BH23" s="14">
        <v>-1.7112300288873421</v>
      </c>
      <c r="BI23" s="14">
        <v>-1.590021028887342</v>
      </c>
      <c r="BJ23" s="14">
        <v>-1.6940243441552689</v>
      </c>
      <c r="BK23" s="14">
        <v>-1.6990342076298039</v>
      </c>
      <c r="BL23" s="14">
        <v>-1.848568503880043</v>
      </c>
      <c r="BM23" s="14">
        <v>-1.918063965904494</v>
      </c>
      <c r="BN23" s="14">
        <v>-1.9111167951456809</v>
      </c>
      <c r="BO23" s="14">
        <v>-1.9476417368916801</v>
      </c>
      <c r="BP23" s="14">
        <v>-2.0459081361031362</v>
      </c>
      <c r="BQ23" s="14">
        <v>-2.1179560375384021</v>
      </c>
      <c r="BR23" s="14">
        <v>-2.1001117160744389</v>
      </c>
      <c r="BS23" s="14">
        <v>-2.1733871047323512</v>
      </c>
      <c r="BT23" s="14">
        <v>-2.1031978405677139</v>
      </c>
      <c r="BU23" s="14">
        <v>-1.939923150575493</v>
      </c>
      <c r="BV23" s="14">
        <v>-1.8866541000176049</v>
      </c>
      <c r="BW23" s="14">
        <v>-1.902016615060695</v>
      </c>
      <c r="BX23" s="14">
        <v>-1.7777970915160599</v>
      </c>
      <c r="BY23" s="14">
        <v>-1.6595478575891049</v>
      </c>
      <c r="BZ23" s="14">
        <v>-1.65187809515726</v>
      </c>
      <c r="CA23" s="14">
        <v>-1.44550259515726</v>
      </c>
      <c r="CB23" s="14">
        <v>-1.487167583535848</v>
      </c>
      <c r="CC23" s="14">
        <v>-1.5717125835358481</v>
      </c>
      <c r="CD23" s="14">
        <v>-1.3800361285210629</v>
      </c>
      <c r="CE23" s="14">
        <v>-1.320434128521063</v>
      </c>
      <c r="CF23" s="14">
        <v>-1.3042732930909811</v>
      </c>
      <c r="CG23" s="14">
        <v>-1.5209105347181839</v>
      </c>
      <c r="CH23" s="14">
        <v>-1.683033109035255</v>
      </c>
      <c r="CI23" s="14">
        <v>-1.742155609035255</v>
      </c>
      <c r="CJ23" s="14">
        <v>-1.898671505453156</v>
      </c>
      <c r="CK23" s="14">
        <v>-1.826815114916611</v>
      </c>
      <c r="CL23" s="14">
        <v>-1.6627656557376971</v>
      </c>
      <c r="CM23" s="14">
        <v>-1.6557906467244761</v>
      </c>
      <c r="CN23" s="14">
        <v>-1.6058186467244759</v>
      </c>
      <c r="CO23" s="14">
        <v>-1.8742696236276251</v>
      </c>
      <c r="CP23" s="14">
        <v>-2.120371396083844</v>
      </c>
      <c r="CQ23" s="14">
        <v>-2.0956691260044629</v>
      </c>
      <c r="CR23" s="14">
        <v>-1.9446709555305151</v>
      </c>
      <c r="CS23" s="14">
        <v>-1.875655955530515</v>
      </c>
      <c r="CT23" s="14">
        <v>-1.90850617953666</v>
      </c>
      <c r="CU23" s="14">
        <v>-2.1106100645238168</v>
      </c>
      <c r="CV23" s="14">
        <v>-1.9572790962522419</v>
      </c>
      <c r="CW23" s="14">
        <v>-1.9814653840412439</v>
      </c>
      <c r="CX23" s="14">
        <v>-2.07018237813777</v>
      </c>
      <c r="CY23" s="14">
        <v>-1.7884715506637501</v>
      </c>
      <c r="CZ23" s="14">
        <v>-1.606472756806399</v>
      </c>
      <c r="DA23" s="14">
        <v>-1.5418277568063989</v>
      </c>
      <c r="DB23" s="14">
        <v>-1.523079756806399</v>
      </c>
      <c r="DC23" s="14">
        <v>-1.6810286561246519</v>
      </c>
      <c r="DD23" s="14">
        <v>-1.6994386561246519</v>
      </c>
      <c r="DE23" s="14">
        <v>-1.6393527086144799</v>
      </c>
      <c r="DF23" s="14">
        <v>-1.8307265824269321</v>
      </c>
      <c r="DG23" s="14">
        <v>-1.983703236721984</v>
      </c>
      <c r="DH23" s="14">
        <v>-1.844475236721985</v>
      </c>
      <c r="DI23" s="14">
        <v>-1.7484342367219849</v>
      </c>
      <c r="DJ23" s="14">
        <v>-1.835492244894332</v>
      </c>
      <c r="DK23" s="14">
        <v>-1.557659028335489</v>
      </c>
      <c r="DL23" s="14">
        <v>-1.531416376230865</v>
      </c>
      <c r="DM23" s="14">
        <v>-1.5421267105376899</v>
      </c>
      <c r="DN23" s="14">
        <v>-1.807101567021681</v>
      </c>
      <c r="DO23" s="14">
        <v>-1.7224307392144991</v>
      </c>
      <c r="DP23" s="14">
        <v>-1.899270357699405</v>
      </c>
      <c r="DQ23" s="14">
        <v>-1.6533242501406189</v>
      </c>
      <c r="DR23" s="14">
        <v>-1.743210252871926</v>
      </c>
      <c r="DS23" s="14">
        <v>-1.4960157014294571</v>
      </c>
      <c r="DT23" s="14">
        <v>-1.619970924625656</v>
      </c>
      <c r="DU23" s="14">
        <v>-1.675608924625656</v>
      </c>
      <c r="DV23" s="14">
        <v>-1.868350325843553</v>
      </c>
      <c r="DW23" s="14">
        <v>-1.8452978258435531</v>
      </c>
      <c r="DX23" s="14">
        <v>-2.016300612812008</v>
      </c>
      <c r="DY23" s="14">
        <v>-2.2845225421841309</v>
      </c>
      <c r="DZ23" s="14">
        <v>-2.1551895266324119</v>
      </c>
      <c r="EA23" s="14">
        <v>-2.183946526632413</v>
      </c>
      <c r="EB23" s="14">
        <v>-2.3221750266324119</v>
      </c>
      <c r="EC23" s="14">
        <v>-2.2285315266324131</v>
      </c>
      <c r="ED23" s="14">
        <v>-2.189633526632413</v>
      </c>
      <c r="EE23" s="14">
        <v>-2.2588445266324131</v>
      </c>
      <c r="EF23" s="14">
        <v>-2.165430526632413</v>
      </c>
    </row>
    <row r="24" spans="1:136">
      <c r="A24" s="2"/>
      <c r="B24" s="2" t="s">
        <v>241</v>
      </c>
      <c r="C24" s="14">
        <v>-2.776696731044102E-2</v>
      </c>
      <c r="D24" s="14">
        <v>5.4221411859182868E-2</v>
      </c>
      <c r="E24" s="14">
        <v>0.1361017464695804</v>
      </c>
      <c r="F24" s="14">
        <v>0.33764746534122658</v>
      </c>
      <c r="G24" s="14">
        <v>0.31502507677860891</v>
      </c>
      <c r="H24" s="14">
        <v>-3.5797114552429898E-2</v>
      </c>
      <c r="I24" s="14">
        <v>0.2045891302184859</v>
      </c>
      <c r="J24" s="14">
        <v>0.20862485515774551</v>
      </c>
      <c r="K24" s="14">
        <v>0.25906919115123422</v>
      </c>
      <c r="L24" s="14">
        <v>0.59282863562688082</v>
      </c>
      <c r="M24" s="14">
        <v>0.44600929672737227</v>
      </c>
      <c r="N24" s="14">
        <v>0.34081758593152689</v>
      </c>
      <c r="O24" s="14">
        <v>0.37746637667107069</v>
      </c>
      <c r="P24" s="14">
        <v>0.4817147910800702</v>
      </c>
      <c r="Q24" s="14">
        <v>0.39156984228140718</v>
      </c>
      <c r="R24" s="14">
        <v>0.49993533719359851</v>
      </c>
      <c r="S24" s="14">
        <v>0.63981913676059898</v>
      </c>
      <c r="T24" s="14">
        <v>0.9103058514346164</v>
      </c>
      <c r="U24" s="14">
        <v>1.303267736283269</v>
      </c>
      <c r="V24" s="14">
        <v>1.41980805300012</v>
      </c>
      <c r="W24" s="14">
        <v>0.92409606704417757</v>
      </c>
      <c r="X24" s="14">
        <v>0.96025396340542957</v>
      </c>
      <c r="Y24" s="14">
        <v>0.93085512382499691</v>
      </c>
      <c r="Z24" s="14">
        <v>0.78044519813620727</v>
      </c>
      <c r="AA24" s="14">
        <v>0.99898977782736209</v>
      </c>
      <c r="AB24" s="14">
        <v>0.69859598427037961</v>
      </c>
      <c r="AC24" s="14">
        <v>0.29684865042342501</v>
      </c>
      <c r="AD24" s="14">
        <v>0.3567707972342441</v>
      </c>
      <c r="AE24" s="14">
        <v>0.5499125869460022</v>
      </c>
      <c r="AF24" s="14">
        <v>5.4523174141840318E-2</v>
      </c>
      <c r="AG24" s="14">
        <v>-0.3255322184409557</v>
      </c>
      <c r="AH24" s="14">
        <v>-0.26883485837316612</v>
      </c>
      <c r="AI24" s="14">
        <v>-0.26002652727473891</v>
      </c>
      <c r="AJ24" s="14">
        <v>-0.17913528327536349</v>
      </c>
      <c r="AK24" s="14">
        <v>-6.5956119499739355E-2</v>
      </c>
      <c r="AL24" s="14">
        <v>-0.17341054580548099</v>
      </c>
      <c r="AM24" s="14">
        <v>-0.15449126438495431</v>
      </c>
      <c r="AN24" s="14">
        <v>-0.37568072953038562</v>
      </c>
      <c r="AO24" s="14">
        <v>-0.44177084135937561</v>
      </c>
      <c r="AP24" s="14">
        <v>-0.41891912587027919</v>
      </c>
      <c r="AQ24" s="14">
        <v>-6.2427194172760991E-2</v>
      </c>
      <c r="AR24" s="14">
        <v>-8.2778038665575412E-2</v>
      </c>
      <c r="AS24" s="14">
        <v>-7.9491264958952673E-2</v>
      </c>
      <c r="AT24" s="14">
        <v>7.1277714966728134E-2</v>
      </c>
      <c r="AU24" s="14">
        <v>-0.15856330071269181</v>
      </c>
      <c r="AV24" s="14">
        <v>8.9121359517635751E-2</v>
      </c>
      <c r="AW24" s="14">
        <v>0.23783231604907579</v>
      </c>
      <c r="AX24" s="14">
        <v>0.12634097913286041</v>
      </c>
      <c r="AY24" s="14">
        <v>-0.1410947655536097</v>
      </c>
      <c r="AZ24" s="14">
        <v>-0.75099432573838665</v>
      </c>
      <c r="BA24" s="14">
        <v>-0.64921163142844429</v>
      </c>
      <c r="BB24" s="14">
        <v>-0.73537066482377911</v>
      </c>
      <c r="BC24" s="14">
        <v>-0.73100379520939573</v>
      </c>
      <c r="BD24" s="14">
        <v>-0.71236379520939574</v>
      </c>
      <c r="BE24" s="14">
        <v>-0.81649479520939572</v>
      </c>
      <c r="BF24" s="14">
        <v>-0.91673079520939571</v>
      </c>
      <c r="BG24" s="14">
        <v>-1.093354795209396</v>
      </c>
      <c r="BH24" s="14">
        <v>-1.2410283604611161</v>
      </c>
      <c r="BI24" s="14">
        <v>-1.0717603604611159</v>
      </c>
      <c r="BJ24" s="14">
        <v>-1.075108676216</v>
      </c>
      <c r="BK24" s="14">
        <v>-1.0851284031650701</v>
      </c>
      <c r="BL24" s="14">
        <v>-1.4022926970897871</v>
      </c>
      <c r="BM24" s="14">
        <v>-1.317509757250799</v>
      </c>
      <c r="BN24" s="14">
        <v>-1.3243590990963729</v>
      </c>
      <c r="BO24" s="14">
        <v>-1.163249408000731</v>
      </c>
      <c r="BP24" s="14">
        <v>-1.2866005891300529</v>
      </c>
      <c r="BQ24" s="14">
        <v>-1.222430955799938</v>
      </c>
      <c r="BR24" s="14">
        <v>-1.1800747324965211</v>
      </c>
      <c r="BS24" s="14">
        <v>-1.1813594499809781</v>
      </c>
      <c r="BT24" s="14">
        <v>-1.1255601936727211</v>
      </c>
      <c r="BU24" s="14">
        <v>-0.67399065689110427</v>
      </c>
      <c r="BV24" s="14">
        <v>-0.62773195115044134</v>
      </c>
      <c r="BW24" s="14">
        <v>-0.77875939657286075</v>
      </c>
      <c r="BX24" s="14">
        <v>-0.72071602692294567</v>
      </c>
      <c r="BY24" s="14">
        <v>-0.60230779587264394</v>
      </c>
      <c r="BZ24" s="14">
        <v>-0.34341489702264699</v>
      </c>
      <c r="CA24" s="14">
        <v>-0.24338689702264699</v>
      </c>
      <c r="CB24" s="14">
        <v>-0.17925981386660489</v>
      </c>
      <c r="CC24" s="14">
        <v>-0.36172981386660502</v>
      </c>
      <c r="CD24" s="14">
        <v>-0.21742350312441011</v>
      </c>
      <c r="CE24" s="14">
        <v>-5.1858503124410073E-2</v>
      </c>
      <c r="CF24" s="14">
        <v>-9.5823137121141613E-2</v>
      </c>
      <c r="CG24" s="14">
        <v>-0.61579210319506372</v>
      </c>
      <c r="CH24" s="14">
        <v>-0.82876498722438208</v>
      </c>
      <c r="CI24" s="14">
        <v>-0.88727298722438208</v>
      </c>
      <c r="CJ24" s="14">
        <v>-1.187459880814637</v>
      </c>
      <c r="CK24" s="14">
        <v>-0.86440061548625313</v>
      </c>
      <c r="CL24" s="14">
        <v>-0.84871686759688658</v>
      </c>
      <c r="CM24" s="14">
        <v>-0.80402832927295464</v>
      </c>
      <c r="CN24" s="14">
        <v>-0.78910732927295468</v>
      </c>
      <c r="CO24" s="14">
        <v>-1.36151693900763</v>
      </c>
      <c r="CP24" s="14">
        <v>-1.559584284554723</v>
      </c>
      <c r="CQ24" s="14">
        <v>-1.399394637927222</v>
      </c>
      <c r="CR24" s="14">
        <v>-1.2616071818785191</v>
      </c>
      <c r="CS24" s="14">
        <v>-1.2884651818785191</v>
      </c>
      <c r="CT24" s="14">
        <v>-1.1055685945864031</v>
      </c>
      <c r="CU24" s="14">
        <v>-1.158297639400057</v>
      </c>
      <c r="CV24" s="14">
        <v>-0.97543354449283448</v>
      </c>
      <c r="CW24" s="14">
        <v>-1.210426759765681</v>
      </c>
      <c r="CX24" s="14">
        <v>-1.1552195660569931</v>
      </c>
      <c r="CY24" s="14">
        <v>-0.79499151928825573</v>
      </c>
      <c r="CZ24" s="14">
        <v>-0.68278489084368854</v>
      </c>
      <c r="DA24" s="14">
        <v>-0.64880489084368853</v>
      </c>
      <c r="DB24" s="14">
        <v>-0.66530489084368849</v>
      </c>
      <c r="DC24" s="14">
        <v>-0.94803466957220661</v>
      </c>
      <c r="DD24" s="14">
        <v>-0.8987346695722066</v>
      </c>
      <c r="DE24" s="14">
        <v>-1.0303202608677391</v>
      </c>
      <c r="DF24" s="14">
        <v>-1.2249583246236699</v>
      </c>
      <c r="DG24" s="14">
        <v>-1.4735473073569001</v>
      </c>
      <c r="DH24" s="14">
        <v>-1.2077423073569</v>
      </c>
      <c r="DI24" s="14">
        <v>-1.1705573073569</v>
      </c>
      <c r="DJ24" s="14">
        <v>-1.3030459178661391</v>
      </c>
      <c r="DK24" s="14">
        <v>-0.96353670723569551</v>
      </c>
      <c r="DL24" s="14">
        <v>-0.9021761940202786</v>
      </c>
      <c r="DM24" s="14">
        <v>-1.0104922891464641</v>
      </c>
      <c r="DN24" s="14">
        <v>-1.5273402281439961</v>
      </c>
      <c r="DO24" s="14">
        <v>-1.44422593855399</v>
      </c>
      <c r="DP24" s="14">
        <v>-1.6677977620376869</v>
      </c>
      <c r="DQ24" s="14">
        <v>-1.3087264599410391</v>
      </c>
      <c r="DR24" s="14">
        <v>-1.3292420901530679</v>
      </c>
      <c r="DS24" s="14">
        <v>-1.185235115314254</v>
      </c>
      <c r="DT24" s="14">
        <v>-1.2235979814843829</v>
      </c>
      <c r="DU24" s="14">
        <v>-1.201815981484383</v>
      </c>
      <c r="DV24" s="14">
        <v>-1.9522725306736051</v>
      </c>
      <c r="DW24" s="14">
        <v>-1.851089530673605</v>
      </c>
      <c r="DX24" s="14">
        <v>-2.0248268611216842</v>
      </c>
      <c r="DY24" s="14">
        <v>-2.0568933968516352</v>
      </c>
      <c r="DZ24" s="14">
        <v>-2.105798061110435</v>
      </c>
      <c r="EA24" s="14">
        <v>-2.1607150611104351</v>
      </c>
      <c r="EB24" s="14">
        <v>-2.269946061110435</v>
      </c>
      <c r="EC24" s="14">
        <v>-2.1262990611104349</v>
      </c>
      <c r="ED24" s="14">
        <v>-2.1961340611104352</v>
      </c>
      <c r="EE24" s="14">
        <v>-2.3036160611104348</v>
      </c>
      <c r="EF24" s="14">
        <v>-2.169531061110435</v>
      </c>
    </row>
    <row r="25" spans="1:136">
      <c r="A25" s="2"/>
      <c r="B25" s="2" t="s">
        <v>145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zoomScale="114" workbookViewId="0">
      <selection activeCell="B11" sqref="B11"/>
    </sheetView>
  </sheetViews>
  <sheetFormatPr baseColWidth="10" defaultColWidth="8.83203125" defaultRowHeight="15"/>
  <cols>
    <col min="1" max="1" width="14.1640625" style="10" customWidth="1"/>
  </cols>
  <sheetData>
    <row r="1" spans="1:136">
      <c r="A1" t="s">
        <v>242</v>
      </c>
    </row>
    <row r="2" spans="1:136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</row>
    <row r="3" spans="1:136">
      <c r="B3" t="s">
        <v>136</v>
      </c>
      <c r="C3" s="5">
        <v>7.9040621616132428E-2</v>
      </c>
      <c r="D3" s="5">
        <v>0.17983518543162419</v>
      </c>
      <c r="E3" s="5">
        <v>1.5558542820582799E-2</v>
      </c>
      <c r="F3" s="5">
        <v>-2.1374203652038289E-2</v>
      </c>
      <c r="G3" s="5">
        <v>-8.0895058721012214E-3</v>
      </c>
      <c r="H3" s="5">
        <v>-1.5424142996262571E-2</v>
      </c>
      <c r="I3" s="5">
        <v>-0.1970079222252091</v>
      </c>
      <c r="J3" s="5">
        <v>0.27879379848666003</v>
      </c>
      <c r="K3" s="5">
        <v>-5.8042552738333253E-3</v>
      </c>
      <c r="L3" s="5">
        <v>-4.7625460802946967E-2</v>
      </c>
      <c r="M3" s="5">
        <v>-5.2692769603885914E-3</v>
      </c>
      <c r="N3" s="5">
        <v>-0.1907915725736046</v>
      </c>
      <c r="O3" s="5">
        <v>0.31104453537531868</v>
      </c>
      <c r="P3" s="5">
        <v>0.1137423411079562</v>
      </c>
      <c r="Q3" s="5">
        <v>-0.12249966541698799</v>
      </c>
      <c r="R3" s="5">
        <v>-0.1125772096752599</v>
      </c>
      <c r="S3" s="5">
        <v>0.1047628479068862</v>
      </c>
      <c r="T3" s="5">
        <v>-0.1451144301876503</v>
      </c>
      <c r="U3" s="5">
        <v>-0.26268964672070189</v>
      </c>
      <c r="V3" s="5">
        <v>2.009334481821196E-3</v>
      </c>
      <c r="W3" s="5">
        <v>0.12943264471598109</v>
      </c>
      <c r="X3" s="5">
        <v>-8.859040691762049E-2</v>
      </c>
      <c r="Y3" s="5">
        <v>0.27865156855692891</v>
      </c>
      <c r="Z3" s="5">
        <v>0.1034271724790103</v>
      </c>
      <c r="AA3" s="5">
        <v>0.48570701238273079</v>
      </c>
      <c r="AB3" s="5">
        <v>-0.23509490687265411</v>
      </c>
      <c r="AC3" s="5">
        <v>1.2145875696980829E-2</v>
      </c>
      <c r="AD3" s="5">
        <v>2.4576879822336362E-2</v>
      </c>
      <c r="AE3" s="5">
        <v>-6.1133662722790971E-3</v>
      </c>
      <c r="AF3" s="5">
        <v>-5.6971515948832707E-2</v>
      </c>
      <c r="AG3" s="5">
        <v>0.1202382386574528</v>
      </c>
      <c r="AH3" s="5">
        <v>4.4012260680666333E-2</v>
      </c>
      <c r="AI3" s="5">
        <v>0.16346824092386009</v>
      </c>
      <c r="AJ3" s="5">
        <v>6.8233888505041862E-2</v>
      </c>
      <c r="AK3" s="5">
        <v>8.7340318019473118E-2</v>
      </c>
      <c r="AL3" s="5">
        <v>0.18601906455501879</v>
      </c>
      <c r="AM3" s="5">
        <v>9.6461005928937582E-2</v>
      </c>
      <c r="AN3" s="5">
        <v>0.20788493486511331</v>
      </c>
      <c r="AO3" s="5">
        <v>0.11987464702588579</v>
      </c>
      <c r="AP3" s="5">
        <v>-2.8675104661629199E-2</v>
      </c>
      <c r="AQ3" s="5">
        <v>-0.2120280442754702</v>
      </c>
      <c r="AR3" s="5">
        <v>-3.2704510357730587E-2</v>
      </c>
      <c r="AS3" s="5">
        <v>0.14122641902805161</v>
      </c>
      <c r="AT3" s="5">
        <v>-3.4747272652197507E-2</v>
      </c>
      <c r="AU3" s="5">
        <v>4.5616594078816568E-2</v>
      </c>
      <c r="AV3" s="5">
        <v>2.2144326545282141E-2</v>
      </c>
      <c r="AW3" s="5">
        <v>-0.17266700355485989</v>
      </c>
      <c r="AX3" s="5">
        <v>7.5979339060004814E-2</v>
      </c>
      <c r="AY3" s="5">
        <v>9.1669895598312512E-3</v>
      </c>
      <c r="AZ3" s="5">
        <v>1.5811638424496791E-2</v>
      </c>
      <c r="BA3" s="5">
        <v>0.1596223887210684</v>
      </c>
      <c r="BB3" s="5">
        <v>-0.12355126364150031</v>
      </c>
      <c r="BC3" s="5">
        <v>0.15614706721655541</v>
      </c>
      <c r="BD3" s="5">
        <v>0.16786712695784009</v>
      </c>
      <c r="BE3" s="5">
        <v>-0.1307095148892152</v>
      </c>
      <c r="BF3" s="5">
        <v>1.004111774608712E-2</v>
      </c>
      <c r="BG3" s="5">
        <v>0.31562101483380489</v>
      </c>
      <c r="BH3" s="5">
        <v>0.27021360932664601</v>
      </c>
      <c r="BI3" s="5">
        <v>5.6087308194300967E-2</v>
      </c>
      <c r="BJ3" s="5">
        <v>-2.428144716888792E-3</v>
      </c>
      <c r="BK3" s="5">
        <v>7.9795011400059179E-2</v>
      </c>
      <c r="BL3" s="5">
        <v>-2.3464502785466301E-2</v>
      </c>
      <c r="BM3" s="5">
        <v>9.4115599855399634E-2</v>
      </c>
      <c r="BN3" s="5">
        <v>1.8770326613512078E-2</v>
      </c>
      <c r="BO3" s="5">
        <v>-0.14839887615687969</v>
      </c>
      <c r="BP3" s="5">
        <v>4.107337954030732E-2</v>
      </c>
      <c r="BQ3" s="5">
        <v>-8.3183003971063707E-2</v>
      </c>
      <c r="BR3" s="5">
        <v>0.21369643032545599</v>
      </c>
      <c r="BS3" s="5">
        <v>-6.8149447486198445E-2</v>
      </c>
      <c r="BT3" s="5">
        <v>0.14424087762590629</v>
      </c>
      <c r="BU3" s="5">
        <v>0.11401522994132141</v>
      </c>
      <c r="BV3" s="5">
        <v>4.801166723024719E-3</v>
      </c>
      <c r="BW3" s="5">
        <v>0.11476889041196631</v>
      </c>
      <c r="BX3" s="5">
        <v>-9.0964923920277552E-2</v>
      </c>
      <c r="BY3" s="5">
        <v>0.11808451667450549</v>
      </c>
      <c r="BZ3" s="5">
        <v>-0.1410200400283034</v>
      </c>
      <c r="CA3" s="5">
        <v>7.4952845793382461E-2</v>
      </c>
      <c r="CB3" s="5">
        <v>-0.17068809420813311</v>
      </c>
      <c r="CC3" s="5">
        <v>8.5908462508696548E-2</v>
      </c>
      <c r="CD3" s="5">
        <v>3.0939148675174891E-2</v>
      </c>
      <c r="CE3" s="5">
        <v>0.21825654845162559</v>
      </c>
      <c r="CF3" s="5">
        <v>-0.1410466608471542</v>
      </c>
      <c r="CG3" s="5">
        <v>0.1002648354568221</v>
      </c>
      <c r="CH3" s="5">
        <v>4.561217918655408E-2</v>
      </c>
      <c r="CI3" s="5">
        <v>9.0372406724707033E-2</v>
      </c>
      <c r="CJ3" s="5">
        <v>-0.39056585729995208</v>
      </c>
      <c r="CK3" s="5">
        <v>-0.1094505841467153</v>
      </c>
      <c r="CL3" s="5">
        <v>-4.349854958948618E-2</v>
      </c>
      <c r="CM3" s="5">
        <v>0.1846143777910941</v>
      </c>
      <c r="CN3" s="5">
        <v>-0.39777868940720429</v>
      </c>
      <c r="CO3" s="5">
        <v>-9.7839711643685545E-2</v>
      </c>
      <c r="CP3" s="5">
        <v>-9.426417275536908E-2</v>
      </c>
      <c r="CQ3" s="5">
        <v>0.1719508179227969</v>
      </c>
      <c r="CR3" s="5">
        <v>6.1937752450725032E-2</v>
      </c>
      <c r="CS3" s="5">
        <v>-4.6146612606264681E-2</v>
      </c>
      <c r="CT3" s="5">
        <v>-1.1541379756887181E-2</v>
      </c>
      <c r="CU3" s="5">
        <v>-3.3298799782413353E-2</v>
      </c>
      <c r="CV3" s="5">
        <v>-2.1859147285423371E-2</v>
      </c>
      <c r="CW3" s="5">
        <v>3.9730772293418759E-2</v>
      </c>
      <c r="CX3" s="5">
        <v>-5.4060803392226853E-2</v>
      </c>
      <c r="CY3" s="5">
        <v>2.687080278938447E-2</v>
      </c>
      <c r="CZ3" s="5">
        <v>9.8156222827321893E-2</v>
      </c>
      <c r="DA3" s="5">
        <v>0.31191401999076479</v>
      </c>
      <c r="DB3" s="5">
        <v>-0.1557252615503073</v>
      </c>
      <c r="DC3" s="5">
        <v>-0.1877698733748154</v>
      </c>
      <c r="DD3" s="5">
        <v>-0.16882595651231219</v>
      </c>
      <c r="DE3" s="5">
        <v>0.16874399575438129</v>
      </c>
      <c r="DF3" s="5">
        <v>-9.1094675706205552E-2</v>
      </c>
      <c r="DG3" s="5">
        <v>-7.6287293877835782E-2</v>
      </c>
      <c r="DH3" s="5">
        <v>7.0221693802381413E-3</v>
      </c>
      <c r="DI3" s="5">
        <v>-2.1000382633728498E-3</v>
      </c>
      <c r="DJ3" s="5">
        <v>-6.8286379709951939E-2</v>
      </c>
      <c r="DK3" s="5">
        <v>4.5815090263610248E-2</v>
      </c>
      <c r="DL3" s="5">
        <v>-5.8209946840535542E-2</v>
      </c>
      <c r="DM3" s="5">
        <v>-7.0753845764884304E-2</v>
      </c>
      <c r="DN3" s="5">
        <v>2.8209852005243619E-2</v>
      </c>
      <c r="DO3" s="5">
        <v>-7.0120490357447773E-2</v>
      </c>
      <c r="DP3" s="5">
        <v>0.1609671486675571</v>
      </c>
      <c r="DQ3" s="5">
        <v>0.15477541257526009</v>
      </c>
      <c r="DR3" s="5">
        <v>-0.1084011796207669</v>
      </c>
      <c r="DS3" s="5">
        <v>0.11315866159628871</v>
      </c>
      <c r="DT3" s="5">
        <v>-9.1924478693107325E-2</v>
      </c>
      <c r="DU3" s="5">
        <v>-6.6151009182965181E-2</v>
      </c>
      <c r="DV3" s="5">
        <v>-7.3979125425596259E-2</v>
      </c>
      <c r="DW3" s="5">
        <v>6.6618381751488459E-2</v>
      </c>
      <c r="DX3" s="5">
        <v>6.9180839339883643E-2</v>
      </c>
      <c r="DY3" s="5">
        <v>-0.1020143752545596</v>
      </c>
      <c r="DZ3" s="5">
        <v>0.26467995828442159</v>
      </c>
      <c r="EA3" s="5">
        <v>-8.9146065677995434E-2</v>
      </c>
      <c r="EB3" s="5">
        <v>0.19478075764446831</v>
      </c>
      <c r="EC3" s="5">
        <v>-2.9992963587027192E-2</v>
      </c>
      <c r="ED3" s="5">
        <v>2.8755087358344141E-2</v>
      </c>
      <c r="EE3" s="5">
        <v>-8.7170363159390307E-2</v>
      </c>
      <c r="EF3" s="5">
        <v>-2.107712607482665E-2</v>
      </c>
    </row>
    <row r="4" spans="1:136">
      <c r="B4" t="s">
        <v>137</v>
      </c>
      <c r="C4" s="5">
        <v>-0.2039249712326647</v>
      </c>
      <c r="D4" s="5">
        <v>-0.1964237658858288</v>
      </c>
      <c r="E4" s="5">
        <v>-0.25001562319789628</v>
      </c>
      <c r="F4" s="5">
        <v>4.6225301858132888E-2</v>
      </c>
      <c r="G4" s="5">
        <v>3.2330243247768557E-2</v>
      </c>
      <c r="H4" s="5">
        <v>-5.1603684781703407E-2</v>
      </c>
      <c r="I4" s="5">
        <v>-7.1932762783788462E-4</v>
      </c>
      <c r="J4" s="5">
        <v>4.7735584517047507E-2</v>
      </c>
      <c r="K4" s="5">
        <v>-0.10000933785236479</v>
      </c>
      <c r="L4" s="5">
        <v>-1.5861567150846408E-2</v>
      </c>
      <c r="M4" s="5">
        <v>-5.3940441895917957E-2</v>
      </c>
      <c r="N4" s="5">
        <v>-3.006128637493433E-2</v>
      </c>
      <c r="O4" s="5">
        <v>-0.1863663761089018</v>
      </c>
      <c r="P4" s="5">
        <v>3.0686804370747112E-2</v>
      </c>
      <c r="Q4" s="5">
        <v>9.6560631213524317E-2</v>
      </c>
      <c r="R4" s="5">
        <v>-9.3806844009220569E-2</v>
      </c>
      <c r="S4" s="5">
        <v>2.384641514176522E-2</v>
      </c>
      <c r="T4" s="5">
        <v>7.3443894560089262E-2</v>
      </c>
      <c r="U4" s="5">
        <v>6.8552151821030796E-3</v>
      </c>
      <c r="V4" s="5">
        <v>-2.2154839675355479E-2</v>
      </c>
      <c r="W4" s="5">
        <v>-7.0055171589089582E-3</v>
      </c>
      <c r="X4" s="5">
        <v>-0.1692982319172103</v>
      </c>
      <c r="Y4" s="5">
        <v>-0.23320259238128571</v>
      </c>
      <c r="Z4" s="5">
        <v>-1.0288574917018071E-2</v>
      </c>
      <c r="AA4" s="5">
        <v>-2.5866334724611311E-3</v>
      </c>
      <c r="AB4" s="5">
        <v>-0.1637843756315753</v>
      </c>
      <c r="AC4" s="5">
        <v>-6.4688800973662808E-2</v>
      </c>
      <c r="AD4" s="5">
        <v>-5.3477424616254148E-2</v>
      </c>
      <c r="AE4" s="5">
        <v>4.309073895244353E-2</v>
      </c>
      <c r="AF4" s="5">
        <v>8.0218323830894889E-2</v>
      </c>
      <c r="AG4" s="5">
        <v>-0.1002521131150758</v>
      </c>
      <c r="AH4" s="5">
        <v>0.1185404057803101</v>
      </c>
      <c r="AI4" s="5">
        <v>-8.6514098466683009E-2</v>
      </c>
      <c r="AJ4" s="5">
        <v>-9.6720591922766275E-2</v>
      </c>
      <c r="AK4" s="5">
        <v>7.714821270149308E-2</v>
      </c>
      <c r="AL4" s="5">
        <v>2.0174232134641201E-2</v>
      </c>
      <c r="AM4" s="5">
        <v>-6.7241324666724722E-3</v>
      </c>
      <c r="AN4" s="5">
        <v>1.122578986331213E-2</v>
      </c>
      <c r="AO4" s="5">
        <v>-4.4498439328666713E-2</v>
      </c>
      <c r="AP4" s="5">
        <v>7.9516907835369466E-2</v>
      </c>
      <c r="AQ4" s="5">
        <v>-9.1550116191305264E-2</v>
      </c>
      <c r="AR4" s="5">
        <v>0.1142424157596746</v>
      </c>
      <c r="AS4" s="5">
        <v>8.2448436759978705E-2</v>
      </c>
      <c r="AT4" s="5">
        <v>9.7249827762322383E-3</v>
      </c>
      <c r="AU4" s="5">
        <v>-3.4605903137480347E-2</v>
      </c>
      <c r="AV4" s="5">
        <v>-0.2174533789678712</v>
      </c>
      <c r="AW4" s="5">
        <v>5.2334484190899033E-2</v>
      </c>
      <c r="AX4" s="5">
        <v>1.384542021274626E-2</v>
      </c>
      <c r="AY4" s="5">
        <v>0.106382535700245</v>
      </c>
      <c r="AZ4" s="5">
        <v>1.573201072361563E-2</v>
      </c>
      <c r="BA4" s="5">
        <v>-0.15377072052847751</v>
      </c>
      <c r="BB4" s="5">
        <v>-0.25244423454125631</v>
      </c>
      <c r="BC4" s="5">
        <v>-0.14982873402575869</v>
      </c>
      <c r="BD4" s="5">
        <v>-2.2554321715718469E-2</v>
      </c>
      <c r="BE4" s="5">
        <v>-3.1285268658100662E-2</v>
      </c>
      <c r="BF4" s="5">
        <v>0.1240869826657605</v>
      </c>
      <c r="BG4" s="5">
        <v>-7.4642493295524304E-2</v>
      </c>
      <c r="BH4" s="5">
        <v>-6.4841754756111314E-2</v>
      </c>
      <c r="BI4" s="5">
        <v>1.8201446010561281E-2</v>
      </c>
      <c r="BJ4" s="5">
        <v>-0.15018846614211159</v>
      </c>
      <c r="BK4" s="5">
        <v>-5.9172596101159769E-2</v>
      </c>
      <c r="BL4" s="5">
        <v>-4.7948186331197462E-2</v>
      </c>
      <c r="BM4" s="5">
        <v>2.052177888404572E-2</v>
      </c>
      <c r="BN4" s="5">
        <v>4.0184826284235697E-2</v>
      </c>
      <c r="BO4" s="5">
        <v>4.4253141477314628E-2</v>
      </c>
      <c r="BP4" s="5">
        <v>8.2144881969639982E-2</v>
      </c>
      <c r="BQ4" s="5">
        <v>3.034994243067857E-2</v>
      </c>
      <c r="BR4" s="5">
        <v>-0.1178677152142722</v>
      </c>
      <c r="BS4" s="5">
        <v>-1.7435734218624429E-2</v>
      </c>
      <c r="BT4" s="5">
        <v>-3.4138675888959469E-2</v>
      </c>
      <c r="BU4" s="5">
        <v>-4.6293256972850472E-2</v>
      </c>
      <c r="BV4" s="5">
        <v>0.17074793581774189</v>
      </c>
      <c r="BW4" s="5">
        <v>-0.1002724725514543</v>
      </c>
      <c r="BX4" s="5">
        <v>-7.1039208889066785E-2</v>
      </c>
      <c r="BY4" s="5">
        <v>-0.17569208578460399</v>
      </c>
      <c r="BZ4" s="5">
        <v>8.5263289590539415E-2</v>
      </c>
      <c r="CA4" s="5">
        <v>1.455569009171143E-2</v>
      </c>
      <c r="CB4" s="5">
        <v>0.19268600459385959</v>
      </c>
      <c r="CC4" s="5">
        <v>-0.29881238545137911</v>
      </c>
      <c r="CD4" s="5">
        <v>-0.1349379461871649</v>
      </c>
      <c r="CE4" s="5">
        <v>-5.6657895268028113E-2</v>
      </c>
      <c r="CF4" s="5">
        <v>-0.11375971139280951</v>
      </c>
      <c r="CG4" s="5">
        <v>5.7622067517158371E-2</v>
      </c>
      <c r="CH4" s="5">
        <v>-4.001254466679427E-3</v>
      </c>
      <c r="CI4" s="5">
        <v>7.7424647921532141E-2</v>
      </c>
      <c r="CJ4" s="5">
        <v>2.6114056760381029E-2</v>
      </c>
      <c r="CK4" s="5">
        <v>-2.240001723672691E-2</v>
      </c>
      <c r="CL4" s="5">
        <v>-7.0095624035594994E-2</v>
      </c>
      <c r="CM4" s="5">
        <v>4.3436542483707541E-2</v>
      </c>
      <c r="CN4" s="5">
        <v>0.18690672157174859</v>
      </c>
      <c r="CO4" s="5">
        <v>4.446453202920253E-3</v>
      </c>
      <c r="CP4" s="5">
        <v>2.4151386485087301E-2</v>
      </c>
      <c r="CQ4" s="5">
        <v>-3.1460764321860069E-2</v>
      </c>
      <c r="CR4" s="5">
        <v>-0.29662338596077831</v>
      </c>
      <c r="CS4" s="5">
        <v>-0.27970336465505241</v>
      </c>
      <c r="CT4" s="5">
        <v>7.8684619263164279E-2</v>
      </c>
      <c r="CU4" s="5">
        <v>-0.11218630160750109</v>
      </c>
      <c r="CV4" s="5">
        <v>0.11296132499189331</v>
      </c>
      <c r="CW4" s="5">
        <v>-4.1031038792660013E-2</v>
      </c>
      <c r="CX4" s="5">
        <v>6.6400736315959108E-2</v>
      </c>
      <c r="CY4" s="5">
        <v>-0.17738472354507101</v>
      </c>
      <c r="CZ4" s="5">
        <v>-0.14025649491331291</v>
      </c>
      <c r="DA4" s="5">
        <v>-0.22065215831468171</v>
      </c>
      <c r="DB4" s="5">
        <v>-4.7530422130282801E-2</v>
      </c>
      <c r="DC4" s="5">
        <v>-0.1384211204142467</v>
      </c>
      <c r="DD4" s="5">
        <v>0.10113629887646169</v>
      </c>
      <c r="DE4" s="5">
        <v>4.5885478784697398E-2</v>
      </c>
      <c r="DF4" s="5">
        <v>4.9743559277015237E-2</v>
      </c>
      <c r="DG4" s="5">
        <v>-0.137130303806142</v>
      </c>
      <c r="DH4" s="5">
        <v>0.15813722836365329</v>
      </c>
      <c r="DI4" s="5">
        <v>-5.8844921242510402E-2</v>
      </c>
      <c r="DJ4" s="5">
        <v>-0.1256585188069437</v>
      </c>
      <c r="DK4" s="5">
        <v>-0.17054839142057079</v>
      </c>
      <c r="DL4" s="5">
        <v>8.7111231199973105E-2</v>
      </c>
      <c r="DM4" s="5">
        <v>0.22121757588715951</v>
      </c>
      <c r="DN4" s="5">
        <v>8.2980876911495471E-2</v>
      </c>
      <c r="DO4" s="5">
        <v>-3.4106922891275808E-2</v>
      </c>
      <c r="DP4" s="5">
        <v>-7.2756652210209438E-2</v>
      </c>
      <c r="DQ4" s="5">
        <v>-0.1680556719972266</v>
      </c>
      <c r="DR4" s="5">
        <v>-0.12816572962436371</v>
      </c>
      <c r="DS4" s="5">
        <v>-7.759167425624014E-2</v>
      </c>
      <c r="DT4" s="5">
        <v>-0.20203504768606001</v>
      </c>
      <c r="DU4" s="5">
        <v>-5.5486709118024891E-2</v>
      </c>
      <c r="DV4" s="5">
        <v>8.2663101688531526E-3</v>
      </c>
      <c r="DW4" s="5">
        <v>-1.40933401356591E-2</v>
      </c>
      <c r="DX4" s="5">
        <v>-9.0217886051373597E-2</v>
      </c>
      <c r="DY4" s="5">
        <v>9.7821812382289153E-2</v>
      </c>
      <c r="DZ4" s="5">
        <v>-0.12757008956569391</v>
      </c>
      <c r="EA4" s="5">
        <v>-0.1945089543306722</v>
      </c>
      <c r="EB4" s="5">
        <v>-0.31627292637508481</v>
      </c>
      <c r="EC4" s="5">
        <v>4.5255164501341483E-2</v>
      </c>
      <c r="ED4" s="5">
        <v>5.6017206552507297E-2</v>
      </c>
      <c r="EE4" s="5">
        <v>0.1196917374403057</v>
      </c>
      <c r="EF4" s="5">
        <v>0.24309353172991879</v>
      </c>
    </row>
    <row r="5" spans="1:136">
      <c r="B5" t="s">
        <v>138</v>
      </c>
      <c r="C5" s="5">
        <v>-0.20935361149472831</v>
      </c>
      <c r="D5" s="5">
        <v>-0.1072455023751924</v>
      </c>
      <c r="E5" s="5">
        <v>0.52501530683772435</v>
      </c>
      <c r="F5" s="5">
        <v>4.6823768151851013E-2</v>
      </c>
      <c r="G5" s="5">
        <v>-0.21046493626235849</v>
      </c>
      <c r="H5" s="5">
        <v>0.47449114813492221</v>
      </c>
      <c r="I5" s="5">
        <v>0.14680892480266791</v>
      </c>
      <c r="J5" s="5">
        <v>-5.6142242586696901E-2</v>
      </c>
      <c r="K5" s="5">
        <v>0.27557732059741852</v>
      </c>
      <c r="L5" s="5">
        <v>-0.429803895577967</v>
      </c>
      <c r="M5" s="5">
        <v>0.32349590077241003</v>
      </c>
      <c r="N5" s="5">
        <v>-0.34825072939559049</v>
      </c>
      <c r="O5" s="5">
        <v>-9.75267647927303E-2</v>
      </c>
      <c r="P5" s="5">
        <v>0.39540466236699251</v>
      </c>
      <c r="Q5" s="5">
        <v>4.8478108376362662E-2</v>
      </c>
      <c r="R5" s="5">
        <v>-9.8985600985133329E-2</v>
      </c>
      <c r="S5" s="5">
        <v>0.305793727896155</v>
      </c>
      <c r="T5" s="5">
        <v>7.2165930759538061E-2</v>
      </c>
      <c r="U5" s="5">
        <v>-4.9009230430883954E-4</v>
      </c>
      <c r="V5" s="5">
        <v>-0.13929554545575701</v>
      </c>
      <c r="W5" s="5">
        <v>-0.39469257513977751</v>
      </c>
      <c r="X5" s="5">
        <v>-0.12931156060545229</v>
      </c>
      <c r="Y5" s="5">
        <v>-0.68125891047001907</v>
      </c>
      <c r="Z5" s="5">
        <v>-4.1938156243548769E-3</v>
      </c>
      <c r="AA5" s="5">
        <v>1.8560125119517271E-2</v>
      </c>
      <c r="AB5" s="5">
        <v>0.20113094605220941</v>
      </c>
      <c r="AC5" s="5">
        <v>-8.9483378930757945E-2</v>
      </c>
      <c r="AD5" s="5">
        <v>0.1451410860629446</v>
      </c>
      <c r="AE5" s="5">
        <v>7.4624119096799141E-2</v>
      </c>
      <c r="AF5" s="5">
        <v>0.17580443763613759</v>
      </c>
      <c r="AG5" s="5">
        <v>-0.30331265835277282</v>
      </c>
      <c r="AH5" s="5">
        <v>-0.3483397071352336</v>
      </c>
      <c r="AI5" s="5">
        <v>0.25873608106819568</v>
      </c>
      <c r="AJ5" s="5">
        <v>-0.48879761544229228</v>
      </c>
      <c r="AK5" s="5">
        <v>0.13252874976468179</v>
      </c>
      <c r="AL5" s="5">
        <v>-2.3800153911279789E-2</v>
      </c>
      <c r="AM5" s="5">
        <v>1.173620113508929E-2</v>
      </c>
      <c r="AN5" s="5">
        <v>-7.4812103146932943E-2</v>
      </c>
      <c r="AO5" s="5">
        <v>0.1844777721646908</v>
      </c>
      <c r="AP5" s="5">
        <v>3.2454138263480981E-2</v>
      </c>
      <c r="AQ5" s="5">
        <v>0.15120275047085749</v>
      </c>
      <c r="AR5" s="5">
        <v>-9.5283188802216146E-2</v>
      </c>
      <c r="AS5" s="5">
        <v>-0.1260032609462903</v>
      </c>
      <c r="AT5" s="5">
        <v>0.1516753034210738</v>
      </c>
      <c r="AU5" s="5">
        <v>-0.2007889112295945</v>
      </c>
      <c r="AV5" s="5">
        <v>7.8901861222600136E-2</v>
      </c>
      <c r="AW5" s="5">
        <v>6.6907089587781021E-4</v>
      </c>
      <c r="AX5" s="5">
        <v>0.1123518508204545</v>
      </c>
      <c r="AY5" s="5">
        <v>-0.11800901394968941</v>
      </c>
      <c r="AZ5" s="5">
        <v>0.20623475003072961</v>
      </c>
      <c r="BA5" s="5">
        <v>-3.97937801882461E-2</v>
      </c>
      <c r="BB5" s="5">
        <v>8.3008355637714748E-2</v>
      </c>
      <c r="BC5" s="5">
        <v>-0.13000300529739819</v>
      </c>
      <c r="BD5" s="5">
        <v>-0.1064312900594583</v>
      </c>
      <c r="BE5" s="5">
        <v>0.1158849362838152</v>
      </c>
      <c r="BF5" s="5">
        <v>-0.28526717215295749</v>
      </c>
      <c r="BG5" s="5">
        <v>-0.1509842362786851</v>
      </c>
      <c r="BH5" s="5">
        <v>2.9341057503422599E-3</v>
      </c>
      <c r="BI5" s="5">
        <v>5.8262514508516133E-2</v>
      </c>
      <c r="BJ5" s="5">
        <v>-0.25989264623200092</v>
      </c>
      <c r="BK5" s="5">
        <v>0.18474040199136449</v>
      </c>
      <c r="BL5" s="5">
        <v>-0.26914540554674848</v>
      </c>
      <c r="BM5" s="5">
        <v>0.17150836470177749</v>
      </c>
      <c r="BN5" s="5">
        <v>-0.18088850446581761</v>
      </c>
      <c r="BO5" s="5">
        <v>-6.3206745350197338E-2</v>
      </c>
      <c r="BP5" s="5">
        <v>7.1774957077323495E-2</v>
      </c>
      <c r="BQ5" s="5">
        <v>-0.1686195689897588</v>
      </c>
      <c r="BR5" s="5">
        <v>-2.545873273363362E-2</v>
      </c>
      <c r="BS5" s="5">
        <v>0.1245446019666267</v>
      </c>
      <c r="BT5" s="5">
        <v>0.20782503929497201</v>
      </c>
      <c r="BU5" s="5">
        <v>-6.0037446829220693E-2</v>
      </c>
      <c r="BV5" s="5">
        <v>-5.1905003051803483E-2</v>
      </c>
      <c r="BW5" s="5">
        <v>-0.12680819125864681</v>
      </c>
      <c r="BX5" s="5">
        <v>-0.1052510446788132</v>
      </c>
      <c r="BY5" s="5">
        <v>5.3601773045040088E-2</v>
      </c>
      <c r="BZ5" s="5">
        <v>-3.4388144014312297E-2</v>
      </c>
      <c r="CA5" s="5">
        <v>-2.0069736378605839E-2</v>
      </c>
      <c r="CB5" s="5">
        <v>8.4300430524421641E-2</v>
      </c>
      <c r="CC5" s="5">
        <v>-0.110410835022124</v>
      </c>
      <c r="CD5" s="5">
        <v>0.32740031270766617</v>
      </c>
      <c r="CE5" s="5">
        <v>-1.5012168586274939E-2</v>
      </c>
      <c r="CF5" s="5">
        <v>-0.14937021175902551</v>
      </c>
      <c r="CG5" s="5">
        <v>0.16297301454092969</v>
      </c>
      <c r="CH5" s="5">
        <v>-6.896103144523659E-2</v>
      </c>
      <c r="CI5" s="5">
        <v>-0.11541146458518491</v>
      </c>
      <c r="CJ5" s="5">
        <v>-0.26303527345610228</v>
      </c>
      <c r="CK5" s="5">
        <v>0.37924960384624179</v>
      </c>
      <c r="CL5" s="5">
        <v>-7.6790699983737498E-2</v>
      </c>
      <c r="CM5" s="5">
        <v>4.2652506298582429E-2</v>
      </c>
      <c r="CN5" s="5">
        <v>-0.1516858867131603</v>
      </c>
      <c r="CO5" s="5">
        <v>0.43724307982140581</v>
      </c>
      <c r="CP5" s="5">
        <v>-3.9926150423868351E-3</v>
      </c>
      <c r="CQ5" s="5">
        <v>-0.49916489273431458</v>
      </c>
      <c r="CR5" s="5">
        <v>0.33988683275055442</v>
      </c>
      <c r="CS5" s="5">
        <v>-0.18986441617449731</v>
      </c>
      <c r="CT5" s="5">
        <v>0.2246321236344469</v>
      </c>
      <c r="CU5" s="5">
        <v>-0.25170889936125151</v>
      </c>
      <c r="CV5" s="5">
        <v>-6.0592355965027593E-2</v>
      </c>
      <c r="CW5" s="5">
        <v>0.2109010090070762</v>
      </c>
      <c r="CX5" s="5">
        <v>0.25025019061541082</v>
      </c>
      <c r="CY5" s="5">
        <v>-0.52414963758384503</v>
      </c>
      <c r="CZ5" s="5">
        <v>0.82142749669553927</v>
      </c>
      <c r="DA5" s="5">
        <v>-0.17651348566266811</v>
      </c>
      <c r="DB5" s="5">
        <v>0.13125649202051129</v>
      </c>
      <c r="DC5" s="5">
        <v>0.17576145031796331</v>
      </c>
      <c r="DD5" s="5">
        <v>-0.42086343262939768</v>
      </c>
      <c r="DE5" s="5">
        <v>-0.22795497779214821</v>
      </c>
      <c r="DF5" s="5">
        <v>-0.3368819221783515</v>
      </c>
      <c r="DG5" s="5">
        <v>-0.44413532346609758</v>
      </c>
      <c r="DH5" s="5">
        <v>-4.27982998765781E-2</v>
      </c>
      <c r="DI5" s="5">
        <v>0.30948159020781918</v>
      </c>
      <c r="DJ5" s="5">
        <v>-0.28667223643824391</v>
      </c>
      <c r="DK5" s="5">
        <v>0.84630493967791443</v>
      </c>
      <c r="DL5" s="5">
        <v>-0.1693329876927529</v>
      </c>
      <c r="DM5" s="5">
        <v>-0.4391099461359883</v>
      </c>
      <c r="DN5" s="5">
        <v>0.74761868532509412</v>
      </c>
      <c r="DO5" s="5">
        <v>-0.40009342240963602</v>
      </c>
      <c r="DP5" s="5">
        <v>-4.4799489944027257E-2</v>
      </c>
      <c r="DQ5" s="5">
        <v>-0.58861281581662461</v>
      </c>
      <c r="DR5" s="5">
        <v>-6.4257074862891627E-3</v>
      </c>
      <c r="DS5" s="5">
        <v>-0.19880266564910609</v>
      </c>
      <c r="DT5" s="5">
        <v>0.41307307328401038</v>
      </c>
      <c r="DU5" s="5">
        <v>-0.17063643177968549</v>
      </c>
      <c r="DV5" s="5">
        <v>0.68807702540912619</v>
      </c>
      <c r="DW5" s="5">
        <v>4.0827356191794333E-2</v>
      </c>
      <c r="DX5" s="5">
        <v>-0.1999673354250954</v>
      </c>
      <c r="DY5" s="5">
        <v>0.56631330445582462</v>
      </c>
      <c r="DZ5" s="5">
        <v>0.47368914822135011</v>
      </c>
      <c r="EA5" s="5">
        <v>9.5631863057402539E-2</v>
      </c>
      <c r="EB5" s="5">
        <v>-1.0762939402606311</v>
      </c>
      <c r="EC5" s="5">
        <v>-0.13598026508787489</v>
      </c>
      <c r="ED5" s="5">
        <v>-0.2734944373108647</v>
      </c>
      <c r="EE5" s="5">
        <v>0.6014180383447254</v>
      </c>
      <c r="EF5" s="5">
        <v>6.7940871428030583E-3</v>
      </c>
    </row>
    <row r="7" spans="1:136">
      <c r="A7" t="s">
        <v>243</v>
      </c>
    </row>
    <row r="8" spans="1:136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51</v>
      </c>
      <c r="BA8" t="s">
        <v>52</v>
      </c>
      <c r="BB8" t="s">
        <v>53</v>
      </c>
      <c r="BC8" t="s">
        <v>54</v>
      </c>
      <c r="BD8" t="s">
        <v>55</v>
      </c>
      <c r="BE8" t="s">
        <v>56</v>
      </c>
      <c r="BF8" t="s">
        <v>57</v>
      </c>
      <c r="BG8" t="s">
        <v>58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69</v>
      </c>
      <c r="BS8" t="s">
        <v>70</v>
      </c>
      <c r="BT8" t="s">
        <v>71</v>
      </c>
      <c r="BU8" t="s">
        <v>72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86</v>
      </c>
      <c r="CJ8" t="s">
        <v>87</v>
      </c>
      <c r="CK8" t="s">
        <v>88</v>
      </c>
      <c r="CL8" t="s">
        <v>89</v>
      </c>
      <c r="CM8" t="s">
        <v>90</v>
      </c>
      <c r="CN8" t="s">
        <v>91</v>
      </c>
      <c r="CO8" t="s">
        <v>92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98</v>
      </c>
      <c r="CV8" t="s">
        <v>99</v>
      </c>
      <c r="CW8" t="s">
        <v>100</v>
      </c>
      <c r="CX8" t="s">
        <v>101</v>
      </c>
      <c r="CY8" t="s">
        <v>102</v>
      </c>
      <c r="CZ8" t="s">
        <v>103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113</v>
      </c>
      <c r="DK8" t="s">
        <v>114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121</v>
      </c>
      <c r="DS8" t="s">
        <v>122</v>
      </c>
      <c r="DT8" t="s">
        <v>123</v>
      </c>
      <c r="DU8" t="s">
        <v>124</v>
      </c>
      <c r="DV8" t="s">
        <v>125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</row>
    <row r="9" spans="1:136">
      <c r="B9" t="s">
        <v>136</v>
      </c>
      <c r="C9" s="7">
        <v>0.109105830631824</v>
      </c>
      <c r="D9" s="7">
        <v>1.4576582608432649E-2</v>
      </c>
      <c r="E9" s="7">
        <v>-3.6154356576976902E-2</v>
      </c>
      <c r="F9" s="7">
        <v>-4.742600977062153E-3</v>
      </c>
      <c r="G9" s="7">
        <v>-5.7477531385562736E-3</v>
      </c>
      <c r="H9" s="7">
        <v>4.9378023156909527E-2</v>
      </c>
      <c r="I9" s="7">
        <v>0.18325176920476779</v>
      </c>
      <c r="J9" s="7">
        <v>0.1164863088741452</v>
      </c>
      <c r="K9" s="7">
        <v>-3.0594945598924051E-2</v>
      </c>
      <c r="L9" s="7">
        <v>1.9828051430277011E-2</v>
      </c>
      <c r="M9" s="7">
        <v>-2.0999006362740089E-2</v>
      </c>
      <c r="N9" s="7">
        <v>0.1497794247734946</v>
      </c>
      <c r="O9" s="7">
        <v>1.5463406170905081E-2</v>
      </c>
      <c r="P9" s="7">
        <v>-9.1792321477913982E-2</v>
      </c>
      <c r="Q9" s="7">
        <v>-7.7409013100986537E-2</v>
      </c>
      <c r="R9" s="7">
        <v>5.4776596014220982E-2</v>
      </c>
      <c r="S9" s="7">
        <v>-0.12533438670858049</v>
      </c>
      <c r="T9" s="7">
        <v>-0.1190534205538864</v>
      </c>
      <c r="U9" s="7">
        <v>-3.777005083138045E-2</v>
      </c>
      <c r="V9" s="7">
        <v>8.1183823152198617E-2</v>
      </c>
      <c r="W9" s="7">
        <v>8.4008967865119855E-2</v>
      </c>
      <c r="X9" s="7">
        <v>0.14701135657134901</v>
      </c>
      <c r="Y9" s="7">
        <v>-0.12536053701812139</v>
      </c>
      <c r="Z9" s="7">
        <v>0.1919535535452612</v>
      </c>
      <c r="AA9" s="7">
        <v>-8.4370782422902996E-2</v>
      </c>
      <c r="AB9" s="7">
        <v>7.2897613803716274E-2</v>
      </c>
      <c r="AC9" s="7">
        <v>0.10260456025692451</v>
      </c>
      <c r="AD9" s="7">
        <v>1.5770167253116588E-2</v>
      </c>
      <c r="AE9" s="7">
        <v>-0.15200716210156701</v>
      </c>
      <c r="AF9" s="7">
        <v>5.9250251506559243E-2</v>
      </c>
      <c r="AG9" s="7">
        <v>0.13005883770177931</v>
      </c>
      <c r="AH9" s="7">
        <v>0.11525639530312259</v>
      </c>
      <c r="AI9" s="7">
        <v>3.2606621901195412E-2</v>
      </c>
      <c r="AJ9" s="7">
        <v>2.79991148643382E-2</v>
      </c>
      <c r="AK9" s="7">
        <v>0.14657041796408479</v>
      </c>
      <c r="AL9" s="7">
        <v>4.0841921466891577E-2</v>
      </c>
      <c r="AM9" s="7">
        <v>0.13137636706820099</v>
      </c>
      <c r="AN9" s="7">
        <v>0.22143295930140211</v>
      </c>
      <c r="AO9" s="7">
        <v>-2.0941038924054418E-2</v>
      </c>
      <c r="AP9" s="7">
        <v>-0.13715995040864579</v>
      </c>
      <c r="AQ9" s="7">
        <v>-2.4882854865750599E-2</v>
      </c>
      <c r="AR9" s="7">
        <v>1.551397070984222E-2</v>
      </c>
      <c r="AS9" s="7">
        <v>3.4373036510765703E-2</v>
      </c>
      <c r="AT9" s="7">
        <v>6.3095686135752824E-2</v>
      </c>
      <c r="AU9" s="7">
        <v>4.3237695395113553E-2</v>
      </c>
      <c r="AV9" s="7">
        <v>-7.4230367380587331E-2</v>
      </c>
      <c r="AW9" s="7">
        <v>2.7994827208502701E-2</v>
      </c>
      <c r="AX9" s="7">
        <v>0.1198644178103629</v>
      </c>
      <c r="AY9" s="7">
        <v>7.6559571245744709E-2</v>
      </c>
      <c r="AZ9" s="7">
        <v>-2.1730386111293399E-2</v>
      </c>
      <c r="BA9" s="7">
        <v>-1.2464632784982711E-3</v>
      </c>
      <c r="BB9" s="7">
        <v>0.10099582217884891</v>
      </c>
      <c r="BC9" s="7">
        <v>2.9826929857085831E-2</v>
      </c>
      <c r="BD9" s="7">
        <v>8.6757683796749117E-3</v>
      </c>
      <c r="BE9" s="7">
        <v>6.8557206018591665E-2</v>
      </c>
      <c r="BF9" s="7">
        <v>0.15691259652648329</v>
      </c>
      <c r="BG9" s="7">
        <v>0.1592037331379933</v>
      </c>
      <c r="BH9" s="7">
        <v>6.1121667651573217E-2</v>
      </c>
      <c r="BI9" s="7">
        <v>9.6912851275401127E-2</v>
      </c>
      <c r="BJ9" s="7">
        <v>-5.4746248471514068E-2</v>
      </c>
      <c r="BK9" s="7">
        <v>-8.7492963132843785E-2</v>
      </c>
      <c r="BL9" s="7">
        <v>9.4426745861656128E-2</v>
      </c>
      <c r="BM9" s="7">
        <v>-2.2191058729398399E-2</v>
      </c>
      <c r="BN9" s="7">
        <v>1.562861243910833E-2</v>
      </c>
      <c r="BO9" s="7">
        <v>8.1418240100881306E-2</v>
      </c>
      <c r="BP9" s="7">
        <v>-1.8508942424783719E-2</v>
      </c>
      <c r="BQ9" s="7">
        <v>6.8729568027927734E-2</v>
      </c>
      <c r="BR9" s="7">
        <v>3.1023605185006549E-3</v>
      </c>
      <c r="BS9" s="7">
        <v>7.4964417651561921E-2</v>
      </c>
      <c r="BT9" s="7">
        <v>4.5201587698112312E-2</v>
      </c>
      <c r="BU9" s="7">
        <v>2.5677329398223779E-2</v>
      </c>
      <c r="BV9" s="7">
        <v>9.180403106274436E-2</v>
      </c>
      <c r="BW9" s="7">
        <v>-2.6353999034970911E-2</v>
      </c>
      <c r="BX9" s="7">
        <v>1.9394832235212069E-2</v>
      </c>
      <c r="BY9" s="7">
        <v>-7.6838899317359197E-2</v>
      </c>
      <c r="BZ9" s="7">
        <v>0.1133093139289441</v>
      </c>
      <c r="CA9" s="7">
        <v>-0.10735493495839039</v>
      </c>
      <c r="CB9" s="7">
        <v>4.0844788501696747E-2</v>
      </c>
      <c r="CC9" s="7">
        <v>-1.9801708972640539E-2</v>
      </c>
      <c r="CD9" s="7">
        <v>0.1883770899619405</v>
      </c>
      <c r="CE9" s="7">
        <v>5.5574905720929421E-2</v>
      </c>
      <c r="CF9" s="7">
        <v>7.4872074365934668E-2</v>
      </c>
      <c r="CG9" s="7">
        <v>0.1000001919024945</v>
      </c>
      <c r="CH9" s="7">
        <v>0.1360217220005796</v>
      </c>
      <c r="CI9" s="7">
        <v>-9.3741014702459921E-2</v>
      </c>
      <c r="CJ9" s="7">
        <v>3.9305991202356373E-3</v>
      </c>
      <c r="CK9" s="7">
        <v>5.6507776574398372E-2</v>
      </c>
      <c r="CL9" s="7">
        <v>0.26354577822564818</v>
      </c>
      <c r="CM9" s="7">
        <v>-9.5554349157474378E-3</v>
      </c>
      <c r="CN9" s="7">
        <v>-3.1511899508967982E-2</v>
      </c>
      <c r="CO9" s="7">
        <v>-2.2619031528730349E-2</v>
      </c>
      <c r="CP9" s="7">
        <v>0.13265560934539161</v>
      </c>
      <c r="CQ9" s="7">
        <v>0.1330727797426777</v>
      </c>
      <c r="CR9" s="7">
        <v>-1.4956408370414089E-2</v>
      </c>
      <c r="CS9" s="7">
        <v>-3.3419937997587537E-2</v>
      </c>
      <c r="CT9" s="7">
        <v>1.228120855821169E-2</v>
      </c>
      <c r="CU9" s="7">
        <v>0.11681498356736621</v>
      </c>
      <c r="CV9" s="7">
        <v>-3.1589453565969692E-3</v>
      </c>
      <c r="CW9" s="7">
        <v>3.8217758352757383E-2</v>
      </c>
      <c r="CX9" s="7">
        <v>0.13917409482071269</v>
      </c>
      <c r="CY9" s="7">
        <v>-2.3712287606589749E-2</v>
      </c>
      <c r="CZ9" s="7">
        <v>0.21835291106172269</v>
      </c>
      <c r="DA9" s="7">
        <v>-5.796736233046404E-2</v>
      </c>
      <c r="DB9" s="7">
        <v>-1.410421852050941E-2</v>
      </c>
      <c r="DC9" s="7">
        <v>0.11395608079284369</v>
      </c>
      <c r="DD9" s="7">
        <v>7.4472261891957006E-2</v>
      </c>
      <c r="DE9" s="7">
        <v>-8.9969275376677231E-4</v>
      </c>
      <c r="DF9" s="7">
        <v>9.7707180382245536E-4</v>
      </c>
      <c r="DG9" s="7">
        <v>-7.2980095070914866E-2</v>
      </c>
      <c r="DH9" s="7">
        <v>-2.384528684741952E-2</v>
      </c>
      <c r="DI9" s="7">
        <v>-0.101530671996864</v>
      </c>
      <c r="DJ9" s="7">
        <v>2.7692536462605249E-2</v>
      </c>
      <c r="DK9" s="7">
        <v>-4.9335152901351147E-2</v>
      </c>
      <c r="DL9" s="7">
        <v>-5.6993575669654463E-3</v>
      </c>
      <c r="DM9" s="7">
        <v>-3.698176006290884E-2</v>
      </c>
      <c r="DN9" s="7">
        <v>0.1098129862949979</v>
      </c>
      <c r="DO9" s="7">
        <v>4.2036825231170707E-2</v>
      </c>
      <c r="DP9" s="7">
        <v>8.4566668006112469E-2</v>
      </c>
      <c r="DQ9" s="7">
        <v>-0.11027981086457481</v>
      </c>
      <c r="DR9" s="7">
        <v>9.4328709127723676E-2</v>
      </c>
      <c r="DS9" s="7">
        <v>-7.1906912609422696E-2</v>
      </c>
      <c r="DT9" s="7">
        <v>-9.6236429507091506E-2</v>
      </c>
      <c r="DU9" s="7">
        <v>2.3455494098847921E-3</v>
      </c>
      <c r="DV9" s="7">
        <v>0.13401742358239299</v>
      </c>
      <c r="DW9" s="7">
        <v>9.4732519114383587E-2</v>
      </c>
      <c r="DX9" s="7">
        <v>-0.1037731978548066</v>
      </c>
      <c r="DY9" s="7">
        <v>7.5762154171076845E-2</v>
      </c>
      <c r="DZ9" s="7">
        <v>-3.1829720434029513E-2</v>
      </c>
      <c r="EA9" s="7">
        <v>0.16130801932992569</v>
      </c>
      <c r="EB9" s="7">
        <v>1.020353315832318E-2</v>
      </c>
      <c r="EC9" s="7">
        <v>7.3988425168607055E-2</v>
      </c>
      <c r="ED9" s="7">
        <v>-0.15737687498945321</v>
      </c>
      <c r="EE9" s="7">
        <v>7.9137553498671423E-2</v>
      </c>
      <c r="EF9" s="7">
        <v>7.252854687485949E-2</v>
      </c>
    </row>
    <row r="10" spans="1:136">
      <c r="B10" t="s">
        <v>137</v>
      </c>
      <c r="C10" s="7">
        <v>-0.24758870953733739</v>
      </c>
      <c r="D10" s="7">
        <v>-0.27469330301591988</v>
      </c>
      <c r="E10" s="7">
        <v>-8.4648385226775952E-2</v>
      </c>
      <c r="F10" s="7">
        <v>2.264463125499239E-2</v>
      </c>
      <c r="G10" s="7">
        <v>-4.968000079578011E-2</v>
      </c>
      <c r="H10" s="7">
        <v>-0.100759633161552</v>
      </c>
      <c r="I10" s="7">
        <v>-1.2522721374844691E-2</v>
      </c>
      <c r="J10" s="7">
        <v>7.8736550465264579E-2</v>
      </c>
      <c r="K10" s="7">
        <v>-3.418510024326199E-2</v>
      </c>
      <c r="L10" s="7">
        <v>8.8406797789969321E-2</v>
      </c>
      <c r="M10" s="7">
        <v>-3.063454560011507E-3</v>
      </c>
      <c r="N10" s="7">
        <v>-0.21221799304980321</v>
      </c>
      <c r="O10" s="7">
        <v>-3.6805388582279122E-2</v>
      </c>
      <c r="P10" s="7">
        <v>7.1033118877316462E-2</v>
      </c>
      <c r="Q10" s="7">
        <v>-7.1261132998910126E-2</v>
      </c>
      <c r="R10" s="7">
        <v>2.1560446706208151E-2</v>
      </c>
      <c r="S10" s="7">
        <v>0.10111125807516751</v>
      </c>
      <c r="T10" s="7">
        <v>4.3224739792793003E-2</v>
      </c>
      <c r="U10" s="7">
        <v>1.488194958969411E-2</v>
      </c>
      <c r="V10" s="7">
        <v>6.3260243037239986E-3</v>
      </c>
      <c r="W10" s="7">
        <v>-0.1435529784595129</v>
      </c>
      <c r="X10" s="7">
        <v>-6.4282172013507929E-2</v>
      </c>
      <c r="Y10" s="7">
        <v>-1.9034202878042191E-2</v>
      </c>
      <c r="Z10" s="7">
        <v>-2.0644556245472189E-2</v>
      </c>
      <c r="AA10" s="7">
        <v>3.3059540377865217E-2</v>
      </c>
      <c r="AB10" s="7">
        <v>-1.9418226776777941E-2</v>
      </c>
      <c r="AC10" s="7">
        <v>-6.3126838764061721E-2</v>
      </c>
      <c r="AD10" s="7">
        <v>-6.5629712146108229E-2</v>
      </c>
      <c r="AE10" s="7">
        <v>0.1379956892668254</v>
      </c>
      <c r="AF10" s="7">
        <v>-0.1005679184552228</v>
      </c>
      <c r="AG10" s="7">
        <v>-3.7969091150733998E-2</v>
      </c>
      <c r="AH10" s="7">
        <v>-4.5839537807496208E-2</v>
      </c>
      <c r="AI10" s="7">
        <v>-5.1034095516539722E-2</v>
      </c>
      <c r="AJ10" s="7">
        <v>-3.2204408877165632E-3</v>
      </c>
      <c r="AK10" s="7">
        <v>4.8952958975013116E-4</v>
      </c>
      <c r="AL10" s="7">
        <v>-0.1064467536119352</v>
      </c>
      <c r="AM10" s="7">
        <v>-1.3723973583554899E-2</v>
      </c>
      <c r="AN10" s="7">
        <v>-0.1219647076543238</v>
      </c>
      <c r="AO10" s="7">
        <v>-4.858966597382592E-2</v>
      </c>
      <c r="AP10" s="7">
        <v>-1.903150433663008E-3</v>
      </c>
      <c r="AQ10" s="7">
        <v>2.9067484813314101E-2</v>
      </c>
      <c r="AR10" s="7">
        <v>5.2635776863899968E-2</v>
      </c>
      <c r="AS10" s="7">
        <v>-1.289325857571229E-2</v>
      </c>
      <c r="AT10" s="7">
        <v>-2.131134772842519E-3</v>
      </c>
      <c r="AU10" s="7">
        <v>-0.15538438197178719</v>
      </c>
      <c r="AV10" s="7">
        <v>1.268178414302561E-2</v>
      </c>
      <c r="AW10" s="7">
        <v>-1.1942321618877561E-2</v>
      </c>
      <c r="AX10" s="7">
        <v>-4.2537914968475456E-3</v>
      </c>
      <c r="AY10" s="7">
        <v>2.930087158954232E-2</v>
      </c>
      <c r="AZ10" s="7">
        <v>-0.13412750113921701</v>
      </c>
      <c r="BA10" s="7">
        <v>-0.13711152966130111</v>
      </c>
      <c r="BB10" s="7">
        <v>1.7546605068716691E-3</v>
      </c>
      <c r="BC10" s="7">
        <v>2.5117126105990401E-2</v>
      </c>
      <c r="BD10" s="7">
        <v>-0.11960190660895841</v>
      </c>
      <c r="BE10" s="7">
        <v>0.1357616496399312</v>
      </c>
      <c r="BF10" s="7">
        <v>4.7091161676368357E-2</v>
      </c>
      <c r="BG10" s="7">
        <v>-2.605004393557599E-2</v>
      </c>
      <c r="BH10" s="7">
        <v>4.3752773670266483E-2</v>
      </c>
      <c r="BI10" s="7">
        <v>-8.1391827895093402E-2</v>
      </c>
      <c r="BJ10" s="7">
        <v>-0.10060082155953699</v>
      </c>
      <c r="BK10" s="7">
        <v>9.0490079041763594E-2</v>
      </c>
      <c r="BL10" s="7">
        <v>-3.0898458704964389E-2</v>
      </c>
      <c r="BM10" s="7">
        <v>5.8814186622603987E-2</v>
      </c>
      <c r="BN10" s="7">
        <v>8.1345639246770615E-2</v>
      </c>
      <c r="BO10" s="7">
        <v>-7.7164168976593351E-3</v>
      </c>
      <c r="BP10" s="7">
        <v>0.1067348704344353</v>
      </c>
      <c r="BQ10" s="7">
        <v>-2.7156341096342261E-2</v>
      </c>
      <c r="BR10" s="7">
        <v>-5.4431018659150447E-2</v>
      </c>
      <c r="BS10" s="7">
        <v>-6.822927751511014E-2</v>
      </c>
      <c r="BT10" s="7">
        <v>9.8612222991557266E-2</v>
      </c>
      <c r="BU10" s="7">
        <v>0.1283985422991091</v>
      </c>
      <c r="BV10" s="7">
        <v>-7.8402519476778718E-2</v>
      </c>
      <c r="BW10" s="7">
        <v>-0.1191337216524913</v>
      </c>
      <c r="BX10" s="7">
        <v>-4.6890096077604589E-2</v>
      </c>
      <c r="BY10" s="7">
        <v>0.10169834364209621</v>
      </c>
      <c r="BZ10" s="7">
        <v>-2.5680084240218899E-2</v>
      </c>
      <c r="CA10" s="7">
        <v>-8.3301790010408508E-2</v>
      </c>
      <c r="CB10" s="7">
        <v>-0.15782764847875469</v>
      </c>
      <c r="CC10" s="7">
        <v>-7.1052571704280934E-2</v>
      </c>
      <c r="CD10" s="7">
        <v>-7.3875492145199798E-2</v>
      </c>
      <c r="CE10" s="7">
        <v>-0.23678647002516851</v>
      </c>
      <c r="CF10" s="7">
        <v>3.2627706277002622E-2</v>
      </c>
      <c r="CG10" s="7">
        <v>1.3423084626575861E-2</v>
      </c>
      <c r="CH10" s="7">
        <v>-2.7966658799032269E-3</v>
      </c>
      <c r="CI10" s="7">
        <v>4.7925699911805238E-2</v>
      </c>
      <c r="CJ10" s="7">
        <v>-3.2520192681292038E-3</v>
      </c>
      <c r="CK10" s="7">
        <v>-7.570819035307215E-2</v>
      </c>
      <c r="CL10" s="7">
        <v>-4.439725585073561E-2</v>
      </c>
      <c r="CM10" s="7">
        <v>0.17898858319392719</v>
      </c>
      <c r="CN10" s="7">
        <v>5.799426642317386E-2</v>
      </c>
      <c r="CO10" s="7">
        <v>-0.13939018969183081</v>
      </c>
      <c r="CP10" s="7">
        <v>6.4714670503515537E-2</v>
      </c>
      <c r="CQ10" s="7">
        <v>-0.18118788880647541</v>
      </c>
      <c r="CR10" s="7">
        <v>-8.8633532328162568E-2</v>
      </c>
      <c r="CS10" s="7">
        <v>-2.532177470861038E-2</v>
      </c>
      <c r="CT10" s="7">
        <v>-0.11307907407472829</v>
      </c>
      <c r="CU10" s="7">
        <v>8.095957294189474E-3</v>
      </c>
      <c r="CV10" s="7">
        <v>-4.5200208394220349E-2</v>
      </c>
      <c r="CW10" s="7">
        <v>-5.8941225467328592E-2</v>
      </c>
      <c r="CX10" s="7">
        <v>-0.1077283016776811</v>
      </c>
      <c r="CY10" s="7">
        <v>-9.6503499496267492E-2</v>
      </c>
      <c r="CZ10" s="7">
        <v>-0.2103543453191653</v>
      </c>
      <c r="DA10" s="7">
        <v>-0.10996113735654101</v>
      </c>
      <c r="DB10" s="7">
        <v>-0.1908204716293295</v>
      </c>
      <c r="DC10" s="7">
        <v>-2.0727272402408872E-2</v>
      </c>
      <c r="DD10" s="7">
        <v>8.7029095351123936E-2</v>
      </c>
      <c r="DE10" s="7">
        <v>8.2024592921593045E-2</v>
      </c>
      <c r="DF10" s="7">
        <v>-0.166876664789437</v>
      </c>
      <c r="DG10" s="7">
        <v>0.22243808581717431</v>
      </c>
      <c r="DH10" s="7">
        <v>-0.144297746243673</v>
      </c>
      <c r="DI10" s="7">
        <v>-0.1196199522370443</v>
      </c>
      <c r="DJ10" s="7">
        <v>-0.10159274396951661</v>
      </c>
      <c r="DK10" s="7">
        <v>9.2855058740681395E-2</v>
      </c>
      <c r="DL10" s="7">
        <v>-4.2630490096108087E-2</v>
      </c>
      <c r="DM10" s="7">
        <v>8.2732072899953643E-2</v>
      </c>
      <c r="DN10" s="7">
        <v>-3.1049452465540091E-2</v>
      </c>
      <c r="DO10" s="7">
        <v>-9.8141990492640205E-2</v>
      </c>
      <c r="DP10" s="7">
        <v>-0.13058888143944061</v>
      </c>
      <c r="DQ10" s="7">
        <v>4.8655718251279387E-2</v>
      </c>
      <c r="DR10" s="7">
        <v>-3.9251909935401189E-2</v>
      </c>
      <c r="DS10" s="7">
        <v>-0.1610301993932845</v>
      </c>
      <c r="DT10" s="7">
        <v>-7.8883966483063367E-2</v>
      </c>
      <c r="DU10" s="7">
        <v>0.16407715854109439</v>
      </c>
      <c r="DV10" s="7">
        <v>7.5052515397744431E-3</v>
      </c>
      <c r="DW10" s="7">
        <v>-0.1016452501185193</v>
      </c>
      <c r="DX10" s="7">
        <v>-5.6040292492535823E-2</v>
      </c>
      <c r="DY10" s="7">
        <v>-0.1066566396478186</v>
      </c>
      <c r="DZ10" s="7">
        <v>-6.9186575508287662E-2</v>
      </c>
      <c r="EA10" s="7">
        <v>-0.12618865773840809</v>
      </c>
      <c r="EB10" s="7">
        <v>-6.4737118328050736E-2</v>
      </c>
      <c r="EC10" s="7">
        <v>5.142607344157852E-2</v>
      </c>
      <c r="ED10" s="7">
        <v>3.4496728436731378E-2</v>
      </c>
      <c r="EE10" s="7">
        <v>0.15767759835539891</v>
      </c>
      <c r="EF10" s="7">
        <v>-0.12718001699129389</v>
      </c>
    </row>
    <row r="11" spans="1:136">
      <c r="B11" t="s">
        <v>138</v>
      </c>
      <c r="C11" s="7">
        <v>-5.4244781267602057E-2</v>
      </c>
      <c r="D11" s="7">
        <v>4.5377022463556939E-2</v>
      </c>
      <c r="E11" s="7">
        <v>-1.7752272607948309E-2</v>
      </c>
      <c r="F11" s="7">
        <v>-8.7687354470119203E-2</v>
      </c>
      <c r="G11" s="7">
        <v>0.1027592597916023</v>
      </c>
      <c r="H11" s="7">
        <v>2.5113717342445511E-3</v>
      </c>
      <c r="I11" s="7">
        <v>-1.8303552483615069E-2</v>
      </c>
      <c r="J11" s="7">
        <v>2.2110525104917209E-2</v>
      </c>
      <c r="K11" s="7">
        <v>7.7258045731841044E-2</v>
      </c>
      <c r="L11" s="7">
        <v>9.3440783982297517E-3</v>
      </c>
      <c r="M11" s="7">
        <v>5.3602181204841143E-2</v>
      </c>
      <c r="N11" s="7">
        <v>-6.7877357290963961E-2</v>
      </c>
      <c r="O11" s="7">
        <v>6.4929886491987929E-2</v>
      </c>
      <c r="P11" s="7">
        <v>4.8806817542238106E-3</v>
      </c>
      <c r="Q11" s="7">
        <v>1.919781824762783E-2</v>
      </c>
      <c r="R11" s="7">
        <v>-5.4653492448842392E-3</v>
      </c>
      <c r="S11" s="7">
        <v>3.6551467134004201E-2</v>
      </c>
      <c r="T11" s="7">
        <v>0.12918506866843241</v>
      </c>
      <c r="U11" s="7">
        <v>1.369240766293847E-2</v>
      </c>
      <c r="V11" s="7">
        <v>1.529525194063162E-2</v>
      </c>
      <c r="W11" s="7">
        <v>-0.10468571910271469</v>
      </c>
      <c r="X11" s="7">
        <v>-0.29384805056845642</v>
      </c>
      <c r="Y11" s="7">
        <v>5.9212485033458218E-2</v>
      </c>
      <c r="Z11" s="7">
        <v>-0.18494831245363619</v>
      </c>
      <c r="AA11" s="7">
        <v>9.8247438772127521E-2</v>
      </c>
      <c r="AB11" s="7">
        <v>-6.5734107189282197E-4</v>
      </c>
      <c r="AC11" s="7">
        <v>-0.1036861156532312</v>
      </c>
      <c r="AD11" s="7">
        <v>3.5450938075395509E-3</v>
      </c>
      <c r="AE11" s="7">
        <v>0.17560148677061019</v>
      </c>
      <c r="AF11" s="7">
        <v>-0.1550331010885124</v>
      </c>
      <c r="AG11" s="7">
        <v>-2.6328625232284051E-2</v>
      </c>
      <c r="AH11" s="7">
        <v>-4.9988101579694936E-3</v>
      </c>
      <c r="AI11" s="7">
        <v>2.8067714594873169E-2</v>
      </c>
      <c r="AJ11" s="7">
        <v>-2.2384193940381401E-2</v>
      </c>
      <c r="AK11" s="7">
        <v>-4.7020825392250949E-2</v>
      </c>
      <c r="AL11" s="7">
        <v>-0.10156151199043489</v>
      </c>
      <c r="AM11" s="7">
        <v>2.3525148704495701E-2</v>
      </c>
      <c r="AN11" s="7">
        <v>5.2525230105422573E-2</v>
      </c>
      <c r="AO11" s="7">
        <v>5.8502893637957562E-2</v>
      </c>
      <c r="AP11" s="7">
        <v>3.3447356041428761E-2</v>
      </c>
      <c r="AQ11" s="7">
        <v>1.430036545094069E-2</v>
      </c>
      <c r="AR11" s="7">
        <v>3.5903594729592501E-2</v>
      </c>
      <c r="AS11" s="7">
        <v>3.9782285287992311E-2</v>
      </c>
      <c r="AT11" s="7">
        <v>0.1484561956282951</v>
      </c>
      <c r="AU11" s="7">
        <v>-4.078729487218978E-2</v>
      </c>
      <c r="AV11" s="7">
        <v>0.13895895413073689</v>
      </c>
      <c r="AW11" s="7">
        <v>5.9863283397122782E-2</v>
      </c>
      <c r="AX11" s="7">
        <v>-0.1497898129881709</v>
      </c>
      <c r="AY11" s="7">
        <v>6.1595851435820623E-2</v>
      </c>
      <c r="AZ11" s="7">
        <v>-6.1949751488506538E-2</v>
      </c>
      <c r="BA11" s="7">
        <v>-2.389264381020083E-3</v>
      </c>
      <c r="BB11" s="7">
        <v>-0.14887029613688371</v>
      </c>
      <c r="BC11" s="7">
        <v>6.0350517971681748E-2</v>
      </c>
      <c r="BD11" s="7">
        <v>-1.468575255625916E-2</v>
      </c>
      <c r="BE11" s="7">
        <v>-0.14651529968819679</v>
      </c>
      <c r="BF11" s="7">
        <v>-0.2087626486148127</v>
      </c>
      <c r="BG11" s="7">
        <v>-0.20144325578474859</v>
      </c>
      <c r="BH11" s="7">
        <v>-0.11804991677814031</v>
      </c>
      <c r="BI11" s="7">
        <v>-7.7026576071686378E-2</v>
      </c>
      <c r="BJ11" s="7">
        <v>-3.6220317042829728E-2</v>
      </c>
      <c r="BK11" s="7">
        <v>-1.8907268725092598E-2</v>
      </c>
      <c r="BL11" s="7">
        <v>-0.17125563757433929</v>
      </c>
      <c r="BM11" s="7">
        <v>0.13291749710961351</v>
      </c>
      <c r="BN11" s="7">
        <v>-3.5907701607395578E-2</v>
      </c>
      <c r="BO11" s="7">
        <v>2.1344518209370389E-2</v>
      </c>
      <c r="BP11" s="7">
        <v>4.9634822871427897E-2</v>
      </c>
      <c r="BQ11" s="7">
        <v>-1.7211216417584319E-2</v>
      </c>
      <c r="BR11" s="7">
        <v>0.18982724311105359</v>
      </c>
      <c r="BS11" s="7">
        <v>-9.7605037382284945E-2</v>
      </c>
      <c r="BT11" s="7">
        <v>3.7831444138355132E-2</v>
      </c>
      <c r="BU11" s="7">
        <v>5.6008305208474198E-2</v>
      </c>
      <c r="BV11" s="7">
        <v>-0.1167370363031352</v>
      </c>
      <c r="BW11" s="7">
        <v>-0.1413229882478122</v>
      </c>
      <c r="BX11" s="7">
        <v>-3.3770258788579869E-3</v>
      </c>
      <c r="BY11" s="7">
        <v>0.13033606071126891</v>
      </c>
      <c r="BZ11" s="7">
        <v>3.1697731081681189E-2</v>
      </c>
      <c r="CA11" s="7">
        <v>4.0555037474470507E-2</v>
      </c>
      <c r="CB11" s="7">
        <v>-4.2037331365292897E-2</v>
      </c>
      <c r="CC11" s="7">
        <v>5.0013723389441531E-2</v>
      </c>
      <c r="CD11" s="7">
        <v>-6.8456279312897411E-2</v>
      </c>
      <c r="CE11" s="7">
        <v>-8.0832090081974353E-2</v>
      </c>
      <c r="CF11" s="7">
        <v>-1.948310790200239E-3</v>
      </c>
      <c r="CG11" s="7">
        <v>-0.1182090018050031</v>
      </c>
      <c r="CH11" s="7">
        <v>-3.67198859644461E-2</v>
      </c>
      <c r="CI11" s="7">
        <v>-8.3332793120616616E-2</v>
      </c>
      <c r="CJ11" s="7">
        <v>0.23067286701975129</v>
      </c>
      <c r="CK11" s="7">
        <v>0.1327785225954993</v>
      </c>
      <c r="CL11" s="7">
        <v>0.1412873189704931</v>
      </c>
      <c r="CM11" s="7">
        <v>-0.11268938730850959</v>
      </c>
      <c r="CN11" s="7">
        <v>0.22348855763592371</v>
      </c>
      <c r="CO11" s="7">
        <v>-0.10441916957268479</v>
      </c>
      <c r="CP11" s="7">
        <v>-1.442822447791231E-2</v>
      </c>
      <c r="CQ11" s="7">
        <v>-0.20723337326778599</v>
      </c>
      <c r="CR11" s="7">
        <v>-0.1348638695123113</v>
      </c>
      <c r="CS11" s="7">
        <v>7.3007738807373504E-2</v>
      </c>
      <c r="CT11" s="7">
        <v>-3.0218378407130288E-2</v>
      </c>
      <c r="CU11" s="7">
        <v>-0.28688917437274702</v>
      </c>
      <c r="CV11" s="7">
        <v>0.2307305381875536</v>
      </c>
      <c r="CW11" s="7">
        <v>9.1075698514216888E-2</v>
      </c>
      <c r="CX11" s="7">
        <v>-0.1224857321642277</v>
      </c>
      <c r="CY11" s="7">
        <v>7.8381925305362449E-2</v>
      </c>
      <c r="CZ11" s="7">
        <v>-4.5950103566863888E-2</v>
      </c>
      <c r="DA11" s="7">
        <v>8.2670164530151122E-2</v>
      </c>
      <c r="DB11" s="7">
        <v>0.14934927010032351</v>
      </c>
      <c r="DC11" s="7">
        <v>-4.7798705164587528E-2</v>
      </c>
      <c r="DD11" s="7">
        <v>-0.1645134604307108</v>
      </c>
      <c r="DE11" s="7">
        <v>-0.1105683533423189</v>
      </c>
      <c r="DF11" s="7">
        <v>5.7416867202733347E-2</v>
      </c>
      <c r="DG11" s="7">
        <v>-0.21489021548963169</v>
      </c>
      <c r="DH11" s="7">
        <v>6.2997155047871164E-2</v>
      </c>
      <c r="DI11" s="7">
        <v>6.7721109014009601E-2</v>
      </c>
      <c r="DJ11" s="7">
        <v>0.1188020770386063</v>
      </c>
      <c r="DK11" s="7">
        <v>7.2827306455158416E-3</v>
      </c>
      <c r="DL11" s="7">
        <v>7.1320599005857979E-2</v>
      </c>
      <c r="DM11" s="7">
        <v>2.1021900655620821E-2</v>
      </c>
      <c r="DN11" s="7">
        <v>-3.0403223939335849E-2</v>
      </c>
      <c r="DO11" s="7">
        <v>-9.694965661135331E-2</v>
      </c>
      <c r="DP11" s="7">
        <v>-0.23067649178859881</v>
      </c>
      <c r="DQ11" s="7">
        <v>0.238184312236043</v>
      </c>
      <c r="DR11" s="7">
        <v>3.5748752036958448E-3</v>
      </c>
      <c r="DS11" s="7">
        <v>0.13395561672683809</v>
      </c>
      <c r="DT11" s="7">
        <v>0.11510609642796051</v>
      </c>
      <c r="DU11" s="7">
        <v>0.1040797891887878</v>
      </c>
      <c r="DV11" s="7">
        <v>-5.4611063064875308E-2</v>
      </c>
      <c r="DW11" s="7">
        <v>-3.3290193961398547E-2</v>
      </c>
      <c r="DX11" s="7">
        <v>5.5094916778075383E-2</v>
      </c>
      <c r="DY11" s="7">
        <v>6.8793773385234666E-2</v>
      </c>
      <c r="DZ11" s="7">
        <v>1.4480773118257949E-2</v>
      </c>
      <c r="EA11" s="7">
        <v>-0.29313654086030699</v>
      </c>
      <c r="EB11" s="7">
        <v>-0.14097501940218221</v>
      </c>
      <c r="EC11" s="7">
        <v>-1.2209361583162239E-2</v>
      </c>
      <c r="ED11" s="7">
        <v>5.816768758959897E-2</v>
      </c>
      <c r="EE11" s="7">
        <v>-0.14440301349005499</v>
      </c>
      <c r="EF11" s="7">
        <v>-9.7009034240055067E-2</v>
      </c>
    </row>
    <row r="13" spans="1:136">
      <c r="A13" s="8" t="s">
        <v>244</v>
      </c>
      <c r="B13" s="8" t="s">
        <v>136</v>
      </c>
      <c r="C13" s="5">
        <f t="shared" ref="C13:AH13" si="0">(C3-C9)^2</f>
        <v>9.0391679315722159E-4</v>
      </c>
      <c r="D13" s="5">
        <f t="shared" si="0"/>
        <v>2.7310405807073373E-2</v>
      </c>
      <c r="E13" s="5">
        <f t="shared" si="0"/>
        <v>2.6742239641021305E-3</v>
      </c>
      <c r="F13" s="5">
        <f t="shared" si="0"/>
        <v>2.7661020753827335E-4</v>
      </c>
      <c r="G13" s="5">
        <f t="shared" si="0"/>
        <v>5.4838058650652354E-6</v>
      </c>
      <c r="H13" s="5">
        <f t="shared" si="0"/>
        <v>4.1993207381433228E-3</v>
      </c>
      <c r="I13" s="5">
        <f t="shared" si="0"/>
        <v>0.14459743292642124</v>
      </c>
      <c r="J13" s="5">
        <f t="shared" si="0"/>
        <v>2.6343721184316615E-2</v>
      </c>
      <c r="K13" s="5">
        <f t="shared" si="0"/>
        <v>6.1457832679454689E-4</v>
      </c>
      <c r="L13" s="5">
        <f t="shared" si="0"/>
        <v>4.5499763125976967E-3</v>
      </c>
      <c r="M13" s="5">
        <f t="shared" si="0"/>
        <v>2.474243870712012E-4</v>
      </c>
      <c r="N13" s="5">
        <f t="shared" si="0"/>
        <v>0.11598860423399783</v>
      </c>
      <c r="O13" s="5">
        <f t="shared" si="0"/>
        <v>8.7368203941756248E-2</v>
      </c>
      <c r="P13" s="5">
        <f t="shared" si="0"/>
        <v>4.2244497524287494E-2</v>
      </c>
      <c r="Q13" s="5">
        <f t="shared" si="0"/>
        <v>2.0331669262825276E-3</v>
      </c>
      <c r="R13" s="5">
        <f t="shared" si="0"/>
        <v>2.8007296278752526E-2</v>
      </c>
      <c r="S13" s="5">
        <f t="shared" si="0"/>
        <v>5.2944737377685125E-2</v>
      </c>
      <c r="T13" s="5">
        <f t="shared" si="0"/>
        <v>6.7917622313113475E-4</v>
      </c>
      <c r="U13" s="5">
        <f t="shared" si="0"/>
        <v>5.0588824615015654E-2</v>
      </c>
      <c r="V13" s="5">
        <f t="shared" si="0"/>
        <v>6.268599656215723E-3</v>
      </c>
      <c r="W13" s="5">
        <f t="shared" si="0"/>
        <v>2.0633104186514673E-3</v>
      </c>
      <c r="X13" s="5">
        <f t="shared" si="0"/>
        <v>5.5508190959112316E-2</v>
      </c>
      <c r="Y13" s="5">
        <f t="shared" si="0"/>
        <v>0.16322578145118558</v>
      </c>
      <c r="Z13" s="5">
        <f t="shared" si="0"/>
        <v>7.8369201446870651E-3</v>
      </c>
      <c r="AA13" s="5">
        <f t="shared" si="0"/>
        <v>0.32498869213045434</v>
      </c>
      <c r="AB13" s="5">
        <f t="shared" si="0"/>
        <v>9.4859392792584443E-2</v>
      </c>
      <c r="AC13" s="5">
        <f t="shared" si="0"/>
        <v>8.1827736123153919E-3</v>
      </c>
      <c r="AD13" s="5">
        <f t="shared" si="0"/>
        <v>7.7558186276853539E-5</v>
      </c>
      <c r="AE13" s="5">
        <f t="shared" si="0"/>
        <v>2.1284999661477948E-2</v>
      </c>
      <c r="AF13" s="5">
        <f t="shared" si="0"/>
        <v>1.3507499230455203E-2</v>
      </c>
      <c r="AG13" s="5">
        <f t="shared" si="0"/>
        <v>9.6444165589426841E-5</v>
      </c>
      <c r="AH13" s="5">
        <f t="shared" si="0"/>
        <v>5.075726718102672E-3</v>
      </c>
      <c r="AI13" s="5">
        <f t="shared" ref="AI13:BN13" si="1">(AI3-AI9)^2</f>
        <v>1.7124763333233036E-2</v>
      </c>
      <c r="AJ13" s="5">
        <f t="shared" si="1"/>
        <v>1.618837009918662E-3</v>
      </c>
      <c r="AK13" s="5">
        <f t="shared" si="1"/>
        <v>3.5082047394486881E-3</v>
      </c>
      <c r="AL13" s="5">
        <f t="shared" si="1"/>
        <v>2.1076402875230563E-2</v>
      </c>
      <c r="AM13" s="5">
        <f t="shared" si="1"/>
        <v>1.2190824434851857E-3</v>
      </c>
      <c r="AN13" s="5">
        <f t="shared" si="1"/>
        <v>1.8354896612627852E-4</v>
      </c>
      <c r="AO13" s="5">
        <f t="shared" si="1"/>
        <v>1.9829057409552188E-2</v>
      </c>
      <c r="AP13" s="5">
        <f t="shared" si="1"/>
        <v>1.1768961756753982E-2</v>
      </c>
      <c r="AQ13" s="5">
        <f t="shared" si="1"/>
        <v>3.502332191919983E-2</v>
      </c>
      <c r="AR13" s="5">
        <f t="shared" si="1"/>
        <v>2.3250219164638775E-3</v>
      </c>
      <c r="AS13" s="5">
        <f t="shared" si="1"/>
        <v>1.1417645355385421E-2</v>
      </c>
      <c r="AT13" s="5">
        <f t="shared" si="1"/>
        <v>9.5732445843805455E-3</v>
      </c>
      <c r="AU13" s="5">
        <f t="shared" si="1"/>
        <v>5.6591589473239378E-6</v>
      </c>
      <c r="AV13" s="5">
        <f t="shared" si="1"/>
        <v>9.2880816293050231E-3</v>
      </c>
      <c r="AW13" s="5">
        <f t="shared" si="1"/>
        <v>4.0265170325304363E-2</v>
      </c>
      <c r="AX13" s="5">
        <f t="shared" si="1"/>
        <v>1.9259001369251311E-3</v>
      </c>
      <c r="AY13" s="5">
        <f t="shared" si="1"/>
        <v>4.5417600662925181E-3</v>
      </c>
      <c r="AZ13" s="5">
        <f t="shared" si="1"/>
        <v>1.4094036062458726E-3</v>
      </c>
      <c r="BA13" s="5">
        <f t="shared" si="1"/>
        <v>2.587878754365849E-2</v>
      </c>
      <c r="BB13" s="5">
        <f t="shared" si="1"/>
        <v>5.0421393750411277E-2</v>
      </c>
      <c r="BC13" s="5">
        <f t="shared" si="1"/>
        <v>1.5956777102515265E-2</v>
      </c>
      <c r="BD13" s="5">
        <f t="shared" si="1"/>
        <v>2.5341888645961968E-2</v>
      </c>
      <c r="BE13" s="5">
        <f t="shared" si="1"/>
        <v>3.9707226061349792E-2</v>
      </c>
      <c r="BF13" s="5">
        <f t="shared" si="1"/>
        <v>2.157123127914036E-2</v>
      </c>
      <c r="BG13" s="5">
        <f t="shared" si="1"/>
        <v>2.4466366013106877E-2</v>
      </c>
      <c r="BH13" s="5">
        <f t="shared" si="1"/>
        <v>4.3719440073452034E-2</v>
      </c>
      <c r="BI13" s="5">
        <f t="shared" si="1"/>
        <v>1.6667249678667651E-3</v>
      </c>
      <c r="BJ13" s="5">
        <f t="shared" si="1"/>
        <v>2.7371839804797354E-3</v>
      </c>
      <c r="BK13" s="5">
        <f t="shared" si="1"/>
        <v>2.7985266423321185E-2</v>
      </c>
      <c r="BL13" s="5">
        <f t="shared" si="1"/>
        <v>1.3898346507577646E-2</v>
      </c>
      <c r="BM13" s="5">
        <f t="shared" si="1"/>
        <v>1.3527238831160774E-2</v>
      </c>
      <c r="BN13" s="5">
        <f t="shared" si="1"/>
        <v>9.8703679536494291E-6</v>
      </c>
      <c r="BO13" s="5">
        <f t="shared" ref="BO13:CT13" si="2">(BO3-BO9)^2</f>
        <v>5.2815906925033233E-2</v>
      </c>
      <c r="BP13" s="5">
        <f t="shared" si="2"/>
        <v>3.5500530907517703E-3</v>
      </c>
      <c r="BQ13" s="5">
        <f t="shared" si="2"/>
        <v>2.307742953134876E-2</v>
      </c>
      <c r="BR13" s="5">
        <f t="shared" si="2"/>
        <v>4.4349862237856773E-2</v>
      </c>
      <c r="BS13" s="5">
        <f t="shared" si="2"/>
        <v>2.0481578394669062E-2</v>
      </c>
      <c r="BT13" s="5">
        <f t="shared" si="2"/>
        <v>9.808780949401635E-3</v>
      </c>
      <c r="BU13" s="5">
        <f t="shared" si="2"/>
        <v>7.8035846723622064E-3</v>
      </c>
      <c r="BV13" s="5">
        <f t="shared" si="2"/>
        <v>7.5694984033156595E-3</v>
      </c>
      <c r="BW13" s="5">
        <f t="shared" si="2"/>
        <v>1.9915669925852461E-2</v>
      </c>
      <c r="BX13" s="5">
        <f t="shared" si="2"/>
        <v>1.2179275778699129E-2</v>
      </c>
      <c r="BY13" s="5">
        <f t="shared" si="2"/>
        <v>3.7995138101937533E-2</v>
      </c>
      <c r="BZ13" s="5">
        <f t="shared" si="2"/>
        <v>6.4683420284310872E-2</v>
      </c>
      <c r="CA13" s="5">
        <f t="shared" si="2"/>
        <v>3.3236126922636479E-2</v>
      </c>
      <c r="CB13" s="5">
        <f t="shared" si="2"/>
        <v>4.4746160467530625E-2</v>
      </c>
      <c r="CC13" s="5">
        <f t="shared" si="2"/>
        <v>1.1174640354613692E-2</v>
      </c>
      <c r="CD13" s="5">
        <f t="shared" si="2"/>
        <v>2.4786705356615056E-2</v>
      </c>
      <c r="CE13" s="5">
        <f t="shared" si="2"/>
        <v>2.6465316881557874E-2</v>
      </c>
      <c r="CF13" s="5">
        <f t="shared" si="2"/>
        <v>4.662090021601998E-2</v>
      </c>
      <c r="CG13" s="5">
        <f t="shared" si="2"/>
        <v>7.0036210847148845E-8</v>
      </c>
      <c r="CH13" s="5">
        <f t="shared" si="2"/>
        <v>8.1738854318411137E-3</v>
      </c>
      <c r="CI13" s="5">
        <f t="shared" si="2"/>
        <v>3.3897751949617583E-2</v>
      </c>
      <c r="CJ13" s="5">
        <f t="shared" si="2"/>
        <v>0.15562745412808507</v>
      </c>
      <c r="CK13" s="5">
        <f t="shared" si="2"/>
        <v>2.7542177493239284E-2</v>
      </c>
      <c r="CL13" s="5">
        <f t="shared" si="2"/>
        <v>9.4276219243447687E-2</v>
      </c>
      <c r="CM13" s="5">
        <f t="shared" si="2"/>
        <v>3.7701916166609915E-2</v>
      </c>
      <c r="CN13" s="5">
        <f t="shared" si="2"/>
        <v>0.13415136138235878</v>
      </c>
      <c r="CO13" s="5">
        <f t="shared" si="2"/>
        <v>5.6581507169564159E-3</v>
      </c>
      <c r="CP13" s="5">
        <f t="shared" si="2"/>
        <v>5.1492587508656713E-2</v>
      </c>
      <c r="CQ13" s="5">
        <f t="shared" si="2"/>
        <v>1.5115018527348063E-3</v>
      </c>
      <c r="CR13" s="5">
        <f t="shared" si="2"/>
        <v>5.9127119683872065E-3</v>
      </c>
      <c r="CS13" s="5">
        <f t="shared" si="2"/>
        <v>1.6196824659514753E-4</v>
      </c>
      <c r="CT13" s="5">
        <f t="shared" si="2"/>
        <v>5.6751571403068515E-4</v>
      </c>
      <c r="CU13" s="5">
        <f t="shared" ref="CU13:DZ13" si="3">(CU3-CU9)^2</f>
        <v>2.2534147951584559E-2</v>
      </c>
      <c r="CV13" s="5">
        <f t="shared" si="3"/>
        <v>3.4969755217888264E-4</v>
      </c>
      <c r="CW13" s="5">
        <f t="shared" si="3"/>
        <v>2.2892111846356651E-6</v>
      </c>
      <c r="CX13" s="5">
        <f t="shared" si="3"/>
        <v>3.7339725887365109E-2</v>
      </c>
      <c r="CY13" s="5">
        <f t="shared" si="3"/>
        <v>2.5586490340072997E-3</v>
      </c>
      <c r="CZ13" s="5">
        <f t="shared" si="3"/>
        <v>1.4447243862517743E-2</v>
      </c>
      <c r="DA13" s="5">
        <f t="shared" si="3"/>
        <v>0.13681223698786302</v>
      </c>
      <c r="DB13" s="5">
        <f t="shared" si="3"/>
        <v>2.0056519828847864E-2</v>
      </c>
      <c r="DC13" s="5">
        <f t="shared" si="3"/>
        <v>9.1038551418384336E-2</v>
      </c>
      <c r="DD13" s="5">
        <f t="shared" si="3"/>
        <v>5.9194023078691468E-2</v>
      </c>
      <c r="DE13" s="5">
        <f t="shared" si="3"/>
        <v>2.877898105064957E-2</v>
      </c>
      <c r="DF13" s="5">
        <f t="shared" si="3"/>
        <v>8.4772066895503467E-3</v>
      </c>
      <c r="DG13" s="5">
        <f t="shared" si="3"/>
        <v>1.0937563948499131E-5</v>
      </c>
      <c r="DH13" s="5">
        <f t="shared" si="3"/>
        <v>9.5279985396636176E-4</v>
      </c>
      <c r="DI13" s="5">
        <f t="shared" si="3"/>
        <v>9.8864509246436669E-3</v>
      </c>
      <c r="DJ13" s="5">
        <f t="shared" si="3"/>
        <v>9.2119523496587592E-3</v>
      </c>
      <c r="DK13" s="5">
        <f t="shared" si="3"/>
        <v>9.0535687743512842E-3</v>
      </c>
      <c r="DL13" s="5">
        <f t="shared" si="3"/>
        <v>2.7573619858575747E-3</v>
      </c>
      <c r="DM13" s="5">
        <f t="shared" si="3"/>
        <v>1.1405537726615757E-3</v>
      </c>
      <c r="DN13" s="5">
        <f t="shared" si="3"/>
        <v>6.6590715259116718E-3</v>
      </c>
      <c r="DO13" s="5">
        <f t="shared" si="3"/>
        <v>1.2579263440044963E-2</v>
      </c>
      <c r="DP13" s="5">
        <f t="shared" si="3"/>
        <v>5.8370334452997746E-3</v>
      </c>
      <c r="DQ13" s="5">
        <f t="shared" si="3"/>
        <v>7.0254271472740798E-2</v>
      </c>
      <c r="DR13" s="5">
        <f t="shared" si="3"/>
        <v>4.1099407791975365E-2</v>
      </c>
      <c r="DS13" s="5">
        <f t="shared" si="3"/>
        <v>3.424926675608967E-2</v>
      </c>
      <c r="DT13" s="5">
        <f t="shared" si="3"/>
        <v>1.8592919822218837E-5</v>
      </c>
      <c r="DU13" s="5">
        <f t="shared" si="3"/>
        <v>4.69177853906373E-3</v>
      </c>
      <c r="DV13" s="5">
        <f t="shared" si="3"/>
        <v>4.3262564399232872E-2</v>
      </c>
      <c r="DW13" s="5">
        <f t="shared" si="3"/>
        <v>7.9040471965973586E-4</v>
      </c>
      <c r="DX13" s="5">
        <f t="shared" si="3"/>
        <v>2.9913098981942294E-2</v>
      </c>
      <c r="DY13" s="5">
        <f t="shared" si="3"/>
        <v>3.1604494414624179E-2</v>
      </c>
      <c r="DZ13" s="5">
        <f t="shared" si="3"/>
        <v>8.7917989573719116E-2</v>
      </c>
      <c r="EA13" s="5">
        <f t="shared" ref="EA13:EF13" si="4">(EA3-EA9)^2</f>
        <v>6.2727248697154972E-2</v>
      </c>
      <c r="EB13" s="5">
        <f t="shared" si="4"/>
        <v>3.4068751799008819E-2</v>
      </c>
      <c r="EC13" s="5">
        <f t="shared" si="4"/>
        <v>1.081212920755034E-2</v>
      </c>
      <c r="ED13" s="5">
        <f t="shared" si="4"/>
        <v>3.4645107407441852E-2</v>
      </c>
      <c r="EE13" s="5">
        <f t="shared" si="4"/>
        <v>2.76583231431448E-2</v>
      </c>
      <c r="EF13" s="5">
        <f t="shared" si="4"/>
        <v>8.7620220083636027E-3</v>
      </c>
    </row>
    <row r="14" spans="1:136">
      <c r="A14" s="8"/>
      <c r="B14" s="8" t="s">
        <v>137</v>
      </c>
      <c r="C14" s="5">
        <f t="shared" ref="C14:AH14" si="5">(C4-C10)^2</f>
        <v>1.9065220427389405E-3</v>
      </c>
      <c r="D14" s="5">
        <f t="shared" si="5"/>
        <v>6.1261204425587055E-3</v>
      </c>
      <c r="E14" s="5">
        <f t="shared" si="5"/>
        <v>2.7346323394197139E-2</v>
      </c>
      <c r="F14" s="5">
        <f t="shared" si="5"/>
        <v>5.5604802609381446E-4</v>
      </c>
      <c r="G14" s="5">
        <f t="shared" si="5"/>
        <v>6.7256801280824105E-3</v>
      </c>
      <c r="H14" s="5">
        <f t="shared" si="5"/>
        <v>2.4163072611223389E-3</v>
      </c>
      <c r="I14" s="5">
        <f t="shared" si="5"/>
        <v>1.3932010394687936E-4</v>
      </c>
      <c r="J14" s="5">
        <f t="shared" si="5"/>
        <v>9.6105988972251442E-4</v>
      </c>
      <c r="K14" s="5">
        <f t="shared" si="5"/>
        <v>4.3328302568196239E-3</v>
      </c>
      <c r="L14" s="5">
        <f t="shared" si="5"/>
        <v>1.0871891927431132E-2</v>
      </c>
      <c r="M14" s="5">
        <f t="shared" si="5"/>
        <v>2.5884678403779852E-3</v>
      </c>
      <c r="N14" s="5">
        <f t="shared" si="5"/>
        <v>3.3181065786634226E-2</v>
      </c>
      <c r="O14" s="5">
        <f t="shared" si="5"/>
        <v>2.2368488989938581E-2</v>
      </c>
      <c r="P14" s="5">
        <f t="shared" si="5"/>
        <v>1.6278250942630085E-3</v>
      </c>
      <c r="Q14" s="5">
        <f t="shared" si="5"/>
        <v>2.8164144543373942E-2</v>
      </c>
      <c r="R14" s="5">
        <f t="shared" si="5"/>
        <v>1.3309611767018248E-2</v>
      </c>
      <c r="S14" s="5">
        <f t="shared" si="5"/>
        <v>5.969855953523325E-3</v>
      </c>
      <c r="T14" s="5">
        <f t="shared" si="5"/>
        <v>9.1319731484980425E-4</v>
      </c>
      <c r="U14" s="5">
        <f t="shared" si="5"/>
        <v>6.4428465250005744E-5</v>
      </c>
      <c r="V14" s="5">
        <f t="shared" si="5"/>
        <v>8.1115961299482698E-4</v>
      </c>
      <c r="W14" s="5">
        <f t="shared" si="5"/>
        <v>1.8645209187639931E-2</v>
      </c>
      <c r="X14" s="5">
        <f t="shared" si="5"/>
        <v>1.1028372837698005E-2</v>
      </c>
      <c r="Y14" s="5">
        <f t="shared" si="5"/>
        <v>4.5868099062413029E-2</v>
      </c>
      <c r="Z14" s="5">
        <f t="shared" si="5"/>
        <v>1.0724634927529033E-4</v>
      </c>
      <c r="AA14" s="5">
        <f t="shared" si="5"/>
        <v>1.2706497101676898E-3</v>
      </c>
      <c r="AB14" s="5">
        <f t="shared" si="5"/>
        <v>2.0841584935165511E-2</v>
      </c>
      <c r="AC14" s="5">
        <f t="shared" si="5"/>
        <v>2.4397259442219089E-6</v>
      </c>
      <c r="AD14" s="5">
        <f t="shared" si="5"/>
        <v>1.4767809220824702E-4</v>
      </c>
      <c r="AE14" s="5">
        <f t="shared" si="5"/>
        <v>9.0069495941752908E-3</v>
      </c>
      <c r="AF14" s="5">
        <f t="shared" si="5"/>
        <v>3.2683665399934843E-2</v>
      </c>
      <c r="AG14" s="5">
        <f t="shared" si="5"/>
        <v>3.8791748250106835E-3</v>
      </c>
      <c r="AH14" s="5">
        <f t="shared" si="5"/>
        <v>2.7020765853930383E-2</v>
      </c>
      <c r="AI14" s="5">
        <f t="shared" ref="AI14:BN14" si="6">(AI4-AI10)^2</f>
        <v>1.2588306093421764E-3</v>
      </c>
      <c r="AJ14" s="5">
        <f t="shared" si="6"/>
        <v>8.742278243577109E-3</v>
      </c>
      <c r="AK14" s="5">
        <f t="shared" si="6"/>
        <v>5.8765536964266243E-3</v>
      </c>
      <c r="AL14" s="5">
        <f t="shared" si="6"/>
        <v>1.6032874031434705E-2</v>
      </c>
      <c r="AM14" s="5">
        <f t="shared" si="6"/>
        <v>4.8997775661597823E-5</v>
      </c>
      <c r="AN14" s="5">
        <f t="shared" si="6"/>
        <v>1.773970862899538E-2</v>
      </c>
      <c r="AO14" s="5">
        <f t="shared" si="6"/>
        <v>1.6738135462060661E-5</v>
      </c>
      <c r="AP14" s="5">
        <f t="shared" si="6"/>
        <v>6.629225888532644E-3</v>
      </c>
      <c r="AQ14" s="5">
        <f t="shared" si="6"/>
        <v>1.4548605672109555E-2</v>
      </c>
      <c r="AR14" s="5">
        <f t="shared" si="6"/>
        <v>3.7953779560343718E-3</v>
      </c>
      <c r="AS14" s="5">
        <f t="shared" si="6"/>
        <v>9.0900388694837211E-3</v>
      </c>
      <c r="AT14" s="5">
        <f t="shared" si="6"/>
        <v>1.4056752333747844E-4</v>
      </c>
      <c r="AU14" s="5">
        <f t="shared" si="6"/>
        <v>1.4587440949529105E-2</v>
      </c>
      <c r="AV14" s="5">
        <f t="shared" si="6"/>
        <v>5.2962193300079084E-2</v>
      </c>
      <c r="AW14" s="5">
        <f t="shared" si="6"/>
        <v>4.1315077651077311E-3</v>
      </c>
      <c r="AX14" s="5">
        <f t="shared" si="6"/>
        <v>3.2758146450869748E-4</v>
      </c>
      <c r="AY14" s="5">
        <f t="shared" si="6"/>
        <v>5.9415829420751895E-3</v>
      </c>
      <c r="AZ14" s="5">
        <f t="shared" si="6"/>
        <v>2.2457873295766477E-2</v>
      </c>
      <c r="BA14" s="5">
        <f t="shared" si="6"/>
        <v>2.775286403490137E-4</v>
      </c>
      <c r="BB14" s="5">
        <f t="shared" si="6"/>
        <v>6.4617078243689188E-2</v>
      </c>
      <c r="BC14" s="5">
        <f t="shared" si="6"/>
        <v>3.0606053977237518E-2</v>
      </c>
      <c r="BD14" s="5">
        <f t="shared" si="6"/>
        <v>9.4182337336106113E-3</v>
      </c>
      <c r="BE14" s="5">
        <f t="shared" si="6"/>
        <v>2.7904672912869334E-2</v>
      </c>
      <c r="BF14" s="5">
        <f t="shared" si="6"/>
        <v>5.9283564498305201E-3</v>
      </c>
      <c r="BG14" s="5">
        <f t="shared" si="6"/>
        <v>2.3612261347991416E-3</v>
      </c>
      <c r="BH14" s="5">
        <f t="shared" si="6"/>
        <v>1.1792771604147373E-2</v>
      </c>
      <c r="BI14" s="5">
        <f t="shared" si="6"/>
        <v>9.918820207246758E-3</v>
      </c>
      <c r="BJ14" s="5">
        <f t="shared" si="6"/>
        <v>2.4589344952477402E-3</v>
      </c>
      <c r="BK14" s="5">
        <f t="shared" si="6"/>
        <v>2.239891633093621E-2</v>
      </c>
      <c r="BL14" s="5">
        <f t="shared" si="6"/>
        <v>2.9069321212873528E-4</v>
      </c>
      <c r="BM14" s="5">
        <f t="shared" si="6"/>
        <v>1.4663084904159972E-3</v>
      </c>
      <c r="BN14" s="5">
        <f t="shared" si="6"/>
        <v>1.6942125237367825E-3</v>
      </c>
      <c r="BO14" s="5">
        <f t="shared" ref="BO14:CT14" si="7">(BO4-BO10)^2</f>
        <v>2.7008349976898262E-3</v>
      </c>
      <c r="BP14" s="5">
        <f t="shared" si="7"/>
        <v>6.0466753269876696E-4</v>
      </c>
      <c r="BQ14" s="5">
        <f t="shared" si="7"/>
        <v>3.3069726450901077E-3</v>
      </c>
      <c r="BR14" s="5">
        <f t="shared" si="7"/>
        <v>4.0242144698265942E-3</v>
      </c>
      <c r="BS14" s="5">
        <f t="shared" si="7"/>
        <v>2.5799840406119682E-3</v>
      </c>
      <c r="BT14" s="5">
        <f t="shared" si="7"/>
        <v>1.7622801153585176E-2</v>
      </c>
      <c r="BU14" s="5">
        <f t="shared" si="7"/>
        <v>3.0517224732874614E-2</v>
      </c>
      <c r="BV14" s="5">
        <f t="shared" si="7"/>
        <v>6.2075949373466922E-2</v>
      </c>
      <c r="BW14" s="5">
        <f t="shared" si="7"/>
        <v>3.5574671765136882E-4</v>
      </c>
      <c r="BX14" s="5">
        <f t="shared" si="7"/>
        <v>5.8317964958072761E-4</v>
      </c>
      <c r="BY14" s="5">
        <f t="shared" si="7"/>
        <v>7.6945450337529156E-2</v>
      </c>
      <c r="BZ14" s="5">
        <f t="shared" si="7"/>
        <v>1.2308432196951387E-2</v>
      </c>
      <c r="CA14" s="5">
        <f t="shared" si="7"/>
        <v>9.5760864119367982E-3</v>
      </c>
      <c r="CB14" s="5">
        <f t="shared" si="7"/>
        <v>0.12285982099030901</v>
      </c>
      <c r="CC14" s="5">
        <f t="shared" si="7"/>
        <v>5.1874532758112858E-2</v>
      </c>
      <c r="CD14" s="5">
        <f t="shared" si="7"/>
        <v>3.7286232936271E-3</v>
      </c>
      <c r="CE14" s="5">
        <f t="shared" si="7"/>
        <v>3.2446303444038711E-2</v>
      </c>
      <c r="CF14" s="5">
        <f t="shared" si="7"/>
        <v>2.1429276052036018E-2</v>
      </c>
      <c r="CG14" s="5">
        <f t="shared" si="7"/>
        <v>1.9535500885620055E-3</v>
      </c>
      <c r="CH14" s="5">
        <f t="shared" si="7"/>
        <v>1.4510336633914827E-6</v>
      </c>
      <c r="CI14" s="5">
        <f t="shared" si="7"/>
        <v>8.7018793368057081E-4</v>
      </c>
      <c r="CJ14" s="5">
        <f t="shared" si="7"/>
        <v>8.6236642131224338E-4</v>
      </c>
      <c r="CK14" s="5">
        <f t="shared" si="7"/>
        <v>2.8417613210022334E-3</v>
      </c>
      <c r="CL14" s="5">
        <f t="shared" si="7"/>
        <v>6.6040612736459304E-4</v>
      </c>
      <c r="CM14" s="5">
        <f t="shared" si="7"/>
        <v>1.8374355740705044E-2</v>
      </c>
      <c r="CN14" s="5">
        <f t="shared" si="7"/>
        <v>1.6618421092433295E-2</v>
      </c>
      <c r="CO14" s="5">
        <f t="shared" si="7"/>
        <v>2.0688979839232142E-2</v>
      </c>
      <c r="CP14" s="5">
        <f t="shared" si="7"/>
        <v>1.6453800103596755E-3</v>
      </c>
      <c r="CQ14" s="5">
        <f t="shared" si="7"/>
        <v>2.2418211806431498E-2</v>
      </c>
      <c r="CR14" s="5">
        <f t="shared" si="7"/>
        <v>4.3259779214116917E-2</v>
      </c>
      <c r="CS14" s="5">
        <f t="shared" si="7"/>
        <v>6.4709993303679783E-2</v>
      </c>
      <c r="CT14" s="5">
        <f t="shared" si="7"/>
        <v>3.6773314082589298E-2</v>
      </c>
      <c r="CU14" s="5">
        <f t="shared" ref="CU14:DZ14" si="8">(CU4-CU10)^2</f>
        <v>1.4467821806493321E-2</v>
      </c>
      <c r="CV14" s="5">
        <f t="shared" si="8"/>
        <v>2.5015070643046748E-2</v>
      </c>
      <c r="CW14" s="5">
        <f t="shared" si="8"/>
        <v>3.2077478672147596E-4</v>
      </c>
      <c r="CX14" s="5">
        <f t="shared" si="8"/>
        <v>3.0320921872590598E-2</v>
      </c>
      <c r="CY14" s="5">
        <f t="shared" si="8"/>
        <v>6.5417724036327526E-3</v>
      </c>
      <c r="CZ14" s="5">
        <f t="shared" si="8"/>
        <v>4.9137086315212608E-3</v>
      </c>
      <c r="DA14" s="5">
        <f t="shared" si="8"/>
        <v>1.2252502120755545E-2</v>
      </c>
      <c r="DB14" s="5">
        <f t="shared" si="8"/>
        <v>2.0532038285439251E-2</v>
      </c>
      <c r="DC14" s="5">
        <f t="shared" si="8"/>
        <v>1.3851841859833583E-2</v>
      </c>
      <c r="DD14" s="5">
        <f t="shared" si="8"/>
        <v>1.9901319130530206E-4</v>
      </c>
      <c r="DE14" s="5">
        <f t="shared" si="8"/>
        <v>1.3060355705995709E-3</v>
      </c>
      <c r="DF14" s="5">
        <f t="shared" si="8"/>
        <v>4.6924321474599968E-2</v>
      </c>
      <c r="DG14" s="5">
        <f t="shared" si="8"/>
        <v>0.12928942681630498</v>
      </c>
      <c r="DH14" s="5">
        <f t="shared" si="8"/>
        <v>9.1466913865734079E-2</v>
      </c>
      <c r="DI14" s="5">
        <f t="shared" si="8"/>
        <v>3.693604392386556E-3</v>
      </c>
      <c r="DJ14" s="5">
        <f t="shared" si="8"/>
        <v>5.7916151852573929E-4</v>
      </c>
      <c r="DK14" s="5">
        <f t="shared" si="8"/>
        <v>6.9381377556851281E-2</v>
      </c>
      <c r="DL14" s="5">
        <f t="shared" si="8"/>
        <v>1.6832914244870007E-2</v>
      </c>
      <c r="DM14" s="5">
        <f t="shared" si="8"/>
        <v>1.9178234537619403E-2</v>
      </c>
      <c r="DN14" s="5">
        <f t="shared" si="8"/>
        <v>1.3002916017835217E-2</v>
      </c>
      <c r="DO14" s="5">
        <f t="shared" si="8"/>
        <v>4.1004898827113091E-3</v>
      </c>
      <c r="DP14" s="5">
        <f t="shared" si="8"/>
        <v>3.3445667376223406E-3</v>
      </c>
      <c r="DQ14" s="5">
        <f t="shared" si="8"/>
        <v>4.6963826663440261E-2</v>
      </c>
      <c r="DR14" s="5">
        <f t="shared" si="8"/>
        <v>7.9056673316813385E-3</v>
      </c>
      <c r="DS14" s="5">
        <f t="shared" si="8"/>
        <v>6.9619874770451839E-3</v>
      </c>
      <c r="DT14" s="5">
        <f t="shared" si="8"/>
        <v>1.5166188801467074E-2</v>
      </c>
      <c r="DU14" s="5">
        <f t="shared" si="8"/>
        <v>4.8208291981431249E-2</v>
      </c>
      <c r="DV14" s="5">
        <f t="shared" si="8"/>
        <v>5.7921023689516471E-7</v>
      </c>
      <c r="DW14" s="5">
        <f t="shared" si="8"/>
        <v>7.6653369416468543E-3</v>
      </c>
      <c r="DX14" s="5">
        <f t="shared" si="8"/>
        <v>1.1681079014731093E-3</v>
      </c>
      <c r="DY14" s="5">
        <f t="shared" si="8"/>
        <v>4.1811437344629075E-2</v>
      </c>
      <c r="DZ14" s="5">
        <f t="shared" si="8"/>
        <v>3.4086347136913523E-3</v>
      </c>
      <c r="EA14" s="5">
        <f t="shared" ref="EA14:EF14" si="9">(EA4-EA10)^2</f>
        <v>4.667662926454934E-3</v>
      </c>
      <c r="EB14" s="5">
        <f t="shared" si="9"/>
        <v>6.3270262729874363E-2</v>
      </c>
      <c r="EC14" s="5">
        <f t="shared" si="9"/>
        <v>3.8080117148697387E-5</v>
      </c>
      <c r="ED14" s="5">
        <f t="shared" si="9"/>
        <v>4.6313097833159024E-4</v>
      </c>
      <c r="EE14" s="5">
        <f t="shared" si="9"/>
        <v>1.4429256294608056E-3</v>
      </c>
      <c r="EF14" s="5">
        <f t="shared" si="9"/>
        <v>0.13710250088260023</v>
      </c>
    </row>
    <row r="15" spans="1:136">
      <c r="A15" s="8"/>
      <c r="B15" s="8" t="s">
        <v>138</v>
      </c>
      <c r="C15" s="5">
        <f t="shared" ref="C15:AH15" si="10">(C5-C11)^2</f>
        <v>2.405874921442747E-2</v>
      </c>
      <c r="D15" s="5">
        <f t="shared" si="10"/>
        <v>2.3293635088154657E-2</v>
      </c>
      <c r="E15" s="5">
        <f t="shared" si="10"/>
        <v>0.29459664529731461</v>
      </c>
      <c r="F15" s="5">
        <f t="shared" si="10"/>
        <v>1.8093242109022706E-2</v>
      </c>
      <c r="G15" s="5">
        <f t="shared" si="10"/>
        <v>9.8109396993650066E-2</v>
      </c>
      <c r="H15" s="5">
        <f t="shared" si="10"/>
        <v>0.22276490933123369</v>
      </c>
      <c r="I15" s="5">
        <f t="shared" si="10"/>
        <v>2.7262130155613313E-2</v>
      </c>
      <c r="J15" s="5">
        <f t="shared" si="10"/>
        <v>6.1234956513977253E-3</v>
      </c>
      <c r="K15" s="5">
        <f t="shared" si="10"/>
        <v>3.9330534783208478E-2</v>
      </c>
      <c r="L15" s="5">
        <f t="shared" si="10"/>
        <v>0.19285094304739839</v>
      </c>
      <c r="M15" s="5">
        <f t="shared" si="10"/>
        <v>7.2842619862017524E-2</v>
      </c>
      <c r="N15" s="5">
        <f t="shared" si="10"/>
        <v>7.8609227785319369E-2</v>
      </c>
      <c r="O15" s="5">
        <f t="shared" si="10"/>
        <v>2.6392163546644542E-2</v>
      </c>
      <c r="P15" s="5">
        <f t="shared" si="10"/>
        <v>0.15250897943364217</v>
      </c>
      <c r="Q15" s="5">
        <f t="shared" si="10"/>
        <v>8.5733539002288647E-4</v>
      </c>
      <c r="R15" s="5">
        <f t="shared" si="10"/>
        <v>8.7460374855595612E-3</v>
      </c>
      <c r="S15" s="5">
        <f t="shared" si="10"/>
        <v>7.2491394980314011E-2</v>
      </c>
      <c r="T15" s="5">
        <f t="shared" si="10"/>
        <v>3.2511820878735123E-3</v>
      </c>
      <c r="U15" s="5">
        <f t="shared" si="10"/>
        <v>2.0114330532096993E-4</v>
      </c>
      <c r="V15" s="5">
        <f t="shared" si="10"/>
        <v>2.3898314639651273E-2</v>
      </c>
      <c r="W15" s="5">
        <f t="shared" si="10"/>
        <v>8.4103976548501685E-2</v>
      </c>
      <c r="X15" s="5">
        <f t="shared" si="10"/>
        <v>2.7072256529345758E-2</v>
      </c>
      <c r="Y15" s="5">
        <f t="shared" si="10"/>
        <v>0.5482978875588671</v>
      </c>
      <c r="Z15" s="5">
        <f t="shared" si="10"/>
        <v>3.2672188124006664E-2</v>
      </c>
      <c r="AA15" s="5">
        <f t="shared" si="10"/>
        <v>6.3500679571694843E-3</v>
      </c>
      <c r="AB15" s="5">
        <f t="shared" si="10"/>
        <v>4.0718512820479127E-2</v>
      </c>
      <c r="AC15" s="5">
        <f t="shared" si="10"/>
        <v>2.0171773040789036E-4</v>
      </c>
      <c r="AD15" s="5">
        <f t="shared" si="10"/>
        <v>2.0049425022792722E-2</v>
      </c>
      <c r="AE15" s="5">
        <f t="shared" si="10"/>
        <v>1.0196428782332021E-2</v>
      </c>
      <c r="AF15" s="5">
        <f t="shared" si="10"/>
        <v>0.10945347702938428</v>
      </c>
      <c r="AG15" s="5">
        <f t="shared" si="10"/>
        <v>7.6720154603692012E-2</v>
      </c>
      <c r="AH15" s="5">
        <f t="shared" si="10"/>
        <v>0.11788297153715228</v>
      </c>
      <c r="AI15" s="5">
        <f t="shared" ref="AI15:BN15" si="11">(AI5-AI11)^2</f>
        <v>5.3207895291471012E-2</v>
      </c>
      <c r="AJ15" s="5">
        <f t="shared" si="11"/>
        <v>0.21754147975711921</v>
      </c>
      <c r="AK15" s="5">
        <f t="shared" si="11"/>
        <v>3.2238049939035035E-2</v>
      </c>
      <c r="AL15" s="5">
        <f t="shared" si="11"/>
        <v>6.0468288103145808E-3</v>
      </c>
      <c r="AM15" s="5">
        <f t="shared" si="11"/>
        <v>1.3897928479421332E-4</v>
      </c>
      <c r="AN15" s="5">
        <f t="shared" si="11"/>
        <v>1.6214796439821447E-2</v>
      </c>
      <c r="AO15" s="5">
        <f t="shared" si="11"/>
        <v>1.5869670019825192E-2</v>
      </c>
      <c r="AP15" s="5">
        <f t="shared" si="11"/>
        <v>9.8648155443152602E-7</v>
      </c>
      <c r="AQ15" s="5">
        <f t="shared" si="11"/>
        <v>1.8742263024141542E-2</v>
      </c>
      <c r="AR15" s="5">
        <f t="shared" si="11"/>
        <v>1.7209972173421621E-2</v>
      </c>
      <c r="AS15" s="5">
        <f t="shared" si="11"/>
        <v>2.7484847340199452E-2</v>
      </c>
      <c r="AT15" s="5">
        <f t="shared" si="11"/>
        <v>1.0362654981528571E-5</v>
      </c>
      <c r="AU15" s="5">
        <f t="shared" si="11"/>
        <v>2.5600517236982125E-2</v>
      </c>
      <c r="AV15" s="5">
        <f t="shared" si="11"/>
        <v>3.6068544085765698E-3</v>
      </c>
      <c r="AW15" s="5">
        <f t="shared" si="11"/>
        <v>3.5039547936425467E-3</v>
      </c>
      <c r="AX15" s="5">
        <f t="shared" si="11"/>
        <v>6.8718251904354391E-2</v>
      </c>
      <c r="AY15" s="5">
        <f t="shared" si="11"/>
        <v>3.2257907670147176E-2</v>
      </c>
      <c r="AZ15" s="5">
        <f t="shared" si="11"/>
        <v>7.1922926855121166E-2</v>
      </c>
      <c r="BA15" s="5">
        <f t="shared" si="11"/>
        <v>1.3990978027730208E-3</v>
      </c>
      <c r="BB15" s="5">
        <f t="shared" si="11"/>
        <v>5.3767709148805493E-2</v>
      </c>
      <c r="BC15" s="5">
        <f t="shared" si="11"/>
        <v>3.6234463820952162E-2</v>
      </c>
      <c r="BD15" s="5">
        <f t="shared" si="11"/>
        <v>8.4172436517509202E-3</v>
      </c>
      <c r="BE15" s="5">
        <f t="shared" si="11"/>
        <v>6.8853883838167582E-2</v>
      </c>
      <c r="BF15" s="5">
        <f t="shared" si="11"/>
        <v>5.8529421217985511E-3</v>
      </c>
      <c r="BG15" s="5">
        <f t="shared" si="11"/>
        <v>2.5461126495132957E-3</v>
      </c>
      <c r="BH15" s="5">
        <f t="shared" si="11"/>
        <v>1.4637133707172376E-2</v>
      </c>
      <c r="BI15" s="5">
        <f t="shared" si="11"/>
        <v>1.8303138030018238E-2</v>
      </c>
      <c r="BJ15" s="5">
        <f t="shared" si="11"/>
        <v>5.0029310844908956E-2</v>
      </c>
      <c r="BK15" s="5">
        <f t="shared" si="11"/>
        <v>4.1472373788238537E-2</v>
      </c>
      <c r="BL15" s="5">
        <f t="shared" si="11"/>
        <v>9.582406673692109E-3</v>
      </c>
      <c r="BM15" s="5">
        <f t="shared" si="11"/>
        <v>1.4892550615159326E-3</v>
      </c>
      <c r="BN15" s="5">
        <f t="shared" si="11"/>
        <v>2.1019433197472629E-2</v>
      </c>
      <c r="BO15" s="5">
        <f t="shared" ref="BO15:CT15" si="12">(BO5-BO11)^2</f>
        <v>7.1489161695194852E-3</v>
      </c>
      <c r="BP15" s="5">
        <f t="shared" si="12"/>
        <v>4.9018554265506831E-4</v>
      </c>
      <c r="BQ15" s="5">
        <f t="shared" si="12"/>
        <v>2.2924489228619893E-2</v>
      </c>
      <c r="BR15" s="5">
        <f t="shared" si="12"/>
        <v>4.6348051395399242E-2</v>
      </c>
      <c r="BS15" s="5">
        <f t="shared" si="12"/>
        <v>4.9350462262851509E-2</v>
      </c>
      <c r="BT15" s="5">
        <f t="shared" si="12"/>
        <v>2.8897822394271758E-2</v>
      </c>
      <c r="BU15" s="5">
        <f t="shared" si="12"/>
        <v>1.3466616565994167E-2</v>
      </c>
      <c r="BV15" s="5">
        <f t="shared" si="12"/>
        <v>4.2031925355017815E-3</v>
      </c>
      <c r="BW15" s="5">
        <f t="shared" si="12"/>
        <v>2.1067933163668452E-4</v>
      </c>
      <c r="BX15" s="5">
        <f t="shared" si="12"/>
        <v>1.0378315706453627E-2</v>
      </c>
      <c r="BY15" s="5">
        <f t="shared" si="12"/>
        <v>5.8881509036435567E-3</v>
      </c>
      <c r="BZ15" s="5">
        <f t="shared" si="12"/>
        <v>4.3673428872032516E-3</v>
      </c>
      <c r="CA15" s="5">
        <f t="shared" si="12"/>
        <v>3.6753632047366491E-3</v>
      </c>
      <c r="CB15" s="5">
        <f t="shared" si="12"/>
        <v>1.596123007930221E-2</v>
      </c>
      <c r="CC15" s="5">
        <f t="shared" si="12"/>
        <v>2.5736038941545799E-2</v>
      </c>
      <c r="CD15" s="5">
        <f t="shared" si="12"/>
        <v>0.1567024414461349</v>
      </c>
      <c r="CE15" s="5">
        <f t="shared" si="12"/>
        <v>4.3322620657000339E-3</v>
      </c>
      <c r="CF15" s="5">
        <f t="shared" si="12"/>
        <v>2.1733216885262124E-2</v>
      </c>
      <c r="CG15" s="5">
        <f t="shared" si="12"/>
        <v>7.9063326316364396E-2</v>
      </c>
      <c r="CH15" s="5">
        <f t="shared" si="12"/>
        <v>1.0394914619134971E-3</v>
      </c>
      <c r="CI15" s="5">
        <f t="shared" si="12"/>
        <v>1.0290411629317079E-3</v>
      </c>
      <c r="CJ15" s="5">
        <f t="shared" si="12"/>
        <v>0.24374772797212513</v>
      </c>
      <c r="CK15" s="5">
        <f t="shared" si="12"/>
        <v>6.0747993892910107E-2</v>
      </c>
      <c r="CL15" s="5">
        <f t="shared" si="12"/>
        <v>4.7558022351001761E-2</v>
      </c>
      <c r="CM15" s="5">
        <f t="shared" si="12"/>
        <v>2.41311039094371E-2</v>
      </c>
      <c r="CN15" s="5">
        <f t="shared" si="12"/>
        <v>0.14075586369264392</v>
      </c>
      <c r="CO15" s="5">
        <f t="shared" si="12"/>
        <v>0.29339799241866599</v>
      </c>
      <c r="CP15" s="5">
        <f t="shared" si="12"/>
        <v>1.0890194429082833E-4</v>
      </c>
      <c r="CQ15" s="5">
        <f t="shared" si="12"/>
        <v>8.5224012058036175E-2</v>
      </c>
      <c r="CR15" s="5">
        <f t="shared" si="12"/>
        <v>0.2253882292990842</v>
      </c>
      <c r="CS15" s="5">
        <f t="shared" si="12"/>
        <v>6.9101769864812715E-2</v>
      </c>
      <c r="CT15" s="5">
        <f t="shared" si="12"/>
        <v>6.4948778390843925E-2</v>
      </c>
      <c r="CU15" s="5">
        <f t="shared" ref="CU15:DZ15" si="13">(CU5-CU11)^2</f>
        <v>1.2376517498844553E-3</v>
      </c>
      <c r="CV15" s="5">
        <f t="shared" si="13"/>
        <v>8.4869028657436008E-2</v>
      </c>
      <c r="CW15" s="5">
        <f t="shared" si="13"/>
        <v>1.435810503471014E-2</v>
      </c>
      <c r="CX15" s="5">
        <f t="shared" si="13"/>
        <v>0.13893206813038864</v>
      </c>
      <c r="CY15" s="5">
        <f t="shared" si="13"/>
        <v>0.36304428427771102</v>
      </c>
      <c r="CZ15" s="5">
        <f t="shared" si="13"/>
        <v>0.75234390143696528</v>
      </c>
      <c r="DA15" s="5">
        <f t="shared" si="13"/>
        <v>6.7176164527273693E-2</v>
      </c>
      <c r="DB15" s="5">
        <f t="shared" si="13"/>
        <v>3.273486186453334E-4</v>
      </c>
      <c r="DC15" s="5">
        <f t="shared" si="13"/>
        <v>4.9979143119382306E-2</v>
      </c>
      <c r="DD15" s="5">
        <f t="shared" si="13"/>
        <v>6.5715308246267534E-2</v>
      </c>
      <c r="DE15" s="5">
        <f t="shared" si="13"/>
        <v>1.3779619599725264E-2</v>
      </c>
      <c r="DF15" s="5">
        <f t="shared" si="13"/>
        <v>0.15547153530738914</v>
      </c>
      <c r="DG15" s="5">
        <f t="shared" si="13"/>
        <v>5.25533195311415E-2</v>
      </c>
      <c r="DH15" s="5">
        <f t="shared" si="13"/>
        <v>1.1192678282671176E-2</v>
      </c>
      <c r="DI15" s="5">
        <f t="shared" si="13"/>
        <v>5.8448130267062352E-2</v>
      </c>
      <c r="DJ15" s="5">
        <f t="shared" si="13"/>
        <v>0.16440941888952298</v>
      </c>
      <c r="DK15" s="5">
        <f t="shared" si="13"/>
        <v>0.70395826724960586</v>
      </c>
      <c r="DL15" s="5">
        <f t="shared" si="13"/>
        <v>5.7914148790905819E-2</v>
      </c>
      <c r="DM15" s="5">
        <f t="shared" si="13"/>
        <v>0.21172131643185685</v>
      </c>
      <c r="DN15" s="5">
        <f t="shared" si="13"/>
        <v>0.60531809129546887</v>
      </c>
      <c r="DO15" s="5">
        <f t="shared" si="13"/>
        <v>9.1896142742364087E-2</v>
      </c>
      <c r="DP15" s="5">
        <f t="shared" si="13"/>
        <v>3.4550259814726862E-2</v>
      </c>
      <c r="DQ15" s="5">
        <f t="shared" si="13"/>
        <v>0.68359349095613919</v>
      </c>
      <c r="DR15" s="5">
        <f t="shared" si="13"/>
        <v>1.0001165413922777E-4</v>
      </c>
      <c r="DS15" s="5">
        <f t="shared" si="13"/>
        <v>0.11072807448978861</v>
      </c>
      <c r="DT15" s="5">
        <f t="shared" si="13"/>
        <v>8.8784319296733777E-2</v>
      </c>
      <c r="DU15" s="5">
        <f t="shared" si="13"/>
        <v>7.5469002063199023E-2</v>
      </c>
      <c r="DV15" s="5">
        <f t="shared" si="13"/>
        <v>0.55158559676116625</v>
      </c>
      <c r="DW15" s="5">
        <f t="shared" si="13"/>
        <v>5.4934112407110615E-3</v>
      </c>
      <c r="DX15" s="5">
        <f t="shared" si="13"/>
        <v>6.5056752498953915E-2</v>
      </c>
      <c r="DY15" s="5">
        <f t="shared" si="13"/>
        <v>0.2475256837966997</v>
      </c>
      <c r="DZ15" s="5">
        <f t="shared" si="13"/>
        <v>0.21087233176482217</v>
      </c>
      <c r="EA15" s="5">
        <f t="shared" ref="EA15:EF15" si="14">(EA5-EA11)^2</f>
        <v>0.15114087188472333</v>
      </c>
      <c r="EB15" s="5">
        <f t="shared" si="14"/>
        <v>0.87482148371581347</v>
      </c>
      <c r="EC15" s="5">
        <f t="shared" si="14"/>
        <v>1.531923655437289E-2</v>
      </c>
      <c r="ED15" s="5">
        <f t="shared" si="14"/>
        <v>0.10999976509349076</v>
      </c>
      <c r="EE15" s="5">
        <f t="shared" si="14"/>
        <v>0.55624904135993825</v>
      </c>
      <c r="EF15" s="5">
        <f t="shared" si="14"/>
        <v>1.0775088008824379E-2</v>
      </c>
    </row>
    <row r="17" spans="1:136">
      <c r="A17" t="s">
        <v>245</v>
      </c>
      <c r="B17" t="s">
        <v>136</v>
      </c>
      <c r="C17" s="5">
        <f t="shared" ref="C17:AH17" si="15">C9^2</f>
        <v>1.1904082277860264E-2</v>
      </c>
      <c r="D17" s="5">
        <f t="shared" si="15"/>
        <v>2.1247676054046116E-4</v>
      </c>
      <c r="E17" s="5">
        <f t="shared" si="15"/>
        <v>1.3071374994951929E-3</v>
      </c>
      <c r="F17" s="5">
        <f t="shared" si="15"/>
        <v>2.2492264027630889E-5</v>
      </c>
      <c r="G17" s="5">
        <f t="shared" si="15"/>
        <v>3.3036666141783492E-5</v>
      </c>
      <c r="H17" s="5">
        <f t="shared" si="15"/>
        <v>2.4381891708842936E-3</v>
      </c>
      <c r="I17" s="5">
        <f t="shared" si="15"/>
        <v>3.3581210916677484E-2</v>
      </c>
      <c r="J17" s="5">
        <f t="shared" si="15"/>
        <v>1.3569060155122757E-2</v>
      </c>
      <c r="K17" s="5">
        <f t="shared" si="15"/>
        <v>9.3605069620112215E-4</v>
      </c>
      <c r="L17" s="5">
        <f t="shared" si="15"/>
        <v>3.9315162352171023E-4</v>
      </c>
      <c r="M17" s="5">
        <f t="shared" si="15"/>
        <v>4.4095826822239875E-4</v>
      </c>
      <c r="N17" s="5">
        <f t="shared" si="15"/>
        <v>2.2433876085478928E-2</v>
      </c>
      <c r="O17" s="5">
        <f t="shared" si="15"/>
        <v>2.3911693040638534E-4</v>
      </c>
      <c r="P17" s="5">
        <f t="shared" si="15"/>
        <v>8.4258302823047079E-3</v>
      </c>
      <c r="Q17" s="5">
        <f t="shared" si="15"/>
        <v>5.9921553092687051E-3</v>
      </c>
      <c r="R17" s="5">
        <f t="shared" si="15"/>
        <v>3.0004754709051702E-3</v>
      </c>
      <c r="S17" s="5">
        <f t="shared" si="15"/>
        <v>1.5708708491616E-2</v>
      </c>
      <c r="T17" s="5">
        <f t="shared" si="15"/>
        <v>1.4173716945580542E-2</v>
      </c>
      <c r="U17" s="5">
        <f t="shared" si="15"/>
        <v>1.4265767398050631E-3</v>
      </c>
      <c r="V17" s="5">
        <f t="shared" si="15"/>
        <v>6.5908131416074602E-3</v>
      </c>
      <c r="W17" s="5">
        <f t="shared" si="15"/>
        <v>7.0575066817627407E-3</v>
      </c>
      <c r="X17" s="5">
        <f t="shared" si="15"/>
        <v>2.1612338960948319E-2</v>
      </c>
      <c r="Y17" s="5">
        <f t="shared" si="15"/>
        <v>1.5715264241471783E-2</v>
      </c>
      <c r="Z17" s="5">
        <f t="shared" si="15"/>
        <v>3.6846166718653456E-2</v>
      </c>
      <c r="AA17" s="5">
        <f t="shared" si="15"/>
        <v>7.1184289266528374E-3</v>
      </c>
      <c r="AB17" s="5">
        <f t="shared" si="15"/>
        <v>5.3140620982757656E-3</v>
      </c>
      <c r="AC17" s="5">
        <f t="shared" si="15"/>
        <v>1.0527695785516851E-2</v>
      </c>
      <c r="AD17" s="5">
        <f t="shared" si="15"/>
        <v>2.4869817519127077E-4</v>
      </c>
      <c r="AE17" s="5">
        <f t="shared" si="15"/>
        <v>2.3106177330172069E-2</v>
      </c>
      <c r="AF17" s="5">
        <f t="shared" si="15"/>
        <v>3.5105923035905259E-3</v>
      </c>
      <c r="AG17" s="5">
        <f t="shared" si="15"/>
        <v>1.6915301264337771E-2</v>
      </c>
      <c r="AH17" s="5">
        <f t="shared" si="15"/>
        <v>1.328403665826966E-2</v>
      </c>
      <c r="AI17" s="5">
        <f t="shared" ref="AI17:BN17" si="16">AI9^2</f>
        <v>1.0631917918075163E-3</v>
      </c>
      <c r="AJ17" s="5">
        <f t="shared" si="16"/>
        <v>7.8395043318640434E-4</v>
      </c>
      <c r="AK17" s="5">
        <f t="shared" si="16"/>
        <v>2.1482887422166509E-2</v>
      </c>
      <c r="AL17" s="5">
        <f t="shared" si="16"/>
        <v>1.668062549107739E-3</v>
      </c>
      <c r="AM17" s="5">
        <f t="shared" si="16"/>
        <v>1.7259749824038686E-2</v>
      </c>
      <c r="AN17" s="5">
        <f t="shared" si="16"/>
        <v>4.9032555464976403E-2</v>
      </c>
      <c r="AO17" s="5">
        <f t="shared" si="16"/>
        <v>4.3852711121876225E-4</v>
      </c>
      <c r="AP17" s="5">
        <f t="shared" si="16"/>
        <v>1.8812851996102171E-2</v>
      </c>
      <c r="AQ17" s="5">
        <f t="shared" si="16"/>
        <v>6.1915646627000822E-4</v>
      </c>
      <c r="AR17" s="5">
        <f t="shared" si="16"/>
        <v>2.4068328718584233E-4</v>
      </c>
      <c r="AS17" s="5">
        <f t="shared" si="16"/>
        <v>1.1815056389704321E-3</v>
      </c>
      <c r="AT17" s="5">
        <f t="shared" si="16"/>
        <v>3.9810656089414309E-3</v>
      </c>
      <c r="AU17" s="5">
        <f t="shared" si="16"/>
        <v>1.8694983030806238E-3</v>
      </c>
      <c r="AV17" s="5">
        <f t="shared" si="16"/>
        <v>5.5101474414569638E-3</v>
      </c>
      <c r="AW17" s="5">
        <f t="shared" si="16"/>
        <v>7.8371035043392316E-4</v>
      </c>
      <c r="AX17" s="5">
        <f t="shared" si="16"/>
        <v>1.4367478657017244E-2</v>
      </c>
      <c r="AY17" s="5">
        <f t="shared" si="16"/>
        <v>5.8613679493322605E-3</v>
      </c>
      <c r="AZ17" s="5">
        <f t="shared" si="16"/>
        <v>4.7220968054589304E-4</v>
      </c>
      <c r="BA17" s="5">
        <f t="shared" si="16"/>
        <v>1.5536707046446584E-6</v>
      </c>
      <c r="BB17" s="5">
        <f t="shared" si="16"/>
        <v>1.0200156097581669E-2</v>
      </c>
      <c r="BC17" s="5">
        <f t="shared" si="16"/>
        <v>8.8964574469951819E-4</v>
      </c>
      <c r="BD17" s="5">
        <f t="shared" si="16"/>
        <v>7.5268956977767048E-5</v>
      </c>
      <c r="BE17" s="5">
        <f t="shared" si="16"/>
        <v>4.7000904970756216E-3</v>
      </c>
      <c r="BF17" s="5">
        <f t="shared" si="16"/>
        <v>2.4621562948682934E-2</v>
      </c>
      <c r="BG17" s="5">
        <f t="shared" si="16"/>
        <v>2.5345828645073384E-2</v>
      </c>
      <c r="BH17" s="5">
        <f t="shared" si="16"/>
        <v>3.7358582565093718E-3</v>
      </c>
      <c r="BI17" s="5">
        <f t="shared" si="16"/>
        <v>9.3921007423280172E-3</v>
      </c>
      <c r="BJ17" s="5">
        <f t="shared" si="16"/>
        <v>2.9971517217047563E-3</v>
      </c>
      <c r="BK17" s="5">
        <f t="shared" si="16"/>
        <v>7.6550185977651616E-3</v>
      </c>
      <c r="BL17" s="5">
        <f t="shared" si="16"/>
        <v>8.9164103340217925E-3</v>
      </c>
      <c r="BM17" s="5">
        <f t="shared" si="16"/>
        <v>4.9244308753160887E-4</v>
      </c>
      <c r="BN17" s="5">
        <f t="shared" si="16"/>
        <v>2.4425352677185161E-4</v>
      </c>
      <c r="BO17" s="5">
        <f t="shared" ref="BO17:CT17" si="17">BO9^2</f>
        <v>6.6289298211247571E-3</v>
      </c>
      <c r="BP17" s="5">
        <f t="shared" si="17"/>
        <v>3.4258094968395863E-4</v>
      </c>
      <c r="BQ17" s="5">
        <f t="shared" si="17"/>
        <v>4.7237535213055463E-3</v>
      </c>
      <c r="BR17" s="5">
        <f t="shared" si="17"/>
        <v>9.6246407867516525E-6</v>
      </c>
      <c r="BS17" s="5">
        <f t="shared" si="17"/>
        <v>5.6196639138378088E-3</v>
      </c>
      <c r="BT17" s="5">
        <f t="shared" si="17"/>
        <v>2.0431835304301382E-3</v>
      </c>
      <c r="BU17" s="5">
        <f t="shared" si="17"/>
        <v>6.5932524502488709E-4</v>
      </c>
      <c r="BV17" s="5">
        <f t="shared" si="17"/>
        <v>8.427980119369332E-3</v>
      </c>
      <c r="BW17" s="5">
        <f t="shared" si="17"/>
        <v>6.9453326513524774E-4</v>
      </c>
      <c r="BX17" s="5">
        <f t="shared" si="17"/>
        <v>3.7615951743202121E-4</v>
      </c>
      <c r="BY17" s="5">
        <f t="shared" si="17"/>
        <v>5.9042164483032638E-3</v>
      </c>
      <c r="BZ17" s="5">
        <f t="shared" si="17"/>
        <v>1.2839000623048005E-2</v>
      </c>
      <c r="CA17" s="5">
        <f t="shared" si="17"/>
        <v>1.1525082059920233E-2</v>
      </c>
      <c r="CB17" s="5">
        <f t="shared" si="17"/>
        <v>1.6682967477483388E-3</v>
      </c>
      <c r="CC17" s="5">
        <f t="shared" si="17"/>
        <v>3.9210767823715285E-4</v>
      </c>
      <c r="CD17" s="5">
        <f t="shared" si="17"/>
        <v>3.548592802252902E-2</v>
      </c>
      <c r="CE17" s="5">
        <f t="shared" si="17"/>
        <v>3.0885701458901937E-3</v>
      </c>
      <c r="CF17" s="5">
        <f t="shared" si="17"/>
        <v>5.6058275198580514E-3</v>
      </c>
      <c r="CG17" s="5">
        <f t="shared" si="17"/>
        <v>1.0000038380535725E-2</v>
      </c>
      <c r="CH17" s="5">
        <f t="shared" si="17"/>
        <v>1.850190885600296E-2</v>
      </c>
      <c r="CI17" s="5">
        <f t="shared" si="17"/>
        <v>8.7873778374468071E-3</v>
      </c>
      <c r="CJ17" s="5">
        <f t="shared" si="17"/>
        <v>1.5449609443997168E-5</v>
      </c>
      <c r="CK17" s="5">
        <f t="shared" si="17"/>
        <v>3.1931288133821255E-3</v>
      </c>
      <c r="CL17" s="5">
        <f t="shared" si="17"/>
        <v>6.9456377220562526E-2</v>
      </c>
      <c r="CM17" s="5">
        <f t="shared" si="17"/>
        <v>9.1306336429085243E-5</v>
      </c>
      <c r="CN17" s="5">
        <f t="shared" si="17"/>
        <v>9.9299981066329653E-4</v>
      </c>
      <c r="CO17" s="5">
        <f t="shared" si="17"/>
        <v>5.1162058729769763E-4</v>
      </c>
      <c r="CP17" s="5">
        <f t="shared" si="17"/>
        <v>1.7597510690797149E-2</v>
      </c>
      <c r="CQ17" s="5">
        <f t="shared" si="17"/>
        <v>1.7708364708443211E-2</v>
      </c>
      <c r="CR17" s="5">
        <f t="shared" si="17"/>
        <v>2.2369415134259262E-4</v>
      </c>
      <c r="CS17" s="5">
        <f t="shared" si="17"/>
        <v>1.1168922557625953E-3</v>
      </c>
      <c r="CT17" s="5">
        <f t="shared" si="17"/>
        <v>1.5082808365029206E-4</v>
      </c>
      <c r="CU17" s="5">
        <f t="shared" ref="CU17:DZ17" si="18">CU9^2</f>
        <v>1.3645740385844037E-2</v>
      </c>
      <c r="CV17" s="5">
        <f t="shared" si="18"/>
        <v>9.9789357659655527E-6</v>
      </c>
      <c r="CW17" s="5">
        <f t="shared" si="18"/>
        <v>1.4605970535097568E-3</v>
      </c>
      <c r="CX17" s="5">
        <f t="shared" si="18"/>
        <v>1.9369428669164728E-2</v>
      </c>
      <c r="CY17" s="5">
        <f t="shared" si="18"/>
        <v>5.6227258353762984E-4</v>
      </c>
      <c r="CZ17" s="5">
        <f t="shared" si="18"/>
        <v>4.7677993769128582E-2</v>
      </c>
      <c r="DA17" s="5">
        <f t="shared" si="18"/>
        <v>3.3602150955513014E-3</v>
      </c>
      <c r="DB17" s="5">
        <f t="shared" si="18"/>
        <v>1.9892898007428065E-4</v>
      </c>
      <c r="DC17" s="5">
        <f t="shared" si="18"/>
        <v>1.298598834966512E-2</v>
      </c>
      <c r="DD17" s="5">
        <f t="shared" si="18"/>
        <v>5.5461177913042319E-3</v>
      </c>
      <c r="DE17" s="5">
        <f t="shared" si="18"/>
        <v>8.0944705118043796E-7</v>
      </c>
      <c r="DF17" s="5">
        <f t="shared" si="18"/>
        <v>9.5466930982486662E-7</v>
      </c>
      <c r="DG17" s="5">
        <f t="shared" si="18"/>
        <v>5.3260942765597724E-3</v>
      </c>
      <c r="DH17" s="5">
        <f t="shared" si="18"/>
        <v>5.6859770483571833E-4</v>
      </c>
      <c r="DI17" s="5">
        <f t="shared" si="18"/>
        <v>1.0308477356134783E-2</v>
      </c>
      <c r="DJ17" s="5">
        <f t="shared" si="18"/>
        <v>7.6687657573272126E-4</v>
      </c>
      <c r="DK17" s="5">
        <f t="shared" si="18"/>
        <v>2.4339573117996964E-3</v>
      </c>
      <c r="DL17" s="5">
        <f t="shared" si="18"/>
        <v>3.248267667612629E-5</v>
      </c>
      <c r="DM17" s="5">
        <f t="shared" si="18"/>
        <v>1.3676505773505593E-3</v>
      </c>
      <c r="DN17" s="5">
        <f t="shared" si="18"/>
        <v>1.2058891959025398E-2</v>
      </c>
      <c r="DO17" s="5">
        <f t="shared" si="18"/>
        <v>1.7670946755159902E-3</v>
      </c>
      <c r="DP17" s="5">
        <f t="shared" si="18"/>
        <v>7.1515213376560464E-3</v>
      </c>
      <c r="DQ17" s="5">
        <f t="shared" si="18"/>
        <v>1.2161636684326392E-2</v>
      </c>
      <c r="DR17" s="5">
        <f t="shared" si="18"/>
        <v>8.8979053657027001E-3</v>
      </c>
      <c r="DS17" s="5">
        <f t="shared" si="18"/>
        <v>5.1706040810191528E-3</v>
      </c>
      <c r="DT17" s="5">
        <f t="shared" si="18"/>
        <v>9.2614503642733919E-3</v>
      </c>
      <c r="DU17" s="5">
        <f t="shared" si="18"/>
        <v>5.5016020342108963E-6</v>
      </c>
      <c r="DV17" s="5">
        <f t="shared" si="18"/>
        <v>1.7960669823662546E-2</v>
      </c>
      <c r="DW17" s="5">
        <f t="shared" si="18"/>
        <v>8.9742501777570517E-3</v>
      </c>
      <c r="DX17" s="5">
        <f t="shared" si="18"/>
        <v>1.0768876593012837E-2</v>
      </c>
      <c r="DY17" s="5">
        <f t="shared" si="18"/>
        <v>5.7399040046420165E-3</v>
      </c>
      <c r="DZ17" s="5">
        <f t="shared" si="18"/>
        <v>1.0131311029084758E-3</v>
      </c>
      <c r="EA17" s="5">
        <f t="shared" ref="EA17:EF17" si="19">EA9^2</f>
        <v>2.6020277100143683E-2</v>
      </c>
      <c r="EB17" s="5">
        <f t="shared" si="19"/>
        <v>1.0411208891300061E-4</v>
      </c>
      <c r="EC17" s="5">
        <f t="shared" si="19"/>
        <v>5.4742870589305657E-3</v>
      </c>
      <c r="ED17" s="5">
        <f t="shared" si="19"/>
        <v>2.4767480781445986E-2</v>
      </c>
      <c r="EE17" s="5">
        <f t="shared" si="19"/>
        <v>6.2627523737550815E-3</v>
      </c>
      <c r="EF17" s="5">
        <f t="shared" si="19"/>
        <v>5.2603901117786907E-3</v>
      </c>
    </row>
    <row r="18" spans="1:136">
      <c r="B18" t="s">
        <v>137</v>
      </c>
      <c r="C18" s="5">
        <f t="shared" ref="C18:AH18" si="20">C10^2</f>
        <v>6.1300169090364023E-2</v>
      </c>
      <c r="D18" s="5">
        <f t="shared" si="20"/>
        <v>7.5456410721795972E-2</v>
      </c>
      <c r="E18" s="5">
        <f t="shared" si="20"/>
        <v>7.1653491215006608E-3</v>
      </c>
      <c r="F18" s="5">
        <f t="shared" si="20"/>
        <v>5.1277932467457823E-4</v>
      </c>
      <c r="G18" s="5">
        <f t="shared" si="20"/>
        <v>2.4681024790687124E-3</v>
      </c>
      <c r="H18" s="5">
        <f t="shared" si="20"/>
        <v>1.0152503674850528E-2</v>
      </c>
      <c r="I18" s="5">
        <f t="shared" si="20"/>
        <v>1.568185506319921E-4</v>
      </c>
      <c r="J18" s="5">
        <f t="shared" si="20"/>
        <v>6.1994443791691554E-3</v>
      </c>
      <c r="K18" s="5">
        <f t="shared" si="20"/>
        <v>1.1686210786418709E-3</v>
      </c>
      <c r="L18" s="5">
        <f t="shared" si="20"/>
        <v>7.8157618954765237E-3</v>
      </c>
      <c r="M18" s="5">
        <f t="shared" si="20"/>
        <v>9.384753841255295E-6</v>
      </c>
      <c r="N18" s="5">
        <f t="shared" si="20"/>
        <v>4.5036476574086326E-2</v>
      </c>
      <c r="O18" s="5">
        <f t="shared" si="20"/>
        <v>1.3546366286925624E-3</v>
      </c>
      <c r="P18" s="5">
        <f t="shared" si="20"/>
        <v>5.0457039774389721E-3</v>
      </c>
      <c r="Q18" s="5">
        <f t="shared" si="20"/>
        <v>5.0781490762883581E-3</v>
      </c>
      <c r="R18" s="5">
        <f t="shared" si="20"/>
        <v>4.6485286217124193E-4</v>
      </c>
      <c r="S18" s="5">
        <f t="shared" si="20"/>
        <v>1.0223486509543127E-2</v>
      </c>
      <c r="T18" s="5">
        <f t="shared" si="20"/>
        <v>1.8683781301546628E-3</v>
      </c>
      <c r="U18" s="5">
        <f t="shared" si="20"/>
        <v>2.2147242359019667E-4</v>
      </c>
      <c r="V18" s="5">
        <f t="shared" si="20"/>
        <v>4.0018583491306699E-5</v>
      </c>
      <c r="W18" s="5">
        <f t="shared" si="20"/>
        <v>2.0607457624597373E-2</v>
      </c>
      <c r="X18" s="5">
        <f t="shared" si="20"/>
        <v>4.1321976387742217E-3</v>
      </c>
      <c r="Y18" s="5">
        <f t="shared" si="20"/>
        <v>3.6230087920246964E-4</v>
      </c>
      <c r="Z18" s="5">
        <f t="shared" si="20"/>
        <v>4.2619770257246479E-4</v>
      </c>
      <c r="AA18" s="5">
        <f t="shared" si="20"/>
        <v>1.0929332099957007E-3</v>
      </c>
      <c r="AB18" s="5">
        <f t="shared" si="20"/>
        <v>3.7706753115437583E-4</v>
      </c>
      <c r="AC18" s="5">
        <f t="shared" si="20"/>
        <v>3.9849977723438457E-3</v>
      </c>
      <c r="AD18" s="5">
        <f t="shared" si="20"/>
        <v>4.3072591163810263E-3</v>
      </c>
      <c r="AE18" s="5">
        <f t="shared" si="20"/>
        <v>1.9042810256226231E-2</v>
      </c>
      <c r="AF18" s="5">
        <f t="shared" si="20"/>
        <v>1.0113906222416341E-2</v>
      </c>
      <c r="AG18" s="5">
        <f t="shared" si="20"/>
        <v>1.4416518828127469E-3</v>
      </c>
      <c r="AH18" s="5">
        <f t="shared" si="20"/>
        <v>2.1012632264048744E-3</v>
      </c>
      <c r="AI18" s="5">
        <f t="shared" ref="AI18:BN18" si="21">AI10^2</f>
        <v>2.6044789051912999E-3</v>
      </c>
      <c r="AJ18" s="5">
        <f t="shared" si="21"/>
        <v>1.0371239511276646E-5</v>
      </c>
      <c r="AK18" s="5">
        <f t="shared" si="21"/>
        <v>2.3963921924093171E-7</v>
      </c>
      <c r="AL18" s="5">
        <f t="shared" si="21"/>
        <v>1.1330911354520039E-2</v>
      </c>
      <c r="AM18" s="5">
        <f t="shared" si="21"/>
        <v>1.883474509221127E-4</v>
      </c>
      <c r="AN18" s="5">
        <f t="shared" si="21"/>
        <v>1.4875389913204669E-2</v>
      </c>
      <c r="AO18" s="5">
        <f t="shared" si="21"/>
        <v>2.3609556394479764E-3</v>
      </c>
      <c r="AP18" s="5">
        <f t="shared" si="21"/>
        <v>3.6219815731516953E-6</v>
      </c>
      <c r="AQ18" s="5">
        <f t="shared" si="21"/>
        <v>8.4491867337224593E-4</v>
      </c>
      <c r="AR18" s="5">
        <f t="shared" si="21"/>
        <v>2.7705250060662671E-3</v>
      </c>
      <c r="AS18" s="5">
        <f t="shared" si="21"/>
        <v>1.6623611670017849E-4</v>
      </c>
      <c r="AT18" s="5">
        <f t="shared" si="21"/>
        <v>4.541735420018535E-6</v>
      </c>
      <c r="AU18" s="5">
        <f t="shared" si="21"/>
        <v>2.4144306160754265E-2</v>
      </c>
      <c r="AV18" s="5">
        <f t="shared" si="21"/>
        <v>1.6082764905029582E-4</v>
      </c>
      <c r="AW18" s="5">
        <f t="shared" si="21"/>
        <v>1.4261904564871037E-4</v>
      </c>
      <c r="AX18" s="5">
        <f t="shared" si="21"/>
        <v>1.8094742098652484E-5</v>
      </c>
      <c r="AY18" s="5">
        <f t="shared" si="21"/>
        <v>8.5854107590684829E-4</v>
      </c>
      <c r="AZ18" s="5">
        <f t="shared" si="21"/>
        <v>1.7990186561850662E-2</v>
      </c>
      <c r="BA18" s="5">
        <f t="shared" si="21"/>
        <v>1.8799571566061855E-2</v>
      </c>
      <c r="BB18" s="5">
        <f t="shared" si="21"/>
        <v>3.0788334943751427E-6</v>
      </c>
      <c r="BC18" s="5">
        <f t="shared" si="21"/>
        <v>6.3087002382422445E-4</v>
      </c>
      <c r="BD18" s="5">
        <f t="shared" si="21"/>
        <v>1.4304616064498009E-2</v>
      </c>
      <c r="BE18" s="5">
        <f t="shared" si="21"/>
        <v>1.8431225512955431E-2</v>
      </c>
      <c r="BF18" s="5">
        <f t="shared" si="21"/>
        <v>2.2175775080298639E-3</v>
      </c>
      <c r="BG18" s="5">
        <f t="shared" si="21"/>
        <v>6.7860478904543942E-4</v>
      </c>
      <c r="BH18" s="5">
        <f t="shared" si="21"/>
        <v>1.9143052038415641E-3</v>
      </c>
      <c r="BI18" s="5">
        <f t="shared" si="21"/>
        <v>6.6246296481045049E-3</v>
      </c>
      <c r="BJ18" s="5">
        <f t="shared" si="21"/>
        <v>1.0120525298453803E-2</v>
      </c>
      <c r="BK18" s="5">
        <f t="shared" si="21"/>
        <v>8.1884544049846235E-3</v>
      </c>
      <c r="BL18" s="5">
        <f t="shared" si="21"/>
        <v>9.5471475034238963E-4</v>
      </c>
      <c r="BM18" s="5">
        <f t="shared" si="21"/>
        <v>3.4591085480784899E-3</v>
      </c>
      <c r="BN18" s="5">
        <f t="shared" si="21"/>
        <v>6.617113024465748E-3</v>
      </c>
      <c r="BO18" s="5">
        <f t="shared" ref="BO18:CT18" si="22">BO10^2</f>
        <v>5.9543089738482516E-5</v>
      </c>
      <c r="BP18" s="5">
        <f t="shared" si="22"/>
        <v>1.1392332566655691E-2</v>
      </c>
      <c r="BQ18" s="5">
        <f t="shared" si="22"/>
        <v>7.3746686174088762E-4</v>
      </c>
      <c r="BR18" s="5">
        <f t="shared" si="22"/>
        <v>2.962735792272784E-3</v>
      </c>
      <c r="BS18" s="5">
        <f t="shared" si="22"/>
        <v>4.6552343102339144E-3</v>
      </c>
      <c r="BT18" s="5">
        <f t="shared" si="22"/>
        <v>9.7243705233366149E-3</v>
      </c>
      <c r="BU18" s="5">
        <f t="shared" si="22"/>
        <v>1.6486185664536111E-2</v>
      </c>
      <c r="BV18" s="5">
        <f t="shared" si="22"/>
        <v>6.1469550603066659E-3</v>
      </c>
      <c r="BW18" s="5">
        <f t="shared" si="22"/>
        <v>1.4192843634773274E-2</v>
      </c>
      <c r="BX18" s="5">
        <f t="shared" si="22"/>
        <v>2.1986811101669893E-3</v>
      </c>
      <c r="BY18" s="5">
        <f t="shared" si="22"/>
        <v>1.034255309954589E-2</v>
      </c>
      <c r="BZ18" s="5">
        <f t="shared" si="22"/>
        <v>6.5946672658473903E-4</v>
      </c>
      <c r="CA18" s="5">
        <f t="shared" si="22"/>
        <v>6.9391882189381946E-3</v>
      </c>
      <c r="CB18" s="5">
        <f t="shared" si="22"/>
        <v>2.4909566624333357E-2</v>
      </c>
      <c r="CC18" s="5">
        <f t="shared" si="22"/>
        <v>5.0484679457919839E-3</v>
      </c>
      <c r="CD18" s="5">
        <f t="shared" si="22"/>
        <v>5.4575883396954768E-3</v>
      </c>
      <c r="CE18" s="5">
        <f t="shared" si="22"/>
        <v>5.6067832386980022E-2</v>
      </c>
      <c r="CF18" s="5">
        <f t="shared" si="22"/>
        <v>1.0645672168983563E-3</v>
      </c>
      <c r="CG18" s="5">
        <f t="shared" si="22"/>
        <v>1.8017920089221721E-4</v>
      </c>
      <c r="CH18" s="5">
        <f t="shared" si="22"/>
        <v>7.8213400438148902E-6</v>
      </c>
      <c r="CI18" s="5">
        <f t="shared" si="22"/>
        <v>2.2968727120364087E-3</v>
      </c>
      <c r="CJ18" s="5">
        <f t="shared" si="22"/>
        <v>1.0575629320283603E-5</v>
      </c>
      <c r="CK18" s="5">
        <f t="shared" si="22"/>
        <v>5.7317300865370067E-3</v>
      </c>
      <c r="CL18" s="5">
        <f t="shared" si="22"/>
        <v>1.9711163270756775E-3</v>
      </c>
      <c r="CM18" s="5">
        <f t="shared" si="22"/>
        <v>3.2036912913769394E-2</v>
      </c>
      <c r="CN18" s="5">
        <f t="shared" si="22"/>
        <v>3.3633349379620708E-3</v>
      </c>
      <c r="CO18" s="5">
        <f t="shared" si="22"/>
        <v>1.9429624982324575E-2</v>
      </c>
      <c r="CP18" s="5">
        <f t="shared" si="22"/>
        <v>4.1879885783785839E-3</v>
      </c>
      <c r="CQ18" s="5">
        <f t="shared" si="22"/>
        <v>3.2829051050147696E-2</v>
      </c>
      <c r="CR18" s="5">
        <f t="shared" si="22"/>
        <v>7.8559030529674386E-3</v>
      </c>
      <c r="CS18" s="5">
        <f t="shared" si="22"/>
        <v>6.411922743936203E-4</v>
      </c>
      <c r="CT18" s="5">
        <f t="shared" si="22"/>
        <v>1.2786876993597889E-2</v>
      </c>
      <c r="CU18" s="5">
        <f t="shared" ref="CU18:DZ18" si="23">CU10^2</f>
        <v>6.5544524509339751E-5</v>
      </c>
      <c r="CV18" s="5">
        <f t="shared" si="23"/>
        <v>2.0430588388809477E-3</v>
      </c>
      <c r="CW18" s="5">
        <f t="shared" si="23"/>
        <v>3.4740680595904648E-3</v>
      </c>
      <c r="CX18" s="5">
        <f t="shared" si="23"/>
        <v>1.160538698235747E-2</v>
      </c>
      <c r="CY18" s="5">
        <f t="shared" si="23"/>
        <v>9.3129254150261E-3</v>
      </c>
      <c r="CZ18" s="5">
        <f t="shared" si="23"/>
        <v>4.424895059465464E-2</v>
      </c>
      <c r="DA18" s="5">
        <f t="shared" si="23"/>
        <v>1.2091451728744079E-2</v>
      </c>
      <c r="DB18" s="5">
        <f t="shared" si="23"/>
        <v>3.6412452392839745E-2</v>
      </c>
      <c r="DC18" s="5">
        <f t="shared" si="23"/>
        <v>4.2961982124366043E-4</v>
      </c>
      <c r="DD18" s="5">
        <f t="shared" si="23"/>
        <v>7.5740634376350218E-3</v>
      </c>
      <c r="DE18" s="5">
        <f t="shared" si="23"/>
        <v>6.728033843953052E-3</v>
      </c>
      <c r="DF18" s="5">
        <f t="shared" si="23"/>
        <v>2.7847821251246123E-2</v>
      </c>
      <c r="DG18" s="5">
        <f t="shared" si="23"/>
        <v>4.9478702022008603E-2</v>
      </c>
      <c r="DH18" s="5">
        <f t="shared" si="23"/>
        <v>2.0821839571003448E-2</v>
      </c>
      <c r="DI18" s="5">
        <f t="shared" si="23"/>
        <v>1.4308932973192761E-2</v>
      </c>
      <c r="DJ18" s="5">
        <f t="shared" si="23"/>
        <v>1.0321085627255753E-2</v>
      </c>
      <c r="DK18" s="5">
        <f t="shared" si="23"/>
        <v>8.6220619337353931E-3</v>
      </c>
      <c r="DL18" s="5">
        <f t="shared" si="23"/>
        <v>1.8173586858343696E-3</v>
      </c>
      <c r="DM18" s="5">
        <f t="shared" si="23"/>
        <v>6.8445958863232442E-3</v>
      </c>
      <c r="DN18" s="5">
        <f t="shared" si="23"/>
        <v>9.6406849840983359E-4</v>
      </c>
      <c r="DO18" s="5">
        <f t="shared" si="23"/>
        <v>9.6318502978574808E-3</v>
      </c>
      <c r="DP18" s="5">
        <f t="shared" si="23"/>
        <v>1.7053455955604278E-2</v>
      </c>
      <c r="DQ18" s="5">
        <f t="shared" si="23"/>
        <v>2.3673789185478821E-3</v>
      </c>
      <c r="DR18" s="5">
        <f t="shared" si="23"/>
        <v>1.5407124335768466E-3</v>
      </c>
      <c r="DS18" s="5">
        <f t="shared" si="23"/>
        <v>2.5930725116640962E-2</v>
      </c>
      <c r="DT18" s="5">
        <f t="shared" si="23"/>
        <v>6.2226801681010647E-3</v>
      </c>
      <c r="DU18" s="5">
        <f t="shared" si="23"/>
        <v>2.6921313954919424E-2</v>
      </c>
      <c r="DV18" s="5">
        <f t="shared" si="23"/>
        <v>5.6328800675286651E-5</v>
      </c>
      <c r="DW18" s="5">
        <f t="shared" si="23"/>
        <v>1.0331756871656347E-2</v>
      </c>
      <c r="DX18" s="5">
        <f t="shared" si="23"/>
        <v>3.1405143826489668E-3</v>
      </c>
      <c r="DY18" s="5">
        <f t="shared" si="23"/>
        <v>1.137563878096463E-2</v>
      </c>
      <c r="DZ18" s="5">
        <f t="shared" si="23"/>
        <v>4.7867822305639905E-3</v>
      </c>
      <c r="EA18" s="5">
        <f t="shared" ref="EA18:EF18" si="24">EA10^2</f>
        <v>1.59235773418211E-2</v>
      </c>
      <c r="EB18" s="5">
        <f t="shared" si="24"/>
        <v>4.1908944894200424E-3</v>
      </c>
      <c r="EC18" s="5">
        <f t="shared" si="24"/>
        <v>2.6446410296186275E-3</v>
      </c>
      <c r="ED18" s="5">
        <f t="shared" si="24"/>
        <v>1.1900242728375913E-3</v>
      </c>
      <c r="EE18" s="5">
        <f t="shared" si="24"/>
        <v>2.4862225023126495E-2</v>
      </c>
      <c r="EF18" s="5">
        <f t="shared" si="24"/>
        <v>1.6174756721905801E-2</v>
      </c>
    </row>
    <row r="19" spans="1:136">
      <c r="B19" t="s">
        <v>138</v>
      </c>
      <c r="C19" s="5">
        <f t="shared" ref="C19:AH19" si="25">C11^2</f>
        <v>2.9424962947699911E-3</v>
      </c>
      <c r="D19" s="5">
        <f t="shared" si="25"/>
        <v>2.059074167658151E-3</v>
      </c>
      <c r="E19" s="5">
        <f t="shared" si="25"/>
        <v>3.1514318274691188E-4</v>
      </c>
      <c r="F19" s="5">
        <f t="shared" si="25"/>
        <v>7.6890721339683337E-3</v>
      </c>
      <c r="G19" s="5">
        <f t="shared" si="25"/>
        <v>1.0559465472918014E-2</v>
      </c>
      <c r="H19" s="5">
        <f t="shared" si="25"/>
        <v>6.3069879875624846E-6</v>
      </c>
      <c r="I19" s="5">
        <f t="shared" si="25"/>
        <v>3.3502003352045134E-4</v>
      </c>
      <c r="J19" s="5">
        <f t="shared" si="25"/>
        <v>4.8887532041517415E-4</v>
      </c>
      <c r="K19" s="5">
        <f t="shared" si="25"/>
        <v>5.9688056303032417E-3</v>
      </c>
      <c r="L19" s="5">
        <f t="shared" si="25"/>
        <v>8.7311801112263879E-5</v>
      </c>
      <c r="M19" s="5">
        <f t="shared" si="25"/>
        <v>2.873193829916625E-3</v>
      </c>
      <c r="N19" s="5">
        <f t="shared" si="25"/>
        <v>4.6073356328051786E-3</v>
      </c>
      <c r="O19" s="5">
        <f t="shared" si="25"/>
        <v>4.2158901598624366E-3</v>
      </c>
      <c r="P19" s="5">
        <f t="shared" si="25"/>
        <v>2.3821054386013211E-5</v>
      </c>
      <c r="Q19" s="5">
        <f t="shared" si="25"/>
        <v>3.6855622546895207E-4</v>
      </c>
      <c r="R19" s="5">
        <f t="shared" si="25"/>
        <v>2.9870042368556722E-5</v>
      </c>
      <c r="S19" s="5">
        <f t="shared" si="25"/>
        <v>1.3360097496481892E-3</v>
      </c>
      <c r="T19" s="5">
        <f t="shared" si="25"/>
        <v>1.6688781966867596E-2</v>
      </c>
      <c r="U19" s="5">
        <f t="shared" si="25"/>
        <v>1.8748202760809614E-4</v>
      </c>
      <c r="V19" s="5">
        <f t="shared" si="25"/>
        <v>2.3394473192739536E-4</v>
      </c>
      <c r="W19" s="5">
        <f t="shared" si="25"/>
        <v>1.0959099784052484E-2</v>
      </c>
      <c r="X19" s="5">
        <f t="shared" si="25"/>
        <v>8.6346676822882121E-2</v>
      </c>
      <c r="Y19" s="5">
        <f t="shared" si="25"/>
        <v>3.5061183838375133E-3</v>
      </c>
      <c r="Z19" s="5">
        <f t="shared" si="25"/>
        <v>3.4205878279447842E-2</v>
      </c>
      <c r="AA19" s="5">
        <f t="shared" si="25"/>
        <v>9.6525592252829466E-3</v>
      </c>
      <c r="AB19" s="5">
        <f t="shared" si="25"/>
        <v>4.3209728479720412E-7</v>
      </c>
      <c r="AC19" s="5">
        <f t="shared" si="25"/>
        <v>1.0750810579255237E-2</v>
      </c>
      <c r="AD19" s="5">
        <f t="shared" si="25"/>
        <v>1.2567690104255271E-5</v>
      </c>
      <c r="AE19" s="5">
        <f t="shared" si="25"/>
        <v>3.0835882156048783E-2</v>
      </c>
      <c r="AF19" s="5">
        <f t="shared" si="25"/>
        <v>2.4035262433120905E-2</v>
      </c>
      <c r="AG19" s="5">
        <f t="shared" si="25"/>
        <v>6.9319650662206438E-4</v>
      </c>
      <c r="AH19" s="5">
        <f t="shared" si="25"/>
        <v>2.4988102995418992E-5</v>
      </c>
      <c r="AI19" s="5">
        <f t="shared" ref="AI19:BN19" si="26">AI11^2</f>
        <v>7.8779660257925624E-4</v>
      </c>
      <c r="AJ19" s="5">
        <f t="shared" si="26"/>
        <v>5.0105213836060746E-4</v>
      </c>
      <c r="AK19" s="5">
        <f t="shared" si="26"/>
        <v>2.2109580205685515E-3</v>
      </c>
      <c r="AL19" s="5">
        <f t="shared" si="26"/>
        <v>1.0314740717783251E-2</v>
      </c>
      <c r="AM19" s="5">
        <f t="shared" si="26"/>
        <v>5.5343262156863572E-4</v>
      </c>
      <c r="AN19" s="5">
        <f t="shared" si="26"/>
        <v>2.7588997976275898E-3</v>
      </c>
      <c r="AO19" s="5">
        <f t="shared" si="26"/>
        <v>3.4225885640141755E-3</v>
      </c>
      <c r="AP19" s="5">
        <f t="shared" si="26"/>
        <v>1.118725626162101E-3</v>
      </c>
      <c r="AQ19" s="5">
        <f t="shared" si="26"/>
        <v>2.0450045203045813E-4</v>
      </c>
      <c r="AR19" s="5">
        <f t="shared" si="26"/>
        <v>1.2890681145068224E-3</v>
      </c>
      <c r="AS19" s="5">
        <f t="shared" si="26"/>
        <v>1.5826302227352094E-3</v>
      </c>
      <c r="AT19" s="5">
        <f t="shared" si="26"/>
        <v>2.2039242020426623E-2</v>
      </c>
      <c r="AU19" s="5">
        <f t="shared" si="26"/>
        <v>1.6636034229909587E-3</v>
      </c>
      <c r="AV19" s="5">
        <f t="shared" si="26"/>
        <v>1.9309590933108238E-2</v>
      </c>
      <c r="AW19" s="5">
        <f t="shared" si="26"/>
        <v>3.5836126990842362E-3</v>
      </c>
      <c r="AX19" s="5">
        <f t="shared" si="26"/>
        <v>2.2436988075031212E-2</v>
      </c>
      <c r="AY19" s="5">
        <f t="shared" si="26"/>
        <v>3.7940489141036855E-3</v>
      </c>
      <c r="AZ19" s="5">
        <f t="shared" si="26"/>
        <v>3.8377717094877179E-3</v>
      </c>
      <c r="BA19" s="5">
        <f t="shared" si="26"/>
        <v>5.7085842824112805E-6</v>
      </c>
      <c r="BB19" s="5">
        <f t="shared" si="26"/>
        <v>2.2162365071883454E-2</v>
      </c>
      <c r="BC19" s="5">
        <f t="shared" si="26"/>
        <v>3.6421850194502817E-3</v>
      </c>
      <c r="BD19" s="5">
        <f t="shared" si="26"/>
        <v>2.1567132814367246E-4</v>
      </c>
      <c r="BE19" s="5">
        <f t="shared" si="26"/>
        <v>2.1466733042722119E-2</v>
      </c>
      <c r="BF19" s="5">
        <f t="shared" si="26"/>
        <v>4.3581843456671758E-2</v>
      </c>
      <c r="BG19" s="5">
        <f t="shared" si="26"/>
        <v>4.0579385301159648E-2</v>
      </c>
      <c r="BH19" s="5">
        <f t="shared" si="26"/>
        <v>1.3935782851325853E-2</v>
      </c>
      <c r="BI19" s="5">
        <f t="shared" si="26"/>
        <v>5.9330934213272886E-3</v>
      </c>
      <c r="BJ19" s="5">
        <f t="shared" si="26"/>
        <v>1.3119113666831017E-3</v>
      </c>
      <c r="BK19" s="5">
        <f t="shared" si="26"/>
        <v>3.5748481064286472E-4</v>
      </c>
      <c r="BL19" s="5">
        <f t="shared" si="26"/>
        <v>2.9328493400993451E-2</v>
      </c>
      <c r="BM19" s="5">
        <f t="shared" si="26"/>
        <v>1.7667061037884114E-2</v>
      </c>
      <c r="BN19" s="5">
        <f t="shared" si="26"/>
        <v>1.2893630347257589E-3</v>
      </c>
      <c r="BO19" s="5">
        <f t="shared" ref="BO19:CT19" si="27">BO11^2</f>
        <v>4.555884575901441E-4</v>
      </c>
      <c r="BP19" s="5">
        <f t="shared" si="27"/>
        <v>2.4636156414780219E-3</v>
      </c>
      <c r="BQ19" s="5">
        <f t="shared" si="27"/>
        <v>2.9622597057292401E-4</v>
      </c>
      <c r="BR19" s="5">
        <f t="shared" si="27"/>
        <v>3.6034382227143044E-2</v>
      </c>
      <c r="BS19" s="5">
        <f t="shared" si="27"/>
        <v>9.5267433223972416E-3</v>
      </c>
      <c r="BT19" s="5">
        <f t="shared" si="27"/>
        <v>1.4312181655934848E-3</v>
      </c>
      <c r="BU19" s="5">
        <f t="shared" si="27"/>
        <v>3.1369302523255979E-3</v>
      </c>
      <c r="BV19" s="5">
        <f t="shared" si="27"/>
        <v>1.3627535644839506E-2</v>
      </c>
      <c r="BW19" s="5">
        <f t="shared" si="27"/>
        <v>1.9972187007291264E-2</v>
      </c>
      <c r="BX19" s="5">
        <f t="shared" si="27"/>
        <v>1.140430378647656E-5</v>
      </c>
      <c r="BY19" s="5">
        <f t="shared" si="27"/>
        <v>1.6987488721731576E-2</v>
      </c>
      <c r="BZ19" s="5">
        <f t="shared" si="27"/>
        <v>1.0047461557265778E-3</v>
      </c>
      <c r="CA19" s="5">
        <f t="shared" si="27"/>
        <v>1.6447110645557072E-3</v>
      </c>
      <c r="CB19" s="5">
        <f t="shared" si="27"/>
        <v>1.767137228315438E-3</v>
      </c>
      <c r="CC19" s="5">
        <f t="shared" si="27"/>
        <v>2.5013725272755708E-3</v>
      </c>
      <c r="CD19" s="5">
        <f t="shared" si="27"/>
        <v>4.6862621773654262E-3</v>
      </c>
      <c r="CE19" s="5">
        <f t="shared" si="27"/>
        <v>6.5338267870204162E-3</v>
      </c>
      <c r="CF19" s="5">
        <f t="shared" si="27"/>
        <v>3.7959149352106796E-6</v>
      </c>
      <c r="CG19" s="5">
        <f t="shared" si="27"/>
        <v>1.3973368107735227E-2</v>
      </c>
      <c r="CH19" s="5">
        <f t="shared" si="27"/>
        <v>1.3483500252419256E-3</v>
      </c>
      <c r="CI19" s="5">
        <f t="shared" si="27"/>
        <v>6.944354409283488E-3</v>
      </c>
      <c r="CJ19" s="5">
        <f t="shared" si="27"/>
        <v>5.3209971579111864E-2</v>
      </c>
      <c r="CK19" s="5">
        <f t="shared" si="27"/>
        <v>1.7630136062643516E-2</v>
      </c>
      <c r="CL19" s="5">
        <f t="shared" si="27"/>
        <v>1.9962106501869858E-2</v>
      </c>
      <c r="CM19" s="5">
        <f t="shared" si="27"/>
        <v>1.2698898011967283E-2</v>
      </c>
      <c r="CN19" s="5">
        <f t="shared" si="27"/>
        <v>4.9947135394185591E-2</v>
      </c>
      <c r="CO19" s="5">
        <f t="shared" si="27"/>
        <v>1.0903362974249101E-2</v>
      </c>
      <c r="CP19" s="5">
        <f t="shared" si="27"/>
        <v>2.0817366158502797E-4</v>
      </c>
      <c r="CQ19" s="5">
        <f t="shared" si="27"/>
        <v>4.2945670995945519E-2</v>
      </c>
      <c r="CR19" s="5">
        <f t="shared" si="27"/>
        <v>1.818826329983373E-2</v>
      </c>
      <c r="CS19" s="5">
        <f t="shared" si="27"/>
        <v>5.330129925765671E-3</v>
      </c>
      <c r="CT19" s="5">
        <f t="shared" si="27"/>
        <v>9.1315039355651805E-4</v>
      </c>
      <c r="CU19" s="5">
        <f t="shared" ref="CU19:DZ19" si="28">CU11^2</f>
        <v>8.2305398372276448E-2</v>
      </c>
      <c r="CV19" s="5">
        <f t="shared" si="28"/>
        <v>5.323658125231813E-2</v>
      </c>
      <c r="CW19" s="5">
        <f t="shared" si="28"/>
        <v>8.2947828598525283E-3</v>
      </c>
      <c r="CX19" s="5">
        <f t="shared" si="28"/>
        <v>1.5002754583806925E-2</v>
      </c>
      <c r="CY19" s="5">
        <f t="shared" si="28"/>
        <v>6.1437262145754186E-3</v>
      </c>
      <c r="CZ19" s="5">
        <f t="shared" si="28"/>
        <v>2.1114120178055175E-3</v>
      </c>
      <c r="DA19" s="5">
        <f t="shared" si="28"/>
        <v>6.8343561034422563E-3</v>
      </c>
      <c r="DB19" s="5">
        <f t="shared" si="28"/>
        <v>2.2305204479499383E-2</v>
      </c>
      <c r="DC19" s="5">
        <f t="shared" si="28"/>
        <v>2.2847162154111663E-3</v>
      </c>
      <c r="DD19" s="5">
        <f t="shared" si="28"/>
        <v>2.7064678662887049E-2</v>
      </c>
      <c r="DE19" s="5">
        <f t="shared" si="28"/>
        <v>1.2225360760831885E-2</v>
      </c>
      <c r="DF19" s="5">
        <f t="shared" si="28"/>
        <v>3.2966966393763162E-3</v>
      </c>
      <c r="DG19" s="5">
        <f t="shared" si="28"/>
        <v>4.6177804713180344E-2</v>
      </c>
      <c r="DH19" s="5">
        <f t="shared" si="28"/>
        <v>3.9686415441255191E-3</v>
      </c>
      <c r="DI19" s="5">
        <f t="shared" si="28"/>
        <v>4.5861486060873721E-3</v>
      </c>
      <c r="DJ19" s="5">
        <f t="shared" si="28"/>
        <v>1.4113933508686947E-2</v>
      </c>
      <c r="DK19" s="5">
        <f t="shared" si="28"/>
        <v>5.3038165655135587E-5</v>
      </c>
      <c r="DL19" s="5">
        <f t="shared" si="28"/>
        <v>5.0866278425543898E-3</v>
      </c>
      <c r="DM19" s="5">
        <f t="shared" si="28"/>
        <v>4.4192030717479113E-4</v>
      </c>
      <c r="DN19" s="5">
        <f t="shared" si="28"/>
        <v>9.2435602590540443E-4</v>
      </c>
      <c r="DO19" s="5">
        <f t="shared" si="28"/>
        <v>9.3992359170593232E-3</v>
      </c>
      <c r="DP19" s="5">
        <f t="shared" si="28"/>
        <v>5.3211643863895493E-2</v>
      </c>
      <c r="DQ19" s="5">
        <f t="shared" si="28"/>
        <v>5.6731766595356822E-2</v>
      </c>
      <c r="DR19" s="5">
        <f t="shared" si="28"/>
        <v>1.2779732721999408E-5</v>
      </c>
      <c r="DS19" s="5">
        <f t="shared" si="28"/>
        <v>1.7944107252667544E-2</v>
      </c>
      <c r="DT19" s="5">
        <f t="shared" si="28"/>
        <v>1.3249413434882942E-2</v>
      </c>
      <c r="DU19" s="5">
        <f t="shared" si="28"/>
        <v>1.0832602517582508E-2</v>
      </c>
      <c r="DV19" s="5">
        <f t="shared" si="28"/>
        <v>2.9823682090757879E-3</v>
      </c>
      <c r="DW19" s="5">
        <f t="shared" si="28"/>
        <v>1.1082370139875364E-3</v>
      </c>
      <c r="DX19" s="5">
        <f t="shared" si="28"/>
        <v>3.0354498547830525E-3</v>
      </c>
      <c r="DY19" s="5">
        <f t="shared" si="28"/>
        <v>4.7325832565790213E-3</v>
      </c>
      <c r="DZ19" s="5">
        <f t="shared" si="28"/>
        <v>2.0969279010246204E-4</v>
      </c>
      <c r="EA19" s="5">
        <f t="shared" ref="EA19:EF19" si="29">EA11^2</f>
        <v>8.5929031587546431E-2</v>
      </c>
      <c r="EB19" s="5">
        <f t="shared" si="29"/>
        <v>1.987395609544565E-2</v>
      </c>
      <c r="EC19" s="5">
        <f t="shared" si="29"/>
        <v>1.4906851026839793E-4</v>
      </c>
      <c r="ED19" s="5">
        <f t="shared" si="29"/>
        <v>3.3834798795211859E-3</v>
      </c>
      <c r="EE19" s="5">
        <f t="shared" si="29"/>
        <v>2.0852230305009004E-2</v>
      </c>
      <c r="EF19" s="5">
        <f t="shared" si="29"/>
        <v>9.4107527241881761E-3</v>
      </c>
    </row>
    <row r="21" spans="1:136">
      <c r="A21" t="s">
        <v>246</v>
      </c>
      <c r="B21" s="9">
        <f>1-SUM(C13:EF15)/SUM(C17:EF19)</f>
        <v>-3.7892493511856324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21"/>
  <sheetViews>
    <sheetView zoomScale="172" workbookViewId="0">
      <selection activeCell="C13" sqref="C13"/>
    </sheetView>
  </sheetViews>
  <sheetFormatPr baseColWidth="10" defaultColWidth="8.83203125" defaultRowHeight="15"/>
  <cols>
    <col min="1" max="1" width="13.83203125" style="10" customWidth="1"/>
  </cols>
  <sheetData>
    <row r="1" spans="1:1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>
      <c r="A3" s="1"/>
      <c r="B3" s="2" t="s">
        <v>136</v>
      </c>
      <c r="C3" s="11">
        <v>-9.1369017958641052E-2</v>
      </c>
      <c r="D3" s="11">
        <v>-0.1108541637659073</v>
      </c>
      <c r="E3" s="11">
        <v>1.095622777938843E-3</v>
      </c>
      <c r="F3" s="11">
        <v>-0.13442955911159521</v>
      </c>
      <c r="G3" s="11">
        <v>-0.1746680736541748</v>
      </c>
      <c r="H3" s="11">
        <v>5.4118875414133072E-3</v>
      </c>
      <c r="I3" s="11">
        <v>-3.5852931439876563E-2</v>
      </c>
      <c r="J3" s="11">
        <v>-7.7711276710033417E-2</v>
      </c>
      <c r="K3" s="11">
        <v>-1.449720188975334E-2</v>
      </c>
      <c r="L3" s="11">
        <v>-4.7656506299972527E-2</v>
      </c>
      <c r="M3" s="11">
        <v>-5.7244118303060532E-2</v>
      </c>
      <c r="N3" s="11">
        <v>2.682022750377655E-5</v>
      </c>
      <c r="O3" s="11">
        <v>-3.0116423964500431E-2</v>
      </c>
      <c r="P3" s="11">
        <v>-4.0258027613162987E-2</v>
      </c>
      <c r="Q3" s="11">
        <v>3.7178266793489461E-3</v>
      </c>
      <c r="R3" s="11">
        <v>2.9201550409197811E-2</v>
      </c>
      <c r="S3" s="11">
        <v>7.7254641801118851E-3</v>
      </c>
      <c r="T3" s="11">
        <v>-5.8597654104232788E-2</v>
      </c>
      <c r="U3" s="11">
        <v>6.510857492685318E-4</v>
      </c>
      <c r="V3" s="11">
        <v>-0.107098214328289</v>
      </c>
      <c r="W3" s="11">
        <v>-0.19089989364147189</v>
      </c>
      <c r="X3" s="11">
        <v>-7.1200095117092133E-2</v>
      </c>
      <c r="Y3" s="11">
        <v>-0.1000832766294479</v>
      </c>
      <c r="Z3" s="11">
        <v>-4.923209547996521E-2</v>
      </c>
      <c r="AA3" s="11">
        <v>-2.046559751033783E-2</v>
      </c>
      <c r="AB3" s="11">
        <v>-6.9066941738128662E-2</v>
      </c>
      <c r="AC3" s="11">
        <v>-5.033314973115921E-2</v>
      </c>
      <c r="AD3" s="11">
        <v>-1.914726942777634E-2</v>
      </c>
      <c r="AE3" s="11">
        <v>-1.0799495503306391E-2</v>
      </c>
      <c r="AF3" s="11">
        <v>1.033585891127586E-2</v>
      </c>
      <c r="AG3" s="11">
        <v>6.015850231051445E-3</v>
      </c>
      <c r="AH3" s="11">
        <v>-0.26610976457595831</v>
      </c>
      <c r="AI3" s="11">
        <v>-0.14365202188491821</v>
      </c>
      <c r="AJ3" s="11">
        <v>-0.25451940298080439</v>
      </c>
      <c r="AK3" s="11">
        <v>2.8104119002819061E-2</v>
      </c>
      <c r="AL3" s="11">
        <v>-5.1742583513259888E-2</v>
      </c>
      <c r="AM3" s="11">
        <v>-8.2977190613746643E-2</v>
      </c>
      <c r="AN3" s="11">
        <v>-7.0350959897041321E-2</v>
      </c>
      <c r="AO3" s="11">
        <v>-0.1968108415603638</v>
      </c>
      <c r="AP3" s="11">
        <v>-0.25679254531860352</v>
      </c>
      <c r="AQ3" s="11">
        <v>-5.9776842594146729E-2</v>
      </c>
      <c r="AR3" s="11">
        <v>-4.1728809475898743E-2</v>
      </c>
      <c r="AS3" s="11">
        <v>-8.1946820020675659E-2</v>
      </c>
      <c r="AT3" s="11">
        <v>-0.13346004486083979</v>
      </c>
      <c r="AU3" s="11">
        <v>3.601998090744019E-3</v>
      </c>
      <c r="AV3" s="11">
        <v>7.9997703433036804E-3</v>
      </c>
      <c r="AW3" s="11">
        <v>2.431571483612061E-3</v>
      </c>
      <c r="AX3" s="11">
        <v>1.277367025613785E-2</v>
      </c>
      <c r="AY3" s="11">
        <v>2.707108855247498E-3</v>
      </c>
      <c r="AZ3" s="11">
        <v>1.4640374109148979E-2</v>
      </c>
      <c r="BA3" s="11">
        <v>3.6530185490846627E-2</v>
      </c>
      <c r="BB3" s="11">
        <v>3.3319383859634399E-2</v>
      </c>
      <c r="BC3" s="11">
        <v>1.1332087218761441E-2</v>
      </c>
      <c r="BD3" s="11">
        <v>-7.7839195728302002E-4</v>
      </c>
      <c r="BE3" s="11">
        <v>-1.704639196395874E-2</v>
      </c>
      <c r="BF3" s="11">
        <v>-2.8747007250785831E-2</v>
      </c>
      <c r="BG3" s="11">
        <v>-3.7359297275543209E-3</v>
      </c>
      <c r="BH3" s="11">
        <v>3.0615001916885379E-2</v>
      </c>
      <c r="BI3" s="11">
        <v>-1.3157427310943599E-3</v>
      </c>
      <c r="BJ3" s="11">
        <v>-6.5720930695533752E-2</v>
      </c>
      <c r="BK3" s="11">
        <v>-4.0063485503196723E-2</v>
      </c>
      <c r="BL3" s="11">
        <v>-8.8971659541130066E-2</v>
      </c>
      <c r="BM3" s="11">
        <v>-2.1720856428146359E-2</v>
      </c>
      <c r="BN3" s="11">
        <v>-6.8609192967414856E-2</v>
      </c>
      <c r="BO3" s="11">
        <v>-5.5181741714477539E-2</v>
      </c>
      <c r="BP3" s="11">
        <v>-8.5352331399917603E-2</v>
      </c>
      <c r="BQ3" s="11">
        <v>-3.6593899130821228E-2</v>
      </c>
      <c r="BR3" s="11">
        <v>3.5782556980848312E-2</v>
      </c>
      <c r="BS3" s="11">
        <v>3.381897509098053E-2</v>
      </c>
      <c r="BT3" s="11">
        <v>3.7881385535001748E-2</v>
      </c>
      <c r="BU3" s="11">
        <v>3.3238206058740623E-2</v>
      </c>
      <c r="BV3" s="11">
        <v>4.6295918524265289E-2</v>
      </c>
      <c r="BW3" s="11">
        <v>3.5180661827325821E-2</v>
      </c>
      <c r="BX3" s="11">
        <v>2.4767490103840831E-2</v>
      </c>
      <c r="BY3" s="11">
        <v>3.3294945955276489E-2</v>
      </c>
      <c r="BZ3" s="11">
        <v>5.243389680981636E-2</v>
      </c>
      <c r="CA3" s="11">
        <v>4.8576407134532928E-3</v>
      </c>
      <c r="CB3" s="11">
        <v>3.7053938955068588E-2</v>
      </c>
      <c r="CC3" s="11">
        <v>2.6344805955886841E-2</v>
      </c>
      <c r="CD3" s="11">
        <v>3.6022435873746872E-2</v>
      </c>
      <c r="CE3" s="11">
        <v>2.6176232844591141E-2</v>
      </c>
      <c r="CF3" s="11">
        <v>1.8041616305708889E-2</v>
      </c>
      <c r="CG3" s="11">
        <v>1.433759741485119E-2</v>
      </c>
      <c r="CH3" s="11">
        <v>1.081309281289577E-2</v>
      </c>
      <c r="CI3" s="11">
        <v>9.3775922432541847E-3</v>
      </c>
      <c r="CJ3" s="11">
        <v>3.1418859958648682E-2</v>
      </c>
      <c r="CK3" s="11">
        <v>2.9902642592787739E-2</v>
      </c>
      <c r="CL3" s="11">
        <v>2.813007682561874E-2</v>
      </c>
      <c r="CM3" s="11">
        <v>1.7964363098144531E-2</v>
      </c>
      <c r="CN3" s="11">
        <v>6.8069854751229286E-3</v>
      </c>
      <c r="CO3" s="11">
        <v>4.2052153497934341E-2</v>
      </c>
      <c r="CP3" s="11">
        <v>3.3009041100740433E-2</v>
      </c>
      <c r="CQ3" s="11">
        <v>2.371090650558472E-2</v>
      </c>
      <c r="CR3" s="11">
        <v>2.6173286139965061E-2</v>
      </c>
      <c r="CS3" s="11">
        <v>1.9619772210717201E-2</v>
      </c>
      <c r="CT3" s="11">
        <v>1.4876773580908781E-2</v>
      </c>
      <c r="CU3" s="11">
        <v>4.0978025645017617E-2</v>
      </c>
      <c r="CV3" s="11">
        <v>3.9532899856567383E-2</v>
      </c>
      <c r="CW3" s="11">
        <v>2.4221045896410939E-2</v>
      </c>
      <c r="CX3" s="11">
        <v>4.2955689132213593E-2</v>
      </c>
      <c r="CY3" s="11">
        <v>2.8871554881334301E-2</v>
      </c>
      <c r="CZ3" s="11">
        <v>4.7397840768098831E-2</v>
      </c>
      <c r="DA3" s="11">
        <v>2.8573086485266689E-2</v>
      </c>
      <c r="DB3" s="11">
        <v>2.5090832263231281E-2</v>
      </c>
      <c r="DC3" s="11">
        <v>2.0950637757778171E-2</v>
      </c>
      <c r="DD3" s="11">
        <v>2.0789520815014839E-2</v>
      </c>
      <c r="DE3" s="11">
        <v>3.3207852393388748E-2</v>
      </c>
      <c r="DF3" s="11">
        <v>2.975026331841946E-2</v>
      </c>
      <c r="DG3" s="11">
        <v>1.9087659195065498E-2</v>
      </c>
      <c r="DH3" s="11">
        <v>2.3787431418895721E-2</v>
      </c>
      <c r="DI3" s="11">
        <v>1.9194494932889938E-2</v>
      </c>
      <c r="DJ3" s="11">
        <v>3.5664934664964683E-2</v>
      </c>
      <c r="DK3" s="11">
        <v>3.7067931145429611E-2</v>
      </c>
      <c r="DL3" s="11">
        <v>2.47370321303606E-2</v>
      </c>
      <c r="DM3" s="11">
        <v>3.1437266618013382E-2</v>
      </c>
      <c r="DN3" s="11">
        <v>2.590093947947025E-2</v>
      </c>
      <c r="DO3" s="11">
        <v>2.2398050874471661E-2</v>
      </c>
      <c r="DP3" s="11">
        <v>1.9147077575325969E-2</v>
      </c>
      <c r="DQ3" s="11">
        <v>2.4746008217334751E-2</v>
      </c>
      <c r="DR3" s="11">
        <v>3.8861591368913651E-2</v>
      </c>
      <c r="DS3" s="11">
        <v>2.9537344351410869E-2</v>
      </c>
      <c r="DT3" s="11">
        <v>3.6585744470357888E-2</v>
      </c>
      <c r="DU3" s="11">
        <v>1.0436186566948891E-2</v>
      </c>
      <c r="DV3" s="11">
        <v>1.354960352182388E-2</v>
      </c>
      <c r="DW3" s="11">
        <v>3.0600432306528091E-2</v>
      </c>
      <c r="DX3" s="11">
        <v>3.076322935521603E-2</v>
      </c>
      <c r="DY3" s="11">
        <v>2.6879474520683289E-2</v>
      </c>
      <c r="DZ3" s="11">
        <v>3.8272425532341003E-2</v>
      </c>
      <c r="EA3" s="11">
        <v>3.7800624966621399E-2</v>
      </c>
      <c r="EB3" s="11">
        <v>9.2485006898641586E-3</v>
      </c>
      <c r="EC3" s="11">
        <v>1.0824577882885929E-2</v>
      </c>
      <c r="ED3" s="11">
        <v>3.1915292143821723E-2</v>
      </c>
      <c r="EE3" s="11">
        <v>1.992469280958176E-2</v>
      </c>
      <c r="EF3" s="11">
        <v>3.6655358970165253E-2</v>
      </c>
    </row>
    <row r="4" spans="1:136">
      <c r="A4" s="1"/>
      <c r="B4" s="2" t="s">
        <v>137</v>
      </c>
      <c r="C4" s="11">
        <v>4.5735888183116913E-2</v>
      </c>
      <c r="D4" s="11">
        <v>0.1421964764595032</v>
      </c>
      <c r="E4" s="11">
        <v>0.12357825040817259</v>
      </c>
      <c r="F4" s="11">
        <v>0.10848225653171539</v>
      </c>
      <c r="G4" s="11">
        <v>9.5342576503753662E-2</v>
      </c>
      <c r="H4" s="11">
        <v>9.0842671692371368E-2</v>
      </c>
      <c r="I4" s="11">
        <v>7.6174549758434296E-2</v>
      </c>
      <c r="J4" s="11">
        <v>5.9771746397018433E-2</v>
      </c>
      <c r="K4" s="11">
        <v>6.8689219653606415E-2</v>
      </c>
      <c r="L4" s="11">
        <v>6.0447685420513153E-2</v>
      </c>
      <c r="M4" s="11">
        <v>2.7975643053650859E-2</v>
      </c>
      <c r="N4" s="11">
        <v>9.7275795415043831E-3</v>
      </c>
      <c r="O4" s="11">
        <v>9.3574635684490204E-3</v>
      </c>
      <c r="P4" s="11">
        <v>-1.796905649825931E-3</v>
      </c>
      <c r="Q4" s="11">
        <v>-2.5195966009050612E-3</v>
      </c>
      <c r="R4" s="11">
        <v>-3.085714997723699E-3</v>
      </c>
      <c r="S4" s="11">
        <v>-3.105835290625691E-3</v>
      </c>
      <c r="T4" s="11">
        <v>-4.2619518935680389E-3</v>
      </c>
      <c r="U4" s="11">
        <v>-9.374961256980896E-3</v>
      </c>
      <c r="V4" s="11">
        <v>-1.153737679123878E-2</v>
      </c>
      <c r="W4" s="11">
        <v>-1.192781608551741E-2</v>
      </c>
      <c r="X4" s="11">
        <v>-1.2192427180707449E-2</v>
      </c>
      <c r="Y4" s="11">
        <v>-1.5751872211694721E-2</v>
      </c>
      <c r="Z4" s="11">
        <v>-1.7309032380580899E-2</v>
      </c>
      <c r="AA4" s="11">
        <v>-1.7488019540905949E-2</v>
      </c>
      <c r="AB4" s="11">
        <v>-1.846657320857048E-2</v>
      </c>
      <c r="AC4" s="11">
        <v>-1.864372193813324E-2</v>
      </c>
      <c r="AD4" s="11">
        <v>-1.8953690305352211E-2</v>
      </c>
      <c r="AE4" s="11">
        <v>-1.921507716178894E-2</v>
      </c>
      <c r="AF4" s="11">
        <v>-2.0113235339522358E-2</v>
      </c>
      <c r="AG4" s="11">
        <v>-2.026095055043697E-2</v>
      </c>
      <c r="AH4" s="11">
        <v>-2.0400110632181171E-2</v>
      </c>
      <c r="AI4" s="11">
        <v>-2.257528901100159E-2</v>
      </c>
      <c r="AJ4" s="11">
        <v>-2.2869756445288662E-2</v>
      </c>
      <c r="AK4" s="11">
        <v>-2.3673111572861671E-2</v>
      </c>
      <c r="AL4" s="11">
        <v>-5.0100833177566528E-2</v>
      </c>
      <c r="AM4" s="11">
        <v>-2.9040023684501651E-2</v>
      </c>
      <c r="AN4" s="11">
        <v>-2.910598739981651E-2</v>
      </c>
      <c r="AO4" s="11">
        <v>-3.0611878260970119E-2</v>
      </c>
      <c r="AP4" s="11">
        <v>-3.0782695859670639E-2</v>
      </c>
      <c r="AQ4" s="11">
        <v>-2.7796577662229541E-2</v>
      </c>
      <c r="AR4" s="11">
        <v>-2.7182344347238541E-2</v>
      </c>
      <c r="AS4" s="11">
        <v>-2.4847416207194328E-2</v>
      </c>
      <c r="AT4" s="11">
        <v>-2.531261928379536E-2</v>
      </c>
      <c r="AU4" s="11">
        <v>-2.5429589673876759E-2</v>
      </c>
      <c r="AV4" s="11">
        <v>-2.5587804615497589E-2</v>
      </c>
      <c r="AW4" s="11">
        <v>-2.59556844830513E-2</v>
      </c>
      <c r="AX4" s="11">
        <v>-2.625242434442043E-2</v>
      </c>
      <c r="AY4" s="11">
        <v>-3.3910792320966721E-2</v>
      </c>
      <c r="AZ4" s="11">
        <v>-2.8038723394274712E-2</v>
      </c>
      <c r="BA4" s="11">
        <v>-2.7945993468165401E-2</v>
      </c>
      <c r="BB4" s="11">
        <v>-3.2719224691390991E-2</v>
      </c>
      <c r="BC4" s="11">
        <v>-3.2609779387712479E-2</v>
      </c>
      <c r="BD4" s="11">
        <v>-3.2060969620943069E-2</v>
      </c>
      <c r="BE4" s="11">
        <v>-3.2296057790517807E-2</v>
      </c>
      <c r="BF4" s="11">
        <v>-3.2346583902835853E-2</v>
      </c>
      <c r="BG4" s="11">
        <v>-3.2194517552852631E-2</v>
      </c>
      <c r="BH4" s="11">
        <v>-1.9704345613718029E-2</v>
      </c>
      <c r="BI4" s="11">
        <v>-2.780326642096043E-2</v>
      </c>
      <c r="BJ4" s="11">
        <v>-2.80107855796814E-2</v>
      </c>
      <c r="BK4" s="11">
        <v>-3.0229432508349419E-2</v>
      </c>
      <c r="BL4" s="11">
        <v>-2.991438657045364E-2</v>
      </c>
      <c r="BM4" s="11">
        <v>-3.1547844409942627E-2</v>
      </c>
      <c r="BN4" s="11">
        <v>-3.8578428328037262E-2</v>
      </c>
      <c r="BO4" s="11">
        <v>-2.9772218316793438E-2</v>
      </c>
      <c r="BP4" s="11">
        <v>-3.6932468414306641E-2</v>
      </c>
      <c r="BQ4" s="11">
        <v>-3.3658269792795181E-2</v>
      </c>
      <c r="BR4" s="11">
        <v>-1.1724528856575491E-2</v>
      </c>
      <c r="BS4" s="11">
        <v>-1.5890749171376228E-2</v>
      </c>
      <c r="BT4" s="11">
        <v>-2.0781641826033589E-2</v>
      </c>
      <c r="BU4" s="11">
        <v>-2.0965751260519031E-2</v>
      </c>
      <c r="BV4" s="11">
        <v>-1.7983367666602131E-2</v>
      </c>
      <c r="BW4" s="11">
        <v>-2.2088326513767239E-2</v>
      </c>
      <c r="BX4" s="11">
        <v>-3.0406095087528229E-2</v>
      </c>
      <c r="BY4" s="11">
        <v>-3.0804829671978951E-2</v>
      </c>
      <c r="BZ4" s="11">
        <v>-3.0603507533669468E-2</v>
      </c>
      <c r="CA4" s="11">
        <v>-3.099978901445866E-2</v>
      </c>
      <c r="CB4" s="11">
        <v>-2.641275338828564E-2</v>
      </c>
      <c r="CC4" s="11">
        <v>-2.8904115781188011E-2</v>
      </c>
      <c r="CD4" s="11">
        <v>-2.8219865635037419E-2</v>
      </c>
      <c r="CE4" s="11">
        <v>-2.8157502412796021E-2</v>
      </c>
      <c r="CF4" s="11">
        <v>-3.0116477981209751E-2</v>
      </c>
      <c r="CG4" s="11">
        <v>-3.000578656792641E-2</v>
      </c>
      <c r="CH4" s="11">
        <v>-3.004055842757225E-2</v>
      </c>
      <c r="CI4" s="11">
        <v>-3.1394515186548233E-2</v>
      </c>
      <c r="CJ4" s="11">
        <v>-3.1854711472988129E-2</v>
      </c>
      <c r="CK4" s="11">
        <v>-3.1971924006938927E-2</v>
      </c>
      <c r="CL4" s="11">
        <v>-3.5468246787786477E-2</v>
      </c>
      <c r="CM4" s="11">
        <v>-3.1219955533742901E-2</v>
      </c>
      <c r="CN4" s="11">
        <v>-3.586915135383606E-2</v>
      </c>
      <c r="CO4" s="11">
        <v>-3.1749378889799118E-2</v>
      </c>
      <c r="CP4" s="11">
        <v>-3.1618151813745499E-2</v>
      </c>
      <c r="CQ4" s="11">
        <v>-2.7020266279578209E-2</v>
      </c>
      <c r="CR4" s="11">
        <v>-2.5449879467487339E-2</v>
      </c>
      <c r="CS4" s="11">
        <v>-2.9090225696563721E-2</v>
      </c>
      <c r="CT4" s="11">
        <v>-2.5807581841945652E-2</v>
      </c>
      <c r="CU4" s="11">
        <v>-2.6407243683934212E-2</v>
      </c>
      <c r="CV4" s="11">
        <v>-2.782540954649448E-2</v>
      </c>
      <c r="CW4" s="11">
        <v>-3.4329790621995933E-2</v>
      </c>
      <c r="CX4" s="11">
        <v>-2.7993788942694661E-2</v>
      </c>
      <c r="CY4" s="11">
        <v>-2.6280265301465992E-2</v>
      </c>
      <c r="CZ4" s="11">
        <v>-2.7791231870651249E-2</v>
      </c>
      <c r="DA4" s="11">
        <v>-2.9591461643576619E-2</v>
      </c>
      <c r="DB4" s="11">
        <v>-3.4101340919733047E-2</v>
      </c>
      <c r="DC4" s="11">
        <v>-3.4843210130929947E-2</v>
      </c>
      <c r="DD4" s="11">
        <v>-3.2262604683637619E-2</v>
      </c>
      <c r="DE4" s="11">
        <v>-2.881589904427528E-2</v>
      </c>
      <c r="DF4" s="11">
        <v>-2.8322570025920871E-2</v>
      </c>
      <c r="DG4" s="11">
        <v>-2.6369631290435791E-2</v>
      </c>
      <c r="DH4" s="11">
        <v>-3.1315241008996957E-2</v>
      </c>
      <c r="DI4" s="11">
        <v>-2.9898226261138919E-2</v>
      </c>
      <c r="DJ4" s="11">
        <v>-2.9556438326835629E-2</v>
      </c>
      <c r="DK4" s="11">
        <v>-2.8653092682361599E-2</v>
      </c>
      <c r="DL4" s="11">
        <v>-2.926721982657909E-2</v>
      </c>
      <c r="DM4" s="11">
        <v>-2.9532833024859428E-2</v>
      </c>
      <c r="DN4" s="11">
        <v>-3.190428763628006E-2</v>
      </c>
      <c r="DO4" s="11">
        <v>-2.7400294318795201E-2</v>
      </c>
      <c r="DP4" s="11">
        <v>-3.3020105212926858E-2</v>
      </c>
      <c r="DQ4" s="11">
        <v>-2.694530226290226E-2</v>
      </c>
      <c r="DR4" s="11">
        <v>-2.806044556200504E-2</v>
      </c>
      <c r="DS4" s="11">
        <v>-2.7914209291338921E-2</v>
      </c>
      <c r="DT4" s="11">
        <v>-2.7555149048566822E-2</v>
      </c>
      <c r="DU4" s="11">
        <v>-2.540554478764534E-2</v>
      </c>
      <c r="DV4" s="11">
        <v>-2.6828791946172711E-2</v>
      </c>
      <c r="DW4" s="11">
        <v>-3.7095267325639718E-2</v>
      </c>
      <c r="DX4" s="11">
        <v>-2.7448661625385281E-2</v>
      </c>
      <c r="DY4" s="11">
        <v>-3.1317904591560357E-2</v>
      </c>
      <c r="DZ4" s="11">
        <v>-2.4290399625897411E-2</v>
      </c>
      <c r="EA4" s="11">
        <v>-8.3518818020820618E-2</v>
      </c>
      <c r="EB4" s="11">
        <v>-7.7344618737697601E-2</v>
      </c>
      <c r="EC4" s="11">
        <v>-7.0242889225482941E-2</v>
      </c>
      <c r="ED4" s="11">
        <v>-6.3896283507347107E-2</v>
      </c>
      <c r="EE4" s="11">
        <v>-9.7872823476791382E-2</v>
      </c>
      <c r="EF4" s="11">
        <v>-7.6828889548778534E-2</v>
      </c>
    </row>
    <row r="5" spans="1:136">
      <c r="A5" s="1"/>
      <c r="B5" s="2" t="s">
        <v>138</v>
      </c>
      <c r="C5" s="11">
        <v>0.50836324691772461</v>
      </c>
      <c r="D5" s="11">
        <v>0.76913774013519287</v>
      </c>
      <c r="E5" s="11">
        <v>0.54195535182952881</v>
      </c>
      <c r="F5" s="11">
        <v>1.1543282270431521</v>
      </c>
      <c r="G5" s="11">
        <v>0.54750555753707886</v>
      </c>
      <c r="H5" s="11">
        <v>0.91896617412567139</v>
      </c>
      <c r="I5" s="11">
        <v>0.66497212648391724</v>
      </c>
      <c r="J5" s="11">
        <v>0.96098613739013672</v>
      </c>
      <c r="K5" s="11">
        <v>1.069318890571594</v>
      </c>
      <c r="L5" s="11">
        <v>0.58301490545272827</v>
      </c>
      <c r="M5" s="11">
        <v>0.48336148262023931</v>
      </c>
      <c r="N5" s="11">
        <v>0.4335099458694458</v>
      </c>
      <c r="O5" s="11">
        <v>6.3416294753551483E-2</v>
      </c>
      <c r="P5" s="11">
        <v>3.3898822963237762E-2</v>
      </c>
      <c r="Q5" s="11">
        <v>-0.63935673236846924</v>
      </c>
      <c r="R5" s="11">
        <v>-5.0250470638275153E-2</v>
      </c>
      <c r="S5" s="11">
        <v>6.6091194748878479E-2</v>
      </c>
      <c r="T5" s="11">
        <v>-6.0526482760906219E-2</v>
      </c>
      <c r="U5" s="11">
        <v>-5.0881840288639069E-2</v>
      </c>
      <c r="V5" s="11">
        <v>0.12953431904315951</v>
      </c>
      <c r="W5" s="11">
        <v>0.1782713979482651</v>
      </c>
      <c r="X5" s="11">
        <v>0.22364641726017001</v>
      </c>
      <c r="Y5" s="11">
        <v>0.2607954740524292</v>
      </c>
      <c r="Z5" s="11">
        <v>0.17032516002655029</v>
      </c>
      <c r="AA5" s="11">
        <v>0.14871090650558469</v>
      </c>
      <c r="AB5" s="11">
        <v>0.13639476895332339</v>
      </c>
      <c r="AC5" s="11">
        <v>0.1064975261688232</v>
      </c>
      <c r="AD5" s="11">
        <v>0.1051289364695549</v>
      </c>
      <c r="AE5" s="11">
        <v>9.8157517611980438E-2</v>
      </c>
      <c r="AF5" s="11">
        <v>8.0513276159763336E-2</v>
      </c>
      <c r="AG5" s="11">
        <v>5.8855693787336349E-2</v>
      </c>
      <c r="AH5" s="11">
        <v>3.0879952013492581E-2</v>
      </c>
      <c r="AI5" s="11">
        <v>-1.261719036847353E-2</v>
      </c>
      <c r="AJ5" s="11">
        <v>4.1990965604782098E-2</v>
      </c>
      <c r="AK5" s="11">
        <v>7.5650393962860107E-2</v>
      </c>
      <c r="AL5" s="11">
        <v>6.6236443817615509E-2</v>
      </c>
      <c r="AM5" s="11">
        <v>3.2869942486286163E-2</v>
      </c>
      <c r="AN5" s="11">
        <v>3.6517307162284851E-2</v>
      </c>
      <c r="AO5" s="11">
        <v>6.8531297147274017E-2</v>
      </c>
      <c r="AP5" s="11">
        <v>6.5215103328227997E-2</v>
      </c>
      <c r="AQ5" s="11">
        <v>0.1400775462388992</v>
      </c>
      <c r="AR5" s="11">
        <v>0.16342324018478391</v>
      </c>
      <c r="AS5" s="11">
        <v>0.18792152404785159</v>
      </c>
      <c r="AT5" s="11">
        <v>0.19995155930519101</v>
      </c>
      <c r="AU5" s="11">
        <v>0.19402837753295901</v>
      </c>
      <c r="AV5" s="11">
        <v>0.15869356691837311</v>
      </c>
      <c r="AW5" s="11">
        <v>-3.568306565284729E-2</v>
      </c>
      <c r="AX5" s="11">
        <v>3.6226339638233178E-2</v>
      </c>
      <c r="AY5" s="11">
        <v>0.1132773458957672</v>
      </c>
      <c r="AZ5" s="11">
        <v>0.104707270860672</v>
      </c>
      <c r="BA5" s="11">
        <v>6.849505752325058E-2</v>
      </c>
      <c r="BB5" s="11">
        <v>-7.3811113834381104E-3</v>
      </c>
      <c r="BC5" s="11">
        <v>-3.7875480949878693E-2</v>
      </c>
      <c r="BD5" s="11">
        <v>-2.379884384572506E-2</v>
      </c>
      <c r="BE5" s="11">
        <v>1.822005026042461E-3</v>
      </c>
      <c r="BF5" s="11">
        <v>-2.3551452904939651E-2</v>
      </c>
      <c r="BG5" s="11">
        <v>5.2555324509739876E-4</v>
      </c>
      <c r="BH5" s="11">
        <v>5.9344802051782608E-2</v>
      </c>
      <c r="BI5" s="11">
        <v>1.4028729870915409E-2</v>
      </c>
      <c r="BJ5" s="11">
        <v>8.2117840647697449E-3</v>
      </c>
      <c r="BK5" s="11">
        <v>5.5602390319108963E-2</v>
      </c>
      <c r="BL5" s="11">
        <v>-3.1602058559656143E-2</v>
      </c>
      <c r="BM5" s="11">
        <v>6.5659098327159882E-2</v>
      </c>
      <c r="BN5" s="11">
        <v>-5.0475221127271652E-2</v>
      </c>
      <c r="BO5" s="11">
        <v>-5.4688155651092529E-2</v>
      </c>
      <c r="BP5" s="11">
        <v>-3.0284570530056949E-3</v>
      </c>
      <c r="BQ5" s="11">
        <v>7.9566333442926407E-3</v>
      </c>
      <c r="BR5" s="11">
        <v>-2.7654411271214489E-2</v>
      </c>
      <c r="BS5" s="11">
        <v>-6.0201874002814293E-3</v>
      </c>
      <c r="BT5" s="11">
        <v>4.3329164385795593E-2</v>
      </c>
      <c r="BU5" s="11">
        <v>4.8520129173994057E-2</v>
      </c>
      <c r="BV5" s="11">
        <v>0.14270420372486109</v>
      </c>
      <c r="BW5" s="11">
        <v>0.13052307069301611</v>
      </c>
      <c r="BX5" s="11">
        <v>5.2400790154933929E-2</v>
      </c>
      <c r="BY5" s="11">
        <v>6.0546338558197021E-2</v>
      </c>
      <c r="BZ5" s="11">
        <v>5.7873823679983616E-3</v>
      </c>
      <c r="CA5" s="11">
        <v>-2.9747102409601212E-2</v>
      </c>
      <c r="CB5" s="11">
        <v>-3.9389632642269128E-2</v>
      </c>
      <c r="CC5" s="11">
        <v>1.370896119624376E-2</v>
      </c>
      <c r="CD5" s="11">
        <v>1.4963460154831409E-2</v>
      </c>
      <c r="CE5" s="11">
        <v>1.9200652837753299E-2</v>
      </c>
      <c r="CF5" s="11">
        <v>4.381309449672699E-2</v>
      </c>
      <c r="CG5" s="11">
        <v>3.0113250017166141E-2</v>
      </c>
      <c r="CH5" s="11">
        <v>4.3025322258472443E-2</v>
      </c>
      <c r="CI5" s="11">
        <v>2.937228232622147E-2</v>
      </c>
      <c r="CJ5" s="11">
        <v>4.1782274842262268E-2</v>
      </c>
      <c r="CK5" s="11">
        <v>3.7300810217857361E-2</v>
      </c>
      <c r="CL5" s="11">
        <v>6.0941599309444427E-2</v>
      </c>
      <c r="CM5" s="11">
        <v>-3.8412053138017647E-2</v>
      </c>
      <c r="CN5" s="11">
        <v>2.307451143860817E-2</v>
      </c>
      <c r="CO5" s="11">
        <v>0.1589557081460953</v>
      </c>
      <c r="CP5" s="11">
        <v>-3.6965128034353263E-2</v>
      </c>
      <c r="CQ5" s="11">
        <v>6.9797366857528687E-2</v>
      </c>
      <c r="CR5" s="11">
        <v>-3.3767849206924438E-2</v>
      </c>
      <c r="CS5" s="11">
        <v>2.6915153488516811E-2</v>
      </c>
      <c r="CT5" s="11">
        <v>5.3638488054275513E-2</v>
      </c>
      <c r="CU5" s="11">
        <v>6.3532985746860504E-2</v>
      </c>
      <c r="CV5" s="11">
        <v>5.5906884372234338E-2</v>
      </c>
      <c r="CW5" s="11">
        <v>4.8717334866523743E-2</v>
      </c>
      <c r="CX5" s="11">
        <v>3.1909029930830002E-2</v>
      </c>
      <c r="CY5" s="11">
        <v>2.966258488595486E-2</v>
      </c>
      <c r="CZ5" s="11">
        <v>3.6755949258804321E-2</v>
      </c>
      <c r="DA5" s="11">
        <v>2.631759271025658E-2</v>
      </c>
      <c r="DB5" s="11">
        <v>2.7680350467562679E-2</v>
      </c>
      <c r="DC5" s="11">
        <v>3.7085290998220437E-2</v>
      </c>
      <c r="DD5" s="11">
        <v>1.9733298569917679E-2</v>
      </c>
      <c r="DE5" s="11">
        <v>4.1370406746864319E-2</v>
      </c>
      <c r="DF5" s="11">
        <v>4.0565907955169678E-2</v>
      </c>
      <c r="DG5" s="11">
        <v>3.3224057406187057E-2</v>
      </c>
      <c r="DH5" s="11">
        <v>2.4580571800470349E-2</v>
      </c>
      <c r="DI5" s="11">
        <v>-2.881684526801109E-2</v>
      </c>
      <c r="DJ5" s="11">
        <v>2.9332105070352551E-2</v>
      </c>
      <c r="DK5" s="11">
        <v>3.2709039747715003E-2</v>
      </c>
      <c r="DL5" s="11">
        <v>3.5447288304567337E-2</v>
      </c>
      <c r="DM5" s="11">
        <v>4.903421550989151E-2</v>
      </c>
      <c r="DN5" s="11">
        <v>-0.11219848692417141</v>
      </c>
      <c r="DO5" s="11">
        <v>5.3319718688726432E-2</v>
      </c>
      <c r="DP5" s="11">
        <v>5.3090192377567291E-2</v>
      </c>
      <c r="DQ5" s="11">
        <v>6.7249387502670288E-2</v>
      </c>
      <c r="DR5" s="11">
        <v>3.8297854363918298E-2</v>
      </c>
      <c r="DS5" s="11">
        <v>4.5268747955560677E-2</v>
      </c>
      <c r="DT5" s="11">
        <v>8.5754990577697754E-3</v>
      </c>
      <c r="DU5" s="11">
        <v>1.5342086553573611E-3</v>
      </c>
      <c r="DV5" s="11">
        <v>3.8169108331203461E-2</v>
      </c>
      <c r="DW5" s="11">
        <v>3.0193541198968891E-2</v>
      </c>
      <c r="DX5" s="11">
        <v>3.4144993871450417E-2</v>
      </c>
      <c r="DY5" s="11">
        <v>5.4498199373483658E-2</v>
      </c>
      <c r="DZ5" s="11">
        <v>4.3653316795825958E-2</v>
      </c>
      <c r="EA5" s="11">
        <v>2.1745305508375171E-2</v>
      </c>
      <c r="EB5" s="11">
        <v>6.247103214263916E-3</v>
      </c>
      <c r="EC5" s="11">
        <v>2.142295241355896E-2</v>
      </c>
      <c r="ED5" s="11">
        <v>1.7024625092744831E-2</v>
      </c>
      <c r="EE5" s="11">
        <v>5.3500138223171227E-2</v>
      </c>
      <c r="EF5" s="11">
        <v>5.7897597551345832E-2</v>
      </c>
    </row>
    <row r="7" spans="1:136">
      <c r="A7" t="s">
        <v>243</v>
      </c>
    </row>
    <row r="8" spans="1:136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51</v>
      </c>
      <c r="BA8" t="s">
        <v>52</v>
      </c>
      <c r="BB8" t="s">
        <v>53</v>
      </c>
      <c r="BC8" t="s">
        <v>54</v>
      </c>
      <c r="BD8" t="s">
        <v>55</v>
      </c>
      <c r="BE8" t="s">
        <v>56</v>
      </c>
      <c r="BF8" t="s">
        <v>57</v>
      </c>
      <c r="BG8" t="s">
        <v>58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69</v>
      </c>
      <c r="BS8" t="s">
        <v>70</v>
      </c>
      <c r="BT8" t="s">
        <v>71</v>
      </c>
      <c r="BU8" t="s">
        <v>72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86</v>
      </c>
      <c r="CJ8" t="s">
        <v>87</v>
      </c>
      <c r="CK8" t="s">
        <v>88</v>
      </c>
      <c r="CL8" t="s">
        <v>89</v>
      </c>
      <c r="CM8" t="s">
        <v>90</v>
      </c>
      <c r="CN8" t="s">
        <v>91</v>
      </c>
      <c r="CO8" t="s">
        <v>92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98</v>
      </c>
      <c r="CV8" t="s">
        <v>99</v>
      </c>
      <c r="CW8" t="s">
        <v>100</v>
      </c>
      <c r="CX8" t="s">
        <v>101</v>
      </c>
      <c r="CY8" t="s">
        <v>102</v>
      </c>
      <c r="CZ8" t="s">
        <v>103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113</v>
      </c>
      <c r="DK8" t="s">
        <v>114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121</v>
      </c>
      <c r="DS8" t="s">
        <v>122</v>
      </c>
      <c r="DT8" t="s">
        <v>123</v>
      </c>
      <c r="DU8" t="s">
        <v>124</v>
      </c>
      <c r="DV8" t="s">
        <v>125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</row>
    <row r="9" spans="1:136">
      <c r="B9" t="s">
        <v>136</v>
      </c>
      <c r="C9" s="15">
        <v>0.109105830631824</v>
      </c>
      <c r="D9" s="15">
        <v>1.4576582608432649E-2</v>
      </c>
      <c r="E9" s="15">
        <v>-3.6154356576976902E-2</v>
      </c>
      <c r="F9" s="15">
        <v>-4.742600977062153E-3</v>
      </c>
      <c r="G9" s="15">
        <v>-5.7477531385562736E-3</v>
      </c>
      <c r="H9" s="15">
        <v>4.9378023156909527E-2</v>
      </c>
      <c r="I9" s="15">
        <v>0.18325176920476779</v>
      </c>
      <c r="J9" s="15">
        <v>0.1164863088741452</v>
      </c>
      <c r="K9" s="15">
        <v>-3.0594945598924051E-2</v>
      </c>
      <c r="L9" s="15">
        <v>1.9828051430277011E-2</v>
      </c>
      <c r="M9" s="15">
        <v>-2.0999006362740089E-2</v>
      </c>
      <c r="N9" s="15">
        <v>0.1497794247734946</v>
      </c>
      <c r="O9" s="15">
        <v>1.5463406170905081E-2</v>
      </c>
      <c r="P9" s="15">
        <v>-9.1792321477913982E-2</v>
      </c>
      <c r="Q9" s="15">
        <v>-7.7409013100986537E-2</v>
      </c>
      <c r="R9" s="15">
        <v>5.4776596014220982E-2</v>
      </c>
      <c r="S9" s="15">
        <v>-0.12533438670858049</v>
      </c>
      <c r="T9" s="15">
        <v>-0.1190534205538864</v>
      </c>
      <c r="U9" s="15">
        <v>-3.777005083138045E-2</v>
      </c>
      <c r="V9" s="15">
        <v>8.1183823152198617E-2</v>
      </c>
      <c r="W9" s="15">
        <v>8.4008967865119855E-2</v>
      </c>
      <c r="X9" s="15">
        <v>0.14701135657134901</v>
      </c>
      <c r="Y9" s="15">
        <v>-0.12536053701812139</v>
      </c>
      <c r="Z9" s="15">
        <v>0.1919535535452612</v>
      </c>
      <c r="AA9" s="15">
        <v>-8.4370782422902996E-2</v>
      </c>
      <c r="AB9" s="15">
        <v>7.2897613803716274E-2</v>
      </c>
      <c r="AC9" s="15">
        <v>0.10260456025692451</v>
      </c>
      <c r="AD9" s="15">
        <v>1.5770167253116588E-2</v>
      </c>
      <c r="AE9" s="15">
        <v>-0.15200716210156701</v>
      </c>
      <c r="AF9" s="15">
        <v>5.9250251506559243E-2</v>
      </c>
      <c r="AG9" s="15">
        <v>0.13005883770177931</v>
      </c>
      <c r="AH9" s="15">
        <v>0.11525639530312259</v>
      </c>
      <c r="AI9" s="15">
        <v>3.2606621901195412E-2</v>
      </c>
      <c r="AJ9" s="15">
        <v>2.79991148643382E-2</v>
      </c>
      <c r="AK9" s="15">
        <v>0.14657041796408479</v>
      </c>
      <c r="AL9" s="15">
        <v>4.0841921466891577E-2</v>
      </c>
      <c r="AM9" s="15">
        <v>0.13137636706820099</v>
      </c>
      <c r="AN9" s="15">
        <v>0.22143295930140211</v>
      </c>
      <c r="AO9" s="15">
        <v>-2.0941038924054418E-2</v>
      </c>
      <c r="AP9" s="15">
        <v>-0.13715995040864579</v>
      </c>
      <c r="AQ9" s="15">
        <v>-2.4882854865750599E-2</v>
      </c>
      <c r="AR9" s="15">
        <v>1.551397070984222E-2</v>
      </c>
      <c r="AS9" s="15">
        <v>3.4373036510765703E-2</v>
      </c>
      <c r="AT9" s="15">
        <v>6.3095686135752824E-2</v>
      </c>
      <c r="AU9" s="15">
        <v>4.3237695395113553E-2</v>
      </c>
      <c r="AV9" s="15">
        <v>-7.4230367380587331E-2</v>
      </c>
      <c r="AW9" s="15">
        <v>2.7994827208502701E-2</v>
      </c>
      <c r="AX9" s="15">
        <v>0.1198644178103629</v>
      </c>
      <c r="AY9" s="15">
        <v>7.6559571245744709E-2</v>
      </c>
      <c r="AZ9" s="15">
        <v>-2.1730386111293399E-2</v>
      </c>
      <c r="BA9" s="15">
        <v>-1.2464632784982711E-3</v>
      </c>
      <c r="BB9" s="15">
        <v>0.10099582217884891</v>
      </c>
      <c r="BC9" s="15">
        <v>2.9826929857085831E-2</v>
      </c>
      <c r="BD9" s="15">
        <v>8.6757683796749117E-3</v>
      </c>
      <c r="BE9" s="15">
        <v>6.8557206018591665E-2</v>
      </c>
      <c r="BF9" s="15">
        <v>0.15691259652648329</v>
      </c>
      <c r="BG9" s="15">
        <v>0.1592037331379933</v>
      </c>
      <c r="BH9" s="15">
        <v>6.1121667651573217E-2</v>
      </c>
      <c r="BI9" s="15">
        <v>9.6912851275401127E-2</v>
      </c>
      <c r="BJ9" s="15">
        <v>-5.4746248471514068E-2</v>
      </c>
      <c r="BK9" s="15">
        <v>-8.7492963132843785E-2</v>
      </c>
      <c r="BL9" s="15">
        <v>9.4426745861656128E-2</v>
      </c>
      <c r="BM9" s="15">
        <v>-2.2191058729398399E-2</v>
      </c>
      <c r="BN9" s="15">
        <v>1.562861243910833E-2</v>
      </c>
      <c r="BO9" s="15">
        <v>8.1418240100881306E-2</v>
      </c>
      <c r="BP9" s="15">
        <v>-1.8508942424783719E-2</v>
      </c>
      <c r="BQ9" s="15">
        <v>6.8729568027927734E-2</v>
      </c>
      <c r="BR9" s="15">
        <v>3.1023605185006549E-3</v>
      </c>
      <c r="BS9" s="15">
        <v>7.4964417651561921E-2</v>
      </c>
      <c r="BT9" s="15">
        <v>4.5201587698112312E-2</v>
      </c>
      <c r="BU9" s="15">
        <v>2.5677329398223779E-2</v>
      </c>
      <c r="BV9" s="15">
        <v>9.180403106274436E-2</v>
      </c>
      <c r="BW9" s="15">
        <v>-2.6353999034970911E-2</v>
      </c>
      <c r="BX9" s="15">
        <v>1.9394832235212069E-2</v>
      </c>
      <c r="BY9" s="15">
        <v>-7.6838899317359197E-2</v>
      </c>
      <c r="BZ9" s="15">
        <v>0.1133093139289441</v>
      </c>
      <c r="CA9" s="15">
        <v>-0.10735493495839039</v>
      </c>
      <c r="CB9" s="15">
        <v>4.0844788501696747E-2</v>
      </c>
      <c r="CC9" s="15">
        <v>-1.9801708972640539E-2</v>
      </c>
      <c r="CD9" s="15">
        <v>0.1883770899619405</v>
      </c>
      <c r="CE9" s="15">
        <v>5.5574905720929421E-2</v>
      </c>
      <c r="CF9" s="15">
        <v>7.4872074365934668E-2</v>
      </c>
      <c r="CG9" s="15">
        <v>0.1000001919024945</v>
      </c>
      <c r="CH9" s="15">
        <v>0.1360217220005796</v>
      </c>
      <c r="CI9" s="15">
        <v>-9.3741014702459921E-2</v>
      </c>
      <c r="CJ9" s="15">
        <v>3.9305991202356373E-3</v>
      </c>
      <c r="CK9" s="15">
        <v>5.6507776574398372E-2</v>
      </c>
      <c r="CL9" s="15">
        <v>0.26354577822564818</v>
      </c>
      <c r="CM9" s="15">
        <v>-9.5554349157474378E-3</v>
      </c>
      <c r="CN9" s="15">
        <v>-3.1511899508967982E-2</v>
      </c>
      <c r="CO9" s="15">
        <v>-2.2619031528730349E-2</v>
      </c>
      <c r="CP9" s="15">
        <v>0.13265560934539161</v>
      </c>
      <c r="CQ9" s="15">
        <v>0.1330727797426777</v>
      </c>
      <c r="CR9" s="15">
        <v>-1.4956408370414089E-2</v>
      </c>
      <c r="CS9" s="15">
        <v>-3.3419937997587537E-2</v>
      </c>
      <c r="CT9" s="15">
        <v>1.228120855821169E-2</v>
      </c>
      <c r="CU9" s="15">
        <v>0.11681498356736621</v>
      </c>
      <c r="CV9" s="15">
        <v>-3.1589453565969692E-3</v>
      </c>
      <c r="CW9" s="15">
        <v>3.8217758352757383E-2</v>
      </c>
      <c r="CX9" s="15">
        <v>0.13917409482071269</v>
      </c>
      <c r="CY9" s="15">
        <v>-2.3712287606589749E-2</v>
      </c>
      <c r="CZ9" s="15">
        <v>0.21835291106172269</v>
      </c>
      <c r="DA9" s="15">
        <v>-5.796736233046404E-2</v>
      </c>
      <c r="DB9" s="15">
        <v>-1.410421852050941E-2</v>
      </c>
      <c r="DC9" s="15">
        <v>0.11395608079284369</v>
      </c>
      <c r="DD9" s="15">
        <v>7.4472261891957006E-2</v>
      </c>
      <c r="DE9" s="15">
        <v>-8.9969275376677231E-4</v>
      </c>
      <c r="DF9" s="15">
        <v>9.7707180382245536E-4</v>
      </c>
      <c r="DG9" s="15">
        <v>-7.2980095070914866E-2</v>
      </c>
      <c r="DH9" s="15">
        <v>-2.384528684741952E-2</v>
      </c>
      <c r="DI9" s="15">
        <v>-0.101530671996864</v>
      </c>
      <c r="DJ9" s="15">
        <v>2.7692536462605249E-2</v>
      </c>
      <c r="DK9" s="15">
        <v>-4.9335152901351147E-2</v>
      </c>
      <c r="DL9" s="15">
        <v>-5.6993575669654463E-3</v>
      </c>
      <c r="DM9" s="15">
        <v>-3.698176006290884E-2</v>
      </c>
      <c r="DN9" s="15">
        <v>0.1098129862949979</v>
      </c>
      <c r="DO9" s="15">
        <v>4.2036825231170707E-2</v>
      </c>
      <c r="DP9" s="15">
        <v>8.4566668006112469E-2</v>
      </c>
      <c r="DQ9" s="15">
        <v>-0.11027981086457481</v>
      </c>
      <c r="DR9" s="15">
        <v>9.4328709127723676E-2</v>
      </c>
      <c r="DS9" s="15">
        <v>-7.1906912609422696E-2</v>
      </c>
      <c r="DT9" s="15">
        <v>-9.6236429507091506E-2</v>
      </c>
      <c r="DU9" s="15">
        <v>2.3455494098847921E-3</v>
      </c>
      <c r="DV9" s="15">
        <v>0.13401742358239299</v>
      </c>
      <c r="DW9" s="15">
        <v>9.4732519114383587E-2</v>
      </c>
      <c r="DX9" s="15">
        <v>-0.1037731978548066</v>
      </c>
      <c r="DY9" s="15">
        <v>7.5762154171076845E-2</v>
      </c>
      <c r="DZ9" s="15">
        <v>-3.1829720434029513E-2</v>
      </c>
      <c r="EA9" s="15">
        <v>0.16130801932992569</v>
      </c>
      <c r="EB9" s="15">
        <v>1.020353315832318E-2</v>
      </c>
      <c r="EC9" s="15">
        <v>7.3988425168607055E-2</v>
      </c>
      <c r="ED9" s="15">
        <v>-0.15737687498945321</v>
      </c>
      <c r="EE9" s="15">
        <v>7.9137553498671423E-2</v>
      </c>
      <c r="EF9" s="15">
        <v>7.252854687485949E-2</v>
      </c>
    </row>
    <row r="10" spans="1:136">
      <c r="B10" t="s">
        <v>137</v>
      </c>
      <c r="C10" s="15">
        <v>-0.24758870953733739</v>
      </c>
      <c r="D10" s="15">
        <v>-0.27469330301591988</v>
      </c>
      <c r="E10" s="15">
        <v>-8.4648385226775952E-2</v>
      </c>
      <c r="F10" s="15">
        <v>2.264463125499239E-2</v>
      </c>
      <c r="G10" s="15">
        <v>-4.968000079578011E-2</v>
      </c>
      <c r="H10" s="15">
        <v>-0.100759633161552</v>
      </c>
      <c r="I10" s="15">
        <v>-1.2522721374844691E-2</v>
      </c>
      <c r="J10" s="15">
        <v>7.8736550465264579E-2</v>
      </c>
      <c r="K10" s="15">
        <v>-3.418510024326199E-2</v>
      </c>
      <c r="L10" s="15">
        <v>8.8406797789969321E-2</v>
      </c>
      <c r="M10" s="15">
        <v>-3.063454560011507E-3</v>
      </c>
      <c r="N10" s="15">
        <v>-0.21221799304980321</v>
      </c>
      <c r="O10" s="15">
        <v>-3.6805388582279122E-2</v>
      </c>
      <c r="P10" s="15">
        <v>7.1033118877316462E-2</v>
      </c>
      <c r="Q10" s="15">
        <v>-7.1261132998910126E-2</v>
      </c>
      <c r="R10" s="15">
        <v>2.1560446706208151E-2</v>
      </c>
      <c r="S10" s="15">
        <v>0.10111125807516751</v>
      </c>
      <c r="T10" s="15">
        <v>4.3224739792793003E-2</v>
      </c>
      <c r="U10" s="15">
        <v>1.488194958969411E-2</v>
      </c>
      <c r="V10" s="15">
        <v>6.3260243037239986E-3</v>
      </c>
      <c r="W10" s="15">
        <v>-0.1435529784595129</v>
      </c>
      <c r="X10" s="15">
        <v>-6.4282172013507929E-2</v>
      </c>
      <c r="Y10" s="15">
        <v>-1.9034202878042191E-2</v>
      </c>
      <c r="Z10" s="15">
        <v>-2.0644556245472189E-2</v>
      </c>
      <c r="AA10" s="15">
        <v>3.3059540377865217E-2</v>
      </c>
      <c r="AB10" s="15">
        <v>-1.9418226776777941E-2</v>
      </c>
      <c r="AC10" s="15">
        <v>-6.3126838764061721E-2</v>
      </c>
      <c r="AD10" s="15">
        <v>-6.5629712146108229E-2</v>
      </c>
      <c r="AE10" s="15">
        <v>0.1379956892668254</v>
      </c>
      <c r="AF10" s="15">
        <v>-0.1005679184552228</v>
      </c>
      <c r="AG10" s="15">
        <v>-3.7969091150733998E-2</v>
      </c>
      <c r="AH10" s="15">
        <v>-4.5839537807496208E-2</v>
      </c>
      <c r="AI10" s="15">
        <v>-5.1034095516539722E-2</v>
      </c>
      <c r="AJ10" s="15">
        <v>-3.2204408877165632E-3</v>
      </c>
      <c r="AK10" s="15">
        <v>4.8952958975013116E-4</v>
      </c>
      <c r="AL10" s="15">
        <v>-0.1064467536119352</v>
      </c>
      <c r="AM10" s="15">
        <v>-1.3723973583554899E-2</v>
      </c>
      <c r="AN10" s="15">
        <v>-0.1219647076543238</v>
      </c>
      <c r="AO10" s="15">
        <v>-4.858966597382592E-2</v>
      </c>
      <c r="AP10" s="15">
        <v>-1.903150433663008E-3</v>
      </c>
      <c r="AQ10" s="15">
        <v>2.9067484813314101E-2</v>
      </c>
      <c r="AR10" s="15">
        <v>5.2635776863899968E-2</v>
      </c>
      <c r="AS10" s="15">
        <v>-1.289325857571229E-2</v>
      </c>
      <c r="AT10" s="15">
        <v>-2.131134772842519E-3</v>
      </c>
      <c r="AU10" s="15">
        <v>-0.15538438197178719</v>
      </c>
      <c r="AV10" s="15">
        <v>1.268178414302561E-2</v>
      </c>
      <c r="AW10" s="15">
        <v>-1.1942321618877561E-2</v>
      </c>
      <c r="AX10" s="15">
        <v>-4.2537914968475456E-3</v>
      </c>
      <c r="AY10" s="15">
        <v>2.930087158954232E-2</v>
      </c>
      <c r="AZ10" s="15">
        <v>-0.13412750113921701</v>
      </c>
      <c r="BA10" s="15">
        <v>-0.13711152966130111</v>
      </c>
      <c r="BB10" s="15">
        <v>1.7546605068716691E-3</v>
      </c>
      <c r="BC10" s="15">
        <v>2.5117126105990401E-2</v>
      </c>
      <c r="BD10" s="15">
        <v>-0.11960190660895841</v>
      </c>
      <c r="BE10" s="15">
        <v>0.1357616496399312</v>
      </c>
      <c r="BF10" s="15">
        <v>4.7091161676368357E-2</v>
      </c>
      <c r="BG10" s="15">
        <v>-2.605004393557599E-2</v>
      </c>
      <c r="BH10" s="15">
        <v>4.3752773670266483E-2</v>
      </c>
      <c r="BI10" s="15">
        <v>-8.1391827895093402E-2</v>
      </c>
      <c r="BJ10" s="15">
        <v>-0.10060082155953699</v>
      </c>
      <c r="BK10" s="15">
        <v>9.0490079041763594E-2</v>
      </c>
      <c r="BL10" s="15">
        <v>-3.0898458704964389E-2</v>
      </c>
      <c r="BM10" s="15">
        <v>5.8814186622603987E-2</v>
      </c>
      <c r="BN10" s="15">
        <v>8.1345639246770615E-2</v>
      </c>
      <c r="BO10" s="15">
        <v>-7.7164168976593351E-3</v>
      </c>
      <c r="BP10" s="15">
        <v>0.1067348704344353</v>
      </c>
      <c r="BQ10" s="15">
        <v>-2.7156341096342261E-2</v>
      </c>
      <c r="BR10" s="15">
        <v>-5.4431018659150447E-2</v>
      </c>
      <c r="BS10" s="15">
        <v>-6.822927751511014E-2</v>
      </c>
      <c r="BT10" s="15">
        <v>9.8612222991557266E-2</v>
      </c>
      <c r="BU10" s="15">
        <v>0.1283985422991091</v>
      </c>
      <c r="BV10" s="15">
        <v>-7.8402519476778718E-2</v>
      </c>
      <c r="BW10" s="15">
        <v>-0.1191337216524913</v>
      </c>
      <c r="BX10" s="15">
        <v>-4.6890096077604589E-2</v>
      </c>
      <c r="BY10" s="15">
        <v>0.10169834364209621</v>
      </c>
      <c r="BZ10" s="15">
        <v>-2.5680084240218899E-2</v>
      </c>
      <c r="CA10" s="15">
        <v>-8.3301790010408508E-2</v>
      </c>
      <c r="CB10" s="15">
        <v>-0.15782764847875469</v>
      </c>
      <c r="CC10" s="15">
        <v>-7.1052571704280934E-2</v>
      </c>
      <c r="CD10" s="15">
        <v>-7.3875492145199798E-2</v>
      </c>
      <c r="CE10" s="15">
        <v>-0.23678647002516851</v>
      </c>
      <c r="CF10" s="15">
        <v>3.2627706277002622E-2</v>
      </c>
      <c r="CG10" s="15">
        <v>1.3423084626575861E-2</v>
      </c>
      <c r="CH10" s="15">
        <v>-2.7966658799032269E-3</v>
      </c>
      <c r="CI10" s="15">
        <v>4.7925699911805238E-2</v>
      </c>
      <c r="CJ10" s="15">
        <v>-3.2520192681292038E-3</v>
      </c>
      <c r="CK10" s="15">
        <v>-7.570819035307215E-2</v>
      </c>
      <c r="CL10" s="15">
        <v>-4.439725585073561E-2</v>
      </c>
      <c r="CM10" s="15">
        <v>0.17898858319392719</v>
      </c>
      <c r="CN10" s="15">
        <v>5.799426642317386E-2</v>
      </c>
      <c r="CO10" s="15">
        <v>-0.13939018969183081</v>
      </c>
      <c r="CP10" s="15">
        <v>6.4714670503515537E-2</v>
      </c>
      <c r="CQ10" s="15">
        <v>-0.18118788880647541</v>
      </c>
      <c r="CR10" s="15">
        <v>-8.8633532328162568E-2</v>
      </c>
      <c r="CS10" s="15">
        <v>-2.532177470861038E-2</v>
      </c>
      <c r="CT10" s="15">
        <v>-0.11307907407472829</v>
      </c>
      <c r="CU10" s="15">
        <v>8.095957294189474E-3</v>
      </c>
      <c r="CV10" s="15">
        <v>-4.5200208394220349E-2</v>
      </c>
      <c r="CW10" s="15">
        <v>-5.8941225467328592E-2</v>
      </c>
      <c r="CX10" s="15">
        <v>-0.1077283016776811</v>
      </c>
      <c r="CY10" s="15">
        <v>-9.6503499496267492E-2</v>
      </c>
      <c r="CZ10" s="15">
        <v>-0.2103543453191653</v>
      </c>
      <c r="DA10" s="15">
        <v>-0.10996113735654101</v>
      </c>
      <c r="DB10" s="15">
        <v>-0.1908204716293295</v>
      </c>
      <c r="DC10" s="15">
        <v>-2.0727272402408872E-2</v>
      </c>
      <c r="DD10" s="15">
        <v>8.7029095351123936E-2</v>
      </c>
      <c r="DE10" s="15">
        <v>8.2024592921593045E-2</v>
      </c>
      <c r="DF10" s="15">
        <v>-0.166876664789437</v>
      </c>
      <c r="DG10" s="15">
        <v>0.22243808581717431</v>
      </c>
      <c r="DH10" s="15">
        <v>-0.144297746243673</v>
      </c>
      <c r="DI10" s="15">
        <v>-0.1196199522370443</v>
      </c>
      <c r="DJ10" s="15">
        <v>-0.10159274396951661</v>
      </c>
      <c r="DK10" s="15">
        <v>9.2855058740681395E-2</v>
      </c>
      <c r="DL10" s="15">
        <v>-4.2630490096108087E-2</v>
      </c>
      <c r="DM10" s="15">
        <v>8.2732072899953643E-2</v>
      </c>
      <c r="DN10" s="15">
        <v>-3.1049452465540091E-2</v>
      </c>
      <c r="DO10" s="15">
        <v>-9.8141990492640205E-2</v>
      </c>
      <c r="DP10" s="15">
        <v>-0.13058888143944061</v>
      </c>
      <c r="DQ10" s="15">
        <v>4.8655718251279387E-2</v>
      </c>
      <c r="DR10" s="15">
        <v>-3.9251909935401189E-2</v>
      </c>
      <c r="DS10" s="15">
        <v>-0.1610301993932845</v>
      </c>
      <c r="DT10" s="15">
        <v>-7.8883966483063367E-2</v>
      </c>
      <c r="DU10" s="15">
        <v>0.16407715854109439</v>
      </c>
      <c r="DV10" s="15">
        <v>7.5052515397744431E-3</v>
      </c>
      <c r="DW10" s="15">
        <v>-0.1016452501185193</v>
      </c>
      <c r="DX10" s="15">
        <v>-5.6040292492535823E-2</v>
      </c>
      <c r="DY10" s="15">
        <v>-0.1066566396478186</v>
      </c>
      <c r="DZ10" s="15">
        <v>-6.9186575508287662E-2</v>
      </c>
      <c r="EA10" s="15">
        <v>-0.12618865773840809</v>
      </c>
      <c r="EB10" s="15">
        <v>-6.4737118328050736E-2</v>
      </c>
      <c r="EC10" s="15">
        <v>5.142607344157852E-2</v>
      </c>
      <c r="ED10" s="15">
        <v>3.4496728436731378E-2</v>
      </c>
      <c r="EE10" s="15">
        <v>0.15767759835539891</v>
      </c>
      <c r="EF10" s="15">
        <v>-0.12718001699129389</v>
      </c>
    </row>
    <row r="11" spans="1:136">
      <c r="B11" t="s">
        <v>138</v>
      </c>
      <c r="C11" s="15">
        <v>-5.4244781267602057E-2</v>
      </c>
      <c r="D11" s="15">
        <v>4.5377022463556939E-2</v>
      </c>
      <c r="E11" s="15">
        <v>-1.7752272607948309E-2</v>
      </c>
      <c r="F11" s="15">
        <v>-8.7687354470119203E-2</v>
      </c>
      <c r="G11" s="15">
        <v>0.1027592597916023</v>
      </c>
      <c r="H11" s="15">
        <v>2.5113717342445511E-3</v>
      </c>
      <c r="I11" s="15">
        <v>-1.8303552483615069E-2</v>
      </c>
      <c r="J11" s="15">
        <v>2.2110525104917209E-2</v>
      </c>
      <c r="K11" s="15">
        <v>7.7258045731841044E-2</v>
      </c>
      <c r="L11" s="15">
        <v>9.3440783982297517E-3</v>
      </c>
      <c r="M11" s="15">
        <v>5.3602181204841143E-2</v>
      </c>
      <c r="N11" s="15">
        <v>-6.7877357290963961E-2</v>
      </c>
      <c r="O11" s="15">
        <v>6.4929886491987929E-2</v>
      </c>
      <c r="P11" s="15">
        <v>4.8806817542238106E-3</v>
      </c>
      <c r="Q11" s="15">
        <v>1.919781824762783E-2</v>
      </c>
      <c r="R11" s="15">
        <v>-5.4653492448842392E-3</v>
      </c>
      <c r="S11" s="15">
        <v>3.6551467134004201E-2</v>
      </c>
      <c r="T11" s="15">
        <v>0.12918506866843241</v>
      </c>
      <c r="U11" s="15">
        <v>1.369240766293847E-2</v>
      </c>
      <c r="V11" s="15">
        <v>1.529525194063162E-2</v>
      </c>
      <c r="W11" s="15">
        <v>-0.10468571910271469</v>
      </c>
      <c r="X11" s="15">
        <v>-0.29384805056845642</v>
      </c>
      <c r="Y11" s="15">
        <v>5.9212485033458218E-2</v>
      </c>
      <c r="Z11" s="15">
        <v>-0.18494831245363619</v>
      </c>
      <c r="AA11" s="15">
        <v>9.8247438772127521E-2</v>
      </c>
      <c r="AB11" s="15">
        <v>-6.5734107189282197E-4</v>
      </c>
      <c r="AC11" s="15">
        <v>-0.1036861156532312</v>
      </c>
      <c r="AD11" s="15">
        <v>3.5450938075395509E-3</v>
      </c>
      <c r="AE11" s="15">
        <v>0.17560148677061019</v>
      </c>
      <c r="AF11" s="15">
        <v>-0.1550331010885124</v>
      </c>
      <c r="AG11" s="15">
        <v>-2.6328625232284051E-2</v>
      </c>
      <c r="AH11" s="15">
        <v>-4.9988101579694936E-3</v>
      </c>
      <c r="AI11" s="15">
        <v>2.8067714594873169E-2</v>
      </c>
      <c r="AJ11" s="15">
        <v>-2.2384193940381401E-2</v>
      </c>
      <c r="AK11" s="15">
        <v>-4.7020825392250949E-2</v>
      </c>
      <c r="AL11" s="15">
        <v>-0.10156151199043489</v>
      </c>
      <c r="AM11" s="15">
        <v>2.3525148704495701E-2</v>
      </c>
      <c r="AN11" s="15">
        <v>5.2525230105422573E-2</v>
      </c>
      <c r="AO11" s="15">
        <v>5.8502893637957562E-2</v>
      </c>
      <c r="AP11" s="15">
        <v>3.3447356041428761E-2</v>
      </c>
      <c r="AQ11" s="15">
        <v>1.430036545094069E-2</v>
      </c>
      <c r="AR11" s="15">
        <v>3.5903594729592501E-2</v>
      </c>
      <c r="AS11" s="15">
        <v>3.9782285287992311E-2</v>
      </c>
      <c r="AT11" s="15">
        <v>0.1484561956282951</v>
      </c>
      <c r="AU11" s="15">
        <v>-4.078729487218978E-2</v>
      </c>
      <c r="AV11" s="15">
        <v>0.13895895413073689</v>
      </c>
      <c r="AW11" s="15">
        <v>5.9863283397122782E-2</v>
      </c>
      <c r="AX11" s="15">
        <v>-0.1497898129881709</v>
      </c>
      <c r="AY11" s="15">
        <v>6.1595851435820623E-2</v>
      </c>
      <c r="AZ11" s="15">
        <v>-6.1949751488506538E-2</v>
      </c>
      <c r="BA11" s="15">
        <v>-2.389264381020083E-3</v>
      </c>
      <c r="BB11" s="15">
        <v>-0.14887029613688371</v>
      </c>
      <c r="BC11" s="15">
        <v>6.0350517971681748E-2</v>
      </c>
      <c r="BD11" s="15">
        <v>-1.468575255625916E-2</v>
      </c>
      <c r="BE11" s="15">
        <v>-0.14651529968819679</v>
      </c>
      <c r="BF11" s="15">
        <v>-0.2087626486148127</v>
      </c>
      <c r="BG11" s="15">
        <v>-0.20144325578474859</v>
      </c>
      <c r="BH11" s="15">
        <v>-0.11804991677814031</v>
      </c>
      <c r="BI11" s="15">
        <v>-7.7026576071686378E-2</v>
      </c>
      <c r="BJ11" s="15">
        <v>-3.6220317042829728E-2</v>
      </c>
      <c r="BK11" s="15">
        <v>-1.8907268725092598E-2</v>
      </c>
      <c r="BL11" s="15">
        <v>-0.17125563757433929</v>
      </c>
      <c r="BM11" s="15">
        <v>0.13291749710961351</v>
      </c>
      <c r="BN11" s="15">
        <v>-3.5907701607395578E-2</v>
      </c>
      <c r="BO11" s="15">
        <v>2.1344518209370389E-2</v>
      </c>
      <c r="BP11" s="15">
        <v>4.9634822871427897E-2</v>
      </c>
      <c r="BQ11" s="15">
        <v>-1.7211216417584319E-2</v>
      </c>
      <c r="BR11" s="15">
        <v>0.18982724311105359</v>
      </c>
      <c r="BS11" s="15">
        <v>-9.7605037382284945E-2</v>
      </c>
      <c r="BT11" s="15">
        <v>3.7831444138355132E-2</v>
      </c>
      <c r="BU11" s="15">
        <v>5.6008305208474198E-2</v>
      </c>
      <c r="BV11" s="15">
        <v>-0.1167370363031352</v>
      </c>
      <c r="BW11" s="15">
        <v>-0.1413229882478122</v>
      </c>
      <c r="BX11" s="15">
        <v>-3.3770258788579869E-3</v>
      </c>
      <c r="BY11" s="15">
        <v>0.13033606071126891</v>
      </c>
      <c r="BZ11" s="15">
        <v>3.1697731081681189E-2</v>
      </c>
      <c r="CA11" s="15">
        <v>4.0555037474470507E-2</v>
      </c>
      <c r="CB11" s="15">
        <v>-4.2037331365292897E-2</v>
      </c>
      <c r="CC11" s="15">
        <v>5.0013723389441531E-2</v>
      </c>
      <c r="CD11" s="15">
        <v>-6.8456279312897411E-2</v>
      </c>
      <c r="CE11" s="15">
        <v>-8.0832090081974353E-2</v>
      </c>
      <c r="CF11" s="15">
        <v>-1.948310790200239E-3</v>
      </c>
      <c r="CG11" s="15">
        <v>-0.1182090018050031</v>
      </c>
      <c r="CH11" s="15">
        <v>-3.67198859644461E-2</v>
      </c>
      <c r="CI11" s="15">
        <v>-8.3332793120616616E-2</v>
      </c>
      <c r="CJ11" s="15">
        <v>0.23067286701975129</v>
      </c>
      <c r="CK11" s="15">
        <v>0.1327785225954993</v>
      </c>
      <c r="CL11" s="15">
        <v>0.1412873189704931</v>
      </c>
      <c r="CM11" s="15">
        <v>-0.11268938730850959</v>
      </c>
      <c r="CN11" s="15">
        <v>0.22348855763592371</v>
      </c>
      <c r="CO11" s="15">
        <v>-0.10441916957268479</v>
      </c>
      <c r="CP11" s="15">
        <v>-1.442822447791231E-2</v>
      </c>
      <c r="CQ11" s="15">
        <v>-0.20723337326778599</v>
      </c>
      <c r="CR11" s="15">
        <v>-0.1348638695123113</v>
      </c>
      <c r="CS11" s="15">
        <v>7.3007738807373504E-2</v>
      </c>
      <c r="CT11" s="15">
        <v>-3.0218378407130288E-2</v>
      </c>
      <c r="CU11" s="15">
        <v>-0.28688917437274702</v>
      </c>
      <c r="CV11" s="15">
        <v>0.2307305381875536</v>
      </c>
      <c r="CW11" s="15">
        <v>9.1075698514216888E-2</v>
      </c>
      <c r="CX11" s="15">
        <v>-0.1224857321642277</v>
      </c>
      <c r="CY11" s="15">
        <v>7.8381925305362449E-2</v>
      </c>
      <c r="CZ11" s="15">
        <v>-4.5950103566863888E-2</v>
      </c>
      <c r="DA11" s="15">
        <v>8.2670164530151122E-2</v>
      </c>
      <c r="DB11" s="15">
        <v>0.14934927010032351</v>
      </c>
      <c r="DC11" s="15">
        <v>-4.7798705164587528E-2</v>
      </c>
      <c r="DD11" s="15">
        <v>-0.1645134604307108</v>
      </c>
      <c r="DE11" s="15">
        <v>-0.1105683533423189</v>
      </c>
      <c r="DF11" s="15">
        <v>5.7416867202733347E-2</v>
      </c>
      <c r="DG11" s="15">
        <v>-0.21489021548963169</v>
      </c>
      <c r="DH11" s="15">
        <v>6.2997155047871164E-2</v>
      </c>
      <c r="DI11" s="15">
        <v>6.7721109014009601E-2</v>
      </c>
      <c r="DJ11" s="15">
        <v>0.1188020770386063</v>
      </c>
      <c r="DK11" s="15">
        <v>7.2827306455158416E-3</v>
      </c>
      <c r="DL11" s="15">
        <v>7.1320599005857979E-2</v>
      </c>
      <c r="DM11" s="15">
        <v>2.1021900655620821E-2</v>
      </c>
      <c r="DN11" s="15">
        <v>-3.0403223939335849E-2</v>
      </c>
      <c r="DO11" s="15">
        <v>-9.694965661135331E-2</v>
      </c>
      <c r="DP11" s="15">
        <v>-0.23067649178859881</v>
      </c>
      <c r="DQ11" s="15">
        <v>0.238184312236043</v>
      </c>
      <c r="DR11" s="15">
        <v>3.5748752036958448E-3</v>
      </c>
      <c r="DS11" s="15">
        <v>0.13395561672683809</v>
      </c>
      <c r="DT11" s="15">
        <v>0.11510609642796051</v>
      </c>
      <c r="DU11" s="15">
        <v>0.1040797891887878</v>
      </c>
      <c r="DV11" s="15">
        <v>-5.4611063064875308E-2</v>
      </c>
      <c r="DW11" s="15">
        <v>-3.3290193961398547E-2</v>
      </c>
      <c r="DX11" s="15">
        <v>5.5094916778075383E-2</v>
      </c>
      <c r="DY11" s="15">
        <v>6.8793773385234666E-2</v>
      </c>
      <c r="DZ11" s="15">
        <v>1.4480773118257949E-2</v>
      </c>
      <c r="EA11" s="15">
        <v>-0.29313654086030699</v>
      </c>
      <c r="EB11" s="15">
        <v>-0.14097501940218221</v>
      </c>
      <c r="EC11" s="15">
        <v>-1.2209361583162239E-2</v>
      </c>
      <c r="ED11" s="15">
        <v>5.816768758959897E-2</v>
      </c>
      <c r="EE11" s="15">
        <v>-0.14440301349005499</v>
      </c>
      <c r="EF11" s="15">
        <v>-9.7009034240055067E-2</v>
      </c>
    </row>
    <row r="13" spans="1:136">
      <c r="A13" t="s">
        <v>244</v>
      </c>
      <c r="B13" t="s">
        <v>136</v>
      </c>
      <c r="C13" s="16">
        <f t="shared" ref="C13:AH13" si="0">(C3-C9)^2</f>
        <v>4.0190164917369889E-2</v>
      </c>
      <c r="D13" s="16">
        <f t="shared" si="0"/>
        <v>1.5732872136023996E-2</v>
      </c>
      <c r="E13" s="16">
        <f t="shared" si="0"/>
        <v>1.3875609619416493E-3</v>
      </c>
      <c r="F13" s="16">
        <f t="shared" si="0"/>
        <v>1.6818707110188132E-2</v>
      </c>
      <c r="G13" s="16">
        <f t="shared" si="0"/>
        <v>2.8534074683099295E-2</v>
      </c>
      <c r="H13" s="16">
        <f t="shared" si="0"/>
        <v>1.9330210809602052E-3</v>
      </c>
      <c r="I13" s="16">
        <f t="shared" si="0"/>
        <v>4.8006869844579213E-2</v>
      </c>
      <c r="J13" s="16">
        <f t="shared" si="0"/>
        <v>3.7712702246724371E-2</v>
      </c>
      <c r="K13" s="16">
        <f t="shared" si="0"/>
        <v>2.5913735252614526E-4</v>
      </c>
      <c r="L13" s="16">
        <f t="shared" si="0"/>
        <v>4.5541655320473834E-3</v>
      </c>
      <c r="M13" s="16">
        <f t="shared" si="0"/>
        <v>1.3137081395663596E-3</v>
      </c>
      <c r="N13" s="16">
        <f t="shared" si="0"/>
        <v>2.2425842568307909E-2</v>
      </c>
      <c r="O13" s="16">
        <f t="shared" si="0"/>
        <v>2.0775209151724203E-3</v>
      </c>
      <c r="P13" s="16">
        <f t="shared" si="0"/>
        <v>2.6557834441385121E-3</v>
      </c>
      <c r="Q13" s="16">
        <f t="shared" si="0"/>
        <v>6.5815641327442234E-3</v>
      </c>
      <c r="R13" s="16">
        <f t="shared" si="0"/>
        <v>6.5408295769901509E-4</v>
      </c>
      <c r="S13" s="16">
        <f t="shared" si="0"/>
        <v>1.7704923918521048E-2</v>
      </c>
      <c r="T13" s="16">
        <f t="shared" si="0"/>
        <v>3.6548996970150634E-3</v>
      </c>
      <c r="U13" s="16">
        <f t="shared" si="0"/>
        <v>1.4761837361488834E-3</v>
      </c>
      <c r="V13" s="16">
        <f t="shared" si="0"/>
        <v>3.5450125637803739E-2</v>
      </c>
      <c r="W13" s="16">
        <f t="shared" si="0"/>
        <v>7.557488213485046E-2</v>
      </c>
      <c r="X13" s="16">
        <f t="shared" si="0"/>
        <v>4.7616237647976879E-2</v>
      </c>
      <c r="Y13" s="16">
        <f t="shared" si="0"/>
        <v>6.3893989275680201E-4</v>
      </c>
      <c r="Z13" s="16">
        <f t="shared" si="0"/>
        <v>5.8170517295719697E-2</v>
      </c>
      <c r="AA13" s="16">
        <f t="shared" si="0"/>
        <v>4.0838726587091468E-3</v>
      </c>
      <c r="AB13" s="16">
        <f t="shared" si="0"/>
        <v>2.0153935030193578E-2</v>
      </c>
      <c r="AC13" s="16">
        <f t="shared" si="0"/>
        <v>2.3389943136399197E-2</v>
      </c>
      <c r="AD13" s="16">
        <f t="shared" si="0"/>
        <v>1.219227384364167E-3</v>
      </c>
      <c r="AE13" s="16">
        <f t="shared" si="0"/>
        <v>1.9939605106125528E-2</v>
      </c>
      <c r="AF13" s="16">
        <f t="shared" si="0"/>
        <v>2.3926178029655136E-3</v>
      </c>
      <c r="AG13" s="16">
        <f t="shared" si="0"/>
        <v>1.5386662740663151E-2</v>
      </c>
      <c r="AH13" s="16">
        <f t="shared" si="0"/>
        <v>0.14544014790091669</v>
      </c>
      <c r="AI13" s="16">
        <f t="shared" ref="AI13:BN13" si="1">(AI3-AI9)^2</f>
        <v>3.1067109509320085E-2</v>
      </c>
      <c r="AJ13" s="16">
        <f t="shared" si="1"/>
        <v>7.9816712925416158E-2</v>
      </c>
      <c r="AK13" s="16">
        <f t="shared" si="1"/>
        <v>1.4034263989579991E-2</v>
      </c>
      <c r="AL13" s="16">
        <f t="shared" si="1"/>
        <v>8.5718905624196928E-3</v>
      </c>
      <c r="AM13" s="16">
        <f t="shared" si="1"/>
        <v>4.5947447690908055E-2</v>
      </c>
      <c r="AN13" s="16">
        <f t="shared" si="1"/>
        <v>8.5137855502803769E-2</v>
      </c>
      <c r="AO13" s="16">
        <f t="shared" si="1"/>
        <v>3.0930187479334417E-2</v>
      </c>
      <c r="AP13" s="16">
        <f t="shared" si="1"/>
        <v>1.4311957764890044E-2</v>
      </c>
      <c r="AQ13" s="16">
        <f t="shared" si="1"/>
        <v>1.2175903795894596E-3</v>
      </c>
      <c r="AR13" s="16">
        <f t="shared" si="1"/>
        <v>3.2767358833930582E-3</v>
      </c>
      <c r="AS13" s="16">
        <f t="shared" si="1"/>
        <v>1.3530309023495102E-2</v>
      </c>
      <c r="AT13" s="16">
        <f t="shared" si="1"/>
        <v>3.8634155387604882E-2</v>
      </c>
      <c r="AU13" s="16">
        <f t="shared" si="1"/>
        <v>1.5709885008036064E-3</v>
      </c>
      <c r="AV13" s="16">
        <f t="shared" si="1"/>
        <v>6.7617955500900839E-3</v>
      </c>
      <c r="AW13" s="16">
        <f t="shared" si="1"/>
        <v>6.534800432561541E-4</v>
      </c>
      <c r="AX13" s="16">
        <f t="shared" si="1"/>
        <v>1.146842821172276E-2</v>
      </c>
      <c r="AY13" s="16">
        <f t="shared" si="1"/>
        <v>5.4541862011398051E-3</v>
      </c>
      <c r="AZ13" s="16">
        <f t="shared" si="1"/>
        <v>1.3228321990129135E-3</v>
      </c>
      <c r="BA13" s="16">
        <f t="shared" si="1"/>
        <v>1.4270751922424473E-3</v>
      </c>
      <c r="BB13" s="16">
        <f t="shared" si="1"/>
        <v>4.5801003035744461E-3</v>
      </c>
      <c r="BC13" s="16">
        <f t="shared" si="1"/>
        <v>3.420592042163819E-4</v>
      </c>
      <c r="BD13" s="16">
        <f t="shared" si="1"/>
        <v>8.9381147676908507E-5</v>
      </c>
      <c r="BE13" s="16">
        <f t="shared" si="1"/>
        <v>7.3279759875581078E-3</v>
      </c>
      <c r="BF13" s="16">
        <f t="shared" si="1"/>
        <v>3.4469488474732558E-2</v>
      </c>
      <c r="BG13" s="16">
        <f t="shared" si="1"/>
        <v>2.6549333734738317E-2</v>
      </c>
      <c r="BH13" s="16">
        <f t="shared" si="1"/>
        <v>9.3065665424797695E-4</v>
      </c>
      <c r="BI13" s="16">
        <f t="shared" si="1"/>
        <v>9.6488566804929215E-3</v>
      </c>
      <c r="BJ13" s="16">
        <f t="shared" si="1"/>
        <v>1.2044364991821365E-4</v>
      </c>
      <c r="BK13" s="16">
        <f t="shared" si="1"/>
        <v>2.2495553482211909E-3</v>
      </c>
      <c r="BL13" s="16">
        <f t="shared" si="1"/>
        <v>3.363497510428471E-2</v>
      </c>
      <c r="BM13" s="16">
        <f t="shared" si="1"/>
        <v>2.2109020410271426E-7</v>
      </c>
      <c r="BN13" s="16">
        <f t="shared" si="1"/>
        <v>7.0960078597072677E-3</v>
      </c>
      <c r="BO13" s="16">
        <f t="shared" ref="BO13:CT13" si="2">(BO3-BO9)^2</f>
        <v>1.8659555031956366E-2</v>
      </c>
      <c r="BP13" s="16">
        <f t="shared" si="2"/>
        <v>4.4680386496810491E-3</v>
      </c>
      <c r="BQ13" s="16">
        <f t="shared" si="2"/>
        <v>1.1093032734340071E-2</v>
      </c>
      <c r="BR13" s="16">
        <f t="shared" si="2"/>
        <v>1.0679952408176401E-3</v>
      </c>
      <c r="BS13" s="16">
        <f t="shared" si="2"/>
        <v>1.6929474435061025E-3</v>
      </c>
      <c r="BT13" s="16">
        <f t="shared" si="2"/>
        <v>5.3585359708808586E-5</v>
      </c>
      <c r="BU13" s="16">
        <f t="shared" si="2"/>
        <v>5.7166855875548339E-5</v>
      </c>
      <c r="BV13" s="16">
        <f t="shared" si="2"/>
        <v>2.0709883068148758E-3</v>
      </c>
      <c r="BW13" s="16">
        <f t="shared" si="2"/>
        <v>3.786514487437873E-3</v>
      </c>
      <c r="BX13" s="16">
        <f t="shared" si="2"/>
        <v>2.8865452573338552E-5</v>
      </c>
      <c r="BY13" s="16">
        <f t="shared" si="2"/>
        <v>1.2129463874536858E-2</v>
      </c>
      <c r="BZ13" s="16">
        <f t="shared" si="2"/>
        <v>3.7058164094277901E-3</v>
      </c>
      <c r="CA13" s="16">
        <f t="shared" si="2"/>
        <v>1.2591662138909245E-2</v>
      </c>
      <c r="CB13" s="16">
        <f t="shared" si="2"/>
        <v>1.4370540285170913E-5</v>
      </c>
      <c r="CC13" s="16">
        <f t="shared" si="2"/>
        <v>2.1295008400488004E-3</v>
      </c>
      <c r="CD13" s="16">
        <f t="shared" si="2"/>
        <v>2.3211940622333133E-2</v>
      </c>
      <c r="CE13" s="16">
        <f t="shared" si="2"/>
        <v>8.6428196688994815E-4</v>
      </c>
      <c r="CF13" s="16">
        <f t="shared" si="2"/>
        <v>3.2297009633350817E-3</v>
      </c>
      <c r="CG13" s="16">
        <f t="shared" si="2"/>
        <v>7.3380800943544178E-3</v>
      </c>
      <c r="CH13" s="16">
        <f t="shared" si="2"/>
        <v>1.5677200823058911E-2</v>
      </c>
      <c r="CI13" s="16">
        <f t="shared" si="2"/>
        <v>1.0633447098424677E-2</v>
      </c>
      <c r="CJ13" s="16">
        <f t="shared" si="2"/>
        <v>7.5560448392063219E-4</v>
      </c>
      <c r="CK13" s="16">
        <f t="shared" si="2"/>
        <v>7.0783315417945279E-4</v>
      </c>
      <c r="CL13" s="16">
        <f t="shared" si="2"/>
        <v>5.5420552465667822E-2</v>
      </c>
      <c r="CM13" s="16">
        <f t="shared" si="2"/>
        <v>7.5733928272541241E-4</v>
      </c>
      <c r="CN13" s="16">
        <f t="shared" si="2"/>
        <v>1.4683369464239878E-3</v>
      </c>
      <c r="CO13" s="16">
        <f t="shared" si="2"/>
        <v>4.1823621727530994E-3</v>
      </c>
      <c r="CP13" s="16">
        <f t="shared" si="2"/>
        <v>9.9294385629359241E-3</v>
      </c>
      <c r="CQ13" s="16">
        <f t="shared" si="2"/>
        <v>1.1960019317925995E-2</v>
      </c>
      <c r="CR13" s="16">
        <f t="shared" si="2"/>
        <v>1.6916517705171127E-3</v>
      </c>
      <c r="CS13" s="16">
        <f t="shared" si="2"/>
        <v>2.8132108589809459E-3</v>
      </c>
      <c r="CT13" s="16">
        <f t="shared" si="2"/>
        <v>6.7369577870485455E-6</v>
      </c>
      <c r="CU13" s="16">
        <f t="shared" ref="CU13:DZ13" si="3">(CU3-CU9)^2</f>
        <v>5.751244186916072E-3</v>
      </c>
      <c r="CV13" s="16">
        <f t="shared" si="3"/>
        <v>1.8225936477047841E-3</v>
      </c>
      <c r="CW13" s="16">
        <f t="shared" si="3"/>
        <v>1.9590795958564371E-4</v>
      </c>
      <c r="CX13" s="16">
        <f t="shared" si="3"/>
        <v>9.2579815932365955E-3</v>
      </c>
      <c r="CY13" s="16">
        <f t="shared" si="3"/>
        <v>2.7650604907948069E-3</v>
      </c>
      <c r="CZ13" s="16">
        <f t="shared" si="3"/>
        <v>2.9225636059097875E-2</v>
      </c>
      <c r="DA13" s="16">
        <f t="shared" si="3"/>
        <v>7.4892492812281093E-3</v>
      </c>
      <c r="DB13" s="16">
        <f t="shared" si="3"/>
        <v>1.5362520059400118E-3</v>
      </c>
      <c r="DC13" s="16">
        <f t="shared" si="3"/>
        <v>8.6500124341488179E-3</v>
      </c>
      <c r="DD13" s="16">
        <f t="shared" si="3"/>
        <v>2.8818366895340137E-3</v>
      </c>
      <c r="DE13" s="16">
        <f t="shared" si="3"/>
        <v>1.1633246359652521E-3</v>
      </c>
      <c r="DF13" s="16">
        <f t="shared" si="3"/>
        <v>8.2789654993567702E-4</v>
      </c>
      <c r="DG13" s="16">
        <f t="shared" si="3"/>
        <v>8.4764713755809459E-3</v>
      </c>
      <c r="DH13" s="16">
        <f t="shared" si="3"/>
        <v>2.2688758494381614E-3</v>
      </c>
      <c r="DI13" s="16">
        <f t="shared" si="3"/>
        <v>1.4574565930216953E-2</v>
      </c>
      <c r="DJ13" s="16">
        <f t="shared" si="3"/>
        <v>6.355913309698392E-5</v>
      </c>
      <c r="DK13" s="16">
        <f t="shared" si="3"/>
        <v>7.4654929327950606E-3</v>
      </c>
      <c r="DL13" s="16">
        <f t="shared" si="3"/>
        <v>9.2637381780749498E-4</v>
      </c>
      <c r="DM13" s="16">
        <f t="shared" si="3"/>
        <v>4.6811632119647482E-3</v>
      </c>
      <c r="DN13" s="16">
        <f t="shared" si="3"/>
        <v>7.0412316007713036E-3</v>
      </c>
      <c r="DO13" s="16">
        <f t="shared" si="3"/>
        <v>3.8568145823334002E-4</v>
      </c>
      <c r="DP13" s="16">
        <f t="shared" si="3"/>
        <v>4.2797228121318528E-3</v>
      </c>
      <c r="DQ13" s="16">
        <f t="shared" si="3"/>
        <v>1.8231971818740571E-2</v>
      </c>
      <c r="DR13" s="16">
        <f t="shared" si="3"/>
        <v>3.0766011524696983E-3</v>
      </c>
      <c r="DS13" s="16">
        <f t="shared" si="3"/>
        <v>1.0290937270335629E-2</v>
      </c>
      <c r="DT13" s="16">
        <f t="shared" si="3"/>
        <v>1.7641729900095833E-2</v>
      </c>
      <c r="DU13" s="16">
        <f t="shared" si="3"/>
        <v>6.5458409607266246E-5</v>
      </c>
      <c r="DV13" s="16">
        <f t="shared" si="3"/>
        <v>1.4512495670145656E-2</v>
      </c>
      <c r="DW13" s="16">
        <f t="shared" si="3"/>
        <v>4.112924558330313E-3</v>
      </c>
      <c r="DX13" s="16">
        <f t="shared" si="3"/>
        <v>1.8100050246437717E-2</v>
      </c>
      <c r="DY13" s="16">
        <f t="shared" si="3"/>
        <v>2.3895163698030002E-3</v>
      </c>
      <c r="DZ13" s="16">
        <f t="shared" si="3"/>
        <v>4.9143108690903178E-3</v>
      </c>
      <c r="EA13" s="16">
        <f t="shared" ref="EA13:EF13" si="4">(EA3-EA9)^2</f>
        <v>1.525407646241277E-2</v>
      </c>
      <c r="EB13" s="16">
        <f t="shared" si="4"/>
        <v>9.1208701581093159E-7</v>
      </c>
      <c r="EC13" s="16">
        <f t="shared" si="4"/>
        <v>3.9896716039338996E-3</v>
      </c>
      <c r="ED13" s="16">
        <f t="shared" si="4"/>
        <v>3.5831524538011687E-2</v>
      </c>
      <c r="EE13" s="16">
        <f t="shared" si="4"/>
        <v>3.5061628709855404E-3</v>
      </c>
      <c r="EF13" s="16">
        <f t="shared" si="4"/>
        <v>1.286885610445501E-3</v>
      </c>
    </row>
    <row r="14" spans="1:136">
      <c r="B14" t="s">
        <v>137</v>
      </c>
      <c r="C14" s="16">
        <f t="shared" ref="C14:AH14" si="5">(C4-C10)^2</f>
        <v>8.6039319627866331E-2</v>
      </c>
      <c r="D14" s="16">
        <f t="shared" si="5"/>
        <v>0.17379708823106685</v>
      </c>
      <c r="E14" s="16">
        <f t="shared" si="5"/>
        <v>4.3358331787849619E-2</v>
      </c>
      <c r="F14" s="16">
        <f t="shared" si="5"/>
        <v>7.3680979131471166E-3</v>
      </c>
      <c r="G14" s="16">
        <f t="shared" si="5"/>
        <v>2.103154792659925E-2</v>
      </c>
      <c r="H14" s="16">
        <f t="shared" si="5"/>
        <v>3.6711443225335788E-2</v>
      </c>
      <c r="I14" s="16">
        <f t="shared" si="5"/>
        <v>7.8672059064904074E-3</v>
      </c>
      <c r="J14" s="16">
        <f t="shared" si="5"/>
        <v>3.5966379334696557E-4</v>
      </c>
      <c r="K14" s="16">
        <f t="shared" si="5"/>
        <v>1.0583125694243214E-2</v>
      </c>
      <c r="L14" s="16">
        <f t="shared" si="5"/>
        <v>7.8171196448787686E-4</v>
      </c>
      <c r="M14" s="16">
        <f t="shared" si="5"/>
        <v>9.6342558067046078E-4</v>
      </c>
      <c r="N14" s="16">
        <f t="shared" si="5"/>
        <v>4.9259837192883391E-2</v>
      </c>
      <c r="O14" s="16">
        <f t="shared" si="5"/>
        <v>2.1310089186899858E-3</v>
      </c>
      <c r="P14" s="16">
        <f t="shared" si="5"/>
        <v>5.3042124726241629E-3</v>
      </c>
      <c r="Q14" s="16">
        <f t="shared" si="5"/>
        <v>4.7253988263582548E-3</v>
      </c>
      <c r="R14" s="16">
        <f t="shared" si="5"/>
        <v>6.0743328673635688E-4</v>
      </c>
      <c r="S14" s="16">
        <f t="shared" si="5"/>
        <v>1.0861202549614457E-2</v>
      </c>
      <c r="T14" s="16">
        <f t="shared" si="5"/>
        <v>2.2549858873155107E-3</v>
      </c>
      <c r="U14" s="16">
        <f t="shared" si="5"/>
        <v>5.8839772382353968E-4</v>
      </c>
      <c r="V14" s="16">
        <f t="shared" si="5"/>
        <v>3.1910109867951738E-4</v>
      </c>
      <c r="W14" s="16">
        <f t="shared" si="5"/>
        <v>1.7325183369980679E-2</v>
      </c>
      <c r="X14" s="16">
        <f t="shared" si="5"/>
        <v>2.7133415167462645E-3</v>
      </c>
      <c r="Y14" s="16">
        <f t="shared" si="5"/>
        <v>1.0773694603245029E-5</v>
      </c>
      <c r="Z14" s="16">
        <f t="shared" si="5"/>
        <v>1.1125719453259332E-5</v>
      </c>
      <c r="AA14" s="16">
        <f t="shared" si="5"/>
        <v>2.5550558137417607E-3</v>
      </c>
      <c r="AB14" s="16">
        <f t="shared" si="5"/>
        <v>9.0564451388199165E-7</v>
      </c>
      <c r="AC14" s="16">
        <f t="shared" si="5"/>
        <v>1.9787476825492015E-3</v>
      </c>
      <c r="AD14" s="16">
        <f t="shared" si="5"/>
        <v>2.178651014878733E-3</v>
      </c>
      <c r="AE14" s="16">
        <f t="shared" si="5"/>
        <v>2.4715225081072333E-2</v>
      </c>
      <c r="AF14" s="16">
        <f t="shared" si="5"/>
        <v>6.4729560352477728E-3</v>
      </c>
      <c r="AG14" s="16">
        <f t="shared" si="5"/>
        <v>3.1357824351988797E-4</v>
      </c>
      <c r="AH14" s="16">
        <f t="shared" si="5"/>
        <v>6.4716445500815722E-4</v>
      </c>
      <c r="AI14" s="16">
        <f t="shared" ref="AI14:BN14" si="6">(AI4-AI10)^2</f>
        <v>8.0990366771965946E-4</v>
      </c>
      <c r="AJ14" s="16">
        <f t="shared" si="6"/>
        <v>3.8609560188104499E-4</v>
      </c>
      <c r="AK14" s="16">
        <f t="shared" si="6"/>
        <v>5.8383322795314222E-4</v>
      </c>
      <c r="AL14" s="16">
        <f t="shared" si="6"/>
        <v>3.1748627495962051E-3</v>
      </c>
      <c r="AM14" s="16">
        <f t="shared" si="6"/>
        <v>2.3458139069471102E-4</v>
      </c>
      <c r="AN14" s="16">
        <f t="shared" si="6"/>
        <v>8.6227419273048403E-3</v>
      </c>
      <c r="AO14" s="16">
        <f t="shared" si="6"/>
        <v>3.23200851048509E-4</v>
      </c>
      <c r="AP14" s="16">
        <f t="shared" si="6"/>
        <v>8.3402814401283833E-4</v>
      </c>
      <c r="AQ14" s="16">
        <f t="shared" si="6"/>
        <v>3.2335216012225301E-3</v>
      </c>
      <c r="AR14" s="16">
        <f t="shared" si="6"/>
        <v>6.3709324736760005E-3</v>
      </c>
      <c r="AS14" s="16">
        <f t="shared" si="6"/>
        <v>1.4290188467832026E-4</v>
      </c>
      <c r="AT14" s="16">
        <f t="shared" si="6"/>
        <v>5.3738122413154652E-4</v>
      </c>
      <c r="AU14" s="16">
        <f t="shared" si="6"/>
        <v>1.688824804119304E-2</v>
      </c>
      <c r="AV14" s="16">
        <f t="shared" si="6"/>
        <v>1.464561423746485E-3</v>
      </c>
      <c r="AW14" s="16">
        <f t="shared" si="6"/>
        <v>1.9637433876300362E-4</v>
      </c>
      <c r="AX14" s="16">
        <f t="shared" si="6"/>
        <v>4.8393984716231265E-4</v>
      </c>
      <c r="AY14" s="16">
        <f t="shared" si="6"/>
        <v>3.995714454335152E-3</v>
      </c>
      <c r="AZ14" s="16">
        <f t="shared" si="6"/>
        <v>1.1254828763415764E-2</v>
      </c>
      <c r="BA14" s="16">
        <f t="shared" si="6"/>
        <v>1.1917114292334823E-2</v>
      </c>
      <c r="BB14" s="16">
        <f t="shared" si="6"/>
        <v>1.1884487606629932E-3</v>
      </c>
      <c r="BC14" s="16">
        <f t="shared" si="6"/>
        <v>3.3323956178789036E-3</v>
      </c>
      <c r="BD14" s="16">
        <f t="shared" si="6"/>
        <v>7.6634156487396712E-3</v>
      </c>
      <c r="BE14" s="16">
        <f t="shared" si="6"/>
        <v>2.8243393026778398E-2</v>
      </c>
      <c r="BF14" s="16">
        <f t="shared" si="6"/>
        <v>6.3103554227063787E-3</v>
      </c>
      <c r="BG14" s="16">
        <f t="shared" si="6"/>
        <v>3.7754556033408686E-5</v>
      </c>
      <c r="BH14" s="16">
        <f t="shared" si="6"/>
        <v>4.0268059878218387E-3</v>
      </c>
      <c r="BI14" s="16">
        <f t="shared" si="6"/>
        <v>2.8717339208669292E-3</v>
      </c>
      <c r="BJ14" s="16">
        <f t="shared" si="6"/>
        <v>5.2693133235567303E-3</v>
      </c>
      <c r="BK14" s="16">
        <f t="shared" si="6"/>
        <v>1.4573200468897868E-2</v>
      </c>
      <c r="BL14" s="16">
        <f t="shared" si="6"/>
        <v>9.6839796592054126E-7</v>
      </c>
      <c r="BM14" s="16">
        <f t="shared" si="6"/>
        <v>8.1652966523269171E-3</v>
      </c>
      <c r="BN14" s="16">
        <f t="shared" si="6"/>
        <v>1.4381781983687086E-2</v>
      </c>
      <c r="BO14" s="16">
        <f t="shared" ref="BO14:CT14" si="7">(BO4-BO10)^2</f>
        <v>4.8645837624027786E-4</v>
      </c>
      <c r="BP14" s="16">
        <f t="shared" si="7"/>
        <v>2.0640304251879234E-2</v>
      </c>
      <c r="BQ14" s="16">
        <f t="shared" si="7"/>
        <v>4.2275076773757969E-5</v>
      </c>
      <c r="BR14" s="16">
        <f t="shared" si="7"/>
        <v>1.8238442712574388E-3</v>
      </c>
      <c r="BS14" s="16">
        <f t="shared" si="7"/>
        <v>2.7393215491878379E-3</v>
      </c>
      <c r="BT14" s="16">
        <f t="shared" si="7"/>
        <v>1.4254894956081161E-2</v>
      </c>
      <c r="BU14" s="16">
        <f t="shared" si="7"/>
        <v>2.230969219056677E-2</v>
      </c>
      <c r="BV14" s="16">
        <f t="shared" si="7"/>
        <v>3.6504739054611644E-3</v>
      </c>
      <c r="BW14" s="16">
        <f t="shared" si="7"/>
        <v>9.4178087176310862E-3</v>
      </c>
      <c r="BX14" s="16">
        <f t="shared" si="7"/>
        <v>2.717222886408384E-4</v>
      </c>
      <c r="BY14" s="16">
        <f t="shared" si="7"/>
        <v>1.7557090938299838E-2</v>
      </c>
      <c r="BZ14" s="16">
        <f t="shared" si="7"/>
        <v>2.4240096926491649E-5</v>
      </c>
      <c r="CA14" s="16">
        <f t="shared" si="7"/>
        <v>2.7354993081803391E-3</v>
      </c>
      <c r="CB14" s="16">
        <f t="shared" si="7"/>
        <v>1.7269874651638987E-2</v>
      </c>
      <c r="CC14" s="16">
        <f t="shared" si="7"/>
        <v>1.7764923367009069E-3</v>
      </c>
      <c r="CD14" s="16">
        <f t="shared" si="7"/>
        <v>2.0844362320354415E-3</v>
      </c>
      <c r="CE14" s="16">
        <f t="shared" si="7"/>
        <v>4.3526046127004364E-2</v>
      </c>
      <c r="CF14" s="16">
        <f t="shared" si="7"/>
        <v>3.9368326582285059E-3</v>
      </c>
      <c r="CG14" s="16">
        <f t="shared" si="7"/>
        <v>1.886066853228669E-3</v>
      </c>
      <c r="CH14" s="16">
        <f t="shared" si="7"/>
        <v>7.4222968114893571E-4</v>
      </c>
      <c r="CI14" s="16">
        <f t="shared" si="7"/>
        <v>6.2916965232490607E-3</v>
      </c>
      <c r="CJ14" s="16">
        <f t="shared" si="7"/>
        <v>8.1811400136589741E-4</v>
      </c>
      <c r="CK14" s="16">
        <f t="shared" si="7"/>
        <v>1.9128609938999055E-3</v>
      </c>
      <c r="CL14" s="16">
        <f t="shared" si="7"/>
        <v>7.9727202846227761E-5</v>
      </c>
      <c r="CM14" s="16">
        <f t="shared" si="7"/>
        <v>4.4187629754022378E-2</v>
      </c>
      <c r="CN14" s="16">
        <f t="shared" si="7"/>
        <v>8.8103411967815019E-3</v>
      </c>
      <c r="CO14" s="16">
        <f t="shared" si="7"/>
        <v>1.1586544150118783E-2</v>
      </c>
      <c r="CP14" s="16">
        <f t="shared" si="7"/>
        <v>9.2800126556089862E-3</v>
      </c>
      <c r="CQ14" s="16">
        <f t="shared" si="7"/>
        <v>2.3767655835595859E-2</v>
      </c>
      <c r="CR14" s="16">
        <f t="shared" si="7"/>
        <v>3.9921739888183136E-3</v>
      </c>
      <c r="CS14" s="16">
        <f t="shared" si="7"/>
        <v>1.4201222848606506E-5</v>
      </c>
      <c r="CT14" s="16">
        <f t="shared" si="7"/>
        <v>7.6163133565366418E-3</v>
      </c>
      <c r="CU14" s="16">
        <f t="shared" ref="CU14:DZ14" si="8">(CU4-CU10)^2</f>
        <v>1.190470877736795E-3</v>
      </c>
      <c r="CV14" s="16">
        <f t="shared" si="8"/>
        <v>3.0188363499893616E-4</v>
      </c>
      <c r="CW14" s="16">
        <f t="shared" si="8"/>
        <v>6.0572272514605458E-4</v>
      </c>
      <c r="CX14" s="16">
        <f t="shared" si="8"/>
        <v>6.357592521085715E-3</v>
      </c>
      <c r="CY14" s="16">
        <f t="shared" si="8"/>
        <v>4.9313026207779389E-3</v>
      </c>
      <c r="CZ14" s="16">
        <f t="shared" si="8"/>
        <v>3.3329290392015015E-2</v>
      </c>
      <c r="DA14" s="16">
        <f t="shared" si="8"/>
        <v>6.459284774207057E-3</v>
      </c>
      <c r="DB14" s="16">
        <f t="shared" si="8"/>
        <v>2.4560885930371576E-2</v>
      </c>
      <c r="DC14" s="16">
        <f t="shared" si="8"/>
        <v>1.9925969795548475E-4</v>
      </c>
      <c r="DD14" s="16">
        <f t="shared" si="8"/>
        <v>1.423050969718353E-2</v>
      </c>
      <c r="DE14" s="16">
        <f t="shared" si="8"/>
        <v>1.2285614659235722E-2</v>
      </c>
      <c r="DF14" s="16">
        <f t="shared" si="8"/>
        <v>1.9197237175737406E-2</v>
      </c>
      <c r="DG14" s="16">
        <f t="shared" si="8"/>
        <v>6.1905280092300535E-2</v>
      </c>
      <c r="DH14" s="16">
        <f t="shared" si="8"/>
        <v>1.2765046489103598E-2</v>
      </c>
      <c r="DI14" s="16">
        <f t="shared" si="8"/>
        <v>8.0499881120954554E-3</v>
      </c>
      <c r="DJ14" s="16">
        <f t="shared" si="8"/>
        <v>5.1892293306457504E-3</v>
      </c>
      <c r="DK14" s="16">
        <f t="shared" si="8"/>
        <v>1.4764230862245147E-2</v>
      </c>
      <c r="DL14" s="16">
        <f t="shared" si="8"/>
        <v>1.7857699229647758E-4</v>
      </c>
      <c r="DM14" s="16">
        <f t="shared" si="8"/>
        <v>1.2603409102307129E-2</v>
      </c>
      <c r="DN14" s="16">
        <f t="shared" si="8"/>
        <v>7.30743169134032E-7</v>
      </c>
      <c r="DO14" s="16">
        <f t="shared" si="8"/>
        <v>5.0043875775525968E-3</v>
      </c>
      <c r="DP14" s="16">
        <f t="shared" si="8"/>
        <v>9.5196660943395149E-3</v>
      </c>
      <c r="DQ14" s="16">
        <f t="shared" si="8"/>
        <v>5.7155143027857146E-3</v>
      </c>
      <c r="DR14" s="16">
        <f t="shared" si="8"/>
        <v>1.2524887482099527E-4</v>
      </c>
      <c r="DS14" s="16">
        <f t="shared" si="8"/>
        <v>1.7719866820821273E-2</v>
      </c>
      <c r="DT14" s="16">
        <f t="shared" si="8"/>
        <v>2.634647499223877E-3</v>
      </c>
      <c r="DU14" s="16">
        <f t="shared" si="8"/>
        <v>3.5903694860767194E-2</v>
      </c>
      <c r="DV14" s="16">
        <f t="shared" si="8"/>
        <v>1.17882654209491E-3</v>
      </c>
      <c r="DW14" s="16">
        <f t="shared" si="8"/>
        <v>4.166700278561049E-3</v>
      </c>
      <c r="DX14" s="16">
        <f t="shared" si="8"/>
        <v>8.174813556433957E-4</v>
      </c>
      <c r="DY14" s="16">
        <f t="shared" si="8"/>
        <v>5.6759249998770741E-3</v>
      </c>
      <c r="DZ14" s="16">
        <f t="shared" si="8"/>
        <v>2.0156666088625205E-3</v>
      </c>
      <c r="EA14" s="16">
        <f t="shared" ref="EA14:EF14" si="9">(EA4-EA10)^2</f>
        <v>1.8207152215246056E-3</v>
      </c>
      <c r="EB14" s="16">
        <f t="shared" si="9"/>
        <v>1.5894906657924589E-4</v>
      </c>
      <c r="EC14" s="16">
        <f t="shared" si="9"/>
        <v>1.4803336476478794E-2</v>
      </c>
      <c r="ED14" s="16">
        <f t="shared" si="9"/>
        <v>9.6811847994275717E-3</v>
      </c>
      <c r="EE14" s="16">
        <f t="shared" si="9"/>
        <v>6.5306018098610405E-2</v>
      </c>
      <c r="EF14" s="16">
        <f t="shared" si="9"/>
        <v>2.5352360347324228E-3</v>
      </c>
    </row>
    <row r="15" spans="1:136">
      <c r="B15" t="s">
        <v>138</v>
      </c>
      <c r="C15" s="16">
        <f t="shared" ref="C15:AH15" si="10">(C5-C11)^2</f>
        <v>0.31652779337858128</v>
      </c>
      <c r="D15" s="16">
        <f t="shared" si="10"/>
        <v>0.52382957644456152</v>
      </c>
      <c r="E15" s="16">
        <f t="shared" si="10"/>
        <v>0.31327262485344393</v>
      </c>
      <c r="F15" s="16">
        <f t="shared" si="10"/>
        <v>1.5426027047217492</v>
      </c>
      <c r="G15" s="16">
        <f t="shared" si="10"/>
        <v>0.19779926935830811</v>
      </c>
      <c r="H15" s="16">
        <f t="shared" si="10"/>
        <v>0.83988940482630925</v>
      </c>
      <c r="I15" s="16">
        <f t="shared" si="10"/>
        <v>0.46686565346854225</v>
      </c>
      <c r="J15" s="16">
        <f t="shared" si="10"/>
        <v>0.88148741534394592</v>
      </c>
      <c r="K15" s="16">
        <f t="shared" si="10"/>
        <v>0.98418471986416445</v>
      </c>
      <c r="L15" s="16">
        <f t="shared" si="10"/>
        <v>0.32909821781339238</v>
      </c>
      <c r="M15" s="16">
        <f t="shared" si="10"/>
        <v>0.18469305715305109</v>
      </c>
      <c r="N15" s="16">
        <f t="shared" si="10"/>
        <v>0.25138922777046868</v>
      </c>
      <c r="O15" s="16">
        <f t="shared" si="10"/>
        <v>2.2909599506630616E-6</v>
      </c>
      <c r="P15" s="16">
        <f t="shared" si="10"/>
        <v>8.4205251922627377E-4</v>
      </c>
      <c r="Q15" s="16">
        <f t="shared" si="10"/>
        <v>0.43369409613716947</v>
      </c>
      <c r="R15" s="16">
        <f t="shared" si="10"/>
        <v>2.0057070982207608E-3</v>
      </c>
      <c r="S15" s="16">
        <f t="shared" si="10"/>
        <v>8.7259550756096601E-4</v>
      </c>
      <c r="T15" s="16">
        <f t="shared" si="10"/>
        <v>3.5990472745726594E-2</v>
      </c>
      <c r="U15" s="16">
        <f t="shared" si="10"/>
        <v>4.1698334985118164E-3</v>
      </c>
      <c r="V15" s="16">
        <f t="shared" si="10"/>
        <v>1.305056445245587E-2</v>
      </c>
      <c r="W15" s="16">
        <f t="shared" si="10"/>
        <v>8.0064730089801889E-2</v>
      </c>
      <c r="X15" s="16">
        <f t="shared" si="10"/>
        <v>0.26780052423323325</v>
      </c>
      <c r="Y15" s="16">
        <f t="shared" si="10"/>
        <v>4.0635701461822576E-2</v>
      </c>
      <c r="Z15" s="16">
        <f t="shared" si="10"/>
        <v>0.12621924024812983</v>
      </c>
      <c r="AA15" s="16">
        <f t="shared" si="10"/>
        <v>2.5465615756856729E-3</v>
      </c>
      <c r="AB15" s="16">
        <f t="shared" si="10"/>
        <v>1.8783280862363975E-2</v>
      </c>
      <c r="AC15" s="16">
        <f t="shared" si="10"/>
        <v>4.4177163289581656E-2</v>
      </c>
      <c r="AD15" s="16">
        <f t="shared" si="10"/>
        <v>1.031927708998109E-2</v>
      </c>
      <c r="AE15" s="16">
        <f t="shared" si="10"/>
        <v>5.9975683590427955E-3</v>
      </c>
      <c r="AF15" s="16">
        <f t="shared" si="10"/>
        <v>5.5482095834787026E-2</v>
      </c>
      <c r="AG15" s="16">
        <f t="shared" si="10"/>
        <v>7.2563682068364612E-3</v>
      </c>
      <c r="AH15" s="16">
        <f t="shared" si="10"/>
        <v>1.287285574956338E-3</v>
      </c>
      <c r="AI15" s="16">
        <f t="shared" ref="AI15:BN15" si="11">(AI5-AI11)^2</f>
        <v>1.655261491876553E-3</v>
      </c>
      <c r="AJ15" s="16">
        <f t="shared" si="11"/>
        <v>4.1441611664652551E-3</v>
      </c>
      <c r="AK15" s="16">
        <f t="shared" si="11"/>
        <v>1.5048228058069772E-2</v>
      </c>
      <c r="AL15" s="16">
        <f t="shared" si="11"/>
        <v>2.8156153973360437E-2</v>
      </c>
      <c r="AM15" s="16">
        <f t="shared" si="11"/>
        <v>8.7325170824189695E-5</v>
      </c>
      <c r="AN15" s="16">
        <f t="shared" si="11"/>
        <v>2.5625359695343505E-4</v>
      </c>
      <c r="AO15" s="16">
        <f t="shared" si="11"/>
        <v>1.005688769456706E-4</v>
      </c>
      <c r="AP15" s="16">
        <f t="shared" si="11"/>
        <v>1.0091897676779403E-3</v>
      </c>
      <c r="AQ15" s="16">
        <f t="shared" si="11"/>
        <v>1.5819899206966803E-2</v>
      </c>
      <c r="AR15" s="16">
        <f t="shared" si="11"/>
        <v>1.6261259977017717E-2</v>
      </c>
      <c r="AS15" s="16">
        <f t="shared" si="11"/>
        <v>2.1945234060350597E-2</v>
      </c>
      <c r="AT15" s="16">
        <f t="shared" si="11"/>
        <v>2.6517724802157714E-3</v>
      </c>
      <c r="AU15" s="16">
        <f t="shared" si="11"/>
        <v>5.5138400007082151E-2</v>
      </c>
      <c r="AV15" s="16">
        <f t="shared" si="11"/>
        <v>3.8945494187793498E-4</v>
      </c>
      <c r="AW15" s="16">
        <f t="shared" si="11"/>
        <v>9.1291048167787166E-3</v>
      </c>
      <c r="AX15" s="16">
        <f t="shared" si="11"/>
        <v>3.4602009037929662E-2</v>
      </c>
      <c r="AY15" s="16">
        <f t="shared" si="11"/>
        <v>2.6709768696134887E-3</v>
      </c>
      <c r="AZ15" s="16">
        <f t="shared" si="11"/>
        <v>2.7774563098294593E-2</v>
      </c>
      <c r="BA15" s="16">
        <f t="shared" si="11"/>
        <v>5.0245870918282651E-3</v>
      </c>
      <c r="BB15" s="16">
        <f t="shared" si="11"/>
        <v>2.0019189402194663E-2</v>
      </c>
      <c r="BC15" s="16">
        <f t="shared" si="11"/>
        <v>9.6483468641383949E-3</v>
      </c>
      <c r="BD15" s="16">
        <f t="shared" si="11"/>
        <v>8.3048432850139244E-5</v>
      </c>
      <c r="BE15" s="16">
        <f t="shared" si="11"/>
        <v>2.2003955969885067E-2</v>
      </c>
      <c r="BF15" s="16">
        <f t="shared" si="11"/>
        <v>3.4303187016280892E-2</v>
      </c>
      <c r="BG15" s="16">
        <f t="shared" si="11"/>
        <v>4.0791399820934396E-2</v>
      </c>
      <c r="BH15" s="16">
        <f t="shared" si="11"/>
        <v>3.1468886268747408E-2</v>
      </c>
      <c r="BI15" s="16">
        <f t="shared" si="11"/>
        <v>8.2910687403008124E-3</v>
      </c>
      <c r="BJ15" s="16">
        <f t="shared" si="11"/>
        <v>1.9742116088359422E-3</v>
      </c>
      <c r="BK15" s="16">
        <f t="shared" si="11"/>
        <v>5.5516892908831677E-3</v>
      </c>
      <c r="BL15" s="16">
        <f t="shared" si="11"/>
        <v>1.9503122131610349E-2</v>
      </c>
      <c r="BM15" s="16">
        <f t="shared" si="11"/>
        <v>4.5236922067795598E-3</v>
      </c>
      <c r="BN15" s="16">
        <f t="shared" si="11"/>
        <v>2.1221262496197045E-4</v>
      </c>
      <c r="BO15" s="16">
        <f t="shared" ref="BO15:CT15" si="12">(BO5-BO11)^2</f>
        <v>5.7809674943715209E-3</v>
      </c>
      <c r="BP15" s="16">
        <f t="shared" si="12"/>
        <v>2.7734210523992502E-3</v>
      </c>
      <c r="BQ15" s="16">
        <f t="shared" si="12"/>
        <v>6.3342066163641015E-4</v>
      </c>
      <c r="BR15" s="16">
        <f t="shared" si="12"/>
        <v>4.7298269992848301E-2</v>
      </c>
      <c r="BS15" s="16">
        <f t="shared" si="12"/>
        <v>8.3877847462260902E-3</v>
      </c>
      <c r="BT15" s="16">
        <f t="shared" si="12"/>
        <v>3.0224927919116809E-5</v>
      </c>
      <c r="BU15" s="16">
        <f t="shared" si="12"/>
        <v>5.6072780323362717E-5</v>
      </c>
      <c r="BV15" s="16">
        <f t="shared" si="12"/>
        <v>6.7309757027264383E-2</v>
      </c>
      <c r="BW15" s="16">
        <f t="shared" si="12"/>
        <v>7.3900279761660304E-2</v>
      </c>
      <c r="BX15" s="16">
        <f t="shared" si="12"/>
        <v>3.1111647614995345E-3</v>
      </c>
      <c r="BY15" s="16">
        <f t="shared" si="12"/>
        <v>4.8706053182029727E-3</v>
      </c>
      <c r="BZ15" s="16">
        <f t="shared" si="12"/>
        <v>6.713461704646454E-4</v>
      </c>
      <c r="CA15" s="16">
        <f t="shared" si="12"/>
        <v>4.9423908722795876E-3</v>
      </c>
      <c r="CB15" s="16">
        <f t="shared" si="12"/>
        <v>7.010308527901701E-6</v>
      </c>
      <c r="CC15" s="16">
        <f t="shared" si="12"/>
        <v>1.318035757904642E-3</v>
      </c>
      <c r="CD15" s="16">
        <f t="shared" si="12"/>
        <v>6.9588529328637539E-3</v>
      </c>
      <c r="CE15" s="16">
        <f t="shared" si="12"/>
        <v>1.0006549656044321E-2</v>
      </c>
      <c r="CF15" s="16">
        <f t="shared" si="12"/>
        <v>2.0941062138344116E-3</v>
      </c>
      <c r="CG15" s="16">
        <f t="shared" si="12"/>
        <v>2.1999490385598987E-2</v>
      </c>
      <c r="CH15" s="16">
        <f t="shared" si="12"/>
        <v>6.3592982345166355E-3</v>
      </c>
      <c r="CI15" s="16">
        <f t="shared" si="12"/>
        <v>1.2702434031477465E-2</v>
      </c>
      <c r="CJ15" s="16">
        <f t="shared" si="12"/>
        <v>3.5679655813162479E-2</v>
      </c>
      <c r="CK15" s="16">
        <f t="shared" si="12"/>
        <v>9.1159935608677196E-3</v>
      </c>
      <c r="CL15" s="16">
        <f t="shared" si="12"/>
        <v>6.4554346678518228E-3</v>
      </c>
      <c r="CM15" s="16">
        <f t="shared" si="12"/>
        <v>5.5171223714749317E-3</v>
      </c>
      <c r="CN15" s="16">
        <f t="shared" si="12"/>
        <v>4.0165789913179727E-2</v>
      </c>
      <c r="CO15" s="16">
        <f t="shared" si="12"/>
        <v>6.9366326213382373E-2</v>
      </c>
      <c r="CP15" s="16">
        <f t="shared" si="12"/>
        <v>5.0791202191232082E-4</v>
      </c>
      <c r="CQ15" s="16">
        <f t="shared" si="12"/>
        <v>7.6746030974379653E-2</v>
      </c>
      <c r="CR15" s="16">
        <f t="shared" si="12"/>
        <v>1.0220405321587193E-2</v>
      </c>
      <c r="CS15" s="16">
        <f t="shared" si="12"/>
        <v>2.124526421376084E-3</v>
      </c>
      <c r="CT15" s="16">
        <f t="shared" si="12"/>
        <v>7.0319740527260456E-3</v>
      </c>
      <c r="CU15" s="16">
        <f t="shared" ref="CU15:DZ15" si="13">(CU5-CU11)^2</f>
        <v>0.12279569030289186</v>
      </c>
      <c r="CV15" s="16">
        <f t="shared" si="13"/>
        <v>3.0563309933338591E-2</v>
      </c>
      <c r="CW15" s="16">
        <f t="shared" si="13"/>
        <v>1.7942309709102122E-3</v>
      </c>
      <c r="CX15" s="16">
        <f t="shared" si="13"/>
        <v>2.3837742562389467E-2</v>
      </c>
      <c r="CY15" s="16">
        <f t="shared" si="13"/>
        <v>2.3735741309021223E-3</v>
      </c>
      <c r="CZ15" s="16">
        <f t="shared" si="13"/>
        <v>6.840291174002219E-3</v>
      </c>
      <c r="DA15" s="16">
        <f t="shared" si="13"/>
        <v>3.175612350716373E-3</v>
      </c>
      <c r="DB15" s="16">
        <f t="shared" si="13"/>
        <v>1.4803326004603214E-2</v>
      </c>
      <c r="DC15" s="16">
        <f t="shared" si="13"/>
        <v>7.2052928045675969E-3</v>
      </c>
      <c r="DD15" s="16">
        <f t="shared" si="13"/>
        <v>3.3946868202235671E-2</v>
      </c>
      <c r="DE15" s="16">
        <f t="shared" si="13"/>
        <v>2.3085386817438377E-2</v>
      </c>
      <c r="DF15" s="16">
        <f t="shared" si="13"/>
        <v>2.8395482756305156E-4</v>
      </c>
      <c r="DG15" s="16">
        <f t="shared" si="13"/>
        <v>6.1560692414620817E-2</v>
      </c>
      <c r="DH15" s="16">
        <f t="shared" si="13"/>
        <v>1.4758338684044768E-3</v>
      </c>
      <c r="DI15" s="16">
        <f t="shared" si="13"/>
        <v>9.3195766169575176E-3</v>
      </c>
      <c r="DJ15" s="16">
        <f t="shared" si="13"/>
        <v>8.0048758840001125E-3</v>
      </c>
      <c r="DK15" s="16">
        <f t="shared" si="13"/>
        <v>6.4649719456057588E-4</v>
      </c>
      <c r="DL15" s="16">
        <f t="shared" si="13"/>
        <v>1.2868944206713337E-3</v>
      </c>
      <c r="DM15" s="16">
        <f t="shared" si="13"/>
        <v>7.8468978349479431E-4</v>
      </c>
      <c r="DN15" s="16">
        <f t="shared" si="13"/>
        <v>6.6904650467584093E-3</v>
      </c>
      <c r="DO15" s="16">
        <f t="shared" si="13"/>
        <v>2.2580885153076217E-2</v>
      </c>
      <c r="DP15" s="16">
        <f t="shared" si="13"/>
        <v>8.0523531042660676E-2</v>
      </c>
      <c r="DQ15" s="16">
        <f t="shared" si="13"/>
        <v>2.9218748493603793E-2</v>
      </c>
      <c r="DR15" s="16">
        <f t="shared" si="13"/>
        <v>1.2056852817612428E-3</v>
      </c>
      <c r="DS15" s="16">
        <f t="shared" si="13"/>
        <v>7.8653606924537801E-3</v>
      </c>
      <c r="DT15" s="16">
        <f t="shared" si="13"/>
        <v>1.1348768176049687E-2</v>
      </c>
      <c r="DU15" s="16">
        <f t="shared" si="13"/>
        <v>1.0515596086938268E-2</v>
      </c>
      <c r="DV15" s="16">
        <f t="shared" si="13"/>
        <v>8.6081602042857534E-3</v>
      </c>
      <c r="DW15" s="16">
        <f t="shared" si="13"/>
        <v>4.0301846299116732E-3</v>
      </c>
      <c r="DX15" s="16">
        <f t="shared" si="13"/>
        <v>4.3889926979352945E-4</v>
      </c>
      <c r="DY15" s="16">
        <f t="shared" si="13"/>
        <v>2.0436343632545081E-4</v>
      </c>
      <c r="DZ15" s="16">
        <f t="shared" si="13"/>
        <v>8.510373046196133E-4</v>
      </c>
      <c r="EA15" s="16">
        <f t="shared" ref="EA15:EF15" si="14">(EA5-EA11)^2</f>
        <v>9.9150577172550353E-2</v>
      </c>
      <c r="EB15" s="16">
        <f t="shared" si="14"/>
        <v>2.16743533876919E-2</v>
      </c>
      <c r="EC15" s="16">
        <f t="shared" si="14"/>
        <v>1.131132544774049E-3</v>
      </c>
      <c r="ED15" s="16">
        <f t="shared" si="14"/>
        <v>1.6927515916200452E-3</v>
      </c>
      <c r="EE15" s="16">
        <f t="shared" si="14"/>
        <v>3.916565745802824E-2</v>
      </c>
      <c r="EF15" s="16">
        <f t="shared" si="14"/>
        <v>2.3996064572956659E-2</v>
      </c>
    </row>
    <row r="17" spans="1:136">
      <c r="A17" t="s">
        <v>245</v>
      </c>
      <c r="B17" t="s">
        <v>136</v>
      </c>
      <c r="C17" s="16">
        <f t="shared" ref="C17:AH17" si="15">C9^2</f>
        <v>1.1904082277860264E-2</v>
      </c>
      <c r="D17" s="16">
        <f t="shared" si="15"/>
        <v>2.1247676054046116E-4</v>
      </c>
      <c r="E17" s="16">
        <f t="shared" si="15"/>
        <v>1.3071374994951929E-3</v>
      </c>
      <c r="F17" s="16">
        <f t="shared" si="15"/>
        <v>2.2492264027630889E-5</v>
      </c>
      <c r="G17" s="16">
        <f t="shared" si="15"/>
        <v>3.3036666141783492E-5</v>
      </c>
      <c r="H17" s="16">
        <f t="shared" si="15"/>
        <v>2.4381891708842936E-3</v>
      </c>
      <c r="I17" s="16">
        <f t="shared" si="15"/>
        <v>3.3581210916677484E-2</v>
      </c>
      <c r="J17" s="16">
        <f t="shared" si="15"/>
        <v>1.3569060155122757E-2</v>
      </c>
      <c r="K17" s="16">
        <f t="shared" si="15"/>
        <v>9.3605069620112215E-4</v>
      </c>
      <c r="L17" s="16">
        <f t="shared" si="15"/>
        <v>3.9315162352171023E-4</v>
      </c>
      <c r="M17" s="16">
        <f t="shared" si="15"/>
        <v>4.4095826822239875E-4</v>
      </c>
      <c r="N17" s="16">
        <f t="shared" si="15"/>
        <v>2.2433876085478928E-2</v>
      </c>
      <c r="O17" s="16">
        <f t="shared" si="15"/>
        <v>2.3911693040638534E-4</v>
      </c>
      <c r="P17" s="16">
        <f t="shared" si="15"/>
        <v>8.4258302823047079E-3</v>
      </c>
      <c r="Q17" s="16">
        <f t="shared" si="15"/>
        <v>5.9921553092687051E-3</v>
      </c>
      <c r="R17" s="16">
        <f t="shared" si="15"/>
        <v>3.0004754709051702E-3</v>
      </c>
      <c r="S17" s="16">
        <f t="shared" si="15"/>
        <v>1.5708708491616E-2</v>
      </c>
      <c r="T17" s="16">
        <f t="shared" si="15"/>
        <v>1.4173716945580542E-2</v>
      </c>
      <c r="U17" s="16">
        <f t="shared" si="15"/>
        <v>1.4265767398050631E-3</v>
      </c>
      <c r="V17" s="16">
        <f t="shared" si="15"/>
        <v>6.5908131416074602E-3</v>
      </c>
      <c r="W17" s="16">
        <f t="shared" si="15"/>
        <v>7.0575066817627407E-3</v>
      </c>
      <c r="X17" s="16">
        <f t="shared" si="15"/>
        <v>2.1612338960948319E-2</v>
      </c>
      <c r="Y17" s="16">
        <f t="shared" si="15"/>
        <v>1.5715264241471783E-2</v>
      </c>
      <c r="Z17" s="16">
        <f t="shared" si="15"/>
        <v>3.6846166718653456E-2</v>
      </c>
      <c r="AA17" s="16">
        <f t="shared" si="15"/>
        <v>7.1184289266528374E-3</v>
      </c>
      <c r="AB17" s="16">
        <f t="shared" si="15"/>
        <v>5.3140620982757656E-3</v>
      </c>
      <c r="AC17" s="16">
        <f t="shared" si="15"/>
        <v>1.0527695785516851E-2</v>
      </c>
      <c r="AD17" s="16">
        <f t="shared" si="15"/>
        <v>2.4869817519127077E-4</v>
      </c>
      <c r="AE17" s="16">
        <f t="shared" si="15"/>
        <v>2.3106177330172069E-2</v>
      </c>
      <c r="AF17" s="16">
        <f t="shared" si="15"/>
        <v>3.5105923035905259E-3</v>
      </c>
      <c r="AG17" s="16">
        <f t="shared" si="15"/>
        <v>1.6915301264337771E-2</v>
      </c>
      <c r="AH17" s="16">
        <f t="shared" si="15"/>
        <v>1.328403665826966E-2</v>
      </c>
      <c r="AI17" s="16">
        <f t="shared" ref="AI17:BN17" si="16">AI9^2</f>
        <v>1.0631917918075163E-3</v>
      </c>
      <c r="AJ17" s="16">
        <f t="shared" si="16"/>
        <v>7.8395043318640434E-4</v>
      </c>
      <c r="AK17" s="16">
        <f t="shared" si="16"/>
        <v>2.1482887422166509E-2</v>
      </c>
      <c r="AL17" s="16">
        <f t="shared" si="16"/>
        <v>1.668062549107739E-3</v>
      </c>
      <c r="AM17" s="16">
        <f t="shared" si="16"/>
        <v>1.7259749824038686E-2</v>
      </c>
      <c r="AN17" s="16">
        <f t="shared" si="16"/>
        <v>4.9032555464976403E-2</v>
      </c>
      <c r="AO17" s="16">
        <f t="shared" si="16"/>
        <v>4.3852711121876225E-4</v>
      </c>
      <c r="AP17" s="16">
        <f t="shared" si="16"/>
        <v>1.8812851996102171E-2</v>
      </c>
      <c r="AQ17" s="16">
        <f t="shared" si="16"/>
        <v>6.1915646627000822E-4</v>
      </c>
      <c r="AR17" s="16">
        <f t="shared" si="16"/>
        <v>2.4068328718584233E-4</v>
      </c>
      <c r="AS17" s="16">
        <f t="shared" si="16"/>
        <v>1.1815056389704321E-3</v>
      </c>
      <c r="AT17" s="16">
        <f t="shared" si="16"/>
        <v>3.9810656089414309E-3</v>
      </c>
      <c r="AU17" s="16">
        <f t="shared" si="16"/>
        <v>1.8694983030806238E-3</v>
      </c>
      <c r="AV17" s="16">
        <f t="shared" si="16"/>
        <v>5.5101474414569638E-3</v>
      </c>
      <c r="AW17" s="16">
        <f t="shared" si="16"/>
        <v>7.8371035043392316E-4</v>
      </c>
      <c r="AX17" s="16">
        <f t="shared" si="16"/>
        <v>1.4367478657017244E-2</v>
      </c>
      <c r="AY17" s="16">
        <f t="shared" si="16"/>
        <v>5.8613679493322605E-3</v>
      </c>
      <c r="AZ17" s="16">
        <f t="shared" si="16"/>
        <v>4.7220968054589304E-4</v>
      </c>
      <c r="BA17" s="16">
        <f t="shared" si="16"/>
        <v>1.5536707046446584E-6</v>
      </c>
      <c r="BB17" s="16">
        <f t="shared" si="16"/>
        <v>1.0200156097581669E-2</v>
      </c>
      <c r="BC17" s="16">
        <f t="shared" si="16"/>
        <v>8.8964574469951819E-4</v>
      </c>
      <c r="BD17" s="16">
        <f t="shared" si="16"/>
        <v>7.5268956977767048E-5</v>
      </c>
      <c r="BE17" s="16">
        <f t="shared" si="16"/>
        <v>4.7000904970756216E-3</v>
      </c>
      <c r="BF17" s="16">
        <f t="shared" si="16"/>
        <v>2.4621562948682934E-2</v>
      </c>
      <c r="BG17" s="16">
        <f t="shared" si="16"/>
        <v>2.5345828645073384E-2</v>
      </c>
      <c r="BH17" s="16">
        <f t="shared" si="16"/>
        <v>3.7358582565093718E-3</v>
      </c>
      <c r="BI17" s="16">
        <f t="shared" si="16"/>
        <v>9.3921007423280172E-3</v>
      </c>
      <c r="BJ17" s="16">
        <f t="shared" si="16"/>
        <v>2.9971517217047563E-3</v>
      </c>
      <c r="BK17" s="16">
        <f t="shared" si="16"/>
        <v>7.6550185977651616E-3</v>
      </c>
      <c r="BL17" s="16">
        <f t="shared" si="16"/>
        <v>8.9164103340217925E-3</v>
      </c>
      <c r="BM17" s="16">
        <f t="shared" si="16"/>
        <v>4.9244308753160887E-4</v>
      </c>
      <c r="BN17" s="16">
        <f t="shared" si="16"/>
        <v>2.4425352677185161E-4</v>
      </c>
      <c r="BO17" s="16">
        <f t="shared" ref="BO17:CT17" si="17">BO9^2</f>
        <v>6.6289298211247571E-3</v>
      </c>
      <c r="BP17" s="16">
        <f t="shared" si="17"/>
        <v>3.4258094968395863E-4</v>
      </c>
      <c r="BQ17" s="16">
        <f t="shared" si="17"/>
        <v>4.7237535213055463E-3</v>
      </c>
      <c r="BR17" s="16">
        <f t="shared" si="17"/>
        <v>9.6246407867516525E-6</v>
      </c>
      <c r="BS17" s="16">
        <f t="shared" si="17"/>
        <v>5.6196639138378088E-3</v>
      </c>
      <c r="BT17" s="16">
        <f t="shared" si="17"/>
        <v>2.0431835304301382E-3</v>
      </c>
      <c r="BU17" s="16">
        <f t="shared" si="17"/>
        <v>6.5932524502488709E-4</v>
      </c>
      <c r="BV17" s="16">
        <f t="shared" si="17"/>
        <v>8.427980119369332E-3</v>
      </c>
      <c r="BW17" s="16">
        <f t="shared" si="17"/>
        <v>6.9453326513524774E-4</v>
      </c>
      <c r="BX17" s="16">
        <f t="shared" si="17"/>
        <v>3.7615951743202121E-4</v>
      </c>
      <c r="BY17" s="16">
        <f t="shared" si="17"/>
        <v>5.9042164483032638E-3</v>
      </c>
      <c r="BZ17" s="16">
        <f t="shared" si="17"/>
        <v>1.2839000623048005E-2</v>
      </c>
      <c r="CA17" s="16">
        <f t="shared" si="17"/>
        <v>1.1525082059920233E-2</v>
      </c>
      <c r="CB17" s="16">
        <f t="shared" si="17"/>
        <v>1.6682967477483388E-3</v>
      </c>
      <c r="CC17" s="16">
        <f t="shared" si="17"/>
        <v>3.9210767823715285E-4</v>
      </c>
      <c r="CD17" s="16">
        <f t="shared" si="17"/>
        <v>3.548592802252902E-2</v>
      </c>
      <c r="CE17" s="16">
        <f t="shared" si="17"/>
        <v>3.0885701458901937E-3</v>
      </c>
      <c r="CF17" s="16">
        <f t="shared" si="17"/>
        <v>5.6058275198580514E-3</v>
      </c>
      <c r="CG17" s="16">
        <f t="shared" si="17"/>
        <v>1.0000038380535725E-2</v>
      </c>
      <c r="CH17" s="16">
        <f t="shared" si="17"/>
        <v>1.850190885600296E-2</v>
      </c>
      <c r="CI17" s="16">
        <f t="shared" si="17"/>
        <v>8.7873778374468071E-3</v>
      </c>
      <c r="CJ17" s="16">
        <f t="shared" si="17"/>
        <v>1.5449609443997168E-5</v>
      </c>
      <c r="CK17" s="16">
        <f t="shared" si="17"/>
        <v>3.1931288133821255E-3</v>
      </c>
      <c r="CL17" s="16">
        <f t="shared" si="17"/>
        <v>6.9456377220562526E-2</v>
      </c>
      <c r="CM17" s="16">
        <f t="shared" si="17"/>
        <v>9.1306336429085243E-5</v>
      </c>
      <c r="CN17" s="16">
        <f t="shared" si="17"/>
        <v>9.9299981066329653E-4</v>
      </c>
      <c r="CO17" s="16">
        <f t="shared" si="17"/>
        <v>5.1162058729769763E-4</v>
      </c>
      <c r="CP17" s="16">
        <f t="shared" si="17"/>
        <v>1.7597510690797149E-2</v>
      </c>
      <c r="CQ17" s="16">
        <f t="shared" si="17"/>
        <v>1.7708364708443211E-2</v>
      </c>
      <c r="CR17" s="16">
        <f t="shared" si="17"/>
        <v>2.2369415134259262E-4</v>
      </c>
      <c r="CS17" s="16">
        <f t="shared" si="17"/>
        <v>1.1168922557625953E-3</v>
      </c>
      <c r="CT17" s="16">
        <f t="shared" si="17"/>
        <v>1.5082808365029206E-4</v>
      </c>
      <c r="CU17" s="16">
        <f t="shared" ref="CU17:DZ17" si="18">CU9^2</f>
        <v>1.3645740385844037E-2</v>
      </c>
      <c r="CV17" s="16">
        <f t="shared" si="18"/>
        <v>9.9789357659655527E-6</v>
      </c>
      <c r="CW17" s="16">
        <f t="shared" si="18"/>
        <v>1.4605970535097568E-3</v>
      </c>
      <c r="CX17" s="16">
        <f t="shared" si="18"/>
        <v>1.9369428669164728E-2</v>
      </c>
      <c r="CY17" s="16">
        <f t="shared" si="18"/>
        <v>5.6227258353762984E-4</v>
      </c>
      <c r="CZ17" s="16">
        <f t="shared" si="18"/>
        <v>4.7677993769128582E-2</v>
      </c>
      <c r="DA17" s="16">
        <f t="shared" si="18"/>
        <v>3.3602150955513014E-3</v>
      </c>
      <c r="DB17" s="16">
        <f t="shared" si="18"/>
        <v>1.9892898007428065E-4</v>
      </c>
      <c r="DC17" s="16">
        <f t="shared" si="18"/>
        <v>1.298598834966512E-2</v>
      </c>
      <c r="DD17" s="16">
        <f t="shared" si="18"/>
        <v>5.5461177913042319E-3</v>
      </c>
      <c r="DE17" s="16">
        <f t="shared" si="18"/>
        <v>8.0944705118043796E-7</v>
      </c>
      <c r="DF17" s="16">
        <f t="shared" si="18"/>
        <v>9.5466930982486662E-7</v>
      </c>
      <c r="DG17" s="16">
        <f t="shared" si="18"/>
        <v>5.3260942765597724E-3</v>
      </c>
      <c r="DH17" s="16">
        <f t="shared" si="18"/>
        <v>5.6859770483571833E-4</v>
      </c>
      <c r="DI17" s="16">
        <f t="shared" si="18"/>
        <v>1.0308477356134783E-2</v>
      </c>
      <c r="DJ17" s="16">
        <f t="shared" si="18"/>
        <v>7.6687657573272126E-4</v>
      </c>
      <c r="DK17" s="16">
        <f t="shared" si="18"/>
        <v>2.4339573117996964E-3</v>
      </c>
      <c r="DL17" s="16">
        <f t="shared" si="18"/>
        <v>3.248267667612629E-5</v>
      </c>
      <c r="DM17" s="16">
        <f t="shared" si="18"/>
        <v>1.3676505773505593E-3</v>
      </c>
      <c r="DN17" s="16">
        <f t="shared" si="18"/>
        <v>1.2058891959025398E-2</v>
      </c>
      <c r="DO17" s="16">
        <f t="shared" si="18"/>
        <v>1.7670946755159902E-3</v>
      </c>
      <c r="DP17" s="16">
        <f t="shared" si="18"/>
        <v>7.1515213376560464E-3</v>
      </c>
      <c r="DQ17" s="16">
        <f t="shared" si="18"/>
        <v>1.2161636684326392E-2</v>
      </c>
      <c r="DR17" s="16">
        <f t="shared" si="18"/>
        <v>8.8979053657027001E-3</v>
      </c>
      <c r="DS17" s="16">
        <f t="shared" si="18"/>
        <v>5.1706040810191528E-3</v>
      </c>
      <c r="DT17" s="16">
        <f t="shared" si="18"/>
        <v>9.2614503642733919E-3</v>
      </c>
      <c r="DU17" s="16">
        <f t="shared" si="18"/>
        <v>5.5016020342108963E-6</v>
      </c>
      <c r="DV17" s="16">
        <f t="shared" si="18"/>
        <v>1.7960669823662546E-2</v>
      </c>
      <c r="DW17" s="16">
        <f t="shared" si="18"/>
        <v>8.9742501777570517E-3</v>
      </c>
      <c r="DX17" s="16">
        <f t="shared" si="18"/>
        <v>1.0768876593012837E-2</v>
      </c>
      <c r="DY17" s="16">
        <f t="shared" si="18"/>
        <v>5.7399040046420165E-3</v>
      </c>
      <c r="DZ17" s="16">
        <f t="shared" si="18"/>
        <v>1.0131311029084758E-3</v>
      </c>
      <c r="EA17" s="16">
        <f t="shared" ref="EA17:EF17" si="19">EA9^2</f>
        <v>2.6020277100143683E-2</v>
      </c>
      <c r="EB17" s="16">
        <f t="shared" si="19"/>
        <v>1.0411208891300061E-4</v>
      </c>
      <c r="EC17" s="16">
        <f t="shared" si="19"/>
        <v>5.4742870589305657E-3</v>
      </c>
      <c r="ED17" s="16">
        <f t="shared" si="19"/>
        <v>2.4767480781445986E-2</v>
      </c>
      <c r="EE17" s="16">
        <f t="shared" si="19"/>
        <v>6.2627523737550815E-3</v>
      </c>
      <c r="EF17" s="16">
        <f t="shared" si="19"/>
        <v>5.2603901117786907E-3</v>
      </c>
    </row>
    <row r="18" spans="1:136">
      <c r="B18" t="s">
        <v>137</v>
      </c>
      <c r="C18" s="16">
        <f t="shared" ref="C18:AH18" si="20">C10^2</f>
        <v>6.1300169090364023E-2</v>
      </c>
      <c r="D18" s="16">
        <f t="shared" si="20"/>
        <v>7.5456410721795972E-2</v>
      </c>
      <c r="E18" s="16">
        <f t="shared" si="20"/>
        <v>7.1653491215006608E-3</v>
      </c>
      <c r="F18" s="16">
        <f t="shared" si="20"/>
        <v>5.1277932467457823E-4</v>
      </c>
      <c r="G18" s="16">
        <f t="shared" si="20"/>
        <v>2.4681024790687124E-3</v>
      </c>
      <c r="H18" s="16">
        <f t="shared" si="20"/>
        <v>1.0152503674850528E-2</v>
      </c>
      <c r="I18" s="16">
        <f t="shared" si="20"/>
        <v>1.568185506319921E-4</v>
      </c>
      <c r="J18" s="16">
        <f t="shared" si="20"/>
        <v>6.1994443791691554E-3</v>
      </c>
      <c r="K18" s="16">
        <f t="shared" si="20"/>
        <v>1.1686210786418709E-3</v>
      </c>
      <c r="L18" s="16">
        <f t="shared" si="20"/>
        <v>7.8157618954765237E-3</v>
      </c>
      <c r="M18" s="16">
        <f t="shared" si="20"/>
        <v>9.384753841255295E-6</v>
      </c>
      <c r="N18" s="16">
        <f t="shared" si="20"/>
        <v>4.5036476574086326E-2</v>
      </c>
      <c r="O18" s="16">
        <f t="shared" si="20"/>
        <v>1.3546366286925624E-3</v>
      </c>
      <c r="P18" s="16">
        <f t="shared" si="20"/>
        <v>5.0457039774389721E-3</v>
      </c>
      <c r="Q18" s="16">
        <f t="shared" si="20"/>
        <v>5.0781490762883581E-3</v>
      </c>
      <c r="R18" s="16">
        <f t="shared" si="20"/>
        <v>4.6485286217124193E-4</v>
      </c>
      <c r="S18" s="16">
        <f t="shared" si="20"/>
        <v>1.0223486509543127E-2</v>
      </c>
      <c r="T18" s="16">
        <f t="shared" si="20"/>
        <v>1.8683781301546628E-3</v>
      </c>
      <c r="U18" s="16">
        <f t="shared" si="20"/>
        <v>2.2147242359019667E-4</v>
      </c>
      <c r="V18" s="16">
        <f t="shared" si="20"/>
        <v>4.0018583491306699E-5</v>
      </c>
      <c r="W18" s="16">
        <f t="shared" si="20"/>
        <v>2.0607457624597373E-2</v>
      </c>
      <c r="X18" s="16">
        <f t="shared" si="20"/>
        <v>4.1321976387742217E-3</v>
      </c>
      <c r="Y18" s="16">
        <f t="shared" si="20"/>
        <v>3.6230087920246964E-4</v>
      </c>
      <c r="Z18" s="16">
        <f t="shared" si="20"/>
        <v>4.2619770257246479E-4</v>
      </c>
      <c r="AA18" s="16">
        <f t="shared" si="20"/>
        <v>1.0929332099957007E-3</v>
      </c>
      <c r="AB18" s="16">
        <f t="shared" si="20"/>
        <v>3.7706753115437583E-4</v>
      </c>
      <c r="AC18" s="16">
        <f t="shared" si="20"/>
        <v>3.9849977723438457E-3</v>
      </c>
      <c r="AD18" s="16">
        <f t="shared" si="20"/>
        <v>4.3072591163810263E-3</v>
      </c>
      <c r="AE18" s="16">
        <f t="shared" si="20"/>
        <v>1.9042810256226231E-2</v>
      </c>
      <c r="AF18" s="16">
        <f t="shared" si="20"/>
        <v>1.0113906222416341E-2</v>
      </c>
      <c r="AG18" s="16">
        <f t="shared" si="20"/>
        <v>1.4416518828127469E-3</v>
      </c>
      <c r="AH18" s="16">
        <f t="shared" si="20"/>
        <v>2.1012632264048744E-3</v>
      </c>
      <c r="AI18" s="16">
        <f t="shared" ref="AI18:BN18" si="21">AI10^2</f>
        <v>2.6044789051912999E-3</v>
      </c>
      <c r="AJ18" s="16">
        <f t="shared" si="21"/>
        <v>1.0371239511276646E-5</v>
      </c>
      <c r="AK18" s="16">
        <f t="shared" si="21"/>
        <v>2.3963921924093171E-7</v>
      </c>
      <c r="AL18" s="16">
        <f t="shared" si="21"/>
        <v>1.1330911354520039E-2</v>
      </c>
      <c r="AM18" s="16">
        <f t="shared" si="21"/>
        <v>1.883474509221127E-4</v>
      </c>
      <c r="AN18" s="16">
        <f t="shared" si="21"/>
        <v>1.4875389913204669E-2</v>
      </c>
      <c r="AO18" s="16">
        <f t="shared" si="21"/>
        <v>2.3609556394479764E-3</v>
      </c>
      <c r="AP18" s="16">
        <f t="shared" si="21"/>
        <v>3.6219815731516953E-6</v>
      </c>
      <c r="AQ18" s="16">
        <f t="shared" si="21"/>
        <v>8.4491867337224593E-4</v>
      </c>
      <c r="AR18" s="16">
        <f t="shared" si="21"/>
        <v>2.7705250060662671E-3</v>
      </c>
      <c r="AS18" s="16">
        <f t="shared" si="21"/>
        <v>1.6623611670017849E-4</v>
      </c>
      <c r="AT18" s="16">
        <f t="shared" si="21"/>
        <v>4.541735420018535E-6</v>
      </c>
      <c r="AU18" s="16">
        <f t="shared" si="21"/>
        <v>2.4144306160754265E-2</v>
      </c>
      <c r="AV18" s="16">
        <f t="shared" si="21"/>
        <v>1.6082764905029582E-4</v>
      </c>
      <c r="AW18" s="16">
        <f t="shared" si="21"/>
        <v>1.4261904564871037E-4</v>
      </c>
      <c r="AX18" s="16">
        <f t="shared" si="21"/>
        <v>1.8094742098652484E-5</v>
      </c>
      <c r="AY18" s="16">
        <f t="shared" si="21"/>
        <v>8.5854107590684829E-4</v>
      </c>
      <c r="AZ18" s="16">
        <f t="shared" si="21"/>
        <v>1.7990186561850662E-2</v>
      </c>
      <c r="BA18" s="16">
        <f t="shared" si="21"/>
        <v>1.8799571566061855E-2</v>
      </c>
      <c r="BB18" s="16">
        <f t="shared" si="21"/>
        <v>3.0788334943751427E-6</v>
      </c>
      <c r="BC18" s="16">
        <f t="shared" si="21"/>
        <v>6.3087002382422445E-4</v>
      </c>
      <c r="BD18" s="16">
        <f t="shared" si="21"/>
        <v>1.4304616064498009E-2</v>
      </c>
      <c r="BE18" s="16">
        <f t="shared" si="21"/>
        <v>1.8431225512955431E-2</v>
      </c>
      <c r="BF18" s="16">
        <f t="shared" si="21"/>
        <v>2.2175775080298639E-3</v>
      </c>
      <c r="BG18" s="16">
        <f t="shared" si="21"/>
        <v>6.7860478904543942E-4</v>
      </c>
      <c r="BH18" s="16">
        <f t="shared" si="21"/>
        <v>1.9143052038415641E-3</v>
      </c>
      <c r="BI18" s="16">
        <f t="shared" si="21"/>
        <v>6.6246296481045049E-3</v>
      </c>
      <c r="BJ18" s="16">
        <f t="shared" si="21"/>
        <v>1.0120525298453803E-2</v>
      </c>
      <c r="BK18" s="16">
        <f t="shared" si="21"/>
        <v>8.1884544049846235E-3</v>
      </c>
      <c r="BL18" s="16">
        <f t="shared" si="21"/>
        <v>9.5471475034238963E-4</v>
      </c>
      <c r="BM18" s="16">
        <f t="shared" si="21"/>
        <v>3.4591085480784899E-3</v>
      </c>
      <c r="BN18" s="16">
        <f t="shared" si="21"/>
        <v>6.617113024465748E-3</v>
      </c>
      <c r="BO18" s="16">
        <f t="shared" ref="BO18:CT18" si="22">BO10^2</f>
        <v>5.9543089738482516E-5</v>
      </c>
      <c r="BP18" s="16">
        <f t="shared" si="22"/>
        <v>1.1392332566655691E-2</v>
      </c>
      <c r="BQ18" s="16">
        <f t="shared" si="22"/>
        <v>7.3746686174088762E-4</v>
      </c>
      <c r="BR18" s="16">
        <f t="shared" si="22"/>
        <v>2.962735792272784E-3</v>
      </c>
      <c r="BS18" s="16">
        <f t="shared" si="22"/>
        <v>4.6552343102339144E-3</v>
      </c>
      <c r="BT18" s="16">
        <f t="shared" si="22"/>
        <v>9.7243705233366149E-3</v>
      </c>
      <c r="BU18" s="16">
        <f t="shared" si="22"/>
        <v>1.6486185664536111E-2</v>
      </c>
      <c r="BV18" s="16">
        <f t="shared" si="22"/>
        <v>6.1469550603066659E-3</v>
      </c>
      <c r="BW18" s="16">
        <f t="shared" si="22"/>
        <v>1.4192843634773274E-2</v>
      </c>
      <c r="BX18" s="16">
        <f t="shared" si="22"/>
        <v>2.1986811101669893E-3</v>
      </c>
      <c r="BY18" s="16">
        <f t="shared" si="22"/>
        <v>1.034255309954589E-2</v>
      </c>
      <c r="BZ18" s="16">
        <f t="shared" si="22"/>
        <v>6.5946672658473903E-4</v>
      </c>
      <c r="CA18" s="16">
        <f t="shared" si="22"/>
        <v>6.9391882189381946E-3</v>
      </c>
      <c r="CB18" s="16">
        <f t="shared" si="22"/>
        <v>2.4909566624333357E-2</v>
      </c>
      <c r="CC18" s="16">
        <f t="shared" si="22"/>
        <v>5.0484679457919839E-3</v>
      </c>
      <c r="CD18" s="16">
        <f t="shared" si="22"/>
        <v>5.4575883396954768E-3</v>
      </c>
      <c r="CE18" s="16">
        <f t="shared" si="22"/>
        <v>5.6067832386980022E-2</v>
      </c>
      <c r="CF18" s="16">
        <f t="shared" si="22"/>
        <v>1.0645672168983563E-3</v>
      </c>
      <c r="CG18" s="16">
        <f t="shared" si="22"/>
        <v>1.8017920089221721E-4</v>
      </c>
      <c r="CH18" s="16">
        <f t="shared" si="22"/>
        <v>7.8213400438148902E-6</v>
      </c>
      <c r="CI18" s="16">
        <f t="shared" si="22"/>
        <v>2.2968727120364087E-3</v>
      </c>
      <c r="CJ18" s="16">
        <f t="shared" si="22"/>
        <v>1.0575629320283603E-5</v>
      </c>
      <c r="CK18" s="16">
        <f t="shared" si="22"/>
        <v>5.7317300865370067E-3</v>
      </c>
      <c r="CL18" s="16">
        <f t="shared" si="22"/>
        <v>1.9711163270756775E-3</v>
      </c>
      <c r="CM18" s="16">
        <f t="shared" si="22"/>
        <v>3.2036912913769394E-2</v>
      </c>
      <c r="CN18" s="16">
        <f t="shared" si="22"/>
        <v>3.3633349379620708E-3</v>
      </c>
      <c r="CO18" s="16">
        <f t="shared" si="22"/>
        <v>1.9429624982324575E-2</v>
      </c>
      <c r="CP18" s="16">
        <f t="shared" si="22"/>
        <v>4.1879885783785839E-3</v>
      </c>
      <c r="CQ18" s="16">
        <f t="shared" si="22"/>
        <v>3.2829051050147696E-2</v>
      </c>
      <c r="CR18" s="16">
        <f t="shared" si="22"/>
        <v>7.8559030529674386E-3</v>
      </c>
      <c r="CS18" s="16">
        <f t="shared" si="22"/>
        <v>6.411922743936203E-4</v>
      </c>
      <c r="CT18" s="16">
        <f t="shared" si="22"/>
        <v>1.2786876993597889E-2</v>
      </c>
      <c r="CU18" s="16">
        <f t="shared" ref="CU18:DZ18" si="23">CU10^2</f>
        <v>6.5544524509339751E-5</v>
      </c>
      <c r="CV18" s="16">
        <f t="shared" si="23"/>
        <v>2.0430588388809477E-3</v>
      </c>
      <c r="CW18" s="16">
        <f t="shared" si="23"/>
        <v>3.4740680595904648E-3</v>
      </c>
      <c r="CX18" s="16">
        <f t="shared" si="23"/>
        <v>1.160538698235747E-2</v>
      </c>
      <c r="CY18" s="16">
        <f t="shared" si="23"/>
        <v>9.3129254150261E-3</v>
      </c>
      <c r="CZ18" s="16">
        <f t="shared" si="23"/>
        <v>4.424895059465464E-2</v>
      </c>
      <c r="DA18" s="16">
        <f t="shared" si="23"/>
        <v>1.2091451728744079E-2</v>
      </c>
      <c r="DB18" s="16">
        <f t="shared" si="23"/>
        <v>3.6412452392839745E-2</v>
      </c>
      <c r="DC18" s="16">
        <f t="shared" si="23"/>
        <v>4.2961982124366043E-4</v>
      </c>
      <c r="DD18" s="16">
        <f t="shared" si="23"/>
        <v>7.5740634376350218E-3</v>
      </c>
      <c r="DE18" s="16">
        <f t="shared" si="23"/>
        <v>6.728033843953052E-3</v>
      </c>
      <c r="DF18" s="16">
        <f t="shared" si="23"/>
        <v>2.7847821251246123E-2</v>
      </c>
      <c r="DG18" s="16">
        <f t="shared" si="23"/>
        <v>4.9478702022008603E-2</v>
      </c>
      <c r="DH18" s="16">
        <f t="shared" si="23"/>
        <v>2.0821839571003448E-2</v>
      </c>
      <c r="DI18" s="16">
        <f t="shared" si="23"/>
        <v>1.4308932973192761E-2</v>
      </c>
      <c r="DJ18" s="16">
        <f t="shared" si="23"/>
        <v>1.0321085627255753E-2</v>
      </c>
      <c r="DK18" s="16">
        <f t="shared" si="23"/>
        <v>8.6220619337353931E-3</v>
      </c>
      <c r="DL18" s="16">
        <f t="shared" si="23"/>
        <v>1.8173586858343696E-3</v>
      </c>
      <c r="DM18" s="16">
        <f t="shared" si="23"/>
        <v>6.8445958863232442E-3</v>
      </c>
      <c r="DN18" s="16">
        <f t="shared" si="23"/>
        <v>9.6406849840983359E-4</v>
      </c>
      <c r="DO18" s="16">
        <f t="shared" si="23"/>
        <v>9.6318502978574808E-3</v>
      </c>
      <c r="DP18" s="16">
        <f t="shared" si="23"/>
        <v>1.7053455955604278E-2</v>
      </c>
      <c r="DQ18" s="16">
        <f t="shared" si="23"/>
        <v>2.3673789185478821E-3</v>
      </c>
      <c r="DR18" s="16">
        <f t="shared" si="23"/>
        <v>1.5407124335768466E-3</v>
      </c>
      <c r="DS18" s="16">
        <f t="shared" si="23"/>
        <v>2.5930725116640962E-2</v>
      </c>
      <c r="DT18" s="16">
        <f t="shared" si="23"/>
        <v>6.2226801681010647E-3</v>
      </c>
      <c r="DU18" s="16">
        <f t="shared" si="23"/>
        <v>2.6921313954919424E-2</v>
      </c>
      <c r="DV18" s="16">
        <f t="shared" si="23"/>
        <v>5.6328800675286651E-5</v>
      </c>
      <c r="DW18" s="16">
        <f t="shared" si="23"/>
        <v>1.0331756871656347E-2</v>
      </c>
      <c r="DX18" s="16">
        <f t="shared" si="23"/>
        <v>3.1405143826489668E-3</v>
      </c>
      <c r="DY18" s="16">
        <f t="shared" si="23"/>
        <v>1.137563878096463E-2</v>
      </c>
      <c r="DZ18" s="16">
        <f t="shared" si="23"/>
        <v>4.7867822305639905E-3</v>
      </c>
      <c r="EA18" s="16">
        <f t="shared" ref="EA18:EF18" si="24">EA10^2</f>
        <v>1.59235773418211E-2</v>
      </c>
      <c r="EB18" s="16">
        <f t="shared" si="24"/>
        <v>4.1908944894200424E-3</v>
      </c>
      <c r="EC18" s="16">
        <f t="shared" si="24"/>
        <v>2.6446410296186275E-3</v>
      </c>
      <c r="ED18" s="16">
        <f t="shared" si="24"/>
        <v>1.1900242728375913E-3</v>
      </c>
      <c r="EE18" s="16">
        <f t="shared" si="24"/>
        <v>2.4862225023126495E-2</v>
      </c>
      <c r="EF18" s="16">
        <f t="shared" si="24"/>
        <v>1.6174756721905801E-2</v>
      </c>
    </row>
    <row r="19" spans="1:136">
      <c r="B19" t="s">
        <v>138</v>
      </c>
      <c r="C19" s="16">
        <f t="shared" ref="C19:AH19" si="25">C11^2</f>
        <v>2.9424962947699911E-3</v>
      </c>
      <c r="D19" s="16">
        <f t="shared" si="25"/>
        <v>2.059074167658151E-3</v>
      </c>
      <c r="E19" s="16">
        <f t="shared" si="25"/>
        <v>3.1514318274691188E-4</v>
      </c>
      <c r="F19" s="16">
        <f t="shared" si="25"/>
        <v>7.6890721339683337E-3</v>
      </c>
      <c r="G19" s="16">
        <f t="shared" si="25"/>
        <v>1.0559465472918014E-2</v>
      </c>
      <c r="H19" s="16">
        <f t="shared" si="25"/>
        <v>6.3069879875624846E-6</v>
      </c>
      <c r="I19" s="16">
        <f t="shared" si="25"/>
        <v>3.3502003352045134E-4</v>
      </c>
      <c r="J19" s="16">
        <f t="shared" si="25"/>
        <v>4.8887532041517415E-4</v>
      </c>
      <c r="K19" s="16">
        <f t="shared" si="25"/>
        <v>5.9688056303032417E-3</v>
      </c>
      <c r="L19" s="16">
        <f t="shared" si="25"/>
        <v>8.7311801112263879E-5</v>
      </c>
      <c r="M19" s="16">
        <f t="shared" si="25"/>
        <v>2.873193829916625E-3</v>
      </c>
      <c r="N19" s="16">
        <f t="shared" si="25"/>
        <v>4.6073356328051786E-3</v>
      </c>
      <c r="O19" s="16">
        <f t="shared" si="25"/>
        <v>4.2158901598624366E-3</v>
      </c>
      <c r="P19" s="16">
        <f t="shared" si="25"/>
        <v>2.3821054386013211E-5</v>
      </c>
      <c r="Q19" s="16">
        <f t="shared" si="25"/>
        <v>3.6855622546895207E-4</v>
      </c>
      <c r="R19" s="16">
        <f t="shared" si="25"/>
        <v>2.9870042368556722E-5</v>
      </c>
      <c r="S19" s="16">
        <f t="shared" si="25"/>
        <v>1.3360097496481892E-3</v>
      </c>
      <c r="T19" s="16">
        <f t="shared" si="25"/>
        <v>1.6688781966867596E-2</v>
      </c>
      <c r="U19" s="16">
        <f t="shared" si="25"/>
        <v>1.8748202760809614E-4</v>
      </c>
      <c r="V19" s="16">
        <f t="shared" si="25"/>
        <v>2.3394473192739536E-4</v>
      </c>
      <c r="W19" s="16">
        <f t="shared" si="25"/>
        <v>1.0959099784052484E-2</v>
      </c>
      <c r="X19" s="16">
        <f t="shared" si="25"/>
        <v>8.6346676822882121E-2</v>
      </c>
      <c r="Y19" s="16">
        <f t="shared" si="25"/>
        <v>3.5061183838375133E-3</v>
      </c>
      <c r="Z19" s="16">
        <f t="shared" si="25"/>
        <v>3.4205878279447842E-2</v>
      </c>
      <c r="AA19" s="16">
        <f t="shared" si="25"/>
        <v>9.6525592252829466E-3</v>
      </c>
      <c r="AB19" s="16">
        <f t="shared" si="25"/>
        <v>4.3209728479720412E-7</v>
      </c>
      <c r="AC19" s="16">
        <f t="shared" si="25"/>
        <v>1.0750810579255237E-2</v>
      </c>
      <c r="AD19" s="16">
        <f t="shared" si="25"/>
        <v>1.2567690104255271E-5</v>
      </c>
      <c r="AE19" s="16">
        <f t="shared" si="25"/>
        <v>3.0835882156048783E-2</v>
      </c>
      <c r="AF19" s="16">
        <f t="shared" si="25"/>
        <v>2.4035262433120905E-2</v>
      </c>
      <c r="AG19" s="16">
        <f t="shared" si="25"/>
        <v>6.9319650662206438E-4</v>
      </c>
      <c r="AH19" s="16">
        <f t="shared" si="25"/>
        <v>2.4988102995418992E-5</v>
      </c>
      <c r="AI19" s="16">
        <f t="shared" ref="AI19:BN19" si="26">AI11^2</f>
        <v>7.8779660257925624E-4</v>
      </c>
      <c r="AJ19" s="16">
        <f t="shared" si="26"/>
        <v>5.0105213836060746E-4</v>
      </c>
      <c r="AK19" s="16">
        <f t="shared" si="26"/>
        <v>2.2109580205685515E-3</v>
      </c>
      <c r="AL19" s="16">
        <f t="shared" si="26"/>
        <v>1.0314740717783251E-2</v>
      </c>
      <c r="AM19" s="16">
        <f t="shared" si="26"/>
        <v>5.5343262156863572E-4</v>
      </c>
      <c r="AN19" s="16">
        <f t="shared" si="26"/>
        <v>2.7588997976275898E-3</v>
      </c>
      <c r="AO19" s="16">
        <f t="shared" si="26"/>
        <v>3.4225885640141755E-3</v>
      </c>
      <c r="AP19" s="16">
        <f t="shared" si="26"/>
        <v>1.118725626162101E-3</v>
      </c>
      <c r="AQ19" s="16">
        <f t="shared" si="26"/>
        <v>2.0450045203045813E-4</v>
      </c>
      <c r="AR19" s="16">
        <f t="shared" si="26"/>
        <v>1.2890681145068224E-3</v>
      </c>
      <c r="AS19" s="16">
        <f t="shared" si="26"/>
        <v>1.5826302227352094E-3</v>
      </c>
      <c r="AT19" s="16">
        <f t="shared" si="26"/>
        <v>2.2039242020426623E-2</v>
      </c>
      <c r="AU19" s="16">
        <f t="shared" si="26"/>
        <v>1.6636034229909587E-3</v>
      </c>
      <c r="AV19" s="16">
        <f t="shared" si="26"/>
        <v>1.9309590933108238E-2</v>
      </c>
      <c r="AW19" s="16">
        <f t="shared" si="26"/>
        <v>3.5836126990842362E-3</v>
      </c>
      <c r="AX19" s="16">
        <f t="shared" si="26"/>
        <v>2.2436988075031212E-2</v>
      </c>
      <c r="AY19" s="16">
        <f t="shared" si="26"/>
        <v>3.7940489141036855E-3</v>
      </c>
      <c r="AZ19" s="16">
        <f t="shared" si="26"/>
        <v>3.8377717094877179E-3</v>
      </c>
      <c r="BA19" s="16">
        <f t="shared" si="26"/>
        <v>5.7085842824112805E-6</v>
      </c>
      <c r="BB19" s="16">
        <f t="shared" si="26"/>
        <v>2.2162365071883454E-2</v>
      </c>
      <c r="BC19" s="16">
        <f t="shared" si="26"/>
        <v>3.6421850194502817E-3</v>
      </c>
      <c r="BD19" s="16">
        <f t="shared" si="26"/>
        <v>2.1567132814367246E-4</v>
      </c>
      <c r="BE19" s="16">
        <f t="shared" si="26"/>
        <v>2.1466733042722119E-2</v>
      </c>
      <c r="BF19" s="16">
        <f t="shared" si="26"/>
        <v>4.3581843456671758E-2</v>
      </c>
      <c r="BG19" s="16">
        <f t="shared" si="26"/>
        <v>4.0579385301159648E-2</v>
      </c>
      <c r="BH19" s="16">
        <f t="shared" si="26"/>
        <v>1.3935782851325853E-2</v>
      </c>
      <c r="BI19" s="16">
        <f t="shared" si="26"/>
        <v>5.9330934213272886E-3</v>
      </c>
      <c r="BJ19" s="16">
        <f t="shared" si="26"/>
        <v>1.3119113666831017E-3</v>
      </c>
      <c r="BK19" s="16">
        <f t="shared" si="26"/>
        <v>3.5748481064286472E-4</v>
      </c>
      <c r="BL19" s="16">
        <f t="shared" si="26"/>
        <v>2.9328493400993451E-2</v>
      </c>
      <c r="BM19" s="16">
        <f t="shared" si="26"/>
        <v>1.7667061037884114E-2</v>
      </c>
      <c r="BN19" s="16">
        <f t="shared" si="26"/>
        <v>1.2893630347257589E-3</v>
      </c>
      <c r="BO19" s="16">
        <f t="shared" ref="BO19:CT19" si="27">BO11^2</f>
        <v>4.555884575901441E-4</v>
      </c>
      <c r="BP19" s="16">
        <f t="shared" si="27"/>
        <v>2.4636156414780219E-3</v>
      </c>
      <c r="BQ19" s="16">
        <f t="shared" si="27"/>
        <v>2.9622597057292401E-4</v>
      </c>
      <c r="BR19" s="16">
        <f t="shared" si="27"/>
        <v>3.6034382227143044E-2</v>
      </c>
      <c r="BS19" s="16">
        <f t="shared" si="27"/>
        <v>9.5267433223972416E-3</v>
      </c>
      <c r="BT19" s="16">
        <f t="shared" si="27"/>
        <v>1.4312181655934848E-3</v>
      </c>
      <c r="BU19" s="16">
        <f t="shared" si="27"/>
        <v>3.1369302523255979E-3</v>
      </c>
      <c r="BV19" s="16">
        <f t="shared" si="27"/>
        <v>1.3627535644839506E-2</v>
      </c>
      <c r="BW19" s="16">
        <f t="shared" si="27"/>
        <v>1.9972187007291264E-2</v>
      </c>
      <c r="BX19" s="16">
        <f t="shared" si="27"/>
        <v>1.140430378647656E-5</v>
      </c>
      <c r="BY19" s="16">
        <f t="shared" si="27"/>
        <v>1.6987488721731576E-2</v>
      </c>
      <c r="BZ19" s="16">
        <f t="shared" si="27"/>
        <v>1.0047461557265778E-3</v>
      </c>
      <c r="CA19" s="16">
        <f t="shared" si="27"/>
        <v>1.6447110645557072E-3</v>
      </c>
      <c r="CB19" s="16">
        <f t="shared" si="27"/>
        <v>1.767137228315438E-3</v>
      </c>
      <c r="CC19" s="16">
        <f t="shared" si="27"/>
        <v>2.5013725272755708E-3</v>
      </c>
      <c r="CD19" s="16">
        <f t="shared" si="27"/>
        <v>4.6862621773654262E-3</v>
      </c>
      <c r="CE19" s="16">
        <f t="shared" si="27"/>
        <v>6.5338267870204162E-3</v>
      </c>
      <c r="CF19" s="16">
        <f t="shared" si="27"/>
        <v>3.7959149352106796E-6</v>
      </c>
      <c r="CG19" s="16">
        <f t="shared" si="27"/>
        <v>1.3973368107735227E-2</v>
      </c>
      <c r="CH19" s="16">
        <f t="shared" si="27"/>
        <v>1.3483500252419256E-3</v>
      </c>
      <c r="CI19" s="16">
        <f t="shared" si="27"/>
        <v>6.944354409283488E-3</v>
      </c>
      <c r="CJ19" s="16">
        <f t="shared" si="27"/>
        <v>5.3209971579111864E-2</v>
      </c>
      <c r="CK19" s="16">
        <f t="shared" si="27"/>
        <v>1.7630136062643516E-2</v>
      </c>
      <c r="CL19" s="16">
        <f t="shared" si="27"/>
        <v>1.9962106501869858E-2</v>
      </c>
      <c r="CM19" s="16">
        <f t="shared" si="27"/>
        <v>1.2698898011967283E-2</v>
      </c>
      <c r="CN19" s="16">
        <f t="shared" si="27"/>
        <v>4.9947135394185591E-2</v>
      </c>
      <c r="CO19" s="16">
        <f t="shared" si="27"/>
        <v>1.0903362974249101E-2</v>
      </c>
      <c r="CP19" s="16">
        <f t="shared" si="27"/>
        <v>2.0817366158502797E-4</v>
      </c>
      <c r="CQ19" s="16">
        <f t="shared" si="27"/>
        <v>4.2945670995945519E-2</v>
      </c>
      <c r="CR19" s="16">
        <f t="shared" si="27"/>
        <v>1.818826329983373E-2</v>
      </c>
      <c r="CS19" s="16">
        <f t="shared" si="27"/>
        <v>5.330129925765671E-3</v>
      </c>
      <c r="CT19" s="16">
        <f t="shared" si="27"/>
        <v>9.1315039355651805E-4</v>
      </c>
      <c r="CU19" s="16">
        <f t="shared" ref="CU19:DZ19" si="28">CU11^2</f>
        <v>8.2305398372276448E-2</v>
      </c>
      <c r="CV19" s="16">
        <f t="shared" si="28"/>
        <v>5.323658125231813E-2</v>
      </c>
      <c r="CW19" s="16">
        <f t="shared" si="28"/>
        <v>8.2947828598525283E-3</v>
      </c>
      <c r="CX19" s="16">
        <f t="shared" si="28"/>
        <v>1.5002754583806925E-2</v>
      </c>
      <c r="CY19" s="16">
        <f t="shared" si="28"/>
        <v>6.1437262145754186E-3</v>
      </c>
      <c r="CZ19" s="16">
        <f t="shared" si="28"/>
        <v>2.1114120178055175E-3</v>
      </c>
      <c r="DA19" s="16">
        <f t="shared" si="28"/>
        <v>6.8343561034422563E-3</v>
      </c>
      <c r="DB19" s="16">
        <f t="shared" si="28"/>
        <v>2.2305204479499383E-2</v>
      </c>
      <c r="DC19" s="16">
        <f t="shared" si="28"/>
        <v>2.2847162154111663E-3</v>
      </c>
      <c r="DD19" s="16">
        <f t="shared" si="28"/>
        <v>2.7064678662887049E-2</v>
      </c>
      <c r="DE19" s="16">
        <f t="shared" si="28"/>
        <v>1.2225360760831885E-2</v>
      </c>
      <c r="DF19" s="16">
        <f t="shared" si="28"/>
        <v>3.2966966393763162E-3</v>
      </c>
      <c r="DG19" s="16">
        <f t="shared" si="28"/>
        <v>4.6177804713180344E-2</v>
      </c>
      <c r="DH19" s="16">
        <f t="shared" si="28"/>
        <v>3.9686415441255191E-3</v>
      </c>
      <c r="DI19" s="16">
        <f t="shared" si="28"/>
        <v>4.5861486060873721E-3</v>
      </c>
      <c r="DJ19" s="16">
        <f t="shared" si="28"/>
        <v>1.4113933508686947E-2</v>
      </c>
      <c r="DK19" s="16">
        <f t="shared" si="28"/>
        <v>5.3038165655135587E-5</v>
      </c>
      <c r="DL19" s="16">
        <f t="shared" si="28"/>
        <v>5.0866278425543898E-3</v>
      </c>
      <c r="DM19" s="16">
        <f t="shared" si="28"/>
        <v>4.4192030717479113E-4</v>
      </c>
      <c r="DN19" s="16">
        <f t="shared" si="28"/>
        <v>9.2435602590540443E-4</v>
      </c>
      <c r="DO19" s="16">
        <f t="shared" si="28"/>
        <v>9.3992359170593232E-3</v>
      </c>
      <c r="DP19" s="16">
        <f t="shared" si="28"/>
        <v>5.3211643863895493E-2</v>
      </c>
      <c r="DQ19" s="16">
        <f t="shared" si="28"/>
        <v>5.6731766595356822E-2</v>
      </c>
      <c r="DR19" s="16">
        <f t="shared" si="28"/>
        <v>1.2779732721999408E-5</v>
      </c>
      <c r="DS19" s="16">
        <f t="shared" si="28"/>
        <v>1.7944107252667544E-2</v>
      </c>
      <c r="DT19" s="16">
        <f t="shared" si="28"/>
        <v>1.3249413434882942E-2</v>
      </c>
      <c r="DU19" s="16">
        <f t="shared" si="28"/>
        <v>1.0832602517582508E-2</v>
      </c>
      <c r="DV19" s="16">
        <f t="shared" si="28"/>
        <v>2.9823682090757879E-3</v>
      </c>
      <c r="DW19" s="16">
        <f t="shared" si="28"/>
        <v>1.1082370139875364E-3</v>
      </c>
      <c r="DX19" s="16">
        <f t="shared" si="28"/>
        <v>3.0354498547830525E-3</v>
      </c>
      <c r="DY19" s="16">
        <f t="shared" si="28"/>
        <v>4.7325832565790213E-3</v>
      </c>
      <c r="DZ19" s="16">
        <f t="shared" si="28"/>
        <v>2.0969279010246204E-4</v>
      </c>
      <c r="EA19" s="16">
        <f t="shared" ref="EA19:EF19" si="29">EA11^2</f>
        <v>8.5929031587546431E-2</v>
      </c>
      <c r="EB19" s="16">
        <f t="shared" si="29"/>
        <v>1.987395609544565E-2</v>
      </c>
      <c r="EC19" s="16">
        <f t="shared" si="29"/>
        <v>1.4906851026839793E-4</v>
      </c>
      <c r="ED19" s="16">
        <f t="shared" si="29"/>
        <v>3.3834798795211859E-3</v>
      </c>
      <c r="EE19" s="16">
        <f t="shared" si="29"/>
        <v>2.0852230305009004E-2</v>
      </c>
      <c r="EF19" s="16">
        <f t="shared" si="29"/>
        <v>9.4107527241881761E-3</v>
      </c>
    </row>
    <row r="21" spans="1:136">
      <c r="A21" t="s">
        <v>246</v>
      </c>
      <c r="B21" s="9">
        <f>1-SUM(C13:EF15)/SUM(C17:EF19)</f>
        <v>-2.2686626520071362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F25"/>
  <sheetViews>
    <sheetView topLeftCell="A6" zoomScale="75" workbookViewId="0">
      <selection activeCell="S44" sqref="S44"/>
    </sheetView>
  </sheetViews>
  <sheetFormatPr baseColWidth="10" defaultRowHeight="15"/>
  <sheetData>
    <row r="1" spans="1:1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>
      <c r="A3" s="1"/>
      <c r="B3" s="2" t="s">
        <v>136</v>
      </c>
      <c r="C3" s="11">
        <v>-9.1369017958641052E-2</v>
      </c>
      <c r="D3" s="11">
        <v>-0.1108541637659073</v>
      </c>
      <c r="E3" s="11">
        <v>1.095622777938843E-3</v>
      </c>
      <c r="F3" s="11">
        <v>-0.13442955911159521</v>
      </c>
      <c r="G3" s="11">
        <v>-0.1746680736541748</v>
      </c>
      <c r="H3" s="11">
        <v>5.4118875414133072E-3</v>
      </c>
      <c r="I3" s="11">
        <v>-3.5852931439876563E-2</v>
      </c>
      <c r="J3" s="11">
        <v>-7.7711276710033417E-2</v>
      </c>
      <c r="K3" s="11">
        <v>-1.449720188975334E-2</v>
      </c>
      <c r="L3" s="11">
        <v>-4.7656506299972527E-2</v>
      </c>
      <c r="M3" s="11">
        <v>-5.7244118303060532E-2</v>
      </c>
      <c r="N3" s="11">
        <v>2.682022750377655E-5</v>
      </c>
      <c r="O3" s="11">
        <v>-3.0116423964500431E-2</v>
      </c>
      <c r="P3" s="11">
        <v>-4.0258027613162987E-2</v>
      </c>
      <c r="Q3" s="11">
        <v>3.7178266793489461E-3</v>
      </c>
      <c r="R3" s="11">
        <v>2.9201550409197811E-2</v>
      </c>
      <c r="S3" s="11">
        <v>7.7254641801118851E-3</v>
      </c>
      <c r="T3" s="11">
        <v>-5.8597654104232788E-2</v>
      </c>
      <c r="U3" s="11">
        <v>6.510857492685318E-4</v>
      </c>
      <c r="V3" s="11">
        <v>-0.107098214328289</v>
      </c>
      <c r="W3" s="11">
        <v>-0.19089989364147189</v>
      </c>
      <c r="X3" s="11">
        <v>-7.1200095117092133E-2</v>
      </c>
      <c r="Y3" s="11">
        <v>-0.1000832766294479</v>
      </c>
      <c r="Z3" s="11">
        <v>-4.923209547996521E-2</v>
      </c>
      <c r="AA3" s="11">
        <v>-2.046559751033783E-2</v>
      </c>
      <c r="AB3" s="11">
        <v>-6.9066941738128662E-2</v>
      </c>
      <c r="AC3" s="11">
        <v>-5.033314973115921E-2</v>
      </c>
      <c r="AD3" s="11">
        <v>-1.914726942777634E-2</v>
      </c>
      <c r="AE3" s="11">
        <v>-1.0799495503306391E-2</v>
      </c>
      <c r="AF3" s="11">
        <v>1.033585891127586E-2</v>
      </c>
      <c r="AG3" s="11">
        <v>6.015850231051445E-3</v>
      </c>
      <c r="AH3" s="11">
        <v>-0.26610976457595831</v>
      </c>
      <c r="AI3" s="11">
        <v>-0.14365202188491821</v>
      </c>
      <c r="AJ3" s="11">
        <v>-0.25451940298080439</v>
      </c>
      <c r="AK3" s="11">
        <v>2.8104119002819061E-2</v>
      </c>
      <c r="AL3" s="11">
        <v>-5.1742583513259888E-2</v>
      </c>
      <c r="AM3" s="11">
        <v>-8.2977190613746643E-2</v>
      </c>
      <c r="AN3" s="11">
        <v>-7.0350959897041321E-2</v>
      </c>
      <c r="AO3" s="11">
        <v>-0.1968108415603638</v>
      </c>
      <c r="AP3" s="11">
        <v>-0.25679254531860352</v>
      </c>
      <c r="AQ3" s="11">
        <v>-5.9776842594146729E-2</v>
      </c>
      <c r="AR3" s="11">
        <v>-4.1728809475898743E-2</v>
      </c>
      <c r="AS3" s="11">
        <v>-8.1946820020675659E-2</v>
      </c>
      <c r="AT3" s="11">
        <v>-0.13346004486083979</v>
      </c>
      <c r="AU3" s="11">
        <v>3.601998090744019E-3</v>
      </c>
      <c r="AV3" s="11">
        <v>7.9997703433036804E-3</v>
      </c>
      <c r="AW3" s="11">
        <v>2.431571483612061E-3</v>
      </c>
      <c r="AX3" s="11">
        <v>1.277367025613785E-2</v>
      </c>
      <c r="AY3" s="11">
        <v>2.707108855247498E-3</v>
      </c>
      <c r="AZ3" s="11">
        <v>1.4640374109148979E-2</v>
      </c>
      <c r="BA3" s="11">
        <v>3.6530185490846627E-2</v>
      </c>
      <c r="BB3" s="11">
        <v>3.3319383859634399E-2</v>
      </c>
      <c r="BC3" s="11">
        <v>1.1332087218761441E-2</v>
      </c>
      <c r="BD3" s="11">
        <v>-7.7839195728302002E-4</v>
      </c>
      <c r="BE3" s="11">
        <v>-1.704639196395874E-2</v>
      </c>
      <c r="BF3" s="11">
        <v>-2.8747007250785831E-2</v>
      </c>
      <c r="BG3" s="11">
        <v>-3.7359297275543209E-3</v>
      </c>
      <c r="BH3" s="11">
        <v>3.0615001916885379E-2</v>
      </c>
      <c r="BI3" s="11">
        <v>-1.3157427310943599E-3</v>
      </c>
      <c r="BJ3" s="11">
        <v>-6.5720930695533752E-2</v>
      </c>
      <c r="BK3" s="11">
        <v>-4.0063485503196723E-2</v>
      </c>
      <c r="BL3" s="11">
        <v>-8.8971659541130066E-2</v>
      </c>
      <c r="BM3" s="11">
        <v>-2.1720856428146359E-2</v>
      </c>
      <c r="BN3" s="11">
        <v>-6.8609192967414856E-2</v>
      </c>
      <c r="BO3" s="11">
        <v>-5.5181741714477539E-2</v>
      </c>
      <c r="BP3" s="11">
        <v>-8.5352331399917603E-2</v>
      </c>
      <c r="BQ3" s="11">
        <v>-3.6593899130821228E-2</v>
      </c>
      <c r="BR3" s="11">
        <v>3.5782556980848312E-2</v>
      </c>
      <c r="BS3" s="11">
        <v>3.381897509098053E-2</v>
      </c>
      <c r="BT3" s="11">
        <v>3.7881385535001748E-2</v>
      </c>
      <c r="BU3" s="11">
        <v>3.3238206058740623E-2</v>
      </c>
      <c r="BV3" s="11">
        <v>4.6295918524265289E-2</v>
      </c>
      <c r="BW3" s="11">
        <v>3.5180661827325821E-2</v>
      </c>
      <c r="BX3" s="11">
        <v>2.4767490103840831E-2</v>
      </c>
      <c r="BY3" s="11">
        <v>3.3294945955276489E-2</v>
      </c>
      <c r="BZ3" s="11">
        <v>5.243389680981636E-2</v>
      </c>
      <c r="CA3" s="11">
        <v>4.8576407134532928E-3</v>
      </c>
      <c r="CB3" s="11">
        <v>3.7053938955068588E-2</v>
      </c>
      <c r="CC3" s="11">
        <v>2.6344805955886841E-2</v>
      </c>
      <c r="CD3" s="11">
        <v>3.6022435873746872E-2</v>
      </c>
      <c r="CE3" s="11">
        <v>2.6176232844591141E-2</v>
      </c>
      <c r="CF3" s="11">
        <v>1.8041616305708889E-2</v>
      </c>
      <c r="CG3" s="11">
        <v>1.433759741485119E-2</v>
      </c>
      <c r="CH3" s="11">
        <v>1.081309281289577E-2</v>
      </c>
      <c r="CI3" s="11">
        <v>9.3775922432541847E-3</v>
      </c>
      <c r="CJ3" s="11">
        <v>3.1418859958648682E-2</v>
      </c>
      <c r="CK3" s="11">
        <v>2.9902642592787739E-2</v>
      </c>
      <c r="CL3" s="11">
        <v>2.813007682561874E-2</v>
      </c>
      <c r="CM3" s="11">
        <v>1.7964363098144531E-2</v>
      </c>
      <c r="CN3" s="11">
        <v>6.8069854751229286E-3</v>
      </c>
      <c r="CO3" s="11">
        <v>4.2052153497934341E-2</v>
      </c>
      <c r="CP3" s="11">
        <v>3.3009041100740433E-2</v>
      </c>
      <c r="CQ3" s="11">
        <v>2.371090650558472E-2</v>
      </c>
      <c r="CR3" s="11">
        <v>2.6173286139965061E-2</v>
      </c>
      <c r="CS3" s="11">
        <v>1.9619772210717201E-2</v>
      </c>
      <c r="CT3" s="11">
        <v>1.4876773580908781E-2</v>
      </c>
      <c r="CU3" s="11">
        <v>4.0978025645017617E-2</v>
      </c>
      <c r="CV3" s="11">
        <v>3.9532899856567383E-2</v>
      </c>
      <c r="CW3" s="11">
        <v>2.4221045896410939E-2</v>
      </c>
      <c r="CX3" s="11">
        <v>4.2955689132213593E-2</v>
      </c>
      <c r="CY3" s="11">
        <v>2.8871554881334301E-2</v>
      </c>
      <c r="CZ3" s="11">
        <v>4.7397840768098831E-2</v>
      </c>
      <c r="DA3" s="11">
        <v>2.8573086485266689E-2</v>
      </c>
      <c r="DB3" s="11">
        <v>2.5090832263231281E-2</v>
      </c>
      <c r="DC3" s="11">
        <v>2.0950637757778171E-2</v>
      </c>
      <c r="DD3" s="11">
        <v>2.0789520815014839E-2</v>
      </c>
      <c r="DE3" s="11">
        <v>3.3207852393388748E-2</v>
      </c>
      <c r="DF3" s="11">
        <v>2.975026331841946E-2</v>
      </c>
      <c r="DG3" s="11">
        <v>1.9087659195065498E-2</v>
      </c>
      <c r="DH3" s="11">
        <v>2.3787431418895721E-2</v>
      </c>
      <c r="DI3" s="11">
        <v>1.9194494932889938E-2</v>
      </c>
      <c r="DJ3" s="11">
        <v>3.5664934664964683E-2</v>
      </c>
      <c r="DK3" s="11">
        <v>3.7067931145429611E-2</v>
      </c>
      <c r="DL3" s="11">
        <v>2.47370321303606E-2</v>
      </c>
      <c r="DM3" s="11">
        <v>3.1437266618013382E-2</v>
      </c>
      <c r="DN3" s="11">
        <v>2.590093947947025E-2</v>
      </c>
      <c r="DO3" s="11">
        <v>2.2398050874471661E-2</v>
      </c>
      <c r="DP3" s="11">
        <v>1.9147077575325969E-2</v>
      </c>
      <c r="DQ3" s="11">
        <v>2.4746008217334751E-2</v>
      </c>
      <c r="DR3" s="11">
        <v>3.8861591368913651E-2</v>
      </c>
      <c r="DS3" s="11">
        <v>2.9537344351410869E-2</v>
      </c>
      <c r="DT3" s="11">
        <v>3.6585744470357888E-2</v>
      </c>
      <c r="DU3" s="11">
        <v>1.0436186566948891E-2</v>
      </c>
      <c r="DV3" s="11">
        <v>1.354960352182388E-2</v>
      </c>
      <c r="DW3" s="11">
        <v>3.0600432306528091E-2</v>
      </c>
      <c r="DX3" s="11">
        <v>3.076322935521603E-2</v>
      </c>
      <c r="DY3" s="11">
        <v>2.6879474520683289E-2</v>
      </c>
      <c r="DZ3" s="11">
        <v>3.8272425532341003E-2</v>
      </c>
      <c r="EA3" s="11">
        <v>3.7800624966621399E-2</v>
      </c>
      <c r="EB3" s="11">
        <v>9.2485006898641586E-3</v>
      </c>
      <c r="EC3" s="11">
        <v>1.0824577882885929E-2</v>
      </c>
      <c r="ED3" s="11">
        <v>3.1915292143821723E-2</v>
      </c>
      <c r="EE3" s="11">
        <v>1.992469280958176E-2</v>
      </c>
      <c r="EF3" s="11">
        <v>3.6655358970165253E-2</v>
      </c>
    </row>
    <row r="4" spans="1:136">
      <c r="A4" s="1"/>
      <c r="B4" s="2" t="s">
        <v>137</v>
      </c>
      <c r="C4" s="11">
        <v>4.5735888183116913E-2</v>
      </c>
      <c r="D4" s="11">
        <v>0.1421964764595032</v>
      </c>
      <c r="E4" s="11">
        <v>0.12357825040817259</v>
      </c>
      <c r="F4" s="11">
        <v>0.10848225653171539</v>
      </c>
      <c r="G4" s="11">
        <v>9.5342576503753662E-2</v>
      </c>
      <c r="H4" s="11">
        <v>9.0842671692371368E-2</v>
      </c>
      <c r="I4" s="11">
        <v>7.6174549758434296E-2</v>
      </c>
      <c r="J4" s="11">
        <v>5.9771746397018433E-2</v>
      </c>
      <c r="K4" s="11">
        <v>6.8689219653606415E-2</v>
      </c>
      <c r="L4" s="11">
        <v>6.0447685420513153E-2</v>
      </c>
      <c r="M4" s="11">
        <v>2.7975643053650859E-2</v>
      </c>
      <c r="N4" s="11">
        <v>9.7275795415043831E-3</v>
      </c>
      <c r="O4" s="11">
        <v>9.3574635684490204E-3</v>
      </c>
      <c r="P4" s="11">
        <v>-1.796905649825931E-3</v>
      </c>
      <c r="Q4" s="11">
        <v>-2.5195966009050612E-3</v>
      </c>
      <c r="R4" s="11">
        <v>-3.085714997723699E-3</v>
      </c>
      <c r="S4" s="11">
        <v>-3.105835290625691E-3</v>
      </c>
      <c r="T4" s="11">
        <v>-4.2619518935680389E-3</v>
      </c>
      <c r="U4" s="11">
        <v>-9.374961256980896E-3</v>
      </c>
      <c r="V4" s="11">
        <v>-1.153737679123878E-2</v>
      </c>
      <c r="W4" s="11">
        <v>-1.192781608551741E-2</v>
      </c>
      <c r="X4" s="11">
        <v>-1.2192427180707449E-2</v>
      </c>
      <c r="Y4" s="11">
        <v>-1.5751872211694721E-2</v>
      </c>
      <c r="Z4" s="11">
        <v>-1.7309032380580899E-2</v>
      </c>
      <c r="AA4" s="11">
        <v>-1.7488019540905949E-2</v>
      </c>
      <c r="AB4" s="11">
        <v>-1.846657320857048E-2</v>
      </c>
      <c r="AC4" s="11">
        <v>-1.864372193813324E-2</v>
      </c>
      <c r="AD4" s="11">
        <v>-1.8953690305352211E-2</v>
      </c>
      <c r="AE4" s="11">
        <v>-1.921507716178894E-2</v>
      </c>
      <c r="AF4" s="11">
        <v>-2.0113235339522358E-2</v>
      </c>
      <c r="AG4" s="11">
        <v>-2.026095055043697E-2</v>
      </c>
      <c r="AH4" s="11">
        <v>-2.0400110632181171E-2</v>
      </c>
      <c r="AI4" s="11">
        <v>-2.257528901100159E-2</v>
      </c>
      <c r="AJ4" s="11">
        <v>-2.2869756445288662E-2</v>
      </c>
      <c r="AK4" s="11">
        <v>-2.3673111572861671E-2</v>
      </c>
      <c r="AL4" s="11">
        <v>-5.0100833177566528E-2</v>
      </c>
      <c r="AM4" s="11">
        <v>-2.9040023684501651E-2</v>
      </c>
      <c r="AN4" s="11">
        <v>-2.910598739981651E-2</v>
      </c>
      <c r="AO4" s="11">
        <v>-3.0611878260970119E-2</v>
      </c>
      <c r="AP4" s="11">
        <v>-3.0782695859670639E-2</v>
      </c>
      <c r="AQ4" s="11">
        <v>-2.7796577662229541E-2</v>
      </c>
      <c r="AR4" s="11">
        <v>-2.7182344347238541E-2</v>
      </c>
      <c r="AS4" s="11">
        <v>-2.4847416207194328E-2</v>
      </c>
      <c r="AT4" s="11">
        <v>-2.531261928379536E-2</v>
      </c>
      <c r="AU4" s="11">
        <v>-2.5429589673876759E-2</v>
      </c>
      <c r="AV4" s="11">
        <v>-2.5587804615497589E-2</v>
      </c>
      <c r="AW4" s="11">
        <v>-2.59556844830513E-2</v>
      </c>
      <c r="AX4" s="11">
        <v>-2.625242434442043E-2</v>
      </c>
      <c r="AY4" s="11">
        <v>-3.3910792320966721E-2</v>
      </c>
      <c r="AZ4" s="11">
        <v>-2.8038723394274712E-2</v>
      </c>
      <c r="BA4" s="11">
        <v>-2.7945993468165401E-2</v>
      </c>
      <c r="BB4" s="11">
        <v>-3.2719224691390991E-2</v>
      </c>
      <c r="BC4" s="11">
        <v>-3.2609779387712479E-2</v>
      </c>
      <c r="BD4" s="11">
        <v>-3.2060969620943069E-2</v>
      </c>
      <c r="BE4" s="11">
        <v>-3.2296057790517807E-2</v>
      </c>
      <c r="BF4" s="11">
        <v>-3.2346583902835853E-2</v>
      </c>
      <c r="BG4" s="11">
        <v>-3.2194517552852631E-2</v>
      </c>
      <c r="BH4" s="11">
        <v>-1.9704345613718029E-2</v>
      </c>
      <c r="BI4" s="11">
        <v>-2.780326642096043E-2</v>
      </c>
      <c r="BJ4" s="11">
        <v>-2.80107855796814E-2</v>
      </c>
      <c r="BK4" s="11">
        <v>-3.0229432508349419E-2</v>
      </c>
      <c r="BL4" s="11">
        <v>-2.991438657045364E-2</v>
      </c>
      <c r="BM4" s="11">
        <v>-3.1547844409942627E-2</v>
      </c>
      <c r="BN4" s="11">
        <v>-3.8578428328037262E-2</v>
      </c>
      <c r="BO4" s="11">
        <v>-2.9772218316793438E-2</v>
      </c>
      <c r="BP4" s="11">
        <v>-3.6932468414306641E-2</v>
      </c>
      <c r="BQ4" s="11">
        <v>-3.3658269792795181E-2</v>
      </c>
      <c r="BR4" s="11">
        <v>-1.1724528856575491E-2</v>
      </c>
      <c r="BS4" s="11">
        <v>-1.5890749171376228E-2</v>
      </c>
      <c r="BT4" s="11">
        <v>-2.0781641826033589E-2</v>
      </c>
      <c r="BU4" s="11">
        <v>-2.0965751260519031E-2</v>
      </c>
      <c r="BV4" s="11">
        <v>-1.7983367666602131E-2</v>
      </c>
      <c r="BW4" s="11">
        <v>-2.2088326513767239E-2</v>
      </c>
      <c r="BX4" s="11">
        <v>-3.0406095087528229E-2</v>
      </c>
      <c r="BY4" s="11">
        <v>-3.0804829671978951E-2</v>
      </c>
      <c r="BZ4" s="11">
        <v>-3.0603507533669468E-2</v>
      </c>
      <c r="CA4" s="11">
        <v>-3.099978901445866E-2</v>
      </c>
      <c r="CB4" s="11">
        <v>-2.641275338828564E-2</v>
      </c>
      <c r="CC4" s="11">
        <v>-2.8904115781188011E-2</v>
      </c>
      <c r="CD4" s="11">
        <v>-2.8219865635037419E-2</v>
      </c>
      <c r="CE4" s="11">
        <v>-2.8157502412796021E-2</v>
      </c>
      <c r="CF4" s="11">
        <v>-3.0116477981209751E-2</v>
      </c>
      <c r="CG4" s="11">
        <v>-3.000578656792641E-2</v>
      </c>
      <c r="CH4" s="11">
        <v>-3.004055842757225E-2</v>
      </c>
      <c r="CI4" s="11">
        <v>-3.1394515186548233E-2</v>
      </c>
      <c r="CJ4" s="11">
        <v>-3.1854711472988129E-2</v>
      </c>
      <c r="CK4" s="11">
        <v>-3.1971924006938927E-2</v>
      </c>
      <c r="CL4" s="11">
        <v>-3.5468246787786477E-2</v>
      </c>
      <c r="CM4" s="11">
        <v>-3.1219955533742901E-2</v>
      </c>
      <c r="CN4" s="11">
        <v>-3.586915135383606E-2</v>
      </c>
      <c r="CO4" s="11">
        <v>-3.1749378889799118E-2</v>
      </c>
      <c r="CP4" s="11">
        <v>-3.1618151813745499E-2</v>
      </c>
      <c r="CQ4" s="11">
        <v>-2.7020266279578209E-2</v>
      </c>
      <c r="CR4" s="11">
        <v>-2.5449879467487339E-2</v>
      </c>
      <c r="CS4" s="11">
        <v>-2.9090225696563721E-2</v>
      </c>
      <c r="CT4" s="11">
        <v>-2.5807581841945652E-2</v>
      </c>
      <c r="CU4" s="11">
        <v>-2.6407243683934212E-2</v>
      </c>
      <c r="CV4" s="11">
        <v>-2.782540954649448E-2</v>
      </c>
      <c r="CW4" s="11">
        <v>-3.4329790621995933E-2</v>
      </c>
      <c r="CX4" s="11">
        <v>-2.7993788942694661E-2</v>
      </c>
      <c r="CY4" s="11">
        <v>-2.6280265301465992E-2</v>
      </c>
      <c r="CZ4" s="11">
        <v>-2.7791231870651249E-2</v>
      </c>
      <c r="DA4" s="11">
        <v>-2.9591461643576619E-2</v>
      </c>
      <c r="DB4" s="11">
        <v>-3.4101340919733047E-2</v>
      </c>
      <c r="DC4" s="11">
        <v>-3.4843210130929947E-2</v>
      </c>
      <c r="DD4" s="11">
        <v>-3.2262604683637619E-2</v>
      </c>
      <c r="DE4" s="11">
        <v>-2.881589904427528E-2</v>
      </c>
      <c r="DF4" s="11">
        <v>-2.8322570025920871E-2</v>
      </c>
      <c r="DG4" s="11">
        <v>-2.6369631290435791E-2</v>
      </c>
      <c r="DH4" s="11">
        <v>-3.1315241008996957E-2</v>
      </c>
      <c r="DI4" s="11">
        <v>-2.9898226261138919E-2</v>
      </c>
      <c r="DJ4" s="11">
        <v>-2.9556438326835629E-2</v>
      </c>
      <c r="DK4" s="11">
        <v>-2.8653092682361599E-2</v>
      </c>
      <c r="DL4" s="11">
        <v>-2.926721982657909E-2</v>
      </c>
      <c r="DM4" s="11">
        <v>-2.9532833024859428E-2</v>
      </c>
      <c r="DN4" s="11">
        <v>-3.190428763628006E-2</v>
      </c>
      <c r="DO4" s="11">
        <v>-2.7400294318795201E-2</v>
      </c>
      <c r="DP4" s="11">
        <v>-3.3020105212926858E-2</v>
      </c>
      <c r="DQ4" s="11">
        <v>-2.694530226290226E-2</v>
      </c>
      <c r="DR4" s="11">
        <v>-2.806044556200504E-2</v>
      </c>
      <c r="DS4" s="11">
        <v>-2.7914209291338921E-2</v>
      </c>
      <c r="DT4" s="11">
        <v>-2.7555149048566822E-2</v>
      </c>
      <c r="DU4" s="11">
        <v>-2.540554478764534E-2</v>
      </c>
      <c r="DV4" s="11">
        <v>-2.6828791946172711E-2</v>
      </c>
      <c r="DW4" s="11">
        <v>-3.7095267325639718E-2</v>
      </c>
      <c r="DX4" s="11">
        <v>-2.7448661625385281E-2</v>
      </c>
      <c r="DY4" s="11">
        <v>-3.1317904591560357E-2</v>
      </c>
      <c r="DZ4" s="11">
        <v>-2.4290399625897411E-2</v>
      </c>
      <c r="EA4" s="11">
        <v>-8.3518818020820618E-2</v>
      </c>
      <c r="EB4" s="11">
        <v>-7.7344618737697601E-2</v>
      </c>
      <c r="EC4" s="11">
        <v>-7.0242889225482941E-2</v>
      </c>
      <c r="ED4" s="11">
        <v>-6.3896283507347107E-2</v>
      </c>
      <c r="EE4" s="11">
        <v>-9.7872823476791382E-2</v>
      </c>
      <c r="EF4" s="11">
        <v>-7.6828889548778534E-2</v>
      </c>
    </row>
    <row r="5" spans="1:136">
      <c r="A5" s="1"/>
      <c r="B5" s="2" t="s">
        <v>138</v>
      </c>
      <c r="C5" s="11">
        <v>0.50836324691772461</v>
      </c>
      <c r="D5" s="11">
        <v>0.76913774013519287</v>
      </c>
      <c r="E5" s="11">
        <v>0.54195535182952881</v>
      </c>
      <c r="F5" s="11">
        <v>1.1543282270431521</v>
      </c>
      <c r="G5" s="11">
        <v>0.54750555753707886</v>
      </c>
      <c r="H5" s="11">
        <v>0.91896617412567139</v>
      </c>
      <c r="I5" s="11">
        <v>0.66497212648391724</v>
      </c>
      <c r="J5" s="11">
        <v>0.96098613739013672</v>
      </c>
      <c r="K5" s="11">
        <v>1.069318890571594</v>
      </c>
      <c r="L5" s="11">
        <v>0.58301490545272827</v>
      </c>
      <c r="M5" s="11">
        <v>0.48336148262023931</v>
      </c>
      <c r="N5" s="11">
        <v>0.4335099458694458</v>
      </c>
      <c r="O5" s="11">
        <v>6.3416294753551483E-2</v>
      </c>
      <c r="P5" s="11">
        <v>3.3898822963237762E-2</v>
      </c>
      <c r="Q5" s="11">
        <v>-0.63935673236846924</v>
      </c>
      <c r="R5" s="11">
        <v>-5.0250470638275153E-2</v>
      </c>
      <c r="S5" s="11">
        <v>6.6091194748878479E-2</v>
      </c>
      <c r="T5" s="11">
        <v>-6.0526482760906219E-2</v>
      </c>
      <c r="U5" s="11">
        <v>-5.0881840288639069E-2</v>
      </c>
      <c r="V5" s="11">
        <v>0.12953431904315951</v>
      </c>
      <c r="W5" s="11">
        <v>0.1782713979482651</v>
      </c>
      <c r="X5" s="11">
        <v>0.22364641726017001</v>
      </c>
      <c r="Y5" s="11">
        <v>0.2607954740524292</v>
      </c>
      <c r="Z5" s="11">
        <v>0.17032516002655029</v>
      </c>
      <c r="AA5" s="11">
        <v>0.14871090650558469</v>
      </c>
      <c r="AB5" s="11">
        <v>0.13639476895332339</v>
      </c>
      <c r="AC5" s="11">
        <v>0.1064975261688232</v>
      </c>
      <c r="AD5" s="11">
        <v>0.1051289364695549</v>
      </c>
      <c r="AE5" s="11">
        <v>9.8157517611980438E-2</v>
      </c>
      <c r="AF5" s="11">
        <v>8.0513276159763336E-2</v>
      </c>
      <c r="AG5" s="11">
        <v>5.8855693787336349E-2</v>
      </c>
      <c r="AH5" s="11">
        <v>3.0879952013492581E-2</v>
      </c>
      <c r="AI5" s="11">
        <v>-1.261719036847353E-2</v>
      </c>
      <c r="AJ5" s="11">
        <v>4.1990965604782098E-2</v>
      </c>
      <c r="AK5" s="11">
        <v>7.5650393962860107E-2</v>
      </c>
      <c r="AL5" s="11">
        <v>6.6236443817615509E-2</v>
      </c>
      <c r="AM5" s="11">
        <v>3.2869942486286163E-2</v>
      </c>
      <c r="AN5" s="11">
        <v>3.6517307162284851E-2</v>
      </c>
      <c r="AO5" s="11">
        <v>6.8531297147274017E-2</v>
      </c>
      <c r="AP5" s="11">
        <v>6.5215103328227997E-2</v>
      </c>
      <c r="AQ5" s="11">
        <v>0.1400775462388992</v>
      </c>
      <c r="AR5" s="11">
        <v>0.16342324018478391</v>
      </c>
      <c r="AS5" s="11">
        <v>0.18792152404785159</v>
      </c>
      <c r="AT5" s="11">
        <v>0.19995155930519101</v>
      </c>
      <c r="AU5" s="11">
        <v>0.19402837753295901</v>
      </c>
      <c r="AV5" s="11">
        <v>0.15869356691837311</v>
      </c>
      <c r="AW5" s="11">
        <v>-3.568306565284729E-2</v>
      </c>
      <c r="AX5" s="11">
        <v>3.6226339638233178E-2</v>
      </c>
      <c r="AY5" s="11">
        <v>0.1132773458957672</v>
      </c>
      <c r="AZ5" s="11">
        <v>0.104707270860672</v>
      </c>
      <c r="BA5" s="11">
        <v>6.849505752325058E-2</v>
      </c>
      <c r="BB5" s="11">
        <v>-7.3811113834381104E-3</v>
      </c>
      <c r="BC5" s="11">
        <v>-3.7875480949878693E-2</v>
      </c>
      <c r="BD5" s="11">
        <v>-2.379884384572506E-2</v>
      </c>
      <c r="BE5" s="11">
        <v>1.822005026042461E-3</v>
      </c>
      <c r="BF5" s="11">
        <v>-2.3551452904939651E-2</v>
      </c>
      <c r="BG5" s="11">
        <v>5.2555324509739876E-4</v>
      </c>
      <c r="BH5" s="11">
        <v>5.9344802051782608E-2</v>
      </c>
      <c r="BI5" s="11">
        <v>1.4028729870915409E-2</v>
      </c>
      <c r="BJ5" s="11">
        <v>8.2117840647697449E-3</v>
      </c>
      <c r="BK5" s="11">
        <v>5.5602390319108963E-2</v>
      </c>
      <c r="BL5" s="11">
        <v>-3.1602058559656143E-2</v>
      </c>
      <c r="BM5" s="11">
        <v>6.5659098327159882E-2</v>
      </c>
      <c r="BN5" s="11">
        <v>-5.0475221127271652E-2</v>
      </c>
      <c r="BO5" s="11">
        <v>-5.4688155651092529E-2</v>
      </c>
      <c r="BP5" s="11">
        <v>-3.0284570530056949E-3</v>
      </c>
      <c r="BQ5" s="11">
        <v>7.9566333442926407E-3</v>
      </c>
      <c r="BR5" s="11">
        <v>-2.7654411271214489E-2</v>
      </c>
      <c r="BS5" s="11">
        <v>-6.0201874002814293E-3</v>
      </c>
      <c r="BT5" s="11">
        <v>4.3329164385795593E-2</v>
      </c>
      <c r="BU5" s="11">
        <v>4.8520129173994057E-2</v>
      </c>
      <c r="BV5" s="11">
        <v>0.14270420372486109</v>
      </c>
      <c r="BW5" s="11">
        <v>0.13052307069301611</v>
      </c>
      <c r="BX5" s="11">
        <v>5.2400790154933929E-2</v>
      </c>
      <c r="BY5" s="11">
        <v>6.0546338558197021E-2</v>
      </c>
      <c r="BZ5" s="11">
        <v>5.7873823679983616E-3</v>
      </c>
      <c r="CA5" s="11">
        <v>-2.9747102409601212E-2</v>
      </c>
      <c r="CB5" s="11">
        <v>-3.9389632642269128E-2</v>
      </c>
      <c r="CC5" s="11">
        <v>1.370896119624376E-2</v>
      </c>
      <c r="CD5" s="11">
        <v>1.4963460154831409E-2</v>
      </c>
      <c r="CE5" s="11">
        <v>1.9200652837753299E-2</v>
      </c>
      <c r="CF5" s="11">
        <v>4.381309449672699E-2</v>
      </c>
      <c r="CG5" s="11">
        <v>3.0113250017166141E-2</v>
      </c>
      <c r="CH5" s="11">
        <v>4.3025322258472443E-2</v>
      </c>
      <c r="CI5" s="11">
        <v>2.937228232622147E-2</v>
      </c>
      <c r="CJ5" s="11">
        <v>4.1782274842262268E-2</v>
      </c>
      <c r="CK5" s="11">
        <v>3.7300810217857361E-2</v>
      </c>
      <c r="CL5" s="11">
        <v>6.0941599309444427E-2</v>
      </c>
      <c r="CM5" s="11">
        <v>-3.8412053138017647E-2</v>
      </c>
      <c r="CN5" s="11">
        <v>2.307451143860817E-2</v>
      </c>
      <c r="CO5" s="11">
        <v>0.1589557081460953</v>
      </c>
      <c r="CP5" s="11">
        <v>-3.6965128034353263E-2</v>
      </c>
      <c r="CQ5" s="11">
        <v>6.9797366857528687E-2</v>
      </c>
      <c r="CR5" s="11">
        <v>-3.3767849206924438E-2</v>
      </c>
      <c r="CS5" s="11">
        <v>2.6915153488516811E-2</v>
      </c>
      <c r="CT5" s="11">
        <v>5.3638488054275513E-2</v>
      </c>
      <c r="CU5" s="11">
        <v>6.3532985746860504E-2</v>
      </c>
      <c r="CV5" s="11">
        <v>5.5906884372234338E-2</v>
      </c>
      <c r="CW5" s="11">
        <v>4.8717334866523743E-2</v>
      </c>
      <c r="CX5" s="11">
        <v>3.1909029930830002E-2</v>
      </c>
      <c r="CY5" s="11">
        <v>2.966258488595486E-2</v>
      </c>
      <c r="CZ5" s="11">
        <v>3.6755949258804321E-2</v>
      </c>
      <c r="DA5" s="11">
        <v>2.631759271025658E-2</v>
      </c>
      <c r="DB5" s="11">
        <v>2.7680350467562679E-2</v>
      </c>
      <c r="DC5" s="11">
        <v>3.7085290998220437E-2</v>
      </c>
      <c r="DD5" s="11">
        <v>1.9733298569917679E-2</v>
      </c>
      <c r="DE5" s="11">
        <v>4.1370406746864319E-2</v>
      </c>
      <c r="DF5" s="11">
        <v>4.0565907955169678E-2</v>
      </c>
      <c r="DG5" s="11">
        <v>3.3224057406187057E-2</v>
      </c>
      <c r="DH5" s="11">
        <v>2.4580571800470349E-2</v>
      </c>
      <c r="DI5" s="11">
        <v>-2.881684526801109E-2</v>
      </c>
      <c r="DJ5" s="11">
        <v>2.9332105070352551E-2</v>
      </c>
      <c r="DK5" s="11">
        <v>3.2709039747715003E-2</v>
      </c>
      <c r="DL5" s="11">
        <v>3.5447288304567337E-2</v>
      </c>
      <c r="DM5" s="11">
        <v>4.903421550989151E-2</v>
      </c>
      <c r="DN5" s="11">
        <v>-0.11219848692417141</v>
      </c>
      <c r="DO5" s="11">
        <v>5.3319718688726432E-2</v>
      </c>
      <c r="DP5" s="11">
        <v>5.3090192377567291E-2</v>
      </c>
      <c r="DQ5" s="11">
        <v>6.7249387502670288E-2</v>
      </c>
      <c r="DR5" s="11">
        <v>3.8297854363918298E-2</v>
      </c>
      <c r="DS5" s="11">
        <v>4.5268747955560677E-2</v>
      </c>
      <c r="DT5" s="11">
        <v>8.5754990577697754E-3</v>
      </c>
      <c r="DU5" s="11">
        <v>1.5342086553573611E-3</v>
      </c>
      <c r="DV5" s="11">
        <v>3.8169108331203461E-2</v>
      </c>
      <c r="DW5" s="11">
        <v>3.0193541198968891E-2</v>
      </c>
      <c r="DX5" s="11">
        <v>3.4144993871450417E-2</v>
      </c>
      <c r="DY5" s="11">
        <v>5.4498199373483658E-2</v>
      </c>
      <c r="DZ5" s="11">
        <v>4.3653316795825958E-2</v>
      </c>
      <c r="EA5" s="11">
        <v>2.1745305508375171E-2</v>
      </c>
      <c r="EB5" s="11">
        <v>6.247103214263916E-3</v>
      </c>
      <c r="EC5" s="11">
        <v>2.142295241355896E-2</v>
      </c>
      <c r="ED5" s="11">
        <v>1.7024625092744831E-2</v>
      </c>
      <c r="EE5" s="11">
        <v>5.3500138223171227E-2</v>
      </c>
      <c r="EF5" s="11">
        <v>5.7897597551345832E-2</v>
      </c>
    </row>
    <row r="6" spans="1:136">
      <c r="A6" s="2" t="s">
        <v>139</v>
      </c>
      <c r="B6" s="1"/>
      <c r="C6" s="11">
        <f t="array" ref="C6">MATCH(MAX(ABS(C3:C5)),ABS(C3:C5),0)</f>
        <v>3</v>
      </c>
      <c r="D6" s="11">
        <f t="array" ref="D6">MATCH(MAX(ABS(D3:D5)),ABS(D3:D5),0)</f>
        <v>3</v>
      </c>
      <c r="E6" s="11">
        <f t="array" ref="E6">MATCH(MAX(ABS(E3:E5)),ABS(E3:E5),0)</f>
        <v>3</v>
      </c>
      <c r="F6" s="11">
        <f t="array" ref="F6">MATCH(MAX(ABS(F3:F5)),ABS(F3:F5),0)</f>
        <v>3</v>
      </c>
      <c r="G6" s="11">
        <f t="array" ref="G6">MATCH(MAX(ABS(G3:G5)),ABS(G3:G5),0)</f>
        <v>3</v>
      </c>
      <c r="H6" s="11">
        <f t="array" ref="H6">MATCH(MAX(ABS(H3:H5)),ABS(H3:H5),0)</f>
        <v>3</v>
      </c>
      <c r="I6" s="11">
        <f t="array" ref="I6">MATCH(MAX(ABS(I3:I5)),ABS(I3:I5),0)</f>
        <v>3</v>
      </c>
      <c r="J6" s="11">
        <f t="array" ref="J6">MATCH(MAX(ABS(J3:J5)),ABS(J3:J5),0)</f>
        <v>3</v>
      </c>
      <c r="K6" s="11">
        <f t="array" ref="K6">MATCH(MAX(ABS(K3:K5)),ABS(K3:K5),0)</f>
        <v>3</v>
      </c>
      <c r="L6" s="11">
        <f t="array" ref="L6">MATCH(MAX(ABS(L3:L5)),ABS(L3:L5),0)</f>
        <v>3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1</v>
      </c>
      <c r="Q6" s="11">
        <f t="array" ref="Q6">MATCH(MAX(ABS(Q3:Q5)),ABS(Q3:Q5),0)</f>
        <v>3</v>
      </c>
      <c r="R6" s="11">
        <f t="array" ref="R6">MATCH(MAX(ABS(R3:R5)),ABS(R3:R5),0)</f>
        <v>3</v>
      </c>
      <c r="S6" s="11">
        <f t="array" ref="S6">MATCH(MAX(ABS(S3:S5)),ABS(S3:S5),0)</f>
        <v>3</v>
      </c>
      <c r="T6" s="11">
        <f t="array" ref="T6">MATCH(MAX(ABS(T3:T5)),ABS(T3:T5),0)</f>
        <v>3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1</v>
      </c>
      <c r="X6" s="11">
        <f t="array" ref="X6">MATCH(MAX(ABS(X3:X5)),ABS(X3:X5),0)</f>
        <v>3</v>
      </c>
      <c r="Y6" s="11">
        <f t="array" ref="Y6">MATCH(MAX(ABS(Y3:Y5)),ABS(Y3:Y5),0)</f>
        <v>3</v>
      </c>
      <c r="Z6" s="11">
        <f t="array" ref="Z6">MATCH(MAX(ABS(Z3:Z5)),ABS(Z3:Z5),0)</f>
        <v>3</v>
      </c>
      <c r="AA6" s="11">
        <f t="array" ref="AA6">MATCH(MAX(ABS(AA3:AA5)),ABS(AA3:AA5),0)</f>
        <v>3</v>
      </c>
      <c r="AB6" s="11">
        <f t="array" ref="AB6">MATCH(MAX(ABS(AB3:AB5)),ABS(AB3:AB5),0)</f>
        <v>3</v>
      </c>
      <c r="AC6" s="11">
        <f t="array" ref="AC6">MATCH(MAX(ABS(AC3:AC5)),ABS(AC3:AC5),0)</f>
        <v>3</v>
      </c>
      <c r="AD6" s="11">
        <f t="array" ref="AD6">MATCH(MAX(ABS(AD3:AD5)),ABS(AD3:AD5),0)</f>
        <v>3</v>
      </c>
      <c r="AE6" s="11">
        <f t="array" ref="AE6">MATCH(MAX(ABS(AE3:AE5)),ABS(AE3:AE5),0)</f>
        <v>3</v>
      </c>
      <c r="AF6" s="11">
        <f t="array" ref="AF6">MATCH(MAX(ABS(AF3:AF5)),ABS(AF3:AF5),0)</f>
        <v>3</v>
      </c>
      <c r="AG6" s="11">
        <f t="array" ref="AG6">MATCH(MAX(ABS(AG3:AG5)),ABS(AG3:AG5),0)</f>
        <v>3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3</v>
      </c>
      <c r="AL6" s="11">
        <f t="array" ref="AL6">MATCH(MAX(ABS(AL3:AL5)),ABS(AL3:AL5),0)</f>
        <v>3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3</v>
      </c>
      <c r="AR6" s="11">
        <f t="array" ref="AR6">MATCH(MAX(ABS(AR3:AR5)),ABS(AR3:AR5),0)</f>
        <v>3</v>
      </c>
      <c r="AS6" s="11">
        <f t="array" ref="AS6">MATCH(MAX(ABS(AS3:AS5)),ABS(AS3:AS5),0)</f>
        <v>3</v>
      </c>
      <c r="AT6" s="11">
        <f t="array" ref="AT6">MATCH(MAX(ABS(AT3:AT5)),ABS(AT3:AT5),0)</f>
        <v>3</v>
      </c>
      <c r="AU6" s="11">
        <f t="array" ref="AU6">MATCH(MAX(ABS(AU3:AU5)),ABS(AU3:AU5),0)</f>
        <v>3</v>
      </c>
      <c r="AV6" s="11">
        <f t="array" ref="AV6">MATCH(MAX(ABS(AV3:AV5)),ABS(AV3:AV5),0)</f>
        <v>3</v>
      </c>
      <c r="AW6" s="11">
        <f t="array" ref="AW6">MATCH(MAX(ABS(AW3:AW5)),ABS(AW3:AW5),0)</f>
        <v>3</v>
      </c>
      <c r="AX6" s="11">
        <f t="array" ref="AX6">MATCH(MAX(ABS(AX3:AX5)),ABS(AX3:AX5),0)</f>
        <v>3</v>
      </c>
      <c r="AY6" s="11">
        <f t="array" ref="AY6">MATCH(MAX(ABS(AY3:AY5)),ABS(AY3:AY5),0)</f>
        <v>3</v>
      </c>
      <c r="AZ6" s="11">
        <f t="array" ref="AZ6">MATCH(MAX(ABS(AZ3:AZ5)),ABS(AZ3:AZ5),0)</f>
        <v>3</v>
      </c>
      <c r="BA6" s="11">
        <f t="array" ref="BA6">MATCH(MAX(ABS(BA3:BA5)),ABS(BA3:BA5),0)</f>
        <v>3</v>
      </c>
      <c r="BB6" s="11">
        <f t="array" ref="BB6">MATCH(MAX(ABS(BB3:BB5)),ABS(BB3:BB5),0)</f>
        <v>1</v>
      </c>
      <c r="BC6" s="11">
        <f t="array" ref="BC6">MATCH(MAX(ABS(BC3:BC5)),ABS(BC3:BC5),0)</f>
        <v>3</v>
      </c>
      <c r="BD6" s="11">
        <f t="array" ref="BD6">MATCH(MAX(ABS(BD3:BD5)),ABS(BD3:BD5),0)</f>
        <v>2</v>
      </c>
      <c r="BE6" s="11">
        <f t="array" ref="BE6">MATCH(MAX(ABS(BE3:BE5)),ABS(BE3:BE5),0)</f>
        <v>2</v>
      </c>
      <c r="BF6" s="11">
        <f t="array" ref="BF6">MATCH(MAX(ABS(BF3:BF5)),ABS(BF3:BF5),0)</f>
        <v>2</v>
      </c>
      <c r="BG6" s="11">
        <f t="array" ref="BG6">MATCH(MAX(ABS(BG3:BG5)),ABS(BG3:BG5),0)</f>
        <v>2</v>
      </c>
      <c r="BH6" s="11">
        <f t="array" ref="BH6">MATCH(MAX(ABS(BH3:BH5)),ABS(BH3:BH5),0)</f>
        <v>3</v>
      </c>
      <c r="BI6" s="11">
        <f t="array" ref="BI6">MATCH(MAX(ABS(BI3:BI5)),ABS(BI3:BI5),0)</f>
        <v>2</v>
      </c>
      <c r="BJ6" s="11">
        <f t="array" ref="BJ6">MATCH(MAX(ABS(BJ3:BJ5)),ABS(BJ3:BJ5),0)</f>
        <v>1</v>
      </c>
      <c r="BK6" s="11">
        <f t="array" ref="BK6">MATCH(MAX(ABS(BK3:BK5)),ABS(BK3:BK5),0)</f>
        <v>3</v>
      </c>
      <c r="BL6" s="11">
        <f t="array" ref="BL6">MATCH(MAX(ABS(BL3:BL5)),ABS(BL3:BL5),0)</f>
        <v>1</v>
      </c>
      <c r="BM6" s="11">
        <f t="array" ref="BM6">MATCH(MAX(ABS(BM3:BM5)),ABS(BM3:BM5),0)</f>
        <v>3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1</v>
      </c>
      <c r="BT6" s="11">
        <f t="array" ref="BT6">MATCH(MAX(ABS(BT3:BT5)),ABS(BT3:BT5),0)</f>
        <v>3</v>
      </c>
      <c r="BU6" s="11">
        <f t="array" ref="BU6">MATCH(MAX(ABS(BU3:BU5)),ABS(BU3:BU5),0)</f>
        <v>3</v>
      </c>
      <c r="BV6" s="11">
        <f t="array" ref="BV6">MATCH(MAX(ABS(BV3:BV5)),ABS(BV3:BV5),0)</f>
        <v>3</v>
      </c>
      <c r="BW6" s="11">
        <f t="array" ref="BW6">MATCH(MAX(ABS(BW3:BW5)),ABS(BW3:BW5),0)</f>
        <v>3</v>
      </c>
      <c r="BX6" s="11">
        <f t="array" ref="BX6">MATCH(MAX(ABS(BX3:BX5)),ABS(BX3:BX5),0)</f>
        <v>3</v>
      </c>
      <c r="BY6" s="11">
        <f t="array" ref="BY6">MATCH(MAX(ABS(BY3:BY5)),ABS(BY3:BY5),0)</f>
        <v>3</v>
      </c>
      <c r="BZ6" s="11">
        <f t="array" ref="BZ6">MATCH(MAX(ABS(BZ3:BZ5)),ABS(BZ3:BZ5),0)</f>
        <v>1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2</v>
      </c>
      <c r="CD6" s="11">
        <f t="array" ref="CD6">MATCH(MAX(ABS(CD3:CD5)),ABS(CD3:CD5),0)</f>
        <v>1</v>
      </c>
      <c r="CE6" s="11">
        <f t="array" ref="CE6">MATCH(MAX(ABS(CE3:CE5)),ABS(CE3:CE5),0)</f>
        <v>2</v>
      </c>
      <c r="CF6" s="11">
        <f t="array" ref="CF6">MATCH(MAX(ABS(CF3:CF5)),ABS(CF3:CF5),0)</f>
        <v>3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2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3</v>
      </c>
      <c r="CN6" s="11">
        <f t="array" ref="CN6">MATCH(MAX(ABS(CN3:CN5)),ABS(CN3:CN5),0)</f>
        <v>2</v>
      </c>
      <c r="CO6" s="11">
        <f t="array" ref="CO6">MATCH(MAX(ABS(CO3:CO5)),ABS(CO3:CO5),0)</f>
        <v>3</v>
      </c>
      <c r="CP6" s="11">
        <f t="array" ref="CP6">MATCH(MAX(ABS(CP3:CP5)),ABS(CP3:CP5),0)</f>
        <v>3</v>
      </c>
      <c r="CQ6" s="11">
        <f t="array" ref="CQ6">MATCH(MAX(ABS(CQ3:CQ5)),ABS(CQ3:CQ5),0)</f>
        <v>3</v>
      </c>
      <c r="CR6" s="11">
        <f t="array" ref="CR6">MATCH(MAX(ABS(CR3:CR5)),ABS(CR3:CR5),0)</f>
        <v>3</v>
      </c>
      <c r="CS6" s="11">
        <f t="array" ref="CS6">MATCH(MAX(ABS(CS3:CS5)),ABS(CS3:CS5),0)</f>
        <v>2</v>
      </c>
      <c r="CT6" s="11">
        <f t="array" ref="CT6">MATCH(MAX(ABS(CT3:CT5)),ABS(CT3:CT5),0)</f>
        <v>3</v>
      </c>
      <c r="CU6" s="11">
        <f t="array" ref="CU6">MATCH(MAX(ABS(CU3:CU5)),ABS(CU3:CU5),0)</f>
        <v>3</v>
      </c>
      <c r="CV6" s="11">
        <f t="array" ref="CV6">MATCH(MAX(ABS(CV3:CV5)),ABS(CV3:CV5),0)</f>
        <v>3</v>
      </c>
      <c r="CW6" s="11">
        <f t="array" ref="CW6">MATCH(MAX(ABS(CW3:CW5)),ABS(CW3:CW5),0)</f>
        <v>3</v>
      </c>
      <c r="CX6" s="11">
        <f t="array" ref="CX6">MATCH(MAX(ABS(CX3:CX5)),ABS(CX3:CX5),0)</f>
        <v>1</v>
      </c>
      <c r="CY6" s="11">
        <f t="array" ref="CY6">MATCH(MAX(ABS(CY3:CY5)),ABS(CY3:CY5),0)</f>
        <v>3</v>
      </c>
      <c r="CZ6" s="11">
        <f t="array" ref="CZ6">MATCH(MAX(ABS(CZ3:CZ5)),ABS(CZ3:CZ5),0)</f>
        <v>1</v>
      </c>
      <c r="DA6" s="11">
        <f t="array" ref="DA6">MATCH(MAX(ABS(DA3:DA5)),ABS(DA3:DA5),0)</f>
        <v>2</v>
      </c>
      <c r="DB6" s="11">
        <f t="array" ref="DB6">MATCH(MAX(ABS(DB3:DB5)),ABS(DB3:DB5),0)</f>
        <v>2</v>
      </c>
      <c r="DC6" s="11">
        <f t="array" ref="DC6">MATCH(MAX(ABS(DC3:DC5)),ABS(DC3:DC5),0)</f>
        <v>3</v>
      </c>
      <c r="DD6" s="11">
        <f t="array" ref="DD6">MATCH(MAX(ABS(DD3:DD5)),ABS(DD3:DD5),0)</f>
        <v>2</v>
      </c>
      <c r="DE6" s="11">
        <f t="array" ref="DE6">MATCH(MAX(ABS(DE3:DE5)),ABS(DE3:DE5),0)</f>
        <v>3</v>
      </c>
      <c r="DF6" s="11">
        <f t="array" ref="DF6">MATCH(MAX(ABS(DF3:DF5)),ABS(DF3:DF5),0)</f>
        <v>3</v>
      </c>
      <c r="DG6" s="11">
        <f t="array" ref="DG6">MATCH(MAX(ABS(DG3:DG5)),ABS(DG3:DG5),0)</f>
        <v>3</v>
      </c>
      <c r="DH6" s="11">
        <f t="array" ref="DH6">MATCH(MAX(ABS(DH3:DH5)),ABS(DH3:DH5),0)</f>
        <v>2</v>
      </c>
      <c r="DI6" s="11">
        <f t="array" ref="DI6">MATCH(MAX(ABS(DI3:DI5)),ABS(DI3:DI5),0)</f>
        <v>2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3</v>
      </c>
      <c r="DM6" s="11">
        <f t="array" ref="DM6">MATCH(MAX(ABS(DM3:DM5)),ABS(DM3:DM5),0)</f>
        <v>3</v>
      </c>
      <c r="DN6" s="11">
        <f t="array" ref="DN6">MATCH(MAX(ABS(DN3:DN5)),ABS(DN3:DN5),0)</f>
        <v>3</v>
      </c>
      <c r="DO6" s="11">
        <f t="array" ref="DO6">MATCH(MAX(ABS(DO3:DO5)),ABS(DO3:DO5),0)</f>
        <v>3</v>
      </c>
      <c r="DP6" s="11">
        <f t="array" ref="DP6">MATCH(MAX(ABS(DP3:DP5)),ABS(DP3:DP5),0)</f>
        <v>3</v>
      </c>
      <c r="DQ6" s="11">
        <f t="array" ref="DQ6">MATCH(MAX(ABS(DQ3:DQ5)),ABS(DQ3:DQ5),0)</f>
        <v>3</v>
      </c>
      <c r="DR6" s="11">
        <f t="array" ref="DR6">MATCH(MAX(ABS(DR3:DR5)),ABS(DR3:DR5),0)</f>
        <v>1</v>
      </c>
      <c r="DS6" s="11">
        <f t="array" ref="DS6">MATCH(MAX(ABS(DS3:DS5)),ABS(DS3:DS5),0)</f>
        <v>3</v>
      </c>
      <c r="DT6" s="11">
        <f t="array" ref="DT6">MATCH(MAX(ABS(DT3:DT5)),ABS(DT3:DT5),0)</f>
        <v>1</v>
      </c>
      <c r="DU6" s="11">
        <f t="array" ref="DU6">MATCH(MAX(ABS(DU3:DU5)),ABS(DU3:DU5),0)</f>
        <v>2</v>
      </c>
      <c r="DV6" s="11">
        <f t="array" ref="DV6">MATCH(MAX(ABS(DV3:DV5)),ABS(DV3:DV5),0)</f>
        <v>3</v>
      </c>
      <c r="DW6" s="11">
        <f t="array" ref="DW6">MATCH(MAX(ABS(DW3:DW5)),ABS(DW3:DW5),0)</f>
        <v>2</v>
      </c>
      <c r="DX6" s="11">
        <f t="array" ref="DX6">MATCH(MAX(ABS(DX3:DX5)),ABS(DX3:DX5),0)</f>
        <v>3</v>
      </c>
      <c r="DY6" s="11">
        <f t="array" ref="DY6">MATCH(MAX(ABS(DY3:DY5)),ABS(DY3:DY5),0)</f>
        <v>3</v>
      </c>
      <c r="DZ6" s="11">
        <f t="array" ref="DZ6">MATCH(MAX(ABS(DZ3:DZ5)),ABS(DZ3:DZ5),0)</f>
        <v>3</v>
      </c>
      <c r="EA6" s="11">
        <f t="array" ref="EA6">MATCH(MAX(ABS(EA3:EA5)),ABS(EA3:EA5),0)</f>
        <v>2</v>
      </c>
      <c r="EB6" s="11">
        <f t="array" ref="EB6">MATCH(MAX(ABS(EB3:EB5)),ABS(EB3:EB5),0)</f>
        <v>2</v>
      </c>
      <c r="EC6" s="11">
        <f t="array" ref="EC6">MATCH(MAX(ABS(EC3:EC5)),ABS(EC3:EC5),0)</f>
        <v>2</v>
      </c>
      <c r="ED6" s="11">
        <f t="array" ref="ED6">MATCH(MAX(ABS(ED3:ED5)),ABS(ED3:ED5),0)</f>
        <v>2</v>
      </c>
      <c r="EE6" s="11">
        <f t="array" ref="EE6">MATCH(MAX(ABS(EE3:EE5)),ABS(EE3:EE5),0)</f>
        <v>2</v>
      </c>
      <c r="EF6" s="11">
        <f t="array" ref="EF6">MATCH(MAX(ABS(EF3:EF5)),ABS(EF3:EF5),0)</f>
        <v>2</v>
      </c>
    </row>
    <row r="7" spans="1:136">
      <c r="C7" s="12" t="str">
        <f t="shared" ref="C7:AH7" si="0">IF(C6=1,"bm",IF(C6=2,"size",IF(C6=3,"mom")))</f>
        <v>mom</v>
      </c>
      <c r="D7" s="12" t="str">
        <f t="shared" si="0"/>
        <v>mom</v>
      </c>
      <c r="E7" s="12" t="str">
        <f t="shared" si="0"/>
        <v>mom</v>
      </c>
      <c r="F7" s="12" t="str">
        <f t="shared" si="0"/>
        <v>mom</v>
      </c>
      <c r="G7" s="12" t="str">
        <f t="shared" si="0"/>
        <v>mom</v>
      </c>
      <c r="H7" s="12" t="str">
        <f t="shared" si="0"/>
        <v>mom</v>
      </c>
      <c r="I7" s="12" t="str">
        <f t="shared" si="0"/>
        <v>mom</v>
      </c>
      <c r="J7" s="12" t="str">
        <f t="shared" si="0"/>
        <v>mom</v>
      </c>
      <c r="K7" s="12" t="str">
        <f t="shared" si="0"/>
        <v>mom</v>
      </c>
      <c r="L7" s="12" t="str">
        <f t="shared" si="0"/>
        <v>mom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bm</v>
      </c>
      <c r="Q7" s="12" t="str">
        <f t="shared" si="0"/>
        <v>mom</v>
      </c>
      <c r="R7" s="12" t="str">
        <f t="shared" si="0"/>
        <v>mom</v>
      </c>
      <c r="S7" s="12" t="str">
        <f t="shared" si="0"/>
        <v>mom</v>
      </c>
      <c r="T7" s="12" t="str">
        <f t="shared" si="0"/>
        <v>mom</v>
      </c>
      <c r="U7" s="12" t="str">
        <f t="shared" si="0"/>
        <v>mom</v>
      </c>
      <c r="V7" s="12" t="str">
        <f t="shared" si="0"/>
        <v>mom</v>
      </c>
      <c r="W7" s="12" t="str">
        <f t="shared" si="0"/>
        <v>bm</v>
      </c>
      <c r="X7" s="12" t="str">
        <f t="shared" si="0"/>
        <v>mom</v>
      </c>
      <c r="Y7" s="12" t="str">
        <f t="shared" si="0"/>
        <v>mom</v>
      </c>
      <c r="Z7" s="12" t="str">
        <f t="shared" si="0"/>
        <v>mom</v>
      </c>
      <c r="AA7" s="12" t="str">
        <f t="shared" si="0"/>
        <v>mom</v>
      </c>
      <c r="AB7" s="12" t="str">
        <f t="shared" si="0"/>
        <v>mom</v>
      </c>
      <c r="AC7" s="12" t="str">
        <f t="shared" si="0"/>
        <v>mom</v>
      </c>
      <c r="AD7" s="12" t="str">
        <f t="shared" si="0"/>
        <v>mom</v>
      </c>
      <c r="AE7" s="12" t="str">
        <f t="shared" si="0"/>
        <v>mom</v>
      </c>
      <c r="AF7" s="12" t="str">
        <f t="shared" si="0"/>
        <v>mom</v>
      </c>
      <c r="AG7" s="12" t="str">
        <f t="shared" si="0"/>
        <v>mom</v>
      </c>
      <c r="AH7" s="12" t="str">
        <f t="shared" si="0"/>
        <v>bm</v>
      </c>
      <c r="AI7" s="12" t="str">
        <f t="shared" ref="AI7:BN7" si="1">IF(AI6=1,"bm",IF(AI6=2,"size",IF(AI6=3,"mom")))</f>
        <v>bm</v>
      </c>
      <c r="AJ7" s="12" t="str">
        <f t="shared" si="1"/>
        <v>bm</v>
      </c>
      <c r="AK7" s="12" t="str">
        <f t="shared" si="1"/>
        <v>mom</v>
      </c>
      <c r="AL7" s="12" t="str">
        <f t="shared" si="1"/>
        <v>mom</v>
      </c>
      <c r="AM7" s="12" t="str">
        <f t="shared" si="1"/>
        <v>bm</v>
      </c>
      <c r="AN7" s="12" t="str">
        <f t="shared" si="1"/>
        <v>bm</v>
      </c>
      <c r="AO7" s="12" t="str">
        <f t="shared" si="1"/>
        <v>bm</v>
      </c>
      <c r="AP7" s="12" t="str">
        <f t="shared" si="1"/>
        <v>bm</v>
      </c>
      <c r="AQ7" s="12" t="str">
        <f t="shared" si="1"/>
        <v>mom</v>
      </c>
      <c r="AR7" s="12" t="str">
        <f t="shared" si="1"/>
        <v>mom</v>
      </c>
      <c r="AS7" s="12" t="str">
        <f t="shared" si="1"/>
        <v>mom</v>
      </c>
      <c r="AT7" s="12" t="str">
        <f t="shared" si="1"/>
        <v>mom</v>
      </c>
      <c r="AU7" s="12" t="str">
        <f t="shared" si="1"/>
        <v>mom</v>
      </c>
      <c r="AV7" s="12" t="str">
        <f t="shared" si="1"/>
        <v>mom</v>
      </c>
      <c r="AW7" s="12" t="str">
        <f t="shared" si="1"/>
        <v>mom</v>
      </c>
      <c r="AX7" s="12" t="str">
        <f t="shared" si="1"/>
        <v>mom</v>
      </c>
      <c r="AY7" s="12" t="str">
        <f t="shared" si="1"/>
        <v>mom</v>
      </c>
      <c r="AZ7" s="12" t="str">
        <f t="shared" si="1"/>
        <v>mom</v>
      </c>
      <c r="BA7" s="12" t="str">
        <f t="shared" si="1"/>
        <v>mom</v>
      </c>
      <c r="BB7" s="12" t="str">
        <f t="shared" si="1"/>
        <v>bm</v>
      </c>
      <c r="BC7" s="12" t="str">
        <f t="shared" si="1"/>
        <v>mom</v>
      </c>
      <c r="BD7" s="12" t="str">
        <f t="shared" si="1"/>
        <v>size</v>
      </c>
      <c r="BE7" s="12" t="str">
        <f t="shared" si="1"/>
        <v>size</v>
      </c>
      <c r="BF7" s="12" t="str">
        <f t="shared" si="1"/>
        <v>size</v>
      </c>
      <c r="BG7" s="12" t="str">
        <f t="shared" si="1"/>
        <v>size</v>
      </c>
      <c r="BH7" s="12" t="str">
        <f t="shared" si="1"/>
        <v>mom</v>
      </c>
      <c r="BI7" s="12" t="str">
        <f t="shared" si="1"/>
        <v>size</v>
      </c>
      <c r="BJ7" s="12" t="str">
        <f t="shared" si="1"/>
        <v>bm</v>
      </c>
      <c r="BK7" s="12" t="str">
        <f t="shared" si="1"/>
        <v>mom</v>
      </c>
      <c r="BL7" s="12" t="str">
        <f t="shared" si="1"/>
        <v>bm</v>
      </c>
      <c r="BM7" s="12" t="str">
        <f t="shared" si="1"/>
        <v>mom</v>
      </c>
      <c r="BN7" s="12" t="str">
        <f t="shared" si="1"/>
        <v>bm</v>
      </c>
      <c r="BO7" s="12" t="str">
        <f t="shared" ref="BO7:CT7" si="2">IF(BO6=1,"bm",IF(BO6=2,"size",IF(BO6=3,"mom")))</f>
        <v>bm</v>
      </c>
      <c r="BP7" s="12" t="str">
        <f t="shared" si="2"/>
        <v>bm</v>
      </c>
      <c r="BQ7" s="12" t="str">
        <f t="shared" si="2"/>
        <v>bm</v>
      </c>
      <c r="BR7" s="12" t="str">
        <f t="shared" si="2"/>
        <v>bm</v>
      </c>
      <c r="BS7" s="12" t="str">
        <f t="shared" si="2"/>
        <v>bm</v>
      </c>
      <c r="BT7" s="12" t="str">
        <f t="shared" si="2"/>
        <v>mom</v>
      </c>
      <c r="BU7" s="12" t="str">
        <f t="shared" si="2"/>
        <v>mom</v>
      </c>
      <c r="BV7" s="12" t="str">
        <f t="shared" si="2"/>
        <v>mom</v>
      </c>
      <c r="BW7" s="12" t="str">
        <f t="shared" si="2"/>
        <v>mom</v>
      </c>
      <c r="BX7" s="12" t="str">
        <f t="shared" si="2"/>
        <v>mom</v>
      </c>
      <c r="BY7" s="12" t="str">
        <f t="shared" si="2"/>
        <v>mom</v>
      </c>
      <c r="BZ7" s="12" t="str">
        <f t="shared" si="2"/>
        <v>bm</v>
      </c>
      <c r="CA7" s="12" t="str">
        <f t="shared" si="2"/>
        <v>size</v>
      </c>
      <c r="CB7" s="12" t="str">
        <f t="shared" si="2"/>
        <v>mom</v>
      </c>
      <c r="CC7" s="12" t="str">
        <f t="shared" si="2"/>
        <v>size</v>
      </c>
      <c r="CD7" s="12" t="str">
        <f t="shared" si="2"/>
        <v>bm</v>
      </c>
      <c r="CE7" s="12" t="str">
        <f t="shared" si="2"/>
        <v>size</v>
      </c>
      <c r="CF7" s="12" t="str">
        <f t="shared" si="2"/>
        <v>mom</v>
      </c>
      <c r="CG7" s="12" t="str">
        <f t="shared" si="2"/>
        <v>mom</v>
      </c>
      <c r="CH7" s="12" t="str">
        <f t="shared" si="2"/>
        <v>mom</v>
      </c>
      <c r="CI7" s="12" t="str">
        <f t="shared" si="2"/>
        <v>size</v>
      </c>
      <c r="CJ7" s="12" t="str">
        <f t="shared" si="2"/>
        <v>mom</v>
      </c>
      <c r="CK7" s="12" t="str">
        <f t="shared" si="2"/>
        <v>mom</v>
      </c>
      <c r="CL7" s="12" t="str">
        <f t="shared" si="2"/>
        <v>mom</v>
      </c>
      <c r="CM7" s="12" t="str">
        <f t="shared" si="2"/>
        <v>mom</v>
      </c>
      <c r="CN7" s="12" t="str">
        <f t="shared" si="2"/>
        <v>size</v>
      </c>
      <c r="CO7" s="12" t="str">
        <f t="shared" si="2"/>
        <v>mom</v>
      </c>
      <c r="CP7" s="12" t="str">
        <f t="shared" si="2"/>
        <v>mom</v>
      </c>
      <c r="CQ7" s="12" t="str">
        <f t="shared" si="2"/>
        <v>mom</v>
      </c>
      <c r="CR7" s="12" t="str">
        <f t="shared" si="2"/>
        <v>mom</v>
      </c>
      <c r="CS7" s="12" t="str">
        <f t="shared" si="2"/>
        <v>size</v>
      </c>
      <c r="CT7" s="12" t="str">
        <f t="shared" si="2"/>
        <v>mom</v>
      </c>
      <c r="CU7" s="12" t="str">
        <f t="shared" ref="CU7:DZ7" si="3">IF(CU6=1,"bm",IF(CU6=2,"size",IF(CU6=3,"mom")))</f>
        <v>mom</v>
      </c>
      <c r="CV7" s="12" t="str">
        <f t="shared" si="3"/>
        <v>mom</v>
      </c>
      <c r="CW7" s="12" t="str">
        <f t="shared" si="3"/>
        <v>mom</v>
      </c>
      <c r="CX7" s="12" t="str">
        <f t="shared" si="3"/>
        <v>bm</v>
      </c>
      <c r="CY7" s="12" t="str">
        <f t="shared" si="3"/>
        <v>mom</v>
      </c>
      <c r="CZ7" s="12" t="str">
        <f t="shared" si="3"/>
        <v>bm</v>
      </c>
      <c r="DA7" s="12" t="str">
        <f t="shared" si="3"/>
        <v>size</v>
      </c>
      <c r="DB7" s="12" t="str">
        <f t="shared" si="3"/>
        <v>size</v>
      </c>
      <c r="DC7" s="12" t="str">
        <f t="shared" si="3"/>
        <v>mom</v>
      </c>
      <c r="DD7" s="12" t="str">
        <f t="shared" si="3"/>
        <v>size</v>
      </c>
      <c r="DE7" s="12" t="str">
        <f t="shared" si="3"/>
        <v>mom</v>
      </c>
      <c r="DF7" s="12" t="str">
        <f t="shared" si="3"/>
        <v>mom</v>
      </c>
      <c r="DG7" s="12" t="str">
        <f t="shared" si="3"/>
        <v>mom</v>
      </c>
      <c r="DH7" s="12" t="str">
        <f t="shared" si="3"/>
        <v>size</v>
      </c>
      <c r="DI7" s="12" t="str">
        <f t="shared" si="3"/>
        <v>size</v>
      </c>
      <c r="DJ7" s="12" t="str">
        <f t="shared" si="3"/>
        <v>bm</v>
      </c>
      <c r="DK7" s="12" t="str">
        <f t="shared" si="3"/>
        <v>bm</v>
      </c>
      <c r="DL7" s="12" t="str">
        <f t="shared" si="3"/>
        <v>mom</v>
      </c>
      <c r="DM7" s="12" t="str">
        <f t="shared" si="3"/>
        <v>mom</v>
      </c>
      <c r="DN7" s="12" t="str">
        <f t="shared" si="3"/>
        <v>mom</v>
      </c>
      <c r="DO7" s="12" t="str">
        <f t="shared" si="3"/>
        <v>mom</v>
      </c>
      <c r="DP7" s="12" t="str">
        <f t="shared" si="3"/>
        <v>mom</v>
      </c>
      <c r="DQ7" s="12" t="str">
        <f t="shared" si="3"/>
        <v>mom</v>
      </c>
      <c r="DR7" s="12" t="str">
        <f t="shared" si="3"/>
        <v>bm</v>
      </c>
      <c r="DS7" s="12" t="str">
        <f t="shared" si="3"/>
        <v>mom</v>
      </c>
      <c r="DT7" s="12" t="str">
        <f t="shared" si="3"/>
        <v>bm</v>
      </c>
      <c r="DU7" s="12" t="str">
        <f t="shared" si="3"/>
        <v>size</v>
      </c>
      <c r="DV7" s="12" t="str">
        <f t="shared" si="3"/>
        <v>mom</v>
      </c>
      <c r="DW7" s="12" t="str">
        <f t="shared" si="3"/>
        <v>size</v>
      </c>
      <c r="DX7" s="12" t="str">
        <f t="shared" si="3"/>
        <v>mom</v>
      </c>
      <c r="DY7" s="12" t="str">
        <f t="shared" si="3"/>
        <v>mom</v>
      </c>
      <c r="DZ7" s="12" t="str">
        <f t="shared" si="3"/>
        <v>mom</v>
      </c>
      <c r="EA7" s="12" t="str">
        <f t="shared" ref="EA7:EF7" si="4">IF(EA6=1,"bm",IF(EA6=2,"size",IF(EA6=3,"mom")))</f>
        <v>size</v>
      </c>
      <c r="EB7" s="12" t="str">
        <f t="shared" si="4"/>
        <v>size</v>
      </c>
      <c r="EC7" s="12" t="str">
        <f t="shared" si="4"/>
        <v>size</v>
      </c>
      <c r="ED7" s="12" t="str">
        <f t="shared" si="4"/>
        <v>size</v>
      </c>
      <c r="EE7" s="12" t="str">
        <f t="shared" si="4"/>
        <v>size</v>
      </c>
      <c r="EF7" s="12" t="str">
        <f t="shared" si="4"/>
        <v>size</v>
      </c>
    </row>
    <row r="8" spans="1:136">
      <c r="C8" s="11">
        <f t="shared" ref="C8:AH8" si="5">IF(C6=1,C3,IF(C6=2,C4,IF(C6=3,C5)))</f>
        <v>0.50836324691772461</v>
      </c>
      <c r="D8" s="11">
        <f t="shared" si="5"/>
        <v>0.76913774013519287</v>
      </c>
      <c r="E8" s="11">
        <f t="shared" si="5"/>
        <v>0.54195535182952881</v>
      </c>
      <c r="F8" s="11">
        <f t="shared" si="5"/>
        <v>1.1543282270431521</v>
      </c>
      <c r="G8" s="11">
        <f t="shared" si="5"/>
        <v>0.54750555753707886</v>
      </c>
      <c r="H8" s="11">
        <f t="shared" si="5"/>
        <v>0.91896617412567139</v>
      </c>
      <c r="I8" s="11">
        <f t="shared" si="5"/>
        <v>0.66497212648391724</v>
      </c>
      <c r="J8" s="11">
        <f t="shared" si="5"/>
        <v>0.96098613739013672</v>
      </c>
      <c r="K8" s="11">
        <f t="shared" si="5"/>
        <v>1.069318890571594</v>
      </c>
      <c r="L8" s="11">
        <f t="shared" si="5"/>
        <v>0.58301490545272827</v>
      </c>
      <c r="M8" s="11">
        <f t="shared" si="5"/>
        <v>0.48336148262023931</v>
      </c>
      <c r="N8" s="11">
        <f t="shared" si="5"/>
        <v>0.4335099458694458</v>
      </c>
      <c r="O8" s="11">
        <f t="shared" si="5"/>
        <v>6.3416294753551483E-2</v>
      </c>
      <c r="P8" s="11">
        <f t="shared" si="5"/>
        <v>-4.0258027613162987E-2</v>
      </c>
      <c r="Q8" s="11">
        <f t="shared" si="5"/>
        <v>-0.63935673236846924</v>
      </c>
      <c r="R8" s="11">
        <f t="shared" si="5"/>
        <v>-5.0250470638275153E-2</v>
      </c>
      <c r="S8" s="11">
        <f t="shared" si="5"/>
        <v>6.6091194748878479E-2</v>
      </c>
      <c r="T8" s="11">
        <f t="shared" si="5"/>
        <v>-6.0526482760906219E-2</v>
      </c>
      <c r="U8" s="11">
        <f t="shared" si="5"/>
        <v>-5.0881840288639069E-2</v>
      </c>
      <c r="V8" s="11">
        <f t="shared" si="5"/>
        <v>0.12953431904315951</v>
      </c>
      <c r="W8" s="11">
        <f t="shared" si="5"/>
        <v>-0.19089989364147189</v>
      </c>
      <c r="X8" s="11">
        <f t="shared" si="5"/>
        <v>0.22364641726017001</v>
      </c>
      <c r="Y8" s="11">
        <f t="shared" si="5"/>
        <v>0.2607954740524292</v>
      </c>
      <c r="Z8" s="11">
        <f t="shared" si="5"/>
        <v>0.17032516002655029</v>
      </c>
      <c r="AA8" s="11">
        <f t="shared" si="5"/>
        <v>0.14871090650558469</v>
      </c>
      <c r="AB8" s="11">
        <f t="shared" si="5"/>
        <v>0.13639476895332339</v>
      </c>
      <c r="AC8" s="11">
        <f t="shared" si="5"/>
        <v>0.1064975261688232</v>
      </c>
      <c r="AD8" s="11">
        <f t="shared" si="5"/>
        <v>0.1051289364695549</v>
      </c>
      <c r="AE8" s="11">
        <f t="shared" si="5"/>
        <v>9.8157517611980438E-2</v>
      </c>
      <c r="AF8" s="11">
        <f t="shared" si="5"/>
        <v>8.0513276159763336E-2</v>
      </c>
      <c r="AG8" s="11">
        <f t="shared" si="5"/>
        <v>5.8855693787336349E-2</v>
      </c>
      <c r="AH8" s="11">
        <f t="shared" si="5"/>
        <v>-0.26610976457595831</v>
      </c>
      <c r="AI8" s="11">
        <f t="shared" ref="AI8:BN8" si="6">IF(AI6=1,AI3,IF(AI6=2,AI4,IF(AI6=3,AI5)))</f>
        <v>-0.14365202188491821</v>
      </c>
      <c r="AJ8" s="11">
        <f t="shared" si="6"/>
        <v>-0.25451940298080439</v>
      </c>
      <c r="AK8" s="11">
        <f t="shared" si="6"/>
        <v>7.5650393962860107E-2</v>
      </c>
      <c r="AL8" s="11">
        <f t="shared" si="6"/>
        <v>6.6236443817615509E-2</v>
      </c>
      <c r="AM8" s="11">
        <f t="shared" si="6"/>
        <v>-8.2977190613746643E-2</v>
      </c>
      <c r="AN8" s="11">
        <f t="shared" si="6"/>
        <v>-7.0350959897041321E-2</v>
      </c>
      <c r="AO8" s="11">
        <f t="shared" si="6"/>
        <v>-0.1968108415603638</v>
      </c>
      <c r="AP8" s="11">
        <f t="shared" si="6"/>
        <v>-0.25679254531860352</v>
      </c>
      <c r="AQ8" s="11">
        <f t="shared" si="6"/>
        <v>0.1400775462388992</v>
      </c>
      <c r="AR8" s="11">
        <f t="shared" si="6"/>
        <v>0.16342324018478391</v>
      </c>
      <c r="AS8" s="11">
        <f t="shared" si="6"/>
        <v>0.18792152404785159</v>
      </c>
      <c r="AT8" s="11">
        <f t="shared" si="6"/>
        <v>0.19995155930519101</v>
      </c>
      <c r="AU8" s="11">
        <f t="shared" si="6"/>
        <v>0.19402837753295901</v>
      </c>
      <c r="AV8" s="11">
        <f t="shared" si="6"/>
        <v>0.15869356691837311</v>
      </c>
      <c r="AW8" s="11">
        <f t="shared" si="6"/>
        <v>-3.568306565284729E-2</v>
      </c>
      <c r="AX8" s="11">
        <f t="shared" si="6"/>
        <v>3.6226339638233178E-2</v>
      </c>
      <c r="AY8" s="11">
        <f t="shared" si="6"/>
        <v>0.1132773458957672</v>
      </c>
      <c r="AZ8" s="11">
        <f t="shared" si="6"/>
        <v>0.104707270860672</v>
      </c>
      <c r="BA8" s="11">
        <f t="shared" si="6"/>
        <v>6.849505752325058E-2</v>
      </c>
      <c r="BB8" s="11">
        <f t="shared" si="6"/>
        <v>3.3319383859634399E-2</v>
      </c>
      <c r="BC8" s="11">
        <f t="shared" si="6"/>
        <v>-3.7875480949878693E-2</v>
      </c>
      <c r="BD8" s="11">
        <f t="shared" si="6"/>
        <v>-3.2060969620943069E-2</v>
      </c>
      <c r="BE8" s="11">
        <f t="shared" si="6"/>
        <v>-3.2296057790517807E-2</v>
      </c>
      <c r="BF8" s="11">
        <f t="shared" si="6"/>
        <v>-3.2346583902835853E-2</v>
      </c>
      <c r="BG8" s="11">
        <f t="shared" si="6"/>
        <v>-3.2194517552852631E-2</v>
      </c>
      <c r="BH8" s="11">
        <f t="shared" si="6"/>
        <v>5.9344802051782608E-2</v>
      </c>
      <c r="BI8" s="11">
        <f t="shared" si="6"/>
        <v>-2.780326642096043E-2</v>
      </c>
      <c r="BJ8" s="11">
        <f t="shared" si="6"/>
        <v>-6.5720930695533752E-2</v>
      </c>
      <c r="BK8" s="11">
        <f t="shared" si="6"/>
        <v>5.5602390319108963E-2</v>
      </c>
      <c r="BL8" s="11">
        <f t="shared" si="6"/>
        <v>-8.8971659541130066E-2</v>
      </c>
      <c r="BM8" s="11">
        <f t="shared" si="6"/>
        <v>6.5659098327159882E-2</v>
      </c>
      <c r="BN8" s="11">
        <f t="shared" si="6"/>
        <v>-6.8609192967414856E-2</v>
      </c>
      <c r="BO8" s="11">
        <f t="shared" ref="BO8:CT8" si="7">IF(BO6=1,BO3,IF(BO6=2,BO4,IF(BO6=3,BO5)))</f>
        <v>-5.5181741714477539E-2</v>
      </c>
      <c r="BP8" s="11">
        <f t="shared" si="7"/>
        <v>-8.5352331399917603E-2</v>
      </c>
      <c r="BQ8" s="11">
        <f t="shared" si="7"/>
        <v>-3.6593899130821228E-2</v>
      </c>
      <c r="BR8" s="11">
        <f t="shared" si="7"/>
        <v>3.5782556980848312E-2</v>
      </c>
      <c r="BS8" s="11">
        <f t="shared" si="7"/>
        <v>3.381897509098053E-2</v>
      </c>
      <c r="BT8" s="11">
        <f t="shared" si="7"/>
        <v>4.3329164385795593E-2</v>
      </c>
      <c r="BU8" s="11">
        <f t="shared" si="7"/>
        <v>4.8520129173994057E-2</v>
      </c>
      <c r="BV8" s="11">
        <f t="shared" si="7"/>
        <v>0.14270420372486109</v>
      </c>
      <c r="BW8" s="11">
        <f t="shared" si="7"/>
        <v>0.13052307069301611</v>
      </c>
      <c r="BX8" s="11">
        <f t="shared" si="7"/>
        <v>5.2400790154933929E-2</v>
      </c>
      <c r="BY8" s="11">
        <f t="shared" si="7"/>
        <v>6.0546338558197021E-2</v>
      </c>
      <c r="BZ8" s="11">
        <f t="shared" si="7"/>
        <v>5.243389680981636E-2</v>
      </c>
      <c r="CA8" s="11">
        <f t="shared" si="7"/>
        <v>-3.099978901445866E-2</v>
      </c>
      <c r="CB8" s="11">
        <f t="shared" si="7"/>
        <v>-3.9389632642269128E-2</v>
      </c>
      <c r="CC8" s="11">
        <f t="shared" si="7"/>
        <v>-2.8904115781188011E-2</v>
      </c>
      <c r="CD8" s="11">
        <f t="shared" si="7"/>
        <v>3.6022435873746872E-2</v>
      </c>
      <c r="CE8" s="11">
        <f t="shared" si="7"/>
        <v>-2.8157502412796021E-2</v>
      </c>
      <c r="CF8" s="11">
        <f t="shared" si="7"/>
        <v>4.381309449672699E-2</v>
      </c>
      <c r="CG8" s="11">
        <f t="shared" si="7"/>
        <v>3.0113250017166141E-2</v>
      </c>
      <c r="CH8" s="11">
        <f t="shared" si="7"/>
        <v>4.3025322258472443E-2</v>
      </c>
      <c r="CI8" s="11">
        <f t="shared" si="7"/>
        <v>-3.1394515186548233E-2</v>
      </c>
      <c r="CJ8" s="11">
        <f t="shared" si="7"/>
        <v>4.1782274842262268E-2</v>
      </c>
      <c r="CK8" s="11">
        <f t="shared" si="7"/>
        <v>3.7300810217857361E-2</v>
      </c>
      <c r="CL8" s="11">
        <f t="shared" si="7"/>
        <v>6.0941599309444427E-2</v>
      </c>
      <c r="CM8" s="11">
        <f t="shared" si="7"/>
        <v>-3.8412053138017647E-2</v>
      </c>
      <c r="CN8" s="11">
        <f t="shared" si="7"/>
        <v>-3.586915135383606E-2</v>
      </c>
      <c r="CO8" s="11">
        <f t="shared" si="7"/>
        <v>0.1589557081460953</v>
      </c>
      <c r="CP8" s="11">
        <f t="shared" si="7"/>
        <v>-3.6965128034353263E-2</v>
      </c>
      <c r="CQ8" s="11">
        <f t="shared" si="7"/>
        <v>6.9797366857528687E-2</v>
      </c>
      <c r="CR8" s="11">
        <f t="shared" si="7"/>
        <v>-3.3767849206924438E-2</v>
      </c>
      <c r="CS8" s="11">
        <f t="shared" si="7"/>
        <v>-2.9090225696563721E-2</v>
      </c>
      <c r="CT8" s="11">
        <f t="shared" si="7"/>
        <v>5.3638488054275513E-2</v>
      </c>
      <c r="CU8" s="11">
        <f t="shared" ref="CU8:DZ8" si="8">IF(CU6=1,CU3,IF(CU6=2,CU4,IF(CU6=3,CU5)))</f>
        <v>6.3532985746860504E-2</v>
      </c>
      <c r="CV8" s="11">
        <f t="shared" si="8"/>
        <v>5.5906884372234338E-2</v>
      </c>
      <c r="CW8" s="11">
        <f t="shared" si="8"/>
        <v>4.8717334866523743E-2</v>
      </c>
      <c r="CX8" s="11">
        <f t="shared" si="8"/>
        <v>4.2955689132213593E-2</v>
      </c>
      <c r="CY8" s="11">
        <f t="shared" si="8"/>
        <v>2.966258488595486E-2</v>
      </c>
      <c r="CZ8" s="11">
        <f t="shared" si="8"/>
        <v>4.7397840768098831E-2</v>
      </c>
      <c r="DA8" s="11">
        <f t="shared" si="8"/>
        <v>-2.9591461643576619E-2</v>
      </c>
      <c r="DB8" s="11">
        <f t="shared" si="8"/>
        <v>-3.4101340919733047E-2</v>
      </c>
      <c r="DC8" s="11">
        <f t="shared" si="8"/>
        <v>3.7085290998220437E-2</v>
      </c>
      <c r="DD8" s="11">
        <f t="shared" si="8"/>
        <v>-3.2262604683637619E-2</v>
      </c>
      <c r="DE8" s="11">
        <f t="shared" si="8"/>
        <v>4.1370406746864319E-2</v>
      </c>
      <c r="DF8" s="11">
        <f t="shared" si="8"/>
        <v>4.0565907955169678E-2</v>
      </c>
      <c r="DG8" s="11">
        <f t="shared" si="8"/>
        <v>3.3224057406187057E-2</v>
      </c>
      <c r="DH8" s="11">
        <f t="shared" si="8"/>
        <v>-3.1315241008996957E-2</v>
      </c>
      <c r="DI8" s="11">
        <f t="shared" si="8"/>
        <v>-2.9898226261138919E-2</v>
      </c>
      <c r="DJ8" s="11">
        <f t="shared" si="8"/>
        <v>3.5664934664964683E-2</v>
      </c>
      <c r="DK8" s="11">
        <f t="shared" si="8"/>
        <v>3.7067931145429611E-2</v>
      </c>
      <c r="DL8" s="11">
        <f t="shared" si="8"/>
        <v>3.5447288304567337E-2</v>
      </c>
      <c r="DM8" s="11">
        <f t="shared" si="8"/>
        <v>4.903421550989151E-2</v>
      </c>
      <c r="DN8" s="11">
        <f t="shared" si="8"/>
        <v>-0.11219848692417141</v>
      </c>
      <c r="DO8" s="11">
        <f t="shared" si="8"/>
        <v>5.3319718688726432E-2</v>
      </c>
      <c r="DP8" s="11">
        <f t="shared" si="8"/>
        <v>5.3090192377567291E-2</v>
      </c>
      <c r="DQ8" s="11">
        <f t="shared" si="8"/>
        <v>6.7249387502670288E-2</v>
      </c>
      <c r="DR8" s="11">
        <f t="shared" si="8"/>
        <v>3.8861591368913651E-2</v>
      </c>
      <c r="DS8" s="11">
        <f t="shared" si="8"/>
        <v>4.5268747955560677E-2</v>
      </c>
      <c r="DT8" s="11">
        <f t="shared" si="8"/>
        <v>3.6585744470357888E-2</v>
      </c>
      <c r="DU8" s="11">
        <f t="shared" si="8"/>
        <v>-2.540554478764534E-2</v>
      </c>
      <c r="DV8" s="11">
        <f t="shared" si="8"/>
        <v>3.8169108331203461E-2</v>
      </c>
      <c r="DW8" s="11">
        <f t="shared" si="8"/>
        <v>-3.7095267325639718E-2</v>
      </c>
      <c r="DX8" s="11">
        <f t="shared" si="8"/>
        <v>3.4144993871450417E-2</v>
      </c>
      <c r="DY8" s="11">
        <f t="shared" si="8"/>
        <v>5.4498199373483658E-2</v>
      </c>
      <c r="DZ8" s="11">
        <f t="shared" si="8"/>
        <v>4.3653316795825958E-2</v>
      </c>
      <c r="EA8" s="11">
        <f t="shared" ref="EA8:EF8" si="9">IF(EA6=1,EA3,IF(EA6=2,EA4,IF(EA6=3,EA5)))</f>
        <v>-8.3518818020820618E-2</v>
      </c>
      <c r="EB8" s="11">
        <f t="shared" si="9"/>
        <v>-7.7344618737697601E-2</v>
      </c>
      <c r="EC8" s="11">
        <f t="shared" si="9"/>
        <v>-7.0242889225482941E-2</v>
      </c>
      <c r="ED8" s="11">
        <f t="shared" si="9"/>
        <v>-6.3896283507347107E-2</v>
      </c>
      <c r="EE8" s="11">
        <f t="shared" si="9"/>
        <v>-9.7872823476791382E-2</v>
      </c>
      <c r="EF8" s="11">
        <f t="shared" si="9"/>
        <v>-7.6828889548778534E-2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247</v>
      </c>
      <c r="B11" s="2" t="s">
        <v>142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144</v>
      </c>
    </row>
    <row r="12" spans="1:136">
      <c r="A12" s="2">
        <v>96</v>
      </c>
      <c r="B12" s="2" t="s">
        <v>229</v>
      </c>
      <c r="C12" s="11">
        <f t="array" ref="C12">PRODUCT(1+預測IC!$C12:C12)-1</f>
        <v>-1.4499246984096104E-2</v>
      </c>
      <c r="D12" s="11">
        <f t="array" ref="D12">PRODUCT(1+預測IC!$C12:D12)-1</f>
        <v>-3.3523429756598944E-5</v>
      </c>
      <c r="E12" s="11">
        <f t="array" ref="E12">PRODUCT(1+預測IC!$C12:E12)-1</f>
        <v>-1.4272012481962859E-3</v>
      </c>
      <c r="F12" s="11">
        <f t="array" ref="F12">PRODUCT(1+預測IC!$C12:F12)-1</f>
        <v>-5.7306720728842353E-2</v>
      </c>
      <c r="G12" s="11">
        <f t="array" ref="G12">PRODUCT(1+預測IC!$C12:G12)-1</f>
        <v>-2.7190075720468165E-2</v>
      </c>
      <c r="H12" s="11">
        <f t="array" ref="H12">PRODUCT(1+預測IC!$C12:H12)-1</f>
        <v>-1.7851821925444877E-2</v>
      </c>
      <c r="I12" s="11">
        <f t="array" ref="I12">PRODUCT(1+預測IC!$C12:I12)-1</f>
        <v>-2.6355410396380785E-2</v>
      </c>
      <c r="J12" s="11">
        <f t="array" ref="J12">PRODUCT(1+預測IC!$C12:J12)-1</f>
        <v>-1.9160377784998461E-2</v>
      </c>
      <c r="K12" s="11">
        <f t="array" ref="K12">PRODUCT(1+預測IC!$C12:K12)-1</f>
        <v>9.4683672776711969E-3</v>
      </c>
      <c r="L12" s="11">
        <f t="array" ref="L12">PRODUCT(1+預測IC!$C12:L12)-1</f>
        <v>1.8309852466528165E-2</v>
      </c>
      <c r="M12" s="11">
        <f t="array" ref="M12">PRODUCT(1+預測IC!$C12:M12)-1</f>
        <v>4.5691363105567984E-2</v>
      </c>
      <c r="N12" s="11">
        <f t="array" ref="N12">PRODUCT(1+預測IC!$C12:N12)-1</f>
        <v>9.4023653023860287E-3</v>
      </c>
      <c r="O12" s="11">
        <f t="array" ref="O12">PRODUCT(1+預測IC!$C12:O12)-1</f>
        <v>3.7579589131704783E-2</v>
      </c>
      <c r="P12" s="11">
        <f t="array" ref="P12">PRODUCT(1+預測IC!$C12:P12)-1</f>
        <v>5.980498096405884E-2</v>
      </c>
      <c r="Q12" s="11">
        <f t="array" ref="Q12">PRODUCT(1+預測IC!$C12:Q12)-1</f>
        <v>5.4383354243296766E-2</v>
      </c>
      <c r="R12" s="11">
        <f t="array" ref="R12">PRODUCT(1+預測IC!$C12:R12)-1</f>
        <v>4.0514534749396924E-2</v>
      </c>
      <c r="S12" s="11">
        <f t="array" ref="S12">PRODUCT(1+預測IC!$C12:S12)-1</f>
        <v>5.2017453910643718E-2</v>
      </c>
      <c r="T12" s="11">
        <f t="array" ref="T12">PRODUCT(1+預測IC!$C12:T12)-1</f>
        <v>1.6597808363079114E-3</v>
      </c>
      <c r="U12" s="11">
        <f t="array" ref="U12">PRODUCT(1+預測IC!$C12:U12)-1</f>
        <v>3.0185554511075186E-3</v>
      </c>
      <c r="V12" s="11">
        <f t="array" ref="V12">PRODUCT(1+預測IC!$C12:V12)-1</f>
        <v>1.2558218445752223E-2</v>
      </c>
      <c r="W12" s="11">
        <f t="array" ref="W12">PRODUCT(1+預測IC!$C12:W12)-1</f>
        <v>-1.0000001068491415E-2</v>
      </c>
      <c r="X12" s="11">
        <f t="array" ref="X12">PRODUCT(1+預測IC!$C12:X12)-1</f>
        <v>-0.11854434478520326</v>
      </c>
      <c r="Y12" s="11">
        <f t="array" ref="Y12">PRODUCT(1+預測IC!$C12:Y12)-1</f>
        <v>-0.10038777432187995</v>
      </c>
      <c r="Z12" s="11">
        <f t="array" ref="Z12">PRODUCT(1+預測IC!$C12:Z12)-1</f>
        <v>-0.14820404158657086</v>
      </c>
      <c r="AA12" s="11">
        <f t="array" ref="AA12">PRODUCT(1+預測IC!$C12:AA12)-1</f>
        <v>-0.1252749896092884</v>
      </c>
      <c r="AB12" s="11">
        <f t="array" ref="AB12">PRODUCT(1+預測IC!$C12:AB12)-1</f>
        <v>-0.11588627775978122</v>
      </c>
      <c r="AC12" s="11">
        <f t="array" ref="AC12">PRODUCT(1+預測IC!$C12:AC12)-1</f>
        <v>-0.15723888081759863</v>
      </c>
      <c r="AD12" s="11">
        <f t="array" ref="AD12">PRODUCT(1+預測IC!$C12:AD12)-1</f>
        <v>-0.15937142869417309</v>
      </c>
      <c r="AE12" s="11">
        <f t="array" ref="AE12">PRODUCT(1+預測IC!$C12:AE12)-1</f>
        <v>-0.12033455727770148</v>
      </c>
      <c r="AF12" s="11">
        <f t="array" ref="AF12">PRODUCT(1+預測IC!$C12:AF12)-1</f>
        <v>-0.16608780669374457</v>
      </c>
      <c r="AG12" s="11">
        <f t="array" ref="AG12">PRODUCT(1+預測IC!$C12:AG12)-1</f>
        <v>-0.16926912368827285</v>
      </c>
      <c r="AH12" s="11">
        <f t="array" ref="AH12">PRODUCT(1+預測IC!$C12:AH12)-1</f>
        <v>-0.18040573953252648</v>
      </c>
      <c r="AI12" s="11">
        <f t="array" ref="AI12">PRODUCT(1+預測IC!$C12:AI12)-1</f>
        <v>-0.19639278712419173</v>
      </c>
      <c r="AJ12" s="11">
        <f t="array" ref="AJ12">PRODUCT(1+預測IC!$C12:AJ12)-1</f>
        <v>-0.20682662030235976</v>
      </c>
      <c r="AK12" s="11">
        <f t="array" ref="AK12">PRODUCT(1+預測IC!$C12:AK12)-1</f>
        <v>-0.21989444379846057</v>
      </c>
      <c r="AL12" s="11">
        <f t="array" ref="AL12">PRODUCT(1+預測IC!$C12:AL12)-1</f>
        <v>-0.25718387159923195</v>
      </c>
      <c r="AM12" s="11">
        <f t="array" ref="AM12">PRODUCT(1+預測IC!$C12:AM12)-1</f>
        <v>-0.27953232351719981</v>
      </c>
      <c r="AN12" s="11">
        <f t="array" ref="AN12">PRODUCT(1+預測IC!$C12:AN12)-1</f>
        <v>-0.32941263097838491</v>
      </c>
      <c r="AO12" s="11">
        <f t="array" ref="AO12">PRODUCT(1+預測IC!$C12:AO12)-1</f>
        <v>-0.33090723143895295</v>
      </c>
      <c r="AP12" s="11">
        <f t="array" ref="AP12">PRODUCT(1+預測IC!$C12:AP12)-1</f>
        <v>-0.30834653077756957</v>
      </c>
      <c r="AQ12" s="11">
        <f t="array" ref="AQ12">PRODUCT(1+預測IC!$C12:AQ12)-1</f>
        <v>-0.3095202186985474</v>
      </c>
      <c r="AR12" s="11">
        <f t="array" ref="AR12">PRODUCT(1+預測IC!$C12:AR12)-1</f>
        <v>-0.29417566857477828</v>
      </c>
      <c r="AS12" s="11">
        <f t="array" ref="AS12">PRODUCT(1+預測IC!$C12:AS12)-1</f>
        <v>-0.28007592910344781</v>
      </c>
      <c r="AT12" s="11">
        <f t="array" ref="AT12">PRODUCT(1+預測IC!$C12:AT12)-1</f>
        <v>-0.22810073554034971</v>
      </c>
      <c r="AU12" s="11">
        <f t="array" ref="AU12">PRODUCT(1+預測IC!$C12:AU12)-1</f>
        <v>-0.2252342594937351</v>
      </c>
      <c r="AV12" s="11">
        <f t="array" ref="AV12">PRODUCT(1+預測IC!$C12:AV12)-1</f>
        <v>-0.18361722913122069</v>
      </c>
      <c r="AW12" s="11">
        <f t="array" ref="AW12">PRODUCT(1+預測IC!$C12:AW12)-1</f>
        <v>-0.19763428028096652</v>
      </c>
      <c r="AX12" s="11">
        <f t="array" ref="AX12">PRODUCT(1+預測IC!$C12:AX12)-1</f>
        <v>-0.23349682809617123</v>
      </c>
      <c r="AY12" s="11">
        <f t="array" ref="AY12">PRODUCT(1+預測IC!$C12:AY12)-1</f>
        <v>-0.22008967456375184</v>
      </c>
      <c r="AZ12" s="11">
        <f t="array" ref="AZ12">PRODUCT(1+預測IC!$C12:AZ12)-1</f>
        <v>-0.23850690840793298</v>
      </c>
      <c r="BA12" s="11">
        <f t="array" ref="BA12">PRODUCT(1+預測IC!$C12:BA12)-1</f>
        <v>-0.25863646799018114</v>
      </c>
      <c r="BB12" s="11">
        <f t="array" ref="BB12">PRODUCT(1+預測IC!$C12:BB12)-1</f>
        <v>-0.24731243269016201</v>
      </c>
      <c r="BC12" s="11">
        <f t="array" ref="BC12">PRODUCT(1+預測IC!$C12:BC12)-1</f>
        <v>-0.26740239117789044</v>
      </c>
      <c r="BD12" s="11">
        <f t="array" ref="BD12">PRODUCT(1+預測IC!$C12:BD12)-1</f>
        <v>-0.23133371866126817</v>
      </c>
      <c r="BE12" s="11">
        <f t="array" ref="BE12">PRODUCT(1+預測IC!$C12:BE12)-1</f>
        <v>-0.26638353190350073</v>
      </c>
      <c r="BF12" s="11">
        <f t="array" ref="BF12">PRODUCT(1+預測IC!$C12:BF12)-1</f>
        <v>-0.28369739255373816</v>
      </c>
      <c r="BG12" s="11">
        <f t="array" ref="BG12">PRODUCT(1+預測IC!$C12:BG12)-1</f>
        <v>-0.27653164303707023</v>
      </c>
      <c r="BH12" s="11">
        <f t="array" ref="BH12">PRODUCT(1+預測IC!$C12:BH12)-1</f>
        <v>-0.30191061567547917</v>
      </c>
      <c r="BI12" s="11">
        <f t="array" ref="BI12">PRODUCT(1+預測IC!$C12:BI12)-1</f>
        <v>-0.28736380726963151</v>
      </c>
      <c r="BJ12" s="11">
        <f t="array" ref="BJ12">PRODUCT(1+預測IC!$C12:BJ12)-1</f>
        <v>-0.28679655362068657</v>
      </c>
      <c r="BK12" s="11">
        <f t="array" ref="BK12">PRODUCT(1+預測IC!$C12:BK12)-1</f>
        <v>-0.28726540179493809</v>
      </c>
      <c r="BL12" s="11">
        <f t="array" ref="BL12">PRODUCT(1+預測IC!$C12:BL12)-1</f>
        <v>-0.30487653619363919</v>
      </c>
      <c r="BM12" s="11">
        <f t="array" ref="BM12">PRODUCT(1+預測IC!$C12:BM12)-1</f>
        <v>-0.26990787451863585</v>
      </c>
      <c r="BN12" s="11">
        <f t="array" ref="BN12">PRODUCT(1+預測IC!$C12:BN12)-1</f>
        <v>-0.27831600640884402</v>
      </c>
      <c r="BO12" s="11">
        <f t="array" ref="BO12">PRODUCT(1+預測IC!$C12:BO12)-1</f>
        <v>-0.29581418042441532</v>
      </c>
      <c r="BP12" s="11">
        <f t="array" ref="BP12">PRODUCT(1+預測IC!$C12:BP12)-1</f>
        <v>-0.28841390199429906</v>
      </c>
      <c r="BQ12" s="11">
        <f t="array" ref="BQ12">PRODUCT(1+預測IC!$C12:BQ12)-1</f>
        <v>-0.29830263583046523</v>
      </c>
      <c r="BR12" s="11">
        <f t="array" ref="BR12">PRODUCT(1+預測IC!$C12:BR12)-1</f>
        <v>-0.29988917950258021</v>
      </c>
      <c r="BS12" s="11">
        <f t="array" ref="BS12">PRODUCT(1+預測IC!$C12:BS12)-1</f>
        <v>-0.28668278369394717</v>
      </c>
      <c r="BT12" s="11">
        <f t="array" ref="BT12">PRODUCT(1+預測IC!$C12:BT12)-1</f>
        <v>-0.27500950201464958</v>
      </c>
      <c r="BU12" s="11">
        <f t="array" ref="BU12">PRODUCT(1+預測IC!$C12:BU12)-1</f>
        <v>-0.26274627525379168</v>
      </c>
      <c r="BV12" s="11">
        <f t="array" ref="BV12">PRODUCT(1+預測IC!$C12:BV12)-1</f>
        <v>-0.29391912409856202</v>
      </c>
      <c r="BW12" s="11">
        <f t="array" ref="BW12">PRODUCT(1+預測IC!$C12:BW12)-1</f>
        <v>-0.32532348596385008</v>
      </c>
      <c r="BX12" s="11">
        <f t="array" ref="BX12">PRODUCT(1+預測IC!$C12:BX12)-1</f>
        <v>-0.33003620521886567</v>
      </c>
      <c r="BY12" s="11">
        <f t="array" ref="BY12">PRODUCT(1+預測IC!$C12:BY12)-1</f>
        <v>-0.29055529482981723</v>
      </c>
      <c r="BZ12" s="11">
        <f t="array" ref="BZ12">PRODUCT(1+預測IC!$C12:BZ12)-1</f>
        <v>-0.25837704986645205</v>
      </c>
      <c r="CA12" s="11">
        <f t="array" ref="CA12">PRODUCT(1+預測IC!$C12:CA12)-1</f>
        <v>-0.24756375464011737</v>
      </c>
      <c r="CB12" s="11">
        <f t="array" ref="CB12">PRODUCT(1+預測IC!$C12:CB12)-1</f>
        <v>-0.22711715534820409</v>
      </c>
      <c r="CC12" s="11">
        <f t="array" ref="CC12">PRODUCT(1+預測IC!$C12:CC12)-1</f>
        <v>-0.17644228655231264</v>
      </c>
      <c r="CD12" s="11">
        <f t="array" ref="CD12">PRODUCT(1+預測IC!$C12:CD12)-1</f>
        <v>-8.5082036933057492E-2</v>
      </c>
      <c r="CE12" s="11">
        <f t="array" ref="CE12">PRODUCT(1+預測IC!$C12:CE12)-1</f>
        <v>5.5821876760924871E-2</v>
      </c>
      <c r="CF12" s="11">
        <f t="array" ref="CF12">PRODUCT(1+預測IC!$C12:CF12)-1</f>
        <v>6.4290913872237176E-2</v>
      </c>
      <c r="CG12" s="11">
        <f t="array" ref="CG12">PRODUCT(1+預測IC!$C12:CG12)-1</f>
        <v>1.1844828829370657E-2</v>
      </c>
      <c r="CH12" s="11">
        <f t="array" ref="CH12">PRODUCT(1+預測IC!$C12:CH12)-1</f>
        <v>-4.813286297540631E-3</v>
      </c>
      <c r="CI12" s="11">
        <f t="array" ref="CI12">PRODUCT(1+預測IC!$C12:CI12)-1</f>
        <v>-2.9037354159394124E-2</v>
      </c>
      <c r="CJ12" s="11">
        <f t="array" ref="CJ12">PRODUCT(1+預測IC!$C12:CJ12)-1</f>
        <v>2.3511209204683414E-2</v>
      </c>
      <c r="CK12" s="11">
        <f t="array" ref="CK12">PRODUCT(1+預測IC!$C12:CK12)-1</f>
        <v>8.0931662560227879E-2</v>
      </c>
      <c r="CL12" s="11">
        <f t="array" ref="CL12">PRODUCT(1+預測IC!$C12:CL12)-1</f>
        <v>0.16572024514148676</v>
      </c>
      <c r="CM12" s="11">
        <f t="array" ref="CM12">PRODUCT(1+預測IC!$C12:CM12)-1</f>
        <v>0.19644157917300431</v>
      </c>
      <c r="CN12" s="11">
        <f t="array" ref="CN12">PRODUCT(1+預測IC!$C12:CN12)-1</f>
        <v>0.16855581617682436</v>
      </c>
      <c r="CO12" s="11">
        <f t="array" ref="CO12">PRODUCT(1+預測IC!$C12:CO12)-1</f>
        <v>0.13955251176058603</v>
      </c>
      <c r="CP12" s="11">
        <f t="array" ref="CP12">PRODUCT(1+預測IC!$C12:CP12)-1</f>
        <v>0.14069778714573333</v>
      </c>
      <c r="CQ12" s="11">
        <f t="array" ref="CQ12">PRODUCT(1+預測IC!$C12:CQ12)-1</f>
        <v>6.9193891230080462E-2</v>
      </c>
      <c r="CR12" s="11">
        <f t="array" ref="CR12">PRODUCT(1+預測IC!$C12:CR12)-1</f>
        <v>0.13030899964167642</v>
      </c>
      <c r="CS12" s="11">
        <f t="array" ref="CS12">PRODUCT(1+預測IC!$C12:CS12)-1</f>
        <v>0.11390899314431291</v>
      </c>
      <c r="CT12" s="11">
        <f t="array" ref="CT12">PRODUCT(1+預測IC!$C12:CT12)-1</f>
        <v>0.10351726571482978</v>
      </c>
      <c r="CU12" s="11">
        <f t="array" ref="CU12">PRODUCT(1+預測IC!$C12:CU12)-1</f>
        <v>2.0996764030825066E-2</v>
      </c>
      <c r="CV12" s="11">
        <f t="array" ref="CV12">PRODUCT(1+預測IC!$C12:CV12)-1</f>
        <v>8.7395559517148058E-2</v>
      </c>
      <c r="CW12" s="11">
        <f t="array" ref="CW12">PRODUCT(1+預測IC!$C12:CW12)-1</f>
        <v>0.10157157591030663</v>
      </c>
      <c r="CX12" s="11">
        <f t="array" ref="CX12">PRODUCT(1+預測IC!$C12:CX12)-1</f>
        <v>0.16875629693116512</v>
      </c>
      <c r="CY12" s="11">
        <f t="array" ref="CY12">PRODUCT(1+預測IC!$C12:CY12)-1</f>
        <v>0.18794797219515225</v>
      </c>
      <c r="CZ12" s="11">
        <f t="array" ref="CZ12">PRODUCT(1+預測IC!$C12:CZ12)-1</f>
        <v>0.28036120971045353</v>
      </c>
      <c r="DA12" s="11">
        <f t="array" ref="DA12">PRODUCT(1+預測IC!$C12:DA12)-1</f>
        <v>0.32770707337792326</v>
      </c>
      <c r="DB12" s="11">
        <f t="array" ref="DB12">PRODUCT(1+預測IC!$C12:DB12)-1</f>
        <v>0.44584891055728959</v>
      </c>
      <c r="DC12" s="11">
        <f t="array" ref="DC12">PRODUCT(1+預測IC!$C12:DC12)-1</f>
        <v>0.43934061862182139</v>
      </c>
      <c r="DD12" s="11">
        <f t="array" ref="DD12">PRODUCT(1+預測IC!$C12:DD12)-1</f>
        <v>0.38307475477401787</v>
      </c>
      <c r="DE12" s="11">
        <f t="array" ref="DE12">PRODUCT(1+預測IC!$C12:DE12)-1</f>
        <v>0.34886074329092343</v>
      </c>
      <c r="DF12" s="11">
        <f t="array" ref="DF12">PRODUCT(1+預測IC!$C12:DF12)-1</f>
        <v>0.36454033178535372</v>
      </c>
      <c r="DG12" s="11">
        <f t="array" ref="DG12">PRODUCT(1+預測IC!$C12:DG12)-1</f>
        <v>0.29986873196981834</v>
      </c>
      <c r="DH12" s="11">
        <f t="array" ref="DH12">PRODUCT(1+預測IC!$C12:DH12)-1</f>
        <v>0.37941475417498216</v>
      </c>
      <c r="DI12" s="11">
        <f t="array" ref="DI12">PRODUCT(1+預測IC!$C12:DI12)-1</f>
        <v>0.46183342069108679</v>
      </c>
      <c r="DJ12" s="11">
        <f t="array" ref="DJ12">PRODUCT(1+預測IC!$C12:DJ12)-1</f>
        <v>0.47361959627751582</v>
      </c>
      <c r="DK12" s="11">
        <f t="array" ref="DK12">PRODUCT(1+預測IC!$C12:DK12)-1</f>
        <v>0.45012132726822185</v>
      </c>
      <c r="DL12" s="11">
        <f t="array" ref="DL12">PRODUCT(1+預測IC!$C12:DL12)-1</f>
        <v>0.47719485076211288</v>
      </c>
      <c r="DM12" s="11">
        <f t="array" ref="DM12">PRODUCT(1+預測IC!$C12:DM12)-1</f>
        <v>0.49070157203237996</v>
      </c>
      <c r="DN12" s="11">
        <f t="array" ref="DN12">PRODUCT(1+預測IC!$C12:DN12)-1</f>
        <v>0.51834133094388291</v>
      </c>
      <c r="DO12" s="11">
        <f t="array" ref="DO12">PRODUCT(1+預測IC!$C12:DO12)-1</f>
        <v>0.48944618965677145</v>
      </c>
      <c r="DP12" s="11">
        <f t="array" ref="DP12">PRODUCT(1+預測IC!$C12:DP12)-1</f>
        <v>0.40096013591687063</v>
      </c>
      <c r="DQ12" s="11">
        <f t="array" ref="DQ12">PRODUCT(1+預測IC!$C12:DQ12)-1</f>
        <v>0.5053886115424453</v>
      </c>
      <c r="DR12" s="11">
        <f t="array" ref="DR12">PRODUCT(1+預測IC!$C12:DR12)-1</f>
        <v>0.53365821889203602</v>
      </c>
      <c r="DS12" s="11">
        <f t="array" ref="DS12">PRODUCT(1+預測IC!$C12:DS12)-1</f>
        <v>0.60424373265682596</v>
      </c>
      <c r="DT12" s="11">
        <f t="array" ref="DT12">PRODUCT(1+預測IC!$C12:DT12)-1</f>
        <v>0.53157488711873913</v>
      </c>
      <c r="DU12" s="11">
        <f t="array" ref="DU12">PRODUCT(1+預測IC!$C12:DU12)-1</f>
        <v>0.44392250534302202</v>
      </c>
      <c r="DV12" s="11">
        <f t="array" ref="DV12">PRODUCT(1+預測IC!$C12:DV12)-1</f>
        <v>0.41973472194427908</v>
      </c>
      <c r="DW12" s="11">
        <f t="array" ref="DW12">PRODUCT(1+預測IC!$C12:DW12)-1</f>
        <v>0.48357671699782512</v>
      </c>
      <c r="DX12" s="11">
        <f t="array" ref="DX12">PRODUCT(1+預測IC!$C12:DX12)-1</f>
        <v>0.51042817491991954</v>
      </c>
      <c r="DY12" s="11">
        <f t="array" ref="DY12">PRODUCT(1+預測IC!$C12:DY12)-1</f>
        <v>0.60517464893449446</v>
      </c>
      <c r="DZ12" s="11">
        <f t="array" ref="DZ12">PRODUCT(1+預測IC!$C12:DZ12)-1</f>
        <v>0.6373405673536634</v>
      </c>
      <c r="EA12" s="11">
        <f t="array" ref="EA12">PRODUCT(1+預測IC!$C12:EA12)-1</f>
        <v>0.72100490105100445</v>
      </c>
      <c r="EB12" s="11">
        <f t="array" ref="EB12">PRODUCT(1+預測IC!$C12:EB12)-1</f>
        <v>0.73096292224263593</v>
      </c>
      <c r="EC12" s="11">
        <f t="array" ref="EC12">PRODUCT(1+預測IC!$C12:EC12)-1</f>
        <v>0.71398902770366957</v>
      </c>
      <c r="ED12" s="11">
        <f t="array" ref="ED12">PRODUCT(1+預測IC!$C12:ED12)-1</f>
        <v>0.70206352054616428</v>
      </c>
      <c r="EE12" s="11">
        <f t="array" ref="EE12">PRODUCT(1+預測IC!$C12:EE12)-1</f>
        <v>0.65694745470189742</v>
      </c>
      <c r="EF12" s="11">
        <f t="array" ref="EF12">PRODUCT(1+預測IC!$C12:EF12)-1</f>
        <v>0.70538565552023202</v>
      </c>
    </row>
    <row r="13" spans="1:136">
      <c r="A13" s="2">
        <v>48</v>
      </c>
      <c r="B13" s="2" t="s">
        <v>230</v>
      </c>
      <c r="C13" s="11">
        <f t="array" ref="C13">PRODUCT(1+預測IC!$C13:C13)-1</f>
        <v>7.4773642018863828E-3</v>
      </c>
      <c r="D13" s="11">
        <f t="array" ref="D13">PRODUCT(1+預測IC!$C13:D13)-1</f>
        <v>1.9797012835596206E-3</v>
      </c>
      <c r="E13" s="11">
        <f t="array" ref="E13">PRODUCT(1+預測IC!$C13:E13)-1</f>
        <v>-3.5548605506010578E-3</v>
      </c>
      <c r="F13" s="11">
        <f t="array" ref="F13">PRODUCT(1+預測IC!$C13:F13)-1</f>
        <v>-6.3328143506215739E-2</v>
      </c>
      <c r="G13" s="11">
        <f t="array" ref="G13">PRODUCT(1+預測IC!$C13:G13)-1</f>
        <v>-5.2043678954504236E-2</v>
      </c>
      <c r="H13" s="11">
        <f t="array" ref="H13">PRODUCT(1+預測IC!$C13:H13)-1</f>
        <v>-3.5560247559001112E-2</v>
      </c>
      <c r="I13" s="11">
        <f t="array" ref="I13">PRODUCT(1+預測IC!$C13:I13)-1</f>
        <v>-4.422353732101425E-3</v>
      </c>
      <c r="J13" s="11">
        <f t="array" ref="J13">PRODUCT(1+預測IC!$C13:J13)-1</f>
        <v>1.8476338977425621E-2</v>
      </c>
      <c r="K13" s="11">
        <f t="array" ref="K13">PRODUCT(1+預測IC!$C13:K13)-1</f>
        <v>7.9917084402563843E-2</v>
      </c>
      <c r="L13" s="11">
        <f t="array" ref="L13">PRODUCT(1+預測IC!$C13:L13)-1</f>
        <v>0.10365416988775111</v>
      </c>
      <c r="M13" s="11">
        <f t="array" ref="M13">PRODUCT(1+預測IC!$C13:M13)-1</f>
        <v>0.10727388873010479</v>
      </c>
      <c r="N13" s="11">
        <f t="array" ref="N13">PRODUCT(1+預測IC!$C13:N13)-1</f>
        <v>5.9226597901462563E-2</v>
      </c>
      <c r="O13" s="11">
        <f t="array" ref="O13">PRODUCT(1+預測IC!$C13:O13)-1</f>
        <v>7.7681183889247052E-2</v>
      </c>
      <c r="P13" s="11">
        <f t="array" ref="P13">PRODUCT(1+預測IC!$C13:P13)-1</f>
        <v>0.10015828664953763</v>
      </c>
      <c r="Q13" s="11">
        <f t="array" ref="Q13">PRODUCT(1+預測IC!$C13:Q13)-1</f>
        <v>0.11936307270815161</v>
      </c>
      <c r="R13" s="11">
        <f t="array" ref="R13">PRODUCT(1+預測IC!$C13:R13)-1</f>
        <v>0.10088159241787853</v>
      </c>
      <c r="S13" s="11">
        <f t="array" ref="S13">PRODUCT(1+預測IC!$C13:S13)-1</f>
        <v>9.4261107386998333E-2</v>
      </c>
      <c r="T13" s="11">
        <f t="array" ref="T13">PRODUCT(1+預測IC!$C13:T13)-1</f>
        <v>1.3029639146123984E-2</v>
      </c>
      <c r="U13" s="11">
        <f t="array" ref="U13">PRODUCT(1+預測IC!$C13:U13)-1</f>
        <v>-1.6106441203387667E-2</v>
      </c>
      <c r="V13" s="11">
        <f t="array" ref="V13">PRODUCT(1+預測IC!$C13:V13)-1</f>
        <v>-1.3925503480601398E-2</v>
      </c>
      <c r="W13" s="11">
        <f t="array" ref="W13">PRODUCT(1+預測IC!$C13:W13)-1</f>
        <v>-4.4595465206380025E-2</v>
      </c>
      <c r="X13" s="11">
        <f t="array" ref="X13">PRODUCT(1+預測IC!$C13:X13)-1</f>
        <v>-0.16032148676852842</v>
      </c>
      <c r="Y13" s="11">
        <f t="array" ref="Y13">PRODUCT(1+預測IC!$C13:Y13)-1</f>
        <v>-0.16593335948742671</v>
      </c>
      <c r="Z13" s="11">
        <f t="array" ref="Z13">PRODUCT(1+預測IC!$C13:Z13)-1</f>
        <v>-0.23370244349162184</v>
      </c>
      <c r="AA13" s="11">
        <f t="array" ref="AA13">PRODUCT(1+預測IC!$C13:AA13)-1</f>
        <v>-0.19714035756964576</v>
      </c>
      <c r="AB13" s="11">
        <f t="array" ref="AB13">PRODUCT(1+預測IC!$C13:AB13)-1</f>
        <v>-0.18509619977084935</v>
      </c>
      <c r="AC13" s="11">
        <f t="array" ref="AC13">PRODUCT(1+預測IC!$C13:AC13)-1</f>
        <v>-0.23950871215984615</v>
      </c>
      <c r="AD13" s="11">
        <f t="array" ref="AD13">PRODUCT(1+預測IC!$C13:AD13)-1</f>
        <v>-0.25505332775957845</v>
      </c>
      <c r="AE13" s="11">
        <f t="array" ref="AE13">PRODUCT(1+預測IC!$C13:AE13)-1</f>
        <v>-0.19763923234409353</v>
      </c>
      <c r="AF13" s="11">
        <f t="array" ref="AF13">PRODUCT(1+預測IC!$C13:AF13)-1</f>
        <v>-0.2564371608010132</v>
      </c>
      <c r="AG13" s="11">
        <f t="array" ref="AG13">PRODUCT(1+預測IC!$C13:AG13)-1</f>
        <v>-0.24907201642061427</v>
      </c>
      <c r="AH13" s="11">
        <f t="array" ref="AH13">PRODUCT(1+預測IC!$C13:AH13)-1</f>
        <v>-0.25631196785474908</v>
      </c>
      <c r="AI13" s="11">
        <f t="array" ref="AI13">PRODUCT(1+預測IC!$C13:AI13)-1</f>
        <v>-0.26528646042215054</v>
      </c>
      <c r="AJ13" s="11">
        <f t="array" ref="AJ13">PRODUCT(1+預測IC!$C13:AJ13)-1</f>
        <v>-0.25332497869107351</v>
      </c>
      <c r="AK13" s="11">
        <f t="array" ref="AK13">PRODUCT(1+預測IC!$C13:AK13)-1</f>
        <v>-0.2819669772479344</v>
      </c>
      <c r="AL13" s="11">
        <f t="array" ref="AL13">PRODUCT(1+預測IC!$C13:AL13)-1</f>
        <v>-0.31733648319436092</v>
      </c>
      <c r="AM13" s="11">
        <f t="array" ref="AM13">PRODUCT(1+預測IC!$C13:AM13)-1</f>
        <v>-0.34893181886557101</v>
      </c>
      <c r="AN13" s="11">
        <f t="array" ref="AN13">PRODUCT(1+預測IC!$C13:AN13)-1</f>
        <v>-0.41750898542725501</v>
      </c>
      <c r="AO13" s="11">
        <f t="array" ref="AO13">PRODUCT(1+預測IC!$C13:AO13)-1</f>
        <v>-0.42293266871366275</v>
      </c>
      <c r="AP13" s="11">
        <f t="array" ref="AP13">PRODUCT(1+預測IC!$C13:AP13)-1</f>
        <v>-0.38856782419010605</v>
      </c>
      <c r="AQ13" s="11">
        <f t="array" ref="AQ13">PRODUCT(1+預測IC!$C13:AQ13)-1</f>
        <v>-0.38999862082501568</v>
      </c>
      <c r="AR13" s="11">
        <f t="array" ref="AR13">PRODUCT(1+預測IC!$C13:AR13)-1</f>
        <v>-0.37728128535713368</v>
      </c>
      <c r="AS13" s="11">
        <f t="array" ref="AS13">PRODUCT(1+預測IC!$C13:AS13)-1</f>
        <v>-0.36270657654424698</v>
      </c>
      <c r="AT13" s="11">
        <f t="array" ref="AT13">PRODUCT(1+預測IC!$C13:AT13)-1</f>
        <v>-0.30762982135247052</v>
      </c>
      <c r="AU13" s="11">
        <f t="array" ref="AU13">PRODUCT(1+預測IC!$C13:AU13)-1</f>
        <v>-0.31849686101235497</v>
      </c>
      <c r="AV13" s="11">
        <f t="array" ref="AV13">PRODUCT(1+預測IC!$C13:AV13)-1</f>
        <v>-0.26420424853740931</v>
      </c>
      <c r="AW13" s="11">
        <f t="array" ref="AW13">PRODUCT(1+預測IC!$C13:AW13)-1</f>
        <v>-0.28393920148498275</v>
      </c>
      <c r="AX13" s="11">
        <f t="array" ref="AX13">PRODUCT(1+預測IC!$C13:AX13)-1</f>
        <v>-0.30742587547534217</v>
      </c>
      <c r="AY13" s="11">
        <f t="array" ref="AY13">PRODUCT(1+預測IC!$C13:AY13)-1</f>
        <v>-0.29754824209056341</v>
      </c>
      <c r="AZ13" s="11">
        <f t="array" ref="AZ13">PRODUCT(1+預測IC!$C13:AZ13)-1</f>
        <v>-0.31947916255250719</v>
      </c>
      <c r="BA13" s="11">
        <f t="array" ref="BA13">PRODUCT(1+預測IC!$C13:BA13)-1</f>
        <v>-0.33730082874075495</v>
      </c>
      <c r="BB13" s="11">
        <f t="array" ref="BB13">PRODUCT(1+預測IC!$C13:BB13)-1</f>
        <v>-0.30888735359428865</v>
      </c>
      <c r="BC13" s="11">
        <f t="array" ref="BC13">PRODUCT(1+預測IC!$C13:BC13)-1</f>
        <v>-0.32209511565171312</v>
      </c>
      <c r="BD13" s="11">
        <f t="array" ref="BD13">PRODUCT(1+預測IC!$C13:BD13)-1</f>
        <v>-0.29384225738596914</v>
      </c>
      <c r="BE13" s="11">
        <f t="array" ref="BE13">PRODUCT(1+預測IC!$C13:BE13)-1</f>
        <v>-0.32635985046644922</v>
      </c>
      <c r="BF13" s="11">
        <f t="array" ref="BF13">PRODUCT(1+預測IC!$C13:BF13)-1</f>
        <v>-0.34407829856789496</v>
      </c>
      <c r="BG13" s="11">
        <f t="array" ref="BG13">PRODUCT(1+預測IC!$C13:BG13)-1</f>
        <v>-0.33861386953340578</v>
      </c>
      <c r="BH13" s="11">
        <f t="array" ref="BH13">PRODUCT(1+預測IC!$C13:BH13)-1</f>
        <v>-0.36574634675995155</v>
      </c>
      <c r="BI13" s="11">
        <f t="array" ref="BI13">PRODUCT(1+預測IC!$C13:BI13)-1</f>
        <v>-0.34936185712645018</v>
      </c>
      <c r="BJ13" s="11">
        <f t="array" ref="BJ13">PRODUCT(1+預測IC!$C13:BJ13)-1</f>
        <v>-0.33840050038491321</v>
      </c>
      <c r="BK13" s="11">
        <f t="array" ref="BK13">PRODUCT(1+預測IC!$C13:BK13)-1</f>
        <v>-0.34427444268038387</v>
      </c>
      <c r="BL13" s="11">
        <f t="array" ref="BL13">PRODUCT(1+預測IC!$C13:BL13)-1</f>
        <v>-0.36522347112383735</v>
      </c>
      <c r="BM13" s="11">
        <f t="array" ref="BM13">PRODUCT(1+預測IC!$C13:BM13)-1</f>
        <v>-0.33134432505152278</v>
      </c>
      <c r="BN13" s="11">
        <f t="array" ref="BN13">PRODUCT(1+預測IC!$C13:BN13)-1</f>
        <v>-0.33873466989903189</v>
      </c>
      <c r="BO13" s="11">
        <f t="array" ref="BO13">PRODUCT(1+預測IC!$C13:BO13)-1</f>
        <v>-0.35915369438225431</v>
      </c>
      <c r="BP13" s="11">
        <f t="array" ref="BP13">PRODUCT(1+預測IC!$C13:BP13)-1</f>
        <v>-0.36519860257018821</v>
      </c>
      <c r="BQ13" s="11">
        <f t="array" ref="BQ13">PRODUCT(1+預測IC!$C13:BQ13)-1</f>
        <v>-0.3916400256709488</v>
      </c>
      <c r="BR13" s="11">
        <f t="array" ref="BR13">PRODUCT(1+預測IC!$C13:BR13)-1</f>
        <v>-0.3957047326397275</v>
      </c>
      <c r="BS13" s="11">
        <f t="array" ref="BS13">PRODUCT(1+預測IC!$C13:BS13)-1</f>
        <v>-0.39122118092036995</v>
      </c>
      <c r="BT13" s="11">
        <f t="array" ref="BT13">PRODUCT(1+預測IC!$C13:BT13)-1</f>
        <v>-0.39090396352091872</v>
      </c>
      <c r="BU13" s="11">
        <f t="array" ref="BU13">PRODUCT(1+預測IC!$C13:BU13)-1</f>
        <v>-0.38144642799606709</v>
      </c>
      <c r="BV13" s="11">
        <f t="array" ref="BV13">PRODUCT(1+預測IC!$C13:BV13)-1</f>
        <v>-0.43088793094252997</v>
      </c>
      <c r="BW13" s="11">
        <f t="array" ref="BW13">PRODUCT(1+預測IC!$C13:BW13)-1</f>
        <v>-0.47397768534704965</v>
      </c>
      <c r="BX13" s="11">
        <f t="array" ref="BX13">PRODUCT(1+預測IC!$C13:BX13)-1</f>
        <v>-0.47436990799768208</v>
      </c>
      <c r="BY13" s="11">
        <f t="array" ref="BY13">PRODUCT(1+預測IC!$C13:BY13)-1</f>
        <v>-0.45376417995641971</v>
      </c>
      <c r="BZ13" s="11">
        <f t="array" ref="BZ13">PRODUCT(1+預測IC!$C13:BZ13)-1</f>
        <v>-0.41217480987068034</v>
      </c>
      <c r="CA13" s="11">
        <f t="array" ref="CA13">PRODUCT(1+預測IC!$C13:CA13)-1</f>
        <v>-0.39805984118807203</v>
      </c>
      <c r="CB13" s="11">
        <f t="array" ref="CB13">PRODUCT(1+預測IC!$C13:CB13)-1</f>
        <v>-0.38239893562631078</v>
      </c>
      <c r="CC13" s="11">
        <f t="array" ref="CC13">PRODUCT(1+預測IC!$C13:CC13)-1</f>
        <v>-0.30821398244262743</v>
      </c>
      <c r="CD13" s="11">
        <f t="array" ref="CD13">PRODUCT(1+預測IC!$C13:CD13)-1</f>
        <v>-0.23551707260434473</v>
      </c>
      <c r="CE13" s="11">
        <f t="array" ref="CE13">PRODUCT(1+預測IC!$C13:CE13)-1</f>
        <v>-9.498391207451562E-2</v>
      </c>
      <c r="CF13" s="11">
        <f t="array" ref="CF13">PRODUCT(1+預測IC!$C13:CF13)-1</f>
        <v>-0.10588362448076183</v>
      </c>
      <c r="CG13" s="11">
        <f t="array" ref="CG13">PRODUCT(1+預測IC!$C13:CG13)-1</f>
        <v>-0.15775575722243596</v>
      </c>
      <c r="CH13" s="11">
        <f t="array" ref="CH13">PRODUCT(1+預測IC!$C13:CH13)-1</f>
        <v>-0.16114958550120084</v>
      </c>
      <c r="CI13" s="11">
        <f t="array" ref="CI13">PRODUCT(1+預測IC!$C13:CI13)-1</f>
        <v>-0.16777244933207125</v>
      </c>
      <c r="CJ13" s="11">
        <f t="array" ref="CJ13">PRODUCT(1+預測IC!$C13:CJ13)-1</f>
        <v>-0.12215790691405348</v>
      </c>
      <c r="CK13" s="11">
        <f t="array" ref="CK13">PRODUCT(1+預測IC!$C13:CK13)-1</f>
        <v>-6.4494982503207288E-2</v>
      </c>
      <c r="CL13" s="11">
        <f t="array" ref="CL13">PRODUCT(1+預測IC!$C13:CL13)-1</f>
        <v>3.5388482459441928E-3</v>
      </c>
      <c r="CM13" s="11">
        <f t="array" ref="CM13">PRODUCT(1+預測IC!$C13:CM13)-1</f>
        <v>1.7599164882998286E-2</v>
      </c>
      <c r="CN13" s="11">
        <f t="array" ref="CN13">PRODUCT(1+預測IC!$C13:CN13)-1</f>
        <v>-1.306177635436967E-2</v>
      </c>
      <c r="CO13" s="11">
        <f t="array" ref="CO13">PRODUCT(1+預測IC!$C13:CO13)-1</f>
        <v>-4.793459113501719E-2</v>
      </c>
      <c r="CP13" s="11">
        <f t="array" ref="CP13">PRODUCT(1+預測IC!$C13:CP13)-1</f>
        <v>-6.7525236997556637E-2</v>
      </c>
      <c r="CQ13" s="11">
        <f t="array" ref="CQ13">PRODUCT(1+預測IC!$C13:CQ13)-1</f>
        <v>-0.13389773223975199</v>
      </c>
      <c r="CR13" s="11">
        <f t="array" ref="CR13">PRODUCT(1+預測IC!$C13:CR13)-1</f>
        <v>-3.7201842961787635E-2</v>
      </c>
      <c r="CS13" s="11">
        <f t="array" ref="CS13">PRODUCT(1+預測IC!$C13:CS13)-1</f>
        <v>-3.3400755954390737E-2</v>
      </c>
      <c r="CT13" s="11">
        <f t="array" ref="CT13">PRODUCT(1+預測IC!$C13:CT13)-1</f>
        <v>-3.3005861387473856E-2</v>
      </c>
      <c r="CU13" s="11">
        <f t="array" ref="CU13">PRODUCT(1+預測IC!$C13:CU13)-1</f>
        <v>-0.13656219366293953</v>
      </c>
      <c r="CV13" s="11">
        <f t="array" ref="CV13">PRODUCT(1+預測IC!$C13:CV13)-1</f>
        <v>-6.951102311682078E-2</v>
      </c>
      <c r="CW13" s="11">
        <f t="array" ref="CW13">PRODUCT(1+預測IC!$C13:CW13)-1</f>
        <v>-3.5725787423128263E-2</v>
      </c>
      <c r="CX13" s="11">
        <f t="array" ref="CX13">PRODUCT(1+預測IC!$C13:CX13)-1</f>
        <v>2.2162732501900262E-2</v>
      </c>
      <c r="CY13" s="11">
        <f t="array" ref="CY13">PRODUCT(1+預測IC!$C13:CY13)-1</f>
        <v>6.4277627791613945E-2</v>
      </c>
      <c r="CZ13" s="11">
        <f t="array" ref="CZ13">PRODUCT(1+預測IC!$C13:CZ13)-1</f>
        <v>0.12518008528164581</v>
      </c>
      <c r="DA13" s="11">
        <f t="array" ref="DA13">PRODUCT(1+預測IC!$C13:DA13)-1</f>
        <v>0.18081548192471253</v>
      </c>
      <c r="DB13" s="11">
        <f t="array" ref="DB13">PRODUCT(1+預測IC!$C13:DB13)-1</f>
        <v>0.30625970985085504</v>
      </c>
      <c r="DC13" s="11">
        <f t="array" ref="DC13">PRODUCT(1+預測IC!$C13:DC13)-1</f>
        <v>0.28777630891460526</v>
      </c>
      <c r="DD13" s="11">
        <f t="array" ref="DD13">PRODUCT(1+預測IC!$C13:DD13)-1</f>
        <v>0.22157650437711762</v>
      </c>
      <c r="DE13" s="11">
        <f t="array" ref="DE13">PRODUCT(1+預測IC!$C13:DE13)-1</f>
        <v>0.1941618888278478</v>
      </c>
      <c r="DF13" s="11">
        <f t="array" ref="DF13">PRODUCT(1+預測IC!$C13:DF13)-1</f>
        <v>0.21478701355376151</v>
      </c>
      <c r="DG13" s="11">
        <f t="array" ref="DG13">PRODUCT(1+預測IC!$C13:DG13)-1</f>
        <v>0.12812925844269207</v>
      </c>
      <c r="DH13" s="11">
        <f t="array" ref="DH13">PRODUCT(1+預測IC!$C13:DH13)-1</f>
        <v>0.22821768534328557</v>
      </c>
      <c r="DI13" s="11">
        <f t="array" ref="DI13">PRODUCT(1+預測IC!$C13:DI13)-1</f>
        <v>0.33844791969468546</v>
      </c>
      <c r="DJ13" s="11">
        <f t="array" ref="DJ13">PRODUCT(1+預測IC!$C13:DJ13)-1</f>
        <v>0.3339885375672893</v>
      </c>
      <c r="DK13" s="11">
        <f t="array" ref="DK13">PRODUCT(1+預測IC!$C13:DK13)-1</f>
        <v>0.35054210033676036</v>
      </c>
      <c r="DL13" s="11">
        <f t="array" ref="DL13">PRODUCT(1+預測IC!$C13:DL13)-1</f>
        <v>0.38032248643902178</v>
      </c>
      <c r="DM13" s="11">
        <f t="array" ref="DM13">PRODUCT(1+預測IC!$C13:DM13)-1</f>
        <v>0.36423359327772031</v>
      </c>
      <c r="DN13" s="11">
        <f t="array" ref="DN13">PRODUCT(1+預測IC!$C13:DN13)-1</f>
        <v>0.38166289089880245</v>
      </c>
      <c r="DO13" s="11">
        <f t="array" ref="DO13">PRODUCT(1+預測IC!$C13:DO13)-1</f>
        <v>0.32042049062522926</v>
      </c>
      <c r="DP13" s="11">
        <f t="array" ref="DP13">PRODUCT(1+預測IC!$C13:DP13)-1</f>
        <v>0.24379344084765409</v>
      </c>
      <c r="DQ13" s="11">
        <f t="array" ref="DQ13">PRODUCT(1+預測IC!$C13:DQ13)-1</f>
        <v>0.35216393372527377</v>
      </c>
      <c r="DR13" s="11">
        <f t="array" ref="DR13">PRODUCT(1+預測IC!$C13:DR13)-1</f>
        <v>0.37078486622707696</v>
      </c>
      <c r="DS13" s="11">
        <f t="array" ref="DS13">PRODUCT(1+預測IC!$C13:DS13)-1</f>
        <v>0.41179216128355689</v>
      </c>
      <c r="DT13" s="11">
        <f t="array" ref="DT13">PRODUCT(1+預測IC!$C13:DT13)-1</f>
        <v>0.36177758716119235</v>
      </c>
      <c r="DU13" s="11">
        <f t="array" ref="DU13">PRODUCT(1+預測IC!$C13:DU13)-1</f>
        <v>0.31683081286008297</v>
      </c>
      <c r="DV13" s="11">
        <f t="array" ref="DV13">PRODUCT(1+預測IC!$C13:DV13)-1</f>
        <v>0.30385633595606021</v>
      </c>
      <c r="DW13" s="11">
        <f t="array" ref="DW13">PRODUCT(1+預測IC!$C13:DW13)-1</f>
        <v>0.3586554348081159</v>
      </c>
      <c r="DX13" s="11">
        <f t="array" ref="DX13">PRODUCT(1+預測IC!$C13:DX13)-1</f>
        <v>0.39021647007028926</v>
      </c>
      <c r="DY13" s="11">
        <f t="array" ref="DY13">PRODUCT(1+預測IC!$C13:DY13)-1</f>
        <v>0.40342995601447829</v>
      </c>
      <c r="DZ13" s="11">
        <f t="array" ref="DZ13">PRODUCT(1+預測IC!$C13:DZ13)-1</f>
        <v>0.44593318515984248</v>
      </c>
      <c r="EA13" s="11">
        <f t="array" ref="EA13">PRODUCT(1+預測IC!$C13:EA13)-1</f>
        <v>0.53575226522776198</v>
      </c>
      <c r="EB13" s="11">
        <f t="array" ref="EB13">PRODUCT(1+預測IC!$C13:EB13)-1</f>
        <v>0.53606098342791175</v>
      </c>
      <c r="EC13" s="11">
        <f t="array" ref="EC13">PRODUCT(1+預測IC!$C13:EC13)-1</f>
        <v>0.50722140646278224</v>
      </c>
      <c r="ED13" s="11">
        <f t="array" ref="ED13">PRODUCT(1+預測IC!$C13:ED13)-1</f>
        <v>0.51789853150571852</v>
      </c>
      <c r="EE13" s="11">
        <f t="array" ref="EE13">PRODUCT(1+預測IC!$C13:EE13)-1</f>
        <v>0.45530893424566243</v>
      </c>
      <c r="EF13" s="11">
        <f t="array" ref="EF13">PRODUCT(1+預測IC!$C13:EF13)-1</f>
        <v>0.52008916147361184</v>
      </c>
    </row>
    <row r="14" spans="1:136">
      <c r="A14" s="2">
        <v>19</v>
      </c>
      <c r="B14" s="2" t="s">
        <v>231</v>
      </c>
      <c r="C14" s="11">
        <f t="array" ref="C14">PRODUCT(1+預測IC!$C14:C14)-1</f>
        <v>3.3228977675766158E-2</v>
      </c>
      <c r="D14" s="11">
        <f t="array" ref="D14">PRODUCT(1+預測IC!$C14:D14)-1</f>
        <v>-0.11312134471917445</v>
      </c>
      <c r="E14" s="11">
        <f t="array" ref="E14">PRODUCT(1+預測IC!$C14:E14)-1</f>
        <v>-0.15562123150347662</v>
      </c>
      <c r="F14" s="11">
        <f t="array" ref="F14">PRODUCT(1+預測IC!$C14:F14)-1</f>
        <v>-0.20657265485676668</v>
      </c>
      <c r="G14" s="11">
        <f t="array" ref="G14">PRODUCT(1+預測IC!$C14:G14)-1</f>
        <v>-0.16400001701521971</v>
      </c>
      <c r="H14" s="11">
        <f t="array" ref="H14">PRODUCT(1+預測IC!$C14:H14)-1</f>
        <v>-0.17362092290013953</v>
      </c>
      <c r="I14" s="11">
        <f t="array" ref="I14">PRODUCT(1+預測IC!$C14:I14)-1</f>
        <v>-0.14874680088114089</v>
      </c>
      <c r="J14" s="11">
        <f t="array" ref="J14">PRODUCT(1+預測IC!$C14:J14)-1</f>
        <v>-0.11024327878487594</v>
      </c>
      <c r="K14" s="11">
        <f t="array" ref="K14">PRODUCT(1+預測IC!$C14:K14)-1</f>
        <v>-6.5019199056951638E-2</v>
      </c>
      <c r="L14" s="11">
        <f t="array" ref="L14">PRODUCT(1+預測IC!$C14:L14)-1</f>
        <v>-1.240681495593654E-2</v>
      </c>
      <c r="M14" s="11">
        <f t="array" ref="M14">PRODUCT(1+預測IC!$C14:M14)-1</f>
        <v>-3.1192530529408846E-2</v>
      </c>
      <c r="N14" s="11">
        <f t="array" ref="N14">PRODUCT(1+預測IC!$C14:N14)-1</f>
        <v>-8.6772459593977058E-2</v>
      </c>
      <c r="O14" s="11">
        <f t="array" ref="O14">PRODUCT(1+預測IC!$C14:O14)-1</f>
        <v>-8.5407725107893073E-2</v>
      </c>
      <c r="P14" s="11">
        <f t="array" ref="P14">PRODUCT(1+預測IC!$C14:P14)-1</f>
        <v>-3.2044995668303433E-2</v>
      </c>
      <c r="Q14" s="11">
        <f t="array" ref="Q14">PRODUCT(1+預測IC!$C14:Q14)-1</f>
        <v>4.4711568819553182E-2</v>
      </c>
      <c r="R14" s="11">
        <f t="array" ref="R14">PRODUCT(1+預測IC!$C14:R14)-1</f>
        <v>6.3268058133399308E-2</v>
      </c>
      <c r="S14" s="11">
        <f t="array" ref="S14">PRODUCT(1+預測IC!$C14:S14)-1</f>
        <v>3.6891837386733739E-2</v>
      </c>
      <c r="T14" s="11">
        <f t="array" ref="T14">PRODUCT(1+預測IC!$C14:T14)-1</f>
        <v>5.8034683002716747E-4</v>
      </c>
      <c r="U14" s="11">
        <f t="array" ref="U14">PRODUCT(1+預測IC!$C14:U14)-1</f>
        <v>-2.9993555676382178E-2</v>
      </c>
      <c r="V14" s="11">
        <f t="array" ref="V14">PRODUCT(1+預測IC!$C14:V14)-1</f>
        <v>-8.0842554650323417E-2</v>
      </c>
      <c r="W14" s="11">
        <f t="array" ref="W14">PRODUCT(1+預測IC!$C14:W14)-1</f>
        <v>-0.14886770536866178</v>
      </c>
      <c r="X14" s="11">
        <f t="array" ref="X14">PRODUCT(1+預測IC!$C14:X14)-1</f>
        <v>-0.30776192984834383</v>
      </c>
      <c r="Y14" s="11">
        <f t="array" ref="Y14">PRODUCT(1+預測IC!$C14:Y14)-1</f>
        <v>-0.34596723523329687</v>
      </c>
      <c r="Z14" s="11">
        <f t="array" ref="Z14">PRODUCT(1+預測IC!$C14:Z14)-1</f>
        <v>-0.42229549572678238</v>
      </c>
      <c r="AA14" s="11">
        <f t="array" ref="AA14">PRODUCT(1+預測IC!$C14:AA14)-1</f>
        <v>-0.36457941913780068</v>
      </c>
      <c r="AB14" s="11">
        <f t="array" ref="AB14">PRODUCT(1+預測IC!$C14:AB14)-1</f>
        <v>-0.34720957573382283</v>
      </c>
      <c r="AC14" s="11">
        <f t="array" ref="AC14">PRODUCT(1+預測IC!$C14:AC14)-1</f>
        <v>-0.34519469739516062</v>
      </c>
      <c r="AD14" s="11">
        <f t="array" ref="AD14">PRODUCT(1+預測IC!$C14:AD14)-1</f>
        <v>-0.39094895058067991</v>
      </c>
      <c r="AE14" s="11">
        <f t="array" ref="AE14">PRODUCT(1+預測IC!$C14:AE14)-1</f>
        <v>-0.31978930194147126</v>
      </c>
      <c r="AF14" s="11">
        <f t="array" ref="AF14">PRODUCT(1+預測IC!$C14:AF14)-1</f>
        <v>-0.38514401074155813</v>
      </c>
      <c r="AG14" s="11">
        <f t="array" ref="AG14">PRODUCT(1+預測IC!$C14:AG14)-1</f>
        <v>-0.36957014200037963</v>
      </c>
      <c r="AH14" s="11">
        <f t="array" ref="AH14">PRODUCT(1+預測IC!$C14:AH14)-1</f>
        <v>-0.37288007397056711</v>
      </c>
      <c r="AI14" s="11">
        <f t="array" ref="AI14">PRODUCT(1+預測IC!$C14:AI14)-1</f>
        <v>-0.41807845762470608</v>
      </c>
      <c r="AJ14" s="11">
        <f t="array" ref="AJ14">PRODUCT(1+預測IC!$C14:AJ14)-1</f>
        <v>-0.4268416351288985</v>
      </c>
      <c r="AK14" s="11">
        <f t="array" ref="AK14">PRODUCT(1+預測IC!$C14:AK14)-1</f>
        <v>-0.47124727376084252</v>
      </c>
      <c r="AL14" s="11">
        <f t="array" ref="AL14">PRODUCT(1+預測IC!$C14:AL14)-1</f>
        <v>-0.49833537267097183</v>
      </c>
      <c r="AM14" s="11">
        <f t="array" ref="AM14">PRODUCT(1+預測IC!$C14:AM14)-1</f>
        <v>-0.52905840124412717</v>
      </c>
      <c r="AN14" s="11">
        <f t="array" ref="AN14">PRODUCT(1+預測IC!$C14:AN14)-1</f>
        <v>-0.57549073124137862</v>
      </c>
      <c r="AO14" s="11">
        <f t="array" ref="AO14">PRODUCT(1+預測IC!$C14:AO14)-1</f>
        <v>-0.60134576773172776</v>
      </c>
      <c r="AP14" s="11">
        <f t="array" ref="AP14">PRODUCT(1+預測IC!$C14:AP14)-1</f>
        <v>-0.57344932982042218</v>
      </c>
      <c r="AQ14" s="11">
        <f t="array" ref="AQ14">PRODUCT(1+預測IC!$C14:AQ14)-1</f>
        <v>-0.56076653644260399</v>
      </c>
      <c r="AR14" s="11">
        <f t="array" ref="AR14">PRODUCT(1+預測IC!$C14:AR14)-1</f>
        <v>-0.55743596451842703</v>
      </c>
      <c r="AS14" s="11">
        <f t="array" ref="AS14">PRODUCT(1+預測IC!$C14:AS14)-1</f>
        <v>-0.56038757383016014</v>
      </c>
      <c r="AT14" s="11">
        <f t="array" ref="AT14">PRODUCT(1+預測IC!$C14:AT14)-1</f>
        <v>-0.52548081746823894</v>
      </c>
      <c r="AU14" s="11">
        <f t="array" ref="AU14">PRODUCT(1+預測IC!$C14:AU14)-1</f>
        <v>-0.55272847438281281</v>
      </c>
      <c r="AV14" s="11">
        <f t="array" ref="AV14">PRODUCT(1+預測IC!$C14:AV14)-1</f>
        <v>-0.52309282253537026</v>
      </c>
      <c r="AW14" s="11">
        <f t="array" ref="AW14">PRODUCT(1+預測IC!$C14:AW14)-1</f>
        <v>-0.54881179768488619</v>
      </c>
      <c r="AX14" s="11">
        <f t="array" ref="AX14">PRODUCT(1+預測IC!$C14:AX14)-1</f>
        <v>-0.55755140943623394</v>
      </c>
      <c r="AY14" s="11">
        <f t="array" ref="AY14">PRODUCT(1+預測IC!$C14:AY14)-1</f>
        <v>-0.55680341831501279</v>
      </c>
      <c r="AZ14" s="11">
        <f t="array" ref="AZ14">PRODUCT(1+預測IC!$C14:AZ14)-1</f>
        <v>-0.58386969082581586</v>
      </c>
      <c r="BA14" s="11">
        <f t="array" ref="BA14">PRODUCT(1+預測IC!$C14:BA14)-1</f>
        <v>-0.61170457711467319</v>
      </c>
      <c r="BB14" s="11">
        <f t="array" ref="BB14">PRODUCT(1+預測IC!$C14:BB14)-1</f>
        <v>-0.58773343797831079</v>
      </c>
      <c r="BC14" s="11">
        <f t="array" ref="BC14">PRODUCT(1+預測IC!$C14:BC14)-1</f>
        <v>-0.57598149784397357</v>
      </c>
      <c r="BD14" s="11">
        <f t="array" ref="BD14">PRODUCT(1+預測IC!$C14:BD14)-1</f>
        <v>-0.56901958269060027</v>
      </c>
      <c r="BE14" s="11">
        <f t="array" ref="BE14">PRODUCT(1+預測IC!$C14:BE14)-1</f>
        <v>-0.57941401376162815</v>
      </c>
      <c r="BF14" s="11">
        <f t="array" ref="BF14">PRODUCT(1+預測IC!$C14:BF14)-1</f>
        <v>-0.58161874763759425</v>
      </c>
      <c r="BG14" s="11">
        <f t="array" ref="BG14">PRODUCT(1+預測IC!$C14:BG14)-1</f>
        <v>-0.57722706569174376</v>
      </c>
      <c r="BH14" s="11">
        <f t="array" ref="BH14">PRODUCT(1+預測IC!$C14:BH14)-1</f>
        <v>-0.60826429136031734</v>
      </c>
      <c r="BI14" s="11">
        <f t="array" ref="BI14">PRODUCT(1+預測IC!$C14:BI14)-1</f>
        <v>-0.59562262954214384</v>
      </c>
      <c r="BJ14" s="11">
        <f t="array" ref="BJ14">PRODUCT(1+預測IC!$C14:BJ14)-1</f>
        <v>-0.5875281172701039</v>
      </c>
      <c r="BK14" s="11">
        <f t="array" ref="BK14">PRODUCT(1+預測IC!$C14:BK14)-1</f>
        <v>-0.60142488065604316</v>
      </c>
      <c r="BL14" s="11">
        <f t="array" ref="BL14">PRODUCT(1+預測IC!$C14:BL14)-1</f>
        <v>-0.62523486820458229</v>
      </c>
      <c r="BM14" s="11">
        <f t="array" ref="BM14">PRODUCT(1+預測IC!$C14:BM14)-1</f>
        <v>-0.60789136563556179</v>
      </c>
      <c r="BN14" s="11">
        <f t="array" ref="BN14">PRODUCT(1+預測IC!$C14:BN14)-1</f>
        <v>-0.61610076298750904</v>
      </c>
      <c r="BO14" s="11">
        <f t="array" ref="BO14">PRODUCT(1+預測IC!$C14:BO14)-1</f>
        <v>-0.62900324997972878</v>
      </c>
      <c r="BP14" s="11">
        <f t="array" ref="BP14">PRODUCT(1+預測IC!$C14:BP14)-1</f>
        <v>-0.6348181541663005</v>
      </c>
      <c r="BQ14" s="11">
        <f t="array" ref="BQ14">PRODUCT(1+預測IC!$C14:BQ14)-1</f>
        <v>-0.64060392145763934</v>
      </c>
      <c r="BR14" s="11">
        <f t="array" ref="BR14">PRODUCT(1+預測IC!$C14:BR14)-1</f>
        <v>-0.65064164890758747</v>
      </c>
      <c r="BS14" s="11">
        <f t="array" ref="BS14">PRODUCT(1+預測IC!$C14:BS14)-1</f>
        <v>-0.66513790865719979</v>
      </c>
      <c r="BT14" s="11">
        <f t="array" ref="BT14">PRODUCT(1+預測IC!$C14:BT14)-1</f>
        <v>-0.67542704071226778</v>
      </c>
      <c r="BU14" s="11">
        <f t="array" ref="BU14">PRODUCT(1+預測IC!$C14:BU14)-1</f>
        <v>-0.66958391155553054</v>
      </c>
      <c r="BV14" s="11">
        <f t="array" ref="BV14">PRODUCT(1+預測IC!$C14:BV14)-1</f>
        <v>-0.70526278042131829</v>
      </c>
      <c r="BW14" s="11">
        <f t="array" ref="BW14">PRODUCT(1+預測IC!$C14:BW14)-1</f>
        <v>-0.74384314814323971</v>
      </c>
      <c r="BX14" s="11">
        <f t="array" ref="BX14">PRODUCT(1+預測IC!$C14:BX14)-1</f>
        <v>-0.74017106403456934</v>
      </c>
      <c r="BY14" s="11">
        <f t="array" ref="BY14">PRODUCT(1+預測IC!$C14:BY14)-1</f>
        <v>-0.75124094324854918</v>
      </c>
      <c r="BZ14" s="11">
        <f t="array" ref="BZ14">PRODUCT(1+預測IC!$C14:BZ14)-1</f>
        <v>-0.73630692789885832</v>
      </c>
      <c r="CA14" s="11">
        <f t="array" ref="CA14">PRODUCT(1+預測IC!$C14:CA14)-1</f>
        <v>-0.72748517332179385</v>
      </c>
      <c r="CB14" s="11">
        <f t="array" ref="CB14">PRODUCT(1+預測IC!$C14:CB14)-1</f>
        <v>-0.71127679254457066</v>
      </c>
      <c r="CC14" s="11">
        <f t="array" ref="CC14">PRODUCT(1+預測IC!$C14:CC14)-1</f>
        <v>-0.67645815655764996</v>
      </c>
      <c r="CD14" s="11">
        <f t="array" ref="CD14">PRODUCT(1+預測IC!$C14:CD14)-1</f>
        <v>-0.64474564953803259</v>
      </c>
      <c r="CE14" s="11">
        <f t="array" ref="CE14">PRODUCT(1+預測IC!$C14:CE14)-1</f>
        <v>-0.58415529988778392</v>
      </c>
      <c r="CF14" s="11">
        <f t="array" ref="CF14">PRODUCT(1+預測IC!$C14:CF14)-1</f>
        <v>-0.60198564362214269</v>
      </c>
      <c r="CG14" s="11">
        <f t="array" ref="CG14">PRODUCT(1+預測IC!$C14:CG14)-1</f>
        <v>-0.62480009067904185</v>
      </c>
      <c r="CH14" s="11">
        <f t="array" ref="CH14">PRODUCT(1+預測IC!$C14:CH14)-1</f>
        <v>-0.64313973860179607</v>
      </c>
      <c r="CI14" s="11">
        <f t="array" ref="CI14">PRODUCT(1+預測IC!$C14:CI14)-1</f>
        <v>-0.64450585602878552</v>
      </c>
      <c r="CJ14" s="11">
        <f t="array" ref="CJ14">PRODUCT(1+預測IC!$C14:CJ14)-1</f>
        <v>-0.63817944088123535</v>
      </c>
      <c r="CK14" s="11">
        <f t="array" ref="CK14">PRODUCT(1+預測IC!$C14:CK14)-1</f>
        <v>-0.61871635806257741</v>
      </c>
      <c r="CL14" s="11">
        <f t="array" ref="CL14">PRODUCT(1+預測IC!$C14:CL14)-1</f>
        <v>-0.56634950132338768</v>
      </c>
      <c r="CM14" s="11">
        <f t="array" ref="CM14">PRODUCT(1+預測IC!$C14:CM14)-1</f>
        <v>-0.56855986426273086</v>
      </c>
      <c r="CN14" s="11">
        <f t="array" ref="CN14">PRODUCT(1+預測IC!$C14:CN14)-1</f>
        <v>-0.57693027975092082</v>
      </c>
      <c r="CO14" s="11">
        <f t="array" ref="CO14">PRODUCT(1+預測IC!$C14:CO14)-1</f>
        <v>-0.6102528411176481</v>
      </c>
      <c r="CP14" s="11">
        <f t="array" ref="CP14">PRODUCT(1+預測IC!$C14:CP14)-1</f>
        <v>-0.64675630969996489</v>
      </c>
      <c r="CQ14" s="11">
        <f t="array" ref="CQ14">PRODUCT(1+預測IC!$C14:CQ14)-1</f>
        <v>-0.65814061198680585</v>
      </c>
      <c r="CR14" s="11">
        <f t="array" ref="CR14">PRODUCT(1+預測IC!$C14:CR14)-1</f>
        <v>-0.58712967816229034</v>
      </c>
      <c r="CS14" s="11">
        <f t="array" ref="CS14">PRODUCT(1+預測IC!$C14:CS14)-1</f>
        <v>-0.58870482190013507</v>
      </c>
      <c r="CT14" s="11">
        <f t="array" ref="CT14">PRODUCT(1+預測IC!$C14:CT14)-1</f>
        <v>-0.59267870913929355</v>
      </c>
      <c r="CU14" s="11">
        <f t="array" ref="CU14">PRODUCT(1+預測IC!$C14:CU14)-1</f>
        <v>-0.63404014960211286</v>
      </c>
      <c r="CV14" s="11">
        <f t="array" ref="CV14">PRODUCT(1+預測IC!$C14:CV14)-1</f>
        <v>-0.57863498426135274</v>
      </c>
      <c r="CW14" s="11">
        <f t="array" ref="CW14">PRODUCT(1+預測IC!$C14:CW14)-1</f>
        <v>-0.55977304938839545</v>
      </c>
      <c r="CX14" s="11">
        <f t="array" ref="CX14">PRODUCT(1+預測IC!$C14:CX14)-1</f>
        <v>-0.54379307130452215</v>
      </c>
      <c r="CY14" s="11">
        <f t="array" ref="CY14">PRODUCT(1+預測IC!$C14:CY14)-1</f>
        <v>-0.49983245608352866</v>
      </c>
      <c r="CZ14" s="11">
        <f t="array" ref="CZ14">PRODUCT(1+預測IC!$C14:CZ14)-1</f>
        <v>-0.46778994094803017</v>
      </c>
      <c r="DA14" s="11">
        <f t="array" ref="DA14">PRODUCT(1+預測IC!$C14:DA14)-1</f>
        <v>-0.43298735264489063</v>
      </c>
      <c r="DB14" s="11">
        <f t="array" ref="DB14">PRODUCT(1+預測IC!$C14:DB14)-1</f>
        <v>-0.37367326378759647</v>
      </c>
      <c r="DC14" s="11">
        <f t="array" ref="DC14">PRODUCT(1+預測IC!$C14:DC14)-1</f>
        <v>-0.40060440024794719</v>
      </c>
      <c r="DD14" s="11">
        <f t="array" ref="DD14">PRODUCT(1+預測IC!$C14:DD14)-1</f>
        <v>-0.43291116058470935</v>
      </c>
      <c r="DE14" s="11">
        <f t="array" ref="DE14">PRODUCT(1+預測IC!$C14:DE14)-1</f>
        <v>-0.46836948135174028</v>
      </c>
      <c r="DF14" s="11">
        <f t="array" ref="DF14">PRODUCT(1+預測IC!$C14:DF14)-1</f>
        <v>-0.4342492178281947</v>
      </c>
      <c r="DG14" s="11">
        <f t="array" ref="DG14">PRODUCT(1+預測IC!$C14:DG14)-1</f>
        <v>-0.48365329498908571</v>
      </c>
      <c r="DH14" s="11">
        <f t="array" ref="DH14">PRODUCT(1+預測IC!$C14:DH14)-1</f>
        <v>-0.45332175790576856</v>
      </c>
      <c r="DI14" s="11">
        <f t="array" ref="DI14">PRODUCT(1+預測IC!$C14:DI14)-1</f>
        <v>-0.40595384335318596</v>
      </c>
      <c r="DJ14" s="11">
        <f t="array" ref="DJ14">PRODUCT(1+預測IC!$C14:DJ14)-1</f>
        <v>-0.40534570388673186</v>
      </c>
      <c r="DK14" s="11">
        <f t="array" ref="DK14">PRODUCT(1+預測IC!$C14:DK14)-1</f>
        <v>-0.39400501427237056</v>
      </c>
      <c r="DL14" s="11">
        <f t="array" ref="DL14">PRODUCT(1+預測IC!$C14:DL14)-1</f>
        <v>-0.36930776629826756</v>
      </c>
      <c r="DM14" s="11">
        <f t="array" ref="DM14">PRODUCT(1+預測IC!$C14:DM14)-1</f>
        <v>-0.38975601738903176</v>
      </c>
      <c r="DN14" s="11">
        <f t="array" ref="DN14">PRODUCT(1+預測IC!$C14:DN14)-1</f>
        <v>-0.41717778269953354</v>
      </c>
      <c r="DO14" s="11">
        <f t="array" ref="DO14">PRODUCT(1+預測IC!$C14:DO14)-1</f>
        <v>-0.45814351064621783</v>
      </c>
      <c r="DP14" s="11">
        <f t="array" ref="DP14">PRODUCT(1+預測IC!$C14:DP14)-1</f>
        <v>-0.49223430767555776</v>
      </c>
      <c r="DQ14" s="11">
        <f t="array" ref="DQ14">PRODUCT(1+預測IC!$C14:DQ14)-1</f>
        <v>-0.45609532114651274</v>
      </c>
      <c r="DR14" s="11">
        <f t="array" ref="DR14">PRODUCT(1+預測IC!$C14:DR14)-1</f>
        <v>-0.42747368659970419</v>
      </c>
      <c r="DS14" s="11">
        <f t="array" ref="DS14">PRODUCT(1+預測IC!$C14:DS14)-1</f>
        <v>-0.37626821880058758</v>
      </c>
      <c r="DT14" s="11">
        <f t="array" ref="DT14">PRODUCT(1+預測IC!$C14:DT14)-1</f>
        <v>-0.40403485756150004</v>
      </c>
      <c r="DU14" s="11">
        <f t="array" ref="DU14">PRODUCT(1+預測IC!$C14:DU14)-1</f>
        <v>-0.44503503233363129</v>
      </c>
      <c r="DV14" s="11">
        <f t="array" ref="DV14">PRODUCT(1+預測IC!$C14:DV14)-1</f>
        <v>-0.47009348977781507</v>
      </c>
      <c r="DW14" s="11">
        <f t="array" ref="DW14">PRODUCT(1+預測IC!$C14:DW14)-1</f>
        <v>-0.46913441477394557</v>
      </c>
      <c r="DX14" s="11">
        <f t="array" ref="DX14">PRODUCT(1+預測IC!$C14:DX14)-1</f>
        <v>-0.45443490737998526</v>
      </c>
      <c r="DY14" s="11">
        <f t="array" ref="DY14">PRODUCT(1+預測IC!$C14:DY14)-1</f>
        <v>-0.42843273680991767</v>
      </c>
      <c r="DZ14" s="11">
        <f t="array" ref="DZ14">PRODUCT(1+預測IC!$C14:DZ14)-1</f>
        <v>-0.41603110510097641</v>
      </c>
      <c r="EA14" s="11">
        <f t="array" ref="EA14">PRODUCT(1+預測IC!$C14:EA14)-1</f>
        <v>-0.35323954232490895</v>
      </c>
      <c r="EB14" s="11">
        <f t="array" ref="EB14">PRODUCT(1+預測IC!$C14:EB14)-1</f>
        <v>-0.36948003781737138</v>
      </c>
      <c r="EC14" s="11">
        <f t="array" ref="EC14">PRODUCT(1+預測IC!$C14:EC14)-1</f>
        <v>-0.38164253559104611</v>
      </c>
      <c r="ED14" s="11">
        <f t="array" ref="ED14">PRODUCT(1+預測IC!$C14:ED14)-1</f>
        <v>-0.40241833749616607</v>
      </c>
      <c r="EE14" s="11">
        <f t="array" ref="EE14">PRODUCT(1+預測IC!$C14:EE14)-1</f>
        <v>-0.40038700016698325</v>
      </c>
      <c r="EF14" s="11">
        <f t="array" ref="EF14">PRODUCT(1+預測IC!$C14:EF14)-1</f>
        <v>-0.38508235172492955</v>
      </c>
    </row>
    <row r="15" spans="1:136">
      <c r="A15" s="2">
        <v>10</v>
      </c>
      <c r="B15" s="2" t="s">
        <v>232</v>
      </c>
      <c r="C15" s="11">
        <f t="array" ref="C15">PRODUCT(1+預測IC!$C15:C15)-1</f>
        <v>3.6350225217569587E-2</v>
      </c>
      <c r="D15" s="11">
        <f t="array" ref="D15">PRODUCT(1+預測IC!$C15:D15)-1</f>
        <v>-0.24660952659279289</v>
      </c>
      <c r="E15" s="11">
        <f t="array" ref="E15">PRODUCT(1+預測IC!$C15:E15)-1</f>
        <v>-0.31844124404539076</v>
      </c>
      <c r="F15" s="11">
        <f t="array" ref="F15">PRODUCT(1+預測IC!$C15:F15)-1</f>
        <v>-0.29464023318966026</v>
      </c>
      <c r="G15" s="11">
        <f t="array" ref="G15">PRODUCT(1+預測IC!$C15:G15)-1</f>
        <v>-0.27037309151898992</v>
      </c>
      <c r="H15" s="11">
        <f t="array" ref="H15">PRODUCT(1+預測IC!$C15:H15)-1</f>
        <v>-0.27128054751776243</v>
      </c>
      <c r="I15" s="11">
        <f t="array" ref="I15">PRODUCT(1+預測IC!$C15:I15)-1</f>
        <v>-0.21349812991141048</v>
      </c>
      <c r="J15" s="11">
        <f t="array" ref="J15">PRODUCT(1+預測IC!$C15:J15)-1</f>
        <v>-0.16463968227089187</v>
      </c>
      <c r="K15" s="11">
        <f t="array" ref="K15">PRODUCT(1+預測IC!$C15:K15)-1</f>
        <v>-8.5685770924394111E-2</v>
      </c>
      <c r="L15" s="11">
        <f t="array" ref="L15">PRODUCT(1+預測IC!$C15:L15)-1</f>
        <v>-1.1469915257322993E-2</v>
      </c>
      <c r="M15" s="11">
        <f t="array" ref="M15">PRODUCT(1+預測IC!$C15:M15)-1</f>
        <v>-1.3578466175844017E-2</v>
      </c>
      <c r="N15" s="11">
        <f t="array" ref="N15">PRODUCT(1+預測IC!$C15:N15)-1</f>
        <v>-0.12188379668873961</v>
      </c>
      <c r="O15" s="11">
        <f t="array" ref="O15">PRODUCT(1+預測IC!$C15:O15)-1</f>
        <v>-0.13265898127237463</v>
      </c>
      <c r="P15" s="11">
        <f t="array" ref="P15">PRODUCT(1+預測IC!$C15:P15)-1</f>
        <v>-7.7048385773439754E-2</v>
      </c>
      <c r="Q15" s="11">
        <f t="array" ref="Q15">PRODUCT(1+預測IC!$C15:Q15)-1</f>
        <v>-3.4686077494465839E-2</v>
      </c>
      <c r="R15" s="11">
        <f t="array" ref="R15">PRODUCT(1+預測IC!$C15:R15)-1</f>
        <v>8.7610565335083379E-2</v>
      </c>
      <c r="S15" s="11">
        <f t="array" ref="S15">PRODUCT(1+預測IC!$C15:S15)-1</f>
        <v>0.18058809793127018</v>
      </c>
      <c r="T15" s="11">
        <f t="array" ref="T15">PRODUCT(1+預測IC!$C15:T15)-1</f>
        <v>0.12640963848547648</v>
      </c>
      <c r="U15" s="11">
        <f t="array" ref="U15">PRODUCT(1+預測IC!$C15:U15)-1</f>
        <v>3.8325091372634956E-2</v>
      </c>
      <c r="V15" s="11">
        <f t="array" ref="V15">PRODUCT(1+預測IC!$C15:V15)-1</f>
        <v>-7.6022542538424998E-2</v>
      </c>
      <c r="W15" s="11">
        <f t="array" ref="W15">PRODUCT(1+預測IC!$C15:W15)-1</f>
        <v>-0.17077051178557201</v>
      </c>
      <c r="X15" s="11">
        <f t="array" ref="X15">PRODUCT(1+預測IC!$C15:X15)-1</f>
        <v>-0.34589244191562907</v>
      </c>
      <c r="Y15" s="11">
        <f t="array" ref="Y15">PRODUCT(1+預測IC!$C15:Y15)-1</f>
        <v>-0.37992487196285119</v>
      </c>
      <c r="Z15" s="11">
        <f t="array" ref="Z15">PRODUCT(1+預測IC!$C15:Z15)-1</f>
        <v>-0.41880613678389267</v>
      </c>
      <c r="AA15" s="11">
        <f t="array" ref="AA15">PRODUCT(1+預測IC!$C15:AA15)-1</f>
        <v>-0.32532088058330655</v>
      </c>
      <c r="AB15" s="11">
        <f t="array" ref="AB15">PRODUCT(1+預測IC!$C15:AB15)-1</f>
        <v>-0.31036567285077632</v>
      </c>
      <c r="AC15" s="11">
        <f t="array" ref="AC15">PRODUCT(1+預測IC!$C15:AC15)-1</f>
        <v>-0.31334328550165802</v>
      </c>
      <c r="AD15" s="11">
        <f t="array" ref="AD15">PRODUCT(1+預測IC!$C15:AD15)-1</f>
        <v>-0.36945232303294873</v>
      </c>
      <c r="AE15" s="11">
        <f t="array" ref="AE15">PRODUCT(1+預測IC!$C15:AE15)-1</f>
        <v>-0.23590696396077937</v>
      </c>
      <c r="AF15" s="11">
        <f t="array" ref="AF15">PRODUCT(1+預測IC!$C15:AF15)-1</f>
        <v>-0.3411426608727629</v>
      </c>
      <c r="AG15" s="11">
        <f t="array" ref="AG15">PRODUCT(1+預測IC!$C15:AG15)-1</f>
        <v>-0.31193910961319038</v>
      </c>
      <c r="AH15" s="11">
        <f t="array" ref="AH15">PRODUCT(1+預測IC!$C15:AH15)-1</f>
        <v>-0.28881725455981666</v>
      </c>
      <c r="AI15" s="11">
        <f t="array" ref="AI15">PRODUCT(1+預測IC!$C15:AI15)-1</f>
        <v>-0.34957367531291905</v>
      </c>
      <c r="AJ15" s="11">
        <f t="array" ref="AJ15">PRODUCT(1+預測IC!$C15:AJ15)-1</f>
        <v>-0.3557298693952422</v>
      </c>
      <c r="AK15" s="11">
        <f t="array" ref="AK15">PRODUCT(1+預測IC!$C15:AK15)-1</f>
        <v>-0.40041738061359367</v>
      </c>
      <c r="AL15" s="11">
        <f t="array" ref="AL15">PRODUCT(1+預測IC!$C15:AL15)-1</f>
        <v>-0.41981997838239526</v>
      </c>
      <c r="AM15" s="11">
        <f t="array" ref="AM15">PRODUCT(1+預測IC!$C15:AM15)-1</f>
        <v>-0.45180102248408227</v>
      </c>
      <c r="AN15" s="11">
        <f t="array" ref="AN15">PRODUCT(1+預測IC!$C15:AN15)-1</f>
        <v>-0.50754666709016782</v>
      </c>
      <c r="AO15" s="11">
        <f t="array" ref="AO15">PRODUCT(1+預測IC!$C15:AO15)-1</f>
        <v>-0.53875334244367323</v>
      </c>
      <c r="AP15" s="11">
        <f t="array" ref="AP15">PRODUCT(1+預測IC!$C15:AP15)-1</f>
        <v>-0.50264432780116253</v>
      </c>
      <c r="AQ15" s="11">
        <f t="array" ref="AQ15">PRODUCT(1+預測IC!$C15:AQ15)-1</f>
        <v>-0.48451406261703245</v>
      </c>
      <c r="AR15" s="11">
        <f t="array" ref="AR15">PRODUCT(1+預測IC!$C15:AR15)-1</f>
        <v>-0.47537252482214465</v>
      </c>
      <c r="AS15" s="11">
        <f t="array" ref="AS15">PRODUCT(1+預測IC!$C15:AS15)-1</f>
        <v>-0.50093931169843064</v>
      </c>
      <c r="AT15" s="11">
        <f t="array" ref="AT15">PRODUCT(1+預測IC!$C15:AT15)-1</f>
        <v>-0.46551108695802623</v>
      </c>
      <c r="AU15" s="11">
        <f t="array" ref="AU15">PRODUCT(1+預測IC!$C15:AU15)-1</f>
        <v>-0.50675977562237562</v>
      </c>
      <c r="AV15" s="11">
        <f t="array" ref="AV15">PRODUCT(1+預測IC!$C15:AV15)-1</f>
        <v>-0.48836293690200583</v>
      </c>
      <c r="AW15" s="11">
        <f t="array" ref="AW15">PRODUCT(1+預測IC!$C15:AW15)-1</f>
        <v>-0.53529411168739693</v>
      </c>
      <c r="AX15" s="11">
        <f t="array" ref="AX15">PRODUCT(1+預測IC!$C15:AX15)-1</f>
        <v>-0.57310284576302362</v>
      </c>
      <c r="AY15" s="11">
        <f t="array" ref="AY15">PRODUCT(1+預測IC!$C15:AY15)-1</f>
        <v>-0.56072041235087644</v>
      </c>
      <c r="AZ15" s="11">
        <f t="array" ref="AZ15">PRODUCT(1+預測IC!$C15:AZ15)-1</f>
        <v>-0.59052391982962393</v>
      </c>
      <c r="BA15" s="11">
        <f t="array" ref="BA15">PRODUCT(1+預測IC!$C15:BA15)-1</f>
        <v>-0.58431964534341729</v>
      </c>
      <c r="BB15" s="11">
        <f t="array" ref="BB15">PRODUCT(1+預測IC!$C15:BB15)-1</f>
        <v>-0.53746213303316037</v>
      </c>
      <c r="BC15" s="11">
        <f t="array" ref="BC15">PRODUCT(1+預測IC!$C15:BC15)-1</f>
        <v>-0.52315274167914771</v>
      </c>
      <c r="BD15" s="11">
        <f t="array" ref="BD15">PRODUCT(1+預測IC!$C15:BD15)-1</f>
        <v>-0.51964090467579216</v>
      </c>
      <c r="BE15" s="11">
        <f t="array" ref="BE15">PRODUCT(1+預測IC!$C15:BE15)-1</f>
        <v>-0.54184228545121504</v>
      </c>
      <c r="BF15" s="11">
        <f t="array" ref="BF15">PRODUCT(1+預測IC!$C15:BF15)-1</f>
        <v>-0.56794701244768975</v>
      </c>
      <c r="BG15" s="11">
        <f t="array" ref="BG15">PRODUCT(1+預測IC!$C15:BG15)-1</f>
        <v>-0.56199487766997414</v>
      </c>
      <c r="BH15" s="11">
        <f t="array" ref="BH15">PRODUCT(1+預測IC!$C15:BH15)-1</f>
        <v>-0.60520366530895875</v>
      </c>
      <c r="BI15" s="11">
        <f t="array" ref="BI15">PRODUCT(1+預測IC!$C15:BI15)-1</f>
        <v>-0.5948000712564474</v>
      </c>
      <c r="BJ15" s="11">
        <f t="array" ref="BJ15">PRODUCT(1+預測IC!$C15:BJ15)-1</f>
        <v>-0.59023548308332041</v>
      </c>
      <c r="BK15" s="11">
        <f t="array" ref="BK15">PRODUCT(1+預測IC!$C15:BK15)-1</f>
        <v>-0.57154820003022366</v>
      </c>
      <c r="BL15" s="11">
        <f t="array" ref="BL15">PRODUCT(1+預測IC!$C15:BL15)-1</f>
        <v>-0.59699989563159739</v>
      </c>
      <c r="BM15" s="11">
        <f t="array" ref="BM15">PRODUCT(1+預測IC!$C15:BM15)-1</f>
        <v>-0.57756763179049597</v>
      </c>
      <c r="BN15" s="11">
        <f t="array" ref="BN15">PRODUCT(1+預測IC!$C15:BN15)-1</f>
        <v>-0.59452515258890259</v>
      </c>
      <c r="BO15" s="11">
        <f t="array" ref="BO15">PRODUCT(1+預測IC!$C15:BO15)-1</f>
        <v>-0.6057707849947549</v>
      </c>
      <c r="BP15" s="11">
        <f t="array" ref="BP15">PRODUCT(1+預測IC!$C15:BP15)-1</f>
        <v>-0.61136261918985391</v>
      </c>
      <c r="BQ15" s="11">
        <f t="array" ref="BQ15">PRODUCT(1+預測IC!$C15:BQ15)-1</f>
        <v>-0.61633831687321916</v>
      </c>
      <c r="BR15" s="11">
        <f t="array" ref="BR15">PRODUCT(1+預測IC!$C15:BR15)-1</f>
        <v>-0.63558180055150082</v>
      </c>
      <c r="BS15" s="11">
        <f t="array" ref="BS15">PRODUCT(1+預測IC!$C15:BS15)-1</f>
        <v>-0.64171269123785635</v>
      </c>
      <c r="BT15" s="11">
        <f t="array" ref="BT15">PRODUCT(1+預測IC!$C15:BT15)-1</f>
        <v>-0.66315652205710063</v>
      </c>
      <c r="BU15" s="11">
        <f t="array" ref="BU15">PRODUCT(1+預測IC!$C15:BU15)-1</f>
        <v>-0.66825636006867595</v>
      </c>
      <c r="BV15" s="11">
        <f t="array" ref="BV15">PRODUCT(1+預測IC!$C15:BV15)-1</f>
        <v>-0.70297002924523966</v>
      </c>
      <c r="BW15" s="11">
        <f t="array" ref="BW15">PRODUCT(1+預測IC!$C15:BW15)-1</f>
        <v>-0.79174604677818983</v>
      </c>
      <c r="BX15" s="11">
        <f t="array" ref="BX15">PRODUCT(1+預測IC!$C15:BX15)-1</f>
        <v>-0.78053124465830837</v>
      </c>
      <c r="BY15" s="11">
        <f t="array" ref="BY15">PRODUCT(1+預測IC!$C15:BY15)-1</f>
        <v>-0.80818948149498371</v>
      </c>
      <c r="BZ15" s="11">
        <f t="array" ref="BZ15">PRODUCT(1+預測IC!$C15:BZ15)-1</f>
        <v>-0.78845093832291835</v>
      </c>
      <c r="CA15" s="11">
        <f t="array" ref="CA15">PRODUCT(1+預測IC!$C15:CA15)-1</f>
        <v>-0.78211231494279421</v>
      </c>
      <c r="CB15" s="11">
        <f t="array" ref="CB15">PRODUCT(1+預測IC!$C15:CB15)-1</f>
        <v>-0.76191758974873824</v>
      </c>
      <c r="CC15" s="11">
        <f t="array" ref="CC15">PRODUCT(1+預測IC!$C15:CC15)-1</f>
        <v>-0.72057467444157064</v>
      </c>
      <c r="CD15" s="11">
        <f t="array" ref="CD15">PRODUCT(1+預測IC!$C15:CD15)-1</f>
        <v>-0.68700113926366213</v>
      </c>
      <c r="CE15" s="11">
        <f t="array" ref="CE15">PRODUCT(1+預測IC!$C15:CE15)-1</f>
        <v>-0.66403722664847487</v>
      </c>
      <c r="CF15" s="11">
        <f t="array" ref="CF15">PRODUCT(1+預測IC!$C15:CF15)-1</f>
        <v>-0.67792909578342164</v>
      </c>
      <c r="CG15" s="11">
        <f t="array" ref="CG15">PRODUCT(1+預測IC!$C15:CG15)-1</f>
        <v>-0.70559048439720606</v>
      </c>
      <c r="CH15" s="11">
        <f t="array" ref="CH15">PRODUCT(1+預測IC!$C15:CH15)-1</f>
        <v>-0.72953852221144566</v>
      </c>
      <c r="CI15" s="11">
        <f t="array" ref="CI15">PRODUCT(1+預測IC!$C15:CI15)-1</f>
        <v>-0.7482909687739151</v>
      </c>
      <c r="CJ15" s="11">
        <f t="array" ref="CJ15">PRODUCT(1+預測IC!$C15:CJ15)-1</f>
        <v>-0.7380535303028688</v>
      </c>
      <c r="CK15" s="11">
        <f t="array" ref="CK15">PRODUCT(1+預測IC!$C15:CK15)-1</f>
        <v>-0.7130007739598363</v>
      </c>
      <c r="CL15" s="11">
        <f t="array" ref="CL15">PRODUCT(1+預測IC!$C15:CL15)-1</f>
        <v>-0.66660606531051414</v>
      </c>
      <c r="CM15" s="11">
        <f t="array" ref="CM15">PRODUCT(1+預測IC!$C15:CM15)-1</f>
        <v>-0.68215106953934868</v>
      </c>
      <c r="CN15" s="11">
        <f t="array" ref="CN15">PRODUCT(1+預測IC!$C15:CN15)-1</f>
        <v>-0.68208190561208049</v>
      </c>
      <c r="CO15" s="11">
        <f t="array" ref="CO15">PRODUCT(1+預測IC!$C15:CO15)-1</f>
        <v>-0.71609254306706704</v>
      </c>
      <c r="CP15" s="11">
        <f t="array" ref="CP15">PRODUCT(1+預測IC!$C15:CP15)-1</f>
        <v>-0.75302854766927774</v>
      </c>
      <c r="CQ15" s="11">
        <f t="array" ref="CQ15">PRODUCT(1+預測IC!$C15:CQ15)-1</f>
        <v>-0.7468633102822958</v>
      </c>
      <c r="CR15" s="11">
        <f t="array" ref="CR15">PRODUCT(1+預測IC!$C15:CR15)-1</f>
        <v>-0.70092180275574112</v>
      </c>
      <c r="CS15" s="11">
        <f t="array" ref="CS15">PRODUCT(1+預測IC!$C15:CS15)-1</f>
        <v>-0.69586367265266724</v>
      </c>
      <c r="CT15" s="11">
        <f t="array" ref="CT15">PRODUCT(1+預測IC!$C15:CT15)-1</f>
        <v>-0.69436073117670882</v>
      </c>
      <c r="CU15" s="11">
        <f t="array" ref="CU15">PRODUCT(1+預測IC!$C15:CU15)-1</f>
        <v>-0.73227526151162292</v>
      </c>
      <c r="CV15" s="11">
        <f t="array" ref="CV15">PRODUCT(1+預測IC!$C15:CV15)-1</f>
        <v>-0.68338563265415364</v>
      </c>
      <c r="CW15" s="11">
        <f t="array" ref="CW15">PRODUCT(1+預測IC!$C15:CW15)-1</f>
        <v>-0.67513083408747687</v>
      </c>
      <c r="CX15" s="11">
        <f t="array" ref="CX15">PRODUCT(1+預測IC!$C15:CX15)-1</f>
        <v>-0.66732110699519653</v>
      </c>
      <c r="CY15" s="11">
        <f t="array" ref="CY15">PRODUCT(1+預測IC!$C15:CY15)-1</f>
        <v>-0.63639930107379317</v>
      </c>
      <c r="CZ15" s="11">
        <f t="array" ref="CZ15">PRODUCT(1+預測IC!$C15:CZ15)-1</f>
        <v>-0.60735235096614881</v>
      </c>
      <c r="DA15" s="11">
        <f t="array" ref="DA15">PRODUCT(1+預測IC!$C15:DA15)-1</f>
        <v>-0.57246097410723251</v>
      </c>
      <c r="DB15" s="11">
        <f t="array" ref="DB15">PRODUCT(1+預測IC!$C15:DB15)-1</f>
        <v>-0.53096929498409895</v>
      </c>
      <c r="DC15" s="11">
        <f t="array" ref="DC15">PRODUCT(1+預測IC!$C15:DC15)-1</f>
        <v>-0.56271912406356228</v>
      </c>
      <c r="DD15" s="11">
        <f t="array" ref="DD15">PRODUCT(1+預測IC!$C15:DD15)-1</f>
        <v>-0.59224655893925782</v>
      </c>
      <c r="DE15" s="11">
        <f t="array" ref="DE15">PRODUCT(1+預測IC!$C15:DE15)-1</f>
        <v>-0.61555522770446536</v>
      </c>
      <c r="DF15" s="11">
        <f t="array" ref="DF15">PRODUCT(1+預測IC!$C15:DF15)-1</f>
        <v>-0.61788285867869408</v>
      </c>
      <c r="DG15" s="11">
        <f t="array" ref="DG15">PRODUCT(1+預測IC!$C15:DG15)-1</f>
        <v>-0.66109708337881123</v>
      </c>
      <c r="DH15" s="11">
        <f t="array" ref="DH15">PRODUCT(1+預測IC!$C15:DH15)-1</f>
        <v>-0.61716730116616447</v>
      </c>
      <c r="DI15" s="11">
        <f t="array" ref="DI15">PRODUCT(1+預測IC!$C15:DI15)-1</f>
        <v>-0.60077785049638921</v>
      </c>
      <c r="DJ15" s="11">
        <f t="array" ref="DJ15">PRODUCT(1+預測IC!$C15:DJ15)-1</f>
        <v>-0.62147905718878271</v>
      </c>
      <c r="DK15" s="11">
        <f t="array" ref="DK15">PRODUCT(1+預測IC!$C15:DK15)-1</f>
        <v>-0.58295515104916595</v>
      </c>
      <c r="DL15" s="11">
        <f t="array" ref="DL15">PRODUCT(1+預測IC!$C15:DL15)-1</f>
        <v>-0.58308192984852136</v>
      </c>
      <c r="DM15" s="11">
        <f t="array" ref="DM15">PRODUCT(1+預測IC!$C15:DM15)-1</f>
        <v>-0.59936346297577492</v>
      </c>
      <c r="DN15" s="11">
        <f t="array" ref="DN15">PRODUCT(1+預測IC!$C15:DN15)-1</f>
        <v>-0.63210777250059058</v>
      </c>
      <c r="DO15" s="11">
        <f t="array" ref="DO15">PRODUCT(1+預測IC!$C15:DO15)-1</f>
        <v>-0.64465452197809192</v>
      </c>
      <c r="DP15" s="11">
        <f t="array" ref="DP15">PRODUCT(1+預測IC!$C15:DP15)-1</f>
        <v>-0.69237917770034518</v>
      </c>
      <c r="DQ15" s="11">
        <f t="array" ref="DQ15">PRODUCT(1+預測IC!$C15:DQ15)-1</f>
        <v>-0.68098530574796912</v>
      </c>
      <c r="DR15" s="11">
        <f t="array" ref="DR15">PRODUCT(1+預測IC!$C15:DR15)-1</f>
        <v>-0.65865090624393596</v>
      </c>
      <c r="DS15" s="11">
        <f t="array" ref="DS15">PRODUCT(1+預測IC!$C15:DS15)-1</f>
        <v>-0.65538366889978894</v>
      </c>
      <c r="DT15" s="11">
        <f t="array" ref="DT15">PRODUCT(1+預測IC!$C15:DT15)-1</f>
        <v>-0.68025243490136922</v>
      </c>
      <c r="DU15" s="11">
        <f t="array" ref="DU15">PRODUCT(1+預測IC!$C15:DU15)-1</f>
        <v>-0.71770398758002418</v>
      </c>
      <c r="DV15" s="11">
        <f t="array" ref="DV15">PRODUCT(1+預測IC!$C15:DV15)-1</f>
        <v>-0.7308950392458835</v>
      </c>
      <c r="DW15" s="11">
        <f t="array" ref="DW15">PRODUCT(1+預測IC!$C15:DW15)-1</f>
        <v>-0.74726383287268205</v>
      </c>
      <c r="DX15" s="11">
        <f t="array" ref="DX15">PRODUCT(1+預測IC!$C15:DX15)-1</f>
        <v>-0.74181846273769514</v>
      </c>
      <c r="DY15" s="11">
        <f t="array" ref="DY15">PRODUCT(1+預測IC!$C15:DY15)-1</f>
        <v>-0.76342145037093934</v>
      </c>
      <c r="DZ15" s="11">
        <f t="array" ref="DZ15">PRODUCT(1+預測IC!$C15:DZ15)-1</f>
        <v>-0.75476350400847536</v>
      </c>
      <c r="EA15" s="11">
        <f t="array" ref="EA15">PRODUCT(1+預測IC!$C15:EA15)-1</f>
        <v>-0.72798914742006149</v>
      </c>
      <c r="EB15" s="11">
        <f t="array" ref="EB15">PRODUCT(1+預測IC!$C15:EB15)-1</f>
        <v>-0.7432568445645209</v>
      </c>
      <c r="EC15" s="11">
        <f t="array" ref="EC15">PRODUCT(1+預測IC!$C15:EC15)-1</f>
        <v>-0.74782271349215435</v>
      </c>
      <c r="ED15" s="11">
        <f t="array" ref="ED15">PRODUCT(1+預測IC!$C15:ED15)-1</f>
        <v>-0.76607623854555229</v>
      </c>
      <c r="EE15" s="11">
        <f t="array" ref="EE15">PRODUCT(1+預測IC!$C15:EE15)-1</f>
        <v>-0.76682250212934433</v>
      </c>
      <c r="EF15" s="11">
        <f t="array" ref="EF15">PRODUCT(1+預測IC!$C15:EF15)-1</f>
        <v>-0.75991016506471676</v>
      </c>
    </row>
    <row r="16" spans="1:136">
      <c r="A16" s="2">
        <v>9</v>
      </c>
      <c r="B16" s="2" t="s">
        <v>233</v>
      </c>
      <c r="C16" s="11">
        <f t="array" ref="C16">PRODUCT(1+預測IC!$C16:C16)-1</f>
        <v>3.943538983158934E-2</v>
      </c>
      <c r="D16" s="11">
        <f t="array" ref="D16">PRODUCT(1+預測IC!$C16:D16)-1</f>
        <v>-0.20414379660216297</v>
      </c>
      <c r="E16" s="11">
        <f t="array" ref="E16">PRODUCT(1+預測IC!$C16:E16)-1</f>
        <v>-0.27314784929404667</v>
      </c>
      <c r="F16" s="11">
        <f t="array" ref="F16">PRODUCT(1+預測IC!$C16:F16)-1</f>
        <v>-0.21593333924654967</v>
      </c>
      <c r="G16" s="11">
        <f t="array" ref="G16">PRODUCT(1+預測IC!$C16:G16)-1</f>
        <v>-0.20954590047472843</v>
      </c>
      <c r="H16" s="11">
        <f t="array" ref="H16">PRODUCT(1+預測IC!$C16:H16)-1</f>
        <v>-0.21005918141489877</v>
      </c>
      <c r="I16" s="11">
        <f t="array" ref="I16">PRODUCT(1+預測IC!$C16:I16)-1</f>
        <v>-0.12378345405286773</v>
      </c>
      <c r="J16" s="11">
        <f t="array" ref="J16">PRODUCT(1+預測IC!$C16:J16)-1</f>
        <v>-5.972795965081612E-2</v>
      </c>
      <c r="K16" s="11">
        <f t="array" ref="K16">PRODUCT(1+預測IC!$C16:K16)-1</f>
        <v>2.1531188406153756E-2</v>
      </c>
      <c r="L16" s="11">
        <f t="array" ref="L16">PRODUCT(1+預測IC!$C16:L16)-1</f>
        <v>0.10852642306351856</v>
      </c>
      <c r="M16" s="11">
        <f t="array" ref="M16">PRODUCT(1+預測IC!$C16:M16)-1</f>
        <v>9.3020980819677135E-2</v>
      </c>
      <c r="N16" s="11">
        <f t="array" ref="N16">PRODUCT(1+預測IC!$C16:N16)-1</f>
        <v>-3.8406592585658816E-2</v>
      </c>
      <c r="O16" s="11">
        <f t="array" ref="O16">PRODUCT(1+預測IC!$C16:O16)-1</f>
        <v>-6.5895737249732189E-2</v>
      </c>
      <c r="P16" s="11">
        <f t="array" ref="P16">PRODUCT(1+預測IC!$C16:P16)-1</f>
        <v>-8.8731260127864475E-3</v>
      </c>
      <c r="Q16" s="11">
        <f t="array" ref="Q16">PRODUCT(1+預測IC!$C16:Q16)-1</f>
        <v>7.1882547023801813E-2</v>
      </c>
      <c r="R16" s="11">
        <f t="array" ref="R16">PRODUCT(1+預測IC!$C16:R16)-1</f>
        <v>0.182404028331004</v>
      </c>
      <c r="S16" s="11">
        <f t="array" ref="S16">PRODUCT(1+預測IC!$C16:S16)-1</f>
        <v>0.31230180490107373</v>
      </c>
      <c r="T16" s="11">
        <f t="array" ref="T16">PRODUCT(1+預測IC!$C16:T16)-1</f>
        <v>0.26190065821762087</v>
      </c>
      <c r="U16" s="11">
        <f t="array" ref="U16">PRODUCT(1+預測IC!$C16:U16)-1</f>
        <v>0.1464721632948085</v>
      </c>
      <c r="V16" s="11">
        <f t="array" ref="V16">PRODUCT(1+預測IC!$C16:V16)-1</f>
        <v>5.9831558132126261E-2</v>
      </c>
      <c r="W16" s="11">
        <f t="array" ref="W16">PRODUCT(1+預測IC!$C16:W16)-1</f>
        <v>-4.7916933722182198E-2</v>
      </c>
      <c r="X16" s="11">
        <f t="array" ref="X16">PRODUCT(1+預測IC!$C16:X16)-1</f>
        <v>-0.27692334128599294</v>
      </c>
      <c r="Y16" s="11">
        <f t="array" ref="Y16">PRODUCT(1+預測IC!$C16:Y16)-1</f>
        <v>-0.31327879291213268</v>
      </c>
      <c r="Z16" s="11">
        <f t="array" ref="Z16">PRODUCT(1+預測IC!$C16:Z16)-1</f>
        <v>-0.34281471198500435</v>
      </c>
      <c r="AA16" s="11">
        <f t="array" ref="AA16">PRODUCT(1+預測IC!$C16:AA16)-1</f>
        <v>-0.23361753315152467</v>
      </c>
      <c r="AB16" s="11">
        <f t="array" ref="AB16">PRODUCT(1+預測IC!$C16:AB16)-1</f>
        <v>-0.20886689376965006</v>
      </c>
      <c r="AC16" s="11">
        <f t="array" ref="AC16">PRODUCT(1+預測IC!$C16:AC16)-1</f>
        <v>-0.1987677252129687</v>
      </c>
      <c r="AD16" s="11">
        <f t="array" ref="AD16">PRODUCT(1+預測IC!$C16:AD16)-1</f>
        <v>-0.24134204787278812</v>
      </c>
      <c r="AE16" s="11">
        <f t="array" ref="AE16">PRODUCT(1+預測IC!$C16:AE16)-1</f>
        <v>-8.230591571348389E-2</v>
      </c>
      <c r="AF16" s="11">
        <f t="array" ref="AF16">PRODUCT(1+預測IC!$C16:AF16)-1</f>
        <v>-0.21804719622677804</v>
      </c>
      <c r="AG16" s="11">
        <f t="array" ref="AG16">PRODUCT(1+預測IC!$C16:AG16)-1</f>
        <v>-0.18381630538296634</v>
      </c>
      <c r="AH16" s="11">
        <f t="array" ref="AH16">PRODUCT(1+預測IC!$C16:AH16)-1</f>
        <v>-0.15788990348315235</v>
      </c>
      <c r="AI16" s="11">
        <f t="array" ref="AI16">PRODUCT(1+預測IC!$C16:AI16)-1</f>
        <v>-0.19921901915943008</v>
      </c>
      <c r="AJ16" s="11">
        <f t="array" ref="AJ16">PRODUCT(1+預測IC!$C16:AJ16)-1</f>
        <v>-0.19359275915704055</v>
      </c>
      <c r="AK16" s="11">
        <f t="array" ref="AK16">PRODUCT(1+預測IC!$C16:AK16)-1</f>
        <v>-0.22377936669106691</v>
      </c>
      <c r="AL16" s="11">
        <f t="array" ref="AL16">PRODUCT(1+預測IC!$C16:AL16)-1</f>
        <v>-0.22800177611204464</v>
      </c>
      <c r="AM16" s="11">
        <f t="array" ref="AM16">PRODUCT(1+預測IC!$C16:AM16)-1</f>
        <v>-0.27901289477695557</v>
      </c>
      <c r="AN16" s="11">
        <f t="array" ref="AN16">PRODUCT(1+預測IC!$C16:AN16)-1</f>
        <v>-0.35576644231265597</v>
      </c>
      <c r="AO16" s="11">
        <f t="array" ref="AO16">PRODUCT(1+預測IC!$C16:AO16)-1</f>
        <v>-0.39533827717284098</v>
      </c>
      <c r="AP16" s="11">
        <f t="array" ref="AP16">PRODUCT(1+預測IC!$C16:AP16)-1</f>
        <v>-0.34829658185678791</v>
      </c>
      <c r="AQ16" s="11">
        <f t="array" ref="AQ16">PRODUCT(1+預測IC!$C16:AQ16)-1</f>
        <v>-0.31278020998213485</v>
      </c>
      <c r="AR16" s="11">
        <f t="array" ref="AR16">PRODUCT(1+預測IC!$C16:AR16)-1</f>
        <v>-0.28915910574983694</v>
      </c>
      <c r="AS16" s="11">
        <f t="array" ref="AS16">PRODUCT(1+預測IC!$C16:AS16)-1</f>
        <v>-0.32657970265806235</v>
      </c>
      <c r="AT16" s="11">
        <f t="array" ref="AT16">PRODUCT(1+預測IC!$C16:AT16)-1</f>
        <v>-0.24404258814168345</v>
      </c>
      <c r="AU16" s="11">
        <f t="array" ref="AU16">PRODUCT(1+預測IC!$C16:AU16)-1</f>
        <v>-0.30609933758286478</v>
      </c>
      <c r="AV16" s="11">
        <f t="array" ref="AV16">PRODUCT(1+預測IC!$C16:AV16)-1</f>
        <v>-0.26996041137407489</v>
      </c>
      <c r="AW16" s="11">
        <f t="array" ref="AW16">PRODUCT(1+預測IC!$C16:AW16)-1</f>
        <v>-0.34952373114635815</v>
      </c>
      <c r="AX16" s="11">
        <f t="array" ref="AX16">PRODUCT(1+預測IC!$C16:AX16)-1</f>
        <v>-0.414975517867333</v>
      </c>
      <c r="AY16" s="11">
        <f t="array" ref="AY16">PRODUCT(1+預測IC!$C16:AY16)-1</f>
        <v>-0.40350795361665626</v>
      </c>
      <c r="AZ16" s="11">
        <f t="array" ref="AZ16">PRODUCT(1+預測IC!$C16:AZ16)-1</f>
        <v>-0.45608883578092585</v>
      </c>
      <c r="BA16" s="11">
        <f t="array" ref="BA16">PRODUCT(1+預測IC!$C16:BA16)-1</f>
        <v>-0.4745337129405105</v>
      </c>
      <c r="BB16" s="11">
        <f t="array" ref="BB16">PRODUCT(1+預測IC!$C16:BB16)-1</f>
        <v>-0.41776290060806931</v>
      </c>
      <c r="BC16" s="11">
        <f t="array" ref="BC16">PRODUCT(1+預測IC!$C16:BC16)-1</f>
        <v>-0.39505600777721994</v>
      </c>
      <c r="BD16" s="11">
        <f t="array" ref="BD16">PRODUCT(1+預測IC!$C16:BD16)-1</f>
        <v>-0.39125447251409284</v>
      </c>
      <c r="BE16" s="11">
        <f t="array" ref="BE16">PRODUCT(1+預測IC!$C16:BE16)-1</f>
        <v>-0.4181247030124966</v>
      </c>
      <c r="BF16" s="11">
        <f t="array" ref="BF16">PRODUCT(1+預測IC!$C16:BF16)-1</f>
        <v>-0.44988597818169485</v>
      </c>
      <c r="BG16" s="11">
        <f t="array" ref="BG16">PRODUCT(1+預測IC!$C16:BG16)-1</f>
        <v>-0.43925160177836486</v>
      </c>
      <c r="BH16" s="11">
        <f t="array" ref="BH16">PRODUCT(1+預測IC!$C16:BH16)-1</f>
        <v>-0.49317430859831013</v>
      </c>
      <c r="BI16" s="11">
        <f t="array" ref="BI16">PRODUCT(1+預測IC!$C16:BI16)-1</f>
        <v>-0.48018898387287312</v>
      </c>
      <c r="BJ16" s="11">
        <f t="array" ref="BJ16">PRODUCT(1+預測IC!$C16:BJ16)-1</f>
        <v>-0.46953087429621498</v>
      </c>
      <c r="BK16" s="11">
        <f t="array" ref="BK16">PRODUCT(1+預測IC!$C16:BK16)-1</f>
        <v>-0.44227981354791857</v>
      </c>
      <c r="BL16" s="11">
        <f t="array" ref="BL16">PRODUCT(1+預測IC!$C16:BL16)-1</f>
        <v>-0.48166800178222924</v>
      </c>
      <c r="BM16" s="11">
        <f t="array" ref="BM16">PRODUCT(1+預測IC!$C16:BM16)-1</f>
        <v>-0.46119493203704764</v>
      </c>
      <c r="BN16" s="11">
        <f t="array" ref="BN16">PRODUCT(1+預測IC!$C16:BN16)-1</f>
        <v>-0.48700683742908235</v>
      </c>
      <c r="BO16" s="11">
        <f t="array" ref="BO16">PRODUCT(1+預測IC!$C16:BO16)-1</f>
        <v>-0.49823644241152498</v>
      </c>
      <c r="BP16" s="11">
        <f t="array" ref="BP16">PRODUCT(1+預測IC!$C16:BP16)-1</f>
        <v>-0.50869479233982862</v>
      </c>
      <c r="BQ16" s="11">
        <f t="array" ref="BQ16">PRODUCT(1+預測IC!$C16:BQ16)-1</f>
        <v>-0.51679052753778398</v>
      </c>
      <c r="BR16" s="11">
        <f t="array" ref="BR16">PRODUCT(1+預測IC!$C16:BR16)-1</f>
        <v>-0.52949741359764513</v>
      </c>
      <c r="BS16" s="11">
        <f t="array" ref="BS16">PRODUCT(1+預測IC!$C16:BS16)-1</f>
        <v>-0.53570408288224303</v>
      </c>
      <c r="BT16" s="11">
        <f t="array" ref="BT16">PRODUCT(1+預測IC!$C16:BT16)-1</f>
        <v>-0.557368540113095</v>
      </c>
      <c r="BU16" s="11">
        <f t="array" ref="BU16">PRODUCT(1+預測IC!$C16:BU16)-1</f>
        <v>-0.56403659606070056</v>
      </c>
      <c r="BV16" s="11">
        <f t="array" ref="BV16">PRODUCT(1+預測IC!$C16:BV16)-1</f>
        <v>-0.57998659530522789</v>
      </c>
      <c r="BW16" s="11">
        <f t="array" ref="BW16">PRODUCT(1+預測IC!$C16:BW16)-1</f>
        <v>-0.71353860811332548</v>
      </c>
      <c r="BX16" s="11">
        <f t="array" ref="BX16">PRODUCT(1+預測IC!$C16:BX16)-1</f>
        <v>-0.6944718756234517</v>
      </c>
      <c r="BY16" s="11">
        <f t="array" ref="BY16">PRODUCT(1+預測IC!$C16:BY16)-1</f>
        <v>-0.73497219777419764</v>
      </c>
      <c r="BZ16" s="11">
        <f t="array" ref="BZ16">PRODUCT(1+預測IC!$C16:BZ16)-1</f>
        <v>-0.70541474725443776</v>
      </c>
      <c r="CA16" s="11">
        <f t="array" ref="CA16">PRODUCT(1+預測IC!$C16:CA16)-1</f>
        <v>-0.69733397918637419</v>
      </c>
      <c r="CB16" s="11">
        <f t="array" ref="CB16">PRODUCT(1+預測IC!$C16:CB16)-1</f>
        <v>-0.66226541452444043</v>
      </c>
      <c r="CC16" s="11">
        <f t="array" ref="CC16">PRODUCT(1+預測IC!$C16:CC16)-1</f>
        <v>-0.64727461463532698</v>
      </c>
      <c r="CD16" s="11">
        <f t="array" ref="CD16">PRODUCT(1+預測IC!$C16:CD16)-1</f>
        <v>-0.59257704059192862</v>
      </c>
      <c r="CE16" s="11">
        <f t="array" ref="CE16">PRODUCT(1+預測IC!$C16:CE16)-1</f>
        <v>-0.55443663820833688</v>
      </c>
      <c r="CF16" s="11">
        <f t="array" ref="CF16">PRODUCT(1+預測IC!$C16:CF16)-1</f>
        <v>-0.57796242128764796</v>
      </c>
      <c r="CG16" s="11">
        <f t="array" ref="CG16">PRODUCT(1+預測IC!$C16:CG16)-1</f>
        <v>-0.60401390551971823</v>
      </c>
      <c r="CH16" s="11">
        <f t="array" ref="CH16">PRODUCT(1+預測IC!$C16:CH16)-1</f>
        <v>-0.62399089898676463</v>
      </c>
      <c r="CI16" s="11">
        <f t="array" ref="CI16">PRODUCT(1+預測IC!$C16:CI16)-1</f>
        <v>-0.64592852330354678</v>
      </c>
      <c r="CJ16" s="11">
        <f t="array" ref="CJ16">PRODUCT(1+預測IC!$C16:CJ16)-1</f>
        <v>-0.63541140173888588</v>
      </c>
      <c r="CK16" s="11">
        <f t="array" ref="CK16">PRODUCT(1+預測IC!$C16:CK16)-1</f>
        <v>-0.60317349721693225</v>
      </c>
      <c r="CL16" s="11">
        <f t="array" ref="CL16">PRODUCT(1+預測IC!$C16:CL16)-1</f>
        <v>-0.52510167718620315</v>
      </c>
      <c r="CM16" s="11">
        <f t="array" ref="CM16">PRODUCT(1+預測IC!$C16:CM16)-1</f>
        <v>-0.52842583567786827</v>
      </c>
      <c r="CN16" s="11">
        <f t="array" ref="CN16">PRODUCT(1+預測IC!$C16:CN16)-1</f>
        <v>-0.52389421754725007</v>
      </c>
      <c r="CO16" s="11">
        <f t="array" ref="CO16">PRODUCT(1+預測IC!$C16:CO16)-1</f>
        <v>-0.587997199504674</v>
      </c>
      <c r="CP16" s="11">
        <f t="array" ref="CP16">PRODUCT(1+預測IC!$C16:CP16)-1</f>
        <v>-0.63379190826686815</v>
      </c>
      <c r="CQ16" s="11">
        <f t="array" ref="CQ16">PRODUCT(1+預測IC!$C16:CQ16)-1</f>
        <v>-0.62634551356113222</v>
      </c>
      <c r="CR16" s="11">
        <f t="array" ref="CR16">PRODUCT(1+預測IC!$C16:CR16)-1</f>
        <v>-0.55561775110857781</v>
      </c>
      <c r="CS16" s="11">
        <f t="array" ref="CS16">PRODUCT(1+預測IC!$C16:CS16)-1</f>
        <v>-0.54592656427314279</v>
      </c>
      <c r="CT16" s="11">
        <f t="array" ref="CT16">PRODUCT(1+預測IC!$C16:CT16)-1</f>
        <v>-0.53432163785429676</v>
      </c>
      <c r="CU16" s="11">
        <f t="array" ref="CU16">PRODUCT(1+預測IC!$C16:CU16)-1</f>
        <v>-0.59740787762983294</v>
      </c>
      <c r="CV16" s="11">
        <f t="array" ref="CV16">PRODUCT(1+預測IC!$C16:CV16)-1</f>
        <v>-0.52806077154931175</v>
      </c>
      <c r="CW16" s="11">
        <f t="array" ref="CW16">PRODUCT(1+預測IC!$C16:CW16)-1</f>
        <v>-0.50571838544502667</v>
      </c>
      <c r="CX16" s="11">
        <f t="array" ref="CX16">PRODUCT(1+預測IC!$C16:CX16)-1</f>
        <v>-0.49966823773408342</v>
      </c>
      <c r="CY16" s="11">
        <f t="array" ref="CY16">PRODUCT(1+預測IC!$C16:CY16)-1</f>
        <v>-0.45900095294837995</v>
      </c>
      <c r="CZ16" s="11">
        <f t="array" ref="CZ16">PRODUCT(1+預測IC!$C16:CZ16)-1</f>
        <v>-0.40347645753720829</v>
      </c>
      <c r="DA16" s="11">
        <f t="array" ref="DA16">PRODUCT(1+預測IC!$C16:DA16)-1</f>
        <v>-0.33297897388698761</v>
      </c>
      <c r="DB16" s="11">
        <f t="array" ref="DB16">PRODUCT(1+預測IC!$C16:DB16)-1</f>
        <v>-0.26759979631081054</v>
      </c>
      <c r="DC16" s="11">
        <f t="array" ref="DC16">PRODUCT(1+預測IC!$C16:DC16)-1</f>
        <v>-0.32858240467947175</v>
      </c>
      <c r="DD16" s="11">
        <f t="array" ref="DD16">PRODUCT(1+預測IC!$C16:DD16)-1</f>
        <v>-0.37851580584541444</v>
      </c>
      <c r="DE16" s="11">
        <f t="array" ref="DE16">PRODUCT(1+預測IC!$C16:DE16)-1</f>
        <v>-0.39998957653850364</v>
      </c>
      <c r="DF16" s="11">
        <f t="array" ref="DF16">PRODUCT(1+預測IC!$C16:DF16)-1</f>
        <v>-0.40160841279253967</v>
      </c>
      <c r="DG16" s="11">
        <f t="array" ref="DG16">PRODUCT(1+預測IC!$C16:DG16)-1</f>
        <v>-0.477228306490318</v>
      </c>
      <c r="DH16" s="11">
        <f t="array" ref="DH16">PRODUCT(1+預測IC!$C16:DH16)-1</f>
        <v>-0.40553045915418373</v>
      </c>
      <c r="DI16" s="11">
        <f t="array" ref="DI16">PRODUCT(1+預測IC!$C16:DI16)-1</f>
        <v>-0.37709770758941163</v>
      </c>
      <c r="DJ16" s="11">
        <f t="array" ref="DJ16">PRODUCT(1+預測IC!$C16:DJ16)-1</f>
        <v>-0.39524995624110371</v>
      </c>
      <c r="DK16" s="11">
        <f t="array" ref="DK16">PRODUCT(1+預測IC!$C16:DK16)-1</f>
        <v>-0.31445876322584221</v>
      </c>
      <c r="DL16" s="11">
        <f t="array" ref="DL16">PRODUCT(1+預測IC!$C16:DL16)-1</f>
        <v>-0.32945352049083809</v>
      </c>
      <c r="DM16" s="11">
        <f t="array" ref="DM16">PRODUCT(1+預測IC!$C16:DM16)-1</f>
        <v>-0.34213380531575577</v>
      </c>
      <c r="DN16" s="11">
        <f t="array" ref="DN16">PRODUCT(1+預測IC!$C16:DN16)-1</f>
        <v>-0.41837176854322722</v>
      </c>
      <c r="DO16" s="11">
        <f t="array" ref="DO16">PRODUCT(1+預測IC!$C16:DO16)-1</f>
        <v>-0.44545462785364975</v>
      </c>
      <c r="DP16" s="11">
        <f t="array" ref="DP16">PRODUCT(1+預測IC!$C16:DP16)-1</f>
        <v>-0.53436710248795016</v>
      </c>
      <c r="DQ16" s="11">
        <f t="array" ref="DQ16">PRODUCT(1+預測IC!$C16:DQ16)-1</f>
        <v>-0.51244968936121582</v>
      </c>
      <c r="DR16" s="11">
        <f t="array" ref="DR16">PRODUCT(1+預測IC!$C16:DR16)-1</f>
        <v>-0.4855411774749514</v>
      </c>
      <c r="DS16" s="11">
        <f t="array" ref="DS16">PRODUCT(1+預測IC!$C16:DS16)-1</f>
        <v>-0.49090339432284313</v>
      </c>
      <c r="DT16" s="11">
        <f t="array" ref="DT16">PRODUCT(1+預測IC!$C16:DT16)-1</f>
        <v>-0.5420849775529919</v>
      </c>
      <c r="DU16" s="11">
        <f t="array" ref="DU16">PRODUCT(1+預測IC!$C16:DU16)-1</f>
        <v>-0.59830457860387853</v>
      </c>
      <c r="DV16" s="11">
        <f t="array" ref="DV16">PRODUCT(1+預測IC!$C16:DV16)-1</f>
        <v>-0.61667343424021615</v>
      </c>
      <c r="DW16" s="11">
        <f t="array" ref="DW16">PRODUCT(1+預測IC!$C16:DW16)-1</f>
        <v>-0.64400581095042664</v>
      </c>
      <c r="DX16" s="11">
        <f t="array" ref="DX16">PRODUCT(1+預測IC!$C16:DX16)-1</f>
        <v>-0.63619254739931419</v>
      </c>
      <c r="DY16" s="11">
        <f t="array" ref="DY16">PRODUCT(1+預測IC!$C16:DY16)-1</f>
        <v>-0.67074874888726432</v>
      </c>
      <c r="DZ16" s="11">
        <f t="array" ref="DZ16">PRODUCT(1+預測IC!$C16:DZ16)-1</f>
        <v>-0.66658399331710361</v>
      </c>
      <c r="EA16" s="11">
        <f t="array" ref="EA16">PRODUCT(1+預測IC!$C16:EA16)-1</f>
        <v>-0.61997247262905764</v>
      </c>
      <c r="EB16" s="11">
        <f t="array" ref="EB16">PRODUCT(1+預測IC!$C16:EB16)-1</f>
        <v>-0.64690797926349375</v>
      </c>
      <c r="EC16" s="11">
        <f t="array" ref="EC16">PRODUCT(1+預測IC!$C16:EC16)-1</f>
        <v>-0.6557128388223662</v>
      </c>
      <c r="ED16" s="11">
        <f t="array" ref="ED16">PRODUCT(1+預測IC!$C16:ED16)-1</f>
        <v>-0.68335401006577057</v>
      </c>
      <c r="EE16" s="11">
        <f t="array" ref="EE16">PRODUCT(1+預測IC!$C16:EE16)-1</f>
        <v>-0.68474602102040927</v>
      </c>
      <c r="EF16" s="11">
        <f t="array" ref="EF16">PRODUCT(1+預測IC!$C16:EF16)-1</f>
        <v>-0.67385448644174284</v>
      </c>
    </row>
    <row r="17" spans="1:136">
      <c r="A17" s="2">
        <v>8</v>
      </c>
      <c r="B17" s="2" t="s">
        <v>234</v>
      </c>
      <c r="C17" s="11">
        <f t="array" ref="C17">PRODUCT(1+預測IC!$C17:C17)-1</f>
        <v>3.8913468982799682E-2</v>
      </c>
      <c r="D17" s="11">
        <f t="array" ref="D17">PRODUCT(1+預測IC!$C17:D17)-1</f>
        <v>-0.1361926554148376</v>
      </c>
      <c r="E17" s="11">
        <f t="array" ref="E17">PRODUCT(1+預測IC!$C17:E17)-1</f>
        <v>-0.21969786954460901</v>
      </c>
      <c r="F17" s="11">
        <f t="array" ref="F17">PRODUCT(1+預測IC!$C17:F17)-1</f>
        <v>-0.15668678381767109</v>
      </c>
      <c r="G17" s="11">
        <f t="array" ref="G17">PRODUCT(1+預測IC!$C17:G17)-1</f>
        <v>-6.7812470938953151E-2</v>
      </c>
      <c r="H17" s="11">
        <f t="array" ref="H17">PRODUCT(1+預測IC!$C17:H17)-1</f>
        <v>-6.0408238840128803E-2</v>
      </c>
      <c r="I17" s="11">
        <f t="array" ref="I17">PRODUCT(1+預測IC!$C17:I17)-1</f>
        <v>4.5838471433516048E-2</v>
      </c>
      <c r="J17" s="11">
        <f t="array" ref="J17">PRODUCT(1+預測IC!$C17:J17)-1</f>
        <v>9.6338819278992904E-2</v>
      </c>
      <c r="K17" s="11">
        <f t="array" ref="K17">PRODUCT(1+預測IC!$C17:K17)-1</f>
        <v>0.20768307716763057</v>
      </c>
      <c r="L17" s="11">
        <f t="array" ref="L17">PRODUCT(1+預測IC!$C17:L17)-1</f>
        <v>0.25868931970156961</v>
      </c>
      <c r="M17" s="11">
        <f t="array" ref="M17">PRODUCT(1+預測IC!$C17:M17)-1</f>
        <v>0.27714062528660333</v>
      </c>
      <c r="N17" s="11">
        <f t="array" ref="N17">PRODUCT(1+預測IC!$C17:N17)-1</f>
        <v>0.13757747319922409</v>
      </c>
      <c r="O17" s="11">
        <f t="array" ref="O17">PRODUCT(1+預測IC!$C17:O17)-1</f>
        <v>0.12471525321190624</v>
      </c>
      <c r="P17" s="11">
        <f t="array" ref="P17">PRODUCT(1+預測IC!$C17:P17)-1</f>
        <v>0.19932815357080469</v>
      </c>
      <c r="Q17" s="11">
        <f t="array" ref="Q17">PRODUCT(1+預測IC!$C17:Q17)-1</f>
        <v>0.31958098362452381</v>
      </c>
      <c r="R17" s="11">
        <f t="array" ref="R17">PRODUCT(1+預測IC!$C17:R17)-1</f>
        <v>0.49960672637426184</v>
      </c>
      <c r="S17" s="11">
        <f t="array" ref="S17">PRODUCT(1+預測IC!$C17:S17)-1</f>
        <v>0.67814148941090768</v>
      </c>
      <c r="T17" s="11">
        <f t="array" ref="T17">PRODUCT(1+預測IC!$C17:T17)-1</f>
        <v>0.63896932819487606</v>
      </c>
      <c r="U17" s="11">
        <f t="array" ref="U17">PRODUCT(1+預測IC!$C17:U17)-1</f>
        <v>0.53668796941040009</v>
      </c>
      <c r="V17" s="11">
        <f t="array" ref="V17">PRODUCT(1+預測IC!$C17:V17)-1</f>
        <v>0.38723022635270921</v>
      </c>
      <c r="W17" s="11">
        <f t="array" ref="W17">PRODUCT(1+預測IC!$C17:W17)-1</f>
        <v>0.22131196453863011</v>
      </c>
      <c r="X17" s="11">
        <f t="array" ref="X17">PRODUCT(1+預測IC!$C17:X17)-1</f>
        <v>-6.9347375366614949E-2</v>
      </c>
      <c r="Y17" s="11">
        <f t="array" ref="Y17">PRODUCT(1+預測IC!$C17:Y17)-1</f>
        <v>-0.13786493592189164</v>
      </c>
      <c r="Z17" s="11">
        <f t="array" ref="Z17">PRODUCT(1+預測IC!$C17:Z17)-1</f>
        <v>-0.17952819360320926</v>
      </c>
      <c r="AA17" s="11">
        <f t="array" ref="AA17">PRODUCT(1+預測IC!$C17:AA17)-1</f>
        <v>-2.258552658343671E-2</v>
      </c>
      <c r="AB17" s="11">
        <f t="array" ref="AB17">PRODUCT(1+預測IC!$C17:AB17)-1</f>
        <v>2.0946855653529717E-2</v>
      </c>
      <c r="AC17" s="11">
        <f t="array" ref="AC17">PRODUCT(1+預測IC!$C17:AC17)-1</f>
        <v>4.1453854270168788E-2</v>
      </c>
      <c r="AD17" s="11">
        <f t="array" ref="AD17">PRODUCT(1+預測IC!$C17:AD17)-1</f>
        <v>-1.0386985258886927E-2</v>
      </c>
      <c r="AE17" s="11">
        <f t="array" ref="AE17">PRODUCT(1+預測IC!$C17:AE17)-1</f>
        <v>0.20942853391300154</v>
      </c>
      <c r="AF17" s="11">
        <f t="array" ref="AF17">PRODUCT(1+預測IC!$C17:AF17)-1</f>
        <v>6.3950820634697703E-2</v>
      </c>
      <c r="AG17" s="11">
        <f t="array" ref="AG17">PRODUCT(1+預測IC!$C17:AG17)-1</f>
        <v>0.1305968506639843</v>
      </c>
      <c r="AH17" s="11">
        <f t="array" ref="AH17">PRODUCT(1+預測IC!$C17:AH17)-1</f>
        <v>0.1707020821856553</v>
      </c>
      <c r="AI17" s="11">
        <f t="array" ref="AI17">PRODUCT(1+預測IC!$C17:AI17)-1</f>
        <v>0.13489298798974714</v>
      </c>
      <c r="AJ17" s="11">
        <f t="array" ref="AJ17">PRODUCT(1+預測IC!$C17:AJ17)-1</f>
        <v>0.18324241463562929</v>
      </c>
      <c r="AK17" s="11">
        <f t="array" ref="AK17">PRODUCT(1+預測IC!$C17:AK17)-1</f>
        <v>0.14848361608192584</v>
      </c>
      <c r="AL17" s="11">
        <f t="array" ref="AL17">PRODUCT(1+預測IC!$C17:AL17)-1</f>
        <v>0.11745367652487015</v>
      </c>
      <c r="AM17" s="11">
        <f t="array" ref="AM17">PRODUCT(1+預測IC!$C17:AM17)-1</f>
        <v>3.3231899616688487E-2</v>
      </c>
      <c r="AN17" s="11">
        <f t="array" ref="AN17">PRODUCT(1+預測IC!$C17:AN17)-1</f>
        <v>-8.3819966940428481E-2</v>
      </c>
      <c r="AO17" s="11">
        <f t="array" ref="AO17">PRODUCT(1+預測IC!$C17:AO17)-1</f>
        <v>-9.5393459667958647E-2</v>
      </c>
      <c r="AP17" s="11">
        <f t="array" ref="AP17">PRODUCT(1+預測IC!$C17:AP17)-1</f>
        <v>-2.5519104550347449E-2</v>
      </c>
      <c r="AQ17" s="11">
        <f t="array" ref="AQ17">PRODUCT(1+預測IC!$C17:AQ17)-1</f>
        <v>3.4194406964511481E-2</v>
      </c>
      <c r="AR17" s="11">
        <f t="array" ref="AR17">PRODUCT(1+預測IC!$C17:AR17)-1</f>
        <v>8.1563226140163758E-2</v>
      </c>
      <c r="AS17" s="11">
        <f t="array" ref="AS17">PRODUCT(1+預測IC!$C17:AS17)-1</f>
        <v>1.7964110320976445E-2</v>
      </c>
      <c r="AT17" s="11">
        <f t="array" ref="AT17">PRODUCT(1+預測IC!$C17:AT17)-1</f>
        <v>0.14731863513829113</v>
      </c>
      <c r="AU17" s="11">
        <f t="array" ref="AU17">PRODUCT(1+預測IC!$C17:AU17)-1</f>
        <v>1.4574317041588847E-2</v>
      </c>
      <c r="AV17" s="11">
        <f t="array" ref="AV17">PRODUCT(1+預測IC!$C17:AV17)-1</f>
        <v>7.3956793127092801E-2</v>
      </c>
      <c r="AW17" s="11">
        <f t="array" ref="AW17">PRODUCT(1+預測IC!$C17:AW17)-1</f>
        <v>-7.8675563449241981E-3</v>
      </c>
      <c r="AX17" s="11">
        <f t="array" ref="AX17">PRODUCT(1+預測IC!$C17:AX17)-1</f>
        <v>-0.1047186376526783</v>
      </c>
      <c r="AY17" s="11">
        <f t="array" ref="AY17">PRODUCT(1+預測IC!$C17:AY17)-1</f>
        <v>-9.0861431807211179E-2</v>
      </c>
      <c r="AZ17" s="11">
        <f t="array" ref="AZ17">PRODUCT(1+預測IC!$C17:AZ17)-1</f>
        <v>-0.15495045596843038</v>
      </c>
      <c r="BA17" s="11">
        <f t="array" ref="BA17">PRODUCT(1+預測IC!$C17:BA17)-1</f>
        <v>-0.18771439175485871</v>
      </c>
      <c r="BB17" s="11">
        <f t="array" ref="BB17">PRODUCT(1+預測IC!$C17:BB17)-1</f>
        <v>-8.7182624469539616E-2</v>
      </c>
      <c r="BC17" s="11">
        <f t="array" ref="BC17">PRODUCT(1+預測IC!$C17:BC17)-1</f>
        <v>-6.2269260147727046E-2</v>
      </c>
      <c r="BD17" s="11">
        <f t="array" ref="BD17">PRODUCT(1+預測IC!$C17:BD17)-1</f>
        <v>-4.4064038347892631E-2</v>
      </c>
      <c r="BE17" s="11">
        <f t="array" ref="BE17">PRODUCT(1+預測IC!$C17:BE17)-1</f>
        <v>-5.9644480110874754E-2</v>
      </c>
      <c r="BF17" s="11">
        <f t="array" ref="BF17">PRODUCT(1+預測IC!$C17:BF17)-1</f>
        <v>-0.13244398339413122</v>
      </c>
      <c r="BG17" s="11">
        <f t="array" ref="BG17">PRODUCT(1+預測IC!$C17:BG17)-1</f>
        <v>-0.14385559834756068</v>
      </c>
      <c r="BH17" s="11">
        <f t="array" ref="BH17">PRODUCT(1+預測IC!$C17:BH17)-1</f>
        <v>-0.25788642437089682</v>
      </c>
      <c r="BI17" s="11">
        <f t="array" ref="BI17">PRODUCT(1+預測IC!$C17:BI17)-1</f>
        <v>-0.21525144286582321</v>
      </c>
      <c r="BJ17" s="11">
        <f t="array" ref="BJ17">PRODUCT(1+預測IC!$C17:BJ17)-1</f>
        <v>-0.20751534115126491</v>
      </c>
      <c r="BK17" s="11">
        <f t="array" ref="BK17">PRODUCT(1+預測IC!$C17:BK17)-1</f>
        <v>-0.19424017168622576</v>
      </c>
      <c r="BL17" s="11">
        <f t="array" ref="BL17">PRODUCT(1+預測IC!$C17:BL17)-1</f>
        <v>-0.25667283371219229</v>
      </c>
      <c r="BM17" s="11">
        <f t="array" ref="BM17">PRODUCT(1+預測IC!$C17:BM17)-1</f>
        <v>-0.23507248129718694</v>
      </c>
      <c r="BN17" s="11">
        <f t="array" ref="BN17">PRODUCT(1+預測IC!$C17:BN17)-1</f>
        <v>-0.27095945787835041</v>
      </c>
      <c r="BO17" s="11">
        <f t="array" ref="BO17">PRODUCT(1+預測IC!$C17:BO17)-1</f>
        <v>-0.29660682377338976</v>
      </c>
      <c r="BP17" s="11">
        <f t="array" ref="BP17">PRODUCT(1+預測IC!$C17:BP17)-1</f>
        <v>-0.32192615023394355</v>
      </c>
      <c r="BQ17" s="11">
        <f t="array" ref="BQ17">PRODUCT(1+預測IC!$C17:BQ17)-1</f>
        <v>-0.32964026446927275</v>
      </c>
      <c r="BR17" s="11">
        <f t="array" ref="BR17">PRODUCT(1+預測IC!$C17:BR17)-1</f>
        <v>-0.33610680594673026</v>
      </c>
      <c r="BS17" s="11">
        <f t="array" ref="BS17">PRODUCT(1+預測IC!$C17:BS17)-1</f>
        <v>-0.33883107116126976</v>
      </c>
      <c r="BT17" s="11">
        <f t="array" ref="BT17">PRODUCT(1+預測IC!$C17:BT17)-1</f>
        <v>-0.37364172122486905</v>
      </c>
      <c r="BU17" s="11">
        <f t="array" ref="BU17">PRODUCT(1+預測IC!$C17:BU17)-1</f>
        <v>-0.39776301960798388</v>
      </c>
      <c r="BV17" s="11">
        <f t="array" ref="BV17">PRODUCT(1+預測IC!$C17:BV17)-1</f>
        <v>-0.42079313777916771</v>
      </c>
      <c r="BW17" s="11">
        <f t="array" ref="BW17">PRODUCT(1+預測IC!$C17:BW17)-1</f>
        <v>-0.54146325677214335</v>
      </c>
      <c r="BX17" s="11">
        <f t="array" ref="BX17">PRODUCT(1+預測IC!$C17:BX17)-1</f>
        <v>-0.5035693265724227</v>
      </c>
      <c r="BY17" s="11">
        <f t="array" ref="BY17">PRODUCT(1+預測IC!$C17:BY17)-1</f>
        <v>-0.57429946585464831</v>
      </c>
      <c r="BZ17" s="11">
        <f t="array" ref="BZ17">PRODUCT(1+預測IC!$C17:BZ17)-1</f>
        <v>-0.52296928048980873</v>
      </c>
      <c r="CA17" s="11">
        <f t="array" ref="CA17">PRODUCT(1+預測IC!$C17:CA17)-1</f>
        <v>-0.50999589341316975</v>
      </c>
      <c r="CB17" s="11">
        <f t="array" ref="CB17">PRODUCT(1+預測IC!$C17:CB17)-1</f>
        <v>-0.45650418497401657</v>
      </c>
      <c r="CC17" s="11">
        <f t="array" ref="CC17">PRODUCT(1+預測IC!$C17:CC17)-1</f>
        <v>-0.43380861498225398</v>
      </c>
      <c r="CD17" s="11">
        <f t="array" ref="CD17">PRODUCT(1+預測IC!$C17:CD17)-1</f>
        <v>-0.33588029954907328</v>
      </c>
      <c r="CE17" s="11">
        <f t="array" ref="CE17">PRODUCT(1+預測IC!$C17:CE17)-1</f>
        <v>-0.27231898030320367</v>
      </c>
      <c r="CF17" s="11">
        <f t="array" ref="CF17">PRODUCT(1+預測IC!$C17:CF17)-1</f>
        <v>-0.31469824719514672</v>
      </c>
      <c r="CG17" s="11">
        <f t="array" ref="CG17">PRODUCT(1+預測IC!$C17:CG17)-1</f>
        <v>-0.36590055986321079</v>
      </c>
      <c r="CH17" s="11">
        <f t="array" ref="CH17">PRODUCT(1+預測IC!$C17:CH17)-1</f>
        <v>-0.38680623006832449</v>
      </c>
      <c r="CI17" s="11">
        <f t="array" ref="CI17">PRODUCT(1+預測IC!$C17:CI17)-1</f>
        <v>-0.43736482289140355</v>
      </c>
      <c r="CJ17" s="11">
        <f t="array" ref="CJ17">PRODUCT(1+預測IC!$C17:CJ17)-1</f>
        <v>-0.42557715036086352</v>
      </c>
      <c r="CK17" s="11">
        <f t="array" ref="CK17">PRODUCT(1+預測IC!$C17:CK17)-1</f>
        <v>-0.37735099275969552</v>
      </c>
      <c r="CL17" s="11">
        <f t="array" ref="CL17">PRODUCT(1+預測IC!$C17:CL17)-1</f>
        <v>-0.29214826363764435</v>
      </c>
      <c r="CM17" s="11">
        <f t="array" ref="CM17">PRODUCT(1+預測IC!$C17:CM17)-1</f>
        <v>-0.29096617042540607</v>
      </c>
      <c r="CN17" s="11">
        <f t="array" ref="CN17">PRODUCT(1+預測IC!$C17:CN17)-1</f>
        <v>-0.28130150755293226</v>
      </c>
      <c r="CO17" s="11">
        <f t="array" ref="CO17">PRODUCT(1+預測IC!$C17:CO17)-1</f>
        <v>-0.38005993389507875</v>
      </c>
      <c r="CP17" s="11">
        <f t="array" ref="CP17">PRODUCT(1+預測IC!$C17:CP17)-1</f>
        <v>-0.44715070554154546</v>
      </c>
      <c r="CQ17" s="11">
        <f t="array" ref="CQ17">PRODUCT(1+預測IC!$C17:CQ17)-1</f>
        <v>-0.4758475110014011</v>
      </c>
      <c r="CR17" s="11">
        <f t="array" ref="CR17">PRODUCT(1+預測IC!$C17:CR17)-1</f>
        <v>-0.37290258271732191</v>
      </c>
      <c r="CS17" s="11">
        <f t="array" ref="CS17">PRODUCT(1+預測IC!$C17:CS17)-1</f>
        <v>-0.36566172400149033</v>
      </c>
      <c r="CT17" s="11">
        <f t="array" ref="CT17">PRODUCT(1+預測IC!$C17:CT17)-1</f>
        <v>-0.35466275476227038</v>
      </c>
      <c r="CU17" s="11">
        <f t="array" ref="CU17">PRODUCT(1+預測IC!$C17:CU17)-1</f>
        <v>-0.4549171173041342</v>
      </c>
      <c r="CV17" s="11">
        <f t="array" ref="CV17">PRODUCT(1+預測IC!$C17:CV17)-1</f>
        <v>-0.37235265819797214</v>
      </c>
      <c r="CW17" s="11">
        <f t="array" ref="CW17">PRODUCT(1+預測IC!$C17:CW17)-1</f>
        <v>-0.33256407292706103</v>
      </c>
      <c r="CX17" s="11">
        <f t="array" ref="CX17">PRODUCT(1+預測IC!$C17:CX17)-1</f>
        <v>-0.3253741898011745</v>
      </c>
      <c r="CY17" s="11">
        <f t="array" ref="CY17">PRODUCT(1+預測IC!$C17:CY17)-1</f>
        <v>-0.27436646533383147</v>
      </c>
      <c r="CZ17" s="11">
        <f t="array" ref="CZ17">PRODUCT(1+預測IC!$C17:CZ17)-1</f>
        <v>-0.18420734194829891</v>
      </c>
      <c r="DA17" s="11">
        <f t="array" ref="DA17">PRODUCT(1+預測IC!$C17:DA17)-1</f>
        <v>-0.10711850485529217</v>
      </c>
      <c r="DB17" s="11">
        <f t="array" ref="DB17">PRODUCT(1+預測IC!$C17:DB17)-1</f>
        <v>-1.4016858475058291E-2</v>
      </c>
      <c r="DC17" s="11">
        <f t="array" ref="DC17">PRODUCT(1+預測IC!$C17:DC17)-1</f>
        <v>-0.11148069307915165</v>
      </c>
      <c r="DD17" s="11">
        <f t="array" ref="DD17">PRODUCT(1+預測IC!$C17:DD17)-1</f>
        <v>-0.15424512732125206</v>
      </c>
      <c r="DE17" s="11">
        <f t="array" ref="DE17">PRODUCT(1+預測IC!$C17:DE17)-1</f>
        <v>-0.17464884804945113</v>
      </c>
      <c r="DF17" s="11">
        <f t="array" ref="DF17">PRODUCT(1+預測IC!$C17:DF17)-1</f>
        <v>-0.1875857692340015</v>
      </c>
      <c r="DG17" s="11">
        <f t="array" ref="DG17">PRODUCT(1+預測IC!$C17:DG17)-1</f>
        <v>-0.28768533012630659</v>
      </c>
      <c r="DH17" s="11">
        <f t="array" ref="DH17">PRODUCT(1+預測IC!$C17:DH17)-1</f>
        <v>-0.1712693395668381</v>
      </c>
      <c r="DI17" s="11">
        <f t="array" ref="DI17">PRODUCT(1+預測IC!$C17:DI17)-1</f>
        <v>-0.11310798590431315</v>
      </c>
      <c r="DJ17" s="11">
        <f t="array" ref="DJ17">PRODUCT(1+預測IC!$C17:DJ17)-1</f>
        <v>-0.15331626197705039</v>
      </c>
      <c r="DK17" s="11">
        <f t="array" ref="DK17">PRODUCT(1+預測IC!$C17:DK17)-1</f>
        <v>-2.1202755751583702E-2</v>
      </c>
      <c r="DL17" s="11">
        <f t="array" ref="DL17">PRODUCT(1+預測IC!$C17:DL17)-1</f>
        <v>-2.5049166301496117E-2</v>
      </c>
      <c r="DM17" s="11">
        <f t="array" ref="DM17">PRODUCT(1+預測IC!$C17:DM17)-1</f>
        <v>-6.1344124592303539E-2</v>
      </c>
      <c r="DN17" s="11">
        <f t="array" ref="DN17">PRODUCT(1+預測IC!$C17:DN17)-1</f>
        <v>-0.16129216710682481</v>
      </c>
      <c r="DO17" s="11">
        <f t="array" ref="DO17">PRODUCT(1+預測IC!$C17:DO17)-1</f>
        <v>-0.21601830975493252</v>
      </c>
      <c r="DP17" s="11">
        <f t="array" ref="DP17">PRODUCT(1+預測IC!$C17:DP17)-1</f>
        <v>-0.32737048921280065</v>
      </c>
      <c r="DQ17" s="11">
        <f t="array" ref="DQ17">PRODUCT(1+預測IC!$C17:DQ17)-1</f>
        <v>-0.27850126130160446</v>
      </c>
      <c r="DR17" s="11">
        <f t="array" ref="DR17">PRODUCT(1+預測IC!$C17:DR17)-1</f>
        <v>-0.23818043785594034</v>
      </c>
      <c r="DS17" s="11">
        <f t="array" ref="DS17">PRODUCT(1+預測IC!$C17:DS17)-1</f>
        <v>-0.24313648261931287</v>
      </c>
      <c r="DT17" s="11">
        <f t="array" ref="DT17">PRODUCT(1+預測IC!$C17:DT17)-1</f>
        <v>-0.31362995568315954</v>
      </c>
      <c r="DU17" s="11">
        <f t="array" ref="DU17">PRODUCT(1+預測IC!$C17:DU17)-1</f>
        <v>-0.4025107582019245</v>
      </c>
      <c r="DV17" s="11">
        <f t="array" ref="DV17">PRODUCT(1+預測IC!$C17:DV17)-1</f>
        <v>-0.42948670208069117</v>
      </c>
      <c r="DW17" s="11">
        <f t="array" ref="DW17">PRODUCT(1+預測IC!$C17:DW17)-1</f>
        <v>-0.47318787807298568</v>
      </c>
      <c r="DX17" s="11">
        <f t="array" ref="DX17">PRODUCT(1+預測IC!$C17:DX17)-1</f>
        <v>-0.48532309021688702</v>
      </c>
      <c r="DY17" s="11">
        <f t="array" ref="DY17">PRODUCT(1+預測IC!$C17:DY17)-1</f>
        <v>-0.55017780446390974</v>
      </c>
      <c r="DZ17" s="11">
        <f t="array" ref="DZ17">PRODUCT(1+預測IC!$C17:DZ17)-1</f>
        <v>-0.55233292655395072</v>
      </c>
      <c r="EA17" s="11">
        <f t="array" ref="EA17">PRODUCT(1+預測IC!$C17:EA17)-1</f>
        <v>-0.47865929306763488</v>
      </c>
      <c r="EB17" s="11">
        <f t="array" ref="EB17">PRODUCT(1+預測IC!$C17:EB17)-1</f>
        <v>-0.51712570028516747</v>
      </c>
      <c r="EC17" s="11">
        <f t="array" ref="EC17">PRODUCT(1+預測IC!$C17:EC17)-1</f>
        <v>-0.52695671923092413</v>
      </c>
      <c r="ED17" s="11">
        <f t="array" ref="ED17">PRODUCT(1+預測IC!$C17:ED17)-1</f>
        <v>-0.56615101591109629</v>
      </c>
      <c r="EE17" s="11">
        <f t="array" ref="EE17">PRODUCT(1+預測IC!$C17:EE17)-1</f>
        <v>-0.56606668651481407</v>
      </c>
      <c r="EF17" s="11">
        <f t="array" ref="EF17">PRODUCT(1+預測IC!$C17:EF17)-1</f>
        <v>-0.54828203814495202</v>
      </c>
    </row>
    <row r="18" spans="1:136">
      <c r="A18" s="2">
        <v>7</v>
      </c>
      <c r="B18" s="2" t="s">
        <v>235</v>
      </c>
      <c r="C18" s="11">
        <f t="array" ref="C18">PRODUCT(1+預測IC!$C18:C18)-1</f>
        <v>5.9146797802220652E-2</v>
      </c>
      <c r="D18" s="11">
        <f t="array" ref="D18">PRODUCT(1+預測IC!$C18:D18)-1</f>
        <v>-0.13575621964426388</v>
      </c>
      <c r="E18" s="11">
        <f t="array" ref="E18">PRODUCT(1+預測IC!$C18:E18)-1</f>
        <v>-0.2225916519020541</v>
      </c>
      <c r="F18" s="11">
        <f t="array" ref="F18">PRODUCT(1+預測IC!$C18:F18)-1</f>
        <v>-0.12978234209796768</v>
      </c>
      <c r="G18" s="11">
        <f t="array" ref="G18">PRODUCT(1+預測IC!$C18:G18)-1</f>
        <v>-3.5523521425383064E-2</v>
      </c>
      <c r="H18" s="11">
        <f t="array" ref="H18">PRODUCT(1+預測IC!$C18:H18)-1</f>
        <v>-2.7207585563308267E-2</v>
      </c>
      <c r="I18" s="11">
        <f t="array" ref="I18">PRODUCT(1+預測IC!$C18:I18)-1</f>
        <v>9.7919352248623026E-2</v>
      </c>
      <c r="J18" s="11">
        <f t="array" ref="J18">PRODUCT(1+預測IC!$C18:J18)-1</f>
        <v>0.19802020772545137</v>
      </c>
      <c r="K18" s="11">
        <f t="array" ref="K18">PRODUCT(1+預測IC!$C18:K18)-1</f>
        <v>0.36052911961634915</v>
      </c>
      <c r="L18" s="11">
        <f t="array" ref="L18">PRODUCT(1+預測IC!$C18:L18)-1</f>
        <v>0.42958713844455776</v>
      </c>
      <c r="M18" s="11">
        <f t="array" ref="M18">PRODUCT(1+預測IC!$C18:M18)-1</f>
        <v>0.47111873827012118</v>
      </c>
      <c r="N18" s="11">
        <f t="array" ref="N18">PRODUCT(1+預測IC!$C18:N18)-1</f>
        <v>0.26338575595915725</v>
      </c>
      <c r="O18" s="11">
        <f t="array" ref="O18">PRODUCT(1+預測IC!$C18:O18)-1</f>
        <v>0.30348301866520733</v>
      </c>
      <c r="P18" s="11">
        <f t="array" ref="P18">PRODUCT(1+預測IC!$C18:P18)-1</f>
        <v>0.41108894599309909</v>
      </c>
      <c r="Q18" s="11">
        <f t="array" ref="Q18">PRODUCT(1+預測IC!$C18:Q18)-1</f>
        <v>0.54240430463785216</v>
      </c>
      <c r="R18" s="11">
        <f t="array" ref="R18">PRODUCT(1+預測IC!$C18:R18)-1</f>
        <v>0.78022637306982512</v>
      </c>
      <c r="S18" s="11">
        <f t="array" ref="S18">PRODUCT(1+預測IC!$C18:S18)-1</f>
        <v>1.0362322312926264</v>
      </c>
      <c r="T18" s="11">
        <f t="array" ref="T18">PRODUCT(1+預測IC!$C18:T18)-1</f>
        <v>0.92971753913065913</v>
      </c>
      <c r="U18" s="11">
        <f t="array" ref="U18">PRODUCT(1+預測IC!$C18:U18)-1</f>
        <v>0.82329295485498188</v>
      </c>
      <c r="V18" s="11">
        <f t="array" ref="V18">PRODUCT(1+預測IC!$C18:V18)-1</f>
        <v>0.60196075845754127</v>
      </c>
      <c r="W18" s="11">
        <f t="array" ref="W18">PRODUCT(1+預測IC!$C18:W18)-1</f>
        <v>0.38102275540172736</v>
      </c>
      <c r="X18" s="11">
        <f t="array" ref="X18">PRODUCT(1+預測IC!$C18:X18)-1</f>
        <v>8.3935679966312904E-2</v>
      </c>
      <c r="Y18" s="11">
        <f t="array" ref="Y18">PRODUCT(1+預測IC!$C18:Y18)-1</f>
        <v>-2.8662738914370989E-2</v>
      </c>
      <c r="Z18" s="11">
        <f t="array" ref="Z18">PRODUCT(1+預測IC!$C18:Z18)-1</f>
        <v>-7.8657201354019879E-2</v>
      </c>
      <c r="AA18" s="11">
        <f t="array" ref="AA18">PRODUCT(1+預測IC!$C18:AA18)-1</f>
        <v>8.0339531223019733E-2</v>
      </c>
      <c r="AB18" s="11">
        <f t="array" ref="AB18">PRODUCT(1+預測IC!$C18:AB18)-1</f>
        <v>0.14801719077404019</v>
      </c>
      <c r="AC18" s="11">
        <f t="array" ref="AC18">PRODUCT(1+預測IC!$C18:AC18)-1</f>
        <v>0.14644966459400188</v>
      </c>
      <c r="AD18" s="11">
        <f t="array" ref="AD18">PRODUCT(1+預測IC!$C18:AD18)-1</f>
        <v>6.3396506891536308E-2</v>
      </c>
      <c r="AE18" s="11">
        <f t="array" ref="AE18">PRODUCT(1+預測IC!$C18:AE18)-1</f>
        <v>0.33816896473896119</v>
      </c>
      <c r="AF18" s="11">
        <f t="array" ref="AF18">PRODUCT(1+預測IC!$C18:AF18)-1</f>
        <v>0.1367161380875459</v>
      </c>
      <c r="AG18" s="11">
        <f t="array" ref="AG18">PRODUCT(1+預測IC!$C18:AG18)-1</f>
        <v>0.22960855803582869</v>
      </c>
      <c r="AH18" s="11">
        <f t="array" ref="AH18">PRODUCT(1+預測IC!$C18:AH18)-1</f>
        <v>0.27903570005402556</v>
      </c>
      <c r="AI18" s="11">
        <f t="array" ref="AI18">PRODUCT(1+預測IC!$C18:AI18)-1</f>
        <v>0.21910578991721397</v>
      </c>
      <c r="AJ18" s="11">
        <f t="array" ref="AJ18">PRODUCT(1+預測IC!$C18:AJ18)-1</f>
        <v>0.27688379246565664</v>
      </c>
      <c r="AK18" s="11">
        <f t="array" ref="AK18">PRODUCT(1+預測IC!$C18:AK18)-1</f>
        <v>0.24772885121169708</v>
      </c>
      <c r="AL18" s="11">
        <f t="array" ref="AL18">PRODUCT(1+預測IC!$C18:AL18)-1</f>
        <v>0.20678735926489922</v>
      </c>
      <c r="AM18" s="11">
        <f t="array" ref="AM18">PRODUCT(1+預測IC!$C18:AM18)-1</f>
        <v>0.12636294001991955</v>
      </c>
      <c r="AN18" s="11">
        <f t="array" ref="AN18">PRODUCT(1+預測IC!$C18:AN18)-1</f>
        <v>3.7048396232157499E-2</v>
      </c>
      <c r="AO18" s="11">
        <f t="array" ref="AO18">PRODUCT(1+預測IC!$C18:AO18)-1</f>
        <v>3.1419779798417702E-2</v>
      </c>
      <c r="AP18" s="11">
        <f t="array" ref="AP18">PRODUCT(1+預測IC!$C18:AP18)-1</f>
        <v>0.11215786785371495</v>
      </c>
      <c r="AQ18" s="11">
        <f t="array" ref="AQ18">PRODUCT(1+預測IC!$C18:AQ18)-1</f>
        <v>0.18350832657554461</v>
      </c>
      <c r="AR18" s="11">
        <f t="array" ref="AR18">PRODUCT(1+預測IC!$C18:AR18)-1</f>
        <v>0.22966807938587297</v>
      </c>
      <c r="AS18" s="11">
        <f t="array" ref="AS18">PRODUCT(1+預測IC!$C18:AS18)-1</f>
        <v>0.1272943655115113</v>
      </c>
      <c r="AT18" s="11">
        <f t="array" ref="AT18">PRODUCT(1+預測IC!$C18:AT18)-1</f>
        <v>0.31486015097632492</v>
      </c>
      <c r="AU18" s="11">
        <f t="array" ref="AU18">PRODUCT(1+預測IC!$C18:AU18)-1</f>
        <v>0.13222842349625452</v>
      </c>
      <c r="AV18" s="11">
        <f t="array" ref="AV18">PRODUCT(1+預測IC!$C18:AV18)-1</f>
        <v>0.20042895518510995</v>
      </c>
      <c r="AW18" s="11">
        <f t="array" ref="AW18">PRODUCT(1+預測IC!$C18:AW18)-1</f>
        <v>8.3066783397317545E-2</v>
      </c>
      <c r="AX18" s="11">
        <f t="array" ref="AX18">PRODUCT(1+預測IC!$C18:AX18)-1</f>
        <v>-5.3469313039912425E-2</v>
      </c>
      <c r="AY18" s="11">
        <f t="array" ref="AY18">PRODUCT(1+預測IC!$C18:AY18)-1</f>
        <v>-2.4894158583749992E-2</v>
      </c>
      <c r="AZ18" s="11">
        <f t="array" ref="AZ18">PRODUCT(1+預測IC!$C18:AZ18)-1</f>
        <v>-7.5254794112856072E-2</v>
      </c>
      <c r="BA18" s="11">
        <f t="array" ref="BA18">PRODUCT(1+預測IC!$C18:BA18)-1</f>
        <v>-0.10790037131618779</v>
      </c>
      <c r="BB18" s="11">
        <f t="array" ref="BB18">PRODUCT(1+預測IC!$C18:BB18)-1</f>
        <v>1.490253277845599E-2</v>
      </c>
      <c r="BC18" s="11">
        <f t="array" ref="BC18">PRODUCT(1+預測IC!$C18:BC18)-1</f>
        <v>-1.3455925249997169E-2</v>
      </c>
      <c r="BD18" s="11">
        <f t="array" ref="BD18">PRODUCT(1+預測IC!$C18:BD18)-1</f>
        <v>6.5489336280477595E-3</v>
      </c>
      <c r="BE18" s="11">
        <f t="array" ref="BE18">PRODUCT(1+預測IC!$C18:BE18)-1</f>
        <v>-1.582894984978056E-2</v>
      </c>
      <c r="BF18" s="11">
        <f t="array" ref="BF18">PRODUCT(1+預測IC!$C18:BF18)-1</f>
        <v>-5.3367202044610207E-2</v>
      </c>
      <c r="BG18" s="11">
        <f t="array" ref="BG18">PRODUCT(1+預測IC!$C18:BG18)-1</f>
        <v>-5.5552571475318668E-2</v>
      </c>
      <c r="BH18" s="11">
        <f t="array" ref="BH18">PRODUCT(1+預測IC!$C18:BH18)-1</f>
        <v>-0.18579023339438538</v>
      </c>
      <c r="BI18" s="11">
        <f t="array" ref="BI18">PRODUCT(1+預測IC!$C18:BI18)-1</f>
        <v>-0.15852269725780621</v>
      </c>
      <c r="BJ18" s="11">
        <f t="array" ref="BJ18">PRODUCT(1+預測IC!$C18:BJ18)-1</f>
        <v>-0.16353458996994663</v>
      </c>
      <c r="BK18" s="11">
        <f t="array" ref="BK18">PRODUCT(1+預測IC!$C18:BK18)-1</f>
        <v>-0.16271394722065202</v>
      </c>
      <c r="BL18" s="11">
        <f t="array" ref="BL18">PRODUCT(1+預測IC!$C18:BL18)-1</f>
        <v>-0.23066613558632454</v>
      </c>
      <c r="BM18" s="11">
        <f t="array" ref="BM18">PRODUCT(1+預測IC!$C18:BM18)-1</f>
        <v>-0.20906219716983354</v>
      </c>
      <c r="BN18" s="11">
        <f t="array" ref="BN18">PRODUCT(1+預測IC!$C18:BN18)-1</f>
        <v>-0.25080345694460893</v>
      </c>
      <c r="BO18" s="11">
        <f t="array" ref="BO18">PRODUCT(1+預測IC!$C18:BO18)-1</f>
        <v>-0.2659578271021712</v>
      </c>
      <c r="BP18" s="11">
        <f t="array" ref="BP18">PRODUCT(1+預測IC!$C18:BP18)-1</f>
        <v>-0.3003532378260888</v>
      </c>
      <c r="BQ18" s="11">
        <f t="array" ref="BQ18">PRODUCT(1+預測IC!$C18:BQ18)-1</f>
        <v>-0.30169430962233101</v>
      </c>
      <c r="BR18" s="11">
        <f t="array" ref="BR18">PRODUCT(1+預測IC!$C18:BR18)-1</f>
        <v>-0.30570830591139897</v>
      </c>
      <c r="BS18" s="11">
        <f t="array" ref="BS18">PRODUCT(1+預測IC!$C18:BS18)-1</f>
        <v>-0.30847410372869177</v>
      </c>
      <c r="BT18" s="11">
        <f t="array" ref="BT18">PRODUCT(1+預測IC!$C18:BT18)-1</f>
        <v>-0.35103428830337646</v>
      </c>
      <c r="BU18" s="11">
        <f t="array" ref="BU18">PRODUCT(1+預測IC!$C18:BU18)-1</f>
        <v>-0.34524508122643838</v>
      </c>
      <c r="BV18" s="11">
        <f t="array" ref="BV18">PRODUCT(1+預測IC!$C18:BV18)-1</f>
        <v>-0.37118936913480383</v>
      </c>
      <c r="BW18" s="11">
        <f t="array" ref="BW18">PRODUCT(1+預測IC!$C18:BW18)-1</f>
        <v>-0.50850620450886297</v>
      </c>
      <c r="BX18" s="11">
        <f t="array" ref="BX18">PRODUCT(1+預測IC!$C18:BX18)-1</f>
        <v>-0.47185017287821607</v>
      </c>
      <c r="BY18" s="11">
        <f t="array" ref="BY18">PRODUCT(1+預測IC!$C18:BY18)-1</f>
        <v>-0.51804493919528705</v>
      </c>
      <c r="BZ18" s="11">
        <f t="array" ref="BZ18">PRODUCT(1+預測IC!$C18:BZ18)-1</f>
        <v>-0.44415159515130798</v>
      </c>
      <c r="CA18" s="11">
        <f t="array" ref="CA18">PRODUCT(1+預測IC!$C18:CA18)-1</f>
        <v>-0.42564970455442941</v>
      </c>
      <c r="CB18" s="11">
        <f t="array" ref="CB18">PRODUCT(1+預測IC!$C18:CB18)-1</f>
        <v>-0.3697152898025643</v>
      </c>
      <c r="CC18" s="11">
        <f t="array" ref="CC18">PRODUCT(1+預測IC!$C18:CC18)-1</f>
        <v>-0.30374987211464632</v>
      </c>
      <c r="CD18" s="11">
        <f t="array" ref="CD18">PRODUCT(1+預測IC!$C18:CD18)-1</f>
        <v>-0.16887451235824658</v>
      </c>
      <c r="CE18" s="11">
        <f t="array" ref="CE18">PRODUCT(1+預測IC!$C18:CE18)-1</f>
        <v>-0.10466187591525722</v>
      </c>
      <c r="CF18" s="11">
        <f t="array" ref="CF18">PRODUCT(1+預測IC!$C18:CF18)-1</f>
        <v>-6.5304832412492408E-2</v>
      </c>
      <c r="CG18" s="11">
        <f t="array" ref="CG18">PRODUCT(1+預測IC!$C18:CG18)-1</f>
        <v>-0.15093156089437676</v>
      </c>
      <c r="CH18" s="11">
        <f t="array" ref="CH18">PRODUCT(1+預測IC!$C18:CH18)-1</f>
        <v>-0.18945010164514331</v>
      </c>
      <c r="CI18" s="11">
        <f t="array" ref="CI18">PRODUCT(1+預測IC!$C18:CI18)-1</f>
        <v>-0.28487093050054257</v>
      </c>
      <c r="CJ18" s="11">
        <f t="array" ref="CJ18">PRODUCT(1+預測IC!$C18:CJ18)-1</f>
        <v>-0.2875686594457828</v>
      </c>
      <c r="CK18" s="11">
        <f t="array" ref="CK18">PRODUCT(1+預測IC!$C18:CK18)-1</f>
        <v>-0.21913390717531478</v>
      </c>
      <c r="CL18" s="11">
        <f t="array" ref="CL18">PRODUCT(1+預測IC!$C18:CL18)-1</f>
        <v>-9.972859333438866E-2</v>
      </c>
      <c r="CM18" s="11">
        <f t="array" ref="CM18">PRODUCT(1+預測IC!$C18:CM18)-1</f>
        <v>-8.5730497992100752E-2</v>
      </c>
      <c r="CN18" s="11">
        <f t="array" ref="CN18">PRODUCT(1+預測IC!$C18:CN18)-1</f>
        <v>-0.11189401772113194</v>
      </c>
      <c r="CO18" s="11">
        <f t="array" ref="CO18">PRODUCT(1+預測IC!$C18:CO18)-1</f>
        <v>-0.24564056693294911</v>
      </c>
      <c r="CP18" s="11">
        <f t="array" ref="CP18">PRODUCT(1+預測IC!$C18:CP18)-1</f>
        <v>-0.33335017946578638</v>
      </c>
      <c r="CQ18" s="11">
        <f t="array" ref="CQ18">PRODUCT(1+預測IC!$C18:CQ18)-1</f>
        <v>-0.35884465228790308</v>
      </c>
      <c r="CR18" s="11">
        <f t="array" ref="CR18">PRODUCT(1+預測IC!$C18:CR18)-1</f>
        <v>-0.23463849465002629</v>
      </c>
      <c r="CS18" s="11">
        <f t="array" ref="CS18">PRODUCT(1+預測IC!$C18:CS18)-1</f>
        <v>-0.21310942219132112</v>
      </c>
      <c r="CT18" s="11">
        <f t="array" ref="CT18">PRODUCT(1+預測IC!$C18:CT18)-1</f>
        <v>-0.22591409455475442</v>
      </c>
      <c r="CU18" s="11">
        <f t="array" ref="CU18">PRODUCT(1+預測IC!$C18:CU18)-1</f>
        <v>-0.33781968505041282</v>
      </c>
      <c r="CV18" s="11">
        <f t="array" ref="CV18">PRODUCT(1+預測IC!$C18:CV18)-1</f>
        <v>-0.25370803953248744</v>
      </c>
      <c r="CW18" s="11">
        <f t="array" ref="CW18">PRODUCT(1+預測IC!$C18:CW18)-1</f>
        <v>-0.2040359104842161</v>
      </c>
      <c r="CX18" s="11">
        <f t="array" ref="CX18">PRODUCT(1+預測IC!$C18:CX18)-1</f>
        <v>-0.15503621321661054</v>
      </c>
      <c r="CY18" s="11">
        <f t="array" ref="CY18">PRODUCT(1+預測IC!$C18:CY18)-1</f>
        <v>-7.6303853103428576E-2</v>
      </c>
      <c r="CZ18" s="11">
        <f t="array" ref="CZ18">PRODUCT(1+預測IC!$C18:CZ18)-1</f>
        <v>4.6402587871125611E-2</v>
      </c>
      <c r="DA18" s="11">
        <f t="array" ref="DA18">PRODUCT(1+預測IC!$C18:DA18)-1</f>
        <v>0.12839645236544728</v>
      </c>
      <c r="DB18" s="11">
        <f t="array" ref="DB18">PRODUCT(1+預測IC!$C18:DB18)-1</f>
        <v>0.26167587094013989</v>
      </c>
      <c r="DC18" s="11">
        <f t="array" ref="DC18">PRODUCT(1+預測IC!$C18:DC18)-1</f>
        <v>0.15718424471348902</v>
      </c>
      <c r="DD18" s="11">
        <f t="array" ref="DD18">PRODUCT(1+預測IC!$C18:DD18)-1</f>
        <v>7.4941672633386691E-2</v>
      </c>
      <c r="DE18" s="11">
        <f t="array" ref="DE18">PRODUCT(1+預測IC!$C18:DE18)-1</f>
        <v>3.3641782057143743E-2</v>
      </c>
      <c r="DF18" s="11">
        <f t="array" ref="DF18">PRODUCT(1+預測IC!$C18:DF18)-1</f>
        <v>4.625415711695835E-3</v>
      </c>
      <c r="DG18" s="11">
        <f t="array" ref="DG18">PRODUCT(1+預測IC!$C18:DG18)-1</f>
        <v>-0.11413848076251831</v>
      </c>
      <c r="DH18" s="11">
        <f t="array" ref="DH18">PRODUCT(1+預測IC!$C18:DH18)-1</f>
        <v>5.6303553468393996E-2</v>
      </c>
      <c r="DI18" s="11">
        <f t="array" ref="DI18">PRODUCT(1+預測IC!$C18:DI18)-1</f>
        <v>0.15978206757631042</v>
      </c>
      <c r="DJ18" s="11">
        <f t="array" ref="DJ18">PRODUCT(1+預測IC!$C18:DJ18)-1</f>
        <v>0.10735523285132542</v>
      </c>
      <c r="DK18" s="11">
        <f t="array" ref="DK18">PRODUCT(1+預測IC!$C18:DK18)-1</f>
        <v>0.28288612729036866</v>
      </c>
      <c r="DL18" s="11">
        <f t="array" ref="DL18">PRODUCT(1+預測IC!$C18:DL18)-1</f>
        <v>0.27797232182533471</v>
      </c>
      <c r="DM18" s="11">
        <f t="array" ref="DM18">PRODUCT(1+預測IC!$C18:DM18)-1</f>
        <v>0.27126209972192461</v>
      </c>
      <c r="DN18" s="11">
        <f t="array" ref="DN18">PRODUCT(1+預測IC!$C18:DN18)-1</f>
        <v>0.11221617233525571</v>
      </c>
      <c r="DO18" s="11">
        <f t="array" ref="DO18">PRODUCT(1+預測IC!$C18:DO18)-1</f>
        <v>7.8628336725840686E-2</v>
      </c>
      <c r="DP18" s="11">
        <f t="array" ref="DP18">PRODUCT(1+預測IC!$C18:DP18)-1</f>
        <v>-6.5353954841786743E-2</v>
      </c>
      <c r="DQ18" s="11">
        <f t="array" ref="DQ18">PRODUCT(1+預測IC!$C18:DQ18)-1</f>
        <v>-3.9014837789103085E-3</v>
      </c>
      <c r="DR18" s="11">
        <f t="array" ref="DR18">PRODUCT(1+預測IC!$C18:DR18)-1</f>
        <v>7.2639378424897094E-2</v>
      </c>
      <c r="DS18" s="11">
        <f t="array" ref="DS18">PRODUCT(1+預測IC!$C18:DS18)-1</f>
        <v>4.5409729239529018E-2</v>
      </c>
      <c r="DT18" s="11">
        <f t="array" ref="DT18">PRODUCT(1+預測IC!$C18:DT18)-1</f>
        <v>-7.5875979143464334E-2</v>
      </c>
      <c r="DU18" s="11">
        <f t="array" ref="DU18">PRODUCT(1+預測IC!$C18:DU18)-1</f>
        <v>-0.22254871916686125</v>
      </c>
      <c r="DV18" s="11">
        <f t="array" ref="DV18">PRODUCT(1+預測IC!$C18:DV18)-1</f>
        <v>-0.27738056403991707</v>
      </c>
      <c r="DW18" s="11">
        <f t="array" ref="DW18">PRODUCT(1+預測IC!$C18:DW18)-1</f>
        <v>-0.3269796136539973</v>
      </c>
      <c r="DX18" s="11">
        <f t="array" ref="DX18">PRODUCT(1+預測IC!$C18:DX18)-1</f>
        <v>-0.37286432208002041</v>
      </c>
      <c r="DY18" s="11">
        <f t="array" ref="DY18">PRODUCT(1+預測IC!$C18:DY18)-1</f>
        <v>-0.47682027909634628</v>
      </c>
      <c r="DZ18" s="11">
        <f t="array" ref="DZ18">PRODUCT(1+預測IC!$C18:DZ18)-1</f>
        <v>-0.49943621614220457</v>
      </c>
      <c r="EA18" s="11">
        <f t="array" ref="EA18">PRODUCT(1+預測IC!$C18:EA18)-1</f>
        <v>-0.39985041001682375</v>
      </c>
      <c r="EB18" s="11">
        <f t="array" ref="EB18">PRODUCT(1+預測IC!$C18:EB18)-1</f>
        <v>-0.45809192697674117</v>
      </c>
      <c r="EC18" s="11">
        <f t="array" ref="EC18">PRODUCT(1+預測IC!$C18:EC18)-1</f>
        <v>-0.46871270588448499</v>
      </c>
      <c r="ED18" s="11">
        <f t="array" ref="ED18">PRODUCT(1+預測IC!$C18:ED18)-1</f>
        <v>-0.5113589851867677</v>
      </c>
      <c r="EE18" s="11">
        <f t="array" ref="EE18">PRODUCT(1+預測IC!$C18:EE18)-1</f>
        <v>-0.51190151632492886</v>
      </c>
      <c r="EF18" s="11">
        <f t="array" ref="EF18">PRODUCT(1+預測IC!$C18:EF18)-1</f>
        <v>-0.48068671182529543</v>
      </c>
    </row>
    <row r="19" spans="1:136">
      <c r="A19" s="2">
        <v>6</v>
      </c>
      <c r="B19" s="2" t="s">
        <v>236</v>
      </c>
      <c r="C19" s="11">
        <f t="array" ref="C19">PRODUCT(1+預測IC!$C19:C19)-1</f>
        <v>7.3861929880770782E-2</v>
      </c>
      <c r="D19" s="11">
        <f t="array" ref="D19">PRODUCT(1+預測IC!$C19:D19)-1</f>
        <v>-0.1618967984517945</v>
      </c>
      <c r="E19" s="11">
        <f t="array" ref="E19">PRODUCT(1+預測IC!$C19:E19)-1</f>
        <v>-0.27972042788840668</v>
      </c>
      <c r="F19" s="11">
        <f t="array" ref="F19">PRODUCT(1+預測IC!$C19:F19)-1</f>
        <v>-0.151734914594016</v>
      </c>
      <c r="G19" s="11">
        <f t="array" ref="G19">PRODUCT(1+預測IC!$C19:G19)-1</f>
        <v>-7.0245504771978551E-2</v>
      </c>
      <c r="H19" s="11">
        <f t="array" ref="H19">PRODUCT(1+預測IC!$C19:H19)-1</f>
        <v>-8.1466515096930037E-2</v>
      </c>
      <c r="I19" s="11">
        <f t="array" ref="I19">PRODUCT(1+預測IC!$C19:I19)-1</f>
        <v>4.1720011577208727E-2</v>
      </c>
      <c r="J19" s="11">
        <f t="array" ref="J19">PRODUCT(1+預測IC!$C19:J19)-1</f>
        <v>0.15780641886635549</v>
      </c>
      <c r="K19" s="11">
        <f t="array" ref="K19">PRODUCT(1+預測IC!$C19:K19)-1</f>
        <v>0.43427833599104648</v>
      </c>
      <c r="L19" s="11">
        <f t="array" ref="L19">PRODUCT(1+預測IC!$C19:L19)-1</f>
        <v>0.46343240921347362</v>
      </c>
      <c r="M19" s="11">
        <f t="array" ref="M19">PRODUCT(1+預測IC!$C19:M19)-1</f>
        <v>0.3994947016561432</v>
      </c>
      <c r="N19" s="11">
        <f t="array" ref="N19">PRODUCT(1+預測IC!$C19:N19)-1</f>
        <v>0.18699041435905039</v>
      </c>
      <c r="O19" s="11">
        <f t="array" ref="O19">PRODUCT(1+預測IC!$C19:O19)-1</f>
        <v>0.22445405683659692</v>
      </c>
      <c r="P19" s="11">
        <f t="array" ref="P19">PRODUCT(1+預測IC!$C19:P19)-1</f>
        <v>0.33775791650897102</v>
      </c>
      <c r="Q19" s="11">
        <f t="array" ref="Q19">PRODUCT(1+預測IC!$C19:Q19)-1</f>
        <v>0.44727495691609431</v>
      </c>
      <c r="R19" s="11">
        <f t="array" ref="R19">PRODUCT(1+預測IC!$C19:R19)-1</f>
        <v>0.65797398178861699</v>
      </c>
      <c r="S19" s="11">
        <f t="array" ref="S19">PRODUCT(1+預測IC!$C19:S19)-1</f>
        <v>0.86139392053010266</v>
      </c>
      <c r="T19" s="11">
        <f t="array" ref="T19">PRODUCT(1+預測IC!$C19:T19)-1</f>
        <v>0.76559780872788274</v>
      </c>
      <c r="U19" s="11">
        <f t="array" ref="U19">PRODUCT(1+預測IC!$C19:U19)-1</f>
        <v>0.64686135323334248</v>
      </c>
      <c r="V19" s="11">
        <f t="array" ref="V19">PRODUCT(1+預測IC!$C19:V19)-1</f>
        <v>0.49421654158158868</v>
      </c>
      <c r="W19" s="11">
        <f t="array" ref="W19">PRODUCT(1+預測IC!$C19:W19)-1</f>
        <v>0.27513303190840444</v>
      </c>
      <c r="X19" s="11">
        <f t="array" ref="X19">PRODUCT(1+預測IC!$C19:X19)-1</f>
        <v>8.4628318433409566E-2</v>
      </c>
      <c r="Y19" s="11">
        <f t="array" ref="Y19">PRODUCT(1+預測IC!$C19:Y19)-1</f>
        <v>-2.7229659197347433E-2</v>
      </c>
      <c r="Z19" s="11">
        <f t="array" ref="Z19">PRODUCT(1+預測IC!$C19:Z19)-1</f>
        <v>-8.3542094312615944E-2</v>
      </c>
      <c r="AA19" s="11">
        <f t="array" ref="AA19">PRODUCT(1+預測IC!$C19:AA19)-1</f>
        <v>3.7277208646520288E-2</v>
      </c>
      <c r="AB19" s="11">
        <f t="array" ref="AB19">PRODUCT(1+預測IC!$C19:AB19)-1</f>
        <v>9.0923892196741907E-2</v>
      </c>
      <c r="AC19" s="11">
        <f t="array" ref="AC19">PRODUCT(1+預測IC!$C19:AC19)-1</f>
        <v>7.5496545383398894E-2</v>
      </c>
      <c r="AD19" s="11">
        <f t="array" ref="AD19">PRODUCT(1+預測IC!$C19:AD19)-1</f>
        <v>4.9687363001142515E-2</v>
      </c>
      <c r="AE19" s="11">
        <f t="array" ref="AE19">PRODUCT(1+預測IC!$C19:AE19)-1</f>
        <v>0.37350841754150887</v>
      </c>
      <c r="AF19" s="11">
        <f t="array" ref="AF19">PRODUCT(1+預測IC!$C19:AF19)-1</f>
        <v>0.14161819380059049</v>
      </c>
      <c r="AG19" s="11">
        <f t="array" ref="AG19">PRODUCT(1+預測IC!$C19:AG19)-1</f>
        <v>0.18898062590070386</v>
      </c>
      <c r="AH19" s="11">
        <f t="array" ref="AH19">PRODUCT(1+預測IC!$C19:AH19)-1</f>
        <v>0.25622665354451879</v>
      </c>
      <c r="AI19" s="11">
        <f t="array" ref="AI19">PRODUCT(1+預測IC!$C19:AI19)-1</f>
        <v>0.15350484332029191</v>
      </c>
      <c r="AJ19" s="11">
        <f t="array" ref="AJ19">PRODUCT(1+預測IC!$C19:AJ19)-1</f>
        <v>0.21296258536313939</v>
      </c>
      <c r="AK19" s="11">
        <f t="array" ref="AK19">PRODUCT(1+預測IC!$C19:AK19)-1</f>
        <v>0.16373871616982316</v>
      </c>
      <c r="AL19" s="11">
        <f t="array" ref="AL19">PRODUCT(1+預測IC!$C19:AL19)-1</f>
        <v>0.14638200995091877</v>
      </c>
      <c r="AM19" s="11">
        <f t="array" ref="AM19">PRODUCT(1+預測IC!$C19:AM19)-1</f>
        <v>9.6966053489592419E-2</v>
      </c>
      <c r="AN19" s="11">
        <f t="array" ref="AN19">PRODUCT(1+預測IC!$C19:AN19)-1</f>
        <v>5.2944714224134604E-3</v>
      </c>
      <c r="AO19" s="11">
        <f t="array" ref="AO19">PRODUCT(1+預測IC!$C19:AO19)-1</f>
        <v>-2.073552085821817E-2</v>
      </c>
      <c r="AP19" s="11">
        <f t="array" ref="AP19">PRODUCT(1+預測IC!$C19:AP19)-1</f>
        <v>6.5022704417076138E-2</v>
      </c>
      <c r="AQ19" s="11">
        <f t="array" ref="AQ19">PRODUCT(1+預測IC!$C19:AQ19)-1</f>
        <v>0.11015374992640314</v>
      </c>
      <c r="AR19" s="11">
        <f t="array" ref="AR19">PRODUCT(1+預測IC!$C19:AR19)-1</f>
        <v>6.4477012426176872E-2</v>
      </c>
      <c r="AS19" s="11">
        <f t="array" ref="AS19">PRODUCT(1+預測IC!$C19:AS19)-1</f>
        <v>-5.1762680915087511E-2</v>
      </c>
      <c r="AT19" s="11">
        <f t="array" ref="AT19">PRODUCT(1+預測IC!$C19:AT19)-1</f>
        <v>0.12327591997622345</v>
      </c>
      <c r="AU19" s="11">
        <f t="array" ref="AU19">PRODUCT(1+預測IC!$C19:AU19)-1</f>
        <v>-4.8601725346469893E-2</v>
      </c>
      <c r="AV19" s="11">
        <f t="array" ref="AV19">PRODUCT(1+預測IC!$C19:AV19)-1</f>
        <v>-5.1486944890088981E-2</v>
      </c>
      <c r="AW19" s="11">
        <f t="array" ref="AW19">PRODUCT(1+預測IC!$C19:AW19)-1</f>
        <v>-0.18114241661418629</v>
      </c>
      <c r="AX19" s="11">
        <f t="array" ref="AX19">PRODUCT(1+預測IC!$C19:AX19)-1</f>
        <v>-0.36466788601350208</v>
      </c>
      <c r="AY19" s="11">
        <f t="array" ref="AY19">PRODUCT(1+預測IC!$C19:AY19)-1</f>
        <v>-0.32256236662024684</v>
      </c>
      <c r="AZ19" s="11">
        <f t="array" ref="AZ19">PRODUCT(1+預測IC!$C19:AZ19)-1</f>
        <v>-0.40088196679024546</v>
      </c>
      <c r="BA19" s="11">
        <f t="array" ref="BA19">PRODUCT(1+預測IC!$C19:BA19)-1</f>
        <v>-0.40178604582125832</v>
      </c>
      <c r="BB19" s="11">
        <f t="array" ref="BB19">PRODUCT(1+預測IC!$C19:BB19)-1</f>
        <v>-0.30622364040911454</v>
      </c>
      <c r="BC19" s="11">
        <f t="array" ref="BC19">PRODUCT(1+預測IC!$C19:BC19)-1</f>
        <v>-0.43427518454668113</v>
      </c>
      <c r="BD19" s="11">
        <f t="array" ref="BD19">PRODUCT(1+預測IC!$C19:BD19)-1</f>
        <v>-0.43431525672110904</v>
      </c>
      <c r="BE19" s="11">
        <f t="array" ref="BE19">PRODUCT(1+預測IC!$C19:BE19)-1</f>
        <v>-0.45150792456200328</v>
      </c>
      <c r="BF19" s="11">
        <f t="array" ref="BF19">PRODUCT(1+預測IC!$C19:BF19)-1</f>
        <v>-0.47862299597266422</v>
      </c>
      <c r="BG19" s="11">
        <f t="array" ref="BG19">PRODUCT(1+預測IC!$C19:BG19)-1</f>
        <v>-0.47812073612545114</v>
      </c>
      <c r="BH19" s="11">
        <f t="array" ref="BH19">PRODUCT(1+預測IC!$C19:BH19)-1</f>
        <v>-0.55144315798115373</v>
      </c>
      <c r="BI19" s="11">
        <f t="array" ref="BI19">PRODUCT(1+預測IC!$C19:BI19)-1</f>
        <v>-0.53980826633444789</v>
      </c>
      <c r="BJ19" s="11">
        <f t="array" ref="BJ19">PRODUCT(1+預測IC!$C19:BJ19)-1</f>
        <v>-0.54979778706268756</v>
      </c>
      <c r="BK19" s="11">
        <f t="array" ref="BK19">PRODUCT(1+預測IC!$C19:BK19)-1</f>
        <v>-0.58109541119453223</v>
      </c>
      <c r="BL19" s="11">
        <f t="array" ref="BL19">PRODUCT(1+預測IC!$C19:BL19)-1</f>
        <v>-0.61459297343436292</v>
      </c>
      <c r="BM19" s="11">
        <f t="array" ref="BM19">PRODUCT(1+預測IC!$C19:BM19)-1</f>
        <v>-0.60234232360551787</v>
      </c>
      <c r="BN19" s="11">
        <f t="array" ref="BN19">PRODUCT(1+預測IC!$C19:BN19)-1</f>
        <v>-0.62908585512873039</v>
      </c>
      <c r="BO19" s="11">
        <f t="array" ref="BO19">PRODUCT(1+預測IC!$C19:BO19)-1</f>
        <v>-0.63862909079480668</v>
      </c>
      <c r="BP19" s="11">
        <f t="array" ref="BP19">PRODUCT(1+預測IC!$C19:BP19)-1</f>
        <v>-0.66132998038860213</v>
      </c>
      <c r="BQ19" s="11">
        <f t="array" ref="BQ19">PRODUCT(1+預測IC!$C19:BQ19)-1</f>
        <v>-0.66469434341876821</v>
      </c>
      <c r="BR19" s="11">
        <f t="array" ref="BR19">PRODUCT(1+預測IC!$C19:BR19)-1</f>
        <v>-0.66245609566801056</v>
      </c>
      <c r="BS19" s="11">
        <f t="array" ref="BS19">PRODUCT(1+預測IC!$C19:BS19)-1</f>
        <v>-0.67064367495262234</v>
      </c>
      <c r="BT19" s="11">
        <f t="array" ref="BT19">PRODUCT(1+預測IC!$C19:BT19)-1</f>
        <v>-0.69775740865317337</v>
      </c>
      <c r="BU19" s="11">
        <f t="array" ref="BU19">PRODUCT(1+預測IC!$C19:BU19)-1</f>
        <v>-0.68468643364382997</v>
      </c>
      <c r="BV19" s="11">
        <f t="array" ref="BV19">PRODUCT(1+預測IC!$C19:BV19)-1</f>
        <v>-0.69425645010033121</v>
      </c>
      <c r="BW19" s="11">
        <f t="array" ref="BW19">PRODUCT(1+預測IC!$C19:BW19)-1</f>
        <v>-0.78825822382966615</v>
      </c>
      <c r="BX19" s="11">
        <f t="array" ref="BX19">PRODUCT(1+預測IC!$C19:BX19)-1</f>
        <v>-0.77664836262416515</v>
      </c>
      <c r="BY19" s="11">
        <f t="array" ref="BY19">PRODUCT(1+預測IC!$C19:BY19)-1</f>
        <v>-0.79448677155719061</v>
      </c>
      <c r="BZ19" s="11">
        <f t="array" ref="BZ19">PRODUCT(1+預測IC!$C19:BZ19)-1</f>
        <v>-0.78036757608412943</v>
      </c>
      <c r="CA19" s="11">
        <f t="array" ref="CA19">PRODUCT(1+預測IC!$C19:CA19)-1</f>
        <v>-0.77254642886308134</v>
      </c>
      <c r="CB19" s="11">
        <f t="array" ref="CB19">PRODUCT(1+預測IC!$C19:CB19)-1</f>
        <v>-0.75458287193325435</v>
      </c>
      <c r="CC19" s="11">
        <f t="array" ref="CC19">PRODUCT(1+預測IC!$C19:CC19)-1</f>
        <v>-0.74905959585469351</v>
      </c>
      <c r="CD19" s="11">
        <f t="array" ref="CD19">PRODUCT(1+預測IC!$C19:CD19)-1</f>
        <v>-0.69495202714356896</v>
      </c>
      <c r="CE19" s="11">
        <f t="array" ref="CE19">PRODUCT(1+預測IC!$C19:CE19)-1</f>
        <v>-0.66796316195174033</v>
      </c>
      <c r="CF19" s="11">
        <f t="array" ref="CF19">PRODUCT(1+預測IC!$C19:CF19)-1</f>
        <v>-0.641715143557538</v>
      </c>
      <c r="CG19" s="11">
        <f t="array" ref="CG19">PRODUCT(1+預測IC!$C19:CG19)-1</f>
        <v>-0.6621795235833301</v>
      </c>
      <c r="CH19" s="11">
        <f t="array" ref="CH19">PRODUCT(1+預測IC!$C19:CH19)-1</f>
        <v>-0.67660954001065954</v>
      </c>
      <c r="CI19" s="11">
        <f t="array" ref="CI19">PRODUCT(1+預測IC!$C19:CI19)-1</f>
        <v>-0.73003385959453859</v>
      </c>
      <c r="CJ19" s="11">
        <f t="array" ref="CJ19">PRODUCT(1+預測IC!$C19:CJ19)-1</f>
        <v>-0.73322267879336156</v>
      </c>
      <c r="CK19" s="11">
        <f t="array" ref="CK19">PRODUCT(1+預測IC!$C19:CK19)-1</f>
        <v>-0.70153026321492329</v>
      </c>
      <c r="CL19" s="11">
        <f t="array" ref="CL19">PRODUCT(1+預測IC!$C19:CL19)-1</f>
        <v>-0.6671024411904668</v>
      </c>
      <c r="CM19" s="11">
        <f t="array" ref="CM19">PRODUCT(1+預測IC!$C19:CM19)-1</f>
        <v>-0.64194142084497741</v>
      </c>
      <c r="CN19" s="11">
        <f t="array" ref="CN19">PRODUCT(1+預測IC!$C19:CN19)-1</f>
        <v>-0.64765000844887588</v>
      </c>
      <c r="CO19" s="11">
        <f t="array" ref="CO19">PRODUCT(1+預測IC!$C19:CO19)-1</f>
        <v>-0.70619174667724427</v>
      </c>
      <c r="CP19" s="11">
        <f t="array" ref="CP19">PRODUCT(1+預測IC!$C19:CP19)-1</f>
        <v>-0.74656532693917121</v>
      </c>
      <c r="CQ19" s="11">
        <f t="array" ref="CQ19">PRODUCT(1+預測IC!$C19:CQ19)-1</f>
        <v>-0.75477524370402871</v>
      </c>
      <c r="CR19" s="11">
        <f t="array" ref="CR19">PRODUCT(1+預測IC!$C19:CR19)-1</f>
        <v>-0.71154047021741529</v>
      </c>
      <c r="CS19" s="11">
        <f t="array" ref="CS19">PRODUCT(1+預測IC!$C19:CS19)-1</f>
        <v>-0.69891296199482944</v>
      </c>
      <c r="CT19" s="11">
        <f t="array" ref="CT19">PRODUCT(1+預測IC!$C19:CT19)-1</f>
        <v>-0.7073255256848372</v>
      </c>
      <c r="CU19" s="11">
        <f t="array" ref="CU19">PRODUCT(1+預測IC!$C19:CU19)-1</f>
        <v>-0.75023381133937006</v>
      </c>
      <c r="CV19" s="11">
        <f t="array" ref="CV19">PRODUCT(1+預測IC!$C19:CV19)-1</f>
        <v>-0.72661766691196061</v>
      </c>
      <c r="CW19" s="11">
        <f t="array" ref="CW19">PRODUCT(1+預測IC!$C19:CW19)-1</f>
        <v>-0.71007369483879113</v>
      </c>
      <c r="CX19" s="11">
        <f t="array" ref="CX19">PRODUCT(1+預測IC!$C19:CX19)-1</f>
        <v>-0.6933638715738859</v>
      </c>
      <c r="CY19" s="11">
        <f t="array" ref="CY19">PRODUCT(1+預測IC!$C19:CY19)-1</f>
        <v>-0.6602802497758451</v>
      </c>
      <c r="CZ19" s="11">
        <f t="array" ref="CZ19">PRODUCT(1+預測IC!$C19:CZ19)-1</f>
        <v>-0.62194225473742792</v>
      </c>
      <c r="DA19" s="11">
        <f t="array" ref="DA19">PRODUCT(1+預測IC!$C19:DA19)-1</f>
        <v>-0.59351892830422459</v>
      </c>
      <c r="DB19" s="11">
        <f t="array" ref="DB19">PRODUCT(1+預測IC!$C19:DB19)-1</f>
        <v>-0.53337558245504602</v>
      </c>
      <c r="DC19" s="11">
        <f t="array" ref="DC19">PRODUCT(1+預測IC!$C19:DC19)-1</f>
        <v>-0.56398035098154742</v>
      </c>
      <c r="DD19" s="11">
        <f t="array" ref="DD19">PRODUCT(1+預測IC!$C19:DD19)-1</f>
        <v>-0.59168823695760597</v>
      </c>
      <c r="DE19" s="11">
        <f t="array" ref="DE19">PRODUCT(1+預測IC!$C19:DE19)-1</f>
        <v>-0.60517004405857722</v>
      </c>
      <c r="DF19" s="11">
        <f t="array" ref="DF19">PRODUCT(1+預測IC!$C19:DF19)-1</f>
        <v>-0.61357847800080911</v>
      </c>
      <c r="DG19" s="11">
        <f t="array" ref="DG19">PRODUCT(1+預測IC!$C19:DG19)-1</f>
        <v>-0.66245724462007605</v>
      </c>
      <c r="DH19" s="11">
        <f t="array" ref="DH19">PRODUCT(1+預測IC!$C19:DH19)-1</f>
        <v>-0.58664806713229167</v>
      </c>
      <c r="DI19" s="11">
        <f t="array" ref="DI19">PRODUCT(1+預測IC!$C19:DI19)-1</f>
        <v>-0.54181522757357192</v>
      </c>
      <c r="DJ19" s="11">
        <f t="array" ref="DJ19">PRODUCT(1+預測IC!$C19:DJ19)-1</f>
        <v>-0.56404376431899483</v>
      </c>
      <c r="DK19" s="11">
        <f t="array" ref="DK19">PRODUCT(1+預測IC!$C19:DK19)-1</f>
        <v>-0.5099221571484216</v>
      </c>
      <c r="DL19" s="11">
        <f t="array" ref="DL19">PRODUCT(1+預測IC!$C19:DL19)-1</f>
        <v>-0.51579465501804389</v>
      </c>
      <c r="DM19" s="11">
        <f t="array" ref="DM19">PRODUCT(1+預測IC!$C19:DM19)-1</f>
        <v>-0.4934738042420459</v>
      </c>
      <c r="DN19" s="11">
        <f t="array" ref="DN19">PRODUCT(1+預測IC!$C19:DN19)-1</f>
        <v>-0.58157304525124909</v>
      </c>
      <c r="DO19" s="11">
        <f t="array" ref="DO19">PRODUCT(1+預測IC!$C19:DO19)-1</f>
        <v>-0.60195274760597217</v>
      </c>
      <c r="DP19" s="11">
        <f t="array" ref="DP19">PRODUCT(1+預測IC!$C19:DP19)-1</f>
        <v>-0.6697275091933983</v>
      </c>
      <c r="DQ19" s="11">
        <f t="array" ref="DQ19">PRODUCT(1+預測IC!$C19:DQ19)-1</f>
        <v>-0.64318213126391943</v>
      </c>
      <c r="DR19" s="11">
        <f t="array" ref="DR19">PRODUCT(1+預測IC!$C19:DR19)-1</f>
        <v>-0.6160774062462987</v>
      </c>
      <c r="DS19" s="11">
        <f t="array" ref="DS19">PRODUCT(1+預測IC!$C19:DS19)-1</f>
        <v>-0.63332281108829536</v>
      </c>
      <c r="DT19" s="11">
        <f t="array" ref="DT19">PRODUCT(1+預測IC!$C19:DT19)-1</f>
        <v>-0.68213799545942866</v>
      </c>
      <c r="DU19" s="11">
        <f t="array" ref="DU19">PRODUCT(1+預測IC!$C19:DU19)-1</f>
        <v>-0.73000245075815928</v>
      </c>
      <c r="DV19" s="11">
        <f t="array" ref="DV19">PRODUCT(1+預測IC!$C19:DV19)-1</f>
        <v>-0.74933248968138144</v>
      </c>
      <c r="DW19" s="11">
        <f t="array" ref="DW19">PRODUCT(1+預測IC!$C19:DW19)-1</f>
        <v>-0.77472435647412652</v>
      </c>
      <c r="DX19" s="11">
        <f t="array" ref="DX19">PRODUCT(1+預測IC!$C19:DX19)-1</f>
        <v>-0.7960386297694273</v>
      </c>
      <c r="DY19" s="11">
        <f t="array" ref="DY19">PRODUCT(1+預測IC!$C19:DY19)-1</f>
        <v>-0.82706511299102414</v>
      </c>
      <c r="DZ19" s="11">
        <f t="array" ref="DZ19">PRODUCT(1+預測IC!$C19:DZ19)-1</f>
        <v>-0.84083826444803611</v>
      </c>
      <c r="EA19" s="11">
        <f t="array" ref="EA19">PRODUCT(1+預測IC!$C19:EA19)-1</f>
        <v>-0.80374599335503383</v>
      </c>
      <c r="EB19" s="11">
        <f t="array" ref="EB19">PRODUCT(1+預測IC!$C19:EB19)-1</f>
        <v>-0.82459768718005155</v>
      </c>
      <c r="EC19" s="11">
        <f t="array" ref="EC19">PRODUCT(1+預測IC!$C19:EC19)-1</f>
        <v>-0.83009193075938592</v>
      </c>
      <c r="ED19" s="11">
        <f t="array" ref="ED19">PRODUCT(1+預測IC!$C19:ED19)-1</f>
        <v>-0.84473112505112269</v>
      </c>
      <c r="EE19" s="11">
        <f t="array" ref="EE19">PRODUCT(1+預測IC!$C19:EE19)-1</f>
        <v>-0.84359667889445444</v>
      </c>
      <c r="EF19" s="11">
        <f t="array" ref="EF19">PRODUCT(1+預測IC!$C19:EF19)-1</f>
        <v>-0.83201970506622203</v>
      </c>
    </row>
    <row r="20" spans="1:136">
      <c r="A20" s="2">
        <v>5</v>
      </c>
      <c r="B20" s="2" t="s">
        <v>237</v>
      </c>
      <c r="C20" s="11">
        <f t="array" ref="C20">PRODUCT(1+預測IC!$C20:C20)-1</f>
        <v>-1.1241331728202852E-2</v>
      </c>
      <c r="D20" s="11">
        <f t="array" ref="D20">PRODUCT(1+預測IC!$C20:D20)-1</f>
        <v>-0.23132555792733867</v>
      </c>
      <c r="E20" s="11">
        <f t="array" ref="E20">PRODUCT(1+預測IC!$C20:E20)-1</f>
        <v>-0.34364803795425336</v>
      </c>
      <c r="F20" s="11">
        <f t="array" ref="F20">PRODUCT(1+預測IC!$C20:F20)-1</f>
        <v>-0.20874718934743153</v>
      </c>
      <c r="G20" s="11">
        <f t="array" ref="G20">PRODUCT(1+預測IC!$C20:G20)-1</f>
        <v>-0.11602569944146146</v>
      </c>
      <c r="H20" s="11">
        <f t="array" ref="H20">PRODUCT(1+預測IC!$C20:H20)-1</f>
        <v>-0.10578660206529944</v>
      </c>
      <c r="I20" s="11">
        <f t="array" ref="I20">PRODUCT(1+預測IC!$C20:I20)-1</f>
        <v>6.0414739628650738E-2</v>
      </c>
      <c r="J20" s="11">
        <f t="array" ref="J20">PRODUCT(1+預測IC!$C20:J20)-1</f>
        <v>0.21660124593988428</v>
      </c>
      <c r="K20" s="11">
        <f t="array" ref="K20">PRODUCT(1+預測IC!$C20:K20)-1</f>
        <v>0.47783534474943989</v>
      </c>
      <c r="L20" s="11">
        <f t="array" ref="L20">PRODUCT(1+預測IC!$C20:L20)-1</f>
        <v>0.49113552493211121</v>
      </c>
      <c r="M20" s="11">
        <f t="array" ref="M20">PRODUCT(1+預測IC!$C20:M20)-1</f>
        <v>0.37524711379220954</v>
      </c>
      <c r="N20" s="11">
        <f t="array" ref="N20">PRODUCT(1+預測IC!$C20:N20)-1</f>
        <v>0.14400812943187336</v>
      </c>
      <c r="O20" s="11">
        <f t="array" ref="O20">PRODUCT(1+預測IC!$C20:O20)-1</f>
        <v>0.20105396446831714</v>
      </c>
      <c r="P20" s="11">
        <f t="array" ref="P20">PRODUCT(1+預測IC!$C20:P20)-1</f>
        <v>0.31055396753488895</v>
      </c>
      <c r="Q20" s="11">
        <f t="array" ref="Q20">PRODUCT(1+預測IC!$C20:Q20)-1</f>
        <v>0.45084263826818827</v>
      </c>
      <c r="R20" s="11">
        <f t="array" ref="R20">PRODUCT(1+預測IC!$C20:R20)-1</f>
        <v>0.72787011083269104</v>
      </c>
      <c r="S20" s="11">
        <f t="array" ref="S20">PRODUCT(1+預測IC!$C20:S20)-1</f>
        <v>0.8705275781461288</v>
      </c>
      <c r="T20" s="11">
        <f t="array" ref="T20">PRODUCT(1+預測IC!$C20:T20)-1</f>
        <v>0.71066208620971771</v>
      </c>
      <c r="U20" s="11">
        <f t="array" ref="U20">PRODUCT(1+預測IC!$C20:U20)-1</f>
        <v>0.6871911784961795</v>
      </c>
      <c r="V20" s="11">
        <f t="array" ref="V20">PRODUCT(1+預測IC!$C20:V20)-1</f>
        <v>0.51253719155028099</v>
      </c>
      <c r="W20" s="11">
        <f t="array" ref="W20">PRODUCT(1+預測IC!$C20:W20)-1</f>
        <v>0.25073912276821875</v>
      </c>
      <c r="X20" s="11">
        <f t="array" ref="X20">PRODUCT(1+預測IC!$C20:X20)-1</f>
        <v>-1.2399394773177641E-2</v>
      </c>
      <c r="Y20" s="11">
        <f t="array" ref="Y20">PRODUCT(1+預測IC!$C20:Y20)-1</f>
        <v>-0.13976534522651063</v>
      </c>
      <c r="Z20" s="11">
        <f t="array" ref="Z20">PRODUCT(1+預測IC!$C20:Z20)-1</f>
        <v>-0.20344608075675119</v>
      </c>
      <c r="AA20" s="11">
        <f t="array" ref="AA20">PRODUCT(1+預測IC!$C20:AA20)-1</f>
        <v>-9.9509042197431841E-2</v>
      </c>
      <c r="AB20" s="11">
        <f t="array" ref="AB20">PRODUCT(1+預測IC!$C20:AB20)-1</f>
        <v>-6.9884199611710218E-2</v>
      </c>
      <c r="AC20" s="11">
        <f t="array" ref="AC20">PRODUCT(1+預測IC!$C20:AC20)-1</f>
        <v>-0.11383055531588981</v>
      </c>
      <c r="AD20" s="11">
        <f t="array" ref="AD20">PRODUCT(1+預測IC!$C20:AD20)-1</f>
        <v>-0.13774587913463898</v>
      </c>
      <c r="AE20" s="11">
        <f t="array" ref="AE20">PRODUCT(1+預測IC!$C20:AE20)-1</f>
        <v>1.2677711057436092E-3</v>
      </c>
      <c r="AF20" s="11">
        <f t="array" ref="AF20">PRODUCT(1+預測IC!$C20:AF20)-1</f>
        <v>-0.22251339260856084</v>
      </c>
      <c r="AG20" s="11">
        <f t="array" ref="AG20">PRODUCT(1+預測IC!$C20:AG20)-1</f>
        <v>-0.19750689735285964</v>
      </c>
      <c r="AH20" s="11">
        <f t="array" ref="AH20">PRODUCT(1+預測IC!$C20:AH20)-1</f>
        <v>-0.12513951327011719</v>
      </c>
      <c r="AI20" s="11">
        <f t="array" ref="AI20">PRODUCT(1+預測IC!$C20:AI20)-1</f>
        <v>-0.19351383648000309</v>
      </c>
      <c r="AJ20" s="11">
        <f t="array" ref="AJ20">PRODUCT(1+預測IC!$C20:AJ20)-1</f>
        <v>-0.14351973134127927</v>
      </c>
      <c r="AK20" s="11">
        <f t="array" ref="AK20">PRODUCT(1+預測IC!$C20:AK20)-1</f>
        <v>-0.15058442173814146</v>
      </c>
      <c r="AL20" s="11">
        <f t="array" ref="AL20">PRODUCT(1+預測IC!$C20:AL20)-1</f>
        <v>-0.16823550264179321</v>
      </c>
      <c r="AM20" s="11">
        <f t="array" ref="AM20">PRODUCT(1+預測IC!$C20:AM20)-1</f>
        <v>-0.19576356443389786</v>
      </c>
      <c r="AN20" s="11">
        <f t="array" ref="AN20">PRODUCT(1+預測IC!$C20:AN20)-1</f>
        <v>-0.25645944386110098</v>
      </c>
      <c r="AO20" s="11">
        <f t="array" ref="AO20">PRODUCT(1+預測IC!$C20:AO20)-1</f>
        <v>-0.29013073888992102</v>
      </c>
      <c r="AP20" s="11">
        <f t="array" ref="AP20">PRODUCT(1+預測IC!$C20:AP20)-1</f>
        <v>-0.19661933369286899</v>
      </c>
      <c r="AQ20" s="11">
        <f t="array" ref="AQ20">PRODUCT(1+預測IC!$C20:AQ20)-1</f>
        <v>-0.16986014480181866</v>
      </c>
      <c r="AR20" s="11">
        <f t="array" ref="AR20">PRODUCT(1+預測IC!$C20:AR20)-1</f>
        <v>-0.19454767383128624</v>
      </c>
      <c r="AS20" s="11">
        <f t="array" ref="AS20">PRODUCT(1+預測IC!$C20:AS20)-1</f>
        <v>-0.2286116352227815</v>
      </c>
      <c r="AT20" s="11">
        <f t="array" ref="AT20">PRODUCT(1+預測IC!$C20:AT20)-1</f>
        <v>-4.4154358701728014E-2</v>
      </c>
      <c r="AU20" s="11">
        <f t="array" ref="AU20">PRODUCT(1+預測IC!$C20:AU20)-1</f>
        <v>-0.18090971892099195</v>
      </c>
      <c r="AV20" s="11">
        <f t="array" ref="AV20">PRODUCT(1+預測IC!$C20:AV20)-1</f>
        <v>-0.20732260605234787</v>
      </c>
      <c r="AW20" s="11">
        <f t="array" ref="AW20">PRODUCT(1+預測IC!$C20:AW20)-1</f>
        <v>-0.38567330812437473</v>
      </c>
      <c r="AX20" s="11">
        <f t="array" ref="AX20">PRODUCT(1+預測IC!$C20:AX20)-1</f>
        <v>-0.51120434514318314</v>
      </c>
      <c r="AY20" s="11">
        <f t="array" ref="AY20">PRODUCT(1+預測IC!$C20:AY20)-1</f>
        <v>-0.55131376107639185</v>
      </c>
      <c r="AZ20" s="11">
        <f t="array" ref="AZ20">PRODUCT(1+預測IC!$C20:AZ20)-1</f>
        <v>-0.62143175783581395</v>
      </c>
      <c r="BA20" s="11">
        <f t="array" ref="BA20">PRODUCT(1+預測IC!$C20:BA20)-1</f>
        <v>-0.66007508419654237</v>
      </c>
      <c r="BB20" s="11">
        <f t="array" ref="BB20">PRODUCT(1+預測IC!$C20:BB20)-1</f>
        <v>-0.6030848285212691</v>
      </c>
      <c r="BC20" s="11">
        <f t="array" ref="BC20">PRODUCT(1+預測IC!$C20:BC20)-1</f>
        <v>-0.69840030571410727</v>
      </c>
      <c r="BD20" s="11">
        <f t="array" ref="BD20">PRODUCT(1+預測IC!$C20:BD20)-1</f>
        <v>-0.69587784651097784</v>
      </c>
      <c r="BE20" s="11">
        <f t="array" ref="BE20">PRODUCT(1+預測IC!$C20:BE20)-1</f>
        <v>-0.70757693916025488</v>
      </c>
      <c r="BF20" s="11">
        <f t="array" ref="BF20">PRODUCT(1+預測IC!$C20:BF20)-1</f>
        <v>-0.72372331240297005</v>
      </c>
      <c r="BG20" s="11">
        <f t="array" ref="BG20">PRODUCT(1+預測IC!$C20:BG20)-1</f>
        <v>-0.73801427662230168</v>
      </c>
      <c r="BH20" s="11">
        <f t="array" ref="BH20">PRODUCT(1+預測IC!$C20:BH20)-1</f>
        <v>-0.77732714705852302</v>
      </c>
      <c r="BI20" s="11">
        <f t="array" ref="BI20">PRODUCT(1+預測IC!$C20:BI20)-1</f>
        <v>-0.77216701543359834</v>
      </c>
      <c r="BJ20" s="11">
        <f t="array" ref="BJ20">PRODUCT(1+預測IC!$C20:BJ20)-1</f>
        <v>-0.77709493166926757</v>
      </c>
      <c r="BK20" s="11">
        <f t="array" ref="BK20">PRODUCT(1+預測IC!$C20:BK20)-1</f>
        <v>-0.7999646092093301</v>
      </c>
      <c r="BL20" s="11">
        <f t="array" ref="BL20">PRODUCT(1+預測IC!$C20:BL20)-1</f>
        <v>-0.81722610939491103</v>
      </c>
      <c r="BM20" s="11">
        <f t="array" ref="BM20">PRODUCT(1+預測IC!$C20:BM20)-1</f>
        <v>-0.80855009756241336</v>
      </c>
      <c r="BN20" s="11">
        <f t="array" ref="BN20">PRODUCT(1+預測IC!$C20:BN20)-1</f>
        <v>-0.83124786987039911</v>
      </c>
      <c r="BO20" s="11">
        <f t="array" ref="BO20">PRODUCT(1+預測IC!$C20:BO20)-1</f>
        <v>-0.82475737311113462</v>
      </c>
      <c r="BP20" s="11">
        <f t="array" ref="BP20">PRODUCT(1+預測IC!$C20:BP20)-1</f>
        <v>-0.83534334573347857</v>
      </c>
      <c r="BQ20" s="11">
        <f t="array" ref="BQ20">PRODUCT(1+預測IC!$C20:BQ20)-1</f>
        <v>-0.83788757210435771</v>
      </c>
      <c r="BR20" s="11">
        <f t="array" ref="BR20">PRODUCT(1+預測IC!$C20:BR20)-1</f>
        <v>-0.83593028635101285</v>
      </c>
      <c r="BS20" s="11">
        <f t="array" ref="BS20">PRODUCT(1+預測IC!$C20:BS20)-1</f>
        <v>-0.83504307835866909</v>
      </c>
      <c r="BT20" s="11">
        <f t="array" ref="BT20">PRODUCT(1+預測IC!$C20:BT20)-1</f>
        <v>-0.85096645268350046</v>
      </c>
      <c r="BU20" s="11">
        <f t="array" ref="BU20">PRODUCT(1+預測IC!$C20:BU20)-1</f>
        <v>-0.85702967347764414</v>
      </c>
      <c r="BV20" s="11">
        <f t="array" ref="BV20">PRODUCT(1+預測IC!$C20:BV20)-1</f>
        <v>-0.84537138098337461</v>
      </c>
      <c r="BW20" s="11">
        <f t="array" ref="BW20">PRODUCT(1+預測IC!$C20:BW20)-1</f>
        <v>-0.89977429843660006</v>
      </c>
      <c r="BX20" s="11">
        <f t="array" ref="BX20">PRODUCT(1+預測IC!$C20:BX20)-1</f>
        <v>-0.89396240862261367</v>
      </c>
      <c r="BY20" s="11">
        <f t="array" ref="BY20">PRODUCT(1+預測IC!$C20:BY20)-1</f>
        <v>-0.89445435509237914</v>
      </c>
      <c r="BZ20" s="11">
        <f t="array" ref="BZ20">PRODUCT(1+預測IC!$C20:BZ20)-1</f>
        <v>-0.88492660151301095</v>
      </c>
      <c r="CA20" s="11">
        <f t="array" ref="CA20">PRODUCT(1+預測IC!$C20:CA20)-1</f>
        <v>-0.87914805271990859</v>
      </c>
      <c r="CB20" s="11">
        <f t="array" ref="CB20">PRODUCT(1+預測IC!$C20:CB20)-1</f>
        <v>-0.87916107513369723</v>
      </c>
      <c r="CC20" s="11">
        <f t="array" ref="CC20">PRODUCT(1+預測IC!$C20:CC20)-1</f>
        <v>-0.87760046458683394</v>
      </c>
      <c r="CD20" s="11">
        <f t="array" ref="CD20">PRODUCT(1+預測IC!$C20:CD20)-1</f>
        <v>-0.85544278299697685</v>
      </c>
      <c r="CE20" s="11">
        <f t="array" ref="CE20">PRODUCT(1+預測IC!$C20:CE20)-1</f>
        <v>-0.84304304077122172</v>
      </c>
      <c r="CF20" s="11">
        <f t="array" ref="CF20">PRODUCT(1+預測IC!$C20:CF20)-1</f>
        <v>-0.82643936621809333</v>
      </c>
      <c r="CG20" s="11">
        <f t="array" ref="CG20">PRODUCT(1+預測IC!$C20:CG20)-1</f>
        <v>-0.83962480935003114</v>
      </c>
      <c r="CH20" s="11">
        <f t="array" ref="CH20">PRODUCT(1+預測IC!$C20:CH20)-1</f>
        <v>-0.84318437343629626</v>
      </c>
      <c r="CI20" s="11">
        <f t="array" ref="CI20">PRODUCT(1+預測IC!$C20:CI20)-1</f>
        <v>-0.86380308791627292</v>
      </c>
      <c r="CJ20" s="11">
        <f t="array" ref="CJ20">PRODUCT(1+預測IC!$C20:CJ20)-1</f>
        <v>-0.86945661966448651</v>
      </c>
      <c r="CK20" s="11">
        <f t="array" ref="CK20">PRODUCT(1+預測IC!$C20:CK20)-1</f>
        <v>-0.85893617773530995</v>
      </c>
      <c r="CL20" s="11">
        <f t="array" ref="CL20">PRODUCT(1+預測IC!$C20:CL20)-1</f>
        <v>-0.83787349399302324</v>
      </c>
      <c r="CM20" s="11">
        <f t="array" ref="CM20">PRODUCT(1+預測IC!$C20:CM20)-1</f>
        <v>-0.82499177668937573</v>
      </c>
      <c r="CN20" s="11">
        <f t="array" ref="CN20">PRODUCT(1+預測IC!$C20:CN20)-1</f>
        <v>-0.82837773078905563</v>
      </c>
      <c r="CO20" s="11">
        <f t="array" ref="CO20">PRODUCT(1+預測IC!$C20:CO20)-1</f>
        <v>-0.86759654337507941</v>
      </c>
      <c r="CP20" s="11">
        <f t="array" ref="CP20">PRODUCT(1+預測IC!$C20:CP20)-1</f>
        <v>-0.8883389688803921</v>
      </c>
      <c r="CQ20" s="11">
        <f t="array" ref="CQ20">PRODUCT(1+預測IC!$C20:CQ20)-1</f>
        <v>-0.89092035365609146</v>
      </c>
      <c r="CR20" s="11">
        <f t="array" ref="CR20">PRODUCT(1+預測IC!$C20:CR20)-1</f>
        <v>-0.86959679785924782</v>
      </c>
      <c r="CS20" s="11">
        <f t="array" ref="CS20">PRODUCT(1+預測IC!$C20:CS20)-1</f>
        <v>-0.86668961495136232</v>
      </c>
      <c r="CT20" s="11">
        <f t="array" ref="CT20">PRODUCT(1+預測IC!$C20:CT20)-1</f>
        <v>-0.86909942822583497</v>
      </c>
      <c r="CU20" s="11">
        <f t="array" ref="CU20">PRODUCT(1+預測IC!$C20:CU20)-1</f>
        <v>-0.88830620850859576</v>
      </c>
      <c r="CV20" s="11">
        <f t="array" ref="CV20">PRODUCT(1+預測IC!$C20:CV20)-1</f>
        <v>-0.87499073052917864</v>
      </c>
      <c r="CW20" s="11">
        <f t="array" ref="CW20">PRODUCT(1+預測IC!$C20:CW20)-1</f>
        <v>-0.86650213757588135</v>
      </c>
      <c r="CX20" s="11">
        <f t="array" ref="CX20">PRODUCT(1+預測IC!$C20:CX20)-1</f>
        <v>-0.85444747405503929</v>
      </c>
      <c r="CY20" s="11">
        <f t="array" ref="CY20">PRODUCT(1+預測IC!$C20:CY20)-1</f>
        <v>-0.83975152207619463</v>
      </c>
      <c r="CZ20" s="11">
        <f t="array" ref="CZ20">PRODUCT(1+預測IC!$C20:CZ20)-1</f>
        <v>-0.81488710460888192</v>
      </c>
      <c r="DA20" s="11">
        <f t="array" ref="DA20">PRODUCT(1+預測IC!$C20:DA20)-1</f>
        <v>-0.800618306451502</v>
      </c>
      <c r="DB20" s="11">
        <f t="array" ref="DB20">PRODUCT(1+預測IC!$C20:DB20)-1</f>
        <v>-0.78527249564415469</v>
      </c>
      <c r="DC20" s="11">
        <f t="array" ref="DC20">PRODUCT(1+預測IC!$C20:DC20)-1</f>
        <v>-0.79328876964673944</v>
      </c>
      <c r="DD20" s="11">
        <f t="array" ref="DD20">PRODUCT(1+預測IC!$C20:DD20)-1</f>
        <v>-0.80737878589906265</v>
      </c>
      <c r="DE20" s="11">
        <f t="array" ref="DE20">PRODUCT(1+預測IC!$C20:DE20)-1</f>
        <v>-0.80938565270435425</v>
      </c>
      <c r="DF20" s="11">
        <f t="array" ref="DF20">PRODUCT(1+預測IC!$C20:DF20)-1</f>
        <v>-0.81805859759405675</v>
      </c>
      <c r="DG20" s="11">
        <f t="array" ref="DG20">PRODUCT(1+預測IC!$C20:DG20)-1</f>
        <v>-0.84063266924983227</v>
      </c>
      <c r="DH20" s="11">
        <f t="array" ref="DH20">PRODUCT(1+預測IC!$C20:DH20)-1</f>
        <v>-0.79628080484899288</v>
      </c>
      <c r="DI20" s="11">
        <f t="array" ref="DI20">PRODUCT(1+預測IC!$C20:DI20)-1</f>
        <v>-0.76824985847299487</v>
      </c>
      <c r="DJ20" s="11">
        <f t="array" ref="DJ20">PRODUCT(1+預測IC!$C20:DJ20)-1</f>
        <v>-0.77739470660545762</v>
      </c>
      <c r="DK20" s="11">
        <f t="array" ref="DK20">PRODUCT(1+預測IC!$C20:DK20)-1</f>
        <v>-0.75848350064062409</v>
      </c>
      <c r="DL20" s="11">
        <f t="array" ref="DL20">PRODUCT(1+預測IC!$C20:DL20)-1</f>
        <v>-0.76318470946688333</v>
      </c>
      <c r="DM20" s="11">
        <f t="array" ref="DM20">PRODUCT(1+預測IC!$C20:DM20)-1</f>
        <v>-0.77333574340098765</v>
      </c>
      <c r="DN20" s="11">
        <f t="array" ref="DN20">PRODUCT(1+預測IC!$C20:DN20)-1</f>
        <v>-0.81486850808034794</v>
      </c>
      <c r="DO20" s="11">
        <f t="array" ref="DO20">PRODUCT(1+預測IC!$C20:DO20)-1</f>
        <v>-0.82409191723539388</v>
      </c>
      <c r="DP20" s="11">
        <f t="array" ref="DP20">PRODUCT(1+預測IC!$C20:DP20)-1</f>
        <v>-0.85930087601795468</v>
      </c>
      <c r="DQ20" s="11">
        <f t="array" ref="DQ20">PRODUCT(1+預測IC!$C20:DQ20)-1</f>
        <v>-0.85121627879951023</v>
      </c>
      <c r="DR20" s="11">
        <f t="array" ref="DR20">PRODUCT(1+預測IC!$C20:DR20)-1</f>
        <v>-0.8395348730791522</v>
      </c>
      <c r="DS20" s="11">
        <f t="array" ref="DS20">PRODUCT(1+預測IC!$C20:DS20)-1</f>
        <v>-0.82833556932484831</v>
      </c>
      <c r="DT20" s="11">
        <f t="array" ref="DT20">PRODUCT(1+預測IC!$C20:DT20)-1</f>
        <v>-0.85124178165658593</v>
      </c>
      <c r="DU20" s="11">
        <f t="array" ref="DU20">PRODUCT(1+預測IC!$C20:DU20)-1</f>
        <v>-0.87747913142348022</v>
      </c>
      <c r="DV20" s="11">
        <f t="array" ref="DV20">PRODUCT(1+預測IC!$C20:DV20)-1</f>
        <v>-0.88998142809339975</v>
      </c>
      <c r="DW20" s="11">
        <f t="array" ref="DW20">PRODUCT(1+預測IC!$C20:DW20)-1</f>
        <v>-0.90137347715118366</v>
      </c>
      <c r="DX20" s="11">
        <f t="array" ref="DX20">PRODUCT(1+預測IC!$C20:DX20)-1</f>
        <v>-0.91102420255923655</v>
      </c>
      <c r="DY20" s="11">
        <f t="array" ref="DY20">PRODUCT(1+預測IC!$C20:DY20)-1</f>
        <v>-0.92769842982883222</v>
      </c>
      <c r="DZ20" s="11">
        <f t="array" ref="DZ20">PRODUCT(1+預測IC!$C20:DZ20)-1</f>
        <v>-0.9263886777381376</v>
      </c>
      <c r="EA20" s="11">
        <f t="array" ref="EA20">PRODUCT(1+預測IC!$C20:EA20)-1</f>
        <v>-0.90476968016946446</v>
      </c>
      <c r="EB20" s="11">
        <f t="array" ref="EB20">PRODUCT(1+預測IC!$C20:EB20)-1</f>
        <v>-0.91489403448405593</v>
      </c>
      <c r="EC20" s="11">
        <f t="array" ref="EC20">PRODUCT(1+預測IC!$C20:EC20)-1</f>
        <v>-0.91293850365081686</v>
      </c>
      <c r="ED20" s="11">
        <f t="array" ref="ED20">PRODUCT(1+預測IC!$C20:ED20)-1</f>
        <v>-0.91943553746507167</v>
      </c>
      <c r="EE20" s="11">
        <f t="array" ref="EE20">PRODUCT(1+預測IC!$C20:EE20)-1</f>
        <v>-0.9192952263971208</v>
      </c>
      <c r="EF20" s="11">
        <f t="array" ref="EF20">PRODUCT(1+預測IC!$C20:EF20)-1</f>
        <v>-0.91237075682199387</v>
      </c>
    </row>
    <row r="21" spans="1:136">
      <c r="A21" s="2">
        <v>4</v>
      </c>
      <c r="B21" s="2" t="s">
        <v>238</v>
      </c>
      <c r="C21" s="11">
        <f t="array" ref="C21">PRODUCT(1+預測IC!$C21:C21)-1</f>
        <v>-1.0384834477426885E-2</v>
      </c>
      <c r="D21" s="11">
        <f t="array" ref="D21">PRODUCT(1+預測IC!$C21:D21)-1</f>
        <v>-0.33201795891098185</v>
      </c>
      <c r="E21" s="11">
        <f t="array" ref="E21">PRODUCT(1+預測IC!$C21:E21)-1</f>
        <v>-0.3612205004509591</v>
      </c>
      <c r="F21" s="11">
        <f t="array" ref="F21">PRODUCT(1+預測IC!$C21:F21)-1</f>
        <v>-0.24366042739488003</v>
      </c>
      <c r="G21" s="11">
        <f t="array" ref="G21">PRODUCT(1+預測IC!$C21:G21)-1</f>
        <v>-0.13486691629980196</v>
      </c>
      <c r="H21" s="11">
        <f t="array" ref="H21">PRODUCT(1+預測IC!$C21:H21)-1</f>
        <v>-0.16760707935907637</v>
      </c>
      <c r="I21" s="11">
        <f t="array" ref="I21">PRODUCT(1+預測IC!$C21:I21)-1</f>
        <v>3.1603743343793678E-2</v>
      </c>
      <c r="J21" s="11">
        <f t="array" ref="J21">PRODUCT(1+預測IC!$C21:J21)-1</f>
        <v>0.12503262741043208</v>
      </c>
      <c r="K21" s="11">
        <f t="array" ref="K21">PRODUCT(1+預測IC!$C21:K21)-1</f>
        <v>0.3577794066237705</v>
      </c>
      <c r="L21" s="11">
        <f t="array" ref="L21">PRODUCT(1+預測IC!$C21:L21)-1</f>
        <v>0.43547991751300752</v>
      </c>
      <c r="M21" s="11">
        <f t="array" ref="M21">PRODUCT(1+預測IC!$C21:M21)-1</f>
        <v>0.29238468559007069</v>
      </c>
      <c r="N21" s="11">
        <f t="array" ref="N21">PRODUCT(1+預測IC!$C21:N21)-1</f>
        <v>0.11267772158662415</v>
      </c>
      <c r="O21" s="11">
        <f t="array" ref="O21">PRODUCT(1+預測IC!$C21:O21)-1</f>
        <v>0.15090041495171325</v>
      </c>
      <c r="P21" s="11">
        <f t="array" ref="P21">PRODUCT(1+預測IC!$C21:P21)-1</f>
        <v>0.31751926138929032</v>
      </c>
      <c r="Q21" s="11">
        <f t="array" ref="Q21">PRODUCT(1+預測IC!$C21:Q21)-1</f>
        <v>0.4244957240034466</v>
      </c>
      <c r="R21" s="11">
        <f t="array" ref="R21">PRODUCT(1+預測IC!$C21:R21)-1</f>
        <v>0.62775999708792973</v>
      </c>
      <c r="S21" s="11">
        <f t="array" ref="S21">PRODUCT(1+預測IC!$C21:S21)-1</f>
        <v>0.96822142427797075</v>
      </c>
      <c r="T21" s="11">
        <f t="array" ref="T21">PRODUCT(1+預測IC!$C21:T21)-1</f>
        <v>0.77442705048779548</v>
      </c>
      <c r="U21" s="11">
        <f t="array" ref="U21">PRODUCT(1+預測IC!$C21:U21)-1</f>
        <v>0.9167640219775588</v>
      </c>
      <c r="V21" s="11">
        <f t="array" ref="V21">PRODUCT(1+預測IC!$C21:V21)-1</f>
        <v>0.71479312032718556</v>
      </c>
      <c r="W21" s="11">
        <f t="array" ref="W21">PRODUCT(1+預測IC!$C21:W21)-1</f>
        <v>0.44421852101570392</v>
      </c>
      <c r="X21" s="11">
        <f t="array" ref="X21">PRODUCT(1+預測IC!$C21:X21)-1</f>
        <v>0.13568875762103949</v>
      </c>
      <c r="Y21" s="11">
        <f t="array" ref="Y21">PRODUCT(1+預測IC!$C21:Y21)-1</f>
        <v>3.0377220482411538E-2</v>
      </c>
      <c r="Z21" s="11">
        <f t="array" ref="Z21">PRODUCT(1+預測IC!$C21:Z21)-1</f>
        <v>-8.232564715202817E-2</v>
      </c>
      <c r="AA21" s="11">
        <f t="array" ref="AA21">PRODUCT(1+預測IC!$C21:AA21)-1</f>
        <v>1.920208720821992E-2</v>
      </c>
      <c r="AB21" s="11">
        <f t="array" ref="AB21">PRODUCT(1+預測IC!$C21:AB21)-1</f>
        <v>4.1579631046652077E-2</v>
      </c>
      <c r="AC21" s="11">
        <f t="array" ref="AC21">PRODUCT(1+預測IC!$C21:AC21)-1</f>
        <v>2.196904399413957E-2</v>
      </c>
      <c r="AD21" s="11">
        <f t="array" ref="AD21">PRODUCT(1+預測IC!$C21:AD21)-1</f>
        <v>4.8472049272874296E-2</v>
      </c>
      <c r="AE21" s="11">
        <f t="array" ref="AE21">PRODUCT(1+預測IC!$C21:AE21)-1</f>
        <v>0.18278653891343222</v>
      </c>
      <c r="AF21" s="11">
        <f t="array" ref="AF21">PRODUCT(1+預測IC!$C21:AF21)-1</f>
        <v>-0.16630611658516203</v>
      </c>
      <c r="AG21" s="11">
        <f t="array" ref="AG21">PRODUCT(1+預測IC!$C21:AG21)-1</f>
        <v>-0.15709665698731878</v>
      </c>
      <c r="AH21" s="11">
        <f t="array" ref="AH21">PRODUCT(1+預測IC!$C21:AH21)-1</f>
        <v>-6.6415966835590923E-2</v>
      </c>
      <c r="AI21" s="11">
        <f t="array" ref="AI21">PRODUCT(1+預測IC!$C21:AI21)-1</f>
        <v>-0.1407238498014971</v>
      </c>
      <c r="AJ21" s="11">
        <f t="array" ref="AJ21">PRODUCT(1+預測IC!$C21:AJ21)-1</f>
        <v>-8.0226218620326306E-2</v>
      </c>
      <c r="AK21" s="11">
        <f t="array" ref="AK21">PRODUCT(1+預測IC!$C21:AK21)-1</f>
        <v>-6.3377463179899896E-2</v>
      </c>
      <c r="AL21" s="11">
        <f t="array" ref="AL21">PRODUCT(1+預測IC!$C21:AL21)-1</f>
        <v>-9.8399171778907002E-2</v>
      </c>
      <c r="AM21" s="11">
        <f t="array" ref="AM21">PRODUCT(1+預測IC!$C21:AM21)-1</f>
        <v>-0.1601911125364921</v>
      </c>
      <c r="AN21" s="11">
        <f t="array" ref="AN21">PRODUCT(1+預測IC!$C21:AN21)-1</f>
        <v>-0.2542128034236415</v>
      </c>
      <c r="AO21" s="11">
        <f t="array" ref="AO21">PRODUCT(1+預測IC!$C21:AO21)-1</f>
        <v>-0.28980653823347047</v>
      </c>
      <c r="AP21" s="11">
        <f t="array" ref="AP21">PRODUCT(1+預測IC!$C21:AP21)-1</f>
        <v>-0.23829255352174628</v>
      </c>
      <c r="AQ21" s="11">
        <f t="array" ref="AQ21">PRODUCT(1+預測IC!$C21:AQ21)-1</f>
        <v>-0.21008181298977158</v>
      </c>
      <c r="AR21" s="11">
        <f t="array" ref="AR21">PRODUCT(1+預測IC!$C21:AR21)-1</f>
        <v>-0.2370953566556282</v>
      </c>
      <c r="AS21" s="11">
        <f t="array" ref="AS21">PRODUCT(1+預測IC!$C21:AS21)-1</f>
        <v>-0.2717363252380699</v>
      </c>
      <c r="AT21" s="11">
        <f t="array" ref="AT21">PRODUCT(1+預測IC!$C21:AT21)-1</f>
        <v>-7.8864242578618904E-2</v>
      </c>
      <c r="AU21" s="11">
        <f t="array" ref="AU21">PRODUCT(1+預測IC!$C21:AU21)-1</f>
        <v>-0.13731521568437099</v>
      </c>
      <c r="AV21" s="11">
        <f t="array" ref="AV21">PRODUCT(1+預測IC!$C21:AV21)-1</f>
        <v>-0.19659366263841649</v>
      </c>
      <c r="AW21" s="11">
        <f t="array" ref="AW21">PRODUCT(1+預測IC!$C21:AW21)-1</f>
        <v>-0.40809433079473301</v>
      </c>
      <c r="AX21" s="11">
        <f t="array" ref="AX21">PRODUCT(1+預測IC!$C21:AX21)-1</f>
        <v>-0.53696302834431475</v>
      </c>
      <c r="AY21" s="11">
        <f t="array" ref="AY21">PRODUCT(1+預測IC!$C21:AY21)-1</f>
        <v>-0.5673948806675172</v>
      </c>
      <c r="AZ21" s="11">
        <f t="array" ref="AZ21">PRODUCT(1+預測IC!$C21:AZ21)-1</f>
        <v>-0.60765285096952582</v>
      </c>
      <c r="BA21" s="11">
        <f t="array" ref="BA21">PRODUCT(1+預測IC!$C21:BA21)-1</f>
        <v>-0.61522248598104856</v>
      </c>
      <c r="BB21" s="11">
        <f t="array" ref="BB21">PRODUCT(1+預測IC!$C21:BB21)-1</f>
        <v>-0.52851436034721788</v>
      </c>
      <c r="BC21" s="11">
        <f t="array" ref="BC21">PRODUCT(1+預測IC!$C21:BC21)-1</f>
        <v>-0.60605513944131761</v>
      </c>
      <c r="BD21" s="11">
        <f t="array" ref="BD21">PRODUCT(1+預測IC!$C21:BD21)-1</f>
        <v>-0.5909975820086133</v>
      </c>
      <c r="BE21" s="11">
        <f t="array" ref="BE21">PRODUCT(1+預測IC!$C21:BE21)-1</f>
        <v>-0.60759919465609269</v>
      </c>
      <c r="BF21" s="11">
        <f t="array" ref="BF21">PRODUCT(1+預測IC!$C21:BF21)-1</f>
        <v>-0.63204174272076341</v>
      </c>
      <c r="BG21" s="11">
        <f t="array" ref="BG21">PRODUCT(1+預測IC!$C21:BG21)-1</f>
        <v>-0.66093557288405114</v>
      </c>
      <c r="BH21" s="11">
        <f t="array" ref="BH21">PRODUCT(1+預測IC!$C21:BH21)-1</f>
        <v>-0.69716193158012585</v>
      </c>
      <c r="BI21" s="11">
        <f t="array" ref="BI21">PRODUCT(1+預測IC!$C21:BI21)-1</f>
        <v>-0.68314749428785926</v>
      </c>
      <c r="BJ21" s="11">
        <f t="array" ref="BJ21">PRODUCT(1+預測IC!$C21:BJ21)-1</f>
        <v>-0.69061856781578879</v>
      </c>
      <c r="BK21" s="11">
        <f t="array" ref="BK21">PRODUCT(1+預測IC!$C21:BK21)-1</f>
        <v>-0.71628892347418971</v>
      </c>
      <c r="BL21" s="11">
        <f t="array" ref="BL21">PRODUCT(1+預測IC!$C21:BL21)-1</f>
        <v>-0.75678047831182549</v>
      </c>
      <c r="BM21" s="11">
        <f t="array" ref="BM21">PRODUCT(1+預測IC!$C21:BM21)-1</f>
        <v>-0.74685826835678781</v>
      </c>
      <c r="BN21" s="11">
        <f t="array" ref="BN21">PRODUCT(1+預測IC!$C21:BN21)-1</f>
        <v>-0.7629702201270826</v>
      </c>
      <c r="BO21" s="11">
        <f t="array" ref="BO21">PRODUCT(1+預測IC!$C21:BO21)-1</f>
        <v>-0.74783415343665505</v>
      </c>
      <c r="BP21" s="11">
        <f t="array" ref="BP21">PRODUCT(1+預測IC!$C21:BP21)-1</f>
        <v>-0.77418778653029985</v>
      </c>
      <c r="BQ21" s="11">
        <f t="array" ref="BQ21">PRODUCT(1+預測IC!$C21:BQ21)-1</f>
        <v>-0.78650408840261476</v>
      </c>
      <c r="BR21" s="11">
        <f t="array" ref="BR21">PRODUCT(1+預測IC!$C21:BR21)-1</f>
        <v>-0.7838729942112701</v>
      </c>
      <c r="BS21" s="11">
        <f t="array" ref="BS21">PRODUCT(1+預測IC!$C21:BS21)-1</f>
        <v>-0.78260645262028916</v>
      </c>
      <c r="BT21" s="11">
        <f t="array" ref="BT21">PRODUCT(1+預測IC!$C21:BT21)-1</f>
        <v>-0.80281366184292713</v>
      </c>
      <c r="BU21" s="11">
        <f t="array" ref="BU21">PRODUCT(1+預測IC!$C21:BU21)-1</f>
        <v>-0.80025090849974811</v>
      </c>
      <c r="BV21" s="11">
        <f t="array" ref="BV21">PRODUCT(1+預測IC!$C21:BV21)-1</f>
        <v>-0.79139403776936446</v>
      </c>
      <c r="BW21" s="11">
        <f t="array" ref="BW21">PRODUCT(1+預測IC!$C21:BW21)-1</f>
        <v>-0.8298736334787038</v>
      </c>
      <c r="BX21" s="11">
        <f t="array" ref="BX21">PRODUCT(1+預測IC!$C21:BX21)-1</f>
        <v>-0.8148379783757137</v>
      </c>
      <c r="BY21" s="11">
        <f t="array" ref="BY21">PRODUCT(1+預測IC!$C21:BY21)-1</f>
        <v>-0.82514526158361468</v>
      </c>
      <c r="BZ21" s="11">
        <f t="array" ref="BZ21">PRODUCT(1+預測IC!$C21:BZ21)-1</f>
        <v>-0.81681117264999514</v>
      </c>
      <c r="CA21" s="11">
        <f t="array" ref="CA21">PRODUCT(1+預測IC!$C21:CA21)-1</f>
        <v>-0.79939724272210366</v>
      </c>
      <c r="CB21" s="11">
        <f t="array" ref="CB21">PRODUCT(1+預測IC!$C21:CB21)-1</f>
        <v>-0.78465974061502286</v>
      </c>
      <c r="CC21" s="11">
        <f t="array" ref="CC21">PRODUCT(1+預測IC!$C21:CC21)-1</f>
        <v>-0.7863866618251607</v>
      </c>
      <c r="CD21" s="11">
        <f t="array" ref="CD21">PRODUCT(1+預測IC!$C21:CD21)-1</f>
        <v>-0.72485404433518652</v>
      </c>
      <c r="CE21" s="11">
        <f t="array" ref="CE21">PRODUCT(1+預測IC!$C21:CE21)-1</f>
        <v>-0.70792857844544332</v>
      </c>
      <c r="CF21" s="11">
        <f t="array" ref="CF21">PRODUCT(1+預測IC!$C21:CF21)-1</f>
        <v>-0.67447876078676816</v>
      </c>
      <c r="CG21" s="11">
        <f t="array" ref="CG21">PRODUCT(1+預測IC!$C21:CG21)-1</f>
        <v>-0.70217584462918081</v>
      </c>
      <c r="CH21" s="11">
        <f t="array" ref="CH21">PRODUCT(1+預測IC!$C21:CH21)-1</f>
        <v>-0.74882298201764552</v>
      </c>
      <c r="CI21" s="11">
        <f t="array" ref="CI21">PRODUCT(1+預測IC!$C21:CI21)-1</f>
        <v>-0.77979116171298046</v>
      </c>
      <c r="CJ21" s="11">
        <f t="array" ref="CJ21">PRODUCT(1+預測IC!$C21:CJ21)-1</f>
        <v>-0.79193366391679332</v>
      </c>
      <c r="CK21" s="11">
        <f t="array" ref="CK21">PRODUCT(1+預測IC!$C21:CK21)-1</f>
        <v>-0.77796000570822388</v>
      </c>
      <c r="CL21" s="11">
        <f t="array" ref="CL21">PRODUCT(1+預測IC!$C21:CL21)-1</f>
        <v>-0.73634235647123103</v>
      </c>
      <c r="CM21" s="11">
        <f t="array" ref="CM21">PRODUCT(1+預測IC!$C21:CM21)-1</f>
        <v>-0.71973341911358468</v>
      </c>
      <c r="CN21" s="11">
        <f t="array" ref="CN21">PRODUCT(1+預測IC!$C21:CN21)-1</f>
        <v>-0.7228948962126287</v>
      </c>
      <c r="CO21" s="11">
        <f t="array" ref="CO21">PRODUCT(1+預測IC!$C21:CO21)-1</f>
        <v>-0.7887882678260647</v>
      </c>
      <c r="CP21" s="11">
        <f t="array" ref="CP21">PRODUCT(1+預測IC!$C21:CP21)-1</f>
        <v>-0.8095519242378787</v>
      </c>
      <c r="CQ21" s="11">
        <f t="array" ref="CQ21">PRODUCT(1+預測IC!$C21:CQ21)-1</f>
        <v>-0.81391550752894737</v>
      </c>
      <c r="CR21" s="11">
        <f t="array" ref="CR21">PRODUCT(1+預測IC!$C21:CR21)-1</f>
        <v>-0.7694301550184639</v>
      </c>
      <c r="CS21" s="11">
        <f t="array" ref="CS21">PRODUCT(1+預測IC!$C21:CS21)-1</f>
        <v>-0.76230387517715825</v>
      </c>
      <c r="CT21" s="11">
        <f t="array" ref="CT21">PRODUCT(1+預測IC!$C21:CT21)-1</f>
        <v>-0.78276298839908276</v>
      </c>
      <c r="CU21" s="11">
        <f t="array" ref="CU21">PRODUCT(1+預測IC!$C21:CU21)-1</f>
        <v>-0.81728556052503731</v>
      </c>
      <c r="CV21" s="11">
        <f t="array" ref="CV21">PRODUCT(1+預測IC!$C21:CV21)-1</f>
        <v>-0.78908690401391435</v>
      </c>
      <c r="CW21" s="11">
        <f t="array" ref="CW21">PRODUCT(1+預測IC!$C21:CW21)-1</f>
        <v>-0.78099933233332108</v>
      </c>
      <c r="CX21" s="11">
        <f t="array" ref="CX21">PRODUCT(1+預測IC!$C21:CX21)-1</f>
        <v>-0.75863450768077501</v>
      </c>
      <c r="CY21" s="11">
        <f t="array" ref="CY21">PRODUCT(1+預測IC!$C21:CY21)-1</f>
        <v>-0.7218377817286723</v>
      </c>
      <c r="CZ21" s="11">
        <f t="array" ref="CZ21">PRODUCT(1+預測IC!$C21:CZ21)-1</f>
        <v>-0.65578778168819185</v>
      </c>
      <c r="DA21" s="11">
        <f t="array" ref="DA21">PRODUCT(1+預測IC!$C21:DA21)-1</f>
        <v>-0.64143077611546084</v>
      </c>
      <c r="DB21" s="11">
        <f t="array" ref="DB21">PRODUCT(1+預測IC!$C21:DB21)-1</f>
        <v>-0.61580759866128365</v>
      </c>
      <c r="DC21" s="11">
        <f t="array" ref="DC21">PRODUCT(1+預測IC!$C21:DC21)-1</f>
        <v>-0.67493665157191951</v>
      </c>
      <c r="DD21" s="11">
        <f t="array" ref="DD21">PRODUCT(1+預測IC!$C21:DD21)-1</f>
        <v>-0.69672467262700843</v>
      </c>
      <c r="DE21" s="11">
        <f t="array" ref="DE21">PRODUCT(1+預測IC!$C21:DE21)-1</f>
        <v>-0.70551290532050748</v>
      </c>
      <c r="DF21" s="11">
        <f t="array" ref="DF21">PRODUCT(1+預測IC!$C21:DF21)-1</f>
        <v>-0.74933520667715581</v>
      </c>
      <c r="DG21" s="11">
        <f t="array" ref="DG21">PRODUCT(1+預測IC!$C21:DG21)-1</f>
        <v>-0.78647995181285069</v>
      </c>
      <c r="DH21" s="11">
        <f t="array" ref="DH21">PRODUCT(1+預測IC!$C21:DH21)-1</f>
        <v>-0.76909151964863387</v>
      </c>
      <c r="DI21" s="11">
        <f t="array" ref="DI21">PRODUCT(1+預測IC!$C21:DI21)-1</f>
        <v>-0.72756493854224413</v>
      </c>
      <c r="DJ21" s="11">
        <f t="array" ref="DJ21">PRODUCT(1+預測IC!$C21:DJ21)-1</f>
        <v>-0.73789330948125853</v>
      </c>
      <c r="DK21" s="11">
        <f t="array" ref="DK21">PRODUCT(1+預測IC!$C21:DK21)-1</f>
        <v>-0.70132871667854924</v>
      </c>
      <c r="DL21" s="11">
        <f t="array" ref="DL21">PRODUCT(1+預測IC!$C21:DL21)-1</f>
        <v>-0.70513289027581127</v>
      </c>
      <c r="DM21" s="11">
        <f t="array" ref="DM21">PRODUCT(1+預測IC!$C21:DM21)-1</f>
        <v>-0.70387835927983622</v>
      </c>
      <c r="DN21" s="11">
        <f t="array" ref="DN21">PRODUCT(1+預測IC!$C21:DN21)-1</f>
        <v>-0.76911266589614002</v>
      </c>
      <c r="DO21" s="11">
        <f t="array" ref="DO21">PRODUCT(1+預測IC!$C21:DO21)-1</f>
        <v>-0.76482767194864487</v>
      </c>
      <c r="DP21" s="11">
        <f t="array" ref="DP21">PRODUCT(1+預測IC!$C21:DP21)-1</f>
        <v>-0.81868681257481024</v>
      </c>
      <c r="DQ21" s="11">
        <f t="array" ref="DQ21">PRODUCT(1+預測IC!$C21:DQ21)-1</f>
        <v>-0.80591824858681438</v>
      </c>
      <c r="DR21" s="11">
        <f t="array" ref="DR21">PRODUCT(1+預測IC!$C21:DR21)-1</f>
        <v>-0.79618100039499373</v>
      </c>
      <c r="DS21" s="11">
        <f t="array" ref="DS21">PRODUCT(1+預測IC!$C21:DS21)-1</f>
        <v>-0.77893680555636557</v>
      </c>
      <c r="DT21" s="11">
        <f t="array" ref="DT21">PRODUCT(1+預測IC!$C21:DT21)-1</f>
        <v>-0.81664373207682839</v>
      </c>
      <c r="DU21" s="11">
        <f t="array" ref="DU21">PRODUCT(1+預測IC!$C21:DU21)-1</f>
        <v>-0.84389317799516361</v>
      </c>
      <c r="DV21" s="11">
        <f t="array" ref="DV21">PRODUCT(1+預測IC!$C21:DV21)-1</f>
        <v>-0.86807385171316009</v>
      </c>
      <c r="DW21" s="11">
        <f t="array" ref="DW21">PRODUCT(1+預測IC!$C21:DW21)-1</f>
        <v>-0.88173295740218638</v>
      </c>
      <c r="DX21" s="11">
        <f t="array" ref="DX21">PRODUCT(1+預測IC!$C21:DX21)-1</f>
        <v>-0.89554996469766246</v>
      </c>
      <c r="DY21" s="11">
        <f t="array" ref="DY21">PRODUCT(1+預測IC!$C21:DY21)-1</f>
        <v>-0.91912035615413989</v>
      </c>
      <c r="DZ21" s="11">
        <f t="array" ref="DZ21">PRODUCT(1+預測IC!$C21:DZ21)-1</f>
        <v>-0.90457083438596197</v>
      </c>
      <c r="EA21" s="11">
        <f t="array" ref="EA21">PRODUCT(1+預測IC!$C21:EA21)-1</f>
        <v>-0.87918116529831369</v>
      </c>
      <c r="EB21" s="11">
        <f t="array" ref="EB21">PRODUCT(1+預測IC!$C21:EB21)-1</f>
        <v>-0.8916615092853285</v>
      </c>
      <c r="EC21" s="11">
        <f t="array" ref="EC21">PRODUCT(1+預測IC!$C21:EC21)-1</f>
        <v>-0.88871583989204195</v>
      </c>
      <c r="ED21" s="11">
        <f t="array" ref="ED21">PRODUCT(1+預測IC!$C21:ED21)-1</f>
        <v>-0.89792235063673331</v>
      </c>
      <c r="EE21" s="11">
        <f t="array" ref="EE21">PRODUCT(1+預測IC!$C21:EE21)-1</f>
        <v>-0.90009762534466453</v>
      </c>
      <c r="EF21" s="11">
        <f t="array" ref="EF21">PRODUCT(1+預測IC!$C21:EF21)-1</f>
        <v>-0.89722098641765147</v>
      </c>
    </row>
    <row r="22" spans="1:136">
      <c r="A22" s="2">
        <v>3</v>
      </c>
      <c r="B22" s="2" t="s">
        <v>239</v>
      </c>
      <c r="C22" s="11">
        <f t="array" ref="C22">PRODUCT(1+預測IC!$C22:C22)-1</f>
        <v>-2.592232660852678E-2</v>
      </c>
      <c r="D22" s="11">
        <f t="array" ref="D22">PRODUCT(1+預測IC!$C22:D22)-1</f>
        <v>-0.43252370378447702</v>
      </c>
      <c r="E22" s="11">
        <f t="array" ref="E22">PRODUCT(1+預測IC!$C22:E22)-1</f>
        <v>-0.44513893579669361</v>
      </c>
      <c r="F22" s="11">
        <f t="array" ref="F22">PRODUCT(1+預測IC!$C22:F22)-1</f>
        <v>-0.40750212114787421</v>
      </c>
      <c r="G22" s="11">
        <f t="array" ref="G22">PRODUCT(1+預測IC!$C22:G22)-1</f>
        <v>-0.34595085625244759</v>
      </c>
      <c r="H22" s="11">
        <f t="array" ref="H22">PRODUCT(1+預測IC!$C22:H22)-1</f>
        <v>-0.49625497585548817</v>
      </c>
      <c r="I22" s="11">
        <f t="array" ref="I22">PRODUCT(1+預測IC!$C22:I22)-1</f>
        <v>-0.36808566703570533</v>
      </c>
      <c r="J22" s="11">
        <f t="array" ref="J22">PRODUCT(1+預測IC!$C22:J22)-1</f>
        <v>-0.29328073444494007</v>
      </c>
      <c r="K22" s="11">
        <f t="array" ref="K22">PRODUCT(1+預測IC!$C22:K22)-1</f>
        <v>-0.11987591684153609</v>
      </c>
      <c r="L22" s="11">
        <f t="array" ref="L22">PRODUCT(1+預測IC!$C22:L22)-1</f>
        <v>-2.5273871081062715E-2</v>
      </c>
      <c r="M22" s="11">
        <f t="array" ref="M22">PRODUCT(1+預測IC!$C22:M22)-1</f>
        <v>-9.7501134519168642E-2</v>
      </c>
      <c r="N22" s="11">
        <f t="array" ref="N22">PRODUCT(1+預測IC!$C22:N22)-1</f>
        <v>-0.1859738751801665</v>
      </c>
      <c r="O22" s="11">
        <f t="array" ref="O22">PRODUCT(1+預測IC!$C22:O22)-1</f>
        <v>-0.19144077557673056</v>
      </c>
      <c r="P22" s="11">
        <f t="array" ref="P22">PRODUCT(1+預測IC!$C22:P22)-1</f>
        <v>-0.13259150323424562</v>
      </c>
      <c r="Q22" s="11">
        <f t="array" ref="Q22">PRODUCT(1+預測IC!$C22:Q22)-1</f>
        <v>-5.5147088418326273E-2</v>
      </c>
      <c r="R22" s="11">
        <f t="array" ref="R22">PRODUCT(1+預測IC!$C22:R22)-1</f>
        <v>0.11556868071670023</v>
      </c>
      <c r="S22" s="11">
        <f t="array" ref="S22">PRODUCT(1+預測IC!$C22:S22)-1</f>
        <v>0.39117731898349528</v>
      </c>
      <c r="T22" s="11">
        <f t="array" ref="T22">PRODUCT(1+預測IC!$C22:T22)-1</f>
        <v>0.21197639911724364</v>
      </c>
      <c r="U22" s="11">
        <f t="array" ref="U22">PRODUCT(1+預測IC!$C22:U22)-1</f>
        <v>0.39623218061707211</v>
      </c>
      <c r="V22" s="11">
        <f t="array" ref="V22">PRODUCT(1+預測IC!$C22:V22)-1</f>
        <v>0.31661324876883623</v>
      </c>
      <c r="W22" s="11">
        <f t="array" ref="W22">PRODUCT(1+預測IC!$C22:W22)-1</f>
        <v>4.3441980346550224E-2</v>
      </c>
      <c r="X22" s="11">
        <f t="array" ref="X22">PRODUCT(1+預測IC!$C22:X22)-1</f>
        <v>-0.18797963471439472</v>
      </c>
      <c r="Y22" s="11">
        <f t="array" ref="Y22">PRODUCT(1+預測IC!$C22:Y22)-1</f>
        <v>-0.22690653672219285</v>
      </c>
      <c r="Z22" s="11">
        <f t="array" ref="Z22">PRODUCT(1+預測IC!$C22:Z22)-1</f>
        <v>-0.34298660521145996</v>
      </c>
      <c r="AA22" s="11">
        <f t="array" ref="AA22">PRODUCT(1+預測IC!$C22:AA22)-1</f>
        <v>-0.28876695220940973</v>
      </c>
      <c r="AB22" s="11">
        <f t="array" ref="AB22">PRODUCT(1+預測IC!$C22:AB22)-1</f>
        <v>-0.2915160316118669</v>
      </c>
      <c r="AC22" s="11">
        <f t="array" ref="AC22">PRODUCT(1+預測IC!$C22:AC22)-1</f>
        <v>-0.35228727889382527</v>
      </c>
      <c r="AD22" s="11">
        <f t="array" ref="AD22">PRODUCT(1+預測IC!$C22:AD22)-1</f>
        <v>-0.34024387099443121</v>
      </c>
      <c r="AE22" s="11">
        <f t="array" ref="AE22">PRODUCT(1+預測IC!$C22:AE22)-1</f>
        <v>-0.25393203887629356</v>
      </c>
      <c r="AF22" s="11">
        <f t="array" ref="AF22">PRODUCT(1+預測IC!$C22:AF22)-1</f>
        <v>-0.57467916546721498</v>
      </c>
      <c r="AG22" s="11">
        <f t="array" ref="AG22">PRODUCT(1+預測IC!$C22:AG22)-1</f>
        <v>-0.57008055383107314</v>
      </c>
      <c r="AH22" s="11">
        <f t="array" ref="AH22">PRODUCT(1+預測IC!$C22:AH22)-1</f>
        <v>-0.52456671918888143</v>
      </c>
      <c r="AI22" s="11">
        <f t="array" ref="AI22">PRODUCT(1+預測IC!$C22:AI22)-1</f>
        <v>-0.56932460760291725</v>
      </c>
      <c r="AJ22" s="11">
        <f t="array" ref="AJ22">PRODUCT(1+預測IC!$C22:AJ22)-1</f>
        <v>-0.55567226255533786</v>
      </c>
      <c r="AK22" s="11">
        <f t="array" ref="AK22">PRODUCT(1+預測IC!$C22:AK22)-1</f>
        <v>-0.52075886902870827</v>
      </c>
      <c r="AL22" s="11">
        <f t="array" ref="AL22">PRODUCT(1+預測IC!$C22:AL22)-1</f>
        <v>-0.52130746891882918</v>
      </c>
      <c r="AM22" s="11">
        <f t="array" ref="AM22">PRODUCT(1+預測IC!$C22:AM22)-1</f>
        <v>-0.56156019895562448</v>
      </c>
      <c r="AN22" s="11">
        <f t="array" ref="AN22">PRODUCT(1+預測IC!$C22:AN22)-1</f>
        <v>-0.61028524591401778</v>
      </c>
      <c r="AO22" s="11">
        <f t="array" ref="AO22">PRODUCT(1+預測IC!$C22:AO22)-1</f>
        <v>-0.63940370871209629</v>
      </c>
      <c r="AP22" s="11">
        <f t="array" ref="AP22">PRODUCT(1+預測IC!$C22:AP22)-1</f>
        <v>-0.61685333142941834</v>
      </c>
      <c r="AQ22" s="11">
        <f t="array" ref="AQ22">PRODUCT(1+預測IC!$C22:AQ22)-1</f>
        <v>-0.63797495082417122</v>
      </c>
      <c r="AR22" s="11">
        <f t="array" ref="AR22">PRODUCT(1+預測IC!$C22:AR22)-1</f>
        <v>-0.67714016033516966</v>
      </c>
      <c r="AS22" s="11">
        <f t="array" ref="AS22">PRODUCT(1+預測IC!$C22:AS22)-1</f>
        <v>-0.65329899432576388</v>
      </c>
      <c r="AT22" s="11">
        <f t="array" ref="AT22">PRODUCT(1+預測IC!$C22:AT22)-1</f>
        <v>-0.64715255027302676</v>
      </c>
      <c r="AU22" s="11">
        <f t="array" ref="AU22">PRODUCT(1+預測IC!$C22:AU22)-1</f>
        <v>-0.68593563562451543</v>
      </c>
      <c r="AV22" s="11">
        <f t="array" ref="AV22">PRODUCT(1+預測IC!$C22:AV22)-1</f>
        <v>-0.71412416289119851</v>
      </c>
      <c r="AW22" s="11">
        <f t="array" ref="AW22">PRODUCT(1+預測IC!$C22:AW22)-1</f>
        <v>-0.82012671708637752</v>
      </c>
      <c r="AX22" s="11">
        <f t="array" ref="AX22">PRODUCT(1+預測IC!$C22:AX22)-1</f>
        <v>-0.8183504349601507</v>
      </c>
      <c r="AY22" s="11">
        <f t="array" ref="AY22">PRODUCT(1+預測IC!$C22:AY22)-1</f>
        <v>-0.83623497469449282</v>
      </c>
      <c r="AZ22" s="11">
        <f t="array" ref="AZ22">PRODUCT(1+預測IC!$C22:AZ22)-1</f>
        <v>-0.87348914274180023</v>
      </c>
      <c r="BA22" s="11">
        <f t="array" ref="BA22">PRODUCT(1+預測IC!$C22:BA22)-1</f>
        <v>-0.87971055954655597</v>
      </c>
      <c r="BB22" s="11">
        <f t="array" ref="BB22">PRODUCT(1+預測IC!$C22:BB22)-1</f>
        <v>-0.843391575461649</v>
      </c>
      <c r="BC22" s="11">
        <f t="array" ref="BC22">PRODUCT(1+預測IC!$C22:BC22)-1</f>
        <v>-0.87402826065657735</v>
      </c>
      <c r="BD22" s="11">
        <f t="array" ref="BD22">PRODUCT(1+預測IC!$C22:BD22)-1</f>
        <v>-0.86404323670926031</v>
      </c>
      <c r="BE22" s="11">
        <f t="array" ref="BE22">PRODUCT(1+預測IC!$C22:BE22)-1</f>
        <v>-0.87335432628106879</v>
      </c>
      <c r="BF22" s="11">
        <f t="array" ref="BF22">PRODUCT(1+預測IC!$C22:BF22)-1</f>
        <v>-0.88030540072880614</v>
      </c>
      <c r="BG22" s="11">
        <f t="array" ref="BG22">PRODUCT(1+預測IC!$C22:BG22)-1</f>
        <v>-0.8918175873885098</v>
      </c>
      <c r="BH22" s="11">
        <f t="array" ref="BH22">PRODUCT(1+預測IC!$C22:BH22)-1</f>
        <v>-0.90563323977241228</v>
      </c>
      <c r="BI22" s="11">
        <f t="array" ref="BI22">PRODUCT(1+預測IC!$C22:BI22)-1</f>
        <v>-0.89786219997884398</v>
      </c>
      <c r="BJ22" s="11">
        <f t="array" ref="BJ22">PRODUCT(1+預測IC!$C22:BJ22)-1</f>
        <v>-0.90347941283138877</v>
      </c>
      <c r="BK22" s="11">
        <f t="array" ref="BK22">PRODUCT(1+預測IC!$C22:BK22)-1</f>
        <v>-0.90549232606107555</v>
      </c>
      <c r="BL22" s="11">
        <f t="array" ref="BL22">PRODUCT(1+預測IC!$C22:BL22)-1</f>
        <v>-0.92078180959572964</v>
      </c>
      <c r="BM22" s="11">
        <f t="array" ref="BM22">PRODUCT(1+預測IC!$C22:BM22)-1</f>
        <v>-0.92058927111121058</v>
      </c>
      <c r="BN22" s="11">
        <f t="array" ref="BN22">PRODUCT(1+預測IC!$C22:BN22)-1</f>
        <v>-0.91937209903297989</v>
      </c>
      <c r="BO22" s="11">
        <f t="array" ref="BO22">PRODUCT(1+預測IC!$C22:BO22)-1</f>
        <v>-0.91530164548210058</v>
      </c>
      <c r="BP22" s="11">
        <f t="array" ref="BP22">PRODUCT(1+預測IC!$C22:BP22)-1</f>
        <v>-0.92164009343967979</v>
      </c>
      <c r="BQ22" s="11">
        <f t="array" ref="BQ22">PRODUCT(1+預測IC!$C22:BQ22)-1</f>
        <v>-0.92382085727137619</v>
      </c>
      <c r="BR22" s="11">
        <f t="array" ref="BR22">PRODUCT(1+預測IC!$C22:BR22)-1</f>
        <v>-0.92223529434513341</v>
      </c>
      <c r="BS22" s="11">
        <f t="array" ref="BS22">PRODUCT(1+預測IC!$C22:BS22)-1</f>
        <v>-0.92350851894741637</v>
      </c>
      <c r="BT22" s="11">
        <f t="array" ref="BT22">PRODUCT(1+預測IC!$C22:BT22)-1</f>
        <v>-0.91837263495748189</v>
      </c>
      <c r="BU22" s="11">
        <f t="array" ref="BU22">PRODUCT(1+預測IC!$C22:BU22)-1</f>
        <v>-0.91507746323568862</v>
      </c>
      <c r="BV22" s="11">
        <f t="array" ref="BV22">PRODUCT(1+預測IC!$C22:BV22)-1</f>
        <v>-0.91094992778267214</v>
      </c>
      <c r="BW22" s="11">
        <f t="array" ref="BW22">PRODUCT(1+預測IC!$C22:BW22)-1</f>
        <v>-0.92271983536402702</v>
      </c>
      <c r="BX22" s="11">
        <f t="array" ref="BX22">PRODUCT(1+預測IC!$C22:BX22)-1</f>
        <v>-0.91090081021211489</v>
      </c>
      <c r="BY22" s="11">
        <f t="array" ref="BY22">PRODUCT(1+預測IC!$C22:BY22)-1</f>
        <v>-0.91585446231907153</v>
      </c>
      <c r="BZ22" s="11">
        <f t="array" ref="BZ22">PRODUCT(1+預測IC!$C22:BZ22)-1</f>
        <v>-0.91187793472530521</v>
      </c>
      <c r="CA22" s="11">
        <f t="array" ref="CA22">PRODUCT(1+預測IC!$C22:CA22)-1</f>
        <v>-0.89918127818650539</v>
      </c>
      <c r="CB22" s="11">
        <f t="array" ref="CB22">PRODUCT(1+預測IC!$C22:CB22)-1</f>
        <v>-0.89276877702963298</v>
      </c>
      <c r="CC22" s="11">
        <f t="array" ref="CC22">PRODUCT(1+預測IC!$C22:CC22)-1</f>
        <v>-0.90618393917934081</v>
      </c>
      <c r="CD22" s="11">
        <f t="array" ref="CD22">PRODUCT(1+預測IC!$C22:CD22)-1</f>
        <v>-0.87486081698041773</v>
      </c>
      <c r="CE22" s="11">
        <f t="array" ref="CE22">PRODUCT(1+預測IC!$C22:CE22)-1</f>
        <v>-0.86649651398738881</v>
      </c>
      <c r="CF22" s="11">
        <f t="array" ref="CF22">PRODUCT(1+預測IC!$C22:CF22)-1</f>
        <v>-0.85304332003660566</v>
      </c>
      <c r="CG22" s="11">
        <f t="array" ref="CG22">PRODUCT(1+預測IC!$C22:CG22)-1</f>
        <v>-0.88347589298954188</v>
      </c>
      <c r="CH22" s="11">
        <f t="array" ref="CH22">PRODUCT(1+預測IC!$C22:CH22)-1</f>
        <v>-0.9013747281581681</v>
      </c>
      <c r="CI22" s="11">
        <f t="array" ref="CI22">PRODUCT(1+預測IC!$C22:CI22)-1</f>
        <v>-0.92410272480357458</v>
      </c>
      <c r="CJ22" s="11">
        <f t="array" ref="CJ22">PRODUCT(1+預測IC!$C22:CJ22)-1</f>
        <v>-0.93369047536102878</v>
      </c>
      <c r="CK22" s="11">
        <f t="array" ref="CK22">PRODUCT(1+預測IC!$C22:CK22)-1</f>
        <v>-0.92633518813334048</v>
      </c>
      <c r="CL22" s="11">
        <f t="array" ref="CL22">PRODUCT(1+預測IC!$C22:CL22)-1</f>
        <v>-0.9193372511147313</v>
      </c>
      <c r="CM22" s="11">
        <f t="array" ref="CM22">PRODUCT(1+預測IC!$C22:CM22)-1</f>
        <v>-0.91559116989088452</v>
      </c>
      <c r="CN22" s="11">
        <f t="array" ref="CN22">PRODUCT(1+預測IC!$C22:CN22)-1</f>
        <v>-0.91374672440789351</v>
      </c>
      <c r="CO22" s="11">
        <f t="array" ref="CO22">PRODUCT(1+預測IC!$C22:CO22)-1</f>
        <v>-0.92972822794778531</v>
      </c>
      <c r="CP22" s="11">
        <f t="array" ref="CP22">PRODUCT(1+預測IC!$C22:CP22)-1</f>
        <v>-0.94180399159176964</v>
      </c>
      <c r="CQ22" s="11">
        <f t="array" ref="CQ22">PRODUCT(1+預測IC!$C22:CQ22)-1</f>
        <v>-0.94280261272080257</v>
      </c>
      <c r="CR22" s="11">
        <f t="array" ref="CR22">PRODUCT(1+預測IC!$C22:CR22)-1</f>
        <v>-0.92868785502561624</v>
      </c>
      <c r="CS22" s="11">
        <f t="array" ref="CS22">PRODUCT(1+預測IC!$C22:CS22)-1</f>
        <v>-0.92694503374387227</v>
      </c>
      <c r="CT22" s="11">
        <f t="array" ref="CT22">PRODUCT(1+預測IC!$C22:CT22)-1</f>
        <v>-0.93615663512264169</v>
      </c>
      <c r="CU22" s="11">
        <f t="array" ref="CU22">PRODUCT(1+預測IC!$C22:CU22)-1</f>
        <v>-0.94684107193816602</v>
      </c>
      <c r="CV22" s="11">
        <f t="array" ref="CV22">PRODUCT(1+預測IC!$C22:CV22)-1</f>
        <v>-0.93800485251946264</v>
      </c>
      <c r="CW22" s="11">
        <f t="array" ref="CW22">PRODUCT(1+預測IC!$C22:CW22)-1</f>
        <v>-0.93658615294014036</v>
      </c>
      <c r="CX22" s="11">
        <f t="array" ref="CX22">PRODUCT(1+預測IC!$C22:CX22)-1</f>
        <v>-0.93634837680611627</v>
      </c>
      <c r="CY22" s="11">
        <f t="array" ref="CY22">PRODUCT(1+預測IC!$C22:CY22)-1</f>
        <v>-0.92600881549110403</v>
      </c>
      <c r="CZ22" s="11">
        <f t="array" ref="CZ22">PRODUCT(1+預測IC!$C22:CZ22)-1</f>
        <v>-0.90655501740395339</v>
      </c>
      <c r="DA22" s="11">
        <f t="array" ref="DA22">PRODUCT(1+預測IC!$C22:DA22)-1</f>
        <v>-0.90352235393878133</v>
      </c>
      <c r="DB22" s="11">
        <f t="array" ref="DB22">PRODUCT(1+預測IC!$C22:DB22)-1</f>
        <v>-0.89830863762720237</v>
      </c>
      <c r="DC22" s="11">
        <f t="array" ref="DC22">PRODUCT(1+預測IC!$C22:DC22)-1</f>
        <v>-0.91266412614990078</v>
      </c>
      <c r="DD22" s="11">
        <f t="array" ref="DD22">PRODUCT(1+預測IC!$C22:DD22)-1</f>
        <v>-0.91405829781612791</v>
      </c>
      <c r="DE22" s="11">
        <f t="array" ref="DE22">PRODUCT(1+預測IC!$C22:DE22)-1</f>
        <v>-0.91253227368033785</v>
      </c>
      <c r="DF22" s="11">
        <f t="array" ref="DF22">PRODUCT(1+預測IC!$C22:DF22)-1</f>
        <v>-0.92102291506231015</v>
      </c>
      <c r="DG22" s="11">
        <f t="array" ref="DG22">PRODUCT(1+預測IC!$C22:DG22)-1</f>
        <v>-0.92798248718443965</v>
      </c>
      <c r="DH22" s="11">
        <f t="array" ref="DH22">PRODUCT(1+預測IC!$C22:DH22)-1</f>
        <v>-0.92211627667221063</v>
      </c>
      <c r="DI22" s="11">
        <f t="array" ref="DI22">PRODUCT(1+預測IC!$C22:DI22)-1</f>
        <v>-0.91743372549705615</v>
      </c>
      <c r="DJ22" s="11">
        <f t="array" ref="DJ22">PRODUCT(1+預測IC!$C22:DJ22)-1</f>
        <v>-0.92158235100734809</v>
      </c>
      <c r="DK22" s="11">
        <f t="array" ref="DK22">PRODUCT(1+預測IC!$C22:DK22)-1</f>
        <v>-0.9075350278963894</v>
      </c>
      <c r="DL22" s="11">
        <f t="array" ref="DL22">PRODUCT(1+預測IC!$C22:DL22)-1</f>
        <v>-0.90783214843391336</v>
      </c>
      <c r="DM22" s="11">
        <f t="array" ref="DM22">PRODUCT(1+預測IC!$C22:DM22)-1</f>
        <v>-0.90389874258963332</v>
      </c>
      <c r="DN22" s="11">
        <f t="array" ref="DN22">PRODUCT(1+預測IC!$C22:DN22)-1</f>
        <v>-0.93324566678831833</v>
      </c>
      <c r="DO22" s="11">
        <f t="array" ref="DO22">PRODUCT(1+預測IC!$C22:DO22)-1</f>
        <v>-0.93483232839117658</v>
      </c>
      <c r="DP22" s="11">
        <f t="array" ref="DP22">PRODUCT(1+預測IC!$C22:DP22)-1</f>
        <v>-0.94588231728611716</v>
      </c>
      <c r="DQ22" s="11">
        <f t="array" ref="DQ22">PRODUCT(1+預測IC!$C22:DQ22)-1</f>
        <v>-0.93693102708150011</v>
      </c>
      <c r="DR22" s="11">
        <f t="array" ref="DR22">PRODUCT(1+預測IC!$C22:DR22)-1</f>
        <v>-0.93731527811740012</v>
      </c>
      <c r="DS22" s="11">
        <f t="array" ref="DS22">PRODUCT(1+預測IC!$C22:DS22)-1</f>
        <v>-0.92919611226937493</v>
      </c>
      <c r="DT22" s="11">
        <f t="array" ref="DT22">PRODUCT(1+預測IC!$C22:DT22)-1</f>
        <v>-0.93332801538267707</v>
      </c>
      <c r="DU22" s="11">
        <f t="array" ref="DU22">PRODUCT(1+預測IC!$C22:DU22)-1</f>
        <v>-0.94409858558567217</v>
      </c>
      <c r="DV22" s="11">
        <f t="array" ref="DV22">PRODUCT(1+預測IC!$C22:DV22)-1</f>
        <v>-0.95287859419476917</v>
      </c>
      <c r="DW22" s="11">
        <f t="array" ref="DW22">PRODUCT(1+預測IC!$C22:DW22)-1</f>
        <v>-0.95671503056980778</v>
      </c>
      <c r="DX22" s="11">
        <f t="array" ref="DX22">PRODUCT(1+預測IC!$C22:DX22)-1</f>
        <v>-0.96382900723473297</v>
      </c>
      <c r="DY22" s="11">
        <f t="array" ref="DY22">PRODUCT(1+預測IC!$C22:DY22)-1</f>
        <v>-0.97532249833866058</v>
      </c>
      <c r="DZ22" s="11">
        <f t="array" ref="DZ22">PRODUCT(1+預測IC!$C22:DZ22)-1</f>
        <v>-0.97123525637226316</v>
      </c>
      <c r="EA22" s="11">
        <f t="array" ref="EA22">PRODUCT(1+預測IC!$C22:EA22)-1</f>
        <v>-0.96719794242740065</v>
      </c>
      <c r="EB22" s="11">
        <f t="array" ref="EB22">PRODUCT(1+預測IC!$C22:EB22)-1</f>
        <v>-0.97188635145027147</v>
      </c>
      <c r="EC22" s="11">
        <f t="array" ref="EC22">PRODUCT(1+預測IC!$C22:EC22)-1</f>
        <v>-0.96940993260412012</v>
      </c>
      <c r="ED22" s="11">
        <f t="array" ref="ED22">PRODUCT(1+預測IC!$C22:ED22)-1</f>
        <v>-0.97116884108600487</v>
      </c>
      <c r="EE22" s="11">
        <f t="array" ref="EE22">PRODUCT(1+預測IC!$C22:EE22)-1</f>
        <v>-0.972542242172032</v>
      </c>
      <c r="EF22" s="11">
        <f t="array" ref="EF22">PRODUCT(1+預測IC!$C22:EF22)-1</f>
        <v>-0.97153748959241903</v>
      </c>
    </row>
    <row r="23" spans="1:136">
      <c r="A23" s="2">
        <v>2</v>
      </c>
      <c r="B23" s="2" t="s">
        <v>240</v>
      </c>
      <c r="C23" s="11">
        <f t="array" ref="C23">PRODUCT(1+預測IC!$C23:C23)-1</f>
        <v>-3.1325684581971491E-2</v>
      </c>
      <c r="D23" s="11">
        <f t="array" ref="D23">PRODUCT(1+預測IC!$C23:D23)-1</f>
        <v>5.4853997790285547E-2</v>
      </c>
      <c r="E23" s="11">
        <f t="array" ref="E23">PRODUCT(1+預測IC!$C23:E23)-1</f>
        <v>3.8966221805621037E-2</v>
      </c>
      <c r="F23" s="11">
        <f t="array" ref="F23">PRODUCT(1+預測IC!$C23:F23)-1</f>
        <v>0.22846958305392784</v>
      </c>
      <c r="G23" s="11">
        <f t="array" ref="G23">PRODUCT(1+預測IC!$C23:G23)-1</f>
        <v>0.19533583151448708</v>
      </c>
      <c r="H23" s="11">
        <f t="array" ref="H23">PRODUCT(1+預測IC!$C23:H23)-1</f>
        <v>-0.11881066668257445</v>
      </c>
      <c r="I23" s="11">
        <f t="array" ref="I23">PRODUCT(1+預測IC!$C23:I23)-1</f>
        <v>0.10651197668024248</v>
      </c>
      <c r="J23" s="11">
        <f t="array" ref="J23">PRODUCT(1+預測IC!$C23:J23)-1</f>
        <v>0.27834644498778194</v>
      </c>
      <c r="K23" s="11">
        <f t="array" ref="K23">PRODUCT(1+預測IC!$C23:K23)-1</f>
        <v>0.46064833167671271</v>
      </c>
      <c r="L23" s="11">
        <f t="array" ref="L23">PRODUCT(1+預測IC!$C23:L23)-1</f>
        <v>0.80016779984104458</v>
      </c>
      <c r="M23" s="11">
        <f t="array" ref="M23">PRODUCT(1+預測IC!$C23:M23)-1</f>
        <v>0.33491458254060524</v>
      </c>
      <c r="N23" s="11">
        <f t="array" ref="N23">PRODUCT(1+預測IC!$C23:N23)-1</f>
        <v>0.16564739519636751</v>
      </c>
      <c r="O23" s="11">
        <f t="array" ref="O23">PRODUCT(1+預測IC!$C23:O23)-1</f>
        <v>0.14302484711153496</v>
      </c>
      <c r="P23" s="11">
        <f t="array" ref="P23">PRODUCT(1+預測IC!$C23:P23)-1</f>
        <v>0.24635624921410493</v>
      </c>
      <c r="Q23" s="11">
        <f t="array" ref="Q23">PRODUCT(1+預測IC!$C23:Q23)-1</f>
        <v>0.55900431163276454</v>
      </c>
      <c r="R23" s="11">
        <f t="array" ref="R23">PRODUCT(1+預測IC!$C23:R23)-1</f>
        <v>0.69873475481694358</v>
      </c>
      <c r="S23" s="11">
        <f t="array" ref="S23">PRODUCT(1+預測IC!$C23:S23)-1</f>
        <v>0.98632205498630277</v>
      </c>
      <c r="T23" s="11">
        <f t="array" ref="T23">PRODUCT(1+預測IC!$C23:T23)-1</f>
        <v>0.6792313154697478</v>
      </c>
      <c r="U23" s="11">
        <f t="array" ref="U23">PRODUCT(1+預測IC!$C23:U23)-1</f>
        <v>1.0368769780940021</v>
      </c>
      <c r="V23" s="11">
        <f t="array" ref="V23">PRODUCT(1+預測IC!$C23:V23)-1</f>
        <v>1.1659274151581105</v>
      </c>
      <c r="W23" s="11">
        <f t="array" ref="W23">PRODUCT(1+預測IC!$C23:W23)-1</f>
        <v>0.44766440624205162</v>
      </c>
      <c r="X23" s="11">
        <f t="array" ref="X23">PRODUCT(1+預測IC!$C23:X23)-1</f>
        <v>0.1845062538380704</v>
      </c>
      <c r="Y23" s="11">
        <f t="array" ref="Y23">PRODUCT(1+預測IC!$C23:Y23)-1</f>
        <v>0.17551731609790333</v>
      </c>
      <c r="Z23" s="11">
        <f t="array" ref="Z23">PRODUCT(1+預測IC!$C23:Z23)-1</f>
        <v>1.9634582415508639E-3</v>
      </c>
      <c r="AA23" s="11">
        <f t="array" ref="AA23">PRODUCT(1+預測IC!$C23:AA23)-1</f>
        <v>-5.4896410922474992E-2</v>
      </c>
      <c r="AB23" s="11">
        <f t="array" ref="AB23">PRODUCT(1+預測IC!$C23:AB23)-1</f>
        <v>-8.4186480169376687E-2</v>
      </c>
      <c r="AC23" s="11">
        <f t="array" ref="AC23">PRODUCT(1+預測IC!$C23:AC23)-1</f>
        <v>-0.2387344072131693</v>
      </c>
      <c r="AD23" s="11">
        <f t="array" ref="AD23">PRODUCT(1+預測IC!$C23:AD23)-1</f>
        <v>-0.23645419480019514</v>
      </c>
      <c r="AE23" s="11">
        <f t="array" ref="AE23">PRODUCT(1+預測IC!$C23:AE23)-1</f>
        <v>-0.13168655636116111</v>
      </c>
      <c r="AF23" s="11">
        <f t="array" ref="AF23">PRODUCT(1+預測IC!$C23:AF23)-1</f>
        <v>-0.41359261341727616</v>
      </c>
      <c r="AG23" s="11">
        <f t="array" ref="AG23">PRODUCT(1+預測IC!$C23:AG23)-1</f>
        <v>-0.4991458698944089</v>
      </c>
      <c r="AH23" s="11">
        <f t="array" ref="AH23">PRODUCT(1+預測IC!$C23:AH23)-1</f>
        <v>-0.45698818414844078</v>
      </c>
      <c r="AI23" s="11">
        <f t="array" ref="AI23">PRODUCT(1+預測IC!$C23:AI23)-1</f>
        <v>-0.46960140738619882</v>
      </c>
      <c r="AJ23" s="11">
        <f t="array" ref="AJ23">PRODUCT(1+預測IC!$C23:AJ23)-1</f>
        <v>-0.47259451975878553</v>
      </c>
      <c r="AK23" s="11">
        <f t="array" ref="AK23">PRODUCT(1+預測IC!$C23:AK23)-1</f>
        <v>-0.42449554908226594</v>
      </c>
      <c r="AL23" s="11">
        <f t="array" ref="AL23">PRODUCT(1+預測IC!$C23:AL23)-1</f>
        <v>-0.45402486154576116</v>
      </c>
      <c r="AM23" s="11">
        <f t="array" ref="AM23">PRODUCT(1+預測IC!$C23:AM23)-1</f>
        <v>-0.45826680938091113</v>
      </c>
      <c r="AN23" s="11">
        <f t="array" ref="AN23">PRODUCT(1+預測IC!$C23:AN23)-1</f>
        <v>-0.58953672459764683</v>
      </c>
      <c r="AO23" s="11">
        <f t="array" ref="AO23">PRODUCT(1+預測IC!$C23:AO23)-1</f>
        <v>-0.58734610172048918</v>
      </c>
      <c r="AP23" s="11">
        <f t="array" ref="AP23">PRODUCT(1+預測IC!$C23:AP23)-1</f>
        <v>-0.58863403553513582</v>
      </c>
      <c r="AQ23" s="11">
        <f t="array" ref="AQ23">PRODUCT(1+預測IC!$C23:AQ23)-1</f>
        <v>-0.51635201338313574</v>
      </c>
      <c r="AR23" s="11">
        <f t="array" ref="AR23">PRODUCT(1+預測IC!$C23:AR23)-1</f>
        <v>-0.6389378169486073</v>
      </c>
      <c r="AS23" s="11">
        <f t="array" ref="AS23">PRODUCT(1+預測IC!$C23:AS23)-1</f>
        <v>-0.60945217175369359</v>
      </c>
      <c r="AT23" s="11">
        <f t="array" ref="AT23">PRODUCT(1+預測IC!$C23:AT23)-1</f>
        <v>-0.56668487917060095</v>
      </c>
      <c r="AU23" s="11">
        <f t="array" ref="AU23">PRODUCT(1+預測IC!$C23:AU23)-1</f>
        <v>-0.65490605735831897</v>
      </c>
      <c r="AV23" s="11">
        <f t="array" ref="AV23">PRODUCT(1+預測IC!$C23:AV23)-1</f>
        <v>-0.67186744763252271</v>
      </c>
      <c r="AW23" s="11">
        <f t="array" ref="AW23">PRODUCT(1+預測IC!$C23:AW23)-1</f>
        <v>-0.86292589909972928</v>
      </c>
      <c r="AX23" s="11">
        <f t="array" ref="AX23">PRODUCT(1+預測IC!$C23:AX23)-1</f>
        <v>-0.86089545073529916</v>
      </c>
      <c r="AY23" s="11">
        <f t="array" ref="AY23">PRODUCT(1+預測IC!$C23:AY23)-1</f>
        <v>-0.86898293360258405</v>
      </c>
      <c r="AZ23" s="11">
        <f t="array" ref="AZ23">PRODUCT(1+預測IC!$C23:AZ23)-1</f>
        <v>-0.91038229860451114</v>
      </c>
      <c r="BA23" s="11">
        <f t="array" ref="BA23">PRODUCT(1+預測IC!$C23:BA23)-1</f>
        <v>-0.89496080305221248</v>
      </c>
      <c r="BB23" s="11">
        <f t="array" ref="BB23">PRODUCT(1+預測IC!$C23:BB23)-1</f>
        <v>-0.90032299986697839</v>
      </c>
      <c r="BC23" s="11">
        <f t="array" ref="BC23">PRODUCT(1+預測IC!$C23:BC23)-1</f>
        <v>-0.92552824134485578</v>
      </c>
      <c r="BD23" s="11">
        <f t="array" ref="BD23">PRODUCT(1+預測IC!$C23:BD23)-1</f>
        <v>-0.91614632642535998</v>
      </c>
      <c r="BE23" s="11">
        <f t="array" ref="BE23">PRODUCT(1+預測IC!$C23:BE23)-1</f>
        <v>-0.92340247828763111</v>
      </c>
      <c r="BF23" s="11">
        <f t="array" ref="BF23">PRODUCT(1+預測IC!$C23:BF23)-1</f>
        <v>-0.92799932535815555</v>
      </c>
      <c r="BG23" s="11">
        <f t="array" ref="BG23">PRODUCT(1+預測IC!$C23:BG23)-1</f>
        <v>-0.93123283965598347</v>
      </c>
      <c r="BH23" s="11">
        <f t="array" ref="BH23">PRODUCT(1+預測IC!$C23:BH23)-1</f>
        <v>-0.93559028422913793</v>
      </c>
      <c r="BI23" s="11">
        <f t="array" ref="BI23">PRODUCT(1+預測IC!$C23:BI23)-1</f>
        <v>-0.9277832469902676</v>
      </c>
      <c r="BJ23" s="11">
        <f t="array" ref="BJ23">PRODUCT(1+預測IC!$C23:BJ23)-1</f>
        <v>-0.93529402872116474</v>
      </c>
      <c r="BK23" s="11">
        <f t="array" ref="BK23">PRODUCT(1+預測IC!$C23:BK23)-1</f>
        <v>-0.93561819680325897</v>
      </c>
      <c r="BL23" s="11">
        <f t="array" ref="BL23">PRODUCT(1+預測IC!$C23:BL23)-1</f>
        <v>-0.94524548443560508</v>
      </c>
      <c r="BM23" s="11">
        <f t="array" ref="BM23">PRODUCT(1+預測IC!$C23:BM23)-1</f>
        <v>-0.94905067479267768</v>
      </c>
      <c r="BN23" s="11">
        <f t="array" ref="BN23">PRODUCT(1+預測IC!$C23:BN23)-1</f>
        <v>-0.94869672113041603</v>
      </c>
      <c r="BO23" s="11">
        <f t="array" ref="BO23">PRODUCT(1+預測IC!$C23:BO23)-1</f>
        <v>-0.95057057040250637</v>
      </c>
      <c r="BP23" s="11">
        <f t="array" ref="BP23">PRODUCT(1+預測IC!$C23:BP23)-1</f>
        <v>-0.95542782246412827</v>
      </c>
      <c r="BQ23" s="11">
        <f t="array" ref="BQ23">PRODUCT(1+預測IC!$C23:BQ23)-1</f>
        <v>-0.95863915431798796</v>
      </c>
      <c r="BR23" s="11">
        <f t="array" ref="BR23">PRODUCT(1+預測IC!$C23:BR23)-1</f>
        <v>-0.95790109809161672</v>
      </c>
      <c r="BS23" s="11">
        <f t="array" ref="BS23">PRODUCT(1+預測IC!$C23:BS23)-1</f>
        <v>-0.96098591149102486</v>
      </c>
      <c r="BT23" s="11">
        <f t="array" ref="BT23">PRODUCT(1+預測IC!$C23:BT23)-1</f>
        <v>-0.9582475413265259</v>
      </c>
      <c r="BU23" s="11">
        <f t="array" ref="BU23">PRODUCT(1+預測IC!$C23:BU23)-1</f>
        <v>-0.95143042158020141</v>
      </c>
      <c r="BV23" s="11">
        <f t="array" ref="BV23">PRODUCT(1+預測IC!$C23:BV23)-1</f>
        <v>-0.94884316625178178</v>
      </c>
      <c r="BW23" s="11">
        <f t="array" ref="BW23">PRODUCT(1+預測IC!$C23:BW23)-1</f>
        <v>-0.94962906387979562</v>
      </c>
      <c r="BX23" s="11">
        <f t="array" ref="BX23">PRODUCT(1+預測IC!$C23:BX23)-1</f>
        <v>-0.94337201019444661</v>
      </c>
      <c r="BY23" s="11">
        <f t="array" ref="BY23">PRODUCT(1+預測IC!$C23:BY23)-1</f>
        <v>-0.93667579378111654</v>
      </c>
      <c r="BZ23" s="11">
        <f t="array" ref="BZ23">PRODUCT(1+預測IC!$C23:BZ23)-1</f>
        <v>-0.93619011216323245</v>
      </c>
      <c r="CA23" s="11">
        <f t="array" ref="CA23">PRODUCT(1+預測IC!$C23:CA23)-1</f>
        <v>-0.9230213146559757</v>
      </c>
      <c r="CB23" s="11">
        <f t="array" ref="CB23">PRODUCT(1+預測IC!$C23:CB23)-1</f>
        <v>-0.92622863068623351</v>
      </c>
      <c r="CC23" s="11">
        <f t="array" ref="CC23">PRODUCT(1+預測IC!$C23:CC23)-1</f>
        <v>-0.9324656311048658</v>
      </c>
      <c r="CD23" s="11">
        <f t="array" ref="CD23">PRODUCT(1+預測IC!$C23:CD23)-1</f>
        <v>-0.91952088268338572</v>
      </c>
      <c r="CE23" s="11">
        <f t="array" ref="CE23">PRODUCT(1+預測IC!$C23:CE23)-1</f>
        <v>-0.91472416633308096</v>
      </c>
      <c r="CF23" s="11">
        <f t="array" ref="CF23">PRODUCT(1+預測IC!$C23:CF23)-1</f>
        <v>-0.91334603761902677</v>
      </c>
      <c r="CG23" s="11">
        <f t="array" ref="CG23">PRODUCT(1+預測IC!$C23:CG23)-1</f>
        <v>-0.93211851300530824</v>
      </c>
      <c r="CH23" s="11">
        <f t="array" ref="CH23">PRODUCT(1+預測IC!$C23:CH23)-1</f>
        <v>-0.9431236344253584</v>
      </c>
      <c r="CI23" s="11">
        <f t="array" ref="CI23">PRODUCT(1+預測IC!$C23:CI23)-1</f>
        <v>-0.94648630734904515</v>
      </c>
      <c r="CJ23" s="11">
        <f t="array" ref="CJ23">PRODUCT(1+預測IC!$C23:CJ23)-1</f>
        <v>-0.95486205092494136</v>
      </c>
      <c r="CK23" s="11">
        <f t="array" ref="CK23">PRODUCT(1+預測IC!$C23:CK23)-1</f>
        <v>-0.95161860082818528</v>
      </c>
      <c r="CL23" s="11">
        <f t="array" ref="CL23">PRODUCT(1+預測IC!$C23:CL23)-1</f>
        <v>-0.94368165845972996</v>
      </c>
      <c r="CM23" s="11">
        <f t="array" ref="CM23">PRODUCT(1+預測IC!$C23:CM23)-1</f>
        <v>-0.94328883751987691</v>
      </c>
      <c r="CN23" s="11">
        <f t="array" ref="CN23">PRODUCT(1+預測IC!$C23:CN23)-1</f>
        <v>-0.94045486730842021</v>
      </c>
      <c r="CO23" s="11">
        <f t="array" ref="CO23">PRODUCT(1+預測IC!$C23:CO23)-1</f>
        <v>-0.95643981634930242</v>
      </c>
      <c r="CP23" s="11">
        <f t="array" ref="CP23">PRODUCT(1+預測IC!$C23:CP23)-1</f>
        <v>-0.96716005475425748</v>
      </c>
      <c r="CQ23" s="11">
        <f t="array" ref="CQ23">PRODUCT(1+預測IC!$C23:CQ23)-1</f>
        <v>-0.96634883355740508</v>
      </c>
      <c r="CR23" s="11">
        <f t="array" ref="CR23">PRODUCT(1+預測IC!$C23:CR23)-1</f>
        <v>-0.961267568990259</v>
      </c>
      <c r="CS23" s="11">
        <f t="array" ref="CS23">PRODUCT(1+預測IC!$C23:CS23)-1</f>
        <v>-0.95859445026412171</v>
      </c>
      <c r="CT23" s="11">
        <f t="array" ref="CT23">PRODUCT(1+預測IC!$C23:CT23)-1</f>
        <v>-0.95995463184804286</v>
      </c>
      <c r="CU23" s="11">
        <f t="array" ref="CU23">PRODUCT(1+預測IC!$C23:CU23)-1</f>
        <v>-0.96804795632729435</v>
      </c>
      <c r="CV23" s="11">
        <f t="array" ref="CV23">PRODUCT(1+預測IC!$C23:CV23)-1</f>
        <v>-0.96314871853270279</v>
      </c>
      <c r="CW23" s="11">
        <f t="array" ref="CW23">PRODUCT(1+預測IC!$C23:CW23)-1</f>
        <v>-0.9640400142316643</v>
      </c>
      <c r="CX23" s="11">
        <f t="array" ref="CX23">PRODUCT(1+預測IC!$C23:CX23)-1</f>
        <v>-0.96723027607678491</v>
      </c>
      <c r="CY23" s="11">
        <f t="array" ref="CY23">PRODUCT(1+預測IC!$C23:CY23)-1</f>
        <v>-0.95799869003428084</v>
      </c>
      <c r="CZ23" s="11">
        <f t="array" ref="CZ23">PRODUCT(1+預測IC!$C23:CZ23)-1</f>
        <v>-0.95035450228009122</v>
      </c>
      <c r="DA23" s="11">
        <f t="array" ref="DA23">PRODUCT(1+預測IC!$C23:DA23)-1</f>
        <v>-0.94714516907998769</v>
      </c>
      <c r="DB23" s="11">
        <f t="array" ref="DB23">PRODUCT(1+預測IC!$C23:DB23)-1</f>
        <v>-0.94615424670989934</v>
      </c>
      <c r="DC23" s="11">
        <f t="array" ref="DC23">PRODUCT(1+預測IC!$C23:DC23)-1</f>
        <v>-0.95465912417503285</v>
      </c>
      <c r="DD23" s="11">
        <f t="array" ref="DD23">PRODUCT(1+預測IC!$C23:DD23)-1</f>
        <v>-0.95549384969897055</v>
      </c>
      <c r="DE23" s="11">
        <f t="array" ref="DE23">PRODUCT(1+預測IC!$C23:DE23)-1</f>
        <v>-0.9528196554881031</v>
      </c>
      <c r="DF23" s="11">
        <f t="array" ref="DF23">PRODUCT(1+預測IC!$C23:DF23)-1</f>
        <v>-0.96184874078515081</v>
      </c>
      <c r="DG23" s="11">
        <f t="array" ref="DG23">PRODUCT(1+預測IC!$C23:DG23)-1</f>
        <v>-0.96768499277698172</v>
      </c>
      <c r="DH23" s="11">
        <f t="array" ref="DH23">PRODUCT(1+預測IC!$C23:DH23)-1</f>
        <v>-0.96318583895133536</v>
      </c>
      <c r="DI23" s="11">
        <f t="array" ref="DI23">PRODUCT(1+預測IC!$C23:DI23)-1</f>
        <v>-0.9596501701100606</v>
      </c>
      <c r="DJ23" s="11">
        <f t="array" ref="DJ23">PRODUCT(1+預測IC!$C23:DJ23)-1</f>
        <v>-0.96316294593037177</v>
      </c>
      <c r="DK23" s="11">
        <f t="array" ref="DK23">PRODUCT(1+預測IC!$C23:DK23)-1</f>
        <v>-0.95292838870965491</v>
      </c>
      <c r="DL23" s="11">
        <f t="array" ref="DL23">PRODUCT(1+預測IC!$C23:DL23)-1</f>
        <v>-0.95169310479055824</v>
      </c>
      <c r="DM23" s="11">
        <f t="array" ref="DM23">PRODUCT(1+預測IC!$C23:DM23)-1</f>
        <v>-0.95221048778757611</v>
      </c>
      <c r="DN23" s="11">
        <f t="array" ref="DN23">PRODUCT(1+預測IC!$C23:DN23)-1</f>
        <v>-0.96487350692750307</v>
      </c>
      <c r="DO23" s="11">
        <f t="array" ref="DO23">PRODUCT(1+預測IC!$C23:DO23)-1</f>
        <v>-0.9618993176810916</v>
      </c>
      <c r="DP23" s="11">
        <f t="array" ref="DP23">PRODUCT(1+預測IC!$C23:DP23)-1</f>
        <v>-0.96863702780638195</v>
      </c>
      <c r="DQ23" s="11">
        <f t="array" ref="DQ23">PRODUCT(1+預測IC!$C23:DQ23)-1</f>
        <v>-0.9609234268738871</v>
      </c>
      <c r="DR23" s="11">
        <f t="array" ref="DR23">PRODUCT(1+預測IC!$C23:DR23)-1</f>
        <v>-0.96443586383263102</v>
      </c>
      <c r="DS23" s="11">
        <f t="array" ref="DS23">PRODUCT(1+預測IC!$C23:DS23)-1</f>
        <v>-0.95564460314529942</v>
      </c>
      <c r="DT23" s="11">
        <f t="array" ref="DT23">PRODUCT(1+預測IC!$C23:DT23)-1</f>
        <v>-0.96114268626237975</v>
      </c>
      <c r="DU23" s="11">
        <f t="array" ref="DU23">PRODUCT(1+預測IC!$C23:DU23)-1</f>
        <v>-0.96330462948411344</v>
      </c>
      <c r="DV23" s="11">
        <f t="array" ref="DV23">PRODUCT(1+預測IC!$C23:DV23)-1</f>
        <v>-0.9703773466155553</v>
      </c>
      <c r="DW23" s="11">
        <f t="array" ref="DW23">PRODUCT(1+預測IC!$C23:DW23)-1</f>
        <v>-0.9696944703984105</v>
      </c>
      <c r="DX23" s="11">
        <f t="array" ref="DX23">PRODUCT(1+預測IC!$C23:DX23)-1</f>
        <v>-0.97487680042083724</v>
      </c>
      <c r="DY23" s="11">
        <f t="array" ref="DY23">PRODUCT(1+預測IC!$C23:DY23)-1</f>
        <v>-0.98161539348396121</v>
      </c>
      <c r="DZ23" s="11">
        <f t="array" ref="DZ23">PRODUCT(1+預測IC!$C23:DZ23)-1</f>
        <v>-0.97923765688351017</v>
      </c>
      <c r="EA23" s="11">
        <f t="array" ref="EA23">PRODUCT(1+預測IC!$C23:EA23)-1</f>
        <v>-0.97983471958451107</v>
      </c>
      <c r="EB23" s="11">
        <f t="array" ref="EB23">PRODUCT(1+預測IC!$C23:EB23)-1</f>
        <v>-0.98262213604842341</v>
      </c>
      <c r="EC23" s="11">
        <f t="array" ref="EC23">PRODUCT(1+預測IC!$C23:EC23)-1</f>
        <v>-0.98099481204547401</v>
      </c>
      <c r="ED23" s="11">
        <f t="array" ref="ED23">PRODUCT(1+預測IC!$C23:ED23)-1</f>
        <v>-0.98025554824441885</v>
      </c>
      <c r="EE23" s="11">
        <f t="array" ref="EE23">PRODUCT(1+預測IC!$C23:EE23)-1</f>
        <v>-0.9816220814948744</v>
      </c>
      <c r="EF23" s="11">
        <f t="array" ref="EF23">PRODUCT(1+預測IC!$C23:EF23)-1</f>
        <v>-0.97990532661563656</v>
      </c>
    </row>
    <row r="24" spans="1:136">
      <c r="A24" s="2">
        <v>1</v>
      </c>
      <c r="B24" s="2" t="s">
        <v>241</v>
      </c>
      <c r="C24" s="11">
        <f t="array" ref="C24">PRODUCT(1+預測IC!$C24:C24)-1</f>
        <v>-2.7766967310441037E-2</v>
      </c>
      <c r="D24" s="11">
        <f t="array" ref="D24">PRODUCT(1+預測IC!$C24:D24)-1</f>
        <v>5.1944843214943859E-2</v>
      </c>
      <c r="E24" s="11">
        <f t="array" ref="E24">PRODUCT(1+預測IC!$C24:E24)-1</f>
        <v>0.13807843896906569</v>
      </c>
      <c r="F24" s="11">
        <f t="array" ref="F24">PRODUCT(1+預測IC!$C24:F24)-1</f>
        <v>0.36745327608340705</v>
      </c>
      <c r="G24" s="11">
        <f t="array" ref="G24">PRODUCT(1+預測IC!$C24:G24)-1</f>
        <v>0.33651821673062376</v>
      </c>
      <c r="H24" s="11">
        <f t="array" ref="H24">PRODUCT(1+預測IC!$C24:H24)-1</f>
        <v>-0.13236203281666581</v>
      </c>
      <c r="I24" s="11">
        <f t="array" ref="I24">PRODUCT(1+預測IC!$C24:I24)-1</f>
        <v>7.6206199935206831E-2</v>
      </c>
      <c r="J24" s="11">
        <f t="array" ref="J24">PRODUCT(1+預測IC!$C24:J24)-1</f>
        <v>8.0549472136071332E-2</v>
      </c>
      <c r="K24" s="11">
        <f t="array" ref="K24">PRODUCT(1+預測IC!$C24:K24)-1</f>
        <v>0.13505707276609025</v>
      </c>
      <c r="L24" s="11">
        <f t="array" ref="L24">PRODUCT(1+預測IC!$C24:L24)-1</f>
        <v>0.51389309082065426</v>
      </c>
      <c r="M24" s="11">
        <f t="array" ref="M24">PRODUCT(1+預測IC!$C24:M24)-1</f>
        <v>0.29162430806183215</v>
      </c>
      <c r="N24" s="11">
        <f t="array" ref="N24">PRODUCT(1+預測IC!$C24:N24)-1</f>
        <v>0.15575613739130789</v>
      </c>
      <c r="O24" s="11">
        <f t="array" ref="O24">PRODUCT(1+預測IC!$C24:O24)-1</f>
        <v>0.19811320221650508</v>
      </c>
      <c r="P24" s="11">
        <f t="array" ref="P24">PRODUCT(1+預測IC!$C24:P24)-1</f>
        <v>0.32301460383006475</v>
      </c>
      <c r="Q24" s="11">
        <f t="array" ref="Q24">PRODUCT(1+預測IC!$C24:Q24)-1</f>
        <v>0.20375152010792008</v>
      </c>
      <c r="R24" s="11">
        <f t="array" ref="R24">PRODUCT(1+預測IC!$C24:R24)-1</f>
        <v>0.33419664933571736</v>
      </c>
      <c r="S24" s="11">
        <f t="array" ref="S24">PRODUCT(1+預測IC!$C24:S24)-1</f>
        <v>0.52082914601435859</v>
      </c>
      <c r="T24" s="11">
        <f t="array" ref="T24">PRODUCT(1+預測IC!$C24:T24)-1</f>
        <v>0.93219322530027382</v>
      </c>
      <c r="U24" s="11">
        <f t="array" ref="U24">PRODUCT(1+預測IC!$C24:U24)-1</f>
        <v>1.6914715170060677</v>
      </c>
      <c r="V24" s="11">
        <f t="array" ref="V24">PRODUCT(1+預測IC!$C24:V24)-1</f>
        <v>2.0051364600323378</v>
      </c>
      <c r="W24" s="11">
        <f t="array" ref="W24">PRODUCT(1+預測IC!$C24:W24)-1</f>
        <v>0.51545429736109627</v>
      </c>
      <c r="X24" s="11">
        <f t="array" ref="X24">PRODUCT(1+預測IC!$C24:X24)-1</f>
        <v>0.57024993678529268</v>
      </c>
      <c r="Y24" s="11">
        <f t="array" ref="Y24">PRODUCT(1+預測IC!$C24:Y24)-1</f>
        <v>0.52408641079255736</v>
      </c>
      <c r="Z24" s="11">
        <f t="array" ref="Z24">PRODUCT(1+預測IC!$C24:Z24)-1</f>
        <v>0.29484868700195466</v>
      </c>
      <c r="AA24" s="11">
        <f t="array" ref="AA24">PRODUCT(1+預測IC!$C24:AA24)-1</f>
        <v>0.57783084906644033</v>
      </c>
      <c r="AB24" s="11">
        <f t="array" ref="AB24">PRODUCT(1+預測IC!$C24:AB24)-1</f>
        <v>0.10386025472413762</v>
      </c>
      <c r="AC24" s="11">
        <f t="array" ref="AC24">PRODUCT(1+預測IC!$C24:AC24)-1</f>
        <v>-0.33961265955090481</v>
      </c>
      <c r="AD24" s="11">
        <f t="array" ref="AD24">PRODUCT(1+預測IC!$C24:AD24)-1</f>
        <v>-0.30004083238450774</v>
      </c>
      <c r="AE24" s="11">
        <f t="array" ref="AE24">PRODUCT(1+預測IC!$C24:AE24)-1</f>
        <v>-0.16484946602609918</v>
      </c>
      <c r="AF24" s="11">
        <f t="array" ref="AF24">PRODUCT(1+預測IC!$C24:AF24)-1</f>
        <v>-0.5785741986545121</v>
      </c>
      <c r="AG24" s="11">
        <f t="array" ref="AG24">PRODUCT(1+預測IC!$C24:AG24)-1</f>
        <v>-0.73873934702939092</v>
      </c>
      <c r="AH24" s="11">
        <f t="array" ref="AH24">PRODUCT(1+預測IC!$C24:AH24)-1</f>
        <v>-0.72392655771637049</v>
      </c>
      <c r="AI24" s="11">
        <f t="array" ref="AI24">PRODUCT(1+預測IC!$C24:AI24)-1</f>
        <v>-0.72149481142925365</v>
      </c>
      <c r="AJ24" s="11">
        <f t="array" ref="AJ24">PRODUCT(1+預測IC!$C24:AJ24)-1</f>
        <v>-0.6989661802654854</v>
      </c>
      <c r="AK24" s="11">
        <f t="array" ref="AK24">PRODUCT(1+預測IC!$C24:AK24)-1</f>
        <v>-0.66489542427975112</v>
      </c>
      <c r="AL24" s="11">
        <f t="array" ref="AL24">PRODUCT(1+預測IC!$C24:AL24)-1</f>
        <v>-0.70090389421619936</v>
      </c>
      <c r="AM24" s="11">
        <f t="array" ref="AM24">PRODUCT(1+預測IC!$C24:AM24)-1</f>
        <v>-0.69524521081909196</v>
      </c>
      <c r="AN24" s="11">
        <f t="array" ref="AN24">PRODUCT(1+預測IC!$C24:AN24)-1</f>
        <v>-0.76265375963852566</v>
      </c>
      <c r="AO24" s="11">
        <f t="array" ref="AO24">PRODUCT(1+預測IC!$C24:AO24)-1</f>
        <v>-0.77833999920620589</v>
      </c>
      <c r="AP24" s="11">
        <f t="array" ref="AP24">PRODUCT(1+預測IC!$C24:AP24)-1</f>
        <v>-0.77327468793275322</v>
      </c>
      <c r="AQ24" s="11">
        <f t="array" ref="AQ24">PRODUCT(1+預測IC!$C24:AQ24)-1</f>
        <v>-0.69244894346917785</v>
      </c>
      <c r="AR24" s="11">
        <f t="array" ref="AR24">PRODUCT(1+預測IC!$C24:AR24)-1</f>
        <v>-0.69870786719423728</v>
      </c>
      <c r="AS24" s="11">
        <f t="array" ref="AS24">PRODUCT(1+預測IC!$C24:AS24)-1</f>
        <v>-0.6977175881341191</v>
      </c>
      <c r="AT24" s="11">
        <f t="array" ref="AT24">PRODUCT(1+預測IC!$C24:AT24)-1</f>
        <v>-0.6521427772476257</v>
      </c>
      <c r="AU24" s="11">
        <f t="array" ref="AU24">PRODUCT(1+預測IC!$C24:AU24)-1</f>
        <v>-0.73209463463645363</v>
      </c>
      <c r="AV24" s="11">
        <f t="array" ref="AV24">PRODUCT(1+預測IC!$C24:AV24)-1</f>
        <v>-0.66573858524250196</v>
      </c>
      <c r="AW24" s="11">
        <f t="array" ref="AW24">PRODUCT(1+預測IC!$C24:AW24)-1</f>
        <v>-0.61603025052236193</v>
      </c>
      <c r="AX24" s="11">
        <f t="array" ref="AX24">PRODUCT(1+預測IC!$C24:AX24)-1</f>
        <v>-0.65883955122700821</v>
      </c>
      <c r="AY24" s="11">
        <f t="array" ref="AY24">PRODUCT(1+預測IC!$C24:AY24)-1</f>
        <v>-0.75007804990218352</v>
      </c>
      <c r="AZ24" s="11">
        <f t="array" ref="AZ24">PRODUCT(1+預測IC!$C24:AZ24)-1</f>
        <v>-0.9025053373473636</v>
      </c>
      <c r="BA24" s="11">
        <f t="array" ref="BA24">PRODUCT(1+預測IC!$C24:BA24)-1</f>
        <v>-0.89258206790173933</v>
      </c>
      <c r="BB24" s="11">
        <f t="array" ref="BB24">PRODUCT(1+預測IC!$C24:BB24)-1</f>
        <v>-0.90183709310065119</v>
      </c>
      <c r="BC24" s="11">
        <f t="array" ref="BC24">PRODUCT(1+預測IC!$C24:BC24)-1</f>
        <v>-0.90140842848525282</v>
      </c>
      <c r="BD24" s="11">
        <f t="array" ref="BD24">PRODUCT(1+預測IC!$C24:BD24)-1</f>
        <v>-0.89957068159221798</v>
      </c>
      <c r="BE24" s="11">
        <f t="array" ref="BE24">PRODUCT(1+預測IC!$C24:BE24)-1</f>
        <v>-0.91002848694733873</v>
      </c>
      <c r="BF24" s="11">
        <f t="array" ref="BF24">PRODUCT(1+預測IC!$C24:BF24)-1</f>
        <v>-0.91904687152968523</v>
      </c>
      <c r="BG24" s="11">
        <f t="array" ref="BG24">PRODUCT(1+預測IC!$C24:BG24)-1</f>
        <v>-0.9333451368926261</v>
      </c>
      <c r="BH24" s="11">
        <f t="array" ref="BH24">PRODUCT(1+預測IC!$C24:BH24)-1</f>
        <v>-0.94318829816905736</v>
      </c>
      <c r="BI24" s="11">
        <f t="array" ref="BI24">PRODUCT(1+預測IC!$C24:BI24)-1</f>
        <v>-0.93357189502353732</v>
      </c>
      <c r="BJ24" s="11">
        <f t="array" ref="BJ24">PRODUCT(1+預測IC!$C24:BJ24)-1</f>
        <v>-0.9337943172939972</v>
      </c>
      <c r="BK24" s="11">
        <f t="array" ref="BK24">PRODUCT(1+預測IC!$C24:BK24)-1</f>
        <v>-0.93445768015718811</v>
      </c>
      <c r="BL24" s="11">
        <f t="array" ref="BL24">PRODUCT(1+預測IC!$C24:BL24)-1</f>
        <v>-0.9552453637523215</v>
      </c>
      <c r="BM24" s="11">
        <f t="array" ref="BM24">PRODUCT(1+預測IC!$C24:BM24)-1</f>
        <v>-0.95145093411981874</v>
      </c>
      <c r="BN24" s="11">
        <f t="array" ref="BN24">PRODUCT(1+預測IC!$C24:BN24)-1</f>
        <v>-0.95178346326831542</v>
      </c>
      <c r="BO24" s="11">
        <f t="array" ref="BO24">PRODUCT(1+預測IC!$C24:BO24)-1</f>
        <v>-0.94401531192977206</v>
      </c>
      <c r="BP24" s="11">
        <f t="array" ref="BP24">PRODUCT(1+預測IC!$C24:BP24)-1</f>
        <v>-0.95092108932839137</v>
      </c>
      <c r="BQ24" s="11">
        <f t="array" ref="BQ24">PRODUCT(1+預測IC!$C24:BQ24)-1</f>
        <v>-0.94777171362635271</v>
      </c>
      <c r="BR24" s="11">
        <f t="array" ref="BR24">PRODUCT(1+預測IC!$C24:BR24)-1</f>
        <v>-0.94555952066595572</v>
      </c>
      <c r="BS24" s="11">
        <f t="array" ref="BS24">PRODUCT(1+預測IC!$C24:BS24)-1</f>
        <v>-0.94562946130161829</v>
      </c>
      <c r="BT24" s="11">
        <f t="array" ref="BT24">PRODUCT(1+預測IC!$C24:BT24)-1</f>
        <v>-0.94259562567716937</v>
      </c>
      <c r="BU24" s="11">
        <f t="array" ref="BU24">PRODUCT(1+預測IC!$C24:BU24)-1</f>
        <v>-0.91667355895497016</v>
      </c>
      <c r="BV24" s="11">
        <f t="array" ref="BV24">PRODUCT(1+預測IC!$C24:BV24)-1</f>
        <v>-0.91281898563825148</v>
      </c>
      <c r="BW24" s="11">
        <f t="array" ref="BW24">PRODUCT(1+預測IC!$C24:BW24)-1</f>
        <v>-0.92598571152664155</v>
      </c>
      <c r="BX24" s="11">
        <f t="array" ref="BX24">PRODUCT(1+預測IC!$C24:BX24)-1</f>
        <v>-0.92168967282140701</v>
      </c>
      <c r="BY24" s="11">
        <f t="array" ref="BY24">PRODUCT(1+預測IC!$C24:BY24)-1</f>
        <v>-0.91241708550721945</v>
      </c>
      <c r="BZ24" s="11">
        <f t="array" ref="BZ24">PRODUCT(1+預測IC!$C24:BZ24)-1</f>
        <v>-0.88974249088445201</v>
      </c>
      <c r="CA24" s="11">
        <f t="array" ref="CA24">PRODUCT(1+預測IC!$C24:CA24)-1</f>
        <v>-0.87871365276264202</v>
      </c>
      <c r="CB24" s="11">
        <f t="array" ref="CB24">PRODUCT(1+預測IC!$C24:CB24)-1</f>
        <v>-0.87093591308765939</v>
      </c>
      <c r="CC24" s="11">
        <f t="array" ref="CC24">PRODUCT(1+預測IC!$C24:CC24)-1</f>
        <v>-0.89448623702655417</v>
      </c>
      <c r="CD24" s="11">
        <f t="array" ref="CD24">PRODUCT(1+預測IC!$C24:CD24)-1</f>
        <v>-0.87925993515932976</v>
      </c>
      <c r="CE24" s="11">
        <f t="array" ref="CE24">PRODUCT(1+預測IC!$C24:CE24)-1</f>
        <v>-0.85926960632398419</v>
      </c>
      <c r="CF24" s="11">
        <f t="array" ref="CF24">PRODUCT(1+預測IC!$C24:CF24)-1</f>
        <v>-0.86545676657416615</v>
      </c>
      <c r="CG24" s="11">
        <f t="array" ref="CG24">PRODUCT(1+預測IC!$C24:CG24)-1</f>
        <v>-0.93541507255083933</v>
      </c>
      <c r="CH24" s="11">
        <f t="array" ref="CH24">PRODUCT(1+預測IC!$C24:CH24)-1</f>
        <v>-0.94916991081451141</v>
      </c>
      <c r="CI24" s="11">
        <f t="array" ref="CI24">PRODUCT(1+預測IC!$C24:CI24)-1</f>
        <v>-0.95214387767257591</v>
      </c>
      <c r="CJ24" s="11">
        <f t="array" ref="CJ24">PRODUCT(1+預測IC!$C24:CJ24)-1</f>
        <v>-0.96650965837332059</v>
      </c>
      <c r="CK24" s="11">
        <f t="array" ref="CK24">PRODUCT(1+預測IC!$C24:CK24)-1</f>
        <v>-0.95569029321180898</v>
      </c>
      <c r="CL24" s="11">
        <f t="array" ref="CL24">PRODUCT(1+預測IC!$C24:CL24)-1</f>
        <v>-0.95499535094149124</v>
      </c>
      <c r="CM24" s="11">
        <f t="array" ref="CM24">PRODUCT(1+預測IC!$C24:CM24)-1</f>
        <v>-0.95298415895728494</v>
      </c>
      <c r="CN24" s="11">
        <f t="array" ref="CN24">PRODUCT(1+預測IC!$C24:CN24)-1</f>
        <v>-0.95228263559308668</v>
      </c>
      <c r="CO24" s="11">
        <f t="array" ref="CO24">PRODUCT(1+預測IC!$C24:CO24)-1</f>
        <v>-0.97959651353081523</v>
      </c>
      <c r="CP24" s="11">
        <f t="array" ref="CP24">PRODUCT(1+預測IC!$C24:CP24)-1</f>
        <v>-0.98363777793567264</v>
      </c>
      <c r="CQ24" s="11">
        <f t="array" ref="CQ24">PRODUCT(1+預測IC!$C24:CQ24)-1</f>
        <v>-0.98101671936514734</v>
      </c>
      <c r="CR24" s="11">
        <f t="array" ref="CR24">PRODUCT(1+預測IC!$C24:CR24)-1</f>
        <v>-0.9784010614190124</v>
      </c>
      <c r="CS24" s="11">
        <f t="array" ref="CS24">PRODUCT(1+預測IC!$C24:CS24)-1</f>
        <v>-0.97898116571142058</v>
      </c>
      <c r="CT24" s="11">
        <f t="array" ref="CT24">PRODUCT(1+預測IC!$C24:CT24)-1</f>
        <v>-0.97513689265118086</v>
      </c>
      <c r="CU24" s="11">
        <f t="array" ref="CU24">PRODUCT(1+預測IC!$C24:CU24)-1</f>
        <v>-0.97644790055278352</v>
      </c>
      <c r="CV24" s="11">
        <f t="array" ref="CV24">PRODUCT(1+預測IC!$C24:CV24)-1</f>
        <v>-0.97214106720420335</v>
      </c>
      <c r="CW24" s="11">
        <f t="array" ref="CW24">PRODUCT(1+預測IC!$C24:CW24)-1</f>
        <v>-0.97868772739595766</v>
      </c>
      <c r="CX24" s="11">
        <f t="array" ref="CX24">PRODUCT(1+預測IC!$C24:CX24)-1</f>
        <v>-0.97751113663393396</v>
      </c>
      <c r="CY24" s="11">
        <f t="array" ref="CY24">PRODUCT(1+預測IC!$C24:CY24)-1</f>
        <v>-0.96941001730952703</v>
      </c>
      <c r="CZ24" s="11">
        <f t="array" ref="CZ24">PRODUCT(1+預測IC!$C24:CZ24)-1</f>
        <v>-0.9659776184876514</v>
      </c>
      <c r="DA24" s="11">
        <f t="array" ref="DA24">PRODUCT(1+預測IC!$C24:DA24)-1</f>
        <v>-0.96482153796386183</v>
      </c>
      <c r="DB24" s="11">
        <f t="array" ref="DB24">PRODUCT(1+預測IC!$C24:DB24)-1</f>
        <v>-0.96540198258745802</v>
      </c>
      <c r="DC24" s="11">
        <f t="array" ref="DC24">PRODUCT(1+預測IC!$C24:DC24)-1</f>
        <v>-0.97518387239495141</v>
      </c>
      <c r="DD24" s="11">
        <f t="array" ref="DD24">PRODUCT(1+預測IC!$C24:DD24)-1</f>
        <v>-0.9739604373040226</v>
      </c>
      <c r="DE24" s="11">
        <f t="array" ref="DE24">PRODUCT(1+預測IC!$C24:DE24)-1</f>
        <v>-0.97738686855844981</v>
      </c>
      <c r="DF24" s="11">
        <f t="array" ref="DF24">PRODUCT(1+預測IC!$C24:DF24)-1</f>
        <v>-0.98178824467769155</v>
      </c>
      <c r="DG24" s="11">
        <f t="array" ref="DG24">PRODUCT(1+預測IC!$C24:DG24)-1</f>
        <v>-0.98631548640705069</v>
      </c>
      <c r="DH24" s="11">
        <f t="array" ref="DH24">PRODUCT(1+預測IC!$C24:DH24)-1</f>
        <v>-0.9826780742714768</v>
      </c>
      <c r="DI24" s="11">
        <f t="array" ref="DI24">PRODUCT(1+預測IC!$C24:DI24)-1</f>
        <v>-0.98203395846326169</v>
      </c>
      <c r="DJ24" s="11">
        <f t="array" ref="DJ24">PRODUCT(1+預測IC!$C24:DJ24)-1</f>
        <v>-0.98441425434281538</v>
      </c>
      <c r="DK24" s="11">
        <f t="array" ref="DK24">PRODUCT(1+預測IC!$C24:DK24)-1</f>
        <v>-0.97912275013765782</v>
      </c>
      <c r="DL24" s="11">
        <f t="array" ref="DL24">PRODUCT(1+預測IC!$C24:DL24)-1</f>
        <v>-0.97784171137157794</v>
      </c>
      <c r="DM24" s="11">
        <f t="array" ref="DM24">PRODUCT(1+預測IC!$C24:DM24)-1</f>
        <v>-0.98024181067048755</v>
      </c>
      <c r="DN24" s="11">
        <f t="array" ref="DN24">PRODUCT(1+預測IC!$C24:DN24)-1</f>
        <v>-0.99045379010376911</v>
      </c>
      <c r="DO24" s="11">
        <f t="array" ref="DO24">PRODUCT(1+預測IC!$C24:DO24)-1</f>
        <v>-0.98966036364996679</v>
      </c>
      <c r="DP24" s="11">
        <f t="array" ref="DP24">PRODUCT(1+預測IC!$C24:DP24)-1</f>
        <v>-0.991972015002902</v>
      </c>
      <c r="DQ24" s="11">
        <f t="array" ref="DQ24">PRODUCT(1+預測IC!$C24:DQ24)-1</f>
        <v>-0.98908939597678169</v>
      </c>
      <c r="DR24" s="11">
        <f t="array" ref="DR24">PRODUCT(1+預測IC!$C24:DR24)-1</f>
        <v>-0.98931323389431192</v>
      </c>
      <c r="DS24" s="11">
        <f t="array" ref="DS24">PRODUCT(1+預測IC!$C24:DS24)-1</f>
        <v>-0.9877742650366218</v>
      </c>
      <c r="DT24" s="11">
        <f t="array" ref="DT24">PRODUCT(1+預測IC!$C24:DT24)-1</f>
        <v>-0.98824327927085343</v>
      </c>
      <c r="DU24" s="11">
        <f t="array" ref="DU24">PRODUCT(1+預測IC!$C24:DU24)-1</f>
        <v>-0.9879871943799311</v>
      </c>
      <c r="DV24" s="11">
        <f t="array" ref="DV24">PRODUCT(1+預測IC!$C24:DV24)-1</f>
        <v>-0.99700228303164884</v>
      </c>
      <c r="DW24" s="11">
        <f t="array" ref="DW24">PRODUCT(1+預測IC!$C24:DW24)-1</f>
        <v>-0.99669896503564026</v>
      </c>
      <c r="DX24" s="11">
        <f t="array" ref="DX24">PRODUCT(1+預測IC!$C24:DX24)-1</f>
        <v>-0.99727247803806385</v>
      </c>
      <c r="DY24" s="11">
        <f t="array" ref="DY24">PRODUCT(1+預測IC!$C24:DY24)-1</f>
        <v>-0.99735994021851049</v>
      </c>
      <c r="DZ24" s="11">
        <f t="array" ref="DZ24">PRODUCT(1+預測IC!$C24:DZ24)-1</f>
        <v>-0.9974890514557474</v>
      </c>
      <c r="EA24" s="11">
        <f t="array" ref="EA24">PRODUCT(1+預測IC!$C24:EA24)-1</f>
        <v>-0.99762694521695217</v>
      </c>
      <c r="EB24" s="11">
        <f t="array" ref="EB24">PRODUCT(1+預測IC!$C24:EB24)-1</f>
        <v>-0.99788615636395928</v>
      </c>
      <c r="EC24" s="11">
        <f t="array" ref="EC24">PRODUCT(1+預測IC!$C24:EC24)-1</f>
        <v>-0.99758250906717294</v>
      </c>
      <c r="ED24" s="11">
        <f t="array" ref="ED24">PRODUCT(1+預測IC!$C24:ED24)-1</f>
        <v>-0.99775133454646692</v>
      </c>
      <c r="EE24" s="11">
        <f t="array" ref="EE24">PRODUCT(1+預測IC!$C24:EE24)-1</f>
        <v>-0.99799302560674352</v>
      </c>
      <c r="EF24" s="11">
        <f t="array" ref="EF24">PRODUCT(1+預測IC!$C24:EF24)-1</f>
        <v>-0.99772392044522373</v>
      </c>
    </row>
    <row r="25" spans="1:136">
      <c r="A25" s="2" t="s">
        <v>145</v>
      </c>
      <c r="B25" s="2" t="s">
        <v>146</v>
      </c>
      <c r="C25" s="11">
        <f t="array" ref="C25">PRODUCT(1+預測IC!$C26:C26)-1</f>
        <v>-1.7446770539390366E-2</v>
      </c>
      <c r="D25" s="11">
        <f t="array" ref="D25">PRODUCT(1+預測IC!$C26:D26)-1</f>
        <v>2.893123339404724E-3</v>
      </c>
      <c r="E25" s="11">
        <f t="array" ref="E25">PRODUCT(1+預測IC!$C26:E26)-1</f>
        <v>2.6944635852046872E-2</v>
      </c>
      <c r="F25" s="11">
        <f t="array" ref="F25">PRODUCT(1+預測IC!$C26:F26)-1</f>
        <v>2.0210365301730038E-2</v>
      </c>
      <c r="G25" s="11">
        <f t="array" ref="G25">PRODUCT(1+預測IC!$C26:G26)-1</f>
        <v>5.269909680859941E-2</v>
      </c>
      <c r="H25" s="11">
        <f t="array" ref="H25">PRODUCT(1+預測IC!$C26:H26)-1</f>
        <v>8.8857766197530053E-2</v>
      </c>
      <c r="I25" s="11">
        <f t="array" ref="I25">PRODUCT(1+預測IC!$C26:I26)-1</f>
        <v>7.9869318529145472E-2</v>
      </c>
      <c r="J25" s="11">
        <f t="array" ref="J25">PRODUCT(1+預測IC!$C26:J26)-1</f>
        <v>9.3738646464063713E-2</v>
      </c>
      <c r="K25" s="11">
        <f t="array" ref="K25">PRODUCT(1+預測IC!$C26:K26)-1</f>
        <v>3.7937714394164157E-2</v>
      </c>
      <c r="L25" s="11">
        <f t="array" ref="L25">PRODUCT(1+預測IC!$C26:L26)-1</f>
        <v>3.8844812525307137E-2</v>
      </c>
      <c r="M25" s="11">
        <f t="array" ref="M25">PRODUCT(1+預測IC!$C26:M26)-1</f>
        <v>6.3142951706360639E-2</v>
      </c>
      <c r="N25" s="11">
        <f t="array" ref="N25">PRODUCT(1+預測IC!$C26:N26)-1</f>
        <v>7.6952085951054405E-2</v>
      </c>
      <c r="O25" s="11">
        <f t="array" ref="O25">PRODUCT(1+預測IC!$C26:O26)-1</f>
        <v>8.3257197491512391E-2</v>
      </c>
      <c r="P25" s="11">
        <f t="array" ref="P25">PRODUCT(1+預測IC!$C26:P26)-1</f>
        <v>0.11295275081672607</v>
      </c>
      <c r="Q25" s="11">
        <f t="array" ref="Q25">PRODUCT(1+預測IC!$C26:Q26)-1</f>
        <v>0.10882042835093308</v>
      </c>
      <c r="R25" s="11">
        <f t="array" ref="R25">PRODUCT(1+預測IC!$C26:R26)-1</f>
        <v>0.13551706985268064</v>
      </c>
      <c r="S25" s="11">
        <f t="array" ref="S25">PRODUCT(1+預測IC!$C26:S26)-1</f>
        <v>0.12167508804368476</v>
      </c>
      <c r="T25" s="11">
        <f t="array" ref="T25">PRODUCT(1+預測IC!$C26:T26)-1</f>
        <v>7.7088976461827885E-2</v>
      </c>
      <c r="U25" s="11">
        <f t="array" ref="U25">PRODUCT(1+預測IC!$C26:U26)-1</f>
        <v>-1.7059521199481731E-3</v>
      </c>
      <c r="V25" s="11">
        <f t="array" ref="V25">PRODUCT(1+預測IC!$C26:V26)-1</f>
        <v>-5.9866792867339091E-2</v>
      </c>
      <c r="W25" s="11">
        <f t="array" ref="W25">PRODUCT(1+預測IC!$C26:W26)-1</f>
        <v>-5.9140260213613516E-2</v>
      </c>
      <c r="X25" s="11">
        <f t="array" ref="X25">PRODUCT(1+預測IC!$C26:X26)-1</f>
        <v>-1.7185893241652206E-2</v>
      </c>
      <c r="Y25" s="11">
        <f t="array" ref="Y25">PRODUCT(1+預測IC!$C26:Y26)-1</f>
        <v>-4.4409529547694393E-2</v>
      </c>
      <c r="Z25" s="11">
        <f t="array" ref="Z25">PRODUCT(1+預測IC!$C26:Z26)-1</f>
        <v>-4.2407561826578566E-2</v>
      </c>
      <c r="AA25" s="11">
        <f t="array" ref="AA25">PRODUCT(1+預測IC!$C26:AA26)-1</f>
        <v>-6.481575250614946E-2</v>
      </c>
      <c r="AB25" s="11">
        <f t="array" ref="AB25">PRODUCT(1+預測IC!$C26:AB26)-1</f>
        <v>-3.4768870774049443E-2</v>
      </c>
      <c r="AC25" s="11">
        <f t="array" ref="AC25">PRODUCT(1+預測IC!$C26:AC26)-1</f>
        <v>2.7817794451217015E-3</v>
      </c>
      <c r="AD25" s="11">
        <f t="array" ref="AD25">PRODUCT(1+預測IC!$C26:AD26)-1</f>
        <v>-4.0202844765013457E-2</v>
      </c>
      <c r="AE25" s="11">
        <f t="array" ref="AE25">PRODUCT(1+預測IC!$C26:AE26)-1</f>
        <v>-2.2305320482664204E-2</v>
      </c>
      <c r="AF25" s="11">
        <f t="array" ref="AF25">PRODUCT(1+預測IC!$C26:AF26)-1</f>
        <v>-7.4152570234460313E-3</v>
      </c>
      <c r="AG25" s="11">
        <f t="array" ref="AG25">PRODUCT(1+預測IC!$C26:AG26)-1</f>
        <v>2.8334274381314417E-2</v>
      </c>
      <c r="AH25" s="11">
        <f t="array" ref="AH25">PRODUCT(1+預測IC!$C26:AH26)-1</f>
        <v>3.7953941892352683E-2</v>
      </c>
      <c r="AI25" s="11">
        <f t="array" ref="AI25">PRODUCT(1+預測IC!$C26:AI26)-1</f>
        <v>4.9110131735873752E-2</v>
      </c>
      <c r="AJ25" s="11">
        <f t="array" ref="AJ25">PRODUCT(1+預測IC!$C26:AJ26)-1</f>
        <v>6.3123886850196875E-2</v>
      </c>
      <c r="AK25" s="11">
        <f t="array" ref="AK25">PRODUCT(1+預測IC!$C26:AK26)-1</f>
        <v>5.7454515782098925E-2</v>
      </c>
      <c r="AL25" s="11">
        <f t="array" ref="AL25">PRODUCT(1+預測IC!$C26:AL26)-1</f>
        <v>5.8917118987427575E-2</v>
      </c>
      <c r="AM25" s="11">
        <f t="array" ref="AM25">PRODUCT(1+預測IC!$C26:AM26)-1</f>
        <v>8.0938283596681648E-2</v>
      </c>
      <c r="AN25" s="11">
        <f t="array" ref="AN25">PRODUCT(1+預測IC!$C26:AN26)-1</f>
        <v>0.11500697453770203</v>
      </c>
      <c r="AO25" s="11">
        <f t="array" ref="AO25">PRODUCT(1+預測IC!$C26:AO26)-1</f>
        <v>0.12196653200545171</v>
      </c>
      <c r="AP25" s="11">
        <f t="array" ref="AP25">PRODUCT(1+預測IC!$C26:AP26)-1</f>
        <v>0.12886130991117528</v>
      </c>
      <c r="AQ25" s="11">
        <f t="array" ref="AQ25">PRODUCT(1+預測IC!$C26:AQ26)-1</f>
        <v>0.14799139743631429</v>
      </c>
      <c r="AR25" s="11">
        <f t="array" ref="AR25">PRODUCT(1+預測IC!$C26:AR26)-1</f>
        <v>0.18780698843660248</v>
      </c>
      <c r="AS25" s="11">
        <f t="array" ref="AS25">PRODUCT(1+預測IC!$C26:AS26)-1</f>
        <v>0.19148751365039929</v>
      </c>
      <c r="AT25" s="11">
        <f t="array" ref="AT25">PRODUCT(1+預測IC!$C26:AT26)-1</f>
        <v>0.20945675046088996</v>
      </c>
      <c r="AU25" s="11">
        <f t="array" ref="AU25">PRODUCT(1+預測IC!$C26:AU26)-1</f>
        <v>0.18617324550329584</v>
      </c>
      <c r="AV25" s="11">
        <f t="array" ref="AV25">PRODUCT(1+預測IC!$C26:AV26)-1</f>
        <v>0.23209180697664689</v>
      </c>
      <c r="AW25" s="11">
        <f t="array" ref="AW25">PRODUCT(1+預測IC!$C26:AW26)-1</f>
        <v>0.20516203655681697</v>
      </c>
      <c r="AX25" s="11">
        <f t="array" ref="AX25">PRODUCT(1+預測IC!$C26:AX26)-1</f>
        <v>0.21453132863303215</v>
      </c>
      <c r="AY25" s="11">
        <f t="array" ref="AY25">PRODUCT(1+預測IC!$C26:AY26)-1</f>
        <v>0.2660241129922889</v>
      </c>
      <c r="AZ25" s="11">
        <f t="array" ref="AZ25">PRODUCT(1+預測IC!$C26:AZ26)-1</f>
        <v>0.23271631642995261</v>
      </c>
      <c r="BA25" s="11">
        <f t="array" ref="BA25">PRODUCT(1+預測IC!$C26:BA26)-1</f>
        <v>0.24451556797958407</v>
      </c>
      <c r="BB25" s="11">
        <f t="array" ref="BB25">PRODUCT(1+預測IC!$C26:BB26)-1</f>
        <v>0.21433638745422812</v>
      </c>
      <c r="BC25" s="11">
        <f t="array" ref="BC25">PRODUCT(1+預測IC!$C26:BC26)-1</f>
        <v>0.23882150637103883</v>
      </c>
      <c r="BD25" s="11">
        <f t="array" ref="BD25">PRODUCT(1+預測IC!$C26:BD26)-1</f>
        <v>0.23447943849994912</v>
      </c>
      <c r="BE25" s="11">
        <f t="array" ref="BE25">PRODUCT(1+預測IC!$C26:BE26)-1</f>
        <v>0.25935658802508499</v>
      </c>
      <c r="BF25" s="11">
        <f t="array" ref="BF25">PRODUCT(1+預測IC!$C26:BF26)-1</f>
        <v>0.26008869763716325</v>
      </c>
      <c r="BG25" s="11">
        <f t="array" ref="BG25">PRODUCT(1+預測IC!$C26:BG26)-1</f>
        <v>0.2535114114609236</v>
      </c>
      <c r="BH25" s="11">
        <f t="array" ref="BH25">PRODUCT(1+預測IC!$C26:BH26)-1</f>
        <v>0.10826483627727623</v>
      </c>
      <c r="BI25" s="11">
        <f t="array" ref="BI25">PRODUCT(1+預測IC!$C26:BI26)-1</f>
        <v>0.11793469710078752</v>
      </c>
      <c r="BJ25" s="11">
        <f t="array" ref="BJ25">PRODUCT(1+預測IC!$C26:BJ26)-1</f>
        <v>9.9625988810205346E-2</v>
      </c>
      <c r="BK25" s="11">
        <f t="array" ref="BK25">PRODUCT(1+預測IC!$C26:BK26)-1</f>
        <v>0.12254260303831388</v>
      </c>
      <c r="BL25" s="11">
        <f t="array" ref="BL25">PRODUCT(1+預測IC!$C26:BL26)-1</f>
        <v>0.17302993558173996</v>
      </c>
      <c r="BM25" s="11">
        <f t="array" ref="BM25">PRODUCT(1+預測IC!$C26:BM26)-1</f>
        <v>0.20112905370185397</v>
      </c>
      <c r="BN25" s="11">
        <f t="array" ref="BN25">PRODUCT(1+預測IC!$C26:BN26)-1</f>
        <v>0.23745011694095197</v>
      </c>
      <c r="BO25" s="11">
        <f t="array" ref="BO25">PRODUCT(1+預測IC!$C26:BO26)-1</f>
        <v>0.18334151222801376</v>
      </c>
      <c r="BP25" s="11">
        <f t="array" ref="BP25">PRODUCT(1+預測IC!$C26:BP26)-1</f>
        <v>0.20924423024871497</v>
      </c>
      <c r="BQ25" s="11">
        <f t="array" ref="BQ25">PRODUCT(1+預測IC!$C26:BQ26)-1</f>
        <v>0.21967690051673561</v>
      </c>
      <c r="BR25" s="11">
        <f t="array" ref="BR25">PRODUCT(1+預測IC!$C26:BR26)-1</f>
        <v>0.1962676978767699</v>
      </c>
      <c r="BS25" s="11">
        <f t="array" ref="BS25">PRODUCT(1+預測IC!$C26:BS26)-1</f>
        <v>0.21987619627534571</v>
      </c>
      <c r="BT25" s="11">
        <f t="array" ref="BT25">PRODUCT(1+預測IC!$C26:BT26)-1</f>
        <v>0.27805738326883356</v>
      </c>
      <c r="BU25" s="11">
        <f t="array" ref="BU25">PRODUCT(1+預測IC!$C26:BU26)-1</f>
        <v>0.29269729646247922</v>
      </c>
      <c r="BV25" s="11">
        <f t="array" ref="BV25">PRODUCT(1+預測IC!$C26:BV26)-1</f>
        <v>0.34857881761669129</v>
      </c>
      <c r="BW25" s="11">
        <f t="array" ref="BW25">PRODUCT(1+預測IC!$C26:BW26)-1</f>
        <v>0.2909305384219143</v>
      </c>
      <c r="BX25" s="11">
        <f t="array" ref="BX25">PRODUCT(1+預測IC!$C26:BX26)-1</f>
        <v>0.26793739709811137</v>
      </c>
      <c r="BY25" s="11">
        <f t="array" ref="BY25">PRODUCT(1+預測IC!$C26:BY26)-1</f>
        <v>7.628473289061688E-2</v>
      </c>
      <c r="BZ25" s="11">
        <f t="array" ref="BZ25">PRODUCT(1+預測IC!$C26:BZ26)-1</f>
        <v>0.20998513144491437</v>
      </c>
      <c r="CA25" s="11">
        <f t="array" ref="CA25">PRODUCT(1+預測IC!$C26:CA26)-1</f>
        <v>0.20447092205281336</v>
      </c>
      <c r="CB25" s="11">
        <f t="array" ref="CB25">PRODUCT(1+預測IC!$C26:CB26)-1</f>
        <v>0.27699361006036605</v>
      </c>
      <c r="CC25" s="11">
        <f t="array" ref="CC25">PRODUCT(1+預測IC!$C26:CC26)-1</f>
        <v>0.38680488733361829</v>
      </c>
      <c r="CD25" s="11">
        <f t="array" ref="CD25">PRODUCT(1+預測IC!$C26:CD26)-1</f>
        <v>0.37874965946081551</v>
      </c>
      <c r="CE25" s="11">
        <f t="array" ref="CE25">PRODUCT(1+預測IC!$C26:CE26)-1</f>
        <v>0.37042015435709108</v>
      </c>
      <c r="CF25" s="11">
        <f t="array" ref="CF25">PRODUCT(1+預測IC!$C26:CF26)-1</f>
        <v>0.37378086910184649</v>
      </c>
      <c r="CG25" s="11">
        <f t="array" ref="CG25">PRODUCT(1+預測IC!$C26:CG26)-1</f>
        <v>0.49692143719092186</v>
      </c>
      <c r="CH25" s="11">
        <f t="array" ref="CH25">PRODUCT(1+預測IC!$C26:CH26)-1</f>
        <v>0.603191980394987</v>
      </c>
      <c r="CI25" s="11">
        <f t="array" ref="CI25">PRODUCT(1+預測IC!$C26:CI26)-1</f>
        <v>0.64675173719730239</v>
      </c>
      <c r="CJ25" s="11">
        <f t="array" ref="CJ25">PRODUCT(1+預測IC!$C26:CJ26)-1</f>
        <v>0.73315421285472704</v>
      </c>
      <c r="CK25" s="11">
        <f t="array" ref="CK25">PRODUCT(1+預測IC!$C26:CK26)-1</f>
        <v>0.7842487445659152</v>
      </c>
      <c r="CL25" s="11">
        <f t="array" ref="CL25">PRODUCT(1+預測IC!$C26:CL26)-1</f>
        <v>0.90348131155309508</v>
      </c>
      <c r="CM25" s="11">
        <f t="array" ref="CM25">PRODUCT(1+預測IC!$C26:CM26)-1</f>
        <v>0.8487139113221478</v>
      </c>
      <c r="CN25" s="11">
        <f t="array" ref="CN25">PRODUCT(1+預測IC!$C26:CN26)-1</f>
        <v>0.92166881344527685</v>
      </c>
      <c r="CO25" s="11">
        <f t="array" ref="CO25">PRODUCT(1+預測IC!$C26:CO26)-1</f>
        <v>0.86588067898046694</v>
      </c>
      <c r="CP25" s="11">
        <f t="array" ref="CP25">PRODUCT(1+預測IC!$C26:CP26)-1</f>
        <v>0.89197293519067467</v>
      </c>
      <c r="CQ25" s="11">
        <f t="array" ref="CQ25">PRODUCT(1+預測IC!$C26:CQ26)-1</f>
        <v>0.83090579105751727</v>
      </c>
      <c r="CR25" s="11">
        <f t="array" ref="CR25">PRODUCT(1+預測IC!$C26:CR26)-1</f>
        <v>0.83658814745105547</v>
      </c>
      <c r="CS25" s="11">
        <f t="array" ref="CS25">PRODUCT(1+預測IC!$C26:CS26)-1</f>
        <v>0.88358984642415717</v>
      </c>
      <c r="CT25" s="11">
        <f t="array" ref="CT25">PRODUCT(1+預測IC!$C26:CT26)-1</f>
        <v>0.9672059526983301</v>
      </c>
      <c r="CU25" s="11">
        <f t="array" ref="CU25">PRODUCT(1+預測IC!$C26:CU26)-1</f>
        <v>0.90752297284093331</v>
      </c>
      <c r="CV25" s="11">
        <f t="array" ref="CV25">PRODUCT(1+預測IC!$C26:CV26)-1</f>
        <v>0.90512335385454468</v>
      </c>
      <c r="CW25" s="11">
        <f t="array" ref="CW25">PRODUCT(1+預測IC!$C26:CW26)-1</f>
        <v>0.90957440110152876</v>
      </c>
      <c r="CX25" s="11">
        <f t="array" ref="CX25">PRODUCT(1+預測IC!$C26:CX26)-1</f>
        <v>0.78685723504233995</v>
      </c>
      <c r="CY25" s="11">
        <f t="array" ref="CY25">PRODUCT(1+預測IC!$C26:CY26)-1</f>
        <v>0.80992516787144164</v>
      </c>
      <c r="CZ25" s="11">
        <f t="array" ref="CZ25">PRODUCT(1+預測IC!$C26:CZ26)-1</f>
        <v>0.58282101623526672</v>
      </c>
      <c r="DA25" s="11">
        <f t="array" ref="DA25">PRODUCT(1+預測IC!$C26:DA26)-1</f>
        <v>0.60132527488651344</v>
      </c>
      <c r="DB25" s="11">
        <f t="array" ref="DB25">PRODUCT(1+預測IC!$C26:DB26)-1</f>
        <v>0.61147422419279152</v>
      </c>
      <c r="DC25" s="11">
        <f t="array" ref="DC25">PRODUCT(1+預測IC!$C26:DC26)-1</f>
        <v>0.42243966588262949</v>
      </c>
      <c r="DD25" s="11">
        <f t="array" ref="DD25">PRODUCT(1+預測IC!$C26:DD26)-1</f>
        <v>0.37121637307647259</v>
      </c>
      <c r="DE25" s="11">
        <f t="array" ref="DE25">PRODUCT(1+預測IC!$C26:DE26)-1</f>
        <v>0.5616938276257708</v>
      </c>
      <c r="DF25" s="11">
        <f t="array" ref="DF25">PRODUCT(1+預測IC!$C26:DF26)-1</f>
        <v>0.48182332962932128</v>
      </c>
      <c r="DG25" s="11">
        <f t="array" ref="DG25">PRODUCT(1+預測IC!$C26:DG26)-1</f>
        <v>0.59552577817978314</v>
      </c>
      <c r="DH25" s="11">
        <f t="array" ref="DH25">PRODUCT(1+預測IC!$C26:DH26)-1</f>
        <v>0.62027043996328524</v>
      </c>
      <c r="DI25" s="11">
        <f t="array" ref="DI25">PRODUCT(1+預測IC!$C26:DI26)-1</f>
        <v>0.65789923395288952</v>
      </c>
      <c r="DJ25" s="11">
        <f t="array" ref="DJ25">PRODUCT(1+預測IC!$C26:DJ26)-1</f>
        <v>0.62743885630809859</v>
      </c>
      <c r="DK25" s="11">
        <f t="array" ref="DK25">PRODUCT(1+預測IC!$C26:DK26)-1</f>
        <v>0.72866394865424411</v>
      </c>
      <c r="DL25" s="11">
        <f t="array" ref="DL25">PRODUCT(1+預測IC!$C26:DL26)-1</f>
        <v>0.76340716304992284</v>
      </c>
      <c r="DM25" s="11">
        <f t="array" ref="DM25">PRODUCT(1+預測IC!$C26:DM26)-1</f>
        <v>0.78721129009524526</v>
      </c>
      <c r="DN25" s="11">
        <f t="array" ref="DN25">PRODUCT(1+預測IC!$C26:DN26)-1</f>
        <v>0.73314419395664854</v>
      </c>
      <c r="DO25" s="11">
        <f t="array" ref="DO25">PRODUCT(1+預測IC!$C26:DO26)-1</f>
        <v>0.7036411650845571</v>
      </c>
      <c r="DP25" s="11">
        <f t="array" ref="DP25">PRODUCT(1+預測IC!$C26:DP26)-1</f>
        <v>0.666521339911188</v>
      </c>
      <c r="DQ25" s="11">
        <f t="array" ref="DQ25">PRODUCT(1+預測IC!$C26:DQ26)-1</f>
        <v>0.80941825308633253</v>
      </c>
      <c r="DR25" s="11">
        <f t="array" ref="DR25">PRODUCT(1+預測IC!$C26:DR26)-1</f>
        <v>0.86027510799998974</v>
      </c>
      <c r="DS25" s="11">
        <f t="array" ref="DS25">PRODUCT(1+預測IC!$C26:DS26)-1</f>
        <v>0.85599059714061299</v>
      </c>
      <c r="DT25" s="11">
        <f t="array" ref="DT25">PRODUCT(1+預測IC!$C26:DT26)-1</f>
        <v>0.9645125910761998</v>
      </c>
      <c r="DU25" s="11">
        <f t="array" ref="DU25">PRODUCT(1+預測IC!$C26:DU26)-1</f>
        <v>1.0974294483812512</v>
      </c>
      <c r="DV25" s="11">
        <f t="array" ref="DV25">PRODUCT(1+預測IC!$C26:DV26)-1</f>
        <v>1.1079601605760616</v>
      </c>
      <c r="DW25" s="11">
        <f t="array" ref="DW25">PRODUCT(1+預測IC!$C26:DW26)-1</f>
        <v>1.1868319851241949</v>
      </c>
      <c r="DX25" s="11">
        <f t="array" ref="DX25">PRODUCT(1+預測IC!$C26:DX26)-1</f>
        <v>1.3707686184169408</v>
      </c>
      <c r="DY25" s="11">
        <f t="array" ref="DY25">PRODUCT(1+預測IC!$C26:DY26)-1</f>
        <v>1.2834475238077694</v>
      </c>
      <c r="DZ25" s="11">
        <f t="array" ref="DZ25">PRODUCT(1+預測IC!$C26:DZ26)-1</f>
        <v>1.2905072649494538</v>
      </c>
      <c r="EA25" s="11">
        <f t="array" ref="EA25">PRODUCT(1+預測IC!$C26:EA26)-1</f>
        <v>1.2860233033025419</v>
      </c>
      <c r="EB25" s="11">
        <f t="array" ref="EB25">PRODUCT(1+預測IC!$C26:EB26)-1</f>
        <v>1.3465094307246845</v>
      </c>
      <c r="EC25" s="11">
        <f t="array" ref="EC25">PRODUCT(1+預測IC!$C26:EC26)-1</f>
        <v>1.2884273650883467</v>
      </c>
      <c r="ED25" s="11">
        <f t="array" ref="ED25">PRODUCT(1+預測IC!$C26:ED26)-1</f>
        <v>1.3664981882262612</v>
      </c>
      <c r="EE25" s="11">
        <f t="array" ref="EE25">PRODUCT(1+預測IC!$C26:EE26)-1</f>
        <v>1.4163413115117764</v>
      </c>
      <c r="EF25" s="11">
        <f t="array" ref="EF25">PRODUCT(1+預測IC!$C26:EF26)-1</f>
        <v>1.367344209826507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預測IC</vt:lpstr>
      <vt:lpstr>夏普比率</vt:lpstr>
      <vt:lpstr>勝率</vt:lpstr>
      <vt:lpstr>累積報酬</vt:lpstr>
      <vt:lpstr>預測累積畫圖</vt:lpstr>
      <vt:lpstr>OLS樣本外R2</vt:lpstr>
      <vt:lpstr>NN1樣本外R2</vt:lpstr>
      <vt:lpstr>NN1再投資累積報酬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歆璇 陳</dc:creator>
  <cp:lastModifiedBy>陳祥瑋</cp:lastModifiedBy>
  <dcterms:created xsi:type="dcterms:W3CDTF">2025-03-25T04:23:55Z</dcterms:created>
  <dcterms:modified xsi:type="dcterms:W3CDTF">2025-12-10T17:32:28Z</dcterms:modified>
</cp:coreProperties>
</file>