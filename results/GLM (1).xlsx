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29BA70AB-56F4-694E-BC0F-0FFF8BAB178B}" xr6:coauthVersionLast="47" xr6:coauthVersionMax="47" xr10:uidLastSave="{00000000-0000-0000-0000-000000000000}"/>
  <bookViews>
    <workbookView xWindow="0" yWindow="760" windowWidth="30240" windowHeight="17900" activeTab="6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5樣本外R2" sheetId="7" r:id="rId7"/>
    <sheet name="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D24" i="5"/>
  <c r="R23" i="5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Q23" i="5"/>
  <c r="L23" i="5"/>
  <c r="M23" i="5" s="1"/>
  <c r="N23" i="5" s="1"/>
  <c r="O23" i="5" s="1"/>
  <c r="P23" i="5" s="1"/>
  <c r="G23" i="5"/>
  <c r="H23" i="5" s="1"/>
  <c r="I23" i="5" s="1"/>
  <c r="J23" i="5" s="1"/>
  <c r="K23" i="5" s="1"/>
  <c r="F23" i="5"/>
  <c r="E23" i="5"/>
  <c r="D23" i="5"/>
  <c r="L22" i="5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K22" i="5"/>
  <c r="D22" i="5"/>
  <c r="E22" i="5" s="1"/>
  <c r="F22" i="5" s="1"/>
  <c r="G22" i="5" s="1"/>
  <c r="H22" i="5" s="1"/>
  <c r="I22" i="5" s="1"/>
  <c r="J22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K20" i="5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E20" i="5" s="1"/>
  <c r="F20" i="5" s="1"/>
  <c r="G20" i="5" s="1"/>
  <c r="H20" i="5" s="1"/>
  <c r="I20" i="5" s="1"/>
  <c r="J20" i="5" s="1"/>
  <c r="E19" i="5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9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8" i="5"/>
  <c r="I17" i="5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D17" i="5"/>
  <c r="E17" i="5" s="1"/>
  <c r="F17" i="5" s="1"/>
  <c r="G17" i="5" s="1"/>
  <c r="H17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5" i="5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EC8" i="8"/>
  <c r="DY8" i="8"/>
  <c r="DW8" i="8"/>
  <c r="EC7" i="8"/>
  <c r="EA7" i="8"/>
  <c r="DP7" i="8"/>
  <c r="DE7" i="8"/>
  <c r="CT7" i="8"/>
  <c r="CI7" i="8"/>
  <c r="BY7" i="8"/>
  <c r="BX7" i="8"/>
  <c r="BN7" i="8"/>
  <c r="BM7" i="8"/>
  <c r="BB7" i="8"/>
  <c r="AQ7" i="8"/>
  <c r="AF7" i="8"/>
  <c r="U7" i="8"/>
  <c r="J7" i="8"/>
  <c r="EF6" i="8" a="1"/>
  <c r="EF6" i="8" s="1"/>
  <c r="EE6" i="8" a="1"/>
  <c r="EE6" i="8" s="1"/>
  <c r="ED6" i="8" a="1"/>
  <c r="ED6" i="8" s="1"/>
  <c r="EC6" i="8"/>
  <c r="EC6" i="8" a="1"/>
  <c r="EB6" i="8" a="1"/>
  <c r="EB6" i="8" s="1"/>
  <c r="EA6" i="8"/>
  <c r="EA8" i="8" s="1"/>
  <c r="EA6" i="8" a="1"/>
  <c r="DZ6" i="8" a="1"/>
  <c r="DZ6" i="8" s="1"/>
  <c r="DY6" i="8"/>
  <c r="DY7" i="8" s="1"/>
  <c r="DY6" i="8" a="1"/>
  <c r="DX6" i="8" a="1"/>
  <c r="DX6" i="8" s="1"/>
  <c r="DW6" i="8"/>
  <c r="DW7" i="8" s="1"/>
  <c r="DW6" i="8" a="1"/>
  <c r="DV6" i="8" a="1"/>
  <c r="DV6" i="8" s="1"/>
  <c r="DU6" i="8" a="1"/>
  <c r="DU6" i="8" s="1"/>
  <c r="DT6" i="8" a="1"/>
  <c r="DT6" i="8" s="1"/>
  <c r="DS6" i="8"/>
  <c r="DS8" i="8" s="1"/>
  <c r="DS6" i="8" a="1"/>
  <c r="DR6" i="8"/>
  <c r="DR8" i="8" s="1"/>
  <c r="DR6" i="8" a="1"/>
  <c r="DQ6" i="8" a="1"/>
  <c r="DQ6" i="8" s="1"/>
  <c r="DP6" i="8"/>
  <c r="DP8" i="8" s="1"/>
  <c r="DP6" i="8" a="1"/>
  <c r="DO6" i="8" a="1"/>
  <c r="DO6" i="8" s="1"/>
  <c r="DN6" i="8"/>
  <c r="DN8" i="8" s="1"/>
  <c r="DN6" i="8" a="1"/>
  <c r="DM6" i="8" a="1"/>
  <c r="DM6" i="8" s="1"/>
  <c r="DL6" i="8" a="1"/>
  <c r="DL6" i="8" s="1"/>
  <c r="DK6" i="8" a="1"/>
  <c r="DK6" i="8" s="1"/>
  <c r="DJ6" i="8" a="1"/>
  <c r="DJ6" i="8" s="1"/>
  <c r="DI6" i="8" a="1"/>
  <c r="DI6" i="8" s="1"/>
  <c r="DH6" i="8"/>
  <c r="DH8" i="8" s="1"/>
  <c r="DH6" i="8" a="1"/>
  <c r="DG6" i="8"/>
  <c r="DG8" i="8" s="1"/>
  <c r="DG6" i="8" a="1"/>
  <c r="DF6" i="8" a="1"/>
  <c r="DF6" i="8" s="1"/>
  <c r="DE6" i="8"/>
  <c r="DE8" i="8" s="1"/>
  <c r="DE6" i="8" a="1"/>
  <c r="DD6" i="8" a="1"/>
  <c r="DD6" i="8" s="1"/>
  <c r="DC6" i="8"/>
  <c r="DC8" i="8" s="1"/>
  <c r="DC6" i="8" a="1"/>
  <c r="DB6" i="8" a="1"/>
  <c r="DB6" i="8" s="1"/>
  <c r="DA6" i="8" a="1"/>
  <c r="DA6" i="8" s="1"/>
  <c r="CZ6" i="8" a="1"/>
  <c r="CZ6" i="8" s="1"/>
  <c r="CY6" i="8" a="1"/>
  <c r="CY6" i="8" s="1"/>
  <c r="CX6" i="8" a="1"/>
  <c r="CX6" i="8" s="1"/>
  <c r="CW6" i="8"/>
  <c r="CW8" i="8" s="1"/>
  <c r="CW6" i="8" a="1"/>
  <c r="CV6" i="8"/>
  <c r="CV8" i="8" s="1"/>
  <c r="CV6" i="8" a="1"/>
  <c r="CU6" i="8" a="1"/>
  <c r="CU6" i="8" s="1"/>
  <c r="CT6" i="8"/>
  <c r="CT8" i="8" s="1"/>
  <c r="CT6" i="8" a="1"/>
  <c r="CS6" i="8" a="1"/>
  <c r="CS6" i="8" s="1"/>
  <c r="CR6" i="8"/>
  <c r="CR8" i="8" s="1"/>
  <c r="CR6" i="8" a="1"/>
  <c r="CQ6" i="8" a="1"/>
  <c r="CQ6" i="8" s="1"/>
  <c r="CP6" i="8" a="1"/>
  <c r="CP6" i="8" s="1"/>
  <c r="CO6" i="8" a="1"/>
  <c r="CO6" i="8" s="1"/>
  <c r="CN6" i="8" a="1"/>
  <c r="CN6" i="8" s="1"/>
  <c r="CM6" i="8" a="1"/>
  <c r="CM6" i="8" s="1"/>
  <c r="CL6" i="8"/>
  <c r="CL8" i="8" s="1"/>
  <c r="CL6" i="8" a="1"/>
  <c r="CK6" i="8"/>
  <c r="CK8" i="8" s="1"/>
  <c r="CK6" i="8" a="1"/>
  <c r="CJ6" i="8" a="1"/>
  <c r="CJ6" i="8" s="1"/>
  <c r="CI6" i="8"/>
  <c r="CI8" i="8" s="1"/>
  <c r="CI6" i="8" a="1"/>
  <c r="CH6" i="8" a="1"/>
  <c r="CH6" i="8" s="1"/>
  <c r="CG6" i="8"/>
  <c r="CG8" i="8" s="1"/>
  <c r="CG6" i="8" a="1"/>
  <c r="CF6" i="8" a="1"/>
  <c r="CF6" i="8" s="1"/>
  <c r="CE6" i="8" a="1"/>
  <c r="CE6" i="8" s="1"/>
  <c r="CD6" i="8" a="1"/>
  <c r="CD6" i="8" s="1"/>
  <c r="CC6" i="8" a="1"/>
  <c r="CC6" i="8" s="1"/>
  <c r="CB6" i="8" a="1"/>
  <c r="CB6" i="8" s="1"/>
  <c r="CA6" i="8"/>
  <c r="CA8" i="8" s="1"/>
  <c r="CA6" i="8" a="1"/>
  <c r="BZ6" i="8"/>
  <c r="BZ8" i="8" s="1"/>
  <c r="BZ6" i="8" a="1"/>
  <c r="BY6" i="8"/>
  <c r="BY8" i="8" s="1"/>
  <c r="BY6" i="8" a="1"/>
  <c r="BX6" i="8"/>
  <c r="BX8" i="8" s="1"/>
  <c r="BX6" i="8" a="1"/>
  <c r="BW6" i="8" a="1"/>
  <c r="BW6" i="8" s="1"/>
  <c r="BV6" i="8"/>
  <c r="BV8" i="8" s="1"/>
  <c r="BV6" i="8" a="1"/>
  <c r="BU6" i="8" a="1"/>
  <c r="BU6" i="8" s="1"/>
  <c r="BT6" i="8" a="1"/>
  <c r="BT6" i="8" s="1"/>
  <c r="BS6" i="8" a="1"/>
  <c r="BS6" i="8" s="1"/>
  <c r="BR6" i="8" a="1"/>
  <c r="BR6" i="8" s="1"/>
  <c r="BQ6" i="8" a="1"/>
  <c r="BQ6" i="8" s="1"/>
  <c r="BP6" i="8"/>
  <c r="BP8" i="8" s="1"/>
  <c r="BP6" i="8" a="1"/>
  <c r="BO6" i="8"/>
  <c r="BO8" i="8" s="1"/>
  <c r="BO6" i="8" a="1"/>
  <c r="BN6" i="8"/>
  <c r="BN8" i="8" s="1"/>
  <c r="BN6" i="8" a="1"/>
  <c r="BM6" i="8"/>
  <c r="BM8" i="8" s="1"/>
  <c r="BM6" i="8" a="1"/>
  <c r="BL6" i="8" a="1"/>
  <c r="BL6" i="8" s="1"/>
  <c r="BK6" i="8"/>
  <c r="BK8" i="8" s="1"/>
  <c r="BK6" i="8" a="1"/>
  <c r="BJ6" i="8" a="1"/>
  <c r="BJ6" i="8" s="1"/>
  <c r="BI6" i="8" a="1"/>
  <c r="BI6" i="8" s="1"/>
  <c r="BH6" i="8" a="1"/>
  <c r="BH6" i="8" s="1"/>
  <c r="BG6" i="8" a="1"/>
  <c r="BG6" i="8" s="1"/>
  <c r="BF6" i="8" a="1"/>
  <c r="BF6" i="8" s="1"/>
  <c r="BE6" i="8"/>
  <c r="BE8" i="8" s="1"/>
  <c r="BE6" i="8" a="1"/>
  <c r="BD6" i="8"/>
  <c r="BD8" i="8" s="1"/>
  <c r="BD6" i="8" a="1"/>
  <c r="BC6" i="8" a="1"/>
  <c r="BC6" i="8" s="1"/>
  <c r="BB6" i="8"/>
  <c r="BB8" i="8" s="1"/>
  <c r="BB6" i="8" a="1"/>
  <c r="BA6" i="8" a="1"/>
  <c r="BA6" i="8" s="1"/>
  <c r="AZ6" i="8"/>
  <c r="AZ8" i="8" s="1"/>
  <c r="AZ6" i="8" a="1"/>
  <c r="AY6" i="8" a="1"/>
  <c r="AY6" i="8" s="1"/>
  <c r="AX6" i="8" a="1"/>
  <c r="AX6" i="8" s="1"/>
  <c r="AW6" i="8" a="1"/>
  <c r="AW6" i="8" s="1"/>
  <c r="AV6" i="8" a="1"/>
  <c r="AV6" i="8" s="1"/>
  <c r="AU6" i="8" a="1"/>
  <c r="AU6" i="8" s="1"/>
  <c r="AT6" i="8"/>
  <c r="AT8" i="8" s="1"/>
  <c r="AT6" i="8" a="1"/>
  <c r="AS6" i="8"/>
  <c r="AS8" i="8" s="1"/>
  <c r="AS6" i="8" a="1"/>
  <c r="AR6" i="8" a="1"/>
  <c r="AR6" i="8" s="1"/>
  <c r="AQ6" i="8"/>
  <c r="AQ8" i="8" s="1"/>
  <c r="AQ6" i="8" a="1"/>
  <c r="AP6" i="8" a="1"/>
  <c r="AP6" i="8" s="1"/>
  <c r="AO6" i="8"/>
  <c r="AO7" i="8" s="1"/>
  <c r="AO6" i="8" a="1"/>
  <c r="AN6" i="8" a="1"/>
  <c r="AN6" i="8" s="1"/>
  <c r="AM6" i="8" a="1"/>
  <c r="AM6" i="8" s="1"/>
  <c r="AL6" i="8" a="1"/>
  <c r="AL6" i="8" s="1"/>
  <c r="AK6" i="8" a="1"/>
  <c r="AK6" i="8" s="1"/>
  <c r="AJ6" i="8" a="1"/>
  <c r="AJ6" i="8" s="1"/>
  <c r="AI6" i="8"/>
  <c r="AI8" i="8" s="1"/>
  <c r="AI6" i="8" a="1"/>
  <c r="AH6" i="8"/>
  <c r="AH8" i="8" s="1"/>
  <c r="AH6" i="8" a="1"/>
  <c r="AG6" i="8" a="1"/>
  <c r="AG6" i="8" s="1"/>
  <c r="AF6" i="8"/>
  <c r="AF8" i="8" s="1"/>
  <c r="AF6" i="8" a="1"/>
  <c r="AE6" i="8" a="1"/>
  <c r="AE6" i="8" s="1"/>
  <c r="AD6" i="8"/>
  <c r="AD8" i="8" s="1"/>
  <c r="AD6" i="8" a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/>
  <c r="X8" i="8" s="1"/>
  <c r="X6" i="8" a="1"/>
  <c r="W6" i="8"/>
  <c r="W8" i="8" s="1"/>
  <c r="W6" i="8" a="1"/>
  <c r="V6" i="8" a="1"/>
  <c r="V6" i="8" s="1"/>
  <c r="U6" i="8"/>
  <c r="U8" i="8" s="1"/>
  <c r="U6" i="8" a="1"/>
  <c r="T6" i="8" a="1"/>
  <c r="T6" i="8" s="1"/>
  <c r="S6" i="8"/>
  <c r="S7" i="8" s="1"/>
  <c r="S6" i="8" a="1"/>
  <c r="R6" i="8" a="1"/>
  <c r="R6" i="8" s="1"/>
  <c r="Q6" i="8" a="1"/>
  <c r="Q6" i="8" s="1"/>
  <c r="P6" i="8" a="1"/>
  <c r="P6" i="8" s="1"/>
  <c r="O6" i="8" a="1"/>
  <c r="O6" i="8" s="1"/>
  <c r="N6" i="8" a="1"/>
  <c r="N6" i="8" s="1"/>
  <c r="M6" i="8"/>
  <c r="M8" i="8" s="1"/>
  <c r="M6" i="8" a="1"/>
  <c r="L6" i="8"/>
  <c r="L8" i="8" s="1"/>
  <c r="L6" i="8" a="1"/>
  <c r="K6" i="8" a="1"/>
  <c r="K6" i="8" s="1"/>
  <c r="J6" i="8"/>
  <c r="J8" i="8" s="1"/>
  <c r="J6" i="8" a="1"/>
  <c r="I6" i="8" a="1"/>
  <c r="I6" i="8" s="1"/>
  <c r="H6" i="8"/>
  <c r="H7" i="8" s="1"/>
  <c r="H6" i="8" a="1"/>
  <c r="G6" i="8" a="1"/>
  <c r="G6" i="8" s="1"/>
  <c r="F6" i="8" a="1"/>
  <c r="F6" i="8" s="1"/>
  <c r="E6" i="8" a="1"/>
  <c r="E6" i="8" s="1"/>
  <c r="D6" i="8" a="1"/>
  <c r="D6" i="8" s="1"/>
  <c r="C6" i="8" a="1"/>
  <c r="C6" i="8" s="1"/>
  <c r="DW8" i="5"/>
  <c r="DL8" i="5"/>
  <c r="DY7" i="5"/>
  <c r="DN7" i="5"/>
  <c r="DC7" i="5"/>
  <c r="CR7" i="5"/>
  <c r="CG7" i="5"/>
  <c r="BV7" i="5"/>
  <c r="BK7" i="5"/>
  <c r="AZ7" i="5"/>
  <c r="AO7" i="5"/>
  <c r="EF6" i="5" a="1"/>
  <c r="EF6" i="5" s="1"/>
  <c r="EE6" i="5"/>
  <c r="EE8" i="5" s="1"/>
  <c r="EE6" i="5" a="1"/>
  <c r="ED6" i="5" a="1"/>
  <c r="ED6" i="5" s="1"/>
  <c r="EC6" i="5"/>
  <c r="EC8" i="5" s="1"/>
  <c r="EC6" i="5" a="1"/>
  <c r="EB6" i="5" a="1"/>
  <c r="EB6" i="5" s="1"/>
  <c r="EA6" i="5" a="1"/>
  <c r="EA6" i="5" s="1"/>
  <c r="DZ6" i="5" a="1"/>
  <c r="DZ6" i="5" s="1"/>
  <c r="DY6" i="5"/>
  <c r="DY8" i="5" s="1"/>
  <c r="DY6" i="5" a="1"/>
  <c r="DX6" i="5" a="1"/>
  <c r="DX6" i="5" s="1"/>
  <c r="DW6" i="5"/>
  <c r="DW7" i="5" s="1"/>
  <c r="DW6" i="5" a="1"/>
  <c r="DV6" i="5" a="1"/>
  <c r="DV6" i="5" s="1"/>
  <c r="DU6" i="5" a="1"/>
  <c r="DU6" i="5" s="1"/>
  <c r="DT6" i="5"/>
  <c r="DT8" i="5" s="1"/>
  <c r="DT6" i="5" a="1"/>
  <c r="DS6" i="5" a="1"/>
  <c r="DS6" i="5" s="1"/>
  <c r="DR6" i="5"/>
  <c r="DR8" i="5" s="1"/>
  <c r="DR6" i="5" a="1"/>
  <c r="DQ6" i="5" a="1"/>
  <c r="DQ6" i="5" s="1"/>
  <c r="DP6" i="5" a="1"/>
  <c r="DP6" i="5" s="1"/>
  <c r="DO6" i="5" a="1"/>
  <c r="DO6" i="5" s="1"/>
  <c r="DN6" i="5"/>
  <c r="DN8" i="5" s="1"/>
  <c r="DN6" i="5" a="1"/>
  <c r="DM6" i="5" a="1"/>
  <c r="DM6" i="5" s="1"/>
  <c r="DL6" i="5"/>
  <c r="DL7" i="5" s="1"/>
  <c r="DL6" i="5" a="1"/>
  <c r="DK6" i="5" a="1"/>
  <c r="DK6" i="5" s="1"/>
  <c r="DJ6" i="5" a="1"/>
  <c r="DJ6" i="5" s="1"/>
  <c r="DI6" i="5"/>
  <c r="DI8" i="5" s="1"/>
  <c r="DI6" i="5" a="1"/>
  <c r="DH6" i="5" a="1"/>
  <c r="DH6" i="5" s="1"/>
  <c r="DG6" i="5"/>
  <c r="DG8" i="5" s="1"/>
  <c r="DG6" i="5" a="1"/>
  <c r="DF6" i="5" a="1"/>
  <c r="DF6" i="5" s="1"/>
  <c r="DE6" i="5" a="1"/>
  <c r="DE6" i="5" s="1"/>
  <c r="DD6" i="5" a="1"/>
  <c r="DD6" i="5" s="1"/>
  <c r="DC6" i="5"/>
  <c r="DC8" i="5" s="1"/>
  <c r="DC6" i="5" a="1"/>
  <c r="DB6" i="5" a="1"/>
  <c r="DB6" i="5" s="1"/>
  <c r="DA6" i="5" a="1"/>
  <c r="DA6" i="5" s="1"/>
  <c r="CZ6" i="5" a="1"/>
  <c r="CZ6" i="5" s="1"/>
  <c r="CY6" i="5" a="1"/>
  <c r="CY6" i="5" s="1"/>
  <c r="CX6" i="5"/>
  <c r="CX8" i="5" s="1"/>
  <c r="CX6" i="5" a="1"/>
  <c r="CW6" i="5" a="1"/>
  <c r="CW6" i="5" s="1"/>
  <c r="CV6" i="5"/>
  <c r="CV8" i="5" s="1"/>
  <c r="CV6" i="5" a="1"/>
  <c r="CU6" i="5" a="1"/>
  <c r="CU6" i="5" s="1"/>
  <c r="CT6" i="5" a="1"/>
  <c r="CT6" i="5" s="1"/>
  <c r="CS6" i="5" a="1"/>
  <c r="CS6" i="5" s="1"/>
  <c r="CR6" i="5"/>
  <c r="CR8" i="5" s="1"/>
  <c r="CR6" i="5" a="1"/>
  <c r="CQ6" i="5" a="1"/>
  <c r="CQ6" i="5" s="1"/>
  <c r="CP6" i="5" a="1"/>
  <c r="CP6" i="5" s="1"/>
  <c r="CO6" i="5" a="1"/>
  <c r="CO6" i="5" s="1"/>
  <c r="CN6" i="5" a="1"/>
  <c r="CN6" i="5" s="1"/>
  <c r="CM6" i="5"/>
  <c r="CM8" i="5" s="1"/>
  <c r="CM6" i="5" a="1"/>
  <c r="CL6" i="5" a="1"/>
  <c r="CL6" i="5" s="1"/>
  <c r="CK6" i="5"/>
  <c r="CK8" i="5" s="1"/>
  <c r="CK6" i="5" a="1"/>
  <c r="CJ6" i="5" a="1"/>
  <c r="CJ6" i="5" s="1"/>
  <c r="CI6" i="5" a="1"/>
  <c r="CI6" i="5" s="1"/>
  <c r="CH6" i="5" a="1"/>
  <c r="CH6" i="5" s="1"/>
  <c r="CG6" i="5"/>
  <c r="CG8" i="5" s="1"/>
  <c r="CG6" i="5" a="1"/>
  <c r="CF6" i="5" a="1"/>
  <c r="CF6" i="5" s="1"/>
  <c r="CE6" i="5" a="1"/>
  <c r="CE6" i="5" s="1"/>
  <c r="CD6" i="5" a="1"/>
  <c r="CD6" i="5" s="1"/>
  <c r="CC6" i="5" a="1"/>
  <c r="CC6" i="5" s="1"/>
  <c r="CB6" i="5"/>
  <c r="CB8" i="5" s="1"/>
  <c r="CB6" i="5" a="1"/>
  <c r="CA6" i="5" a="1"/>
  <c r="CA6" i="5" s="1"/>
  <c r="BZ6" i="5"/>
  <c r="BZ8" i="5" s="1"/>
  <c r="BZ6" i="5" a="1"/>
  <c r="BY6" i="5" a="1"/>
  <c r="BY6" i="5" s="1"/>
  <c r="BX6" i="5" a="1"/>
  <c r="BX6" i="5" s="1"/>
  <c r="BW6" i="5" a="1"/>
  <c r="BW6" i="5" s="1"/>
  <c r="BV6" i="5"/>
  <c r="BV8" i="5" s="1"/>
  <c r="BV6" i="5" a="1"/>
  <c r="BU6" i="5" a="1"/>
  <c r="BU6" i="5" s="1"/>
  <c r="BT6" i="5" a="1"/>
  <c r="BT6" i="5" s="1"/>
  <c r="BS6" i="5" a="1"/>
  <c r="BS6" i="5" s="1"/>
  <c r="BR6" i="5" a="1"/>
  <c r="BR6" i="5" s="1"/>
  <c r="BQ6" i="5"/>
  <c r="BQ8" i="5" s="1"/>
  <c r="BQ6" i="5" a="1"/>
  <c r="BP6" i="5" a="1"/>
  <c r="BP6" i="5" s="1"/>
  <c r="BO6" i="5"/>
  <c r="BO8" i="5" s="1"/>
  <c r="BO6" i="5" a="1"/>
  <c r="BN6" i="5" a="1"/>
  <c r="BN6" i="5" s="1"/>
  <c r="BM6" i="5" a="1"/>
  <c r="BM6" i="5" s="1"/>
  <c r="BL6" i="5" a="1"/>
  <c r="BL6" i="5" s="1"/>
  <c r="BK6" i="5"/>
  <c r="BK8" i="5" s="1"/>
  <c r="BK6" i="5" a="1"/>
  <c r="BJ6" i="5" a="1"/>
  <c r="BJ6" i="5" s="1"/>
  <c r="BI6" i="5" a="1"/>
  <c r="BI6" i="5" s="1"/>
  <c r="BH6" i="5" a="1"/>
  <c r="BH6" i="5" s="1"/>
  <c r="BG6" i="5" a="1"/>
  <c r="BG6" i="5" s="1"/>
  <c r="BF6" i="5"/>
  <c r="BF8" i="5" s="1"/>
  <c r="BF6" i="5" a="1"/>
  <c r="BE6" i="5" a="1"/>
  <c r="BE6" i="5" s="1"/>
  <c r="BD6" i="5"/>
  <c r="BD8" i="5" s="1"/>
  <c r="BD6" i="5" a="1"/>
  <c r="BC6" i="5" a="1"/>
  <c r="BC6" i="5" s="1"/>
  <c r="BB6" i="5" a="1"/>
  <c r="BB6" i="5" s="1"/>
  <c r="BA6" i="5" a="1"/>
  <c r="BA6" i="5" s="1"/>
  <c r="AZ6" i="5"/>
  <c r="AZ8" i="5" s="1"/>
  <c r="AZ6" i="5" a="1"/>
  <c r="AY6" i="5" a="1"/>
  <c r="AY6" i="5" s="1"/>
  <c r="AX6" i="5" a="1"/>
  <c r="AX6" i="5" s="1"/>
  <c r="AW6" i="5" a="1"/>
  <c r="AW6" i="5" s="1"/>
  <c r="AV6" i="5" a="1"/>
  <c r="AV6" i="5" s="1"/>
  <c r="AU6" i="5"/>
  <c r="AU8" i="5" s="1"/>
  <c r="AU6" i="5" a="1"/>
  <c r="AT6" i="5" a="1"/>
  <c r="AT6" i="5" s="1"/>
  <c r="AS6" i="5"/>
  <c r="AS8" i="5" s="1"/>
  <c r="AS6" i="5" a="1"/>
  <c r="AR6" i="5" a="1"/>
  <c r="AR6" i="5" s="1"/>
  <c r="AQ6" i="5" a="1"/>
  <c r="AQ6" i="5" s="1"/>
  <c r="AP6" i="5" a="1"/>
  <c r="AP6" i="5" s="1"/>
  <c r="AO6" i="5"/>
  <c r="AO8" i="5" s="1"/>
  <c r="AO6" i="5" a="1"/>
  <c r="AN6" i="5" a="1"/>
  <c r="AN6" i="5" s="1"/>
  <c r="AM6" i="5" a="1"/>
  <c r="AM6" i="5" s="1"/>
  <c r="AL6" i="5" a="1"/>
  <c r="AL6" i="5" s="1"/>
  <c r="AK6" i="5" a="1"/>
  <c r="AK6" i="5" s="1"/>
  <c r="AJ6" i="5"/>
  <c r="AJ8" i="5" s="1"/>
  <c r="AJ6" i="5" a="1"/>
  <c r="AI6" i="5" a="1"/>
  <c r="AI6" i="5" s="1"/>
  <c r="AH6" i="5"/>
  <c r="AH8" i="5" s="1"/>
  <c r="AH6" i="5" a="1"/>
  <c r="AG6" i="5" a="1"/>
  <c r="AG6" i="5" s="1"/>
  <c r="AF6" i="5" a="1"/>
  <c r="AF6" i="5" s="1"/>
  <c r="AE6" i="5" a="1"/>
  <c r="AE6" i="5" s="1"/>
  <c r="AD6" i="5"/>
  <c r="AD8" i="5" s="1"/>
  <c r="AD6" i="5" a="1"/>
  <c r="AC6" i="5" a="1"/>
  <c r="AC6" i="5" s="1"/>
  <c r="AB6" i="5" a="1"/>
  <c r="AB6" i="5" s="1"/>
  <c r="AA6" i="5" a="1"/>
  <c r="AA6" i="5" s="1"/>
  <c r="Z6" i="5" a="1"/>
  <c r="Z6" i="5" s="1"/>
  <c r="Y6" i="5"/>
  <c r="Y8" i="5" s="1"/>
  <c r="Y6" i="5" a="1"/>
  <c r="X6" i="5" a="1"/>
  <c r="X6" i="5" s="1"/>
  <c r="W6" i="5"/>
  <c r="W8" i="5" s="1"/>
  <c r="W6" i="5" a="1"/>
  <c r="V6" i="5" a="1"/>
  <c r="V6" i="5" s="1"/>
  <c r="U6" i="5" a="1"/>
  <c r="U6" i="5" s="1"/>
  <c r="T6" i="5" a="1"/>
  <c r="T6" i="5" s="1"/>
  <c r="S6" i="5"/>
  <c r="S8" i="5" s="1"/>
  <c r="S6" i="5" a="1"/>
  <c r="R6" i="5" a="1"/>
  <c r="R6" i="5" s="1"/>
  <c r="Q6" i="5" a="1"/>
  <c r="Q6" i="5" s="1"/>
  <c r="P6" i="5" a="1"/>
  <c r="P6" i="5" s="1"/>
  <c r="O6" i="5" a="1"/>
  <c r="O6" i="5" s="1"/>
  <c r="N6" i="5"/>
  <c r="N8" i="5" s="1"/>
  <c r="N6" i="5" a="1"/>
  <c r="M6" i="5" a="1"/>
  <c r="M6" i="5" s="1"/>
  <c r="L6" i="5"/>
  <c r="L8" i="5" s="1"/>
  <c r="L6" i="5" a="1"/>
  <c r="K6" i="5" a="1"/>
  <c r="K6" i="5" s="1"/>
  <c r="J6" i="5" a="1"/>
  <c r="J6" i="5" s="1"/>
  <c r="I6" i="5" a="1"/>
  <c r="I6" i="5" s="1"/>
  <c r="H6" i="5"/>
  <c r="H8" i="5" s="1"/>
  <c r="H6" i="5" a="1"/>
  <c r="G6" i="5" a="1"/>
  <c r="G6" i="5" s="1"/>
  <c r="F6" i="5" a="1"/>
  <c r="F6" i="5" s="1"/>
  <c r="E6" i="5" a="1"/>
  <c r="E6" i="5" s="1"/>
  <c r="D6" i="5" a="1"/>
  <c r="D6" i="5" s="1"/>
  <c r="C6" i="5"/>
  <c r="C8" i="5" s="1"/>
  <c r="C6" i="5" a="1"/>
  <c r="DW8" i="4"/>
  <c r="DL8" i="4"/>
  <c r="F8" i="4"/>
  <c r="EF6" i="4" a="1"/>
  <c r="EF6" i="4" s="1"/>
  <c r="EE6" i="4" a="1"/>
  <c r="EE6" i="4" s="1"/>
  <c r="ED6" i="4" a="1"/>
  <c r="ED6" i="4" s="1"/>
  <c r="EC6" i="4"/>
  <c r="EC8" i="4" s="1"/>
  <c r="EC6" i="4" a="1"/>
  <c r="EB6" i="4" a="1"/>
  <c r="EB6" i="4" s="1"/>
  <c r="EA6" i="4" a="1"/>
  <c r="EA6" i="4" s="1"/>
  <c r="DZ6" i="4"/>
  <c r="DZ8" i="4" s="1"/>
  <c r="DZ6" i="4" a="1"/>
  <c r="DY6" i="4"/>
  <c r="DY8" i="4" s="1"/>
  <c r="DY6" i="4" a="1"/>
  <c r="DX6" i="4" a="1"/>
  <c r="DX6" i="4" s="1"/>
  <c r="DW6" i="4"/>
  <c r="DW7" i="4" s="1"/>
  <c r="DW6" i="4" a="1"/>
  <c r="DV6" i="4" a="1"/>
  <c r="DV6" i="4" s="1"/>
  <c r="DU6" i="4" a="1"/>
  <c r="DU6" i="4" s="1"/>
  <c r="DT6" i="4" a="1"/>
  <c r="DT6" i="4" s="1"/>
  <c r="DS6" i="4" a="1"/>
  <c r="DS6" i="4" s="1"/>
  <c r="DR6" i="4"/>
  <c r="DR8" i="4" s="1"/>
  <c r="DR6" i="4" a="1"/>
  <c r="DQ6" i="4" a="1"/>
  <c r="DQ6" i="4" s="1"/>
  <c r="DP6" i="4" a="1"/>
  <c r="DP6" i="4" s="1"/>
  <c r="DO6" i="4"/>
  <c r="DO8" i="4" s="1"/>
  <c r="DO6" i="4" a="1"/>
  <c r="DN6" i="4"/>
  <c r="DN8" i="4" s="1"/>
  <c r="DN6" i="4" a="1"/>
  <c r="DM6" i="4" a="1"/>
  <c r="DM6" i="4" s="1"/>
  <c r="DL6" i="4"/>
  <c r="DL7" i="4" s="1"/>
  <c r="DL6" i="4" a="1"/>
  <c r="DK6" i="4" a="1"/>
  <c r="DK6" i="4" s="1"/>
  <c r="DJ6" i="4" a="1"/>
  <c r="DJ6" i="4" s="1"/>
  <c r="DI6" i="4" a="1"/>
  <c r="DI6" i="4" s="1"/>
  <c r="DH6" i="4" a="1"/>
  <c r="DH6" i="4" s="1"/>
  <c r="DG6" i="4"/>
  <c r="DG8" i="4" s="1"/>
  <c r="DG6" i="4" a="1"/>
  <c r="DF6" i="4" a="1"/>
  <c r="DF6" i="4" s="1"/>
  <c r="DE6" i="4" a="1"/>
  <c r="DE6" i="4" s="1"/>
  <c r="DD6" i="4"/>
  <c r="DD8" i="4" s="1"/>
  <c r="DD6" i="4" a="1"/>
  <c r="DC6" i="4"/>
  <c r="DC8" i="4" s="1"/>
  <c r="DC6" i="4" a="1"/>
  <c r="DB6" i="4" a="1"/>
  <c r="DB6" i="4" s="1"/>
  <c r="DA6" i="4" a="1"/>
  <c r="DA6" i="4" s="1"/>
  <c r="CZ6" i="4" a="1"/>
  <c r="CZ6" i="4" s="1"/>
  <c r="CY6" i="4" a="1"/>
  <c r="CY6" i="4" s="1"/>
  <c r="CX6" i="4" a="1"/>
  <c r="CX6" i="4" s="1"/>
  <c r="CW6" i="4" a="1"/>
  <c r="CW6" i="4" s="1"/>
  <c r="CV6" i="4"/>
  <c r="CV8" i="4" s="1"/>
  <c r="CV6" i="4" a="1"/>
  <c r="CU6" i="4" a="1"/>
  <c r="CU6" i="4" s="1"/>
  <c r="CT6" i="4" a="1"/>
  <c r="CT6" i="4" s="1"/>
  <c r="CS6" i="4"/>
  <c r="CS8" i="4" s="1"/>
  <c r="CS6" i="4" a="1"/>
  <c r="CR6" i="4"/>
  <c r="CR8" i="4" s="1"/>
  <c r="CR6" i="4" a="1"/>
  <c r="CQ6" i="4" a="1"/>
  <c r="CQ6" i="4" s="1"/>
  <c r="CP6" i="4" a="1"/>
  <c r="CP6" i="4" s="1"/>
  <c r="CO6" i="4" a="1"/>
  <c r="CO6" i="4" s="1"/>
  <c r="CN6" i="4" a="1"/>
  <c r="CN6" i="4" s="1"/>
  <c r="CM6" i="4" a="1"/>
  <c r="CM6" i="4" s="1"/>
  <c r="CL6" i="4" a="1"/>
  <c r="CL6" i="4" s="1"/>
  <c r="CK6" i="4"/>
  <c r="CK8" i="4" s="1"/>
  <c r="CK6" i="4" a="1"/>
  <c r="CJ6" i="4" a="1"/>
  <c r="CJ6" i="4" s="1"/>
  <c r="CI6" i="4" a="1"/>
  <c r="CI6" i="4" s="1"/>
  <c r="CH6" i="4"/>
  <c r="CH8" i="4" s="1"/>
  <c r="CH6" i="4" a="1"/>
  <c r="CG6" i="4"/>
  <c r="CG8" i="4" s="1"/>
  <c r="CG6" i="4" a="1"/>
  <c r="CF6" i="4" a="1"/>
  <c r="CF6" i="4" s="1"/>
  <c r="CE6" i="4" a="1"/>
  <c r="CE6" i="4" s="1"/>
  <c r="CD6" i="4" a="1"/>
  <c r="CD6" i="4" s="1"/>
  <c r="CC6" i="4" a="1"/>
  <c r="CC6" i="4" s="1"/>
  <c r="CB6" i="4" a="1"/>
  <c r="CB6" i="4" s="1"/>
  <c r="CA6" i="4" a="1"/>
  <c r="CA6" i="4" s="1"/>
  <c r="BZ6" i="4"/>
  <c r="BZ8" i="4" s="1"/>
  <c r="BZ6" i="4" a="1"/>
  <c r="BY6" i="4" a="1"/>
  <c r="BY6" i="4" s="1"/>
  <c r="BX6" i="4" a="1"/>
  <c r="BX6" i="4" s="1"/>
  <c r="BW6" i="4"/>
  <c r="BW8" i="4" s="1"/>
  <c r="BW6" i="4" a="1"/>
  <c r="BV6" i="4"/>
  <c r="BV8" i="4" s="1"/>
  <c r="BV6" i="4" a="1"/>
  <c r="BU6" i="4" a="1"/>
  <c r="BU6" i="4" s="1"/>
  <c r="BT6" i="4" a="1"/>
  <c r="BT6" i="4" s="1"/>
  <c r="BS6" i="4" a="1"/>
  <c r="BS6" i="4" s="1"/>
  <c r="BR6" i="4" a="1"/>
  <c r="BR6" i="4" s="1"/>
  <c r="BQ6" i="4" a="1"/>
  <c r="BQ6" i="4" s="1"/>
  <c r="BP6" i="4" a="1"/>
  <c r="BP6" i="4" s="1"/>
  <c r="BO6" i="4"/>
  <c r="BO8" i="4" s="1"/>
  <c r="BO6" i="4" a="1"/>
  <c r="BN6" i="4" a="1"/>
  <c r="BN6" i="4" s="1"/>
  <c r="BM6" i="4" a="1"/>
  <c r="BM6" i="4" s="1"/>
  <c r="BL6" i="4"/>
  <c r="BL8" i="4" s="1"/>
  <c r="BL6" i="4" a="1"/>
  <c r="BK6" i="4"/>
  <c r="BK8" i="4" s="1"/>
  <c r="BK6" i="4" a="1"/>
  <c r="BJ6" i="4" a="1"/>
  <c r="BJ6" i="4" s="1"/>
  <c r="BI6" i="4" a="1"/>
  <c r="BI6" i="4" s="1"/>
  <c r="BH6" i="4" a="1"/>
  <c r="BH6" i="4" s="1"/>
  <c r="BG6" i="4" a="1"/>
  <c r="BG6" i="4" s="1"/>
  <c r="BF6" i="4" a="1"/>
  <c r="BF6" i="4" s="1"/>
  <c r="BE6" i="4" a="1"/>
  <c r="BE6" i="4" s="1"/>
  <c r="BD6" i="4"/>
  <c r="BD8" i="4" s="1"/>
  <c r="BD6" i="4" a="1"/>
  <c r="BC6" i="4" a="1"/>
  <c r="BC6" i="4" s="1"/>
  <c r="BB6" i="4" a="1"/>
  <c r="BB6" i="4" s="1"/>
  <c r="BA6" i="4"/>
  <c r="BA8" i="4" s="1"/>
  <c r="BA6" i="4" a="1"/>
  <c r="AZ6" i="4"/>
  <c r="AZ8" i="4" s="1"/>
  <c r="AZ6" i="4" a="1"/>
  <c r="AY6" i="4" a="1"/>
  <c r="AY6" i="4" s="1"/>
  <c r="AX6" i="4" a="1"/>
  <c r="AX6" i="4" s="1"/>
  <c r="AW6" i="4" a="1"/>
  <c r="AW6" i="4" s="1"/>
  <c r="AV6" i="4" a="1"/>
  <c r="AV6" i="4" s="1"/>
  <c r="AU6" i="4" a="1"/>
  <c r="AU6" i="4" s="1"/>
  <c r="AT6" i="4" a="1"/>
  <c r="AT6" i="4" s="1"/>
  <c r="AS6" i="4"/>
  <c r="AS8" i="4" s="1"/>
  <c r="AS6" i="4" a="1"/>
  <c r="AR6" i="4" a="1"/>
  <c r="AR6" i="4" s="1"/>
  <c r="AQ6" i="4" a="1"/>
  <c r="AQ6" i="4" s="1"/>
  <c r="AP6" i="4"/>
  <c r="AP8" i="4" s="1"/>
  <c r="AP6" i="4" a="1"/>
  <c r="AO6" i="4"/>
  <c r="AO8" i="4" s="1"/>
  <c r="AO6" i="4" a="1"/>
  <c r="AN6" i="4" a="1"/>
  <c r="AN6" i="4" s="1"/>
  <c r="AM6" i="4" a="1"/>
  <c r="AM6" i="4" s="1"/>
  <c r="AL6" i="4" a="1"/>
  <c r="AL6" i="4" s="1"/>
  <c r="AK6" i="4" a="1"/>
  <c r="AK6" i="4" s="1"/>
  <c r="AJ6" i="4" a="1"/>
  <c r="AJ6" i="4" s="1"/>
  <c r="AI6" i="4" a="1"/>
  <c r="AI6" i="4" s="1"/>
  <c r="AH6" i="4"/>
  <c r="AH8" i="4" s="1"/>
  <c r="AH6" i="4" a="1"/>
  <c r="AG6" i="4" a="1"/>
  <c r="AG6" i="4" s="1"/>
  <c r="AF6" i="4" a="1"/>
  <c r="AF6" i="4" s="1"/>
  <c r="AE6" i="4"/>
  <c r="AE8" i="4" s="1"/>
  <c r="AE6" i="4" a="1"/>
  <c r="AD6" i="4"/>
  <c r="AD8" i="4" s="1"/>
  <c r="AD6" i="4" a="1"/>
  <c r="AC6" i="4" a="1"/>
  <c r="AC6" i="4" s="1"/>
  <c r="AB6" i="4" a="1"/>
  <c r="AB6" i="4" s="1"/>
  <c r="AA6" i="4" a="1"/>
  <c r="AA6" i="4" s="1"/>
  <c r="Z6" i="4" a="1"/>
  <c r="Z6" i="4" s="1"/>
  <c r="Y6" i="4" a="1"/>
  <c r="Y6" i="4" s="1"/>
  <c r="X6" i="4" a="1"/>
  <c r="X6" i="4" s="1"/>
  <c r="W6" i="4"/>
  <c r="W8" i="4" s="1"/>
  <c r="W6" i="4" a="1"/>
  <c r="V6" i="4" a="1"/>
  <c r="V6" i="4" s="1"/>
  <c r="U6" i="4" a="1"/>
  <c r="U6" i="4" s="1"/>
  <c r="T6" i="4"/>
  <c r="T8" i="4" s="1"/>
  <c r="T6" i="4" a="1"/>
  <c r="S6" i="4"/>
  <c r="S8" i="4" s="1"/>
  <c r="S6" i="4" a="1"/>
  <c r="R6" i="4" a="1"/>
  <c r="R6" i="4" s="1"/>
  <c r="Q6" i="4" a="1"/>
  <c r="Q6" i="4" s="1"/>
  <c r="P6" i="4" a="1"/>
  <c r="P6" i="4" s="1"/>
  <c r="O6" i="4" a="1"/>
  <c r="O6" i="4" s="1"/>
  <c r="N6" i="4" a="1"/>
  <c r="N6" i="4" s="1"/>
  <c r="M6" i="4" a="1"/>
  <c r="M6" i="4" s="1"/>
  <c r="L6" i="4"/>
  <c r="L8" i="4" s="1"/>
  <c r="L6" i="4" a="1"/>
  <c r="K6" i="4" a="1"/>
  <c r="K6" i="4" s="1"/>
  <c r="J6" i="4" a="1"/>
  <c r="J6" i="4" s="1"/>
  <c r="I6" i="4"/>
  <c r="I8" i="4" s="1"/>
  <c r="I6" i="4" a="1"/>
  <c r="H6" i="4"/>
  <c r="H8" i="4" s="1"/>
  <c r="H6" i="4" a="1"/>
  <c r="G6" i="4" a="1"/>
  <c r="G6" i="4" s="1"/>
  <c r="F6" i="4"/>
  <c r="F7" i="4" s="1"/>
  <c r="F6" i="4" a="1"/>
  <c r="E6" i="4" a="1"/>
  <c r="E6" i="4" s="1"/>
  <c r="D6" i="4" a="1"/>
  <c r="D6" i="4" s="1"/>
  <c r="C6" i="4" a="1"/>
  <c r="C6" i="4" s="1"/>
  <c r="DW8" i="3"/>
  <c r="DL8" i="3"/>
  <c r="EF6" i="3"/>
  <c r="EF8" i="3" s="1"/>
  <c r="EF6" i="3" a="1"/>
  <c r="EE6" i="3"/>
  <c r="EE8" i="3" s="1"/>
  <c r="EE6" i="3" a="1"/>
  <c r="ED6" i="3" a="1"/>
  <c r="ED6" i="3" s="1"/>
  <c r="EC6" i="3"/>
  <c r="EC8" i="3" s="1"/>
  <c r="EC6" i="3" a="1"/>
  <c r="EB6" i="3" a="1"/>
  <c r="EB6" i="3" s="1"/>
  <c r="EA6" i="3" a="1"/>
  <c r="EA6" i="3" s="1"/>
  <c r="DZ6" i="3" a="1"/>
  <c r="DZ6" i="3" s="1"/>
  <c r="DY6" i="3"/>
  <c r="DY8" i="3" s="1"/>
  <c r="DY6" i="3" a="1"/>
  <c r="DX6" i="3"/>
  <c r="DX8" i="3" s="1"/>
  <c r="DX6" i="3" a="1"/>
  <c r="DW6" i="3"/>
  <c r="DW7" i="3" s="1"/>
  <c r="DW6" i="3" a="1"/>
  <c r="DV6" i="3"/>
  <c r="DV7" i="3" s="1"/>
  <c r="DV6" i="3" a="1"/>
  <c r="DU6" i="3"/>
  <c r="DU8" i="3" s="1"/>
  <c r="DU6" i="3" a="1"/>
  <c r="DT6" i="3"/>
  <c r="DT8" i="3" s="1"/>
  <c r="DT6" i="3" a="1"/>
  <c r="DS6" i="3" a="1"/>
  <c r="DS6" i="3" s="1"/>
  <c r="DR6" i="3"/>
  <c r="DR8" i="3" s="1"/>
  <c r="DR6" i="3" a="1"/>
  <c r="DQ6" i="3" a="1"/>
  <c r="DQ6" i="3" s="1"/>
  <c r="DP6" i="3" a="1"/>
  <c r="DP6" i="3" s="1"/>
  <c r="DO6" i="3" a="1"/>
  <c r="DO6" i="3" s="1"/>
  <c r="DN6" i="3"/>
  <c r="DN8" i="3" s="1"/>
  <c r="DN6" i="3" a="1"/>
  <c r="DM6" i="3"/>
  <c r="DM8" i="3" s="1"/>
  <c r="DM6" i="3" a="1"/>
  <c r="DL6" i="3"/>
  <c r="DL7" i="3" s="1"/>
  <c r="DL6" i="3" a="1"/>
  <c r="DK6" i="3"/>
  <c r="DK7" i="3" s="1"/>
  <c r="DK6" i="3" a="1"/>
  <c r="DJ6" i="3"/>
  <c r="DJ8" i="3" s="1"/>
  <c r="DJ6" i="3" a="1"/>
  <c r="DI6" i="3"/>
  <c r="DI8" i="3" s="1"/>
  <c r="DI6" i="3" a="1"/>
  <c r="DH6" i="3" a="1"/>
  <c r="DH6" i="3" s="1"/>
  <c r="DG6" i="3"/>
  <c r="DG8" i="3" s="1"/>
  <c r="DG6" i="3" a="1"/>
  <c r="DF6" i="3" a="1"/>
  <c r="DF6" i="3" s="1"/>
  <c r="DE6" i="3" a="1"/>
  <c r="DE6" i="3" s="1"/>
  <c r="DD6" i="3" a="1"/>
  <c r="DD6" i="3" s="1"/>
  <c r="DC6" i="3" a="1"/>
  <c r="DC6" i="3" s="1"/>
  <c r="DB6" i="3"/>
  <c r="DB8" i="3" s="1"/>
  <c r="DB6" i="3" a="1"/>
  <c r="DA6" i="3" a="1"/>
  <c r="DA6" i="3" s="1"/>
  <c r="CZ6" i="3"/>
  <c r="CZ7" i="3" s="1"/>
  <c r="CZ6" i="3" a="1"/>
  <c r="CY6" i="3"/>
  <c r="CY8" i="3" s="1"/>
  <c r="CY6" i="3" a="1"/>
  <c r="CX6" i="3"/>
  <c r="CX8" i="3" s="1"/>
  <c r="CX6" i="3" a="1"/>
  <c r="CW6" i="3" a="1"/>
  <c r="CW6" i="3" s="1"/>
  <c r="CV6" i="3"/>
  <c r="CV8" i="3" s="1"/>
  <c r="CV6" i="3" a="1"/>
  <c r="CU6" i="3" a="1"/>
  <c r="CU6" i="3" s="1"/>
  <c r="CT6" i="3" a="1"/>
  <c r="CT6" i="3" s="1"/>
  <c r="CS6" i="3" a="1"/>
  <c r="CS6" i="3" s="1"/>
  <c r="CR6" i="3"/>
  <c r="CR8" i="3" s="1"/>
  <c r="CR6" i="3" a="1"/>
  <c r="CQ6" i="3"/>
  <c r="CQ8" i="3" s="1"/>
  <c r="CQ6" i="3" a="1"/>
  <c r="CP6" i="3" a="1"/>
  <c r="CP6" i="3" s="1"/>
  <c r="CO6" i="3"/>
  <c r="CO7" i="3" s="1"/>
  <c r="CO6" i="3" a="1"/>
  <c r="CN6" i="3"/>
  <c r="CN8" i="3" s="1"/>
  <c r="CN6" i="3" a="1"/>
  <c r="CM6" i="3"/>
  <c r="CM8" i="3" s="1"/>
  <c r="CM6" i="3" a="1"/>
  <c r="CL6" i="3" a="1"/>
  <c r="CL6" i="3" s="1"/>
  <c r="CK6" i="3"/>
  <c r="CK8" i="3" s="1"/>
  <c r="CK6" i="3" a="1"/>
  <c r="CJ6" i="3" a="1"/>
  <c r="CJ6" i="3" s="1"/>
  <c r="CI6" i="3" a="1"/>
  <c r="CI6" i="3" s="1"/>
  <c r="CH6" i="3" a="1"/>
  <c r="CH6" i="3" s="1"/>
  <c r="CG6" i="3" a="1"/>
  <c r="CG6" i="3" s="1"/>
  <c r="CF6" i="3"/>
  <c r="CF8" i="3" s="1"/>
  <c r="CF6" i="3" a="1"/>
  <c r="CE6" i="3" a="1"/>
  <c r="CE6" i="3" s="1"/>
  <c r="CD6" i="3"/>
  <c r="CD7" i="3" s="1"/>
  <c r="CD6" i="3" a="1"/>
  <c r="CC6" i="3"/>
  <c r="CC8" i="3" s="1"/>
  <c r="CC6" i="3" a="1"/>
  <c r="CB6" i="3"/>
  <c r="CB8" i="3" s="1"/>
  <c r="CB6" i="3" a="1"/>
  <c r="CA6" i="3" a="1"/>
  <c r="CA6" i="3" s="1"/>
  <c r="BZ6" i="3"/>
  <c r="BZ8" i="3" s="1"/>
  <c r="BZ6" i="3" a="1"/>
  <c r="BY6" i="3" a="1"/>
  <c r="BY6" i="3" s="1"/>
  <c r="BX6" i="3" a="1"/>
  <c r="BX6" i="3" s="1"/>
  <c r="BW6" i="3" a="1"/>
  <c r="BW6" i="3" s="1"/>
  <c r="BV6" i="3" a="1"/>
  <c r="BV6" i="3" s="1"/>
  <c r="BU6" i="3"/>
  <c r="BU8" i="3" s="1"/>
  <c r="BU6" i="3" a="1"/>
  <c r="BT6" i="3" a="1"/>
  <c r="BT6" i="3" s="1"/>
  <c r="BS6" i="3"/>
  <c r="BS7" i="3" s="1"/>
  <c r="BS6" i="3" a="1"/>
  <c r="BR6" i="3"/>
  <c r="BR8" i="3" s="1"/>
  <c r="BR6" i="3" a="1"/>
  <c r="BQ6" i="3"/>
  <c r="BQ8" i="3" s="1"/>
  <c r="BQ6" i="3" a="1"/>
  <c r="BP6" i="3" a="1"/>
  <c r="BP6" i="3" s="1"/>
  <c r="BO6" i="3"/>
  <c r="BO8" i="3" s="1"/>
  <c r="BO6" i="3" a="1"/>
  <c r="BN6" i="3" a="1"/>
  <c r="BN6" i="3" s="1"/>
  <c r="BM6" i="3" a="1"/>
  <c r="BM6" i="3" s="1"/>
  <c r="BL6" i="3" a="1"/>
  <c r="BL6" i="3" s="1"/>
  <c r="BK6" i="3"/>
  <c r="BK8" i="3" s="1"/>
  <c r="BK6" i="3" a="1"/>
  <c r="BJ6" i="3"/>
  <c r="BJ8" i="3" s="1"/>
  <c r="BJ6" i="3" a="1"/>
  <c r="BI6" i="3" a="1"/>
  <c r="BI6" i="3" s="1"/>
  <c r="BH6" i="3"/>
  <c r="BH7" i="3" s="1"/>
  <c r="BH6" i="3" a="1"/>
  <c r="BG6" i="3"/>
  <c r="BG8" i="3" s="1"/>
  <c r="BG6" i="3" a="1"/>
  <c r="BF6" i="3"/>
  <c r="BF8" i="3" s="1"/>
  <c r="BF6" i="3" a="1"/>
  <c r="BE6" i="3" a="1"/>
  <c r="BE6" i="3" s="1"/>
  <c r="BD6" i="3"/>
  <c r="BD8" i="3" s="1"/>
  <c r="BD6" i="3" a="1"/>
  <c r="BC6" i="3" a="1"/>
  <c r="BC6" i="3" s="1"/>
  <c r="BB6" i="3" a="1"/>
  <c r="BB6" i="3" s="1"/>
  <c r="BA6" i="3" a="1"/>
  <c r="BA6" i="3" s="1"/>
  <c r="AZ6" i="3" a="1"/>
  <c r="AZ6" i="3" s="1"/>
  <c r="AY6" i="3"/>
  <c r="AY8" i="3" s="1"/>
  <c r="AY6" i="3" a="1"/>
  <c r="AX6" i="3" a="1"/>
  <c r="AX6" i="3" s="1"/>
  <c r="AW6" i="3"/>
  <c r="AW7" i="3" s="1"/>
  <c r="AW6" i="3" a="1"/>
  <c r="AV6" i="3"/>
  <c r="AV8" i="3" s="1"/>
  <c r="AV6" i="3" a="1"/>
  <c r="AU6" i="3"/>
  <c r="AU8" i="3" s="1"/>
  <c r="AU6" i="3" a="1"/>
  <c r="AT6" i="3" a="1"/>
  <c r="AT6" i="3" s="1"/>
  <c r="AS6" i="3"/>
  <c r="AS8" i="3" s="1"/>
  <c r="AS6" i="3" a="1"/>
  <c r="AR6" i="3" a="1"/>
  <c r="AR6" i="3" s="1"/>
  <c r="AQ6" i="3" a="1"/>
  <c r="AQ6" i="3" s="1"/>
  <c r="AP6" i="3" a="1"/>
  <c r="AP6" i="3" s="1"/>
  <c r="AO6" i="3" a="1"/>
  <c r="AO6" i="3" s="1"/>
  <c r="AN6" i="3"/>
  <c r="AN8" i="3" s="1"/>
  <c r="AN6" i="3" a="1"/>
  <c r="AM6" i="3" a="1"/>
  <c r="AM6" i="3" s="1"/>
  <c r="AL6" i="3"/>
  <c r="AL7" i="3" s="1"/>
  <c r="AL6" i="3" a="1"/>
  <c r="AK6" i="3"/>
  <c r="AK8" i="3" s="1"/>
  <c r="AK6" i="3" a="1"/>
  <c r="AJ6" i="3"/>
  <c r="AJ8" i="3" s="1"/>
  <c r="AJ6" i="3" a="1"/>
  <c r="AI6" i="3" a="1"/>
  <c r="AI6" i="3" s="1"/>
  <c r="AH6" i="3"/>
  <c r="AH8" i="3" s="1"/>
  <c r="AH6" i="3" a="1"/>
  <c r="AG6" i="3" a="1"/>
  <c r="AG6" i="3" s="1"/>
  <c r="AF6" i="3" a="1"/>
  <c r="AF6" i="3" s="1"/>
  <c r="AE6" i="3" a="1"/>
  <c r="AE6" i="3" s="1"/>
  <c r="AD6" i="3"/>
  <c r="AD8" i="3" s="1"/>
  <c r="AD6" i="3" a="1"/>
  <c r="AC6" i="3"/>
  <c r="AC8" i="3" s="1"/>
  <c r="AC6" i="3" a="1"/>
  <c r="AB6" i="3" a="1"/>
  <c r="AB6" i="3" s="1"/>
  <c r="AA6" i="3"/>
  <c r="AA7" i="3" s="1"/>
  <c r="AA6" i="3" a="1"/>
  <c r="Z6" i="3"/>
  <c r="Z8" i="3" s="1"/>
  <c r="Z6" i="3" a="1"/>
  <c r="Y6" i="3"/>
  <c r="Y8" i="3" s="1"/>
  <c r="Y6" i="3" a="1"/>
  <c r="X6" i="3" a="1"/>
  <c r="X6" i="3" s="1"/>
  <c r="W6" i="3"/>
  <c r="W8" i="3" s="1"/>
  <c r="W6" i="3" a="1"/>
  <c r="V6" i="3" a="1"/>
  <c r="V6" i="3" s="1"/>
  <c r="U6" i="3" a="1"/>
  <c r="U6" i="3" s="1"/>
  <c r="T6" i="3" a="1"/>
  <c r="T6" i="3" s="1"/>
  <c r="S6" i="3" a="1"/>
  <c r="S6" i="3" s="1"/>
  <c r="R6" i="3"/>
  <c r="R8" i="3" s="1"/>
  <c r="R6" i="3" a="1"/>
  <c r="Q6" i="3" a="1"/>
  <c r="Q6" i="3" s="1"/>
  <c r="P6" i="3"/>
  <c r="P7" i="3" s="1"/>
  <c r="P6" i="3" a="1"/>
  <c r="O6" i="3"/>
  <c r="O8" i="3" s="1"/>
  <c r="O6" i="3" a="1"/>
  <c r="N6" i="3"/>
  <c r="N8" i="3" s="1"/>
  <c r="N6" i="3" a="1"/>
  <c r="M6" i="3" a="1"/>
  <c r="M6" i="3" s="1"/>
  <c r="L6" i="3"/>
  <c r="L8" i="3" s="1"/>
  <c r="L6" i="3" a="1"/>
  <c r="K6" i="3" a="1"/>
  <c r="K6" i="3" s="1"/>
  <c r="J6" i="3" a="1"/>
  <c r="J6" i="3" s="1"/>
  <c r="I6" i="3" a="1"/>
  <c r="I6" i="3" s="1"/>
  <c r="H6" i="3"/>
  <c r="H8" i="3" s="1"/>
  <c r="H6" i="3" a="1"/>
  <c r="G6" i="3"/>
  <c r="G8" i="3" s="1"/>
  <c r="G6" i="3" a="1"/>
  <c r="F6" i="3" a="1"/>
  <c r="F6" i="3" s="1"/>
  <c r="E6" i="3"/>
  <c r="E7" i="3" s="1"/>
  <c r="E6" i="3" a="1"/>
  <c r="D6" i="3"/>
  <c r="D8" i="3" s="1"/>
  <c r="D6" i="3" a="1"/>
  <c r="C6" i="3"/>
  <c r="C8" i="3" s="1"/>
  <c r="C6" i="3" a="1"/>
  <c r="EF6" i="2" a="1"/>
  <c r="EF6" i="2" s="1"/>
  <c r="EE6" i="2" a="1"/>
  <c r="EE6" i="2" s="1"/>
  <c r="ED6" i="2"/>
  <c r="ED8" i="2" s="1"/>
  <c r="ED6" i="2" a="1"/>
  <c r="EC6" i="2"/>
  <c r="EC8" i="2" s="1"/>
  <c r="EC6" i="2" a="1"/>
  <c r="EB6" i="2" a="1"/>
  <c r="EB6" i="2" s="1"/>
  <c r="EA6" i="2" a="1"/>
  <c r="EA6" i="2" s="1"/>
  <c r="DZ6" i="2" a="1"/>
  <c r="DZ6" i="2" s="1"/>
  <c r="DY6" i="2" a="1"/>
  <c r="DY6" i="2" s="1"/>
  <c r="DX6" i="2" a="1"/>
  <c r="DX6" i="2" s="1"/>
  <c r="DW6" i="2"/>
  <c r="DW7" i="2" s="1"/>
  <c r="DW6" i="2" a="1"/>
  <c r="DV6" i="2" a="1"/>
  <c r="DV6" i="2" s="1"/>
  <c r="DU6" i="2"/>
  <c r="DU8" i="2" s="1"/>
  <c r="DU6" i="2" a="1"/>
  <c r="DT6" i="2"/>
  <c r="DT8" i="2" s="1"/>
  <c r="DT6" i="2" a="1"/>
  <c r="DS6" i="2"/>
  <c r="DS8" i="2" s="1"/>
  <c r="DS6" i="2" a="1"/>
  <c r="DR6" i="2"/>
  <c r="DR8" i="2" s="1"/>
  <c r="DR6" i="2" a="1"/>
  <c r="DQ6" i="2" a="1"/>
  <c r="DQ6" i="2" s="1"/>
  <c r="DP6" i="2" a="1"/>
  <c r="DP6" i="2" s="1"/>
  <c r="DO6" i="2" a="1"/>
  <c r="DO6" i="2" s="1"/>
  <c r="DN6" i="2" a="1"/>
  <c r="DN6" i="2" s="1"/>
  <c r="DM6" i="2" a="1"/>
  <c r="DM6" i="2" s="1"/>
  <c r="DL6" i="2"/>
  <c r="DL7" i="2" s="1"/>
  <c r="DL6" i="2" a="1"/>
  <c r="DK6" i="2" a="1"/>
  <c r="DK6" i="2" s="1"/>
  <c r="DJ6" i="2"/>
  <c r="DJ8" i="2" s="1"/>
  <c r="DJ6" i="2" a="1"/>
  <c r="DI6" i="2"/>
  <c r="DI8" i="2" s="1"/>
  <c r="DI6" i="2" a="1"/>
  <c r="DH6" i="2"/>
  <c r="DH8" i="2" s="1"/>
  <c r="DH6" i="2" a="1"/>
  <c r="DG6" i="2"/>
  <c r="DG8" i="2" s="1"/>
  <c r="DG6" i="2" a="1"/>
  <c r="DF6" i="2" a="1"/>
  <c r="DF6" i="2" s="1"/>
  <c r="DE6" i="2" a="1"/>
  <c r="DE6" i="2" s="1"/>
  <c r="DD6" i="2" a="1"/>
  <c r="DD6" i="2" s="1"/>
  <c r="DC6" i="2" a="1"/>
  <c r="DC6" i="2" s="1"/>
  <c r="DB6" i="2" a="1"/>
  <c r="DB6" i="2" s="1"/>
  <c r="DA6" i="2"/>
  <c r="DA7" i="2" s="1"/>
  <c r="DA6" i="2" a="1"/>
  <c r="CZ6" i="2" a="1"/>
  <c r="CZ6" i="2" s="1"/>
  <c r="CY6" i="2"/>
  <c r="CY8" i="2" s="1"/>
  <c r="CY6" i="2" a="1"/>
  <c r="CX6" i="2"/>
  <c r="CX8" i="2" s="1"/>
  <c r="CX6" i="2" a="1"/>
  <c r="CW6" i="2"/>
  <c r="CW8" i="2" s="1"/>
  <c r="CW6" i="2" a="1"/>
  <c r="CV6" i="2"/>
  <c r="CV8" i="2" s="1"/>
  <c r="CV6" i="2" a="1"/>
  <c r="CU6" i="2" a="1"/>
  <c r="CU6" i="2" s="1"/>
  <c r="CT6" i="2" a="1"/>
  <c r="CT6" i="2" s="1"/>
  <c r="CS6" i="2" a="1"/>
  <c r="CS6" i="2" s="1"/>
  <c r="CR6" i="2" a="1"/>
  <c r="CR6" i="2" s="1"/>
  <c r="CQ6" i="2" a="1"/>
  <c r="CQ6" i="2" s="1"/>
  <c r="CP6" i="2"/>
  <c r="CP7" i="2" s="1"/>
  <c r="CP6" i="2" a="1"/>
  <c r="CO6" i="2" a="1"/>
  <c r="CO6" i="2" s="1"/>
  <c r="CN6" i="2"/>
  <c r="CN8" i="2" s="1"/>
  <c r="CN6" i="2" a="1"/>
  <c r="CM6" i="2"/>
  <c r="CM8" i="2" s="1"/>
  <c r="CM6" i="2" a="1"/>
  <c r="CL6" i="2"/>
  <c r="CL8" i="2" s="1"/>
  <c r="CL6" i="2" a="1"/>
  <c r="CK6" i="2"/>
  <c r="CK8" i="2" s="1"/>
  <c r="CK6" i="2" a="1"/>
  <c r="CJ6" i="2" a="1"/>
  <c r="CJ6" i="2" s="1"/>
  <c r="CI6" i="2" a="1"/>
  <c r="CI6" i="2" s="1"/>
  <c r="CH6" i="2" a="1"/>
  <c r="CH6" i="2" s="1"/>
  <c r="CG6" i="2" a="1"/>
  <c r="CG6" i="2" s="1"/>
  <c r="CF6" i="2" a="1"/>
  <c r="CF6" i="2" s="1"/>
  <c r="CE6" i="2"/>
  <c r="CE7" i="2" s="1"/>
  <c r="CE6" i="2" a="1"/>
  <c r="CD6" i="2" a="1"/>
  <c r="CD6" i="2" s="1"/>
  <c r="CC6" i="2"/>
  <c r="CC8" i="2" s="1"/>
  <c r="CC6" i="2" a="1"/>
  <c r="CB6" i="2"/>
  <c r="CB8" i="2" s="1"/>
  <c r="CB6" i="2" a="1"/>
  <c r="CA6" i="2"/>
  <c r="CA8" i="2" s="1"/>
  <c r="CA6" i="2" a="1"/>
  <c r="BZ6" i="2"/>
  <c r="BZ8" i="2" s="1"/>
  <c r="BZ6" i="2" a="1"/>
  <c r="BY6" i="2" a="1"/>
  <c r="BY6" i="2" s="1"/>
  <c r="BX6" i="2" a="1"/>
  <c r="BX6" i="2" s="1"/>
  <c r="BW6" i="2" a="1"/>
  <c r="BW6" i="2" s="1"/>
  <c r="BV6" i="2" a="1"/>
  <c r="BV6" i="2" s="1"/>
  <c r="BU6" i="2" a="1"/>
  <c r="BU6" i="2" s="1"/>
  <c r="BT6" i="2"/>
  <c r="BT7" i="2" s="1"/>
  <c r="BT6" i="2" a="1"/>
  <c r="BS6" i="2" a="1"/>
  <c r="BS6" i="2" s="1"/>
  <c r="BR6" i="2"/>
  <c r="BR8" i="2" s="1"/>
  <c r="BR6" i="2" a="1"/>
  <c r="BQ6" i="2"/>
  <c r="BQ8" i="2" s="1"/>
  <c r="BQ6" i="2" a="1"/>
  <c r="BP6" i="2"/>
  <c r="BP8" i="2" s="1"/>
  <c r="BP6" i="2" a="1"/>
  <c r="BO6" i="2"/>
  <c r="BO8" i="2" s="1"/>
  <c r="BO6" i="2" a="1"/>
  <c r="BN6" i="2" a="1"/>
  <c r="BN6" i="2" s="1"/>
  <c r="BM6" i="2" a="1"/>
  <c r="BM6" i="2" s="1"/>
  <c r="BL6" i="2" a="1"/>
  <c r="BL6" i="2" s="1"/>
  <c r="BK6" i="2" a="1"/>
  <c r="BK6" i="2" s="1"/>
  <c r="BJ6" i="2" a="1"/>
  <c r="BJ6" i="2" s="1"/>
  <c r="BI6" i="2"/>
  <c r="BI7" i="2" s="1"/>
  <c r="BI6" i="2" a="1"/>
  <c r="BH6" i="2" a="1"/>
  <c r="BH6" i="2" s="1"/>
  <c r="BG6" i="2"/>
  <c r="BG8" i="2" s="1"/>
  <c r="BG6" i="2" a="1"/>
  <c r="BF6" i="2"/>
  <c r="BF8" i="2" s="1"/>
  <c r="BF6" i="2" a="1"/>
  <c r="BE6" i="2"/>
  <c r="BE8" i="2" s="1"/>
  <c r="BE6" i="2" a="1"/>
  <c r="BD6" i="2"/>
  <c r="BD8" i="2" s="1"/>
  <c r="BD6" i="2" a="1"/>
  <c r="BC6" i="2" a="1"/>
  <c r="BC6" i="2" s="1"/>
  <c r="BB6" i="2" a="1"/>
  <c r="BB6" i="2" s="1"/>
  <c r="BA6" i="2" a="1"/>
  <c r="BA6" i="2" s="1"/>
  <c r="AZ6" i="2" a="1"/>
  <c r="AZ6" i="2" s="1"/>
  <c r="AY6" i="2" a="1"/>
  <c r="AY6" i="2" s="1"/>
  <c r="AX6" i="2"/>
  <c r="AX7" i="2" s="1"/>
  <c r="AX6" i="2" a="1"/>
  <c r="AW6" i="2" a="1"/>
  <c r="AW6" i="2" s="1"/>
  <c r="AV6" i="2"/>
  <c r="AV8" i="2" s="1"/>
  <c r="AV6" i="2" a="1"/>
  <c r="AU6" i="2"/>
  <c r="AU8" i="2" s="1"/>
  <c r="AU6" i="2" a="1"/>
  <c r="AT6" i="2"/>
  <c r="AT8" i="2" s="1"/>
  <c r="AT6" i="2" a="1"/>
  <c r="AS6" i="2"/>
  <c r="AS8" i="2" s="1"/>
  <c r="AS6" i="2" a="1"/>
  <c r="AR6" i="2" a="1"/>
  <c r="AR6" i="2" s="1"/>
  <c r="AQ6" i="2" a="1"/>
  <c r="AQ6" i="2" s="1"/>
  <c r="AP6" i="2" a="1"/>
  <c r="AP6" i="2" s="1"/>
  <c r="AO6" i="2" a="1"/>
  <c r="AO6" i="2" s="1"/>
  <c r="AN6" i="2" a="1"/>
  <c r="AN6" i="2" s="1"/>
  <c r="AM6" i="2"/>
  <c r="AM7" i="2" s="1"/>
  <c r="AM6" i="2" a="1"/>
  <c r="AL6" i="2" a="1"/>
  <c r="AL6" i="2" s="1"/>
  <c r="AK6" i="2"/>
  <c r="AK8" i="2" s="1"/>
  <c r="AK6" i="2" a="1"/>
  <c r="AJ6" i="2"/>
  <c r="AJ8" i="2" s="1"/>
  <c r="AJ6" i="2" a="1"/>
  <c r="AI6" i="2"/>
  <c r="AI8" i="2" s="1"/>
  <c r="AI6" i="2" a="1"/>
  <c r="AH6" i="2"/>
  <c r="AH8" i="2" s="1"/>
  <c r="AH6" i="2" a="1"/>
  <c r="AG6" i="2" a="1"/>
  <c r="AG6" i="2" s="1"/>
  <c r="AF6" i="2" a="1"/>
  <c r="AF6" i="2" s="1"/>
  <c r="AE6" i="2" a="1"/>
  <c r="AE6" i="2" s="1"/>
  <c r="AD6" i="2" a="1"/>
  <c r="AD6" i="2" s="1"/>
  <c r="AC6" i="2" a="1"/>
  <c r="AC6" i="2" s="1"/>
  <c r="AB6" i="2"/>
  <c r="AB7" i="2" s="1"/>
  <c r="AB6" i="2" a="1"/>
  <c r="AA6" i="2" a="1"/>
  <c r="AA6" i="2" s="1"/>
  <c r="Z6" i="2"/>
  <c r="Z8" i="2" s="1"/>
  <c r="Z6" i="2" a="1"/>
  <c r="Y6" i="2"/>
  <c r="Y8" i="2" s="1"/>
  <c r="Y6" i="2" a="1"/>
  <c r="X6" i="2"/>
  <c r="X8" i="2" s="1"/>
  <c r="X6" i="2" a="1"/>
  <c r="W6" i="2"/>
  <c r="W8" i="2" s="1"/>
  <c r="W6" i="2" a="1"/>
  <c r="V6" i="2" a="1"/>
  <c r="V6" i="2" s="1"/>
  <c r="U6" i="2" a="1"/>
  <c r="U6" i="2" s="1"/>
  <c r="T6" i="2" a="1"/>
  <c r="T6" i="2" s="1"/>
  <c r="S6" i="2" a="1"/>
  <c r="S6" i="2" s="1"/>
  <c r="R6" i="2" a="1"/>
  <c r="R6" i="2" s="1"/>
  <c r="Q6" i="2"/>
  <c r="Q7" i="2" s="1"/>
  <c r="Q6" i="2" a="1"/>
  <c r="P6" i="2" a="1"/>
  <c r="P6" i="2" s="1"/>
  <c r="O6" i="2"/>
  <c r="O8" i="2" s="1"/>
  <c r="O6" i="2" a="1"/>
  <c r="N6" i="2"/>
  <c r="N8" i="2" s="1"/>
  <c r="N6" i="2" a="1"/>
  <c r="M6" i="2"/>
  <c r="M8" i="2" s="1"/>
  <c r="M6" i="2" a="1"/>
  <c r="L6" i="2"/>
  <c r="L8" i="2" s="1"/>
  <c r="L6" i="2" a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/>
  <c r="F7" i="2" s="1"/>
  <c r="F6" i="2" a="1"/>
  <c r="E6" i="2" a="1"/>
  <c r="E6" i="2" s="1"/>
  <c r="D6" i="2"/>
  <c r="D8" i="2" s="1"/>
  <c r="D6" i="2" a="1"/>
  <c r="C6" i="2"/>
  <c r="C8" i="2" s="1"/>
  <c r="C6" i="2" a="1"/>
  <c r="EF25" i="8" a="1"/>
  <c r="EF25" i="8" s="1"/>
  <c r="EE25" i="8" a="1"/>
  <c r="EE25" i="8" s="1"/>
  <c r="ED25" i="8" a="1"/>
  <c r="ED25" i="8" s="1"/>
  <c r="EC25" i="8" a="1"/>
  <c r="EC25" i="8" s="1"/>
  <c r="EB25" i="8" a="1"/>
  <c r="EB25" i="8" s="1"/>
  <c r="EA25" i="8" a="1"/>
  <c r="EA25" i="8"/>
  <c r="DZ25" i="8" a="1"/>
  <c r="DZ25" i="8" s="1"/>
  <c r="DY25" i="8" a="1"/>
  <c r="DY25" i="8"/>
  <c r="DX25" i="8" a="1"/>
  <c r="DX25" i="8"/>
  <c r="DW25" i="8" a="1"/>
  <c r="DW25" i="8" s="1"/>
  <c r="DV25" i="8" a="1"/>
  <c r="DV25" i="8" s="1"/>
  <c r="DU25" i="8" a="1"/>
  <c r="DU25" i="8" s="1"/>
  <c r="DT25" i="8" a="1"/>
  <c r="DT25" i="8" s="1"/>
  <c r="DS25" i="8" a="1"/>
  <c r="DS25" i="8" s="1"/>
  <c r="DR25" i="8" a="1"/>
  <c r="DR25" i="8" s="1"/>
  <c r="DQ25" i="8" a="1"/>
  <c r="DQ25" i="8" s="1"/>
  <c r="DP25" i="8" a="1"/>
  <c r="DP25" i="8"/>
  <c r="DO25" i="8" a="1"/>
  <c r="DO25" i="8" s="1"/>
  <c r="DN25" i="8" a="1"/>
  <c r="DN25" i="8"/>
  <c r="DM25" i="8" a="1"/>
  <c r="DM25" i="8"/>
  <c r="DL25" i="8" a="1"/>
  <c r="DL25" i="8"/>
  <c r="DK25" i="8" a="1"/>
  <c r="DK25" i="8"/>
  <c r="DJ25" i="8" a="1"/>
  <c r="DJ25" i="8" s="1"/>
  <c r="DI25" i="8" a="1"/>
  <c r="DI25" i="8" s="1"/>
  <c r="DH25" i="8" a="1"/>
  <c r="DH25" i="8"/>
  <c r="DG25" i="8" a="1"/>
  <c r="DG25" i="8" s="1"/>
  <c r="DF25" i="8" a="1"/>
  <c r="DF25" i="8" s="1"/>
  <c r="DE25" i="8" a="1"/>
  <c r="DE25" i="8" s="1"/>
  <c r="DD25" i="8" a="1"/>
  <c r="DD25" i="8" s="1"/>
  <c r="DC25" i="8" a="1"/>
  <c r="DC25" i="8"/>
  <c r="DB25" i="8" a="1"/>
  <c r="DB25" i="8"/>
  <c r="DA25" i="8" a="1"/>
  <c r="DA25" i="8"/>
  <c r="CZ25" i="8" a="1"/>
  <c r="CZ25" i="8"/>
  <c r="CY25" i="8" a="1"/>
  <c r="CY25" i="8" s="1"/>
  <c r="CX25" i="8" a="1"/>
  <c r="CX25" i="8" s="1"/>
  <c r="CW25" i="8" a="1"/>
  <c r="CW25" i="8"/>
  <c r="CV25" i="8" a="1"/>
  <c r="CV25" i="8" s="1"/>
  <c r="CU25" i="8" a="1"/>
  <c r="CU25" i="8" s="1"/>
  <c r="CT25" i="8" a="1"/>
  <c r="CT25" i="8"/>
  <c r="CS25" i="8" a="1"/>
  <c r="CS25" i="8" s="1"/>
  <c r="CR25" i="8" a="1"/>
  <c r="CR25" i="8"/>
  <c r="CQ25" i="8" a="1"/>
  <c r="CQ25" i="8"/>
  <c r="CP25" i="8" a="1"/>
  <c r="CP25" i="8"/>
  <c r="CO25" i="8" a="1"/>
  <c r="CO25" i="8"/>
  <c r="CN25" i="8" a="1"/>
  <c r="CN25" i="8" s="1"/>
  <c r="CM25" i="8" a="1"/>
  <c r="CM25" i="8" s="1"/>
  <c r="CL25" i="8" a="1"/>
  <c r="CL25" i="8"/>
  <c r="CK25" i="8" a="1"/>
  <c r="CK25" i="8" s="1"/>
  <c r="CJ25" i="8" a="1"/>
  <c r="CJ25" i="8"/>
  <c r="CI25" i="8" a="1"/>
  <c r="CI25" i="8" s="1"/>
  <c r="CH25" i="8" a="1"/>
  <c r="CH25" i="8" s="1"/>
  <c r="CG25" i="8" a="1"/>
  <c r="CG25" i="8"/>
  <c r="CF25" i="8" a="1"/>
  <c r="CF25" i="8"/>
  <c r="CE25" i="8" a="1"/>
  <c r="CE25" i="8"/>
  <c r="CD25" i="8" a="1"/>
  <c r="CD25" i="8"/>
  <c r="CC25" i="8" a="1"/>
  <c r="CC25" i="8" s="1"/>
  <c r="CB25" i="8" a="1"/>
  <c r="CB25" i="8" s="1"/>
  <c r="CA25" i="8" a="1"/>
  <c r="CA25" i="8"/>
  <c r="BZ25" i="8" a="1"/>
  <c r="BZ25" i="8" s="1"/>
  <c r="BY25" i="8" a="1"/>
  <c r="BY25" i="8"/>
  <c r="BX25" i="8" a="1"/>
  <c r="BX25" i="8" s="1"/>
  <c r="BW25" i="8" a="1"/>
  <c r="BW25" i="8" s="1"/>
  <c r="BV25" i="8" a="1"/>
  <c r="BV25" i="8"/>
  <c r="BU25" i="8" a="1"/>
  <c r="BU25" i="8"/>
  <c r="BT25" i="8" a="1"/>
  <c r="BT25" i="8"/>
  <c r="BS25" i="8" a="1"/>
  <c r="BS25" i="8"/>
  <c r="BR25" i="8" a="1"/>
  <c r="BR25" i="8" s="1"/>
  <c r="BQ25" i="8" a="1"/>
  <c r="BQ25" i="8" s="1"/>
  <c r="BP25" i="8" a="1"/>
  <c r="BP25" i="8"/>
  <c r="BO25" i="8" a="1"/>
  <c r="BO25" i="8" s="1"/>
  <c r="BN25" i="8" a="1"/>
  <c r="BN25" i="8"/>
  <c r="BM25" i="8" a="1"/>
  <c r="BM25" i="8"/>
  <c r="BL25" i="8" a="1"/>
  <c r="BL25" i="8" s="1"/>
  <c r="BK25" i="8" a="1"/>
  <c r="BK25" i="8"/>
  <c r="BJ25" i="8" a="1"/>
  <c r="BJ25" i="8"/>
  <c r="BI25" i="8" a="1"/>
  <c r="BI25" i="8"/>
  <c r="BH25" i="8" a="1"/>
  <c r="BH25" i="8"/>
  <c r="BG25" i="8" a="1"/>
  <c r="BG25" i="8" s="1"/>
  <c r="BF25" i="8" a="1"/>
  <c r="BF25" i="8" s="1"/>
  <c r="BE25" i="8" a="1"/>
  <c r="BE25" i="8"/>
  <c r="BD25" i="8" a="1"/>
  <c r="BD25" i="8" s="1"/>
  <c r="BC25" i="8" a="1"/>
  <c r="BC25" i="8"/>
  <c r="BB25" i="8" a="1"/>
  <c r="BB25" i="8" s="1"/>
  <c r="BA25" i="8" a="1"/>
  <c r="BA25" i="8" s="1"/>
  <c r="AZ25" i="8" a="1"/>
  <c r="AZ25" i="8"/>
  <c r="AY25" i="8" a="1"/>
  <c r="AY25" i="8"/>
  <c r="AX25" i="8" a="1"/>
  <c r="AX25" i="8"/>
  <c r="AW25" i="8" a="1"/>
  <c r="AW25" i="8"/>
  <c r="AV25" i="8" a="1"/>
  <c r="AV25" i="8" s="1"/>
  <c r="AU25" i="8" a="1"/>
  <c r="AU25" i="8" s="1"/>
  <c r="AT25" i="8" a="1"/>
  <c r="AT25" i="8"/>
  <c r="AS25" i="8" a="1"/>
  <c r="AS25" i="8" s="1"/>
  <c r="AR25" i="8" a="1"/>
  <c r="AR25" i="8"/>
  <c r="AQ25" i="8" a="1"/>
  <c r="AQ25" i="8"/>
  <c r="AP25" i="8" a="1"/>
  <c r="AP25" i="8" s="1"/>
  <c r="AO25" i="8" a="1"/>
  <c r="AO25" i="8"/>
  <c r="AN25" i="8" a="1"/>
  <c r="AN25" i="8"/>
  <c r="AM25" i="8" a="1"/>
  <c r="AM25" i="8"/>
  <c r="AL25" i="8" a="1"/>
  <c r="AL25" i="8"/>
  <c r="AK25" i="8" a="1"/>
  <c r="AK25" i="8" s="1"/>
  <c r="AJ25" i="8" a="1"/>
  <c r="AJ25" i="8" s="1"/>
  <c r="AI25" i="8" a="1"/>
  <c r="AI25" i="8"/>
  <c r="AH25" i="8" a="1"/>
  <c r="AH25" i="8" s="1"/>
  <c r="AG25" i="8" a="1"/>
  <c r="AG25" i="8"/>
  <c r="AF25" i="8" a="1"/>
  <c r="AF25" i="8"/>
  <c r="AE25" i="8" a="1"/>
  <c r="AE25" i="8" s="1"/>
  <c r="AD25" i="8" a="1"/>
  <c r="AD25" i="8"/>
  <c r="AC25" i="8" a="1"/>
  <c r="AC25" i="8"/>
  <c r="AB25" i="8" a="1"/>
  <c r="AB25" i="8"/>
  <c r="AA25" i="8" a="1"/>
  <c r="AA25" i="8"/>
  <c r="Z25" i="8" a="1"/>
  <c r="Z25" i="8" s="1"/>
  <c r="Y25" i="8" a="1"/>
  <c r="Y25" i="8" s="1"/>
  <c r="X25" i="8" a="1"/>
  <c r="X25" i="8"/>
  <c r="W25" i="8" a="1"/>
  <c r="W25" i="8" s="1"/>
  <c r="V25" i="8" a="1"/>
  <c r="V25" i="8"/>
  <c r="U25" i="8" a="1"/>
  <c r="U25" i="8"/>
  <c r="T25" i="8" a="1"/>
  <c r="T25" i="8" s="1"/>
  <c r="S25" i="8" a="1"/>
  <c r="S25" i="8"/>
  <c r="R25" i="8" a="1"/>
  <c r="R25" i="8"/>
  <c r="Q25" i="8" a="1"/>
  <c r="Q25" i="8"/>
  <c r="P25" i="8" a="1"/>
  <c r="P25" i="8"/>
  <c r="O25" i="8" a="1"/>
  <c r="O25" i="8" s="1"/>
  <c r="N25" i="8" a="1"/>
  <c r="N25" i="8" s="1"/>
  <c r="M25" i="8" a="1"/>
  <c r="M25" i="8"/>
  <c r="L25" i="8" a="1"/>
  <c r="L25" i="8" s="1"/>
  <c r="K25" i="8" a="1"/>
  <c r="K25" i="8"/>
  <c r="J25" i="8" a="1"/>
  <c r="J25" i="8" s="1"/>
  <c r="I25" i="8" a="1"/>
  <c r="I25" i="8" s="1"/>
  <c r="H25" i="8" a="1"/>
  <c r="H25" i="8"/>
  <c r="G25" i="8" a="1"/>
  <c r="G25" i="8"/>
  <c r="F25" i="8" a="1"/>
  <c r="F25" i="8"/>
  <c r="E25" i="8" a="1"/>
  <c r="E25" i="8"/>
  <c r="D25" i="8" a="1"/>
  <c r="D25" i="8" s="1"/>
  <c r="C25" i="8" a="1"/>
  <c r="C25" i="8" s="1"/>
  <c r="EF24" i="8" a="1"/>
  <c r="EF24" i="8"/>
  <c r="EE24" i="8" a="1"/>
  <c r="EE24" i="8" s="1"/>
  <c r="ED24" i="8" a="1"/>
  <c r="ED24" i="8"/>
  <c r="EC24" i="8" a="1"/>
  <c r="EC24" i="8" s="1"/>
  <c r="EB24" i="8" a="1"/>
  <c r="EB24" i="8" s="1"/>
  <c r="EA24" i="8" a="1"/>
  <c r="EA24" i="8"/>
  <c r="DZ24" i="8" a="1"/>
  <c r="DZ24" i="8"/>
  <c r="DY24" i="8" a="1"/>
  <c r="DY24" i="8"/>
  <c r="DX24" i="8" a="1"/>
  <c r="DX24" i="8"/>
  <c r="DW24" i="8" a="1"/>
  <c r="DW24" i="8" s="1"/>
  <c r="DV24" i="8" a="1"/>
  <c r="DV24" i="8" s="1"/>
  <c r="DU24" i="8" a="1"/>
  <c r="DU24" i="8"/>
  <c r="DT24" i="8" a="1"/>
  <c r="DT24" i="8" s="1"/>
  <c r="DS24" i="8" a="1"/>
  <c r="DS24" i="8"/>
  <c r="DR24" i="8" a="1"/>
  <c r="DR24" i="8"/>
  <c r="DQ24" i="8" a="1"/>
  <c r="DQ24" i="8" s="1"/>
  <c r="DP24" i="8" a="1"/>
  <c r="DP24" i="8"/>
  <c r="DO24" i="8" a="1"/>
  <c r="DO24" i="8"/>
  <c r="DN24" i="8" a="1"/>
  <c r="DN24" i="8"/>
  <c r="DM24" i="8" a="1"/>
  <c r="DM24" i="8"/>
  <c r="DL24" i="8" a="1"/>
  <c r="DL24" i="8" s="1"/>
  <c r="DK24" i="8" a="1"/>
  <c r="DK24" i="8" s="1"/>
  <c r="DJ24" i="8" a="1"/>
  <c r="DJ24" i="8"/>
  <c r="DI24" i="8" a="1"/>
  <c r="DI24" i="8" s="1"/>
  <c r="DH24" i="8" a="1"/>
  <c r="DH24" i="8"/>
  <c r="DG24" i="8" a="1"/>
  <c r="DG24" i="8" s="1"/>
  <c r="DF24" i="8" a="1"/>
  <c r="DF24" i="8" s="1"/>
  <c r="DE24" i="8" a="1"/>
  <c r="DE24" i="8"/>
  <c r="DD24" i="8" a="1"/>
  <c r="DD24" i="8"/>
  <c r="DC24" i="8" a="1"/>
  <c r="DC24" i="8"/>
  <c r="DB24" i="8" a="1"/>
  <c r="DB24" i="8"/>
  <c r="DA24" i="8" a="1"/>
  <c r="DA24" i="8" s="1"/>
  <c r="CZ24" i="8" a="1"/>
  <c r="CZ24" i="8" s="1"/>
  <c r="CY24" i="8" a="1"/>
  <c r="CY24" i="8"/>
  <c r="CX24" i="8" a="1"/>
  <c r="CX24" i="8" s="1"/>
  <c r="CW24" i="8" a="1"/>
  <c r="CW24" i="8"/>
  <c r="CV24" i="8" a="1"/>
  <c r="CV24" i="8"/>
  <c r="CU24" i="8" a="1"/>
  <c r="CU24" i="8" s="1"/>
  <c r="CT24" i="8" a="1"/>
  <c r="CT24" i="8"/>
  <c r="CS24" i="8" a="1"/>
  <c r="CS24" i="8"/>
  <c r="CR24" i="8" a="1"/>
  <c r="CR24" i="8"/>
  <c r="CQ24" i="8" a="1"/>
  <c r="CQ24" i="8"/>
  <c r="CP24" i="8" a="1"/>
  <c r="CP24" i="8" s="1"/>
  <c r="CO24" i="8" a="1"/>
  <c r="CO24" i="8" s="1"/>
  <c r="CN24" i="8" a="1"/>
  <c r="CN24" i="8"/>
  <c r="CM24" i="8" a="1"/>
  <c r="CM24" i="8" s="1"/>
  <c r="CL24" i="8" a="1"/>
  <c r="CL24" i="8"/>
  <c r="CK24" i="8" a="1"/>
  <c r="CK24" i="8"/>
  <c r="CJ24" i="8" a="1"/>
  <c r="CJ24" i="8" s="1"/>
  <c r="CI24" i="8" a="1"/>
  <c r="CI24" i="8"/>
  <c r="CH24" i="8" a="1"/>
  <c r="CH24" i="8"/>
  <c r="CG24" i="8" a="1"/>
  <c r="CG24" i="8"/>
  <c r="CF24" i="8" a="1"/>
  <c r="CF24" i="8"/>
  <c r="CE24" i="8" a="1"/>
  <c r="CE24" i="8" s="1"/>
  <c r="CD24" i="8" a="1"/>
  <c r="CD24" i="8" s="1"/>
  <c r="CC24" i="8" a="1"/>
  <c r="CC24" i="8"/>
  <c r="CB24" i="8" a="1"/>
  <c r="CB24" i="8" s="1"/>
  <c r="CA24" i="8" a="1"/>
  <c r="CA24" i="8"/>
  <c r="BZ24" i="8" a="1"/>
  <c r="BZ24" i="8"/>
  <c r="BY24" i="8" a="1"/>
  <c r="BY24" i="8" s="1"/>
  <c r="BX24" i="8" a="1"/>
  <c r="BX24" i="8"/>
  <c r="BW24" i="8" a="1"/>
  <c r="BW24" i="8"/>
  <c r="BV24" i="8" a="1"/>
  <c r="BV24" i="8"/>
  <c r="BU24" i="8" a="1"/>
  <c r="BU24" i="8"/>
  <c r="BT24" i="8" a="1"/>
  <c r="BT24" i="8" s="1"/>
  <c r="BS24" i="8" a="1"/>
  <c r="BS24" i="8" s="1"/>
  <c r="BR24" i="8" a="1"/>
  <c r="BR24" i="8"/>
  <c r="BQ24" i="8" a="1"/>
  <c r="BQ24" i="8" s="1"/>
  <c r="BP24" i="8" a="1"/>
  <c r="BP24" i="8"/>
  <c r="BO24" i="8" a="1"/>
  <c r="BO24" i="8" s="1"/>
  <c r="BN24" i="8" a="1"/>
  <c r="BN24" i="8" s="1"/>
  <c r="BM24" i="8" a="1"/>
  <c r="BM24" i="8"/>
  <c r="BL24" i="8" a="1"/>
  <c r="BL24" i="8"/>
  <c r="BK24" i="8" a="1"/>
  <c r="BK24" i="8"/>
  <c r="BJ24" i="8" a="1"/>
  <c r="BJ24" i="8"/>
  <c r="BI24" i="8" a="1"/>
  <c r="BI24" i="8" s="1"/>
  <c r="BH24" i="8" a="1"/>
  <c r="BH24" i="8" s="1"/>
  <c r="BG24" i="8" a="1"/>
  <c r="BG24" i="8"/>
  <c r="BF24" i="8" a="1"/>
  <c r="BF24" i="8" s="1"/>
  <c r="BE24" i="8" a="1"/>
  <c r="BE24" i="8"/>
  <c r="BD24" i="8" a="1"/>
  <c r="BD24" i="8"/>
  <c r="BC24" i="8" a="1"/>
  <c r="BC24" i="8" s="1"/>
  <c r="BB24" i="8" a="1"/>
  <c r="BB24" i="8"/>
  <c r="BA24" i="8" a="1"/>
  <c r="BA24" i="8"/>
  <c r="AZ24" i="8" a="1"/>
  <c r="AZ24" i="8"/>
  <c r="AY24" i="8" a="1"/>
  <c r="AY24" i="8"/>
  <c r="AX24" i="8" a="1"/>
  <c r="AX24" i="8" s="1"/>
  <c r="AW24" i="8" a="1"/>
  <c r="AW24" i="8" s="1"/>
  <c r="AV24" i="8" a="1"/>
  <c r="AV24" i="8" s="1"/>
  <c r="AU24" i="8" a="1"/>
  <c r="AU24" i="8" s="1"/>
  <c r="AT24" i="8" a="1"/>
  <c r="AT24" i="8"/>
  <c r="AS24" i="8" a="1"/>
  <c r="AS24" i="8" s="1"/>
  <c r="AR24" i="8" a="1"/>
  <c r="AR24" i="8" s="1"/>
  <c r="AQ24" i="8" a="1"/>
  <c r="AQ24" i="8"/>
  <c r="AP24" i="8" a="1"/>
  <c r="AP24" i="8"/>
  <c r="AO24" i="8" a="1"/>
  <c r="AO24" i="8"/>
  <c r="AN24" i="8" a="1"/>
  <c r="AN24" i="8"/>
  <c r="AM24" i="8" a="1"/>
  <c r="AM24" i="8" s="1"/>
  <c r="AL24" i="8" a="1"/>
  <c r="AL24" i="8" s="1"/>
  <c r="AK24" i="8" a="1"/>
  <c r="AK24" i="8" s="1"/>
  <c r="AJ24" i="8" a="1"/>
  <c r="AJ24" i="8" s="1"/>
  <c r="AI24" i="8" a="1"/>
  <c r="AI24" i="8"/>
  <c r="AH24" i="8" a="1"/>
  <c r="AH24" i="8" s="1"/>
  <c r="AG24" i="8" a="1"/>
  <c r="AG24" i="8" s="1"/>
  <c r="AF24" i="8" a="1"/>
  <c r="AF24" i="8"/>
  <c r="AE24" i="8" a="1"/>
  <c r="AE24" i="8"/>
  <c r="AD24" i="8" a="1"/>
  <c r="AD24" i="8"/>
  <c r="AC24" i="8" a="1"/>
  <c r="AC24" i="8"/>
  <c r="AB24" i="8" a="1"/>
  <c r="AB24" i="8" s="1"/>
  <c r="AA24" i="8" a="1"/>
  <c r="AA24" i="8" s="1"/>
  <c r="Z24" i="8" a="1"/>
  <c r="Z24" i="8" s="1"/>
  <c r="Y24" i="8" a="1"/>
  <c r="Y24" i="8" s="1"/>
  <c r="X24" i="8" a="1"/>
  <c r="X24" i="8"/>
  <c r="W24" i="8" a="1"/>
  <c r="W24" i="8"/>
  <c r="V24" i="8" a="1"/>
  <c r="V24" i="8" s="1"/>
  <c r="U24" i="8" a="1"/>
  <c r="U24" i="8"/>
  <c r="T24" i="8" a="1"/>
  <c r="T24" i="8"/>
  <c r="S24" i="8" a="1"/>
  <c r="S24" i="8"/>
  <c r="R24" i="8" a="1"/>
  <c r="R24" i="8"/>
  <c r="Q24" i="8" a="1"/>
  <c r="Q24" i="8" s="1"/>
  <c r="P24" i="8" a="1"/>
  <c r="P24" i="8" s="1"/>
  <c r="O24" i="8" a="1"/>
  <c r="O24" i="8" s="1"/>
  <c r="N24" i="8" a="1"/>
  <c r="N24" i="8" s="1"/>
  <c r="M24" i="8" a="1"/>
  <c r="M24" i="8"/>
  <c r="L24" i="8" a="1"/>
  <c r="L24" i="8"/>
  <c r="K24" i="8" a="1"/>
  <c r="K24" i="8" s="1"/>
  <c r="J24" i="8" a="1"/>
  <c r="J24" i="8"/>
  <c r="I24" i="8" a="1"/>
  <c r="I24" i="8"/>
  <c r="H24" i="8" a="1"/>
  <c r="H24" i="8"/>
  <c r="G24" i="8" a="1"/>
  <c r="G24" i="8"/>
  <c r="F24" i="8" a="1"/>
  <c r="F24" i="8" s="1"/>
  <c r="E24" i="8" a="1"/>
  <c r="E24" i="8" s="1"/>
  <c r="D24" i="8" a="1"/>
  <c r="D24" i="8" s="1"/>
  <c r="C24" i="8" a="1"/>
  <c r="C24" i="8" s="1"/>
  <c r="EF23" i="8" a="1"/>
  <c r="EF23" i="8"/>
  <c r="EE23" i="8" a="1"/>
  <c r="EE23" i="8"/>
  <c r="ED23" i="8" a="1"/>
  <c r="ED23" i="8" s="1"/>
  <c r="EC23" i="8" a="1"/>
  <c r="EC23" i="8"/>
  <c r="EB23" i="8" a="1"/>
  <c r="EB23" i="8"/>
  <c r="EA23" i="8" a="1"/>
  <c r="EA23" i="8"/>
  <c r="DZ23" i="8" a="1"/>
  <c r="DZ23" i="8"/>
  <c r="DY23" i="8" a="1"/>
  <c r="DY23" i="8" s="1"/>
  <c r="DX23" i="8" a="1"/>
  <c r="DX23" i="8" s="1"/>
  <c r="DW23" i="8" a="1"/>
  <c r="DW23" i="8" s="1"/>
  <c r="DV23" i="8" a="1"/>
  <c r="DV23" i="8" s="1"/>
  <c r="DU23" i="8" a="1"/>
  <c r="DU23" i="8"/>
  <c r="DT23" i="8" a="1"/>
  <c r="DT23" i="8"/>
  <c r="DS23" i="8" a="1"/>
  <c r="DS23" i="8" s="1"/>
  <c r="DR23" i="8" a="1"/>
  <c r="DR23" i="8"/>
  <c r="DQ23" i="8" a="1"/>
  <c r="DQ23" i="8"/>
  <c r="DP23" i="8" a="1"/>
  <c r="DP23" i="8"/>
  <c r="DO23" i="8" a="1"/>
  <c r="DO23" i="8"/>
  <c r="DN23" i="8" a="1"/>
  <c r="DN23" i="8" s="1"/>
  <c r="DM23" i="8" a="1"/>
  <c r="DM23" i="8" s="1"/>
  <c r="DL23" i="8" a="1"/>
  <c r="DL23" i="8" s="1"/>
  <c r="DK23" i="8" a="1"/>
  <c r="DK23" i="8" s="1"/>
  <c r="DJ23" i="8" a="1"/>
  <c r="DJ23" i="8"/>
  <c r="DI23" i="8" a="1"/>
  <c r="DI23" i="8" s="1"/>
  <c r="DH23" i="8" a="1"/>
  <c r="DH23" i="8" s="1"/>
  <c r="DG23" i="8" a="1"/>
  <c r="DG23" i="8"/>
  <c r="DF23" i="8" a="1"/>
  <c r="DF23" i="8"/>
  <c r="DE23" i="8" a="1"/>
  <c r="DE23" i="8"/>
  <c r="DD23" i="8" a="1"/>
  <c r="DD23" i="8"/>
  <c r="DC23" i="8" a="1"/>
  <c r="DC23" i="8" s="1"/>
  <c r="DB23" i="8" a="1"/>
  <c r="DB23" i="8" s="1"/>
  <c r="DA23" i="8" a="1"/>
  <c r="DA23" i="8" s="1"/>
  <c r="CZ23" i="8" a="1"/>
  <c r="CZ23" i="8" s="1"/>
  <c r="CY23" i="8" a="1"/>
  <c r="CY23" i="8"/>
  <c r="CX23" i="8" a="1"/>
  <c r="CX23" i="8" s="1"/>
  <c r="CW23" i="8" a="1"/>
  <c r="CW23" i="8" s="1"/>
  <c r="CV23" i="8" a="1"/>
  <c r="CV23" i="8"/>
  <c r="CU23" i="8" a="1"/>
  <c r="CU23" i="8"/>
  <c r="CT23" i="8" a="1"/>
  <c r="CT23" i="8"/>
  <c r="CS23" i="8" a="1"/>
  <c r="CS23" i="8"/>
  <c r="CR23" i="8" a="1"/>
  <c r="CR23" i="8" s="1"/>
  <c r="CQ23" i="8" a="1"/>
  <c r="CQ23" i="8" s="1"/>
  <c r="CP23" i="8" a="1"/>
  <c r="CP23" i="8" s="1"/>
  <c r="CO23" i="8" a="1"/>
  <c r="CO23" i="8" s="1"/>
  <c r="CN23" i="8" a="1"/>
  <c r="CN23" i="8"/>
  <c r="CM23" i="8" a="1"/>
  <c r="CM23" i="8" s="1"/>
  <c r="CL23" i="8" a="1"/>
  <c r="CL23" i="8" s="1"/>
  <c r="CK23" i="8" a="1"/>
  <c r="CK23" i="8"/>
  <c r="CJ23" i="8" a="1"/>
  <c r="CJ23" i="8"/>
  <c r="CI23" i="8" a="1"/>
  <c r="CI23" i="8"/>
  <c r="CH23" i="8" a="1"/>
  <c r="CH23" i="8"/>
  <c r="CG23" i="8" a="1"/>
  <c r="CG23" i="8" s="1"/>
  <c r="CF23" i="8" a="1"/>
  <c r="CF23" i="8" s="1"/>
  <c r="CE23" i="8" a="1"/>
  <c r="CE23" i="8" s="1"/>
  <c r="CD23" i="8" a="1"/>
  <c r="CD23" i="8" s="1"/>
  <c r="CC23" i="8" a="1"/>
  <c r="CC23" i="8"/>
  <c r="CB23" i="8" a="1"/>
  <c r="CB23" i="8"/>
  <c r="CA23" i="8" a="1"/>
  <c r="CA23" i="8" s="1"/>
  <c r="BZ23" i="8" a="1"/>
  <c r="BZ23" i="8"/>
  <c r="BY23" i="8" a="1"/>
  <c r="BY23" i="8"/>
  <c r="BX23" i="8" a="1"/>
  <c r="BX23" i="8"/>
  <c r="BW23" i="8" a="1"/>
  <c r="BW23" i="8"/>
  <c r="BV23" i="8" a="1"/>
  <c r="BV23" i="8" s="1"/>
  <c r="BU23" i="8" a="1"/>
  <c r="BU23" i="8" s="1"/>
  <c r="BT23" i="8" a="1"/>
  <c r="BT23" i="8" s="1"/>
  <c r="BS23" i="8" a="1"/>
  <c r="BS23" i="8" s="1"/>
  <c r="BR23" i="8" a="1"/>
  <c r="BR23" i="8"/>
  <c r="BQ23" i="8" a="1"/>
  <c r="BQ23" i="8"/>
  <c r="BP23" i="8" a="1"/>
  <c r="BP23" i="8" s="1"/>
  <c r="BO23" i="8" a="1"/>
  <c r="BO23" i="8"/>
  <c r="BN23" i="8" a="1"/>
  <c r="BN23" i="8"/>
  <c r="BM23" i="8" a="1"/>
  <c r="BM23" i="8"/>
  <c r="BL23" i="8" a="1"/>
  <c r="BL23" i="8" s="1"/>
  <c r="BK23" i="8" a="1"/>
  <c r="BK23" i="8" s="1"/>
  <c r="BJ23" i="8" a="1"/>
  <c r="BJ23" i="8" s="1"/>
  <c r="BI23" i="8" a="1"/>
  <c r="BI23" i="8" s="1"/>
  <c r="BH23" i="8" a="1"/>
  <c r="BH23" i="8" s="1"/>
  <c r="BG23" i="8" a="1"/>
  <c r="BG23" i="8"/>
  <c r="BF23" i="8" a="1"/>
  <c r="BF23" i="8" s="1"/>
  <c r="BE23" i="8" a="1"/>
  <c r="BE23" i="8" s="1"/>
  <c r="BD23" i="8" a="1"/>
  <c r="BD23" i="8"/>
  <c r="BC23" i="8" a="1"/>
  <c r="BC23" i="8"/>
  <c r="BB23" i="8" a="1"/>
  <c r="BB23" i="8"/>
  <c r="BA23" i="8" a="1"/>
  <c r="BA23" i="8" s="1"/>
  <c r="AZ23" i="8" a="1"/>
  <c r="AZ23" i="8" s="1"/>
  <c r="AY23" i="8" a="1"/>
  <c r="AY23" i="8" s="1"/>
  <c r="AX23" i="8" a="1"/>
  <c r="AX23" i="8" s="1"/>
  <c r="AW23" i="8" a="1"/>
  <c r="AW23" i="8" s="1"/>
  <c r="AV23" i="8" a="1"/>
  <c r="AV23" i="8"/>
  <c r="AU23" i="8" a="1"/>
  <c r="AU23" i="8" s="1"/>
  <c r="AT23" i="8" a="1"/>
  <c r="AT23" i="8" s="1"/>
  <c r="AS23" i="8" a="1"/>
  <c r="AS23" i="8"/>
  <c r="AR23" i="8" a="1"/>
  <c r="AR23" i="8"/>
  <c r="AQ23" i="8" a="1"/>
  <c r="AQ23" i="8"/>
  <c r="AP23" i="8" a="1"/>
  <c r="AP23" i="8" s="1"/>
  <c r="AO23" i="8" a="1"/>
  <c r="AO23" i="8" s="1"/>
  <c r="AN23" i="8" a="1"/>
  <c r="AN23" i="8"/>
  <c r="AM23" i="8" a="1"/>
  <c r="AM23" i="8" s="1"/>
  <c r="AL23" i="8" a="1"/>
  <c r="AL23" i="8" s="1"/>
  <c r="AK23" i="8" a="1"/>
  <c r="AK23" i="8"/>
  <c r="AJ23" i="8" a="1"/>
  <c r="AJ23" i="8"/>
  <c r="AI23" i="8" a="1"/>
  <c r="AI23" i="8" s="1"/>
  <c r="AH23" i="8" a="1"/>
  <c r="AH23" i="8"/>
  <c r="AG23" i="8" a="1"/>
  <c r="AG23" i="8"/>
  <c r="AF23" i="8" a="1"/>
  <c r="AF23" i="8"/>
  <c r="AE23" i="8" a="1"/>
  <c r="AE23" i="8" s="1"/>
  <c r="AD23" i="8" a="1"/>
  <c r="AD23" i="8" s="1"/>
  <c r="AC23" i="8" a="1"/>
  <c r="AC23" i="8"/>
  <c r="AB23" i="8" a="1"/>
  <c r="AB23" i="8" s="1"/>
  <c r="AA23" i="8" a="1"/>
  <c r="AA23" i="8" s="1"/>
  <c r="Z23" i="8" a="1"/>
  <c r="Z23" i="8"/>
  <c r="Y23" i="8" a="1"/>
  <c r="Y23" i="8" s="1"/>
  <c r="X23" i="8" a="1"/>
  <c r="X23" i="8" s="1"/>
  <c r="W23" i="8" a="1"/>
  <c r="W23" i="8"/>
  <c r="V23" i="8" a="1"/>
  <c r="V23" i="8"/>
  <c r="U23" i="8" a="1"/>
  <c r="U23" i="8"/>
  <c r="T23" i="8" a="1"/>
  <c r="T23" i="8"/>
  <c r="S23" i="8" a="1"/>
  <c r="S23" i="8" s="1"/>
  <c r="R23" i="8" a="1"/>
  <c r="R23" i="8"/>
  <c r="Q23" i="8" a="1"/>
  <c r="Q23" i="8"/>
  <c r="P23" i="8" a="1"/>
  <c r="P23" i="8" s="1"/>
  <c r="O23" i="8" a="1"/>
  <c r="O23" i="8"/>
  <c r="N23" i="8" a="1"/>
  <c r="N23" i="8" s="1"/>
  <c r="M23" i="8" a="1"/>
  <c r="M23" i="8" s="1"/>
  <c r="L23" i="8" a="1"/>
  <c r="L23" i="8"/>
  <c r="K23" i="8" a="1"/>
  <c r="K23" i="8"/>
  <c r="J23" i="8" a="1"/>
  <c r="J23" i="8"/>
  <c r="I23" i="8" a="1"/>
  <c r="I23" i="8" s="1"/>
  <c r="H23" i="8" a="1"/>
  <c r="H23" i="8" s="1"/>
  <c r="G23" i="8" a="1"/>
  <c r="G23" i="8"/>
  <c r="F23" i="8" a="1"/>
  <c r="F23" i="8"/>
  <c r="E23" i="8" a="1"/>
  <c r="E23" i="8" s="1"/>
  <c r="D23" i="8" a="1"/>
  <c r="D23" i="8"/>
  <c r="C23" i="8" a="1"/>
  <c r="C23" i="8" s="1"/>
  <c r="EF22" i="8" a="1"/>
  <c r="EF22" i="8" s="1"/>
  <c r="EE22" i="8" a="1"/>
  <c r="EE22" i="8"/>
  <c r="ED22" i="8" a="1"/>
  <c r="ED22" i="8"/>
  <c r="EC22" i="8" a="1"/>
  <c r="EC22" i="8"/>
  <c r="EB22" i="8" a="1"/>
  <c r="EB22" i="8"/>
  <c r="EA22" i="8" a="1"/>
  <c r="EA22" i="8" s="1"/>
  <c r="DZ22" i="8" a="1"/>
  <c r="DZ22" i="8"/>
  <c r="DY22" i="8" a="1"/>
  <c r="DY22" i="8" s="1"/>
  <c r="DX22" i="8" a="1"/>
  <c r="DX22" i="8" s="1"/>
  <c r="DW22" i="8" a="1"/>
  <c r="DW22" i="8"/>
  <c r="DV22" i="8" a="1"/>
  <c r="DV22" i="8"/>
  <c r="DU22" i="8" a="1"/>
  <c r="DU22" i="8" s="1"/>
  <c r="DT22" i="8" a="1"/>
  <c r="DT22" i="8"/>
  <c r="DS22" i="8" a="1"/>
  <c r="DS22" i="8"/>
  <c r="DR22" i="8" a="1"/>
  <c r="DR22" i="8"/>
  <c r="DQ22" i="8" a="1"/>
  <c r="DQ22" i="8"/>
  <c r="DP22" i="8" a="1"/>
  <c r="DP22" i="8" s="1"/>
  <c r="DO22" i="8" a="1"/>
  <c r="DO22" i="8"/>
  <c r="DN22" i="8" a="1"/>
  <c r="DN22" i="8" s="1"/>
  <c r="DM22" i="8" a="1"/>
  <c r="DM22" i="8" s="1"/>
  <c r="DL22" i="8" a="1"/>
  <c r="DL22" i="8"/>
  <c r="DK22" i="8" a="1"/>
  <c r="DK22" i="8" s="1"/>
  <c r="DJ22" i="8" a="1"/>
  <c r="DJ22" i="8" s="1"/>
  <c r="DI22" i="8" a="1"/>
  <c r="DI22" i="8"/>
  <c r="DH22" i="8" a="1"/>
  <c r="DH22" i="8"/>
  <c r="DG22" i="8" a="1"/>
  <c r="DG22" i="8"/>
  <c r="DF22" i="8" a="1"/>
  <c r="DF22" i="8" s="1"/>
  <c r="DE22" i="8" a="1"/>
  <c r="DE22" i="8" s="1"/>
  <c r="DD22" i="8" a="1"/>
  <c r="DD22" i="8" s="1"/>
  <c r="DC22" i="8" a="1"/>
  <c r="DC22" i="8" s="1"/>
  <c r="DB22" i="8" a="1"/>
  <c r="DB22" i="8" s="1"/>
  <c r="DA22" i="8" a="1"/>
  <c r="DA22" i="8"/>
  <c r="CZ22" i="8" a="1"/>
  <c r="CZ22" i="8"/>
  <c r="CY22" i="8" a="1"/>
  <c r="CY22" i="8" s="1"/>
  <c r="CX22" i="8" a="1"/>
  <c r="CX22" i="8"/>
  <c r="CW22" i="8" a="1"/>
  <c r="CW22" i="8"/>
  <c r="CV22" i="8" a="1"/>
  <c r="CV22" i="8"/>
  <c r="CU22" i="8" a="1"/>
  <c r="CU22" i="8" s="1"/>
  <c r="CT22" i="8" a="1"/>
  <c r="CT22" i="8" s="1"/>
  <c r="CS22" i="8" a="1"/>
  <c r="CS22" i="8"/>
  <c r="CR22" i="8" a="1"/>
  <c r="CR22" i="8"/>
  <c r="CQ22" i="8" a="1"/>
  <c r="CQ22" i="8" s="1"/>
  <c r="CP22" i="8" a="1"/>
  <c r="CP22" i="8"/>
  <c r="CO22" i="8" a="1"/>
  <c r="CO22" i="8" s="1"/>
  <c r="CN22" i="8" a="1"/>
  <c r="CN22" i="8" s="1"/>
  <c r="CM22" i="8" a="1"/>
  <c r="CM22" i="8"/>
  <c r="CL22" i="8" a="1"/>
  <c r="CL22" i="8" s="1"/>
  <c r="CK22" i="8" a="1"/>
  <c r="CK22" i="8"/>
  <c r="CJ22" i="8" a="1"/>
  <c r="CJ22" i="8"/>
  <c r="CI22" i="8" a="1"/>
  <c r="CI22" i="8" s="1"/>
  <c r="CH22" i="8" a="1"/>
  <c r="CH22" i="8" s="1"/>
  <c r="CG22" i="8" a="1"/>
  <c r="CG22" i="8" s="1"/>
  <c r="CF22" i="8" a="1"/>
  <c r="CF22" i="8" s="1"/>
  <c r="CE22" i="8" a="1"/>
  <c r="CE22" i="8" s="1"/>
  <c r="CD22" i="8" a="1"/>
  <c r="CD22" i="8"/>
  <c r="CC22" i="8" a="1"/>
  <c r="CC22" i="8" s="1"/>
  <c r="CB22" i="8" a="1"/>
  <c r="CB22" i="8"/>
  <c r="CA22" i="8" a="1"/>
  <c r="CA22" i="8" s="1"/>
  <c r="BZ22" i="8" a="1"/>
  <c r="BZ22" i="8"/>
  <c r="BY22" i="8" a="1"/>
  <c r="BY22" i="8" s="1"/>
  <c r="BX22" i="8" a="1"/>
  <c r="BX22" i="8" s="1"/>
  <c r="BW22" i="8" a="1"/>
  <c r="BW22" i="8" s="1"/>
  <c r="BV22" i="8" a="1"/>
  <c r="BV22" i="8"/>
  <c r="BU22" i="8" a="1"/>
  <c r="BU22" i="8" s="1"/>
  <c r="BT22" i="8" a="1"/>
  <c r="BT22" i="8"/>
  <c r="BS22" i="8" a="1"/>
  <c r="BS22" i="8"/>
  <c r="BR22" i="8" a="1"/>
  <c r="BR22" i="8" s="1"/>
  <c r="BQ22" i="8" a="1"/>
  <c r="BQ22" i="8"/>
  <c r="BP22" i="8" a="1"/>
  <c r="BP22" i="8" s="1"/>
  <c r="BO22" i="8" a="1"/>
  <c r="BO22" i="8"/>
  <c r="BN22" i="8" a="1"/>
  <c r="BN22" i="8"/>
  <c r="BM22" i="8" a="1"/>
  <c r="BM22" i="8" s="1"/>
  <c r="BL22" i="8" a="1"/>
  <c r="BL22" i="8" s="1"/>
  <c r="BK22" i="8" a="1"/>
  <c r="BK22" i="8" s="1"/>
  <c r="BJ22" i="8" a="1"/>
  <c r="BJ22" i="8" s="1"/>
  <c r="BI22" i="8" a="1"/>
  <c r="BI22" i="8" s="1"/>
  <c r="BH22" i="8" a="1"/>
  <c r="BH22" i="8"/>
  <c r="BG22" i="8" a="1"/>
  <c r="BG22" i="8" s="1"/>
  <c r="BF22" i="8" a="1"/>
  <c r="BF22" i="8"/>
  <c r="BE22" i="8" a="1"/>
  <c r="BE22" i="8"/>
  <c r="BD22" i="8" a="1"/>
  <c r="BD22" i="8"/>
  <c r="BC22" i="8" a="1"/>
  <c r="BC22" i="8" s="1"/>
  <c r="BB22" i="8" a="1"/>
  <c r="BB22" i="8" s="1"/>
  <c r="BA22" i="8" a="1"/>
  <c r="BA22" i="8" s="1"/>
  <c r="AZ22" i="8" a="1"/>
  <c r="AZ22" i="8"/>
  <c r="AY22" i="8" a="1"/>
  <c r="AY22" i="8" s="1"/>
  <c r="AX22" i="8" a="1"/>
  <c r="AX22" i="8"/>
  <c r="AW22" i="8" a="1"/>
  <c r="AW22" i="8" s="1"/>
  <c r="AV22" i="8" a="1"/>
  <c r="AV22" i="8" s="1"/>
  <c r="AU22" i="8" a="1"/>
  <c r="AU22" i="8"/>
  <c r="AT22" i="8" a="1"/>
  <c r="AT22" i="8"/>
  <c r="AS22" i="8" a="1"/>
  <c r="AS22" i="8"/>
  <c r="AR22" i="8" a="1"/>
  <c r="AR22" i="8"/>
  <c r="AQ22" i="8" a="1"/>
  <c r="AQ22" i="8" s="1"/>
  <c r="AP22" i="8" a="1"/>
  <c r="AP22" i="8" s="1"/>
  <c r="AO22" i="8" a="1"/>
  <c r="AO22" i="8" s="1"/>
  <c r="AN22" i="8" a="1"/>
  <c r="AN22" i="8" s="1"/>
  <c r="AM22" i="8" a="1"/>
  <c r="AM22" i="8" s="1"/>
  <c r="AL22" i="8" a="1"/>
  <c r="AL22" i="8" s="1"/>
  <c r="AK22" i="8" a="1"/>
  <c r="AK22" i="8" s="1"/>
  <c r="AJ22" i="8" a="1"/>
  <c r="AJ22" i="8"/>
  <c r="AI22" i="8" a="1"/>
  <c r="AI22" i="8"/>
  <c r="AH22" i="8" a="1"/>
  <c r="AH22" i="8"/>
  <c r="AG22" i="8" a="1"/>
  <c r="AG22" i="8" s="1"/>
  <c r="AF22" i="8" a="1"/>
  <c r="AF22" i="8" s="1"/>
  <c r="AE22" i="8" a="1"/>
  <c r="AE22" i="8" s="1"/>
  <c r="AD22" i="8" a="1"/>
  <c r="AD22" i="8"/>
  <c r="AC22" i="8" a="1"/>
  <c r="AC22" i="8" s="1"/>
  <c r="AB22" i="8" a="1"/>
  <c r="AB22" i="8"/>
  <c r="AA22" i="8" a="1"/>
  <c r="AA22" i="8"/>
  <c r="Z22" i="8" a="1"/>
  <c r="Z22" i="8" s="1"/>
  <c r="Y22" i="8" a="1"/>
  <c r="Y22" i="8"/>
  <c r="X22" i="8" a="1"/>
  <c r="X22" i="8"/>
  <c r="W22" i="8" a="1"/>
  <c r="W22" i="8"/>
  <c r="V22" i="8" a="1"/>
  <c r="V22" i="8"/>
  <c r="U22" i="8" a="1"/>
  <c r="U22" i="8" s="1"/>
  <c r="T22" i="8" a="1"/>
  <c r="T22" i="8" s="1"/>
  <c r="S22" i="8" a="1"/>
  <c r="S22" i="8" s="1"/>
  <c r="R22" i="8" a="1"/>
  <c r="R22" i="8" s="1"/>
  <c r="Q22" i="8" a="1"/>
  <c r="Q22" i="8"/>
  <c r="P22" i="8" a="1"/>
  <c r="P22" i="8" s="1"/>
  <c r="O22" i="8" a="1"/>
  <c r="O22" i="8" s="1"/>
  <c r="N22" i="8" a="1"/>
  <c r="N22" i="8"/>
  <c r="M22" i="8" a="1"/>
  <c r="M22" i="8"/>
  <c r="L22" i="8" a="1"/>
  <c r="L22" i="8"/>
  <c r="K22" i="8" a="1"/>
  <c r="K22" i="8"/>
  <c r="J22" i="8" a="1"/>
  <c r="J22" i="8" s="1"/>
  <c r="I22" i="8" a="1"/>
  <c r="I22" i="8" s="1"/>
  <c r="H22" i="8" a="1"/>
  <c r="H22" i="8"/>
  <c r="G22" i="8" a="1"/>
  <c r="G22" i="8" s="1"/>
  <c r="F22" i="8" a="1"/>
  <c r="F22" i="8"/>
  <c r="E22" i="8" a="1"/>
  <c r="E22" i="8" s="1"/>
  <c r="D22" i="8" a="1"/>
  <c r="D22" i="8" s="1"/>
  <c r="C22" i="8" a="1"/>
  <c r="C22" i="8"/>
  <c r="EF21" i="8" a="1"/>
  <c r="EF21" i="8" s="1"/>
  <c r="EE21" i="8" a="1"/>
  <c r="EE21" i="8"/>
  <c r="ED21" i="8" a="1"/>
  <c r="ED21" i="8"/>
  <c r="EC21" i="8" a="1"/>
  <c r="EC21" i="8" s="1"/>
  <c r="EB21" i="8" a="1"/>
  <c r="EB21" i="8" s="1"/>
  <c r="EA21" i="8" a="1"/>
  <c r="EA21" i="8"/>
  <c r="DZ21" i="8" a="1"/>
  <c r="DZ21" i="8" s="1"/>
  <c r="DY21" i="8" a="1"/>
  <c r="DY21" i="8" s="1"/>
  <c r="DX21" i="8" a="1"/>
  <c r="DX21" i="8" s="1"/>
  <c r="DW21" i="8" a="1"/>
  <c r="DW21" i="8" s="1"/>
  <c r="DV21" i="8" a="1"/>
  <c r="DV21" i="8"/>
  <c r="DU21" i="8" a="1"/>
  <c r="DU21" i="8" s="1"/>
  <c r="DT21" i="8" a="1"/>
  <c r="DT21" i="8"/>
  <c r="DS21" i="8" a="1"/>
  <c r="DS21" i="8" s="1"/>
  <c r="DR21" i="8" a="1"/>
  <c r="DR21" i="8" s="1"/>
  <c r="DQ21" i="8" a="1"/>
  <c r="DQ21" i="8" s="1"/>
  <c r="DP21" i="8" a="1"/>
  <c r="DP21" i="8"/>
  <c r="DO21" i="8" a="1"/>
  <c r="DO21" i="8" s="1"/>
  <c r="DN21" i="8" a="1"/>
  <c r="DN21" i="8" s="1"/>
  <c r="DM21" i="8" a="1"/>
  <c r="DM21" i="8" s="1"/>
  <c r="DL21" i="8" a="1"/>
  <c r="DL21" i="8" s="1"/>
  <c r="DK21" i="8" a="1"/>
  <c r="DK21" i="8"/>
  <c r="DJ21" i="8" a="1"/>
  <c r="DJ21" i="8"/>
  <c r="DI21" i="8" a="1"/>
  <c r="DI21" i="8"/>
  <c r="DH21" i="8" a="1"/>
  <c r="DH21" i="8" s="1"/>
  <c r="DG21" i="8" a="1"/>
  <c r="DG21" i="8" s="1"/>
  <c r="DF21" i="8" a="1"/>
  <c r="DF21" i="8" s="1"/>
  <c r="DE21" i="8" a="1"/>
  <c r="DE21" i="8" s="1"/>
  <c r="DD21" i="8" a="1"/>
  <c r="DD21" i="8" s="1"/>
  <c r="DC21" i="8" a="1"/>
  <c r="DC21" i="8"/>
  <c r="DB21" i="8" a="1"/>
  <c r="DB21" i="8"/>
  <c r="DA21" i="8" a="1"/>
  <c r="DA21" i="8" s="1"/>
  <c r="CZ21" i="8" a="1"/>
  <c r="CZ21" i="8"/>
  <c r="CY21" i="8" a="1"/>
  <c r="CY21" i="8"/>
  <c r="CX21" i="8" a="1"/>
  <c r="CX21" i="8"/>
  <c r="CW21" i="8" a="1"/>
  <c r="CW21" i="8"/>
  <c r="CV21" i="8" a="1"/>
  <c r="CV21" i="8" s="1"/>
  <c r="CU21" i="8" a="1"/>
  <c r="CU21" i="8" s="1"/>
  <c r="CT21" i="8" a="1"/>
  <c r="CT21" i="8" s="1"/>
  <c r="CS21" i="8" a="1"/>
  <c r="CS21" i="8" s="1"/>
  <c r="CR21" i="8" a="1"/>
  <c r="CR21" i="8"/>
  <c r="CQ21" i="8" a="1"/>
  <c r="CQ21" i="8"/>
  <c r="CP21" i="8" a="1"/>
  <c r="CP21" i="8" s="1"/>
  <c r="CO21" i="8" a="1"/>
  <c r="CO21" i="8"/>
  <c r="CN21" i="8" a="1"/>
  <c r="CN21" i="8"/>
  <c r="CM21" i="8" a="1"/>
  <c r="CM21" i="8"/>
  <c r="CL21" i="8" a="1"/>
  <c r="CL21" i="8" s="1"/>
  <c r="CK21" i="8" a="1"/>
  <c r="CK21" i="8" s="1"/>
  <c r="CJ21" i="8" a="1"/>
  <c r="CJ21" i="8" s="1"/>
  <c r="CI21" i="8" a="1"/>
  <c r="CI21" i="8"/>
  <c r="CH21" i="8" a="1"/>
  <c r="CH21" i="8" s="1"/>
  <c r="CG21" i="8" a="1"/>
  <c r="CG21" i="8"/>
  <c r="CF21" i="8" a="1"/>
  <c r="CF21" i="8"/>
  <c r="CE21" i="8" a="1"/>
  <c r="CE21" i="8" s="1"/>
  <c r="CD21" i="8" a="1"/>
  <c r="CD21" i="8"/>
  <c r="CC21" i="8" a="1"/>
  <c r="CC21" i="8" s="1"/>
  <c r="CB21" i="8" a="1"/>
  <c r="CB21" i="8"/>
  <c r="CA21" i="8" a="1"/>
  <c r="CA21" i="8"/>
  <c r="BZ21" i="8" a="1"/>
  <c r="BZ21" i="8" s="1"/>
  <c r="BY21" i="8" a="1"/>
  <c r="BY21" i="8" s="1"/>
  <c r="BX21" i="8" a="1"/>
  <c r="BX21" i="8"/>
  <c r="BW21" i="8" a="1"/>
  <c r="BW21" i="8" s="1"/>
  <c r="BV21" i="8" a="1"/>
  <c r="BV21" i="8" s="1"/>
  <c r="BU21" i="8" a="1"/>
  <c r="BU21" i="8"/>
  <c r="BT21" i="8" a="1"/>
  <c r="BT21" i="8"/>
  <c r="BS21" i="8" a="1"/>
  <c r="BS21" i="8"/>
  <c r="BR21" i="8" a="1"/>
  <c r="BR21" i="8"/>
  <c r="BQ21" i="8" a="1"/>
  <c r="BQ21" i="8"/>
  <c r="BP21" i="8" a="1"/>
  <c r="BP21" i="8"/>
  <c r="BO21" i="8" a="1"/>
  <c r="BO21" i="8" s="1"/>
  <c r="BN21" i="8" a="1"/>
  <c r="BN21" i="8" s="1"/>
  <c r="BM21" i="8" a="1"/>
  <c r="BM21" i="8" s="1"/>
  <c r="BL21" i="8" a="1"/>
  <c r="BL21" i="8" s="1"/>
  <c r="BK21" i="8" a="1"/>
  <c r="BK21" i="8" s="1"/>
  <c r="BJ21" i="8" a="1"/>
  <c r="BJ21" i="8"/>
  <c r="BI21" i="8" a="1"/>
  <c r="BI21" i="8"/>
  <c r="BH21" i="8" a="1"/>
  <c r="BH21" i="8"/>
  <c r="BG21" i="8" a="1"/>
  <c r="BG21" i="8" s="1"/>
  <c r="BF21" i="8" a="1"/>
  <c r="BF21" i="8"/>
  <c r="BE21" i="8" a="1"/>
  <c r="BE21" i="8" s="1"/>
  <c r="BD21" i="8" a="1"/>
  <c r="BD21" i="8" s="1"/>
  <c r="BC21" i="8" a="1"/>
  <c r="BC21" i="8" s="1"/>
  <c r="BB21" i="8" a="1"/>
  <c r="BB21" i="8"/>
  <c r="BA21" i="8" a="1"/>
  <c r="BA21" i="8" s="1"/>
  <c r="AZ21" i="8" a="1"/>
  <c r="AZ21" i="8" s="1"/>
  <c r="AY21" i="8" a="1"/>
  <c r="AY21" i="8"/>
  <c r="AX21" i="8" a="1"/>
  <c r="AX21" i="8"/>
  <c r="AW21" i="8" a="1"/>
  <c r="AW21" i="8"/>
  <c r="AV21" i="8" a="1"/>
  <c r="AV21" i="8"/>
  <c r="AU21" i="8" a="1"/>
  <c r="AU21" i="8"/>
  <c r="AT21" i="8" a="1"/>
  <c r="AT21" i="8"/>
  <c r="AS21" i="8" a="1"/>
  <c r="AS21" i="8" s="1"/>
  <c r="AR21" i="8" a="1"/>
  <c r="AR21" i="8" s="1"/>
  <c r="AQ21" i="8" a="1"/>
  <c r="AQ21" i="8"/>
  <c r="AP21" i="8" a="1"/>
  <c r="AP21" i="8" s="1"/>
  <c r="AO21" i="8" a="1"/>
  <c r="AO21" i="8"/>
  <c r="AN21" i="8" a="1"/>
  <c r="AN21" i="8" s="1"/>
  <c r="AM21" i="8" a="1"/>
  <c r="AM21" i="8" s="1"/>
  <c r="AL21" i="8" a="1"/>
  <c r="AL21" i="8"/>
  <c r="AK21" i="8" a="1"/>
  <c r="AK21" i="8" s="1"/>
  <c r="AJ21" i="8" a="1"/>
  <c r="AJ21" i="8"/>
  <c r="AI21" i="8" a="1"/>
  <c r="AI21" i="8"/>
  <c r="AH21" i="8" a="1"/>
  <c r="AH21" i="8" s="1"/>
  <c r="AG21" i="8" a="1"/>
  <c r="AG21" i="8" s="1"/>
  <c r="AF21" i="8" a="1"/>
  <c r="AF21" i="8"/>
  <c r="AE21" i="8" a="1"/>
  <c r="AE21" i="8" s="1"/>
  <c r="AD21" i="8" a="1"/>
  <c r="AD21" i="8" s="1"/>
  <c r="AC21" i="8" a="1"/>
  <c r="AC21" i="8" s="1"/>
  <c r="AB21" i="8" a="1"/>
  <c r="AB21" i="8" s="1"/>
  <c r="AA21" i="8" a="1"/>
  <c r="AA21" i="8"/>
  <c r="Z21" i="8" a="1"/>
  <c r="Z21" i="8" s="1"/>
  <c r="Y21" i="8" a="1"/>
  <c r="Y21" i="8"/>
  <c r="X21" i="8" a="1"/>
  <c r="X21" i="8" s="1"/>
  <c r="W21" i="8" a="1"/>
  <c r="W21" i="8" s="1"/>
  <c r="V21" i="8" a="1"/>
  <c r="V21" i="8" s="1"/>
  <c r="U21" i="8" a="1"/>
  <c r="U21" i="8"/>
  <c r="T21" i="8" a="1"/>
  <c r="T21" i="8" s="1"/>
  <c r="S21" i="8" a="1"/>
  <c r="S21" i="8" s="1"/>
  <c r="R21" i="8" a="1"/>
  <c r="R21" i="8"/>
  <c r="Q21" i="8" a="1"/>
  <c r="Q21" i="8" s="1"/>
  <c r="P21" i="8" a="1"/>
  <c r="P21" i="8"/>
  <c r="O21" i="8" a="1"/>
  <c r="O21" i="8"/>
  <c r="N21" i="8" a="1"/>
  <c r="N21" i="8"/>
  <c r="M21" i="8" a="1"/>
  <c r="M21" i="8" s="1"/>
  <c r="L21" i="8" a="1"/>
  <c r="L21" i="8" s="1"/>
  <c r="K21" i="8" a="1"/>
  <c r="K21" i="8" s="1"/>
  <c r="J21" i="8" a="1"/>
  <c r="J21" i="8" s="1"/>
  <c r="I21" i="8" a="1"/>
  <c r="I21" i="8" s="1"/>
  <c r="H21" i="8" a="1"/>
  <c r="H21" i="8"/>
  <c r="G21" i="8" a="1"/>
  <c r="G21" i="8" s="1"/>
  <c r="F21" i="8" a="1"/>
  <c r="F21" i="8" s="1"/>
  <c r="E21" i="8" a="1"/>
  <c r="E21" i="8"/>
  <c r="D21" i="8" a="1"/>
  <c r="D21" i="8" s="1"/>
  <c r="C21" i="8" a="1"/>
  <c r="C21" i="8"/>
  <c r="EF20" i="8" a="1"/>
  <c r="EF20" i="8"/>
  <c r="EE20" i="8" a="1"/>
  <c r="EE20" i="8" s="1"/>
  <c r="ED20" i="8" a="1"/>
  <c r="ED20" i="8" s="1"/>
  <c r="EC20" i="8" a="1"/>
  <c r="EC20" i="8" s="1"/>
  <c r="EB20" i="8" a="1"/>
  <c r="EB20" i="8" s="1"/>
  <c r="EA20" i="8" a="1"/>
  <c r="EA20" i="8"/>
  <c r="DZ20" i="8" a="1"/>
  <c r="DZ20" i="8"/>
  <c r="DY20" i="8" a="1"/>
  <c r="DY20" i="8"/>
  <c r="DX20" i="8" a="1"/>
  <c r="DX20" i="8"/>
  <c r="DW20" i="8" a="1"/>
  <c r="DW20" i="8" s="1"/>
  <c r="DV20" i="8" a="1"/>
  <c r="DV20" i="8"/>
  <c r="DU20" i="8" a="1"/>
  <c r="DU20" i="8" s="1"/>
  <c r="DT20" i="8" a="1"/>
  <c r="DT20" i="8" s="1"/>
  <c r="DS20" i="8" a="1"/>
  <c r="DS20" i="8" s="1"/>
  <c r="DR20" i="8" a="1"/>
  <c r="DR20" i="8"/>
  <c r="DQ20" i="8" a="1"/>
  <c r="DQ20" i="8" s="1"/>
  <c r="DP20" i="8" a="1"/>
  <c r="DP20" i="8" s="1"/>
  <c r="DO20" i="8" a="1"/>
  <c r="DO20" i="8" s="1"/>
  <c r="DN20" i="8" a="1"/>
  <c r="DN20" i="8" s="1"/>
  <c r="DM20" i="8" a="1"/>
  <c r="DM20" i="8"/>
  <c r="DL20" i="8" a="1"/>
  <c r="DL20" i="8"/>
  <c r="DK20" i="8" a="1"/>
  <c r="DK20" i="8"/>
  <c r="DJ20" i="8" a="1"/>
  <c r="DJ20" i="8" s="1"/>
  <c r="DI20" i="8" a="1"/>
  <c r="DI20" i="8" s="1"/>
  <c r="DH20" i="8" a="1"/>
  <c r="DH20" i="8" s="1"/>
  <c r="DG20" i="8" a="1"/>
  <c r="DG20" i="8" s="1"/>
  <c r="DF20" i="8" a="1"/>
  <c r="DF20" i="8" s="1"/>
  <c r="DE20" i="8" a="1"/>
  <c r="DE20" i="8"/>
  <c r="DD20" i="8" a="1"/>
  <c r="DD20" i="8" s="1"/>
  <c r="DC20" i="8" a="1"/>
  <c r="DC20" i="8" s="1"/>
  <c r="DB20" i="8" a="1"/>
  <c r="DB20" i="8"/>
  <c r="DA20" i="8" a="1"/>
  <c r="DA20" i="8" s="1"/>
  <c r="CZ20" i="8" a="1"/>
  <c r="CZ20" i="8"/>
  <c r="CY20" i="8" a="1"/>
  <c r="CY20" i="8"/>
  <c r="CX20" i="8" a="1"/>
  <c r="CX20" i="8" s="1"/>
  <c r="CW20" i="8" a="1"/>
  <c r="CW20" i="8" s="1"/>
  <c r="CV20" i="8" a="1"/>
  <c r="CV20" i="8"/>
  <c r="CU20" i="8" a="1"/>
  <c r="CU20" i="8" s="1"/>
  <c r="CT20" i="8" a="1"/>
  <c r="CT20" i="8" s="1"/>
  <c r="CS20" i="8" a="1"/>
  <c r="CS20" i="8"/>
  <c r="CR20" i="8" a="1"/>
  <c r="CR20" i="8" s="1"/>
  <c r="CQ20" i="8" a="1"/>
  <c r="CQ20" i="8"/>
  <c r="CP20" i="8" a="1"/>
  <c r="CP20" i="8"/>
  <c r="CO20" i="8" a="1"/>
  <c r="CO20" i="8"/>
  <c r="CN20" i="8" a="1"/>
  <c r="CN20" i="8" s="1"/>
  <c r="CM20" i="8" a="1"/>
  <c r="CM20" i="8" s="1"/>
  <c r="CL20" i="8" a="1"/>
  <c r="CL20" i="8" s="1"/>
  <c r="CK20" i="8" a="1"/>
  <c r="CK20" i="8"/>
  <c r="CJ20" i="8" a="1"/>
  <c r="CJ20" i="8" s="1"/>
  <c r="CI20" i="8" a="1"/>
  <c r="CI20" i="8"/>
  <c r="CH20" i="8" a="1"/>
  <c r="CH20" i="8"/>
  <c r="CG20" i="8" a="1"/>
  <c r="CG20" i="8" s="1"/>
  <c r="CF20" i="8" a="1"/>
  <c r="CF20" i="8"/>
  <c r="CE20" i="8" a="1"/>
  <c r="CE20" i="8" s="1"/>
  <c r="CD20" i="8" a="1"/>
  <c r="CD20" i="8"/>
  <c r="CC20" i="8" a="1"/>
  <c r="CC20" i="8" s="1"/>
  <c r="CB20" i="8" a="1"/>
  <c r="CB20" i="8" s="1"/>
  <c r="CA20" i="8" a="1"/>
  <c r="CA20" i="8" s="1"/>
  <c r="BZ20" i="8" a="1"/>
  <c r="BZ20" i="8"/>
  <c r="BY20" i="8" a="1"/>
  <c r="BY20" i="8" s="1"/>
  <c r="BX20" i="8" a="1"/>
  <c r="BX20" i="8" s="1"/>
  <c r="BW20" i="8" a="1"/>
  <c r="BW20" i="8"/>
  <c r="BV20" i="8" a="1"/>
  <c r="BV20" i="8" s="1"/>
  <c r="BU20" i="8" a="1"/>
  <c r="BU20" i="8"/>
  <c r="BT20" i="8" a="1"/>
  <c r="BT20" i="8"/>
  <c r="BS20" i="8" a="1"/>
  <c r="BS20" i="8"/>
  <c r="BR20" i="8" a="1"/>
  <c r="BR20" i="8" s="1"/>
  <c r="BQ20" i="8" a="1"/>
  <c r="BQ20" i="8" s="1"/>
  <c r="BP20" i="8" a="1"/>
  <c r="BP20" i="8" s="1"/>
  <c r="BO20" i="8" a="1"/>
  <c r="BO20" i="8"/>
  <c r="BN20" i="8" a="1"/>
  <c r="BN20" i="8" s="1"/>
  <c r="BM20" i="8" a="1"/>
  <c r="BM20" i="8"/>
  <c r="BL20" i="8" a="1"/>
  <c r="BL20" i="8" s="1"/>
  <c r="BK20" i="8" a="1"/>
  <c r="BK20" i="8" s="1"/>
  <c r="BJ20" i="8" a="1"/>
  <c r="BJ20" i="8"/>
  <c r="BI20" i="8" a="1"/>
  <c r="BI20" i="8" s="1"/>
  <c r="BH20" i="8" a="1"/>
  <c r="BH20" i="8"/>
  <c r="BG20" i="8" a="1"/>
  <c r="BG20" i="8" s="1"/>
  <c r="BF20" i="8" a="1"/>
  <c r="BF20" i="8" s="1"/>
  <c r="BE20" i="8" a="1"/>
  <c r="BE20" i="8" s="1"/>
  <c r="BD20" i="8" a="1"/>
  <c r="BD20" i="8" s="1"/>
  <c r="BC20" i="8" a="1"/>
  <c r="BC20" i="8" s="1"/>
  <c r="BB20" i="8" a="1"/>
  <c r="BB20" i="8" s="1"/>
  <c r="BA20" i="8" a="1"/>
  <c r="BA20" i="8"/>
  <c r="AZ20" i="8" a="1"/>
  <c r="AZ20" i="8" s="1"/>
  <c r="AY20" i="8" a="1"/>
  <c r="AY20" i="8"/>
  <c r="AX20" i="8" a="1"/>
  <c r="AX20" i="8"/>
  <c r="AW20" i="8" a="1"/>
  <c r="AW20" i="8"/>
  <c r="AV20" i="8" a="1"/>
  <c r="AV20" i="8" s="1"/>
  <c r="AU20" i="8" a="1"/>
  <c r="AU20" i="8" s="1"/>
  <c r="AT20" i="8" a="1"/>
  <c r="AT20" i="8" s="1"/>
  <c r="AS20" i="8" a="1"/>
  <c r="AS20" i="8"/>
  <c r="AR20" i="8" a="1"/>
  <c r="AR20" i="8" s="1"/>
  <c r="AQ20" i="8" a="1"/>
  <c r="AQ20" i="8"/>
  <c r="AP20" i="8" a="1"/>
  <c r="AP20" i="8"/>
  <c r="AO20" i="8" a="1"/>
  <c r="AO20" i="8"/>
  <c r="AN20" i="8" a="1"/>
  <c r="AN20" i="8"/>
  <c r="AM20" i="8" a="1"/>
  <c r="AM20" i="8"/>
  <c r="AL20" i="8" a="1"/>
  <c r="AL20" i="8"/>
  <c r="AK20" i="8" a="1"/>
  <c r="AK20" i="8" s="1"/>
  <c r="AJ20" i="8" a="1"/>
  <c r="AJ20" i="8" s="1"/>
  <c r="AI20" i="8" a="1"/>
  <c r="AI20" i="8" s="1"/>
  <c r="AH20" i="8" a="1"/>
  <c r="AH20" i="8" s="1"/>
  <c r="AG20" i="8" a="1"/>
  <c r="AG20" i="8" s="1"/>
  <c r="AF20" i="8" a="1"/>
  <c r="AF20" i="8"/>
  <c r="AE20" i="8" a="1"/>
  <c r="AE20" i="8" s="1"/>
  <c r="AD20" i="8" a="1"/>
  <c r="AD20" i="8"/>
  <c r="AC20" i="8" a="1"/>
  <c r="AC20" i="8"/>
  <c r="AB20" i="8" a="1"/>
  <c r="AB20" i="8" s="1"/>
  <c r="AA20" i="8" a="1"/>
  <c r="AA20" i="8"/>
  <c r="Z20" i="8" a="1"/>
  <c r="Z20" i="8"/>
  <c r="Y20" i="8" a="1"/>
  <c r="Y20" i="8" s="1"/>
  <c r="X20" i="8" a="1"/>
  <c r="X20" i="8"/>
  <c r="W20" i="8" a="1"/>
  <c r="W20" i="8"/>
  <c r="V20" i="8" a="1"/>
  <c r="V20" i="8" s="1"/>
  <c r="U20" i="8" a="1"/>
  <c r="U20" i="8" s="1"/>
  <c r="T20" i="8" a="1"/>
  <c r="T20" i="8"/>
  <c r="S20" i="8" a="1"/>
  <c r="S20" i="8" s="1"/>
  <c r="R20" i="8" a="1"/>
  <c r="R20" i="8"/>
  <c r="Q20" i="8" a="1"/>
  <c r="Q20" i="8"/>
  <c r="P20" i="8" a="1"/>
  <c r="P20" i="8"/>
  <c r="O20" i="8" a="1"/>
  <c r="O20" i="8" s="1"/>
  <c r="N20" i="8" a="1"/>
  <c r="N20" i="8" s="1"/>
  <c r="M20" i="8" a="1"/>
  <c r="M20" i="8"/>
  <c r="L20" i="8" a="1"/>
  <c r="L20" i="8"/>
  <c r="K20" i="8" a="1"/>
  <c r="K20" i="8" s="1"/>
  <c r="J20" i="8" a="1"/>
  <c r="J20" i="8"/>
  <c r="I20" i="8" a="1"/>
  <c r="I20" i="8" s="1"/>
  <c r="H20" i="8" a="1"/>
  <c r="H20" i="8" s="1"/>
  <c r="G20" i="8" a="1"/>
  <c r="G20" i="8"/>
  <c r="F20" i="8" a="1"/>
  <c r="F20" i="8" s="1"/>
  <c r="E20" i="8" a="1"/>
  <c r="E20" i="8"/>
  <c r="D20" i="8" a="1"/>
  <c r="D20" i="8"/>
  <c r="C20" i="8" a="1"/>
  <c r="C20" i="8" s="1"/>
  <c r="EF19" i="8" a="1"/>
  <c r="EF19" i="8"/>
  <c r="EE19" i="8" a="1"/>
  <c r="EE19" i="8"/>
  <c r="ED19" i="8" a="1"/>
  <c r="ED19" i="8" s="1"/>
  <c r="EC19" i="8" a="1"/>
  <c r="EC19" i="8"/>
  <c r="EB19" i="8" a="1"/>
  <c r="EB19" i="8"/>
  <c r="EA19" i="8" a="1"/>
  <c r="EA19" i="8" s="1"/>
  <c r="DZ19" i="8" a="1"/>
  <c r="DZ19" i="8"/>
  <c r="DY19" i="8" a="1"/>
  <c r="DY19" i="8" s="1"/>
  <c r="DX19" i="8" a="1"/>
  <c r="DX19" i="8"/>
  <c r="DW19" i="8" a="1"/>
  <c r="DW19" i="8"/>
  <c r="DV19" i="8" a="1"/>
  <c r="DV19" i="8" s="1"/>
  <c r="DU19" i="8" a="1"/>
  <c r="DU19" i="8"/>
  <c r="DT19" i="8" a="1"/>
  <c r="DT19" i="8"/>
  <c r="DS19" i="8" a="1"/>
  <c r="DS19" i="8" s="1"/>
  <c r="DR19" i="8" a="1"/>
  <c r="DR19" i="8"/>
  <c r="DQ19" i="8" a="1"/>
  <c r="DQ19" i="8" s="1"/>
  <c r="DP19" i="8" a="1"/>
  <c r="DP19" i="8" s="1"/>
  <c r="DO19" i="8" a="1"/>
  <c r="DO19" i="8"/>
  <c r="DN19" i="8" a="1"/>
  <c r="DN19" i="8"/>
  <c r="DM19" i="8" a="1"/>
  <c r="DM19" i="8"/>
  <c r="DL19" i="8" a="1"/>
  <c r="DL19" i="8" s="1"/>
  <c r="DK19" i="8" a="1"/>
  <c r="DK19" i="8" s="1"/>
  <c r="DJ19" i="8" a="1"/>
  <c r="DJ19" i="8"/>
  <c r="DI19" i="8" a="1"/>
  <c r="DI19" i="8"/>
  <c r="DH19" i="8" a="1"/>
  <c r="DH19" i="8" s="1"/>
  <c r="DG19" i="8" a="1"/>
  <c r="DG19" i="8"/>
  <c r="DF19" i="8" a="1"/>
  <c r="DF19" i="8"/>
  <c r="DE19" i="8" a="1"/>
  <c r="DE19" i="8" s="1"/>
  <c r="DD19" i="8" a="1"/>
  <c r="DD19" i="8"/>
  <c r="DC19" i="8" a="1"/>
  <c r="DC19" i="8"/>
  <c r="DB19" i="8" a="1"/>
  <c r="DB19" i="8"/>
  <c r="DA19" i="8" a="1"/>
  <c r="DA19" i="8"/>
  <c r="CZ19" i="8" a="1"/>
  <c r="CZ19" i="8" s="1"/>
  <c r="CY19" i="8" a="1"/>
  <c r="CY19" i="8"/>
  <c r="CX19" i="8" a="1"/>
  <c r="CX19" i="8" s="1"/>
  <c r="CW19" i="8" a="1"/>
  <c r="CW19" i="8" s="1"/>
  <c r="CV19" i="8" a="1"/>
  <c r="CV19" i="8"/>
  <c r="CU19" i="8" a="1"/>
  <c r="CU19" i="8"/>
  <c r="CT19" i="8" a="1"/>
  <c r="CT19" i="8" s="1"/>
  <c r="CS19" i="8" a="1"/>
  <c r="CS19" i="8"/>
  <c r="CR19" i="8" a="1"/>
  <c r="CR19" i="8" s="1"/>
  <c r="CQ19" i="8" a="1"/>
  <c r="CQ19" i="8"/>
  <c r="CP19" i="8" a="1"/>
  <c r="CP19" i="8" s="1"/>
  <c r="CO19" i="8" a="1"/>
  <c r="CO19" i="8" s="1"/>
  <c r="CN19" i="8" a="1"/>
  <c r="CN19" i="8"/>
  <c r="CM19" i="8" a="1"/>
  <c r="CM19" i="8"/>
  <c r="CL19" i="8" a="1"/>
  <c r="CL19" i="8" s="1"/>
  <c r="CK19" i="8" a="1"/>
  <c r="CK19" i="8" s="1"/>
  <c r="CJ19" i="8" a="1"/>
  <c r="CJ19" i="8"/>
  <c r="CI19" i="8" a="1"/>
  <c r="CI19" i="8" s="1"/>
  <c r="CH19" i="8" a="1"/>
  <c r="CH19" i="8"/>
  <c r="CG19" i="8" a="1"/>
  <c r="CG19" i="8"/>
  <c r="CF19" i="8" a="1"/>
  <c r="CF19" i="8"/>
  <c r="CE19" i="8" a="1"/>
  <c r="CE19" i="8" s="1"/>
  <c r="CD19" i="8" a="1"/>
  <c r="CD19" i="8" s="1"/>
  <c r="CC19" i="8" a="1"/>
  <c r="CC19" i="8" s="1"/>
  <c r="CB19" i="8" a="1"/>
  <c r="CB19" i="8"/>
  <c r="CA19" i="8" a="1"/>
  <c r="CA19" i="8" s="1"/>
  <c r="BZ19" i="8" a="1"/>
  <c r="BZ19" i="8" s="1"/>
  <c r="BY19" i="8" a="1"/>
  <c r="BY19" i="8"/>
  <c r="BX19" i="8" a="1"/>
  <c r="BX19" i="8" s="1"/>
  <c r="BW19" i="8" a="1"/>
  <c r="BW19" i="8"/>
  <c r="BV19" i="8" a="1"/>
  <c r="BV19" i="8" s="1"/>
  <c r="BU19" i="8" a="1"/>
  <c r="BU19" i="8"/>
  <c r="BT19" i="8" a="1"/>
  <c r="BT19" i="8"/>
  <c r="BS19" i="8" a="1"/>
  <c r="BS19" i="8" s="1"/>
  <c r="BR19" i="8" a="1"/>
  <c r="BR19" i="8" s="1"/>
  <c r="BQ19" i="8" a="1"/>
  <c r="BQ19" i="8" s="1"/>
  <c r="BP19" i="8" a="1"/>
  <c r="BP19" i="8" s="1"/>
  <c r="BO19" i="8" a="1"/>
  <c r="BO19" i="8" s="1"/>
  <c r="BN19" i="8" a="1"/>
  <c r="BN19" i="8" s="1"/>
  <c r="BM19" i="8" a="1"/>
  <c r="BM19" i="8" s="1"/>
  <c r="BL19" i="8" a="1"/>
  <c r="BL19" i="8"/>
  <c r="BK19" i="8" a="1"/>
  <c r="BK19" i="8" s="1"/>
  <c r="BJ19" i="8" a="1"/>
  <c r="BJ19" i="8"/>
  <c r="BI19" i="8" a="1"/>
  <c r="BI19" i="8" s="1"/>
  <c r="BH19" i="8" a="1"/>
  <c r="BH19" i="8" s="1"/>
  <c r="BG19" i="8" a="1"/>
  <c r="BG19" i="8" s="1"/>
  <c r="BF19" i="8" a="1"/>
  <c r="BF19" i="8"/>
  <c r="BE19" i="8" a="1"/>
  <c r="BE19" i="8" s="1"/>
  <c r="BD19" i="8" a="1"/>
  <c r="BD19" i="8"/>
  <c r="BC19" i="8" a="1"/>
  <c r="BC19" i="8"/>
  <c r="BB19" i="8" a="1"/>
  <c r="BB19" i="8" s="1"/>
  <c r="BA19" i="8" a="1"/>
  <c r="BA19" i="8"/>
  <c r="AZ19" i="8" a="1"/>
  <c r="AZ19" i="8" s="1"/>
  <c r="AY19" i="8" a="1"/>
  <c r="AY19" i="8"/>
  <c r="AX19" i="8" a="1"/>
  <c r="AX19" i="8"/>
  <c r="AW19" i="8" a="1"/>
  <c r="AW19" i="8" s="1"/>
  <c r="AV19" i="8" a="1"/>
  <c r="AV19" i="8" s="1"/>
  <c r="AU19" i="8" a="1"/>
  <c r="AU19" i="8" s="1"/>
  <c r="AT19" i="8" a="1"/>
  <c r="AT19" i="8" s="1"/>
  <c r="AS19" i="8" a="1"/>
  <c r="AS19" i="8"/>
  <c r="AR19" i="8" a="1"/>
  <c r="AR19" i="8"/>
  <c r="AQ19" i="8" a="1"/>
  <c r="AQ19" i="8" s="1"/>
  <c r="AP19" i="8" a="1"/>
  <c r="AP19" i="8"/>
  <c r="AO19" i="8" a="1"/>
  <c r="AO19" i="8"/>
  <c r="AN19" i="8" a="1"/>
  <c r="AN19" i="8"/>
  <c r="AM19" i="8" a="1"/>
  <c r="AM19" i="8"/>
  <c r="AL19" i="8" a="1"/>
  <c r="AL19" i="8" s="1"/>
  <c r="AK19" i="8" a="1"/>
  <c r="AK19" i="8" s="1"/>
  <c r="AJ19" i="8" a="1"/>
  <c r="AJ19" i="8"/>
  <c r="AI19" i="8" a="1"/>
  <c r="AI19" i="8" s="1"/>
  <c r="AH19" i="8" a="1"/>
  <c r="AH19" i="8"/>
  <c r="AG19" i="8" a="1"/>
  <c r="AG19" i="8"/>
  <c r="AF19" i="8" a="1"/>
  <c r="AF19" i="8" s="1"/>
  <c r="AE19" i="8" a="1"/>
  <c r="AE19" i="8"/>
  <c r="AD19" i="8" a="1"/>
  <c r="AD19" i="8"/>
  <c r="AC19" i="8" a="1"/>
  <c r="AC19" i="8"/>
  <c r="AB19" i="8" a="1"/>
  <c r="AB19" i="8"/>
  <c r="AA19" i="8" a="1"/>
  <c r="AA19" i="8" s="1"/>
  <c r="Z19" i="8" a="1"/>
  <c r="Z19" i="8" s="1"/>
  <c r="Y19" i="8" a="1"/>
  <c r="Y19" i="8"/>
  <c r="X19" i="8" a="1"/>
  <c r="X19" i="8" s="1"/>
  <c r="W19" i="8" a="1"/>
  <c r="W19" i="8"/>
  <c r="V19" i="8" a="1"/>
  <c r="V19" i="8" s="1"/>
  <c r="U19" i="8" a="1"/>
  <c r="U19" i="8" s="1"/>
  <c r="T19" i="8" a="1"/>
  <c r="T19" i="8"/>
  <c r="S19" i="8" a="1"/>
  <c r="S19" i="8" s="1"/>
  <c r="R19" i="8" a="1"/>
  <c r="R19" i="8"/>
  <c r="Q19" i="8" a="1"/>
  <c r="Q19" i="8"/>
  <c r="P19" i="8" a="1"/>
  <c r="P19" i="8" s="1"/>
  <c r="O19" i="8" a="1"/>
  <c r="O19" i="8"/>
  <c r="N19" i="8" a="1"/>
  <c r="N19" i="8" s="1"/>
  <c r="M19" i="8" a="1"/>
  <c r="M19" i="8"/>
  <c r="L19" i="8" a="1"/>
  <c r="L19" i="8"/>
  <c r="K19" i="8" a="1"/>
  <c r="K19" i="8" s="1"/>
  <c r="J19" i="8" a="1"/>
  <c r="J19" i="8" s="1"/>
  <c r="I19" i="8" a="1"/>
  <c r="I19" i="8" s="1"/>
  <c r="H19" i="8" a="1"/>
  <c r="H19" i="8"/>
  <c r="G19" i="8" a="1"/>
  <c r="G19" i="8"/>
  <c r="F19" i="8" a="1"/>
  <c r="F19" i="8"/>
  <c r="E19" i="8" a="1"/>
  <c r="E19" i="8"/>
  <c r="D19" i="8" a="1"/>
  <c r="D19" i="8"/>
  <c r="C19" i="8" a="1"/>
  <c r="C19" i="8" s="1"/>
  <c r="EF18" i="8" a="1"/>
  <c r="EF18" i="8"/>
  <c r="EE18" i="8" a="1"/>
  <c r="EE18" i="8"/>
  <c r="ED18" i="8" a="1"/>
  <c r="ED18" i="8" s="1"/>
  <c r="EC18" i="8" a="1"/>
  <c r="EC18" i="8" s="1"/>
  <c r="EB18" i="8" a="1"/>
  <c r="EB18" i="8" s="1"/>
  <c r="EA18" i="8" a="1"/>
  <c r="EA18" i="8"/>
  <c r="DZ18" i="8" a="1"/>
  <c r="DZ18" i="8"/>
  <c r="DY18" i="8" a="1"/>
  <c r="DY18" i="8" s="1"/>
  <c r="DX18" i="8" a="1"/>
  <c r="DX18" i="8"/>
  <c r="DW18" i="8" a="1"/>
  <c r="DW18" i="8"/>
  <c r="DV18" i="8" a="1"/>
  <c r="DV18" i="8" s="1"/>
  <c r="DU18" i="8" a="1"/>
  <c r="DU18" i="8"/>
  <c r="DT18" i="8" a="1"/>
  <c r="DT18" i="8"/>
  <c r="DS18" i="8" a="1"/>
  <c r="DS18" i="8" s="1"/>
  <c r="DR18" i="8" a="1"/>
  <c r="DR18" i="8" s="1"/>
  <c r="DQ18" i="8" a="1"/>
  <c r="DQ18" i="8" s="1"/>
  <c r="DP18" i="8" a="1"/>
  <c r="DP18" i="8"/>
  <c r="DO18" i="8" a="1"/>
  <c r="DO18" i="8" s="1"/>
  <c r="DN18" i="8" a="1"/>
  <c r="DN18" i="8"/>
  <c r="DM18" i="8" a="1"/>
  <c r="DM18" i="8"/>
  <c r="DL18" i="8" a="1"/>
  <c r="DL18" i="8"/>
  <c r="DK18" i="8" a="1"/>
  <c r="DK18" i="8" s="1"/>
  <c r="DJ18" i="8" a="1"/>
  <c r="DJ18" i="8" s="1"/>
  <c r="DI18" i="8" a="1"/>
  <c r="DI18" i="8" s="1"/>
  <c r="DH18" i="8" a="1"/>
  <c r="DH18" i="8"/>
  <c r="DG18" i="8" a="1"/>
  <c r="DG18" i="8" s="1"/>
  <c r="DF18" i="8" a="1"/>
  <c r="DF18" i="8" s="1"/>
  <c r="DE18" i="8" a="1"/>
  <c r="DE18" i="8"/>
  <c r="DD18" i="8" a="1"/>
  <c r="DD18" i="8" s="1"/>
  <c r="DC18" i="8" a="1"/>
  <c r="DC18" i="8" s="1"/>
  <c r="DB18" i="8" a="1"/>
  <c r="DB18" i="8"/>
  <c r="DA18" i="8" a="1"/>
  <c r="DA18" i="8"/>
  <c r="CZ18" i="8" a="1"/>
  <c r="CZ18" i="8" s="1"/>
  <c r="CY18" i="8" a="1"/>
  <c r="CY18" i="8"/>
  <c r="CX18" i="8" a="1"/>
  <c r="CX18" i="8" s="1"/>
  <c r="CW18" i="8" a="1"/>
  <c r="CW18" i="8" s="1"/>
  <c r="CV18" i="8" a="1"/>
  <c r="CV18" i="8" s="1"/>
  <c r="CU18" i="8" a="1"/>
  <c r="CU18" i="8" s="1"/>
  <c r="CT18" i="8" a="1"/>
  <c r="CT18" i="8"/>
  <c r="CS18" i="8" a="1"/>
  <c r="CS18" i="8" s="1"/>
  <c r="CR18" i="8" a="1"/>
  <c r="CR18" i="8"/>
  <c r="CQ18" i="8" a="1"/>
  <c r="CQ18" i="8" s="1"/>
  <c r="CP18" i="8" a="1"/>
  <c r="CP18" i="8"/>
  <c r="CO18" i="8" a="1"/>
  <c r="CO18" i="8" s="1"/>
  <c r="CN18" i="8" a="1"/>
  <c r="CN18" i="8"/>
  <c r="CM18" i="8" a="1"/>
  <c r="CM18" i="8" s="1"/>
  <c r="CL18" i="8" a="1"/>
  <c r="CL18" i="8"/>
  <c r="CK18" i="8" a="1"/>
  <c r="CK18" i="8" s="1"/>
  <c r="CJ18" i="8" a="1"/>
  <c r="CJ18" i="8" s="1"/>
  <c r="CI18" i="8" a="1"/>
  <c r="CI18" i="8"/>
  <c r="CH18" i="8" a="1"/>
  <c r="CH18" i="8"/>
  <c r="CG18" i="8" a="1"/>
  <c r="CG18" i="8"/>
  <c r="CF18" i="8" a="1"/>
  <c r="CF18" i="8"/>
  <c r="CE18" i="8" a="1"/>
  <c r="CE18" i="8"/>
  <c r="CD18" i="8" a="1"/>
  <c r="CD18" i="8" s="1"/>
  <c r="CC18" i="8" a="1"/>
  <c r="CC18" i="8" s="1"/>
  <c r="CB18" i="8" a="1"/>
  <c r="CB18" i="8" s="1"/>
  <c r="CA18" i="8" a="1"/>
  <c r="CA18" i="8"/>
  <c r="BZ18" i="8" a="1"/>
  <c r="BZ18" i="8" s="1"/>
  <c r="BY18" i="8" a="1"/>
  <c r="BY18" i="8" s="1"/>
  <c r="BX18" i="8" a="1"/>
  <c r="BX18" i="8"/>
  <c r="BW18" i="8" a="1"/>
  <c r="BW18" i="8"/>
  <c r="BV18" i="8" a="1"/>
  <c r="BV18" i="8"/>
  <c r="BU18" i="8" a="1"/>
  <c r="BU18" i="8"/>
  <c r="BT18" i="8" a="1"/>
  <c r="BT18" i="8"/>
  <c r="BS18" i="8" a="1"/>
  <c r="BS18" i="8" s="1"/>
  <c r="BR18" i="8" a="1"/>
  <c r="BR18" i="8"/>
  <c r="BQ18" i="8" a="1"/>
  <c r="BQ18" i="8" s="1"/>
  <c r="BP18" i="8" a="1"/>
  <c r="BP18" i="8"/>
  <c r="BO18" i="8" a="1"/>
  <c r="BO18" i="8" s="1"/>
  <c r="BN18" i="8" a="1"/>
  <c r="BN18" i="8" s="1"/>
  <c r="BM18" i="8" a="1"/>
  <c r="BM18" i="8"/>
  <c r="BL18" i="8" a="1"/>
  <c r="BL18" i="8"/>
  <c r="BK18" i="8" a="1"/>
  <c r="BK18" i="8"/>
  <c r="BJ18" i="8" a="1"/>
  <c r="BJ18" i="8" s="1"/>
  <c r="BI18" i="8" a="1"/>
  <c r="BI18" i="8"/>
  <c r="BH18" i="8" a="1"/>
  <c r="BH18" i="8" s="1"/>
  <c r="BG18" i="8" a="1"/>
  <c r="BG18" i="8" s="1"/>
  <c r="BF18" i="8" a="1"/>
  <c r="BF18" i="8" s="1"/>
  <c r="BE18" i="8" a="1"/>
  <c r="BE18" i="8"/>
  <c r="BD18" i="8" a="1"/>
  <c r="BD18" i="8" s="1"/>
  <c r="BC18" i="8" a="1"/>
  <c r="BC18" i="8"/>
  <c r="BB18" i="8" a="1"/>
  <c r="BB18" i="8"/>
  <c r="BA18" i="8" a="1"/>
  <c r="BA18" i="8" s="1"/>
  <c r="AZ18" i="8" a="1"/>
  <c r="AZ18" i="8" s="1"/>
  <c r="AY18" i="8" a="1"/>
  <c r="AY18" i="8" s="1"/>
  <c r="AX18" i="8" a="1"/>
  <c r="AX18" i="8"/>
  <c r="AW18" i="8" a="1"/>
  <c r="AW18" i="8" s="1"/>
  <c r="AV18" i="8" a="1"/>
  <c r="AV18" i="8"/>
  <c r="AU18" i="8" a="1"/>
  <c r="AU18" i="8" s="1"/>
  <c r="AT18" i="8" a="1"/>
  <c r="AT18" i="8" s="1"/>
  <c r="AS18" i="8" a="1"/>
  <c r="AS18" i="8" s="1"/>
  <c r="AR18" i="8" a="1"/>
  <c r="AR18" i="8"/>
  <c r="AQ18" i="8" a="1"/>
  <c r="AQ18" i="8"/>
  <c r="AP18" i="8" a="1"/>
  <c r="AP18" i="8"/>
  <c r="AO18" i="8" a="1"/>
  <c r="AO18" i="8" s="1"/>
  <c r="AN18" i="8" a="1"/>
  <c r="AN18" i="8"/>
  <c r="AM18" i="8" a="1"/>
  <c r="AM18" i="8"/>
  <c r="AL18" i="8" a="1"/>
  <c r="AL18" i="8" s="1"/>
  <c r="AK18" i="8" a="1"/>
  <c r="AK18" i="8" s="1"/>
  <c r="AJ18" i="8" a="1"/>
  <c r="AJ18" i="8"/>
  <c r="AI18" i="8" a="1"/>
  <c r="AI18" i="8" s="1"/>
  <c r="AH18" i="8" a="1"/>
  <c r="AH18" i="8" s="1"/>
  <c r="AG18" i="8" a="1"/>
  <c r="AG18" i="8"/>
  <c r="AF18" i="8" a="1"/>
  <c r="AF18" i="8"/>
  <c r="AE18" i="8" a="1"/>
  <c r="AE18" i="8" s="1"/>
  <c r="AD18" i="8" a="1"/>
  <c r="AD18" i="8" s="1"/>
  <c r="AC18" i="8" a="1"/>
  <c r="AC18" i="8" s="1"/>
  <c r="AB18" i="8" a="1"/>
  <c r="AB18" i="8"/>
  <c r="AA18" i="8" a="1"/>
  <c r="AA18" i="8" s="1"/>
  <c r="Z18" i="8" a="1"/>
  <c r="Z18" i="8"/>
  <c r="Y18" i="8" a="1"/>
  <c r="Y18" i="8" s="1"/>
  <c r="X18" i="8" a="1"/>
  <c r="X18" i="8" s="1"/>
  <c r="W18" i="8" a="1"/>
  <c r="W18" i="8" s="1"/>
  <c r="V18" i="8" a="1"/>
  <c r="V18" i="8"/>
  <c r="U18" i="8" a="1"/>
  <c r="U18" i="8"/>
  <c r="T18" i="8" a="1"/>
  <c r="T18" i="8"/>
  <c r="S18" i="8" a="1"/>
  <c r="S18" i="8" s="1"/>
  <c r="R18" i="8" a="1"/>
  <c r="R18" i="8" s="1"/>
  <c r="Q18" i="8" a="1"/>
  <c r="Q18" i="8"/>
  <c r="P18" i="8" a="1"/>
  <c r="P18" i="8" s="1"/>
  <c r="O18" i="8" a="1"/>
  <c r="O18" i="8" s="1"/>
  <c r="N18" i="8" a="1"/>
  <c r="N18" i="8"/>
  <c r="M18" i="8" a="1"/>
  <c r="M18" i="8" s="1"/>
  <c r="L18" i="8" a="1"/>
  <c r="L18" i="8" s="1"/>
  <c r="K18" i="8" a="1"/>
  <c r="K18" i="8"/>
  <c r="J18" i="8" a="1"/>
  <c r="J18" i="8"/>
  <c r="I18" i="8" a="1"/>
  <c r="I18" i="8" s="1"/>
  <c r="H18" i="8" a="1"/>
  <c r="H18" i="8"/>
  <c r="G18" i="8" a="1"/>
  <c r="G18" i="8" s="1"/>
  <c r="F18" i="8" a="1"/>
  <c r="F18" i="8"/>
  <c r="E18" i="8" a="1"/>
  <c r="E18" i="8" s="1"/>
  <c r="D18" i="8" a="1"/>
  <c r="D18" i="8"/>
  <c r="C18" i="8" a="1"/>
  <c r="C18" i="8" s="1"/>
  <c r="EF17" i="8" a="1"/>
  <c r="EF17" i="8" s="1"/>
  <c r="EE17" i="8" a="1"/>
  <c r="EE17" i="8" s="1"/>
  <c r="ED17" i="8" a="1"/>
  <c r="ED17" i="8" s="1"/>
  <c r="EC17" i="8" a="1"/>
  <c r="EC17" i="8"/>
  <c r="EB17" i="8" a="1"/>
  <c r="EB17" i="8" s="1"/>
  <c r="EA17" i="8" a="1"/>
  <c r="EA17" i="8" s="1"/>
  <c r="DZ17" i="8" a="1"/>
  <c r="DZ17" i="8" s="1"/>
  <c r="DY17" i="8" a="1"/>
  <c r="DY17" i="8"/>
  <c r="DX17" i="8" a="1"/>
  <c r="DX17" i="8" s="1"/>
  <c r="DW17" i="8" a="1"/>
  <c r="DW17" i="8" s="1"/>
  <c r="DV17" i="8" a="1"/>
  <c r="DV17" i="8" s="1"/>
  <c r="DU17" i="8" a="1"/>
  <c r="DU17" i="8" s="1"/>
  <c r="DT17" i="8" a="1"/>
  <c r="DT17" i="8" s="1"/>
  <c r="DS17" i="8" a="1"/>
  <c r="DS17" i="8" s="1"/>
  <c r="DR17" i="8" a="1"/>
  <c r="DR17" i="8"/>
  <c r="DQ17" i="8" a="1"/>
  <c r="DQ17" i="8"/>
  <c r="DP17" i="8" a="1"/>
  <c r="DP17" i="8"/>
  <c r="DO17" i="8" a="1"/>
  <c r="DO17" i="8"/>
  <c r="DN17" i="8" a="1"/>
  <c r="DN17" i="8"/>
  <c r="DM17" i="8" a="1"/>
  <c r="DM17" i="8" s="1"/>
  <c r="DL17" i="8" a="1"/>
  <c r="DL17" i="8" s="1"/>
  <c r="DK17" i="8" a="1"/>
  <c r="DK17" i="8"/>
  <c r="DJ17" i="8" a="1"/>
  <c r="DJ17" i="8"/>
  <c r="DI17" i="8" a="1"/>
  <c r="DI17" i="8" s="1"/>
  <c r="DH17" i="8" a="1"/>
  <c r="DH17" i="8" s="1"/>
  <c r="DG17" i="8" a="1"/>
  <c r="DG17" i="8"/>
  <c r="DF17" i="8" a="1"/>
  <c r="DF17" i="8" s="1"/>
  <c r="DE17" i="8" a="1"/>
  <c r="DE17" i="8" s="1"/>
  <c r="DD17" i="8" a="1"/>
  <c r="DD17" i="8" s="1"/>
  <c r="DC17" i="8" a="1"/>
  <c r="DC17" i="8"/>
  <c r="DB17" i="8" a="1"/>
  <c r="DB17" i="8"/>
  <c r="DA17" i="8" a="1"/>
  <c r="DA17" i="8"/>
  <c r="CZ17" i="8" a="1"/>
  <c r="CZ17" i="8" s="1"/>
  <c r="CY17" i="8" a="1"/>
  <c r="CY17" i="8"/>
  <c r="CX17" i="8" a="1"/>
  <c r="CX17" i="8" s="1"/>
  <c r="CW17" i="8" a="1"/>
  <c r="CW17" i="8" s="1"/>
  <c r="CV17" i="8" a="1"/>
  <c r="CV17" i="8"/>
  <c r="CU17" i="8" a="1"/>
  <c r="CU17" i="8"/>
  <c r="CT17" i="8" a="1"/>
  <c r="CT17" i="8"/>
  <c r="CS17" i="8" a="1"/>
  <c r="CS17" i="8" s="1"/>
  <c r="CR17" i="8" a="1"/>
  <c r="CR17" i="8"/>
  <c r="CQ17" i="8" a="1"/>
  <c r="CQ17" i="8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/>
  <c r="CJ17" i="8" a="1"/>
  <c r="CJ17" i="8"/>
  <c r="CI17" i="8" a="1"/>
  <c r="CI17" i="8" s="1"/>
  <c r="CH17" i="8" a="1"/>
  <c r="CH17" i="8" s="1"/>
  <c r="CG17" i="8" a="1"/>
  <c r="CG17" i="8"/>
  <c r="CF17" i="8" a="1"/>
  <c r="CF17" i="8"/>
  <c r="CE17" i="8" a="1"/>
  <c r="CE17" i="8" s="1"/>
  <c r="CD17" i="8" a="1"/>
  <c r="CD17" i="8" s="1"/>
  <c r="CC17" i="8" a="1"/>
  <c r="CC17" i="8" s="1"/>
  <c r="CB17" i="8" a="1"/>
  <c r="CB17" i="8" s="1"/>
  <c r="CA17" i="8" a="1"/>
  <c r="CA17" i="8"/>
  <c r="BZ17" i="8" a="1"/>
  <c r="BZ17" i="8"/>
  <c r="BY17" i="8" a="1"/>
  <c r="BY17" i="8" s="1"/>
  <c r="BX17" i="8" a="1"/>
  <c r="BX17" i="8"/>
  <c r="BW17" i="8" a="1"/>
  <c r="BW17" i="8"/>
  <c r="BV17" i="8" a="1"/>
  <c r="BV17" i="8"/>
  <c r="BU17" i="8" a="1"/>
  <c r="BU17" i="8"/>
  <c r="BT17" i="8" a="1"/>
  <c r="BT17" i="8"/>
  <c r="BS17" i="8" a="1"/>
  <c r="BS17" i="8"/>
  <c r="BR17" i="8" a="1"/>
  <c r="BR17" i="8" s="1"/>
  <c r="BQ17" i="8" a="1"/>
  <c r="BQ17" i="8" s="1"/>
  <c r="BP17" i="8" a="1"/>
  <c r="BP17" i="8"/>
  <c r="BO17" i="8" a="1"/>
  <c r="BO17" i="8"/>
  <c r="BN17" i="8" a="1"/>
  <c r="BN17" i="8"/>
  <c r="BM17" i="8" a="1"/>
  <c r="BM17" i="8"/>
  <c r="BL17" i="8" a="1"/>
  <c r="BL17" i="8" s="1"/>
  <c r="BK17" i="8" a="1"/>
  <c r="BK17" i="8"/>
  <c r="BJ17" i="8" a="1"/>
  <c r="BJ17" i="8"/>
  <c r="BI17" i="8" a="1"/>
  <c r="BI17" i="8"/>
  <c r="BH17" i="8" a="1"/>
  <c r="BH17" i="8" s="1"/>
  <c r="BG17" i="8" a="1"/>
  <c r="BG17" i="8" s="1"/>
  <c r="BF17" i="8" a="1"/>
  <c r="BF17" i="8" s="1"/>
  <c r="BE17" i="8" a="1"/>
  <c r="BE17" i="8"/>
  <c r="BD17" i="8" a="1"/>
  <c r="BD17" i="8"/>
  <c r="BC17" i="8" a="1"/>
  <c r="BC17" i="8" s="1"/>
  <c r="BB17" i="8" a="1"/>
  <c r="BB17" i="8" s="1"/>
  <c r="BA17" i="8" a="1"/>
  <c r="BA17" i="8"/>
  <c r="AZ17" i="8" a="1"/>
  <c r="AZ17" i="8"/>
  <c r="AY17" i="8" a="1"/>
  <c r="AY17" i="8"/>
  <c r="AX17" i="8" a="1"/>
  <c r="AX17" i="8"/>
  <c r="AW17" i="8" a="1"/>
  <c r="AW17" i="8"/>
  <c r="AV17" i="8" a="1"/>
  <c r="AV17" i="8"/>
  <c r="AU17" i="8" a="1"/>
  <c r="AU17" i="8" s="1"/>
  <c r="AT17" i="8" a="1"/>
  <c r="AT17" i="8"/>
  <c r="AS17" i="8" a="1"/>
  <c r="AS17" i="8"/>
  <c r="AR17" i="8" a="1"/>
  <c r="AR17" i="8"/>
  <c r="AQ17" i="8" a="1"/>
  <c r="AQ17" i="8"/>
  <c r="AP17" i="8" a="1"/>
  <c r="AP17" i="8"/>
  <c r="AO17" i="8" a="1"/>
  <c r="AO17" i="8"/>
  <c r="AN17" i="8" a="1"/>
  <c r="AN17" i="8"/>
  <c r="AM17" i="8" a="1"/>
  <c r="AM17" i="8" s="1"/>
  <c r="AL17" i="8" a="1"/>
  <c r="AL17" i="8"/>
  <c r="AK17" i="8" a="1"/>
  <c r="AK17" i="8" s="1"/>
  <c r="AJ17" i="8" a="1"/>
  <c r="AJ17" i="8" s="1"/>
  <c r="AI17" i="8" a="1"/>
  <c r="AI17" i="8"/>
  <c r="AH17" i="8" a="1"/>
  <c r="AH17" i="8"/>
  <c r="AG17" i="8" a="1"/>
  <c r="AG17" i="8" s="1"/>
  <c r="AF17" i="8" a="1"/>
  <c r="AF17" i="8" s="1"/>
  <c r="AE17" i="8" a="1"/>
  <c r="AE17" i="8" s="1"/>
  <c r="AD17" i="8" a="1"/>
  <c r="AD17" i="8"/>
  <c r="AC17" i="8" a="1"/>
  <c r="AC17" i="8"/>
  <c r="AB17" i="8" a="1"/>
  <c r="AB17" i="8" s="1"/>
  <c r="AA17" i="8" a="1"/>
  <c r="AA17" i="8"/>
  <c r="Z17" i="8" a="1"/>
  <c r="Z17" i="8"/>
  <c r="Y17" i="8" a="1"/>
  <c r="Y17" i="8" s="1"/>
  <c r="X17" i="8" a="1"/>
  <c r="X17" i="8"/>
  <c r="W17" i="8" a="1"/>
  <c r="W17" i="8"/>
  <c r="V17" i="8" a="1"/>
  <c r="V17" i="8" s="1"/>
  <c r="U17" i="8" a="1"/>
  <c r="U17" i="8"/>
  <c r="T17" i="8" a="1"/>
  <c r="T17" i="8"/>
  <c r="S17" i="8" a="1"/>
  <c r="S17" i="8"/>
  <c r="R17" i="8" a="1"/>
  <c r="R17" i="8"/>
  <c r="Q17" i="8" a="1"/>
  <c r="Q17" i="8"/>
  <c r="P17" i="8" a="1"/>
  <c r="P17" i="8" s="1"/>
  <c r="O17" i="8" a="1"/>
  <c r="O17" i="8"/>
  <c r="N17" i="8" a="1"/>
  <c r="N17" i="8" s="1"/>
  <c r="M17" i="8" a="1"/>
  <c r="M17" i="8"/>
  <c r="L17" i="8" a="1"/>
  <c r="L17" i="8"/>
  <c r="K17" i="8" a="1"/>
  <c r="K17" i="8" s="1"/>
  <c r="J17" i="8" a="1"/>
  <c r="J17" i="8" s="1"/>
  <c r="I17" i="8" a="1"/>
  <c r="I17" i="8"/>
  <c r="H17" i="8" a="1"/>
  <c r="H17" i="8"/>
  <c r="G17" i="8" a="1"/>
  <c r="G17" i="8"/>
  <c r="F17" i="8" a="1"/>
  <c r="F17" i="8" s="1"/>
  <c r="E17" i="8" a="1"/>
  <c r="E17" i="8" s="1"/>
  <c r="D17" i="8" a="1"/>
  <c r="D17" i="8"/>
  <c r="C17" i="8" a="1"/>
  <c r="C17" i="8" s="1"/>
  <c r="EF16" i="8" a="1"/>
  <c r="EF16" i="8" s="1"/>
  <c r="EE16" i="8" a="1"/>
  <c r="EE16" i="8"/>
  <c r="ED16" i="8" a="1"/>
  <c r="ED16" i="8" s="1"/>
  <c r="EC16" i="8" a="1"/>
  <c r="EC16" i="8" s="1"/>
  <c r="EB16" i="8" a="1"/>
  <c r="EB16" i="8" s="1"/>
  <c r="EA16" i="8" a="1"/>
  <c r="EA16" i="8"/>
  <c r="DZ16" i="8" a="1"/>
  <c r="DZ16" i="8"/>
  <c r="DY16" i="8" a="1"/>
  <c r="DY16" i="8"/>
  <c r="DX16" i="8" a="1"/>
  <c r="DX16" i="8" s="1"/>
  <c r="DW16" i="8" a="1"/>
  <c r="DW16" i="8" s="1"/>
  <c r="DV16" i="8" a="1"/>
  <c r="DV16" i="8" s="1"/>
  <c r="DU16" i="8" a="1"/>
  <c r="DU16" i="8" s="1"/>
  <c r="DT16" i="8" a="1"/>
  <c r="DT16" i="8"/>
  <c r="DS16" i="8" a="1"/>
  <c r="DS16" i="8"/>
  <c r="DR16" i="8" a="1"/>
  <c r="DR16" i="8"/>
  <c r="DQ16" i="8" a="1"/>
  <c r="DQ16" i="8" s="1"/>
  <c r="DP16" i="8" a="1"/>
  <c r="DP16" i="8"/>
  <c r="DO16" i="8" a="1"/>
  <c r="DO16" i="8"/>
  <c r="DN16" i="8" a="1"/>
  <c r="DN16" i="8" s="1"/>
  <c r="DM16" i="8" a="1"/>
  <c r="DM16" i="8"/>
  <c r="DL16" i="8" a="1"/>
  <c r="DL16" i="8"/>
  <c r="DK16" i="8" a="1"/>
  <c r="DK16" i="8" s="1"/>
  <c r="DJ16" i="8" a="1"/>
  <c r="DJ16" i="8" s="1"/>
  <c r="DI16" i="8" a="1"/>
  <c r="DI16" i="8"/>
  <c r="DH16" i="8" a="1"/>
  <c r="DH16" i="8"/>
  <c r="DG16" i="8" a="1"/>
  <c r="DG16" i="8"/>
  <c r="DF16" i="8" a="1"/>
  <c r="DF16" i="8" s="1"/>
  <c r="DE16" i="8" a="1"/>
  <c r="DE16" i="8"/>
  <c r="DD16" i="8" a="1"/>
  <c r="DD16" i="8"/>
  <c r="DC16" i="8" a="1"/>
  <c r="DC16" i="8"/>
  <c r="DB16" i="8" a="1"/>
  <c r="DB16" i="8" s="1"/>
  <c r="DA16" i="8" a="1"/>
  <c r="DA16" i="8" s="1"/>
  <c r="CZ16" i="8" a="1"/>
  <c r="CZ16" i="8" s="1"/>
  <c r="CY16" i="8" a="1"/>
  <c r="CY16" i="8" s="1"/>
  <c r="CX16" i="8" a="1"/>
  <c r="CX16" i="8"/>
  <c r="CW16" i="8" a="1"/>
  <c r="CW16" i="8"/>
  <c r="CV16" i="8" a="1"/>
  <c r="CV16" i="8"/>
  <c r="CU16" i="8" a="1"/>
  <c r="CU16" i="8"/>
  <c r="CT16" i="8" a="1"/>
  <c r="CT16" i="8"/>
  <c r="CS16" i="8" a="1"/>
  <c r="CS16" i="8"/>
  <c r="CR16" i="8" a="1"/>
  <c r="CR16" i="8" s="1"/>
  <c r="CQ16" i="8" a="1"/>
  <c r="CQ16" i="8"/>
  <c r="CP16" i="8" a="1"/>
  <c r="CP16" i="8" s="1"/>
  <c r="CO16" i="8" a="1"/>
  <c r="CO16" i="8" s="1"/>
  <c r="CN16" i="8" a="1"/>
  <c r="CN16" i="8" s="1"/>
  <c r="CM16" i="8" a="1"/>
  <c r="CM16" i="8"/>
  <c r="CL16" i="8" a="1"/>
  <c r="CL16" i="8" s="1"/>
  <c r="CK16" i="8" a="1"/>
  <c r="CK16" i="8"/>
  <c r="CJ16" i="8" a="1"/>
  <c r="CJ16" i="8"/>
  <c r="CI16" i="8" a="1"/>
  <c r="CI16" i="8"/>
  <c r="CH16" i="8" a="1"/>
  <c r="CH16" i="8"/>
  <c r="CG16" i="8" a="1"/>
  <c r="CG16" i="8" s="1"/>
  <c r="CF16" i="8" a="1"/>
  <c r="CF16" i="8" s="1"/>
  <c r="CE16" i="8" a="1"/>
  <c r="CE16" i="8"/>
  <c r="CD16" i="8" a="1"/>
  <c r="CD16" i="8" s="1"/>
  <c r="CC16" i="8" a="1"/>
  <c r="CC16" i="8" s="1"/>
  <c r="CB16" i="8" a="1"/>
  <c r="CB16" i="8"/>
  <c r="CA16" i="8" a="1"/>
  <c r="CA16" i="8" s="1"/>
  <c r="BZ16" i="8" a="1"/>
  <c r="BZ16" i="8" s="1"/>
  <c r="BY16" i="8" a="1"/>
  <c r="BY16" i="8"/>
  <c r="BX16" i="8" a="1"/>
  <c r="BX16" i="8"/>
  <c r="BW16" i="8" a="1"/>
  <c r="BW16" i="8"/>
  <c r="BV16" i="8" a="1"/>
  <c r="BV16" i="8" s="1"/>
  <c r="BU16" i="8" a="1"/>
  <c r="BU16" i="8" s="1"/>
  <c r="BT16" i="8" a="1"/>
  <c r="BT16" i="8" s="1"/>
  <c r="BS16" i="8" a="1"/>
  <c r="BS16" i="8" s="1"/>
  <c r="BR16" i="8" a="1"/>
  <c r="BR16" i="8" s="1"/>
  <c r="BQ16" i="8" a="1"/>
  <c r="BQ16" i="8"/>
  <c r="BP16" i="8" a="1"/>
  <c r="BP16" i="8" s="1"/>
  <c r="BO16" i="8" a="1"/>
  <c r="BO16" i="8" s="1"/>
  <c r="BN16" i="8" a="1"/>
  <c r="BN16" i="8" s="1"/>
  <c r="BM16" i="8" a="1"/>
  <c r="BM16" i="8"/>
  <c r="BL16" i="8" a="1"/>
  <c r="BL16" i="8"/>
  <c r="BK16" i="8" a="1"/>
  <c r="BK16" i="8"/>
  <c r="BJ16" i="8" a="1"/>
  <c r="BJ16" i="8" s="1"/>
  <c r="BI16" i="8" a="1"/>
  <c r="BI16" i="8" s="1"/>
  <c r="BH16" i="8" a="1"/>
  <c r="BH16" i="8" s="1"/>
  <c r="BG16" i="8" a="1"/>
  <c r="BG16" i="8" s="1"/>
  <c r="BF16" i="8" a="1"/>
  <c r="BF16" i="8"/>
  <c r="BE16" i="8" a="1"/>
  <c r="BE16" i="8" s="1"/>
  <c r="BD16" i="8" a="1"/>
  <c r="BD16" i="8"/>
  <c r="BC16" i="8" a="1"/>
  <c r="BC16" i="8" s="1"/>
  <c r="BB16" i="8" a="1"/>
  <c r="BB16" i="8"/>
  <c r="BA16" i="8" a="1"/>
  <c r="BA16" i="8"/>
  <c r="AZ16" i="8" a="1"/>
  <c r="AZ16" i="8"/>
  <c r="AY16" i="8" a="1"/>
  <c r="AY16" i="8"/>
  <c r="AX16" i="8" a="1"/>
  <c r="AX16" i="8"/>
  <c r="AW16" i="8" a="1"/>
  <c r="AW16" i="8" s="1"/>
  <c r="AV16" i="8" a="1"/>
  <c r="AV16" i="8" s="1"/>
  <c r="AU16" i="8" a="1"/>
  <c r="AU16" i="8"/>
  <c r="AT16" i="8" a="1"/>
  <c r="AT16" i="8" s="1"/>
  <c r="AS16" i="8" a="1"/>
  <c r="AS16" i="8" s="1"/>
  <c r="AR16" i="8" a="1"/>
  <c r="AR16" i="8"/>
  <c r="AQ16" i="8" a="1"/>
  <c r="AQ16" i="8"/>
  <c r="AP16" i="8" a="1"/>
  <c r="AP16" i="8"/>
  <c r="AO16" i="8" a="1"/>
  <c r="AO16" i="8"/>
  <c r="AN16" i="8" a="1"/>
  <c r="AN16" i="8"/>
  <c r="AM16" i="8" a="1"/>
  <c r="AM16" i="8"/>
  <c r="AL16" i="8" a="1"/>
  <c r="AL16" i="8" s="1"/>
  <c r="AK16" i="8" a="1"/>
  <c r="AK16" i="8" s="1"/>
  <c r="AJ16" i="8" a="1"/>
  <c r="AJ16" i="8"/>
  <c r="AI16" i="8" a="1"/>
  <c r="AI16" i="8" s="1"/>
  <c r="AH16" i="8" a="1"/>
  <c r="AH16" i="8" s="1"/>
  <c r="AG16" i="8" a="1"/>
  <c r="AG16" i="8" s="1"/>
  <c r="AF16" i="8" a="1"/>
  <c r="AF16" i="8"/>
  <c r="AE16" i="8" a="1"/>
  <c r="AE16" i="8"/>
  <c r="AD16" i="8" a="1"/>
  <c r="AD16" i="8" s="1"/>
  <c r="AC16" i="8" a="1"/>
  <c r="AC16" i="8"/>
  <c r="AB16" i="8" a="1"/>
  <c r="AB16" i="8"/>
  <c r="AA16" i="8" a="1"/>
  <c r="AA16" i="8" s="1"/>
  <c r="Z16" i="8" a="1"/>
  <c r="Z16" i="8" s="1"/>
  <c r="Y16" i="8" a="1"/>
  <c r="Y16" i="8"/>
  <c r="X16" i="8" a="1"/>
  <c r="X16" i="8" s="1"/>
  <c r="W16" i="8" a="1"/>
  <c r="W16" i="8" s="1"/>
  <c r="V16" i="8" a="1"/>
  <c r="V16" i="8" s="1"/>
  <c r="U16" i="8" a="1"/>
  <c r="U16" i="8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/>
  <c r="M16" i="8" a="1"/>
  <c r="M16" i="8" s="1"/>
  <c r="L16" i="8" a="1"/>
  <c r="L16" i="8" s="1"/>
  <c r="K16" i="8" a="1"/>
  <c r="K16" i="8" s="1"/>
  <c r="J16" i="8" a="1"/>
  <c r="J16" i="8"/>
  <c r="I16" i="8" a="1"/>
  <c r="I16" i="8" s="1"/>
  <c r="H16" i="8" a="1"/>
  <c r="H16" i="8" s="1"/>
  <c r="G16" i="8" a="1"/>
  <c r="G16" i="8"/>
  <c r="F16" i="8" a="1"/>
  <c r="F16" i="8" s="1"/>
  <c r="E16" i="8" a="1"/>
  <c r="E16" i="8" s="1"/>
  <c r="D16" i="8" a="1"/>
  <c r="D16" i="8" s="1"/>
  <c r="C16" i="8" a="1"/>
  <c r="C16" i="8"/>
  <c r="EF15" i="8" a="1"/>
  <c r="EF15" i="8"/>
  <c r="EE15" i="8" a="1"/>
  <c r="EE15" i="8"/>
  <c r="ED15" i="8" a="1"/>
  <c r="ED15" i="8"/>
  <c r="EC15" i="8" a="1"/>
  <c r="EC15" i="8"/>
  <c r="EB15" i="8" a="1"/>
  <c r="EB15" i="8" s="1"/>
  <c r="EA15" i="8" a="1"/>
  <c r="EA15" i="8"/>
  <c r="DZ15" i="8" a="1"/>
  <c r="DZ15" i="8"/>
  <c r="DY15" i="8" a="1"/>
  <c r="DY15" i="8"/>
  <c r="DX15" i="8" a="1"/>
  <c r="DX15" i="8" s="1"/>
  <c r="DW15" i="8" a="1"/>
  <c r="DW15" i="8" s="1"/>
  <c r="DV15" i="8" a="1"/>
  <c r="DV15" i="8"/>
  <c r="DU15" i="8" a="1"/>
  <c r="DU15" i="8" s="1"/>
  <c r="DT15" i="8" a="1"/>
  <c r="DT15" i="8"/>
  <c r="DS15" i="8" a="1"/>
  <c r="DS15" i="8" s="1"/>
  <c r="DR15" i="8" a="1"/>
  <c r="DR15" i="8"/>
  <c r="DQ15" i="8" a="1"/>
  <c r="DQ15" i="8" s="1"/>
  <c r="DP15" i="8" a="1"/>
  <c r="DP15" i="8"/>
  <c r="DO15" i="8" a="1"/>
  <c r="DO15" i="8" s="1"/>
  <c r="DN15" i="8" a="1"/>
  <c r="DN15" i="8" s="1"/>
  <c r="DM15" i="8" a="1"/>
  <c r="DM15" i="8" s="1"/>
  <c r="DL15" i="8" a="1"/>
  <c r="DL15" i="8" s="1"/>
  <c r="DK15" i="8" a="1"/>
  <c r="DK15" i="8"/>
  <c r="DJ15" i="8" a="1"/>
  <c r="DJ15" i="8"/>
  <c r="DI15" i="8" a="1"/>
  <c r="DI15" i="8" s="1"/>
  <c r="DH15" i="8" a="1"/>
  <c r="DH15" i="8"/>
  <c r="DG15" i="8" a="1"/>
  <c r="DG15" i="8"/>
  <c r="DF15" i="8" a="1"/>
  <c r="DF15" i="8" s="1"/>
  <c r="DE15" i="8" a="1"/>
  <c r="DE15" i="8" s="1"/>
  <c r="DD15" i="8" a="1"/>
  <c r="DD15" i="8" s="1"/>
  <c r="DC15" i="8" a="1"/>
  <c r="DC15" i="8" s="1"/>
  <c r="DB15" i="8" a="1"/>
  <c r="DB15" i="8" s="1"/>
  <c r="DA15" i="8" a="1"/>
  <c r="DA15" i="8" s="1"/>
  <c r="CZ15" i="8" a="1"/>
  <c r="CZ15" i="8"/>
  <c r="CY15" i="8" a="1"/>
  <c r="CY15" i="8"/>
  <c r="CX15" i="8" a="1"/>
  <c r="CX15" i="8" s="1"/>
  <c r="CW15" i="8" a="1"/>
  <c r="CW15" i="8" s="1"/>
  <c r="CV15" i="8" a="1"/>
  <c r="CV15" i="8"/>
  <c r="CU15" i="8" a="1"/>
  <c r="CU15" i="8" s="1"/>
  <c r="CT15" i="8" a="1"/>
  <c r="CT15" i="8"/>
  <c r="CS15" i="8" a="1"/>
  <c r="CS15" i="8"/>
  <c r="CR15" i="8" a="1"/>
  <c r="CR15" i="8" s="1"/>
  <c r="CQ15" i="8" a="1"/>
  <c r="CQ15" i="8" s="1"/>
  <c r="CP15" i="8" a="1"/>
  <c r="CP15" i="8" s="1"/>
  <c r="CO15" i="8" a="1"/>
  <c r="CO15" i="8"/>
  <c r="CN15" i="8" a="1"/>
  <c r="CN15" i="8" s="1"/>
  <c r="CM15" i="8" a="1"/>
  <c r="CM15" i="8" s="1"/>
  <c r="CL15" i="8" a="1"/>
  <c r="CL15" i="8"/>
  <c r="CK15" i="8" a="1"/>
  <c r="CK15" i="8"/>
  <c r="CJ15" i="8" a="1"/>
  <c r="CJ15" i="8" s="1"/>
  <c r="CI15" i="8" a="1"/>
  <c r="CI15" i="8" s="1"/>
  <c r="CH15" i="8" a="1"/>
  <c r="CH15" i="8" s="1"/>
  <c r="CG15" i="8" a="1"/>
  <c r="CG15" i="8" s="1"/>
  <c r="CF15" i="8" a="1"/>
  <c r="CF15" i="8" s="1"/>
  <c r="CE15" i="8" a="1"/>
  <c r="CE15" i="8" s="1"/>
  <c r="CD15" i="8" a="1"/>
  <c r="CD15" i="8"/>
  <c r="CC15" i="8" a="1"/>
  <c r="CC15" i="8" s="1"/>
  <c r="CB15" i="8" a="1"/>
  <c r="CB15" i="8"/>
  <c r="CA15" i="8" a="1"/>
  <c r="CA15" i="8"/>
  <c r="BZ15" i="8" a="1"/>
  <c r="BZ15" i="8"/>
  <c r="BY15" i="8" a="1"/>
  <c r="BY15" i="8" s="1"/>
  <c r="BX15" i="8" a="1"/>
  <c r="BX15" i="8"/>
  <c r="BW15" i="8" a="1"/>
  <c r="BW15" i="8" s="1"/>
  <c r="BV15" i="8" a="1"/>
  <c r="BV15" i="8"/>
  <c r="BU15" i="8" a="1"/>
  <c r="BU15" i="8" s="1"/>
  <c r="BT15" i="8" a="1"/>
  <c r="BT15" i="8" s="1"/>
  <c r="BS15" i="8" a="1"/>
  <c r="BS15" i="8"/>
  <c r="BR15" i="8" a="1"/>
  <c r="BR15" i="8" s="1"/>
  <c r="BQ15" i="8" a="1"/>
  <c r="BQ15" i="8" s="1"/>
  <c r="BP15" i="8" a="1"/>
  <c r="BP15" i="8" s="1"/>
  <c r="BO15" i="8" a="1"/>
  <c r="BO15" i="8"/>
  <c r="BN15" i="8" a="1"/>
  <c r="BN15" i="8" s="1"/>
  <c r="BM15" i="8" a="1"/>
  <c r="BM15" i="8"/>
  <c r="BL15" i="8" a="1"/>
  <c r="BL15" i="8"/>
  <c r="BK15" i="8" a="1"/>
  <c r="BK15" i="8"/>
  <c r="BJ15" i="8" a="1"/>
  <c r="BJ15" i="8" s="1"/>
  <c r="BI15" i="8" a="1"/>
  <c r="BI15" i="8" s="1"/>
  <c r="BH15" i="8" a="1"/>
  <c r="BH15" i="8"/>
  <c r="BG15" i="8" a="1"/>
  <c r="BG15" i="8" s="1"/>
  <c r="BF15" i="8" a="1"/>
  <c r="BF15" i="8"/>
  <c r="BE15" i="8" a="1"/>
  <c r="BE15" i="8"/>
  <c r="BD15" i="8" a="1"/>
  <c r="BD15" i="8"/>
  <c r="BC15" i="8" a="1"/>
  <c r="BC15" i="8" s="1"/>
  <c r="BB15" i="8" a="1"/>
  <c r="BB15" i="8" s="1"/>
  <c r="BA15" i="8" a="1"/>
  <c r="BA15" i="8" s="1"/>
  <c r="AZ15" i="8" a="1"/>
  <c r="AZ15" i="8"/>
  <c r="AY15" i="8" a="1"/>
  <c r="AY15" i="8" s="1"/>
  <c r="AX15" i="8" a="1"/>
  <c r="AX15" i="8" s="1"/>
  <c r="AW15" i="8" a="1"/>
  <c r="AW15" i="8"/>
  <c r="AV15" i="8" a="1"/>
  <c r="AV15" i="8"/>
  <c r="AU15" i="8" a="1"/>
  <c r="AU15" i="8"/>
  <c r="AT15" i="8" a="1"/>
  <c r="AT15" i="8"/>
  <c r="AS15" i="8" a="1"/>
  <c r="AS15" i="8"/>
  <c r="AR15" i="8" a="1"/>
  <c r="AR15" i="8" s="1"/>
  <c r="AQ15" i="8" a="1"/>
  <c r="AQ15" i="8" s="1"/>
  <c r="AP15" i="8" a="1"/>
  <c r="AP15" i="8"/>
  <c r="AO15" i="8" a="1"/>
  <c r="AO15" i="8"/>
  <c r="AN15" i="8" a="1"/>
  <c r="AN15" i="8" s="1"/>
  <c r="AM15" i="8" a="1"/>
  <c r="AM15" i="8" s="1"/>
  <c r="AL15" i="8" a="1"/>
  <c r="AL15" i="8"/>
  <c r="AK15" i="8" a="1"/>
  <c r="AK15" i="8"/>
  <c r="AJ15" i="8" a="1"/>
  <c r="AJ15" i="8" s="1"/>
  <c r="AI15" i="8" a="1"/>
  <c r="AI15" i="8" s="1"/>
  <c r="AH15" i="8" a="1"/>
  <c r="AH15" i="8"/>
  <c r="AG15" i="8" a="1"/>
  <c r="AG15" i="8" s="1"/>
  <c r="AF15" i="8" a="1"/>
  <c r="AF15" i="8"/>
  <c r="AE15" i="8" a="1"/>
  <c r="AE15" i="8"/>
  <c r="AD15" i="8" a="1"/>
  <c r="AD15" i="8" s="1"/>
  <c r="AC15" i="8" a="1"/>
  <c r="AC15" i="8" s="1"/>
  <c r="AB15" i="8" a="1"/>
  <c r="AB15" i="8" s="1"/>
  <c r="AA15" i="8" a="1"/>
  <c r="AA15" i="8"/>
  <c r="Z15" i="8" a="1"/>
  <c r="Z15" i="8" s="1"/>
  <c r="Y15" i="8" a="1"/>
  <c r="Y15" i="8"/>
  <c r="X15" i="8" a="1"/>
  <c r="X15" i="8" s="1"/>
  <c r="W15" i="8" a="1"/>
  <c r="W15" i="8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/>
  <c r="O15" i="8" a="1"/>
  <c r="O15" i="8"/>
  <c r="N15" i="8" a="1"/>
  <c r="N15" i="8"/>
  <c r="M15" i="8" a="1"/>
  <c r="M15" i="8"/>
  <c r="L15" i="8" a="1"/>
  <c r="L15" i="8"/>
  <c r="K15" i="8" a="1"/>
  <c r="K15" i="8" s="1"/>
  <c r="J15" i="8" a="1"/>
  <c r="J15" i="8"/>
  <c r="I15" i="8" a="1"/>
  <c r="I15" i="8"/>
  <c r="H15" i="8" a="1"/>
  <c r="H15" i="8"/>
  <c r="G15" i="8" a="1"/>
  <c r="G15" i="8" s="1"/>
  <c r="F15" i="8" a="1"/>
  <c r="F15" i="8" s="1"/>
  <c r="E15" i="8" a="1"/>
  <c r="E15" i="8"/>
  <c r="D15" i="8" a="1"/>
  <c r="D15" i="8" s="1"/>
  <c r="C15" i="8" a="1"/>
  <c r="C15" i="8" s="1"/>
  <c r="EF14" i="8" a="1"/>
  <c r="EF14" i="8" s="1"/>
  <c r="EE14" i="8" a="1"/>
  <c r="EE14" i="8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/>
  <c r="DW14" i="8" a="1"/>
  <c r="DW14" i="8"/>
  <c r="DV14" i="8" a="1"/>
  <c r="DV14" i="8" s="1"/>
  <c r="DU14" i="8" a="1"/>
  <c r="DU14" i="8"/>
  <c r="DT14" i="8" a="1"/>
  <c r="DT14" i="8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/>
  <c r="DL14" i="8" a="1"/>
  <c r="DL14" i="8"/>
  <c r="DK14" i="8" a="1"/>
  <c r="DK14" i="8" s="1"/>
  <c r="DJ14" i="8" a="1"/>
  <c r="DJ14" i="8" s="1"/>
  <c r="DI14" i="8" a="1"/>
  <c r="DI14" i="8"/>
  <c r="DH14" i="8" a="1"/>
  <c r="DH14" i="8" s="1"/>
  <c r="DG14" i="8" a="1"/>
  <c r="DG14" i="8"/>
  <c r="DF14" i="8" a="1"/>
  <c r="DF14" i="8"/>
  <c r="DE14" i="8" a="1"/>
  <c r="DE14" i="8" s="1"/>
  <c r="DD14" i="8" a="1"/>
  <c r="DD14" i="8" s="1"/>
  <c r="DC14" i="8" a="1"/>
  <c r="DC14" i="8" s="1"/>
  <c r="DB14" i="8" a="1"/>
  <c r="DB14" i="8"/>
  <c r="DA14" i="8" a="1"/>
  <c r="DA14" i="8" s="1"/>
  <c r="CZ14" i="8" a="1"/>
  <c r="CZ14" i="8" s="1"/>
  <c r="CY14" i="8" a="1"/>
  <c r="CY14" i="8" s="1"/>
  <c r="CX14" i="8" a="1"/>
  <c r="CX14" i="8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/>
  <c r="CP14" i="8" a="1"/>
  <c r="CP14" i="8" s="1"/>
  <c r="CO14" i="8" a="1"/>
  <c r="CO14" i="8"/>
  <c r="CN14" i="8" a="1"/>
  <c r="CN14" i="8"/>
  <c r="CM14" i="8" a="1"/>
  <c r="CM14" i="8"/>
  <c r="CL14" i="8" a="1"/>
  <c r="CL14" i="8" s="1"/>
  <c r="CK14" i="8" a="1"/>
  <c r="CK14" i="8" s="1"/>
  <c r="CJ14" i="8" a="1"/>
  <c r="CJ14" i="8" s="1"/>
  <c r="CI14" i="8" a="1"/>
  <c r="CI14" i="8"/>
  <c r="CH14" i="8" a="1"/>
  <c r="CH14" i="8" s="1"/>
  <c r="CG14" i="8" a="1"/>
  <c r="CG14" i="8" s="1"/>
  <c r="CF14" i="8" a="1"/>
  <c r="CF14" i="8"/>
  <c r="CE14" i="8" a="1"/>
  <c r="CE14" i="8" s="1"/>
  <c r="CD14" i="8" a="1"/>
  <c r="CD14" i="8" s="1"/>
  <c r="CC14" i="8" a="1"/>
  <c r="CC14" i="8" s="1"/>
  <c r="CB14" i="8" a="1"/>
  <c r="CB14" i="8"/>
  <c r="CA14" i="8" a="1"/>
  <c r="CA14" i="8" s="1"/>
  <c r="BZ14" i="8" a="1"/>
  <c r="BZ14" i="8"/>
  <c r="BY14" i="8" a="1"/>
  <c r="BY14" i="8"/>
  <c r="BX14" i="8" a="1"/>
  <c r="BX14" i="8"/>
  <c r="BW14" i="8" a="1"/>
  <c r="BW14" i="8" s="1"/>
  <c r="BV14" i="8" a="1"/>
  <c r="BV14" i="8" s="1"/>
  <c r="BU14" i="8" a="1"/>
  <c r="BU14" i="8"/>
  <c r="BT14" i="8" a="1"/>
  <c r="BT14" i="8" s="1"/>
  <c r="BS14" i="8" a="1"/>
  <c r="BS14" i="8"/>
  <c r="BR14" i="8" a="1"/>
  <c r="BR14" i="8"/>
  <c r="BQ14" i="8" a="1"/>
  <c r="BQ14" i="8"/>
  <c r="BP14" i="8" a="1"/>
  <c r="BP14" i="8" s="1"/>
  <c r="BO14" i="8" a="1"/>
  <c r="BO14" i="8" s="1"/>
  <c r="BN14" i="8" a="1"/>
  <c r="BN14" i="8" s="1"/>
  <c r="BM14" i="8" a="1"/>
  <c r="BM14" i="8"/>
  <c r="BL14" i="8" a="1"/>
  <c r="BL14" i="8" s="1"/>
  <c r="BK14" i="8" a="1"/>
  <c r="BK14" i="8" s="1"/>
  <c r="BJ14" i="8" a="1"/>
  <c r="BJ14" i="8"/>
  <c r="BI14" i="8" a="1"/>
  <c r="BI14" i="8"/>
  <c r="BH14" i="8" a="1"/>
  <c r="BH14" i="8"/>
  <c r="BG14" i="8" a="1"/>
  <c r="BG14" i="8"/>
  <c r="BF14" i="8" a="1"/>
  <c r="BF14" i="8"/>
  <c r="BE14" i="8" a="1"/>
  <c r="BE14" i="8" s="1"/>
  <c r="BD14" i="8" a="1"/>
  <c r="BD14" i="8" s="1"/>
  <c r="BC14" i="8" a="1"/>
  <c r="BC14" i="8"/>
  <c r="BB14" i="8" a="1"/>
  <c r="BB14" i="8"/>
  <c r="BA14" i="8" a="1"/>
  <c r="BA14" i="8" s="1"/>
  <c r="AZ14" i="8" a="1"/>
  <c r="AZ14" i="8" s="1"/>
  <c r="AY14" i="8" a="1"/>
  <c r="AY14" i="8"/>
  <c r="AX14" i="8" a="1"/>
  <c r="AX14" i="8"/>
  <c r="AW14" i="8" a="1"/>
  <c r="AW14" i="8"/>
  <c r="AV14" i="8" a="1"/>
  <c r="AV14" i="8" s="1"/>
  <c r="AU14" i="8" a="1"/>
  <c r="AU14" i="8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 s="1"/>
  <c r="AN14" i="8" a="1"/>
  <c r="AN14" i="8"/>
  <c r="AM14" i="8" a="1"/>
  <c r="AM14" i="8"/>
  <c r="AL14" i="8" a="1"/>
  <c r="AL14" i="8" s="1"/>
  <c r="AK14" i="8" a="1"/>
  <c r="AK14" i="8" s="1"/>
  <c r="AJ14" i="8" a="1"/>
  <c r="AJ14" i="8"/>
  <c r="AI14" i="8" a="1"/>
  <c r="AI14" i="8"/>
  <c r="AH14" i="8" a="1"/>
  <c r="AH14" i="8"/>
  <c r="AG14" i="8" a="1"/>
  <c r="AG14" i="8"/>
  <c r="AF14" i="8" a="1"/>
  <c r="AF14" i="8" s="1"/>
  <c r="AE14" i="8" a="1"/>
  <c r="AE14" i="8" s="1"/>
  <c r="AD14" i="8" a="1"/>
  <c r="AD14" i="8" s="1"/>
  <c r="AC14" i="8" a="1"/>
  <c r="AC14" i="8" s="1"/>
  <c r="AB14" i="8" a="1"/>
  <c r="AB14" i="8"/>
  <c r="AA14" i="8" a="1"/>
  <c r="AA14" i="8"/>
  <c r="Z14" i="8" a="1"/>
  <c r="Z14" i="8" s="1"/>
  <c r="Y14" i="8" a="1"/>
  <c r="Y14" i="8"/>
  <c r="X14" i="8" a="1"/>
  <c r="X14" i="8"/>
  <c r="W14" i="8" a="1"/>
  <c r="W14" i="8"/>
  <c r="V14" i="8" a="1"/>
  <c r="V14" i="8"/>
  <c r="U14" i="8" a="1"/>
  <c r="U14" i="8"/>
  <c r="T14" i="8" a="1"/>
  <c r="T14" i="8" s="1"/>
  <c r="S14" i="8" a="1"/>
  <c r="S14" i="8" s="1"/>
  <c r="R14" i="8" a="1"/>
  <c r="R14" i="8" s="1"/>
  <c r="Q14" i="8" a="1"/>
  <c r="Q14" i="8"/>
  <c r="P14" i="8" a="1"/>
  <c r="P14" i="8"/>
  <c r="O14" i="8" a="1"/>
  <c r="O14" i="8" s="1"/>
  <c r="N14" i="8" a="1"/>
  <c r="N14" i="8"/>
  <c r="M14" i="8" a="1"/>
  <c r="M14" i="8"/>
  <c r="L14" i="8" a="1"/>
  <c r="L14" i="8"/>
  <c r="K14" i="8" a="1"/>
  <c r="K14" i="8"/>
  <c r="J14" i="8" a="1"/>
  <c r="J14" i="8"/>
  <c r="I14" i="8" a="1"/>
  <c r="I14" i="8" s="1"/>
  <c r="H14" i="8" a="1"/>
  <c r="H14" i="8" s="1"/>
  <c r="G14" i="8" a="1"/>
  <c r="G14" i="8" s="1"/>
  <c r="F14" i="8" a="1"/>
  <c r="F14" i="8" s="1"/>
  <c r="E14" i="8" a="1"/>
  <c r="E14" i="8"/>
  <c r="D14" i="8" a="1"/>
  <c r="D14" i="8" s="1"/>
  <c r="C14" i="8" a="1"/>
  <c r="C14" i="8"/>
  <c r="EF13" i="8" a="1"/>
  <c r="EF13" i="8"/>
  <c r="EE13" i="8" a="1"/>
  <c r="EE13" i="8"/>
  <c r="ED13" i="8" a="1"/>
  <c r="ED13" i="8" s="1"/>
  <c r="EC13" i="8" a="1"/>
  <c r="EC13" i="8" s="1"/>
  <c r="EB13" i="8" a="1"/>
  <c r="EB13" i="8" s="1"/>
  <c r="EA13" i="8" a="1"/>
  <c r="EA13" i="8" s="1"/>
  <c r="DZ13" i="8" a="1"/>
  <c r="DZ13" i="8" s="1"/>
  <c r="DY13" i="8" a="1"/>
  <c r="DY13" i="8" s="1"/>
  <c r="DX13" i="8" a="1"/>
  <c r="DX13" i="8" s="1"/>
  <c r="DW13" i="8" a="1"/>
  <c r="DW13" i="8" s="1"/>
  <c r="DV13" i="8" a="1"/>
  <c r="DV13" i="8"/>
  <c r="DU13" i="8" a="1"/>
  <c r="DU13" i="8"/>
  <c r="DT13" i="8" a="1"/>
  <c r="DT13" i="8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N13" i="8" a="1"/>
  <c r="DN13" i="8" s="1"/>
  <c r="DM13" i="8" a="1"/>
  <c r="DM13" i="8" s="1"/>
  <c r="DL13" i="8" a="1"/>
  <c r="DL13" i="8" s="1"/>
  <c r="DK13" i="8" a="1"/>
  <c r="DK13" i="8"/>
  <c r="DJ13" i="8" a="1"/>
  <c r="DJ13" i="8"/>
  <c r="DI13" i="8" a="1"/>
  <c r="DI13" i="8"/>
  <c r="DH13" i="8" a="1"/>
  <c r="DH13" i="8" s="1"/>
  <c r="DG13" i="8" a="1"/>
  <c r="DG13" i="8" s="1"/>
  <c r="DF13" i="8" a="1"/>
  <c r="DF13" i="8" s="1"/>
  <c r="DE13" i="8" a="1"/>
  <c r="DE13" i="8" s="1"/>
  <c r="DD13" i="8" a="1"/>
  <c r="DD13" i="8" s="1"/>
  <c r="DC13" i="8" a="1"/>
  <c r="DC13" i="8"/>
  <c r="DB13" i="8" a="1"/>
  <c r="DB13" i="8"/>
  <c r="DA13" i="8" a="1"/>
  <c r="DA13" i="8" s="1"/>
  <c r="CZ13" i="8" a="1"/>
  <c r="CZ13" i="8"/>
  <c r="CY13" i="8" a="1"/>
  <c r="CY13" i="8"/>
  <c r="CX13" i="8" a="1"/>
  <c r="CX13" i="8"/>
  <c r="CW13" i="8" a="1"/>
  <c r="CW13" i="8"/>
  <c r="CV13" i="8" a="1"/>
  <c r="CV13" i="8"/>
  <c r="CU13" i="8" a="1"/>
  <c r="CU13" i="8" s="1"/>
  <c r="CT13" i="8" a="1"/>
  <c r="CT13" i="8" s="1"/>
  <c r="CS13" i="8" a="1"/>
  <c r="CS13" i="8" s="1"/>
  <c r="CR13" i="8" a="1"/>
  <c r="CR13" i="8"/>
  <c r="CQ13" i="8" a="1"/>
  <c r="CQ13" i="8"/>
  <c r="CP13" i="8" a="1"/>
  <c r="CP13" i="8" s="1"/>
  <c r="CO13" i="8" a="1"/>
  <c r="CO13" i="8"/>
  <c r="CN13" i="8" a="1"/>
  <c r="CN13" i="8"/>
  <c r="CM13" i="8" a="1"/>
  <c r="CM13" i="8"/>
  <c r="CL13" i="8" a="1"/>
  <c r="CL13" i="8"/>
  <c r="CK13" i="8" a="1"/>
  <c r="CK13" i="8"/>
  <c r="CJ13" i="8" a="1"/>
  <c r="CJ13" i="8" s="1"/>
  <c r="CI13" i="8" a="1"/>
  <c r="CI13" i="8" s="1"/>
  <c r="CH13" i="8" a="1"/>
  <c r="CH13" i="8" s="1"/>
  <c r="CG13" i="8" a="1"/>
  <c r="CG13" i="8"/>
  <c r="CF13" i="8" a="1"/>
  <c r="CF13" i="8"/>
  <c r="CE13" i="8" a="1"/>
  <c r="CE13" i="8" s="1"/>
  <c r="CD13" i="8" a="1"/>
  <c r="CD13" i="8"/>
  <c r="CC13" i="8" a="1"/>
  <c r="CC13" i="8"/>
  <c r="CB13" i="8" a="1"/>
  <c r="CB13" i="8"/>
  <c r="CA13" i="8" a="1"/>
  <c r="CA13" i="8"/>
  <c r="BZ13" i="8" a="1"/>
  <c r="BZ13" i="8"/>
  <c r="BY13" i="8" a="1"/>
  <c r="BY13" i="8" s="1"/>
  <c r="BX13" i="8" a="1"/>
  <c r="BX13" i="8" s="1"/>
  <c r="BW13" i="8" a="1"/>
  <c r="BW13" i="8" s="1"/>
  <c r="BV13" i="8" a="1"/>
  <c r="BV13" i="8" s="1"/>
  <c r="BU13" i="8" a="1"/>
  <c r="BU13" i="8" s="1"/>
  <c r="BT13" i="8" a="1"/>
  <c r="BT13" i="8" s="1"/>
  <c r="BS13" i="8" a="1"/>
  <c r="BS13" i="8"/>
  <c r="BR13" i="8" a="1"/>
  <c r="BR13" i="8"/>
  <c r="BQ13" i="8" a="1"/>
  <c r="BQ13" i="8"/>
  <c r="BP13" i="8" a="1"/>
  <c r="BP13" i="8" s="1"/>
  <c r="BO13" i="8" a="1"/>
  <c r="BO13" i="8" s="1"/>
  <c r="BN13" i="8" a="1"/>
  <c r="BN13" i="8" s="1"/>
  <c r="BM13" i="8" a="1"/>
  <c r="BM13" i="8" s="1"/>
  <c r="BL13" i="8" a="1"/>
  <c r="BL13" i="8" s="1"/>
  <c r="BK13" i="8" a="1"/>
  <c r="BK13" i="8" s="1"/>
  <c r="BJ13" i="8" a="1"/>
  <c r="BJ13" i="8" s="1"/>
  <c r="BI13" i="8" a="1"/>
  <c r="BI13" i="8" s="1"/>
  <c r="BH13" i="8" a="1"/>
  <c r="BH13" i="8"/>
  <c r="BG13" i="8" a="1"/>
  <c r="BG13" i="8"/>
  <c r="BF13" i="8" a="1"/>
  <c r="BF13" i="8"/>
  <c r="BE13" i="8" a="1"/>
  <c r="BE13" i="8" s="1"/>
  <c r="BD13" i="8" a="1"/>
  <c r="BD13" i="8" s="1"/>
  <c r="BC13" i="8" a="1"/>
  <c r="BC13" i="8" s="1"/>
  <c r="BB13" i="8" a="1"/>
  <c r="BB13" i="8" s="1"/>
  <c r="BA13" i="8" a="1"/>
  <c r="BA13" i="8" s="1"/>
  <c r="AZ13" i="8" a="1"/>
  <c r="AZ13" i="8"/>
  <c r="AY13" i="8" a="1"/>
  <c r="AY13" i="8" s="1"/>
  <c r="AX13" i="8" a="1"/>
  <c r="AX13" i="8" s="1"/>
  <c r="AW13" i="8" a="1"/>
  <c r="AW13" i="8"/>
  <c r="AV13" i="8" a="1"/>
  <c r="AV13" i="8"/>
  <c r="AU13" i="8" a="1"/>
  <c r="AU13" i="8"/>
  <c r="AT13" i="8" a="1"/>
  <c r="AT13" i="8"/>
  <c r="AS13" i="8" a="1"/>
  <c r="AS13" i="8" s="1"/>
  <c r="AR13" i="8" a="1"/>
  <c r="AR13" i="8" s="1"/>
  <c r="AQ13" i="8" a="1"/>
  <c r="AQ13" i="8" s="1"/>
  <c r="AP13" i="8" a="1"/>
  <c r="AP13" i="8" s="1"/>
  <c r="AO13" i="8" a="1"/>
  <c r="AO13" i="8"/>
  <c r="AN13" i="8" a="1"/>
  <c r="AN13" i="8"/>
  <c r="AM13" i="8" a="1"/>
  <c r="AM13" i="8" s="1"/>
  <c r="AL13" i="8" a="1"/>
  <c r="AL13" i="8"/>
  <c r="AK13" i="8" a="1"/>
  <c r="AK13" i="8"/>
  <c r="AJ13" i="8" a="1"/>
  <c r="AJ13" i="8"/>
  <c r="AI13" i="8" a="1"/>
  <c r="AI13" i="8"/>
  <c r="AH13" i="8" a="1"/>
  <c r="AH13" i="8"/>
  <c r="AG13" i="8" a="1"/>
  <c r="AG13" i="8" s="1"/>
  <c r="AF13" i="8" a="1"/>
  <c r="AF13" i="8" s="1"/>
  <c r="AE13" i="8" a="1"/>
  <c r="AE13" i="8" s="1"/>
  <c r="AD13" i="8" a="1"/>
  <c r="AD13" i="8"/>
  <c r="AC13" i="8" a="1"/>
  <c r="AC13" i="8"/>
  <c r="AB13" i="8" a="1"/>
  <c r="AB13" i="8" s="1"/>
  <c r="AA13" i="8" a="1"/>
  <c r="AA13" i="8"/>
  <c r="Z13" i="8" a="1"/>
  <c r="Z13" i="8"/>
  <c r="Y13" i="8" a="1"/>
  <c r="Y13" i="8"/>
  <c r="X13" i="8" a="1"/>
  <c r="X13" i="8"/>
  <c r="W13" i="8" a="1"/>
  <c r="W13" i="8"/>
  <c r="V13" i="8" a="1"/>
  <c r="V13" i="8" s="1"/>
  <c r="U13" i="8" a="1"/>
  <c r="U13" i="8" s="1"/>
  <c r="T13" i="8" a="1"/>
  <c r="T13" i="8" s="1"/>
  <c r="S13" i="8" a="1"/>
  <c r="S13" i="8" s="1"/>
  <c r="R13" i="8" a="1"/>
  <c r="R13" i="8"/>
  <c r="Q13" i="8" a="1"/>
  <c r="Q13" i="8" s="1"/>
  <c r="P13" i="8" a="1"/>
  <c r="P13" i="8"/>
  <c r="O13" i="8" a="1"/>
  <c r="O13" i="8"/>
  <c r="N13" i="8" a="1"/>
  <c r="N13" i="8"/>
  <c r="M13" i="8" a="1"/>
  <c r="M13" i="8" s="1"/>
  <c r="L13" i="8" a="1"/>
  <c r="L13" i="8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/>
  <c r="D13" i="8" a="1"/>
  <c r="D13" i="8"/>
  <c r="C13" i="8" a="1"/>
  <c r="C13" i="8"/>
  <c r="EF12" i="8" a="1"/>
  <c r="EF12" i="8" s="1"/>
  <c r="EE12" i="8" a="1"/>
  <c r="EE12" i="8" s="1"/>
  <c r="ED12" i="8" a="1"/>
  <c r="ED12" i="8" s="1"/>
  <c r="EC12" i="8" a="1"/>
  <c r="EC12" i="8" s="1"/>
  <c r="EB12" i="8" a="1"/>
  <c r="EB12" i="8" s="1"/>
  <c r="EA12" i="8" a="1"/>
  <c r="EA12" i="8" s="1"/>
  <c r="DZ12" i="8" a="1"/>
  <c r="DZ12" i="8" s="1"/>
  <c r="DY12" i="8" a="1"/>
  <c r="DY12" i="8" s="1"/>
  <c r="DX12" i="8" a="1"/>
  <c r="DX12" i="8"/>
  <c r="DW12" i="8" a="1"/>
  <c r="DW12" i="8"/>
  <c r="DV12" i="8" a="1"/>
  <c r="DV12" i="8"/>
  <c r="DU12" i="8" a="1"/>
  <c r="DU12" i="8" s="1"/>
  <c r="DT12" i="8" a="1"/>
  <c r="DT12" i="8" s="1"/>
  <c r="DS12" i="8" a="1"/>
  <c r="DS12" i="8" s="1"/>
  <c r="DR12" i="8" a="1"/>
  <c r="DR12" i="8" s="1"/>
  <c r="DQ12" i="8" a="1"/>
  <c r="DQ12" i="8" s="1"/>
  <c r="DP12" i="8" a="1"/>
  <c r="DP12" i="8"/>
  <c r="DO12" i="8" a="1"/>
  <c r="DO12" i="8"/>
  <c r="DN12" i="8" a="1"/>
  <c r="DN12" i="8" s="1"/>
  <c r="DM12" i="8" a="1"/>
  <c r="DM12" i="8"/>
  <c r="DL12" i="8" a="1"/>
  <c r="DL12" i="8"/>
  <c r="DK12" i="8" a="1"/>
  <c r="DK12" i="8"/>
  <c r="DJ12" i="8" a="1"/>
  <c r="DJ12" i="8"/>
  <c r="DI12" i="8" a="1"/>
  <c r="DI12" i="8"/>
  <c r="DH12" i="8" a="1"/>
  <c r="DH12" i="8" s="1"/>
  <c r="DG12" i="8" a="1"/>
  <c r="DG12" i="8" s="1"/>
  <c r="DF12" i="8" a="1"/>
  <c r="DF12" i="8" s="1"/>
  <c r="DE12" i="8" a="1"/>
  <c r="DE12" i="8"/>
  <c r="DD12" i="8" a="1"/>
  <c r="DD12" i="8"/>
  <c r="DC12" i="8" a="1"/>
  <c r="DC12" i="8" s="1"/>
  <c r="DB12" i="8" a="1"/>
  <c r="DB12" i="8"/>
  <c r="DA12" i="8" a="1"/>
  <c r="DA12" i="8"/>
  <c r="CZ12" i="8" a="1"/>
  <c r="CZ12" i="8"/>
  <c r="CY12" i="8" a="1"/>
  <c r="CY12" i="8"/>
  <c r="CX12" i="8" a="1"/>
  <c r="CX12" i="8"/>
  <c r="CW12" i="8" a="1"/>
  <c r="CW12" i="8" s="1"/>
  <c r="CV12" i="8" a="1"/>
  <c r="CV12" i="8" s="1"/>
  <c r="CU12" i="8" a="1"/>
  <c r="CU12" i="8" s="1"/>
  <c r="CT12" i="8" a="1"/>
  <c r="CT12" i="8"/>
  <c r="CS12" i="8" a="1"/>
  <c r="CS12" i="8"/>
  <c r="CR12" i="8" a="1"/>
  <c r="CR12" i="8" s="1"/>
  <c r="CQ12" i="8" a="1"/>
  <c r="CQ12" i="8"/>
  <c r="CP12" i="8" a="1"/>
  <c r="CP12" i="8"/>
  <c r="CO12" i="8" a="1"/>
  <c r="CO12" i="8"/>
  <c r="CN12" i="8" a="1"/>
  <c r="CN12" i="8"/>
  <c r="CM12" i="8" a="1"/>
  <c r="CM12" i="8"/>
  <c r="CL12" i="8" a="1"/>
  <c r="CL12" i="8" s="1"/>
  <c r="CK12" i="8" a="1"/>
  <c r="CK12" i="8" s="1"/>
  <c r="CJ12" i="8" a="1"/>
  <c r="CJ12" i="8" s="1"/>
  <c r="CI12" i="8" a="1"/>
  <c r="CI12" i="8" s="1"/>
  <c r="CH12" i="8" a="1"/>
  <c r="CH12" i="8" s="1"/>
  <c r="CG12" i="8" a="1"/>
  <c r="CG12" i="8" s="1"/>
  <c r="CF12" i="8" a="1"/>
  <c r="CF12" i="8"/>
  <c r="CE12" i="8" a="1"/>
  <c r="CE12" i="8"/>
  <c r="CD12" i="8" a="1"/>
  <c r="CD12" i="8"/>
  <c r="CC12" i="8" a="1"/>
  <c r="CC12" i="8" s="1"/>
  <c r="CB12" i="8" a="1"/>
  <c r="CB12" i="8" s="1"/>
  <c r="CA12" i="8" a="1"/>
  <c r="CA12" i="8" s="1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/>
  <c r="BT12" i="8" a="1"/>
  <c r="BT12" i="8"/>
  <c r="BS12" i="8" a="1"/>
  <c r="BS12" i="8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/>
  <c r="BL12" i="8" a="1"/>
  <c r="BL12" i="8" s="1"/>
  <c r="BK12" i="8" a="1"/>
  <c r="BK12" i="8" s="1"/>
  <c r="BJ12" i="8" a="1"/>
  <c r="BJ12" i="8"/>
  <c r="BI12" i="8" a="1"/>
  <c r="BI12" i="8"/>
  <c r="BH12" i="8" a="1"/>
  <c r="BH12" i="8"/>
  <c r="BG12" i="8" a="1"/>
  <c r="BG12" i="8"/>
  <c r="BF12" i="8" a="1"/>
  <c r="BF12" i="8" s="1"/>
  <c r="BE12" i="8" a="1"/>
  <c r="BE12" i="8" s="1"/>
  <c r="BD12" i="8" a="1"/>
  <c r="BD12" i="8" s="1"/>
  <c r="BC12" i="8" a="1"/>
  <c r="BC12" i="8" s="1"/>
  <c r="BB12" i="8" a="1"/>
  <c r="BB12" i="8"/>
  <c r="BA12" i="8" a="1"/>
  <c r="BA12" i="8"/>
  <c r="AZ12" i="8" a="1"/>
  <c r="AZ12" i="8" s="1"/>
  <c r="AY12" i="8" a="1"/>
  <c r="AY12" i="8"/>
  <c r="AX12" i="8" a="1"/>
  <c r="AX12" i="8"/>
  <c r="AW12" i="8" a="1"/>
  <c r="AW12" i="8"/>
  <c r="AV12" i="8" a="1"/>
  <c r="AV12" i="8"/>
  <c r="AU12" i="8" a="1"/>
  <c r="AU12" i="8"/>
  <c r="AT12" i="8" a="1"/>
  <c r="AT12" i="8" s="1"/>
  <c r="AS12" i="8" a="1"/>
  <c r="AS12" i="8" s="1"/>
  <c r="AR12" i="8" a="1"/>
  <c r="AR12" i="8" s="1"/>
  <c r="AQ12" i="8" a="1"/>
  <c r="AQ12" i="8"/>
  <c r="AP12" i="8" a="1"/>
  <c r="AP12" i="8"/>
  <c r="AO12" i="8" a="1"/>
  <c r="AO12" i="8" s="1"/>
  <c r="AN12" i="8" a="1"/>
  <c r="AN12" i="8"/>
  <c r="AM12" i="8" a="1"/>
  <c r="AM12" i="8"/>
  <c r="AL12" i="8" a="1"/>
  <c r="AL12" i="8"/>
  <c r="AK12" i="8" a="1"/>
  <c r="AK12" i="8"/>
  <c r="AJ12" i="8" a="1"/>
  <c r="AJ12" i="8"/>
  <c r="AI12" i="8" a="1"/>
  <c r="AI12" i="8" s="1"/>
  <c r="AH12" i="8" a="1"/>
  <c r="AH12" i="8" s="1"/>
  <c r="AG12" i="8" a="1"/>
  <c r="AG12" i="8" s="1"/>
  <c r="AF12" i="8" a="1"/>
  <c r="AF12" i="8" s="1"/>
  <c r="AE12" i="8" a="1"/>
  <c r="AE12" i="8"/>
  <c r="AD12" i="8" a="1"/>
  <c r="AD12" i="8" s="1"/>
  <c r="AC12" i="8" a="1"/>
  <c r="AC12" i="8"/>
  <c r="AB12" i="8" a="1"/>
  <c r="AB12" i="8"/>
  <c r="AA12" i="8" a="1"/>
  <c r="AA12" i="8"/>
  <c r="Z12" i="8" a="1"/>
  <c r="Z12" i="8" s="1"/>
  <c r="Y12" i="8" a="1"/>
  <c r="Y12" i="8"/>
  <c r="X12" i="8" a="1"/>
  <c r="X12" i="8" s="1"/>
  <c r="W12" i="8" a="1"/>
  <c r="W12" i="8" s="1"/>
  <c r="V12" i="8" a="1"/>
  <c r="V12" i="8" s="1"/>
  <c r="U12" i="8" a="1"/>
  <c r="U12" i="8" s="1"/>
  <c r="T12" i="8" a="1"/>
  <c r="T12" i="8" s="1"/>
  <c r="S12" i="8" a="1"/>
  <c r="S12" i="8" s="1"/>
  <c r="R12" i="8" a="1"/>
  <c r="R12" i="8"/>
  <c r="Q12" i="8" a="1"/>
  <c r="Q12" i="8"/>
  <c r="P12" i="8" a="1"/>
  <c r="P12" i="8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/>
  <c r="F12" i="8" a="1"/>
  <c r="F12" i="8"/>
  <c r="E12" i="8" a="1"/>
  <c r="E12" i="8"/>
  <c r="D12" i="8" a="1"/>
  <c r="D12" i="8" s="1"/>
  <c r="C12" i="8" a="1"/>
  <c r="C12" i="8" s="1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R25" i="5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AF25" i="4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G23" i="4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F23" i="4"/>
  <c r="D23" i="4"/>
  <c r="E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R21" i="4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H20" i="4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E19" i="4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O14" i="4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EH23" i="3" s="1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EG22" i="3" s="1"/>
  <c r="D22" i="3"/>
  <c r="EH22" i="3" s="1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H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EG20" i="3" s="1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G18" i="3" s="1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EH17" i="3" s="1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EH16" i="3" s="1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H15" i="3" s="1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H14" i="3" s="1"/>
  <c r="E14" i="3"/>
  <c r="EG14" i="3" s="1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H12" i="3" s="1"/>
  <c r="EH26" i="2"/>
  <c r="EG26" i="2"/>
  <c r="EI26" i="2" s="1"/>
  <c r="EH24" i="2"/>
  <c r="EG24" i="2"/>
  <c r="EI24" i="2" s="1"/>
  <c r="EH23" i="2"/>
  <c r="EG23" i="2"/>
  <c r="EI23" i="2" s="1"/>
  <c r="EH22" i="2"/>
  <c r="EG22" i="2"/>
  <c r="EI22" i="2" s="1"/>
  <c r="EH21" i="2"/>
  <c r="EG21" i="2"/>
  <c r="EH20" i="2"/>
  <c r="EG20" i="2"/>
  <c r="EI20" i="2" s="1"/>
  <c r="EH19" i="2"/>
  <c r="EG19" i="2"/>
  <c r="EI19" i="2" s="1"/>
  <c r="EH18" i="2"/>
  <c r="EG18" i="2"/>
  <c r="EI18" i="2" s="1"/>
  <c r="EH17" i="2"/>
  <c r="EI17" i="2" s="1"/>
  <c r="EG17" i="2"/>
  <c r="EH16" i="2"/>
  <c r="EI16" i="2" s="1"/>
  <c r="EG16" i="2"/>
  <c r="EH15" i="2"/>
  <c r="EG15" i="2"/>
  <c r="EH14" i="2"/>
  <c r="EG14" i="2"/>
  <c r="EI13" i="2"/>
  <c r="EH13" i="2"/>
  <c r="EG13" i="2"/>
  <c r="EH12" i="2"/>
  <c r="EG12" i="2"/>
  <c r="EI12" i="2" s="1"/>
  <c r="EB8" i="1"/>
  <c r="EA8" i="1"/>
  <c r="DZ8" i="1"/>
  <c r="DV8" i="1"/>
  <c r="DP8" i="1"/>
  <c r="DO8" i="1"/>
  <c r="DK8" i="1"/>
  <c r="DG8" i="1"/>
  <c r="DF8" i="1"/>
  <c r="DD8" i="1"/>
  <c r="CU8" i="1"/>
  <c r="CR8" i="1"/>
  <c r="CF8" i="1"/>
  <c r="CD8" i="1"/>
  <c r="BY8" i="1"/>
  <c r="BS8" i="1"/>
  <c r="BR8" i="1"/>
  <c r="BN8" i="1"/>
  <c r="BH8" i="1"/>
  <c r="BG8" i="1"/>
  <c r="AZ8" i="1"/>
  <c r="AN8" i="1"/>
  <c r="AH8" i="1"/>
  <c r="AC8" i="1"/>
  <c r="V8" i="1"/>
  <c r="U8" i="1"/>
  <c r="L8" i="1"/>
  <c r="K8" i="1"/>
  <c r="J8" i="1"/>
  <c r="I8" i="1"/>
  <c r="E8" i="1"/>
  <c r="EB7" i="1"/>
  <c r="EA7" i="1"/>
  <c r="DT7" i="1"/>
  <c r="DI7" i="1"/>
  <c r="DH7" i="1"/>
  <c r="DF7" i="1"/>
  <c r="CW7" i="1"/>
  <c r="CQ7" i="1"/>
  <c r="CP7" i="1"/>
  <c r="CF7" i="1"/>
  <c r="CE7" i="1"/>
  <c r="CA7" i="1"/>
  <c r="BZ7" i="1"/>
  <c r="BT7" i="1"/>
  <c r="BP7" i="1"/>
  <c r="BN7" i="1"/>
  <c r="BL7" i="1"/>
  <c r="AY7" i="1"/>
  <c r="AN7" i="1"/>
  <c r="AL7" i="1"/>
  <c r="AJ7" i="1"/>
  <c r="AC7" i="1"/>
  <c r="AB7" i="1"/>
  <c r="AA7" i="1"/>
  <c r="X7" i="1"/>
  <c r="P7" i="1"/>
  <c r="L7" i="1"/>
  <c r="K7" i="1"/>
  <c r="J7" i="1"/>
  <c r="EF6" i="1" a="1"/>
  <c r="EF6" i="1"/>
  <c r="EF7" i="1" s="1"/>
  <c r="EE6" i="1" a="1"/>
  <c r="EE6" i="1" s="1"/>
  <c r="ED6" i="1" a="1"/>
  <c r="ED6" i="1" s="1"/>
  <c r="ED8" i="1" s="1"/>
  <c r="EC6" i="1" a="1"/>
  <c r="EC6" i="1" s="1"/>
  <c r="EB6" i="1" a="1"/>
  <c r="EB6" i="1" s="1"/>
  <c r="EA6" i="1" a="1"/>
  <c r="EA6" i="1"/>
  <c r="DZ6" i="1" a="1"/>
  <c r="DZ6" i="1"/>
  <c r="DZ7" i="1" s="1"/>
  <c r="DY6" i="1" a="1"/>
  <c r="DY6" i="1"/>
  <c r="DY7" i="1" s="1"/>
  <c r="DX6" i="1" a="1"/>
  <c r="DX6" i="1"/>
  <c r="DX8" i="1" s="1"/>
  <c r="DW6" i="1" a="1"/>
  <c r="DW6" i="1" s="1"/>
  <c r="DV6" i="1" a="1"/>
  <c r="DV6" i="1"/>
  <c r="DV7" i="1" s="1"/>
  <c r="DU6" i="1" a="1"/>
  <c r="DU6" i="1"/>
  <c r="DU7" i="1" s="1"/>
  <c r="DT6" i="1" a="1"/>
  <c r="DT6" i="1"/>
  <c r="DT8" i="1" s="1"/>
  <c r="DS6" i="1" a="1"/>
  <c r="DS6" i="1" s="1"/>
  <c r="DS8" i="1" s="1"/>
  <c r="DR6" i="1" a="1"/>
  <c r="DR6" i="1"/>
  <c r="DR7" i="1" s="1"/>
  <c r="DQ6" i="1" a="1"/>
  <c r="DQ6" i="1" s="1"/>
  <c r="DQ7" i="1" s="1"/>
  <c r="DP6" i="1" a="1"/>
  <c r="DP6" i="1"/>
  <c r="DP7" i="1" s="1"/>
  <c r="DO6" i="1" a="1"/>
  <c r="DO6" i="1"/>
  <c r="DO7" i="1" s="1"/>
  <c r="DN6" i="1" a="1"/>
  <c r="DN6" i="1"/>
  <c r="DN7" i="1" s="1"/>
  <c r="DM6" i="1" a="1"/>
  <c r="DM6" i="1"/>
  <c r="DM7" i="1" s="1"/>
  <c r="DL6" i="1" a="1"/>
  <c r="DL6" i="1"/>
  <c r="DL8" i="1" s="1"/>
  <c r="DK6" i="1" a="1"/>
  <c r="DK6" i="1"/>
  <c r="DK7" i="1" s="1"/>
  <c r="DJ6" i="1" a="1"/>
  <c r="DJ6" i="1" s="1"/>
  <c r="DI6" i="1" a="1"/>
  <c r="DI6" i="1"/>
  <c r="DI8" i="1" s="1"/>
  <c r="DH6" i="1" a="1"/>
  <c r="DH6" i="1" s="1"/>
  <c r="DH8" i="1" s="1"/>
  <c r="DG6" i="1" a="1"/>
  <c r="DG6" i="1"/>
  <c r="DG7" i="1" s="1"/>
  <c r="DF6" i="1" a="1"/>
  <c r="DF6" i="1" s="1"/>
  <c r="DE6" i="1" a="1"/>
  <c r="DE6" i="1" s="1"/>
  <c r="DD6" i="1" a="1"/>
  <c r="DD6" i="1"/>
  <c r="DD7" i="1" s="1"/>
  <c r="DC6" i="1" a="1"/>
  <c r="DC6" i="1"/>
  <c r="DC7" i="1" s="1"/>
  <c r="DB6" i="1" a="1"/>
  <c r="DB6" i="1"/>
  <c r="DB7" i="1" s="1"/>
  <c r="DA6" i="1" a="1"/>
  <c r="DA6" i="1"/>
  <c r="DA8" i="1" s="1"/>
  <c r="CZ6" i="1" a="1"/>
  <c r="CZ6" i="1"/>
  <c r="CZ7" i="1" s="1"/>
  <c r="CY6" i="1" a="1"/>
  <c r="CY6" i="1" s="1"/>
  <c r="CX6" i="1" a="1"/>
  <c r="CX6" i="1" s="1"/>
  <c r="CW6" i="1" a="1"/>
  <c r="CW6" i="1" s="1"/>
  <c r="CW8" i="1" s="1"/>
  <c r="CV6" i="1" a="1"/>
  <c r="CV6" i="1"/>
  <c r="CV7" i="1" s="1"/>
  <c r="CU6" i="1" a="1"/>
  <c r="CU6" i="1" s="1"/>
  <c r="CU7" i="1" s="1"/>
  <c r="CT6" i="1" a="1"/>
  <c r="CT6" i="1" s="1"/>
  <c r="CS6" i="1" a="1"/>
  <c r="CS6" i="1" s="1"/>
  <c r="CR6" i="1" a="1"/>
  <c r="CR6" i="1"/>
  <c r="CR7" i="1" s="1"/>
  <c r="CQ6" i="1" a="1"/>
  <c r="CQ6" i="1"/>
  <c r="CQ8" i="1" s="1"/>
  <c r="CP6" i="1" a="1"/>
  <c r="CP6" i="1"/>
  <c r="CP8" i="1" s="1"/>
  <c r="CO6" i="1" a="1"/>
  <c r="CO6" i="1"/>
  <c r="CO7" i="1" s="1"/>
  <c r="CN6" i="1" a="1"/>
  <c r="CN6" i="1"/>
  <c r="CN7" i="1" s="1"/>
  <c r="CM6" i="1" a="1"/>
  <c r="CM6" i="1" s="1"/>
  <c r="CL6" i="1" a="1"/>
  <c r="CL6" i="1" s="1"/>
  <c r="CL8" i="1" s="1"/>
  <c r="CK6" i="1" a="1"/>
  <c r="CK6" i="1"/>
  <c r="CK7" i="1" s="1"/>
  <c r="CJ6" i="1" a="1"/>
  <c r="CJ6" i="1" s="1"/>
  <c r="CJ7" i="1" s="1"/>
  <c r="CI6" i="1" a="1"/>
  <c r="CI6" i="1"/>
  <c r="CI8" i="1" s="1"/>
  <c r="CH6" i="1" a="1"/>
  <c r="CH6" i="1" s="1"/>
  <c r="CG6" i="1" a="1"/>
  <c r="CG6" i="1" s="1"/>
  <c r="CF6" i="1" a="1"/>
  <c r="CF6" i="1"/>
  <c r="CE6" i="1" a="1"/>
  <c r="CE6" i="1"/>
  <c r="CE8" i="1" s="1"/>
  <c r="CD6" i="1" a="1"/>
  <c r="CD6" i="1"/>
  <c r="CD7" i="1" s="1"/>
  <c r="CC6" i="1" a="1"/>
  <c r="CC6" i="1"/>
  <c r="CC7" i="1" s="1"/>
  <c r="CB6" i="1" a="1"/>
  <c r="CB6" i="1"/>
  <c r="CB8" i="1" s="1"/>
  <c r="CA6" i="1" a="1"/>
  <c r="CA6" i="1" s="1"/>
  <c r="CA8" i="1" s="1"/>
  <c r="BZ6" i="1" a="1"/>
  <c r="BZ6" i="1"/>
  <c r="BZ8" i="1" s="1"/>
  <c r="BY6" i="1" a="1"/>
  <c r="BY6" i="1" s="1"/>
  <c r="BY7" i="1" s="1"/>
  <c r="BX6" i="1" a="1"/>
  <c r="BX6" i="1"/>
  <c r="BX7" i="1" s="1"/>
  <c r="BW6" i="1" a="1"/>
  <c r="BW6" i="1"/>
  <c r="BW7" i="1" s="1"/>
  <c r="BV6" i="1" a="1"/>
  <c r="BV6" i="1" s="1"/>
  <c r="BU6" i="1" a="1"/>
  <c r="BU6" i="1"/>
  <c r="BU7" i="1" s="1"/>
  <c r="BT6" i="1" a="1"/>
  <c r="BT6" i="1"/>
  <c r="BT8" i="1" s="1"/>
  <c r="BS6" i="1" a="1"/>
  <c r="BS6" i="1"/>
  <c r="BS7" i="1" s="1"/>
  <c r="BR6" i="1" a="1"/>
  <c r="BR6" i="1"/>
  <c r="BR7" i="1" s="1"/>
  <c r="BQ6" i="1" a="1"/>
  <c r="BQ6" i="1"/>
  <c r="BQ8" i="1" s="1"/>
  <c r="BP6" i="1" a="1"/>
  <c r="BP6" i="1" s="1"/>
  <c r="BP8" i="1" s="1"/>
  <c r="BO6" i="1" a="1"/>
  <c r="BO6" i="1" s="1"/>
  <c r="BN6" i="1" a="1"/>
  <c r="BN6" i="1" s="1"/>
  <c r="BM6" i="1" a="1"/>
  <c r="BM6" i="1" s="1"/>
  <c r="BL6" i="1" a="1"/>
  <c r="BL6" i="1"/>
  <c r="BL8" i="1" s="1"/>
  <c r="BK6" i="1" a="1"/>
  <c r="BK6" i="1"/>
  <c r="BK7" i="1" s="1"/>
  <c r="BJ6" i="1" a="1"/>
  <c r="BJ6" i="1"/>
  <c r="BJ7" i="1" s="1"/>
  <c r="BI6" i="1" a="1"/>
  <c r="BI6" i="1" s="1"/>
  <c r="BH6" i="1" a="1"/>
  <c r="BH6" i="1"/>
  <c r="BH7" i="1" s="1"/>
  <c r="BG6" i="1" a="1"/>
  <c r="BG6" i="1"/>
  <c r="BG7" i="1" s="1"/>
  <c r="BF6" i="1" a="1"/>
  <c r="BF6" i="1"/>
  <c r="BF8" i="1" s="1"/>
  <c r="BE6" i="1" a="1"/>
  <c r="BE6" i="1" s="1"/>
  <c r="BE8" i="1" s="1"/>
  <c r="BD6" i="1" a="1"/>
  <c r="BD6" i="1" s="1"/>
  <c r="BC6" i="1" a="1"/>
  <c r="BC6" i="1" s="1"/>
  <c r="BC8" i="1" s="1"/>
  <c r="BB6" i="1" a="1"/>
  <c r="BB6" i="1" s="1"/>
  <c r="BA6" i="1" a="1"/>
  <c r="BA6" i="1" s="1"/>
  <c r="AZ6" i="1" a="1"/>
  <c r="AZ6" i="1"/>
  <c r="AZ7" i="1" s="1"/>
  <c r="AY6" i="1" a="1"/>
  <c r="AY6" i="1"/>
  <c r="AY8" i="1" s="1"/>
  <c r="AX6" i="1" a="1"/>
  <c r="AX6" i="1" s="1"/>
  <c r="AW6" i="1" a="1"/>
  <c r="AW6" i="1"/>
  <c r="AW8" i="1" s="1"/>
  <c r="AV6" i="1" a="1"/>
  <c r="AV6" i="1"/>
  <c r="AV7" i="1" s="1"/>
  <c r="AU6" i="1" a="1"/>
  <c r="AU6" i="1"/>
  <c r="AU8" i="1" s="1"/>
  <c r="AT6" i="1" a="1"/>
  <c r="AT6" i="1" s="1"/>
  <c r="AT8" i="1" s="1"/>
  <c r="AS6" i="1" a="1"/>
  <c r="AS6" i="1"/>
  <c r="AS8" i="1" s="1"/>
  <c r="AR6" i="1" a="1"/>
  <c r="AR6" i="1" s="1"/>
  <c r="AR8" i="1" s="1"/>
  <c r="AQ6" i="1" a="1"/>
  <c r="AQ6" i="1"/>
  <c r="AQ8" i="1" s="1"/>
  <c r="AP6" i="1" a="1"/>
  <c r="AP6" i="1" s="1"/>
  <c r="AO6" i="1" a="1"/>
  <c r="AO6" i="1" s="1"/>
  <c r="AN6" i="1" a="1"/>
  <c r="AN6" i="1"/>
  <c r="AM6" i="1" a="1"/>
  <c r="AM6" i="1"/>
  <c r="AM8" i="1" s="1"/>
  <c r="AL6" i="1" a="1"/>
  <c r="AL6" i="1"/>
  <c r="AL8" i="1" s="1"/>
  <c r="AK6" i="1" a="1"/>
  <c r="AK6" i="1" s="1"/>
  <c r="AJ6" i="1" a="1"/>
  <c r="AJ6" i="1"/>
  <c r="AJ8" i="1" s="1"/>
  <c r="AI6" i="1" a="1"/>
  <c r="AI6" i="1" s="1"/>
  <c r="AI8" i="1" s="1"/>
  <c r="AH6" i="1" a="1"/>
  <c r="AH6" i="1"/>
  <c r="AH7" i="1" s="1"/>
  <c r="AG6" i="1" a="1"/>
  <c r="AG6" i="1" s="1"/>
  <c r="AG8" i="1" s="1"/>
  <c r="AF6" i="1" a="1"/>
  <c r="AF6" i="1"/>
  <c r="AF8" i="1" s="1"/>
  <c r="AE6" i="1" a="1"/>
  <c r="AE6" i="1"/>
  <c r="AE8" i="1" s="1"/>
  <c r="AD6" i="1" a="1"/>
  <c r="AD6" i="1" s="1"/>
  <c r="AC6" i="1" a="1"/>
  <c r="AC6" i="1"/>
  <c r="AB6" i="1" a="1"/>
  <c r="AB6" i="1"/>
  <c r="AB8" i="1" s="1"/>
  <c r="AA6" i="1" a="1"/>
  <c r="AA6" i="1"/>
  <c r="AA8" i="1" s="1"/>
  <c r="Z6" i="1" a="1"/>
  <c r="Z6" i="1" s="1"/>
  <c r="Y6" i="1" a="1"/>
  <c r="Y6" i="1" s="1"/>
  <c r="X6" i="1" a="1"/>
  <c r="X6" i="1" s="1"/>
  <c r="X8" i="1" s="1"/>
  <c r="W6" i="1" a="1"/>
  <c r="W6" i="1" s="1"/>
  <c r="V6" i="1" a="1"/>
  <c r="V6" i="1" s="1"/>
  <c r="V7" i="1" s="1"/>
  <c r="U6" i="1" a="1"/>
  <c r="U6" i="1"/>
  <c r="U7" i="1" s="1"/>
  <c r="T6" i="1" a="1"/>
  <c r="T6" i="1"/>
  <c r="T7" i="1" s="1"/>
  <c r="S6" i="1" a="1"/>
  <c r="S6" i="1"/>
  <c r="S7" i="1" s="1"/>
  <c r="R6" i="1" a="1"/>
  <c r="R6" i="1" s="1"/>
  <c r="Q6" i="1" a="1"/>
  <c r="Q6" i="1" s="1"/>
  <c r="P6" i="1" a="1"/>
  <c r="P6" i="1"/>
  <c r="P8" i="1" s="1"/>
  <c r="O6" i="1" a="1"/>
  <c r="O6" i="1"/>
  <c r="O7" i="1" s="1"/>
  <c r="N6" i="1" a="1"/>
  <c r="N6" i="1" s="1"/>
  <c r="M6" i="1" a="1"/>
  <c r="M6" i="1" s="1"/>
  <c r="L6" i="1" a="1"/>
  <c r="L6" i="1"/>
  <c r="K6" i="1" a="1"/>
  <c r="K6" i="1" s="1"/>
  <c r="J6" i="1" a="1"/>
  <c r="J6" i="1"/>
  <c r="I6" i="1" a="1"/>
  <c r="I6" i="1"/>
  <c r="I7" i="1" s="1"/>
  <c r="H6" i="1" a="1"/>
  <c r="H6" i="1" s="1"/>
  <c r="G6" i="1" a="1"/>
  <c r="G6" i="1" s="1"/>
  <c r="F6" i="1" a="1"/>
  <c r="F6" i="1"/>
  <c r="F8" i="1" s="1"/>
  <c r="E6" i="1" a="1"/>
  <c r="E6" i="1"/>
  <c r="E7" i="1" s="1"/>
  <c r="D6" i="1" a="1"/>
  <c r="D6" i="1"/>
  <c r="D7" i="1" s="1"/>
  <c r="C6" i="1" a="1"/>
  <c r="C6" i="1"/>
  <c r="C8" i="1" s="1"/>
  <c r="EI14" i="2" l="1"/>
  <c r="EI21" i="2"/>
  <c r="CQ8" i="8"/>
  <c r="CQ7" i="8"/>
  <c r="G8" i="8"/>
  <c r="G7" i="8"/>
  <c r="N8" i="8"/>
  <c r="N7" i="8"/>
  <c r="AE8" i="8"/>
  <c r="AE7" i="8"/>
  <c r="AM7" i="8"/>
  <c r="AM8" i="8"/>
  <c r="BC8" i="8"/>
  <c r="BC7" i="8"/>
  <c r="BR8" i="8"/>
  <c r="BR7" i="8"/>
  <c r="CH8" i="8"/>
  <c r="CH7" i="8"/>
  <c r="CP7" i="8"/>
  <c r="CP8" i="8"/>
  <c r="DF8" i="8"/>
  <c r="DF7" i="8"/>
  <c r="DV7" i="8"/>
  <c r="DV8" i="8"/>
  <c r="O8" i="8"/>
  <c r="O7" i="8"/>
  <c r="P7" i="8"/>
  <c r="P8" i="8"/>
  <c r="AV8" i="8"/>
  <c r="AV7" i="8"/>
  <c r="BT7" i="8"/>
  <c r="BT8" i="8"/>
  <c r="CY8" i="8"/>
  <c r="CY7" i="8"/>
  <c r="EE8" i="8"/>
  <c r="EE7" i="8"/>
  <c r="I8" i="8"/>
  <c r="I7" i="8"/>
  <c r="Q7" i="8"/>
  <c r="Q8" i="8"/>
  <c r="AG8" i="8"/>
  <c r="AG7" i="8"/>
  <c r="AW7" i="8"/>
  <c r="AW8" i="8"/>
  <c r="BU8" i="8"/>
  <c r="BU7" i="8"/>
  <c r="CJ8" i="8"/>
  <c r="CJ7" i="8"/>
  <c r="CZ7" i="8"/>
  <c r="CZ8" i="8"/>
  <c r="DX8" i="8"/>
  <c r="DX7" i="8"/>
  <c r="EF8" i="8"/>
  <c r="EF7" i="8"/>
  <c r="ED8" i="8"/>
  <c r="ED7" i="8"/>
  <c r="R8" i="8"/>
  <c r="R7" i="8"/>
  <c r="Y8" i="8"/>
  <c r="Y7" i="8"/>
  <c r="AP8" i="8"/>
  <c r="AP7" i="8"/>
  <c r="AX7" i="8"/>
  <c r="AX8" i="8"/>
  <c r="CB8" i="8"/>
  <c r="CB7" i="8"/>
  <c r="CS8" i="8"/>
  <c r="CS7" i="8"/>
  <c r="DA7" i="8"/>
  <c r="DA8" i="8"/>
  <c r="DQ8" i="8"/>
  <c r="DQ7" i="8"/>
  <c r="AU8" i="8"/>
  <c r="AU7" i="8"/>
  <c r="DO8" i="8"/>
  <c r="DO7" i="8"/>
  <c r="Z8" i="8"/>
  <c r="Z7" i="8"/>
  <c r="AY8" i="8"/>
  <c r="AY7" i="8"/>
  <c r="BF8" i="8"/>
  <c r="BF7" i="8"/>
  <c r="CC8" i="8"/>
  <c r="CC7" i="8"/>
  <c r="DB8" i="8"/>
  <c r="DB7" i="8"/>
  <c r="DI8" i="8"/>
  <c r="DI7" i="8"/>
  <c r="CX8" i="8"/>
  <c r="CX7" i="8"/>
  <c r="K8" i="8"/>
  <c r="K7" i="8"/>
  <c r="AA7" i="8"/>
  <c r="AA8" i="8"/>
  <c r="BG8" i="8"/>
  <c r="BG7" i="8"/>
  <c r="BW8" i="8"/>
  <c r="BW7" i="8"/>
  <c r="CD7" i="8"/>
  <c r="CD8" i="8"/>
  <c r="DJ8" i="8"/>
  <c r="DJ7" i="8"/>
  <c r="DZ8" i="8"/>
  <c r="DZ7" i="8"/>
  <c r="AN8" i="8"/>
  <c r="AN7" i="8"/>
  <c r="BL8" i="8"/>
  <c r="BL7" i="8"/>
  <c r="C8" i="8"/>
  <c r="C7" i="8"/>
  <c r="T8" i="8"/>
  <c r="T7" i="8"/>
  <c r="AB7" i="8"/>
  <c r="AB8" i="8"/>
  <c r="AR8" i="8"/>
  <c r="AR7" i="8"/>
  <c r="BH7" i="8"/>
  <c r="BH8" i="8"/>
  <c r="CE7" i="8"/>
  <c r="CE8" i="8"/>
  <c r="CU8" i="8"/>
  <c r="CU7" i="8"/>
  <c r="DK7" i="8"/>
  <c r="DK8" i="8"/>
  <c r="D8" i="8"/>
  <c r="D7" i="8"/>
  <c r="AC8" i="8"/>
  <c r="AC7" i="8"/>
  <c r="AJ8" i="8"/>
  <c r="AJ7" i="8"/>
  <c r="BA8" i="8"/>
  <c r="BA7" i="8"/>
  <c r="BI7" i="8"/>
  <c r="BI8" i="8"/>
  <c r="CF8" i="8"/>
  <c r="CF7" i="8"/>
  <c r="CM8" i="8"/>
  <c r="CM7" i="8"/>
  <c r="DD8" i="8"/>
  <c r="DD7" i="8"/>
  <c r="DL7" i="8"/>
  <c r="DL8" i="8"/>
  <c r="E7" i="8"/>
  <c r="E8" i="8"/>
  <c r="AK8" i="8"/>
  <c r="AK7" i="8"/>
  <c r="BJ8" i="8"/>
  <c r="BJ7" i="8"/>
  <c r="CN8" i="8"/>
  <c r="CN7" i="8"/>
  <c r="DM8" i="8"/>
  <c r="DM7" i="8"/>
  <c r="DT8" i="8"/>
  <c r="DT7" i="8"/>
  <c r="EB8" i="8"/>
  <c r="EB7" i="8"/>
  <c r="BS7" i="8"/>
  <c r="BS8" i="8"/>
  <c r="F7" i="8"/>
  <c r="F8" i="8"/>
  <c r="V8" i="8"/>
  <c r="V7" i="8"/>
  <c r="AL7" i="8"/>
  <c r="AL8" i="8"/>
  <c r="BQ8" i="8"/>
  <c r="BQ7" i="8"/>
  <c r="CO7" i="8"/>
  <c r="CO8" i="8"/>
  <c r="DU8" i="8"/>
  <c r="DU7" i="8"/>
  <c r="AO8" i="8"/>
  <c r="H8" i="8"/>
  <c r="S8" i="8"/>
  <c r="AD7" i="8"/>
  <c r="AZ7" i="8"/>
  <c r="BK7" i="8"/>
  <c r="BV7" i="8"/>
  <c r="CG7" i="8"/>
  <c r="CR7" i="8"/>
  <c r="DC7" i="8"/>
  <c r="DN7" i="8"/>
  <c r="L7" i="8"/>
  <c r="W7" i="8"/>
  <c r="AH7" i="8"/>
  <c r="AS7" i="8"/>
  <c r="BD7" i="8"/>
  <c r="BO7" i="8"/>
  <c r="BZ7" i="8"/>
  <c r="CK7" i="8"/>
  <c r="CV7" i="8"/>
  <c r="DG7" i="8"/>
  <c r="DR7" i="8"/>
  <c r="M7" i="8"/>
  <c r="X7" i="8"/>
  <c r="AI7" i="8"/>
  <c r="AT7" i="8"/>
  <c r="BE7" i="8"/>
  <c r="BP7" i="8"/>
  <c r="CA7" i="8"/>
  <c r="CL7" i="8"/>
  <c r="CW7" i="8"/>
  <c r="DH7" i="8"/>
  <c r="DS7" i="8"/>
  <c r="I8" i="5"/>
  <c r="I7" i="5"/>
  <c r="R8" i="5"/>
  <c r="R7" i="5"/>
  <c r="AI8" i="5"/>
  <c r="AI7" i="5"/>
  <c r="J8" i="5"/>
  <c r="J7" i="5"/>
  <c r="AA7" i="5"/>
  <c r="AA8" i="5"/>
  <c r="BA8" i="5"/>
  <c r="BA7" i="5"/>
  <c r="BJ8" i="5"/>
  <c r="BJ7" i="5"/>
  <c r="BR8" i="5"/>
  <c r="BR7" i="5"/>
  <c r="CA8" i="5"/>
  <c r="CA7" i="5"/>
  <c r="CJ7" i="5"/>
  <c r="CJ8" i="5"/>
  <c r="DA7" i="5"/>
  <c r="DA8" i="5"/>
  <c r="K7" i="5"/>
  <c r="K8" i="5"/>
  <c r="AB7" i="5"/>
  <c r="AB8" i="5"/>
  <c r="BB8" i="5"/>
  <c r="BB7" i="5"/>
  <c r="BS7" i="5"/>
  <c r="BS8" i="5"/>
  <c r="CS8" i="5"/>
  <c r="CS7" i="5"/>
  <c r="DB8" i="5"/>
  <c r="DB7" i="5"/>
  <c r="DJ8" i="5"/>
  <c r="DJ7" i="5"/>
  <c r="DZ8" i="5"/>
  <c r="DZ7" i="5"/>
  <c r="T8" i="5"/>
  <c r="T7" i="5"/>
  <c r="AC8" i="5"/>
  <c r="AC7" i="5"/>
  <c r="AK8" i="5"/>
  <c r="AK7" i="5"/>
  <c r="AT8" i="5"/>
  <c r="AT7" i="5"/>
  <c r="BC7" i="5"/>
  <c r="BC8" i="5"/>
  <c r="BT7" i="5"/>
  <c r="BT8" i="5"/>
  <c r="CT8" i="5"/>
  <c r="CT7" i="5"/>
  <c r="DK7" i="5"/>
  <c r="DK8" i="5"/>
  <c r="DS8" i="5"/>
  <c r="DS7" i="5"/>
  <c r="EA8" i="5"/>
  <c r="EA7" i="5"/>
  <c r="U8" i="5"/>
  <c r="U7" i="5"/>
  <c r="AL7" i="5"/>
  <c r="AL8" i="5"/>
  <c r="BL8" i="5"/>
  <c r="BL7" i="5"/>
  <c r="BU8" i="5"/>
  <c r="BU7" i="5"/>
  <c r="CC8" i="5"/>
  <c r="CC7" i="5"/>
  <c r="CL8" i="5"/>
  <c r="CL7" i="5"/>
  <c r="CU7" i="5"/>
  <c r="CU8" i="5"/>
  <c r="EB7" i="5"/>
  <c r="EB8" i="5"/>
  <c r="CZ7" i="5"/>
  <c r="CZ8" i="5"/>
  <c r="D8" i="5"/>
  <c r="D7" i="5"/>
  <c r="M8" i="5"/>
  <c r="M7" i="5"/>
  <c r="V7" i="5"/>
  <c r="V8" i="5"/>
  <c r="AM7" i="5"/>
  <c r="AM8" i="5"/>
  <c r="BM8" i="5"/>
  <c r="BM7" i="5"/>
  <c r="CD7" i="5"/>
  <c r="CD8" i="5"/>
  <c r="DD8" i="5"/>
  <c r="DD7" i="5"/>
  <c r="E7" i="5"/>
  <c r="E8" i="5"/>
  <c r="AE8" i="5"/>
  <c r="AE7" i="5"/>
  <c r="AN8" i="5"/>
  <c r="AN7" i="5"/>
  <c r="AV8" i="5"/>
  <c r="AV7" i="5"/>
  <c r="BE8" i="5"/>
  <c r="BE7" i="5"/>
  <c r="BN7" i="5"/>
  <c r="BN8" i="5"/>
  <c r="CE7" i="5"/>
  <c r="CE8" i="5"/>
  <c r="DE8" i="5"/>
  <c r="DE7" i="5"/>
  <c r="DM8" i="5"/>
  <c r="DM7" i="5"/>
  <c r="DU8" i="5"/>
  <c r="DU7" i="5"/>
  <c r="CI8" i="5"/>
  <c r="CI7" i="5"/>
  <c r="F7" i="5"/>
  <c r="F8" i="5"/>
  <c r="AF8" i="5"/>
  <c r="AF7" i="5"/>
  <c r="AW7" i="5"/>
  <c r="AW8" i="5"/>
  <c r="BW8" i="5"/>
  <c r="BW7" i="5"/>
  <c r="CF8" i="5"/>
  <c r="CF7" i="5"/>
  <c r="CN8" i="5"/>
  <c r="CN7" i="5"/>
  <c r="CW8" i="5"/>
  <c r="CW7" i="5"/>
  <c r="DF7" i="5"/>
  <c r="DF8" i="5"/>
  <c r="DV7" i="5"/>
  <c r="DV8" i="5"/>
  <c r="ED8" i="5"/>
  <c r="ED7" i="5"/>
  <c r="G8" i="5"/>
  <c r="G7" i="5"/>
  <c r="O8" i="5"/>
  <c r="O7" i="5"/>
  <c r="X8" i="5"/>
  <c r="X7" i="5"/>
  <c r="AG7" i="5"/>
  <c r="AG8" i="5"/>
  <c r="AX7" i="5"/>
  <c r="AX8" i="5"/>
  <c r="BX8" i="5"/>
  <c r="BX7" i="5"/>
  <c r="CO7" i="5"/>
  <c r="CO8" i="5"/>
  <c r="AR7" i="5"/>
  <c r="AR8" i="5"/>
  <c r="DQ7" i="5"/>
  <c r="DQ8" i="5"/>
  <c r="P7" i="5"/>
  <c r="P8" i="5"/>
  <c r="AP8" i="5"/>
  <c r="AP7" i="5"/>
  <c r="AY8" i="5"/>
  <c r="AY7" i="5"/>
  <c r="BG8" i="5"/>
  <c r="BG7" i="5"/>
  <c r="BP8" i="5"/>
  <c r="BP7" i="5"/>
  <c r="BY7" i="5"/>
  <c r="BY8" i="5"/>
  <c r="CP7" i="5"/>
  <c r="CP8" i="5"/>
  <c r="DO8" i="5"/>
  <c r="DO7" i="5"/>
  <c r="Z8" i="5"/>
  <c r="Z7" i="5"/>
  <c r="BI7" i="5"/>
  <c r="BI8" i="5"/>
  <c r="Q7" i="5"/>
  <c r="Q8" i="5"/>
  <c r="AQ8" i="5"/>
  <c r="AQ7" i="5"/>
  <c r="BH7" i="5"/>
  <c r="BH8" i="5"/>
  <c r="CH8" i="5"/>
  <c r="CH7" i="5"/>
  <c r="CQ8" i="5"/>
  <c r="CQ7" i="5"/>
  <c r="CY8" i="5"/>
  <c r="CY7" i="5"/>
  <c r="DH8" i="5"/>
  <c r="DH7" i="5"/>
  <c r="DP8" i="5"/>
  <c r="DP7" i="5"/>
  <c r="DX8" i="5"/>
  <c r="DX7" i="5"/>
  <c r="EF8" i="5"/>
  <c r="EF7" i="5"/>
  <c r="H7" i="5"/>
  <c r="S7" i="5"/>
  <c r="AD7" i="5"/>
  <c r="L7" i="5"/>
  <c r="W7" i="5"/>
  <c r="AH7" i="5"/>
  <c r="AS7" i="5"/>
  <c r="BD7" i="5"/>
  <c r="BO7" i="5"/>
  <c r="BZ7" i="5"/>
  <c r="CK7" i="5"/>
  <c r="CV7" i="5"/>
  <c r="DG7" i="5"/>
  <c r="DR7" i="5"/>
  <c r="EC7" i="5"/>
  <c r="C7" i="5"/>
  <c r="N7" i="5"/>
  <c r="Y7" i="5"/>
  <c r="AJ7" i="5"/>
  <c r="AU7" i="5"/>
  <c r="BF7" i="5"/>
  <c r="BQ7" i="5"/>
  <c r="CB7" i="5"/>
  <c r="CM7" i="5"/>
  <c r="CX7" i="5"/>
  <c r="DI7" i="5"/>
  <c r="DT7" i="5"/>
  <c r="EE7" i="5"/>
  <c r="C8" i="4"/>
  <c r="C7" i="4"/>
  <c r="K8" i="4"/>
  <c r="K7" i="4"/>
  <c r="AC8" i="4"/>
  <c r="AC7" i="4"/>
  <c r="AK8" i="4"/>
  <c r="AK7" i="4"/>
  <c r="BB8" i="4"/>
  <c r="BB7" i="4"/>
  <c r="BT7" i="4"/>
  <c r="BT8" i="4"/>
  <c r="CB8" i="4"/>
  <c r="CB7" i="4"/>
  <c r="DK7" i="4"/>
  <c r="DK8" i="4"/>
  <c r="D8" i="4"/>
  <c r="D7" i="4"/>
  <c r="AL7" i="4"/>
  <c r="AL8" i="4"/>
  <c r="AT8" i="4"/>
  <c r="AT7" i="4"/>
  <c r="BC8" i="4"/>
  <c r="BC7" i="4"/>
  <c r="BU8" i="4"/>
  <c r="BU7" i="4"/>
  <c r="CC8" i="4"/>
  <c r="CC7" i="4"/>
  <c r="CT8" i="4"/>
  <c r="CT7" i="4"/>
  <c r="DS8" i="4"/>
  <c r="DS7" i="4"/>
  <c r="EA8" i="4"/>
  <c r="EA7" i="4"/>
  <c r="E7" i="4"/>
  <c r="E8" i="4"/>
  <c r="U8" i="4"/>
  <c r="U7" i="4"/>
  <c r="AM7" i="4"/>
  <c r="AM8" i="4"/>
  <c r="AU8" i="4"/>
  <c r="AU7" i="4"/>
  <c r="CD7" i="4"/>
  <c r="CD8" i="4"/>
  <c r="CL8" i="4"/>
  <c r="CL7" i="4"/>
  <c r="CU8" i="4"/>
  <c r="CU7" i="4"/>
  <c r="DT8" i="4"/>
  <c r="DT7" i="4"/>
  <c r="EB8" i="4"/>
  <c r="EB7" i="4"/>
  <c r="M8" i="4"/>
  <c r="M7" i="4"/>
  <c r="V8" i="4"/>
  <c r="V7" i="4"/>
  <c r="AN8" i="4"/>
  <c r="AN7" i="4"/>
  <c r="AV8" i="4"/>
  <c r="AV7" i="4"/>
  <c r="BM8" i="4"/>
  <c r="BM7" i="4"/>
  <c r="CE7" i="4"/>
  <c r="CE8" i="4"/>
  <c r="CM8" i="4"/>
  <c r="CM7" i="4"/>
  <c r="DM8" i="4"/>
  <c r="DM7" i="4"/>
  <c r="DU8" i="4"/>
  <c r="DU7" i="4"/>
  <c r="N8" i="4"/>
  <c r="N7" i="4"/>
  <c r="AW7" i="4"/>
  <c r="AW8" i="4"/>
  <c r="BE8" i="4"/>
  <c r="BE7" i="4"/>
  <c r="BN8" i="4"/>
  <c r="BN7" i="4"/>
  <c r="CF8" i="4"/>
  <c r="CF7" i="4"/>
  <c r="CN8" i="4"/>
  <c r="CN7" i="4"/>
  <c r="DE8" i="4"/>
  <c r="DE7" i="4"/>
  <c r="DV7" i="4"/>
  <c r="DV8" i="4"/>
  <c r="G8" i="4"/>
  <c r="G7" i="4"/>
  <c r="O8" i="4"/>
  <c r="O7" i="4"/>
  <c r="AF8" i="4"/>
  <c r="AF7" i="4"/>
  <c r="AX7" i="4"/>
  <c r="AX8" i="4"/>
  <c r="BF8" i="4"/>
  <c r="BF7" i="4"/>
  <c r="CO7" i="4"/>
  <c r="CO8" i="4"/>
  <c r="CW8" i="4"/>
  <c r="CW7" i="4"/>
  <c r="DF8" i="4"/>
  <c r="DF7" i="4"/>
  <c r="ED8" i="4"/>
  <c r="ED7" i="4"/>
  <c r="P7" i="4"/>
  <c r="P8" i="4"/>
  <c r="X8" i="4"/>
  <c r="X7" i="4"/>
  <c r="AG8" i="4"/>
  <c r="AG7" i="4"/>
  <c r="AY8" i="4"/>
  <c r="AY7" i="4"/>
  <c r="BG8" i="4"/>
  <c r="BG7" i="4"/>
  <c r="BX8" i="4"/>
  <c r="BX7" i="4"/>
  <c r="CP7" i="4"/>
  <c r="CP8" i="4"/>
  <c r="CX8" i="4"/>
  <c r="CX7" i="4"/>
  <c r="EE8" i="4"/>
  <c r="EE7" i="4"/>
  <c r="Q7" i="4"/>
  <c r="Q8" i="4"/>
  <c r="Y8" i="4"/>
  <c r="Y7" i="4"/>
  <c r="BH7" i="4"/>
  <c r="BH8" i="4"/>
  <c r="BP8" i="4"/>
  <c r="BP7" i="4"/>
  <c r="BY8" i="4"/>
  <c r="BY7" i="4"/>
  <c r="CQ8" i="4"/>
  <c r="CQ7" i="4"/>
  <c r="CY8" i="4"/>
  <c r="CY7" i="4"/>
  <c r="DX8" i="4"/>
  <c r="DX7" i="4"/>
  <c r="EF8" i="4"/>
  <c r="EF7" i="4"/>
  <c r="R8" i="4"/>
  <c r="R7" i="4"/>
  <c r="Z8" i="4"/>
  <c r="Z7" i="4"/>
  <c r="AQ8" i="4"/>
  <c r="AQ7" i="4"/>
  <c r="BI7" i="4"/>
  <c r="BI8" i="4"/>
  <c r="BQ8" i="4"/>
  <c r="BQ7" i="4"/>
  <c r="CZ7" i="4"/>
  <c r="CZ8" i="4"/>
  <c r="DH8" i="4"/>
  <c r="DH7" i="4"/>
  <c r="DP8" i="4"/>
  <c r="DP7" i="4"/>
  <c r="AA7" i="4"/>
  <c r="AA8" i="4"/>
  <c r="AI8" i="4"/>
  <c r="AI7" i="4"/>
  <c r="AR8" i="4"/>
  <c r="AR7" i="4"/>
  <c r="BJ8" i="4"/>
  <c r="BJ7" i="4"/>
  <c r="BR8" i="4"/>
  <c r="BR7" i="4"/>
  <c r="CI8" i="4"/>
  <c r="CI7" i="4"/>
  <c r="DA7" i="4"/>
  <c r="DA8" i="4"/>
  <c r="DI8" i="4"/>
  <c r="DI7" i="4"/>
  <c r="DQ8" i="4"/>
  <c r="DQ7" i="4"/>
  <c r="J8" i="4"/>
  <c r="J7" i="4"/>
  <c r="AB7" i="4"/>
  <c r="AB8" i="4"/>
  <c r="AJ8" i="4"/>
  <c r="AJ7" i="4"/>
  <c r="BS7" i="4"/>
  <c r="BS8" i="4"/>
  <c r="CA8" i="4"/>
  <c r="CA7" i="4"/>
  <c r="CJ8" i="4"/>
  <c r="CJ7" i="4"/>
  <c r="DB8" i="4"/>
  <c r="DB7" i="4"/>
  <c r="DJ8" i="4"/>
  <c r="DJ7" i="4"/>
  <c r="H7" i="4"/>
  <c r="S7" i="4"/>
  <c r="AD7" i="4"/>
  <c r="AO7" i="4"/>
  <c r="AZ7" i="4"/>
  <c r="BK7" i="4"/>
  <c r="BV7" i="4"/>
  <c r="CG7" i="4"/>
  <c r="CR7" i="4"/>
  <c r="DC7" i="4"/>
  <c r="DN7" i="4"/>
  <c r="DY7" i="4"/>
  <c r="I7" i="4"/>
  <c r="T7" i="4"/>
  <c r="AE7" i="4"/>
  <c r="AP7" i="4"/>
  <c r="BA7" i="4"/>
  <c r="BL7" i="4"/>
  <c r="BW7" i="4"/>
  <c r="CH7" i="4"/>
  <c r="CS7" i="4"/>
  <c r="DD7" i="4"/>
  <c r="DO7" i="4"/>
  <c r="DZ7" i="4"/>
  <c r="L7" i="4"/>
  <c r="W7" i="4"/>
  <c r="AH7" i="4"/>
  <c r="AS7" i="4"/>
  <c r="BD7" i="4"/>
  <c r="BO7" i="4"/>
  <c r="BZ7" i="4"/>
  <c r="CK7" i="4"/>
  <c r="CV7" i="4"/>
  <c r="DG7" i="4"/>
  <c r="DR7" i="4"/>
  <c r="EC7" i="4"/>
  <c r="EA8" i="3"/>
  <c r="EA7" i="3"/>
  <c r="AZ8" i="3"/>
  <c r="AZ7" i="3"/>
  <c r="BV8" i="3"/>
  <c r="BV7" i="3"/>
  <c r="CL7" i="3"/>
  <c r="CL8" i="3"/>
  <c r="DH7" i="3"/>
  <c r="DH8" i="3"/>
  <c r="EB8" i="3"/>
  <c r="EB7" i="3"/>
  <c r="X8" i="3"/>
  <c r="X7" i="3"/>
  <c r="AT8" i="3"/>
  <c r="AT7" i="3"/>
  <c r="BA8" i="3"/>
  <c r="BA7" i="3"/>
  <c r="BP7" i="3"/>
  <c r="BP8" i="3"/>
  <c r="BW8" i="3"/>
  <c r="BW7" i="3"/>
  <c r="CS8" i="3"/>
  <c r="CS7" i="3"/>
  <c r="I8" i="3"/>
  <c r="I7" i="3"/>
  <c r="AE8" i="3"/>
  <c r="AE7" i="3"/>
  <c r="BB8" i="3"/>
  <c r="BB7" i="3"/>
  <c r="BI7" i="3"/>
  <c r="BI8" i="3"/>
  <c r="BX8" i="3"/>
  <c r="BX7" i="3"/>
  <c r="CE7" i="3"/>
  <c r="CE8" i="3"/>
  <c r="CT8" i="3"/>
  <c r="CT7" i="3"/>
  <c r="DA7" i="3"/>
  <c r="DA8" i="3"/>
  <c r="DO8" i="3"/>
  <c r="DO7" i="3"/>
  <c r="BC8" i="3"/>
  <c r="BC7" i="3"/>
  <c r="BY7" i="3"/>
  <c r="BY8" i="3"/>
  <c r="CU7" i="3"/>
  <c r="CU8" i="3"/>
  <c r="DP8" i="3"/>
  <c r="DP7" i="3"/>
  <c r="ED7" i="3"/>
  <c r="ED8" i="3"/>
  <c r="J8" i="3"/>
  <c r="J7" i="3"/>
  <c r="AM7" i="3"/>
  <c r="AM8" i="3"/>
  <c r="K8" i="3"/>
  <c r="K7" i="3"/>
  <c r="AG8" i="3"/>
  <c r="AG7" i="3"/>
  <c r="DQ8" i="3"/>
  <c r="DQ7" i="3"/>
  <c r="Q7" i="3"/>
  <c r="Q8" i="3"/>
  <c r="CG8" i="3"/>
  <c r="CG7" i="3"/>
  <c r="DC8" i="3"/>
  <c r="DC7" i="3"/>
  <c r="AF8" i="3"/>
  <c r="AF7" i="3"/>
  <c r="S8" i="3"/>
  <c r="S7" i="3"/>
  <c r="AO8" i="3"/>
  <c r="AO7" i="3"/>
  <c r="BE8" i="3"/>
  <c r="BE7" i="3"/>
  <c r="CA8" i="3"/>
  <c r="CA7" i="3"/>
  <c r="CH8" i="3"/>
  <c r="CH7" i="3"/>
  <c r="CW8" i="3"/>
  <c r="CW7" i="3"/>
  <c r="DD8" i="3"/>
  <c r="DD7" i="3"/>
  <c r="M7" i="3"/>
  <c r="M8" i="3"/>
  <c r="T8" i="3"/>
  <c r="T7" i="3"/>
  <c r="AI8" i="3"/>
  <c r="AI7" i="3"/>
  <c r="AP8" i="3"/>
  <c r="AP7" i="3"/>
  <c r="BL8" i="3"/>
  <c r="BL7" i="3"/>
  <c r="CI8" i="3"/>
  <c r="CI7" i="3"/>
  <c r="CP7" i="3"/>
  <c r="CP8" i="3"/>
  <c r="DE8" i="3"/>
  <c r="DE7" i="3"/>
  <c r="DS8" i="3"/>
  <c r="DS7" i="3"/>
  <c r="F7" i="3"/>
  <c r="F8" i="3"/>
  <c r="U8" i="3"/>
  <c r="U7" i="3"/>
  <c r="AB7" i="3"/>
  <c r="AB8" i="3"/>
  <c r="AQ8" i="3"/>
  <c r="AQ7" i="3"/>
  <c r="AX7" i="3"/>
  <c r="AX8" i="3"/>
  <c r="BM8" i="3"/>
  <c r="BM7" i="3"/>
  <c r="BT7" i="3"/>
  <c r="BT8" i="3"/>
  <c r="CJ7" i="3"/>
  <c r="CJ8" i="3"/>
  <c r="DF8" i="3"/>
  <c r="DF7" i="3"/>
  <c r="V8" i="3"/>
  <c r="V7" i="3"/>
  <c r="AR8" i="3"/>
  <c r="AR7" i="3"/>
  <c r="BN7" i="3"/>
  <c r="BN8" i="3"/>
  <c r="DZ8" i="3"/>
  <c r="DZ7" i="3"/>
  <c r="G7" i="3"/>
  <c r="R7" i="3"/>
  <c r="AC7" i="3"/>
  <c r="AN7" i="3"/>
  <c r="AY7" i="3"/>
  <c r="BJ7" i="3"/>
  <c r="BU7" i="3"/>
  <c r="CF7" i="3"/>
  <c r="CQ7" i="3"/>
  <c r="DB7" i="3"/>
  <c r="DM7" i="3"/>
  <c r="DX7" i="3"/>
  <c r="E8" i="3"/>
  <c r="P8" i="3"/>
  <c r="AA8" i="3"/>
  <c r="AL8" i="3"/>
  <c r="AW8" i="3"/>
  <c r="BH8" i="3"/>
  <c r="BS8" i="3"/>
  <c r="CD8" i="3"/>
  <c r="CO8" i="3"/>
  <c r="CZ8" i="3"/>
  <c r="DK8" i="3"/>
  <c r="DV8" i="3"/>
  <c r="H7" i="3"/>
  <c r="AD7" i="3"/>
  <c r="BK7" i="3"/>
  <c r="CR7" i="3"/>
  <c r="DN7" i="3"/>
  <c r="DY7" i="3"/>
  <c r="L7" i="3"/>
  <c r="W7" i="3"/>
  <c r="AH7" i="3"/>
  <c r="AS7" i="3"/>
  <c r="BD7" i="3"/>
  <c r="BO7" i="3"/>
  <c r="BZ7" i="3"/>
  <c r="CK7" i="3"/>
  <c r="CV7" i="3"/>
  <c r="DG7" i="3"/>
  <c r="DR7" i="3"/>
  <c r="EC7" i="3"/>
  <c r="C7" i="3"/>
  <c r="N7" i="3"/>
  <c r="Y7" i="3"/>
  <c r="AJ7" i="3"/>
  <c r="AU7" i="3"/>
  <c r="BF7" i="3"/>
  <c r="BQ7" i="3"/>
  <c r="CB7" i="3"/>
  <c r="CM7" i="3"/>
  <c r="CX7" i="3"/>
  <c r="DI7" i="3"/>
  <c r="DT7" i="3"/>
  <c r="EE7" i="3"/>
  <c r="D7" i="3"/>
  <c r="O7" i="3"/>
  <c r="Z7" i="3"/>
  <c r="AK7" i="3"/>
  <c r="AV7" i="3"/>
  <c r="BG7" i="3"/>
  <c r="BR7" i="3"/>
  <c r="CC7" i="3"/>
  <c r="CN7" i="3"/>
  <c r="CY7" i="3"/>
  <c r="DJ7" i="3"/>
  <c r="DU7" i="3"/>
  <c r="EF7" i="3"/>
  <c r="R8" i="2"/>
  <c r="R7" i="2"/>
  <c r="AO8" i="2"/>
  <c r="AO7" i="2"/>
  <c r="G8" i="2"/>
  <c r="G7" i="2"/>
  <c r="AD8" i="2"/>
  <c r="AD7" i="2"/>
  <c r="BA8" i="2"/>
  <c r="BA7" i="2"/>
  <c r="BH7" i="2"/>
  <c r="BH8" i="2"/>
  <c r="BX8" i="2"/>
  <c r="BX7" i="2"/>
  <c r="CU8" i="2"/>
  <c r="CU7" i="2"/>
  <c r="DX8" i="2"/>
  <c r="DX7" i="2"/>
  <c r="BL8" i="2"/>
  <c r="BL7" i="2"/>
  <c r="H8" i="2"/>
  <c r="H7" i="2"/>
  <c r="AE8" i="2"/>
  <c r="AE7" i="2"/>
  <c r="AL7" i="2"/>
  <c r="AL8" i="2"/>
  <c r="BB8" i="2"/>
  <c r="BB7" i="2"/>
  <c r="BY8" i="2"/>
  <c r="BY7" i="2"/>
  <c r="DB8" i="2"/>
  <c r="DB7" i="2"/>
  <c r="DY8" i="2"/>
  <c r="DY7" i="2"/>
  <c r="BS7" i="2"/>
  <c r="BS8" i="2"/>
  <c r="I8" i="2"/>
  <c r="I7" i="2"/>
  <c r="P7" i="2"/>
  <c r="P8" i="2"/>
  <c r="AF8" i="2"/>
  <c r="AF7" i="2"/>
  <c r="BC8" i="2"/>
  <c r="BC7" i="2"/>
  <c r="CF8" i="2"/>
  <c r="CF7" i="2"/>
  <c r="DC8" i="2"/>
  <c r="DC7" i="2"/>
  <c r="DZ8" i="2"/>
  <c r="DZ7" i="2"/>
  <c r="J8" i="2"/>
  <c r="J7" i="2"/>
  <c r="AG8" i="2"/>
  <c r="AG7" i="2"/>
  <c r="BJ8" i="2"/>
  <c r="BJ7" i="2"/>
  <c r="CG8" i="2"/>
  <c r="CG7" i="2"/>
  <c r="DD8" i="2"/>
  <c r="DD7" i="2"/>
  <c r="DK7" i="2"/>
  <c r="DK8" i="2"/>
  <c r="EA8" i="2"/>
  <c r="EA7" i="2"/>
  <c r="K8" i="2"/>
  <c r="K7" i="2"/>
  <c r="AN8" i="2"/>
  <c r="AN7" i="2"/>
  <c r="BK8" i="2"/>
  <c r="BK7" i="2"/>
  <c r="CH8" i="2"/>
  <c r="CH7" i="2"/>
  <c r="CO7" i="2"/>
  <c r="CO8" i="2"/>
  <c r="DE8" i="2"/>
  <c r="DE7" i="2"/>
  <c r="EB8" i="2"/>
  <c r="EB7" i="2"/>
  <c r="CI8" i="2"/>
  <c r="CI7" i="2"/>
  <c r="S8" i="2"/>
  <c r="S7" i="2"/>
  <c r="AP8" i="2"/>
  <c r="AP7" i="2"/>
  <c r="AW7" i="2"/>
  <c r="AW8" i="2"/>
  <c r="BM8" i="2"/>
  <c r="BM7" i="2"/>
  <c r="CJ8" i="2"/>
  <c r="CJ7" i="2"/>
  <c r="DM8" i="2"/>
  <c r="DM7" i="2"/>
  <c r="T8" i="2"/>
  <c r="T7" i="2"/>
  <c r="AA7" i="2"/>
  <c r="AA8" i="2"/>
  <c r="AQ8" i="2"/>
  <c r="AQ7" i="2"/>
  <c r="BN8" i="2"/>
  <c r="BN7" i="2"/>
  <c r="CQ8" i="2"/>
  <c r="CQ7" i="2"/>
  <c r="DN8" i="2"/>
  <c r="DN7" i="2"/>
  <c r="E7" i="2"/>
  <c r="E8" i="2"/>
  <c r="U8" i="2"/>
  <c r="U7" i="2"/>
  <c r="AR8" i="2"/>
  <c r="AR7" i="2"/>
  <c r="BU8" i="2"/>
  <c r="BU7" i="2"/>
  <c r="CR8" i="2"/>
  <c r="CR7" i="2"/>
  <c r="DO8" i="2"/>
  <c r="DO7" i="2"/>
  <c r="DV7" i="2"/>
  <c r="DV8" i="2"/>
  <c r="DF8" i="2"/>
  <c r="DF7" i="2"/>
  <c r="V8" i="2"/>
  <c r="V7" i="2"/>
  <c r="AY8" i="2"/>
  <c r="AY7" i="2"/>
  <c r="BV8" i="2"/>
  <c r="BV7" i="2"/>
  <c r="CS8" i="2"/>
  <c r="CS7" i="2"/>
  <c r="CZ7" i="2"/>
  <c r="CZ8" i="2"/>
  <c r="DP8" i="2"/>
  <c r="DP7" i="2"/>
  <c r="EE8" i="2"/>
  <c r="EE7" i="2"/>
  <c r="AC8" i="2"/>
  <c r="AC7" i="2"/>
  <c r="AZ8" i="2"/>
  <c r="AZ7" i="2"/>
  <c r="BW8" i="2"/>
  <c r="BW7" i="2"/>
  <c r="CD7" i="2"/>
  <c r="CD8" i="2"/>
  <c r="CT8" i="2"/>
  <c r="CT7" i="2"/>
  <c r="DQ8" i="2"/>
  <c r="DQ7" i="2"/>
  <c r="EF8" i="2"/>
  <c r="EF7" i="2"/>
  <c r="F8" i="2"/>
  <c r="Q8" i="2"/>
  <c r="AB8" i="2"/>
  <c r="AM8" i="2"/>
  <c r="AX8" i="2"/>
  <c r="BI8" i="2"/>
  <c r="BT8" i="2"/>
  <c r="CE8" i="2"/>
  <c r="CP8" i="2"/>
  <c r="DA8" i="2"/>
  <c r="DL8" i="2"/>
  <c r="DW8" i="2"/>
  <c r="L7" i="2"/>
  <c r="W7" i="2"/>
  <c r="AH7" i="2"/>
  <c r="AS7" i="2"/>
  <c r="BD7" i="2"/>
  <c r="BO7" i="2"/>
  <c r="BZ7" i="2"/>
  <c r="CK7" i="2"/>
  <c r="CV7" i="2"/>
  <c r="DG7" i="2"/>
  <c r="DR7" i="2"/>
  <c r="EC7" i="2"/>
  <c r="M7" i="2"/>
  <c r="X7" i="2"/>
  <c r="AI7" i="2"/>
  <c r="AT7" i="2"/>
  <c r="BE7" i="2"/>
  <c r="BP7" i="2"/>
  <c r="CA7" i="2"/>
  <c r="CL7" i="2"/>
  <c r="CW7" i="2"/>
  <c r="DH7" i="2"/>
  <c r="DS7" i="2"/>
  <c r="ED7" i="2"/>
  <c r="C7" i="2"/>
  <c r="N7" i="2"/>
  <c r="Y7" i="2"/>
  <c r="AJ7" i="2"/>
  <c r="AU7" i="2"/>
  <c r="BF7" i="2"/>
  <c r="BQ7" i="2"/>
  <c r="CB7" i="2"/>
  <c r="CM7" i="2"/>
  <c r="CX7" i="2"/>
  <c r="DI7" i="2"/>
  <c r="DT7" i="2"/>
  <c r="D7" i="2"/>
  <c r="O7" i="2"/>
  <c r="Z7" i="2"/>
  <c r="AK7" i="2"/>
  <c r="AV7" i="2"/>
  <c r="BG7" i="2"/>
  <c r="BR7" i="2"/>
  <c r="CC7" i="2"/>
  <c r="CN7" i="2"/>
  <c r="CY7" i="2"/>
  <c r="DJ7" i="2"/>
  <c r="DU7" i="2"/>
  <c r="N8" i="1"/>
  <c r="N7" i="1"/>
  <c r="AO7" i="1"/>
  <c r="AO8" i="1"/>
  <c r="BD8" i="1"/>
  <c r="BD7" i="1"/>
  <c r="G7" i="1"/>
  <c r="G8" i="1"/>
  <c r="AX8" i="1"/>
  <c r="AX7" i="1"/>
  <c r="BB8" i="1"/>
  <c r="BB7" i="1"/>
  <c r="M8" i="1"/>
  <c r="M7" i="1"/>
  <c r="AP8" i="1"/>
  <c r="AP7" i="1"/>
  <c r="CM8" i="1"/>
  <c r="CM7" i="1"/>
  <c r="CS7" i="1"/>
  <c r="CS8" i="1"/>
  <c r="W8" i="1"/>
  <c r="W7" i="1"/>
  <c r="CH7" i="1"/>
  <c r="CH8" i="1"/>
  <c r="DW8" i="1"/>
  <c r="DW7" i="1"/>
  <c r="BO7" i="1"/>
  <c r="BO8" i="1"/>
  <c r="EE8" i="1"/>
  <c r="EE7" i="1"/>
  <c r="Y8" i="1"/>
  <c r="Y7" i="1"/>
  <c r="CT8" i="1"/>
  <c r="CT7" i="1"/>
  <c r="H7" i="1"/>
  <c r="H8" i="1"/>
  <c r="AD7" i="1"/>
  <c r="AD8" i="1"/>
  <c r="AK7" i="1"/>
  <c r="AK8" i="1"/>
  <c r="BM7" i="1"/>
  <c r="BM8" i="1"/>
  <c r="CG7" i="1"/>
  <c r="CG8" i="1"/>
  <c r="DJ7" i="1"/>
  <c r="DJ8" i="1"/>
  <c r="EC7" i="1"/>
  <c r="EC8" i="1"/>
  <c r="Q8" i="1"/>
  <c r="Q7" i="1"/>
  <c r="BV7" i="1"/>
  <c r="BV8" i="1"/>
  <c r="CX8" i="1"/>
  <c r="CX7" i="1"/>
  <c r="R8" i="1"/>
  <c r="R7" i="1"/>
  <c r="Z7" i="1"/>
  <c r="Z8" i="1"/>
  <c r="BA8" i="1"/>
  <c r="BA7" i="1"/>
  <c r="BI8" i="1"/>
  <c r="BI7" i="1"/>
  <c r="CY7" i="1"/>
  <c r="CY8" i="1"/>
  <c r="DE8" i="1"/>
  <c r="DE7" i="1"/>
  <c r="DX7" i="1"/>
  <c r="DS7" i="1"/>
  <c r="T8" i="1"/>
  <c r="CC8" i="1"/>
  <c r="EI15" i="2"/>
  <c r="AM7" i="1"/>
  <c r="CB7" i="1"/>
  <c r="DY8" i="1"/>
  <c r="EG12" i="3"/>
  <c r="EG15" i="3"/>
  <c r="EG23" i="3"/>
  <c r="BC7" i="1"/>
  <c r="CV8" i="1"/>
  <c r="DM8" i="1"/>
  <c r="AQ7" i="1"/>
  <c r="DL7" i="1"/>
  <c r="DN8" i="1"/>
  <c r="CI7" i="1"/>
  <c r="BE7" i="1"/>
  <c r="CZ8" i="1"/>
  <c r="EF8" i="1"/>
  <c r="BQ7" i="1"/>
  <c r="BU8" i="1"/>
  <c r="EG13" i="3"/>
  <c r="C7" i="1"/>
  <c r="AE7" i="1"/>
  <c r="AR7" i="1"/>
  <c r="CJ8" i="1"/>
  <c r="AF7" i="1"/>
  <c r="AS7" i="1"/>
  <c r="BF7" i="1"/>
  <c r="O8" i="1"/>
  <c r="BW8" i="1"/>
  <c r="CK8" i="1"/>
  <c r="DB8" i="1"/>
  <c r="EH13" i="3"/>
  <c r="F7" i="1"/>
  <c r="AG7" i="1"/>
  <c r="AT7" i="1"/>
  <c r="DA7" i="1"/>
  <c r="ED7" i="1"/>
  <c r="BJ8" i="1"/>
  <c r="BX8" i="1"/>
  <c r="CN8" i="1"/>
  <c r="DC8" i="1"/>
  <c r="DQ8" i="1"/>
  <c r="AU7" i="1"/>
  <c r="CL7" i="1"/>
  <c r="AV8" i="1"/>
  <c r="BK8" i="1"/>
  <c r="CO8" i="1"/>
  <c r="DR8" i="1"/>
  <c r="EG17" i="3"/>
  <c r="AI7" i="1"/>
  <c r="AW7" i="1"/>
  <c r="D8" i="1"/>
  <c r="S8" i="1"/>
  <c r="DU8" i="1"/>
  <c r="EH24" i="3"/>
  <c r="EG24" i="3"/>
  <c r="EH21" i="3"/>
  <c r="EG21" i="3"/>
  <c r="EH18" i="3"/>
  <c r="EG16" i="3"/>
  <c r="EG19" i="3"/>
  <c r="EH19" i="3"/>
  <c r="B21" i="6"/>
  <c r="B21" i="7"/>
</calcChain>
</file>

<file path=xl/sharedStrings.xml><?xml version="1.0" encoding="utf-8"?>
<sst xmlns="http://schemas.openxmlformats.org/spreadsheetml/2006/main" count="2555" uniqueCount="209">
  <si>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</si>
  <si>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</si>
  <si>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</si>
  <si>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</si>
  <si>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</si>
  <si>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</si>
  <si>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</si>
  <si>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</si>
  <si>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</si>
  <si>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</si>
  <si>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</si>
  <si>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</si>
  <si>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</si>
  <si>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</si>
  <si>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</si>
  <si>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</si>
  <si>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</si>
  <si>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</si>
  <si>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</si>
  <si>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</si>
  <si>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</si>
  <si>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</si>
  <si>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</si>
  <si>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</si>
  <si>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</si>
  <si>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</si>
  <si>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</si>
  <si>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</si>
  <si>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</si>
  <si>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</si>
  <si>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</si>
  <si>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</si>
  <si>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</si>
  <si>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</si>
  <si>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</si>
  <si>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</si>
  <si>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</si>
  <si>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</si>
  <si>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</si>
  <si>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</si>
  <si>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</si>
  <si>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</si>
  <si>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</si>
  <si>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</si>
  <si>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</si>
  <si>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</si>
  <si>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</si>
  <si>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</si>
  <si>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</si>
  <si>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</si>
  <si>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</si>
  <si>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</si>
  <si>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</si>
  <si>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</si>
  <si>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</si>
  <si>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</si>
  <si>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</si>
  <si>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</si>
  <si>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</si>
  <si>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</si>
  <si>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</si>
  <si>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</si>
  <si>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</si>
  <si>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</si>
  <si>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</si>
  <si>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</si>
  <si>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</si>
  <si>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</si>
  <si>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</si>
  <si>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</si>
  <si>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</si>
  <si>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</si>
  <si>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</si>
  <si>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</si>
  <si>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</si>
  <si>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</si>
  <si>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</si>
  <si>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</si>
  <si>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</si>
  <si>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</si>
  <si>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</si>
  <si>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</si>
  <si>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</si>
  <si>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</si>
  <si>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</si>
  <si>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</si>
  <si>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</si>
  <si>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</si>
  <si>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</si>
  <si>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</si>
  <si>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</si>
  <si>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</si>
  <si>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</si>
  <si>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</si>
  <si>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</si>
  <si>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</si>
  <si>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</si>
  <si>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</si>
  <si>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</si>
  <si>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</si>
  <si>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</si>
  <si>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</si>
  <si>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</si>
  <si>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</si>
  <si>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</si>
  <si>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</si>
  <si>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</si>
  <si>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</si>
  <si>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</si>
  <si>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</si>
  <si>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</si>
  <si>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</si>
  <si>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</si>
  <si>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</si>
  <si>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</si>
  <si>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</si>
  <si>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</si>
  <si>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</si>
  <si>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</si>
  <si>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</si>
  <si>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</si>
  <si>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</si>
  <si>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</si>
  <si>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</si>
  <si>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</si>
  <si>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</si>
  <si>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</si>
  <si>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</si>
  <si>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</si>
  <si>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</si>
  <si>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</si>
  <si>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</si>
  <si>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</si>
  <si>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</si>
  <si>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</si>
  <si>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</si>
  <si>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</si>
  <si>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</si>
  <si>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</si>
  <si>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</si>
  <si>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</si>
  <si>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</si>
  <si>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</si>
  <si>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2025/02</t>
  </si>
  <si>
    <t>大盤</t>
  </si>
  <si>
    <t>TWII</t>
  </si>
  <si>
    <t>低</t>
  </si>
  <si>
    <t>公司名稱</t>
  </si>
  <si>
    <t>愛山林</t>
  </si>
  <si>
    <t>久威</t>
  </si>
  <si>
    <t>立康</t>
  </si>
  <si>
    <t>洛碁</t>
  </si>
  <si>
    <t>昇益</t>
  </si>
  <si>
    <t>飛寶企業</t>
  </si>
  <si>
    <t>天瀚</t>
  </si>
  <si>
    <t>網家</t>
  </si>
  <si>
    <t>沛亨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</si>
  <si>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</si>
  <si>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</si>
  <si>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</si>
  <si>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</si>
  <si>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</si>
  <si>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</si>
  <si>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</si>
  <si>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</si>
  <si>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</si>
  <si>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</si>
  <si>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高</t>
  </si>
  <si>
    <t>華新科</t>
  </si>
  <si>
    <t>中環</t>
  </si>
  <si>
    <t>中石化</t>
  </si>
  <si>
    <t>台積電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</si>
  <si>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</si>
  <si>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</si>
  <si>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</si>
  <si>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</si>
  <si>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</si>
  <si>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</si>
  <si>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</si>
  <si>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</si>
  <si>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如興</t>
  </si>
  <si>
    <t>藍天</t>
  </si>
  <si>
    <t>長榮</t>
  </si>
  <si>
    <t>國喬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</si>
  <si>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</si>
  <si>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</si>
  <si>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</si>
  <si>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</si>
  <si>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</si>
  <si>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</si>
  <si>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</si>
  <si>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</si>
  <si>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</si>
  <si>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</si>
  <si>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</si>
  <si>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</si>
  <si>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</si>
  <si>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</si>
  <si>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</si>
  <si>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</si>
  <si>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</si>
  <si>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</si>
  <si>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</si>
  <si>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</si>
  <si>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</si>
  <si>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</si>
  <si>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</si>
  <si>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</si>
  <si>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GLM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</si>
</sst>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7E4C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3D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3" fillId="1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CLM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8.4653541666666707E-2</c:v>
                </c:pt>
                <c:pt idx="1">
                  <c:v>0.19934205208333339</c:v>
                </c:pt>
                <c:pt idx="2">
                  <c:v>0.24736833333333338</c:v>
                </c:pt>
                <c:pt idx="3">
                  <c:v>0.2607897395833334</c:v>
                </c:pt>
                <c:pt idx="4">
                  <c:v>0.27251470833333341</c:v>
                </c:pt>
                <c:pt idx="5">
                  <c:v>0.31104542708333344</c:v>
                </c:pt>
                <c:pt idx="6">
                  <c:v>0.32385537500000011</c:v>
                </c:pt>
                <c:pt idx="7">
                  <c:v>0.29444757291666679</c:v>
                </c:pt>
                <c:pt idx="8">
                  <c:v>0.31322175000000013</c:v>
                </c:pt>
                <c:pt idx="9">
                  <c:v>0.27133111458333348</c:v>
                </c:pt>
                <c:pt idx="10">
                  <c:v>0.29822028841654041</c:v>
                </c:pt>
                <c:pt idx="11">
                  <c:v>0.26351693417307759</c:v>
                </c:pt>
                <c:pt idx="12">
                  <c:v>0.29143169324031798</c:v>
                </c:pt>
                <c:pt idx="13">
                  <c:v>0.29166202657365131</c:v>
                </c:pt>
                <c:pt idx="14">
                  <c:v>0.32693249532365132</c:v>
                </c:pt>
                <c:pt idx="15">
                  <c:v>0.33359557865698464</c:v>
                </c:pt>
                <c:pt idx="16">
                  <c:v>0.31712334949031795</c:v>
                </c:pt>
                <c:pt idx="17">
                  <c:v>0.30938296407365129</c:v>
                </c:pt>
                <c:pt idx="18">
                  <c:v>0.30802644098987031</c:v>
                </c:pt>
                <c:pt idx="19">
                  <c:v>0.31753739464351854</c:v>
                </c:pt>
                <c:pt idx="20">
                  <c:v>0.28911973178535544</c:v>
                </c:pt>
                <c:pt idx="21">
                  <c:v>0.31619347136868881</c:v>
                </c:pt>
                <c:pt idx="22">
                  <c:v>0.33298184862050489</c:v>
                </c:pt>
                <c:pt idx="23">
                  <c:v>0.26935816530493095</c:v>
                </c:pt>
                <c:pt idx="24">
                  <c:v>0.25784560280493096</c:v>
                </c:pt>
                <c:pt idx="25">
                  <c:v>0.2231564922534528</c:v>
                </c:pt>
                <c:pt idx="26">
                  <c:v>0.18804172818980638</c:v>
                </c:pt>
                <c:pt idx="27">
                  <c:v>0.19743370735647306</c:v>
                </c:pt>
                <c:pt idx="28">
                  <c:v>0.23533133088870362</c:v>
                </c:pt>
                <c:pt idx="29">
                  <c:v>0.21489917958483867</c:v>
                </c:pt>
                <c:pt idx="30">
                  <c:v>0.18491703465211426</c:v>
                </c:pt>
                <c:pt idx="31">
                  <c:v>0.17151123000248103</c:v>
                </c:pt>
                <c:pt idx="32">
                  <c:v>0.15200517882229508</c:v>
                </c:pt>
                <c:pt idx="33">
                  <c:v>0.1390214312762405</c:v>
                </c:pt>
                <c:pt idx="34">
                  <c:v>9.0897727124106098E-2</c:v>
                </c:pt>
                <c:pt idx="35">
                  <c:v>7.3038724102184011E-2</c:v>
                </c:pt>
                <c:pt idx="36">
                  <c:v>4.2952608489586083E-2</c:v>
                </c:pt>
                <c:pt idx="37">
                  <c:v>-2.6280625823842441E-2</c:v>
                </c:pt>
                <c:pt idx="38">
                  <c:v>-2.850941886351549E-2</c:v>
                </c:pt>
                <c:pt idx="39">
                  <c:v>5.2089259183336623E-3</c:v>
                </c:pt>
                <c:pt idx="40">
                  <c:v>1.2830862306917467E-2</c:v>
                </c:pt>
                <c:pt idx="41">
                  <c:v>-6.9539714304893245E-4</c:v>
                </c:pt>
                <c:pt idx="42">
                  <c:v>-1.9795115597749532E-2</c:v>
                </c:pt>
                <c:pt idx="43">
                  <c:v>-3.3630020305420713E-2</c:v>
                </c:pt>
                <c:pt idx="44">
                  <c:v>-5.4338678986296143E-2</c:v>
                </c:pt>
                <c:pt idx="45">
                  <c:v>-1.2978594241271131E-2</c:v>
                </c:pt>
                <c:pt idx="46">
                  <c:v>-1.3600071259287206E-2</c:v>
                </c:pt>
                <c:pt idx="47">
                  <c:v>-5.7198538512710041E-2</c:v>
                </c:pt>
                <c:pt idx="48">
                  <c:v>-8.2153831580383294E-2</c:v>
                </c:pt>
                <c:pt idx="49">
                  <c:v>-7.9853805508725645E-2</c:v>
                </c:pt>
                <c:pt idx="50">
                  <c:v>-8.5775034253923188E-3</c:v>
                </c:pt>
                <c:pt idx="51">
                  <c:v>-2.3852108677851737E-2</c:v>
                </c:pt>
                <c:pt idx="52">
                  <c:v>-3.6124897716328229E-2</c:v>
                </c:pt>
                <c:pt idx="53">
                  <c:v>-4.9755454657980855E-2</c:v>
                </c:pt>
                <c:pt idx="54">
                  <c:v>-6.8364264497366128E-2</c:v>
                </c:pt>
                <c:pt idx="55">
                  <c:v>-0.13615661698056625</c:v>
                </c:pt>
                <c:pt idx="56">
                  <c:v>-0.18291437086184997</c:v>
                </c:pt>
                <c:pt idx="57">
                  <c:v>-0.21799395989176698</c:v>
                </c:pt>
                <c:pt idx="58">
                  <c:v>-0.26175002427161159</c:v>
                </c:pt>
                <c:pt idx="59">
                  <c:v>-0.28641315044673099</c:v>
                </c:pt>
                <c:pt idx="60">
                  <c:v>-0.28707053394176557</c:v>
                </c:pt>
                <c:pt idx="61">
                  <c:v>-0.27601041935843224</c:v>
                </c:pt>
                <c:pt idx="62">
                  <c:v>-0.27084132740220235</c:v>
                </c:pt>
                <c:pt idx="63">
                  <c:v>-0.28235786291429887</c:v>
                </c:pt>
                <c:pt idx="64">
                  <c:v>-0.30660417317053579</c:v>
                </c:pt>
                <c:pt idx="65">
                  <c:v>-0.29609518786524169</c:v>
                </c:pt>
                <c:pt idx="66">
                  <c:v>-0.3099919374839884</c:v>
                </c:pt>
                <c:pt idx="67">
                  <c:v>-0.30773092903058957</c:v>
                </c:pt>
                <c:pt idx="68">
                  <c:v>-0.27508807414219688</c:v>
                </c:pt>
                <c:pt idx="69">
                  <c:v>-0.29637625122553024</c:v>
                </c:pt>
                <c:pt idx="70">
                  <c:v>-0.34445944914219689</c:v>
                </c:pt>
                <c:pt idx="71">
                  <c:v>-0.31240613664219691</c:v>
                </c:pt>
                <c:pt idx="72">
                  <c:v>-0.25691858455886363</c:v>
                </c:pt>
                <c:pt idx="73">
                  <c:v>-0.26839574656281373</c:v>
                </c:pt>
                <c:pt idx="74">
                  <c:v>-0.314212704896147</c:v>
                </c:pt>
                <c:pt idx="75">
                  <c:v>-0.31043531947948033</c:v>
                </c:pt>
                <c:pt idx="76">
                  <c:v>-0.29585473614614699</c:v>
                </c:pt>
                <c:pt idx="77">
                  <c:v>-0.32302859893917868</c:v>
                </c:pt>
                <c:pt idx="78">
                  <c:v>-0.30690741823210144</c:v>
                </c:pt>
                <c:pt idx="79">
                  <c:v>-0.35126268158878599</c:v>
                </c:pt>
                <c:pt idx="80">
                  <c:v>-0.40207922061780366</c:v>
                </c:pt>
                <c:pt idx="81">
                  <c:v>-0.39800117895113696</c:v>
                </c:pt>
                <c:pt idx="82">
                  <c:v>-0.44727913891421756</c:v>
                </c:pt>
                <c:pt idx="83">
                  <c:v>-0.46374225129300339</c:v>
                </c:pt>
                <c:pt idx="84">
                  <c:v>-0.4993402821941092</c:v>
                </c:pt>
                <c:pt idx="85">
                  <c:v>-0.44522021527991418</c:v>
                </c:pt>
                <c:pt idx="86">
                  <c:v>-0.38911877463212402</c:v>
                </c:pt>
                <c:pt idx="87">
                  <c:v>-0.31067849434610312</c:v>
                </c:pt>
                <c:pt idx="88">
                  <c:v>-0.29545876817876232</c:v>
                </c:pt>
                <c:pt idx="89">
                  <c:v>-0.26837506696420294</c:v>
                </c:pt>
                <c:pt idx="90">
                  <c:v>-0.24110894008409714</c:v>
                </c:pt>
                <c:pt idx="91">
                  <c:v>-0.28640796155159087</c:v>
                </c:pt>
                <c:pt idx="92">
                  <c:v>-0.32298015646152439</c:v>
                </c:pt>
                <c:pt idx="93">
                  <c:v>-0.32509803489217681</c:v>
                </c:pt>
                <c:pt idx="94">
                  <c:v>-0.30989638720513124</c:v>
                </c:pt>
                <c:pt idx="95">
                  <c:v>-0.30907235118160031</c:v>
                </c:pt>
                <c:pt idx="96">
                  <c:v>-0.3446960668437955</c:v>
                </c:pt>
                <c:pt idx="97">
                  <c:v>-0.3528086932193325</c:v>
                </c:pt>
                <c:pt idx="98">
                  <c:v>-0.35835661796386475</c:v>
                </c:pt>
                <c:pt idx="99">
                  <c:v>-0.41934650050085653</c:v>
                </c:pt>
                <c:pt idx="100">
                  <c:v>-0.41336355828936594</c:v>
                </c:pt>
                <c:pt idx="101">
                  <c:v>-0.49115588562886653</c:v>
                </c:pt>
                <c:pt idx="102">
                  <c:v>-0.49675966969922708</c:v>
                </c:pt>
                <c:pt idx="103">
                  <c:v>-0.47377779374510004</c:v>
                </c:pt>
                <c:pt idx="104">
                  <c:v>-0.50775099661987477</c:v>
                </c:pt>
                <c:pt idx="105">
                  <c:v>-0.53263997467711521</c:v>
                </c:pt>
                <c:pt idx="106">
                  <c:v>-0.53383808305833635</c:v>
                </c:pt>
                <c:pt idx="107">
                  <c:v>-0.52700355732229598</c:v>
                </c:pt>
                <c:pt idx="108">
                  <c:v>-0.52605584838297903</c:v>
                </c:pt>
                <c:pt idx="109">
                  <c:v>-0.52223316641154649</c:v>
                </c:pt>
                <c:pt idx="110">
                  <c:v>-0.46778999341941407</c:v>
                </c:pt>
                <c:pt idx="111">
                  <c:v>-0.47585259167418453</c:v>
                </c:pt>
                <c:pt idx="112">
                  <c:v>-0.45990663854716818</c:v>
                </c:pt>
                <c:pt idx="113">
                  <c:v>-0.4595519625245244</c:v>
                </c:pt>
                <c:pt idx="114">
                  <c:v>-0.45471161327944448</c:v>
                </c:pt>
                <c:pt idx="115">
                  <c:v>-0.49712197866550933</c:v>
                </c:pt>
                <c:pt idx="116">
                  <c:v>-0.51972171234583797</c:v>
                </c:pt>
                <c:pt idx="117">
                  <c:v>-0.55230616194613513</c:v>
                </c:pt>
                <c:pt idx="118">
                  <c:v>-0.4777655144656624</c:v>
                </c:pt>
                <c:pt idx="119">
                  <c:v>-0.48861756089336672</c:v>
                </c:pt>
                <c:pt idx="120">
                  <c:v>-0.45289140544166889</c:v>
                </c:pt>
                <c:pt idx="121">
                  <c:v>-0.40759352204726834</c:v>
                </c:pt>
                <c:pt idx="122">
                  <c:v>-0.42134617013365078</c:v>
                </c:pt>
                <c:pt idx="123">
                  <c:v>-0.46989699461118145</c:v>
                </c:pt>
                <c:pt idx="124">
                  <c:v>-0.51362255883121888</c:v>
                </c:pt>
                <c:pt idx="125">
                  <c:v>-0.46347047828885735</c:v>
                </c:pt>
                <c:pt idx="126">
                  <c:v>-0.47882774840735226</c:v>
                </c:pt>
                <c:pt idx="127">
                  <c:v>-0.47469202292717488</c:v>
                </c:pt>
                <c:pt idx="128">
                  <c:v>-0.36156498117803787</c:v>
                </c:pt>
                <c:pt idx="129">
                  <c:v>-0.33103920436019624</c:v>
                </c:pt>
                <c:pt idx="130">
                  <c:v>-0.34592312248971546</c:v>
                </c:pt>
                <c:pt idx="131">
                  <c:v>-0.36936769773265665</c:v>
                </c:pt>
                <c:pt idx="132">
                  <c:v>-0.34115141746485328</c:v>
                </c:pt>
                <c:pt idx="133">
                  <c:v>-0.38038476550364897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5-BA46-ACEB-31509E9BF9F6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0.22785825000000001</c:v>
                </c:pt>
                <c:pt idx="2">
                  <c:v>0.2977195416666667</c:v>
                </c:pt>
                <c:pt idx="3">
                  <c:v>0.28626472916666668</c:v>
                </c:pt>
                <c:pt idx="4">
                  <c:v>0.30200958333333333</c:v>
                </c:pt>
                <c:pt idx="5">
                  <c:v>0.33199993750000001</c:v>
                </c:pt>
                <c:pt idx="6">
                  <c:v>0.36113047916666668</c:v>
                </c:pt>
                <c:pt idx="7">
                  <c:v>0.31723166666666669</c:v>
                </c:pt>
                <c:pt idx="8">
                  <c:v>0.3158641875</c:v>
                </c:pt>
                <c:pt idx="9">
                  <c:v>0.30983908333333332</c:v>
                </c:pt>
                <c:pt idx="10">
                  <c:v>0.31311884155933806</c:v>
                </c:pt>
                <c:pt idx="11">
                  <c:v>0.26972642409364128</c:v>
                </c:pt>
                <c:pt idx="12">
                  <c:v>0.28714912290459121</c:v>
                </c:pt>
                <c:pt idx="13">
                  <c:v>0.30394126873792454</c:v>
                </c:pt>
                <c:pt idx="14">
                  <c:v>0.37716628957125786</c:v>
                </c:pt>
                <c:pt idx="15">
                  <c:v>0.39132612290459118</c:v>
                </c:pt>
                <c:pt idx="16">
                  <c:v>0.37908281040459119</c:v>
                </c:pt>
                <c:pt idx="17">
                  <c:v>0.35697833123792455</c:v>
                </c:pt>
                <c:pt idx="18">
                  <c:v>0.38573966182847885</c:v>
                </c:pt>
                <c:pt idx="19">
                  <c:v>0.38795630173153278</c:v>
                </c:pt>
                <c:pt idx="20">
                  <c:v>0.35698739766004989</c:v>
                </c:pt>
                <c:pt idx="21">
                  <c:v>0.41026385599338322</c:v>
                </c:pt>
                <c:pt idx="22">
                  <c:v>0.43673573921072573</c:v>
                </c:pt>
                <c:pt idx="23">
                  <c:v>0.35831130440554215</c:v>
                </c:pt>
                <c:pt idx="24">
                  <c:v>0.34187126273887553</c:v>
                </c:pt>
                <c:pt idx="25">
                  <c:v>0.29519304261749824</c:v>
                </c:pt>
                <c:pt idx="26">
                  <c:v>0.2733214864561207</c:v>
                </c:pt>
                <c:pt idx="27">
                  <c:v>0.29486456978945402</c:v>
                </c:pt>
                <c:pt idx="28">
                  <c:v>0.3373817812452452</c:v>
                </c:pt>
                <c:pt idx="29">
                  <c:v>0.30544131741094399</c:v>
                </c:pt>
                <c:pt idx="30">
                  <c:v>0.27375953435594108</c:v>
                </c:pt>
                <c:pt idx="31">
                  <c:v>0.2641181951164247</c:v>
                </c:pt>
                <c:pt idx="32">
                  <c:v>0.25205064504235192</c:v>
                </c:pt>
                <c:pt idx="33">
                  <c:v>0.26833111503062762</c:v>
                </c:pt>
                <c:pt idx="34">
                  <c:v>0.20234320221997162</c:v>
                </c:pt>
                <c:pt idx="35">
                  <c:v>0.1791917736248006</c:v>
                </c:pt>
                <c:pt idx="36">
                  <c:v>0.13290933008797168</c:v>
                </c:pt>
                <c:pt idx="37">
                  <c:v>2.7579091951937584E-2</c:v>
                </c:pt>
                <c:pt idx="38">
                  <c:v>1.8267904052522644E-2</c:v>
                </c:pt>
                <c:pt idx="39">
                  <c:v>7.7818744414520358E-2</c:v>
                </c:pt>
                <c:pt idx="40">
                  <c:v>8.3868033183420038E-2</c:v>
                </c:pt>
                <c:pt idx="41">
                  <c:v>7.3178847647484377E-2</c:v>
                </c:pt>
                <c:pt idx="42">
                  <c:v>3.1865729163250284E-2</c:v>
                </c:pt>
                <c:pt idx="43">
                  <c:v>-8.5973586911894592E-3</c:v>
                </c:pt>
                <c:pt idx="44">
                  <c:v>-4.9573485167168321E-2</c:v>
                </c:pt>
                <c:pt idx="45">
                  <c:v>-4.0098012527615239E-2</c:v>
                </c:pt>
                <c:pt idx="46">
                  <c:v>-4.4178026110678642E-2</c:v>
                </c:pt>
                <c:pt idx="47">
                  <c:v>-0.11133181389378898</c:v>
                </c:pt>
                <c:pt idx="48">
                  <c:v>-0.12889616024241393</c:v>
                </c:pt>
                <c:pt idx="49">
                  <c:v>-0.12079269277291454</c:v>
                </c:pt>
                <c:pt idx="50">
                  <c:v>-4.0963421939581218E-2</c:v>
                </c:pt>
                <c:pt idx="51">
                  <c:v>-8.383879643639211E-2</c:v>
                </c:pt>
                <c:pt idx="52">
                  <c:v>-9.5122563548049766E-2</c:v>
                </c:pt>
                <c:pt idx="53">
                  <c:v>-9.8466991931731099E-2</c:v>
                </c:pt>
                <c:pt idx="54">
                  <c:v>-0.12585879823737267</c:v>
                </c:pt>
                <c:pt idx="55">
                  <c:v>-0.20978821354486943</c:v>
                </c:pt>
                <c:pt idx="56">
                  <c:v>-0.29818575940119024</c:v>
                </c:pt>
                <c:pt idx="57">
                  <c:v>-0.33920941559338225</c:v>
                </c:pt>
                <c:pt idx="58">
                  <c:v>-0.36081097469631518</c:v>
                </c:pt>
                <c:pt idx="59">
                  <c:v>-0.38507706230942407</c:v>
                </c:pt>
                <c:pt idx="60">
                  <c:v>-0.39395545822551542</c:v>
                </c:pt>
                <c:pt idx="61">
                  <c:v>-0.3803364998921821</c:v>
                </c:pt>
                <c:pt idx="62">
                  <c:v>-0.39725511551106374</c:v>
                </c:pt>
                <c:pt idx="63">
                  <c:v>-0.40830765738634001</c:v>
                </c:pt>
                <c:pt idx="64">
                  <c:v>-0.43918637361981411</c:v>
                </c:pt>
                <c:pt idx="65">
                  <c:v>-0.4486190693144656</c:v>
                </c:pt>
                <c:pt idx="66">
                  <c:v>-0.49027213310389139</c:v>
                </c:pt>
                <c:pt idx="67">
                  <c:v>-0.48359071562033396</c:v>
                </c:pt>
                <c:pt idx="68">
                  <c:v>-0.44341020125891706</c:v>
                </c:pt>
                <c:pt idx="69">
                  <c:v>-0.47707809709225041</c:v>
                </c:pt>
                <c:pt idx="70">
                  <c:v>-0.55173626375891704</c:v>
                </c:pt>
                <c:pt idx="71">
                  <c:v>-0.52029603459225038</c:v>
                </c:pt>
                <c:pt idx="72">
                  <c:v>-0.43406570125891702</c:v>
                </c:pt>
                <c:pt idx="73">
                  <c:v>-0.4551437687829436</c:v>
                </c:pt>
                <c:pt idx="74">
                  <c:v>-0.48597235211627693</c:v>
                </c:pt>
                <c:pt idx="75">
                  <c:v>-0.4997310604496103</c:v>
                </c:pt>
                <c:pt idx="76">
                  <c:v>-0.47571887294961029</c:v>
                </c:pt>
                <c:pt idx="77">
                  <c:v>-0.50173625247230524</c:v>
                </c:pt>
                <c:pt idx="78">
                  <c:v>-0.50996106184423562</c:v>
                </c:pt>
                <c:pt idx="79">
                  <c:v>-0.53116520572484216</c:v>
                </c:pt>
                <c:pt idx="80">
                  <c:v>-0.61060307551204474</c:v>
                </c:pt>
                <c:pt idx="81">
                  <c:v>-0.59237392967871139</c:v>
                </c:pt>
                <c:pt idx="82">
                  <c:v>-0.65038889748595075</c:v>
                </c:pt>
                <c:pt idx="83">
                  <c:v>-0.65441840354416103</c:v>
                </c:pt>
                <c:pt idx="84">
                  <c:v>-0.66895170677744087</c:v>
                </c:pt>
                <c:pt idx="85">
                  <c:v>-0.61414152609860084</c:v>
                </c:pt>
                <c:pt idx="86">
                  <c:v>-0.54845439983180344</c:v>
                </c:pt>
                <c:pt idx="87">
                  <c:v>-0.47573022467858489</c:v>
                </c:pt>
                <c:pt idx="88">
                  <c:v>-0.46543342092218992</c:v>
                </c:pt>
                <c:pt idx="89">
                  <c:v>-0.43854585492333759</c:v>
                </c:pt>
                <c:pt idx="90">
                  <c:v>-0.4250883963601102</c:v>
                </c:pt>
                <c:pt idx="91">
                  <c:v>-0.49481493663784454</c:v>
                </c:pt>
                <c:pt idx="92">
                  <c:v>-0.53299988683400423</c:v>
                </c:pt>
                <c:pt idx="93">
                  <c:v>-0.54127966783165271</c:v>
                </c:pt>
                <c:pt idx="94">
                  <c:v>-0.55211271894692737</c:v>
                </c:pt>
                <c:pt idx="95">
                  <c:v>-0.56018351826330604</c:v>
                </c:pt>
                <c:pt idx="96">
                  <c:v>-0.59734492054561728</c:v>
                </c:pt>
                <c:pt idx="97">
                  <c:v>-0.59439160837235938</c:v>
                </c:pt>
                <c:pt idx="98">
                  <c:v>-0.60036863922860551</c:v>
                </c:pt>
                <c:pt idx="99">
                  <c:v>-0.66040189446865849</c:v>
                </c:pt>
                <c:pt idx="100">
                  <c:v>-0.64728315435364581</c:v>
                </c:pt>
                <c:pt idx="101">
                  <c:v>-0.70450737470713087</c:v>
                </c:pt>
                <c:pt idx="102">
                  <c:v>-0.69892369778130947</c:v>
                </c:pt>
                <c:pt idx="103">
                  <c:v>-0.6571621280645249</c:v>
                </c:pt>
                <c:pt idx="104">
                  <c:v>-0.68693769394281778</c:v>
                </c:pt>
                <c:pt idx="105">
                  <c:v>-0.69763529454355355</c:v>
                </c:pt>
                <c:pt idx="106">
                  <c:v>-0.70356425166962855</c:v>
                </c:pt>
                <c:pt idx="107">
                  <c:v>-0.67504545487599377</c:v>
                </c:pt>
                <c:pt idx="108">
                  <c:v>-0.67341479770310386</c:v>
                </c:pt>
                <c:pt idx="109">
                  <c:v>-0.68471056558501897</c:v>
                </c:pt>
                <c:pt idx="110">
                  <c:v>-0.63873354049034214</c:v>
                </c:pt>
                <c:pt idx="111">
                  <c:v>-0.63540178431083139</c:v>
                </c:pt>
                <c:pt idx="112">
                  <c:v>-0.64781085852945908</c:v>
                </c:pt>
                <c:pt idx="113">
                  <c:v>-0.63151061203814451</c:v>
                </c:pt>
                <c:pt idx="114">
                  <c:v>-0.62485174298970059</c:v>
                </c:pt>
                <c:pt idx="115">
                  <c:v>-0.63635132091221369</c:v>
                </c:pt>
                <c:pt idx="116">
                  <c:v>-0.68324273330034546</c:v>
                </c:pt>
                <c:pt idx="117">
                  <c:v>-0.73202936915661487</c:v>
                </c:pt>
                <c:pt idx="118">
                  <c:v>-0.64490035776404442</c:v>
                </c:pt>
                <c:pt idx="119">
                  <c:v>-0.65936731923490421</c:v>
                </c:pt>
                <c:pt idx="120">
                  <c:v>-0.6204796913952344</c:v>
                </c:pt>
                <c:pt idx="121">
                  <c:v>-0.58505339034756965</c:v>
                </c:pt>
                <c:pt idx="122">
                  <c:v>-0.60375855398471445</c:v>
                </c:pt>
                <c:pt idx="123">
                  <c:v>-0.68337869800890305</c:v>
                </c:pt>
                <c:pt idx="124">
                  <c:v>-0.72779648763325333</c:v>
                </c:pt>
                <c:pt idx="125">
                  <c:v>-0.66327310805475714</c:v>
                </c:pt>
                <c:pt idx="126">
                  <c:v>-0.69865915270859047</c:v>
                </c:pt>
                <c:pt idx="127">
                  <c:v>-0.68405033822137218</c:v>
                </c:pt>
                <c:pt idx="128">
                  <c:v>-0.55958138007230129</c:v>
                </c:pt>
                <c:pt idx="129">
                  <c:v>-0.50237608732391226</c:v>
                </c:pt>
                <c:pt idx="130">
                  <c:v>-0.52436093985543664</c:v>
                </c:pt>
                <c:pt idx="131">
                  <c:v>-0.57833895948469194</c:v>
                </c:pt>
                <c:pt idx="132">
                  <c:v>-0.54247147958387187</c:v>
                </c:pt>
                <c:pt idx="133">
                  <c:v>-0.60904869494742808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5-BA46-ACEB-31509E9BF9F6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0.34225042105263159</c:v>
                </c:pt>
                <c:pt idx="2">
                  <c:v>0.44101857894736846</c:v>
                </c:pt>
                <c:pt idx="3">
                  <c:v>0.47556178947368422</c:v>
                </c:pt>
                <c:pt idx="4">
                  <c:v>0.56071099999999996</c:v>
                </c:pt>
                <c:pt idx="5">
                  <c:v>0.62029994736842098</c:v>
                </c:pt>
                <c:pt idx="6">
                  <c:v>0.69741494736842102</c:v>
                </c:pt>
                <c:pt idx="7">
                  <c:v>0.59232136842105265</c:v>
                </c:pt>
                <c:pt idx="8">
                  <c:v>0.60477284210526316</c:v>
                </c:pt>
                <c:pt idx="9">
                  <c:v>0.59629263157894741</c:v>
                </c:pt>
                <c:pt idx="10">
                  <c:v>0.57727091711396339</c:v>
                </c:pt>
                <c:pt idx="11">
                  <c:v>0.51990149045694134</c:v>
                </c:pt>
                <c:pt idx="12">
                  <c:v>0.52139589839548983</c:v>
                </c:pt>
                <c:pt idx="13">
                  <c:v>0.56917584576391089</c:v>
                </c:pt>
                <c:pt idx="14">
                  <c:v>0.62741489839548981</c:v>
                </c:pt>
                <c:pt idx="15">
                  <c:v>0.61326321418496355</c:v>
                </c:pt>
                <c:pt idx="16">
                  <c:v>0.65179847734285823</c:v>
                </c:pt>
                <c:pt idx="17">
                  <c:v>0.63443674050075294</c:v>
                </c:pt>
                <c:pt idx="18">
                  <c:v>0.66499290983115367</c:v>
                </c:pt>
                <c:pt idx="19">
                  <c:v>0.61257160967226854</c:v>
                </c:pt>
                <c:pt idx="20">
                  <c:v>0.56477660693874843</c:v>
                </c:pt>
                <c:pt idx="21">
                  <c:v>0.61835839641243262</c:v>
                </c:pt>
                <c:pt idx="22">
                  <c:v>0.62357827100796459</c:v>
                </c:pt>
                <c:pt idx="23">
                  <c:v>0.58506634472765695</c:v>
                </c:pt>
                <c:pt idx="24">
                  <c:v>0.58244066051713062</c:v>
                </c:pt>
                <c:pt idx="25">
                  <c:v>0.5116712831699004</c:v>
                </c:pt>
                <c:pt idx="26">
                  <c:v>0.52518855197339376</c:v>
                </c:pt>
                <c:pt idx="27">
                  <c:v>0.5645164993418148</c:v>
                </c:pt>
                <c:pt idx="28">
                  <c:v>0.67092857158949237</c:v>
                </c:pt>
                <c:pt idx="29">
                  <c:v>0.63050786904709322</c:v>
                </c:pt>
                <c:pt idx="30">
                  <c:v>0.60998697440053073</c:v>
                </c:pt>
                <c:pt idx="31">
                  <c:v>0.6047366964700247</c:v>
                </c:pt>
                <c:pt idx="32">
                  <c:v>0.53266374554290385</c:v>
                </c:pt>
                <c:pt idx="33">
                  <c:v>0.5176047094597529</c:v>
                </c:pt>
                <c:pt idx="34">
                  <c:v>0.44069327860145091</c:v>
                </c:pt>
                <c:pt idx="35">
                  <c:v>0.40272408887899019</c:v>
                </c:pt>
                <c:pt idx="36">
                  <c:v>0.34148192250036496</c:v>
                </c:pt>
                <c:pt idx="37">
                  <c:v>0.24288725573082126</c:v>
                </c:pt>
                <c:pt idx="38">
                  <c:v>0.1819815502654113</c:v>
                </c:pt>
                <c:pt idx="39">
                  <c:v>0.25195807541749549</c:v>
                </c:pt>
                <c:pt idx="40">
                  <c:v>0.25232604315525542</c:v>
                </c:pt>
                <c:pt idx="41">
                  <c:v>0.21468020339299249</c:v>
                </c:pt>
                <c:pt idx="42">
                  <c:v>0.12930321743994572</c:v>
                </c:pt>
                <c:pt idx="43">
                  <c:v>9.4796637754801238E-2</c:v>
                </c:pt>
                <c:pt idx="44">
                  <c:v>5.4804988751497398E-2</c:v>
                </c:pt>
                <c:pt idx="45">
                  <c:v>7.3487874185114571E-2</c:v>
                </c:pt>
                <c:pt idx="46">
                  <c:v>9.1850805691072068E-2</c:v>
                </c:pt>
                <c:pt idx="47">
                  <c:v>-4.5100222603320639E-2</c:v>
                </c:pt>
                <c:pt idx="48">
                  <c:v>-6.0168341375082188E-2</c:v>
                </c:pt>
                <c:pt idx="49">
                  <c:v>-6.819772202926129E-3</c:v>
                </c:pt>
                <c:pt idx="50">
                  <c:v>8.951764884970545E-2</c:v>
                </c:pt>
                <c:pt idx="51">
                  <c:v>2.7783366848030608E-2</c:v>
                </c:pt>
                <c:pt idx="52">
                  <c:v>3.7604365803308025E-2</c:v>
                </c:pt>
                <c:pt idx="53">
                  <c:v>-5.7234158640973934E-3</c:v>
                </c:pt>
                <c:pt idx="54">
                  <c:v>-4.9510478399584411E-2</c:v>
                </c:pt>
                <c:pt idx="55">
                  <c:v>-9.0280999945274193E-2</c:v>
                </c:pt>
                <c:pt idx="56">
                  <c:v>-0.21558630638486398</c:v>
                </c:pt>
                <c:pt idx="57">
                  <c:v>-0.28899977056358905</c:v>
                </c:pt>
                <c:pt idx="58">
                  <c:v>-0.24796870263035717</c:v>
                </c:pt>
                <c:pt idx="59">
                  <c:v>-0.31657289823265988</c:v>
                </c:pt>
                <c:pt idx="60">
                  <c:v>-0.35026431810342845</c:v>
                </c:pt>
                <c:pt idx="61">
                  <c:v>-0.33969273915606002</c:v>
                </c:pt>
                <c:pt idx="62">
                  <c:v>-0.37894995436248713</c:v>
                </c:pt>
                <c:pt idx="63">
                  <c:v>-0.39988649243503849</c:v>
                </c:pt>
                <c:pt idx="64">
                  <c:v>-0.43349553811230296</c:v>
                </c:pt>
                <c:pt idx="65">
                  <c:v>-0.4491692716052621</c:v>
                </c:pt>
                <c:pt idx="66">
                  <c:v>-0.4650127954752129</c:v>
                </c:pt>
                <c:pt idx="67">
                  <c:v>-0.437083365942595</c:v>
                </c:pt>
                <c:pt idx="68">
                  <c:v>-0.40675064195582439</c:v>
                </c:pt>
                <c:pt idx="69">
                  <c:v>-0.39146232616635068</c:v>
                </c:pt>
                <c:pt idx="70">
                  <c:v>-0.50262243142950858</c:v>
                </c:pt>
                <c:pt idx="71">
                  <c:v>-0.46134022090319277</c:v>
                </c:pt>
                <c:pt idx="72">
                  <c:v>-0.34293201037687698</c:v>
                </c:pt>
                <c:pt idx="73">
                  <c:v>-0.39790277049883005</c:v>
                </c:pt>
                <c:pt idx="74">
                  <c:v>-0.47830377049883011</c:v>
                </c:pt>
                <c:pt idx="75">
                  <c:v>-0.42731798102514595</c:v>
                </c:pt>
                <c:pt idx="76">
                  <c:v>-0.39386334944619861</c:v>
                </c:pt>
                <c:pt idx="77">
                  <c:v>-0.45334040973973844</c:v>
                </c:pt>
                <c:pt idx="78">
                  <c:v>-0.48231609122610714</c:v>
                </c:pt>
                <c:pt idx="79">
                  <c:v>-0.4493897038733235</c:v>
                </c:pt>
                <c:pt idx="80">
                  <c:v>-0.56374281250041824</c:v>
                </c:pt>
                <c:pt idx="81">
                  <c:v>-0.58405312828989198</c:v>
                </c:pt>
                <c:pt idx="82">
                  <c:v>-0.6413737919577126</c:v>
                </c:pt>
                <c:pt idx="83">
                  <c:v>-0.69025346241377838</c:v>
                </c:pt>
                <c:pt idx="84">
                  <c:v>-0.7049550744252211</c:v>
                </c:pt>
                <c:pt idx="85">
                  <c:v>-0.68715895807607974</c:v>
                </c:pt>
                <c:pt idx="86">
                  <c:v>-0.63336687156208682</c:v>
                </c:pt>
                <c:pt idx="87">
                  <c:v>-0.49602330110861231</c:v>
                </c:pt>
                <c:pt idx="88">
                  <c:v>-0.52806331147692942</c:v>
                </c:pt>
                <c:pt idx="89">
                  <c:v>-0.50503662280600337</c:v>
                </c:pt>
                <c:pt idx="90">
                  <c:v>-0.4314489027671104</c:v>
                </c:pt>
                <c:pt idx="91">
                  <c:v>-0.5312582342488632</c:v>
                </c:pt>
                <c:pt idx="92">
                  <c:v>-0.58446986234053777</c:v>
                </c:pt>
                <c:pt idx="93">
                  <c:v>-0.64037899996503911</c:v>
                </c:pt>
                <c:pt idx="94">
                  <c:v>-0.69940612022869486</c:v>
                </c:pt>
                <c:pt idx="95">
                  <c:v>-0.71850669677937973</c:v>
                </c:pt>
                <c:pt idx="96">
                  <c:v>-0.67458959408216512</c:v>
                </c:pt>
                <c:pt idx="97">
                  <c:v>-0.69733530922042042</c:v>
                </c:pt>
                <c:pt idx="98">
                  <c:v>-0.69393692675694962</c:v>
                </c:pt>
                <c:pt idx="99">
                  <c:v>-0.73023633564518875</c:v>
                </c:pt>
                <c:pt idx="100">
                  <c:v>-0.70147721535371454</c:v>
                </c:pt>
                <c:pt idx="101">
                  <c:v>-0.76554077870409787</c:v>
                </c:pt>
                <c:pt idx="102">
                  <c:v>-0.7412364895335134</c:v>
                </c:pt>
                <c:pt idx="103">
                  <c:v>-0.7176754163453225</c:v>
                </c:pt>
                <c:pt idx="104">
                  <c:v>-0.74130802555017006</c:v>
                </c:pt>
                <c:pt idx="105">
                  <c:v>-0.72454947575775364</c:v>
                </c:pt>
                <c:pt idx="106">
                  <c:v>-0.72993377536551818</c:v>
                </c:pt>
                <c:pt idx="107">
                  <c:v>-0.69407714480845561</c:v>
                </c:pt>
                <c:pt idx="108">
                  <c:v>-0.70552370120177288</c:v>
                </c:pt>
                <c:pt idx="109">
                  <c:v>-0.71029853844468449</c:v>
                </c:pt>
                <c:pt idx="110">
                  <c:v>-0.6517007187357674</c:v>
                </c:pt>
                <c:pt idx="111">
                  <c:v>-0.65272444300306476</c:v>
                </c:pt>
                <c:pt idx="112">
                  <c:v>-0.6717955061207207</c:v>
                </c:pt>
                <c:pt idx="113">
                  <c:v>-0.65663034456583214</c:v>
                </c:pt>
                <c:pt idx="114">
                  <c:v>-0.66213461365948267</c:v>
                </c:pt>
                <c:pt idx="115">
                  <c:v>-0.70479710955274699</c:v>
                </c:pt>
                <c:pt idx="116">
                  <c:v>-0.74617275471554434</c:v>
                </c:pt>
                <c:pt idx="117">
                  <c:v>-0.78971247107319631</c:v>
                </c:pt>
                <c:pt idx="118">
                  <c:v>-0.71853990649206334</c:v>
                </c:pt>
                <c:pt idx="119">
                  <c:v>-0.72402400273761258</c:v>
                </c:pt>
                <c:pt idx="120">
                  <c:v>-0.68897909646669575</c:v>
                </c:pt>
                <c:pt idx="121">
                  <c:v>-0.64446214286924042</c:v>
                </c:pt>
                <c:pt idx="122">
                  <c:v>-0.59954719425025838</c:v>
                </c:pt>
                <c:pt idx="123">
                  <c:v>-0.70780954878036573</c:v>
                </c:pt>
                <c:pt idx="124">
                  <c:v>-0.80615391579814344</c:v>
                </c:pt>
                <c:pt idx="125">
                  <c:v>-0.7042224102457223</c:v>
                </c:pt>
                <c:pt idx="126">
                  <c:v>-0.74221949019257083</c:v>
                </c:pt>
                <c:pt idx="127">
                  <c:v>-0.72033791687410853</c:v>
                </c:pt>
                <c:pt idx="128">
                  <c:v>-0.65742523230136696</c:v>
                </c:pt>
                <c:pt idx="129">
                  <c:v>-0.57924540160110383</c:v>
                </c:pt>
                <c:pt idx="130">
                  <c:v>-0.62250541913041146</c:v>
                </c:pt>
                <c:pt idx="131">
                  <c:v>-0.70090468327547495</c:v>
                </c:pt>
                <c:pt idx="132">
                  <c:v>-0.65839894397411669</c:v>
                </c:pt>
                <c:pt idx="133">
                  <c:v>-0.72835536447267479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5-BA46-ACEB-31509E9BF9F6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0.60035480000000008</c:v>
                </c:pt>
                <c:pt idx="2">
                  <c:v>0.66239940000000008</c:v>
                </c:pt>
                <c:pt idx="3">
                  <c:v>0.75270400000000004</c:v>
                </c:pt>
                <c:pt idx="4">
                  <c:v>0.84931020000000002</c:v>
                </c:pt>
                <c:pt idx="5">
                  <c:v>0.96815459999999998</c:v>
                </c:pt>
                <c:pt idx="6">
                  <c:v>1.0948834999999999</c:v>
                </c:pt>
                <c:pt idx="7">
                  <c:v>1.0303593</c:v>
                </c:pt>
                <c:pt idx="8">
                  <c:v>1.0261483</c:v>
                </c:pt>
                <c:pt idx="9">
                  <c:v>1.0391152000000001</c:v>
                </c:pt>
                <c:pt idx="10">
                  <c:v>1.0369821835637125</c:v>
                </c:pt>
                <c:pt idx="11">
                  <c:v>0.92718598913857886</c:v>
                </c:pt>
                <c:pt idx="12">
                  <c:v>0.91491519337942617</c:v>
                </c:pt>
                <c:pt idx="13">
                  <c:v>0.96789859337942619</c:v>
                </c:pt>
                <c:pt idx="14">
                  <c:v>1.0682753933794262</c:v>
                </c:pt>
                <c:pt idx="15">
                  <c:v>1.0850305933794262</c:v>
                </c:pt>
                <c:pt idx="16">
                  <c:v>1.0419969933794262</c:v>
                </c:pt>
                <c:pt idx="17">
                  <c:v>0.99265729337942621</c:v>
                </c:pt>
                <c:pt idx="18">
                  <c:v>1.0708566838172391</c:v>
                </c:pt>
                <c:pt idx="19">
                  <c:v>0.96072967748640314</c:v>
                </c:pt>
                <c:pt idx="20">
                  <c:v>0.91005825324141254</c:v>
                </c:pt>
                <c:pt idx="21">
                  <c:v>0.98849475324141256</c:v>
                </c:pt>
                <c:pt idx="22">
                  <c:v>0.96786477887559275</c:v>
                </c:pt>
                <c:pt idx="23">
                  <c:v>0.9211448068222341</c:v>
                </c:pt>
                <c:pt idx="24">
                  <c:v>0.96773370682223414</c:v>
                </c:pt>
                <c:pt idx="25">
                  <c:v>0.88403353430640363</c:v>
                </c:pt>
                <c:pt idx="26">
                  <c:v>0.86755256809821557</c:v>
                </c:pt>
                <c:pt idx="27">
                  <c:v>0.90724296809821559</c:v>
                </c:pt>
                <c:pt idx="28">
                  <c:v>1.0050406521071666</c:v>
                </c:pt>
                <c:pt idx="29">
                  <c:v>0.93922103961012682</c:v>
                </c:pt>
                <c:pt idx="30">
                  <c:v>0.92909756134847121</c:v>
                </c:pt>
                <c:pt idx="31">
                  <c:v>0.96270193470614773</c:v>
                </c:pt>
                <c:pt idx="32">
                  <c:v>0.87727182389054081</c:v>
                </c:pt>
                <c:pt idx="33">
                  <c:v>0.86780696392306511</c:v>
                </c:pt>
                <c:pt idx="34">
                  <c:v>0.80604734426462021</c:v>
                </c:pt>
                <c:pt idx="35">
                  <c:v>0.76161568176880567</c:v>
                </c:pt>
                <c:pt idx="36">
                  <c:v>0.70649305963417852</c:v>
                </c:pt>
                <c:pt idx="37">
                  <c:v>0.60480435372179497</c:v>
                </c:pt>
                <c:pt idx="38">
                  <c:v>0.54143454125832791</c:v>
                </c:pt>
                <c:pt idx="39">
                  <c:v>0.6197202351510821</c:v>
                </c:pt>
                <c:pt idx="40">
                  <c:v>0.65708736194720374</c:v>
                </c:pt>
                <c:pt idx="41">
                  <c:v>0.56679350647128701</c:v>
                </c:pt>
                <c:pt idx="42">
                  <c:v>0.51297232743417298</c:v>
                </c:pt>
                <c:pt idx="43">
                  <c:v>0.44771733678174441</c:v>
                </c:pt>
                <c:pt idx="44">
                  <c:v>0.40777407569227808</c:v>
                </c:pt>
                <c:pt idx="45">
                  <c:v>0.45500089401971694</c:v>
                </c:pt>
                <c:pt idx="46">
                  <c:v>0.43934095476513602</c:v>
                </c:pt>
                <c:pt idx="47">
                  <c:v>0.31410697759040085</c:v>
                </c:pt>
                <c:pt idx="48">
                  <c:v>0.28608991348036794</c:v>
                </c:pt>
                <c:pt idx="49">
                  <c:v>0.37741319354887143</c:v>
                </c:pt>
                <c:pt idx="50">
                  <c:v>0.53510149354887138</c:v>
                </c:pt>
                <c:pt idx="51">
                  <c:v>0.42237662747005827</c:v>
                </c:pt>
                <c:pt idx="52">
                  <c:v>0.36022148380222796</c:v>
                </c:pt>
                <c:pt idx="53">
                  <c:v>0.30717820989743189</c:v>
                </c:pt>
                <c:pt idx="54">
                  <c:v>0.25873548887976877</c:v>
                </c:pt>
                <c:pt idx="55">
                  <c:v>0.21107250942301664</c:v>
                </c:pt>
                <c:pt idx="56">
                  <c:v>4.5021293958419834E-2</c:v>
                </c:pt>
                <c:pt idx="57">
                  <c:v>-5.3627752448000832E-2</c:v>
                </c:pt>
                <c:pt idx="58">
                  <c:v>-3.2468638041261239E-2</c:v>
                </c:pt>
                <c:pt idx="59">
                  <c:v>-0.16257889307743065</c:v>
                </c:pt>
                <c:pt idx="60">
                  <c:v>-0.11697396077701719</c:v>
                </c:pt>
                <c:pt idx="61">
                  <c:v>-0.1168962607770172</c:v>
                </c:pt>
                <c:pt idx="62">
                  <c:v>-0.18372108214374644</c:v>
                </c:pt>
                <c:pt idx="63">
                  <c:v>-0.22386365187693633</c:v>
                </c:pt>
                <c:pt idx="64">
                  <c:v>-0.2515981278318673</c:v>
                </c:pt>
                <c:pt idx="65">
                  <c:v>-0.26578234853967209</c:v>
                </c:pt>
                <c:pt idx="66">
                  <c:v>-0.27858527982999987</c:v>
                </c:pt>
                <c:pt idx="67">
                  <c:v>-0.22842785070794017</c:v>
                </c:pt>
                <c:pt idx="68">
                  <c:v>-0.21656193979932845</c:v>
                </c:pt>
                <c:pt idx="69">
                  <c:v>-0.25319453979932843</c:v>
                </c:pt>
                <c:pt idx="70">
                  <c:v>-0.33874103979932846</c:v>
                </c:pt>
                <c:pt idx="71">
                  <c:v>-0.25256093979932848</c:v>
                </c:pt>
                <c:pt idx="72">
                  <c:v>-4.8415439799328469E-2</c:v>
                </c:pt>
                <c:pt idx="73">
                  <c:v>-7.7051334865059953E-2</c:v>
                </c:pt>
                <c:pt idx="74">
                  <c:v>-0.17039023486505994</c:v>
                </c:pt>
                <c:pt idx="75">
                  <c:v>-0.10303003486505995</c:v>
                </c:pt>
                <c:pt idx="76">
                  <c:v>-7.3067134865059946E-2</c:v>
                </c:pt>
                <c:pt idx="77">
                  <c:v>-0.16575124038829742</c:v>
                </c:pt>
                <c:pt idx="78">
                  <c:v>-0.1303926972157807</c:v>
                </c:pt>
                <c:pt idx="79">
                  <c:v>-0.17750716534445435</c:v>
                </c:pt>
                <c:pt idx="80">
                  <c:v>-0.27499791048988903</c:v>
                </c:pt>
                <c:pt idx="81">
                  <c:v>-0.278624310489889</c:v>
                </c:pt>
                <c:pt idx="82">
                  <c:v>-0.36451033202005279</c:v>
                </c:pt>
                <c:pt idx="83">
                  <c:v>-0.44585294000338105</c:v>
                </c:pt>
                <c:pt idx="84">
                  <c:v>-0.44334200122304868</c:v>
                </c:pt>
                <c:pt idx="85">
                  <c:v>-0.4026702842759875</c:v>
                </c:pt>
                <c:pt idx="86">
                  <c:v>-0.30702953610328215</c:v>
                </c:pt>
                <c:pt idx="87">
                  <c:v>-0.14537506306010556</c:v>
                </c:pt>
                <c:pt idx="88">
                  <c:v>-0.22000617918855933</c:v>
                </c:pt>
                <c:pt idx="89">
                  <c:v>-0.17737206338939904</c:v>
                </c:pt>
                <c:pt idx="90">
                  <c:v>-4.7923038507357629E-2</c:v>
                </c:pt>
                <c:pt idx="91">
                  <c:v>-0.17545887394030732</c:v>
                </c:pt>
                <c:pt idx="92">
                  <c:v>-0.21283688470543632</c:v>
                </c:pt>
                <c:pt idx="93">
                  <c:v>-0.26107395499360059</c:v>
                </c:pt>
                <c:pt idx="94">
                  <c:v>-0.3212591274571952</c:v>
                </c:pt>
                <c:pt idx="95">
                  <c:v>-0.32865370243264996</c:v>
                </c:pt>
                <c:pt idx="96">
                  <c:v>-0.26547504251787724</c:v>
                </c:pt>
                <c:pt idx="97">
                  <c:v>-0.25933319561306833</c:v>
                </c:pt>
                <c:pt idx="98">
                  <c:v>-0.24684853543262816</c:v>
                </c:pt>
                <c:pt idx="99">
                  <c:v>-0.2708881424859591</c:v>
                </c:pt>
                <c:pt idx="100">
                  <c:v>-0.22841746940819677</c:v>
                </c:pt>
                <c:pt idx="101">
                  <c:v>-0.308304417352539</c:v>
                </c:pt>
                <c:pt idx="102">
                  <c:v>-0.2819285819106625</c:v>
                </c:pt>
                <c:pt idx="103">
                  <c:v>-0.2517019636965388</c:v>
                </c:pt>
                <c:pt idx="104">
                  <c:v>-0.28677711367112091</c:v>
                </c:pt>
                <c:pt idx="105">
                  <c:v>-0.23738342317123631</c:v>
                </c:pt>
                <c:pt idx="106">
                  <c:v>-0.2623321379162793</c:v>
                </c:pt>
                <c:pt idx="107">
                  <c:v>-0.21994083151688454</c:v>
                </c:pt>
                <c:pt idx="108">
                  <c:v>-0.23613756313512574</c:v>
                </c:pt>
                <c:pt idx="109">
                  <c:v>-0.21742855209123363</c:v>
                </c:pt>
                <c:pt idx="110">
                  <c:v>-0.20571010308177595</c:v>
                </c:pt>
                <c:pt idx="111">
                  <c:v>-0.15385624998736908</c:v>
                </c:pt>
                <c:pt idx="112">
                  <c:v>-0.25563108403883705</c:v>
                </c:pt>
                <c:pt idx="113">
                  <c:v>-0.31826657812727499</c:v>
                </c:pt>
                <c:pt idx="114">
                  <c:v>-0.29445803125960629</c:v>
                </c:pt>
                <c:pt idx="115">
                  <c:v>-0.33845452868322595</c:v>
                </c:pt>
                <c:pt idx="116">
                  <c:v>-0.38475125591702675</c:v>
                </c:pt>
                <c:pt idx="117">
                  <c:v>-0.40848685792391931</c:v>
                </c:pt>
                <c:pt idx="118">
                  <c:v>-0.37144816897172189</c:v>
                </c:pt>
                <c:pt idx="119">
                  <c:v>-0.34097552847664059</c:v>
                </c:pt>
                <c:pt idx="120">
                  <c:v>-0.26473362006484347</c:v>
                </c:pt>
                <c:pt idx="121">
                  <c:v>-0.19256998834668046</c:v>
                </c:pt>
                <c:pt idx="122">
                  <c:v>-0.1467992593949998</c:v>
                </c:pt>
                <c:pt idx="123">
                  <c:v>-0.28656761633587119</c:v>
                </c:pt>
                <c:pt idx="124">
                  <c:v>-0.31210624348270372</c:v>
                </c:pt>
                <c:pt idx="125">
                  <c:v>-0.19348999283271731</c:v>
                </c:pt>
                <c:pt idx="126">
                  <c:v>-0.30002915943372688</c:v>
                </c:pt>
                <c:pt idx="127">
                  <c:v>-0.28110891536434246</c:v>
                </c:pt>
                <c:pt idx="128">
                  <c:v>-0.23765769508401716</c:v>
                </c:pt>
                <c:pt idx="129">
                  <c:v>-0.14957024555676227</c:v>
                </c:pt>
                <c:pt idx="130">
                  <c:v>-0.22572732235338211</c:v>
                </c:pt>
                <c:pt idx="131">
                  <c:v>-0.33638735684160243</c:v>
                </c:pt>
                <c:pt idx="132">
                  <c:v>-0.28704317690144282</c:v>
                </c:pt>
                <c:pt idx="133">
                  <c:v>-0.35274416804028508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5-BA46-ACEB-31509E9BF9F6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0.61607055555555545</c:v>
                </c:pt>
                <c:pt idx="2">
                  <c:v>0.68107544444444434</c:v>
                </c:pt>
                <c:pt idx="3">
                  <c:v>0.80533611111111103</c:v>
                </c:pt>
                <c:pt idx="4">
                  <c:v>0.91434966666666651</c:v>
                </c:pt>
                <c:pt idx="5">
                  <c:v>0.98719844444444427</c:v>
                </c:pt>
                <c:pt idx="6">
                  <c:v>1.0989904444444443</c:v>
                </c:pt>
                <c:pt idx="7">
                  <c:v>1.0302969999999998</c:v>
                </c:pt>
                <c:pt idx="8">
                  <c:v>1.0482214444444442</c:v>
                </c:pt>
                <c:pt idx="9">
                  <c:v>1.0792479999999998</c:v>
                </c:pt>
                <c:pt idx="10">
                  <c:v>1.0652605641380826</c:v>
                </c:pt>
                <c:pt idx="11">
                  <c:v>0.94501806585888581</c:v>
                </c:pt>
                <c:pt idx="12">
                  <c:v>0.9164309889799066</c:v>
                </c:pt>
                <c:pt idx="13">
                  <c:v>0.97841076675768435</c:v>
                </c:pt>
                <c:pt idx="14">
                  <c:v>1.0750306556465732</c:v>
                </c:pt>
                <c:pt idx="15">
                  <c:v>1.0942131000910176</c:v>
                </c:pt>
                <c:pt idx="16">
                  <c:v>1.0517979889799065</c:v>
                </c:pt>
                <c:pt idx="17">
                  <c:v>1.028570544535462</c:v>
                </c:pt>
                <c:pt idx="18">
                  <c:v>1.1200424794862289</c:v>
                </c:pt>
                <c:pt idx="19">
                  <c:v>1.044470993377322</c:v>
                </c:pt>
                <c:pt idx="20">
                  <c:v>0.94283963624614653</c:v>
                </c:pt>
                <c:pt idx="21">
                  <c:v>1.0165179695794799</c:v>
                </c:pt>
                <c:pt idx="22">
                  <c:v>0.99633738115984438</c:v>
                </c:pt>
                <c:pt idx="23">
                  <c:v>0.95327945027563266</c:v>
                </c:pt>
                <c:pt idx="24">
                  <c:v>1.0035071169422993</c:v>
                </c:pt>
                <c:pt idx="25">
                  <c:v>0.92852207530431896</c:v>
                </c:pt>
                <c:pt idx="26">
                  <c:v>0.88129583910175846</c:v>
                </c:pt>
                <c:pt idx="27">
                  <c:v>0.9161068391017585</c:v>
                </c:pt>
                <c:pt idx="28">
                  <c:v>1.0126091995903641</c:v>
                </c:pt>
                <c:pt idx="29">
                  <c:v>0.94892335700877495</c:v>
                </c:pt>
                <c:pt idx="30">
                  <c:v>0.93563260397223957</c:v>
                </c:pt>
                <c:pt idx="31">
                  <c:v>0.96739800442168011</c:v>
                </c:pt>
                <c:pt idx="32">
                  <c:v>0.91831996124511206</c:v>
                </c:pt>
                <c:pt idx="33">
                  <c:v>0.92534592731698806</c:v>
                </c:pt>
                <c:pt idx="34">
                  <c:v>0.86092452648461593</c:v>
                </c:pt>
                <c:pt idx="35">
                  <c:v>0.81223559338009266</c:v>
                </c:pt>
                <c:pt idx="36">
                  <c:v>0.74615886277829468</c:v>
                </c:pt>
                <c:pt idx="37">
                  <c:v>0.63970266268861908</c:v>
                </c:pt>
                <c:pt idx="38">
                  <c:v>0.57827799086270681</c:v>
                </c:pt>
                <c:pt idx="39">
                  <c:v>0.65607635900829531</c:v>
                </c:pt>
                <c:pt idx="40">
                  <c:v>0.69454255915436391</c:v>
                </c:pt>
                <c:pt idx="41">
                  <c:v>0.59125138009387146</c:v>
                </c:pt>
                <c:pt idx="42">
                  <c:v>0.52618315461990206</c:v>
                </c:pt>
                <c:pt idx="43">
                  <c:v>0.47663599930153205</c:v>
                </c:pt>
                <c:pt idx="44">
                  <c:v>0.43480916104663692</c:v>
                </c:pt>
                <c:pt idx="45">
                  <c:v>0.44388166782665561</c:v>
                </c:pt>
                <c:pt idx="46">
                  <c:v>0.40462873775200497</c:v>
                </c:pt>
                <c:pt idx="47">
                  <c:v>0.30379896450803207</c:v>
                </c:pt>
                <c:pt idx="48">
                  <c:v>0.26998637466368614</c:v>
                </c:pt>
                <c:pt idx="49">
                  <c:v>0.37489600984239835</c:v>
                </c:pt>
                <c:pt idx="50">
                  <c:v>0.53488712095350943</c:v>
                </c:pt>
                <c:pt idx="51">
                  <c:v>0.42684819680077135</c:v>
                </c:pt>
                <c:pt idx="52">
                  <c:v>0.35972673069307948</c:v>
                </c:pt>
                <c:pt idx="53">
                  <c:v>0.32379001914717548</c:v>
                </c:pt>
                <c:pt idx="54">
                  <c:v>0.27237902475270054</c:v>
                </c:pt>
                <c:pt idx="55">
                  <c:v>0.20811097043298232</c:v>
                </c:pt>
                <c:pt idx="56">
                  <c:v>4.688140084863171E-2</c:v>
                </c:pt>
                <c:pt idx="57">
                  <c:v>-4.9280633659101986E-2</c:v>
                </c:pt>
                <c:pt idx="58">
                  <c:v>-2.9069322619099808E-4</c:v>
                </c:pt>
                <c:pt idx="59">
                  <c:v>-9.6857496751729028E-2</c:v>
                </c:pt>
                <c:pt idx="60">
                  <c:v>-4.5485872225717608E-2</c:v>
                </c:pt>
                <c:pt idx="61">
                  <c:v>-5.3900427781273165E-2</c:v>
                </c:pt>
                <c:pt idx="62">
                  <c:v>-0.13542430282323822</c:v>
                </c:pt>
                <c:pt idx="63">
                  <c:v>-0.18333013542726545</c:v>
                </c:pt>
                <c:pt idx="64">
                  <c:v>-0.20522049538092313</c:v>
                </c:pt>
                <c:pt idx="65">
                  <c:v>-0.22606367892850371</c:v>
                </c:pt>
                <c:pt idx="66">
                  <c:v>-0.2425416951834323</c:v>
                </c:pt>
                <c:pt idx="67">
                  <c:v>-0.21624484716198791</c:v>
                </c:pt>
                <c:pt idx="68">
                  <c:v>-0.18423785996910474</c:v>
                </c:pt>
                <c:pt idx="69">
                  <c:v>-0.22230319330243808</c:v>
                </c:pt>
                <c:pt idx="70">
                  <c:v>-0.32384041552466025</c:v>
                </c:pt>
                <c:pt idx="71">
                  <c:v>-0.2293299710802158</c:v>
                </c:pt>
                <c:pt idx="72">
                  <c:v>-5.3849710802157946E-3</c:v>
                </c:pt>
                <c:pt idx="73">
                  <c:v>-3.6944208601346742E-2</c:v>
                </c:pt>
                <c:pt idx="74">
                  <c:v>-0.15593965304579124</c:v>
                </c:pt>
                <c:pt idx="75">
                  <c:v>-6.3310097490235695E-2</c:v>
                </c:pt>
                <c:pt idx="76">
                  <c:v>-3.5879097490235698E-2</c:v>
                </c:pt>
                <c:pt idx="77">
                  <c:v>-0.15174464647939101</c:v>
                </c:pt>
                <c:pt idx="78">
                  <c:v>-0.13106148577820584</c:v>
                </c:pt>
                <c:pt idx="79">
                  <c:v>-0.1920500116519358</c:v>
                </c:pt>
                <c:pt idx="80">
                  <c:v>-0.313360425053896</c:v>
                </c:pt>
                <c:pt idx="81">
                  <c:v>-0.32805642505389598</c:v>
                </c:pt>
                <c:pt idx="82">
                  <c:v>-0.38978430320056257</c:v>
                </c:pt>
                <c:pt idx="83">
                  <c:v>-0.44023302790455865</c:v>
                </c:pt>
                <c:pt idx="84">
                  <c:v>-0.43599235979240797</c:v>
                </c:pt>
                <c:pt idx="85">
                  <c:v>-0.40628897429864463</c:v>
                </c:pt>
                <c:pt idx="86">
                  <c:v>-0.31786628451703702</c:v>
                </c:pt>
                <c:pt idx="87">
                  <c:v>-0.12112584635782334</c:v>
                </c:pt>
                <c:pt idx="88">
                  <c:v>-0.210114474507335</c:v>
                </c:pt>
                <c:pt idx="89">
                  <c:v>-0.17705695936638502</c:v>
                </c:pt>
                <c:pt idx="90">
                  <c:v>5.3949951734442725E-3</c:v>
                </c:pt>
                <c:pt idx="91">
                  <c:v>-0.13123669430864704</c:v>
                </c:pt>
                <c:pt idx="92">
                  <c:v>-0.17267229996805744</c:v>
                </c:pt>
                <c:pt idx="93">
                  <c:v>-0.22097206665137398</c:v>
                </c:pt>
                <c:pt idx="94">
                  <c:v>-0.28753122652544783</c:v>
                </c:pt>
                <c:pt idx="95">
                  <c:v>-0.2925986330262888</c:v>
                </c:pt>
                <c:pt idx="96">
                  <c:v>-0.22916397866731411</c:v>
                </c:pt>
                <c:pt idx="97">
                  <c:v>-0.21241289458659324</c:v>
                </c:pt>
                <c:pt idx="98">
                  <c:v>-0.20321873505397153</c:v>
                </c:pt>
                <c:pt idx="99">
                  <c:v>-0.21545901980822149</c:v>
                </c:pt>
                <c:pt idx="100">
                  <c:v>-0.16634197069159609</c:v>
                </c:pt>
                <c:pt idx="101">
                  <c:v>-0.2689752298697286</c:v>
                </c:pt>
                <c:pt idx="102">
                  <c:v>-0.23917043590249307</c:v>
                </c:pt>
                <c:pt idx="103">
                  <c:v>-0.19645826612226702</c:v>
                </c:pt>
                <c:pt idx="104">
                  <c:v>-0.2394006284427673</c:v>
                </c:pt>
                <c:pt idx="105">
                  <c:v>-0.1693296933854096</c:v>
                </c:pt>
                <c:pt idx="106">
                  <c:v>-0.20377406572663836</c:v>
                </c:pt>
                <c:pt idx="107">
                  <c:v>-0.18062763250107927</c:v>
                </c:pt>
                <c:pt idx="108">
                  <c:v>-0.19508058013251789</c:v>
                </c:pt>
                <c:pt idx="109">
                  <c:v>-0.17595123671454677</c:v>
                </c:pt>
                <c:pt idx="110">
                  <c:v>-0.16271781100202448</c:v>
                </c:pt>
                <c:pt idx="111">
                  <c:v>-0.13357640492139483</c:v>
                </c:pt>
                <c:pt idx="112">
                  <c:v>-0.2671707615469755</c:v>
                </c:pt>
                <c:pt idx="113">
                  <c:v>-0.33228379767562038</c:v>
                </c:pt>
                <c:pt idx="114">
                  <c:v>-0.30195284791727944</c:v>
                </c:pt>
                <c:pt idx="115">
                  <c:v>-0.34439070127668658</c:v>
                </c:pt>
                <c:pt idx="116">
                  <c:v>-0.39761260883283028</c:v>
                </c:pt>
                <c:pt idx="117">
                  <c:v>-0.41745455741205634</c:v>
                </c:pt>
                <c:pt idx="118">
                  <c:v>-0.37038440140752454</c:v>
                </c:pt>
                <c:pt idx="119">
                  <c:v>-0.30207901984546931</c:v>
                </c:pt>
                <c:pt idx="120">
                  <c:v>-0.20832695485571501</c:v>
                </c:pt>
                <c:pt idx="121">
                  <c:v>-0.10779282703124941</c:v>
                </c:pt>
                <c:pt idx="122">
                  <c:v>-4.3319093261710753E-2</c:v>
                </c:pt>
                <c:pt idx="123">
                  <c:v>-0.18027282527950428</c:v>
                </c:pt>
                <c:pt idx="124">
                  <c:v>-0.2211905549791951</c:v>
                </c:pt>
                <c:pt idx="125">
                  <c:v>-9.5905848655217701E-2</c:v>
                </c:pt>
                <c:pt idx="126">
                  <c:v>-0.21226018356556089</c:v>
                </c:pt>
                <c:pt idx="127">
                  <c:v>-0.18098310374088444</c:v>
                </c:pt>
                <c:pt idx="128">
                  <c:v>-0.18056258850064047</c:v>
                </c:pt>
                <c:pt idx="129">
                  <c:v>-7.9883487823438765E-2</c:v>
                </c:pt>
                <c:pt idx="130">
                  <c:v>-0.14838496839127779</c:v>
                </c:pt>
                <c:pt idx="131">
                  <c:v>-0.26308419603219457</c:v>
                </c:pt>
                <c:pt idx="132">
                  <c:v>-0.2038431993770087</c:v>
                </c:pt>
                <c:pt idx="133">
                  <c:v>-0.24631760087091592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B5-BA46-ACEB-31509E9BF9F6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0.64568074999999991</c:v>
                </c:pt>
                <c:pt idx="2">
                  <c:v>0.72526874999999991</c:v>
                </c:pt>
                <c:pt idx="3">
                  <c:v>0.87204074999999992</c:v>
                </c:pt>
                <c:pt idx="4">
                  <c:v>0.98917337499999991</c:v>
                </c:pt>
                <c:pt idx="5">
                  <c:v>1.0941681249999999</c:v>
                </c:pt>
                <c:pt idx="6">
                  <c:v>1.1616573749999999</c:v>
                </c:pt>
                <c:pt idx="7">
                  <c:v>1.0463589999999998</c:v>
                </c:pt>
                <c:pt idx="8">
                  <c:v>1.0858027499999998</c:v>
                </c:pt>
                <c:pt idx="9">
                  <c:v>1.1195776249999998</c:v>
                </c:pt>
                <c:pt idx="10">
                  <c:v>1.1342367670902882</c:v>
                </c:pt>
                <c:pt idx="11">
                  <c:v>1.0249589402604824</c:v>
                </c:pt>
                <c:pt idx="12">
                  <c:v>1.0136522641963501</c:v>
                </c:pt>
                <c:pt idx="13">
                  <c:v>1.0905678891963502</c:v>
                </c:pt>
                <c:pt idx="14">
                  <c:v>1.1970002641963502</c:v>
                </c:pt>
                <c:pt idx="15">
                  <c:v>1.1989752641963503</c:v>
                </c:pt>
                <c:pt idx="16">
                  <c:v>1.1438435141963503</c:v>
                </c:pt>
                <c:pt idx="17">
                  <c:v>1.1203351391963503</c:v>
                </c:pt>
                <c:pt idx="18">
                  <c:v>1.1827410408962473</c:v>
                </c:pt>
                <c:pt idx="19">
                  <c:v>1.0854813850436442</c:v>
                </c:pt>
                <c:pt idx="20">
                  <c:v>0.95681413068597565</c:v>
                </c:pt>
                <c:pt idx="21">
                  <c:v>1.0570005056859757</c:v>
                </c:pt>
                <c:pt idx="22">
                  <c:v>1.0340724946233208</c:v>
                </c:pt>
                <c:pt idx="23">
                  <c:v>0.98020400533245511</c:v>
                </c:pt>
                <c:pt idx="24">
                  <c:v>1.0424601303324552</c:v>
                </c:pt>
                <c:pt idx="25">
                  <c:v>0.95760806745428284</c:v>
                </c:pt>
                <c:pt idx="26">
                  <c:v>0.89887937716378907</c:v>
                </c:pt>
                <c:pt idx="27">
                  <c:v>0.96749925216378907</c:v>
                </c:pt>
                <c:pt idx="28">
                  <c:v>1.0946576746110142</c:v>
                </c:pt>
                <c:pt idx="29">
                  <c:v>1.0332283644890741</c:v>
                </c:pt>
                <c:pt idx="30">
                  <c:v>1.0104873837012838</c:v>
                </c:pt>
                <c:pt idx="31">
                  <c:v>1.0459600028741727</c:v>
                </c:pt>
                <c:pt idx="32">
                  <c:v>1.0153722942326591</c:v>
                </c:pt>
                <c:pt idx="33">
                  <c:v>1.0579749247516159</c:v>
                </c:pt>
                <c:pt idx="34">
                  <c:v>0.98425865001257951</c:v>
                </c:pt>
                <c:pt idx="35">
                  <c:v>0.93353424426402298</c:v>
                </c:pt>
                <c:pt idx="36">
                  <c:v>0.85816487667636598</c:v>
                </c:pt>
                <c:pt idx="37">
                  <c:v>0.74487775633044828</c:v>
                </c:pt>
                <c:pt idx="38">
                  <c:v>0.73224542173472407</c:v>
                </c:pt>
                <c:pt idx="39">
                  <c:v>0.80948823615430954</c:v>
                </c:pt>
                <c:pt idx="40">
                  <c:v>0.8700153735558086</c:v>
                </c:pt>
                <c:pt idx="41">
                  <c:v>0.75608466366099125</c:v>
                </c:pt>
                <c:pt idx="42">
                  <c:v>0.6997611016265155</c:v>
                </c:pt>
                <c:pt idx="43">
                  <c:v>0.64749329517679333</c:v>
                </c:pt>
                <c:pt idx="44">
                  <c:v>0.59293778789010554</c:v>
                </c:pt>
                <c:pt idx="45">
                  <c:v>0.61414369067237395</c:v>
                </c:pt>
                <c:pt idx="46">
                  <c:v>0.60572180263053721</c:v>
                </c:pt>
                <c:pt idx="47">
                  <c:v>0.50948124412173823</c:v>
                </c:pt>
                <c:pt idx="48">
                  <c:v>0.48205754743113732</c:v>
                </c:pt>
                <c:pt idx="49">
                  <c:v>0.60721514969132839</c:v>
                </c:pt>
                <c:pt idx="50">
                  <c:v>0.77002164969132836</c:v>
                </c:pt>
                <c:pt idx="51">
                  <c:v>0.646257586577484</c:v>
                </c:pt>
                <c:pt idx="52">
                  <c:v>0.5623943913996704</c:v>
                </c:pt>
                <c:pt idx="53">
                  <c:v>0.54003790915346561</c:v>
                </c:pt>
                <c:pt idx="54">
                  <c:v>0.46268766691540519</c:v>
                </c:pt>
                <c:pt idx="55">
                  <c:v>0.40749017030645146</c:v>
                </c:pt>
                <c:pt idx="56">
                  <c:v>0.22173859217557057</c:v>
                </c:pt>
                <c:pt idx="57">
                  <c:v>8.8547478850241473E-2</c:v>
                </c:pt>
                <c:pt idx="58">
                  <c:v>0.16928587840859305</c:v>
                </c:pt>
                <c:pt idx="59">
                  <c:v>7.141763404016907E-2</c:v>
                </c:pt>
                <c:pt idx="60">
                  <c:v>8.8168960790549866E-2</c:v>
                </c:pt>
                <c:pt idx="61">
                  <c:v>9.5742210790549884E-2</c:v>
                </c:pt>
                <c:pt idx="62">
                  <c:v>1.9744440344689917E-2</c:v>
                </c:pt>
                <c:pt idx="63">
                  <c:v>-2.7171085249188071E-2</c:v>
                </c:pt>
                <c:pt idx="64">
                  <c:v>-6.2350700665911682E-2</c:v>
                </c:pt>
                <c:pt idx="65">
                  <c:v>-9.8346680320392593E-2</c:v>
                </c:pt>
                <c:pt idx="66">
                  <c:v>-0.1097231907668442</c:v>
                </c:pt>
                <c:pt idx="67">
                  <c:v>-0.10007681564209431</c:v>
                </c:pt>
                <c:pt idx="68">
                  <c:v>-7.9170797428398804E-2</c:v>
                </c:pt>
                <c:pt idx="69">
                  <c:v>-0.11281804742839879</c:v>
                </c:pt>
                <c:pt idx="70">
                  <c:v>-0.2173424224283988</c:v>
                </c:pt>
                <c:pt idx="71">
                  <c:v>-0.1106985474283988</c:v>
                </c:pt>
                <c:pt idx="72">
                  <c:v>0.11653582757160119</c:v>
                </c:pt>
                <c:pt idx="73">
                  <c:v>8.7712862951928455E-2</c:v>
                </c:pt>
                <c:pt idx="74">
                  <c:v>-8.1495120480715583E-3</c:v>
                </c:pt>
                <c:pt idx="75">
                  <c:v>9.8802487951928447E-2</c:v>
                </c:pt>
                <c:pt idx="76">
                  <c:v>0.12599861295192843</c:v>
                </c:pt>
                <c:pt idx="77">
                  <c:v>1.6832775931184429E-2</c:v>
                </c:pt>
                <c:pt idx="78">
                  <c:v>0.13151362278496223</c:v>
                </c:pt>
                <c:pt idx="79">
                  <c:v>5.5128507505488117E-2</c:v>
                </c:pt>
                <c:pt idx="80">
                  <c:v>-5.7366083789918781E-2</c:v>
                </c:pt>
                <c:pt idx="81">
                  <c:v>-0.15248983378991876</c:v>
                </c:pt>
                <c:pt idx="82">
                  <c:v>-0.22720482241864987</c:v>
                </c:pt>
                <c:pt idx="83">
                  <c:v>-0.26017389458910289</c:v>
                </c:pt>
                <c:pt idx="84">
                  <c:v>-0.25647211121421831</c:v>
                </c:pt>
                <c:pt idx="85">
                  <c:v>-0.2355212837328699</c:v>
                </c:pt>
                <c:pt idx="86">
                  <c:v>-0.15156543547323914</c:v>
                </c:pt>
                <c:pt idx="87">
                  <c:v>-1.472633650850233E-2</c:v>
                </c:pt>
                <c:pt idx="88">
                  <c:v>-0.14929568094007664</c:v>
                </c:pt>
                <c:pt idx="89">
                  <c:v>-0.12257761978908967</c:v>
                </c:pt>
                <c:pt idx="90">
                  <c:v>7.9961007473899823E-2</c:v>
                </c:pt>
                <c:pt idx="91">
                  <c:v>-6.8198261723443773E-2</c:v>
                </c:pt>
                <c:pt idx="92">
                  <c:v>-0.1092861949068471</c:v>
                </c:pt>
                <c:pt idx="93">
                  <c:v>-0.15996268560907029</c:v>
                </c:pt>
                <c:pt idx="94">
                  <c:v>-0.25680431690864003</c:v>
                </c:pt>
                <c:pt idx="95">
                  <c:v>-0.30606437329783309</c:v>
                </c:pt>
                <c:pt idx="96">
                  <c:v>-0.2316560657145792</c:v>
                </c:pt>
                <c:pt idx="97">
                  <c:v>-0.23553567365450662</c:v>
                </c:pt>
                <c:pt idx="98">
                  <c:v>-0.21577381974515367</c:v>
                </c:pt>
                <c:pt idx="99">
                  <c:v>-0.22654621426910149</c:v>
                </c:pt>
                <c:pt idx="100">
                  <c:v>-0.17716291555301145</c:v>
                </c:pt>
                <c:pt idx="101">
                  <c:v>-0.30141175340063198</c:v>
                </c:pt>
                <c:pt idx="102">
                  <c:v>-0.25751589425549781</c:v>
                </c:pt>
                <c:pt idx="103">
                  <c:v>-0.2226328834630299</c:v>
                </c:pt>
                <c:pt idx="104">
                  <c:v>-0.26599635244052922</c:v>
                </c:pt>
                <c:pt idx="105">
                  <c:v>-0.18086241935637526</c:v>
                </c:pt>
                <c:pt idx="106">
                  <c:v>-0.22458583513967847</c:v>
                </c:pt>
                <c:pt idx="107">
                  <c:v>-0.2133544648130192</c:v>
                </c:pt>
                <c:pt idx="108">
                  <c:v>-0.21151518288411078</c:v>
                </c:pt>
                <c:pt idx="109">
                  <c:v>-0.17278853194609806</c:v>
                </c:pt>
                <c:pt idx="110">
                  <c:v>-0.16749528762231561</c:v>
                </c:pt>
                <c:pt idx="111">
                  <c:v>-0.12215913008149565</c:v>
                </c:pt>
                <c:pt idx="112">
                  <c:v>-0.27819555819804187</c:v>
                </c:pt>
                <c:pt idx="113">
                  <c:v>-0.35171115913521295</c:v>
                </c:pt>
                <c:pt idx="114">
                  <c:v>-0.29945824855289693</c:v>
                </c:pt>
                <c:pt idx="115">
                  <c:v>-0.33494728126723594</c:v>
                </c:pt>
                <c:pt idx="116">
                  <c:v>-0.38839865160713938</c:v>
                </c:pt>
                <c:pt idx="117">
                  <c:v>-0.37188014335051583</c:v>
                </c:pt>
                <c:pt idx="118">
                  <c:v>-0.29922613824449096</c:v>
                </c:pt>
                <c:pt idx="119">
                  <c:v>-0.25379487455387428</c:v>
                </c:pt>
                <c:pt idx="120">
                  <c:v>-0.12947871474906339</c:v>
                </c:pt>
                <c:pt idx="121">
                  <c:v>-3.6339765063911816E-2</c:v>
                </c:pt>
                <c:pt idx="122">
                  <c:v>3.5390940986593511E-2</c:v>
                </c:pt>
                <c:pt idx="123">
                  <c:v>-8.2374457124360784E-2</c:v>
                </c:pt>
                <c:pt idx="124">
                  <c:v>-0.13105594053851094</c:v>
                </c:pt>
                <c:pt idx="125">
                  <c:v>-1.5169579420369339E-3</c:v>
                </c:pt>
                <c:pt idx="126">
                  <c:v>-0.11365541274811103</c:v>
                </c:pt>
                <c:pt idx="127">
                  <c:v>-8.1827240148324848E-2</c:v>
                </c:pt>
                <c:pt idx="128">
                  <c:v>-8.6459764365049457E-2</c:v>
                </c:pt>
                <c:pt idx="129">
                  <c:v>2.0825562388708044E-2</c:v>
                </c:pt>
                <c:pt idx="130">
                  <c:v>-0.10068645487931506</c:v>
                </c:pt>
                <c:pt idx="131">
                  <c:v>-0.20397712881634417</c:v>
                </c:pt>
                <c:pt idx="132">
                  <c:v>-0.13969842884745515</c:v>
                </c:pt>
                <c:pt idx="133">
                  <c:v>-0.187408195857307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B5-BA46-ACEB-31509E9BF9F6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0.59163514285714291</c:v>
                </c:pt>
                <c:pt idx="2">
                  <c:v>0.64507300000000012</c:v>
                </c:pt>
                <c:pt idx="3">
                  <c:v>0.85716385714285726</c:v>
                </c:pt>
                <c:pt idx="4">
                  <c:v>0.99022257142857151</c:v>
                </c:pt>
                <c:pt idx="5">
                  <c:v>1.1187625714285714</c:v>
                </c:pt>
                <c:pt idx="6">
                  <c:v>1.1737151428571428</c:v>
                </c:pt>
                <c:pt idx="7">
                  <c:v>1.0485542857142855</c:v>
                </c:pt>
                <c:pt idx="8">
                  <c:v>1.0801395714285713</c:v>
                </c:pt>
                <c:pt idx="9">
                  <c:v>1.1268111428571428</c:v>
                </c:pt>
                <c:pt idx="10">
                  <c:v>1.1558626072336</c:v>
                </c:pt>
                <c:pt idx="11">
                  <c:v>1.0146551187373039</c:v>
                </c:pt>
                <c:pt idx="12">
                  <c:v>1.0463930598348021</c:v>
                </c:pt>
                <c:pt idx="13">
                  <c:v>1.1009627741205164</c:v>
                </c:pt>
                <c:pt idx="14">
                  <c:v>1.2227014884062306</c:v>
                </c:pt>
                <c:pt idx="15">
                  <c:v>1.2420280598348021</c:v>
                </c:pt>
                <c:pt idx="16">
                  <c:v>1.1730147741205164</c:v>
                </c:pt>
                <c:pt idx="17">
                  <c:v>1.1679852026919448</c:v>
                </c:pt>
                <c:pt idx="18">
                  <c:v>1.2231355457435096</c:v>
                </c:pt>
                <c:pt idx="19">
                  <c:v>1.1017440843175839</c:v>
                </c:pt>
                <c:pt idx="20">
                  <c:v>0.93560925504828474</c:v>
                </c:pt>
                <c:pt idx="21">
                  <c:v>1.0627325407625705</c:v>
                </c:pt>
                <c:pt idx="22">
                  <c:v>1.0435002064051351</c:v>
                </c:pt>
                <c:pt idx="23">
                  <c:v>0.95426584296461225</c:v>
                </c:pt>
                <c:pt idx="24">
                  <c:v>1.0090714143931836</c:v>
                </c:pt>
                <c:pt idx="25">
                  <c:v>0.92437311466269945</c:v>
                </c:pt>
                <c:pt idx="26">
                  <c:v>0.86655010180674219</c:v>
                </c:pt>
                <c:pt idx="27">
                  <c:v>0.96283595894959939</c:v>
                </c:pt>
                <c:pt idx="28">
                  <c:v>1.1063652003786739</c:v>
                </c:pt>
                <c:pt idx="29">
                  <c:v>1.0744917822180484</c:v>
                </c:pt>
                <c:pt idx="30">
                  <c:v>1.0419986661201723</c:v>
                </c:pt>
                <c:pt idx="31">
                  <c:v>1.0821961270886871</c:v>
                </c:pt>
                <c:pt idx="32">
                  <c:v>1.0353405857349312</c:v>
                </c:pt>
                <c:pt idx="33">
                  <c:v>1.0827343419013802</c:v>
                </c:pt>
                <c:pt idx="34">
                  <c:v>1.0525818613037541</c:v>
                </c:pt>
                <c:pt idx="35">
                  <c:v>1.0050540976714963</c:v>
                </c:pt>
                <c:pt idx="36">
                  <c:v>0.93841069224672513</c:v>
                </c:pt>
                <c:pt idx="37">
                  <c:v>0.85911605229152332</c:v>
                </c:pt>
                <c:pt idx="38">
                  <c:v>0.85368851732383055</c:v>
                </c:pt>
                <c:pt idx="39">
                  <c:v>0.93196710925763748</c:v>
                </c:pt>
                <c:pt idx="40">
                  <c:v>1.0081979545840873</c:v>
                </c:pt>
                <c:pt idx="41">
                  <c:v>0.88365244822114319</c:v>
                </c:pt>
                <c:pt idx="42">
                  <c:v>0.79782589666717407</c:v>
                </c:pt>
                <c:pt idx="43">
                  <c:v>0.75450024684659533</c:v>
                </c:pt>
                <c:pt idx="44">
                  <c:v>0.68992460276700385</c:v>
                </c:pt>
                <c:pt idx="45">
                  <c:v>0.71869335864872108</c:v>
                </c:pt>
                <c:pt idx="46">
                  <c:v>0.69415532440761363</c:v>
                </c:pt>
                <c:pt idx="47">
                  <c:v>0.58659445615177752</c:v>
                </c:pt>
                <c:pt idx="48">
                  <c:v>0.55181117751062947</c:v>
                </c:pt>
                <c:pt idx="49">
                  <c:v>0.70022025989952863</c:v>
                </c:pt>
                <c:pt idx="50">
                  <c:v>0.88070011704238571</c:v>
                </c:pt>
                <c:pt idx="51">
                  <c:v>0.74304407488504864</c:v>
                </c:pt>
                <c:pt idx="52">
                  <c:v>0.65984250229172803</c:v>
                </c:pt>
                <c:pt idx="53">
                  <c:v>0.6838587739790285</c:v>
                </c:pt>
                <c:pt idx="54">
                  <c:v>0.6154975607408657</c:v>
                </c:pt>
                <c:pt idx="55">
                  <c:v>0.56961302444128692</c:v>
                </c:pt>
                <c:pt idx="56">
                  <c:v>0.42289904961299829</c:v>
                </c:pt>
                <c:pt idx="57">
                  <c:v>0.28500078446285582</c:v>
                </c:pt>
                <c:pt idx="58">
                  <c:v>0.36099187820331446</c:v>
                </c:pt>
                <c:pt idx="59">
                  <c:v>0.26245802151789266</c:v>
                </c:pt>
                <c:pt idx="60">
                  <c:v>0.26343910542100957</c:v>
                </c:pt>
                <c:pt idx="61">
                  <c:v>0.28979139113529528</c:v>
                </c:pt>
                <c:pt idx="62">
                  <c:v>0.18701745207185569</c:v>
                </c:pt>
                <c:pt idx="63">
                  <c:v>0.13424306244802553</c:v>
                </c:pt>
                <c:pt idx="64">
                  <c:v>0.11401556634165089</c:v>
                </c:pt>
                <c:pt idx="65">
                  <c:v>6.7158026006968879E-2</c:v>
                </c:pt>
                <c:pt idx="66">
                  <c:v>6.5241241897119884E-2</c:v>
                </c:pt>
                <c:pt idx="67">
                  <c:v>7.0989435481074614E-2</c:v>
                </c:pt>
                <c:pt idx="68">
                  <c:v>0.10386269205710644</c:v>
                </c:pt>
                <c:pt idx="69">
                  <c:v>9.0563834914249283E-2</c:v>
                </c:pt>
                <c:pt idx="70">
                  <c:v>-2.0898307942893518E-2</c:v>
                </c:pt>
                <c:pt idx="71">
                  <c:v>9.4607263485677884E-2</c:v>
                </c:pt>
                <c:pt idx="72">
                  <c:v>0.35564654919996358</c:v>
                </c:pt>
                <c:pt idx="73">
                  <c:v>0.3366280744839279</c:v>
                </c:pt>
                <c:pt idx="74">
                  <c:v>0.27393964591249931</c:v>
                </c:pt>
                <c:pt idx="75">
                  <c:v>0.38375478876964209</c:v>
                </c:pt>
                <c:pt idx="76">
                  <c:v>0.41704064591249923</c:v>
                </c:pt>
                <c:pt idx="77">
                  <c:v>0.31965336293308999</c:v>
                </c:pt>
                <c:pt idx="78">
                  <c:v>0.42525142564898138</c:v>
                </c:pt>
                <c:pt idx="79">
                  <c:v>0.30365620248021719</c:v>
                </c:pt>
                <c:pt idx="80">
                  <c:v>0.17358061686296999</c:v>
                </c:pt>
                <c:pt idx="81">
                  <c:v>7.1721616862969989E-2</c:v>
                </c:pt>
                <c:pt idx="82">
                  <c:v>-1.9887638700949353E-2</c:v>
                </c:pt>
                <c:pt idx="83">
                  <c:v>-6.5253287660108142E-2</c:v>
                </c:pt>
                <c:pt idx="84">
                  <c:v>-0.18031259846928666</c:v>
                </c:pt>
                <c:pt idx="85">
                  <c:v>-0.18408496496968427</c:v>
                </c:pt>
                <c:pt idx="86">
                  <c:v>-8.802693330416117E-2</c:v>
                </c:pt>
                <c:pt idx="87">
                  <c:v>6.4887010505323917E-2</c:v>
                </c:pt>
                <c:pt idx="88">
                  <c:v>-7.8761532659069794E-2</c:v>
                </c:pt>
                <c:pt idx="89">
                  <c:v>-4.3675278680893187E-2</c:v>
                </c:pt>
                <c:pt idx="90">
                  <c:v>0.1878985998685361</c:v>
                </c:pt>
                <c:pt idx="91">
                  <c:v>2.5059490920525396E-2</c:v>
                </c:pt>
                <c:pt idx="92">
                  <c:v>-2.2917045487742142E-2</c:v>
                </c:pt>
                <c:pt idx="93">
                  <c:v>-7.807317420433417E-2</c:v>
                </c:pt>
                <c:pt idx="94">
                  <c:v>-0.15610042093630544</c:v>
                </c:pt>
                <c:pt idx="95">
                  <c:v>-0.24661584993855484</c:v>
                </c:pt>
                <c:pt idx="96">
                  <c:v>-0.17496715873344484</c:v>
                </c:pt>
                <c:pt idx="97">
                  <c:v>-0.26600744096373352</c:v>
                </c:pt>
                <c:pt idx="98">
                  <c:v>-0.2575513553992077</c:v>
                </c:pt>
                <c:pt idx="99">
                  <c:v>-0.3191115412329858</c:v>
                </c:pt>
                <c:pt idx="100">
                  <c:v>-0.26775412745820354</c:v>
                </c:pt>
                <c:pt idx="101">
                  <c:v>-0.4005969907599749</c:v>
                </c:pt>
                <c:pt idx="102">
                  <c:v>-0.35321605124128136</c:v>
                </c:pt>
                <c:pt idx="103">
                  <c:v>-0.30748084256252195</c:v>
                </c:pt>
                <c:pt idx="104">
                  <c:v>-0.34388962405802814</c:v>
                </c:pt>
                <c:pt idx="105">
                  <c:v>-0.26142727056261394</c:v>
                </c:pt>
                <c:pt idx="106">
                  <c:v>-0.31060071545425494</c:v>
                </c:pt>
                <c:pt idx="107">
                  <c:v>-0.27555793667188466</c:v>
                </c:pt>
                <c:pt idx="108">
                  <c:v>-0.26793846351425699</c:v>
                </c:pt>
                <c:pt idx="109">
                  <c:v>-0.23990045026560797</c:v>
                </c:pt>
                <c:pt idx="110">
                  <c:v>-0.22378582102758116</c:v>
                </c:pt>
                <c:pt idx="111">
                  <c:v>-0.17858178124229163</c:v>
                </c:pt>
                <c:pt idx="112">
                  <c:v>-0.33709540833471902</c:v>
                </c:pt>
                <c:pt idx="113">
                  <c:v>-0.41849315125096015</c:v>
                </c:pt>
                <c:pt idx="114">
                  <c:v>-0.351985010518922</c:v>
                </c:pt>
                <c:pt idx="115">
                  <c:v>-0.33526294644090077</c:v>
                </c:pt>
                <c:pt idx="116">
                  <c:v>-0.37736785399153128</c:v>
                </c:pt>
                <c:pt idx="117">
                  <c:v>-0.35676316752466553</c:v>
                </c:pt>
                <c:pt idx="118">
                  <c:v>-0.2910137093407667</c:v>
                </c:pt>
                <c:pt idx="119">
                  <c:v>-0.2385526453092181</c:v>
                </c:pt>
                <c:pt idx="120">
                  <c:v>-9.0830646857485403E-2</c:v>
                </c:pt>
                <c:pt idx="121">
                  <c:v>2.5186743253491697E-2</c:v>
                </c:pt>
                <c:pt idx="122">
                  <c:v>0.12208192933039634</c:v>
                </c:pt>
                <c:pt idx="123">
                  <c:v>1.6441320530334438E-2</c:v>
                </c:pt>
                <c:pt idx="124">
                  <c:v>-6.5467371754038731E-2</c:v>
                </c:pt>
                <c:pt idx="125">
                  <c:v>8.8135605708443074E-2</c:v>
                </c:pt>
                <c:pt idx="126">
                  <c:v>-9.2924312675065346E-3</c:v>
                </c:pt>
                <c:pt idx="127">
                  <c:v>6.6223928028859125E-2</c:v>
                </c:pt>
                <c:pt idx="128">
                  <c:v>6.1485630790614386E-2</c:v>
                </c:pt>
                <c:pt idx="129">
                  <c:v>0.17144998524080979</c:v>
                </c:pt>
                <c:pt idx="130">
                  <c:v>2.8409754648024282E-2</c:v>
                </c:pt>
                <c:pt idx="131">
                  <c:v>-5.4349346740542301E-2</c:v>
                </c:pt>
                <c:pt idx="132">
                  <c:v>-1.3343064251780876E-3</c:v>
                </c:pt>
                <c:pt idx="133">
                  <c:v>-5.0289323535594635E-2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B5-BA46-ACEB-31509E9BF9F6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0.60412116666666671</c:v>
                </c:pt>
                <c:pt idx="2">
                  <c:v>0.66993366666666665</c:v>
                </c:pt>
                <c:pt idx="3">
                  <c:v>0.90610449999999998</c:v>
                </c:pt>
                <c:pt idx="4">
                  <c:v>1.0589696666666666</c:v>
                </c:pt>
                <c:pt idx="5">
                  <c:v>1.2365798333333333</c:v>
                </c:pt>
                <c:pt idx="6">
                  <c:v>1.2840431666666667</c:v>
                </c:pt>
                <c:pt idx="7">
                  <c:v>1.1278140000000001</c:v>
                </c:pt>
                <c:pt idx="8">
                  <c:v>1.1843535000000001</c:v>
                </c:pt>
                <c:pt idx="9">
                  <c:v>1.2147146666666668</c:v>
                </c:pt>
                <c:pt idx="10">
                  <c:v>1.1710244305103596</c:v>
                </c:pt>
                <c:pt idx="11">
                  <c:v>1.0191808493623795</c:v>
                </c:pt>
                <c:pt idx="12">
                  <c:v>1.0507427238512954</c:v>
                </c:pt>
                <c:pt idx="13">
                  <c:v>1.0735280571846286</c:v>
                </c:pt>
                <c:pt idx="14">
                  <c:v>1.243992390517962</c:v>
                </c:pt>
                <c:pt idx="15">
                  <c:v>1.285935390517962</c:v>
                </c:pt>
                <c:pt idx="16">
                  <c:v>1.2072392238512952</c:v>
                </c:pt>
                <c:pt idx="17">
                  <c:v>1.097712390517962</c:v>
                </c:pt>
                <c:pt idx="18">
                  <c:v>1.1649623921364449</c:v>
                </c:pt>
                <c:pt idx="19">
                  <c:v>1.0722740724111317</c:v>
                </c:pt>
                <c:pt idx="20">
                  <c:v>0.89753930910890023</c:v>
                </c:pt>
                <c:pt idx="21">
                  <c:v>1.020462975775567</c:v>
                </c:pt>
                <c:pt idx="22">
                  <c:v>0.99483433824741052</c:v>
                </c:pt>
                <c:pt idx="23">
                  <c:v>0.90321522767138696</c:v>
                </c:pt>
                <c:pt idx="24">
                  <c:v>0.95051689433805364</c:v>
                </c:pt>
                <c:pt idx="25">
                  <c:v>0.84826328845411092</c:v>
                </c:pt>
                <c:pt idx="26">
                  <c:v>0.81981045381241957</c:v>
                </c:pt>
                <c:pt idx="27">
                  <c:v>0.91580328714575288</c:v>
                </c:pt>
                <c:pt idx="28">
                  <c:v>1.0852193481435426</c:v>
                </c:pt>
                <c:pt idx="29">
                  <c:v>1.0464336813346429</c:v>
                </c:pt>
                <c:pt idx="30">
                  <c:v>1.0242974622620951</c:v>
                </c:pt>
                <c:pt idx="31">
                  <c:v>1.0808551774837987</c:v>
                </c:pt>
                <c:pt idx="32">
                  <c:v>0.99908505269430214</c:v>
                </c:pt>
                <c:pt idx="33">
                  <c:v>1.0506303430215644</c:v>
                </c:pt>
                <c:pt idx="34">
                  <c:v>1.0430783005156117</c:v>
                </c:pt>
                <c:pt idx="35">
                  <c:v>0.97280735484480618</c:v>
                </c:pt>
                <c:pt idx="36">
                  <c:v>0.92970134303340124</c:v>
                </c:pt>
                <c:pt idx="37">
                  <c:v>0.84613304866771921</c:v>
                </c:pt>
                <c:pt idx="38">
                  <c:v>0.82024014562230485</c:v>
                </c:pt>
                <c:pt idx="39">
                  <c:v>0.9078142658951569</c:v>
                </c:pt>
                <c:pt idx="40">
                  <c:v>0.99606702295580751</c:v>
                </c:pt>
                <c:pt idx="41">
                  <c:v>0.84254946064295011</c:v>
                </c:pt>
                <c:pt idx="42">
                  <c:v>0.74475250537463566</c:v>
                </c:pt>
                <c:pt idx="43">
                  <c:v>0.69545752360893431</c:v>
                </c:pt>
                <c:pt idx="44">
                  <c:v>0.61902880789528014</c:v>
                </c:pt>
                <c:pt idx="45">
                  <c:v>0.66906182859225805</c:v>
                </c:pt>
                <c:pt idx="46">
                  <c:v>0.64670566043812161</c:v>
                </c:pt>
                <c:pt idx="47">
                  <c:v>0.56649924612770874</c:v>
                </c:pt>
                <c:pt idx="48">
                  <c:v>0.53697027573432887</c:v>
                </c:pt>
                <c:pt idx="49">
                  <c:v>0.72384989390250321</c:v>
                </c:pt>
                <c:pt idx="50">
                  <c:v>0.91084689390250317</c:v>
                </c:pt>
                <c:pt idx="51">
                  <c:v>0.75110069483007158</c:v>
                </c:pt>
                <c:pt idx="52">
                  <c:v>0.68704520848388584</c:v>
                </c:pt>
                <c:pt idx="53">
                  <c:v>0.69027960111395403</c:v>
                </c:pt>
                <c:pt idx="54">
                  <c:v>0.63914772715028745</c:v>
                </c:pt>
                <c:pt idx="55">
                  <c:v>0.62557675300114879</c:v>
                </c:pt>
                <c:pt idx="56">
                  <c:v>0.47226800183136053</c:v>
                </c:pt>
                <c:pt idx="57">
                  <c:v>0.33177109587778719</c:v>
                </c:pt>
                <c:pt idx="58">
                  <c:v>0.4330553258370034</c:v>
                </c:pt>
                <c:pt idx="59">
                  <c:v>0.3741431086645477</c:v>
                </c:pt>
                <c:pt idx="60">
                  <c:v>0.304624072035106</c:v>
                </c:pt>
                <c:pt idx="61">
                  <c:v>0.33061990536843933</c:v>
                </c:pt>
                <c:pt idx="62">
                  <c:v>0.21636930510974361</c:v>
                </c:pt>
                <c:pt idx="63">
                  <c:v>0.14911665764247184</c:v>
                </c:pt>
                <c:pt idx="64">
                  <c:v>0.12338769637735646</c:v>
                </c:pt>
                <c:pt idx="65">
                  <c:v>6.0568888843224311E-2</c:v>
                </c:pt>
                <c:pt idx="66">
                  <c:v>5.0634844388901243E-2</c:v>
                </c:pt>
                <c:pt idx="67">
                  <c:v>4.3959598365381235E-2</c:v>
                </c:pt>
                <c:pt idx="68">
                  <c:v>4.0459666425742329E-2</c:v>
                </c:pt>
                <c:pt idx="69">
                  <c:v>5.3654499759075651E-2</c:v>
                </c:pt>
                <c:pt idx="70">
                  <c:v>-7.7016333574257634E-2</c:v>
                </c:pt>
                <c:pt idx="71">
                  <c:v>2.306899975907567E-2</c:v>
                </c:pt>
                <c:pt idx="72">
                  <c:v>0.31904483309240905</c:v>
                </c:pt>
                <c:pt idx="73">
                  <c:v>0.28495704782055081</c:v>
                </c:pt>
                <c:pt idx="74">
                  <c:v>0.25727888115388414</c:v>
                </c:pt>
                <c:pt idx="75">
                  <c:v>0.40202154782055077</c:v>
                </c:pt>
                <c:pt idx="76">
                  <c:v>0.43763171448721744</c:v>
                </c:pt>
                <c:pt idx="77">
                  <c:v>0.35865490686869189</c:v>
                </c:pt>
                <c:pt idx="78">
                  <c:v>0.46407166388741611</c:v>
                </c:pt>
                <c:pt idx="79">
                  <c:v>0.31533975059900887</c:v>
                </c:pt>
                <c:pt idx="80">
                  <c:v>0.20092539108587557</c:v>
                </c:pt>
                <c:pt idx="81">
                  <c:v>8.9226724419208869E-2</c:v>
                </c:pt>
                <c:pt idx="82">
                  <c:v>3.2109099552251719E-2</c:v>
                </c:pt>
                <c:pt idx="83">
                  <c:v>-1.0605944190482441E-2</c:v>
                </c:pt>
                <c:pt idx="84">
                  <c:v>-0.12134015194418685</c:v>
                </c:pt>
                <c:pt idx="85">
                  <c:v>-0.13315207470618107</c:v>
                </c:pt>
                <c:pt idx="86">
                  <c:v>-1.4354811748846563E-2</c:v>
                </c:pt>
                <c:pt idx="87">
                  <c:v>0.10099296988989094</c:v>
                </c:pt>
                <c:pt idx="88">
                  <c:v>-7.4354671691824067E-2</c:v>
                </c:pt>
                <c:pt idx="89">
                  <c:v>2.5779829754793981E-3</c:v>
                </c:pt>
                <c:pt idx="90">
                  <c:v>0.27503238760398591</c:v>
                </c:pt>
                <c:pt idx="91">
                  <c:v>0.11599978862165319</c:v>
                </c:pt>
                <c:pt idx="92">
                  <c:v>0.11872969677621513</c:v>
                </c:pt>
                <c:pt idx="93">
                  <c:v>6.9035507223812478E-2</c:v>
                </c:pt>
                <c:pt idx="94">
                  <c:v>8.334656325274345E-3</c:v>
                </c:pt>
                <c:pt idx="95">
                  <c:v>-0.11428577030475645</c:v>
                </c:pt>
                <c:pt idx="96">
                  <c:v>-3.0849373190863477E-2</c:v>
                </c:pt>
                <c:pt idx="97">
                  <c:v>-0.1328292347072671</c:v>
                </c:pt>
                <c:pt idx="98">
                  <c:v>-0.1109274269253685</c:v>
                </c:pt>
                <c:pt idx="99">
                  <c:v>-0.16856215329355345</c:v>
                </c:pt>
                <c:pt idx="100">
                  <c:v>-9.7640283729183902E-2</c:v>
                </c:pt>
                <c:pt idx="101">
                  <c:v>-0.21049211237064791</c:v>
                </c:pt>
                <c:pt idx="102">
                  <c:v>-0.15226823566741116</c:v>
                </c:pt>
                <c:pt idx="103">
                  <c:v>-0.11654733664219549</c:v>
                </c:pt>
                <c:pt idx="104">
                  <c:v>-8.1367936740101426E-2</c:v>
                </c:pt>
                <c:pt idx="105">
                  <c:v>2.4889399214699279E-2</c:v>
                </c:pt>
                <c:pt idx="106">
                  <c:v>-2.9135556167910234E-2</c:v>
                </c:pt>
                <c:pt idx="107">
                  <c:v>4.0557490725112416E-2</c:v>
                </c:pt>
                <c:pt idx="108">
                  <c:v>5.3303965635761515E-2</c:v>
                </c:pt>
                <c:pt idx="109">
                  <c:v>5.3460948765166237E-2</c:v>
                </c:pt>
                <c:pt idx="110">
                  <c:v>4.9794524322745067E-2</c:v>
                </c:pt>
                <c:pt idx="111">
                  <c:v>9.8308875045721666E-2</c:v>
                </c:pt>
                <c:pt idx="112">
                  <c:v>-2.5835712738485936E-2</c:v>
                </c:pt>
                <c:pt idx="113">
                  <c:v>-9.6003120538355427E-2</c:v>
                </c:pt>
                <c:pt idx="114">
                  <c:v>-1.4050865504361049E-2</c:v>
                </c:pt>
                <c:pt idx="115">
                  <c:v>-1.6525988601999549E-2</c:v>
                </c:pt>
                <c:pt idx="116">
                  <c:v>-7.1652552001943398E-2</c:v>
                </c:pt>
                <c:pt idx="117">
                  <c:v>-9.9490566484937121E-2</c:v>
                </c:pt>
                <c:pt idx="118">
                  <c:v>-1.9116394646862073E-2</c:v>
                </c:pt>
                <c:pt idx="119">
                  <c:v>1.4064660598344096E-2</c:v>
                </c:pt>
                <c:pt idx="120">
                  <c:v>0.1920602075523144</c:v>
                </c:pt>
                <c:pt idx="121">
                  <c:v>0.32518870817166379</c:v>
                </c:pt>
                <c:pt idx="122">
                  <c:v>0.46801940622610405</c:v>
                </c:pt>
                <c:pt idx="123">
                  <c:v>0.35649469978549952</c:v>
                </c:pt>
                <c:pt idx="124">
                  <c:v>0.29588556044481523</c:v>
                </c:pt>
                <c:pt idx="125">
                  <c:v>0.43425069468299293</c:v>
                </c:pt>
                <c:pt idx="126">
                  <c:v>0.36414111699506979</c:v>
                </c:pt>
                <c:pt idx="127">
                  <c:v>0.47606194585906292</c:v>
                </c:pt>
                <c:pt idx="128">
                  <c:v>0.50898167305407815</c:v>
                </c:pt>
                <c:pt idx="129">
                  <c:v>0.61773518269233063</c:v>
                </c:pt>
                <c:pt idx="130">
                  <c:v>0.47396097986732155</c:v>
                </c:pt>
                <c:pt idx="131">
                  <c:v>0.39367572159094644</c:v>
                </c:pt>
                <c:pt idx="132">
                  <c:v>0.4164916074348593</c:v>
                </c:pt>
                <c:pt idx="133">
                  <c:v>0.39951365256009014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B5-BA46-ACEB-31509E9BF9F6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0.82333120000000004</c:v>
                </c:pt>
                <c:pt idx="4">
                  <c:v>0.9813594000000001</c:v>
                </c:pt>
                <c:pt idx="5">
                  <c:v>1.1252916000000002</c:v>
                </c:pt>
                <c:pt idx="6">
                  <c:v>1.1532278000000002</c:v>
                </c:pt>
                <c:pt idx="7">
                  <c:v>1.0200216000000002</c:v>
                </c:pt>
                <c:pt idx="8">
                  <c:v>1.0574252000000002</c:v>
                </c:pt>
                <c:pt idx="9">
                  <c:v>1.0881188000000002</c:v>
                </c:pt>
                <c:pt idx="10">
                  <c:v>1.0104005717087268</c:v>
                </c:pt>
                <c:pt idx="11">
                  <c:v>0.84225698351918288</c:v>
                </c:pt>
                <c:pt idx="12">
                  <c:v>0.89212186958845696</c:v>
                </c:pt>
                <c:pt idx="13">
                  <c:v>0.93215086958845694</c:v>
                </c:pt>
                <c:pt idx="14">
                  <c:v>1.1569774695884569</c:v>
                </c:pt>
                <c:pt idx="15">
                  <c:v>1.2234470695884569</c:v>
                </c:pt>
                <c:pt idx="16">
                  <c:v>1.1661056695884569</c:v>
                </c:pt>
                <c:pt idx="17">
                  <c:v>1.0652598695884568</c:v>
                </c:pt>
                <c:pt idx="18">
                  <c:v>1.0789802342956341</c:v>
                </c:pt>
                <c:pt idx="19">
                  <c:v>0.97546263109101661</c:v>
                </c:pt>
                <c:pt idx="20">
                  <c:v>0.74901896900791509</c:v>
                </c:pt>
                <c:pt idx="21">
                  <c:v>0.89906196900791513</c:v>
                </c:pt>
                <c:pt idx="22">
                  <c:v>0.85699447946931784</c:v>
                </c:pt>
                <c:pt idx="23">
                  <c:v>0.75137751898565852</c:v>
                </c:pt>
                <c:pt idx="24">
                  <c:v>0.81834151898565854</c:v>
                </c:pt>
                <c:pt idx="25">
                  <c:v>0.73358167825948528</c:v>
                </c:pt>
                <c:pt idx="26">
                  <c:v>0.67713833261896572</c:v>
                </c:pt>
                <c:pt idx="27">
                  <c:v>0.80698093261896575</c:v>
                </c:pt>
                <c:pt idx="28">
                  <c:v>1.0062737969580637</c:v>
                </c:pt>
                <c:pt idx="29">
                  <c:v>0.96722911857048377</c:v>
                </c:pt>
                <c:pt idx="30">
                  <c:v>0.93956990003059149</c:v>
                </c:pt>
                <c:pt idx="31">
                  <c:v>1.0297481007453742</c:v>
                </c:pt>
                <c:pt idx="32">
                  <c:v>0.95159355582420568</c:v>
                </c:pt>
                <c:pt idx="33">
                  <c:v>1.0135835903717534</c:v>
                </c:pt>
                <c:pt idx="34">
                  <c:v>1.0271787058677562</c:v>
                </c:pt>
                <c:pt idx="35">
                  <c:v>0.95428525383077922</c:v>
                </c:pt>
                <c:pt idx="36">
                  <c:v>0.92118927308197662</c:v>
                </c:pt>
                <c:pt idx="37">
                  <c:v>0.84571907956297832</c:v>
                </c:pt>
                <c:pt idx="38">
                  <c:v>0.80043399759828993</c:v>
                </c:pt>
                <c:pt idx="39">
                  <c:v>0.93216445885367771</c:v>
                </c:pt>
                <c:pt idx="40">
                  <c:v>0.90471197352072663</c:v>
                </c:pt>
                <c:pt idx="41">
                  <c:v>0.73466296884180249</c:v>
                </c:pt>
                <c:pt idx="42">
                  <c:v>0.62256715915898553</c:v>
                </c:pt>
                <c:pt idx="43">
                  <c:v>0.61670838539877981</c:v>
                </c:pt>
                <c:pt idx="44">
                  <c:v>0.54101599850365401</c:v>
                </c:pt>
                <c:pt idx="45">
                  <c:v>0.59564171228613216</c:v>
                </c:pt>
                <c:pt idx="46">
                  <c:v>0.58877644410698116</c:v>
                </c:pt>
                <c:pt idx="47">
                  <c:v>0.47804389610827958</c:v>
                </c:pt>
                <c:pt idx="48">
                  <c:v>0.43936919766537014</c:v>
                </c:pt>
                <c:pt idx="49">
                  <c:v>0.65317162884245883</c:v>
                </c:pt>
                <c:pt idx="50">
                  <c:v>0.8045096288424588</c:v>
                </c:pt>
                <c:pt idx="51">
                  <c:v>0.63685420546588944</c:v>
                </c:pt>
                <c:pt idx="52">
                  <c:v>0.56624863778814927</c:v>
                </c:pt>
                <c:pt idx="53">
                  <c:v>0.61967845100974661</c:v>
                </c:pt>
                <c:pt idx="54">
                  <c:v>0.625625248149007</c:v>
                </c:pt>
                <c:pt idx="55">
                  <c:v>0.61993666581767826</c:v>
                </c:pt>
                <c:pt idx="56">
                  <c:v>0.52587461020933801</c:v>
                </c:pt>
                <c:pt idx="57">
                  <c:v>0.37581730964588361</c:v>
                </c:pt>
                <c:pt idx="58">
                  <c:v>0.49007297538040712</c:v>
                </c:pt>
                <c:pt idx="59">
                  <c:v>0.44093319156913313</c:v>
                </c:pt>
                <c:pt idx="60">
                  <c:v>0.33833490741468775</c:v>
                </c:pt>
                <c:pt idx="61">
                  <c:v>0.35811830741468775</c:v>
                </c:pt>
                <c:pt idx="62">
                  <c:v>0.22120064608624945</c:v>
                </c:pt>
                <c:pt idx="63">
                  <c:v>0.10264340464087805</c:v>
                </c:pt>
                <c:pt idx="64">
                  <c:v>0.14110512215685725</c:v>
                </c:pt>
                <c:pt idx="65">
                  <c:v>8.0697601393902266E-2</c:v>
                </c:pt>
                <c:pt idx="66">
                  <c:v>6.524589443305924E-2</c:v>
                </c:pt>
                <c:pt idx="67">
                  <c:v>5.3172262702586653E-2</c:v>
                </c:pt>
                <c:pt idx="68">
                  <c:v>2.063606497773051E-2</c:v>
                </c:pt>
                <c:pt idx="69">
                  <c:v>7.3104664977730494E-2</c:v>
                </c:pt>
                <c:pt idx="70">
                  <c:v>-7.6336335022269497E-2</c:v>
                </c:pt>
                <c:pt idx="71">
                  <c:v>5.7373464977730493E-2</c:v>
                </c:pt>
                <c:pt idx="72">
                  <c:v>0.39941566497773051</c:v>
                </c:pt>
                <c:pt idx="73">
                  <c:v>0.36872202829448625</c:v>
                </c:pt>
                <c:pt idx="74">
                  <c:v>0.32553422829448625</c:v>
                </c:pt>
                <c:pt idx="75">
                  <c:v>0.51026002829448625</c:v>
                </c:pt>
                <c:pt idx="76">
                  <c:v>0.56047622829448629</c:v>
                </c:pt>
                <c:pt idx="77">
                  <c:v>0.56058398339551463</c:v>
                </c:pt>
                <c:pt idx="78">
                  <c:v>0.6620133643605085</c:v>
                </c:pt>
                <c:pt idx="79">
                  <c:v>0.47315385181711278</c:v>
                </c:pt>
                <c:pt idx="80">
                  <c:v>0.3593853781974875</c:v>
                </c:pt>
                <c:pt idx="81">
                  <c:v>0.2281769781974875</c:v>
                </c:pt>
                <c:pt idx="82">
                  <c:v>0.15220673745437943</c:v>
                </c:pt>
                <c:pt idx="83">
                  <c:v>0.13001150843024656</c:v>
                </c:pt>
                <c:pt idx="84">
                  <c:v>4.4803305995171169E-2</c:v>
                </c:pt>
                <c:pt idx="85">
                  <c:v>3.2933212112424767E-3</c:v>
                </c:pt>
                <c:pt idx="86">
                  <c:v>8.3882945151864036E-2</c:v>
                </c:pt>
                <c:pt idx="87">
                  <c:v>0.23319609578211573</c:v>
                </c:pt>
                <c:pt idx="88">
                  <c:v>4.414493061149502E-2</c:v>
                </c:pt>
                <c:pt idx="89">
                  <c:v>2.198551924101037E-2</c:v>
                </c:pt>
                <c:pt idx="90">
                  <c:v>0.4379568544100228</c:v>
                </c:pt>
                <c:pt idx="91">
                  <c:v>0.2459256493009955</c:v>
                </c:pt>
                <c:pt idx="92">
                  <c:v>0.23981429137193327</c:v>
                </c:pt>
                <c:pt idx="93">
                  <c:v>0.16669804686608289</c:v>
                </c:pt>
                <c:pt idx="94">
                  <c:v>7.8333769853821428E-2</c:v>
                </c:pt>
                <c:pt idx="95">
                  <c:v>-1.2140267560444853E-2</c:v>
                </c:pt>
                <c:pt idx="96">
                  <c:v>8.272739070606755E-2</c:v>
                </c:pt>
                <c:pt idx="97">
                  <c:v>-9.7836849893585681E-3</c:v>
                </c:pt>
                <c:pt idx="98">
                  <c:v>-1.9736747910641207E-2</c:v>
                </c:pt>
                <c:pt idx="99">
                  <c:v>-0.11003529877840568</c:v>
                </c:pt>
                <c:pt idx="100">
                  <c:v>-9.7555566110108793E-2</c:v>
                </c:pt>
                <c:pt idx="101">
                  <c:v>-0.25271721125930713</c:v>
                </c:pt>
                <c:pt idx="102">
                  <c:v>-0.20524531810412955</c:v>
                </c:pt>
                <c:pt idx="103">
                  <c:v>-0.14834260834699542</c:v>
                </c:pt>
                <c:pt idx="104">
                  <c:v>-9.872953911143964E-2</c:v>
                </c:pt>
                <c:pt idx="105">
                  <c:v>4.9379275227382946E-2</c:v>
                </c:pt>
                <c:pt idx="106">
                  <c:v>7.6129139148311487E-2</c:v>
                </c:pt>
                <c:pt idx="107">
                  <c:v>7.5270017615890861E-2</c:v>
                </c:pt>
                <c:pt idx="108">
                  <c:v>7.9472228236261558E-2</c:v>
                </c:pt>
                <c:pt idx="109">
                  <c:v>9.0447639978788616E-2</c:v>
                </c:pt>
                <c:pt idx="110">
                  <c:v>0.11332437176384108</c:v>
                </c:pt>
                <c:pt idx="111">
                  <c:v>0.15278431803272891</c:v>
                </c:pt>
                <c:pt idx="112">
                  <c:v>6.7830336586674006E-2</c:v>
                </c:pt>
                <c:pt idx="113">
                  <c:v>-7.9962995918685248E-3</c:v>
                </c:pt>
                <c:pt idx="114">
                  <c:v>-1.72799498713056E-2</c:v>
                </c:pt>
                <c:pt idx="115">
                  <c:v>-7.5299156525504771E-2</c:v>
                </c:pt>
                <c:pt idx="116">
                  <c:v>-0.14111495836347515</c:v>
                </c:pt>
                <c:pt idx="117">
                  <c:v>-0.15094548975436245</c:v>
                </c:pt>
                <c:pt idx="118">
                  <c:v>-9.3485308129662367E-2</c:v>
                </c:pt>
                <c:pt idx="119">
                  <c:v>-5.2764243007897421E-3</c:v>
                </c:pt>
                <c:pt idx="120">
                  <c:v>0.20080467327756496</c:v>
                </c:pt>
                <c:pt idx="121">
                  <c:v>0.33424065789970325</c:v>
                </c:pt>
                <c:pt idx="122">
                  <c:v>0.50630976510557268</c:v>
                </c:pt>
                <c:pt idx="123">
                  <c:v>0.37696429326671399</c:v>
                </c:pt>
                <c:pt idx="124">
                  <c:v>0.30790408930867441</c:v>
                </c:pt>
                <c:pt idx="125">
                  <c:v>0.4617704189149891</c:v>
                </c:pt>
                <c:pt idx="126">
                  <c:v>0.40815180956334035</c:v>
                </c:pt>
                <c:pt idx="127">
                  <c:v>0.49262638787303248</c:v>
                </c:pt>
                <c:pt idx="128">
                  <c:v>0.48670078859969818</c:v>
                </c:pt>
                <c:pt idx="129">
                  <c:v>0.56910793104411783</c:v>
                </c:pt>
                <c:pt idx="130">
                  <c:v>0.43810178528205035</c:v>
                </c:pt>
                <c:pt idx="131">
                  <c:v>0.3802742210818516</c:v>
                </c:pt>
                <c:pt idx="132">
                  <c:v>0.40029180837887041</c:v>
                </c:pt>
                <c:pt idx="133">
                  <c:v>0.38001039176296314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B5-BA46-ACEB-31509E9BF9F6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0.2146305</c:v>
                </c:pt>
                <c:pt idx="1">
                  <c:v>0.34101950000000003</c:v>
                </c:pt>
                <c:pt idx="2">
                  <c:v>0.32732800000000001</c:v>
                </c:pt>
                <c:pt idx="3">
                  <c:v>0.53074100000000002</c:v>
                </c:pt>
                <c:pt idx="4">
                  <c:v>0.67607300000000004</c:v>
                </c:pt>
                <c:pt idx="5">
                  <c:v>0.83823700000000001</c:v>
                </c:pt>
                <c:pt idx="6">
                  <c:v>0.85234900000000002</c:v>
                </c:pt>
                <c:pt idx="7">
                  <c:v>0.71560750000000006</c:v>
                </c:pt>
                <c:pt idx="8">
                  <c:v>0.71707750000000003</c:v>
                </c:pt>
                <c:pt idx="9">
                  <c:v>0.71204650000000003</c:v>
                </c:pt>
                <c:pt idx="10">
                  <c:v>0.6123619065917888</c:v>
                </c:pt>
                <c:pt idx="11">
                  <c:v>0.47331123073098902</c:v>
                </c:pt>
                <c:pt idx="12">
                  <c:v>0.50766322019167964</c:v>
                </c:pt>
                <c:pt idx="13">
                  <c:v>0.55309097019167963</c:v>
                </c:pt>
                <c:pt idx="14">
                  <c:v>0.82717672019167965</c:v>
                </c:pt>
                <c:pt idx="15">
                  <c:v>0.91208197019167969</c:v>
                </c:pt>
                <c:pt idx="16">
                  <c:v>0.87552022019167974</c:v>
                </c:pt>
                <c:pt idx="17">
                  <c:v>0.74440022019167973</c:v>
                </c:pt>
                <c:pt idx="18">
                  <c:v>0.66418448438522071</c:v>
                </c:pt>
                <c:pt idx="19">
                  <c:v>0.5588137139958661</c:v>
                </c:pt>
                <c:pt idx="20">
                  <c:v>0.23589316530767918</c:v>
                </c:pt>
                <c:pt idx="21">
                  <c:v>0.44369416530767919</c:v>
                </c:pt>
                <c:pt idx="22">
                  <c:v>0.42286108241524434</c:v>
                </c:pt>
                <c:pt idx="23">
                  <c:v>0.30865709519251983</c:v>
                </c:pt>
                <c:pt idx="24">
                  <c:v>0.33669259519251982</c:v>
                </c:pt>
                <c:pt idx="25">
                  <c:v>0.20685301279545001</c:v>
                </c:pt>
                <c:pt idx="26">
                  <c:v>0.13255188300342763</c:v>
                </c:pt>
                <c:pt idx="27">
                  <c:v>0.26137638300342764</c:v>
                </c:pt>
                <c:pt idx="28">
                  <c:v>0.5018324934966143</c:v>
                </c:pt>
                <c:pt idx="29">
                  <c:v>0.44870688361005129</c:v>
                </c:pt>
                <c:pt idx="30">
                  <c:v>0.40440410582025721</c:v>
                </c:pt>
                <c:pt idx="31">
                  <c:v>0.51198546838505554</c:v>
                </c:pt>
                <c:pt idx="32">
                  <c:v>0.43239125905176445</c:v>
                </c:pt>
                <c:pt idx="33">
                  <c:v>0.5027966009982332</c:v>
                </c:pt>
                <c:pt idx="34">
                  <c:v>0.53859976861634329</c:v>
                </c:pt>
                <c:pt idx="35">
                  <c:v>0.47321994588323268</c:v>
                </c:pt>
                <c:pt idx="36">
                  <c:v>0.40468413843560214</c:v>
                </c:pt>
                <c:pt idx="37">
                  <c:v>0.2927280823725078</c:v>
                </c:pt>
                <c:pt idx="38">
                  <c:v>0.24500168672878114</c:v>
                </c:pt>
                <c:pt idx="39">
                  <c:v>0.31753683029880031</c:v>
                </c:pt>
                <c:pt idx="40">
                  <c:v>0.24067132328825269</c:v>
                </c:pt>
                <c:pt idx="41">
                  <c:v>3.5489045057771479E-2</c:v>
                </c:pt>
                <c:pt idx="42">
                  <c:v>-2.8966823588857882E-2</c:v>
                </c:pt>
                <c:pt idx="43">
                  <c:v>-2.6473912311702819E-2</c:v>
                </c:pt>
                <c:pt idx="44">
                  <c:v>-7.4283543820659853E-2</c:v>
                </c:pt>
                <c:pt idx="45">
                  <c:v>-1.8762763758526133E-2</c:v>
                </c:pt>
                <c:pt idx="46">
                  <c:v>-2.8553793712623534E-2</c:v>
                </c:pt>
                <c:pt idx="47">
                  <c:v>-0.17170148118238024</c:v>
                </c:pt>
                <c:pt idx="48">
                  <c:v>-0.21872277216041824</c:v>
                </c:pt>
                <c:pt idx="49">
                  <c:v>3.6188497736718173E-2</c:v>
                </c:pt>
                <c:pt idx="50">
                  <c:v>0.17578099773671818</c:v>
                </c:pt>
                <c:pt idx="51">
                  <c:v>-4.9565137301620016E-2</c:v>
                </c:pt>
                <c:pt idx="52">
                  <c:v>-8.7886285026813879E-2</c:v>
                </c:pt>
                <c:pt idx="53">
                  <c:v>-6.6135421656185966E-2</c:v>
                </c:pt>
                <c:pt idx="54">
                  <c:v>-7.2485955053587445E-2</c:v>
                </c:pt>
                <c:pt idx="55">
                  <c:v>-7.6063055234022126E-2</c:v>
                </c:pt>
                <c:pt idx="56">
                  <c:v>-0.16834862674127576</c:v>
                </c:pt>
                <c:pt idx="57">
                  <c:v>-0.27519073637870595</c:v>
                </c:pt>
                <c:pt idx="58">
                  <c:v>-0.12131609028644924</c:v>
                </c:pt>
                <c:pt idx="59">
                  <c:v>-0.1532986046974413</c:v>
                </c:pt>
                <c:pt idx="60">
                  <c:v>-0.23627176658750715</c:v>
                </c:pt>
                <c:pt idx="61">
                  <c:v>-0.23251876658750714</c:v>
                </c:pt>
                <c:pt idx="62">
                  <c:v>-0.38763877050860696</c:v>
                </c:pt>
                <c:pt idx="63">
                  <c:v>-0.451286718500855</c:v>
                </c:pt>
                <c:pt idx="64">
                  <c:v>-0.38742948208717476</c:v>
                </c:pt>
                <c:pt idx="65">
                  <c:v>-0.49193861150658907</c:v>
                </c:pt>
                <c:pt idx="66">
                  <c:v>-0.54648084234109395</c:v>
                </c:pt>
                <c:pt idx="67">
                  <c:v>-0.55880470452495834</c:v>
                </c:pt>
                <c:pt idx="68">
                  <c:v>-0.62454652548530576</c:v>
                </c:pt>
                <c:pt idx="69">
                  <c:v>-0.56372452548530583</c:v>
                </c:pt>
                <c:pt idx="70">
                  <c:v>-0.73446252548530588</c:v>
                </c:pt>
                <c:pt idx="71">
                  <c:v>-0.71522227548530593</c:v>
                </c:pt>
                <c:pt idx="72">
                  <c:v>-0.3130920254853059</c:v>
                </c:pt>
                <c:pt idx="73">
                  <c:v>-0.31010120620089199</c:v>
                </c:pt>
                <c:pt idx="74">
                  <c:v>-0.325020956200892</c:v>
                </c:pt>
                <c:pt idx="75">
                  <c:v>-7.3618456200892024E-2</c:v>
                </c:pt>
                <c:pt idx="76">
                  <c:v>2.1441543799107982E-2</c:v>
                </c:pt>
                <c:pt idx="77">
                  <c:v>-5.2024555605821171E-2</c:v>
                </c:pt>
                <c:pt idx="78">
                  <c:v>1.2830223336329077E-3</c:v>
                </c:pt>
                <c:pt idx="79">
                  <c:v>-0.14950536786864776</c:v>
                </c:pt>
                <c:pt idx="80">
                  <c:v>-0.29488032831263589</c:v>
                </c:pt>
                <c:pt idx="81">
                  <c:v>-0.42204832831263589</c:v>
                </c:pt>
                <c:pt idx="82">
                  <c:v>-0.50713366378676694</c:v>
                </c:pt>
                <c:pt idx="83">
                  <c:v>-0.66376010441373556</c:v>
                </c:pt>
                <c:pt idx="84">
                  <c:v>-0.7369428314887343</c:v>
                </c:pt>
                <c:pt idx="85">
                  <c:v>-0.79208368004989138</c:v>
                </c:pt>
                <c:pt idx="86">
                  <c:v>-0.7249240497530357</c:v>
                </c:pt>
                <c:pt idx="87">
                  <c:v>-0.53749092821230882</c:v>
                </c:pt>
                <c:pt idx="88">
                  <c:v>-0.76299391661568006</c:v>
                </c:pt>
                <c:pt idx="89">
                  <c:v>-0.7935328068194557</c:v>
                </c:pt>
                <c:pt idx="90">
                  <c:v>-0.27866755822186307</c:v>
                </c:pt>
                <c:pt idx="91">
                  <c:v>-0.50136761909977579</c:v>
                </c:pt>
                <c:pt idx="92">
                  <c:v>-0.5046557108248666</c:v>
                </c:pt>
                <c:pt idx="93">
                  <c:v>-0.59547998880454633</c:v>
                </c:pt>
                <c:pt idx="94">
                  <c:v>-0.66512638495131804</c:v>
                </c:pt>
                <c:pt idx="95">
                  <c:v>-0.74741925780565699</c:v>
                </c:pt>
                <c:pt idx="96">
                  <c:v>-0.68474569763616566</c:v>
                </c:pt>
                <c:pt idx="97">
                  <c:v>-0.78297132965755256</c:v>
                </c:pt>
                <c:pt idx="98">
                  <c:v>-0.84797674693854119</c:v>
                </c:pt>
                <c:pt idx="99">
                  <c:v>-0.9500989225959483</c:v>
                </c:pt>
                <c:pt idx="100">
                  <c:v>-0.94161700619203381</c:v>
                </c:pt>
                <c:pt idx="101">
                  <c:v>-1.179068377017864</c:v>
                </c:pt>
                <c:pt idx="102">
                  <c:v>-1.1802606334745958</c:v>
                </c:pt>
                <c:pt idx="103">
                  <c:v>-1.1286361997984411</c:v>
                </c:pt>
                <c:pt idx="104">
                  <c:v>-1.0835886405751505</c:v>
                </c:pt>
                <c:pt idx="105">
                  <c:v>-1.2049113294437994</c:v>
                </c:pt>
                <c:pt idx="106">
                  <c:v>-1.2171494380321184</c:v>
                </c:pt>
                <c:pt idx="107">
                  <c:v>-1.2387103187299933</c:v>
                </c:pt>
                <c:pt idx="108">
                  <c:v>-1.2465566968585267</c:v>
                </c:pt>
                <c:pt idx="109">
                  <c:v>-1.2606335170709813</c:v>
                </c:pt>
                <c:pt idx="110">
                  <c:v>-1.2950409953511608</c:v>
                </c:pt>
                <c:pt idx="111">
                  <c:v>-1.2571296821606006</c:v>
                </c:pt>
                <c:pt idx="112">
                  <c:v>-1.3966323889795051</c:v>
                </c:pt>
                <c:pt idx="113">
                  <c:v>-1.4949973278188817</c:v>
                </c:pt>
                <c:pt idx="114">
                  <c:v>-1.4651632081766415</c:v>
                </c:pt>
                <c:pt idx="115">
                  <c:v>-1.5363608206706345</c:v>
                </c:pt>
                <c:pt idx="116">
                  <c:v>-1.6188066130013143</c:v>
                </c:pt>
                <c:pt idx="117">
                  <c:v>-1.6430727680948805</c:v>
                </c:pt>
                <c:pt idx="118">
                  <c:v>-1.5726500692866971</c:v>
                </c:pt>
                <c:pt idx="119">
                  <c:v>-1.4562525549938463</c:v>
                </c:pt>
                <c:pt idx="120">
                  <c:v>-1.2554130811565507</c:v>
                </c:pt>
                <c:pt idx="121">
                  <c:v>-1.0848422784710898</c:v>
                </c:pt>
                <c:pt idx="122">
                  <c:v>-1.0567519844747111</c:v>
                </c:pt>
                <c:pt idx="123">
                  <c:v>-1.1970279613445891</c:v>
                </c:pt>
                <c:pt idx="124">
                  <c:v>-1.3252758300087102</c:v>
                </c:pt>
                <c:pt idx="125">
                  <c:v>-1.1393096159775267</c:v>
                </c:pt>
                <c:pt idx="126">
                  <c:v>-1.1639056115155426</c:v>
                </c:pt>
                <c:pt idx="127">
                  <c:v>-1.1110615449552537</c:v>
                </c:pt>
                <c:pt idx="128">
                  <c:v>-1.1461280021404903</c:v>
                </c:pt>
                <c:pt idx="129">
                  <c:v>-1.1198258081419563</c:v>
                </c:pt>
                <c:pt idx="130">
                  <c:v>-1.2599198260941822</c:v>
                </c:pt>
                <c:pt idx="131">
                  <c:v>-1.1307646227569959</c:v>
                </c:pt>
                <c:pt idx="132">
                  <c:v>-1.1417205681638702</c:v>
                </c:pt>
                <c:pt idx="133">
                  <c:v>-1.1229493041217511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B5-BA46-ACEB-31509E9BF9F6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0.34771199999999991</c:v>
                </c:pt>
                <c:pt idx="2">
                  <c:v>0.33035533333333322</c:v>
                </c:pt>
                <c:pt idx="3">
                  <c:v>0.19048733333333323</c:v>
                </c:pt>
                <c:pt idx="4">
                  <c:v>0.42343266666666662</c:v>
                </c:pt>
                <c:pt idx="5">
                  <c:v>0.54761066666666658</c:v>
                </c:pt>
                <c:pt idx="6">
                  <c:v>0.56504999999999994</c:v>
                </c:pt>
                <c:pt idx="7">
                  <c:v>0.46079799999999993</c:v>
                </c:pt>
                <c:pt idx="8">
                  <c:v>0.48945466666666659</c:v>
                </c:pt>
                <c:pt idx="9">
                  <c:v>0.50372666666666666</c:v>
                </c:pt>
                <c:pt idx="10">
                  <c:v>0.42962660789609408</c:v>
                </c:pt>
                <c:pt idx="11">
                  <c:v>0.33159574708846129</c:v>
                </c:pt>
                <c:pt idx="12">
                  <c:v>0.32487986877709379</c:v>
                </c:pt>
                <c:pt idx="13">
                  <c:v>0.41551020211042711</c:v>
                </c:pt>
                <c:pt idx="14">
                  <c:v>0.54278486877709375</c:v>
                </c:pt>
                <c:pt idx="15">
                  <c:v>0.60948253544376041</c:v>
                </c:pt>
                <c:pt idx="16">
                  <c:v>0.5702502021104271</c:v>
                </c:pt>
                <c:pt idx="17">
                  <c:v>0.4654022021104271</c:v>
                </c:pt>
                <c:pt idx="18">
                  <c:v>0.31337301933588368</c:v>
                </c:pt>
                <c:pt idx="19">
                  <c:v>0.256348884701594</c:v>
                </c:pt>
                <c:pt idx="20">
                  <c:v>-8.9844600597654589E-2</c:v>
                </c:pt>
                <c:pt idx="21">
                  <c:v>0.1673573994023454</c:v>
                </c:pt>
                <c:pt idx="22">
                  <c:v>0.15162519098882435</c:v>
                </c:pt>
                <c:pt idx="23">
                  <c:v>7.6076921842978304E-2</c:v>
                </c:pt>
                <c:pt idx="24">
                  <c:v>0.194199588509645</c:v>
                </c:pt>
                <c:pt idx="25">
                  <c:v>5.976337579631949E-2</c:v>
                </c:pt>
                <c:pt idx="26">
                  <c:v>-1.4657005044107899E-2</c:v>
                </c:pt>
                <c:pt idx="27">
                  <c:v>-1.0856717107745693E-3</c:v>
                </c:pt>
                <c:pt idx="28">
                  <c:v>0.22753543989559963</c:v>
                </c:pt>
                <c:pt idx="29">
                  <c:v>0.1803531237375755</c:v>
                </c:pt>
                <c:pt idx="30">
                  <c:v>0.12751158356184161</c:v>
                </c:pt>
                <c:pt idx="31">
                  <c:v>0.23337754298231431</c:v>
                </c:pt>
                <c:pt idx="32">
                  <c:v>0.13923628232492827</c:v>
                </c:pt>
                <c:pt idx="33">
                  <c:v>0.17093613165133653</c:v>
                </c:pt>
                <c:pt idx="34">
                  <c:v>6.9647570910940829E-2</c:v>
                </c:pt>
                <c:pt idx="35">
                  <c:v>2.9306604104040422E-2</c:v>
                </c:pt>
                <c:pt idx="36">
                  <c:v>-5.4782299363663141E-2</c:v>
                </c:pt>
                <c:pt idx="37">
                  <c:v>-0.16591510902722245</c:v>
                </c:pt>
                <c:pt idx="38">
                  <c:v>-0.24063248242092805</c:v>
                </c:pt>
                <c:pt idx="39">
                  <c:v>-0.17809612853293535</c:v>
                </c:pt>
                <c:pt idx="40">
                  <c:v>-0.25752224601152851</c:v>
                </c:pt>
                <c:pt idx="41">
                  <c:v>-0.50805492416991094</c:v>
                </c:pt>
                <c:pt idx="42">
                  <c:v>-0.59086536306846094</c:v>
                </c:pt>
                <c:pt idx="43">
                  <c:v>-0.56572900122843461</c:v>
                </c:pt>
                <c:pt idx="44">
                  <c:v>-0.59922945313930454</c:v>
                </c:pt>
                <c:pt idx="45">
                  <c:v>-0.5394162764634246</c:v>
                </c:pt>
                <c:pt idx="46">
                  <c:v>-0.50926688725641567</c:v>
                </c:pt>
                <c:pt idx="47">
                  <c:v>-0.68303028723643988</c:v>
                </c:pt>
                <c:pt idx="48">
                  <c:v>-0.75476367257067045</c:v>
                </c:pt>
                <c:pt idx="49">
                  <c:v>-0.59985989424951836</c:v>
                </c:pt>
                <c:pt idx="50">
                  <c:v>-0.55008522758285172</c:v>
                </c:pt>
                <c:pt idx="51">
                  <c:v>-0.85201517212327471</c:v>
                </c:pt>
                <c:pt idx="52">
                  <c:v>-0.72117823400031955</c:v>
                </c:pt>
                <c:pt idx="53">
                  <c:v>-0.69900405253449138</c:v>
                </c:pt>
                <c:pt idx="54">
                  <c:v>-0.72122023592897189</c:v>
                </c:pt>
                <c:pt idx="55">
                  <c:v>-0.73485905326729151</c:v>
                </c:pt>
                <c:pt idx="56">
                  <c:v>-0.69362758411451109</c:v>
                </c:pt>
                <c:pt idx="57">
                  <c:v>-0.8213345935109273</c:v>
                </c:pt>
                <c:pt idx="58">
                  <c:v>-0.73401653433375158</c:v>
                </c:pt>
                <c:pt idx="59">
                  <c:v>-0.72378255888464804</c:v>
                </c:pt>
                <c:pt idx="60">
                  <c:v>-0.74463731421441459</c:v>
                </c:pt>
                <c:pt idx="61">
                  <c:v>-0.7267733142144146</c:v>
                </c:pt>
                <c:pt idx="62">
                  <c:v>-0.91857035367046169</c:v>
                </c:pt>
                <c:pt idx="63">
                  <c:v>-0.90324280164741944</c:v>
                </c:pt>
                <c:pt idx="64">
                  <c:v>-0.85275837253466902</c:v>
                </c:pt>
                <c:pt idx="65">
                  <c:v>-0.92759392268977536</c:v>
                </c:pt>
                <c:pt idx="66">
                  <c:v>-0.95542402008808791</c:v>
                </c:pt>
                <c:pt idx="67">
                  <c:v>-0.97623762955454085</c:v>
                </c:pt>
                <c:pt idx="68">
                  <c:v>-1.0732852192590858</c:v>
                </c:pt>
                <c:pt idx="69">
                  <c:v>-1.1620095525924192</c:v>
                </c:pt>
                <c:pt idx="70">
                  <c:v>-1.2663605525924193</c:v>
                </c:pt>
                <c:pt idx="71">
                  <c:v>-1.2656798859257525</c:v>
                </c:pt>
                <c:pt idx="72">
                  <c:v>-0.83796455259241931</c:v>
                </c:pt>
                <c:pt idx="73">
                  <c:v>-0.87460199828439167</c:v>
                </c:pt>
                <c:pt idx="74">
                  <c:v>-0.8422516649510583</c:v>
                </c:pt>
                <c:pt idx="75">
                  <c:v>-0.56262166495105825</c:v>
                </c:pt>
                <c:pt idx="76">
                  <c:v>-0.41854133161772494</c:v>
                </c:pt>
                <c:pt idx="77">
                  <c:v>-0.48214560115741378</c:v>
                </c:pt>
                <c:pt idx="78">
                  <c:v>-0.50457706691039916</c:v>
                </c:pt>
                <c:pt idx="79">
                  <c:v>-0.82034872711324813</c:v>
                </c:pt>
                <c:pt idx="80">
                  <c:v>-0.95429115816443977</c:v>
                </c:pt>
                <c:pt idx="81">
                  <c:v>-1.1098618248311063</c:v>
                </c:pt>
                <c:pt idx="82">
                  <c:v>-1.3169471574646192</c:v>
                </c:pt>
                <c:pt idx="83">
                  <c:v>-1.4705534422741624</c:v>
                </c:pt>
                <c:pt idx="84">
                  <c:v>-1.5351707650845365</c:v>
                </c:pt>
                <c:pt idx="85">
                  <c:v>-1.6614961243631239</c:v>
                </c:pt>
                <c:pt idx="86">
                  <c:v>-1.5505725840763418</c:v>
                </c:pt>
                <c:pt idx="87">
                  <c:v>-1.4555755720527963</c:v>
                </c:pt>
                <c:pt idx="88">
                  <c:v>-1.7760075757106217</c:v>
                </c:pt>
                <c:pt idx="89">
                  <c:v>-1.7674608038897144</c:v>
                </c:pt>
                <c:pt idx="90">
                  <c:v>-1.1175043356405587</c:v>
                </c:pt>
                <c:pt idx="91">
                  <c:v>-1.3769128926099612</c:v>
                </c:pt>
                <c:pt idx="92">
                  <c:v>-1.3645791132842966</c:v>
                </c:pt>
                <c:pt idx="93">
                  <c:v>-1.5264295345856886</c:v>
                </c:pt>
                <c:pt idx="94">
                  <c:v>-1.5112273510642658</c:v>
                </c:pt>
                <c:pt idx="95">
                  <c:v>-1.5694598724202511</c:v>
                </c:pt>
                <c:pt idx="96">
                  <c:v>-1.4492281604561532</c:v>
                </c:pt>
                <c:pt idx="97">
                  <c:v>-1.5614618556632074</c:v>
                </c:pt>
                <c:pt idx="98">
                  <c:v>-1.5979131089893726</c:v>
                </c:pt>
                <c:pt idx="99">
                  <c:v>-1.6016627022572214</c:v>
                </c:pt>
                <c:pt idx="100">
                  <c:v>-1.5936738764837122</c:v>
                </c:pt>
                <c:pt idx="101">
                  <c:v>-1.8565943610829514</c:v>
                </c:pt>
                <c:pt idx="102">
                  <c:v>-1.8526026072010273</c:v>
                </c:pt>
                <c:pt idx="103">
                  <c:v>-1.7942191003725352</c:v>
                </c:pt>
                <c:pt idx="104">
                  <c:v>-1.7734943159283776</c:v>
                </c:pt>
                <c:pt idx="105">
                  <c:v>-1.9213884185011811</c:v>
                </c:pt>
                <c:pt idx="106">
                  <c:v>-1.9158966605192309</c:v>
                </c:pt>
                <c:pt idx="107">
                  <c:v>-1.9329284357927841</c:v>
                </c:pt>
                <c:pt idx="108">
                  <c:v>-1.9649134788736717</c:v>
                </c:pt>
                <c:pt idx="109">
                  <c:v>-1.9788588250571757</c:v>
                </c:pt>
                <c:pt idx="110">
                  <c:v>-2.0424198243194249</c:v>
                </c:pt>
                <c:pt idx="111">
                  <c:v>-1.9921738184863291</c:v>
                </c:pt>
                <c:pt idx="112">
                  <c:v>-2.1713085323091694</c:v>
                </c:pt>
                <c:pt idx="113">
                  <c:v>-2.2962501800465525</c:v>
                </c:pt>
                <c:pt idx="114">
                  <c:v>-2.2327841290085191</c:v>
                </c:pt>
                <c:pt idx="115">
                  <c:v>-2.2795474572125265</c:v>
                </c:pt>
                <c:pt idx="116">
                  <c:v>-2.4029849585241645</c:v>
                </c:pt>
                <c:pt idx="117">
                  <c:v>-2.4132122163770684</c:v>
                </c:pt>
                <c:pt idx="118">
                  <c:v>-2.2478080498324284</c:v>
                </c:pt>
                <c:pt idx="119">
                  <c:v>-2.1181773367290795</c:v>
                </c:pt>
                <c:pt idx="120">
                  <c:v>-1.9211264151667202</c:v>
                </c:pt>
                <c:pt idx="121">
                  <c:v>-1.8627694061699549</c:v>
                </c:pt>
                <c:pt idx="122">
                  <c:v>-1.8052740153331159</c:v>
                </c:pt>
                <c:pt idx="123">
                  <c:v>-1.930979133011294</c:v>
                </c:pt>
                <c:pt idx="124">
                  <c:v>-2.0093688567182912</c:v>
                </c:pt>
                <c:pt idx="125">
                  <c:v>-1.7869262482699966</c:v>
                </c:pt>
                <c:pt idx="126">
                  <c:v>-1.7787791316444566</c:v>
                </c:pt>
                <c:pt idx="127">
                  <c:v>-1.6750311506988989</c:v>
                </c:pt>
                <c:pt idx="128">
                  <c:v>-1.709222393108772</c:v>
                </c:pt>
                <c:pt idx="129">
                  <c:v>-1.5794564428027029</c:v>
                </c:pt>
                <c:pt idx="130">
                  <c:v>-1.551027631024652</c:v>
                </c:pt>
                <c:pt idx="131">
                  <c:v>-1.3673456445204963</c:v>
                </c:pt>
                <c:pt idx="132">
                  <c:v>-1.4032450017165652</c:v>
                </c:pt>
                <c:pt idx="133">
                  <c:v>-1.3684547553443929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B5-BA46-ACEB-31509E9BF9F6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0.53708299999999987</c:v>
                </c:pt>
                <c:pt idx="2">
                  <c:v>0.67008799999999991</c:v>
                </c:pt>
                <c:pt idx="3">
                  <c:v>0.66634599999999988</c:v>
                </c:pt>
                <c:pt idx="4">
                  <c:v>1.0279779999999998</c:v>
                </c:pt>
                <c:pt idx="5">
                  <c:v>1.0097894999999999</c:v>
                </c:pt>
                <c:pt idx="6">
                  <c:v>0.97340399999999994</c:v>
                </c:pt>
                <c:pt idx="7">
                  <c:v>0.85852849999999992</c:v>
                </c:pt>
                <c:pt idx="8">
                  <c:v>0.79860999999999993</c:v>
                </c:pt>
                <c:pt idx="9">
                  <c:v>0.84938099999999994</c:v>
                </c:pt>
                <c:pt idx="10">
                  <c:v>0.59093108364135749</c:v>
                </c:pt>
                <c:pt idx="11">
                  <c:v>0.46413106994902897</c:v>
                </c:pt>
                <c:pt idx="12">
                  <c:v>0.44472335868225982</c:v>
                </c:pt>
                <c:pt idx="13">
                  <c:v>0.49940485868225981</c:v>
                </c:pt>
                <c:pt idx="14">
                  <c:v>0.79058235868225979</c:v>
                </c:pt>
                <c:pt idx="15">
                  <c:v>0.85340235868225978</c:v>
                </c:pt>
                <c:pt idx="16">
                  <c:v>0.78083185868225979</c:v>
                </c:pt>
                <c:pt idx="17">
                  <c:v>0.69615485868225979</c:v>
                </c:pt>
                <c:pt idx="18">
                  <c:v>0.4831730858142339</c:v>
                </c:pt>
                <c:pt idx="19">
                  <c:v>0.5465300967933</c:v>
                </c:pt>
                <c:pt idx="20">
                  <c:v>4.2610765607989265E-2</c:v>
                </c:pt>
                <c:pt idx="21">
                  <c:v>0.23716676560798927</c:v>
                </c:pt>
                <c:pt idx="22">
                  <c:v>0.22250696407749901</c:v>
                </c:pt>
                <c:pt idx="23">
                  <c:v>0.1894744486336237</c:v>
                </c:pt>
                <c:pt idx="24">
                  <c:v>0.34112644863362374</c:v>
                </c:pt>
                <c:pt idx="25">
                  <c:v>0.27708666875684024</c:v>
                </c:pt>
                <c:pt idx="26">
                  <c:v>0.20074033061000224</c:v>
                </c:pt>
                <c:pt idx="27">
                  <c:v>0.27236733061000223</c:v>
                </c:pt>
                <c:pt idx="28">
                  <c:v>0.60471157922252772</c:v>
                </c:pt>
                <c:pt idx="29">
                  <c:v>0.5378053191327764</c:v>
                </c:pt>
                <c:pt idx="30">
                  <c:v>0.44593166148641622</c:v>
                </c:pt>
                <c:pt idx="31">
                  <c:v>0.53010324600959946</c:v>
                </c:pt>
                <c:pt idx="32">
                  <c:v>0.50687497938711756</c:v>
                </c:pt>
                <c:pt idx="33">
                  <c:v>0.50123184153896339</c:v>
                </c:pt>
                <c:pt idx="34">
                  <c:v>0.38712074219177239</c:v>
                </c:pt>
                <c:pt idx="35">
                  <c:v>0.25568902899923679</c:v>
                </c:pt>
                <c:pt idx="36">
                  <c:v>0.24791953999437152</c:v>
                </c:pt>
                <c:pt idx="37">
                  <c:v>5.6048406370708126E-3</c:v>
                </c:pt>
                <c:pt idx="38">
                  <c:v>1.094179282849491E-2</c:v>
                </c:pt>
                <c:pt idx="39">
                  <c:v>7.8206934761892166E-3</c:v>
                </c:pt>
                <c:pt idx="40">
                  <c:v>-8.1604298783421417E-2</c:v>
                </c:pt>
                <c:pt idx="41">
                  <c:v>-0.41834834262848908</c:v>
                </c:pt>
                <c:pt idx="42">
                  <c:v>-0.40364145463111145</c:v>
                </c:pt>
                <c:pt idx="43">
                  <c:v>-0.36221373281746183</c:v>
                </c:pt>
                <c:pt idx="44">
                  <c:v>-0.39535925894596613</c:v>
                </c:pt>
                <c:pt idx="45">
                  <c:v>-0.3677202647485921</c:v>
                </c:pt>
                <c:pt idx="46">
                  <c:v>-0.31569335491018935</c:v>
                </c:pt>
                <c:pt idx="47">
                  <c:v>-0.38553150873723341</c:v>
                </c:pt>
                <c:pt idx="48">
                  <c:v>-0.55576548957781546</c:v>
                </c:pt>
                <c:pt idx="49">
                  <c:v>-0.49201187217675524</c:v>
                </c:pt>
                <c:pt idx="50">
                  <c:v>-0.43801387217675525</c:v>
                </c:pt>
                <c:pt idx="51">
                  <c:v>-0.38696438807387012</c:v>
                </c:pt>
                <c:pt idx="52">
                  <c:v>-8.6136138900804349E-2</c:v>
                </c:pt>
                <c:pt idx="53">
                  <c:v>-0.1809670202472547</c:v>
                </c:pt>
                <c:pt idx="54">
                  <c:v>-0.10953625784995812</c:v>
                </c:pt>
                <c:pt idx="55">
                  <c:v>-8.6689267245271859E-2</c:v>
                </c:pt>
                <c:pt idx="56">
                  <c:v>-0.12501209466441768</c:v>
                </c:pt>
                <c:pt idx="57">
                  <c:v>-0.18837729036765591</c:v>
                </c:pt>
                <c:pt idx="58">
                  <c:v>-5.0157735141208803E-2</c:v>
                </c:pt>
                <c:pt idx="59">
                  <c:v>-0.10817794868585123</c:v>
                </c:pt>
                <c:pt idx="60">
                  <c:v>-0.11318781216038629</c:v>
                </c:pt>
                <c:pt idx="61">
                  <c:v>-0.16661981216038629</c:v>
                </c:pt>
                <c:pt idx="62">
                  <c:v>-0.35580049894754018</c:v>
                </c:pt>
                <c:pt idx="63">
                  <c:v>-0.348853328188727</c:v>
                </c:pt>
                <c:pt idx="64">
                  <c:v>-0.38537826993472607</c:v>
                </c:pt>
                <c:pt idx="65">
                  <c:v>-0.48364466914618254</c:v>
                </c:pt>
                <c:pt idx="66">
                  <c:v>-0.55569257058144872</c:v>
                </c:pt>
                <c:pt idx="67">
                  <c:v>-0.57353689204541158</c:v>
                </c:pt>
                <c:pt idx="68">
                  <c:v>-0.79410398644780233</c:v>
                </c:pt>
                <c:pt idx="69">
                  <c:v>-1.0122894864478023</c:v>
                </c:pt>
                <c:pt idx="70">
                  <c:v>-1.1179759864478023</c:v>
                </c:pt>
                <c:pt idx="71">
                  <c:v>-1.1349964864478022</c:v>
                </c:pt>
                <c:pt idx="72">
                  <c:v>-0.53399848644780212</c:v>
                </c:pt>
                <c:pt idx="73">
                  <c:v>-0.52578536672054899</c:v>
                </c:pt>
                <c:pt idx="74">
                  <c:v>-0.48584936672054901</c:v>
                </c:pt>
                <c:pt idx="75">
                  <c:v>-0.133450366720549</c:v>
                </c:pt>
                <c:pt idx="76">
                  <c:v>7.2925133279450993E-2</c:v>
                </c:pt>
                <c:pt idx="77">
                  <c:v>0.11459012165803945</c:v>
                </c:pt>
                <c:pt idx="78">
                  <c:v>3.1034212619870438E-2</c:v>
                </c:pt>
                <c:pt idx="79">
                  <c:v>-0.60971236489668224</c:v>
                </c:pt>
                <c:pt idx="80">
                  <c:v>-0.81430308639912696</c:v>
                </c:pt>
                <c:pt idx="81">
                  <c:v>-0.99773358639912701</c:v>
                </c:pt>
                <c:pt idx="82">
                  <c:v>-1.2143708280263299</c:v>
                </c:pt>
                <c:pt idx="83">
                  <c:v>-1.3764934023434006</c:v>
                </c:pt>
                <c:pt idx="84">
                  <c:v>-1.5117155989948798</c:v>
                </c:pt>
                <c:pt idx="85">
                  <c:v>-1.6682314954127806</c:v>
                </c:pt>
                <c:pt idx="86">
                  <c:v>-1.596375104876236</c:v>
                </c:pt>
                <c:pt idx="87">
                  <c:v>-1.4323256456973219</c:v>
                </c:pt>
                <c:pt idx="88">
                  <c:v>-1.8190585922202314</c:v>
                </c:pt>
                <c:pt idx="89">
                  <c:v>-1.766053413850428</c:v>
                </c:pt>
                <c:pt idx="90">
                  <c:v>-0.85713012648480824</c:v>
                </c:pt>
                <c:pt idx="91">
                  <c:v>-1.1684908696475649</c:v>
                </c:pt>
                <c:pt idx="92">
                  <c:v>-1.1593071251477589</c:v>
                </c:pt>
                <c:pt idx="93">
                  <c:v>-1.1709049289688376</c:v>
                </c:pt>
                <c:pt idx="94">
                  <c:v>-1.1339307099775591</c:v>
                </c:pt>
                <c:pt idx="95">
                  <c:v>-1.179593251688813</c:v>
                </c:pt>
                <c:pt idx="96">
                  <c:v>-1.1585366559755259</c:v>
                </c:pt>
                <c:pt idx="97">
                  <c:v>-1.1362915184867202</c:v>
                </c:pt>
                <c:pt idx="98">
                  <c:v>-1.2371928502891387</c:v>
                </c:pt>
                <c:pt idx="99">
                  <c:v>-1.1484758561926123</c:v>
                </c:pt>
                <c:pt idx="100">
                  <c:v>-1.1705223869459909</c:v>
                </c:pt>
                <c:pt idx="101">
                  <c:v>-1.3525211808033422</c:v>
                </c:pt>
                <c:pt idx="102">
                  <c:v>-1.3215390445774318</c:v>
                </c:pt>
                <c:pt idx="103">
                  <c:v>-1.3055838877104353</c:v>
                </c:pt>
                <c:pt idx="104">
                  <c:v>-1.4247743737808496</c:v>
                </c:pt>
                <c:pt idx="105">
                  <c:v>-1.6381854181878464</c:v>
                </c:pt>
                <c:pt idx="106">
                  <c:v>-1.6287901922362016</c:v>
                </c:pt>
                <c:pt idx="107">
                  <c:v>-1.690732319281107</c:v>
                </c:pt>
                <c:pt idx="108">
                  <c:v>-1.729002331155824</c:v>
                </c:pt>
                <c:pt idx="109">
                  <c:v>-1.7844157784645664</c:v>
                </c:pt>
                <c:pt idx="110">
                  <c:v>-1.8378953753805873</c:v>
                </c:pt>
                <c:pt idx="111">
                  <c:v>-1.7508373672082396</c:v>
                </c:pt>
                <c:pt idx="112">
                  <c:v>-2.0286705837670826</c:v>
                </c:pt>
                <c:pt idx="113">
                  <c:v>-2.2447716433073563</c:v>
                </c:pt>
                <c:pt idx="114">
                  <c:v>-2.2252743383879903</c:v>
                </c:pt>
                <c:pt idx="115">
                  <c:v>-2.2317715344319606</c:v>
                </c:pt>
                <c:pt idx="116">
                  <c:v>-2.3958628381657947</c:v>
                </c:pt>
                <c:pt idx="117">
                  <c:v>-2.4429510708215174</c:v>
                </c:pt>
                <c:pt idx="118">
                  <c:v>-2.1970049632627311</c:v>
                </c:pt>
                <c:pt idx="119">
                  <c:v>-2.0730876087334771</c:v>
                </c:pt>
                <c:pt idx="120">
                  <c:v>-1.7849910318144309</c:v>
                </c:pt>
                <c:pt idx="121">
                  <c:v>-1.661035808618232</c:v>
                </c:pt>
                <c:pt idx="122">
                  <c:v>-1.6953229938732295</c:v>
                </c:pt>
                <c:pt idx="123">
                  <c:v>-1.9715946022026691</c:v>
                </c:pt>
                <c:pt idx="124">
                  <c:v>-2.1128228347855078</c:v>
                </c:pt>
                <c:pt idx="125">
                  <c:v>-1.7993296284065416</c:v>
                </c:pt>
                <c:pt idx="126">
                  <c:v>-1.9692064570587957</c:v>
                </c:pt>
                <c:pt idx="127">
                  <c:v>-1.8663334384322832</c:v>
                </c:pt>
                <c:pt idx="128">
                  <c:v>-1.9596955179012521</c:v>
                </c:pt>
                <c:pt idx="129">
                  <c:v>-1.7154108597773299</c:v>
                </c:pt>
                <c:pt idx="130">
                  <c:v>-1.5922059168216651</c:v>
                </c:pt>
                <c:pt idx="131">
                  <c:v>-1.397882638299746</c:v>
                </c:pt>
                <c:pt idx="132">
                  <c:v>-1.4674281963947327</c:v>
                </c:pt>
                <c:pt idx="133">
                  <c:v>-1.4196459178030729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1B5-BA46-ACEB-31509E9BF9F6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0.55956099999999998</c:v>
                </c:pt>
                <c:pt idx="4">
                  <c:v>0.78916799999999998</c:v>
                </c:pt>
                <c:pt idx="5">
                  <c:v>0.82502399999999998</c:v>
                </c:pt>
                <c:pt idx="6">
                  <c:v>0.84195399999999998</c:v>
                </c:pt>
                <c:pt idx="7">
                  <c:v>0.72649299999999994</c:v>
                </c:pt>
                <c:pt idx="8">
                  <c:v>0.78022599999999998</c:v>
                </c:pt>
                <c:pt idx="9">
                  <c:v>0.87402599999999997</c:v>
                </c:pt>
                <c:pt idx="10">
                  <c:v>0.72720666110049148</c:v>
                </c:pt>
                <c:pt idx="11">
                  <c:v>0.62201495030464604</c:v>
                </c:pt>
                <c:pt idx="12">
                  <c:v>0.65866374104418979</c:v>
                </c:pt>
                <c:pt idx="13">
                  <c:v>0.66039974104418975</c:v>
                </c:pt>
                <c:pt idx="14">
                  <c:v>0.65755974104418979</c:v>
                </c:pt>
                <c:pt idx="15">
                  <c:v>0.62973274104418975</c:v>
                </c:pt>
                <c:pt idx="16">
                  <c:v>0.61868274104418974</c:v>
                </c:pt>
                <c:pt idx="17">
                  <c:v>0.33086274104418972</c:v>
                </c:pt>
                <c:pt idx="18">
                  <c:v>-6.2099143804463297E-2</c:v>
                </c:pt>
                <c:pt idx="19">
                  <c:v>5.4441172912387509E-2</c:v>
                </c:pt>
                <c:pt idx="20">
                  <c:v>-0.58849235569327196</c:v>
                </c:pt>
                <c:pt idx="21">
                  <c:v>-0.58939135569327195</c:v>
                </c:pt>
                <c:pt idx="22">
                  <c:v>-0.59886837061968901</c:v>
                </c:pt>
                <c:pt idx="23">
                  <c:v>-0.70471069789849605</c:v>
                </c:pt>
                <c:pt idx="24">
                  <c:v>-0.610348697898496</c:v>
                </c:pt>
                <c:pt idx="25">
                  <c:v>-0.80568832057373974</c:v>
                </c:pt>
                <c:pt idx="26">
                  <c:v>-0.93106870134970476</c:v>
                </c:pt>
                <c:pt idx="27">
                  <c:v>-0.82989470134970478</c:v>
                </c:pt>
                <c:pt idx="28">
                  <c:v>-0.28863658010342352</c:v>
                </c:pt>
                <c:pt idx="29">
                  <c:v>-0.31115859013821401</c:v>
                </c:pt>
                <c:pt idx="30">
                  <c:v>-0.44989430776485162</c:v>
                </c:pt>
                <c:pt idx="31">
                  <c:v>-0.39319694769706204</c:v>
                </c:pt>
                <c:pt idx="32">
                  <c:v>-0.38438861659863477</c:v>
                </c:pt>
                <c:pt idx="33">
                  <c:v>-0.30349737259925935</c:v>
                </c:pt>
                <c:pt idx="34">
                  <c:v>-0.38838132566745165</c:v>
                </c:pt>
                <c:pt idx="35">
                  <c:v>-0.33370439017681625</c:v>
                </c:pt>
                <c:pt idx="36">
                  <c:v>-0.31478510875628957</c:v>
                </c:pt>
                <c:pt idx="37">
                  <c:v>-0.53597457390172087</c:v>
                </c:pt>
                <c:pt idx="38">
                  <c:v>-0.60206468573071092</c:v>
                </c:pt>
                <c:pt idx="39">
                  <c:v>-0.57921297024161456</c:v>
                </c:pt>
                <c:pt idx="40">
                  <c:v>-0.62628994307586017</c:v>
                </c:pt>
                <c:pt idx="41">
                  <c:v>-0.63592919968346717</c:v>
                </c:pt>
                <c:pt idx="42">
                  <c:v>-0.60797312241687707</c:v>
                </c:pt>
                <c:pt idx="43">
                  <c:v>-0.63843232990158572</c:v>
                </c:pt>
                <c:pt idx="44">
                  <c:v>-0.68252764976681002</c:v>
                </c:pt>
                <c:pt idx="45">
                  <c:v>-0.59537569757991415</c:v>
                </c:pt>
                <c:pt idx="46">
                  <c:v>-0.60036323909095335</c:v>
                </c:pt>
                <c:pt idx="47">
                  <c:v>-0.62866942567937789</c:v>
                </c:pt>
                <c:pt idx="48">
                  <c:v>-0.79679671956426734</c:v>
                </c:pt>
                <c:pt idx="49">
                  <c:v>-0.83466379316393258</c:v>
                </c:pt>
                <c:pt idx="50">
                  <c:v>-0.78417279316393262</c:v>
                </c:pt>
                <c:pt idx="51">
                  <c:v>-0.69801375976859781</c:v>
                </c:pt>
                <c:pt idx="52">
                  <c:v>0.10520225327577959</c:v>
                </c:pt>
                <c:pt idx="53">
                  <c:v>-8.0392965970655622E-2</c:v>
                </c:pt>
                <c:pt idx="54">
                  <c:v>-3.4328611938968752E-2</c:v>
                </c:pt>
                <c:pt idx="55">
                  <c:v>-0.12197994799306106</c:v>
                </c:pt>
                <c:pt idx="56">
                  <c:v>-3.0995720285625444E-2</c:v>
                </c:pt>
                <c:pt idx="57">
                  <c:v>-0.17866928553734515</c:v>
                </c:pt>
                <c:pt idx="58">
                  <c:v>-0.20682091768552335</c:v>
                </c:pt>
                <c:pt idx="59">
                  <c:v>-0.14625366336306395</c:v>
                </c:pt>
                <c:pt idx="60">
                  <c:v>-0.15627339031213405</c:v>
                </c:pt>
                <c:pt idx="61">
                  <c:v>-0.18717239031213406</c:v>
                </c:pt>
                <c:pt idx="62">
                  <c:v>-0.19864540942987122</c:v>
                </c:pt>
                <c:pt idx="63">
                  <c:v>-0.205494751275446</c:v>
                </c:pt>
                <c:pt idx="64">
                  <c:v>-4.4385060179804092E-2</c:v>
                </c:pt>
                <c:pt idx="65">
                  <c:v>-0.16773624130912601</c:v>
                </c:pt>
                <c:pt idx="66">
                  <c:v>-0.10356660797901097</c:v>
                </c:pt>
                <c:pt idx="67">
                  <c:v>-0.14592283128242869</c:v>
                </c:pt>
                <c:pt idx="68">
                  <c:v>-0.26754386781203532</c:v>
                </c:pt>
                <c:pt idx="69">
                  <c:v>-0.54426186781203534</c:v>
                </c:pt>
                <c:pt idx="70">
                  <c:v>-0.55301086781203534</c:v>
                </c:pt>
                <c:pt idx="71">
                  <c:v>-0.75631786781203536</c:v>
                </c:pt>
                <c:pt idx="72">
                  <c:v>0.35269713218796472</c:v>
                </c:pt>
                <c:pt idx="73">
                  <c:v>0.48565718789842249</c:v>
                </c:pt>
                <c:pt idx="74">
                  <c:v>0.19531718789842251</c:v>
                </c:pt>
                <c:pt idx="75">
                  <c:v>1.0092751878984225</c:v>
                </c:pt>
                <c:pt idx="76">
                  <c:v>1.1093031878984225</c:v>
                </c:pt>
                <c:pt idx="77">
                  <c:v>1.0451761047423804</c:v>
                </c:pt>
                <c:pt idx="78">
                  <c:v>0.8253449115411533</c:v>
                </c:pt>
                <c:pt idx="79">
                  <c:v>0.13401294295177035</c:v>
                </c:pt>
                <c:pt idx="80">
                  <c:v>-4.5290840914745834E-2</c:v>
                </c:pt>
                <c:pt idx="81">
                  <c:v>-0.21042084091474583</c:v>
                </c:pt>
                <c:pt idx="82">
                  <c:v>-0.73038980698866784</c:v>
                </c:pt>
                <c:pt idx="83">
                  <c:v>-0.9433626910179862</c:v>
                </c:pt>
                <c:pt idx="84">
                  <c:v>-1.2369623346676701</c:v>
                </c:pt>
                <c:pt idx="85">
                  <c:v>-1.5371492282579253</c:v>
                </c:pt>
                <c:pt idx="86">
                  <c:v>-1.2140899629295412</c:v>
                </c:pt>
                <c:pt idx="87">
                  <c:v>-1.1984062150401746</c:v>
                </c:pt>
                <c:pt idx="88">
                  <c:v>-1.7479933249992747</c:v>
                </c:pt>
                <c:pt idx="89">
                  <c:v>-1.6402545585420616</c:v>
                </c:pt>
                <c:pt idx="90">
                  <c:v>-0.86360134020583046</c:v>
                </c:pt>
                <c:pt idx="91">
                  <c:v>-1.0239455450206725</c:v>
                </c:pt>
                <c:pt idx="92">
                  <c:v>-1.1386327188839693</c:v>
                </c:pt>
                <c:pt idx="93">
                  <c:v>-1.1997175571235261</c:v>
                </c:pt>
                <c:pt idx="94">
                  <c:v>-1.1138223243767202</c:v>
                </c:pt>
                <c:pt idx="95">
                  <c:v>-1.2102413325241161</c:v>
                </c:pt>
                <c:pt idx="96">
                  <c:v>-1.137489984867406</c:v>
                </c:pt>
                <c:pt idx="97">
                  <c:v>-1.1525540324067813</c:v>
                </c:pt>
                <c:pt idx="98">
                  <c:v>-1.3276711984787888</c:v>
                </c:pt>
                <c:pt idx="99">
                  <c:v>-1.3828783921874759</c:v>
                </c:pt>
                <c:pt idx="100">
                  <c:v>-1.3028114875506569</c:v>
                </c:pt>
                <c:pt idx="101">
                  <c:v>-1.4150181159952242</c:v>
                </c:pt>
                <c:pt idx="102">
                  <c:v>-1.4395293201579791</c:v>
                </c:pt>
                <c:pt idx="103">
                  <c:v>-1.2440686476453249</c:v>
                </c:pt>
                <c:pt idx="104">
                  <c:v>-1.4352444058158598</c:v>
                </c:pt>
                <c:pt idx="105">
                  <c:v>-1.5886257865549658</c:v>
                </c:pt>
                <c:pt idx="106">
                  <c:v>-1.4125630290454307</c:v>
                </c:pt>
                <c:pt idx="107">
                  <c:v>-1.3078980530248694</c:v>
                </c:pt>
                <c:pt idx="108">
                  <c:v>-1.3670038871492134</c:v>
                </c:pt>
                <c:pt idx="109">
                  <c:v>-1.3678504122145796</c:v>
                </c:pt>
                <c:pt idx="110">
                  <c:v>-1.5097258711528492</c:v>
                </c:pt>
                <c:pt idx="111">
                  <c:v>-1.3772372606436094</c:v>
                </c:pt>
                <c:pt idx="112">
                  <c:v>-1.7167464712740532</c:v>
                </c:pt>
                <c:pt idx="113">
                  <c:v>-1.9298508975599344</c:v>
                </c:pt>
                <c:pt idx="114">
                  <c:v>-1.7884113703330595</c:v>
                </c:pt>
                <c:pt idx="115">
                  <c:v>-2.0217459411077559</c:v>
                </c:pt>
                <c:pt idx="116">
                  <c:v>-2.2071867437404435</c:v>
                </c:pt>
                <c:pt idx="117">
                  <c:v>-2.3215601692264576</c:v>
                </c:pt>
                <c:pt idx="118">
                  <c:v>-1.9624888671298093</c:v>
                </c:pt>
                <c:pt idx="119">
                  <c:v>-1.6152146974757828</c:v>
                </c:pt>
                <c:pt idx="120">
                  <c:v>-1.3989531564429372</c:v>
                </c:pt>
                <c:pt idx="121">
                  <c:v>-1.3605902902728075</c:v>
                </c:pt>
                <c:pt idx="122">
                  <c:v>-1.3129517029990501</c:v>
                </c:pt>
                <c:pt idx="123">
                  <c:v>-1.4711764016428643</c:v>
                </c:pt>
                <c:pt idx="124">
                  <c:v>-1.5800334915341947</c:v>
                </c:pt>
                <c:pt idx="125">
                  <c:v>-1.2684403637416908</c:v>
                </c:pt>
                <c:pt idx="126">
                  <c:v>-1.6122446505398993</c:v>
                </c:pt>
                <c:pt idx="127">
                  <c:v>-1.5617754681367826</c:v>
                </c:pt>
                <c:pt idx="128">
                  <c:v>-1.5849469699834575</c:v>
                </c:pt>
                <c:pt idx="129">
                  <c:v>-0.99524905298436706</c:v>
                </c:pt>
                <c:pt idx="130">
                  <c:v>-0.73859767302084067</c:v>
                </c:pt>
                <c:pt idx="131">
                  <c:v>-0.65405758045357587</c:v>
                </c:pt>
                <c:pt idx="132">
                  <c:v>-0.61839359758261114</c:v>
                </c:pt>
                <c:pt idx="133">
                  <c:v>-0.68567027462657948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B5-BA46-ACEB-31509E9BF9F6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B5-BA46-ACEB-31509E9BF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0.20905084067857849</c:v>
                </c:pt>
                <c:pt idx="2">
                  <c:v>0.26711705639855698</c:v>
                </c:pt>
                <c:pt idx="3">
                  <c:v>0.28412354917878613</c:v>
                </c:pt>
                <c:pt idx="4">
                  <c:v>0.29917985766404653</c:v>
                </c:pt>
                <c:pt idx="5">
                  <c:v>0.34923819136536483</c:v>
                </c:pt>
                <c:pt idx="6">
                  <c:v>0.36652186232393258</c:v>
                </c:pt>
                <c:pt idx="7">
                  <c:v>0.32633545785416218</c:v>
                </c:pt>
                <c:pt idx="8">
                  <c:v>0.35123631461182026</c:v>
                </c:pt>
                <c:pt idx="9">
                  <c:v>0.29463216679465609</c:v>
                </c:pt>
                <c:pt idx="10">
                  <c:v>0.32944375617765886</c:v>
                </c:pt>
                <c:pt idx="11">
                  <c:v>0.28330759856026577</c:v>
                </c:pt>
                <c:pt idx="12">
                  <c:v>0.31913082098323442</c:v>
                </c:pt>
                <c:pt idx="13">
                  <c:v>0.31943466078233418</c:v>
                </c:pt>
                <c:pt idx="14">
                  <c:v>0.36597173975312436</c:v>
                </c:pt>
                <c:pt idx="15">
                  <c:v>0.3750733232860779</c:v>
                </c:pt>
                <c:pt idx="16">
                  <c:v>0.35242280038393958</c:v>
                </c:pt>
                <c:pt idx="17">
                  <c:v>0.34195452666268022</c:v>
                </c:pt>
                <c:pt idx="18">
                  <c:v>0.34013413436987783</c:v>
                </c:pt>
                <c:pt idx="19">
                  <c:v>0.35288008801154169</c:v>
                </c:pt>
                <c:pt idx="20">
                  <c:v>0.3144343977829076</c:v>
                </c:pt>
                <c:pt idx="21">
                  <c:v>0.35002105236785774</c:v>
                </c:pt>
                <c:pt idx="22">
                  <c:v>0.37268571509290305</c:v>
                </c:pt>
                <c:pt idx="23">
                  <c:v>0.28535039386402006</c:v>
                </c:pt>
                <c:pt idx="24">
                  <c:v>0.27055271712026085</c:v>
                </c:pt>
                <c:pt idx="25">
                  <c:v>0.22647837345459521</c:v>
                </c:pt>
                <c:pt idx="26">
                  <c:v>0.18341087474157214</c:v>
                </c:pt>
                <c:pt idx="27">
                  <c:v>0.19452544502275182</c:v>
                </c:pt>
                <c:pt idx="28">
                  <c:v>0.23979512063789432</c:v>
                </c:pt>
                <c:pt idx="29">
                  <c:v>0.21446343914722754</c:v>
                </c:pt>
                <c:pt idx="30">
                  <c:v>0.17805122029922038</c:v>
                </c:pt>
                <c:pt idx="31">
                  <c:v>0.16225849577262696</c:v>
                </c:pt>
                <c:pt idx="32">
                  <c:v>0.13958742206948016</c:v>
                </c:pt>
                <c:pt idx="33">
                  <c:v>0.12479130667467087</c:v>
                </c:pt>
                <c:pt idx="34">
                  <c:v>7.0662182599366297E-2</c:v>
                </c:pt>
                <c:pt idx="35">
                  <c:v>5.1541223444866446E-2</c:v>
                </c:pt>
                <c:pt idx="36">
                  <c:v>1.990443262489161E-2</c:v>
                </c:pt>
                <c:pt idx="37">
                  <c:v>-5.0706849936331899E-2</c:v>
                </c:pt>
                <c:pt idx="38">
                  <c:v>-5.2822627901803143E-2</c:v>
                </c:pt>
                <c:pt idx="39">
                  <c:v>-2.0885374699830317E-2</c:v>
                </c:pt>
                <c:pt idx="40">
                  <c:v>-1.342262530866023E-2</c:v>
                </c:pt>
                <c:pt idx="41">
                  <c:v>-2.6767326846202089E-2</c:v>
                </c:pt>
                <c:pt idx="42">
                  <c:v>-4.5355796894355316E-2</c:v>
                </c:pt>
                <c:pt idx="43">
                  <c:v>-5.8563208474052497E-2</c:v>
                </c:pt>
                <c:pt idx="44">
                  <c:v>-7.8059101659381902E-2</c:v>
                </c:pt>
                <c:pt idx="45">
                  <c:v>-3.9927547974109356E-2</c:v>
                </c:pt>
                <c:pt idx="46">
                  <c:v>-4.0524210938673755E-2</c:v>
                </c:pt>
                <c:pt idx="47">
                  <c:v>-8.2355884708516069E-2</c:v>
                </c:pt>
                <c:pt idx="48">
                  <c:v>-0.10525596253744085</c:v>
                </c:pt>
                <c:pt idx="49">
                  <c:v>-0.10319802792381672</c:v>
                </c:pt>
                <c:pt idx="50">
                  <c:v>-3.9277299653185604E-2</c:v>
                </c:pt>
                <c:pt idx="51">
                  <c:v>-5.3951959658059989E-2</c:v>
                </c:pt>
                <c:pt idx="52">
                  <c:v>-6.556260767744071E-2</c:v>
                </c:pt>
                <c:pt idx="53">
                  <c:v>-7.8299509761902697E-2</c:v>
                </c:pt>
                <c:pt idx="54">
                  <c:v>-9.5451258913611614E-2</c:v>
                </c:pt>
                <c:pt idx="55">
                  <c:v>-0.15677274600757496</c:v>
                </c:pt>
                <c:pt idx="56">
                  <c:v>-0.19620015841574356</c:v>
                </c:pt>
                <c:pt idx="57">
                  <c:v>-0.22439712652083166</c:v>
                </c:pt>
                <c:pt idx="58">
                  <c:v>-0.25833445578597858</c:v>
                </c:pt>
                <c:pt idx="59">
                  <c:v>-0.27662624668266755</c:v>
                </c:pt>
                <c:pt idx="60">
                  <c:v>-0.2771017806488395</c:v>
                </c:pt>
                <c:pt idx="61">
                  <c:v>-0.26910644351072799</c:v>
                </c:pt>
                <c:pt idx="62">
                  <c:v>-0.26532838750701904</c:v>
                </c:pt>
                <c:pt idx="63">
                  <c:v>-0.27378925922202368</c:v>
                </c:pt>
                <c:pt idx="64">
                  <c:v>-0.29139719015433818</c:v>
                </c:pt>
                <c:pt idx="65">
                  <c:v>-0.2839504936383801</c:v>
                </c:pt>
                <c:pt idx="66">
                  <c:v>-0.2939012543429147</c:v>
                </c:pt>
                <c:pt idx="67">
                  <c:v>-0.29230475911004983</c:v>
                </c:pt>
                <c:pt idx="68">
                  <c:v>-0.269203566056473</c:v>
                </c:pt>
                <c:pt idx="69">
                  <c:v>-0.28476088995413129</c:v>
                </c:pt>
                <c:pt idx="70">
                  <c:v>-0.31915187364020736</c:v>
                </c:pt>
                <c:pt idx="71">
                  <c:v>-0.29732843588095748</c:v>
                </c:pt>
                <c:pt idx="72">
                  <c:v>-0.25833891086942484</c:v>
                </c:pt>
                <c:pt idx="73">
                  <c:v>-0.26685107534140251</c:v>
                </c:pt>
                <c:pt idx="74">
                  <c:v>-0.30044172907461353</c:v>
                </c:pt>
                <c:pt idx="75">
                  <c:v>-0.29779922786391133</c:v>
                </c:pt>
                <c:pt idx="76">
                  <c:v>-0.28756073098905011</c:v>
                </c:pt>
                <c:pt idx="77">
                  <c:v>-0.30692045793352141</c:v>
                </c:pt>
                <c:pt idx="78">
                  <c:v>-0.29574719739148925</c:v>
                </c:pt>
                <c:pt idx="79">
                  <c:v>-0.32698451592087296</c:v>
                </c:pt>
                <c:pt idx="80">
                  <c:v>-0.3611848335347132</c:v>
                </c:pt>
                <c:pt idx="81">
                  <c:v>-0.35857971866856919</c:v>
                </c:pt>
                <c:pt idx="82">
                  <c:v>-0.39018760161152732</c:v>
                </c:pt>
                <c:pt idx="83">
                  <c:v>-0.40022701165617369</c:v>
                </c:pt>
                <c:pt idx="84">
                  <c:v>-0.42157774902888578</c:v>
                </c:pt>
                <c:pt idx="85">
                  <c:v>-0.39027349810166978</c:v>
                </c:pt>
                <c:pt idx="86">
                  <c:v>-0.35606696294403584</c:v>
                </c:pt>
                <c:pt idx="87">
                  <c:v>-0.30555667503193729</c:v>
                </c:pt>
                <c:pt idx="88">
                  <c:v>-0.29498743778718572</c:v>
                </c:pt>
                <c:pt idx="89">
                  <c:v>-0.27589308819970293</c:v>
                </c:pt>
                <c:pt idx="90">
                  <c:v>-0.25614949726779446</c:v>
                </c:pt>
                <c:pt idx="91">
                  <c:v>-0.28984519715966661</c:v>
                </c:pt>
                <c:pt idx="92">
                  <c:v>-0.31581711702536874</c:v>
                </c:pt>
                <c:pt idx="93">
                  <c:v>-0.31726613319584229</c:v>
                </c:pt>
                <c:pt idx="94">
                  <c:v>-0.30688745348867119</c:v>
                </c:pt>
                <c:pt idx="95">
                  <c:v>-0.3063163037819846</c:v>
                </c:pt>
                <c:pt idx="96">
                  <c:v>-0.33102789453555581</c:v>
                </c:pt>
                <c:pt idx="97">
                  <c:v>-0.33645501528284516</c:v>
                </c:pt>
                <c:pt idx="98">
                  <c:v>-0.34013631292266777</c:v>
                </c:pt>
                <c:pt idx="99">
                  <c:v>-0.38038132168794059</c:v>
                </c:pt>
                <c:pt idx="100">
                  <c:v>-0.37667417894243937</c:v>
                </c:pt>
                <c:pt idx="101">
                  <c:v>-0.42516414525331214</c:v>
                </c:pt>
                <c:pt idx="102">
                  <c:v>-0.42838540125921376</c:v>
                </c:pt>
                <c:pt idx="103">
                  <c:v>-0.41524862545738483</c:v>
                </c:pt>
                <c:pt idx="104">
                  <c:v>-0.43511450253602446</c:v>
                </c:pt>
                <c:pt idx="105">
                  <c:v>-0.44917392528725875</c:v>
                </c:pt>
                <c:pt idx="106">
                  <c:v>-0.44983387462396718</c:v>
                </c:pt>
                <c:pt idx="107">
                  <c:v>-0.44607375008098704</c:v>
                </c:pt>
                <c:pt idx="108">
                  <c:v>-0.44554878922221652</c:v>
                </c:pt>
                <c:pt idx="109">
                  <c:v>-0.44342929857473734</c:v>
                </c:pt>
                <c:pt idx="110">
                  <c:v>-0.41312782359468925</c:v>
                </c:pt>
                <c:pt idx="111">
                  <c:v>-0.41785953817994803</c:v>
                </c:pt>
                <c:pt idx="112">
                  <c:v>-0.40857675366242585</c:v>
                </c:pt>
                <c:pt idx="113">
                  <c:v>-0.4083669900177157</c:v>
                </c:pt>
                <c:pt idx="114">
                  <c:v>-0.40550327962448363</c:v>
                </c:pt>
                <c:pt idx="115">
                  <c:v>-0.43071610275642647</c:v>
                </c:pt>
                <c:pt idx="116">
                  <c:v>-0.44358176722263076</c:v>
                </c:pt>
                <c:pt idx="117">
                  <c:v>-0.46171234908525138</c:v>
                </c:pt>
                <c:pt idx="118">
                  <c:v>-0.42158803905532327</c:v>
                </c:pt>
                <c:pt idx="119">
                  <c:v>-0.42786499250983445</c:v>
                </c:pt>
                <c:pt idx="120">
                  <c:v>-0.40742480829288241</c:v>
                </c:pt>
                <c:pt idx="121">
                  <c:v>-0.38058240635651897</c:v>
                </c:pt>
                <c:pt idx="122">
                  <c:v>-0.38910103854041156</c:v>
                </c:pt>
                <c:pt idx="123">
                  <c:v>-0.41876068679174183</c:v>
                </c:pt>
                <c:pt idx="124">
                  <c:v>-0.4441757037086399</c:v>
                </c:pt>
                <c:pt idx="125">
                  <c:v>-0.41629995883363424</c:v>
                </c:pt>
                <c:pt idx="126">
                  <c:v>-0.42526399803400272</c:v>
                </c:pt>
                <c:pt idx="127">
                  <c:v>-0.42288704770629659</c:v>
                </c:pt>
                <c:pt idx="128">
                  <c:v>-0.35759996665819904</c:v>
                </c:pt>
                <c:pt idx="129">
                  <c:v>-0.33799020661263313</c:v>
                </c:pt>
                <c:pt idx="130">
                  <c:v>-0.34784350617835058</c:v>
                </c:pt>
                <c:pt idx="131">
                  <c:v>-0.36313303816792497</c:v>
                </c:pt>
                <c:pt idx="132">
                  <c:v>-0.34516302147956668</c:v>
                </c:pt>
                <c:pt idx="133">
                  <c:v>-0.37085446856653215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7-474A-9DF0-3081A39BB3B7}"/>
            </c:ext>
          </c:extLst>
        </c:ser>
        <c:ser>
          <c:idx val="1"/>
          <c:order val="1"/>
          <c:tx>
            <c:strRef>
              <c:f>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0.2407417420762652</c:v>
                </c:pt>
                <c:pt idx="2">
                  <c:v>0.32742156280246348</c:v>
                </c:pt>
                <c:pt idx="3">
                  <c:v>0.31221619769210429</c:v>
                </c:pt>
                <c:pt idx="4">
                  <c:v>0.33287685035990444</c:v>
                </c:pt>
                <c:pt idx="5">
                  <c:v>0.37285029916274914</c:v>
                </c:pt>
                <c:pt idx="6">
                  <c:v>0.4128421720046056</c:v>
                </c:pt>
                <c:pt idx="7">
                  <c:v>0.35082007840368257</c:v>
                </c:pt>
                <c:pt idx="8">
                  <c:v>0.34897286008855044</c:v>
                </c:pt>
                <c:pt idx="9">
                  <c:v>0.34084515808851057</c:v>
                </c:pt>
                <c:pt idx="10">
                  <c:v>0.34524280602554991</c:v>
                </c:pt>
                <c:pt idx="11">
                  <c:v>0.28686946859376383</c:v>
                </c:pt>
                <c:pt idx="12">
                  <c:v>0.30929020775408023</c:v>
                </c:pt>
                <c:pt idx="13">
                  <c:v>0.33127599986084211</c:v>
                </c:pt>
                <c:pt idx="14">
                  <c:v>0.42875871268556898</c:v>
                </c:pt>
                <c:pt idx="15">
                  <c:v>0.44898969793074439</c:v>
                </c:pt>
                <c:pt idx="16">
                  <c:v>0.43124926424969767</c:v>
                </c:pt>
                <c:pt idx="17">
                  <c:v>0.39961224470578327</c:v>
                </c:pt>
                <c:pt idx="18">
                  <c:v>0.43986695517435415</c:v>
                </c:pt>
                <c:pt idx="19">
                  <c:v>0.44305862172228228</c:v>
                </c:pt>
                <c:pt idx="20">
                  <c:v>0.39836867769663864</c:v>
                </c:pt>
                <c:pt idx="21">
                  <c:v>0.47286880828858213</c:v>
                </c:pt>
                <c:pt idx="22">
                  <c:v>0.5118584193760638</c:v>
                </c:pt>
                <c:pt idx="23">
                  <c:v>0.39329177733103782</c:v>
                </c:pt>
                <c:pt idx="24">
                  <c:v>0.37038600245789155</c:v>
                </c:pt>
                <c:pt idx="25">
                  <c:v>0.30641882298390799</c:v>
                </c:pt>
                <c:pt idx="26">
                  <c:v>0.27784541032673471</c:v>
                </c:pt>
                <c:pt idx="27">
                  <c:v>0.3053741404885213</c:v>
                </c:pt>
                <c:pt idx="28">
                  <c:v>0.36087500884859347</c:v>
                </c:pt>
                <c:pt idx="29">
                  <c:v>0.31740802984546046</c:v>
                </c:pt>
                <c:pt idx="30">
                  <c:v>0.27567019444897789</c:v>
                </c:pt>
                <c:pt idx="31">
                  <c:v>0.26337102534655554</c:v>
                </c:pt>
                <c:pt idx="32">
                  <c:v>0.24812523223605321</c:v>
                </c:pt>
                <c:pt idx="33">
                  <c:v>0.26844529762108182</c:v>
                </c:pt>
                <c:pt idx="34">
                  <c:v>0.18474323991657537</c:v>
                </c:pt>
                <c:pt idx="35">
                  <c:v>0.15731474139403523</c:v>
                </c:pt>
                <c:pt idx="36">
                  <c:v>0.10375138722112598</c:v>
                </c:pt>
                <c:pt idx="37">
                  <c:v>-1.2507009237853306E-2</c:v>
                </c:pt>
                <c:pt idx="38">
                  <c:v>-2.1701742024194948E-2</c:v>
                </c:pt>
                <c:pt idx="39">
                  <c:v>3.6556741362942624E-2</c:v>
                </c:pt>
                <c:pt idx="40">
                  <c:v>4.2827172416796788E-2</c:v>
                </c:pt>
                <c:pt idx="41">
                  <c:v>3.1680199288918409E-2</c:v>
                </c:pt>
                <c:pt idx="42">
                  <c:v>-1.0941727022142911E-2</c:v>
                </c:pt>
                <c:pt idx="43">
                  <c:v>-5.0962078814806411E-2</c:v>
                </c:pt>
                <c:pt idx="44">
                  <c:v>-8.9849976703790913E-2</c:v>
                </c:pt>
                <c:pt idx="45">
                  <c:v>-8.1225875060158992E-2</c:v>
                </c:pt>
                <c:pt idx="46">
                  <c:v>-8.4974485969680713E-2</c:v>
                </c:pt>
                <c:pt idx="47">
                  <c:v>-0.14642191515500425</c:v>
                </c:pt>
                <c:pt idx="48">
                  <c:v>-0.1614144562728177</c:v>
                </c:pt>
                <c:pt idx="49">
                  <c:v>-0.15461900559883213</c:v>
                </c:pt>
                <c:pt idx="50">
                  <c:v>-8.7132857239428763E-2</c:v>
                </c:pt>
                <c:pt idx="51">
                  <c:v>-0.126272377851122</c:v>
                </c:pt>
                <c:pt idx="52">
                  <c:v>-0.13613131685847235</c:v>
                </c:pt>
                <c:pt idx="53">
                  <c:v>-0.13902046380214428</c:v>
                </c:pt>
                <c:pt idx="54">
                  <c:v>-0.16260424849079702</c:v>
                </c:pt>
                <c:pt idx="55">
                  <c:v>-0.23288638429594632</c:v>
                </c:pt>
                <c:pt idx="56">
                  <c:v>-0.30069734531715353</c:v>
                </c:pt>
                <c:pt idx="57">
                  <c:v>-0.3293852969971498</c:v>
                </c:pt>
                <c:pt idx="58">
                  <c:v>-0.34387162013936168</c:v>
                </c:pt>
                <c:pt idx="59">
                  <c:v>-0.3597932888905071</c:v>
                </c:pt>
                <c:pt idx="60">
                  <c:v>-0.3654772975398759</c:v>
                </c:pt>
                <c:pt idx="61">
                  <c:v>-0.35683575929351741</c:v>
                </c:pt>
                <c:pt idx="62">
                  <c:v>-0.36771720786184026</c:v>
                </c:pt>
                <c:pt idx="63">
                  <c:v>-0.37470553989896382</c:v>
                </c:pt>
                <c:pt idx="64">
                  <c:v>-0.39401383009478719</c:v>
                </c:pt>
                <c:pt idx="65">
                  <c:v>-0.39972991323067042</c:v>
                </c:pt>
                <c:pt idx="66">
                  <c:v>-0.42473300144575743</c:v>
                </c:pt>
                <c:pt idx="67">
                  <c:v>-0.42088940246390349</c:v>
                </c:pt>
                <c:pt idx="68">
                  <c:v>-0.3976204407827556</c:v>
                </c:pt>
                <c:pt idx="69">
                  <c:v>-0.41790129303461099</c:v>
                </c:pt>
                <c:pt idx="70">
                  <c:v>-0.4613597153156842</c:v>
                </c:pt>
                <c:pt idx="71">
                  <c:v>-0.44442474132681076</c:v>
                </c:pt>
                <c:pt idx="72">
                  <c:v>-0.39651730157966869</c:v>
                </c:pt>
                <c:pt idx="73">
                  <c:v>-0.4092375506465542</c:v>
                </c:pt>
                <c:pt idx="74">
                  <c:v>-0.42744992004665106</c:v>
                </c:pt>
                <c:pt idx="75">
                  <c:v>-0.43532746960295587</c:v>
                </c:pt>
                <c:pt idx="76">
                  <c:v>-0.42176844692696269</c:v>
                </c:pt>
                <c:pt idx="77">
                  <c:v>-0.43681251669526122</c:v>
                </c:pt>
                <c:pt idx="78">
                  <c:v>-0.44144462638609994</c:v>
                </c:pt>
                <c:pt idx="79">
                  <c:v>-0.45328831489349497</c:v>
                </c:pt>
                <c:pt idx="80">
                  <c:v>-0.49671792654612756</c:v>
                </c:pt>
                <c:pt idx="81">
                  <c:v>-0.48754352423383462</c:v>
                </c:pt>
                <c:pt idx="82">
                  <c:v>-0.51727367017802006</c:v>
                </c:pt>
                <c:pt idx="83">
                  <c:v>-0.51921881884849541</c:v>
                </c:pt>
                <c:pt idx="84">
                  <c:v>-0.52620615754302458</c:v>
                </c:pt>
                <c:pt idx="85">
                  <c:v>-0.50023743143343591</c:v>
                </c:pt>
                <c:pt idx="86">
                  <c:v>-0.46740946448858511</c:v>
                </c:pt>
                <c:pt idx="87">
                  <c:v>-0.42867725709910653</c:v>
                </c:pt>
                <c:pt idx="88">
                  <c:v>-0.42279445893389067</c:v>
                </c:pt>
                <c:pt idx="89">
                  <c:v>-0.40727480685357242</c:v>
                </c:pt>
                <c:pt idx="90">
                  <c:v>-0.39929823212742344</c:v>
                </c:pt>
                <c:pt idx="91">
                  <c:v>-0.44118308813989682</c:v>
                </c:pt>
                <c:pt idx="92">
                  <c:v>-0.46252148408804661</c:v>
                </c:pt>
                <c:pt idx="93">
                  <c:v>-0.46697168849073867</c:v>
                </c:pt>
                <c:pt idx="94">
                  <c:v>-0.472746011435207</c:v>
                </c:pt>
                <c:pt idx="95">
                  <c:v>-0.47700137256567365</c:v>
                </c:pt>
                <c:pt idx="96">
                  <c:v>-0.49643673495285723</c:v>
                </c:pt>
                <c:pt idx="97">
                  <c:v>-0.49494955543218799</c:v>
                </c:pt>
                <c:pt idx="98">
                  <c:v>-0.49796825752333063</c:v>
                </c:pt>
                <c:pt idx="99">
                  <c:v>-0.52810685725804107</c:v>
                </c:pt>
                <c:pt idx="100">
                  <c:v>-0.52191621375635278</c:v>
                </c:pt>
                <c:pt idx="101">
                  <c:v>-0.54927418568778774</c:v>
                </c:pt>
                <c:pt idx="102">
                  <c:v>-0.54675747835854061</c:v>
                </c:pt>
                <c:pt idx="103">
                  <c:v>-0.52782935919239948</c:v>
                </c:pt>
                <c:pt idx="104">
                  <c:v>-0.54188850721356197</c:v>
                </c:pt>
                <c:pt idx="105">
                  <c:v>-0.54678920099399819</c:v>
                </c:pt>
                <c:pt idx="106">
                  <c:v>-0.549476268390379</c:v>
                </c:pt>
                <c:pt idx="107">
                  <c:v>-0.53662787363789421</c:v>
                </c:pt>
                <c:pt idx="108">
                  <c:v>-0.53587227255632452</c:v>
                </c:pt>
                <c:pt idx="109">
                  <c:v>-0.54111495163308909</c:v>
                </c:pt>
                <c:pt idx="110">
                  <c:v>-0.5200167822487517</c:v>
                </c:pt>
                <c:pt idx="111">
                  <c:v>-0.51841759519694752</c:v>
                </c:pt>
                <c:pt idx="112">
                  <c:v>-0.52439358700053385</c:v>
                </c:pt>
                <c:pt idx="113">
                  <c:v>-0.51664108523579255</c:v>
                </c:pt>
                <c:pt idx="114">
                  <c:v>-0.51342246151897974</c:v>
                </c:pt>
                <c:pt idx="115">
                  <c:v>-0.51901789783808683</c:v>
                </c:pt>
                <c:pt idx="116">
                  <c:v>-0.54157182794187175</c:v>
                </c:pt>
                <c:pt idx="117">
                  <c:v>-0.56393699623832683</c:v>
                </c:pt>
                <c:pt idx="118">
                  <c:v>-0.52594325781569751</c:v>
                </c:pt>
                <c:pt idx="119">
                  <c:v>-0.53280141843987905</c:v>
                </c:pt>
                <c:pt idx="120">
                  <c:v>-0.51463317387294749</c:v>
                </c:pt>
                <c:pt idx="121">
                  <c:v>-0.49743842257202087</c:v>
                </c:pt>
                <c:pt idx="122">
                  <c:v>-0.5068389191155529</c:v>
                </c:pt>
                <c:pt idx="123">
                  <c:v>-0.54610447540269713</c:v>
                </c:pt>
                <c:pt idx="124">
                  <c:v>-0.56626551132569425</c:v>
                </c:pt>
                <c:pt idx="125">
                  <c:v>-0.53827949627667704</c:v>
                </c:pt>
                <c:pt idx="126">
                  <c:v>-0.55461795863902097</c:v>
                </c:pt>
                <c:pt idx="127">
                  <c:v>-0.54811145502083991</c:v>
                </c:pt>
                <c:pt idx="128">
                  <c:v>-0.49186535862778413</c:v>
                </c:pt>
                <c:pt idx="129">
                  <c:v>-0.46279736771248881</c:v>
                </c:pt>
                <c:pt idx="130">
                  <c:v>-0.47460768836287648</c:v>
                </c:pt>
                <c:pt idx="131">
                  <c:v>-0.50296732487348494</c:v>
                </c:pt>
                <c:pt idx="132">
                  <c:v>-0.48514001538833385</c:v>
                </c:pt>
                <c:pt idx="133">
                  <c:v>-0.51941795946590197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7-474A-9DF0-3081A39BB3B7}"/>
            </c:ext>
          </c:extLst>
        </c:ser>
        <c:ser>
          <c:idx val="2"/>
          <c:order val="2"/>
          <c:tx>
            <c:strRef>
              <c:f>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0.36891449997644599</c:v>
                </c:pt>
                <c:pt idx="2">
                  <c:v>0.5041196634545142</c:v>
                </c:pt>
                <c:pt idx="3">
                  <c:v>0.5560767856459945</c:v>
                </c:pt>
                <c:pt idx="4">
                  <c:v>0.68857549546207819</c:v>
                </c:pt>
                <c:pt idx="5">
                  <c:v>0.78919593178877334</c:v>
                </c:pt>
                <c:pt idx="6">
                  <c:v>0.92716977606866458</c:v>
                </c:pt>
                <c:pt idx="7">
                  <c:v>0.72463660706241018</c:v>
                </c:pt>
                <c:pt idx="8">
                  <c:v>0.74611087439007395</c:v>
                </c:pt>
                <c:pt idx="9">
                  <c:v>0.73130348657295685</c:v>
                </c:pt>
                <c:pt idx="10">
                  <c:v>0.69837112599913476</c:v>
                </c:pt>
                <c:pt idx="11">
                  <c:v>0.60093654824972353</c:v>
                </c:pt>
                <c:pt idx="12">
                  <c:v>0.60332900053654059</c:v>
                </c:pt>
                <c:pt idx="13">
                  <c:v>0.67993597579643961</c:v>
                </c:pt>
                <c:pt idx="14">
                  <c:v>0.77777385550853162</c:v>
                </c:pt>
                <c:pt idx="15">
                  <c:v>0.75261536130764517</c:v>
                </c:pt>
                <c:pt idx="16">
                  <c:v>0.82015285547020422</c:v>
                </c:pt>
                <c:pt idx="17">
                  <c:v>0.78855184058112404</c:v>
                </c:pt>
                <c:pt idx="18">
                  <c:v>0.84320313347812048</c:v>
                </c:pt>
                <c:pt idx="19">
                  <c:v>0.74658002876426632</c:v>
                </c:pt>
                <c:pt idx="20">
                  <c:v>0.66310223151516667</c:v>
                </c:pt>
                <c:pt idx="21">
                  <c:v>0.75221422515742686</c:v>
                </c:pt>
                <c:pt idx="22">
                  <c:v>0.76136056367725558</c:v>
                </c:pt>
                <c:pt idx="23">
                  <c:v>0.69352717549587606</c:v>
                </c:pt>
                <c:pt idx="24">
                  <c:v>0.68908050793107933</c:v>
                </c:pt>
                <c:pt idx="25">
                  <c:v>0.56954533209545355</c:v>
                </c:pt>
                <c:pt idx="26">
                  <c:v>0.59076129824865586</c:v>
                </c:pt>
                <c:pt idx="27">
                  <c:v>0.65332267486190032</c:v>
                </c:pt>
                <c:pt idx="28">
                  <c:v>0.82925616678802849</c:v>
                </c:pt>
                <c:pt idx="29">
                  <c:v>0.75531634739644038</c:v>
                </c:pt>
                <c:pt idx="30">
                  <c:v>0.71929568556012913</c:v>
                </c:pt>
                <c:pt idx="31">
                  <c:v>0.71026890536621856</c:v>
                </c:pt>
                <c:pt idx="32">
                  <c:v>0.58700477847757848</c:v>
                </c:pt>
                <c:pt idx="33">
                  <c:v>0.56310601625435153</c:v>
                </c:pt>
                <c:pt idx="34">
                  <c:v>0.44288529596100901</c:v>
                </c:pt>
                <c:pt idx="35">
                  <c:v>0.38810011041091652</c:v>
                </c:pt>
                <c:pt idx="36">
                  <c:v>0.30308985249894316</c:v>
                </c:pt>
                <c:pt idx="37">
                  <c:v>0.17461214272103587</c:v>
                </c:pt>
                <c:pt idx="38">
                  <c:v>0.10307156152037433</c:v>
                </c:pt>
                <c:pt idx="39">
                  <c:v>0.18026067638965371</c:v>
                </c:pt>
                <c:pt idx="40">
                  <c:v>0.18069497424071179</c:v>
                </c:pt>
                <c:pt idx="41">
                  <c:v>0.13624672043233677</c:v>
                </c:pt>
                <c:pt idx="42">
                  <c:v>3.9237400142789758E-2</c:v>
                </c:pt>
                <c:pt idx="43">
                  <c:v>3.3768719829803118E-3</c:v>
                </c:pt>
                <c:pt idx="44">
                  <c:v>-3.6749823699396056E-2</c:v>
                </c:pt>
                <c:pt idx="45">
                  <c:v>-1.8753531011660329E-2</c:v>
                </c:pt>
                <c:pt idx="46">
                  <c:v>-7.3496931116479036E-4</c:v>
                </c:pt>
                <c:pt idx="47">
                  <c:v>-0.13758534280262857</c:v>
                </c:pt>
                <c:pt idx="48">
                  <c:v>-0.15058030928778654</c:v>
                </c:pt>
                <c:pt idx="49">
                  <c:v>-0.10526498416163466</c:v>
                </c:pt>
                <c:pt idx="50">
                  <c:v>-1.9068520210281048E-2</c:v>
                </c:pt>
                <c:pt idx="51">
                  <c:v>-7.9625620807939779E-2</c:v>
                </c:pt>
                <c:pt idx="52">
                  <c:v>-7.0586624991430535E-2</c:v>
                </c:pt>
                <c:pt idx="53">
                  <c:v>-0.11085604478256816</c:v>
                </c:pt>
                <c:pt idx="54">
                  <c:v>-0.14978904675272409</c:v>
                </c:pt>
                <c:pt idx="55">
                  <c:v>-0.1844525907404736</c:v>
                </c:pt>
                <c:pt idx="56">
                  <c:v>-0.2866450087737521</c:v>
                </c:pt>
                <c:pt idx="57">
                  <c:v>-0.33901486986885498</c:v>
                </c:pt>
                <c:pt idx="58">
                  <c:v>-0.31189394409158777</c:v>
                </c:pt>
                <c:pt idx="59">
                  <c:v>-0.35910090654625748</c:v>
                </c:pt>
                <c:pt idx="60">
                  <c:v>-0.38069370699860239</c:v>
                </c:pt>
                <c:pt idx="61">
                  <c:v>-0.37414666162953603</c:v>
                </c:pt>
                <c:pt idx="62">
                  <c:v>-0.39871592082160623</c:v>
                </c:pt>
                <c:pt idx="63">
                  <c:v>-0.41130472783774363</c:v>
                </c:pt>
                <c:pt idx="64">
                  <c:v>-0.43109021412983461</c:v>
                </c:pt>
                <c:pt idx="65">
                  <c:v>-0.44000715449509997</c:v>
                </c:pt>
                <c:pt idx="66">
                  <c:v>-0.44887941450985858</c:v>
                </c:pt>
                <c:pt idx="67">
                  <c:v>-0.43348693095343649</c:v>
                </c:pt>
                <c:pt idx="68">
                  <c:v>-0.41630304639514881</c:v>
                </c:pt>
                <c:pt idx="69">
                  <c:v>-0.40737930304308412</c:v>
                </c:pt>
                <c:pt idx="70">
                  <c:v>-0.47325508209794087</c:v>
                </c:pt>
                <c:pt idx="71">
                  <c:v>-0.45150988750344112</c:v>
                </c:pt>
                <c:pt idx="72">
                  <c:v>-0.38656415479134598</c:v>
                </c:pt>
                <c:pt idx="73">
                  <c:v>-0.42028518948851845</c:v>
                </c:pt>
                <c:pt idx="74">
                  <c:v>-0.46689483996845216</c:v>
                </c:pt>
                <c:pt idx="75">
                  <c:v>-0.43971405251174889</c:v>
                </c:pt>
                <c:pt idx="76">
                  <c:v>-0.42096989255966799</c:v>
                </c:pt>
                <c:pt idx="77">
                  <c:v>-0.45540890117167143</c:v>
                </c:pt>
                <c:pt idx="78">
                  <c:v>-0.47118879939163261</c:v>
                </c:pt>
                <c:pt idx="79">
                  <c:v>-0.45377695696391096</c:v>
                </c:pt>
                <c:pt idx="80">
                  <c:v>-0.51623925993883901</c:v>
                </c:pt>
                <c:pt idx="81">
                  <c:v>-0.52606459333603084</c:v>
                </c:pt>
                <c:pt idx="82">
                  <c:v>-0.55323088538168796</c:v>
                </c:pt>
                <c:pt idx="83">
                  <c:v>-0.5750688124741794</c:v>
                </c:pt>
                <c:pt idx="84">
                  <c:v>-0.58131598592474565</c:v>
                </c:pt>
                <c:pt idx="85">
                  <c:v>-0.57386503649673681</c:v>
                </c:pt>
                <c:pt idx="86">
                  <c:v>-0.55094234767333206</c:v>
                </c:pt>
                <c:pt idx="87">
                  <c:v>-0.48926716636333245</c:v>
                </c:pt>
                <c:pt idx="88">
                  <c:v>-0.5056310516484912</c:v>
                </c:pt>
                <c:pt idx="89">
                  <c:v>-0.49424737178622791</c:v>
                </c:pt>
                <c:pt idx="90">
                  <c:v>-0.45703018897229852</c:v>
                </c:pt>
                <c:pt idx="91">
                  <c:v>-0.51122364282574706</c:v>
                </c:pt>
                <c:pt idx="92">
                  <c:v>-0.537232228563707</c:v>
                </c:pt>
                <c:pt idx="93">
                  <c:v>-0.56310517558512241</c:v>
                </c:pt>
                <c:pt idx="94">
                  <c:v>-0.58889381892842807</c:v>
                </c:pt>
                <c:pt idx="95">
                  <c:v>-0.59674618401044532</c:v>
                </c:pt>
                <c:pt idx="96">
                  <c:v>-0.57903644476058846</c:v>
                </c:pt>
                <c:pt idx="97">
                  <c:v>-0.5886115618716512</c:v>
                </c:pt>
                <c:pt idx="98">
                  <c:v>-0.58721350661784122</c:v>
                </c:pt>
                <c:pt idx="99">
                  <c:v>-0.60219741232466273</c:v>
                </c:pt>
                <c:pt idx="100">
                  <c:v>-0.59075695985344789</c:v>
                </c:pt>
                <c:pt idx="101">
                  <c:v>-0.61697452728157998</c:v>
                </c:pt>
                <c:pt idx="102">
                  <c:v>-0.6076653654329317</c:v>
                </c:pt>
                <c:pt idx="103">
                  <c:v>-0.59842154039363493</c:v>
                </c:pt>
                <c:pt idx="104">
                  <c:v>-0.60791188719459677</c:v>
                </c:pt>
                <c:pt idx="105">
                  <c:v>-0.60134105903313284</c:v>
                </c:pt>
                <c:pt idx="106">
                  <c:v>-0.60348755821261257</c:v>
                </c:pt>
                <c:pt idx="107">
                  <c:v>-0.58926995807616356</c:v>
                </c:pt>
                <c:pt idx="108">
                  <c:v>-0.59397140266347426</c:v>
                </c:pt>
                <c:pt idx="109">
                  <c:v>-0.59591012313172387</c:v>
                </c:pt>
                <c:pt idx="110">
                  <c:v>-0.57223133738079812</c:v>
                </c:pt>
                <c:pt idx="111">
                  <c:v>-0.57266925454151085</c:v>
                </c:pt>
                <c:pt idx="112">
                  <c:v>-0.58081890616026466</c:v>
                </c:pt>
                <c:pt idx="113">
                  <c:v>-0.57446195715143022</c:v>
                </c:pt>
                <c:pt idx="114">
                  <c:v>-0.57680423304885409</c:v>
                </c:pt>
                <c:pt idx="115">
                  <c:v>-0.5948588207184542</c:v>
                </c:pt>
                <c:pt idx="116">
                  <c:v>-0.61162179839324471</c:v>
                </c:pt>
                <c:pt idx="117">
                  <c:v>-0.62853167513069774</c:v>
                </c:pt>
                <c:pt idx="118">
                  <c:v>-0.60209332178909203</c:v>
                </c:pt>
                <c:pt idx="119">
                  <c:v>-0.60427548030914746</c:v>
                </c:pt>
                <c:pt idx="120">
                  <c:v>-0.59040735160747804</c:v>
                </c:pt>
                <c:pt idx="121">
                  <c:v>-0.57217353468512933</c:v>
                </c:pt>
                <c:pt idx="122">
                  <c:v>-0.5529577309776712</c:v>
                </c:pt>
                <c:pt idx="123">
                  <c:v>-0.6013555795965102</c:v>
                </c:pt>
                <c:pt idx="124">
                  <c:v>-0.64056001278626029</c:v>
                </c:pt>
                <c:pt idx="125">
                  <c:v>-0.60392175373382084</c:v>
                </c:pt>
                <c:pt idx="126">
                  <c:v>-0.61897157052240448</c:v>
                </c:pt>
                <c:pt idx="127">
                  <c:v>-0.61063406900637185</c:v>
                </c:pt>
                <c:pt idx="128">
                  <c:v>-0.5861380130063979</c:v>
                </c:pt>
                <c:pt idx="129">
                  <c:v>-0.55378235292996347</c:v>
                </c:pt>
                <c:pt idx="130">
                  <c:v>-0.57308573616409975</c:v>
                </c:pt>
                <c:pt idx="131">
                  <c:v>-0.60655550030186578</c:v>
                </c:pt>
                <c:pt idx="132">
                  <c:v>-0.58983185096814361</c:v>
                </c:pt>
                <c:pt idx="133">
                  <c:v>-0.61852574647693137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17-474A-9DF0-3081A39BB3B7}"/>
            </c:ext>
          </c:extLst>
        </c:ser>
        <c:ser>
          <c:idx val="3"/>
          <c:order val="3"/>
          <c:tx>
            <c:strRef>
              <c:f>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0.68520033692747018</c:v>
                </c:pt>
                <c:pt idx="2">
                  <c:v>0.78975791775200044</c:v>
                </c:pt>
                <c:pt idx="3">
                  <c:v>0.95138129061142784</c:v>
                </c:pt>
                <c:pt idx="4">
                  <c:v>1.1398968218484939</c:v>
                </c:pt>
                <c:pt idx="5">
                  <c:v>1.3942115757029852</c:v>
                </c:pt>
                <c:pt idx="6">
                  <c:v>1.6976273750590911</c:v>
                </c:pt>
                <c:pt idx="7">
                  <c:v>1.5235651267853032</c:v>
                </c:pt>
                <c:pt idx="8">
                  <c:v>1.5129383940364103</c:v>
                </c:pt>
                <c:pt idx="9">
                  <c:v>1.5455234148980415</c:v>
                </c:pt>
                <c:pt idx="10">
                  <c:v>1.5400937716151089</c:v>
                </c:pt>
                <c:pt idx="11">
                  <c:v>1.2612011420087854</c:v>
                </c:pt>
                <c:pt idx="12">
                  <c:v>1.2334544046248328</c:v>
                </c:pt>
                <c:pt idx="13">
                  <c:v>1.3517904127268321</c:v>
                </c:pt>
                <c:pt idx="14">
                  <c:v>1.5878556086270308</c:v>
                </c:pt>
                <c:pt idx="15">
                  <c:v>1.6312156469206984</c:v>
                </c:pt>
                <c:pt idx="16">
                  <c:v>1.517984965257372</c:v>
                </c:pt>
                <c:pt idx="17">
                  <c:v>1.3937483424670627</c:v>
                </c:pt>
                <c:pt idx="18">
                  <c:v>1.580938003709512</c:v>
                </c:pt>
                <c:pt idx="19">
                  <c:v>1.2967070278354993</c:v>
                </c:pt>
                <c:pt idx="20">
                  <c:v>1.1803296116615951</c:v>
                </c:pt>
                <c:pt idx="21">
                  <c:v>1.3513470352466896</c:v>
                </c:pt>
                <c:pt idx="22">
                  <c:v>1.3028388061844041</c:v>
                </c:pt>
                <c:pt idx="23">
                  <c:v>1.1952502415160788</c:v>
                </c:pt>
                <c:pt idx="24">
                  <c:v>1.2975245354930469</c:v>
                </c:pt>
                <c:pt idx="25">
                  <c:v>1.1052213355129257</c:v>
                </c:pt>
                <c:pt idx="26">
                  <c:v>1.0705252538215806</c:v>
                </c:pt>
                <c:pt idx="27">
                  <c:v>1.1527052293558606</c:v>
                </c:pt>
                <c:pt idx="28">
                  <c:v>1.3632348151408218</c:v>
                </c:pt>
                <c:pt idx="29">
                  <c:v>1.2076876153687395</c:v>
                </c:pt>
                <c:pt idx="30">
                  <c:v>1.1853381377860277</c:v>
                </c:pt>
                <c:pt idx="31">
                  <c:v>1.258775056480959</c:v>
                </c:pt>
                <c:pt idx="32">
                  <c:v>1.0658076530982621</c:v>
                </c:pt>
                <c:pt idx="33">
                  <c:v>1.0462550729419475</c:v>
                </c:pt>
                <c:pt idx="34">
                  <c:v>0.91987913791288944</c:v>
                </c:pt>
                <c:pt idx="35">
                  <c:v>0.83457571602438851</c:v>
                </c:pt>
                <c:pt idx="36">
                  <c:v>0.73344909205261311</c:v>
                </c:pt>
                <c:pt idx="37">
                  <c:v>0.55717689711678675</c:v>
                </c:pt>
                <c:pt idx="38">
                  <c:v>0.45849888917405246</c:v>
                </c:pt>
                <c:pt idx="39">
                  <c:v>0.57267848675485444</c:v>
                </c:pt>
                <c:pt idx="40">
                  <c:v>0.63144496317895604</c:v>
                </c:pt>
                <c:pt idx="41">
                  <c:v>0.48413550745676304</c:v>
                </c:pt>
                <c:pt idx="42">
                  <c:v>0.4042575845945946</c:v>
                </c:pt>
                <c:pt idx="43">
                  <c:v>0.31262276903827235</c:v>
                </c:pt>
                <c:pt idx="44">
                  <c:v>0.26019233506259831</c:v>
                </c:pt>
                <c:pt idx="45">
                  <c:v>0.31970720952823073</c:v>
                </c:pt>
                <c:pt idx="46">
                  <c:v>0.29904067479318597</c:v>
                </c:pt>
                <c:pt idx="47">
                  <c:v>0.13635664457708363</c:v>
                </c:pt>
                <c:pt idx="48">
                  <c:v>0.10451926761410557</c:v>
                </c:pt>
                <c:pt idx="49">
                  <c:v>0.20538759003148699</c:v>
                </c:pt>
                <c:pt idx="50">
                  <c:v>0.39546310994464906</c:v>
                </c:pt>
                <c:pt idx="51">
                  <c:v>0.23815971775821443</c:v>
                </c:pt>
                <c:pt idx="52">
                  <c:v>0.16120172261723242</c:v>
                </c:pt>
                <c:pt idx="53">
                  <c:v>9.9607781585725697E-2</c:v>
                </c:pt>
                <c:pt idx="54">
                  <c:v>4.633978859351684E-2</c:v>
                </c:pt>
                <c:pt idx="55">
                  <c:v>-3.5318832549983137E-3</c:v>
                </c:pt>
                <c:pt idx="56">
                  <c:v>-0.16899662521222358</c:v>
                </c:pt>
                <c:pt idx="57">
                  <c:v>-0.25097431569555517</c:v>
                </c:pt>
                <c:pt idx="58">
                  <c:v>-0.23512559554777102</c:v>
                </c:pt>
                <c:pt idx="59">
                  <c:v>-0.33464359938168875</c:v>
                </c:pt>
                <c:pt idx="60">
                  <c:v>-0.3043000657758439</c:v>
                </c:pt>
                <c:pt idx="61">
                  <c:v>-0.30424600989095463</c:v>
                </c:pt>
                <c:pt idx="62">
                  <c:v>-0.35073964599518059</c:v>
                </c:pt>
                <c:pt idx="63">
                  <c:v>-0.37680262503081463</c:v>
                </c:pt>
                <c:pt idx="64">
                  <c:v>-0.39408667764207361</c:v>
                </c:pt>
                <c:pt idx="65">
                  <c:v>-0.40268108593619767</c:v>
                </c:pt>
                <c:pt idx="66">
                  <c:v>-0.41032851895136968</c:v>
                </c:pt>
                <c:pt idx="67">
                  <c:v>-0.38075211343537307</c:v>
                </c:pt>
                <c:pt idx="68">
                  <c:v>-0.37340417318305119</c:v>
                </c:pt>
                <c:pt idx="69">
                  <c:v>-0.3963580074685058</c:v>
                </c:pt>
                <c:pt idx="70">
                  <c:v>-0.44799746718260125</c:v>
                </c:pt>
                <c:pt idx="71">
                  <c:v>-0.40042583370414453</c:v>
                </c:pt>
                <c:pt idx="72">
                  <c:v>-0.27802546573859388</c:v>
                </c:pt>
                <c:pt idx="73">
                  <c:v>-0.29869985274183386</c:v>
                </c:pt>
                <c:pt idx="74">
                  <c:v>-0.36415843705674911</c:v>
                </c:pt>
                <c:pt idx="75">
                  <c:v>-0.32132802220857914</c:v>
                </c:pt>
                <c:pt idx="76">
                  <c:v>-0.30099304160521267</c:v>
                </c:pt>
                <c:pt idx="77">
                  <c:v>-0.36577987629855235</c:v>
                </c:pt>
                <c:pt idx="78">
                  <c:v>-0.34335477667377579</c:v>
                </c:pt>
                <c:pt idx="79">
                  <c:v>-0.37429226712002506</c:v>
                </c:pt>
                <c:pt idx="80">
                  <c:v>-0.43529298024175445</c:v>
                </c:pt>
                <c:pt idx="81">
                  <c:v>-0.43734083377820576</c:v>
                </c:pt>
                <c:pt idx="82">
                  <c:v>-0.48566539104247475</c:v>
                </c:pt>
                <c:pt idx="83">
                  <c:v>-0.52750270951116518</c:v>
                </c:pt>
                <c:pt idx="84">
                  <c:v>-0.52631629774087485</c:v>
                </c:pt>
                <c:pt idx="85">
                  <c:v>-0.50705076828015572</c:v>
                </c:pt>
                <c:pt idx="86">
                  <c:v>-0.45990473494730943</c:v>
                </c:pt>
                <c:pt idx="87">
                  <c:v>-0.37259591948210191</c:v>
                </c:pt>
                <c:pt idx="88">
                  <c:v>-0.41941978627469889</c:v>
                </c:pt>
                <c:pt idx="89">
                  <c:v>-0.39466726221203319</c:v>
                </c:pt>
                <c:pt idx="90">
                  <c:v>-0.31630752957620434</c:v>
                </c:pt>
                <c:pt idx="91">
                  <c:v>-0.4035028199709203</c:v>
                </c:pt>
                <c:pt idx="92">
                  <c:v>-0.42579869798741632</c:v>
                </c:pt>
                <c:pt idx="93">
                  <c:v>-0.4534964865521528</c:v>
                </c:pt>
                <c:pt idx="94">
                  <c:v>-0.48638789476097188</c:v>
                </c:pt>
                <c:pt idx="95">
                  <c:v>-0.49018583798146309</c:v>
                </c:pt>
                <c:pt idx="96">
                  <c:v>-0.45797646241955903</c:v>
                </c:pt>
                <c:pt idx="97">
                  <c:v>-0.45464743683293707</c:v>
                </c:pt>
                <c:pt idx="98">
                  <c:v>-0.44783889540326416</c:v>
                </c:pt>
                <c:pt idx="99">
                  <c:v>-0.46111263138790282</c:v>
                </c:pt>
                <c:pt idx="100">
                  <c:v>-0.43822572212984279</c:v>
                </c:pt>
                <c:pt idx="101">
                  <c:v>-0.48310415462252654</c:v>
                </c:pt>
                <c:pt idx="102">
                  <c:v>-0.46947059486426057</c:v>
                </c:pt>
                <c:pt idx="103">
                  <c:v>-0.45343448508385642</c:v>
                </c:pt>
                <c:pt idx="104">
                  <c:v>-0.47260535249047486</c:v>
                </c:pt>
                <c:pt idx="105">
                  <c:v>-0.44655538450009358</c:v>
                </c:pt>
                <c:pt idx="106">
                  <c:v>-0.46036311633938076</c:v>
                </c:pt>
                <c:pt idx="107">
                  <c:v>-0.43748720385970885</c:v>
                </c:pt>
                <c:pt idx="108">
                  <c:v>-0.44659807265061957</c:v>
                </c:pt>
                <c:pt idx="109">
                  <c:v>-0.43624446988012888</c:v>
                </c:pt>
                <c:pt idx="110">
                  <c:v>-0.42963812944661939</c:v>
                </c:pt>
                <c:pt idx="111">
                  <c:v>-0.40006266880029329</c:v>
                </c:pt>
                <c:pt idx="112">
                  <c:v>-0.46112119112442407</c:v>
                </c:pt>
                <c:pt idx="113">
                  <c:v>-0.49487413157213467</c:v>
                </c:pt>
                <c:pt idx="114">
                  <c:v>-0.48284781865959792</c:v>
                </c:pt>
                <c:pt idx="115">
                  <c:v>-0.50560070327356021</c:v>
                </c:pt>
                <c:pt idx="116">
                  <c:v>-0.52848977265868724</c:v>
                </c:pt>
                <c:pt idx="117">
                  <c:v>-0.53968135175704002</c:v>
                </c:pt>
                <c:pt idx="118">
                  <c:v>-0.52263175252587302</c:v>
                </c:pt>
                <c:pt idx="119">
                  <c:v>-0.50808508153682697</c:v>
                </c:pt>
                <c:pt idx="120">
                  <c:v>-0.47058054937696114</c:v>
                </c:pt>
                <c:pt idx="121">
                  <c:v>-0.43237571911776795</c:v>
                </c:pt>
                <c:pt idx="122">
                  <c:v>-0.40639514201111471</c:v>
                </c:pt>
                <c:pt idx="123">
                  <c:v>-0.48936231768434046</c:v>
                </c:pt>
                <c:pt idx="124">
                  <c:v>-0.50240330306012282</c:v>
                </c:pt>
                <c:pt idx="125">
                  <c:v>-0.44338024853329705</c:v>
                </c:pt>
                <c:pt idx="126">
                  <c:v>-0.50268205296822066</c:v>
                </c:pt>
                <c:pt idx="127">
                  <c:v>-0.49327267603029423</c:v>
                </c:pt>
                <c:pt idx="128">
                  <c:v>-0.47125475545442685</c:v>
                </c:pt>
                <c:pt idx="129">
                  <c:v>-0.42467893541274271</c:v>
                </c:pt>
                <c:pt idx="130">
                  <c:v>-0.46849370591122752</c:v>
                </c:pt>
                <c:pt idx="131">
                  <c:v>-0.5273102107457972</c:v>
                </c:pt>
                <c:pt idx="132">
                  <c:v>-0.50398572072896175</c:v>
                </c:pt>
                <c:pt idx="133">
                  <c:v>-0.53657435049608737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17-474A-9DF0-3081A39BB3B7}"/>
            </c:ext>
          </c:extLst>
        </c:ser>
        <c:ser>
          <c:idx val="4"/>
          <c:order val="4"/>
          <c:tx>
            <c:strRef>
              <c:f>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0.70092422892449369</c:v>
                </c:pt>
                <c:pt idx="2">
                  <c:v>0.81149261943414963</c:v>
                </c:pt>
                <c:pt idx="3">
                  <c:v>1.0365898999867835</c:v>
                </c:pt>
                <c:pt idx="4">
                  <c:v>1.2586058061928762</c:v>
                </c:pt>
                <c:pt idx="5">
                  <c:v>1.4231424786558198</c:v>
                </c:pt>
                <c:pt idx="6">
                  <c:v>1.6940304226297109</c:v>
                </c:pt>
                <c:pt idx="7">
                  <c:v>1.5089681934611536</c:v>
                </c:pt>
                <c:pt idx="8">
                  <c:v>1.5539400544577262</c:v>
                </c:pt>
                <c:pt idx="9">
                  <c:v>1.6331800174429176</c:v>
                </c:pt>
                <c:pt idx="10">
                  <c:v>1.5963485808360529</c:v>
                </c:pt>
                <c:pt idx="11">
                  <c:v>1.2841571410726789</c:v>
                </c:pt>
                <c:pt idx="12">
                  <c:v>1.2188597652771649</c:v>
                </c:pt>
                <c:pt idx="13">
                  <c:v>1.3563842004490958</c:v>
                </c:pt>
                <c:pt idx="14">
                  <c:v>1.5840577800760207</c:v>
                </c:pt>
                <c:pt idx="15">
                  <c:v>1.6336263248835632</c:v>
                </c:pt>
                <c:pt idx="16">
                  <c:v>1.5219207716884799</c:v>
                </c:pt>
                <c:pt idx="17">
                  <c:v>1.4633429970707952</c:v>
                </c:pt>
                <c:pt idx="18">
                  <c:v>1.6886697474602821</c:v>
                </c:pt>
                <c:pt idx="19">
                  <c:v>1.485482978988649</c:v>
                </c:pt>
                <c:pt idx="20">
                  <c:v>1.2328799707075957</c:v>
                </c:pt>
                <c:pt idx="21">
                  <c:v>1.3973948454827134</c:v>
                </c:pt>
                <c:pt idx="22">
                  <c:v>1.3490140068266712</c:v>
                </c:pt>
                <c:pt idx="23">
                  <c:v>1.2478703240746829</c:v>
                </c:pt>
                <c:pt idx="24">
                  <c:v>1.3607756054221984</c:v>
                </c:pt>
                <c:pt idx="25">
                  <c:v>1.1837527483516865</c:v>
                </c:pt>
                <c:pt idx="26">
                  <c:v>1.0806223252500393</c:v>
                </c:pt>
                <c:pt idx="27">
                  <c:v>1.1530508690143182</c:v>
                </c:pt>
                <c:pt idx="28">
                  <c:v>1.3608253601262437</c:v>
                </c:pt>
                <c:pt idx="29">
                  <c:v>1.2104742078786201</c:v>
                </c:pt>
                <c:pt idx="30">
                  <c:v>1.1810953410880742</c:v>
                </c:pt>
                <c:pt idx="31">
                  <c:v>1.2503787080161461</c:v>
                </c:pt>
                <c:pt idx="32">
                  <c:v>1.1399345246205002</c:v>
                </c:pt>
                <c:pt idx="33">
                  <c:v>1.1549696319865199</c:v>
                </c:pt>
                <c:pt idx="34">
                  <c:v>1.0161434695427269</c:v>
                </c:pt>
                <c:pt idx="35">
                  <c:v>0.91797959502503956</c:v>
                </c:pt>
                <c:pt idx="36">
                  <c:v>0.79124577402482443</c:v>
                </c:pt>
                <c:pt idx="37">
                  <c:v>0.60055655549545195</c:v>
                </c:pt>
                <c:pt idx="38">
                  <c:v>0.5022428943353312</c:v>
                </c:pt>
                <c:pt idx="39">
                  <c:v>0.61911494007292567</c:v>
                </c:pt>
                <c:pt idx="40">
                  <c:v>0.68139613941726096</c:v>
                </c:pt>
                <c:pt idx="41">
                  <c:v>0.50772274970909193</c:v>
                </c:pt>
                <c:pt idx="42">
                  <c:v>0.40961790587878766</c:v>
                </c:pt>
                <c:pt idx="43">
                  <c:v>0.33977534855665592</c:v>
                </c:pt>
                <c:pt idx="44">
                  <c:v>0.28373678175468098</c:v>
                </c:pt>
                <c:pt idx="45">
                  <c:v>0.29538349241090978</c:v>
                </c:pt>
                <c:pt idx="46">
                  <c:v>0.2445358947634475</c:v>
                </c:pt>
                <c:pt idx="47">
                  <c:v>0.11904962270046426</c:v>
                </c:pt>
                <c:pt idx="48">
                  <c:v>8.1211656792623321E-2</c:v>
                </c:pt>
                <c:pt idx="49">
                  <c:v>0.19464117725770835</c:v>
                </c:pt>
                <c:pt idx="50">
                  <c:v>0.38577314658625506</c:v>
                </c:pt>
                <c:pt idx="51">
                  <c:v>0.23605570670932141</c:v>
                </c:pt>
                <c:pt idx="52">
                  <c:v>0.15308983548421251</c:v>
                </c:pt>
                <c:pt idx="53">
                  <c:v>0.11165157867990239</c:v>
                </c:pt>
                <c:pt idx="54">
                  <c:v>5.4500465599780723E-2</c:v>
                </c:pt>
                <c:pt idx="55">
                  <c:v>-1.327022760355423E-2</c:v>
                </c:pt>
                <c:pt idx="56">
                  <c:v>-0.17236024410309747</c:v>
                </c:pt>
                <c:pt idx="57">
                  <c:v>-0.25194776686962761</c:v>
                </c:pt>
                <c:pt idx="58">
                  <c:v>-0.21530073252786452</c:v>
                </c:pt>
                <c:pt idx="59">
                  <c:v>-0.29107663251647986</c:v>
                </c:pt>
                <c:pt idx="60">
                  <c:v>-0.25465808746440088</c:v>
                </c:pt>
                <c:pt idx="61">
                  <c:v>-0.26092980839531577</c:v>
                </c:pt>
                <c:pt idx="62">
                  <c:v>-0.32118167434293732</c:v>
                </c:pt>
                <c:pt idx="63">
                  <c:v>-0.35370103142041065</c:v>
                </c:pt>
                <c:pt idx="64">
                  <c:v>-0.36784874848029558</c:v>
                </c:pt>
                <c:pt idx="65">
                  <c:v>-0.38102479304555359</c:v>
                </c:pt>
                <c:pt idx="66">
                  <c:v>-0.39122427656714676</c:v>
                </c:pt>
                <c:pt idx="67">
                  <c:v>-0.37521539388888814</c:v>
                </c:pt>
                <c:pt idx="68">
                  <c:v>-0.35521792100277916</c:v>
                </c:pt>
                <c:pt idx="69">
                  <c:v>-0.37976176576716802</c:v>
                </c:pt>
                <c:pt idx="70">
                  <c:v>-0.44273903318718577</c:v>
                </c:pt>
                <c:pt idx="71">
                  <c:v>-0.39007205154216584</c:v>
                </c:pt>
                <c:pt idx="72">
                  <c:v>-0.25348173712477617</c:v>
                </c:pt>
                <c:pt idx="73">
                  <c:v>-0.27704128429671748</c:v>
                </c:pt>
                <c:pt idx="74">
                  <c:v>-0.36307007798681445</c:v>
                </c:pt>
                <c:pt idx="75">
                  <c:v>-0.30407154239069834</c:v>
                </c:pt>
                <c:pt idx="76">
                  <c:v>-0.2849815288700176</c:v>
                </c:pt>
                <c:pt idx="77">
                  <c:v>-0.36782753656487954</c:v>
                </c:pt>
                <c:pt idx="78">
                  <c:v>-0.35475221191278683</c:v>
                </c:pt>
                <c:pt idx="79">
                  <c:v>-0.39410492333151081</c:v>
                </c:pt>
                <c:pt idx="80">
                  <c:v>-0.46760630556037763</c:v>
                </c:pt>
                <c:pt idx="81">
                  <c:v>-0.47543036329386235</c:v>
                </c:pt>
                <c:pt idx="82">
                  <c:v>-0.5078109339079</c:v>
                </c:pt>
                <c:pt idx="83">
                  <c:v>-0.53264124460549722</c:v>
                </c:pt>
                <c:pt idx="84">
                  <c:v>-0.53065933123456133</c:v>
                </c:pt>
                <c:pt idx="85">
                  <c:v>-0.5167183244223208</c:v>
                </c:pt>
                <c:pt idx="86">
                  <c:v>-0.47398525874558006</c:v>
                </c:pt>
                <c:pt idx="87">
                  <c:v>-0.37049688807298009</c:v>
                </c:pt>
                <c:pt idx="88">
                  <c:v>-0.4265155064192141</c:v>
                </c:pt>
                <c:pt idx="89">
                  <c:v>-0.40755753408956719</c:v>
                </c:pt>
                <c:pt idx="90">
                  <c:v>-0.29946524823181253</c:v>
                </c:pt>
                <c:pt idx="91">
                  <c:v>-0.3951804949068175</c:v>
                </c:pt>
                <c:pt idx="92">
                  <c:v>-0.42024155741497837</c:v>
                </c:pt>
                <c:pt idx="93">
                  <c:v>-0.44824375492451796</c:v>
                </c:pt>
                <c:pt idx="94">
                  <c:v>-0.48496818705201561</c:v>
                </c:pt>
                <c:pt idx="95">
                  <c:v>-0.48757806260908809</c:v>
                </c:pt>
                <c:pt idx="96">
                  <c:v>-0.45507275412473935</c:v>
                </c:pt>
                <c:pt idx="97">
                  <c:v>-0.44594463201120726</c:v>
                </c:pt>
                <c:pt idx="98">
                  <c:v>-0.44085055856801292</c:v>
                </c:pt>
                <c:pt idx="99">
                  <c:v>-0.4476947069513203</c:v>
                </c:pt>
                <c:pt idx="100">
                  <c:v>-0.42056710074527603</c:v>
                </c:pt>
                <c:pt idx="101">
                  <c:v>-0.4800361876708229</c:v>
                </c:pt>
                <c:pt idx="102">
                  <c:v>-0.46453877337393346</c:v>
                </c:pt>
                <c:pt idx="103">
                  <c:v>-0.44166806255155289</c:v>
                </c:pt>
                <c:pt idx="104">
                  <c:v>-0.46564415490457101</c:v>
                </c:pt>
                <c:pt idx="105">
                  <c:v>-0.42820134118536979</c:v>
                </c:pt>
                <c:pt idx="106">
                  <c:v>-0.44789658709379609</c:v>
                </c:pt>
                <c:pt idx="107">
                  <c:v>-0.4351173623133594</c:v>
                </c:pt>
                <c:pt idx="108">
                  <c:v>-0.44328158149375341</c:v>
                </c:pt>
                <c:pt idx="109">
                  <c:v>-0.43263192367903769</c:v>
                </c:pt>
                <c:pt idx="110">
                  <c:v>-0.42512370038938763</c:v>
                </c:pt>
                <c:pt idx="111">
                  <c:v>-0.40837099669630506</c:v>
                </c:pt>
                <c:pt idx="112">
                  <c:v>-0.48740929275369571</c:v>
                </c:pt>
                <c:pt idx="113">
                  <c:v>-0.52078562999383204</c:v>
                </c:pt>
                <c:pt idx="114">
                  <c:v>-0.50625060301369984</c:v>
                </c:pt>
                <c:pt idx="115">
                  <c:v>-0.52720426751930005</c:v>
                </c:pt>
                <c:pt idx="116">
                  <c:v>-0.5523673582863271</c:v>
                </c:pt>
                <c:pt idx="117">
                  <c:v>-0.5612492621455929</c:v>
                </c:pt>
                <c:pt idx="118">
                  <c:v>-0.54059719646768256</c:v>
                </c:pt>
                <c:pt idx="119">
                  <c:v>-0.50921751268172977</c:v>
                </c:pt>
                <c:pt idx="120">
                  <c:v>-0.46320564103483397</c:v>
                </c:pt>
                <c:pt idx="121">
                  <c:v>-0.40923948833517787</c:v>
                </c:pt>
                <c:pt idx="122">
                  <c:v>-0.37115095238454365</c:v>
                </c:pt>
                <c:pt idx="123">
                  <c:v>-0.45727417633131551</c:v>
                </c:pt>
                <c:pt idx="124">
                  <c:v>-0.47948128488523278</c:v>
                </c:pt>
                <c:pt idx="125">
                  <c:v>-0.41426825052594507</c:v>
                </c:pt>
                <c:pt idx="126">
                  <c:v>-0.48242067867187044</c:v>
                </c:pt>
                <c:pt idx="127">
                  <c:v>-0.46623230892308865</c:v>
                </c:pt>
                <c:pt idx="128">
                  <c:v>-0.46600785147424106</c:v>
                </c:pt>
                <c:pt idx="129">
                  <c:v>-0.41224600219198093</c:v>
                </c:pt>
                <c:pt idx="130">
                  <c:v>-0.45250802125149658</c:v>
                </c:pt>
                <c:pt idx="131">
                  <c:v>-0.51530492835354713</c:v>
                </c:pt>
                <c:pt idx="132">
                  <c:v>-0.48659110923535454</c:v>
                </c:pt>
                <c:pt idx="133">
                  <c:v>-0.50839784459223369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17-474A-9DF0-3081A39BB3B7}"/>
            </c:ext>
          </c:extLst>
        </c:ser>
        <c:ser>
          <c:idx val="5"/>
          <c:order val="5"/>
          <c:tx>
            <c:strRef>
              <c:f>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0.73627656222614046</c:v>
                </c:pt>
                <c:pt idx="2">
                  <c:v>0.87446334126059444</c:v>
                </c:pt>
                <c:pt idx="3">
                  <c:v>1.1495820747840941</c:v>
                </c:pt>
                <c:pt idx="4">
                  <c:v>1.4013682658565014</c:v>
                </c:pt>
                <c:pt idx="5">
                  <c:v>1.653499326588038</c:v>
                </c:pt>
                <c:pt idx="6">
                  <c:v>1.8325820060149698</c:v>
                </c:pt>
                <c:pt idx="7">
                  <c:v>1.5059899036672038</c:v>
                </c:pt>
                <c:pt idx="8">
                  <c:v>1.604835542929977</c:v>
                </c:pt>
                <c:pt idx="9">
                  <c:v>1.6928135377879943</c:v>
                </c:pt>
                <c:pt idx="10">
                  <c:v>1.7322878740610808</c:v>
                </c:pt>
                <c:pt idx="11">
                  <c:v>1.4337093929102558</c:v>
                </c:pt>
                <c:pt idx="12">
                  <c:v>1.4061922291703834</c:v>
                </c:pt>
                <c:pt idx="13">
                  <c:v>1.591266008347167</c:v>
                </c:pt>
                <c:pt idx="14">
                  <c:v>1.8670606038723259</c:v>
                </c:pt>
                <c:pt idx="15">
                  <c:v>1.872723048564974</c:v>
                </c:pt>
                <c:pt idx="16">
                  <c:v>1.7143447996322521</c:v>
                </c:pt>
                <c:pt idx="17">
                  <c:v>1.6505349642031972</c:v>
                </c:pt>
                <c:pt idx="18">
                  <c:v>1.8159439886314019</c:v>
                </c:pt>
                <c:pt idx="19">
                  <c:v>1.5420662453969052</c:v>
                </c:pt>
                <c:pt idx="20">
                  <c:v>1.2149855612063782</c:v>
                </c:pt>
                <c:pt idx="21">
                  <c:v>1.4368969352609859</c:v>
                </c:pt>
                <c:pt idx="22">
                  <c:v>1.3810237353707722</c:v>
                </c:pt>
                <c:pt idx="23">
                  <c:v>1.2527615837806545</c:v>
                </c:pt>
                <c:pt idx="24">
                  <c:v>1.3930097905357011</c:v>
                </c:pt>
                <c:pt idx="25">
                  <c:v>1.1899579733210834</c:v>
                </c:pt>
                <c:pt idx="26">
                  <c:v>1.0613446097567123</c:v>
                </c:pt>
                <c:pt idx="27">
                  <c:v>1.2027938192101417</c:v>
                </c:pt>
                <c:pt idx="28">
                  <c:v>1.4828976062374011</c:v>
                </c:pt>
                <c:pt idx="29">
                  <c:v>1.3303749191828209</c:v>
                </c:pt>
                <c:pt idx="30">
                  <c:v>1.2773799079173362</c:v>
                </c:pt>
                <c:pt idx="31">
                  <c:v>1.3581645381028769</c:v>
                </c:pt>
                <c:pt idx="32">
                  <c:v>1.2860336882826364</c:v>
                </c:pt>
                <c:pt idx="33">
                  <c:v>1.3834247368584296</c:v>
                </c:pt>
                <c:pt idx="34">
                  <c:v>1.207727544136358</c:v>
                </c:pt>
                <c:pt idx="35">
                  <c:v>1.0957418764053211</c:v>
                </c:pt>
                <c:pt idx="36">
                  <c:v>0.93778713655368229</c:v>
                </c:pt>
                <c:pt idx="37">
                  <c:v>0.71826081201015413</c:v>
                </c:pt>
                <c:pt idx="38">
                  <c:v>0.69655516651012106</c:v>
                </c:pt>
                <c:pt idx="39">
                  <c:v>0.82760186238945144</c:v>
                </c:pt>
                <c:pt idx="40">
                  <c:v>0.93822137142953332</c:v>
                </c:pt>
                <c:pt idx="41">
                  <c:v>0.71739843464926034</c:v>
                </c:pt>
                <c:pt idx="42">
                  <c:v>0.6206684373773812</c:v>
                </c:pt>
                <c:pt idx="43">
                  <c:v>0.53595965317336658</c:v>
                </c:pt>
                <c:pt idx="44">
                  <c:v>0.45216459512260854</c:v>
                </c:pt>
                <c:pt idx="45">
                  <c:v>0.48295905635063074</c:v>
                </c:pt>
                <c:pt idx="46">
                  <c:v>0.47046974120741791</c:v>
                </c:pt>
                <c:pt idx="47">
                  <c:v>0.32895091204332694</c:v>
                </c:pt>
                <c:pt idx="48">
                  <c:v>0.29250616531475337</c:v>
                </c:pt>
                <c:pt idx="49">
                  <c:v>0.45427313787206192</c:v>
                </c:pt>
                <c:pt idx="50">
                  <c:v>0.69103825749302983</c:v>
                </c:pt>
                <c:pt idx="51">
                  <c:v>0.48174849186473701</c:v>
                </c:pt>
                <c:pt idx="52">
                  <c:v>0.35748432888705373</c:v>
                </c:pt>
                <c:pt idx="53">
                  <c:v>0.32713575458878918</c:v>
                </c:pt>
                <c:pt idx="54">
                  <c:v>0.22448148248855526</c:v>
                </c:pt>
                <c:pt idx="55">
                  <c:v>0.15689317001116665</c:v>
                </c:pt>
                <c:pt idx="56">
                  <c:v>-5.8001562047245159E-2</c:v>
                </c:pt>
                <c:pt idx="57">
                  <c:v>-0.18346738274889351</c:v>
                </c:pt>
                <c:pt idx="58">
                  <c:v>-0.11754184604484719</c:v>
                </c:pt>
                <c:pt idx="59">
                  <c:v>-0.20390647630103842</c:v>
                </c:pt>
                <c:pt idx="60">
                  <c:v>-0.19057085356169512</c:v>
                </c:pt>
                <c:pt idx="61">
                  <c:v>-0.1844408442784311</c:v>
                </c:pt>
                <c:pt idx="62">
                  <c:v>-0.24642152177997823</c:v>
                </c:pt>
                <c:pt idx="63">
                  <c:v>-0.28177605216190527</c:v>
                </c:pt>
                <c:pt idx="64">
                  <c:v>-0.30704289442993038</c:v>
                </c:pt>
                <c:pt idx="65">
                  <c:v>-0.33198656430345852</c:v>
                </c:pt>
                <c:pt idx="66">
                  <c:v>-0.33958622613303024</c:v>
                </c:pt>
                <c:pt idx="67">
                  <c:v>-0.33321562713275765</c:v>
                </c:pt>
                <c:pt idx="68">
                  <c:v>-0.31927582088898754</c:v>
                </c:pt>
                <c:pt idx="69">
                  <c:v>-0.34218031752458056</c:v>
                </c:pt>
                <c:pt idx="70">
                  <c:v>-0.41093850869802218</c:v>
                </c:pt>
                <c:pt idx="71">
                  <c:v>-0.34811870865230043</c:v>
                </c:pt>
                <c:pt idx="72">
                  <c:v>-0.19998887083871297</c:v>
                </c:pt>
                <c:pt idx="73">
                  <c:v>-0.22304756330987319</c:v>
                </c:pt>
                <c:pt idx="74">
                  <c:v>-0.29752806915302588</c:v>
                </c:pt>
                <c:pt idx="75">
                  <c:v>-0.22239729120508034</c:v>
                </c:pt>
                <c:pt idx="76">
                  <c:v>-0.20124951073635522</c:v>
                </c:pt>
                <c:pt idx="77">
                  <c:v>-0.28844577646754976</c:v>
                </c:pt>
                <c:pt idx="78">
                  <c:v>-0.20684413553046599</c:v>
                </c:pt>
                <c:pt idx="79">
                  <c:v>-0.26742943767256233</c:v>
                </c:pt>
                <c:pt idx="80">
                  <c:v>-0.34983966367663388</c:v>
                </c:pt>
                <c:pt idx="81">
                  <c:v>-0.41168535296897368</c:v>
                </c:pt>
                <c:pt idx="82">
                  <c:v>-0.45564127513201269</c:v>
                </c:pt>
                <c:pt idx="83">
                  <c:v>-0.47358827721880115</c:v>
                </c:pt>
                <c:pt idx="84">
                  <c:v>-0.47163961505506546</c:v>
                </c:pt>
                <c:pt idx="85">
                  <c:v>-0.46057002778210532</c:v>
                </c:pt>
                <c:pt idx="86">
                  <c:v>-0.4152817268878829</c:v>
                </c:pt>
                <c:pt idx="87">
                  <c:v>-0.33526940524700388</c:v>
                </c:pt>
                <c:pt idx="88">
                  <c:v>-0.42472176560652508</c:v>
                </c:pt>
                <c:pt idx="89">
                  <c:v>-0.4093514465611684</c:v>
                </c:pt>
                <c:pt idx="90">
                  <c:v>-0.28972229935279703</c:v>
                </c:pt>
                <c:pt idx="91">
                  <c:v>-0.39495652440785622</c:v>
                </c:pt>
                <c:pt idx="92">
                  <c:v>-0.41981651030604039</c:v>
                </c:pt>
                <c:pt idx="93">
                  <c:v>-0.4492181735270997</c:v>
                </c:pt>
                <c:pt idx="94">
                  <c:v>-0.50255678409289195</c:v>
                </c:pt>
                <c:pt idx="95">
                  <c:v>-0.5270608649588977</c:v>
                </c:pt>
                <c:pt idx="96">
                  <c:v>-0.49187026433060121</c:v>
                </c:pt>
                <c:pt idx="97">
                  <c:v>-0.49384160848761749</c:v>
                </c:pt>
                <c:pt idx="98">
                  <c:v>-0.48383898029955674</c:v>
                </c:pt>
                <c:pt idx="99">
                  <c:v>-0.4893992704416531</c:v>
                </c:pt>
                <c:pt idx="100">
                  <c:v>-0.46418412208921978</c:v>
                </c:pt>
                <c:pt idx="101">
                  <c:v>-0.53075862221993675</c:v>
                </c:pt>
                <c:pt idx="102">
                  <c:v>-0.51016086879583433</c:v>
                </c:pt>
                <c:pt idx="103">
                  <c:v>-0.49307380509546628</c:v>
                </c:pt>
                <c:pt idx="104">
                  <c:v>-0.51505588342209085</c:v>
                </c:pt>
                <c:pt idx="105">
                  <c:v>-0.47377068345179296</c:v>
                </c:pt>
                <c:pt idx="106">
                  <c:v>-0.49677922665659369</c:v>
                </c:pt>
                <c:pt idx="107">
                  <c:v>-0.49112736779510602</c:v>
                </c:pt>
                <c:pt idx="108">
                  <c:v>-0.49019140755857549</c:v>
                </c:pt>
                <c:pt idx="109">
                  <c:v>-0.47044822815389686</c:v>
                </c:pt>
                <c:pt idx="110">
                  <c:v>-0.46764518124342347</c:v>
                </c:pt>
                <c:pt idx="111">
                  <c:v>-0.44351025931266064</c:v>
                </c:pt>
                <c:pt idx="112">
                  <c:v>-0.53034293073301608</c:v>
                </c:pt>
                <c:pt idx="113">
                  <c:v>-0.56487005241456889</c:v>
                </c:pt>
                <c:pt idx="114">
                  <c:v>-0.54213324617169967</c:v>
                </c:pt>
                <c:pt idx="115">
                  <c:v>-0.5583824943771204</c:v>
                </c:pt>
                <c:pt idx="116">
                  <c:v>-0.58198755521875334</c:v>
                </c:pt>
                <c:pt idx="117">
                  <c:v>-0.57508261319826293</c:v>
                </c:pt>
                <c:pt idx="118">
                  <c:v>-0.54421066320793077</c:v>
                </c:pt>
                <c:pt idx="119">
                  <c:v>-0.52350357766075906</c:v>
                </c:pt>
                <c:pt idx="120">
                  <c:v>-0.46426737227481329</c:v>
                </c:pt>
                <c:pt idx="121">
                  <c:v>-0.41436979801642304</c:v>
                </c:pt>
                <c:pt idx="122">
                  <c:v>-0.37236213014364106</c:v>
                </c:pt>
                <c:pt idx="123">
                  <c:v>-0.44627615375678653</c:v>
                </c:pt>
                <c:pt idx="124">
                  <c:v>-0.4732322519936949</c:v>
                </c:pt>
                <c:pt idx="125">
                  <c:v>-0.40499529385232225</c:v>
                </c:pt>
                <c:pt idx="126">
                  <c:v>-0.47171820220206495</c:v>
                </c:pt>
                <c:pt idx="127">
                  <c:v>-0.45490395796042693</c:v>
                </c:pt>
                <c:pt idx="128">
                  <c:v>-0.45742912857561602</c:v>
                </c:pt>
                <c:pt idx="129">
                  <c:v>-0.39921923534778003</c:v>
                </c:pt>
                <c:pt idx="130">
                  <c:v>-0.47222131799649669</c:v>
                </c:pt>
                <c:pt idx="131">
                  <c:v>-0.52673593375023553</c:v>
                </c:pt>
                <c:pt idx="132">
                  <c:v>-0.49631513482971046</c:v>
                </c:pt>
                <c:pt idx="133">
                  <c:v>-0.52034582239337368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17-474A-9DF0-3081A39BB3B7}"/>
            </c:ext>
          </c:extLst>
        </c:ser>
        <c:ser>
          <c:idx val="6"/>
          <c:order val="6"/>
          <c:tx>
            <c:strRef>
              <c:f>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0.66789309115314288</c:v>
                </c:pt>
                <c:pt idx="2">
                  <c:v>0.7570217238877428</c:v>
                </c:pt>
                <c:pt idx="3">
                  <c:v>1.1296699673257145</c:v>
                </c:pt>
                <c:pt idx="4">
                  <c:v>1.413041115030973</c:v>
                </c:pt>
                <c:pt idx="5">
                  <c:v>1.7232134199570543</c:v>
                </c:pt>
                <c:pt idx="6">
                  <c:v>1.8728609999324886</c:v>
                </c:pt>
                <c:pt idx="7">
                  <c:v>1.5132912547286526</c:v>
                </c:pt>
                <c:pt idx="8">
                  <c:v>1.5926742770924727</c:v>
                </c:pt>
                <c:pt idx="9">
                  <c:v>1.7136784598068138</c:v>
                </c:pt>
                <c:pt idx="10">
                  <c:v>1.7925147929110508</c:v>
                </c:pt>
                <c:pt idx="11">
                  <c:v>1.3981907924153267</c:v>
                </c:pt>
                <c:pt idx="12">
                  <c:v>1.4743044305255673</c:v>
                </c:pt>
                <c:pt idx="13">
                  <c:v>1.6093265163552242</c:v>
                </c:pt>
                <c:pt idx="14">
                  <c:v>1.926982571607931</c:v>
                </c:pt>
                <c:pt idx="15">
                  <c:v>1.9835511093482956</c:v>
                </c:pt>
                <c:pt idx="16">
                  <c:v>1.7776464441956672</c:v>
                </c:pt>
                <c:pt idx="17">
                  <c:v>1.7636760730012675</c:v>
                </c:pt>
                <c:pt idx="18">
                  <c:v>1.9160937565106888</c:v>
                </c:pt>
                <c:pt idx="19">
                  <c:v>1.5621048737528387</c:v>
                </c:pt>
                <c:pt idx="20">
                  <c:v>1.1364500179818715</c:v>
                </c:pt>
                <c:pt idx="21">
                  <c:v>1.4080425640320717</c:v>
                </c:pt>
                <c:pt idx="22">
                  <c:v>1.3617302842936705</c:v>
                </c:pt>
                <c:pt idx="23">
                  <c:v>1.1509827857565198</c:v>
                </c:pt>
                <c:pt idx="24">
                  <c:v>1.2688686264629263</c:v>
                </c:pt>
                <c:pt idx="25">
                  <c:v>1.0766993114896777</c:v>
                </c:pt>
                <c:pt idx="26">
                  <c:v>0.95661830050345253</c:v>
                </c:pt>
                <c:pt idx="27">
                  <c:v>1.1450129706688279</c:v>
                </c:pt>
                <c:pt idx="28">
                  <c:v>1.4528850552044505</c:v>
                </c:pt>
                <c:pt idx="29">
                  <c:v>1.3747032241399699</c:v>
                </c:pt>
                <c:pt idx="30">
                  <c:v>1.2975417165799894</c:v>
                </c:pt>
                <c:pt idx="31">
                  <c:v>1.3898970600557479</c:v>
                </c:pt>
                <c:pt idx="32">
                  <c:v>1.2779171395270859</c:v>
                </c:pt>
                <c:pt idx="33">
                  <c:v>1.3858761890052076</c:v>
                </c:pt>
                <c:pt idx="34">
                  <c:v>1.3139361035078903</c:v>
                </c:pt>
                <c:pt idx="35">
                  <c:v>1.20395989532022</c:v>
                </c:pt>
                <c:pt idx="36">
                  <c:v>1.0570805024764582</c:v>
                </c:pt>
                <c:pt idx="37">
                  <c:v>0.89396504467372195</c:v>
                </c:pt>
                <c:pt idx="38">
                  <c:v>0.88368548316616757</c:v>
                </c:pt>
                <c:pt idx="39">
                  <c:v>1.0311377304345681</c:v>
                </c:pt>
                <c:pt idx="40">
                  <c:v>1.1859730766000425</c:v>
                </c:pt>
                <c:pt idx="41">
                  <c:v>0.91371995287912733</c:v>
                </c:pt>
                <c:pt idx="42">
                  <c:v>0.74947196868348764</c:v>
                </c:pt>
                <c:pt idx="43">
                  <c:v>0.67367495879738826</c:v>
                </c:pt>
                <c:pt idx="44">
                  <c:v>0.5655963203531631</c:v>
                </c:pt>
                <c:pt idx="45">
                  <c:v>0.61063657870271792</c:v>
                </c:pt>
                <c:pt idx="46">
                  <c:v>0.57111472318453038</c:v>
                </c:pt>
                <c:pt idx="47">
                  <c:v>0.40212425942927466</c:v>
                </c:pt>
                <c:pt idx="48">
                  <c:v>0.35335378062403278</c:v>
                </c:pt>
                <c:pt idx="49">
                  <c:v>0.55420377335399285</c:v>
                </c:pt>
                <c:pt idx="50">
                  <c:v>0.83470624833981111</c:v>
                </c:pt>
                <c:pt idx="51">
                  <c:v>0.58214784767201633</c:v>
                </c:pt>
                <c:pt idx="52">
                  <c:v>0.45051065867056717</c:v>
                </c:pt>
                <c:pt idx="53">
                  <c:v>0.48534651673452456</c:v>
                </c:pt>
                <c:pt idx="54">
                  <c:v>0.38380642677147336</c:v>
                </c:pt>
                <c:pt idx="55">
                  <c:v>0.32031111055068728</c:v>
                </c:pt>
                <c:pt idx="56">
                  <c:v>0.12660301951184394</c:v>
                </c:pt>
                <c:pt idx="57">
                  <c:v>-2.8753582391751409E-2</c:v>
                </c:pt>
                <c:pt idx="58">
                  <c:v>4.505249517380161E-2</c:v>
                </c:pt>
                <c:pt idx="59">
                  <c:v>-5.7920557614396184E-2</c:v>
                </c:pt>
                <c:pt idx="60">
                  <c:v>-5.6996298638014253E-2</c:v>
                </c:pt>
                <c:pt idx="61">
                  <c:v>-3.2145995670094241E-2</c:v>
                </c:pt>
                <c:pt idx="62">
                  <c:v>-0.13161616413340194</c:v>
                </c:pt>
                <c:pt idx="63">
                  <c:v>-0.17744459103046195</c:v>
                </c:pt>
                <c:pt idx="64">
                  <c:v>-0.19408282736267068</c:v>
                </c:pt>
                <c:pt idx="65">
                  <c:v>-0.23184612378593727</c:v>
                </c:pt>
                <c:pt idx="66">
                  <c:v>-0.23331850892978323</c:v>
                </c:pt>
                <c:pt idx="67">
                  <c:v>-0.22891147530187661</c:v>
                </c:pt>
                <c:pt idx="68">
                  <c:v>-0.20356328438664129</c:v>
                </c:pt>
                <c:pt idx="69">
                  <c:v>-0.2141549824909097</c:v>
                </c:pt>
                <c:pt idx="70">
                  <c:v>-0.30174695209608182</c:v>
                </c:pt>
                <c:pt idx="71">
                  <c:v>-0.22109483479619818</c:v>
                </c:pt>
                <c:pt idx="72">
                  <c:v>-1.7769986832229967E-2</c:v>
                </c:pt>
                <c:pt idx="73">
                  <c:v>-3.6450503502992615E-2</c:v>
                </c:pt>
                <c:pt idx="74">
                  <c:v>-9.6853907289181307E-2</c:v>
                </c:pt>
                <c:pt idx="75">
                  <c:v>2.3252099027275541E-3</c:v>
                </c:pt>
                <c:pt idx="76">
                  <c:v>3.5688463650234148E-2</c:v>
                </c:pt>
                <c:pt idx="77">
                  <c:v>-6.5174421837780772E-2</c:v>
                </c:pt>
                <c:pt idx="78">
                  <c:v>3.3541348193412812E-2</c:v>
                </c:pt>
                <c:pt idx="79">
                  <c:v>-9.2132342694310698E-2</c:v>
                </c:pt>
                <c:pt idx="80">
                  <c:v>-0.21022375988130648</c:v>
                </c:pt>
                <c:pt idx="81">
                  <c:v>-0.29066957792355652</c:v>
                </c:pt>
                <c:pt idx="82">
                  <c:v>-0.35565080983882014</c:v>
                </c:pt>
                <c:pt idx="83">
                  <c:v>-0.38488212900679042</c:v>
                </c:pt>
                <c:pt idx="84">
                  <c:v>-0.45565716730967831</c:v>
                </c:pt>
                <c:pt idx="85">
                  <c:v>-0.45771062797645079</c:v>
                </c:pt>
                <c:pt idx="86">
                  <c:v>-0.40561937830673611</c:v>
                </c:pt>
                <c:pt idx="87">
                  <c:v>-0.31473029331968549</c:v>
                </c:pt>
                <c:pt idx="88">
                  <c:v>-0.4131682883590041</c:v>
                </c:pt>
                <c:pt idx="89">
                  <c:v>-0.39257856188191997</c:v>
                </c:pt>
                <c:pt idx="90">
                  <c:v>-0.25191562354284402</c:v>
                </c:pt>
                <c:pt idx="91">
                  <c:v>-0.37373301682305549</c:v>
                </c:pt>
                <c:pt idx="92">
                  <c:v>-0.40377913754273997</c:v>
                </c:pt>
                <c:pt idx="93">
                  <c:v>-0.43666437217595011</c:v>
                </c:pt>
                <c:pt idx="94">
                  <c:v>-0.48061990020108714</c:v>
                </c:pt>
                <c:pt idx="95">
                  <c:v>-0.5276318127496169</c:v>
                </c:pt>
                <c:pt idx="96">
                  <c:v>-0.49378725036619653</c:v>
                </c:pt>
                <c:pt idx="97">
                  <c:v>-0.5398730019614284</c:v>
                </c:pt>
                <c:pt idx="98">
                  <c:v>-0.53598212869546602</c:v>
                </c:pt>
                <c:pt idx="99">
                  <c:v>-0.56454715508316722</c:v>
                </c:pt>
                <c:pt idx="100">
                  <c:v>-0.54218342314736734</c:v>
                </c:pt>
                <c:pt idx="101">
                  <c:v>-0.60300108808348662</c:v>
                </c:pt>
                <c:pt idx="102">
                  <c:v>-0.5841909066489831</c:v>
                </c:pt>
                <c:pt idx="103">
                  <c:v>-0.56517379099404863</c:v>
                </c:pt>
                <c:pt idx="104">
                  <c:v>-0.58100528342626556</c:v>
                </c:pt>
                <c:pt idx="105">
                  <c:v>-0.5464539929954515</c:v>
                </c:pt>
                <c:pt idx="106">
                  <c:v>-0.5687564125767135</c:v>
                </c:pt>
                <c:pt idx="107">
                  <c:v>-0.55364443894132354</c:v>
                </c:pt>
                <c:pt idx="108">
                  <c:v>-0.55024344472507902</c:v>
                </c:pt>
                <c:pt idx="109">
                  <c:v>-0.53763316446961396</c:v>
                </c:pt>
                <c:pt idx="110">
                  <c:v>-0.53018229434308217</c:v>
                </c:pt>
                <c:pt idx="111">
                  <c:v>-0.50894463608473339</c:v>
                </c:pt>
                <c:pt idx="112">
                  <c:v>-0.58678360292213427</c:v>
                </c:pt>
                <c:pt idx="113">
                  <c:v>-0.62041848498025376</c:v>
                </c:pt>
                <c:pt idx="114">
                  <c:v>-0.59517322416004026</c:v>
                </c:pt>
                <c:pt idx="115">
                  <c:v>-0.58840368487394568</c:v>
                </c:pt>
                <c:pt idx="116">
                  <c:v>-0.60573390967050833</c:v>
                </c:pt>
                <c:pt idx="117">
                  <c:v>-0.59761018049475223</c:v>
                </c:pt>
                <c:pt idx="118">
                  <c:v>-0.57115326788356535</c:v>
                </c:pt>
                <c:pt idx="119">
                  <c:v>-0.54865551201028473</c:v>
                </c:pt>
                <c:pt idx="120">
                  <c:v>-0.48198200225427001</c:v>
                </c:pt>
                <c:pt idx="121">
                  <c:v>-0.42188290612529644</c:v>
                </c:pt>
                <c:pt idx="122">
                  <c:v>-0.36586614274006768</c:v>
                </c:pt>
                <c:pt idx="123">
                  <c:v>-0.43285642948173841</c:v>
                </c:pt>
                <c:pt idx="124">
                  <c:v>-0.47931041768037941</c:v>
                </c:pt>
                <c:pt idx="125">
                  <c:v>-0.39933094750238962</c:v>
                </c:pt>
                <c:pt idx="126">
                  <c:v>-0.45785295415943539</c:v>
                </c:pt>
                <c:pt idx="127">
                  <c:v>-0.41691198305427613</c:v>
                </c:pt>
                <c:pt idx="128">
                  <c:v>-0.41967482739462358</c:v>
                </c:pt>
                <c:pt idx="129">
                  <c:v>-0.35585974441787516</c:v>
                </c:pt>
                <c:pt idx="130">
                  <c:v>-0.44799771511043807</c:v>
                </c:pt>
                <c:pt idx="131">
                  <c:v>-0.49368092817233378</c:v>
                </c:pt>
                <c:pt idx="132">
                  <c:v>-0.46683840216695227</c:v>
                </c:pt>
                <c:pt idx="133">
                  <c:v>-0.49293933731148609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17-474A-9DF0-3081A39BB3B7}"/>
            </c:ext>
          </c:extLst>
        </c:ser>
        <c:ser>
          <c:idx val="7"/>
          <c:order val="7"/>
          <c:tx>
            <c:strRef>
              <c:f>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0.68423979287977788</c:v>
                </c:pt>
                <c:pt idx="2">
                  <c:v>0.79508382424867841</c:v>
                </c:pt>
                <c:pt idx="3">
                  <c:v>1.2190302669246753</c:v>
                </c:pt>
                <c:pt idx="4">
                  <c:v>1.5582426985164939</c:v>
                </c:pt>
                <c:pt idx="5">
                  <c:v>2.0126126105737918</c:v>
                </c:pt>
                <c:pt idx="6">
                  <c:v>2.1556012471136596</c:v>
                </c:pt>
                <c:pt idx="7">
                  <c:v>1.6626042939447987</c:v>
                </c:pt>
                <c:pt idx="8">
                  <c:v>1.8131466094222906</c:v>
                </c:pt>
                <c:pt idx="9">
                  <c:v>1.8985570224887294</c:v>
                </c:pt>
                <c:pt idx="10">
                  <c:v>1.7719183816636739</c:v>
                </c:pt>
                <c:pt idx="11">
                  <c:v>1.3510203679419481</c:v>
                </c:pt>
                <c:pt idx="12">
                  <c:v>1.425222977715817</c:v>
                </c:pt>
                <c:pt idx="13">
                  <c:v>1.4804824916707306</c:v>
                </c:pt>
                <c:pt idx="14">
                  <c:v>1.9033162859583874</c:v>
                </c:pt>
                <c:pt idx="15">
                  <c:v>2.0250900809403403</c:v>
                </c:pt>
                <c:pt idx="16">
                  <c:v>1.7870270877489789</c:v>
                </c:pt>
                <c:pt idx="17">
                  <c:v>1.4817728364136116</c:v>
                </c:pt>
                <c:pt idx="18">
                  <c:v>1.6486720636791339</c:v>
                </c:pt>
                <c:pt idx="19">
                  <c:v>1.4031711005933376</c:v>
                </c:pt>
                <c:pt idx="20">
                  <c:v>0.98325356715639756</c:v>
                </c:pt>
                <c:pt idx="21">
                  <c:v>1.2270423675610083</c:v>
                </c:pt>
                <c:pt idx="22">
                  <c:v>1.1699663059629399</c:v>
                </c:pt>
                <c:pt idx="23">
                  <c:v>0.97115592303067588</c:v>
                </c:pt>
                <c:pt idx="24">
                  <c:v>1.0643948834498982</c:v>
                </c:pt>
                <c:pt idx="25">
                  <c:v>0.85330306264878453</c:v>
                </c:pt>
                <c:pt idx="26">
                  <c:v>0.80057133706629857</c:v>
                </c:pt>
                <c:pt idx="27">
                  <c:v>0.97341328133008087</c:v>
                </c:pt>
                <c:pt idx="28">
                  <c:v>1.3077411861737462</c:v>
                </c:pt>
                <c:pt idx="29">
                  <c:v>1.2182339054456364</c:v>
                </c:pt>
                <c:pt idx="30">
                  <c:v>1.1691305937605385</c:v>
                </c:pt>
                <c:pt idx="31">
                  <c:v>1.2918116641611319</c:v>
                </c:pt>
                <c:pt idx="32">
                  <c:v>1.1044099383886525</c:v>
                </c:pt>
                <c:pt idx="33">
                  <c:v>1.2128823596304716</c:v>
                </c:pt>
                <c:pt idx="34">
                  <c:v>1.1961705779898693</c:v>
                </c:pt>
                <c:pt idx="35">
                  <c:v>1.0418435946201217</c:v>
                </c:pt>
                <c:pt idx="36">
                  <c:v>0.9538278605133852</c:v>
                </c:pt>
                <c:pt idx="37">
                  <c:v>0.79054979872613163</c:v>
                </c:pt>
                <c:pt idx="38">
                  <c:v>0.74418726638972976</c:v>
                </c:pt>
                <c:pt idx="39">
                  <c:v>0.89693293183492129</c:v>
                </c:pt>
                <c:pt idx="40">
                  <c:v>1.0643424930284962</c:v>
                </c:pt>
                <c:pt idx="41">
                  <c:v>0.74742966571991465</c:v>
                </c:pt>
                <c:pt idx="42">
                  <c:v>0.57653636486697857</c:v>
                </c:pt>
                <c:pt idx="43">
                  <c:v>0.49882103350789575</c:v>
                </c:pt>
                <c:pt idx="44">
                  <c:v>0.38426806683227555</c:v>
                </c:pt>
                <c:pt idx="45">
                  <c:v>0.45352717967026046</c:v>
                </c:pt>
                <c:pt idx="46">
                  <c:v>0.42103188162494454</c:v>
                </c:pt>
                <c:pt idx="47">
                  <c:v>0.30705600977902869</c:v>
                </c:pt>
                <c:pt idx="48">
                  <c:v>0.26845999156377442</c:v>
                </c:pt>
                <c:pt idx="49">
                  <c:v>0.50550931044881819</c:v>
                </c:pt>
                <c:pt idx="50">
                  <c:v>0.78703503497481586</c:v>
                </c:pt>
                <c:pt idx="51">
                  <c:v>0.50156298052831927</c:v>
                </c:pt>
                <c:pt idx="52">
                  <c:v>0.40537963353114947</c:v>
                </c:pt>
                <c:pt idx="53">
                  <c:v>0.40992518306029058</c:v>
                </c:pt>
                <c:pt idx="54">
                  <c:v>0.33783306630185228</c:v>
                </c:pt>
                <c:pt idx="55">
                  <c:v>0.31967736834320704</c:v>
                </c:pt>
                <c:pt idx="56">
                  <c:v>0.11735927905547738</c:v>
                </c:pt>
                <c:pt idx="57">
                  <c:v>-3.9626242490332531E-2</c:v>
                </c:pt>
                <c:pt idx="58">
                  <c:v>5.7644474012073177E-2</c:v>
                </c:pt>
                <c:pt idx="59">
                  <c:v>-4.6637069321737723E-3</c:v>
                </c:pt>
                <c:pt idx="60">
                  <c:v>-7.3858527148568665E-2</c:v>
                </c:pt>
                <c:pt idx="61">
                  <c:v>-4.9782707777234925E-2</c:v>
                </c:pt>
                <c:pt idx="62">
                  <c:v>-0.15834560378987828</c:v>
                </c:pt>
                <c:pt idx="63">
                  <c:v>-0.2149490901874771</c:v>
                </c:pt>
                <c:pt idx="64">
                  <c:v>-0.23514763463718713</c:v>
                </c:pt>
                <c:pt idx="65">
                  <c:v>-0.28319474816893941</c:v>
                </c:pt>
                <c:pt idx="66">
                  <c:v>-0.29031552340572142</c:v>
                </c:pt>
                <c:pt idx="67">
                  <c:v>-0.29505284188606129</c:v>
                </c:pt>
                <c:pt idx="68">
                  <c:v>-0.29752010896050196</c:v>
                </c:pt>
                <c:pt idx="69">
                  <c:v>-0.28825100387821756</c:v>
                </c:pt>
                <c:pt idx="70">
                  <c:v>-0.38125583832561427</c:v>
                </c:pt>
                <c:pt idx="71">
                  <c:v>-0.31932862265637951</c:v>
                </c:pt>
                <c:pt idx="72">
                  <c:v>-0.11786634452095368</c:v>
                </c:pt>
                <c:pt idx="73">
                  <c:v>-0.14793632715000282</c:v>
                </c:pt>
                <c:pt idx="74">
                  <c:v>-0.17151988749775715</c:v>
                </c:pt>
                <c:pt idx="75">
                  <c:v>-5.1603466733882497E-2</c:v>
                </c:pt>
                <c:pt idx="76">
                  <c:v>-1.7830908118187216E-2</c:v>
                </c:pt>
                <c:pt idx="77">
                  <c:v>-9.5399487536599104E-2</c:v>
                </c:pt>
                <c:pt idx="78">
                  <c:v>-3.9435115231412077E-5</c:v>
                </c:pt>
                <c:pt idx="79">
                  <c:v>-0.14876548314349947</c:v>
                </c:pt>
                <c:pt idx="80">
                  <c:v>-0.24615893518510745</c:v>
                </c:pt>
                <c:pt idx="81">
                  <c:v>-0.33036197700351122</c:v>
                </c:pt>
                <c:pt idx="82">
                  <c:v>-0.36861011039767544</c:v>
                </c:pt>
                <c:pt idx="83">
                  <c:v>-0.39557995715075878</c:v>
                </c:pt>
                <c:pt idx="84">
                  <c:v>-0.46250993174612953</c:v>
                </c:pt>
                <c:pt idx="85">
                  <c:v>-0.46885872291768327</c:v>
                </c:pt>
                <c:pt idx="86">
                  <c:v>-0.40576059295664091</c:v>
                </c:pt>
                <c:pt idx="87">
                  <c:v>-0.33721639559187067</c:v>
                </c:pt>
                <c:pt idx="88">
                  <c:v>-0.45343393750386451</c:v>
                </c:pt>
                <c:pt idx="89">
                  <c:v>-0.41138515936498155</c:v>
                </c:pt>
                <c:pt idx="90">
                  <c:v>-0.25101445340426443</c:v>
                </c:pt>
                <c:pt idx="91">
                  <c:v>-0.3701275714795873</c:v>
                </c:pt>
                <c:pt idx="92">
                  <c:v>-0.36840807760063565</c:v>
                </c:pt>
                <c:pt idx="93">
                  <c:v>-0.39979452631211609</c:v>
                </c:pt>
                <c:pt idx="94">
                  <c:v>-0.43622750927893084</c:v>
                </c:pt>
                <c:pt idx="95">
                  <c:v>-0.50535753261342342</c:v>
                </c:pt>
                <c:pt idx="96">
                  <c:v>-0.46408634727516118</c:v>
                </c:pt>
                <c:pt idx="97">
                  <c:v>-0.5187387473647902</c:v>
                </c:pt>
                <c:pt idx="98">
                  <c:v>-0.5081982559166982</c:v>
                </c:pt>
                <c:pt idx="99">
                  <c:v>-0.53654311486433537</c:v>
                </c:pt>
                <c:pt idx="100">
                  <c:v>-0.50367388610803476</c:v>
                </c:pt>
                <c:pt idx="101">
                  <c:v>-0.55968519566325448</c:v>
                </c:pt>
                <c:pt idx="102">
                  <c:v>-0.534048360784942</c:v>
                </c:pt>
                <c:pt idx="103">
                  <c:v>-0.5174041493299073</c:v>
                </c:pt>
                <c:pt idx="104">
                  <c:v>-0.50042671690809271</c:v>
                </c:pt>
                <c:pt idx="105">
                  <c:v>-0.44734339073255314</c:v>
                </c:pt>
                <c:pt idx="106">
                  <c:v>-0.47720063939013124</c:v>
                </c:pt>
                <c:pt idx="107">
                  <c:v>-0.44076515903550539</c:v>
                </c:pt>
                <c:pt idx="108">
                  <c:v>-0.43363688616599061</c:v>
                </c:pt>
                <c:pt idx="109">
                  <c:v>-0.43354797671200151</c:v>
                </c:pt>
                <c:pt idx="110">
                  <c:v>-0.43562483025564358</c:v>
                </c:pt>
                <c:pt idx="111">
                  <c:v>-0.40824453533132643</c:v>
                </c:pt>
                <c:pt idx="112">
                  <c:v>-0.48170777356167116</c:v>
                </c:pt>
                <c:pt idx="113">
                  <c:v>-0.51807499557367165</c:v>
                </c:pt>
                <c:pt idx="114">
                  <c:v>-0.47858015470366633</c:v>
                </c:pt>
                <c:pt idx="115">
                  <c:v>-0.47987073300632643</c:v>
                </c:pt>
                <c:pt idx="116">
                  <c:v>-0.50854367201941941</c:v>
                </c:pt>
                <c:pt idx="117">
                  <c:v>-0.52222484039550177</c:v>
                </c:pt>
                <c:pt idx="118">
                  <c:v>-0.48382405761748615</c:v>
                </c:pt>
                <c:pt idx="119">
                  <c:v>-0.46669679515704565</c:v>
                </c:pt>
                <c:pt idx="120">
                  <c:v>-0.37177119951871873</c:v>
                </c:pt>
                <c:pt idx="121">
                  <c:v>-0.28813604126475334</c:v>
                </c:pt>
                <c:pt idx="122">
                  <c:v>-0.18646001511880084</c:v>
                </c:pt>
                <c:pt idx="123">
                  <c:v>-0.27718982311037044</c:v>
                </c:pt>
                <c:pt idx="124">
                  <c:v>-0.32099872583833866</c:v>
                </c:pt>
                <c:pt idx="125">
                  <c:v>-0.22704862339106668</c:v>
                </c:pt>
                <c:pt idx="126">
                  <c:v>-0.28123991797841785</c:v>
                </c:pt>
                <c:pt idx="127">
                  <c:v>-0.20079569384421081</c:v>
                </c:pt>
                <c:pt idx="128">
                  <c:v>-0.17448610611248083</c:v>
                </c:pt>
                <c:pt idx="129">
                  <c:v>-8.470857289707312E-2</c:v>
                </c:pt>
                <c:pt idx="130">
                  <c:v>-0.21630386818136138</c:v>
                </c:pt>
                <c:pt idx="131">
                  <c:v>-0.2792231145346169</c:v>
                </c:pt>
                <c:pt idx="132">
                  <c:v>-0.26277795139690763</c:v>
                </c:pt>
                <c:pt idx="133">
                  <c:v>-0.27529447407077579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17-474A-9DF0-3081A39BB3B7}"/>
            </c:ext>
          </c:extLst>
        </c:ser>
        <c:ser>
          <c:idx val="8"/>
          <c:order val="8"/>
          <c:tx>
            <c:strRef>
              <c:f>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0.66057448201580016</c:v>
                </c:pt>
                <c:pt idx="2">
                  <c:v>0.75578385205707255</c:v>
                </c:pt>
                <c:pt idx="3">
                  <c:v>1.0760725377222422</c:v>
                </c:pt>
                <c:pt idx="4">
                  <c:v>1.40415054392792</c:v>
                </c:pt>
                <c:pt idx="5">
                  <c:v>1.7501852208466624</c:v>
                </c:pt>
                <c:pt idx="6">
                  <c:v>1.8270149452132793</c:v>
                </c:pt>
                <c:pt idx="7">
                  <c:v>1.4504390270182101</c:v>
                </c:pt>
                <c:pt idx="8">
                  <c:v>1.5420942682091883</c:v>
                </c:pt>
                <c:pt idx="9">
                  <c:v>1.6201202928398937</c:v>
                </c:pt>
                <c:pt idx="10">
                  <c:v>1.4164891857703643</c:v>
                </c:pt>
                <c:pt idx="11">
                  <c:v>1.0101720232537059</c:v>
                </c:pt>
                <c:pt idx="12">
                  <c:v>1.1104090221728939</c:v>
                </c:pt>
                <c:pt idx="13">
                  <c:v>1.1948865849214529</c:v>
                </c:pt>
                <c:pt idx="14">
                  <c:v>1.6883554731949548</c:v>
                </c:pt>
                <c:pt idx="15">
                  <c:v>1.8670493861560344</c:v>
                </c:pt>
                <c:pt idx="16">
                  <c:v>1.7026487604847067</c:v>
                </c:pt>
                <c:pt idx="17">
                  <c:v>1.4300979841146182</c:v>
                </c:pt>
                <c:pt idx="18">
                  <c:v>1.4634398147308469</c:v>
                </c:pt>
                <c:pt idx="19">
                  <c:v>1.2084304294710826</c:v>
                </c:pt>
                <c:pt idx="20">
                  <c:v>0.70834535556589406</c:v>
                </c:pt>
                <c:pt idx="21">
                  <c:v>0.96467061775106733</c:v>
                </c:pt>
                <c:pt idx="22">
                  <c:v>0.88202185709203484</c:v>
                </c:pt>
                <c:pt idx="23">
                  <c:v>0.68324842898216231</c:v>
                </c:pt>
                <c:pt idx="24">
                  <c:v>0.79596547678052376</c:v>
                </c:pt>
                <c:pt idx="25">
                  <c:v>0.64373972901890086</c:v>
                </c:pt>
                <c:pt idx="26">
                  <c:v>0.55096155935083302</c:v>
                </c:pt>
                <c:pt idx="27">
                  <c:v>0.75234244071699941</c:v>
                </c:pt>
                <c:pt idx="28">
                  <c:v>1.1015717850304561</c:v>
                </c:pt>
                <c:pt idx="29">
                  <c:v>1.0195165905755297</c:v>
                </c:pt>
                <c:pt idx="30">
                  <c:v>0.963658339851863</c:v>
                </c:pt>
                <c:pt idx="31">
                  <c:v>1.1407375157582811</c:v>
                </c:pt>
                <c:pt idx="32">
                  <c:v>0.97342914941851988</c:v>
                </c:pt>
                <c:pt idx="33">
                  <c:v>1.0957620905681118</c:v>
                </c:pt>
                <c:pt idx="34">
                  <c:v>1.1242542182415294</c:v>
                </c:pt>
                <c:pt idx="35">
                  <c:v>0.96940999526979454</c:v>
                </c:pt>
                <c:pt idx="36">
                  <c:v>0.90423043997984598</c:v>
                </c:pt>
                <c:pt idx="37">
                  <c:v>0.76051780016979964</c:v>
                </c:pt>
                <c:pt idx="38">
                  <c:v>0.6807926072888173</c:v>
                </c:pt>
                <c:pt idx="39">
                  <c:v>0.90220419272161911</c:v>
                </c:pt>
                <c:pt idx="40">
                  <c:v>0.84998396002065091</c:v>
                </c:pt>
                <c:pt idx="41">
                  <c:v>0.53539602894716443</c:v>
                </c:pt>
                <c:pt idx="42">
                  <c:v>0.36328456789855013</c:v>
                </c:pt>
                <c:pt idx="43">
                  <c:v>0.35529739204445265</c:v>
                </c:pt>
                <c:pt idx="44">
                  <c:v>0.25271169748786892</c:v>
                </c:pt>
                <c:pt idx="45">
                  <c:v>0.32114196812680351</c:v>
                </c:pt>
                <c:pt idx="46">
                  <c:v>0.31207197421288169</c:v>
                </c:pt>
                <c:pt idx="47">
                  <c:v>0.16678290135060259</c:v>
                </c:pt>
                <c:pt idx="48">
                  <c:v>0.1216579244925251</c:v>
                </c:pt>
                <c:pt idx="49">
                  <c:v>0.36147111569807433</c:v>
                </c:pt>
                <c:pt idx="50">
                  <c:v>0.56751343140558941</c:v>
                </c:pt>
                <c:pt idx="51">
                  <c:v>0.30471130341482655</c:v>
                </c:pt>
                <c:pt idx="52">
                  <c:v>0.21259142118165841</c:v>
                </c:pt>
                <c:pt idx="53">
                  <c:v>0.27737995432950568</c:v>
                </c:pt>
                <c:pt idx="54">
                  <c:v>0.28497627378766088</c:v>
                </c:pt>
                <c:pt idx="55">
                  <c:v>0.2776665804604157</c:v>
                </c:pt>
                <c:pt idx="56">
                  <c:v>0.15748663552023023</c:v>
                </c:pt>
                <c:pt idx="57">
                  <c:v>-1.620268444421058E-2</c:v>
                </c:pt>
                <c:pt idx="58">
                  <c:v>9.6201732792453143E-2</c:v>
                </c:pt>
                <c:pt idx="59">
                  <c:v>4.2334616629488009E-2</c:v>
                </c:pt>
                <c:pt idx="60">
                  <c:v>-6.4607126551479044E-2</c:v>
                </c:pt>
                <c:pt idx="61">
                  <c:v>-4.6101875178897411E-2</c:v>
                </c:pt>
                <c:pt idx="62">
                  <c:v>-0.1767073755749855</c:v>
                </c:pt>
                <c:pt idx="63">
                  <c:v>-0.27431467802913545</c:v>
                </c:pt>
                <c:pt idx="64">
                  <c:v>-0.2464035741699997</c:v>
                </c:pt>
                <c:pt idx="65">
                  <c:v>-0.29192646591021409</c:v>
                </c:pt>
                <c:pt idx="66">
                  <c:v>-0.30286741066569789</c:v>
                </c:pt>
                <c:pt idx="67">
                  <c:v>-0.31128433281663104</c:v>
                </c:pt>
                <c:pt idx="68">
                  <c:v>-0.3336925219403154</c:v>
                </c:pt>
                <c:pt idx="69">
                  <c:v>-0.29873230139699303</c:v>
                </c:pt>
                <c:pt idx="70">
                  <c:v>-0.40353044754392497</c:v>
                </c:pt>
                <c:pt idx="71">
                  <c:v>-0.32377662297893361</c:v>
                </c:pt>
                <c:pt idx="72">
                  <c:v>-9.247969141121859E-2</c:v>
                </c:pt>
                <c:pt idx="73">
                  <c:v>-0.12033479004570835</c:v>
                </c:pt>
                <c:pt idx="74">
                  <c:v>-0.15832559520017231</c:v>
                </c:pt>
                <c:pt idx="75">
                  <c:v>-2.8466174340002759E-3</c:v>
                </c:pt>
                <c:pt idx="76">
                  <c:v>4.722663625561041E-2</c:v>
                </c:pt>
                <c:pt idx="77">
                  <c:v>4.733948026759971E-2</c:v>
                </c:pt>
                <c:pt idx="78">
                  <c:v>0.15357047541134095</c:v>
                </c:pt>
                <c:pt idx="79">
                  <c:v>-6.4292282259298172E-2</c:v>
                </c:pt>
                <c:pt idx="80">
                  <c:v>-0.17074632106076093</c:v>
                </c:pt>
                <c:pt idx="81">
                  <c:v>-0.27955136946849224</c:v>
                </c:pt>
                <c:pt idx="82">
                  <c:v>-0.33428402537301338</c:v>
                </c:pt>
                <c:pt idx="83">
                  <c:v>-0.34905974389488315</c:v>
                </c:pt>
                <c:pt idx="84">
                  <c:v>-0.40452519301022782</c:v>
                </c:pt>
                <c:pt idx="85">
                  <c:v>-0.42924334318758617</c:v>
                </c:pt>
                <c:pt idx="86">
                  <c:v>-0.38324627885346729</c:v>
                </c:pt>
                <c:pt idx="87">
                  <c:v>-0.29115683758614685</c:v>
                </c:pt>
                <c:pt idx="88">
                  <c:v>-0.42516446336371327</c:v>
                </c:pt>
                <c:pt idx="89">
                  <c:v>-0.43790248049041003</c:v>
                </c:pt>
                <c:pt idx="90">
                  <c:v>-0.20408602480481586</c:v>
                </c:pt>
                <c:pt idx="91">
                  <c:v>-0.35692634462466355</c:v>
                </c:pt>
                <c:pt idx="92">
                  <c:v>-0.36085639790741264</c:v>
                </c:pt>
                <c:pt idx="93">
                  <c:v>-0.40758817779236423</c:v>
                </c:pt>
                <c:pt idx="94">
                  <c:v>-0.45993622015525837</c:v>
                </c:pt>
                <c:pt idx="95">
                  <c:v>-0.50879797077902156</c:v>
                </c:pt>
                <c:pt idx="96">
                  <c:v>-0.46219878453106833</c:v>
                </c:pt>
                <c:pt idx="97">
                  <c:v>-0.5119513534844069</c:v>
                </c:pt>
                <c:pt idx="98">
                  <c:v>-0.51680893237182335</c:v>
                </c:pt>
                <c:pt idx="99">
                  <c:v>-0.5604403855708957</c:v>
                </c:pt>
                <c:pt idx="100">
                  <c:v>-0.55495479909104084</c:v>
                </c:pt>
                <c:pt idx="101">
                  <c:v>-0.62400874462983036</c:v>
                </c:pt>
                <c:pt idx="102">
                  <c:v>-0.60615972792761663</c:v>
                </c:pt>
                <c:pt idx="103">
                  <c:v>-0.58374914923521104</c:v>
                </c:pt>
                <c:pt idx="104">
                  <c:v>-0.56309766695685859</c:v>
                </c:pt>
                <c:pt idx="105">
                  <c:v>-0.49838858042797352</c:v>
                </c:pt>
                <c:pt idx="106">
                  <c:v>-0.48497054321323807</c:v>
                </c:pt>
                <c:pt idx="107">
                  <c:v>-0.48541301610939447</c:v>
                </c:pt>
                <c:pt idx="108">
                  <c:v>-0.48325061322058482</c:v>
                </c:pt>
                <c:pt idx="109">
                  <c:v>-0.47757907593298232</c:v>
                </c:pt>
                <c:pt idx="110">
                  <c:v>-0.46562779257420195</c:v>
                </c:pt>
                <c:pt idx="111">
                  <c:v>-0.44454149398159293</c:v>
                </c:pt>
                <c:pt idx="112">
                  <c:v>-0.4917299055959341</c:v>
                </c:pt>
                <c:pt idx="113">
                  <c:v>-0.53027031712474471</c:v>
                </c:pt>
                <c:pt idx="114">
                  <c:v>-0.53463112322642947</c:v>
                </c:pt>
                <c:pt idx="115">
                  <c:v>-0.56163145625838773</c:v>
                </c:pt>
                <c:pt idx="116">
                  <c:v>-0.59048303346528541</c:v>
                </c:pt>
                <c:pt idx="117">
                  <c:v>-0.59450880285990593</c:v>
                </c:pt>
                <c:pt idx="118">
                  <c:v>-0.57120920502501904</c:v>
                </c:pt>
                <c:pt idx="119">
                  <c:v>-0.53338604760418096</c:v>
                </c:pt>
                <c:pt idx="120">
                  <c:v>-0.43722573214907645</c:v>
                </c:pt>
                <c:pt idx="121">
                  <c:v>-0.36213139359838553</c:v>
                </c:pt>
                <c:pt idx="122">
                  <c:v>-0.25237391198020764</c:v>
                </c:pt>
                <c:pt idx="123">
                  <c:v>-0.34907596109416783</c:v>
                </c:pt>
                <c:pt idx="124">
                  <c:v>-0.39402890798219548</c:v>
                </c:pt>
                <c:pt idx="125">
                  <c:v>-0.30079036020588545</c:v>
                </c:pt>
                <c:pt idx="126">
                  <c:v>-0.33828100873691314</c:v>
                </c:pt>
                <c:pt idx="127">
                  <c:v>-0.28238257599044903</c:v>
                </c:pt>
                <c:pt idx="128">
                  <c:v>-0.28663488927669201</c:v>
                </c:pt>
                <c:pt idx="129">
                  <c:v>-0.22784850898243714</c:v>
                </c:pt>
                <c:pt idx="130">
                  <c:v>-0.32900509976508174</c:v>
                </c:pt>
                <c:pt idx="131">
                  <c:v>-0.3678071004364224</c:v>
                </c:pt>
                <c:pt idx="132">
                  <c:v>-0.35515212388085304</c:v>
                </c:pt>
                <c:pt idx="133">
                  <c:v>-0.36823055231030843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17-474A-9DF0-3081A39BB3B7}"/>
            </c:ext>
          </c:extLst>
        </c:ser>
        <c:ser>
          <c:idx val="9"/>
          <c:order val="9"/>
          <c:tx>
            <c:strRef>
              <c:f>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0.3681464342645</c:v>
                </c:pt>
                <c:pt idx="2">
                  <c:v>0.34941445735976773</c:v>
                </c:pt>
                <c:pt idx="3">
                  <c:v>0.62390290037469032</c:v>
                </c:pt>
                <c:pt idx="4">
                  <c:v>0.85990795669194475</c:v>
                </c:pt>
                <c:pt idx="5">
                  <c:v>1.1615180705809371</c:v>
                </c:pt>
                <c:pt idx="6">
                  <c:v>1.192021413592975</c:v>
                </c:pt>
                <c:pt idx="7">
                  <c:v>0.89228111746615135</c:v>
                </c:pt>
                <c:pt idx="8">
                  <c:v>0.89506277070882678</c:v>
                </c:pt>
                <c:pt idx="9">
                  <c:v>0.8855287099093907</c:v>
                </c:pt>
                <c:pt idx="10">
                  <c:v>0.69757054710256394</c:v>
                </c:pt>
                <c:pt idx="11">
                  <c:v>0.46152221520656478</c:v>
                </c:pt>
                <c:pt idx="12">
                  <c:v>0.51172841093990606</c:v>
                </c:pt>
                <c:pt idx="13">
                  <c:v>0.58040283125998138</c:v>
                </c:pt>
                <c:pt idx="14">
                  <c:v>1.0135687265679967</c:v>
                </c:pt>
                <c:pt idx="15">
                  <c:v>1.1845312826894343</c:v>
                </c:pt>
                <c:pt idx="16">
                  <c:v>1.1046609960645641</c:v>
                </c:pt>
                <c:pt idx="17">
                  <c:v>0.82869784626057852</c:v>
                </c:pt>
                <c:pt idx="18">
                  <c:v>0.68200750295509938</c:v>
                </c:pt>
                <c:pt idx="19">
                  <c:v>0.50477307656804582</c:v>
                </c:pt>
                <c:pt idx="20">
                  <c:v>1.8850929031481334E-2</c:v>
                </c:pt>
                <c:pt idx="21">
                  <c:v>0.23056917093515206</c:v>
                </c:pt>
                <c:pt idx="22">
                  <c:v>0.20493262139218538</c:v>
                </c:pt>
                <c:pt idx="23">
                  <c:v>6.7324511694468292E-2</c:v>
                </c:pt>
                <c:pt idx="24">
                  <c:v>9.7247488042078611E-2</c:v>
                </c:pt>
                <c:pt idx="25">
                  <c:v>-4.5218667591538697E-2</c:v>
                </c:pt>
                <c:pt idx="26">
                  <c:v>-0.11615999929381993</c:v>
                </c:pt>
                <c:pt idx="27">
                  <c:v>-2.2997531228466928E-3</c:v>
                </c:pt>
                <c:pt idx="28">
                  <c:v>0.23760336767932566</c:v>
                </c:pt>
                <c:pt idx="29">
                  <c:v>0.17185493397369722</c:v>
                </c:pt>
                <c:pt idx="30">
                  <c:v>0.11993850523198679</c:v>
                </c:pt>
                <c:pt idx="31">
                  <c:v>0.24042301561362756</c:v>
                </c:pt>
                <c:pt idx="32">
                  <c:v>0.14169252644704433</c:v>
                </c:pt>
                <c:pt idx="33">
                  <c:v>0.2220737791692764</c:v>
                </c:pt>
                <c:pt idx="34">
                  <c:v>0.26582789152657127</c:v>
                </c:pt>
                <c:pt idx="35">
                  <c:v>0.18306828836793687</c:v>
                </c:pt>
                <c:pt idx="36">
                  <c:v>0.1019857479589541</c:v>
                </c:pt>
                <c:pt idx="37">
                  <c:v>-2.1388230220269477E-2</c:v>
                </c:pt>
                <c:pt idx="38">
                  <c:v>-6.8093842726384413E-2</c:v>
                </c:pt>
                <c:pt idx="39">
                  <c:v>-4.9789581475778721E-4</c:v>
                </c:pt>
                <c:pt idx="40">
                  <c:v>-7.7325131811065595E-2</c:v>
                </c:pt>
                <c:pt idx="41">
                  <c:v>-0.26664166333208006</c:v>
                </c:pt>
                <c:pt idx="42">
                  <c:v>-0.31391091195125809</c:v>
                </c:pt>
                <c:pt idx="43">
                  <c:v>-0.31220055272652836</c:v>
                </c:pt>
                <c:pt idx="44">
                  <c:v>-0.34508399085273733</c:v>
                </c:pt>
                <c:pt idx="45">
                  <c:v>-0.30872254314970171</c:v>
                </c:pt>
                <c:pt idx="46">
                  <c:v>-0.31549086143631522</c:v>
                </c:pt>
                <c:pt idx="47">
                  <c:v>-0.41347676167362191</c:v>
                </c:pt>
                <c:pt idx="48">
                  <c:v>-0.44105584152834765</c:v>
                </c:pt>
                <c:pt idx="49">
                  <c:v>-0.29857467629075241</c:v>
                </c:pt>
                <c:pt idx="50">
                  <c:v>-0.20066096179086923</c:v>
                </c:pt>
                <c:pt idx="51">
                  <c:v>-0.38078892463655944</c:v>
                </c:pt>
                <c:pt idx="52">
                  <c:v>-0.40451780372863799</c:v>
                </c:pt>
                <c:pt idx="53">
                  <c:v>-0.39156555183789821</c:v>
                </c:pt>
                <c:pt idx="54">
                  <c:v>-0.3954294351210812</c:v>
                </c:pt>
                <c:pt idx="55">
                  <c:v>-0.39759204459779507</c:v>
                </c:pt>
                <c:pt idx="56">
                  <c:v>-0.4531856070426038</c:v>
                </c:pt>
                <c:pt idx="57">
                  <c:v>-0.5116084103662828</c:v>
                </c:pt>
                <c:pt idx="58">
                  <c:v>-0.43645732735695997</c:v>
                </c:pt>
                <c:pt idx="59">
                  <c:v>-0.45448083900597502</c:v>
                </c:pt>
                <c:pt idx="60">
                  <c:v>-0.49974428866526521</c:v>
                </c:pt>
                <c:pt idx="61">
                  <c:v>-0.49786682898062595</c:v>
                </c:pt>
                <c:pt idx="62">
                  <c:v>-0.5757577284380655</c:v>
                </c:pt>
                <c:pt idx="63">
                  <c:v>-0.6027598784745527</c:v>
                </c:pt>
                <c:pt idx="64">
                  <c:v>-0.57739322212130317</c:v>
                </c:pt>
                <c:pt idx="65">
                  <c:v>-0.62155948856414955</c:v>
                </c:pt>
                <c:pt idx="66">
                  <c:v>-0.64220047829601179</c:v>
                </c:pt>
                <c:pt idx="67">
                  <c:v>-0.64660995029094426</c:v>
                </c:pt>
                <c:pt idx="68">
                  <c:v>-0.66984245566808531</c:v>
                </c:pt>
                <c:pt idx="69">
                  <c:v>-0.64976161350672956</c:v>
                </c:pt>
                <c:pt idx="70">
                  <c:v>-0.70956061513981761</c:v>
                </c:pt>
                <c:pt idx="71">
                  <c:v>-0.70397248876526142</c:v>
                </c:pt>
                <c:pt idx="72">
                  <c:v>-0.58493087166555835</c:v>
                </c:pt>
                <c:pt idx="73">
                  <c:v>-0.58368947491217082</c:v>
                </c:pt>
                <c:pt idx="74">
                  <c:v>-0.58990072386884984</c:v>
                </c:pt>
                <c:pt idx="75">
                  <c:v>-0.48680074060128842</c:v>
                </c:pt>
                <c:pt idx="76">
                  <c:v>-0.43801601900284692</c:v>
                </c:pt>
                <c:pt idx="77">
                  <c:v>-0.47930279001476161</c:v>
                </c:pt>
                <c:pt idx="78">
                  <c:v>-0.45154568291061725</c:v>
                </c:pt>
                <c:pt idx="79">
                  <c:v>-0.53424622648401643</c:v>
                </c:pt>
                <c:pt idx="80">
                  <c:v>-0.60195516288554074</c:v>
                </c:pt>
                <c:pt idx="81">
                  <c:v>-0.65257372873171227</c:v>
                </c:pt>
                <c:pt idx="82">
                  <c:v>-0.68213460957510108</c:v>
                </c:pt>
                <c:pt idx="83">
                  <c:v>-0.73192073427585469</c:v>
                </c:pt>
                <c:pt idx="84">
                  <c:v>-0.75153950601381081</c:v>
                </c:pt>
                <c:pt idx="85">
                  <c:v>-0.76523982848613359</c:v>
                </c:pt>
                <c:pt idx="86">
                  <c:v>-0.74947342215883594</c:v>
                </c:pt>
                <c:pt idx="87">
                  <c:v>-0.70251644364515065</c:v>
                </c:pt>
                <c:pt idx="88">
                  <c:v>-0.7695998746040319</c:v>
                </c:pt>
                <c:pt idx="89">
                  <c:v>-0.7766360387364355</c:v>
                </c:pt>
                <c:pt idx="90">
                  <c:v>-0.66163369729272725</c:v>
                </c:pt>
                <c:pt idx="91">
                  <c:v>-0.7369878935046712</c:v>
                </c:pt>
                <c:pt idx="92">
                  <c:v>-0.73785270143563708</c:v>
                </c:pt>
                <c:pt idx="93">
                  <c:v>-0.76166204055206888</c:v>
                </c:pt>
                <c:pt idx="94">
                  <c:v>-0.77826142049259273</c:v>
                </c:pt>
                <c:pt idx="95">
                  <c:v>-0.79650892522289751</c:v>
                </c:pt>
                <c:pt idx="96">
                  <c:v>-0.78375541510390034</c:v>
                </c:pt>
                <c:pt idx="97">
                  <c:v>-0.80499617612652219</c:v>
                </c:pt>
                <c:pt idx="98">
                  <c:v>-0.81767248106880608</c:v>
                </c:pt>
                <c:pt idx="99">
                  <c:v>-0.83629216398427664</c:v>
                </c:pt>
                <c:pt idx="100">
                  <c:v>-0.83490360780452555</c:v>
                </c:pt>
                <c:pt idx="101">
                  <c:v>-0.87410597244973987</c:v>
                </c:pt>
                <c:pt idx="102">
                  <c:v>-0.87425607041695064</c:v>
                </c:pt>
                <c:pt idx="103">
                  <c:v>-0.86776461126401139</c:v>
                </c:pt>
                <c:pt idx="104">
                  <c:v>-0.86180772975851205</c:v>
                </c:pt>
                <c:pt idx="105">
                  <c:v>-0.87857358756507242</c:v>
                </c:pt>
                <c:pt idx="106">
                  <c:v>-0.88005961718594106</c:v>
                </c:pt>
                <c:pt idx="107">
                  <c:v>-0.88264563747065239</c:v>
                </c:pt>
                <c:pt idx="108">
                  <c:v>-0.88356644417409069</c:v>
                </c:pt>
                <c:pt idx="109">
                  <c:v>-0.88520545840614873</c:v>
                </c:pt>
                <c:pt idx="110">
                  <c:v>-0.88915524910272237</c:v>
                </c:pt>
                <c:pt idx="111">
                  <c:v>-0.88495297903592607</c:v>
                </c:pt>
                <c:pt idx="112">
                  <c:v>-0.90100234987186556</c:v>
                </c:pt>
                <c:pt idx="113">
                  <c:v>-0.91074024767196149</c:v>
                </c:pt>
                <c:pt idx="114">
                  <c:v>-0.90807726154177004</c:v>
                </c:pt>
                <c:pt idx="115">
                  <c:v>-0.91462194105390582</c:v>
                </c:pt>
                <c:pt idx="116">
                  <c:v>-0.92166100277137208</c:v>
                </c:pt>
                <c:pt idx="117">
                  <c:v>-0.92356198902799636</c:v>
                </c:pt>
                <c:pt idx="118">
                  <c:v>-0.91817901800381829</c:v>
                </c:pt>
                <c:pt idx="119">
                  <c:v>-0.9086552590824627</c:v>
                </c:pt>
                <c:pt idx="120">
                  <c:v>-0.89030962937878044</c:v>
                </c:pt>
                <c:pt idx="121">
                  <c:v>-0.8715996548150533</c:v>
                </c:pt>
                <c:pt idx="122">
                  <c:v>-0.86799285136957161</c:v>
                </c:pt>
                <c:pt idx="123">
                  <c:v>-0.88651028309751212</c:v>
                </c:pt>
                <c:pt idx="124">
                  <c:v>-0.90106509740555074</c:v>
                </c:pt>
                <c:pt idx="125">
                  <c:v>-0.88266654813451706</c:v>
                </c:pt>
                <c:pt idx="126">
                  <c:v>-0.88555248119306051</c:v>
                </c:pt>
                <c:pt idx="127">
                  <c:v>-0.87950460889156667</c:v>
                </c:pt>
                <c:pt idx="128">
                  <c:v>-0.88372995536488885</c:v>
                </c:pt>
                <c:pt idx="129">
                  <c:v>-0.88067179809467799</c:v>
                </c:pt>
                <c:pt idx="130">
                  <c:v>-0.89738896535460899</c:v>
                </c:pt>
                <c:pt idx="131">
                  <c:v>-0.88413621631034445</c:v>
                </c:pt>
                <c:pt idx="132">
                  <c:v>-0.88540561359908221</c:v>
                </c:pt>
                <c:pt idx="133">
                  <c:v>-0.88325453211420601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17-474A-9DF0-3081A39BB3B7}"/>
            </c:ext>
          </c:extLst>
        </c:ser>
        <c:ser>
          <c:idx val="10"/>
          <c:order val="10"/>
          <c:tx>
            <c:strRef>
              <c:f>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0.37695027335822218</c:v>
                </c:pt>
                <c:pt idx="2">
                  <c:v>0.35305100644696785</c:v>
                </c:pt>
                <c:pt idx="3">
                  <c:v>0.16380246827724343</c:v>
                </c:pt>
                <c:pt idx="4">
                  <c:v>0.43490482218424198</c:v>
                </c:pt>
                <c:pt idx="5">
                  <c:v>0.61308843319343653</c:v>
                </c:pt>
                <c:pt idx="6">
                  <c:v>0.64121962007604139</c:v>
                </c:pt>
                <c:pt idx="7">
                  <c:v>0.47011919224387388</c:v>
                </c:pt>
                <c:pt idx="8">
                  <c:v>0.51224790789627561</c:v>
                </c:pt>
                <c:pt idx="9">
                  <c:v>0.53383071003777127</c:v>
                </c:pt>
                <c:pt idx="10">
                  <c:v>0.4201737642798633</c:v>
                </c:pt>
                <c:pt idx="11">
                  <c:v>0.28095290767109216</c:v>
                </c:pt>
                <c:pt idx="12">
                  <c:v>0.27235018382058085</c:v>
                </c:pt>
                <c:pt idx="13">
                  <c:v>0.38766370509696801</c:v>
                </c:pt>
                <c:pt idx="14">
                  <c:v>0.56427814060861614</c:v>
                </c:pt>
                <c:pt idx="15">
                  <c:v>0.66861184260488282</c:v>
                </c:pt>
                <c:pt idx="16">
                  <c:v>0.60314830659186058</c:v>
                </c:pt>
                <c:pt idx="17">
                  <c:v>0.43506141294231715</c:v>
                </c:pt>
                <c:pt idx="18">
                  <c:v>0.21689019910141516</c:v>
                </c:pt>
                <c:pt idx="19">
                  <c:v>0.14749808855270841</c:v>
                </c:pt>
                <c:pt idx="20">
                  <c:v>-0.24975827409757945</c:v>
                </c:pt>
                <c:pt idx="21">
                  <c:v>-5.6794601712025106E-2</c:v>
                </c:pt>
                <c:pt idx="22">
                  <c:v>-7.1633305614649645E-2</c:v>
                </c:pt>
                <c:pt idx="23">
                  <c:v>-0.14176980250811344</c:v>
                </c:pt>
                <c:pt idx="24">
                  <c:v>-4.0393362966511859E-2</c:v>
                </c:pt>
                <c:pt idx="25">
                  <c:v>-0.16939924494386482</c:v>
                </c:pt>
                <c:pt idx="26">
                  <c:v>-0.23121286946148889</c:v>
                </c:pt>
                <c:pt idx="27">
                  <c:v>-0.22077940305057386</c:v>
                </c:pt>
                <c:pt idx="28">
                  <c:v>-4.2633123989413657E-2</c:v>
                </c:pt>
                <c:pt idx="29">
                  <c:v>-8.7803910612565095E-2</c:v>
                </c:pt>
                <c:pt idx="30">
                  <c:v>-0.13600575691807848</c:v>
                </c:pt>
                <c:pt idx="31">
                  <c:v>-4.4538177440445748E-2</c:v>
                </c:pt>
                <c:pt idx="32">
                  <c:v>-0.1344865579262059</c:v>
                </c:pt>
                <c:pt idx="33">
                  <c:v>-0.10704991222248561</c:v>
                </c:pt>
                <c:pt idx="34">
                  <c:v>-0.19749554142648007</c:v>
                </c:pt>
                <c:pt idx="35">
                  <c:v>-0.22986934715218399</c:v>
                </c:pt>
                <c:pt idx="36">
                  <c:v>-0.29462878927702352</c:v>
                </c:pt>
                <c:pt idx="37">
                  <c:v>-0.3730186737804545</c:v>
                </c:pt>
                <c:pt idx="38">
                  <c:v>-0.4198650716424811</c:v>
                </c:pt>
                <c:pt idx="39">
                  <c:v>-0.38358554845993009</c:v>
                </c:pt>
                <c:pt idx="40">
                  <c:v>-0.43254495510345425</c:v>
                </c:pt>
                <c:pt idx="41">
                  <c:v>-0.574710987235871</c:v>
                </c:pt>
                <c:pt idx="42">
                  <c:v>-0.60992935704159956</c:v>
                </c:pt>
                <c:pt idx="43">
                  <c:v>-0.6001244002170254</c:v>
                </c:pt>
                <c:pt idx="44">
                  <c:v>-0.61352041351788533</c:v>
                </c:pt>
                <c:pt idx="45">
                  <c:v>-0.59040384173000948</c:v>
                </c:pt>
                <c:pt idx="46">
                  <c:v>-0.57805476773663189</c:v>
                </c:pt>
                <c:pt idx="47">
                  <c:v>-0.65137340590007575</c:v>
                </c:pt>
                <c:pt idx="48">
                  <c:v>-0.67638157171240598</c:v>
                </c:pt>
                <c:pt idx="49">
                  <c:v>-0.62625185443630493</c:v>
                </c:pt>
                <c:pt idx="50">
                  <c:v>-0.60764866507358706</c:v>
                </c:pt>
                <c:pt idx="51">
                  <c:v>-0.72611128186827989</c:v>
                </c:pt>
                <c:pt idx="52">
                  <c:v>-0.69027652060150446</c:v>
                </c:pt>
                <c:pt idx="53">
                  <c:v>-0.68340865596509448</c:v>
                </c:pt>
                <c:pt idx="54">
                  <c:v>-0.690442107325279</c:v>
                </c:pt>
                <c:pt idx="55">
                  <c:v>-0.69466411087910473</c:v>
                </c:pt>
                <c:pt idx="56">
                  <c:v>-0.68207466358557967</c:v>
                </c:pt>
                <c:pt idx="57">
                  <c:v>-0.72267595751041491</c:v>
                </c:pt>
                <c:pt idx="58">
                  <c:v>-0.69846056035705573</c:v>
                </c:pt>
                <c:pt idx="59">
                  <c:v>-0.6953746131348133</c:v>
                </c:pt>
                <c:pt idx="60">
                  <c:v>-0.70172750104512227</c:v>
                </c:pt>
                <c:pt idx="61">
                  <c:v>-0.6963991611237923</c:v>
                </c:pt>
                <c:pt idx="62">
                  <c:v>-0.75462890319662135</c:v>
                </c:pt>
                <c:pt idx="63">
                  <c:v>-0.75086796494541663</c:v>
                </c:pt>
                <c:pt idx="64">
                  <c:v>-0.7382906763819882</c:v>
                </c:pt>
                <c:pt idx="65">
                  <c:v>-0.7578758375956629</c:v>
                </c:pt>
                <c:pt idx="66">
                  <c:v>-0.76461417661786046</c:v>
                </c:pt>
                <c:pt idx="67">
                  <c:v>-0.76951340521967571</c:v>
                </c:pt>
                <c:pt idx="68">
                  <c:v>-0.79188157370231438</c:v>
                </c:pt>
                <c:pt idx="69">
                  <c:v>-0.81034674232995907</c:v>
                </c:pt>
                <c:pt idx="70">
                  <c:v>-0.83013724942108547</c:v>
                </c:pt>
                <c:pt idx="71">
                  <c:v>-0.83002162950885805</c:v>
                </c:pt>
                <c:pt idx="72">
                  <c:v>-0.7573192741147825</c:v>
                </c:pt>
                <c:pt idx="73">
                  <c:v>-0.76621047602989056</c:v>
                </c:pt>
                <c:pt idx="74">
                  <c:v>-0.75864730699961624</c:v>
                </c:pt>
                <c:pt idx="75">
                  <c:v>-0.69115785345591885</c:v>
                </c:pt>
                <c:pt idx="76">
                  <c:v>-0.64665977403446551</c:v>
                </c:pt>
                <c:pt idx="77">
                  <c:v>-0.66913372100599189</c:v>
                </c:pt>
                <c:pt idx="78">
                  <c:v>-0.67655553661206369</c:v>
                </c:pt>
                <c:pt idx="79">
                  <c:v>-0.77869013179949198</c:v>
                </c:pt>
                <c:pt idx="80">
                  <c:v>-0.80833291356188686</c:v>
                </c:pt>
                <c:pt idx="81">
                  <c:v>-0.83815068997712172</c:v>
                </c:pt>
                <c:pt idx="82">
                  <c:v>-0.87166730817971405</c:v>
                </c:pt>
                <c:pt idx="83">
                  <c:v>-0.8913800161898362</c:v>
                </c:pt>
                <c:pt idx="84">
                  <c:v>-0.89839874874735526</c:v>
                </c:pt>
                <c:pt idx="85">
                  <c:v>-0.91123356331499961</c:v>
                </c:pt>
                <c:pt idx="86">
                  <c:v>-0.90138727589925682</c:v>
                </c:pt>
                <c:pt idx="87">
                  <c:v>-0.89201936176218399</c:v>
                </c:pt>
                <c:pt idx="88">
                  <c:v>-0.92661981402897819</c:v>
                </c:pt>
                <c:pt idx="89">
                  <c:v>-0.92599265032330813</c:v>
                </c:pt>
                <c:pt idx="90">
                  <c:v>-0.87789109470296511</c:v>
                </c:pt>
                <c:pt idx="91">
                  <c:v>-0.90956718961918237</c:v>
                </c:pt>
                <c:pt idx="92">
                  <c:v>-0.90845181129214569</c:v>
                </c:pt>
                <c:pt idx="93">
                  <c:v>-0.92326892420389128</c:v>
                </c:pt>
                <c:pt idx="94">
                  <c:v>-0.92210244430784261</c:v>
                </c:pt>
                <c:pt idx="95">
                  <c:v>-0.9266386153832652</c:v>
                </c:pt>
                <c:pt idx="96">
                  <c:v>-0.91781825051873855</c:v>
                </c:pt>
                <c:pt idx="97">
                  <c:v>-0.92704181194160096</c:v>
                </c:pt>
                <c:pt idx="98">
                  <c:v>-0.92970122933673571</c:v>
                </c:pt>
                <c:pt idx="99">
                  <c:v>-0.92996482113395273</c:v>
                </c:pt>
                <c:pt idx="100">
                  <c:v>-0.92940532229197526</c:v>
                </c:pt>
                <c:pt idx="101">
                  <c:v>-0.94796610916509627</c:v>
                </c:pt>
                <c:pt idx="102">
                  <c:v>-0.9477584026793644</c:v>
                </c:pt>
                <c:pt idx="103">
                  <c:v>-0.9447083550254638</c:v>
                </c:pt>
                <c:pt idx="104">
                  <c:v>-0.94356244760180363</c:v>
                </c:pt>
                <c:pt idx="105">
                  <c:v>-0.95190922876514039</c:v>
                </c:pt>
                <c:pt idx="106">
                  <c:v>-0.95164512588835326</c:v>
                </c:pt>
                <c:pt idx="107">
                  <c:v>-0.9524686952376038</c:v>
                </c:pt>
                <c:pt idx="108">
                  <c:v>-0.95398898606811977</c:v>
                </c:pt>
                <c:pt idx="109">
                  <c:v>-0.95463062558565392</c:v>
                </c:pt>
                <c:pt idx="110">
                  <c:v>-0.95751434835933291</c:v>
                </c:pt>
                <c:pt idx="111">
                  <c:v>-0.95537961405917304</c:v>
                </c:pt>
                <c:pt idx="112">
                  <c:v>-0.96337267412534777</c:v>
                </c:pt>
                <c:pt idx="113">
                  <c:v>-0.96794895257234093</c:v>
                </c:pt>
                <c:pt idx="114">
                  <c:v>-0.96591479916047462</c:v>
                </c:pt>
                <c:pt idx="115">
                  <c:v>-0.96750873659423287</c:v>
                </c:pt>
                <c:pt idx="116">
                  <c:v>-0.97151937696349899</c:v>
                </c:pt>
                <c:pt idx="117">
                  <c:v>-0.97181065563910474</c:v>
                </c:pt>
                <c:pt idx="118">
                  <c:v>-0.967148020629651</c:v>
                </c:pt>
                <c:pt idx="119">
                  <c:v>-0.9628893951170161</c:v>
                </c:pt>
                <c:pt idx="120">
                  <c:v>-0.95557671622508755</c:v>
                </c:pt>
                <c:pt idx="121">
                  <c:v>-0.95298430625416908</c:v>
                </c:pt>
                <c:pt idx="122">
                  <c:v>-0.95028112056678748</c:v>
                </c:pt>
                <c:pt idx="123">
                  <c:v>-0.95653103815676654</c:v>
                </c:pt>
                <c:pt idx="124">
                  <c:v>-0.95993855806548767</c:v>
                </c:pt>
                <c:pt idx="125">
                  <c:v>-0.9510271864233748</c:v>
                </c:pt>
                <c:pt idx="126">
                  <c:v>-0.95062819919968522</c:v>
                </c:pt>
                <c:pt idx="127">
                  <c:v>-0.94550597455100627</c:v>
                </c:pt>
                <c:pt idx="128">
                  <c:v>-0.94736919298502265</c:v>
                </c:pt>
                <c:pt idx="129">
                  <c:v>-0.94053950629734873</c:v>
                </c:pt>
                <c:pt idx="130">
                  <c:v>-0.9388491151136461</c:v>
                </c:pt>
                <c:pt idx="131">
                  <c:v>-0.92761679910123362</c:v>
                </c:pt>
                <c:pt idx="132">
                  <c:v>-0.9302153094852933</c:v>
                </c:pt>
                <c:pt idx="133">
                  <c:v>-0.92778748290928093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17-474A-9DF0-3081A39BB3B7}"/>
            </c:ext>
          </c:extLst>
        </c:ser>
        <c:ser>
          <c:idx val="11"/>
          <c:order val="11"/>
          <c:tx>
            <c:strRef>
              <c:f>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0.60898880696599988</c:v>
                </c:pt>
                <c:pt idx="2">
                  <c:v>0.82299236323651281</c:v>
                </c:pt>
                <c:pt idx="3">
                  <c:v>0.81617072581328176</c:v>
                </c:pt>
                <c:pt idx="4">
                  <c:v>1.4729561777305902</c:v>
                </c:pt>
                <c:pt idx="5">
                  <c:v>1.4279768142919371</c:v>
                </c:pt>
                <c:pt idx="6">
                  <c:v>1.3396336639155177</c:v>
                </c:pt>
                <c:pt idx="7">
                  <c:v>1.0708670769563908</c:v>
                </c:pt>
                <c:pt idx="8">
                  <c:v>0.94678382800577943</c:v>
                </c:pt>
                <c:pt idx="9">
                  <c:v>1.0456239897374608</c:v>
                </c:pt>
                <c:pt idx="10">
                  <c:v>0.51693264068858169</c:v>
                </c:pt>
                <c:pt idx="11">
                  <c:v>0.32458556107892944</c:v>
                </c:pt>
                <c:pt idx="12">
                  <c:v>0.29887838696137825</c:v>
                </c:pt>
                <c:pt idx="13">
                  <c:v>0.36990300547800703</c:v>
                </c:pt>
                <c:pt idx="14">
                  <c:v>0.76878793785557931</c:v>
                </c:pt>
                <c:pt idx="15">
                  <c:v>0.87990319611166701</c:v>
                </c:pt>
                <c:pt idx="16">
                  <c:v>0.74347768121824531</c:v>
                </c:pt>
                <c:pt idx="17">
                  <c:v>0.59584522160572795</c:v>
                </c:pt>
                <c:pt idx="18">
                  <c:v>0.25595927708517241</c:v>
                </c:pt>
                <c:pt idx="19">
                  <c:v>0.33553310279271753</c:v>
                </c:pt>
                <c:pt idx="20">
                  <c:v>-0.33746784514243156</c:v>
                </c:pt>
                <c:pt idx="21">
                  <c:v>-0.20856823922196255</c:v>
                </c:pt>
                <c:pt idx="22">
                  <c:v>-0.22017047175989501</c:v>
                </c:pt>
                <c:pt idx="23">
                  <c:v>-0.24593020269507626</c:v>
                </c:pt>
                <c:pt idx="24">
                  <c:v>-0.13157400979419009</c:v>
                </c:pt>
                <c:pt idx="25">
                  <c:v>-0.18718781904624793</c:v>
                </c:pt>
                <c:pt idx="26">
                  <c:v>-0.24924305266321201</c:v>
                </c:pt>
                <c:pt idx="27">
                  <c:v>-0.19546858479632001</c:v>
                </c:pt>
                <c:pt idx="28">
                  <c:v>7.1912803874718767E-2</c:v>
                </c:pt>
                <c:pt idx="29">
                  <c:v>1.9512702514234981E-4</c:v>
                </c:pt>
                <c:pt idx="30">
                  <c:v>-9.169645765472334E-2</c:v>
                </c:pt>
                <c:pt idx="31">
                  <c:v>-1.5243109267501165E-2</c:v>
                </c:pt>
                <c:pt idx="32">
                  <c:v>-3.8117304883761971E-2</c:v>
                </c:pt>
                <c:pt idx="33">
                  <c:v>-4.3545341526056935E-2</c:v>
                </c:pt>
                <c:pt idx="34">
                  <c:v>-0.15268743408026064</c:v>
                </c:pt>
                <c:pt idx="35">
                  <c:v>-0.26405117622865515</c:v>
                </c:pt>
                <c:pt idx="36">
                  <c:v>-0.26976912252309015</c:v>
                </c:pt>
                <c:pt idx="37">
                  <c:v>-0.44671479806032544</c:v>
                </c:pt>
                <c:pt idx="38">
                  <c:v>-0.44376194138935088</c:v>
                </c:pt>
                <c:pt idx="39">
                  <c:v>-0.44549801563380831</c:v>
                </c:pt>
                <c:pt idx="40">
                  <c:v>-0.49508435129369377</c:v>
                </c:pt>
                <c:pt idx="41">
                  <c:v>-0.66511168863971104</c:v>
                </c:pt>
                <c:pt idx="42">
                  <c:v>-0.66018652375290432</c:v>
                </c:pt>
                <c:pt idx="43">
                  <c:v>-0.64610882559041038</c:v>
                </c:pt>
                <c:pt idx="44">
                  <c:v>-0.65783873475845045</c:v>
                </c:pt>
                <c:pt idx="45">
                  <c:v>-0.64838174153387318</c:v>
                </c:pt>
                <c:pt idx="46">
                  <c:v>-0.63008813010311981</c:v>
                </c:pt>
                <c:pt idx="47">
                  <c:v>-0.65592209217542763</c:v>
                </c:pt>
                <c:pt idx="48">
                  <c:v>-0.71449584414370348</c:v>
                </c:pt>
                <c:pt idx="49">
                  <c:v>-0.69629392142482849</c:v>
                </c:pt>
                <c:pt idx="50">
                  <c:v>-0.67989440059392636</c:v>
                </c:pt>
                <c:pt idx="51">
                  <c:v>-0.66355317488580146</c:v>
                </c:pt>
                <c:pt idx="52">
                  <c:v>-0.56234046554686046</c:v>
                </c:pt>
                <c:pt idx="53">
                  <c:v>-0.60384410492872886</c:v>
                </c:pt>
                <c:pt idx="54">
                  <c:v>-0.57554638731560459</c:v>
                </c:pt>
                <c:pt idx="55">
                  <c:v>-0.56584889961447904</c:v>
                </c:pt>
                <c:pt idx="56">
                  <c:v>-0.5824867973083856</c:v>
                </c:pt>
                <c:pt idx="57">
                  <c:v>-0.60894260310562554</c:v>
                </c:pt>
                <c:pt idx="58">
                  <c:v>-0.55489082363887277</c:v>
                </c:pt>
                <c:pt idx="59">
                  <c:v>-0.58071615310202529</c:v>
                </c:pt>
                <c:pt idx="60">
                  <c:v>-0.58281670793206197</c:v>
                </c:pt>
                <c:pt idx="61">
                  <c:v>-0.60510764559383601</c:v>
                </c:pt>
                <c:pt idx="62">
                  <c:v>-0.67981365240739033</c:v>
                </c:pt>
                <c:pt idx="63">
                  <c:v>-0.67758926317602386</c:v>
                </c:pt>
                <c:pt idx="64">
                  <c:v>-0.68936529655680423</c:v>
                </c:pt>
                <c:pt idx="65">
                  <c:v>-0.71989025033428566</c:v>
                </c:pt>
                <c:pt idx="66">
                  <c:v>-0.74007156996925816</c:v>
                </c:pt>
                <c:pt idx="67">
                  <c:v>-0.74470981643234979</c:v>
                </c:pt>
                <c:pt idx="68">
                  <c:v>-0.80101843045131937</c:v>
                </c:pt>
                <c:pt idx="69">
                  <c:v>-0.84443332369408308</c:v>
                </c:pt>
                <c:pt idx="70">
                  <c:v>-0.86087462122948832</c:v>
                </c:pt>
                <c:pt idx="71">
                  <c:v>-0.86324260473885184</c:v>
                </c:pt>
                <c:pt idx="72">
                  <c:v>-0.78105168370169231</c:v>
                </c:pt>
                <c:pt idx="73">
                  <c:v>-0.77925343496585375</c:v>
                </c:pt>
                <c:pt idx="74">
                  <c:v>-0.77043770014465007</c:v>
                </c:pt>
                <c:pt idx="75">
                  <c:v>-0.68954017523792466</c:v>
                </c:pt>
                <c:pt idx="76">
                  <c:v>-0.62546887367273896</c:v>
                </c:pt>
                <c:pt idx="77">
                  <c:v>-0.60986403864689398</c:v>
                </c:pt>
                <c:pt idx="78">
                  <c:v>-0.64246220354623274</c:v>
                </c:pt>
                <c:pt idx="79">
                  <c:v>-0.871553322956794</c:v>
                </c:pt>
                <c:pt idx="80">
                  <c:v>-0.897832321287655</c:v>
                </c:pt>
                <c:pt idx="81">
                  <c:v>-0.91657298967769973</c:v>
                </c:pt>
                <c:pt idx="82">
                  <c:v>-0.93464638707112713</c:v>
                </c:pt>
                <c:pt idx="83">
                  <c:v>-0.94524168304007739</c:v>
                </c:pt>
                <c:pt idx="84">
                  <c:v>-0.95264622294433599</c:v>
                </c:pt>
                <c:pt idx="85">
                  <c:v>-0.96005784180897669</c:v>
                </c:pt>
                <c:pt idx="86">
                  <c:v>-0.95718774249113014</c:v>
                </c:pt>
                <c:pt idx="87">
                  <c:v>-0.95016441480057157</c:v>
                </c:pt>
                <c:pt idx="88">
                  <c:v>-0.96943747750644005</c:v>
                </c:pt>
                <c:pt idx="89">
                  <c:v>-0.96781750555023771</c:v>
                </c:pt>
                <c:pt idx="90">
                  <c:v>-0.93856608689933407</c:v>
                </c:pt>
                <c:pt idx="91">
                  <c:v>-0.95769419573775361</c:v>
                </c:pt>
                <c:pt idx="92">
                  <c:v>-0.95730567004055034</c:v>
                </c:pt>
                <c:pt idx="93">
                  <c:v>-0.95780083050369247</c:v>
                </c:pt>
                <c:pt idx="94">
                  <c:v>-0.95624054916948587</c:v>
                </c:pt>
                <c:pt idx="95">
                  <c:v>-0.95823871691829576</c:v>
                </c:pt>
                <c:pt idx="96">
                  <c:v>-0.95735936646397624</c:v>
                </c:pt>
                <c:pt idx="97">
                  <c:v>-0.95641081970835762</c:v>
                </c:pt>
                <c:pt idx="98">
                  <c:v>-0.96080902605196006</c:v>
                </c:pt>
                <c:pt idx="99">
                  <c:v>-0.95733212064757467</c:v>
                </c:pt>
                <c:pt idx="100">
                  <c:v>-0.95827279936189935</c:v>
                </c:pt>
                <c:pt idx="101">
                  <c:v>-0.96586709954907735</c:v>
                </c:pt>
                <c:pt idx="102">
                  <c:v>-0.96480958937752148</c:v>
                </c:pt>
                <c:pt idx="103">
                  <c:v>-0.96424812085582579</c:v>
                </c:pt>
                <c:pt idx="104">
                  <c:v>-0.96850940470895064</c:v>
                </c:pt>
                <c:pt idx="105">
                  <c:v>-0.97522984553901149</c:v>
                </c:pt>
                <c:pt idx="106">
                  <c:v>-0.97499712434099339</c:v>
                </c:pt>
                <c:pt idx="107">
                  <c:v>-0.9765458556415515</c:v>
                </c:pt>
                <c:pt idx="108">
                  <c:v>-0.97744344602466071</c:v>
                </c:pt>
                <c:pt idx="109">
                  <c:v>-0.97869338243983994</c:v>
                </c:pt>
                <c:pt idx="110">
                  <c:v>-0.97983285175860113</c:v>
                </c:pt>
                <c:pt idx="111">
                  <c:v>-0.97807714000218848</c:v>
                </c:pt>
                <c:pt idx="112">
                  <c:v>-0.98416803871154968</c:v>
                </c:pt>
                <c:pt idx="113">
                  <c:v>-0.98758934232058437</c:v>
                </c:pt>
                <c:pt idx="114">
                  <c:v>-0.98734736794355893</c:v>
                </c:pt>
                <c:pt idx="115">
                  <c:v>-0.98742957457450187</c:v>
                </c:pt>
                <c:pt idx="116">
                  <c:v>-0.98949227207106072</c:v>
                </c:pt>
                <c:pt idx="117">
                  <c:v>-0.98998706240846168</c:v>
                </c:pt>
                <c:pt idx="118">
                  <c:v>-0.98752441938259383</c:v>
                </c:pt>
                <c:pt idx="119">
                  <c:v>-0.9859784784362684</c:v>
                </c:pt>
                <c:pt idx="120">
                  <c:v>-0.98193892607056077</c:v>
                </c:pt>
                <c:pt idx="121">
                  <c:v>-0.97970016162047402</c:v>
                </c:pt>
                <c:pt idx="122">
                  <c:v>-0.98039618593963929</c:v>
                </c:pt>
                <c:pt idx="123">
                  <c:v>-0.9858121631794865</c:v>
                </c:pt>
                <c:pt idx="124">
                  <c:v>-0.98781588629782136</c:v>
                </c:pt>
                <c:pt idx="125">
                  <c:v>-0.98399624942643937</c:v>
                </c:pt>
                <c:pt idx="126">
                  <c:v>-0.98671491582041759</c:v>
                </c:pt>
                <c:pt idx="127">
                  <c:v>-0.98534823910815661</c:v>
                </c:pt>
                <c:pt idx="128">
                  <c:v>-0.98671615797290124</c:v>
                </c:pt>
                <c:pt idx="129">
                  <c:v>-0.98347111916473917</c:v>
                </c:pt>
                <c:pt idx="130">
                  <c:v>-0.98143467934430995</c:v>
                </c:pt>
                <c:pt idx="131">
                  <c:v>-0.97782700536768552</c:v>
                </c:pt>
                <c:pt idx="132">
                  <c:v>-0.97936903865402702</c:v>
                </c:pt>
                <c:pt idx="133">
                  <c:v>-0.97838324431137991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17-474A-9DF0-3081A39BB3B7}"/>
            </c:ext>
          </c:extLst>
        </c:ser>
        <c:ser>
          <c:idx val="12"/>
          <c:order val="12"/>
          <c:tx>
            <c:strRef>
              <c:f>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0.20969475893</c:v>
                </c:pt>
                <c:pt idx="2">
                  <c:v>0.55386743418269191</c:v>
                </c:pt>
                <c:pt idx="3">
                  <c:v>0.6709140525299373</c:v>
                </c:pt>
                <c:pt idx="4">
                  <c:v>1.0545676153891788</c:v>
                </c:pt>
                <c:pt idx="5">
                  <c:v>1.1282361918065735</c:v>
                </c:pt>
                <c:pt idx="6">
                  <c:v>1.1642672305338584</c:v>
                </c:pt>
                <c:pt idx="7">
                  <c:v>0.91437877182918847</c:v>
                </c:pt>
                <c:pt idx="8">
                  <c:v>1.0172440863758863</c:v>
                </c:pt>
                <c:pt idx="9">
                  <c:v>1.2064615816779445</c:v>
                </c:pt>
                <c:pt idx="10">
                  <c:v>0.8825103509488248</c:v>
                </c:pt>
                <c:pt idx="11">
                  <c:v>0.68448586654163046</c:v>
                </c:pt>
                <c:pt idx="12">
                  <c:v>0.74622023656823355</c:v>
                </c:pt>
                <c:pt idx="13">
                  <c:v>0.74925167489891598</c:v>
                </c:pt>
                <c:pt idx="14">
                  <c:v>0.74428380014220319</c:v>
                </c:pt>
                <c:pt idx="15">
                  <c:v>0.69574561483564601</c:v>
                </c:pt>
                <c:pt idx="16">
                  <c:v>0.67700762579171214</c:v>
                </c:pt>
                <c:pt idx="17">
                  <c:v>0.19433129093634172</c:v>
                </c:pt>
                <c:pt idx="18">
                  <c:v>-0.27499538428372805</c:v>
                </c:pt>
                <c:pt idx="19">
                  <c:v>-0.19050311674697495</c:v>
                </c:pt>
                <c:pt idx="20">
                  <c:v>-0.7109558042921259</c:v>
                </c:pt>
                <c:pt idx="21">
                  <c:v>-0.71121565502406725</c:v>
                </c:pt>
                <c:pt idx="22">
                  <c:v>-0.71395246857191974</c:v>
                </c:pt>
                <c:pt idx="23">
                  <c:v>-0.74422840501062548</c:v>
                </c:pt>
                <c:pt idx="24">
                  <c:v>-0.72009328576423814</c:v>
                </c:pt>
                <c:pt idx="25">
                  <c:v>-0.77477015770731916</c:v>
                </c:pt>
                <c:pt idx="26">
                  <c:v>-0.80300956109608601</c:v>
                </c:pt>
                <c:pt idx="27">
                  <c:v>-0.78307925043042137</c:v>
                </c:pt>
                <c:pt idx="28">
                  <c:v>-0.66566913305905617</c:v>
                </c:pt>
                <c:pt idx="29">
                  <c:v>-0.67319893619924032</c:v>
                </c:pt>
                <c:pt idx="30">
                  <c:v>-0.71853791630678732</c:v>
                </c:pt>
                <c:pt idx="31">
                  <c:v>-0.70257975920220295</c:v>
                </c:pt>
                <c:pt idx="32">
                  <c:v>-0.69995998324588193</c:v>
                </c:pt>
                <c:pt idx="33">
                  <c:v>-0.67568937304104781</c:v>
                </c:pt>
                <c:pt idx="34">
                  <c:v>-0.70321814107934766</c:v>
                </c:pt>
                <c:pt idx="35">
                  <c:v>-0.68699101852435218</c:v>
                </c:pt>
                <c:pt idx="36">
                  <c:v>-0.68106911351666199</c:v>
                </c:pt>
                <c:pt idx="37">
                  <c:v>-0.75161326571626985</c:v>
                </c:pt>
                <c:pt idx="38">
                  <c:v>-0.76802917276191918</c:v>
                </c:pt>
                <c:pt idx="39">
                  <c:v>-0.76272824141610429</c:v>
                </c:pt>
                <c:pt idx="40">
                  <c:v>-0.77389827754929197</c:v>
                </c:pt>
                <c:pt idx="41">
                  <c:v>-0.77607773007141634</c:v>
                </c:pt>
                <c:pt idx="42">
                  <c:v>-0.76981774179158258</c:v>
                </c:pt>
                <c:pt idx="43">
                  <c:v>-0.77682891095365159</c:v>
                </c:pt>
                <c:pt idx="44">
                  <c:v>-0.78666971150982068</c:v>
                </c:pt>
                <c:pt idx="45">
                  <c:v>-0.7680775604073079</c:v>
                </c:pt>
                <c:pt idx="46">
                  <c:v>-0.76923428320211795</c:v>
                </c:pt>
                <c:pt idx="47">
                  <c:v>-0.77576638064001036</c:v>
                </c:pt>
                <c:pt idx="48">
                  <c:v>-0.81346617226101969</c:v>
                </c:pt>
                <c:pt idx="49">
                  <c:v>-0.82052966244483894</c:v>
                </c:pt>
                <c:pt idx="50">
                  <c:v>-0.81146802563134135</c:v>
                </c:pt>
                <c:pt idx="51">
                  <c:v>-0.79522429295562369</c:v>
                </c:pt>
                <c:pt idx="52">
                  <c:v>-0.63074516597509622</c:v>
                </c:pt>
                <c:pt idx="53">
                  <c:v>-0.69927709785375436</c:v>
                </c:pt>
                <c:pt idx="54">
                  <c:v>-0.68542449162385322</c:v>
                </c:pt>
                <c:pt idx="55">
                  <c:v>-0.7129974552229178</c:v>
                </c:pt>
                <c:pt idx="56">
                  <c:v>-0.68688475033630625</c:v>
                </c:pt>
                <c:pt idx="57">
                  <c:v>-0.73312359558882623</c:v>
                </c:pt>
                <c:pt idx="58">
                  <c:v>-0.74063660195483805</c:v>
                </c:pt>
                <c:pt idx="59">
                  <c:v>-0.72492767306349948</c:v>
                </c:pt>
                <c:pt idx="60">
                  <c:v>-0.72768382267064857</c:v>
                </c:pt>
                <c:pt idx="61">
                  <c:v>-0.73609812023394827</c:v>
                </c:pt>
                <c:pt idx="62">
                  <c:v>-0.73912587154571097</c:v>
                </c:pt>
                <c:pt idx="63">
                  <c:v>-0.74091268763016072</c:v>
                </c:pt>
                <c:pt idx="64">
                  <c:v>-0.69917121076745581</c:v>
                </c:pt>
                <c:pt idx="65">
                  <c:v>-0.73627879723699396</c:v>
                </c:pt>
                <c:pt idx="66">
                  <c:v>-0.71935590435431496</c:v>
                </c:pt>
                <c:pt idx="67">
                  <c:v>-0.73124292833826932</c:v>
                </c:pt>
                <c:pt idx="68">
                  <c:v>-0.76392944196843082</c:v>
                </c:pt>
                <c:pt idx="69">
                  <c:v>-0.82925441464581051</c:v>
                </c:pt>
                <c:pt idx="70">
                  <c:v>-0.83074826777207433</c:v>
                </c:pt>
                <c:pt idx="71">
                  <c:v>-0.86515832969613715</c:v>
                </c:pt>
                <c:pt idx="72">
                  <c:v>-0.71561689470409884</c:v>
                </c:pt>
                <c:pt idx="73">
                  <c:v>-0.6778053011808427</c:v>
                </c:pt>
                <c:pt idx="74">
                  <c:v>-0.77135131003599688</c:v>
                </c:pt>
                <c:pt idx="75">
                  <c:v>-0.58524087965027682</c:v>
                </c:pt>
                <c:pt idx="76">
                  <c:v>-0.54375335435993466</c:v>
                </c:pt>
                <c:pt idx="77">
                  <c:v>-0.57301112094456053</c:v>
                </c:pt>
                <c:pt idx="78">
                  <c:v>-0.66687659571097213</c:v>
                </c:pt>
                <c:pt idx="79">
                  <c:v>-0.89717545458130266</c:v>
                </c:pt>
                <c:pt idx="80">
                  <c:v>-0.91561228464922961</c:v>
                </c:pt>
                <c:pt idx="81">
                  <c:v>-0.92954722808510226</c:v>
                </c:pt>
                <c:pt idx="82">
                  <c:v>-0.96618048305473347</c:v>
                </c:pt>
                <c:pt idx="83">
                  <c:v>-0.97338312311504527</c:v>
                </c:pt>
                <c:pt idx="84">
                  <c:v>-0.98119782868353556</c:v>
                </c:pt>
                <c:pt idx="85">
                  <c:v>-0.98684199408377682</c:v>
                </c:pt>
                <c:pt idx="86">
                  <c:v>-0.98259117835929521</c:v>
                </c:pt>
                <c:pt idx="87">
                  <c:v>-0.98231814278963148</c:v>
                </c:pt>
                <c:pt idx="88">
                  <c:v>-0.99203586359258733</c:v>
                </c:pt>
                <c:pt idx="89">
                  <c:v>-0.99117781736015576</c:v>
                </c:pt>
                <c:pt idx="90">
                  <c:v>-0.98432604082017072</c:v>
                </c:pt>
                <c:pt idx="91">
                  <c:v>-0.98683926934116073</c:v>
                </c:pt>
                <c:pt idx="92">
                  <c:v>-0.98834863634639902</c:v>
                </c:pt>
                <c:pt idx="93">
                  <c:v>-0.98906035801044945</c:v>
                </c:pt>
                <c:pt idx="94">
                  <c:v>-0.98812069491559029</c:v>
                </c:pt>
                <c:pt idx="95">
                  <c:v>-0.98926608572930941</c:v>
                </c:pt>
                <c:pt idx="96">
                  <c:v>-0.98848517900048505</c:v>
                </c:pt>
                <c:pt idx="97">
                  <c:v>-0.98865863881142924</c:v>
                </c:pt>
                <c:pt idx="98">
                  <c:v>-0.99064470584217079</c:v>
                </c:pt>
                <c:pt idx="99">
                  <c:v>-0.99116118537894382</c:v>
                </c:pt>
                <c:pt idx="100">
                  <c:v>-0.99045348885157714</c:v>
                </c:pt>
                <c:pt idx="101">
                  <c:v>-0.99152467068095018</c:v>
                </c:pt>
                <c:pt idx="102">
                  <c:v>-0.99173241120823596</c:v>
                </c:pt>
                <c:pt idx="103">
                  <c:v>-0.99011642274293965</c:v>
                </c:pt>
                <c:pt idx="104">
                  <c:v>-0.99200592311849523</c:v>
                </c:pt>
                <c:pt idx="105">
                  <c:v>-0.99323206566831501</c:v>
                </c:pt>
                <c:pt idx="106">
                  <c:v>-0.99204048448723514</c:v>
                </c:pt>
                <c:pt idx="107">
                  <c:v>-0.99120740198695623</c:v>
                </c:pt>
                <c:pt idx="108">
                  <c:v>-0.99172709582663732</c:v>
                </c:pt>
                <c:pt idx="109">
                  <c:v>-0.99173409904738341</c:v>
                </c:pt>
                <c:pt idx="110">
                  <c:v>-0.99290682753857418</c:v>
                </c:pt>
                <c:pt idx="111">
                  <c:v>-0.99196706297505743</c:v>
                </c:pt>
                <c:pt idx="112">
                  <c:v>-0.99469431908343975</c:v>
                </c:pt>
                <c:pt idx="113">
                  <c:v>-0.99582498317121926</c:v>
                </c:pt>
                <c:pt idx="114">
                  <c:v>-0.99523447076479232</c:v>
                </c:pt>
                <c:pt idx="115">
                  <c:v>-0.99634643348340379</c:v>
                </c:pt>
                <c:pt idx="116">
                  <c:v>-0.99702395379071329</c:v>
                </c:pt>
                <c:pt idx="117">
                  <c:v>-0.9973643343900741</c:v>
                </c:pt>
                <c:pt idx="118">
                  <c:v>-0.99641794250762661</c:v>
                </c:pt>
                <c:pt idx="119">
                  <c:v>-0.99517398646630961</c:v>
                </c:pt>
                <c:pt idx="120">
                  <c:v>-0.99413030534246838</c:v>
                </c:pt>
                <c:pt idx="121">
                  <c:v>-0.99390512703186196</c:v>
                </c:pt>
                <c:pt idx="122">
                  <c:v>-0.9936147758940469</c:v>
                </c:pt>
                <c:pt idx="123">
                  <c:v>-0.99462507605398454</c:v>
                </c:pt>
                <c:pt idx="124">
                  <c:v>-0.99521017463313499</c:v>
                </c:pt>
                <c:pt idx="125">
                  <c:v>-0.9937176979654937</c:v>
                </c:pt>
                <c:pt idx="126">
                  <c:v>-0.995877580335918</c:v>
                </c:pt>
                <c:pt idx="127">
                  <c:v>-0.99566952518594931</c:v>
                </c:pt>
                <c:pt idx="128">
                  <c:v>-0.99576986879110008</c:v>
                </c:pt>
                <c:pt idx="129">
                  <c:v>-0.99327536922857895</c:v>
                </c:pt>
                <c:pt idx="130">
                  <c:v>-0.99154948346134852</c:v>
                </c:pt>
                <c:pt idx="131">
                  <c:v>-0.99083507601092968</c:v>
                </c:pt>
                <c:pt idx="132">
                  <c:v>-0.99050821831876978</c:v>
                </c:pt>
                <c:pt idx="133">
                  <c:v>-0.99114679384950977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17-474A-9DF0-3081A39BB3B7}"/>
            </c:ext>
          </c:extLst>
        </c:ser>
        <c:ser>
          <c:idx val="13"/>
          <c:order val="13"/>
          <c:tx>
            <c:strRef>
              <c:f>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317-474A-9DF0-3081A39BB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814144"/>
        <c:axId val="576364432"/>
      </c:lineChart>
      <c:catAx>
        <c:axId val="17408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364432"/>
        <c:crosses val="autoZero"/>
        <c:auto val="1"/>
        <c:lblAlgn val="ctr"/>
        <c:lblOffset val="100"/>
        <c:noMultiLvlLbl val="0"/>
      </c:catAx>
      <c:valAx>
        <c:axId val="5763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814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609600</xdr:colOff>
      <xdr:row>29</xdr:row>
      <xdr:rowOff>48114</xdr:rowOff>
    </xdr:from>
    <xdr:to>
      <xdr:col>130</xdr:col>
      <xdr:colOff>584200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zoomScale="158" zoomScaleNormal="80" workbookViewId="0">
      <selection activeCell="C3" sqref="C3:EF5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AH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bm</v>
      </c>
      <c r="AL7" s="12" t="str">
        <f t="shared" si="1"/>
        <v>bm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bm</v>
      </c>
      <c r="AR7" s="12" t="str">
        <f t="shared" si="1"/>
        <v>bm</v>
      </c>
      <c r="AS7" s="12" t="str">
        <f t="shared" si="1"/>
        <v>bm</v>
      </c>
      <c r="AT7" s="12" t="str">
        <f t="shared" si="1"/>
        <v>bm</v>
      </c>
      <c r="AU7" s="12" t="str">
        <f t="shared" si="1"/>
        <v>bm</v>
      </c>
      <c r="AV7" s="12" t="str">
        <f t="shared" si="1"/>
        <v>bm</v>
      </c>
      <c r="AW7" s="12" t="str">
        <f t="shared" si="1"/>
        <v>bm</v>
      </c>
      <c r="AX7" s="12" t="str">
        <f t="shared" si="1"/>
        <v>bm</v>
      </c>
      <c r="AY7" s="12" t="str">
        <f t="shared" si="1"/>
        <v>bm</v>
      </c>
      <c r="AZ7" s="12" t="str">
        <f t="shared" si="1"/>
        <v>bm</v>
      </c>
      <c r="BA7" s="12" t="str">
        <f t="shared" si="1"/>
        <v>size</v>
      </c>
      <c r="BB7" s="12" t="str">
        <f t="shared" si="1"/>
        <v>bm</v>
      </c>
      <c r="BC7" s="12" t="str">
        <f t="shared" si="1"/>
        <v>bm</v>
      </c>
      <c r="BD7" s="12" t="str">
        <f t="shared" si="1"/>
        <v>bm</v>
      </c>
      <c r="BE7" s="12" t="str">
        <f t="shared" si="1"/>
        <v>bm</v>
      </c>
      <c r="BF7" s="12" t="str">
        <f t="shared" si="1"/>
        <v>bm</v>
      </c>
      <c r="BG7" s="12" t="str">
        <f t="shared" si="1"/>
        <v>mom</v>
      </c>
      <c r="BH7" s="12" t="str">
        <f t="shared" si="1"/>
        <v>mom</v>
      </c>
      <c r="BI7" s="12" t="str">
        <f t="shared" si="1"/>
        <v>mom</v>
      </c>
      <c r="BJ7" s="12" t="str">
        <f t="shared" si="1"/>
        <v>mom</v>
      </c>
      <c r="BK7" s="12" t="str">
        <f t="shared" si="1"/>
        <v>mom</v>
      </c>
      <c r="BL7" s="12" t="str">
        <f t="shared" si="1"/>
        <v>size</v>
      </c>
      <c r="BM7" s="12" t="str">
        <f t="shared" si="1"/>
        <v>bm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mom</v>
      </c>
      <c r="BT7" s="12" t="str">
        <f t="shared" si="2"/>
        <v>size</v>
      </c>
      <c r="BU7" s="12" t="str">
        <f t="shared" si="2"/>
        <v>size</v>
      </c>
      <c r="BV7" s="12" t="str">
        <f t="shared" si="2"/>
        <v>size</v>
      </c>
      <c r="BW7" s="12" t="str">
        <f t="shared" si="2"/>
        <v>size</v>
      </c>
      <c r="BX7" s="12" t="str">
        <f t="shared" si="2"/>
        <v>bm</v>
      </c>
      <c r="BY7" s="12" t="str">
        <f t="shared" si="2"/>
        <v>size</v>
      </c>
      <c r="BZ7" s="12" t="str">
        <f t="shared" si="2"/>
        <v>size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mom</v>
      </c>
      <c r="CD7" s="12" t="str">
        <f t="shared" si="2"/>
        <v>mom</v>
      </c>
      <c r="CE7" s="12" t="str">
        <f t="shared" si="2"/>
        <v>mom</v>
      </c>
      <c r="CF7" s="12" t="str">
        <f t="shared" si="2"/>
        <v>size</v>
      </c>
      <c r="CG7" s="12" t="str">
        <f t="shared" si="2"/>
        <v>mom</v>
      </c>
      <c r="CH7" s="12" t="str">
        <f t="shared" si="2"/>
        <v>mom</v>
      </c>
      <c r="CI7" s="12" t="str">
        <f t="shared" si="2"/>
        <v>mom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bm</v>
      </c>
      <c r="CN7" s="12" t="str">
        <f t="shared" si="2"/>
        <v>bm</v>
      </c>
      <c r="CO7" s="12" t="str">
        <f t="shared" si="2"/>
        <v>bm</v>
      </c>
      <c r="CP7" s="12" t="str">
        <f t="shared" si="2"/>
        <v>bm</v>
      </c>
      <c r="CQ7" s="12" t="str">
        <f t="shared" si="2"/>
        <v>bm</v>
      </c>
      <c r="CR7" s="12" t="str">
        <f t="shared" si="2"/>
        <v>bm</v>
      </c>
      <c r="CS7" s="12" t="str">
        <f t="shared" si="2"/>
        <v>bm</v>
      </c>
      <c r="CT7" s="12" t="str">
        <f t="shared" si="2"/>
        <v>bm</v>
      </c>
      <c r="CU7" s="12" t="str">
        <f t="shared" ref="CU7:DZ7" si="3">IF(CU6=1,"bm",IF(CU6=2,"size",IF(CU6=3,"mom")))</f>
        <v>bm</v>
      </c>
      <c r="CV7" s="12" t="str">
        <f t="shared" si="3"/>
        <v>bm</v>
      </c>
      <c r="CW7" s="12" t="str">
        <f t="shared" si="3"/>
        <v>bm</v>
      </c>
      <c r="CX7" s="12" t="str">
        <f t="shared" si="3"/>
        <v>bm</v>
      </c>
      <c r="CY7" s="12" t="str">
        <f t="shared" si="3"/>
        <v>bm</v>
      </c>
      <c r="CZ7" s="12" t="str">
        <f t="shared" si="3"/>
        <v>bm</v>
      </c>
      <c r="DA7" s="12" t="str">
        <f t="shared" si="3"/>
        <v>bm</v>
      </c>
      <c r="DB7" s="12" t="str">
        <f t="shared" si="3"/>
        <v>bm</v>
      </c>
      <c r="DC7" s="12" t="str">
        <f t="shared" si="3"/>
        <v>bm</v>
      </c>
      <c r="DD7" s="12" t="str">
        <f t="shared" si="3"/>
        <v>bm</v>
      </c>
      <c r="DE7" s="12" t="str">
        <f t="shared" si="3"/>
        <v>bm</v>
      </c>
      <c r="DF7" s="12" t="str">
        <f t="shared" si="3"/>
        <v>bm</v>
      </c>
      <c r="DG7" s="12" t="str">
        <f t="shared" si="3"/>
        <v>bm</v>
      </c>
      <c r="DH7" s="12" t="str">
        <f t="shared" si="3"/>
        <v>bm</v>
      </c>
      <c r="DI7" s="12" t="str">
        <f t="shared" si="3"/>
        <v>bm</v>
      </c>
      <c r="DJ7" s="12" t="str">
        <f t="shared" si="3"/>
        <v>bm</v>
      </c>
      <c r="DK7" s="12" t="str">
        <f t="shared" si="3"/>
        <v>bm</v>
      </c>
      <c r="DL7" s="12" t="str">
        <f t="shared" si="3"/>
        <v>bm</v>
      </c>
      <c r="DM7" s="12" t="str">
        <f t="shared" si="3"/>
        <v>bm</v>
      </c>
      <c r="DN7" s="12" t="str">
        <f t="shared" si="3"/>
        <v>bm</v>
      </c>
      <c r="DO7" s="12" t="str">
        <f t="shared" si="3"/>
        <v>bm</v>
      </c>
      <c r="DP7" s="12" t="str">
        <f t="shared" si="3"/>
        <v>bm</v>
      </c>
      <c r="DQ7" s="12" t="str">
        <f t="shared" si="3"/>
        <v>mom</v>
      </c>
      <c r="DR7" s="12" t="str">
        <f t="shared" si="3"/>
        <v>mom</v>
      </c>
      <c r="DS7" s="12" t="str">
        <f t="shared" si="3"/>
        <v>bm</v>
      </c>
      <c r="DT7" s="12" t="str">
        <f t="shared" si="3"/>
        <v>bm</v>
      </c>
      <c r="DU7" s="12" t="str">
        <f t="shared" si="3"/>
        <v>bm</v>
      </c>
      <c r="DV7" s="12" t="str">
        <f t="shared" si="3"/>
        <v>bm</v>
      </c>
      <c r="DW7" s="12" t="str">
        <f t="shared" si="3"/>
        <v>bm</v>
      </c>
      <c r="DX7" s="12" t="str">
        <f t="shared" si="3"/>
        <v>bm</v>
      </c>
      <c r="DY7" s="12" t="str">
        <f t="shared" si="3"/>
        <v>bm</v>
      </c>
      <c r="DZ7" s="12" t="str">
        <f t="shared" si="3"/>
        <v>bm</v>
      </c>
      <c r="EA7" s="12" t="str">
        <f t="shared" ref="EA7:EF7" si="4">IF(EA6=1,"bm",IF(EA6=2,"size",IF(EA6=3,"mom")))</f>
        <v>mom</v>
      </c>
      <c r="EB7" s="12" t="str">
        <f t="shared" si="4"/>
        <v>mom</v>
      </c>
      <c r="EC7" s="12" t="str">
        <f t="shared" si="4"/>
        <v>mom</v>
      </c>
      <c r="ED7" s="12" t="str">
        <f t="shared" si="4"/>
        <v>mom</v>
      </c>
      <c r="EE7" s="12" t="str">
        <f t="shared" si="4"/>
        <v>mom</v>
      </c>
      <c r="EF7" s="12" t="str">
        <f t="shared" si="4"/>
        <v>bm</v>
      </c>
    </row>
    <row r="8" spans="1:136">
      <c r="C8" s="11">
        <f t="shared" ref="C8:AH8" si="5">IF(C6=1,C3,IF(C6=2,C4,IF(C6=3,C5)))</f>
        <v>-0.21029689348551581</v>
      </c>
      <c r="D8" s="11">
        <f t="shared" si="5"/>
        <v>-0.21366965590083911</v>
      </c>
      <c r="E8" s="11">
        <f t="shared" si="5"/>
        <v>-0.211404212371303</v>
      </c>
      <c r="F8" s="11">
        <f t="shared" si="5"/>
        <v>-0.2252521893420244</v>
      </c>
      <c r="G8" s="11">
        <f t="shared" si="5"/>
        <v>-0.16749553067244549</v>
      </c>
      <c r="H8" s="11">
        <f t="shared" si="5"/>
        <v>-0.19743238035051311</v>
      </c>
      <c r="I8" s="11">
        <f t="shared" si="5"/>
        <v>-0.1621277138088032</v>
      </c>
      <c r="J8" s="11">
        <f t="shared" si="5"/>
        <v>-0.14374572718160869</v>
      </c>
      <c r="K8" s="11">
        <f t="shared" si="5"/>
        <v>-0.14635817282751351</v>
      </c>
      <c r="L8" s="11">
        <f t="shared" si="5"/>
        <v>-9.3418085714069871E-2</v>
      </c>
      <c r="M8" s="11">
        <f t="shared" si="5"/>
        <v>7.7596951343242349E-2</v>
      </c>
      <c r="N8" s="11">
        <f t="shared" si="5"/>
        <v>8.1295224653282372E-2</v>
      </c>
      <c r="O8" s="11">
        <f t="shared" si="5"/>
        <v>0.1131670749796462</v>
      </c>
      <c r="P8" s="11">
        <f t="shared" si="5"/>
        <v>-8.0782481948085905E-2</v>
      </c>
      <c r="Q8" s="11">
        <f t="shared" si="5"/>
        <v>-0.123937655175682</v>
      </c>
      <c r="R8" s="11">
        <f t="shared" si="5"/>
        <v>-0.1055494725732611</v>
      </c>
      <c r="S8" s="11">
        <f t="shared" si="5"/>
        <v>-0.1228572290449929</v>
      </c>
      <c r="T8" s="11">
        <f t="shared" si="5"/>
        <v>-9.8245072540293785E-2</v>
      </c>
      <c r="U8" s="11">
        <f t="shared" si="5"/>
        <v>0.11362327082378131</v>
      </c>
      <c r="V8" s="11">
        <f t="shared" si="5"/>
        <v>0.15324557081723869</v>
      </c>
      <c r="W8" s="11">
        <f t="shared" si="5"/>
        <v>0.17547971914133359</v>
      </c>
      <c r="X8" s="11">
        <f t="shared" si="5"/>
        <v>-0.1593416132063433</v>
      </c>
      <c r="Y8" s="11">
        <f t="shared" si="5"/>
        <v>-0.16484036119819681</v>
      </c>
      <c r="Z8" s="11">
        <f t="shared" si="5"/>
        <v>-0.13649716190603081</v>
      </c>
      <c r="AA8" s="11">
        <f t="shared" si="5"/>
        <v>-9.9097550906399073E-2</v>
      </c>
      <c r="AB8" s="11">
        <f t="shared" si="5"/>
        <v>-0.15653401117763999</v>
      </c>
      <c r="AC8" s="11">
        <f t="shared" si="5"/>
        <v>-0.12045016736145051</v>
      </c>
      <c r="AD8" s="11">
        <f t="shared" si="5"/>
        <v>-0.12307692031034841</v>
      </c>
      <c r="AE8" s="11">
        <f t="shared" si="5"/>
        <v>-0.11273699310816961</v>
      </c>
      <c r="AF8" s="11">
        <f t="shared" si="5"/>
        <v>-0.15546844160490719</v>
      </c>
      <c r="AG8" s="11">
        <f t="shared" si="5"/>
        <v>-0.1723223959308583</v>
      </c>
      <c r="AH8" s="11">
        <f t="shared" si="5"/>
        <v>-0.21066311069364491</v>
      </c>
      <c r="AI8" s="11">
        <f t="shared" ref="AI8:BN8" si="6">IF(AI6=1,AI3,IF(AI6=2,AI4,IF(AI6=3,AI5)))</f>
        <v>-0.1450589089162638</v>
      </c>
      <c r="AJ8" s="11">
        <f t="shared" si="6"/>
        <v>-0.13795176075546539</v>
      </c>
      <c r="AK8" s="11">
        <f t="shared" si="6"/>
        <v>-0.1842304053003847</v>
      </c>
      <c r="AL8" s="11">
        <f t="shared" si="6"/>
        <v>-0.13613754651320789</v>
      </c>
      <c r="AM8" s="11">
        <f t="shared" si="6"/>
        <v>-0.1638949955212339</v>
      </c>
      <c r="AN8" s="11">
        <f t="shared" si="6"/>
        <v>-0.1079410779852619</v>
      </c>
      <c r="AO8" s="11">
        <f t="shared" si="6"/>
        <v>-0.1405653736462493</v>
      </c>
      <c r="AP8" s="11">
        <f t="shared" si="6"/>
        <v>-0.148787665600143</v>
      </c>
      <c r="AQ8" s="11">
        <f t="shared" si="6"/>
        <v>-0.14861785407201489</v>
      </c>
      <c r="AR8" s="11">
        <f t="shared" si="6"/>
        <v>-0.13333413410310721</v>
      </c>
      <c r="AS8" s="11">
        <f t="shared" si="6"/>
        <v>-0.14616404547772241</v>
      </c>
      <c r="AT8" s="11">
        <f t="shared" si="6"/>
        <v>-0.11842250499668611</v>
      </c>
      <c r="AU8" s="11">
        <f t="shared" si="6"/>
        <v>-0.1052925709887591</v>
      </c>
      <c r="AV8" s="11">
        <f t="shared" si="6"/>
        <v>-7.9951773470366472E-2</v>
      </c>
      <c r="AW8" s="11">
        <f t="shared" si="6"/>
        <v>-0.11292302420675859</v>
      </c>
      <c r="AX8" s="11">
        <f t="shared" si="6"/>
        <v>-0.12202295147341199</v>
      </c>
      <c r="AY8" s="11">
        <f t="shared" si="6"/>
        <v>-0.1195824583968734</v>
      </c>
      <c r="AZ8" s="11">
        <f t="shared" si="6"/>
        <v>-0.13017196651502849</v>
      </c>
      <c r="BA8" s="11">
        <f t="shared" si="6"/>
        <v>-0.1272363891179307</v>
      </c>
      <c r="BB8" s="11">
        <f t="shared" si="6"/>
        <v>-0.12018291273815131</v>
      </c>
      <c r="BC8" s="11">
        <f t="shared" si="6"/>
        <v>-0.1134448231180657</v>
      </c>
      <c r="BD8" s="11">
        <f t="shared" si="6"/>
        <v>-0.1241805296785234</v>
      </c>
      <c r="BE8" s="11">
        <f t="shared" si="6"/>
        <v>-0.1095136806544685</v>
      </c>
      <c r="BF8" s="11">
        <f t="shared" si="6"/>
        <v>-7.2865125715145987E-2</v>
      </c>
      <c r="BG8" s="11">
        <f t="shared" si="6"/>
        <v>3.6015017126267951E-2</v>
      </c>
      <c r="BH8" s="11">
        <f t="shared" si="6"/>
        <v>4.9947174219273957E-2</v>
      </c>
      <c r="BI8" s="11">
        <f t="shared" si="6"/>
        <v>8.42171658321266E-2</v>
      </c>
      <c r="BJ8" s="11">
        <f t="shared" si="6"/>
        <v>8.8598315269611302E-2</v>
      </c>
      <c r="BK8" s="11">
        <f t="shared" si="6"/>
        <v>5.8867083949756753E-2</v>
      </c>
      <c r="BL8" s="11">
        <f t="shared" si="6"/>
        <v>-4.3376380149350677E-2</v>
      </c>
      <c r="BM8" s="11">
        <f t="shared" si="6"/>
        <v>-6.9761260580532725E-2</v>
      </c>
      <c r="BN8" s="11">
        <f t="shared" si="6"/>
        <v>-9.3714034236851762E-2</v>
      </c>
      <c r="BO8" s="11">
        <f t="shared" ref="BO8:CT8" si="7">IF(BO6=1,BO3,IF(BO6=2,BO4,IF(BO6=3,BO5)))</f>
        <v>-7.256701213649247E-2</v>
      </c>
      <c r="BP8" s="11">
        <f t="shared" si="7"/>
        <v>-7.3997617482274486E-2</v>
      </c>
      <c r="BQ8" s="11">
        <f t="shared" si="7"/>
        <v>-9.8588791576727897E-2</v>
      </c>
      <c r="BR8" s="11">
        <f t="shared" si="7"/>
        <v>-8.6754840567616509E-2</v>
      </c>
      <c r="BS8" s="11">
        <f t="shared" si="7"/>
        <v>-2.38691484571718E-2</v>
      </c>
      <c r="BT8" s="11">
        <f t="shared" si="7"/>
        <v>-4.0965879226250813E-2</v>
      </c>
      <c r="BU8" s="11">
        <f t="shared" si="7"/>
        <v>-5.0974545752986683E-2</v>
      </c>
      <c r="BV8" s="11">
        <f t="shared" si="7"/>
        <v>-4.3518890980463881E-2</v>
      </c>
      <c r="BW8" s="11">
        <f t="shared" si="7"/>
        <v>-5.1250903502165449E-2</v>
      </c>
      <c r="BX8" s="11">
        <f t="shared" si="7"/>
        <v>-5.3877828990392229E-2</v>
      </c>
      <c r="BY8" s="11">
        <f t="shared" si="7"/>
        <v>-3.080858567239558E-2</v>
      </c>
      <c r="BZ8" s="11">
        <f t="shared" si="7"/>
        <v>-3.4878703477865543E-2</v>
      </c>
      <c r="CA8" s="11">
        <f t="shared" si="7"/>
        <v>-5.5125096018965689E-2</v>
      </c>
      <c r="CB8" s="11">
        <f t="shared" si="7"/>
        <v>4.4781710145696381E-2</v>
      </c>
      <c r="CC8" s="11">
        <f t="shared" si="7"/>
        <v>8.8956072925406623E-2</v>
      </c>
      <c r="CD8" s="11">
        <f t="shared" si="7"/>
        <v>8.823694221456943E-2</v>
      </c>
      <c r="CE8" s="11">
        <f t="shared" si="7"/>
        <v>5.4567120324253551E-2</v>
      </c>
      <c r="CF8" s="11">
        <f t="shared" si="7"/>
        <v>-6.0000217001171648E-2</v>
      </c>
      <c r="CG8" s="11">
        <f t="shared" si="7"/>
        <v>8.4786576872490527E-2</v>
      </c>
      <c r="CH8" s="11">
        <f t="shared" si="7"/>
        <v>0.1099392168820917</v>
      </c>
      <c r="CI8" s="11">
        <f t="shared" si="7"/>
        <v>0.12179976368126701</v>
      </c>
      <c r="CJ8" s="11">
        <f t="shared" si="7"/>
        <v>0.1157044802446371</v>
      </c>
      <c r="CK8" s="11">
        <f t="shared" si="7"/>
        <v>0.1202355224105076</v>
      </c>
      <c r="CL8" s="11">
        <f t="shared" si="7"/>
        <v>0.11333076881581119</v>
      </c>
      <c r="CM8" s="11">
        <f t="shared" si="7"/>
        <v>-9.6090945193355579E-2</v>
      </c>
      <c r="CN8" s="11">
        <f t="shared" si="7"/>
        <v>-0.14510089052945249</v>
      </c>
      <c r="CO8" s="11">
        <f t="shared" si="7"/>
        <v>-0.15688816064107899</v>
      </c>
      <c r="CP8" s="11">
        <f t="shared" si="7"/>
        <v>-0.18379019593746551</v>
      </c>
      <c r="CQ8" s="11">
        <f t="shared" si="7"/>
        <v>-0.1425247214679819</v>
      </c>
      <c r="CR8" s="11">
        <f t="shared" si="7"/>
        <v>-0.14680975774889521</v>
      </c>
      <c r="CS8" s="11">
        <f t="shared" si="7"/>
        <v>-0.161628615120084</v>
      </c>
      <c r="CT8" s="11">
        <f t="shared" si="7"/>
        <v>-0.1187452911357645</v>
      </c>
      <c r="CU8" s="11">
        <f t="shared" ref="CU8:DZ8" si="8">IF(CU6=1,CU3,IF(CU6=2,CU4,IF(CU6=3,CU5)))</f>
        <v>-0.10731445042028601</v>
      </c>
      <c r="CV8" s="11">
        <f t="shared" si="8"/>
        <v>-9.4107552491738578E-2</v>
      </c>
      <c r="CW8" s="11">
        <f t="shared" si="8"/>
        <v>-8.8982990718546345E-2</v>
      </c>
      <c r="CX8" s="11">
        <f t="shared" si="8"/>
        <v>-0.1052522869303853</v>
      </c>
      <c r="CY8" s="11">
        <f t="shared" si="8"/>
        <v>-9.4183542037496432E-2</v>
      </c>
      <c r="CZ8" s="11">
        <f t="shared" si="8"/>
        <v>-8.3308640367453876E-2</v>
      </c>
      <c r="DA8" s="11">
        <f t="shared" si="8"/>
        <v>-8.2837518105402214E-2</v>
      </c>
      <c r="DB8" s="11">
        <f t="shared" si="8"/>
        <v>-6.7640706224093544E-2</v>
      </c>
      <c r="DC8" s="11">
        <f t="shared" si="8"/>
        <v>-6.0826386969669743E-2</v>
      </c>
      <c r="DD8" s="11">
        <f t="shared" si="8"/>
        <v>-4.1840431413841632E-2</v>
      </c>
      <c r="DE8" s="11">
        <f t="shared" si="8"/>
        <v>-4.5021320590930003E-2</v>
      </c>
      <c r="DF8" s="11">
        <f t="shared" si="8"/>
        <v>-5.0586350879309148E-2</v>
      </c>
      <c r="DG8" s="11">
        <f t="shared" si="8"/>
        <v>-7.6241405303519402E-2</v>
      </c>
      <c r="DH8" s="11">
        <f t="shared" si="8"/>
        <v>-8.1759704018452006E-2</v>
      </c>
      <c r="DI8" s="11">
        <f t="shared" si="8"/>
        <v>-7.1036505388215002E-2</v>
      </c>
      <c r="DJ8" s="11">
        <f t="shared" si="8"/>
        <v>-8.1070843666144643E-2</v>
      </c>
      <c r="DK8" s="11">
        <f t="shared" si="8"/>
        <v>-8.451565570152958E-2</v>
      </c>
      <c r="DL8" s="11">
        <f t="shared" si="8"/>
        <v>-7.0214375145567526E-2</v>
      </c>
      <c r="DM8" s="11">
        <f t="shared" si="8"/>
        <v>-6.211764885058714E-2</v>
      </c>
      <c r="DN8" s="11">
        <f t="shared" si="8"/>
        <v>-6.0912387997328607E-2</v>
      </c>
      <c r="DO8" s="11">
        <f t="shared" si="8"/>
        <v>-6.2867478347525874E-2</v>
      </c>
      <c r="DP8" s="11">
        <f t="shared" si="8"/>
        <v>-5.929524574810429E-2</v>
      </c>
      <c r="DQ8" s="11">
        <f t="shared" si="8"/>
        <v>7.882287308322139E-2</v>
      </c>
      <c r="DR8" s="11">
        <f t="shared" si="8"/>
        <v>5.7493580049079021E-2</v>
      </c>
      <c r="DS8" s="11">
        <f t="shared" si="8"/>
        <v>-4.0281933254345779E-2</v>
      </c>
      <c r="DT8" s="11">
        <f t="shared" si="8"/>
        <v>-6.1008517906045841E-2</v>
      </c>
      <c r="DU8" s="11">
        <f t="shared" si="8"/>
        <v>-4.0218196570688008E-2</v>
      </c>
      <c r="DV8" s="11">
        <f t="shared" si="8"/>
        <v>-5.4157807311479733E-2</v>
      </c>
      <c r="DW8" s="11">
        <f t="shared" si="8"/>
        <v>-3.0145149730964559E-2</v>
      </c>
      <c r="DX8" s="11">
        <f t="shared" si="8"/>
        <v>-5.6047053652977061E-2</v>
      </c>
      <c r="DY8" s="11">
        <f t="shared" si="8"/>
        <v>-4.8975567853288597E-2</v>
      </c>
      <c r="DZ8" s="11">
        <f t="shared" si="8"/>
        <v>-4.520006480733043E-2</v>
      </c>
      <c r="EA8" s="11">
        <f t="shared" ref="EA8:EF8" si="9">IF(EA6=1,EA3,IF(EA6=2,EA4,IF(EA6=3,EA5)))</f>
        <v>-4.6623909559888432E-2</v>
      </c>
      <c r="EB8" s="11">
        <f t="shared" si="9"/>
        <v>-7.0082754748389695E-2</v>
      </c>
      <c r="EC8" s="11">
        <f t="shared" si="9"/>
        <v>-6.6602436202552781E-2</v>
      </c>
      <c r="ED8" s="11">
        <f t="shared" si="9"/>
        <v>-4.3523968821841147E-2</v>
      </c>
      <c r="EE8" s="11">
        <f t="shared" si="9"/>
        <v>-1.6511359279900981E-2</v>
      </c>
      <c r="EF8" s="11">
        <f t="shared" si="9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10</v>
      </c>
      <c r="B12" s="2">
        <v>96</v>
      </c>
      <c r="C12" s="11">
        <v>8.4653541666666707E-2</v>
      </c>
      <c r="D12" s="11">
        <v>0.11468851041666669</v>
      </c>
      <c r="E12" s="11">
        <v>4.8026281249999997E-2</v>
      </c>
      <c r="F12" s="11">
        <v>1.342140625E-2</v>
      </c>
      <c r="G12" s="11">
        <v>1.172496874999999E-2</v>
      </c>
      <c r="H12" s="11">
        <v>3.8530718750000012E-2</v>
      </c>
      <c r="I12" s="11">
        <v>1.280994791666666E-2</v>
      </c>
      <c r="J12" s="11">
        <v>-2.940780208333334E-2</v>
      </c>
      <c r="K12" s="11">
        <v>1.877417708333334E-2</v>
      </c>
      <c r="L12" s="11">
        <v>-4.1890635416666662E-2</v>
      </c>
      <c r="M12" s="11">
        <v>2.688917383320695E-2</v>
      </c>
      <c r="N12" s="11">
        <v>-3.4703354243462818E-2</v>
      </c>
      <c r="O12" s="11">
        <v>2.7914759067240381E-2</v>
      </c>
      <c r="P12" s="11">
        <v>2.3033333333332889E-4</v>
      </c>
      <c r="Q12" s="11">
        <v>3.5270468749999978E-2</v>
      </c>
      <c r="R12" s="11">
        <v>6.6630833333333368E-3</v>
      </c>
      <c r="S12" s="11">
        <v>-1.6472229166666671E-2</v>
      </c>
      <c r="T12" s="11">
        <v>-7.7403854166666688E-3</v>
      </c>
      <c r="U12" s="11">
        <v>-1.356523083780981E-3</v>
      </c>
      <c r="V12" s="11">
        <v>9.5109536536482214E-3</v>
      </c>
      <c r="W12" s="11">
        <v>-2.8417662858163131E-2</v>
      </c>
      <c r="X12" s="11">
        <v>2.707373958333335E-2</v>
      </c>
      <c r="Y12" s="11">
        <v>1.6788377251816099E-2</v>
      </c>
      <c r="Z12" s="11">
        <v>-6.362368331557397E-2</v>
      </c>
      <c r="AA12" s="11">
        <v>-1.1512562499999979E-2</v>
      </c>
      <c r="AB12" s="11">
        <v>-3.4689110551478157E-2</v>
      </c>
      <c r="AC12" s="11">
        <v>-3.5114764063646421E-2</v>
      </c>
      <c r="AD12" s="11">
        <v>9.3919791666666787E-3</v>
      </c>
      <c r="AE12" s="11">
        <v>3.789762353223057E-2</v>
      </c>
      <c r="AF12" s="11">
        <v>-2.0432151303864929E-2</v>
      </c>
      <c r="AG12" s="11">
        <v>-2.998214493272441E-2</v>
      </c>
      <c r="AH12" s="11">
        <v>-1.3405804649633229E-2</v>
      </c>
      <c r="AI12" s="11">
        <v>-1.9506051180185949E-2</v>
      </c>
      <c r="AJ12" s="11">
        <v>-1.298374754605458E-2</v>
      </c>
      <c r="AK12" s="11">
        <v>-4.8123704152134412E-2</v>
      </c>
      <c r="AL12" s="11">
        <v>-1.7859003021922081E-2</v>
      </c>
      <c r="AM12" s="11">
        <v>-3.0086115612597931E-2</v>
      </c>
      <c r="AN12" s="11">
        <v>-6.9233234313428524E-2</v>
      </c>
      <c r="AO12" s="11">
        <v>-2.228793039673051E-3</v>
      </c>
      <c r="AP12" s="11">
        <v>3.3718344781849152E-2</v>
      </c>
      <c r="AQ12" s="11">
        <v>7.6219363885838051E-3</v>
      </c>
      <c r="AR12" s="11">
        <v>-1.35262594499664E-2</v>
      </c>
      <c r="AS12" s="11">
        <v>-1.9099718454700602E-2</v>
      </c>
      <c r="AT12" s="11">
        <v>-1.3834904707671181E-2</v>
      </c>
      <c r="AU12" s="11">
        <v>-2.070865868087543E-2</v>
      </c>
      <c r="AV12" s="11">
        <v>4.1360084745025012E-2</v>
      </c>
      <c r="AW12" s="11">
        <v>-6.2147701801607523E-4</v>
      </c>
      <c r="AX12" s="11">
        <v>-4.3598467253422833E-2</v>
      </c>
      <c r="AY12" s="11">
        <v>-2.4955293067673249E-2</v>
      </c>
      <c r="AZ12" s="11">
        <v>2.3000260716576439E-3</v>
      </c>
      <c r="BA12" s="11">
        <v>7.1276302083333326E-2</v>
      </c>
      <c r="BB12" s="11">
        <v>-1.527460525245942E-2</v>
      </c>
      <c r="BC12" s="11">
        <v>-1.227278903847649E-2</v>
      </c>
      <c r="BD12" s="11">
        <v>-1.3630556941652629E-2</v>
      </c>
      <c r="BE12" s="11">
        <v>-1.860880983938528E-2</v>
      </c>
      <c r="BF12" s="11">
        <v>-6.7792352483200119E-2</v>
      </c>
      <c r="BG12" s="11">
        <v>-4.6757753881283733E-2</v>
      </c>
      <c r="BH12" s="11">
        <v>-3.5079589029917008E-2</v>
      </c>
      <c r="BI12" s="11">
        <v>-4.3756064379844611E-2</v>
      </c>
      <c r="BJ12" s="11">
        <v>-2.4663126175119381E-2</v>
      </c>
      <c r="BK12" s="11">
        <v>-6.5738349503457333E-4</v>
      </c>
      <c r="BL12" s="11">
        <v>1.1060114583333331E-2</v>
      </c>
      <c r="BM12" s="11">
        <v>5.1690919562298789E-3</v>
      </c>
      <c r="BN12" s="11">
        <v>-1.1516535512096511E-2</v>
      </c>
      <c r="BO12" s="11">
        <v>-2.4246310256236889E-2</v>
      </c>
      <c r="BP12" s="11">
        <v>1.0508985305294091E-2</v>
      </c>
      <c r="BQ12" s="11">
        <v>-1.3896749618746689E-2</v>
      </c>
      <c r="BR12" s="11">
        <v>2.2610084533988121E-3</v>
      </c>
      <c r="BS12" s="11">
        <v>3.2642854888392712E-2</v>
      </c>
      <c r="BT12" s="11">
        <v>-2.1288177083333332E-2</v>
      </c>
      <c r="BU12" s="11">
        <v>-4.808319791666666E-2</v>
      </c>
      <c r="BV12" s="11">
        <v>3.2053312499999979E-2</v>
      </c>
      <c r="BW12" s="11">
        <v>5.5487552083333308E-2</v>
      </c>
      <c r="BX12" s="11">
        <v>-1.1477162003950089E-2</v>
      </c>
      <c r="BY12" s="11">
        <v>-4.5816958333333269E-2</v>
      </c>
      <c r="BZ12" s="11">
        <v>3.777385416666668E-3</v>
      </c>
      <c r="CA12" s="11">
        <v>1.4580583333333331E-2</v>
      </c>
      <c r="CB12" s="11">
        <v>-2.7173862793031672E-2</v>
      </c>
      <c r="CC12" s="11">
        <v>1.612118070707726E-2</v>
      </c>
      <c r="CD12" s="11">
        <v>-4.435526335668457E-2</v>
      </c>
      <c r="CE12" s="11">
        <v>-5.0816539029017678E-2</v>
      </c>
      <c r="CF12" s="11">
        <v>4.0780416666666769E-3</v>
      </c>
      <c r="CG12" s="11">
        <v>-4.9277959963080598E-2</v>
      </c>
      <c r="CH12" s="11">
        <v>-1.6463112378785821E-2</v>
      </c>
      <c r="CI12" s="11">
        <v>-3.5598030901105832E-2</v>
      </c>
      <c r="CJ12" s="11">
        <v>5.4120066914195013E-2</v>
      </c>
      <c r="CK12" s="11">
        <v>5.6101440647790157E-2</v>
      </c>
      <c r="CL12" s="11">
        <v>7.8440280286020903E-2</v>
      </c>
      <c r="CM12" s="11">
        <v>1.5219726167340819E-2</v>
      </c>
      <c r="CN12" s="11">
        <v>2.7083701214559368E-2</v>
      </c>
      <c r="CO12" s="11">
        <v>2.7266126880105788E-2</v>
      </c>
      <c r="CP12" s="11">
        <v>-4.5299021467493747E-2</v>
      </c>
      <c r="CQ12" s="11">
        <v>-3.6572194909933541E-2</v>
      </c>
      <c r="CR12" s="11">
        <v>-2.1178784306524409E-3</v>
      </c>
      <c r="CS12" s="11">
        <v>1.5201647687045549E-2</v>
      </c>
      <c r="CT12" s="11">
        <v>8.2403602353092742E-4</v>
      </c>
      <c r="CU12" s="11">
        <v>-3.5623715662195188E-2</v>
      </c>
      <c r="CV12" s="11">
        <v>-8.1126263755370142E-3</v>
      </c>
      <c r="CW12" s="11">
        <v>-5.5479247445322649E-3</v>
      </c>
      <c r="CX12" s="11">
        <v>-6.098988253699178E-2</v>
      </c>
      <c r="CY12" s="11">
        <v>5.982942211490587E-3</v>
      </c>
      <c r="CZ12" s="11">
        <v>-7.7792327339500603E-2</v>
      </c>
      <c r="DA12" s="11">
        <v>-5.6037840703605252E-3</v>
      </c>
      <c r="DB12" s="11">
        <v>2.298187595412704E-2</v>
      </c>
      <c r="DC12" s="11">
        <v>-3.3973202874774677E-2</v>
      </c>
      <c r="DD12" s="11">
        <v>-2.4888978057240451E-2</v>
      </c>
      <c r="DE12" s="11">
        <v>-1.198108381221169E-3</v>
      </c>
      <c r="DF12" s="11">
        <v>6.834525736040385E-3</v>
      </c>
      <c r="DG12" s="11">
        <v>9.4770893931691788E-4</v>
      </c>
      <c r="DH12" s="11">
        <v>3.8226819714325612E-3</v>
      </c>
      <c r="DI12" s="11">
        <v>5.4443172992132437E-2</v>
      </c>
      <c r="DJ12" s="11">
        <v>-8.0625982547704502E-3</v>
      </c>
      <c r="DK12" s="11">
        <v>1.5945953127016341E-2</v>
      </c>
      <c r="DL12" s="11">
        <v>3.5467602264376702E-4</v>
      </c>
      <c r="DM12" s="11">
        <v>4.8403492450799163E-3</v>
      </c>
      <c r="DN12" s="11">
        <v>-4.2410365386064831E-2</v>
      </c>
      <c r="DO12" s="11">
        <v>-2.259973368032869E-2</v>
      </c>
      <c r="DP12" s="11">
        <v>-3.2584449600297112E-2</v>
      </c>
      <c r="DQ12" s="11">
        <v>7.454064748047276E-2</v>
      </c>
      <c r="DR12" s="11">
        <v>-1.085204642770434E-2</v>
      </c>
      <c r="DS12" s="11">
        <v>3.5726155451697807E-2</v>
      </c>
      <c r="DT12" s="11">
        <v>4.5297883394400537E-2</v>
      </c>
      <c r="DU12" s="11">
        <v>-1.3752648086382459E-2</v>
      </c>
      <c r="DV12" s="11">
        <v>-4.8550824477530688E-2</v>
      </c>
      <c r="DW12" s="11">
        <v>-4.3725564220037427E-2</v>
      </c>
      <c r="DX12" s="11">
        <v>5.0152080542361532E-2</v>
      </c>
      <c r="DY12" s="11">
        <v>-1.5357270118494901E-2</v>
      </c>
      <c r="DZ12" s="11">
        <v>4.1357254801773907E-3</v>
      </c>
      <c r="EA12" s="11">
        <v>0.113127041749137</v>
      </c>
      <c r="EB12" s="11">
        <v>3.052577681784165E-2</v>
      </c>
      <c r="EC12" s="11">
        <v>-1.48839181295192E-2</v>
      </c>
      <c r="ED12" s="11">
        <v>-2.344457524294118E-2</v>
      </c>
      <c r="EE12" s="11">
        <v>2.821628026780338E-2</v>
      </c>
      <c r="EF12" s="11">
        <v>-3.9233348038795662E-2</v>
      </c>
    </row>
    <row r="13" spans="1:136">
      <c r="A13" s="2">
        <v>20</v>
      </c>
      <c r="B13" s="2">
        <v>48</v>
      </c>
      <c r="C13" s="11">
        <v>0.10411314583333341</v>
      </c>
      <c r="D13" s="11">
        <v>0.12374510416666661</v>
      </c>
      <c r="E13" s="11">
        <v>6.9861291666666658E-2</v>
      </c>
      <c r="F13" s="11">
        <v>-1.14548125E-2</v>
      </c>
      <c r="G13" s="11">
        <v>1.574485416666668E-2</v>
      </c>
      <c r="H13" s="11">
        <v>2.999035416666665E-2</v>
      </c>
      <c r="I13" s="11">
        <v>2.9130541666666659E-2</v>
      </c>
      <c r="J13" s="11">
        <v>-4.3898812500000023E-2</v>
      </c>
      <c r="K13" s="11">
        <v>-1.3674791666666681E-3</v>
      </c>
      <c r="L13" s="11">
        <v>-6.0251041666666613E-3</v>
      </c>
      <c r="M13" s="11">
        <v>3.2797582260047169E-3</v>
      </c>
      <c r="N13" s="11">
        <v>-4.3392417465696789E-2</v>
      </c>
      <c r="O13" s="11">
        <v>1.7422698810949939E-2</v>
      </c>
      <c r="P13" s="11">
        <v>1.6792145833333331E-2</v>
      </c>
      <c r="Q13" s="11">
        <v>7.3225020833333321E-2</v>
      </c>
      <c r="R13" s="11">
        <v>1.415983333333333E-2</v>
      </c>
      <c r="S13" s="11">
        <v>-1.2243312500000001E-2</v>
      </c>
      <c r="T13" s="11">
        <v>-2.2104479166666649E-2</v>
      </c>
      <c r="U13" s="11">
        <v>2.8761330590554329E-2</v>
      </c>
      <c r="V13" s="11">
        <v>2.216639903053957E-3</v>
      </c>
      <c r="W13" s="11">
        <v>-3.096890407148287E-2</v>
      </c>
      <c r="X13" s="11">
        <v>5.3276458333333318E-2</v>
      </c>
      <c r="Y13" s="11">
        <v>2.6471883217342521E-2</v>
      </c>
      <c r="Z13" s="11">
        <v>-7.842443480518356E-2</v>
      </c>
      <c r="AA13" s="11">
        <v>-1.6440041666666641E-2</v>
      </c>
      <c r="AB13" s="11">
        <v>-4.6678220121377283E-2</v>
      </c>
      <c r="AC13" s="11">
        <v>-2.187155616137754E-2</v>
      </c>
      <c r="AD13" s="11">
        <v>2.1543083333333331E-2</v>
      </c>
      <c r="AE13" s="11">
        <v>4.2517211455791168E-2</v>
      </c>
      <c r="AF13" s="11">
        <v>-3.1940463834301228E-2</v>
      </c>
      <c r="AG13" s="11">
        <v>-3.1681783055002889E-2</v>
      </c>
      <c r="AH13" s="11">
        <v>-9.6413392395163916E-3</v>
      </c>
      <c r="AI13" s="11">
        <v>-1.20675500740728E-2</v>
      </c>
      <c r="AJ13" s="11">
        <v>1.628046998827572E-2</v>
      </c>
      <c r="AK13" s="11">
        <v>-6.5987912810655996E-2</v>
      </c>
      <c r="AL13" s="11">
        <v>-2.3151428595171029E-2</v>
      </c>
      <c r="AM13" s="11">
        <v>-4.6282443536828928E-2</v>
      </c>
      <c r="AN13" s="11">
        <v>-0.10533023813603409</v>
      </c>
      <c r="AO13" s="11">
        <v>-9.3111878994149404E-3</v>
      </c>
      <c r="AP13" s="11">
        <v>5.9550840361997717E-2</v>
      </c>
      <c r="AQ13" s="11">
        <v>6.0492887688996834E-3</v>
      </c>
      <c r="AR13" s="11">
        <v>-1.0689185535935661E-2</v>
      </c>
      <c r="AS13" s="11">
        <v>-4.1313118484234093E-2</v>
      </c>
      <c r="AT13" s="11">
        <v>-4.0463087854439743E-2</v>
      </c>
      <c r="AU13" s="11">
        <v>-4.0976126475978862E-2</v>
      </c>
      <c r="AV13" s="11">
        <v>9.475472639553081E-3</v>
      </c>
      <c r="AW13" s="11">
        <v>-4.0800135830634E-3</v>
      </c>
      <c r="AX13" s="11">
        <v>-6.7153787783110333E-2</v>
      </c>
      <c r="AY13" s="11">
        <v>-1.756434634862496E-2</v>
      </c>
      <c r="AZ13" s="11">
        <v>8.1034674694993921E-3</v>
      </c>
      <c r="BA13" s="11">
        <v>7.9829270833333327E-2</v>
      </c>
      <c r="BB13" s="11">
        <v>-4.2875374496810892E-2</v>
      </c>
      <c r="BC13" s="11">
        <v>-1.128376711165765E-2</v>
      </c>
      <c r="BD13" s="11">
        <v>-3.344428383681335E-3</v>
      </c>
      <c r="BE13" s="11">
        <v>-2.7391806305641558E-2</v>
      </c>
      <c r="BF13" s="11">
        <v>-8.3929415307496771E-2</v>
      </c>
      <c r="BG13" s="11">
        <v>-8.8397545856320814E-2</v>
      </c>
      <c r="BH13" s="11">
        <v>-4.1023656192191983E-2</v>
      </c>
      <c r="BI13" s="11">
        <v>-2.1601559102932929E-2</v>
      </c>
      <c r="BJ13" s="11">
        <v>-2.4266087613108871E-2</v>
      </c>
      <c r="BK13" s="11">
        <v>-8.8783959160913702E-3</v>
      </c>
      <c r="BL13" s="11">
        <v>1.3618958333333341E-2</v>
      </c>
      <c r="BM13" s="11">
        <v>-1.6918615618881649E-2</v>
      </c>
      <c r="BN13" s="11">
        <v>-1.105254187527629E-2</v>
      </c>
      <c r="BO13" s="11">
        <v>-3.0878716233474109E-2</v>
      </c>
      <c r="BP13" s="11">
        <v>-9.4326956946515182E-3</v>
      </c>
      <c r="BQ13" s="11">
        <v>-4.1653063789425779E-2</v>
      </c>
      <c r="BR13" s="11">
        <v>6.6814174835574522E-3</v>
      </c>
      <c r="BS13" s="11">
        <v>4.0180514361416918E-2</v>
      </c>
      <c r="BT13" s="11">
        <v>-3.3667895833333343E-2</v>
      </c>
      <c r="BU13" s="11">
        <v>-7.4658166666666678E-2</v>
      </c>
      <c r="BV13" s="11">
        <v>3.144022916666666E-2</v>
      </c>
      <c r="BW13" s="11">
        <v>8.6230333333333353E-2</v>
      </c>
      <c r="BX13" s="11">
        <v>-2.1078067524026588E-2</v>
      </c>
      <c r="BY13" s="11">
        <v>-3.0828583333333329E-2</v>
      </c>
      <c r="BZ13" s="11">
        <v>-1.3758708333333369E-2</v>
      </c>
      <c r="CA13" s="11">
        <v>2.4012187500000001E-2</v>
      </c>
      <c r="CB13" s="11">
        <v>-2.6017379522694919E-2</v>
      </c>
      <c r="CC13" s="11">
        <v>-8.2248093719304062E-3</v>
      </c>
      <c r="CD13" s="11">
        <v>-2.1204143880606541E-2</v>
      </c>
      <c r="CE13" s="11">
        <v>-7.9437869787202575E-2</v>
      </c>
      <c r="CF13" s="11">
        <v>1.8229145833333339E-2</v>
      </c>
      <c r="CG13" s="11">
        <v>-5.8014967807239318E-2</v>
      </c>
      <c r="CH13" s="11">
        <v>-4.0295060582103241E-3</v>
      </c>
      <c r="CI13" s="11">
        <v>-1.4533303233279799E-2</v>
      </c>
      <c r="CJ13" s="11">
        <v>5.481018067884004E-2</v>
      </c>
      <c r="CK13" s="11">
        <v>6.568712626679736E-2</v>
      </c>
      <c r="CL13" s="11">
        <v>7.2724175153218551E-2</v>
      </c>
      <c r="CM13" s="11">
        <v>1.0296803756394969E-2</v>
      </c>
      <c r="CN13" s="11">
        <v>2.688756599885234E-2</v>
      </c>
      <c r="CO13" s="11">
        <v>1.345745856322739E-2</v>
      </c>
      <c r="CP13" s="11">
        <v>-6.9726540277734339E-2</v>
      </c>
      <c r="CQ13" s="11">
        <v>-3.8184950196159702E-2</v>
      </c>
      <c r="CR13" s="11">
        <v>-8.2797809976485181E-3</v>
      </c>
      <c r="CS13" s="11">
        <v>-1.0833051115274659E-2</v>
      </c>
      <c r="CT13" s="11">
        <v>-8.0707993163786768E-3</v>
      </c>
      <c r="CU13" s="11">
        <v>-3.7161402282311212E-2</v>
      </c>
      <c r="CV13" s="11">
        <v>2.9533121732579042E-3</v>
      </c>
      <c r="CW13" s="11">
        <v>-5.97703085624611E-3</v>
      </c>
      <c r="CX13" s="11">
        <v>-6.0033255240053027E-2</v>
      </c>
      <c r="CY13" s="11">
        <v>1.3118740115012659E-2</v>
      </c>
      <c r="CZ13" s="11">
        <v>-5.7224220353485122E-2</v>
      </c>
      <c r="DA13" s="11">
        <v>5.583676925821391E-3</v>
      </c>
      <c r="DB13" s="11">
        <v>4.1761569716784581E-2</v>
      </c>
      <c r="DC13" s="11">
        <v>-2.9775565878292928E-2</v>
      </c>
      <c r="DD13" s="11">
        <v>-1.069760060073574E-2</v>
      </c>
      <c r="DE13" s="11">
        <v>-5.9289571260749546E-3</v>
      </c>
      <c r="DF13" s="11">
        <v>2.8518796793634778E-2</v>
      </c>
      <c r="DG13" s="11">
        <v>1.6306571728899009E-3</v>
      </c>
      <c r="DH13" s="11">
        <v>-1.129576788191507E-2</v>
      </c>
      <c r="DI13" s="11">
        <v>4.5977025094676827E-2</v>
      </c>
      <c r="DJ13" s="11">
        <v>3.3317561795107452E-3</v>
      </c>
      <c r="DK13" s="11">
        <v>-1.240907421862765E-2</v>
      </c>
      <c r="DL13" s="11">
        <v>1.6300246491314559E-2</v>
      </c>
      <c r="DM13" s="11">
        <v>6.6588690484439203E-3</v>
      </c>
      <c r="DN13" s="11">
        <v>-1.1499577922513139E-2</v>
      </c>
      <c r="DO13" s="11">
        <v>-4.6891412388131722E-2</v>
      </c>
      <c r="DP13" s="11">
        <v>-4.8786635856269467E-2</v>
      </c>
      <c r="DQ13" s="11">
        <v>8.712901139257051E-2</v>
      </c>
      <c r="DR13" s="11">
        <v>-1.4466961470859749E-2</v>
      </c>
      <c r="DS13" s="11">
        <v>3.8887627839669842E-2</v>
      </c>
      <c r="DT13" s="11">
        <v>3.542630104766481E-2</v>
      </c>
      <c r="DU13" s="11">
        <v>-1.8705163637144761E-2</v>
      </c>
      <c r="DV13" s="11">
        <v>-7.9620144024188558E-2</v>
      </c>
      <c r="DW13" s="11">
        <v>-4.4417789624350307E-2</v>
      </c>
      <c r="DX13" s="11">
        <v>6.4523379578496173E-2</v>
      </c>
      <c r="DY13" s="11">
        <v>-3.5386044653833333E-2</v>
      </c>
      <c r="DZ13" s="11">
        <v>1.460881448721826E-2</v>
      </c>
      <c r="EA13" s="11">
        <v>0.1244689581490709</v>
      </c>
      <c r="EB13" s="11">
        <v>5.7205292748389078E-2</v>
      </c>
      <c r="EC13" s="11">
        <v>-2.198485253152441E-2</v>
      </c>
      <c r="ED13" s="11">
        <v>-5.3978019629255351E-2</v>
      </c>
      <c r="EE13" s="11">
        <v>3.58674799008201E-2</v>
      </c>
      <c r="EF13" s="11">
        <v>-6.6577215363556236E-2</v>
      </c>
    </row>
    <row r="14" spans="1:136">
      <c r="A14" s="2">
        <v>50</v>
      </c>
      <c r="B14" s="2">
        <v>19</v>
      </c>
      <c r="C14" s="11">
        <v>0.1199416315789474</v>
      </c>
      <c r="D14" s="11">
        <v>0.22230878947368421</v>
      </c>
      <c r="E14" s="11">
        <v>9.8768157894736849E-2</v>
      </c>
      <c r="F14" s="11">
        <v>3.4543210526315787E-2</v>
      </c>
      <c r="G14" s="11">
        <v>8.5149210526315786E-2</v>
      </c>
      <c r="H14" s="11">
        <v>5.9588947368421033E-2</v>
      </c>
      <c r="I14" s="11">
        <v>7.7115000000000003E-2</v>
      </c>
      <c r="J14" s="11">
        <v>-0.1050935789473684</v>
      </c>
      <c r="K14" s="11">
        <v>1.2451473684210519E-2</v>
      </c>
      <c r="L14" s="11">
        <v>-8.480210526315788E-3</v>
      </c>
      <c r="M14" s="11">
        <v>-1.902171446498398E-2</v>
      </c>
      <c r="N14" s="11">
        <v>-5.7369426657022049E-2</v>
      </c>
      <c r="O14" s="11">
        <v>1.4944079385485289E-3</v>
      </c>
      <c r="P14" s="11">
        <v>4.7779947368421033E-2</v>
      </c>
      <c r="Q14" s="11">
        <v>5.8239052631578962E-2</v>
      </c>
      <c r="R14" s="11">
        <v>-1.4151684210526309E-2</v>
      </c>
      <c r="S14" s="11">
        <v>3.8535263157894732E-2</v>
      </c>
      <c r="T14" s="11">
        <v>-1.736173684210527E-2</v>
      </c>
      <c r="U14" s="11">
        <v>3.0556169330400691E-2</v>
      </c>
      <c r="V14" s="11">
        <v>-5.2421300158885083E-2</v>
      </c>
      <c r="W14" s="11">
        <v>-4.779500273352006E-2</v>
      </c>
      <c r="X14" s="11">
        <v>5.3581789473684222E-2</v>
      </c>
      <c r="Y14" s="11">
        <v>5.2198745955319217E-3</v>
      </c>
      <c r="Z14" s="11">
        <v>-3.8511926280307661E-2</v>
      </c>
      <c r="AA14" s="11">
        <v>-2.6256842105263178E-3</v>
      </c>
      <c r="AB14" s="11">
        <v>-7.0769377347230211E-2</v>
      </c>
      <c r="AC14" s="11">
        <v>1.351726880349334E-2</v>
      </c>
      <c r="AD14" s="11">
        <v>3.9327947368421053E-2</v>
      </c>
      <c r="AE14" s="11">
        <v>0.1064120722476776</v>
      </c>
      <c r="AF14" s="11">
        <v>-4.0420702542399108E-2</v>
      </c>
      <c r="AG14" s="11">
        <v>-2.0520894646562499E-2</v>
      </c>
      <c r="AH14" s="11">
        <v>-5.250277930506024E-3</v>
      </c>
      <c r="AI14" s="11">
        <v>-7.2072950927120863E-2</v>
      </c>
      <c r="AJ14" s="11">
        <v>-1.505903608315101E-2</v>
      </c>
      <c r="AK14" s="11">
        <v>-7.6911430858302002E-2</v>
      </c>
      <c r="AL14" s="11">
        <v>-3.7969189722460717E-2</v>
      </c>
      <c r="AM14" s="11">
        <v>-6.1242166378625243E-2</v>
      </c>
      <c r="AN14" s="11">
        <v>-9.8594666769543718E-2</v>
      </c>
      <c r="AO14" s="11">
        <v>-6.0905705465409951E-2</v>
      </c>
      <c r="AP14" s="11">
        <v>6.9976525152084204E-2</v>
      </c>
      <c r="AQ14" s="11">
        <v>3.6796773775995059E-4</v>
      </c>
      <c r="AR14" s="11">
        <v>-3.764583976226292E-2</v>
      </c>
      <c r="AS14" s="11">
        <v>-8.5376985953046783E-2</v>
      </c>
      <c r="AT14" s="11">
        <v>-3.4506579685144471E-2</v>
      </c>
      <c r="AU14" s="11">
        <v>-3.999164900330384E-2</v>
      </c>
      <c r="AV14" s="11">
        <v>1.868288543361717E-2</v>
      </c>
      <c r="AW14" s="11">
        <v>1.8362931505957501E-2</v>
      </c>
      <c r="AX14" s="11">
        <v>-0.13695102829439271</v>
      </c>
      <c r="AY14" s="11">
        <v>-1.5068118771761551E-2</v>
      </c>
      <c r="AZ14" s="11">
        <v>5.3348569172156059E-2</v>
      </c>
      <c r="BA14" s="11">
        <v>9.6337421052631572E-2</v>
      </c>
      <c r="BB14" s="11">
        <v>-6.1734282001674842E-2</v>
      </c>
      <c r="BC14" s="11">
        <v>9.8209989552774171E-3</v>
      </c>
      <c r="BD14" s="11">
        <v>-4.3327781667405418E-2</v>
      </c>
      <c r="BE14" s="11">
        <v>-4.3787062535487017E-2</v>
      </c>
      <c r="BF14" s="11">
        <v>-4.0770521545689782E-2</v>
      </c>
      <c r="BG14" s="11">
        <v>-0.12530530643958979</v>
      </c>
      <c r="BH14" s="11">
        <v>-7.3413464178725074E-2</v>
      </c>
      <c r="BI14" s="11">
        <v>4.1031067933231892E-2</v>
      </c>
      <c r="BJ14" s="11">
        <v>-6.8604195602302687E-2</v>
      </c>
      <c r="BK14" s="11">
        <v>-3.3691419870768569E-2</v>
      </c>
      <c r="BL14" s="11">
        <v>1.057157894736843E-2</v>
      </c>
      <c r="BM14" s="11">
        <v>-3.9257215206427082E-2</v>
      </c>
      <c r="BN14" s="11">
        <v>-2.0936538072551379E-2</v>
      </c>
      <c r="BO14" s="11">
        <v>-3.3609045677264478E-2</v>
      </c>
      <c r="BP14" s="11">
        <v>-1.5673733492959141E-2</v>
      </c>
      <c r="BQ14" s="11">
        <v>-1.584352386995078E-2</v>
      </c>
      <c r="BR14" s="11">
        <v>2.7929429532617921E-2</v>
      </c>
      <c r="BS14" s="11">
        <v>3.033272398677064E-2</v>
      </c>
      <c r="BT14" s="11">
        <v>1.528831578947369E-2</v>
      </c>
      <c r="BU14" s="11">
        <v>-0.11116010526315789</v>
      </c>
      <c r="BV14" s="11">
        <v>4.1282210526315803E-2</v>
      </c>
      <c r="BW14" s="11">
        <v>0.1184082105263158</v>
      </c>
      <c r="BX14" s="11">
        <v>-5.4970760121953073E-2</v>
      </c>
      <c r="BY14" s="11">
        <v>-8.0401000000000056E-2</v>
      </c>
      <c r="BZ14" s="11">
        <v>5.0985789473684179E-2</v>
      </c>
      <c r="CA14" s="11">
        <v>3.3454631578947368E-2</v>
      </c>
      <c r="CB14" s="11">
        <v>-5.9477060293539823E-2</v>
      </c>
      <c r="CC14" s="11">
        <v>-2.8975681486368681E-2</v>
      </c>
      <c r="CD14" s="11">
        <v>3.2926387352783637E-2</v>
      </c>
      <c r="CE14" s="11">
        <v>-0.1143531086270947</v>
      </c>
      <c r="CF14" s="11">
        <v>-2.031031578947368E-2</v>
      </c>
      <c r="CG14" s="11">
        <v>-5.7320663667820577E-2</v>
      </c>
      <c r="CH14" s="11">
        <v>-4.8879670456065782E-2</v>
      </c>
      <c r="CI14" s="11">
        <v>-1.470161201144274E-2</v>
      </c>
      <c r="CJ14" s="11">
        <v>1.7796116349141359E-2</v>
      </c>
      <c r="CK14" s="11">
        <v>5.3792086513992962E-2</v>
      </c>
      <c r="CL14" s="11">
        <v>0.13734357045347451</v>
      </c>
      <c r="CM14" s="11">
        <v>-3.2040010368317121E-2</v>
      </c>
      <c r="CN14" s="11">
        <v>2.3026688670926061E-2</v>
      </c>
      <c r="CO14" s="11">
        <v>7.3587720038892968E-2</v>
      </c>
      <c r="CP14" s="11">
        <v>-9.9809331481752833E-2</v>
      </c>
      <c r="CQ14" s="11">
        <v>-5.321162809167454E-2</v>
      </c>
      <c r="CR14" s="11">
        <v>-5.590913762450133E-2</v>
      </c>
      <c r="CS14" s="11">
        <v>-5.9027120263655718E-2</v>
      </c>
      <c r="CT14" s="11">
        <v>-1.910057655068487E-2</v>
      </c>
      <c r="CU14" s="11">
        <v>4.3917102697214612E-2</v>
      </c>
      <c r="CV14" s="11">
        <v>-2.274571513825533E-2</v>
      </c>
      <c r="CW14" s="11">
        <v>3.3983824634707719E-3</v>
      </c>
      <c r="CX14" s="11">
        <v>-3.6299408888239168E-2</v>
      </c>
      <c r="CY14" s="11">
        <v>2.875912029147424E-2</v>
      </c>
      <c r="CZ14" s="11">
        <v>-6.4063563350383365E-2</v>
      </c>
      <c r="DA14" s="11">
        <v>2.4304289170584491E-2</v>
      </c>
      <c r="DB14" s="11">
        <v>2.356107318819085E-2</v>
      </c>
      <c r="DC14" s="11">
        <v>-2.3632609204847509E-2</v>
      </c>
      <c r="DD14" s="11">
        <v>1.6758549792416429E-2</v>
      </c>
      <c r="DE14" s="11">
        <v>-5.3842996077645283E-3</v>
      </c>
      <c r="DF14" s="11">
        <v>3.5856630557062542E-2</v>
      </c>
      <c r="DG14" s="11">
        <v>-1.144655639331721E-2</v>
      </c>
      <c r="DH14" s="11">
        <v>-4.7748372429115976E-3</v>
      </c>
      <c r="DI14" s="11">
        <v>5.8597819708917052E-2</v>
      </c>
      <c r="DJ14" s="11">
        <v>-1.023724267297355E-3</v>
      </c>
      <c r="DK14" s="11">
        <v>-1.9071063117655919E-2</v>
      </c>
      <c r="DL14" s="11">
        <v>1.516516155488855E-2</v>
      </c>
      <c r="DM14" s="11">
        <v>-5.504269093650517E-3</v>
      </c>
      <c r="DN14" s="11">
        <v>-4.2662495893264311E-2</v>
      </c>
      <c r="DO14" s="11">
        <v>-4.1375645162797292E-2</v>
      </c>
      <c r="DP14" s="11">
        <v>-4.3539716357652018E-2</v>
      </c>
      <c r="DQ14" s="11">
        <v>7.1172564581132955E-2</v>
      </c>
      <c r="DR14" s="11">
        <v>-5.4840962455492354E-3</v>
      </c>
      <c r="DS14" s="11">
        <v>3.5044906270916831E-2</v>
      </c>
      <c r="DT14" s="11">
        <v>4.4516953597455299E-2</v>
      </c>
      <c r="DU14" s="11">
        <v>4.4914948618981987E-2</v>
      </c>
      <c r="DV14" s="11">
        <v>-0.1082623545301073</v>
      </c>
      <c r="DW14" s="11">
        <v>-9.8344367017777726E-2</v>
      </c>
      <c r="DX14" s="11">
        <v>0.1019315055524211</v>
      </c>
      <c r="DY14" s="11">
        <v>-3.7997079946848547E-2</v>
      </c>
      <c r="DZ14" s="11">
        <v>2.1881573318462251E-2</v>
      </c>
      <c r="EA14" s="11">
        <v>6.2912684572741601E-2</v>
      </c>
      <c r="EB14" s="11">
        <v>7.8179830700263173E-2</v>
      </c>
      <c r="EC14" s="11">
        <v>-4.3260017529307637E-2</v>
      </c>
      <c r="ED14" s="11">
        <v>-7.8399264145063485E-2</v>
      </c>
      <c r="EE14" s="11">
        <v>4.2505739301358231E-2</v>
      </c>
      <c r="EF14" s="11">
        <v>-6.9956420498558061E-2</v>
      </c>
    </row>
    <row r="15" spans="1:136">
      <c r="A15" s="2">
        <v>100</v>
      </c>
      <c r="B15" s="2">
        <v>10</v>
      </c>
      <c r="C15" s="11">
        <v>0.22764509999999999</v>
      </c>
      <c r="D15" s="11">
        <v>0.37270970000000009</v>
      </c>
      <c r="E15" s="11">
        <v>6.2044600000000012E-2</v>
      </c>
      <c r="F15" s="11">
        <v>9.0304599999999999E-2</v>
      </c>
      <c r="G15" s="11">
        <v>9.6606200000000003E-2</v>
      </c>
      <c r="H15" s="11">
        <v>0.1188444</v>
      </c>
      <c r="I15" s="11">
        <v>0.12672890000000001</v>
      </c>
      <c r="J15" s="11">
        <v>-6.4524200000000004E-2</v>
      </c>
      <c r="K15" s="11">
        <v>-4.2110000000000064E-3</v>
      </c>
      <c r="L15" s="11">
        <v>1.296690000000001E-2</v>
      </c>
      <c r="M15" s="11">
        <v>-2.1330164362876949E-3</v>
      </c>
      <c r="N15" s="11">
        <v>-0.10979619442513371</v>
      </c>
      <c r="O15" s="11">
        <v>-1.227079575915271E-2</v>
      </c>
      <c r="P15" s="11">
        <v>5.2983399999999993E-2</v>
      </c>
      <c r="Q15" s="11">
        <v>0.1003768</v>
      </c>
      <c r="R15" s="11">
        <v>1.6755200000000001E-2</v>
      </c>
      <c r="S15" s="11">
        <v>-4.3033600000000012E-2</v>
      </c>
      <c r="T15" s="11">
        <v>-4.9339700000000007E-2</v>
      </c>
      <c r="U15" s="11">
        <v>7.8199390437812863E-2</v>
      </c>
      <c r="V15" s="11">
        <v>-0.1101270063308359</v>
      </c>
      <c r="W15" s="11">
        <v>-5.0671424244990583E-2</v>
      </c>
      <c r="X15" s="11">
        <v>7.8436500000000034E-2</v>
      </c>
      <c r="Y15" s="11">
        <v>-2.0629974365819839E-2</v>
      </c>
      <c r="Z15" s="11">
        <v>-4.6719972053358677E-2</v>
      </c>
      <c r="AA15" s="11">
        <v>4.6588900000000003E-2</v>
      </c>
      <c r="AB15" s="11">
        <v>-8.370017251583052E-2</v>
      </c>
      <c r="AC15" s="11">
        <v>-1.6480966208188091E-2</v>
      </c>
      <c r="AD15" s="11">
        <v>3.9690400000000001E-2</v>
      </c>
      <c r="AE15" s="11">
        <v>9.7797684008951086E-2</v>
      </c>
      <c r="AF15" s="11">
        <v>-6.5819612497039853E-2</v>
      </c>
      <c r="AG15" s="11">
        <v>-1.012347826165556E-2</v>
      </c>
      <c r="AH15" s="11">
        <v>3.3604373357676472E-2</v>
      </c>
      <c r="AI15" s="11">
        <v>-8.5430110815606947E-2</v>
      </c>
      <c r="AJ15" s="11">
        <v>-9.4648599674757375E-3</v>
      </c>
      <c r="AK15" s="11">
        <v>-6.1759619658444932E-2</v>
      </c>
      <c r="AL15" s="11">
        <v>-4.4431662495814539E-2</v>
      </c>
      <c r="AM15" s="11">
        <v>-5.5122622134627111E-2</v>
      </c>
      <c r="AN15" s="11">
        <v>-0.10168870591238351</v>
      </c>
      <c r="AO15" s="11">
        <v>-6.3369812463467096E-2</v>
      </c>
      <c r="AP15" s="11">
        <v>7.8285693892754235E-2</v>
      </c>
      <c r="AQ15" s="11">
        <v>3.7367126796121669E-2</v>
      </c>
      <c r="AR15" s="11">
        <v>-9.0293855475916673E-2</v>
      </c>
      <c r="AS15" s="11">
        <v>-5.3821179037114017E-2</v>
      </c>
      <c r="AT15" s="11">
        <v>-6.5254990652428568E-2</v>
      </c>
      <c r="AU15" s="11">
        <v>-3.9943261089466317E-2</v>
      </c>
      <c r="AV15" s="11">
        <v>4.7226818327438858E-2</v>
      </c>
      <c r="AW15" s="11">
        <v>-1.5659939254580951E-2</v>
      </c>
      <c r="AX15" s="11">
        <v>-0.12523397717473519</v>
      </c>
      <c r="AY15" s="11">
        <v>-2.8017064110032911E-2</v>
      </c>
      <c r="AZ15" s="11">
        <v>9.1323280068503487E-2</v>
      </c>
      <c r="BA15" s="11">
        <v>0.1576883</v>
      </c>
      <c r="BB15" s="11">
        <v>-0.1127248660788131</v>
      </c>
      <c r="BC15" s="11">
        <v>-6.2155143667830287E-2</v>
      </c>
      <c r="BD15" s="11">
        <v>-5.3043273904796059E-2</v>
      </c>
      <c r="BE15" s="11">
        <v>-4.8442721017663122E-2</v>
      </c>
      <c r="BF15" s="11">
        <v>-4.7662979456752137E-2</v>
      </c>
      <c r="BG15" s="11">
        <v>-0.16605121546459681</v>
      </c>
      <c r="BH15" s="11">
        <v>-9.8649046406420665E-2</v>
      </c>
      <c r="BI15" s="11">
        <v>2.115911440673959E-2</v>
      </c>
      <c r="BJ15" s="11">
        <v>-0.13011025503616941</v>
      </c>
      <c r="BK15" s="11">
        <v>4.5604932300413459E-2</v>
      </c>
      <c r="BL15" s="11">
        <v>7.7699999999993052E-5</v>
      </c>
      <c r="BM15" s="11">
        <v>-6.6824821366729223E-2</v>
      </c>
      <c r="BN15" s="11">
        <v>-4.0142569733189887E-2</v>
      </c>
      <c r="BO15" s="11">
        <v>-2.773447595493098E-2</v>
      </c>
      <c r="BP15" s="11">
        <v>-1.4184220707804779E-2</v>
      </c>
      <c r="BQ15" s="11">
        <v>-1.280293129032776E-2</v>
      </c>
      <c r="BR15" s="11">
        <v>5.0157429122059692E-2</v>
      </c>
      <c r="BS15" s="11">
        <v>1.1865910908611719E-2</v>
      </c>
      <c r="BT15" s="11">
        <v>-3.6632600000000008E-2</v>
      </c>
      <c r="BU15" s="11">
        <v>-8.5546499999999998E-2</v>
      </c>
      <c r="BV15" s="11">
        <v>8.6180100000000009E-2</v>
      </c>
      <c r="BW15" s="11">
        <v>0.20414550000000001</v>
      </c>
      <c r="BX15" s="11">
        <v>-2.8635895065731481E-2</v>
      </c>
      <c r="BY15" s="11">
        <v>-9.3338900000000002E-2</v>
      </c>
      <c r="BZ15" s="11">
        <v>6.7360199999999995E-2</v>
      </c>
      <c r="CA15" s="11">
        <v>2.9962900000000001E-2</v>
      </c>
      <c r="CB15" s="11">
        <v>-9.268410552323747E-2</v>
      </c>
      <c r="CC15" s="11">
        <v>3.5358543172516708E-2</v>
      </c>
      <c r="CD15" s="11">
        <v>-4.7114468128673648E-2</v>
      </c>
      <c r="CE15" s="11">
        <v>-9.7490745145434682E-2</v>
      </c>
      <c r="CF15" s="11">
        <v>-3.626399999999988E-3</v>
      </c>
      <c r="CG15" s="11">
        <v>-8.5886021530163809E-2</v>
      </c>
      <c r="CH15" s="11">
        <v>-8.1342607983328249E-2</v>
      </c>
      <c r="CI15" s="11">
        <v>2.5109387803323689E-3</v>
      </c>
      <c r="CJ15" s="11">
        <v>4.0671716947061162E-2</v>
      </c>
      <c r="CK15" s="11">
        <v>9.5640748172705348E-2</v>
      </c>
      <c r="CL15" s="11">
        <v>0.16165447304317659</v>
      </c>
      <c r="CM15" s="11">
        <v>-7.4631116128453773E-2</v>
      </c>
      <c r="CN15" s="11">
        <v>4.2634115799160301E-2</v>
      </c>
      <c r="CO15" s="11">
        <v>0.12944902488204141</v>
      </c>
      <c r="CP15" s="11">
        <v>-0.12753583543294969</v>
      </c>
      <c r="CQ15" s="11">
        <v>-3.7378010765128991E-2</v>
      </c>
      <c r="CR15" s="11">
        <v>-4.8237070288164277E-2</v>
      </c>
      <c r="CS15" s="11">
        <v>-6.0185172463594637E-2</v>
      </c>
      <c r="CT15" s="11">
        <v>-7.3945749754547726E-3</v>
      </c>
      <c r="CU15" s="11">
        <v>6.3178659914772728E-2</v>
      </c>
      <c r="CV15" s="11">
        <v>6.1418469048089008E-3</v>
      </c>
      <c r="CW15" s="11">
        <v>1.248466018044017E-2</v>
      </c>
      <c r="CX15" s="11">
        <v>-2.4039607053330959E-2</v>
      </c>
      <c r="CY15" s="11">
        <v>4.2470673077762339E-2</v>
      </c>
      <c r="CZ15" s="11">
        <v>-7.9886947944342257E-2</v>
      </c>
      <c r="DA15" s="11">
        <v>2.6375835441876511E-2</v>
      </c>
      <c r="DB15" s="11">
        <v>3.0226618214123681E-2</v>
      </c>
      <c r="DC15" s="11">
        <v>-3.5075149974582137E-2</v>
      </c>
      <c r="DD15" s="11">
        <v>4.9393690499884603E-2</v>
      </c>
      <c r="DE15" s="11">
        <v>-2.494871474504301E-2</v>
      </c>
      <c r="DF15" s="11">
        <v>4.2391306399394757E-2</v>
      </c>
      <c r="DG15" s="11">
        <v>-1.61967316182412E-2</v>
      </c>
      <c r="DH15" s="11">
        <v>1.8709011043892099E-2</v>
      </c>
      <c r="DI15" s="11">
        <v>1.171844900945769E-2</v>
      </c>
      <c r="DJ15" s="11">
        <v>5.1853853094406883E-2</v>
      </c>
      <c r="DK15" s="11">
        <v>-0.101774834051468</v>
      </c>
      <c r="DL15" s="11">
        <v>-6.2635494088437937E-2</v>
      </c>
      <c r="DM15" s="11">
        <v>2.380854686766869E-2</v>
      </c>
      <c r="DN15" s="11">
        <v>-4.3996497423619649E-2</v>
      </c>
      <c r="DO15" s="11">
        <v>-4.6296727233800808E-2</v>
      </c>
      <c r="DP15" s="11">
        <v>-2.3735602006892551E-2</v>
      </c>
      <c r="DQ15" s="11">
        <v>3.7038688952197418E-2</v>
      </c>
      <c r="DR15" s="11">
        <v>3.0472640495081329E-2</v>
      </c>
      <c r="DS15" s="11">
        <v>7.6241908411797149E-2</v>
      </c>
      <c r="DT15" s="11">
        <v>7.2163631718163007E-2</v>
      </c>
      <c r="DU15" s="11">
        <v>4.5770728951680668E-2</v>
      </c>
      <c r="DV15" s="11">
        <v>-0.13976835694087139</v>
      </c>
      <c r="DW15" s="11">
        <v>-2.5538627146832551E-2</v>
      </c>
      <c r="DX15" s="11">
        <v>0.1186162506499864</v>
      </c>
      <c r="DY15" s="11">
        <v>-0.10653916660100959</v>
      </c>
      <c r="DZ15" s="11">
        <v>1.8920244069384411E-2</v>
      </c>
      <c r="EA15" s="11">
        <v>4.3451220280325303E-2</v>
      </c>
      <c r="EB15" s="11">
        <v>8.8087449527254891E-2</v>
      </c>
      <c r="EC15" s="11">
        <v>-7.6157076796619858E-2</v>
      </c>
      <c r="ED15" s="11">
        <v>-0.1106600344882203</v>
      </c>
      <c r="EE15" s="11">
        <v>4.9344179940159598E-2</v>
      </c>
      <c r="EF15" s="11">
        <v>-6.5700991138842244E-2</v>
      </c>
    </row>
    <row r="16" spans="1:136">
      <c r="A16" s="2">
        <v>107</v>
      </c>
      <c r="B16" s="2">
        <v>9</v>
      </c>
      <c r="C16" s="11">
        <v>0.20787511111111109</v>
      </c>
      <c r="D16" s="11">
        <v>0.40819544444444439</v>
      </c>
      <c r="E16" s="11">
        <v>6.5004888888888904E-2</v>
      </c>
      <c r="F16" s="11">
        <v>0.1242606666666667</v>
      </c>
      <c r="G16" s="11">
        <v>0.1090135555555555</v>
      </c>
      <c r="H16" s="11">
        <v>7.2848777777777762E-2</v>
      </c>
      <c r="I16" s="11">
        <v>0.111792</v>
      </c>
      <c r="J16" s="11">
        <v>-6.8693444444444446E-2</v>
      </c>
      <c r="K16" s="11">
        <v>1.7924444444444441E-2</v>
      </c>
      <c r="L16" s="11">
        <v>3.1026555555555561E-2</v>
      </c>
      <c r="M16" s="11">
        <v>-1.3987435861917089E-2</v>
      </c>
      <c r="N16" s="11">
        <v>-0.1202424982791967</v>
      </c>
      <c r="O16" s="11">
        <v>-2.8587076878979191E-2</v>
      </c>
      <c r="P16" s="11">
        <v>6.1979777777777773E-2</v>
      </c>
      <c r="Q16" s="11">
        <v>9.6619888888888894E-2</v>
      </c>
      <c r="R16" s="11">
        <v>1.918244444444445E-2</v>
      </c>
      <c r="S16" s="11">
        <v>-4.2415111111111112E-2</v>
      </c>
      <c r="T16" s="11">
        <v>-2.322744444444445E-2</v>
      </c>
      <c r="U16" s="11">
        <v>9.147193495076697E-2</v>
      </c>
      <c r="V16" s="11">
        <v>-7.5571486108906974E-2</v>
      </c>
      <c r="W16" s="11">
        <v>-0.1016313571311754</v>
      </c>
      <c r="X16" s="11">
        <v>7.3678333333333373E-2</v>
      </c>
      <c r="Y16" s="11">
        <v>-2.0180588419635579E-2</v>
      </c>
      <c r="Z16" s="11">
        <v>-4.3057930884211712E-2</v>
      </c>
      <c r="AA16" s="11">
        <v>5.022766666666667E-2</v>
      </c>
      <c r="AB16" s="11">
        <v>-7.4985041637980393E-2</v>
      </c>
      <c r="AC16" s="11">
        <v>-4.7226236202560543E-2</v>
      </c>
      <c r="AD16" s="11">
        <v>3.4810999999999988E-2</v>
      </c>
      <c r="AE16" s="11">
        <v>9.6502360488605665E-2</v>
      </c>
      <c r="AF16" s="11">
        <v>-6.3685842581589158E-2</v>
      </c>
      <c r="AG16" s="11">
        <v>-1.32907530365354E-2</v>
      </c>
      <c r="AH16" s="11">
        <v>3.1765400449440553E-2</v>
      </c>
      <c r="AI16" s="11">
        <v>-4.9078043176568033E-2</v>
      </c>
      <c r="AJ16" s="11">
        <v>7.0259660718760518E-3</v>
      </c>
      <c r="AK16" s="11">
        <v>-6.4421400832372078E-2</v>
      </c>
      <c r="AL16" s="11">
        <v>-4.8688933104523248E-2</v>
      </c>
      <c r="AM16" s="11">
        <v>-6.6076730601797973E-2</v>
      </c>
      <c r="AN16" s="11">
        <v>-0.1064562000896756</v>
      </c>
      <c r="AO16" s="11">
        <v>-6.1424671825912318E-2</v>
      </c>
      <c r="AP16" s="11">
        <v>7.779836814558852E-2</v>
      </c>
      <c r="AQ16" s="11">
        <v>3.8466200146068608E-2</v>
      </c>
      <c r="AR16" s="11">
        <v>-0.1032911790604924</v>
      </c>
      <c r="AS16" s="11">
        <v>-6.5068225473969343E-2</v>
      </c>
      <c r="AT16" s="11">
        <v>-4.954715531837002E-2</v>
      </c>
      <c r="AU16" s="11">
        <v>-4.1826838254895117E-2</v>
      </c>
      <c r="AV16" s="11">
        <v>9.0725067800187069E-3</v>
      </c>
      <c r="AW16" s="11">
        <v>-3.9252930074650652E-2</v>
      </c>
      <c r="AX16" s="11">
        <v>-0.10082977324397289</v>
      </c>
      <c r="AY16" s="11">
        <v>-3.3812589844345937E-2</v>
      </c>
      <c r="AZ16" s="11">
        <v>0.1049096351787122</v>
      </c>
      <c r="BA16" s="11">
        <v>0.15999111111111111</v>
      </c>
      <c r="BB16" s="11">
        <v>-0.10803892415273809</v>
      </c>
      <c r="BC16" s="11">
        <v>-6.712146610769186E-2</v>
      </c>
      <c r="BD16" s="11">
        <v>-3.5936711545904013E-2</v>
      </c>
      <c r="BE16" s="11">
        <v>-5.1410994394474947E-2</v>
      </c>
      <c r="BF16" s="11">
        <v>-6.4268054319718215E-2</v>
      </c>
      <c r="BG16" s="11">
        <v>-0.16122956958435061</v>
      </c>
      <c r="BH16" s="11">
        <v>-9.6162034507733696E-2</v>
      </c>
      <c r="BI16" s="11">
        <v>4.8989940432910987E-2</v>
      </c>
      <c r="BJ16" s="11">
        <v>-9.6566803525538036E-2</v>
      </c>
      <c r="BK16" s="11">
        <v>5.137162452601142E-2</v>
      </c>
      <c r="BL16" s="11">
        <v>-8.4145555555555571E-3</v>
      </c>
      <c r="BM16" s="11">
        <v>-8.1523875041965066E-2</v>
      </c>
      <c r="BN16" s="11">
        <v>-4.7905832604027233E-2</v>
      </c>
      <c r="BO16" s="11">
        <v>-2.1890359953657689E-2</v>
      </c>
      <c r="BP16" s="11">
        <v>-2.0843183547580579E-2</v>
      </c>
      <c r="BQ16" s="11">
        <v>-1.6478016254928601E-2</v>
      </c>
      <c r="BR16" s="11">
        <v>2.6296848021444389E-2</v>
      </c>
      <c r="BS16" s="11">
        <v>3.2006987192883168E-2</v>
      </c>
      <c r="BT16" s="11">
        <v>-3.8065333333333347E-2</v>
      </c>
      <c r="BU16" s="11">
        <v>-0.1015372222222222</v>
      </c>
      <c r="BV16" s="11">
        <v>9.4510444444444452E-2</v>
      </c>
      <c r="BW16" s="11">
        <v>0.22394500000000001</v>
      </c>
      <c r="BX16" s="11">
        <v>-3.1559237521130948E-2</v>
      </c>
      <c r="BY16" s="11">
        <v>-0.1189954444444445</v>
      </c>
      <c r="BZ16" s="11">
        <v>9.2629555555555548E-2</v>
      </c>
      <c r="CA16" s="11">
        <v>2.7431000000000001E-2</v>
      </c>
      <c r="CB16" s="11">
        <v>-0.1158655489891553</v>
      </c>
      <c r="CC16" s="11">
        <v>2.0683160701185161E-2</v>
      </c>
      <c r="CD16" s="11">
        <v>-6.0988525873729958E-2</v>
      </c>
      <c r="CE16" s="11">
        <v>-0.12131041340196019</v>
      </c>
      <c r="CF16" s="11">
        <v>-1.469599999999999E-2</v>
      </c>
      <c r="CG16" s="11">
        <v>-6.1727878146666561E-2</v>
      </c>
      <c r="CH16" s="11">
        <v>-5.0448724703996098E-2</v>
      </c>
      <c r="CI16" s="11">
        <v>4.2406681121506702E-3</v>
      </c>
      <c r="CJ16" s="11">
        <v>2.970338549376331E-2</v>
      </c>
      <c r="CK16" s="11">
        <v>8.8422689781607638E-2</v>
      </c>
      <c r="CL16" s="11">
        <v>0.19674043815921369</v>
      </c>
      <c r="CM16" s="11">
        <v>-8.8988628149511667E-2</v>
      </c>
      <c r="CN16" s="11">
        <v>3.3057515140949983E-2</v>
      </c>
      <c r="CO16" s="11">
        <v>0.18245195453982929</v>
      </c>
      <c r="CP16" s="11">
        <v>-0.13663168948209131</v>
      </c>
      <c r="CQ16" s="11">
        <v>-4.1435605659410409E-2</v>
      </c>
      <c r="CR16" s="11">
        <v>-4.829976668331655E-2</v>
      </c>
      <c r="CS16" s="11">
        <v>-6.6559159874073834E-2</v>
      </c>
      <c r="CT16" s="11">
        <v>-5.0674065008409694E-3</v>
      </c>
      <c r="CU16" s="11">
        <v>6.343465435897469E-2</v>
      </c>
      <c r="CV16" s="11">
        <v>1.6751084080720881E-2</v>
      </c>
      <c r="CW16" s="11">
        <v>9.1941595326216954E-3</v>
      </c>
      <c r="CX16" s="11">
        <v>-1.224028475424996E-2</v>
      </c>
      <c r="CY16" s="11">
        <v>4.9117049116625407E-2</v>
      </c>
      <c r="CZ16" s="11">
        <v>-0.1026332591781325</v>
      </c>
      <c r="DA16" s="11">
        <v>2.9804793967235531E-2</v>
      </c>
      <c r="DB16" s="11">
        <v>4.2712169780226052E-2</v>
      </c>
      <c r="DC16" s="11">
        <v>-4.2942362320500277E-2</v>
      </c>
      <c r="DD16" s="11">
        <v>7.0070935057357717E-2</v>
      </c>
      <c r="DE16" s="11">
        <v>-3.4444372341228768E-2</v>
      </c>
      <c r="DF16" s="11">
        <v>2.31464332255591E-2</v>
      </c>
      <c r="DG16" s="11">
        <v>-1.445294763143863E-2</v>
      </c>
      <c r="DH16" s="11">
        <v>1.9129343417971109E-2</v>
      </c>
      <c r="DI16" s="11">
        <v>1.323342571252227E-2</v>
      </c>
      <c r="DJ16" s="11">
        <v>2.914140608062964E-2</v>
      </c>
      <c r="DK16" s="11">
        <v>-0.1335943566255807</v>
      </c>
      <c r="DL16" s="11">
        <v>-6.5113036128644886E-2</v>
      </c>
      <c r="DM16" s="11">
        <v>3.0330949758340948E-2</v>
      </c>
      <c r="DN16" s="11">
        <v>-4.2437853359407113E-2</v>
      </c>
      <c r="DO16" s="11">
        <v>-5.3221907556143692E-2</v>
      </c>
      <c r="DP16" s="11">
        <v>-1.9841948579226051E-2</v>
      </c>
      <c r="DQ16" s="11">
        <v>4.7070156004531787E-2</v>
      </c>
      <c r="DR16" s="11">
        <v>6.8305381562055234E-2</v>
      </c>
      <c r="DS16" s="11">
        <v>9.3752064989754288E-2</v>
      </c>
      <c r="DT16" s="11">
        <v>0.10053412782446559</v>
      </c>
      <c r="DU16" s="11">
        <v>6.447373376953866E-2</v>
      </c>
      <c r="DV16" s="11">
        <v>-0.13695373201779351</v>
      </c>
      <c r="DW16" s="11">
        <v>-4.0917729699690833E-2</v>
      </c>
      <c r="DX16" s="11">
        <v>0.1252847063239774</v>
      </c>
      <c r="DY16" s="11">
        <v>-0.11635433491034319</v>
      </c>
      <c r="DZ16" s="11">
        <v>3.1277079824676451E-2</v>
      </c>
      <c r="EA16" s="11">
        <v>4.205152402439738E-4</v>
      </c>
      <c r="EB16" s="11">
        <v>0.1006791006772017</v>
      </c>
      <c r="EC16" s="11">
        <v>-6.8501480567839029E-2</v>
      </c>
      <c r="ED16" s="11">
        <v>-0.11469922764091681</v>
      </c>
      <c r="EE16" s="11">
        <v>5.9240996655185861E-2</v>
      </c>
      <c r="EF16" s="11">
        <v>-4.2474401493907223E-2</v>
      </c>
    </row>
    <row r="17" spans="1:136">
      <c r="A17" s="2">
        <v>120</v>
      </c>
      <c r="B17" s="2">
        <v>8</v>
      </c>
      <c r="C17" s="11">
        <v>0.20609237499999999</v>
      </c>
      <c r="D17" s="11">
        <v>0.43958837499999998</v>
      </c>
      <c r="E17" s="11">
        <v>7.958800000000002E-2</v>
      </c>
      <c r="F17" s="11">
        <v>0.14677200000000001</v>
      </c>
      <c r="G17" s="11">
        <v>0.117132625</v>
      </c>
      <c r="H17" s="11">
        <v>0.10499475</v>
      </c>
      <c r="I17" s="11">
        <v>6.7489250000000001E-2</v>
      </c>
      <c r="J17" s="11">
        <v>-0.11529837499999999</v>
      </c>
      <c r="K17" s="11">
        <v>3.944375E-2</v>
      </c>
      <c r="L17" s="11">
        <v>3.3774875000000003E-2</v>
      </c>
      <c r="M17" s="11">
        <v>1.4659142090288421E-2</v>
      </c>
      <c r="N17" s="11">
        <v>-0.1092778268298058</v>
      </c>
      <c r="O17" s="11">
        <v>-1.1306676064132231E-2</v>
      </c>
      <c r="P17" s="11">
        <v>7.6915624999999987E-2</v>
      </c>
      <c r="Q17" s="11">
        <v>0.106432375</v>
      </c>
      <c r="R17" s="11">
        <v>1.975000000000005E-3</v>
      </c>
      <c r="S17" s="11">
        <v>-5.5131750000000007E-2</v>
      </c>
      <c r="T17" s="11">
        <v>-2.3508375000000001E-2</v>
      </c>
      <c r="U17" s="11">
        <v>6.2405901699897098E-2</v>
      </c>
      <c r="V17" s="11">
        <v>-9.7259655852603044E-2</v>
      </c>
      <c r="W17" s="11">
        <v>-0.1286672543576686</v>
      </c>
      <c r="X17" s="11">
        <v>0.10018637499999999</v>
      </c>
      <c r="Y17" s="11">
        <v>-2.2928011062654879E-2</v>
      </c>
      <c r="Z17" s="11">
        <v>-5.3868489290865788E-2</v>
      </c>
      <c r="AA17" s="11">
        <v>6.2256125000000002E-2</v>
      </c>
      <c r="AB17" s="11">
        <v>-8.4852062878172319E-2</v>
      </c>
      <c r="AC17" s="11">
        <v>-5.8728690290493803E-2</v>
      </c>
      <c r="AD17" s="11">
        <v>6.8619874999999997E-2</v>
      </c>
      <c r="AE17" s="11">
        <v>0.127158422447225</v>
      </c>
      <c r="AF17" s="11">
        <v>-6.1429310121940139E-2</v>
      </c>
      <c r="AG17" s="11">
        <v>-2.2740980787790199E-2</v>
      </c>
      <c r="AH17" s="11">
        <v>3.5472619172888853E-2</v>
      </c>
      <c r="AI17" s="11">
        <v>-3.058770864151358E-2</v>
      </c>
      <c r="AJ17" s="11">
        <v>4.2602630518956887E-2</v>
      </c>
      <c r="AK17" s="11">
        <v>-7.3716274739036441E-2</v>
      </c>
      <c r="AL17" s="11">
        <v>-5.0724405748556509E-2</v>
      </c>
      <c r="AM17" s="11">
        <v>-7.5369367587656971E-2</v>
      </c>
      <c r="AN17" s="11">
        <v>-0.1132871203459177</v>
      </c>
      <c r="AO17" s="11">
        <v>-1.2632334595724191E-2</v>
      </c>
      <c r="AP17" s="11">
        <v>7.7242814419585484E-2</v>
      </c>
      <c r="AQ17" s="11">
        <v>6.052713740149903E-2</v>
      </c>
      <c r="AR17" s="11">
        <v>-0.11393070989481729</v>
      </c>
      <c r="AS17" s="11">
        <v>-5.6323562034475708E-2</v>
      </c>
      <c r="AT17" s="11">
        <v>-5.2267806449722218E-2</v>
      </c>
      <c r="AU17" s="11">
        <v>-5.4555507286687788E-2</v>
      </c>
      <c r="AV17" s="11">
        <v>2.120590278226837E-2</v>
      </c>
      <c r="AW17" s="11">
        <v>-8.4218880418367916E-3</v>
      </c>
      <c r="AX17" s="11">
        <v>-9.6240558508798979E-2</v>
      </c>
      <c r="AY17" s="11">
        <v>-2.742369669060089E-2</v>
      </c>
      <c r="AZ17" s="11">
        <v>0.1251576022601911</v>
      </c>
      <c r="BA17" s="11">
        <v>0.16280649999999999</v>
      </c>
      <c r="BB17" s="11">
        <v>-0.1237640631138444</v>
      </c>
      <c r="BC17" s="11">
        <v>-8.386319517781364E-2</v>
      </c>
      <c r="BD17" s="11">
        <v>-2.235648224620481E-2</v>
      </c>
      <c r="BE17" s="11">
        <v>-7.7350242238060404E-2</v>
      </c>
      <c r="BF17" s="11">
        <v>-5.5197496608953713E-2</v>
      </c>
      <c r="BG17" s="11">
        <v>-0.18575157813088089</v>
      </c>
      <c r="BH17" s="11">
        <v>-0.1331911133253291</v>
      </c>
      <c r="BI17" s="11">
        <v>8.073839955835159E-2</v>
      </c>
      <c r="BJ17" s="11">
        <v>-9.7868244368423979E-2</v>
      </c>
      <c r="BK17" s="11">
        <v>1.67513267503808E-2</v>
      </c>
      <c r="BL17" s="11">
        <v>7.5732500000000114E-3</v>
      </c>
      <c r="BM17" s="11">
        <v>-7.5997770445859966E-2</v>
      </c>
      <c r="BN17" s="11">
        <v>-4.6915525593877988E-2</v>
      </c>
      <c r="BO17" s="11">
        <v>-3.5179615416723611E-2</v>
      </c>
      <c r="BP17" s="11">
        <v>-3.5995979654480911E-2</v>
      </c>
      <c r="BQ17" s="11">
        <v>-1.1376510446451601E-2</v>
      </c>
      <c r="BR17" s="11">
        <v>9.6463751247498966E-3</v>
      </c>
      <c r="BS17" s="11">
        <v>2.0906018213695501E-2</v>
      </c>
      <c r="BT17" s="11">
        <v>-3.3647249999999997E-2</v>
      </c>
      <c r="BU17" s="11">
        <v>-0.104524375</v>
      </c>
      <c r="BV17" s="11">
        <v>0.106643875</v>
      </c>
      <c r="BW17" s="11">
        <v>0.22723437499999999</v>
      </c>
      <c r="BX17" s="11">
        <v>-2.882296461967274E-2</v>
      </c>
      <c r="BY17" s="11">
        <v>-9.5862375000000014E-2</v>
      </c>
      <c r="BZ17" s="11">
        <v>0.10695200000000001</v>
      </c>
      <c r="CA17" s="11">
        <v>2.7196125000000002E-2</v>
      </c>
      <c r="CB17" s="11">
        <v>-0.10916583702074401</v>
      </c>
      <c r="CC17" s="11">
        <v>0.1146808468537778</v>
      </c>
      <c r="CD17" s="11">
        <v>-7.6385115279474114E-2</v>
      </c>
      <c r="CE17" s="11">
        <v>-0.1124945912954069</v>
      </c>
      <c r="CF17" s="11">
        <v>-9.5123749999999979E-2</v>
      </c>
      <c r="CG17" s="11">
        <v>-7.4714988628731105E-2</v>
      </c>
      <c r="CH17" s="11">
        <v>-3.296907217045305E-2</v>
      </c>
      <c r="CI17" s="11">
        <v>3.7017833748845611E-3</v>
      </c>
      <c r="CJ17" s="11">
        <v>2.0950827481348411E-2</v>
      </c>
      <c r="CK17" s="11">
        <v>8.3955848259630761E-2</v>
      </c>
      <c r="CL17" s="11">
        <v>0.13683909896473681</v>
      </c>
      <c r="CM17" s="11">
        <v>-0.13456934443157431</v>
      </c>
      <c r="CN17" s="11">
        <v>2.6718061150986971E-2</v>
      </c>
      <c r="CO17" s="11">
        <v>0.20253862726298949</v>
      </c>
      <c r="CP17" s="11">
        <v>-0.1481592691973436</v>
      </c>
      <c r="CQ17" s="11">
        <v>-4.1087933183403327E-2</v>
      </c>
      <c r="CR17" s="11">
        <v>-5.0676490702223173E-2</v>
      </c>
      <c r="CS17" s="11">
        <v>-9.6841631299569769E-2</v>
      </c>
      <c r="CT17" s="11">
        <v>-4.9260056389193077E-2</v>
      </c>
      <c r="CU17" s="11">
        <v>7.440830758325391E-2</v>
      </c>
      <c r="CV17" s="11">
        <v>-3.8796079399274282E-3</v>
      </c>
      <c r="CW17" s="11">
        <v>1.976185390935294E-2</v>
      </c>
      <c r="CX17" s="11">
        <v>-1.0772394523947831E-2</v>
      </c>
      <c r="CY17" s="11">
        <v>4.9383298716090041E-2</v>
      </c>
      <c r="CZ17" s="11">
        <v>-0.1242488378476205</v>
      </c>
      <c r="DA17" s="11">
        <v>4.3895859145134192E-2</v>
      </c>
      <c r="DB17" s="11">
        <v>3.4883010792467917E-2</v>
      </c>
      <c r="DC17" s="11">
        <v>-4.3363468977499313E-2</v>
      </c>
      <c r="DD17" s="11">
        <v>8.5133933084153957E-2</v>
      </c>
      <c r="DE17" s="11">
        <v>-4.3723415783303222E-2</v>
      </c>
      <c r="DF17" s="11">
        <v>1.123137032665928E-2</v>
      </c>
      <c r="DG17" s="11">
        <v>1.8392819289084069E-3</v>
      </c>
      <c r="DH17" s="11">
        <v>3.8726650938012717E-2</v>
      </c>
      <c r="DI17" s="11">
        <v>5.2932443237824478E-3</v>
      </c>
      <c r="DJ17" s="11">
        <v>4.5336157540819967E-2</v>
      </c>
      <c r="DK17" s="11">
        <v>-0.15603642811654619</v>
      </c>
      <c r="DL17" s="11">
        <v>-7.3515600937171063E-2</v>
      </c>
      <c r="DM17" s="11">
        <v>5.2252910582316028E-2</v>
      </c>
      <c r="DN17" s="11">
        <v>-3.5489032714339008E-2</v>
      </c>
      <c r="DO17" s="11">
        <v>-5.3451370339903423E-2</v>
      </c>
      <c r="DP17" s="11">
        <v>1.651850825662354E-2</v>
      </c>
      <c r="DQ17" s="11">
        <v>7.2654005106024863E-2</v>
      </c>
      <c r="DR17" s="11">
        <v>4.5431263690616688E-2</v>
      </c>
      <c r="DS17" s="11">
        <v>0.12431615980481089</v>
      </c>
      <c r="DT17" s="11">
        <v>9.3138949685151573E-2</v>
      </c>
      <c r="DU17" s="11">
        <v>7.1730706050505327E-2</v>
      </c>
      <c r="DV17" s="11">
        <v>-0.11776539811095429</v>
      </c>
      <c r="DW17" s="11">
        <v>-4.8681483414150163E-2</v>
      </c>
      <c r="DX17" s="11">
        <v>0.12953898259647401</v>
      </c>
      <c r="DY17" s="11">
        <v>-0.11213845480607409</v>
      </c>
      <c r="DZ17" s="11">
        <v>3.1828172599786188E-2</v>
      </c>
      <c r="EA17" s="11">
        <v>-4.6325242167246112E-3</v>
      </c>
      <c r="EB17" s="11">
        <v>0.1072853267537575</v>
      </c>
      <c r="EC17" s="11">
        <v>-0.1215120172680231</v>
      </c>
      <c r="ED17" s="11">
        <v>-0.10329067393702911</v>
      </c>
      <c r="EE17" s="11">
        <v>6.4278699968889033E-2</v>
      </c>
      <c r="EF17" s="11">
        <v>-4.7709767009851849E-2</v>
      </c>
    </row>
    <row r="18" spans="1:136">
      <c r="A18" s="2">
        <v>137</v>
      </c>
      <c r="B18" s="2">
        <v>7</v>
      </c>
      <c r="C18" s="11">
        <v>0.1897511428571429</v>
      </c>
      <c r="D18" s="11">
        <v>0.40188400000000007</v>
      </c>
      <c r="E18" s="11">
        <v>5.3437857142857162E-2</v>
      </c>
      <c r="F18" s="11">
        <v>0.21209085714285711</v>
      </c>
      <c r="G18" s="11">
        <v>0.13305871428571431</v>
      </c>
      <c r="H18" s="11">
        <v>0.12853999999999999</v>
      </c>
      <c r="I18" s="11">
        <v>5.4952571428571427E-2</v>
      </c>
      <c r="J18" s="11">
        <v>-0.12516085714285721</v>
      </c>
      <c r="K18" s="11">
        <v>3.1585285714285698E-2</v>
      </c>
      <c r="L18" s="11">
        <v>4.667157142857143E-2</v>
      </c>
      <c r="M18" s="11">
        <v>2.9051464376457319E-2</v>
      </c>
      <c r="N18" s="11">
        <v>-0.14120748849629611</v>
      </c>
      <c r="O18" s="11">
        <v>3.1737941097498189E-2</v>
      </c>
      <c r="P18" s="11">
        <v>5.4569714285714277E-2</v>
      </c>
      <c r="Q18" s="11">
        <v>0.1217387142857143</v>
      </c>
      <c r="R18" s="11">
        <v>1.9326571428571419E-2</v>
      </c>
      <c r="S18" s="11">
        <v>-6.9013285714285721E-2</v>
      </c>
      <c r="T18" s="11">
        <v>-5.0295714285714301E-3</v>
      </c>
      <c r="U18" s="11">
        <v>5.5150343051564729E-2</v>
      </c>
      <c r="V18" s="11">
        <v>-0.1213914614259257</v>
      </c>
      <c r="W18" s="11">
        <v>-0.16613482926929909</v>
      </c>
      <c r="X18" s="11">
        <v>0.12712328571428569</v>
      </c>
      <c r="Y18" s="11">
        <v>-1.923233435743554E-2</v>
      </c>
      <c r="Z18" s="11">
        <v>-8.9234363440522865E-2</v>
      </c>
      <c r="AA18" s="11">
        <v>5.4805571428571433E-2</v>
      </c>
      <c r="AB18" s="11">
        <v>-8.4698299730484178E-2</v>
      </c>
      <c r="AC18" s="11">
        <v>-5.782301285595727E-2</v>
      </c>
      <c r="AD18" s="11">
        <v>9.6285857142857145E-2</v>
      </c>
      <c r="AE18" s="11">
        <v>0.1435292414290745</v>
      </c>
      <c r="AF18" s="11">
        <v>-3.187341816062559E-2</v>
      </c>
      <c r="AG18" s="11">
        <v>-3.2493116097876071E-2</v>
      </c>
      <c r="AH18" s="11">
        <v>4.0197460968514703E-2</v>
      </c>
      <c r="AI18" s="11">
        <v>-4.6855541353756011E-2</v>
      </c>
      <c r="AJ18" s="11">
        <v>4.7393756166449127E-2</v>
      </c>
      <c r="AK18" s="11">
        <v>-3.0152480597625989E-2</v>
      </c>
      <c r="AL18" s="11">
        <v>-4.7527763632257733E-2</v>
      </c>
      <c r="AM18" s="11">
        <v>-6.6643405424771207E-2</v>
      </c>
      <c r="AN18" s="11">
        <v>-7.9294639955201793E-2</v>
      </c>
      <c r="AO18" s="11">
        <v>-5.4275349676927882E-3</v>
      </c>
      <c r="AP18" s="11">
        <v>7.8278591933806971E-2</v>
      </c>
      <c r="AQ18" s="11">
        <v>7.6230845326449942E-2</v>
      </c>
      <c r="AR18" s="11">
        <v>-0.1245455063629442</v>
      </c>
      <c r="AS18" s="11">
        <v>-8.5826551553969135E-2</v>
      </c>
      <c r="AT18" s="11">
        <v>-4.3325649820578682E-2</v>
      </c>
      <c r="AU18" s="11">
        <v>-6.4575644079591543E-2</v>
      </c>
      <c r="AV18" s="11">
        <v>2.8768755881717199E-2</v>
      </c>
      <c r="AW18" s="11">
        <v>-2.4538034241107461E-2</v>
      </c>
      <c r="AX18" s="11">
        <v>-0.10756086825583611</v>
      </c>
      <c r="AY18" s="11">
        <v>-3.4783278641148073E-2</v>
      </c>
      <c r="AZ18" s="11">
        <v>0.14840908238889911</v>
      </c>
      <c r="BA18" s="11">
        <v>0.18047985714285711</v>
      </c>
      <c r="BB18" s="11">
        <v>-0.13765604215733709</v>
      </c>
      <c r="BC18" s="11">
        <v>-8.3201572593320602E-2</v>
      </c>
      <c r="BD18" s="11">
        <v>2.4016271687300441E-2</v>
      </c>
      <c r="BE18" s="11">
        <v>-6.8361213238162841E-2</v>
      </c>
      <c r="BF18" s="11">
        <v>-4.5884536299578838E-2</v>
      </c>
      <c r="BG18" s="11">
        <v>-0.1467139748282886</v>
      </c>
      <c r="BH18" s="11">
        <v>-0.1378982651501425</v>
      </c>
      <c r="BI18" s="11">
        <v>7.5991093740458621E-2</v>
      </c>
      <c r="BJ18" s="11">
        <v>-9.8533856685421792E-2</v>
      </c>
      <c r="BK18" s="11">
        <v>9.810839031169187E-4</v>
      </c>
      <c r="BL18" s="11">
        <v>2.635228571428572E-2</v>
      </c>
      <c r="BM18" s="11">
        <v>-0.1027739390634396</v>
      </c>
      <c r="BN18" s="11">
        <v>-5.2774389623830152E-2</v>
      </c>
      <c r="BO18" s="11">
        <v>-2.0227496106374639E-2</v>
      </c>
      <c r="BP18" s="11">
        <v>-4.6857540334682007E-2</v>
      </c>
      <c r="BQ18" s="11">
        <v>-1.916784109848992E-3</v>
      </c>
      <c r="BR18" s="11">
        <v>5.7481935839547244E-3</v>
      </c>
      <c r="BS18" s="11">
        <v>3.2873256576031823E-2</v>
      </c>
      <c r="BT18" s="11">
        <v>-1.329885714285715E-2</v>
      </c>
      <c r="BU18" s="11">
        <v>-0.1114621428571428</v>
      </c>
      <c r="BV18" s="11">
        <v>0.1155055714285714</v>
      </c>
      <c r="BW18" s="11">
        <v>0.2610392857142857</v>
      </c>
      <c r="BX18" s="11">
        <v>-1.9018474716035669E-2</v>
      </c>
      <c r="BY18" s="11">
        <v>-6.2688428571428589E-2</v>
      </c>
      <c r="BZ18" s="11">
        <v>0.10981514285714281</v>
      </c>
      <c r="CA18" s="11">
        <v>3.3285857142857138E-2</v>
      </c>
      <c r="CB18" s="11">
        <v>-9.7387282979409254E-2</v>
      </c>
      <c r="CC18" s="11">
        <v>0.10559806271589139</v>
      </c>
      <c r="CD18" s="11">
        <v>-0.1215952231687642</v>
      </c>
      <c r="CE18" s="11">
        <v>-0.13007558561724719</v>
      </c>
      <c r="CF18" s="11">
        <v>-0.10185900000000001</v>
      </c>
      <c r="CG18" s="11">
        <v>-9.1609255563919342E-2</v>
      </c>
      <c r="CH18" s="11">
        <v>-4.5365648959158789E-2</v>
      </c>
      <c r="CI18" s="11">
        <v>-0.1150593108091785</v>
      </c>
      <c r="CJ18" s="11">
        <v>-3.772366500397611E-3</v>
      </c>
      <c r="CK18" s="11">
        <v>9.6058031665523097E-2</v>
      </c>
      <c r="CL18" s="11">
        <v>0.15291394380948509</v>
      </c>
      <c r="CM18" s="11">
        <v>-0.14364854316439371</v>
      </c>
      <c r="CN18" s="11">
        <v>3.5086253978176607E-2</v>
      </c>
      <c r="CO18" s="11">
        <v>0.23157387854942929</v>
      </c>
      <c r="CP18" s="11">
        <v>-0.16283910894801071</v>
      </c>
      <c r="CQ18" s="11">
        <v>-4.7976536408267538E-2</v>
      </c>
      <c r="CR18" s="11">
        <v>-5.5156128716592027E-2</v>
      </c>
      <c r="CS18" s="11">
        <v>-7.802724673197127E-2</v>
      </c>
      <c r="CT18" s="11">
        <v>-9.0515429002249403E-2</v>
      </c>
      <c r="CU18" s="11">
        <v>7.1648691205109999E-2</v>
      </c>
      <c r="CV18" s="11">
        <v>-9.1040282230288663E-2</v>
      </c>
      <c r="CW18" s="11">
        <v>8.4560855645258066E-3</v>
      </c>
      <c r="CX18" s="11">
        <v>-6.1560185833778078E-2</v>
      </c>
      <c r="CY18" s="11">
        <v>5.135741377478225E-2</v>
      </c>
      <c r="CZ18" s="11">
        <v>-0.13284286330177139</v>
      </c>
      <c r="DA18" s="11">
        <v>4.7380939518693557E-2</v>
      </c>
      <c r="DB18" s="11">
        <v>4.5735208678759381E-2</v>
      </c>
      <c r="DC18" s="11">
        <v>-3.6408781495506221E-2</v>
      </c>
      <c r="DD18" s="11">
        <v>8.2462353495414184E-2</v>
      </c>
      <c r="DE18" s="11">
        <v>-4.9173444891641022E-2</v>
      </c>
      <c r="DF18" s="11">
        <v>3.5042778782370262E-2</v>
      </c>
      <c r="DG18" s="11">
        <v>7.619473157627699E-3</v>
      </c>
      <c r="DH18" s="11">
        <v>2.8038013248649029E-2</v>
      </c>
      <c r="DI18" s="11">
        <v>1.6114629238026808E-2</v>
      </c>
      <c r="DJ18" s="11">
        <v>4.5204039785289522E-2</v>
      </c>
      <c r="DK18" s="11">
        <v>-0.15851362709242739</v>
      </c>
      <c r="DL18" s="11">
        <v>-8.1397742916241134E-2</v>
      </c>
      <c r="DM18" s="11">
        <v>6.650814073203816E-2</v>
      </c>
      <c r="DN18" s="11">
        <v>1.6722064078021251E-2</v>
      </c>
      <c r="DO18" s="11">
        <v>-4.2104907550630517E-2</v>
      </c>
      <c r="DP18" s="11">
        <v>2.0604686466865741E-2</v>
      </c>
      <c r="DQ18" s="11">
        <v>6.5749458183898837E-2</v>
      </c>
      <c r="DR18" s="11">
        <v>5.2461064031548613E-2</v>
      </c>
      <c r="DS18" s="11">
        <v>0.1477219984517327</v>
      </c>
      <c r="DT18" s="11">
        <v>0.1160173901109771</v>
      </c>
      <c r="DU18" s="11">
        <v>9.6895186076904644E-2</v>
      </c>
      <c r="DV18" s="11">
        <v>-0.1056406088000619</v>
      </c>
      <c r="DW18" s="11">
        <v>-8.1908692284373169E-2</v>
      </c>
      <c r="DX18" s="11">
        <v>0.1536029774624818</v>
      </c>
      <c r="DY18" s="11">
        <v>-9.7428036975949608E-2</v>
      </c>
      <c r="DZ18" s="11">
        <v>7.5516359296365659E-2</v>
      </c>
      <c r="EA18" s="11">
        <v>-4.7382972382447363E-3</v>
      </c>
      <c r="EB18" s="11">
        <v>0.1099643544501954</v>
      </c>
      <c r="EC18" s="11">
        <v>-0.14304023059278551</v>
      </c>
      <c r="ED18" s="11">
        <v>-8.2759101388566583E-2</v>
      </c>
      <c r="EE18" s="11">
        <v>5.3015040315364213E-2</v>
      </c>
      <c r="EF18" s="11">
        <v>-4.8955017110416547E-2</v>
      </c>
    </row>
    <row r="19" spans="1:136">
      <c r="A19" s="2">
        <v>160</v>
      </c>
      <c r="B19" s="2">
        <v>6</v>
      </c>
      <c r="C19" s="11">
        <v>0.19659983333333331</v>
      </c>
      <c r="D19" s="11">
        <v>0.4075213333333334</v>
      </c>
      <c r="E19" s="11">
        <v>6.5812499999999996E-2</v>
      </c>
      <c r="F19" s="11">
        <v>0.2361708333333333</v>
      </c>
      <c r="G19" s="11">
        <v>0.15286516666666669</v>
      </c>
      <c r="H19" s="11">
        <v>0.17761016666666671</v>
      </c>
      <c r="I19" s="11">
        <v>4.746333333333333E-2</v>
      </c>
      <c r="J19" s="11">
        <v>-0.1562291666666667</v>
      </c>
      <c r="K19" s="11">
        <v>5.6539499999999999E-2</v>
      </c>
      <c r="L19" s="11">
        <v>3.0361166666666672E-2</v>
      </c>
      <c r="M19" s="11">
        <v>-4.3690236156307287E-2</v>
      </c>
      <c r="N19" s="11">
        <v>-0.15184358114798011</v>
      </c>
      <c r="O19" s="11">
        <v>3.1561874488915911E-2</v>
      </c>
      <c r="P19" s="11">
        <v>2.2785333333333321E-2</v>
      </c>
      <c r="Q19" s="11">
        <v>0.1704643333333333</v>
      </c>
      <c r="R19" s="11">
        <v>4.1943000000000008E-2</v>
      </c>
      <c r="S19" s="11">
        <v>-7.8696166666666678E-2</v>
      </c>
      <c r="T19" s="11">
        <v>-0.1095268333333333</v>
      </c>
      <c r="U19" s="11">
        <v>6.7250001618483032E-2</v>
      </c>
      <c r="V19" s="11">
        <v>-9.2688319725313148E-2</v>
      </c>
      <c r="W19" s="11">
        <v>-0.1747347633022315</v>
      </c>
      <c r="X19" s="11">
        <v>0.12292366666666669</v>
      </c>
      <c r="Y19" s="11">
        <v>-2.5628637528156511E-2</v>
      </c>
      <c r="Z19" s="11">
        <v>-9.1619110576023566E-2</v>
      </c>
      <c r="AA19" s="11">
        <v>4.7301666666666672E-2</v>
      </c>
      <c r="AB19" s="11">
        <v>-0.10225360588394269</v>
      </c>
      <c r="AC19" s="11">
        <v>-2.8452834641691321E-2</v>
      </c>
      <c r="AD19" s="11">
        <v>9.5992833333333333E-2</v>
      </c>
      <c r="AE19" s="11">
        <v>0.1694160609977898</v>
      </c>
      <c r="AF19" s="11">
        <v>-3.8785666808899749E-2</v>
      </c>
      <c r="AG19" s="11">
        <v>-2.2136219072547821E-2</v>
      </c>
      <c r="AH19" s="11">
        <v>5.6557715221703553E-2</v>
      </c>
      <c r="AI19" s="11">
        <v>-8.1770124789496509E-2</v>
      </c>
      <c r="AJ19" s="11">
        <v>5.1545290327262273E-2</v>
      </c>
      <c r="AK19" s="11">
        <v>-7.5520425059527104E-3</v>
      </c>
      <c r="AL19" s="11">
        <v>-7.0270945670805551E-2</v>
      </c>
      <c r="AM19" s="11">
        <v>-4.3106011811404943E-2</v>
      </c>
      <c r="AN19" s="11">
        <v>-8.3568294365682083E-2</v>
      </c>
      <c r="AO19" s="11">
        <v>-2.589290304541441E-2</v>
      </c>
      <c r="AP19" s="11">
        <v>8.757412027285208E-2</v>
      </c>
      <c r="AQ19" s="11">
        <v>8.8252757060650652E-2</v>
      </c>
      <c r="AR19" s="11">
        <v>-0.1535175623128574</v>
      </c>
      <c r="AS19" s="11">
        <v>-9.7796955268314459E-2</v>
      </c>
      <c r="AT19" s="11">
        <v>-4.9294981765701303E-2</v>
      </c>
      <c r="AU19" s="11">
        <v>-7.6428715713654158E-2</v>
      </c>
      <c r="AV19" s="11">
        <v>5.003302069697789E-2</v>
      </c>
      <c r="AW19" s="11">
        <v>-2.2356168154136491E-2</v>
      </c>
      <c r="AX19" s="11">
        <v>-8.0206414310412866E-2</v>
      </c>
      <c r="AY19" s="11">
        <v>-2.9528970393379841E-2</v>
      </c>
      <c r="AZ19" s="11">
        <v>0.18687961816817431</v>
      </c>
      <c r="BA19" s="11">
        <v>0.186997</v>
      </c>
      <c r="BB19" s="11">
        <v>-0.15974619907243159</v>
      </c>
      <c r="BC19" s="11">
        <v>-6.4055486346185769E-2</v>
      </c>
      <c r="BD19" s="11">
        <v>3.2343926300681461E-3</v>
      </c>
      <c r="BE19" s="11">
        <v>-5.1131873963666558E-2</v>
      </c>
      <c r="BF19" s="11">
        <v>-1.3570974149138619E-2</v>
      </c>
      <c r="BG19" s="11">
        <v>-0.15330875116978829</v>
      </c>
      <c r="BH19" s="11">
        <v>-0.14049690595357331</v>
      </c>
      <c r="BI19" s="11">
        <v>0.1012842299592162</v>
      </c>
      <c r="BJ19" s="11">
        <v>-5.8912217172455733E-2</v>
      </c>
      <c r="BK19" s="11">
        <v>-6.9519036629441727E-2</v>
      </c>
      <c r="BL19" s="11">
        <v>2.599583333333334E-2</v>
      </c>
      <c r="BM19" s="11">
        <v>-0.1142506002586957</v>
      </c>
      <c r="BN19" s="11">
        <v>-6.7252647467271776E-2</v>
      </c>
      <c r="BO19" s="11">
        <v>-2.5728961265115379E-2</v>
      </c>
      <c r="BP19" s="11">
        <v>-6.2818807534132146E-2</v>
      </c>
      <c r="BQ19" s="11">
        <v>-9.9340444543230683E-3</v>
      </c>
      <c r="BR19" s="11">
        <v>-6.6752460235200081E-3</v>
      </c>
      <c r="BS19" s="11">
        <v>-3.4999319396389061E-3</v>
      </c>
      <c r="BT19" s="11">
        <v>1.3194833333333321E-2</v>
      </c>
      <c r="BU19" s="11">
        <v>-0.13067083333333329</v>
      </c>
      <c r="BV19" s="11">
        <v>0.1000853333333333</v>
      </c>
      <c r="BW19" s="11">
        <v>0.29597583333333338</v>
      </c>
      <c r="BX19" s="11">
        <v>-3.4087785271858247E-2</v>
      </c>
      <c r="BY19" s="11">
        <v>-2.767816666666666E-2</v>
      </c>
      <c r="BZ19" s="11">
        <v>0.1447426666666666</v>
      </c>
      <c r="CA19" s="11">
        <v>3.5610166666666658E-2</v>
      </c>
      <c r="CB19" s="11">
        <v>-7.8976807618525546E-2</v>
      </c>
      <c r="CC19" s="11">
        <v>0.1054167570187242</v>
      </c>
      <c r="CD19" s="11">
        <v>-0.14873191328840721</v>
      </c>
      <c r="CE19" s="11">
        <v>-0.11441435951313331</v>
      </c>
      <c r="CF19" s="11">
        <v>-0.1116986666666667</v>
      </c>
      <c r="CG19" s="11">
        <v>-5.7117624866957151E-2</v>
      </c>
      <c r="CH19" s="11">
        <v>-4.271504374273416E-2</v>
      </c>
      <c r="CI19" s="11">
        <v>-0.11073420775370441</v>
      </c>
      <c r="CJ19" s="11">
        <v>-1.1811922761994231E-2</v>
      </c>
      <c r="CK19" s="11">
        <v>0.1187972629573345</v>
      </c>
      <c r="CL19" s="11">
        <v>0.1153477816387375</v>
      </c>
      <c r="CM19" s="11">
        <v>-0.17534764158171501</v>
      </c>
      <c r="CN19" s="11">
        <v>7.6932654667303466E-2</v>
      </c>
      <c r="CO19" s="11">
        <v>0.27245440462850651</v>
      </c>
      <c r="CP19" s="11">
        <v>-0.15903259898233271</v>
      </c>
      <c r="CQ19" s="11">
        <v>2.7299081545619341E-3</v>
      </c>
      <c r="CR19" s="11">
        <v>-4.9694189552402651E-2</v>
      </c>
      <c r="CS19" s="11">
        <v>-6.0700850898538133E-2</v>
      </c>
      <c r="CT19" s="11">
        <v>-0.1226204266300308</v>
      </c>
      <c r="CU19" s="11">
        <v>8.3436397113892974E-2</v>
      </c>
      <c r="CV19" s="11">
        <v>-0.10197986151640361</v>
      </c>
      <c r="CW19" s="11">
        <v>2.190180778189859E-2</v>
      </c>
      <c r="CX19" s="11">
        <v>-5.7634726368184938E-2</v>
      </c>
      <c r="CY19" s="11">
        <v>7.092186956436955E-2</v>
      </c>
      <c r="CZ19" s="11">
        <v>-0.11285182864146399</v>
      </c>
      <c r="DA19" s="11">
        <v>5.8223876703236761E-2</v>
      </c>
      <c r="DB19" s="11">
        <v>3.572089902521567E-2</v>
      </c>
      <c r="DC19" s="11">
        <v>3.5179399902094073E-2</v>
      </c>
      <c r="DD19" s="11">
        <v>0.10625733595480071</v>
      </c>
      <c r="DE19" s="11">
        <v>-5.4024955382609513E-2</v>
      </c>
      <c r="DF19" s="11">
        <v>6.969304689302265E-2</v>
      </c>
      <c r="DG19" s="11">
        <v>1.27464749106491E-2</v>
      </c>
      <c r="DH19" s="11">
        <v>1.569831294047225E-4</v>
      </c>
      <c r="DI19" s="11">
        <v>-3.666424442421171E-3</v>
      </c>
      <c r="DJ19" s="11">
        <v>4.8514350722976607E-2</v>
      </c>
      <c r="DK19" s="11">
        <v>-0.1241445877842076</v>
      </c>
      <c r="DL19" s="11">
        <v>-7.0167407799869491E-2</v>
      </c>
      <c r="DM19" s="11">
        <v>8.1952255033994378E-2</v>
      </c>
      <c r="DN19" s="11">
        <v>-2.4751230976385011E-3</v>
      </c>
      <c r="DO19" s="11">
        <v>-5.5126563399943852E-2</v>
      </c>
      <c r="DP19" s="11">
        <v>-2.783801448299373E-2</v>
      </c>
      <c r="DQ19" s="11">
        <v>8.0374171838075048E-2</v>
      </c>
      <c r="DR19" s="11">
        <v>3.3181055245206169E-2</v>
      </c>
      <c r="DS19" s="11">
        <v>0.1779955469539703</v>
      </c>
      <c r="DT19" s="11">
        <v>0.13312850061934939</v>
      </c>
      <c r="DU19" s="11">
        <v>0.14283069805444029</v>
      </c>
      <c r="DV19" s="11">
        <v>-0.1115247064406045</v>
      </c>
      <c r="DW19" s="11">
        <v>-6.0609139340684293E-2</v>
      </c>
      <c r="DX19" s="11">
        <v>0.1383651342381777</v>
      </c>
      <c r="DY19" s="11">
        <v>-7.0109577687923127E-2</v>
      </c>
      <c r="DZ19" s="11">
        <v>0.1119208288639931</v>
      </c>
      <c r="EA19" s="11">
        <v>3.2919727195015271E-2</v>
      </c>
      <c r="EB19" s="11">
        <v>0.1087535096382525</v>
      </c>
      <c r="EC19" s="11">
        <v>-0.14377420282500911</v>
      </c>
      <c r="ED19" s="11">
        <v>-8.0285258276375129E-2</v>
      </c>
      <c r="EE19" s="11">
        <v>2.2815885843912861E-2</v>
      </c>
      <c r="EF19" s="11">
        <v>-1.697795487476916E-2</v>
      </c>
    </row>
    <row r="20" spans="1:136">
      <c r="A20" s="2">
        <v>192</v>
      </c>
      <c r="B20" s="2">
        <v>5</v>
      </c>
      <c r="C20" s="11">
        <v>0.20155100000000001</v>
      </c>
      <c r="D20" s="11">
        <v>0.38202580000000003</v>
      </c>
      <c r="E20" s="11">
        <v>5.7335200000000003E-2</v>
      </c>
      <c r="F20" s="11">
        <v>0.1824192</v>
      </c>
      <c r="G20" s="11">
        <v>0.15802820000000001</v>
      </c>
      <c r="H20" s="11">
        <v>0.14393220000000001</v>
      </c>
      <c r="I20" s="11">
        <v>2.7936200000000001E-2</v>
      </c>
      <c r="J20" s="11">
        <v>-0.1332062</v>
      </c>
      <c r="K20" s="11">
        <v>3.7403600000000002E-2</v>
      </c>
      <c r="L20" s="11">
        <v>3.0693600000000008E-2</v>
      </c>
      <c r="M20" s="11">
        <v>-7.7718228291273506E-2</v>
      </c>
      <c r="N20" s="11">
        <v>-0.16814358818954389</v>
      </c>
      <c r="O20" s="11">
        <v>4.9864886069274132E-2</v>
      </c>
      <c r="P20" s="11">
        <v>4.0029000000000002E-2</v>
      </c>
      <c r="Q20" s="11">
        <v>0.22482659999999999</v>
      </c>
      <c r="R20" s="11">
        <v>6.646959999999999E-2</v>
      </c>
      <c r="S20" s="11">
        <v>-5.7341400000000008E-2</v>
      </c>
      <c r="T20" s="11">
        <v>-0.1008458</v>
      </c>
      <c r="U20" s="11">
        <v>1.3720364707177321E-2</v>
      </c>
      <c r="V20" s="11">
        <v>-0.1035176032046175</v>
      </c>
      <c r="W20" s="11">
        <v>-0.22644366208310149</v>
      </c>
      <c r="X20" s="11">
        <v>0.15004300000000001</v>
      </c>
      <c r="Y20" s="11">
        <v>-4.2067489538597257E-2</v>
      </c>
      <c r="Z20" s="11">
        <v>-0.1056169604836593</v>
      </c>
      <c r="AA20" s="11">
        <v>6.6963999999999996E-2</v>
      </c>
      <c r="AB20" s="11">
        <v>-8.4759840726173208E-2</v>
      </c>
      <c r="AC20" s="11">
        <v>-5.6443345640519567E-2</v>
      </c>
      <c r="AD20" s="11">
        <v>0.1298426</v>
      </c>
      <c r="AE20" s="11">
        <v>0.1992928643390979</v>
      </c>
      <c r="AF20" s="11">
        <v>-3.9044678387579961E-2</v>
      </c>
      <c r="AG20" s="11">
        <v>-2.7659218539892259E-2</v>
      </c>
      <c r="AH20" s="11">
        <v>9.0178200714782636E-2</v>
      </c>
      <c r="AI20" s="11">
        <v>-7.8154544921168481E-2</v>
      </c>
      <c r="AJ20" s="11">
        <v>6.1990034547547639E-2</v>
      </c>
      <c r="AK20" s="11">
        <v>1.359511549600285E-2</v>
      </c>
      <c r="AL20" s="11">
        <v>-7.2893452036976947E-2</v>
      </c>
      <c r="AM20" s="11">
        <v>-3.3095980748802607E-2</v>
      </c>
      <c r="AN20" s="11">
        <v>-7.5470193518998266E-2</v>
      </c>
      <c r="AO20" s="11">
        <v>-4.528508196468839E-2</v>
      </c>
      <c r="AP20" s="11">
        <v>0.13173046125538779</v>
      </c>
      <c r="AQ20" s="11">
        <v>-2.7452485332951051E-2</v>
      </c>
      <c r="AR20" s="11">
        <v>-0.1700490046789242</v>
      </c>
      <c r="AS20" s="11">
        <v>-0.112095809682817</v>
      </c>
      <c r="AT20" s="11">
        <v>-5.858773760205771E-3</v>
      </c>
      <c r="AU20" s="11">
        <v>-7.5692386895125863E-2</v>
      </c>
      <c r="AV20" s="11">
        <v>5.4625713782478207E-2</v>
      </c>
      <c r="AW20" s="11">
        <v>-6.8652681791509596E-3</v>
      </c>
      <c r="AX20" s="11">
        <v>-0.11073254799870159</v>
      </c>
      <c r="AY20" s="11">
        <v>-3.8674698442909439E-2</v>
      </c>
      <c r="AZ20" s="11">
        <v>0.21380243117708869</v>
      </c>
      <c r="BA20" s="11">
        <v>0.151338</v>
      </c>
      <c r="BB20" s="11">
        <v>-0.1676554233765693</v>
      </c>
      <c r="BC20" s="11">
        <v>-7.0605567677740205E-2</v>
      </c>
      <c r="BD20" s="11">
        <v>5.3429813221597323E-2</v>
      </c>
      <c r="BE20" s="11">
        <v>5.9467971392603326E-3</v>
      </c>
      <c r="BF20" s="11">
        <v>-5.6885823313286886E-3</v>
      </c>
      <c r="BG20" s="11">
        <v>-9.4062055608340231E-2</v>
      </c>
      <c r="BH20" s="11">
        <v>-0.1500573005634544</v>
      </c>
      <c r="BI20" s="11">
        <v>0.1142556657345235</v>
      </c>
      <c r="BJ20" s="11">
        <v>-4.9139783811273992E-2</v>
      </c>
      <c r="BK20" s="11">
        <v>-0.1025982841544454</v>
      </c>
      <c r="BL20" s="11">
        <v>1.978340000000001E-2</v>
      </c>
      <c r="BM20" s="11">
        <v>-0.1369176613284383</v>
      </c>
      <c r="BN20" s="11">
        <v>-0.1185572414453714</v>
      </c>
      <c r="BO20" s="11">
        <v>3.8461717515979203E-2</v>
      </c>
      <c r="BP20" s="11">
        <v>-6.0407520762954983E-2</v>
      </c>
      <c r="BQ20" s="11">
        <v>-1.5451706960843021E-2</v>
      </c>
      <c r="BR20" s="11">
        <v>-1.207363173047259E-2</v>
      </c>
      <c r="BS20" s="11">
        <v>-3.2536197724856143E-2</v>
      </c>
      <c r="BT20" s="11">
        <v>5.246859999999999E-2</v>
      </c>
      <c r="BU20" s="11">
        <v>-0.14944099999999999</v>
      </c>
      <c r="BV20" s="11">
        <v>0.13370979999999999</v>
      </c>
      <c r="BW20" s="11">
        <v>0.34204220000000002</v>
      </c>
      <c r="BX20" s="11">
        <v>-3.069363668324426E-2</v>
      </c>
      <c r="BY20" s="11">
        <v>-4.3187799999999998E-2</v>
      </c>
      <c r="BZ20" s="11">
        <v>0.1847258</v>
      </c>
      <c r="CA20" s="11">
        <v>5.0216200000000003E-2</v>
      </c>
      <c r="CB20" s="11">
        <v>1.077551010283638E-4</v>
      </c>
      <c r="CC20" s="11">
        <v>0.1014293809649939</v>
      </c>
      <c r="CD20" s="11">
        <v>-0.1888595125433957</v>
      </c>
      <c r="CE20" s="11">
        <v>-0.1137684736196253</v>
      </c>
      <c r="CF20" s="11">
        <v>-0.1312084</v>
      </c>
      <c r="CG20" s="11">
        <v>-7.597024074310807E-2</v>
      </c>
      <c r="CH20" s="11">
        <v>-2.219522902413288E-2</v>
      </c>
      <c r="CI20" s="11">
        <v>-8.5208202435075389E-2</v>
      </c>
      <c r="CJ20" s="11">
        <v>-4.1509984783928693E-2</v>
      </c>
      <c r="CK20" s="11">
        <v>8.0589623940621552E-2</v>
      </c>
      <c r="CL20" s="11">
        <v>0.14931315063025169</v>
      </c>
      <c r="CM20" s="11">
        <v>-0.18905116517062071</v>
      </c>
      <c r="CN20" s="11">
        <v>-2.215941137048465E-2</v>
      </c>
      <c r="CO20" s="11">
        <v>0.41597133516901241</v>
      </c>
      <c r="CP20" s="11">
        <v>-0.1920312051090273</v>
      </c>
      <c r="CQ20" s="11">
        <v>-6.1113579290622234E-3</v>
      </c>
      <c r="CR20" s="11">
        <v>-7.3116244505850386E-2</v>
      </c>
      <c r="CS20" s="11">
        <v>-8.8364277012261461E-2</v>
      </c>
      <c r="CT20" s="11">
        <v>-9.0474037414266281E-2</v>
      </c>
      <c r="CU20" s="11">
        <v>9.4867658266512403E-2</v>
      </c>
      <c r="CV20" s="11">
        <v>-9.2511075695426118E-2</v>
      </c>
      <c r="CW20" s="11">
        <v>-9.9530629212826391E-3</v>
      </c>
      <c r="CX20" s="11">
        <v>-9.0298550867764463E-2</v>
      </c>
      <c r="CY20" s="11">
        <v>1.247973266829688E-2</v>
      </c>
      <c r="CZ20" s="11">
        <v>-0.15516164514919831</v>
      </c>
      <c r="DA20" s="11">
        <v>4.7471893155177573E-2</v>
      </c>
      <c r="DB20" s="11">
        <v>5.6902709757134122E-2</v>
      </c>
      <c r="DC20" s="11">
        <v>4.9613069235555772E-2</v>
      </c>
      <c r="DD20" s="11">
        <v>0.14810881433882259</v>
      </c>
      <c r="DE20" s="11">
        <v>2.674986392092854E-2</v>
      </c>
      <c r="DF20" s="11">
        <v>-8.591215324206241E-4</v>
      </c>
      <c r="DG20" s="11">
        <v>4.2022106203706937E-3</v>
      </c>
      <c r="DH20" s="11">
        <v>1.097541174252706E-2</v>
      </c>
      <c r="DI20" s="11">
        <v>2.2876731785052461E-2</v>
      </c>
      <c r="DJ20" s="11">
        <v>3.9459946268887811E-2</v>
      </c>
      <c r="DK20" s="11">
        <v>-8.4953981446054899E-2</v>
      </c>
      <c r="DL20" s="11">
        <v>-7.5826636178542531E-2</v>
      </c>
      <c r="DM20" s="11">
        <v>-9.2836502794370751E-3</v>
      </c>
      <c r="DN20" s="11">
        <v>-5.8019206654199171E-2</v>
      </c>
      <c r="DO20" s="11">
        <v>-6.5815801837970381E-2</v>
      </c>
      <c r="DP20" s="11">
        <v>-9.8305313908873052E-3</v>
      </c>
      <c r="DQ20" s="11">
        <v>5.7460181624700082E-2</v>
      </c>
      <c r="DR20" s="11">
        <v>8.8208883828872625E-2</v>
      </c>
      <c r="DS20" s="11">
        <v>0.20608109757835469</v>
      </c>
      <c r="DT20" s="11">
        <v>0.13343598462213829</v>
      </c>
      <c r="DU20" s="11">
        <v>0.1720691072058694</v>
      </c>
      <c r="DV20" s="11">
        <v>-0.12934547183885869</v>
      </c>
      <c r="DW20" s="11">
        <v>-6.9060203958039607E-2</v>
      </c>
      <c r="DX20" s="11">
        <v>0.15386632960631469</v>
      </c>
      <c r="DY20" s="11">
        <v>-5.3618609351648763E-2</v>
      </c>
      <c r="DZ20" s="11">
        <v>8.4474578309692155E-2</v>
      </c>
      <c r="EA20" s="11">
        <v>-5.9255992733342772E-3</v>
      </c>
      <c r="EB20" s="11">
        <v>8.2407142444419712E-2</v>
      </c>
      <c r="EC20" s="11">
        <v>-0.13100614576206751</v>
      </c>
      <c r="ED20" s="11">
        <v>-5.7827564200198737E-2</v>
      </c>
      <c r="EE20" s="11">
        <v>2.0017587297018819E-2</v>
      </c>
      <c r="EF20" s="11">
        <v>-2.0281416615907238E-2</v>
      </c>
    </row>
    <row r="21" spans="1:136">
      <c r="A21" s="2">
        <v>241</v>
      </c>
      <c r="B21" s="2">
        <v>4</v>
      </c>
      <c r="C21" s="11">
        <v>0.2146305</v>
      </c>
      <c r="D21" s="11">
        <v>0.126389</v>
      </c>
      <c r="E21" s="11">
        <v>-1.3691500000000001E-2</v>
      </c>
      <c r="F21" s="11">
        <v>0.20341300000000001</v>
      </c>
      <c r="G21" s="11">
        <v>0.14533199999999999</v>
      </c>
      <c r="H21" s="11">
        <v>0.162164</v>
      </c>
      <c r="I21" s="11">
        <v>1.4112E-2</v>
      </c>
      <c r="J21" s="11">
        <v>-0.13674149999999999</v>
      </c>
      <c r="K21" s="11">
        <v>1.4699999999999991E-3</v>
      </c>
      <c r="L21" s="11">
        <v>-5.030999999999999E-3</v>
      </c>
      <c r="M21" s="11">
        <v>-9.9684593408211258E-2</v>
      </c>
      <c r="N21" s="11">
        <v>-0.13905067586079981</v>
      </c>
      <c r="O21" s="11">
        <v>3.4351989460690638E-2</v>
      </c>
      <c r="P21" s="11">
        <v>4.5427749999999989E-2</v>
      </c>
      <c r="Q21" s="11">
        <v>0.27408575000000002</v>
      </c>
      <c r="R21" s="11">
        <v>8.4905250000000002E-2</v>
      </c>
      <c r="S21" s="11">
        <v>-3.6561749999999997E-2</v>
      </c>
      <c r="T21" s="11">
        <v>-0.13111999999999999</v>
      </c>
      <c r="U21" s="11">
        <v>-8.0215735806459076E-2</v>
      </c>
      <c r="V21" s="11">
        <v>-0.10537077038935461</v>
      </c>
      <c r="W21" s="11">
        <v>-0.32292054868818693</v>
      </c>
      <c r="X21" s="11">
        <v>0.20780100000000001</v>
      </c>
      <c r="Y21" s="11">
        <v>-2.0833082892434851E-2</v>
      </c>
      <c r="Z21" s="11">
        <v>-0.1142039872227245</v>
      </c>
      <c r="AA21" s="11">
        <v>2.8035500000000001E-2</v>
      </c>
      <c r="AB21" s="11">
        <v>-0.1298395823970698</v>
      </c>
      <c r="AC21" s="11">
        <v>-7.43011297920224E-2</v>
      </c>
      <c r="AD21" s="11">
        <v>0.12882450000000001</v>
      </c>
      <c r="AE21" s="11">
        <v>0.24045611049318669</v>
      </c>
      <c r="AF21" s="11">
        <v>-5.3125609886562987E-2</v>
      </c>
      <c r="AG21" s="11">
        <v>-4.4302777789794079E-2</v>
      </c>
      <c r="AH21" s="11">
        <v>0.10758136256479831</v>
      </c>
      <c r="AI21" s="11">
        <v>-7.9594209333291061E-2</v>
      </c>
      <c r="AJ21" s="11">
        <v>7.0405341946468691E-2</v>
      </c>
      <c r="AK21" s="11">
        <v>3.5803167618110053E-2</v>
      </c>
      <c r="AL21" s="11">
        <v>-6.5379822733110632E-2</v>
      </c>
      <c r="AM21" s="11">
        <v>-6.8535807447630548E-2</v>
      </c>
      <c r="AN21" s="11">
        <v>-0.11195605606309431</v>
      </c>
      <c r="AO21" s="11">
        <v>-4.7726395643726653E-2</v>
      </c>
      <c r="AP21" s="11">
        <v>7.2535143570019153E-2</v>
      </c>
      <c r="AQ21" s="11">
        <v>-7.6865507010547632E-2</v>
      </c>
      <c r="AR21" s="11">
        <v>-0.20518227823048121</v>
      </c>
      <c r="AS21" s="11">
        <v>-6.4455868646629361E-2</v>
      </c>
      <c r="AT21" s="11">
        <v>2.4929112771550628E-3</v>
      </c>
      <c r="AU21" s="11">
        <v>-4.7809631508957028E-2</v>
      </c>
      <c r="AV21" s="11">
        <v>5.5520780062133721E-2</v>
      </c>
      <c r="AW21" s="11">
        <v>-9.7910299540974015E-3</v>
      </c>
      <c r="AX21" s="11">
        <v>-0.1431476874697567</v>
      </c>
      <c r="AY21" s="11">
        <v>-4.7021290978038012E-2</v>
      </c>
      <c r="AZ21" s="11">
        <v>0.25491126989713642</v>
      </c>
      <c r="BA21" s="11">
        <v>0.13959250000000001</v>
      </c>
      <c r="BB21" s="11">
        <v>-0.2253461350383382</v>
      </c>
      <c r="BC21" s="11">
        <v>-3.8321147725193863E-2</v>
      </c>
      <c r="BD21" s="11">
        <v>2.1750863370627919E-2</v>
      </c>
      <c r="BE21" s="11">
        <v>-6.3505333974014731E-3</v>
      </c>
      <c r="BF21" s="11">
        <v>-3.5771001804346838E-3</v>
      </c>
      <c r="BG21" s="11">
        <v>-9.2285571507253639E-2</v>
      </c>
      <c r="BH21" s="11">
        <v>-0.1068421096374302</v>
      </c>
      <c r="BI21" s="11">
        <v>0.15387464609225671</v>
      </c>
      <c r="BJ21" s="11">
        <v>-3.1982514410992063E-2</v>
      </c>
      <c r="BK21" s="11">
        <v>-8.2973161890065844E-2</v>
      </c>
      <c r="BL21" s="11">
        <v>3.7530000000000059E-3</v>
      </c>
      <c r="BM21" s="11">
        <v>-0.15512000392109981</v>
      </c>
      <c r="BN21" s="11">
        <v>-6.3647947992248044E-2</v>
      </c>
      <c r="BO21" s="11">
        <v>6.3857236413680254E-2</v>
      </c>
      <c r="BP21" s="11">
        <v>-0.1045091294194143</v>
      </c>
      <c r="BQ21" s="11">
        <v>-5.4542230834504879E-2</v>
      </c>
      <c r="BR21" s="11">
        <v>-1.232386218386442E-2</v>
      </c>
      <c r="BS21" s="11">
        <v>-6.5741820960347419E-2</v>
      </c>
      <c r="BT21" s="11">
        <v>6.0821999999999987E-2</v>
      </c>
      <c r="BU21" s="11">
        <v>-0.170738</v>
      </c>
      <c r="BV21" s="11">
        <v>1.924025E-2</v>
      </c>
      <c r="BW21" s="11">
        <v>0.40213025000000002</v>
      </c>
      <c r="BX21" s="11">
        <v>2.9908192844139221E-3</v>
      </c>
      <c r="BY21" s="11">
        <v>-1.4919750000000009E-2</v>
      </c>
      <c r="BZ21" s="11">
        <v>0.25140249999999997</v>
      </c>
      <c r="CA21" s="11">
        <v>9.5060000000000006E-2</v>
      </c>
      <c r="CB21" s="11">
        <v>-7.3466099404929153E-2</v>
      </c>
      <c r="CC21" s="11">
        <v>5.3307577939454079E-2</v>
      </c>
      <c r="CD21" s="11">
        <v>-0.15078839020228069</v>
      </c>
      <c r="CE21" s="11">
        <v>-0.14537496044398809</v>
      </c>
      <c r="CF21" s="11">
        <v>-0.127168</v>
      </c>
      <c r="CG21" s="11">
        <v>-8.508533547413108E-2</v>
      </c>
      <c r="CH21" s="11">
        <v>-0.15662644062696859</v>
      </c>
      <c r="CI21" s="11">
        <v>-7.3182727074998788E-2</v>
      </c>
      <c r="CJ21" s="11">
        <v>-5.5140848561157058E-2</v>
      </c>
      <c r="CK21" s="11">
        <v>6.7159630296855705E-2</v>
      </c>
      <c r="CL21" s="11">
        <v>0.18743312154072689</v>
      </c>
      <c r="CM21" s="11">
        <v>-0.2255029884033713</v>
      </c>
      <c r="CN21" s="11">
        <v>-3.05388902037756E-2</v>
      </c>
      <c r="CO21" s="11">
        <v>0.51486524859759264</v>
      </c>
      <c r="CP21" s="11">
        <v>-0.22270006087791269</v>
      </c>
      <c r="CQ21" s="11">
        <v>-3.2880917250907721E-3</v>
      </c>
      <c r="CR21" s="11">
        <v>-9.0824277979679707E-2</v>
      </c>
      <c r="CS21" s="11">
        <v>-6.9646396146771747E-2</v>
      </c>
      <c r="CT21" s="11">
        <v>-8.2292872854338978E-2</v>
      </c>
      <c r="CU21" s="11">
        <v>6.2673560169491313E-2</v>
      </c>
      <c r="CV21" s="11">
        <v>-9.8225632021386913E-2</v>
      </c>
      <c r="CW21" s="11">
        <v>-6.5005417280988659E-2</v>
      </c>
      <c r="CX21" s="11">
        <v>-0.1021221756574071</v>
      </c>
      <c r="CY21" s="11">
        <v>8.4819164039144704E-3</v>
      </c>
      <c r="CZ21" s="11">
        <v>-0.2374513708258302</v>
      </c>
      <c r="DA21" s="11">
        <v>-1.192256456731756E-3</v>
      </c>
      <c r="DB21" s="11">
        <v>5.1624433676154581E-2</v>
      </c>
      <c r="DC21" s="11">
        <v>4.5047559223290658E-2</v>
      </c>
      <c r="DD21" s="11">
        <v>-0.121322688868649</v>
      </c>
      <c r="DE21" s="11">
        <v>-1.2238108588318921E-2</v>
      </c>
      <c r="DF21" s="11">
        <v>-2.156088069787479E-2</v>
      </c>
      <c r="DG21" s="11">
        <v>-7.8463781285332893E-3</v>
      </c>
      <c r="DH21" s="11">
        <v>-1.407682021245452E-2</v>
      </c>
      <c r="DI21" s="11">
        <v>-3.4407478280179482E-2</v>
      </c>
      <c r="DJ21" s="11">
        <v>3.7911313190560098E-2</v>
      </c>
      <c r="DK21" s="11">
        <v>-0.13950270681890459</v>
      </c>
      <c r="DL21" s="11">
        <v>-9.8364938839376553E-2</v>
      </c>
      <c r="DM21" s="11">
        <v>2.9834119642240212E-2</v>
      </c>
      <c r="DN21" s="11">
        <v>-7.1197612493993062E-2</v>
      </c>
      <c r="DO21" s="11">
        <v>-8.2445792330679737E-2</v>
      </c>
      <c r="DP21" s="11">
        <v>-2.426615509356601E-2</v>
      </c>
      <c r="DQ21" s="11">
        <v>7.0422698808183373E-2</v>
      </c>
      <c r="DR21" s="11">
        <v>0.1163975142928509</v>
      </c>
      <c r="DS21" s="11">
        <v>0.20083947383729561</v>
      </c>
      <c r="DT21" s="11">
        <v>0.17057080268546079</v>
      </c>
      <c r="DU21" s="11">
        <v>2.8090293996378659E-2</v>
      </c>
      <c r="DV21" s="11">
        <v>-0.140275976869878</v>
      </c>
      <c r="DW21" s="11">
        <v>-0.12824786866412111</v>
      </c>
      <c r="DX21" s="11">
        <v>0.18596621403118341</v>
      </c>
      <c r="DY21" s="11">
        <v>-2.459599553801604E-2</v>
      </c>
      <c r="DZ21" s="11">
        <v>5.2844066560288887E-2</v>
      </c>
      <c r="EA21" s="11">
        <v>-3.5066457185236648E-2</v>
      </c>
      <c r="EB21" s="11">
        <v>2.6302193998533951E-2</v>
      </c>
      <c r="EC21" s="11">
        <v>-0.14009401795222581</v>
      </c>
      <c r="ED21" s="11">
        <v>0.12915520333718639</v>
      </c>
      <c r="EE21" s="11">
        <v>-1.095594540687448E-2</v>
      </c>
      <c r="EF21" s="11">
        <v>1.8771264042119089E-2</v>
      </c>
    </row>
    <row r="22" spans="1:136">
      <c r="A22" s="2">
        <v>321</v>
      </c>
      <c r="B22" s="2">
        <v>3</v>
      </c>
      <c r="C22" s="11">
        <v>0.20528266666666661</v>
      </c>
      <c r="D22" s="11">
        <v>0.1424293333333333</v>
      </c>
      <c r="E22" s="11">
        <v>-1.735666666666667E-2</v>
      </c>
      <c r="F22" s="11">
        <v>-0.13986799999999999</v>
      </c>
      <c r="G22" s="11">
        <v>0.23294533333333339</v>
      </c>
      <c r="H22" s="11">
        <v>0.124178</v>
      </c>
      <c r="I22" s="11">
        <v>1.7439333333333331E-2</v>
      </c>
      <c r="J22" s="11">
        <v>-0.104252</v>
      </c>
      <c r="K22" s="11">
        <v>2.865666666666666E-2</v>
      </c>
      <c r="L22" s="11">
        <v>1.427200000000001E-2</v>
      </c>
      <c r="M22" s="11">
        <v>-7.4100058770572547E-2</v>
      </c>
      <c r="N22" s="11">
        <v>-9.8030860807632764E-2</v>
      </c>
      <c r="O22" s="11">
        <v>-6.7158783113674958E-3</v>
      </c>
      <c r="P22" s="11">
        <v>9.0630333333333327E-2</v>
      </c>
      <c r="Q22" s="11">
        <v>0.12727466666666659</v>
      </c>
      <c r="R22" s="11">
        <v>6.6697666666666655E-2</v>
      </c>
      <c r="S22" s="11">
        <v>-3.9232333333333327E-2</v>
      </c>
      <c r="T22" s="11">
        <v>-0.104848</v>
      </c>
      <c r="U22" s="11">
        <v>-0.15202918277454339</v>
      </c>
      <c r="V22" s="11">
        <v>-5.7024134634289667E-2</v>
      </c>
      <c r="W22" s="11">
        <v>-0.34619348529924859</v>
      </c>
      <c r="X22" s="11">
        <v>0.25720199999999999</v>
      </c>
      <c r="Y22" s="11">
        <v>-1.5732208413521059E-2</v>
      </c>
      <c r="Z22" s="11">
        <v>-7.5548269145846045E-2</v>
      </c>
      <c r="AA22" s="11">
        <v>0.1181226666666667</v>
      </c>
      <c r="AB22" s="11">
        <v>-0.13443621271332551</v>
      </c>
      <c r="AC22" s="11">
        <v>-7.4420380840427389E-2</v>
      </c>
      <c r="AD22" s="11">
        <v>1.3571333333333329E-2</v>
      </c>
      <c r="AE22" s="11">
        <v>0.22862111160637419</v>
      </c>
      <c r="AF22" s="11">
        <v>-4.718231615802413E-2</v>
      </c>
      <c r="AG22" s="11">
        <v>-5.2841540175733892E-2</v>
      </c>
      <c r="AH22" s="11">
        <v>0.10586595942047269</v>
      </c>
      <c r="AI22" s="11">
        <v>-9.4141260657386039E-2</v>
      </c>
      <c r="AJ22" s="11">
        <v>3.1699849326408271E-2</v>
      </c>
      <c r="AK22" s="11">
        <v>-0.1012885607403957</v>
      </c>
      <c r="AL22" s="11">
        <v>-4.0340966806900407E-2</v>
      </c>
      <c r="AM22" s="11">
        <v>-8.4088903467703563E-2</v>
      </c>
      <c r="AN22" s="11">
        <v>-0.1111328096635593</v>
      </c>
      <c r="AO22" s="11">
        <v>-7.4717373393705613E-2</v>
      </c>
      <c r="AP22" s="11">
        <v>6.2536353887992696E-2</v>
      </c>
      <c r="AQ22" s="11">
        <v>-7.9426117478593142E-2</v>
      </c>
      <c r="AR22" s="11">
        <v>-0.25053267815838243</v>
      </c>
      <c r="AS22" s="11">
        <v>-8.2810438898549957E-2</v>
      </c>
      <c r="AT22" s="11">
        <v>2.513636184002634E-2</v>
      </c>
      <c r="AU22" s="11">
        <v>-3.3500451910869901E-2</v>
      </c>
      <c r="AV22" s="11">
        <v>5.9813176675879959E-2</v>
      </c>
      <c r="AW22" s="11">
        <v>3.014938920700894E-2</v>
      </c>
      <c r="AX22" s="11">
        <v>-0.17376339998002421</v>
      </c>
      <c r="AY22" s="11">
        <v>-7.1733385334230598E-2</v>
      </c>
      <c r="AZ22" s="11">
        <v>0.1549037783211521</v>
      </c>
      <c r="BA22" s="11">
        <v>4.9774666666666662E-2</v>
      </c>
      <c r="BB22" s="11">
        <v>-0.30192994454042299</v>
      </c>
      <c r="BC22" s="11">
        <v>0.13083693812295519</v>
      </c>
      <c r="BD22" s="11">
        <v>2.2174181465828179E-2</v>
      </c>
      <c r="BE22" s="11">
        <v>-2.221618339448047E-2</v>
      </c>
      <c r="BF22" s="11">
        <v>-1.363881733831962E-2</v>
      </c>
      <c r="BG22" s="11">
        <v>4.1231469152780448E-2</v>
      </c>
      <c r="BH22" s="11">
        <v>-0.12770700939641619</v>
      </c>
      <c r="BI22" s="11">
        <v>8.731805917717568E-2</v>
      </c>
      <c r="BJ22" s="11">
        <v>1.023397544910358E-2</v>
      </c>
      <c r="BK22" s="11">
        <v>-2.085475532976656E-2</v>
      </c>
      <c r="BL22" s="11">
        <v>1.7864000000000019E-2</v>
      </c>
      <c r="BM22" s="11">
        <v>-0.19179703945604709</v>
      </c>
      <c r="BN22" s="11">
        <v>1.5327552023042271E-2</v>
      </c>
      <c r="BO22" s="11">
        <v>5.0484429112750417E-2</v>
      </c>
      <c r="BP22" s="11">
        <v>-7.4835550155106345E-2</v>
      </c>
      <c r="BQ22" s="11">
        <v>-2.7830097398312589E-2</v>
      </c>
      <c r="BR22" s="11">
        <v>-2.081360946645289E-2</v>
      </c>
      <c r="BS22" s="11">
        <v>-9.7047589704545023E-2</v>
      </c>
      <c r="BT22" s="11">
        <v>-8.8724333333333336E-2</v>
      </c>
      <c r="BU22" s="11">
        <v>-0.104351</v>
      </c>
      <c r="BV22" s="11">
        <v>6.806666666666697E-4</v>
      </c>
      <c r="BW22" s="11">
        <v>0.42771533333333328</v>
      </c>
      <c r="BX22" s="11">
        <v>-3.6637445691972373E-2</v>
      </c>
      <c r="BY22" s="11">
        <v>3.2350333333333328E-2</v>
      </c>
      <c r="BZ22" s="11">
        <v>0.27962999999999999</v>
      </c>
      <c r="CA22" s="11">
        <v>0.14408033333333331</v>
      </c>
      <c r="CB22" s="11">
        <v>-6.3604269539688812E-2</v>
      </c>
      <c r="CC22" s="11">
        <v>-2.243146575298537E-2</v>
      </c>
      <c r="CD22" s="11">
        <v>-0.31577166020284902</v>
      </c>
      <c r="CE22" s="11">
        <v>-0.13394243105119161</v>
      </c>
      <c r="CF22" s="11">
        <v>-0.15557066666666661</v>
      </c>
      <c r="CG22" s="11">
        <v>-0.207085332633513</v>
      </c>
      <c r="CH22" s="11">
        <v>-0.1536062848095433</v>
      </c>
      <c r="CI22" s="11">
        <v>-6.4617322810374245E-2</v>
      </c>
      <c r="CJ22" s="11">
        <v>-0.12632535927858729</v>
      </c>
      <c r="CK22" s="11">
        <v>0.1109235402867822</v>
      </c>
      <c r="CL22" s="11">
        <v>9.499701202354538E-2</v>
      </c>
      <c r="CM22" s="11">
        <v>-0.32043200365782532</v>
      </c>
      <c r="CN22" s="11">
        <v>8.5467718209073992E-3</v>
      </c>
      <c r="CO22" s="11">
        <v>0.64995646824915565</v>
      </c>
      <c r="CP22" s="11">
        <v>-0.25940855696940252</v>
      </c>
      <c r="CQ22" s="11">
        <v>1.233377932566462E-2</v>
      </c>
      <c r="CR22" s="11">
        <v>-0.16185042130139199</v>
      </c>
      <c r="CS22" s="11">
        <v>1.5202183521422779E-2</v>
      </c>
      <c r="CT22" s="11">
        <v>-5.8232521355985362E-2</v>
      </c>
      <c r="CU22" s="11">
        <v>0.1202317119640979</v>
      </c>
      <c r="CV22" s="11">
        <v>-0.1122336952070542</v>
      </c>
      <c r="CW22" s="11">
        <v>-3.6451253326165209E-2</v>
      </c>
      <c r="CX22" s="11">
        <v>-3.749593267848913E-3</v>
      </c>
      <c r="CY22" s="11">
        <v>7.9888257735091419E-3</v>
      </c>
      <c r="CZ22" s="11">
        <v>-0.26292048459923911</v>
      </c>
      <c r="DA22" s="11">
        <v>3.9917538819241108E-3</v>
      </c>
      <c r="DB22" s="11">
        <v>5.8383506828492103E-2</v>
      </c>
      <c r="DC22" s="11">
        <v>2.0724784444157599E-2</v>
      </c>
      <c r="DD22" s="11">
        <v>-0.1478941025728035</v>
      </c>
      <c r="DE22" s="11">
        <v>5.4917579819501461E-3</v>
      </c>
      <c r="DF22" s="11">
        <v>-1.7031775273553061E-2</v>
      </c>
      <c r="DG22" s="11">
        <v>-3.1985043080887662E-2</v>
      </c>
      <c r="DH22" s="11">
        <v>-1.3945346183503959E-2</v>
      </c>
      <c r="DI22" s="11">
        <v>-6.356099926224941E-2</v>
      </c>
      <c r="DJ22" s="11">
        <v>5.0246005833095859E-2</v>
      </c>
      <c r="DK22" s="11">
        <v>-0.1791347138228401</v>
      </c>
      <c r="DL22" s="11">
        <v>-0.1249416477373831</v>
      </c>
      <c r="DM22" s="11">
        <v>6.3466051038033502E-2</v>
      </c>
      <c r="DN22" s="11">
        <v>-4.6763328204007498E-2</v>
      </c>
      <c r="DO22" s="11">
        <v>-0.12343750131163821</v>
      </c>
      <c r="DP22" s="11">
        <v>-1.022725785290381E-2</v>
      </c>
      <c r="DQ22" s="11">
        <v>0.16540416654463991</v>
      </c>
      <c r="DR22" s="11">
        <v>0.129630713103349</v>
      </c>
      <c r="DS22" s="11">
        <v>0.19705092156235929</v>
      </c>
      <c r="DT22" s="11">
        <v>5.8357008996765318E-2</v>
      </c>
      <c r="DU22" s="11">
        <v>5.7495390836838987E-2</v>
      </c>
      <c r="DV22" s="11">
        <v>-0.12570511767817799</v>
      </c>
      <c r="DW22" s="11">
        <v>-7.838972370699715E-2</v>
      </c>
      <c r="DX22" s="11">
        <v>0.22244260844829469</v>
      </c>
      <c r="DY22" s="11">
        <v>8.1471166255399959E-3</v>
      </c>
      <c r="DZ22" s="11">
        <v>0.10374798094555759</v>
      </c>
      <c r="EA22" s="11">
        <v>-3.4191242409873077E-2</v>
      </c>
      <c r="EB22" s="11">
        <v>0.12976595030606911</v>
      </c>
      <c r="EC22" s="11">
        <v>2.8428811778050931E-2</v>
      </c>
      <c r="ED22" s="11">
        <v>0.18368198650415579</v>
      </c>
      <c r="EE22" s="11">
        <v>-3.5899357196068807E-2</v>
      </c>
      <c r="EF22" s="11">
        <v>3.4790246372172352E-2</v>
      </c>
    </row>
    <row r="23" spans="1:136">
      <c r="A23" s="2">
        <v>482</v>
      </c>
      <c r="B23" s="2">
        <v>2</v>
      </c>
      <c r="C23" s="11">
        <v>0.28298899999999988</v>
      </c>
      <c r="D23" s="11">
        <v>0.25409399999999999</v>
      </c>
      <c r="E23" s="11">
        <v>0.13300500000000001</v>
      </c>
      <c r="F23" s="11">
        <v>-3.7419999999999949E-3</v>
      </c>
      <c r="G23" s="11">
        <v>0.36163200000000001</v>
      </c>
      <c r="H23" s="11">
        <v>-1.81885E-2</v>
      </c>
      <c r="I23" s="11">
        <v>-3.6385500000000001E-2</v>
      </c>
      <c r="J23" s="11">
        <v>-0.11487550000000001</v>
      </c>
      <c r="K23" s="11">
        <v>-5.9918500000000013E-2</v>
      </c>
      <c r="L23" s="11">
        <v>5.0770999999999997E-2</v>
      </c>
      <c r="M23" s="11">
        <v>-0.2584499163586424</v>
      </c>
      <c r="N23" s="11">
        <v>-0.12680001369232849</v>
      </c>
      <c r="O23" s="11">
        <v>-1.9407711266769139E-2</v>
      </c>
      <c r="P23" s="11">
        <v>5.4681500000000001E-2</v>
      </c>
      <c r="Q23" s="11">
        <v>0.29117749999999998</v>
      </c>
      <c r="R23" s="11">
        <v>6.2820000000000001E-2</v>
      </c>
      <c r="S23" s="11">
        <v>-7.257050000000001E-2</v>
      </c>
      <c r="T23" s="11">
        <v>-8.4677000000000002E-2</v>
      </c>
      <c r="U23" s="11">
        <v>-0.21298177286802589</v>
      </c>
      <c r="V23" s="11">
        <v>6.3357010979066042E-2</v>
      </c>
      <c r="W23" s="11">
        <v>-0.50391933118531074</v>
      </c>
      <c r="X23" s="11">
        <v>0.19455600000000001</v>
      </c>
      <c r="Y23" s="11">
        <v>-1.4659801530490259E-2</v>
      </c>
      <c r="Z23" s="11">
        <v>-3.3032515443875303E-2</v>
      </c>
      <c r="AA23" s="11">
        <v>0.15165200000000001</v>
      </c>
      <c r="AB23" s="11">
        <v>-6.4039779876783498E-2</v>
      </c>
      <c r="AC23" s="11">
        <v>-7.6346338146838E-2</v>
      </c>
      <c r="AD23" s="11">
        <v>7.1626999999999996E-2</v>
      </c>
      <c r="AE23" s="11">
        <v>0.33234424861252548</v>
      </c>
      <c r="AF23" s="11">
        <v>-6.6906260089751285E-2</v>
      </c>
      <c r="AG23" s="11">
        <v>-9.1873657646360199E-2</v>
      </c>
      <c r="AH23" s="11">
        <v>8.417158452318324E-2</v>
      </c>
      <c r="AI23" s="11">
        <v>-2.3228266622481949E-2</v>
      </c>
      <c r="AJ23" s="11">
        <v>-5.6431378481542303E-3</v>
      </c>
      <c r="AK23" s="11">
        <v>-0.11411109934719101</v>
      </c>
      <c r="AL23" s="11">
        <v>-0.1314317131925356</v>
      </c>
      <c r="AM23" s="11">
        <v>-7.769489004865255E-3</v>
      </c>
      <c r="AN23" s="11">
        <v>-0.24231469935730071</v>
      </c>
      <c r="AO23" s="11">
        <v>5.3369521914240978E-3</v>
      </c>
      <c r="AP23" s="11">
        <v>-3.1210993523056942E-3</v>
      </c>
      <c r="AQ23" s="11">
        <v>-8.9424992259610633E-2</v>
      </c>
      <c r="AR23" s="11">
        <v>-0.33674404384506768</v>
      </c>
      <c r="AS23" s="11">
        <v>1.470688799737762E-2</v>
      </c>
      <c r="AT23" s="11">
        <v>4.1427721813649641E-2</v>
      </c>
      <c r="AU23" s="11">
        <v>-3.3145526128504327E-2</v>
      </c>
      <c r="AV23" s="11">
        <v>2.7638994197374041E-2</v>
      </c>
      <c r="AW23" s="11">
        <v>5.202690983840276E-2</v>
      </c>
      <c r="AX23" s="11">
        <v>-6.9838153827044058E-2</v>
      </c>
      <c r="AY23" s="11">
        <v>-0.17023398084058211</v>
      </c>
      <c r="AZ23" s="11">
        <v>6.3753617401060211E-2</v>
      </c>
      <c r="BA23" s="11">
        <v>5.3997999999999997E-2</v>
      </c>
      <c r="BB23" s="11">
        <v>5.1049484102885123E-2</v>
      </c>
      <c r="BC23" s="11">
        <v>0.30082824917306578</v>
      </c>
      <c r="BD23" s="11">
        <v>-9.4830881346450333E-2</v>
      </c>
      <c r="BE23" s="11">
        <v>7.1430762397296579E-2</v>
      </c>
      <c r="BF23" s="11">
        <v>2.284699060468626E-2</v>
      </c>
      <c r="BG23" s="11">
        <v>-3.8322827419145812E-2</v>
      </c>
      <c r="BH23" s="11">
        <v>-6.3365195703238231E-2</v>
      </c>
      <c r="BI23" s="11">
        <v>0.13821955522644711</v>
      </c>
      <c r="BJ23" s="11">
        <v>-5.8020213544642429E-2</v>
      </c>
      <c r="BK23" s="11">
        <v>-5.0098634745350491E-3</v>
      </c>
      <c r="BL23" s="11">
        <v>-5.3431999999999993E-2</v>
      </c>
      <c r="BM23" s="11">
        <v>-0.18918068678715391</v>
      </c>
      <c r="BN23" s="11">
        <v>6.9471707588132049E-3</v>
      </c>
      <c r="BO23" s="11">
        <v>-3.6524941745999073E-2</v>
      </c>
      <c r="BP23" s="11">
        <v>-9.8266399211456468E-2</v>
      </c>
      <c r="BQ23" s="11">
        <v>-7.2047901435266168E-2</v>
      </c>
      <c r="BR23" s="11">
        <v>-1.7844321463962809E-2</v>
      </c>
      <c r="BS23" s="11">
        <v>-0.2205670944023907</v>
      </c>
      <c r="BT23" s="11">
        <v>-0.2181855</v>
      </c>
      <c r="BU23" s="11">
        <v>-0.1056865</v>
      </c>
      <c r="BV23" s="11">
        <v>-1.702049999999999E-2</v>
      </c>
      <c r="BW23" s="11">
        <v>0.60099800000000003</v>
      </c>
      <c r="BX23" s="11">
        <v>8.2131197272531514E-3</v>
      </c>
      <c r="BY23" s="11">
        <v>3.9935999999999972E-2</v>
      </c>
      <c r="BZ23" s="11">
        <v>0.35239900000000002</v>
      </c>
      <c r="CA23" s="11">
        <v>0.20637549999999999</v>
      </c>
      <c r="CB23" s="11">
        <v>4.1664988378588452E-2</v>
      </c>
      <c r="CC23" s="11">
        <v>-8.3555909038169007E-2</v>
      </c>
      <c r="CD23" s="11">
        <v>-0.64074657751655262</v>
      </c>
      <c r="CE23" s="11">
        <v>-0.2045907215024447</v>
      </c>
      <c r="CF23" s="11">
        <v>-0.1834305</v>
      </c>
      <c r="CG23" s="11">
        <v>-0.21663724162720299</v>
      </c>
      <c r="CH23" s="11">
        <v>-0.16212257431707061</v>
      </c>
      <c r="CI23" s="11">
        <v>-0.13522219665147919</v>
      </c>
      <c r="CJ23" s="11">
        <v>-0.15651589641790081</v>
      </c>
      <c r="CK23" s="11">
        <v>7.1856390536544607E-2</v>
      </c>
      <c r="CL23" s="11">
        <v>0.1640494591789142</v>
      </c>
      <c r="CM23" s="11">
        <v>-0.3867329465229094</v>
      </c>
      <c r="CN23" s="11">
        <v>5.3005178369803271E-2</v>
      </c>
      <c r="CO23" s="11">
        <v>0.90892328736561978</v>
      </c>
      <c r="CP23" s="11">
        <v>-0.31136074316275669</v>
      </c>
      <c r="CQ23" s="11">
        <v>9.1837444998058917E-3</v>
      </c>
      <c r="CR23" s="11">
        <v>-1.159780382107861E-2</v>
      </c>
      <c r="CS23" s="11">
        <v>3.697421899127859E-2</v>
      </c>
      <c r="CT23" s="11">
        <v>-4.5662541711253862E-2</v>
      </c>
      <c r="CU23" s="11">
        <v>2.1056595713287041E-2</v>
      </c>
      <c r="CV23" s="11">
        <v>2.2245137488805671E-2</v>
      </c>
      <c r="CW23" s="11">
        <v>-0.1009013318024186</v>
      </c>
      <c r="CX23" s="11">
        <v>8.8716994096526336E-2</v>
      </c>
      <c r="CY23" s="11">
        <v>-2.20465307533785E-2</v>
      </c>
      <c r="CZ23" s="11">
        <v>-0.18199879385735121</v>
      </c>
      <c r="DA23" s="11">
        <v>3.0982136225910391E-2</v>
      </c>
      <c r="DB23" s="11">
        <v>1.5955156866996431E-2</v>
      </c>
      <c r="DC23" s="11">
        <v>-0.1191904860704142</v>
      </c>
      <c r="DD23" s="11">
        <v>-0.21341104440699671</v>
      </c>
      <c r="DE23" s="11">
        <v>9.3952259516448811E-3</v>
      </c>
      <c r="DF23" s="11">
        <v>-6.194212704490535E-2</v>
      </c>
      <c r="DG23" s="11">
        <v>-3.8270011874717E-2</v>
      </c>
      <c r="DH23" s="11">
        <v>-5.5413447308742453E-2</v>
      </c>
      <c r="DI23" s="11">
        <v>-5.3479596916020812E-2</v>
      </c>
      <c r="DJ23" s="11">
        <v>8.7058008172347823E-2</v>
      </c>
      <c r="DK23" s="11">
        <v>-0.27783321655884308</v>
      </c>
      <c r="DL23" s="11">
        <v>-0.21610105954027359</v>
      </c>
      <c r="DM23" s="11">
        <v>1.949730491936592E-2</v>
      </c>
      <c r="DN23" s="11">
        <v>-6.4971960439702253E-3</v>
      </c>
      <c r="DO23" s="11">
        <v>-0.16409130373383399</v>
      </c>
      <c r="DP23" s="11">
        <v>-4.7088232655722921E-2</v>
      </c>
      <c r="DQ23" s="11">
        <v>0.24594610755878629</v>
      </c>
      <c r="DR23" s="11">
        <v>0.1239173545292539</v>
      </c>
      <c r="DS23" s="11">
        <v>0.28809657691904628</v>
      </c>
      <c r="DT23" s="11">
        <v>0.12395522319619889</v>
      </c>
      <c r="DU23" s="11">
        <v>-3.4287185254997438E-2</v>
      </c>
      <c r="DV23" s="11">
        <v>-0.27627160832943959</v>
      </c>
      <c r="DW23" s="11">
        <v>-0.14122823258283859</v>
      </c>
      <c r="DX23" s="11">
        <v>0.31349320637896622</v>
      </c>
      <c r="DY23" s="11">
        <v>-0.16987682865225409</v>
      </c>
      <c r="DZ23" s="11">
        <v>0.10287301862651251</v>
      </c>
      <c r="EA23" s="11">
        <v>-9.3362079468968795E-2</v>
      </c>
      <c r="EB23" s="11">
        <v>0.24428465812392219</v>
      </c>
      <c r="EC23" s="11">
        <v>0.1232049429556647</v>
      </c>
      <c r="ED23" s="11">
        <v>0.194323278521919</v>
      </c>
      <c r="EE23" s="11">
        <v>-6.9545558094986554E-2</v>
      </c>
      <c r="EF23" s="11">
        <v>4.7782278591659677E-2</v>
      </c>
    </row>
    <row r="24" spans="1:136">
      <c r="A24" s="2">
        <v>964</v>
      </c>
      <c r="B24" s="2">
        <v>1</v>
      </c>
      <c r="C24" s="11">
        <v>9.9113000000000007E-2</v>
      </c>
      <c r="D24" s="11">
        <v>0.10061</v>
      </c>
      <c r="E24" s="11">
        <v>0.28451199999999999</v>
      </c>
      <c r="F24" s="11">
        <v>7.5326000000000004E-2</v>
      </c>
      <c r="G24" s="11">
        <v>0.22960700000000001</v>
      </c>
      <c r="H24" s="11">
        <v>3.5856000000000013E-2</v>
      </c>
      <c r="I24" s="11">
        <v>1.6930000000000001E-2</v>
      </c>
      <c r="J24" s="11">
        <v>-0.11546099999999999</v>
      </c>
      <c r="K24" s="11">
        <v>5.3733000000000003E-2</v>
      </c>
      <c r="L24" s="11">
        <v>9.3800000000000008E-2</v>
      </c>
      <c r="M24" s="11">
        <v>-0.14681933889950849</v>
      </c>
      <c r="N24" s="11">
        <v>-0.1051917107958454</v>
      </c>
      <c r="O24" s="11">
        <v>3.6648790739543732E-2</v>
      </c>
      <c r="P24" s="11">
        <v>1.736000000000001E-3</v>
      </c>
      <c r="Q24" s="11">
        <v>-2.8400000000000018E-3</v>
      </c>
      <c r="R24" s="11">
        <v>-2.7827000000000001E-2</v>
      </c>
      <c r="S24" s="11">
        <v>-1.1050000000000001E-2</v>
      </c>
      <c r="T24" s="11">
        <v>-0.28782000000000002</v>
      </c>
      <c r="U24" s="11">
        <v>-0.39296188484865302</v>
      </c>
      <c r="V24" s="11">
        <v>0.11654031671685081</v>
      </c>
      <c r="W24" s="11">
        <v>-0.64293352860565944</v>
      </c>
      <c r="X24" s="11">
        <v>-8.9899999999999702E-4</v>
      </c>
      <c r="Y24" s="11">
        <v>-9.4770149264170878E-3</v>
      </c>
      <c r="Z24" s="11">
        <v>-0.10584232727880701</v>
      </c>
      <c r="AA24" s="11">
        <v>9.4362000000000001E-2</v>
      </c>
      <c r="AB24" s="11">
        <v>-0.1953396226752438</v>
      </c>
      <c r="AC24" s="11">
        <v>-0.125380380775965</v>
      </c>
      <c r="AD24" s="11">
        <v>0.101174</v>
      </c>
      <c r="AE24" s="11">
        <v>0.54125812124628125</v>
      </c>
      <c r="AF24" s="11">
        <v>-2.2522010034790499E-2</v>
      </c>
      <c r="AG24" s="11">
        <v>-0.13873571762663761</v>
      </c>
      <c r="AH24" s="11">
        <v>5.6697360067789589E-2</v>
      </c>
      <c r="AI24" s="11">
        <v>8.8083310984272967E-3</v>
      </c>
      <c r="AJ24" s="11">
        <v>8.089124399937539E-2</v>
      </c>
      <c r="AK24" s="11">
        <v>-8.4883953068192297E-2</v>
      </c>
      <c r="AL24" s="11">
        <v>5.4676935490635382E-2</v>
      </c>
      <c r="AM24" s="11">
        <v>1.89192814205267E-2</v>
      </c>
      <c r="AN24" s="11">
        <v>-0.22118946514543131</v>
      </c>
      <c r="AO24" s="11">
        <v>-6.6090111828990022E-2</v>
      </c>
      <c r="AP24" s="11">
        <v>2.28517154890964E-2</v>
      </c>
      <c r="AQ24" s="11">
        <v>-4.7076972834245667E-2</v>
      </c>
      <c r="AR24" s="11">
        <v>-9.6392566076069844E-3</v>
      </c>
      <c r="AS24" s="11">
        <v>2.7956077266590069E-2</v>
      </c>
      <c r="AT24" s="11">
        <v>-3.045920748470865E-2</v>
      </c>
      <c r="AU24" s="11">
        <v>-4.4095319865224331E-2</v>
      </c>
      <c r="AV24" s="11">
        <v>8.7151952186895892E-2</v>
      </c>
      <c r="AW24" s="11">
        <v>-4.9875415110391882E-3</v>
      </c>
      <c r="AX24" s="11">
        <v>-2.8306186588424521E-2</v>
      </c>
      <c r="AY24" s="11">
        <v>-0.16812729388488939</v>
      </c>
      <c r="AZ24" s="11">
        <v>-3.7867073599665187E-2</v>
      </c>
      <c r="BA24" s="11">
        <v>5.0491000000000001E-2</v>
      </c>
      <c r="BB24" s="11">
        <v>8.6159033395334803E-2</v>
      </c>
      <c r="BC24" s="11">
        <v>0.8032160130443774</v>
      </c>
      <c r="BD24" s="11">
        <v>-0.18559521924643521</v>
      </c>
      <c r="BE24" s="11">
        <v>4.606435403168687E-2</v>
      </c>
      <c r="BF24" s="11">
        <v>-8.765133605409231E-2</v>
      </c>
      <c r="BG24" s="11">
        <v>9.0984227707435611E-2</v>
      </c>
      <c r="BH24" s="11">
        <v>-0.14767356525171971</v>
      </c>
      <c r="BI24" s="11">
        <v>-2.8151632148178202E-2</v>
      </c>
      <c r="BJ24" s="11">
        <v>6.0567254322459393E-2</v>
      </c>
      <c r="BK24" s="11">
        <v>-1.00197269490701E-2</v>
      </c>
      <c r="BL24" s="11">
        <v>-3.0898999999999999E-2</v>
      </c>
      <c r="BM24" s="11">
        <v>-1.1473019117737151E-2</v>
      </c>
      <c r="BN24" s="11">
        <v>-6.849341845574783E-3</v>
      </c>
      <c r="BO24" s="11">
        <v>0.16110969109564191</v>
      </c>
      <c r="BP24" s="11">
        <v>-0.1233511811293219</v>
      </c>
      <c r="BQ24" s="11">
        <v>6.4169633330115036E-2</v>
      </c>
      <c r="BR24" s="11">
        <v>-4.2356223303417713E-2</v>
      </c>
      <c r="BS24" s="11">
        <v>-0.1216210365296066</v>
      </c>
      <c r="BT24" s="11">
        <v>-0.27671800000000002</v>
      </c>
      <c r="BU24" s="11">
        <v>-8.7489999999999981E-3</v>
      </c>
      <c r="BV24" s="11">
        <v>-0.20330699999999999</v>
      </c>
      <c r="BW24" s="11">
        <v>1.1090150000000001</v>
      </c>
      <c r="BX24" s="11">
        <v>0.1329600557104578</v>
      </c>
      <c r="BY24" s="11">
        <v>-0.29033999999999999</v>
      </c>
      <c r="BZ24" s="11">
        <v>0.81395799999999996</v>
      </c>
      <c r="CA24" s="11">
        <v>0.10002800000000001</v>
      </c>
      <c r="CB24" s="11">
        <v>-6.4127083156042083E-2</v>
      </c>
      <c r="CC24" s="11">
        <v>-0.2198311932012271</v>
      </c>
      <c r="CD24" s="11">
        <v>-0.69133196858938295</v>
      </c>
      <c r="CE24" s="11">
        <v>-0.17930378386651619</v>
      </c>
      <c r="CF24" s="11">
        <v>-0.16513</v>
      </c>
      <c r="CG24" s="11">
        <v>-0.51996896607392207</v>
      </c>
      <c r="CH24" s="11">
        <v>-0.2129728840293183</v>
      </c>
      <c r="CI24" s="11">
        <v>-0.29359964364968388</v>
      </c>
      <c r="CJ24" s="11">
        <v>-0.3001868935902553</v>
      </c>
      <c r="CK24" s="11">
        <v>0.32305926532838408</v>
      </c>
      <c r="CL24" s="11">
        <v>1.5683747889366519E-2</v>
      </c>
      <c r="CM24" s="11">
        <v>-0.54958710995910021</v>
      </c>
      <c r="CN24" s="11">
        <v>0.1077387664572132</v>
      </c>
      <c r="CO24" s="11">
        <v>0.77665321833623113</v>
      </c>
      <c r="CP24" s="11">
        <v>-0.1603442048148421</v>
      </c>
      <c r="CQ24" s="11">
        <v>-0.1146871738632968</v>
      </c>
      <c r="CR24" s="11">
        <v>-6.1084838239556717E-2</v>
      </c>
      <c r="CS24" s="11">
        <v>8.5895232746805786E-2</v>
      </c>
      <c r="CT24" s="11">
        <v>-9.6419008147395818E-2</v>
      </c>
      <c r="CU24" s="11">
        <v>7.2751347656710041E-2</v>
      </c>
      <c r="CV24" s="11">
        <v>-1.5064047539375311E-2</v>
      </c>
      <c r="CW24" s="11">
        <v>-0.17511716607200739</v>
      </c>
      <c r="CX24" s="11">
        <v>-5.5207193708687041E-2</v>
      </c>
      <c r="CY24" s="11">
        <v>8.0066904636818925E-2</v>
      </c>
      <c r="CZ24" s="11">
        <v>-0.11220662844456721</v>
      </c>
      <c r="DA24" s="11">
        <v>-2.451120416275485E-2</v>
      </c>
      <c r="DB24" s="11">
        <v>0.19546067251265431</v>
      </c>
      <c r="DC24" s="11">
        <v>-0.19117575817053481</v>
      </c>
      <c r="DD24" s="11">
        <v>-0.15338138073910601</v>
      </c>
      <c r="DE24" s="11">
        <v>0.17606275750953501</v>
      </c>
      <c r="DF24" s="11">
        <v>0.1046649760205613</v>
      </c>
      <c r="DG24" s="11">
        <v>-5.9105834124344087E-2</v>
      </c>
      <c r="DH24" s="11">
        <v>-8.4652506536621926E-4</v>
      </c>
      <c r="DI24" s="11">
        <v>-0.1418754589382695</v>
      </c>
      <c r="DJ24" s="11">
        <v>0.13248861050923971</v>
      </c>
      <c r="DK24" s="11">
        <v>-0.33950921063044381</v>
      </c>
      <c r="DL24" s="11">
        <v>-0.21310442628588119</v>
      </c>
      <c r="DM24" s="11">
        <v>0.14143952722687489</v>
      </c>
      <c r="DN24" s="11">
        <v>-0.23333457077469619</v>
      </c>
      <c r="DO24" s="11">
        <v>-0.18544080263268789</v>
      </c>
      <c r="DP24" s="11">
        <v>-0.1143734254860139</v>
      </c>
      <c r="DQ24" s="11">
        <v>0.35907130209664839</v>
      </c>
      <c r="DR24" s="11">
        <v>0.34727416965402652</v>
      </c>
      <c r="DS24" s="11">
        <v>0.21626154103284559</v>
      </c>
      <c r="DT24" s="11">
        <v>3.8362866170129663E-2</v>
      </c>
      <c r="DU24" s="11">
        <v>4.7638587273757492E-2</v>
      </c>
      <c r="DV24" s="11">
        <v>-0.1582246986438143</v>
      </c>
      <c r="DW24" s="11">
        <v>-0.10885708989133031</v>
      </c>
      <c r="DX24" s="11">
        <v>0.31159312779250392</v>
      </c>
      <c r="DY24" s="11">
        <v>-0.34380428679820851</v>
      </c>
      <c r="DZ24" s="11">
        <v>5.0469182403116652E-2</v>
      </c>
      <c r="EA24" s="11">
        <v>-2.3171501846674901E-2</v>
      </c>
      <c r="EB24" s="11">
        <v>0.58969791699909047</v>
      </c>
      <c r="EC24" s="11">
        <v>0.25665137996352638</v>
      </c>
      <c r="ED24" s="11">
        <v>8.4540092567264802E-2</v>
      </c>
      <c r="EE24" s="11">
        <v>3.5663982870964749E-2</v>
      </c>
      <c r="EF24" s="11">
        <v>-6.7276677043968364E-2</v>
      </c>
    </row>
    <row r="26" spans="1:136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5" t="s">
        <v>146</v>
      </c>
      <c r="C28" s="16">
        <v>2540</v>
      </c>
      <c r="D28" s="16">
        <v>2540</v>
      </c>
      <c r="E28" s="16">
        <v>2540</v>
      </c>
      <c r="F28" s="16">
        <v>2540</v>
      </c>
      <c r="G28" s="16">
        <v>2540</v>
      </c>
      <c r="H28" s="16">
        <v>2540</v>
      </c>
      <c r="I28" s="16">
        <v>6114</v>
      </c>
      <c r="J28" s="16">
        <v>6242</v>
      </c>
      <c r="K28" s="16">
        <v>6242</v>
      </c>
      <c r="L28" s="16">
        <v>6242</v>
      </c>
      <c r="M28" s="16">
        <v>8077</v>
      </c>
      <c r="N28" s="16">
        <v>8077</v>
      </c>
      <c r="O28" s="16">
        <v>5455</v>
      </c>
      <c r="P28" s="16">
        <v>5455</v>
      </c>
      <c r="Q28" s="16">
        <v>5455</v>
      </c>
      <c r="R28" s="16">
        <v>5455</v>
      </c>
      <c r="S28" s="16">
        <v>5455</v>
      </c>
      <c r="T28" s="16">
        <v>5455</v>
      </c>
      <c r="U28" s="16">
        <v>4413</v>
      </c>
      <c r="V28" s="16">
        <v>4413</v>
      </c>
      <c r="W28" s="16">
        <v>4413</v>
      </c>
      <c r="X28" s="16">
        <v>6225</v>
      </c>
      <c r="Y28" s="16">
        <v>8044</v>
      </c>
      <c r="Z28" s="16">
        <v>6225</v>
      </c>
      <c r="AA28" s="16">
        <v>6225</v>
      </c>
      <c r="AB28" s="16">
        <v>6225</v>
      </c>
      <c r="AC28" s="16">
        <v>6225</v>
      </c>
      <c r="AD28" s="16">
        <v>6225</v>
      </c>
      <c r="AE28" s="16">
        <v>6225</v>
      </c>
      <c r="AF28" s="16">
        <v>6225</v>
      </c>
      <c r="AG28" s="16">
        <v>6225</v>
      </c>
      <c r="AH28" s="16">
        <v>6225</v>
      </c>
      <c r="AI28" s="16">
        <v>6291</v>
      </c>
      <c r="AJ28" s="16">
        <v>6291</v>
      </c>
      <c r="AK28" s="16">
        <v>6225</v>
      </c>
      <c r="AL28" s="16">
        <v>6225</v>
      </c>
      <c r="AM28" s="16">
        <v>6225</v>
      </c>
      <c r="AN28" s="16">
        <v>6225</v>
      </c>
      <c r="AO28" s="16">
        <v>6225</v>
      </c>
      <c r="AP28" s="16">
        <v>6225</v>
      </c>
      <c r="AQ28" s="16">
        <v>6225</v>
      </c>
      <c r="AR28" s="16">
        <v>6225</v>
      </c>
      <c r="AS28" s="16">
        <v>6225</v>
      </c>
      <c r="AT28" s="16">
        <v>6225</v>
      </c>
      <c r="AU28" s="16">
        <v>6225</v>
      </c>
      <c r="AV28" s="16">
        <v>6225</v>
      </c>
      <c r="AW28" s="16">
        <v>3043</v>
      </c>
      <c r="AX28" s="16">
        <v>3043</v>
      </c>
      <c r="AY28" s="16">
        <v>6225</v>
      </c>
      <c r="AZ28" s="16">
        <v>6225</v>
      </c>
      <c r="BA28" s="16">
        <v>6225</v>
      </c>
      <c r="BB28" s="16">
        <v>6225</v>
      </c>
      <c r="BC28" s="16">
        <v>6225</v>
      </c>
      <c r="BD28" s="16">
        <v>6225</v>
      </c>
      <c r="BE28" s="16">
        <v>6225</v>
      </c>
      <c r="BF28" s="16">
        <v>6225</v>
      </c>
      <c r="BG28" s="16">
        <v>6225</v>
      </c>
      <c r="BH28" s="16">
        <v>6225</v>
      </c>
      <c r="BI28" s="16">
        <v>6225</v>
      </c>
      <c r="BJ28" s="16">
        <v>6225</v>
      </c>
      <c r="BK28" s="16">
        <v>6225</v>
      </c>
      <c r="BL28" s="16">
        <v>6225</v>
      </c>
      <c r="BM28" s="16">
        <v>6225</v>
      </c>
      <c r="BN28" s="16">
        <v>6225</v>
      </c>
      <c r="BO28" s="16">
        <v>6225</v>
      </c>
      <c r="BP28" s="16">
        <v>6225</v>
      </c>
      <c r="BQ28" s="16">
        <v>6225</v>
      </c>
      <c r="BR28" s="16">
        <v>6225</v>
      </c>
      <c r="BS28" s="16">
        <v>6225</v>
      </c>
      <c r="BT28" s="16">
        <v>6225</v>
      </c>
      <c r="BU28" s="16">
        <v>8080</v>
      </c>
      <c r="BV28" s="16">
        <v>6225</v>
      </c>
      <c r="BW28" s="16">
        <v>5205</v>
      </c>
      <c r="BX28" s="16">
        <v>8080</v>
      </c>
      <c r="BY28" s="16">
        <v>8080</v>
      </c>
      <c r="BZ28" s="16">
        <v>8080</v>
      </c>
      <c r="CA28" s="16">
        <v>8080</v>
      </c>
      <c r="CB28" s="16">
        <v>8080</v>
      </c>
      <c r="CC28" s="16">
        <v>5205</v>
      </c>
      <c r="CD28" s="16">
        <v>5205</v>
      </c>
      <c r="CE28" s="16">
        <v>5205</v>
      </c>
      <c r="CF28" s="16">
        <v>5205</v>
      </c>
      <c r="CG28" s="16">
        <v>5205</v>
      </c>
      <c r="CH28" s="16">
        <v>5205</v>
      </c>
      <c r="CI28" s="16">
        <v>5205</v>
      </c>
      <c r="CJ28" s="16">
        <v>8080</v>
      </c>
      <c r="CK28" s="16">
        <v>8080</v>
      </c>
      <c r="CL28" s="16">
        <v>8080</v>
      </c>
      <c r="CM28" s="16">
        <v>5205</v>
      </c>
      <c r="CN28" s="16">
        <v>6287</v>
      </c>
      <c r="CO28" s="16">
        <v>6287</v>
      </c>
      <c r="CP28" s="16">
        <v>6287</v>
      </c>
      <c r="CQ28" s="16">
        <v>6287</v>
      </c>
      <c r="CR28" s="16">
        <v>6287</v>
      </c>
      <c r="CS28" s="16">
        <v>6287</v>
      </c>
      <c r="CT28" s="16">
        <v>6287</v>
      </c>
      <c r="CU28" s="16">
        <v>8101</v>
      </c>
      <c r="CV28" s="16">
        <v>8101</v>
      </c>
      <c r="CW28" s="16">
        <v>8101</v>
      </c>
      <c r="CX28" s="16">
        <v>8101</v>
      </c>
      <c r="CY28" s="16">
        <v>8101</v>
      </c>
      <c r="CZ28" s="16">
        <v>8101</v>
      </c>
      <c r="DA28" s="16">
        <v>6225</v>
      </c>
      <c r="DB28" s="16">
        <v>6225</v>
      </c>
      <c r="DC28" s="16">
        <v>6225</v>
      </c>
      <c r="DD28" s="16">
        <v>6225</v>
      </c>
      <c r="DE28" s="16">
        <v>6225</v>
      </c>
      <c r="DF28" s="16">
        <v>3064</v>
      </c>
      <c r="DG28" s="16">
        <v>6225</v>
      </c>
      <c r="DH28" s="16">
        <v>6225</v>
      </c>
      <c r="DI28" s="16">
        <v>6225</v>
      </c>
      <c r="DJ28" s="16">
        <v>6225</v>
      </c>
      <c r="DK28" s="16">
        <v>6225</v>
      </c>
      <c r="DL28" s="16">
        <v>6225</v>
      </c>
      <c r="DM28" s="16">
        <v>8084</v>
      </c>
      <c r="DN28" s="16">
        <v>8084</v>
      </c>
      <c r="DO28" s="16">
        <v>1519</v>
      </c>
      <c r="DP28" s="16">
        <v>1519</v>
      </c>
      <c r="DQ28" s="16">
        <v>8084</v>
      </c>
      <c r="DR28" s="16">
        <v>4419</v>
      </c>
      <c r="DS28" s="16">
        <v>4419</v>
      </c>
      <c r="DT28" s="16">
        <v>4419</v>
      </c>
      <c r="DU28" s="16">
        <v>4419</v>
      </c>
      <c r="DV28" s="16">
        <v>4419</v>
      </c>
      <c r="DW28" s="16">
        <v>4419</v>
      </c>
      <c r="DX28" s="16">
        <v>4419</v>
      </c>
      <c r="DY28" s="16">
        <v>1519</v>
      </c>
      <c r="DZ28" s="16">
        <v>1519</v>
      </c>
      <c r="EA28" s="16">
        <v>1519</v>
      </c>
      <c r="EB28" s="16">
        <v>1519</v>
      </c>
      <c r="EC28" s="16">
        <v>6287</v>
      </c>
      <c r="ED28" s="16">
        <v>6287</v>
      </c>
      <c r="EE28" s="16">
        <v>5314</v>
      </c>
      <c r="EF28" s="16">
        <v>5314</v>
      </c>
    </row>
    <row r="29" spans="1:136">
      <c r="B29" s="15" t="s">
        <v>147</v>
      </c>
      <c r="C29" s="16" t="s">
        <v>148</v>
      </c>
      <c r="D29" s="16" t="s">
        <v>148</v>
      </c>
      <c r="E29" s="16" t="s">
        <v>148</v>
      </c>
      <c r="F29" s="16" t="s">
        <v>148</v>
      </c>
      <c r="G29" s="16" t="s">
        <v>148</v>
      </c>
      <c r="H29" s="16" t="s">
        <v>148</v>
      </c>
      <c r="I29" s="16" t="s">
        <v>149</v>
      </c>
      <c r="J29" s="16" t="s">
        <v>150</v>
      </c>
      <c r="K29" s="16" t="s">
        <v>150</v>
      </c>
      <c r="L29" s="16" t="s">
        <v>150</v>
      </c>
      <c r="M29" s="16" t="s">
        <v>151</v>
      </c>
      <c r="N29" s="16" t="s">
        <v>151</v>
      </c>
      <c r="O29" s="16" t="s">
        <v>152</v>
      </c>
      <c r="P29" s="16" t="s">
        <v>152</v>
      </c>
      <c r="Q29" s="16" t="s">
        <v>152</v>
      </c>
      <c r="R29" s="16" t="s">
        <v>152</v>
      </c>
      <c r="S29" s="16" t="s">
        <v>152</v>
      </c>
      <c r="T29" s="16" t="s">
        <v>152</v>
      </c>
      <c r="U29" s="16" t="s">
        <v>153</v>
      </c>
      <c r="V29" s="16" t="s">
        <v>153</v>
      </c>
      <c r="W29" s="16" t="s">
        <v>153</v>
      </c>
      <c r="X29" s="16" t="s">
        <v>154</v>
      </c>
      <c r="Y29" s="16" t="s">
        <v>155</v>
      </c>
      <c r="Z29" s="16" t="s">
        <v>154</v>
      </c>
      <c r="AA29" s="16" t="s">
        <v>154</v>
      </c>
      <c r="AB29" s="16" t="s">
        <v>154</v>
      </c>
      <c r="AC29" s="16" t="s">
        <v>154</v>
      </c>
      <c r="AD29" s="16" t="s">
        <v>154</v>
      </c>
      <c r="AE29" s="16" t="s">
        <v>154</v>
      </c>
      <c r="AF29" s="16" t="s">
        <v>154</v>
      </c>
      <c r="AG29" s="16" t="s">
        <v>154</v>
      </c>
      <c r="AH29" s="16" t="s">
        <v>154</v>
      </c>
      <c r="AI29" s="16" t="s">
        <v>156</v>
      </c>
      <c r="AJ29" s="16" t="s">
        <v>156</v>
      </c>
      <c r="AK29" s="16" t="s">
        <v>154</v>
      </c>
      <c r="AL29" s="16" t="s">
        <v>154</v>
      </c>
      <c r="AM29" s="16" t="s">
        <v>154</v>
      </c>
      <c r="AN29" s="16" t="s">
        <v>154</v>
      </c>
      <c r="AO29" s="16" t="s">
        <v>154</v>
      </c>
      <c r="AP29" s="16" t="s">
        <v>154</v>
      </c>
      <c r="AQ29" s="16" t="s">
        <v>154</v>
      </c>
      <c r="AR29" s="16" t="s">
        <v>154</v>
      </c>
      <c r="AS29" s="16" t="s">
        <v>154</v>
      </c>
      <c r="AT29" s="16" t="s">
        <v>154</v>
      </c>
      <c r="AU29" s="16" t="s">
        <v>154</v>
      </c>
      <c r="AV29" s="16" t="s">
        <v>154</v>
      </c>
      <c r="AW29" s="16" t="s">
        <v>157</v>
      </c>
      <c r="AX29" s="16" t="s">
        <v>157</v>
      </c>
      <c r="AY29" s="16" t="s">
        <v>154</v>
      </c>
      <c r="AZ29" s="16" t="s">
        <v>154</v>
      </c>
      <c r="BA29" s="16" t="s">
        <v>154</v>
      </c>
      <c r="BB29" s="16" t="s">
        <v>154</v>
      </c>
      <c r="BC29" s="16" t="s">
        <v>154</v>
      </c>
      <c r="BD29" s="16" t="s">
        <v>154</v>
      </c>
      <c r="BE29" s="16" t="s">
        <v>154</v>
      </c>
      <c r="BF29" s="16" t="s">
        <v>154</v>
      </c>
      <c r="BG29" s="16" t="s">
        <v>154</v>
      </c>
      <c r="BH29" s="16" t="s">
        <v>154</v>
      </c>
      <c r="BI29" s="16" t="s">
        <v>154</v>
      </c>
      <c r="BJ29" s="16" t="s">
        <v>154</v>
      </c>
      <c r="BK29" s="16" t="s">
        <v>154</v>
      </c>
      <c r="BL29" s="16" t="s">
        <v>154</v>
      </c>
      <c r="BM29" s="16" t="s">
        <v>154</v>
      </c>
      <c r="BN29" s="16" t="s">
        <v>154</v>
      </c>
      <c r="BO29" s="16" t="s">
        <v>154</v>
      </c>
      <c r="BP29" s="16" t="s">
        <v>154</v>
      </c>
      <c r="BQ29" s="16" t="s">
        <v>154</v>
      </c>
      <c r="BR29" s="16" t="s">
        <v>154</v>
      </c>
      <c r="BS29" s="16" t="s">
        <v>154</v>
      </c>
      <c r="BT29" s="16" t="s">
        <v>154</v>
      </c>
      <c r="BU29" s="16" t="s">
        <v>158</v>
      </c>
      <c r="BV29" s="16" t="s">
        <v>154</v>
      </c>
      <c r="BW29" s="16" t="s">
        <v>159</v>
      </c>
      <c r="BX29" s="16" t="s">
        <v>158</v>
      </c>
      <c r="BY29" s="16" t="s">
        <v>158</v>
      </c>
      <c r="BZ29" s="16" t="s">
        <v>158</v>
      </c>
      <c r="CA29" s="16" t="s">
        <v>158</v>
      </c>
      <c r="CB29" s="16" t="s">
        <v>158</v>
      </c>
      <c r="CC29" s="16" t="s">
        <v>159</v>
      </c>
      <c r="CD29" s="16" t="s">
        <v>159</v>
      </c>
      <c r="CE29" s="16" t="s">
        <v>159</v>
      </c>
      <c r="CF29" s="16" t="s">
        <v>159</v>
      </c>
      <c r="CG29" s="16" t="s">
        <v>159</v>
      </c>
      <c r="CH29" s="16" t="s">
        <v>159</v>
      </c>
      <c r="CI29" s="16" t="s">
        <v>159</v>
      </c>
      <c r="CJ29" s="16" t="s">
        <v>158</v>
      </c>
      <c r="CK29" s="16" t="s">
        <v>158</v>
      </c>
      <c r="CL29" s="16" t="s">
        <v>158</v>
      </c>
      <c r="CM29" s="16" t="s">
        <v>159</v>
      </c>
      <c r="CN29" s="16" t="s">
        <v>160</v>
      </c>
      <c r="CO29" s="16" t="s">
        <v>160</v>
      </c>
      <c r="CP29" s="16" t="s">
        <v>160</v>
      </c>
      <c r="CQ29" s="16" t="s">
        <v>160</v>
      </c>
      <c r="CR29" s="16" t="s">
        <v>160</v>
      </c>
      <c r="CS29" s="16" t="s">
        <v>160</v>
      </c>
      <c r="CT29" s="16" t="s">
        <v>160</v>
      </c>
      <c r="CU29" s="16" t="s">
        <v>161</v>
      </c>
      <c r="CV29" s="16" t="s">
        <v>161</v>
      </c>
      <c r="CW29" s="16" t="s">
        <v>161</v>
      </c>
      <c r="CX29" s="16" t="s">
        <v>161</v>
      </c>
      <c r="CY29" s="16" t="s">
        <v>161</v>
      </c>
      <c r="CZ29" s="16" t="s">
        <v>161</v>
      </c>
      <c r="DA29" s="16" t="s">
        <v>154</v>
      </c>
      <c r="DB29" s="16" t="s">
        <v>154</v>
      </c>
      <c r="DC29" s="16" t="s">
        <v>154</v>
      </c>
      <c r="DD29" s="16" t="s">
        <v>154</v>
      </c>
      <c r="DE29" s="16" t="s">
        <v>154</v>
      </c>
      <c r="DF29" s="16" t="s">
        <v>162</v>
      </c>
      <c r="DG29" s="16" t="s">
        <v>154</v>
      </c>
      <c r="DH29" s="16" t="s">
        <v>154</v>
      </c>
      <c r="DI29" s="16" t="s">
        <v>154</v>
      </c>
      <c r="DJ29" s="16" t="s">
        <v>154</v>
      </c>
      <c r="DK29" s="16" t="s">
        <v>154</v>
      </c>
      <c r="DL29" s="16" t="s">
        <v>154</v>
      </c>
      <c r="DM29" s="16" t="s">
        <v>163</v>
      </c>
      <c r="DN29" s="16" t="s">
        <v>163</v>
      </c>
      <c r="DO29" s="16" t="s">
        <v>164</v>
      </c>
      <c r="DP29" s="16" t="s">
        <v>164</v>
      </c>
      <c r="DQ29" s="16" t="s">
        <v>163</v>
      </c>
      <c r="DR29" s="16" t="s">
        <v>165</v>
      </c>
      <c r="DS29" s="16" t="s">
        <v>165</v>
      </c>
      <c r="DT29" s="16" t="s">
        <v>165</v>
      </c>
      <c r="DU29" s="16" t="s">
        <v>165</v>
      </c>
      <c r="DV29" s="16" t="s">
        <v>165</v>
      </c>
      <c r="DW29" s="16" t="s">
        <v>165</v>
      </c>
      <c r="DX29" s="16" t="s">
        <v>165</v>
      </c>
      <c r="DY29" s="16" t="s">
        <v>164</v>
      </c>
      <c r="DZ29" s="16" t="s">
        <v>164</v>
      </c>
      <c r="EA29" s="16" t="s">
        <v>164</v>
      </c>
      <c r="EB29" s="16" t="s">
        <v>164</v>
      </c>
      <c r="EC29" s="16" t="s">
        <v>160</v>
      </c>
      <c r="ED29" s="16" t="s">
        <v>160</v>
      </c>
      <c r="EE29" s="16" t="s">
        <v>166</v>
      </c>
      <c r="EF29" s="16" t="s">
        <v>166</v>
      </c>
    </row>
    <row r="30" spans="1:136">
      <c r="B30" s="15" t="s">
        <v>167</v>
      </c>
      <c r="C30" s="16">
        <v>2492</v>
      </c>
      <c r="D30" s="16">
        <v>2323</v>
      </c>
      <c r="E30" s="16">
        <v>2323</v>
      </c>
      <c r="F30" s="16">
        <v>2323</v>
      </c>
      <c r="G30" s="16">
        <v>2323</v>
      </c>
      <c r="H30" s="16">
        <v>2323</v>
      </c>
      <c r="I30" s="16">
        <v>2323</v>
      </c>
      <c r="J30" s="16">
        <v>2323</v>
      </c>
      <c r="K30" s="16">
        <v>2323</v>
      </c>
      <c r="L30" s="16">
        <v>2323</v>
      </c>
      <c r="M30" s="16">
        <v>2323</v>
      </c>
      <c r="N30" s="16">
        <v>2323</v>
      </c>
      <c r="O30" s="16">
        <v>2323</v>
      </c>
      <c r="P30" s="16">
        <v>2323</v>
      </c>
      <c r="Q30" s="16">
        <v>2323</v>
      </c>
      <c r="R30" s="16">
        <v>2323</v>
      </c>
      <c r="S30" s="16">
        <v>2323</v>
      </c>
      <c r="T30" s="16">
        <v>2323</v>
      </c>
      <c r="U30" s="16">
        <v>2323</v>
      </c>
      <c r="V30" s="16">
        <v>2323</v>
      </c>
      <c r="W30" s="16">
        <v>2323</v>
      </c>
      <c r="X30" s="16">
        <v>2323</v>
      </c>
      <c r="Y30" s="16">
        <v>2323</v>
      </c>
      <c r="Z30" s="16">
        <v>2323</v>
      </c>
      <c r="AA30" s="16">
        <v>2323</v>
      </c>
      <c r="AB30" s="16">
        <v>2323</v>
      </c>
      <c r="AC30" s="16">
        <v>2323</v>
      </c>
      <c r="AD30" s="16">
        <v>2323</v>
      </c>
      <c r="AE30" s="16">
        <v>2323</v>
      </c>
      <c r="AF30" s="16">
        <v>2323</v>
      </c>
      <c r="AG30" s="16">
        <v>1314</v>
      </c>
      <c r="AH30" s="16">
        <v>2323</v>
      </c>
      <c r="AI30" s="16">
        <v>2330</v>
      </c>
      <c r="AJ30" s="16">
        <v>2330</v>
      </c>
      <c r="AK30" s="16">
        <v>2323</v>
      </c>
      <c r="AL30" s="16">
        <v>2323</v>
      </c>
      <c r="AM30" s="16">
        <v>2323</v>
      </c>
      <c r="AN30" s="16">
        <v>2323</v>
      </c>
      <c r="AO30" s="16">
        <v>2323</v>
      </c>
      <c r="AP30" s="16">
        <v>2323</v>
      </c>
      <c r="AQ30" s="16">
        <v>2323</v>
      </c>
      <c r="AR30" s="16">
        <v>2323</v>
      </c>
      <c r="AS30" s="16">
        <v>2323</v>
      </c>
      <c r="AT30" s="16">
        <v>2323</v>
      </c>
      <c r="AU30" s="16">
        <v>2323</v>
      </c>
      <c r="AV30" s="16">
        <v>2323</v>
      </c>
      <c r="AW30" s="16">
        <v>3252</v>
      </c>
      <c r="AX30" s="16">
        <v>3252</v>
      </c>
      <c r="AY30" s="16">
        <v>3252</v>
      </c>
      <c r="AZ30" s="16">
        <v>3252</v>
      </c>
      <c r="BA30" s="16">
        <v>3252</v>
      </c>
      <c r="BB30" s="16">
        <v>3252</v>
      </c>
      <c r="BC30" s="16">
        <v>1906</v>
      </c>
      <c r="BD30" s="16">
        <v>1906</v>
      </c>
      <c r="BE30" s="16">
        <v>1906</v>
      </c>
      <c r="BF30" s="16">
        <v>3252</v>
      </c>
      <c r="BG30" s="16">
        <v>1906</v>
      </c>
      <c r="BH30" s="16">
        <v>1906</v>
      </c>
      <c r="BI30" s="16">
        <v>1906</v>
      </c>
      <c r="BJ30" s="16">
        <v>1906</v>
      </c>
      <c r="BK30" s="16">
        <v>8085</v>
      </c>
      <c r="BL30" s="16">
        <v>8085</v>
      </c>
      <c r="BM30" s="16">
        <v>2201</v>
      </c>
      <c r="BN30" s="16">
        <v>8085</v>
      </c>
      <c r="BO30" s="16">
        <v>8085</v>
      </c>
      <c r="BP30" s="16">
        <v>8085</v>
      </c>
      <c r="BQ30" s="16">
        <v>3252</v>
      </c>
      <c r="BR30" s="16">
        <v>2409</v>
      </c>
      <c r="BS30" s="16">
        <v>3252</v>
      </c>
      <c r="BT30" s="16">
        <v>3311</v>
      </c>
      <c r="BU30" s="16">
        <v>3311</v>
      </c>
      <c r="BV30" s="16">
        <v>2321</v>
      </c>
      <c r="BW30" s="16">
        <v>3252</v>
      </c>
      <c r="BX30" s="16">
        <v>3252</v>
      </c>
      <c r="BY30" s="16">
        <v>3252</v>
      </c>
      <c r="BZ30" s="16">
        <v>5608</v>
      </c>
      <c r="CA30" s="16">
        <v>5608</v>
      </c>
      <c r="CB30" s="16">
        <v>5608</v>
      </c>
      <c r="CC30" s="16">
        <v>1314</v>
      </c>
      <c r="CD30" s="16">
        <v>5608</v>
      </c>
      <c r="CE30" s="16">
        <v>1314</v>
      </c>
      <c r="CF30" s="16">
        <v>1314</v>
      </c>
      <c r="CG30" s="16">
        <v>1314</v>
      </c>
      <c r="CH30" s="16">
        <v>1314</v>
      </c>
      <c r="CI30" s="16">
        <v>3252</v>
      </c>
      <c r="CJ30" s="16">
        <v>3252</v>
      </c>
      <c r="CK30" s="16">
        <v>3252</v>
      </c>
      <c r="CL30" s="16">
        <v>3252</v>
      </c>
      <c r="CM30" s="16">
        <v>3252</v>
      </c>
      <c r="CN30" s="16">
        <v>3252</v>
      </c>
      <c r="CO30" s="16">
        <v>3252</v>
      </c>
      <c r="CP30" s="16">
        <v>3252</v>
      </c>
      <c r="CQ30" s="16">
        <v>3252</v>
      </c>
      <c r="CR30" s="16">
        <v>3252</v>
      </c>
      <c r="CS30" s="16">
        <v>1906</v>
      </c>
      <c r="CT30" s="16">
        <v>1906</v>
      </c>
      <c r="CU30" s="16">
        <v>1906</v>
      </c>
      <c r="CV30" s="16">
        <v>1906</v>
      </c>
      <c r="CW30" s="16">
        <v>1906</v>
      </c>
      <c r="CX30" s="16">
        <v>1906</v>
      </c>
      <c r="CY30" s="16">
        <v>1906</v>
      </c>
      <c r="CZ30" s="16">
        <v>1906</v>
      </c>
      <c r="DA30" s="16">
        <v>1314</v>
      </c>
      <c r="DB30" s="16">
        <v>4414</v>
      </c>
      <c r="DC30" s="16">
        <v>1314</v>
      </c>
      <c r="DD30" s="16">
        <v>1906</v>
      </c>
      <c r="DE30" s="16">
        <v>2323</v>
      </c>
      <c r="DF30" s="16">
        <v>2323</v>
      </c>
      <c r="DG30" s="16">
        <v>2362</v>
      </c>
      <c r="DH30" s="16">
        <v>2362</v>
      </c>
      <c r="DI30" s="16">
        <v>2362</v>
      </c>
      <c r="DJ30" s="16">
        <v>2362</v>
      </c>
      <c r="DK30" s="16">
        <v>3252</v>
      </c>
      <c r="DL30" s="16">
        <v>1314</v>
      </c>
      <c r="DM30" s="16">
        <v>2603</v>
      </c>
      <c r="DN30" s="16">
        <v>2603</v>
      </c>
      <c r="DO30" s="16">
        <v>2603</v>
      </c>
      <c r="DP30" s="16">
        <v>2603</v>
      </c>
      <c r="DQ30" s="16">
        <v>1906</v>
      </c>
      <c r="DR30" s="16">
        <v>1906</v>
      </c>
      <c r="DS30" s="16">
        <v>1314</v>
      </c>
      <c r="DT30" s="16">
        <v>1314</v>
      </c>
      <c r="DU30" s="16">
        <v>1314</v>
      </c>
      <c r="DV30" s="16">
        <v>1314</v>
      </c>
      <c r="DW30" s="16">
        <v>1312</v>
      </c>
      <c r="DX30" s="16">
        <v>1314</v>
      </c>
      <c r="DY30" s="16">
        <v>1312</v>
      </c>
      <c r="DZ30" s="16">
        <v>1312</v>
      </c>
      <c r="EA30" s="16">
        <v>1312</v>
      </c>
      <c r="EB30" s="16">
        <v>1314</v>
      </c>
      <c r="EC30" s="16">
        <v>1314</v>
      </c>
      <c r="ED30" s="16">
        <v>1312</v>
      </c>
      <c r="EE30" s="16">
        <v>1312</v>
      </c>
      <c r="EF30" s="16">
        <v>1314</v>
      </c>
    </row>
    <row r="31" spans="1:136">
      <c r="B31" s="15" t="s">
        <v>147</v>
      </c>
      <c r="C31" s="16" t="s">
        <v>168</v>
      </c>
      <c r="D31" s="16" t="s">
        <v>169</v>
      </c>
      <c r="E31" s="16" t="s">
        <v>169</v>
      </c>
      <c r="F31" s="16" t="s">
        <v>169</v>
      </c>
      <c r="G31" s="16" t="s">
        <v>169</v>
      </c>
      <c r="H31" s="16" t="s">
        <v>169</v>
      </c>
      <c r="I31" s="16" t="s">
        <v>169</v>
      </c>
      <c r="J31" s="16" t="s">
        <v>169</v>
      </c>
      <c r="K31" s="16" t="s">
        <v>169</v>
      </c>
      <c r="L31" s="16" t="s">
        <v>169</v>
      </c>
      <c r="M31" s="16" t="s">
        <v>169</v>
      </c>
      <c r="N31" s="16" t="s">
        <v>169</v>
      </c>
      <c r="O31" s="16" t="s">
        <v>169</v>
      </c>
      <c r="P31" s="16" t="s">
        <v>169</v>
      </c>
      <c r="Q31" s="16" t="s">
        <v>169</v>
      </c>
      <c r="R31" s="16" t="s">
        <v>169</v>
      </c>
      <c r="S31" s="16" t="s">
        <v>169</v>
      </c>
      <c r="T31" s="16" t="s">
        <v>169</v>
      </c>
      <c r="U31" s="16" t="s">
        <v>169</v>
      </c>
      <c r="V31" s="16" t="s">
        <v>169</v>
      </c>
      <c r="W31" s="16" t="s">
        <v>169</v>
      </c>
      <c r="X31" s="16" t="s">
        <v>169</v>
      </c>
      <c r="Y31" s="16" t="s">
        <v>169</v>
      </c>
      <c r="Z31" s="16" t="s">
        <v>169</v>
      </c>
      <c r="AA31" s="16" t="s">
        <v>169</v>
      </c>
      <c r="AB31" s="16" t="s">
        <v>169</v>
      </c>
      <c r="AC31" s="16" t="s">
        <v>169</v>
      </c>
      <c r="AD31" s="16" t="s">
        <v>169</v>
      </c>
      <c r="AE31" s="16" t="s">
        <v>169</v>
      </c>
      <c r="AF31" s="16" t="s">
        <v>169</v>
      </c>
      <c r="AG31" s="16" t="s">
        <v>170</v>
      </c>
      <c r="AH31" s="16" t="s">
        <v>169</v>
      </c>
      <c r="AI31" s="16" t="s">
        <v>171</v>
      </c>
      <c r="AJ31" s="16" t="s">
        <v>171</v>
      </c>
      <c r="AK31" s="16" t="s">
        <v>169</v>
      </c>
      <c r="AL31" s="16" t="s">
        <v>169</v>
      </c>
      <c r="AM31" s="16" t="s">
        <v>169</v>
      </c>
      <c r="AN31" s="16" t="s">
        <v>169</v>
      </c>
      <c r="AO31" s="16" t="s">
        <v>169</v>
      </c>
      <c r="AP31" s="16" t="s">
        <v>169</v>
      </c>
      <c r="AQ31" s="16" t="s">
        <v>169</v>
      </c>
      <c r="AR31" s="16" t="s">
        <v>169</v>
      </c>
      <c r="AS31" s="16" t="s">
        <v>169</v>
      </c>
      <c r="AT31" s="16" t="s">
        <v>169</v>
      </c>
      <c r="AU31" s="16" t="s">
        <v>169</v>
      </c>
      <c r="AV31" s="16" t="s">
        <v>169</v>
      </c>
      <c r="AW31" s="16" t="s">
        <v>172</v>
      </c>
      <c r="AX31" s="16" t="s">
        <v>172</v>
      </c>
      <c r="AY31" s="16" t="s">
        <v>172</v>
      </c>
      <c r="AZ31" s="16" t="s">
        <v>172</v>
      </c>
      <c r="BA31" s="16" t="s">
        <v>172</v>
      </c>
      <c r="BB31" s="16" t="s">
        <v>172</v>
      </c>
      <c r="BC31" s="16" t="s">
        <v>173</v>
      </c>
      <c r="BD31" s="16" t="s">
        <v>173</v>
      </c>
      <c r="BE31" s="16" t="s">
        <v>173</v>
      </c>
      <c r="BF31" s="16" t="s">
        <v>172</v>
      </c>
      <c r="BG31" s="16" t="s">
        <v>173</v>
      </c>
      <c r="BH31" s="16" t="s">
        <v>173</v>
      </c>
      <c r="BI31" s="16" t="s">
        <v>173</v>
      </c>
      <c r="BJ31" s="16" t="s">
        <v>173</v>
      </c>
      <c r="BK31" s="16" t="s">
        <v>174</v>
      </c>
      <c r="BL31" s="16" t="s">
        <v>174</v>
      </c>
      <c r="BM31" s="16" t="s">
        <v>175</v>
      </c>
      <c r="BN31" s="16" t="s">
        <v>174</v>
      </c>
      <c r="BO31" s="16" t="s">
        <v>174</v>
      </c>
      <c r="BP31" s="16" t="s">
        <v>174</v>
      </c>
      <c r="BQ31" s="16" t="s">
        <v>172</v>
      </c>
      <c r="BR31" s="16" t="s">
        <v>176</v>
      </c>
      <c r="BS31" s="16" t="s">
        <v>172</v>
      </c>
      <c r="BT31" s="16" t="s">
        <v>177</v>
      </c>
      <c r="BU31" s="16" t="s">
        <v>177</v>
      </c>
      <c r="BV31" s="16" t="s">
        <v>178</v>
      </c>
      <c r="BW31" s="16" t="s">
        <v>172</v>
      </c>
      <c r="BX31" s="16" t="s">
        <v>172</v>
      </c>
      <c r="BY31" s="16" t="s">
        <v>172</v>
      </c>
      <c r="BZ31" s="16" t="s">
        <v>179</v>
      </c>
      <c r="CA31" s="16" t="s">
        <v>179</v>
      </c>
      <c r="CB31" s="16" t="s">
        <v>179</v>
      </c>
      <c r="CC31" s="16" t="s">
        <v>170</v>
      </c>
      <c r="CD31" s="16" t="s">
        <v>179</v>
      </c>
      <c r="CE31" s="16" t="s">
        <v>170</v>
      </c>
      <c r="CF31" s="16" t="s">
        <v>170</v>
      </c>
      <c r="CG31" s="16" t="s">
        <v>170</v>
      </c>
      <c r="CH31" s="16" t="s">
        <v>170</v>
      </c>
      <c r="CI31" s="16" t="s">
        <v>172</v>
      </c>
      <c r="CJ31" s="16" t="s">
        <v>172</v>
      </c>
      <c r="CK31" s="16" t="s">
        <v>172</v>
      </c>
      <c r="CL31" s="16" t="s">
        <v>172</v>
      </c>
      <c r="CM31" s="16" t="s">
        <v>172</v>
      </c>
      <c r="CN31" s="16" t="s">
        <v>172</v>
      </c>
      <c r="CO31" s="16" t="s">
        <v>172</v>
      </c>
      <c r="CP31" s="16" t="s">
        <v>172</v>
      </c>
      <c r="CQ31" s="16" t="s">
        <v>172</v>
      </c>
      <c r="CR31" s="16" t="s">
        <v>172</v>
      </c>
      <c r="CS31" s="16" t="s">
        <v>173</v>
      </c>
      <c r="CT31" s="16" t="s">
        <v>173</v>
      </c>
      <c r="CU31" s="16" t="s">
        <v>173</v>
      </c>
      <c r="CV31" s="16" t="s">
        <v>173</v>
      </c>
      <c r="CW31" s="16" t="s">
        <v>173</v>
      </c>
      <c r="CX31" s="16" t="s">
        <v>173</v>
      </c>
      <c r="CY31" s="16" t="s">
        <v>173</v>
      </c>
      <c r="CZ31" s="16" t="s">
        <v>173</v>
      </c>
      <c r="DA31" s="16" t="s">
        <v>170</v>
      </c>
      <c r="DB31" s="16" t="s">
        <v>180</v>
      </c>
      <c r="DC31" s="16" t="s">
        <v>170</v>
      </c>
      <c r="DD31" s="16" t="s">
        <v>173</v>
      </c>
      <c r="DE31" s="16" t="s">
        <v>169</v>
      </c>
      <c r="DF31" s="16" t="s">
        <v>169</v>
      </c>
      <c r="DG31" s="16" t="s">
        <v>181</v>
      </c>
      <c r="DH31" s="16" t="s">
        <v>181</v>
      </c>
      <c r="DI31" s="16" t="s">
        <v>181</v>
      </c>
      <c r="DJ31" s="16" t="s">
        <v>181</v>
      </c>
      <c r="DK31" s="16" t="s">
        <v>172</v>
      </c>
      <c r="DL31" s="16" t="s">
        <v>170</v>
      </c>
      <c r="DM31" s="16" t="s">
        <v>182</v>
      </c>
      <c r="DN31" s="16" t="s">
        <v>182</v>
      </c>
      <c r="DO31" s="16" t="s">
        <v>182</v>
      </c>
      <c r="DP31" s="16" t="s">
        <v>182</v>
      </c>
      <c r="DQ31" s="16" t="s">
        <v>173</v>
      </c>
      <c r="DR31" s="16" t="s">
        <v>173</v>
      </c>
      <c r="DS31" s="16" t="s">
        <v>170</v>
      </c>
      <c r="DT31" s="16" t="s">
        <v>170</v>
      </c>
      <c r="DU31" s="16" t="s">
        <v>170</v>
      </c>
      <c r="DV31" s="16" t="s">
        <v>170</v>
      </c>
      <c r="DW31" s="16" t="s">
        <v>183</v>
      </c>
      <c r="DX31" s="16" t="s">
        <v>170</v>
      </c>
      <c r="DY31" s="16" t="s">
        <v>183</v>
      </c>
      <c r="DZ31" s="16" t="s">
        <v>183</v>
      </c>
      <c r="EA31" s="16" t="s">
        <v>183</v>
      </c>
      <c r="EB31" s="16" t="s">
        <v>170</v>
      </c>
      <c r="EC31" s="16" t="s">
        <v>170</v>
      </c>
      <c r="ED31" s="16" t="s">
        <v>183</v>
      </c>
      <c r="EE31" s="16" t="s">
        <v>183</v>
      </c>
      <c r="EF31" s="16" t="s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zoomScale="167" zoomScaleNormal="85" workbookViewId="0">
      <selection activeCell="C3" sqref="C3:EF5"/>
    </sheetView>
  </sheetViews>
  <sheetFormatPr baseColWidth="10" defaultColWidth="8.83203125" defaultRowHeight="15"/>
  <sheetData>
    <row r="1" spans="1:139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9">
      <c r="A3" s="1"/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9">
      <c r="A4" s="1"/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9">
      <c r="A5" s="1"/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9">
      <c r="A6" s="2" t="s">
        <v>138</v>
      </c>
      <c r="B6" s="1"/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9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9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9">
      <c r="A10" t="s">
        <v>139</v>
      </c>
      <c r="C10" t="s">
        <v>140</v>
      </c>
      <c r="D10">
        <v>964</v>
      </c>
    </row>
    <row r="11" spans="1:139">
      <c r="A11" t="s">
        <v>141</v>
      </c>
      <c r="B11" t="s">
        <v>142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54</v>
      </c>
      <c r="BD11" t="s">
        <v>55</v>
      </c>
      <c r="BE11" t="s">
        <v>56</v>
      </c>
      <c r="BF11" t="s">
        <v>57</v>
      </c>
      <c r="BG11" t="s">
        <v>58</v>
      </c>
      <c r="BH11" t="s">
        <v>59</v>
      </c>
      <c r="BI11" t="s">
        <v>60</v>
      </c>
      <c r="BJ11" t="s">
        <v>61</v>
      </c>
      <c r="BK11" t="s">
        <v>62</v>
      </c>
      <c r="BL11" t="s">
        <v>63</v>
      </c>
      <c r="BM11" t="s">
        <v>64</v>
      </c>
      <c r="BN11" t="s">
        <v>65</v>
      </c>
      <c r="BO11" t="s">
        <v>66</v>
      </c>
      <c r="BP11" t="s">
        <v>67</v>
      </c>
      <c r="BQ11" t="s">
        <v>68</v>
      </c>
      <c r="BR11" t="s">
        <v>69</v>
      </c>
      <c r="BS11" t="s">
        <v>70</v>
      </c>
      <c r="BT11" t="s">
        <v>71</v>
      </c>
      <c r="BU11" t="s">
        <v>72</v>
      </c>
      <c r="BV11" t="s">
        <v>73</v>
      </c>
      <c r="BW11" t="s">
        <v>74</v>
      </c>
      <c r="BX11" t="s">
        <v>75</v>
      </c>
      <c r="BY11" t="s">
        <v>76</v>
      </c>
      <c r="BZ11" t="s">
        <v>77</v>
      </c>
      <c r="CA11" t="s">
        <v>78</v>
      </c>
      <c r="CB11" t="s">
        <v>79</v>
      </c>
      <c r="CC11" t="s">
        <v>80</v>
      </c>
      <c r="CD11" t="s">
        <v>81</v>
      </c>
      <c r="CE11" t="s">
        <v>82</v>
      </c>
      <c r="CF11" t="s">
        <v>83</v>
      </c>
      <c r="CG11" t="s">
        <v>84</v>
      </c>
      <c r="CH11" t="s">
        <v>85</v>
      </c>
      <c r="CI11" t="s">
        <v>86</v>
      </c>
      <c r="CJ11" t="s">
        <v>87</v>
      </c>
      <c r="CK11" t="s">
        <v>88</v>
      </c>
      <c r="CL11" t="s">
        <v>89</v>
      </c>
      <c r="CM11" t="s">
        <v>90</v>
      </c>
      <c r="CN11" t="s">
        <v>91</v>
      </c>
      <c r="CO11" t="s">
        <v>92</v>
      </c>
      <c r="CP11" t="s">
        <v>93</v>
      </c>
      <c r="CQ11" t="s">
        <v>94</v>
      </c>
      <c r="CR11" t="s">
        <v>95</v>
      </c>
      <c r="CS11" t="s">
        <v>96</v>
      </c>
      <c r="CT11" t="s">
        <v>97</v>
      </c>
      <c r="CU11" t="s">
        <v>98</v>
      </c>
      <c r="CV11" t="s">
        <v>99</v>
      </c>
      <c r="CW11" t="s">
        <v>100</v>
      </c>
      <c r="CX11" t="s">
        <v>101</v>
      </c>
      <c r="CY11" t="s">
        <v>102</v>
      </c>
      <c r="CZ11" t="s">
        <v>103</v>
      </c>
      <c r="DA11" t="s">
        <v>104</v>
      </c>
      <c r="DB11" t="s">
        <v>105</v>
      </c>
      <c r="DC11" t="s">
        <v>106</v>
      </c>
      <c r="DD11" t="s">
        <v>107</v>
      </c>
      <c r="DE11" t="s">
        <v>108</v>
      </c>
      <c r="DF11" t="s">
        <v>109</v>
      </c>
      <c r="DG11" t="s">
        <v>110</v>
      </c>
      <c r="DH11" t="s">
        <v>111</v>
      </c>
      <c r="DI11" t="s">
        <v>112</v>
      </c>
      <c r="DJ11" t="s">
        <v>113</v>
      </c>
      <c r="DK11" t="s">
        <v>114</v>
      </c>
      <c r="DL11" t="s">
        <v>115</v>
      </c>
      <c r="DM11" t="s">
        <v>116</v>
      </c>
      <c r="DN11" t="s">
        <v>117</v>
      </c>
      <c r="DO11" t="s">
        <v>118</v>
      </c>
      <c r="DP11" t="s">
        <v>119</v>
      </c>
      <c r="DQ11" t="s">
        <v>120</v>
      </c>
      <c r="DR11" t="s">
        <v>121</v>
      </c>
      <c r="DS11" t="s">
        <v>122</v>
      </c>
      <c r="DT11" t="s">
        <v>123</v>
      </c>
      <c r="DU11" t="s">
        <v>124</v>
      </c>
      <c r="DV11" t="s">
        <v>125</v>
      </c>
      <c r="DW11" t="s">
        <v>126</v>
      </c>
      <c r="DX11" t="s">
        <v>127</v>
      </c>
      <c r="DY11" t="s">
        <v>128</v>
      </c>
      <c r="DZ11" t="s">
        <v>129</v>
      </c>
      <c r="EA11" t="s">
        <v>130</v>
      </c>
      <c r="EB11" t="s">
        <v>131</v>
      </c>
      <c r="EC11" t="s">
        <v>132</v>
      </c>
      <c r="ED11" t="s">
        <v>133</v>
      </c>
      <c r="EE11" t="s">
        <v>134</v>
      </c>
      <c r="EF11" t="s">
        <v>143</v>
      </c>
      <c r="EG11" t="s">
        <v>184</v>
      </c>
      <c r="EH11" t="s">
        <v>185</v>
      </c>
      <c r="EI11" t="s">
        <v>186</v>
      </c>
    </row>
    <row r="12" spans="1:139">
      <c r="A12">
        <v>10</v>
      </c>
      <c r="B12">
        <v>96</v>
      </c>
      <c r="C12" s="11">
        <v>8.4653541666666707E-2</v>
      </c>
      <c r="D12" s="11">
        <v>0.11468851041666669</v>
      </c>
      <c r="E12" s="11">
        <v>4.8026281249999997E-2</v>
      </c>
      <c r="F12" s="11">
        <v>1.342140625E-2</v>
      </c>
      <c r="G12" s="11">
        <v>1.172496874999999E-2</v>
      </c>
      <c r="H12" s="11">
        <v>3.8530718750000012E-2</v>
      </c>
      <c r="I12" s="11">
        <v>1.280994791666666E-2</v>
      </c>
      <c r="J12" s="11">
        <v>-2.940780208333334E-2</v>
      </c>
      <c r="K12" s="11">
        <v>1.877417708333334E-2</v>
      </c>
      <c r="L12" s="11">
        <v>-4.1890635416666662E-2</v>
      </c>
      <c r="M12" s="11">
        <v>2.688917383320695E-2</v>
      </c>
      <c r="N12" s="11">
        <v>-3.4703354243462818E-2</v>
      </c>
      <c r="O12" s="11">
        <v>2.7914759067240381E-2</v>
      </c>
      <c r="P12" s="11">
        <v>2.3033333333332889E-4</v>
      </c>
      <c r="Q12" s="11">
        <v>3.5270468749999978E-2</v>
      </c>
      <c r="R12" s="11">
        <v>6.6630833333333368E-3</v>
      </c>
      <c r="S12" s="11">
        <v>-1.6472229166666671E-2</v>
      </c>
      <c r="T12" s="11">
        <v>-7.7403854166666688E-3</v>
      </c>
      <c r="U12" s="11">
        <v>-1.356523083780981E-3</v>
      </c>
      <c r="V12" s="11">
        <v>9.5109536536482214E-3</v>
      </c>
      <c r="W12" s="11">
        <v>-2.8417662858163131E-2</v>
      </c>
      <c r="X12" s="11">
        <v>2.707373958333335E-2</v>
      </c>
      <c r="Y12" s="11">
        <v>1.6788377251816099E-2</v>
      </c>
      <c r="Z12" s="11">
        <v>-6.362368331557397E-2</v>
      </c>
      <c r="AA12" s="11">
        <v>-1.1512562499999979E-2</v>
      </c>
      <c r="AB12" s="11">
        <v>-3.4689110551478157E-2</v>
      </c>
      <c r="AC12" s="11">
        <v>-3.5114764063646421E-2</v>
      </c>
      <c r="AD12" s="11">
        <v>9.3919791666666787E-3</v>
      </c>
      <c r="AE12" s="11">
        <v>3.789762353223057E-2</v>
      </c>
      <c r="AF12" s="11">
        <v>-2.0432151303864929E-2</v>
      </c>
      <c r="AG12" s="11">
        <v>-2.998214493272441E-2</v>
      </c>
      <c r="AH12" s="11">
        <v>-1.3405804649633229E-2</v>
      </c>
      <c r="AI12" s="11">
        <v>-1.9506051180185949E-2</v>
      </c>
      <c r="AJ12" s="11">
        <v>-1.298374754605458E-2</v>
      </c>
      <c r="AK12" s="11">
        <v>-4.8123704152134412E-2</v>
      </c>
      <c r="AL12" s="11">
        <v>-1.7859003021922081E-2</v>
      </c>
      <c r="AM12" s="11">
        <v>-3.0086115612597931E-2</v>
      </c>
      <c r="AN12" s="11">
        <v>-6.9233234313428524E-2</v>
      </c>
      <c r="AO12" s="11">
        <v>-2.228793039673051E-3</v>
      </c>
      <c r="AP12" s="11">
        <v>3.3718344781849152E-2</v>
      </c>
      <c r="AQ12" s="11">
        <v>7.6219363885838051E-3</v>
      </c>
      <c r="AR12" s="11">
        <v>-1.35262594499664E-2</v>
      </c>
      <c r="AS12" s="11">
        <v>-1.9099718454700602E-2</v>
      </c>
      <c r="AT12" s="11">
        <v>-1.3834904707671181E-2</v>
      </c>
      <c r="AU12" s="11">
        <v>-2.070865868087543E-2</v>
      </c>
      <c r="AV12" s="11">
        <v>4.1360084745025012E-2</v>
      </c>
      <c r="AW12" s="11">
        <v>-6.2147701801607523E-4</v>
      </c>
      <c r="AX12" s="11">
        <v>-4.3598467253422833E-2</v>
      </c>
      <c r="AY12" s="11">
        <v>-2.4955293067673249E-2</v>
      </c>
      <c r="AZ12" s="11">
        <v>2.3000260716576439E-3</v>
      </c>
      <c r="BA12" s="11">
        <v>7.1276302083333326E-2</v>
      </c>
      <c r="BB12" s="11">
        <v>-1.527460525245942E-2</v>
      </c>
      <c r="BC12" s="11">
        <v>-1.227278903847649E-2</v>
      </c>
      <c r="BD12" s="11">
        <v>-1.3630556941652629E-2</v>
      </c>
      <c r="BE12" s="11">
        <v>-1.860880983938528E-2</v>
      </c>
      <c r="BF12" s="11">
        <v>-6.7792352483200119E-2</v>
      </c>
      <c r="BG12" s="11">
        <v>-4.6757753881283733E-2</v>
      </c>
      <c r="BH12" s="11">
        <v>-3.5079589029917008E-2</v>
      </c>
      <c r="BI12" s="11">
        <v>-4.3756064379844611E-2</v>
      </c>
      <c r="BJ12" s="11">
        <v>-2.4663126175119381E-2</v>
      </c>
      <c r="BK12" s="11">
        <v>-6.5738349503457333E-4</v>
      </c>
      <c r="BL12" s="11">
        <v>1.1060114583333331E-2</v>
      </c>
      <c r="BM12" s="11">
        <v>5.1690919562298789E-3</v>
      </c>
      <c r="BN12" s="11">
        <v>-1.1516535512096511E-2</v>
      </c>
      <c r="BO12" s="11">
        <v>-2.4246310256236889E-2</v>
      </c>
      <c r="BP12" s="11">
        <v>1.0508985305294091E-2</v>
      </c>
      <c r="BQ12" s="11">
        <v>-1.3896749618746689E-2</v>
      </c>
      <c r="BR12" s="11">
        <v>2.2610084533988121E-3</v>
      </c>
      <c r="BS12" s="11">
        <v>3.2642854888392712E-2</v>
      </c>
      <c r="BT12" s="11">
        <v>-2.1288177083333332E-2</v>
      </c>
      <c r="BU12" s="11">
        <v>-4.808319791666666E-2</v>
      </c>
      <c r="BV12" s="11">
        <v>3.2053312499999979E-2</v>
      </c>
      <c r="BW12" s="11">
        <v>5.5487552083333308E-2</v>
      </c>
      <c r="BX12" s="11">
        <v>-1.1477162003950089E-2</v>
      </c>
      <c r="BY12" s="11">
        <v>-4.5816958333333269E-2</v>
      </c>
      <c r="BZ12" s="11">
        <v>3.777385416666668E-3</v>
      </c>
      <c r="CA12" s="11">
        <v>1.4580583333333331E-2</v>
      </c>
      <c r="CB12" s="11">
        <v>-2.7173862793031672E-2</v>
      </c>
      <c r="CC12" s="11">
        <v>1.612118070707726E-2</v>
      </c>
      <c r="CD12" s="11">
        <v>-4.435526335668457E-2</v>
      </c>
      <c r="CE12" s="11">
        <v>-5.0816539029017678E-2</v>
      </c>
      <c r="CF12" s="11">
        <v>4.0780416666666769E-3</v>
      </c>
      <c r="CG12" s="11">
        <v>-4.9277959963080598E-2</v>
      </c>
      <c r="CH12" s="11">
        <v>-1.6463112378785821E-2</v>
      </c>
      <c r="CI12" s="11">
        <v>-3.5598030901105832E-2</v>
      </c>
      <c r="CJ12" s="11">
        <v>5.4120066914195013E-2</v>
      </c>
      <c r="CK12" s="11">
        <v>5.6101440647790157E-2</v>
      </c>
      <c r="CL12" s="11">
        <v>7.8440280286020903E-2</v>
      </c>
      <c r="CM12" s="11">
        <v>1.5219726167340819E-2</v>
      </c>
      <c r="CN12" s="11">
        <v>2.7083701214559368E-2</v>
      </c>
      <c r="CO12" s="11">
        <v>2.7266126880105788E-2</v>
      </c>
      <c r="CP12" s="11">
        <v>-4.5299021467493747E-2</v>
      </c>
      <c r="CQ12" s="11">
        <v>-3.6572194909933541E-2</v>
      </c>
      <c r="CR12" s="11">
        <v>-2.1178784306524409E-3</v>
      </c>
      <c r="CS12" s="11">
        <v>1.5201647687045549E-2</v>
      </c>
      <c r="CT12" s="11">
        <v>8.2403602353092742E-4</v>
      </c>
      <c r="CU12" s="11">
        <v>-3.5623715662195188E-2</v>
      </c>
      <c r="CV12" s="11">
        <v>-8.1126263755370142E-3</v>
      </c>
      <c r="CW12" s="11">
        <v>-5.5479247445322649E-3</v>
      </c>
      <c r="CX12" s="11">
        <v>-6.098988253699178E-2</v>
      </c>
      <c r="CY12" s="11">
        <v>5.982942211490587E-3</v>
      </c>
      <c r="CZ12" s="11">
        <v>-7.7792327339500603E-2</v>
      </c>
      <c r="DA12" s="11">
        <v>-5.6037840703605252E-3</v>
      </c>
      <c r="DB12" s="11">
        <v>2.298187595412704E-2</v>
      </c>
      <c r="DC12" s="11">
        <v>-3.3973202874774677E-2</v>
      </c>
      <c r="DD12" s="11">
        <v>-2.4888978057240451E-2</v>
      </c>
      <c r="DE12" s="11">
        <v>-1.198108381221169E-3</v>
      </c>
      <c r="DF12" s="11">
        <v>6.834525736040385E-3</v>
      </c>
      <c r="DG12" s="11">
        <v>9.4770893931691788E-4</v>
      </c>
      <c r="DH12" s="11">
        <v>3.8226819714325612E-3</v>
      </c>
      <c r="DI12" s="11">
        <v>5.4443172992132437E-2</v>
      </c>
      <c r="DJ12" s="11">
        <v>-8.0625982547704502E-3</v>
      </c>
      <c r="DK12" s="11">
        <v>1.5945953127016341E-2</v>
      </c>
      <c r="DL12" s="11">
        <v>3.5467602264376702E-4</v>
      </c>
      <c r="DM12" s="11">
        <v>4.8403492450799163E-3</v>
      </c>
      <c r="DN12" s="11">
        <v>-4.2410365386064831E-2</v>
      </c>
      <c r="DO12" s="11">
        <v>-2.259973368032869E-2</v>
      </c>
      <c r="DP12" s="11">
        <v>-3.2584449600297112E-2</v>
      </c>
      <c r="DQ12" s="11">
        <v>7.454064748047276E-2</v>
      </c>
      <c r="DR12" s="11">
        <v>-1.085204642770434E-2</v>
      </c>
      <c r="DS12" s="11">
        <v>3.5726155451697807E-2</v>
      </c>
      <c r="DT12" s="11">
        <v>4.5297883394400537E-2</v>
      </c>
      <c r="DU12" s="11">
        <v>-1.3752648086382459E-2</v>
      </c>
      <c r="DV12" s="11">
        <v>-4.8550824477530688E-2</v>
      </c>
      <c r="DW12" s="11">
        <v>-4.3725564220037427E-2</v>
      </c>
      <c r="DX12" s="11">
        <v>5.0152080542361532E-2</v>
      </c>
      <c r="DY12" s="11">
        <v>-1.5357270118494901E-2</v>
      </c>
      <c r="DZ12" s="11">
        <v>4.1357254801773907E-3</v>
      </c>
      <c r="EA12" s="11">
        <v>0.113127041749137</v>
      </c>
      <c r="EB12" s="11">
        <v>3.052577681784165E-2</v>
      </c>
      <c r="EC12" s="11">
        <v>-1.48839181295192E-2</v>
      </c>
      <c r="ED12" s="11">
        <v>-2.344457524294118E-2</v>
      </c>
      <c r="EE12" s="11">
        <v>2.821628026780338E-2</v>
      </c>
      <c r="EF12" s="11">
        <v>-3.9233348038795662E-2</v>
      </c>
      <c r="EG12" s="8">
        <f t="shared" ref="EG12:EG24" si="6">AVERAGE(C12:EF12)</f>
        <v>-2.8386922798779774E-3</v>
      </c>
      <c r="EH12" s="8">
        <f t="shared" ref="EH12:EH24" si="7">STDEV(C12:EF12)</f>
        <v>3.5367705612743973E-2</v>
      </c>
      <c r="EI12" s="8">
        <f t="shared" ref="EI12:EI24" si="8">EG12/EH12</f>
        <v>-8.026226838008732E-2</v>
      </c>
    </row>
    <row r="13" spans="1:139">
      <c r="A13">
        <v>20</v>
      </c>
      <c r="B13">
        <v>48</v>
      </c>
      <c r="C13" s="11">
        <v>0.10411314583333341</v>
      </c>
      <c r="D13" s="11">
        <v>0.12374510416666661</v>
      </c>
      <c r="E13" s="11">
        <v>6.9861291666666658E-2</v>
      </c>
      <c r="F13" s="11">
        <v>-1.14548125E-2</v>
      </c>
      <c r="G13" s="11">
        <v>1.574485416666668E-2</v>
      </c>
      <c r="H13" s="11">
        <v>2.999035416666665E-2</v>
      </c>
      <c r="I13" s="11">
        <v>2.9130541666666659E-2</v>
      </c>
      <c r="J13" s="11">
        <v>-4.3898812500000023E-2</v>
      </c>
      <c r="K13" s="11">
        <v>-1.3674791666666681E-3</v>
      </c>
      <c r="L13" s="11">
        <v>-6.0251041666666613E-3</v>
      </c>
      <c r="M13" s="11">
        <v>3.2797582260047169E-3</v>
      </c>
      <c r="N13" s="11">
        <v>-4.3392417465696789E-2</v>
      </c>
      <c r="O13" s="11">
        <v>1.7422698810949939E-2</v>
      </c>
      <c r="P13" s="11">
        <v>1.6792145833333331E-2</v>
      </c>
      <c r="Q13" s="11">
        <v>7.3225020833333321E-2</v>
      </c>
      <c r="R13" s="11">
        <v>1.415983333333333E-2</v>
      </c>
      <c r="S13" s="11">
        <v>-1.2243312500000001E-2</v>
      </c>
      <c r="T13" s="11">
        <v>-2.2104479166666649E-2</v>
      </c>
      <c r="U13" s="11">
        <v>2.8761330590554329E-2</v>
      </c>
      <c r="V13" s="11">
        <v>2.216639903053957E-3</v>
      </c>
      <c r="W13" s="11">
        <v>-3.096890407148287E-2</v>
      </c>
      <c r="X13" s="11">
        <v>5.3276458333333318E-2</v>
      </c>
      <c r="Y13" s="11">
        <v>2.6471883217342521E-2</v>
      </c>
      <c r="Z13" s="11">
        <v>-7.842443480518356E-2</v>
      </c>
      <c r="AA13" s="11">
        <v>-1.6440041666666641E-2</v>
      </c>
      <c r="AB13" s="11">
        <v>-4.6678220121377283E-2</v>
      </c>
      <c r="AC13" s="11">
        <v>-2.187155616137754E-2</v>
      </c>
      <c r="AD13" s="11">
        <v>2.1543083333333331E-2</v>
      </c>
      <c r="AE13" s="11">
        <v>4.2517211455791168E-2</v>
      </c>
      <c r="AF13" s="11">
        <v>-3.1940463834301228E-2</v>
      </c>
      <c r="AG13" s="11">
        <v>-3.1681783055002889E-2</v>
      </c>
      <c r="AH13" s="11">
        <v>-9.6413392395163916E-3</v>
      </c>
      <c r="AI13" s="11">
        <v>-1.20675500740728E-2</v>
      </c>
      <c r="AJ13" s="11">
        <v>1.628046998827572E-2</v>
      </c>
      <c r="AK13" s="11">
        <v>-6.5987912810655996E-2</v>
      </c>
      <c r="AL13" s="11">
        <v>-2.3151428595171029E-2</v>
      </c>
      <c r="AM13" s="11">
        <v>-4.6282443536828928E-2</v>
      </c>
      <c r="AN13" s="11">
        <v>-0.10533023813603409</v>
      </c>
      <c r="AO13" s="11">
        <v>-9.3111878994149404E-3</v>
      </c>
      <c r="AP13" s="11">
        <v>5.9550840361997717E-2</v>
      </c>
      <c r="AQ13" s="11">
        <v>6.0492887688996834E-3</v>
      </c>
      <c r="AR13" s="11">
        <v>-1.0689185535935661E-2</v>
      </c>
      <c r="AS13" s="11">
        <v>-4.1313118484234093E-2</v>
      </c>
      <c r="AT13" s="11">
        <v>-4.0463087854439743E-2</v>
      </c>
      <c r="AU13" s="11">
        <v>-4.0976126475978862E-2</v>
      </c>
      <c r="AV13" s="11">
        <v>9.475472639553081E-3</v>
      </c>
      <c r="AW13" s="11">
        <v>-4.0800135830634E-3</v>
      </c>
      <c r="AX13" s="11">
        <v>-6.7153787783110333E-2</v>
      </c>
      <c r="AY13" s="11">
        <v>-1.756434634862496E-2</v>
      </c>
      <c r="AZ13" s="11">
        <v>8.1034674694993921E-3</v>
      </c>
      <c r="BA13" s="11">
        <v>7.9829270833333327E-2</v>
      </c>
      <c r="BB13" s="11">
        <v>-4.2875374496810892E-2</v>
      </c>
      <c r="BC13" s="11">
        <v>-1.128376711165765E-2</v>
      </c>
      <c r="BD13" s="11">
        <v>-3.344428383681335E-3</v>
      </c>
      <c r="BE13" s="11">
        <v>-2.7391806305641558E-2</v>
      </c>
      <c r="BF13" s="11">
        <v>-8.3929415307496771E-2</v>
      </c>
      <c r="BG13" s="11">
        <v>-8.8397545856320814E-2</v>
      </c>
      <c r="BH13" s="11">
        <v>-4.1023656192191983E-2</v>
      </c>
      <c r="BI13" s="11">
        <v>-2.1601559102932929E-2</v>
      </c>
      <c r="BJ13" s="11">
        <v>-2.4266087613108871E-2</v>
      </c>
      <c r="BK13" s="11">
        <v>-8.8783959160913702E-3</v>
      </c>
      <c r="BL13" s="11">
        <v>1.3618958333333341E-2</v>
      </c>
      <c r="BM13" s="11">
        <v>-1.6918615618881649E-2</v>
      </c>
      <c r="BN13" s="11">
        <v>-1.105254187527629E-2</v>
      </c>
      <c r="BO13" s="11">
        <v>-3.0878716233474109E-2</v>
      </c>
      <c r="BP13" s="11">
        <v>-9.4326956946515182E-3</v>
      </c>
      <c r="BQ13" s="11">
        <v>-4.1653063789425779E-2</v>
      </c>
      <c r="BR13" s="11">
        <v>6.6814174835574522E-3</v>
      </c>
      <c r="BS13" s="11">
        <v>4.0180514361416918E-2</v>
      </c>
      <c r="BT13" s="11">
        <v>-3.3667895833333343E-2</v>
      </c>
      <c r="BU13" s="11">
        <v>-7.4658166666666678E-2</v>
      </c>
      <c r="BV13" s="11">
        <v>3.144022916666666E-2</v>
      </c>
      <c r="BW13" s="11">
        <v>8.6230333333333353E-2</v>
      </c>
      <c r="BX13" s="11">
        <v>-2.1078067524026588E-2</v>
      </c>
      <c r="BY13" s="11">
        <v>-3.0828583333333329E-2</v>
      </c>
      <c r="BZ13" s="11">
        <v>-1.3758708333333369E-2</v>
      </c>
      <c r="CA13" s="11">
        <v>2.4012187500000001E-2</v>
      </c>
      <c r="CB13" s="11">
        <v>-2.6017379522694919E-2</v>
      </c>
      <c r="CC13" s="11">
        <v>-8.2248093719304062E-3</v>
      </c>
      <c r="CD13" s="11">
        <v>-2.1204143880606541E-2</v>
      </c>
      <c r="CE13" s="11">
        <v>-7.9437869787202575E-2</v>
      </c>
      <c r="CF13" s="11">
        <v>1.8229145833333339E-2</v>
      </c>
      <c r="CG13" s="11">
        <v>-5.8014967807239318E-2</v>
      </c>
      <c r="CH13" s="11">
        <v>-4.0295060582103241E-3</v>
      </c>
      <c r="CI13" s="11">
        <v>-1.4533303233279799E-2</v>
      </c>
      <c r="CJ13" s="11">
        <v>5.481018067884004E-2</v>
      </c>
      <c r="CK13" s="11">
        <v>6.568712626679736E-2</v>
      </c>
      <c r="CL13" s="11">
        <v>7.2724175153218551E-2</v>
      </c>
      <c r="CM13" s="11">
        <v>1.0296803756394969E-2</v>
      </c>
      <c r="CN13" s="11">
        <v>2.688756599885234E-2</v>
      </c>
      <c r="CO13" s="11">
        <v>1.345745856322739E-2</v>
      </c>
      <c r="CP13" s="11">
        <v>-6.9726540277734339E-2</v>
      </c>
      <c r="CQ13" s="11">
        <v>-3.8184950196159702E-2</v>
      </c>
      <c r="CR13" s="11">
        <v>-8.2797809976485181E-3</v>
      </c>
      <c r="CS13" s="11">
        <v>-1.0833051115274659E-2</v>
      </c>
      <c r="CT13" s="11">
        <v>-8.0707993163786768E-3</v>
      </c>
      <c r="CU13" s="11">
        <v>-3.7161402282311212E-2</v>
      </c>
      <c r="CV13" s="11">
        <v>2.9533121732579042E-3</v>
      </c>
      <c r="CW13" s="11">
        <v>-5.97703085624611E-3</v>
      </c>
      <c r="CX13" s="11">
        <v>-6.0033255240053027E-2</v>
      </c>
      <c r="CY13" s="11">
        <v>1.3118740115012659E-2</v>
      </c>
      <c r="CZ13" s="11">
        <v>-5.7224220353485122E-2</v>
      </c>
      <c r="DA13" s="11">
        <v>5.583676925821391E-3</v>
      </c>
      <c r="DB13" s="11">
        <v>4.1761569716784581E-2</v>
      </c>
      <c r="DC13" s="11">
        <v>-2.9775565878292928E-2</v>
      </c>
      <c r="DD13" s="11">
        <v>-1.069760060073574E-2</v>
      </c>
      <c r="DE13" s="11">
        <v>-5.9289571260749546E-3</v>
      </c>
      <c r="DF13" s="11">
        <v>2.8518796793634778E-2</v>
      </c>
      <c r="DG13" s="11">
        <v>1.6306571728899009E-3</v>
      </c>
      <c r="DH13" s="11">
        <v>-1.129576788191507E-2</v>
      </c>
      <c r="DI13" s="11">
        <v>4.5977025094676827E-2</v>
      </c>
      <c r="DJ13" s="11">
        <v>3.3317561795107452E-3</v>
      </c>
      <c r="DK13" s="11">
        <v>-1.240907421862765E-2</v>
      </c>
      <c r="DL13" s="11">
        <v>1.6300246491314559E-2</v>
      </c>
      <c r="DM13" s="11">
        <v>6.6588690484439203E-3</v>
      </c>
      <c r="DN13" s="11">
        <v>-1.1499577922513139E-2</v>
      </c>
      <c r="DO13" s="11">
        <v>-4.6891412388131722E-2</v>
      </c>
      <c r="DP13" s="11">
        <v>-4.8786635856269467E-2</v>
      </c>
      <c r="DQ13" s="11">
        <v>8.712901139257051E-2</v>
      </c>
      <c r="DR13" s="11">
        <v>-1.4466961470859749E-2</v>
      </c>
      <c r="DS13" s="11">
        <v>3.8887627839669842E-2</v>
      </c>
      <c r="DT13" s="11">
        <v>3.542630104766481E-2</v>
      </c>
      <c r="DU13" s="11">
        <v>-1.8705163637144761E-2</v>
      </c>
      <c r="DV13" s="11">
        <v>-7.9620144024188558E-2</v>
      </c>
      <c r="DW13" s="11">
        <v>-4.4417789624350307E-2</v>
      </c>
      <c r="DX13" s="11">
        <v>6.4523379578496173E-2</v>
      </c>
      <c r="DY13" s="11">
        <v>-3.5386044653833333E-2</v>
      </c>
      <c r="DZ13" s="11">
        <v>1.460881448721826E-2</v>
      </c>
      <c r="EA13" s="11">
        <v>0.1244689581490709</v>
      </c>
      <c r="EB13" s="11">
        <v>5.7205292748389078E-2</v>
      </c>
      <c r="EC13" s="11">
        <v>-2.198485253152441E-2</v>
      </c>
      <c r="ED13" s="11">
        <v>-5.3978019629255351E-2</v>
      </c>
      <c r="EE13" s="11">
        <v>3.58674799008201E-2</v>
      </c>
      <c r="EF13" s="11">
        <v>-6.6577215363556236E-2</v>
      </c>
      <c r="EG13" s="8">
        <f t="shared" si="6"/>
        <v>-4.5451395145330456E-3</v>
      </c>
      <c r="EH13" s="18">
        <f t="shared" si="7"/>
        <v>4.2933496609121428E-2</v>
      </c>
      <c r="EI13" s="8">
        <f t="shared" si="8"/>
        <v>-0.10586464820029144</v>
      </c>
    </row>
    <row r="14" spans="1:139">
      <c r="A14">
        <v>50</v>
      </c>
      <c r="B14">
        <v>19</v>
      </c>
      <c r="C14" s="11">
        <v>0.1199416315789474</v>
      </c>
      <c r="D14" s="11">
        <v>0.22230878947368421</v>
      </c>
      <c r="E14" s="11">
        <v>9.8768157894736849E-2</v>
      </c>
      <c r="F14" s="11">
        <v>3.4543210526315787E-2</v>
      </c>
      <c r="G14" s="11">
        <v>8.5149210526315786E-2</v>
      </c>
      <c r="H14" s="11">
        <v>5.9588947368421033E-2</v>
      </c>
      <c r="I14" s="11">
        <v>7.7115000000000003E-2</v>
      </c>
      <c r="J14" s="11">
        <v>-0.1050935789473684</v>
      </c>
      <c r="K14" s="11">
        <v>1.2451473684210519E-2</v>
      </c>
      <c r="L14" s="11">
        <v>-8.480210526315788E-3</v>
      </c>
      <c r="M14" s="11">
        <v>-1.902171446498398E-2</v>
      </c>
      <c r="N14" s="11">
        <v>-5.7369426657022049E-2</v>
      </c>
      <c r="O14" s="11">
        <v>1.4944079385485289E-3</v>
      </c>
      <c r="P14" s="11">
        <v>4.7779947368421033E-2</v>
      </c>
      <c r="Q14" s="11">
        <v>5.8239052631578962E-2</v>
      </c>
      <c r="R14" s="11">
        <v>-1.4151684210526309E-2</v>
      </c>
      <c r="S14" s="11">
        <v>3.8535263157894732E-2</v>
      </c>
      <c r="T14" s="11">
        <v>-1.736173684210527E-2</v>
      </c>
      <c r="U14" s="11">
        <v>3.0556169330400691E-2</v>
      </c>
      <c r="V14" s="11">
        <v>-5.2421300158885083E-2</v>
      </c>
      <c r="W14" s="11">
        <v>-4.779500273352006E-2</v>
      </c>
      <c r="X14" s="11">
        <v>5.3581789473684222E-2</v>
      </c>
      <c r="Y14" s="11">
        <v>5.2198745955319217E-3</v>
      </c>
      <c r="Z14" s="11">
        <v>-3.8511926280307661E-2</v>
      </c>
      <c r="AA14" s="11">
        <v>-2.6256842105263178E-3</v>
      </c>
      <c r="AB14" s="11">
        <v>-7.0769377347230211E-2</v>
      </c>
      <c r="AC14" s="11">
        <v>1.351726880349334E-2</v>
      </c>
      <c r="AD14" s="11">
        <v>3.9327947368421053E-2</v>
      </c>
      <c r="AE14" s="11">
        <v>0.1064120722476776</v>
      </c>
      <c r="AF14" s="11">
        <v>-4.0420702542399108E-2</v>
      </c>
      <c r="AG14" s="11">
        <v>-2.0520894646562499E-2</v>
      </c>
      <c r="AH14" s="11">
        <v>-5.250277930506024E-3</v>
      </c>
      <c r="AI14" s="11">
        <v>-7.2072950927120863E-2</v>
      </c>
      <c r="AJ14" s="11">
        <v>-1.505903608315101E-2</v>
      </c>
      <c r="AK14" s="11">
        <v>-7.6911430858302002E-2</v>
      </c>
      <c r="AL14" s="11">
        <v>-3.7969189722460717E-2</v>
      </c>
      <c r="AM14" s="11">
        <v>-6.1242166378625243E-2</v>
      </c>
      <c r="AN14" s="11">
        <v>-9.8594666769543718E-2</v>
      </c>
      <c r="AO14" s="11">
        <v>-6.0905705465409951E-2</v>
      </c>
      <c r="AP14" s="11">
        <v>6.9976525152084204E-2</v>
      </c>
      <c r="AQ14" s="11">
        <v>3.6796773775995059E-4</v>
      </c>
      <c r="AR14" s="11">
        <v>-3.764583976226292E-2</v>
      </c>
      <c r="AS14" s="11">
        <v>-8.5376985953046783E-2</v>
      </c>
      <c r="AT14" s="11">
        <v>-3.4506579685144471E-2</v>
      </c>
      <c r="AU14" s="11">
        <v>-3.999164900330384E-2</v>
      </c>
      <c r="AV14" s="11">
        <v>1.868288543361717E-2</v>
      </c>
      <c r="AW14" s="11">
        <v>1.8362931505957501E-2</v>
      </c>
      <c r="AX14" s="11">
        <v>-0.13695102829439271</v>
      </c>
      <c r="AY14" s="11">
        <v>-1.5068118771761551E-2</v>
      </c>
      <c r="AZ14" s="11">
        <v>5.3348569172156059E-2</v>
      </c>
      <c r="BA14" s="11">
        <v>9.6337421052631572E-2</v>
      </c>
      <c r="BB14" s="11">
        <v>-6.1734282001674842E-2</v>
      </c>
      <c r="BC14" s="11">
        <v>9.8209989552774171E-3</v>
      </c>
      <c r="BD14" s="11">
        <v>-4.3327781667405418E-2</v>
      </c>
      <c r="BE14" s="11">
        <v>-4.3787062535487017E-2</v>
      </c>
      <c r="BF14" s="11">
        <v>-4.0770521545689782E-2</v>
      </c>
      <c r="BG14" s="11">
        <v>-0.12530530643958979</v>
      </c>
      <c r="BH14" s="11">
        <v>-7.3413464178725074E-2</v>
      </c>
      <c r="BI14" s="11">
        <v>4.1031067933231892E-2</v>
      </c>
      <c r="BJ14" s="11">
        <v>-6.8604195602302687E-2</v>
      </c>
      <c r="BK14" s="11">
        <v>-3.3691419870768569E-2</v>
      </c>
      <c r="BL14" s="11">
        <v>1.057157894736843E-2</v>
      </c>
      <c r="BM14" s="11">
        <v>-3.9257215206427082E-2</v>
      </c>
      <c r="BN14" s="11">
        <v>-2.0936538072551379E-2</v>
      </c>
      <c r="BO14" s="11">
        <v>-3.3609045677264478E-2</v>
      </c>
      <c r="BP14" s="11">
        <v>-1.5673733492959141E-2</v>
      </c>
      <c r="BQ14" s="11">
        <v>-1.584352386995078E-2</v>
      </c>
      <c r="BR14" s="11">
        <v>2.7929429532617921E-2</v>
      </c>
      <c r="BS14" s="11">
        <v>3.033272398677064E-2</v>
      </c>
      <c r="BT14" s="11">
        <v>1.528831578947369E-2</v>
      </c>
      <c r="BU14" s="11">
        <v>-0.11116010526315789</v>
      </c>
      <c r="BV14" s="11">
        <v>4.1282210526315803E-2</v>
      </c>
      <c r="BW14" s="11">
        <v>0.1184082105263158</v>
      </c>
      <c r="BX14" s="11">
        <v>-5.4970760121953073E-2</v>
      </c>
      <c r="BY14" s="11">
        <v>-8.0401000000000056E-2</v>
      </c>
      <c r="BZ14" s="11">
        <v>5.0985789473684179E-2</v>
      </c>
      <c r="CA14" s="11">
        <v>3.3454631578947368E-2</v>
      </c>
      <c r="CB14" s="11">
        <v>-5.9477060293539823E-2</v>
      </c>
      <c r="CC14" s="11">
        <v>-2.8975681486368681E-2</v>
      </c>
      <c r="CD14" s="11">
        <v>3.2926387352783637E-2</v>
      </c>
      <c r="CE14" s="11">
        <v>-0.1143531086270947</v>
      </c>
      <c r="CF14" s="11">
        <v>-2.031031578947368E-2</v>
      </c>
      <c r="CG14" s="11">
        <v>-5.7320663667820577E-2</v>
      </c>
      <c r="CH14" s="11">
        <v>-4.8879670456065782E-2</v>
      </c>
      <c r="CI14" s="11">
        <v>-1.470161201144274E-2</v>
      </c>
      <c r="CJ14" s="11">
        <v>1.7796116349141359E-2</v>
      </c>
      <c r="CK14" s="11">
        <v>5.3792086513992962E-2</v>
      </c>
      <c r="CL14" s="11">
        <v>0.13734357045347451</v>
      </c>
      <c r="CM14" s="11">
        <v>-3.2040010368317121E-2</v>
      </c>
      <c r="CN14" s="11">
        <v>2.3026688670926061E-2</v>
      </c>
      <c r="CO14" s="11">
        <v>7.3587720038892968E-2</v>
      </c>
      <c r="CP14" s="11">
        <v>-9.9809331481752833E-2</v>
      </c>
      <c r="CQ14" s="11">
        <v>-5.321162809167454E-2</v>
      </c>
      <c r="CR14" s="11">
        <v>-5.590913762450133E-2</v>
      </c>
      <c r="CS14" s="11">
        <v>-5.9027120263655718E-2</v>
      </c>
      <c r="CT14" s="11">
        <v>-1.910057655068487E-2</v>
      </c>
      <c r="CU14" s="11">
        <v>4.3917102697214612E-2</v>
      </c>
      <c r="CV14" s="11">
        <v>-2.274571513825533E-2</v>
      </c>
      <c r="CW14" s="11">
        <v>3.3983824634707719E-3</v>
      </c>
      <c r="CX14" s="11">
        <v>-3.6299408888239168E-2</v>
      </c>
      <c r="CY14" s="11">
        <v>2.875912029147424E-2</v>
      </c>
      <c r="CZ14" s="11">
        <v>-6.4063563350383365E-2</v>
      </c>
      <c r="DA14" s="11">
        <v>2.4304289170584491E-2</v>
      </c>
      <c r="DB14" s="11">
        <v>2.356107318819085E-2</v>
      </c>
      <c r="DC14" s="11">
        <v>-2.3632609204847509E-2</v>
      </c>
      <c r="DD14" s="11">
        <v>1.6758549792416429E-2</v>
      </c>
      <c r="DE14" s="11">
        <v>-5.3842996077645283E-3</v>
      </c>
      <c r="DF14" s="11">
        <v>3.5856630557062542E-2</v>
      </c>
      <c r="DG14" s="11">
        <v>-1.144655639331721E-2</v>
      </c>
      <c r="DH14" s="11">
        <v>-4.7748372429115976E-3</v>
      </c>
      <c r="DI14" s="11">
        <v>5.8597819708917052E-2</v>
      </c>
      <c r="DJ14" s="11">
        <v>-1.023724267297355E-3</v>
      </c>
      <c r="DK14" s="11">
        <v>-1.9071063117655919E-2</v>
      </c>
      <c r="DL14" s="11">
        <v>1.516516155488855E-2</v>
      </c>
      <c r="DM14" s="11">
        <v>-5.504269093650517E-3</v>
      </c>
      <c r="DN14" s="11">
        <v>-4.2662495893264311E-2</v>
      </c>
      <c r="DO14" s="11">
        <v>-4.1375645162797292E-2</v>
      </c>
      <c r="DP14" s="11">
        <v>-4.3539716357652018E-2</v>
      </c>
      <c r="DQ14" s="11">
        <v>7.1172564581132955E-2</v>
      </c>
      <c r="DR14" s="11">
        <v>-5.4840962455492354E-3</v>
      </c>
      <c r="DS14" s="11">
        <v>3.5044906270916831E-2</v>
      </c>
      <c r="DT14" s="11">
        <v>4.4516953597455299E-2</v>
      </c>
      <c r="DU14" s="11">
        <v>4.4914948618981987E-2</v>
      </c>
      <c r="DV14" s="11">
        <v>-0.1082623545301073</v>
      </c>
      <c r="DW14" s="11">
        <v>-9.8344367017777726E-2</v>
      </c>
      <c r="DX14" s="11">
        <v>0.1019315055524211</v>
      </c>
      <c r="DY14" s="11">
        <v>-3.7997079946848547E-2</v>
      </c>
      <c r="DZ14" s="11">
        <v>2.1881573318462251E-2</v>
      </c>
      <c r="EA14" s="11">
        <v>6.2912684572741601E-2</v>
      </c>
      <c r="EB14" s="11">
        <v>7.8179830700263173E-2</v>
      </c>
      <c r="EC14" s="11">
        <v>-4.3260017529307637E-2</v>
      </c>
      <c r="ED14" s="11">
        <v>-7.8399264145063485E-2</v>
      </c>
      <c r="EE14" s="11">
        <v>4.2505739301358231E-2</v>
      </c>
      <c r="EF14" s="11">
        <v>-6.9956420498558061E-2</v>
      </c>
      <c r="EG14" s="8">
        <f t="shared" si="6"/>
        <v>-5.4354877945721998E-3</v>
      </c>
      <c r="EH14" s="18">
        <f t="shared" si="7"/>
        <v>5.930777225305555E-2</v>
      </c>
      <c r="EI14" s="8">
        <f t="shared" si="8"/>
        <v>-9.1648827600199767E-2</v>
      </c>
    </row>
    <row r="15" spans="1:139">
      <c r="A15">
        <v>100</v>
      </c>
      <c r="B15">
        <v>10</v>
      </c>
      <c r="C15" s="11">
        <v>0.22764509999999999</v>
      </c>
      <c r="D15" s="11">
        <v>0.37270970000000009</v>
      </c>
      <c r="E15" s="11">
        <v>6.2044600000000012E-2</v>
      </c>
      <c r="F15" s="11">
        <v>9.0304599999999999E-2</v>
      </c>
      <c r="G15" s="11">
        <v>9.6606200000000003E-2</v>
      </c>
      <c r="H15" s="11">
        <v>0.1188444</v>
      </c>
      <c r="I15" s="11">
        <v>0.12672890000000001</v>
      </c>
      <c r="J15" s="11">
        <v>-6.4524200000000004E-2</v>
      </c>
      <c r="K15" s="11">
        <v>-4.2110000000000064E-3</v>
      </c>
      <c r="L15" s="11">
        <v>1.296690000000001E-2</v>
      </c>
      <c r="M15" s="11">
        <v>-2.1330164362876949E-3</v>
      </c>
      <c r="N15" s="11">
        <v>-0.10979619442513371</v>
      </c>
      <c r="O15" s="11">
        <v>-1.227079575915271E-2</v>
      </c>
      <c r="P15" s="11">
        <v>5.2983399999999993E-2</v>
      </c>
      <c r="Q15" s="11">
        <v>0.1003768</v>
      </c>
      <c r="R15" s="11">
        <v>1.6755200000000001E-2</v>
      </c>
      <c r="S15" s="11">
        <v>-4.3033600000000012E-2</v>
      </c>
      <c r="T15" s="11">
        <v>-4.9339700000000007E-2</v>
      </c>
      <c r="U15" s="11">
        <v>7.8199390437812863E-2</v>
      </c>
      <c r="V15" s="11">
        <v>-0.1101270063308359</v>
      </c>
      <c r="W15" s="11">
        <v>-5.0671424244990583E-2</v>
      </c>
      <c r="X15" s="11">
        <v>7.8436500000000034E-2</v>
      </c>
      <c r="Y15" s="11">
        <v>-2.0629974365819839E-2</v>
      </c>
      <c r="Z15" s="11">
        <v>-4.6719972053358677E-2</v>
      </c>
      <c r="AA15" s="11">
        <v>4.6588900000000003E-2</v>
      </c>
      <c r="AB15" s="11">
        <v>-8.370017251583052E-2</v>
      </c>
      <c r="AC15" s="11">
        <v>-1.6480966208188091E-2</v>
      </c>
      <c r="AD15" s="11">
        <v>3.9690400000000001E-2</v>
      </c>
      <c r="AE15" s="11">
        <v>9.7797684008951086E-2</v>
      </c>
      <c r="AF15" s="11">
        <v>-6.5819612497039853E-2</v>
      </c>
      <c r="AG15" s="11">
        <v>-1.012347826165556E-2</v>
      </c>
      <c r="AH15" s="11">
        <v>3.3604373357676472E-2</v>
      </c>
      <c r="AI15" s="11">
        <v>-8.5430110815606947E-2</v>
      </c>
      <c r="AJ15" s="11">
        <v>-9.4648599674757375E-3</v>
      </c>
      <c r="AK15" s="11">
        <v>-6.1759619658444932E-2</v>
      </c>
      <c r="AL15" s="11">
        <v>-4.4431662495814539E-2</v>
      </c>
      <c r="AM15" s="11">
        <v>-5.5122622134627111E-2</v>
      </c>
      <c r="AN15" s="11">
        <v>-0.10168870591238351</v>
      </c>
      <c r="AO15" s="11">
        <v>-6.3369812463467096E-2</v>
      </c>
      <c r="AP15" s="11">
        <v>7.8285693892754235E-2</v>
      </c>
      <c r="AQ15" s="11">
        <v>3.7367126796121669E-2</v>
      </c>
      <c r="AR15" s="11">
        <v>-9.0293855475916673E-2</v>
      </c>
      <c r="AS15" s="11">
        <v>-5.3821179037114017E-2</v>
      </c>
      <c r="AT15" s="11">
        <v>-6.5254990652428568E-2</v>
      </c>
      <c r="AU15" s="11">
        <v>-3.9943261089466317E-2</v>
      </c>
      <c r="AV15" s="11">
        <v>4.7226818327438858E-2</v>
      </c>
      <c r="AW15" s="11">
        <v>-1.5659939254580951E-2</v>
      </c>
      <c r="AX15" s="11">
        <v>-0.12523397717473519</v>
      </c>
      <c r="AY15" s="11">
        <v>-2.8017064110032911E-2</v>
      </c>
      <c r="AZ15" s="11">
        <v>9.1323280068503487E-2</v>
      </c>
      <c r="BA15" s="11">
        <v>0.1576883</v>
      </c>
      <c r="BB15" s="11">
        <v>-0.1127248660788131</v>
      </c>
      <c r="BC15" s="11">
        <v>-6.2155143667830287E-2</v>
      </c>
      <c r="BD15" s="11">
        <v>-5.3043273904796059E-2</v>
      </c>
      <c r="BE15" s="11">
        <v>-4.8442721017663122E-2</v>
      </c>
      <c r="BF15" s="11">
        <v>-4.7662979456752137E-2</v>
      </c>
      <c r="BG15" s="11">
        <v>-0.16605121546459681</v>
      </c>
      <c r="BH15" s="11">
        <v>-9.8649046406420665E-2</v>
      </c>
      <c r="BI15" s="11">
        <v>2.115911440673959E-2</v>
      </c>
      <c r="BJ15" s="11">
        <v>-0.13011025503616941</v>
      </c>
      <c r="BK15" s="11">
        <v>4.5604932300413459E-2</v>
      </c>
      <c r="BL15" s="11">
        <v>7.7699999999993052E-5</v>
      </c>
      <c r="BM15" s="11">
        <v>-6.6824821366729223E-2</v>
      </c>
      <c r="BN15" s="11">
        <v>-4.0142569733189887E-2</v>
      </c>
      <c r="BO15" s="11">
        <v>-2.773447595493098E-2</v>
      </c>
      <c r="BP15" s="11">
        <v>-1.4184220707804779E-2</v>
      </c>
      <c r="BQ15" s="11">
        <v>-1.280293129032776E-2</v>
      </c>
      <c r="BR15" s="11">
        <v>5.0157429122059692E-2</v>
      </c>
      <c r="BS15" s="11">
        <v>1.1865910908611719E-2</v>
      </c>
      <c r="BT15" s="11">
        <v>-3.6632600000000008E-2</v>
      </c>
      <c r="BU15" s="11">
        <v>-8.5546499999999998E-2</v>
      </c>
      <c r="BV15" s="11">
        <v>8.6180100000000009E-2</v>
      </c>
      <c r="BW15" s="11">
        <v>0.20414550000000001</v>
      </c>
      <c r="BX15" s="11">
        <v>-2.8635895065731481E-2</v>
      </c>
      <c r="BY15" s="11">
        <v>-9.3338900000000002E-2</v>
      </c>
      <c r="BZ15" s="11">
        <v>6.7360199999999995E-2</v>
      </c>
      <c r="CA15" s="11">
        <v>2.9962900000000001E-2</v>
      </c>
      <c r="CB15" s="11">
        <v>-9.268410552323747E-2</v>
      </c>
      <c r="CC15" s="11">
        <v>3.5358543172516708E-2</v>
      </c>
      <c r="CD15" s="11">
        <v>-4.7114468128673648E-2</v>
      </c>
      <c r="CE15" s="11">
        <v>-9.7490745145434682E-2</v>
      </c>
      <c r="CF15" s="11">
        <v>-3.626399999999988E-3</v>
      </c>
      <c r="CG15" s="11">
        <v>-8.5886021530163809E-2</v>
      </c>
      <c r="CH15" s="11">
        <v>-8.1342607983328249E-2</v>
      </c>
      <c r="CI15" s="11">
        <v>2.5109387803323689E-3</v>
      </c>
      <c r="CJ15" s="11">
        <v>4.0671716947061162E-2</v>
      </c>
      <c r="CK15" s="11">
        <v>9.5640748172705348E-2</v>
      </c>
      <c r="CL15" s="11">
        <v>0.16165447304317659</v>
      </c>
      <c r="CM15" s="11">
        <v>-7.4631116128453773E-2</v>
      </c>
      <c r="CN15" s="11">
        <v>4.2634115799160301E-2</v>
      </c>
      <c r="CO15" s="11">
        <v>0.12944902488204141</v>
      </c>
      <c r="CP15" s="11">
        <v>-0.12753583543294969</v>
      </c>
      <c r="CQ15" s="11">
        <v>-3.7378010765128991E-2</v>
      </c>
      <c r="CR15" s="11">
        <v>-4.8237070288164277E-2</v>
      </c>
      <c r="CS15" s="11">
        <v>-6.0185172463594637E-2</v>
      </c>
      <c r="CT15" s="11">
        <v>-7.3945749754547726E-3</v>
      </c>
      <c r="CU15" s="11">
        <v>6.3178659914772728E-2</v>
      </c>
      <c r="CV15" s="11">
        <v>6.1418469048089008E-3</v>
      </c>
      <c r="CW15" s="11">
        <v>1.248466018044017E-2</v>
      </c>
      <c r="CX15" s="11">
        <v>-2.4039607053330959E-2</v>
      </c>
      <c r="CY15" s="11">
        <v>4.2470673077762339E-2</v>
      </c>
      <c r="CZ15" s="11">
        <v>-7.9886947944342257E-2</v>
      </c>
      <c r="DA15" s="11">
        <v>2.6375835441876511E-2</v>
      </c>
      <c r="DB15" s="11">
        <v>3.0226618214123681E-2</v>
      </c>
      <c r="DC15" s="11">
        <v>-3.5075149974582137E-2</v>
      </c>
      <c r="DD15" s="11">
        <v>4.9393690499884603E-2</v>
      </c>
      <c r="DE15" s="11">
        <v>-2.494871474504301E-2</v>
      </c>
      <c r="DF15" s="11">
        <v>4.2391306399394757E-2</v>
      </c>
      <c r="DG15" s="11">
        <v>-1.61967316182412E-2</v>
      </c>
      <c r="DH15" s="11">
        <v>1.8709011043892099E-2</v>
      </c>
      <c r="DI15" s="11">
        <v>1.171844900945769E-2</v>
      </c>
      <c r="DJ15" s="11">
        <v>5.1853853094406883E-2</v>
      </c>
      <c r="DK15" s="11">
        <v>-0.101774834051468</v>
      </c>
      <c r="DL15" s="11">
        <v>-6.2635494088437937E-2</v>
      </c>
      <c r="DM15" s="11">
        <v>2.380854686766869E-2</v>
      </c>
      <c r="DN15" s="11">
        <v>-4.3996497423619649E-2</v>
      </c>
      <c r="DO15" s="11">
        <v>-4.6296727233800808E-2</v>
      </c>
      <c r="DP15" s="11">
        <v>-2.3735602006892551E-2</v>
      </c>
      <c r="DQ15" s="11">
        <v>3.7038688952197418E-2</v>
      </c>
      <c r="DR15" s="11">
        <v>3.0472640495081329E-2</v>
      </c>
      <c r="DS15" s="11">
        <v>7.6241908411797149E-2</v>
      </c>
      <c r="DT15" s="11">
        <v>7.2163631718163007E-2</v>
      </c>
      <c r="DU15" s="11">
        <v>4.5770728951680668E-2</v>
      </c>
      <c r="DV15" s="11">
        <v>-0.13976835694087139</v>
      </c>
      <c r="DW15" s="11">
        <v>-2.5538627146832551E-2</v>
      </c>
      <c r="DX15" s="11">
        <v>0.1186162506499864</v>
      </c>
      <c r="DY15" s="11">
        <v>-0.10653916660100959</v>
      </c>
      <c r="DZ15" s="11">
        <v>1.8920244069384411E-2</v>
      </c>
      <c r="EA15" s="11">
        <v>4.3451220280325303E-2</v>
      </c>
      <c r="EB15" s="11">
        <v>8.8087449527254891E-2</v>
      </c>
      <c r="EC15" s="11">
        <v>-7.6157076796619858E-2</v>
      </c>
      <c r="ED15" s="11">
        <v>-0.1106600344882203</v>
      </c>
      <c r="EE15" s="11">
        <v>4.9344179940159598E-2</v>
      </c>
      <c r="EF15" s="11">
        <v>-6.5700991138842244E-2</v>
      </c>
      <c r="EG15" s="8">
        <f t="shared" si="6"/>
        <v>-2.6324191644797393E-3</v>
      </c>
      <c r="EH15" s="18">
        <f t="shared" si="7"/>
        <v>8.0472945840487406E-2</v>
      </c>
      <c r="EI15" s="8">
        <f t="shared" si="8"/>
        <v>-3.2711852871618395E-2</v>
      </c>
    </row>
    <row r="16" spans="1:139">
      <c r="A16">
        <v>107</v>
      </c>
      <c r="B16">
        <v>9</v>
      </c>
      <c r="C16" s="11">
        <v>0.20787511111111109</v>
      </c>
      <c r="D16" s="11">
        <v>0.40819544444444439</v>
      </c>
      <c r="E16" s="11">
        <v>6.5004888888888904E-2</v>
      </c>
      <c r="F16" s="11">
        <v>0.1242606666666667</v>
      </c>
      <c r="G16" s="11">
        <v>0.1090135555555555</v>
      </c>
      <c r="H16" s="11">
        <v>7.2848777777777762E-2</v>
      </c>
      <c r="I16" s="11">
        <v>0.111792</v>
      </c>
      <c r="J16" s="11">
        <v>-6.8693444444444446E-2</v>
      </c>
      <c r="K16" s="11">
        <v>1.7924444444444441E-2</v>
      </c>
      <c r="L16" s="11">
        <v>3.1026555555555561E-2</v>
      </c>
      <c r="M16" s="11">
        <v>-1.3987435861917089E-2</v>
      </c>
      <c r="N16" s="11">
        <v>-0.1202424982791967</v>
      </c>
      <c r="O16" s="11">
        <v>-2.8587076878979191E-2</v>
      </c>
      <c r="P16" s="11">
        <v>6.1979777777777773E-2</v>
      </c>
      <c r="Q16" s="11">
        <v>9.6619888888888894E-2</v>
      </c>
      <c r="R16" s="11">
        <v>1.918244444444445E-2</v>
      </c>
      <c r="S16" s="11">
        <v>-4.2415111111111112E-2</v>
      </c>
      <c r="T16" s="11">
        <v>-2.322744444444445E-2</v>
      </c>
      <c r="U16" s="11">
        <v>9.147193495076697E-2</v>
      </c>
      <c r="V16" s="11">
        <v>-7.5571486108906974E-2</v>
      </c>
      <c r="W16" s="11">
        <v>-0.1016313571311754</v>
      </c>
      <c r="X16" s="11">
        <v>7.3678333333333373E-2</v>
      </c>
      <c r="Y16" s="11">
        <v>-2.0180588419635579E-2</v>
      </c>
      <c r="Z16" s="11">
        <v>-4.3057930884211712E-2</v>
      </c>
      <c r="AA16" s="11">
        <v>5.022766666666667E-2</v>
      </c>
      <c r="AB16" s="11">
        <v>-7.4985041637980393E-2</v>
      </c>
      <c r="AC16" s="11">
        <v>-4.7226236202560543E-2</v>
      </c>
      <c r="AD16" s="11">
        <v>3.4810999999999988E-2</v>
      </c>
      <c r="AE16" s="11">
        <v>9.6502360488605665E-2</v>
      </c>
      <c r="AF16" s="11">
        <v>-6.3685842581589158E-2</v>
      </c>
      <c r="AG16" s="11">
        <v>-1.32907530365354E-2</v>
      </c>
      <c r="AH16" s="11">
        <v>3.1765400449440553E-2</v>
      </c>
      <c r="AI16" s="11">
        <v>-4.9078043176568033E-2</v>
      </c>
      <c r="AJ16" s="11">
        <v>7.0259660718760518E-3</v>
      </c>
      <c r="AK16" s="11">
        <v>-6.4421400832372078E-2</v>
      </c>
      <c r="AL16" s="11">
        <v>-4.8688933104523248E-2</v>
      </c>
      <c r="AM16" s="11">
        <v>-6.6076730601797973E-2</v>
      </c>
      <c r="AN16" s="11">
        <v>-0.1064562000896756</v>
      </c>
      <c r="AO16" s="11">
        <v>-6.1424671825912318E-2</v>
      </c>
      <c r="AP16" s="11">
        <v>7.779836814558852E-2</v>
      </c>
      <c r="AQ16" s="11">
        <v>3.8466200146068608E-2</v>
      </c>
      <c r="AR16" s="11">
        <v>-0.1032911790604924</v>
      </c>
      <c r="AS16" s="11">
        <v>-6.5068225473969343E-2</v>
      </c>
      <c r="AT16" s="11">
        <v>-4.954715531837002E-2</v>
      </c>
      <c r="AU16" s="11">
        <v>-4.1826838254895117E-2</v>
      </c>
      <c r="AV16" s="11">
        <v>9.0725067800187069E-3</v>
      </c>
      <c r="AW16" s="11">
        <v>-3.9252930074650652E-2</v>
      </c>
      <c r="AX16" s="11">
        <v>-0.10082977324397289</v>
      </c>
      <c r="AY16" s="11">
        <v>-3.3812589844345937E-2</v>
      </c>
      <c r="AZ16" s="11">
        <v>0.1049096351787122</v>
      </c>
      <c r="BA16" s="11">
        <v>0.15999111111111111</v>
      </c>
      <c r="BB16" s="11">
        <v>-0.10803892415273809</v>
      </c>
      <c r="BC16" s="11">
        <v>-6.712146610769186E-2</v>
      </c>
      <c r="BD16" s="11">
        <v>-3.5936711545904013E-2</v>
      </c>
      <c r="BE16" s="11">
        <v>-5.1410994394474947E-2</v>
      </c>
      <c r="BF16" s="11">
        <v>-6.4268054319718215E-2</v>
      </c>
      <c r="BG16" s="11">
        <v>-0.16122956958435061</v>
      </c>
      <c r="BH16" s="11">
        <v>-9.6162034507733696E-2</v>
      </c>
      <c r="BI16" s="11">
        <v>4.8989940432910987E-2</v>
      </c>
      <c r="BJ16" s="11">
        <v>-9.6566803525538036E-2</v>
      </c>
      <c r="BK16" s="11">
        <v>5.137162452601142E-2</v>
      </c>
      <c r="BL16" s="11">
        <v>-8.4145555555555571E-3</v>
      </c>
      <c r="BM16" s="11">
        <v>-8.1523875041965066E-2</v>
      </c>
      <c r="BN16" s="11">
        <v>-4.7905832604027233E-2</v>
      </c>
      <c r="BO16" s="11">
        <v>-2.1890359953657689E-2</v>
      </c>
      <c r="BP16" s="11">
        <v>-2.0843183547580579E-2</v>
      </c>
      <c r="BQ16" s="11">
        <v>-1.6478016254928601E-2</v>
      </c>
      <c r="BR16" s="11">
        <v>2.6296848021444389E-2</v>
      </c>
      <c r="BS16" s="11">
        <v>3.2006987192883168E-2</v>
      </c>
      <c r="BT16" s="11">
        <v>-3.8065333333333347E-2</v>
      </c>
      <c r="BU16" s="11">
        <v>-0.1015372222222222</v>
      </c>
      <c r="BV16" s="11">
        <v>9.4510444444444452E-2</v>
      </c>
      <c r="BW16" s="11">
        <v>0.22394500000000001</v>
      </c>
      <c r="BX16" s="11">
        <v>-3.1559237521130948E-2</v>
      </c>
      <c r="BY16" s="11">
        <v>-0.1189954444444445</v>
      </c>
      <c r="BZ16" s="11">
        <v>9.2629555555555548E-2</v>
      </c>
      <c r="CA16" s="11">
        <v>2.7431000000000001E-2</v>
      </c>
      <c r="CB16" s="11">
        <v>-0.1158655489891553</v>
      </c>
      <c r="CC16" s="11">
        <v>2.0683160701185161E-2</v>
      </c>
      <c r="CD16" s="11">
        <v>-6.0988525873729958E-2</v>
      </c>
      <c r="CE16" s="11">
        <v>-0.12131041340196019</v>
      </c>
      <c r="CF16" s="11">
        <v>-1.469599999999999E-2</v>
      </c>
      <c r="CG16" s="11">
        <v>-6.1727878146666561E-2</v>
      </c>
      <c r="CH16" s="11">
        <v>-5.0448724703996098E-2</v>
      </c>
      <c r="CI16" s="11">
        <v>4.2406681121506702E-3</v>
      </c>
      <c r="CJ16" s="11">
        <v>2.970338549376331E-2</v>
      </c>
      <c r="CK16" s="11">
        <v>8.8422689781607638E-2</v>
      </c>
      <c r="CL16" s="11">
        <v>0.19674043815921369</v>
      </c>
      <c r="CM16" s="11">
        <v>-8.8988628149511667E-2</v>
      </c>
      <c r="CN16" s="11">
        <v>3.3057515140949983E-2</v>
      </c>
      <c r="CO16" s="11">
        <v>0.18245195453982929</v>
      </c>
      <c r="CP16" s="11">
        <v>-0.13663168948209131</v>
      </c>
      <c r="CQ16" s="11">
        <v>-4.1435605659410409E-2</v>
      </c>
      <c r="CR16" s="11">
        <v>-4.829976668331655E-2</v>
      </c>
      <c r="CS16" s="11">
        <v>-6.6559159874073834E-2</v>
      </c>
      <c r="CT16" s="11">
        <v>-5.0674065008409694E-3</v>
      </c>
      <c r="CU16" s="11">
        <v>6.343465435897469E-2</v>
      </c>
      <c r="CV16" s="11">
        <v>1.6751084080720881E-2</v>
      </c>
      <c r="CW16" s="11">
        <v>9.1941595326216954E-3</v>
      </c>
      <c r="CX16" s="11">
        <v>-1.224028475424996E-2</v>
      </c>
      <c r="CY16" s="11">
        <v>4.9117049116625407E-2</v>
      </c>
      <c r="CZ16" s="11">
        <v>-0.1026332591781325</v>
      </c>
      <c r="DA16" s="11">
        <v>2.9804793967235531E-2</v>
      </c>
      <c r="DB16" s="11">
        <v>4.2712169780226052E-2</v>
      </c>
      <c r="DC16" s="11">
        <v>-4.2942362320500277E-2</v>
      </c>
      <c r="DD16" s="11">
        <v>7.0070935057357717E-2</v>
      </c>
      <c r="DE16" s="11">
        <v>-3.4444372341228768E-2</v>
      </c>
      <c r="DF16" s="11">
        <v>2.31464332255591E-2</v>
      </c>
      <c r="DG16" s="11">
        <v>-1.445294763143863E-2</v>
      </c>
      <c r="DH16" s="11">
        <v>1.9129343417971109E-2</v>
      </c>
      <c r="DI16" s="11">
        <v>1.323342571252227E-2</v>
      </c>
      <c r="DJ16" s="11">
        <v>2.914140608062964E-2</v>
      </c>
      <c r="DK16" s="11">
        <v>-0.1335943566255807</v>
      </c>
      <c r="DL16" s="11">
        <v>-6.5113036128644886E-2</v>
      </c>
      <c r="DM16" s="11">
        <v>3.0330949758340948E-2</v>
      </c>
      <c r="DN16" s="11">
        <v>-4.2437853359407113E-2</v>
      </c>
      <c r="DO16" s="11">
        <v>-5.3221907556143692E-2</v>
      </c>
      <c r="DP16" s="11">
        <v>-1.9841948579226051E-2</v>
      </c>
      <c r="DQ16" s="11">
        <v>4.7070156004531787E-2</v>
      </c>
      <c r="DR16" s="11">
        <v>6.8305381562055234E-2</v>
      </c>
      <c r="DS16" s="11">
        <v>9.3752064989754288E-2</v>
      </c>
      <c r="DT16" s="11">
        <v>0.10053412782446559</v>
      </c>
      <c r="DU16" s="11">
        <v>6.447373376953866E-2</v>
      </c>
      <c r="DV16" s="11">
        <v>-0.13695373201779351</v>
      </c>
      <c r="DW16" s="11">
        <v>-4.0917729699690833E-2</v>
      </c>
      <c r="DX16" s="11">
        <v>0.1252847063239774</v>
      </c>
      <c r="DY16" s="11">
        <v>-0.11635433491034319</v>
      </c>
      <c r="DZ16" s="11">
        <v>3.1277079824676451E-2</v>
      </c>
      <c r="EA16" s="11">
        <v>4.205152402439738E-4</v>
      </c>
      <c r="EB16" s="11">
        <v>0.1006791006772017</v>
      </c>
      <c r="EC16" s="11">
        <v>-6.8501480567839029E-2</v>
      </c>
      <c r="ED16" s="11">
        <v>-0.11469922764091681</v>
      </c>
      <c r="EE16" s="11">
        <v>5.9240996655185861E-2</v>
      </c>
      <c r="EF16" s="11">
        <v>-4.2474401493907223E-2</v>
      </c>
      <c r="EG16" s="8">
        <f t="shared" si="6"/>
        <v>-1.838191051275492E-3</v>
      </c>
      <c r="EH16" s="18">
        <f t="shared" si="7"/>
        <v>8.5312193746400117E-2</v>
      </c>
      <c r="EI16" s="8">
        <f t="shared" si="8"/>
        <v>-2.1546639121011436E-2</v>
      </c>
    </row>
    <row r="17" spans="1:139">
      <c r="A17">
        <v>120</v>
      </c>
      <c r="B17">
        <v>8</v>
      </c>
      <c r="C17" s="11">
        <v>0.20609237499999999</v>
      </c>
      <c r="D17" s="11">
        <v>0.43958837499999998</v>
      </c>
      <c r="E17" s="11">
        <v>7.958800000000002E-2</v>
      </c>
      <c r="F17" s="11">
        <v>0.14677200000000001</v>
      </c>
      <c r="G17" s="11">
        <v>0.117132625</v>
      </c>
      <c r="H17" s="11">
        <v>0.10499475</v>
      </c>
      <c r="I17" s="11">
        <v>6.7489250000000001E-2</v>
      </c>
      <c r="J17" s="11">
        <v>-0.11529837499999999</v>
      </c>
      <c r="K17" s="11">
        <v>3.944375E-2</v>
      </c>
      <c r="L17" s="11">
        <v>3.3774875000000003E-2</v>
      </c>
      <c r="M17" s="11">
        <v>1.4659142090288421E-2</v>
      </c>
      <c r="N17" s="11">
        <v>-0.1092778268298058</v>
      </c>
      <c r="O17" s="11">
        <v>-1.1306676064132231E-2</v>
      </c>
      <c r="P17" s="11">
        <v>7.6915624999999987E-2</v>
      </c>
      <c r="Q17" s="11">
        <v>0.106432375</v>
      </c>
      <c r="R17" s="11">
        <v>1.975000000000005E-3</v>
      </c>
      <c r="S17" s="11">
        <v>-5.5131750000000007E-2</v>
      </c>
      <c r="T17" s="11">
        <v>-2.3508375000000001E-2</v>
      </c>
      <c r="U17" s="11">
        <v>6.2405901699897098E-2</v>
      </c>
      <c r="V17" s="11">
        <v>-9.7259655852603044E-2</v>
      </c>
      <c r="W17" s="11">
        <v>-0.1286672543576686</v>
      </c>
      <c r="X17" s="11">
        <v>0.10018637499999999</v>
      </c>
      <c r="Y17" s="11">
        <v>-2.2928011062654879E-2</v>
      </c>
      <c r="Z17" s="11">
        <v>-5.3868489290865788E-2</v>
      </c>
      <c r="AA17" s="11">
        <v>6.2256125000000002E-2</v>
      </c>
      <c r="AB17" s="11">
        <v>-8.4852062878172319E-2</v>
      </c>
      <c r="AC17" s="11">
        <v>-5.8728690290493803E-2</v>
      </c>
      <c r="AD17" s="11">
        <v>6.8619874999999997E-2</v>
      </c>
      <c r="AE17" s="11">
        <v>0.127158422447225</v>
      </c>
      <c r="AF17" s="11">
        <v>-6.1429310121940139E-2</v>
      </c>
      <c r="AG17" s="11">
        <v>-2.2740980787790199E-2</v>
      </c>
      <c r="AH17" s="11">
        <v>3.5472619172888853E-2</v>
      </c>
      <c r="AI17" s="11">
        <v>-3.058770864151358E-2</v>
      </c>
      <c r="AJ17" s="11">
        <v>4.2602630518956887E-2</v>
      </c>
      <c r="AK17" s="11">
        <v>-7.3716274739036441E-2</v>
      </c>
      <c r="AL17" s="11">
        <v>-5.0724405748556509E-2</v>
      </c>
      <c r="AM17" s="11">
        <v>-7.5369367587656971E-2</v>
      </c>
      <c r="AN17" s="11">
        <v>-0.1132871203459177</v>
      </c>
      <c r="AO17" s="11">
        <v>-1.2632334595724191E-2</v>
      </c>
      <c r="AP17" s="11">
        <v>7.7242814419585484E-2</v>
      </c>
      <c r="AQ17" s="11">
        <v>6.052713740149903E-2</v>
      </c>
      <c r="AR17" s="11">
        <v>-0.11393070989481729</v>
      </c>
      <c r="AS17" s="11">
        <v>-5.6323562034475708E-2</v>
      </c>
      <c r="AT17" s="11">
        <v>-5.2267806449722218E-2</v>
      </c>
      <c r="AU17" s="11">
        <v>-5.4555507286687788E-2</v>
      </c>
      <c r="AV17" s="11">
        <v>2.120590278226837E-2</v>
      </c>
      <c r="AW17" s="11">
        <v>-8.4218880418367916E-3</v>
      </c>
      <c r="AX17" s="11">
        <v>-9.6240558508798979E-2</v>
      </c>
      <c r="AY17" s="11">
        <v>-2.742369669060089E-2</v>
      </c>
      <c r="AZ17" s="11">
        <v>0.1251576022601911</v>
      </c>
      <c r="BA17" s="11">
        <v>0.16280649999999999</v>
      </c>
      <c r="BB17" s="11">
        <v>-0.1237640631138444</v>
      </c>
      <c r="BC17" s="11">
        <v>-8.386319517781364E-2</v>
      </c>
      <c r="BD17" s="11">
        <v>-2.235648224620481E-2</v>
      </c>
      <c r="BE17" s="11">
        <v>-7.7350242238060404E-2</v>
      </c>
      <c r="BF17" s="11">
        <v>-5.5197496608953713E-2</v>
      </c>
      <c r="BG17" s="11">
        <v>-0.18575157813088089</v>
      </c>
      <c r="BH17" s="11">
        <v>-0.1331911133253291</v>
      </c>
      <c r="BI17" s="11">
        <v>8.073839955835159E-2</v>
      </c>
      <c r="BJ17" s="11">
        <v>-9.7868244368423979E-2</v>
      </c>
      <c r="BK17" s="11">
        <v>1.67513267503808E-2</v>
      </c>
      <c r="BL17" s="11">
        <v>7.5732500000000114E-3</v>
      </c>
      <c r="BM17" s="11">
        <v>-7.5997770445859966E-2</v>
      </c>
      <c r="BN17" s="11">
        <v>-4.6915525593877988E-2</v>
      </c>
      <c r="BO17" s="11">
        <v>-3.5179615416723611E-2</v>
      </c>
      <c r="BP17" s="11">
        <v>-3.5995979654480911E-2</v>
      </c>
      <c r="BQ17" s="11">
        <v>-1.1376510446451601E-2</v>
      </c>
      <c r="BR17" s="11">
        <v>9.6463751247498966E-3</v>
      </c>
      <c r="BS17" s="11">
        <v>2.0906018213695501E-2</v>
      </c>
      <c r="BT17" s="11">
        <v>-3.3647249999999997E-2</v>
      </c>
      <c r="BU17" s="11">
        <v>-0.104524375</v>
      </c>
      <c r="BV17" s="11">
        <v>0.106643875</v>
      </c>
      <c r="BW17" s="11">
        <v>0.22723437499999999</v>
      </c>
      <c r="BX17" s="11">
        <v>-2.882296461967274E-2</v>
      </c>
      <c r="BY17" s="11">
        <v>-9.5862375000000014E-2</v>
      </c>
      <c r="BZ17" s="11">
        <v>0.10695200000000001</v>
      </c>
      <c r="CA17" s="11">
        <v>2.7196125000000002E-2</v>
      </c>
      <c r="CB17" s="11">
        <v>-0.10916583702074401</v>
      </c>
      <c r="CC17" s="11">
        <v>0.1146808468537778</v>
      </c>
      <c r="CD17" s="11">
        <v>-7.6385115279474114E-2</v>
      </c>
      <c r="CE17" s="11">
        <v>-0.1124945912954069</v>
      </c>
      <c r="CF17" s="11">
        <v>-9.5123749999999979E-2</v>
      </c>
      <c r="CG17" s="11">
        <v>-7.4714988628731105E-2</v>
      </c>
      <c r="CH17" s="11">
        <v>-3.296907217045305E-2</v>
      </c>
      <c r="CI17" s="11">
        <v>3.7017833748845611E-3</v>
      </c>
      <c r="CJ17" s="11">
        <v>2.0950827481348411E-2</v>
      </c>
      <c r="CK17" s="11">
        <v>8.3955848259630761E-2</v>
      </c>
      <c r="CL17" s="11">
        <v>0.13683909896473681</v>
      </c>
      <c r="CM17" s="11">
        <v>-0.13456934443157431</v>
      </c>
      <c r="CN17" s="11">
        <v>2.6718061150986971E-2</v>
      </c>
      <c r="CO17" s="11">
        <v>0.20253862726298949</v>
      </c>
      <c r="CP17" s="11">
        <v>-0.1481592691973436</v>
      </c>
      <c r="CQ17" s="11">
        <v>-4.1087933183403327E-2</v>
      </c>
      <c r="CR17" s="11">
        <v>-5.0676490702223173E-2</v>
      </c>
      <c r="CS17" s="11">
        <v>-9.6841631299569769E-2</v>
      </c>
      <c r="CT17" s="11">
        <v>-4.9260056389193077E-2</v>
      </c>
      <c r="CU17" s="11">
        <v>7.440830758325391E-2</v>
      </c>
      <c r="CV17" s="11">
        <v>-3.8796079399274282E-3</v>
      </c>
      <c r="CW17" s="11">
        <v>1.976185390935294E-2</v>
      </c>
      <c r="CX17" s="11">
        <v>-1.0772394523947831E-2</v>
      </c>
      <c r="CY17" s="11">
        <v>4.9383298716090041E-2</v>
      </c>
      <c r="CZ17" s="11">
        <v>-0.1242488378476205</v>
      </c>
      <c r="DA17" s="11">
        <v>4.3895859145134192E-2</v>
      </c>
      <c r="DB17" s="11">
        <v>3.4883010792467917E-2</v>
      </c>
      <c r="DC17" s="11">
        <v>-4.3363468977499313E-2</v>
      </c>
      <c r="DD17" s="11">
        <v>8.5133933084153957E-2</v>
      </c>
      <c r="DE17" s="11">
        <v>-4.3723415783303222E-2</v>
      </c>
      <c r="DF17" s="11">
        <v>1.123137032665928E-2</v>
      </c>
      <c r="DG17" s="11">
        <v>1.8392819289084069E-3</v>
      </c>
      <c r="DH17" s="11">
        <v>3.8726650938012717E-2</v>
      </c>
      <c r="DI17" s="11">
        <v>5.2932443237824478E-3</v>
      </c>
      <c r="DJ17" s="11">
        <v>4.5336157540819967E-2</v>
      </c>
      <c r="DK17" s="11">
        <v>-0.15603642811654619</v>
      </c>
      <c r="DL17" s="11">
        <v>-7.3515600937171063E-2</v>
      </c>
      <c r="DM17" s="11">
        <v>5.2252910582316028E-2</v>
      </c>
      <c r="DN17" s="11">
        <v>-3.5489032714339008E-2</v>
      </c>
      <c r="DO17" s="11">
        <v>-5.3451370339903423E-2</v>
      </c>
      <c r="DP17" s="11">
        <v>1.651850825662354E-2</v>
      </c>
      <c r="DQ17" s="11">
        <v>7.2654005106024863E-2</v>
      </c>
      <c r="DR17" s="11">
        <v>4.5431263690616688E-2</v>
      </c>
      <c r="DS17" s="11">
        <v>0.12431615980481089</v>
      </c>
      <c r="DT17" s="11">
        <v>9.3138949685151573E-2</v>
      </c>
      <c r="DU17" s="11">
        <v>7.1730706050505327E-2</v>
      </c>
      <c r="DV17" s="11">
        <v>-0.11776539811095429</v>
      </c>
      <c r="DW17" s="11">
        <v>-4.8681483414150163E-2</v>
      </c>
      <c r="DX17" s="11">
        <v>0.12953898259647401</v>
      </c>
      <c r="DY17" s="11">
        <v>-0.11213845480607409</v>
      </c>
      <c r="DZ17" s="11">
        <v>3.1828172599786188E-2</v>
      </c>
      <c r="EA17" s="11">
        <v>-4.6325242167246112E-3</v>
      </c>
      <c r="EB17" s="11">
        <v>0.1072853267537575</v>
      </c>
      <c r="EC17" s="11">
        <v>-0.1215120172680231</v>
      </c>
      <c r="ED17" s="11">
        <v>-0.10329067393702911</v>
      </c>
      <c r="EE17" s="11">
        <v>6.4278699968889033E-2</v>
      </c>
      <c r="EF17" s="11">
        <v>-4.7709767009851849E-2</v>
      </c>
      <c r="EG17" s="8">
        <f t="shared" si="6"/>
        <v>-1.3985686258007985E-3</v>
      </c>
      <c r="EH17" s="18">
        <f t="shared" si="7"/>
        <v>9.2474175928053737E-2</v>
      </c>
      <c r="EI17" s="8">
        <f t="shared" si="8"/>
        <v>-1.5123883092387927E-2</v>
      </c>
    </row>
    <row r="18" spans="1:139">
      <c r="A18">
        <v>137</v>
      </c>
      <c r="B18">
        <v>7</v>
      </c>
      <c r="C18" s="11">
        <v>0.1897511428571429</v>
      </c>
      <c r="D18" s="11">
        <v>0.40188400000000007</v>
      </c>
      <c r="E18" s="11">
        <v>5.3437857142857162E-2</v>
      </c>
      <c r="F18" s="11">
        <v>0.21209085714285711</v>
      </c>
      <c r="G18" s="11">
        <v>0.13305871428571431</v>
      </c>
      <c r="H18" s="11">
        <v>0.12853999999999999</v>
      </c>
      <c r="I18" s="11">
        <v>5.4952571428571427E-2</v>
      </c>
      <c r="J18" s="11">
        <v>-0.12516085714285721</v>
      </c>
      <c r="K18" s="11">
        <v>3.1585285714285698E-2</v>
      </c>
      <c r="L18" s="11">
        <v>4.667157142857143E-2</v>
      </c>
      <c r="M18" s="11">
        <v>2.9051464376457319E-2</v>
      </c>
      <c r="N18" s="11">
        <v>-0.14120748849629611</v>
      </c>
      <c r="O18" s="11">
        <v>3.1737941097498189E-2</v>
      </c>
      <c r="P18" s="11">
        <v>5.4569714285714277E-2</v>
      </c>
      <c r="Q18" s="11">
        <v>0.1217387142857143</v>
      </c>
      <c r="R18" s="11">
        <v>1.9326571428571419E-2</v>
      </c>
      <c r="S18" s="11">
        <v>-6.9013285714285721E-2</v>
      </c>
      <c r="T18" s="11">
        <v>-5.0295714285714301E-3</v>
      </c>
      <c r="U18" s="11">
        <v>5.5150343051564729E-2</v>
      </c>
      <c r="V18" s="11">
        <v>-0.1213914614259257</v>
      </c>
      <c r="W18" s="11">
        <v>-0.16613482926929909</v>
      </c>
      <c r="X18" s="11">
        <v>0.12712328571428569</v>
      </c>
      <c r="Y18" s="11">
        <v>-1.923233435743554E-2</v>
      </c>
      <c r="Z18" s="11">
        <v>-8.9234363440522865E-2</v>
      </c>
      <c r="AA18" s="11">
        <v>5.4805571428571433E-2</v>
      </c>
      <c r="AB18" s="11">
        <v>-8.4698299730484178E-2</v>
      </c>
      <c r="AC18" s="11">
        <v>-5.782301285595727E-2</v>
      </c>
      <c r="AD18" s="11">
        <v>9.6285857142857145E-2</v>
      </c>
      <c r="AE18" s="11">
        <v>0.1435292414290745</v>
      </c>
      <c r="AF18" s="11">
        <v>-3.187341816062559E-2</v>
      </c>
      <c r="AG18" s="11">
        <v>-3.2493116097876071E-2</v>
      </c>
      <c r="AH18" s="11">
        <v>4.0197460968514703E-2</v>
      </c>
      <c r="AI18" s="11">
        <v>-4.6855541353756011E-2</v>
      </c>
      <c r="AJ18" s="11">
        <v>4.7393756166449127E-2</v>
      </c>
      <c r="AK18" s="11">
        <v>-3.0152480597625989E-2</v>
      </c>
      <c r="AL18" s="11">
        <v>-4.7527763632257733E-2</v>
      </c>
      <c r="AM18" s="11">
        <v>-6.6643405424771207E-2</v>
      </c>
      <c r="AN18" s="11">
        <v>-7.9294639955201793E-2</v>
      </c>
      <c r="AO18" s="11">
        <v>-5.4275349676927882E-3</v>
      </c>
      <c r="AP18" s="11">
        <v>7.8278591933806971E-2</v>
      </c>
      <c r="AQ18" s="11">
        <v>7.6230845326449942E-2</v>
      </c>
      <c r="AR18" s="11">
        <v>-0.1245455063629442</v>
      </c>
      <c r="AS18" s="11">
        <v>-8.5826551553969135E-2</v>
      </c>
      <c r="AT18" s="11">
        <v>-4.3325649820578682E-2</v>
      </c>
      <c r="AU18" s="11">
        <v>-6.4575644079591543E-2</v>
      </c>
      <c r="AV18" s="11">
        <v>2.8768755881717199E-2</v>
      </c>
      <c r="AW18" s="11">
        <v>-2.4538034241107461E-2</v>
      </c>
      <c r="AX18" s="11">
        <v>-0.10756086825583611</v>
      </c>
      <c r="AY18" s="11">
        <v>-3.4783278641148073E-2</v>
      </c>
      <c r="AZ18" s="11">
        <v>0.14840908238889911</v>
      </c>
      <c r="BA18" s="11">
        <v>0.18047985714285711</v>
      </c>
      <c r="BB18" s="11">
        <v>-0.13765604215733709</v>
      </c>
      <c r="BC18" s="11">
        <v>-8.3201572593320602E-2</v>
      </c>
      <c r="BD18" s="11">
        <v>2.4016271687300441E-2</v>
      </c>
      <c r="BE18" s="11">
        <v>-6.8361213238162841E-2</v>
      </c>
      <c r="BF18" s="11">
        <v>-4.5884536299578838E-2</v>
      </c>
      <c r="BG18" s="11">
        <v>-0.1467139748282886</v>
      </c>
      <c r="BH18" s="11">
        <v>-0.1378982651501425</v>
      </c>
      <c r="BI18" s="11">
        <v>7.5991093740458621E-2</v>
      </c>
      <c r="BJ18" s="11">
        <v>-9.8533856685421792E-2</v>
      </c>
      <c r="BK18" s="11">
        <v>9.810839031169187E-4</v>
      </c>
      <c r="BL18" s="11">
        <v>2.635228571428572E-2</v>
      </c>
      <c r="BM18" s="11">
        <v>-0.1027739390634396</v>
      </c>
      <c r="BN18" s="11">
        <v>-5.2774389623830152E-2</v>
      </c>
      <c r="BO18" s="11">
        <v>-2.0227496106374639E-2</v>
      </c>
      <c r="BP18" s="11">
        <v>-4.6857540334682007E-2</v>
      </c>
      <c r="BQ18" s="11">
        <v>-1.916784109848992E-3</v>
      </c>
      <c r="BR18" s="11">
        <v>5.7481935839547244E-3</v>
      </c>
      <c r="BS18" s="11">
        <v>3.2873256576031823E-2</v>
      </c>
      <c r="BT18" s="11">
        <v>-1.329885714285715E-2</v>
      </c>
      <c r="BU18" s="11">
        <v>-0.1114621428571428</v>
      </c>
      <c r="BV18" s="11">
        <v>0.1155055714285714</v>
      </c>
      <c r="BW18" s="11">
        <v>0.2610392857142857</v>
      </c>
      <c r="BX18" s="11">
        <v>-1.9018474716035669E-2</v>
      </c>
      <c r="BY18" s="11">
        <v>-6.2688428571428589E-2</v>
      </c>
      <c r="BZ18" s="11">
        <v>0.10981514285714281</v>
      </c>
      <c r="CA18" s="11">
        <v>3.3285857142857138E-2</v>
      </c>
      <c r="CB18" s="11">
        <v>-9.7387282979409254E-2</v>
      </c>
      <c r="CC18" s="11">
        <v>0.10559806271589139</v>
      </c>
      <c r="CD18" s="11">
        <v>-0.1215952231687642</v>
      </c>
      <c r="CE18" s="11">
        <v>-0.13007558561724719</v>
      </c>
      <c r="CF18" s="11">
        <v>-0.10185900000000001</v>
      </c>
      <c r="CG18" s="11">
        <v>-9.1609255563919342E-2</v>
      </c>
      <c r="CH18" s="11">
        <v>-4.5365648959158789E-2</v>
      </c>
      <c r="CI18" s="11">
        <v>-0.1150593108091785</v>
      </c>
      <c r="CJ18" s="11">
        <v>-3.772366500397611E-3</v>
      </c>
      <c r="CK18" s="11">
        <v>9.6058031665523097E-2</v>
      </c>
      <c r="CL18" s="11">
        <v>0.15291394380948509</v>
      </c>
      <c r="CM18" s="11">
        <v>-0.14364854316439371</v>
      </c>
      <c r="CN18" s="11">
        <v>3.5086253978176607E-2</v>
      </c>
      <c r="CO18" s="11">
        <v>0.23157387854942929</v>
      </c>
      <c r="CP18" s="11">
        <v>-0.16283910894801071</v>
      </c>
      <c r="CQ18" s="11">
        <v>-4.7976536408267538E-2</v>
      </c>
      <c r="CR18" s="11">
        <v>-5.5156128716592027E-2</v>
      </c>
      <c r="CS18" s="11">
        <v>-7.802724673197127E-2</v>
      </c>
      <c r="CT18" s="11">
        <v>-9.0515429002249403E-2</v>
      </c>
      <c r="CU18" s="11">
        <v>7.1648691205109999E-2</v>
      </c>
      <c r="CV18" s="11">
        <v>-9.1040282230288663E-2</v>
      </c>
      <c r="CW18" s="11">
        <v>8.4560855645258066E-3</v>
      </c>
      <c r="CX18" s="11">
        <v>-6.1560185833778078E-2</v>
      </c>
      <c r="CY18" s="11">
        <v>5.135741377478225E-2</v>
      </c>
      <c r="CZ18" s="11">
        <v>-0.13284286330177139</v>
      </c>
      <c r="DA18" s="11">
        <v>4.7380939518693557E-2</v>
      </c>
      <c r="DB18" s="11">
        <v>4.5735208678759381E-2</v>
      </c>
      <c r="DC18" s="11">
        <v>-3.6408781495506221E-2</v>
      </c>
      <c r="DD18" s="11">
        <v>8.2462353495414184E-2</v>
      </c>
      <c r="DE18" s="11">
        <v>-4.9173444891641022E-2</v>
      </c>
      <c r="DF18" s="11">
        <v>3.5042778782370262E-2</v>
      </c>
      <c r="DG18" s="11">
        <v>7.619473157627699E-3</v>
      </c>
      <c r="DH18" s="11">
        <v>2.8038013248649029E-2</v>
      </c>
      <c r="DI18" s="11">
        <v>1.6114629238026808E-2</v>
      </c>
      <c r="DJ18" s="11">
        <v>4.5204039785289522E-2</v>
      </c>
      <c r="DK18" s="11">
        <v>-0.15851362709242739</v>
      </c>
      <c r="DL18" s="11">
        <v>-8.1397742916241134E-2</v>
      </c>
      <c r="DM18" s="11">
        <v>6.650814073203816E-2</v>
      </c>
      <c r="DN18" s="11">
        <v>1.6722064078021251E-2</v>
      </c>
      <c r="DO18" s="11">
        <v>-4.2104907550630517E-2</v>
      </c>
      <c r="DP18" s="11">
        <v>2.0604686466865741E-2</v>
      </c>
      <c r="DQ18" s="11">
        <v>6.5749458183898837E-2</v>
      </c>
      <c r="DR18" s="11">
        <v>5.2461064031548613E-2</v>
      </c>
      <c r="DS18" s="11">
        <v>0.1477219984517327</v>
      </c>
      <c r="DT18" s="11">
        <v>0.1160173901109771</v>
      </c>
      <c r="DU18" s="11">
        <v>9.6895186076904644E-2</v>
      </c>
      <c r="DV18" s="11">
        <v>-0.1056406088000619</v>
      </c>
      <c r="DW18" s="11">
        <v>-8.1908692284373169E-2</v>
      </c>
      <c r="DX18" s="11">
        <v>0.1536029774624818</v>
      </c>
      <c r="DY18" s="11">
        <v>-9.7428036975949608E-2</v>
      </c>
      <c r="DZ18" s="11">
        <v>7.5516359296365659E-2</v>
      </c>
      <c r="EA18" s="11">
        <v>-4.7382972382447363E-3</v>
      </c>
      <c r="EB18" s="11">
        <v>0.1099643544501954</v>
      </c>
      <c r="EC18" s="11">
        <v>-0.14304023059278551</v>
      </c>
      <c r="ED18" s="11">
        <v>-8.2759101388566583E-2</v>
      </c>
      <c r="EE18" s="11">
        <v>5.3015040315364213E-2</v>
      </c>
      <c r="EF18" s="11">
        <v>-4.8955017110416547E-2</v>
      </c>
      <c r="EG18" s="8">
        <f t="shared" si="6"/>
        <v>-3.7529345922085547E-4</v>
      </c>
      <c r="EH18" s="18">
        <f t="shared" si="7"/>
        <v>9.882380885188137E-2</v>
      </c>
      <c r="EI18" s="8">
        <f t="shared" si="8"/>
        <v>-3.7976016466168697E-3</v>
      </c>
    </row>
    <row r="19" spans="1:139">
      <c r="A19">
        <v>160</v>
      </c>
      <c r="B19">
        <v>6</v>
      </c>
      <c r="C19" s="11">
        <v>0.19659983333333331</v>
      </c>
      <c r="D19" s="11">
        <v>0.4075213333333334</v>
      </c>
      <c r="E19" s="11">
        <v>6.5812499999999996E-2</v>
      </c>
      <c r="F19" s="11">
        <v>0.2361708333333333</v>
      </c>
      <c r="G19" s="11">
        <v>0.15286516666666669</v>
      </c>
      <c r="H19" s="11">
        <v>0.17761016666666671</v>
      </c>
      <c r="I19" s="11">
        <v>4.746333333333333E-2</v>
      </c>
      <c r="J19" s="11">
        <v>-0.1562291666666667</v>
      </c>
      <c r="K19" s="11">
        <v>5.6539499999999999E-2</v>
      </c>
      <c r="L19" s="11">
        <v>3.0361166666666672E-2</v>
      </c>
      <c r="M19" s="11">
        <v>-4.3690236156307287E-2</v>
      </c>
      <c r="N19" s="11">
        <v>-0.15184358114798011</v>
      </c>
      <c r="O19" s="11">
        <v>3.1561874488915911E-2</v>
      </c>
      <c r="P19" s="11">
        <v>2.2785333333333321E-2</v>
      </c>
      <c r="Q19" s="11">
        <v>0.1704643333333333</v>
      </c>
      <c r="R19" s="11">
        <v>4.1943000000000008E-2</v>
      </c>
      <c r="S19" s="11">
        <v>-7.8696166666666678E-2</v>
      </c>
      <c r="T19" s="11">
        <v>-0.1095268333333333</v>
      </c>
      <c r="U19" s="11">
        <v>6.7250001618483032E-2</v>
      </c>
      <c r="V19" s="11">
        <v>-9.2688319725313148E-2</v>
      </c>
      <c r="W19" s="11">
        <v>-0.1747347633022315</v>
      </c>
      <c r="X19" s="11">
        <v>0.12292366666666669</v>
      </c>
      <c r="Y19" s="11">
        <v>-2.5628637528156511E-2</v>
      </c>
      <c r="Z19" s="11">
        <v>-9.1619110576023566E-2</v>
      </c>
      <c r="AA19" s="11">
        <v>4.7301666666666672E-2</v>
      </c>
      <c r="AB19" s="11">
        <v>-0.10225360588394269</v>
      </c>
      <c r="AC19" s="11">
        <v>-2.8452834641691321E-2</v>
      </c>
      <c r="AD19" s="11">
        <v>9.5992833333333333E-2</v>
      </c>
      <c r="AE19" s="11">
        <v>0.1694160609977898</v>
      </c>
      <c r="AF19" s="11">
        <v>-3.8785666808899749E-2</v>
      </c>
      <c r="AG19" s="11">
        <v>-2.2136219072547821E-2</v>
      </c>
      <c r="AH19" s="11">
        <v>5.6557715221703553E-2</v>
      </c>
      <c r="AI19" s="11">
        <v>-8.1770124789496509E-2</v>
      </c>
      <c r="AJ19" s="11">
        <v>5.1545290327262273E-2</v>
      </c>
      <c r="AK19" s="11">
        <v>-7.5520425059527104E-3</v>
      </c>
      <c r="AL19" s="11">
        <v>-7.0270945670805551E-2</v>
      </c>
      <c r="AM19" s="11">
        <v>-4.3106011811404943E-2</v>
      </c>
      <c r="AN19" s="11">
        <v>-8.3568294365682083E-2</v>
      </c>
      <c r="AO19" s="11">
        <v>-2.589290304541441E-2</v>
      </c>
      <c r="AP19" s="11">
        <v>8.757412027285208E-2</v>
      </c>
      <c r="AQ19" s="11">
        <v>8.8252757060650652E-2</v>
      </c>
      <c r="AR19" s="11">
        <v>-0.1535175623128574</v>
      </c>
      <c r="AS19" s="11">
        <v>-9.7796955268314459E-2</v>
      </c>
      <c r="AT19" s="11">
        <v>-4.9294981765701303E-2</v>
      </c>
      <c r="AU19" s="11">
        <v>-7.6428715713654158E-2</v>
      </c>
      <c r="AV19" s="11">
        <v>5.003302069697789E-2</v>
      </c>
      <c r="AW19" s="11">
        <v>-2.2356168154136491E-2</v>
      </c>
      <c r="AX19" s="11">
        <v>-8.0206414310412866E-2</v>
      </c>
      <c r="AY19" s="11">
        <v>-2.9528970393379841E-2</v>
      </c>
      <c r="AZ19" s="11">
        <v>0.18687961816817431</v>
      </c>
      <c r="BA19" s="11">
        <v>0.186997</v>
      </c>
      <c r="BB19" s="11">
        <v>-0.15974619907243159</v>
      </c>
      <c r="BC19" s="11">
        <v>-6.4055486346185769E-2</v>
      </c>
      <c r="BD19" s="11">
        <v>3.2343926300681461E-3</v>
      </c>
      <c r="BE19" s="11">
        <v>-5.1131873963666558E-2</v>
      </c>
      <c r="BF19" s="11">
        <v>-1.3570974149138619E-2</v>
      </c>
      <c r="BG19" s="11">
        <v>-0.15330875116978829</v>
      </c>
      <c r="BH19" s="11">
        <v>-0.14049690595357331</v>
      </c>
      <c r="BI19" s="11">
        <v>0.1012842299592162</v>
      </c>
      <c r="BJ19" s="11">
        <v>-5.8912217172455733E-2</v>
      </c>
      <c r="BK19" s="11">
        <v>-6.9519036629441727E-2</v>
      </c>
      <c r="BL19" s="11">
        <v>2.599583333333334E-2</v>
      </c>
      <c r="BM19" s="11">
        <v>-0.1142506002586957</v>
      </c>
      <c r="BN19" s="11">
        <v>-6.7252647467271776E-2</v>
      </c>
      <c r="BO19" s="11">
        <v>-2.5728961265115379E-2</v>
      </c>
      <c r="BP19" s="11">
        <v>-6.2818807534132146E-2</v>
      </c>
      <c r="BQ19" s="11">
        <v>-9.9340444543230683E-3</v>
      </c>
      <c r="BR19" s="11">
        <v>-6.6752460235200081E-3</v>
      </c>
      <c r="BS19" s="11">
        <v>-3.4999319396389061E-3</v>
      </c>
      <c r="BT19" s="11">
        <v>1.3194833333333321E-2</v>
      </c>
      <c r="BU19" s="11">
        <v>-0.13067083333333329</v>
      </c>
      <c r="BV19" s="11">
        <v>0.1000853333333333</v>
      </c>
      <c r="BW19" s="11">
        <v>0.29597583333333338</v>
      </c>
      <c r="BX19" s="11">
        <v>-3.4087785271858247E-2</v>
      </c>
      <c r="BY19" s="11">
        <v>-2.767816666666666E-2</v>
      </c>
      <c r="BZ19" s="11">
        <v>0.1447426666666666</v>
      </c>
      <c r="CA19" s="11">
        <v>3.5610166666666658E-2</v>
      </c>
      <c r="CB19" s="11">
        <v>-7.8976807618525546E-2</v>
      </c>
      <c r="CC19" s="11">
        <v>0.1054167570187242</v>
      </c>
      <c r="CD19" s="11">
        <v>-0.14873191328840721</v>
      </c>
      <c r="CE19" s="11">
        <v>-0.11441435951313331</v>
      </c>
      <c r="CF19" s="11">
        <v>-0.1116986666666667</v>
      </c>
      <c r="CG19" s="11">
        <v>-5.7117624866957151E-2</v>
      </c>
      <c r="CH19" s="11">
        <v>-4.271504374273416E-2</v>
      </c>
      <c r="CI19" s="11">
        <v>-0.11073420775370441</v>
      </c>
      <c r="CJ19" s="11">
        <v>-1.1811922761994231E-2</v>
      </c>
      <c r="CK19" s="11">
        <v>0.1187972629573345</v>
      </c>
      <c r="CL19" s="11">
        <v>0.1153477816387375</v>
      </c>
      <c r="CM19" s="11">
        <v>-0.17534764158171501</v>
      </c>
      <c r="CN19" s="11">
        <v>7.6932654667303466E-2</v>
      </c>
      <c r="CO19" s="11">
        <v>0.27245440462850651</v>
      </c>
      <c r="CP19" s="11">
        <v>-0.15903259898233271</v>
      </c>
      <c r="CQ19" s="11">
        <v>2.7299081545619341E-3</v>
      </c>
      <c r="CR19" s="11">
        <v>-4.9694189552402651E-2</v>
      </c>
      <c r="CS19" s="11">
        <v>-6.0700850898538133E-2</v>
      </c>
      <c r="CT19" s="11">
        <v>-0.1226204266300308</v>
      </c>
      <c r="CU19" s="11">
        <v>8.3436397113892974E-2</v>
      </c>
      <c r="CV19" s="11">
        <v>-0.10197986151640361</v>
      </c>
      <c r="CW19" s="11">
        <v>2.190180778189859E-2</v>
      </c>
      <c r="CX19" s="11">
        <v>-5.7634726368184938E-2</v>
      </c>
      <c r="CY19" s="11">
        <v>7.092186956436955E-2</v>
      </c>
      <c r="CZ19" s="11">
        <v>-0.11285182864146399</v>
      </c>
      <c r="DA19" s="11">
        <v>5.8223876703236761E-2</v>
      </c>
      <c r="DB19" s="11">
        <v>3.572089902521567E-2</v>
      </c>
      <c r="DC19" s="11">
        <v>3.5179399902094073E-2</v>
      </c>
      <c r="DD19" s="11">
        <v>0.10625733595480071</v>
      </c>
      <c r="DE19" s="11">
        <v>-5.4024955382609513E-2</v>
      </c>
      <c r="DF19" s="11">
        <v>6.969304689302265E-2</v>
      </c>
      <c r="DG19" s="11">
        <v>1.27464749106491E-2</v>
      </c>
      <c r="DH19" s="11">
        <v>1.569831294047225E-4</v>
      </c>
      <c r="DI19" s="11">
        <v>-3.666424442421171E-3</v>
      </c>
      <c r="DJ19" s="11">
        <v>4.8514350722976607E-2</v>
      </c>
      <c r="DK19" s="11">
        <v>-0.1241445877842076</v>
      </c>
      <c r="DL19" s="11">
        <v>-7.0167407799869491E-2</v>
      </c>
      <c r="DM19" s="11">
        <v>8.1952255033994378E-2</v>
      </c>
      <c r="DN19" s="11">
        <v>-2.4751230976385011E-3</v>
      </c>
      <c r="DO19" s="11">
        <v>-5.5126563399943852E-2</v>
      </c>
      <c r="DP19" s="11">
        <v>-2.783801448299373E-2</v>
      </c>
      <c r="DQ19" s="11">
        <v>8.0374171838075048E-2</v>
      </c>
      <c r="DR19" s="11">
        <v>3.3181055245206169E-2</v>
      </c>
      <c r="DS19" s="11">
        <v>0.1779955469539703</v>
      </c>
      <c r="DT19" s="11">
        <v>0.13312850061934939</v>
      </c>
      <c r="DU19" s="11">
        <v>0.14283069805444029</v>
      </c>
      <c r="DV19" s="11">
        <v>-0.1115247064406045</v>
      </c>
      <c r="DW19" s="11">
        <v>-6.0609139340684293E-2</v>
      </c>
      <c r="DX19" s="11">
        <v>0.1383651342381777</v>
      </c>
      <c r="DY19" s="11">
        <v>-7.0109577687923127E-2</v>
      </c>
      <c r="DZ19" s="11">
        <v>0.1119208288639931</v>
      </c>
      <c r="EA19" s="11">
        <v>3.2919727195015271E-2</v>
      </c>
      <c r="EB19" s="11">
        <v>0.1087535096382525</v>
      </c>
      <c r="EC19" s="11">
        <v>-0.14377420282500911</v>
      </c>
      <c r="ED19" s="11">
        <v>-8.0285258276375129E-2</v>
      </c>
      <c r="EE19" s="11">
        <v>2.2815885843912861E-2</v>
      </c>
      <c r="EF19" s="11">
        <v>-1.697795487476916E-2</v>
      </c>
      <c r="EG19" s="8">
        <f t="shared" si="6"/>
        <v>2.9814451683588816E-3</v>
      </c>
      <c r="EH19" s="18">
        <f t="shared" si="7"/>
        <v>0.10626783980522311</v>
      </c>
      <c r="EI19" s="8">
        <f t="shared" si="8"/>
        <v>2.8055949700525881E-2</v>
      </c>
    </row>
    <row r="20" spans="1:139">
      <c r="A20">
        <v>192</v>
      </c>
      <c r="B20">
        <v>5</v>
      </c>
      <c r="C20" s="11">
        <v>0.20155100000000001</v>
      </c>
      <c r="D20" s="11">
        <v>0.38202580000000003</v>
      </c>
      <c r="E20" s="11">
        <v>5.7335200000000003E-2</v>
      </c>
      <c r="F20" s="11">
        <v>0.1824192</v>
      </c>
      <c r="G20" s="11">
        <v>0.15802820000000001</v>
      </c>
      <c r="H20" s="11">
        <v>0.14393220000000001</v>
      </c>
      <c r="I20" s="11">
        <v>2.7936200000000001E-2</v>
      </c>
      <c r="J20" s="11">
        <v>-0.1332062</v>
      </c>
      <c r="K20" s="11">
        <v>3.7403600000000002E-2</v>
      </c>
      <c r="L20" s="11">
        <v>3.0693600000000008E-2</v>
      </c>
      <c r="M20" s="11">
        <v>-7.7718228291273506E-2</v>
      </c>
      <c r="N20" s="11">
        <v>-0.16814358818954389</v>
      </c>
      <c r="O20" s="11">
        <v>4.9864886069274132E-2</v>
      </c>
      <c r="P20" s="11">
        <v>4.0029000000000002E-2</v>
      </c>
      <c r="Q20" s="11">
        <v>0.22482659999999999</v>
      </c>
      <c r="R20" s="11">
        <v>6.646959999999999E-2</v>
      </c>
      <c r="S20" s="11">
        <v>-5.7341400000000008E-2</v>
      </c>
      <c r="T20" s="11">
        <v>-0.1008458</v>
      </c>
      <c r="U20" s="11">
        <v>1.3720364707177321E-2</v>
      </c>
      <c r="V20" s="11">
        <v>-0.1035176032046175</v>
      </c>
      <c r="W20" s="11">
        <v>-0.22644366208310149</v>
      </c>
      <c r="X20" s="11">
        <v>0.15004300000000001</v>
      </c>
      <c r="Y20" s="11">
        <v>-4.2067489538597257E-2</v>
      </c>
      <c r="Z20" s="11">
        <v>-0.1056169604836593</v>
      </c>
      <c r="AA20" s="11">
        <v>6.6963999999999996E-2</v>
      </c>
      <c r="AB20" s="11">
        <v>-8.4759840726173208E-2</v>
      </c>
      <c r="AC20" s="11">
        <v>-5.6443345640519567E-2</v>
      </c>
      <c r="AD20" s="11">
        <v>0.1298426</v>
      </c>
      <c r="AE20" s="11">
        <v>0.1992928643390979</v>
      </c>
      <c r="AF20" s="11">
        <v>-3.9044678387579961E-2</v>
      </c>
      <c r="AG20" s="11">
        <v>-2.7659218539892259E-2</v>
      </c>
      <c r="AH20" s="11">
        <v>9.0178200714782636E-2</v>
      </c>
      <c r="AI20" s="11">
        <v>-7.8154544921168481E-2</v>
      </c>
      <c r="AJ20" s="11">
        <v>6.1990034547547639E-2</v>
      </c>
      <c r="AK20" s="11">
        <v>1.359511549600285E-2</v>
      </c>
      <c r="AL20" s="11">
        <v>-7.2893452036976947E-2</v>
      </c>
      <c r="AM20" s="11">
        <v>-3.3095980748802607E-2</v>
      </c>
      <c r="AN20" s="11">
        <v>-7.5470193518998266E-2</v>
      </c>
      <c r="AO20" s="11">
        <v>-4.528508196468839E-2</v>
      </c>
      <c r="AP20" s="11">
        <v>0.13173046125538779</v>
      </c>
      <c r="AQ20" s="11">
        <v>-2.7452485332951051E-2</v>
      </c>
      <c r="AR20" s="11">
        <v>-0.1700490046789242</v>
      </c>
      <c r="AS20" s="11">
        <v>-0.112095809682817</v>
      </c>
      <c r="AT20" s="11">
        <v>-5.858773760205771E-3</v>
      </c>
      <c r="AU20" s="11">
        <v>-7.5692386895125863E-2</v>
      </c>
      <c r="AV20" s="11">
        <v>5.4625713782478207E-2</v>
      </c>
      <c r="AW20" s="11">
        <v>-6.8652681791509596E-3</v>
      </c>
      <c r="AX20" s="11">
        <v>-0.11073254799870159</v>
      </c>
      <c r="AY20" s="11">
        <v>-3.8674698442909439E-2</v>
      </c>
      <c r="AZ20" s="11">
        <v>0.21380243117708869</v>
      </c>
      <c r="BA20" s="11">
        <v>0.151338</v>
      </c>
      <c r="BB20" s="11">
        <v>-0.1676554233765693</v>
      </c>
      <c r="BC20" s="11">
        <v>-7.0605567677740205E-2</v>
      </c>
      <c r="BD20" s="11">
        <v>5.3429813221597323E-2</v>
      </c>
      <c r="BE20" s="11">
        <v>5.9467971392603326E-3</v>
      </c>
      <c r="BF20" s="11">
        <v>-5.6885823313286886E-3</v>
      </c>
      <c r="BG20" s="11">
        <v>-9.4062055608340231E-2</v>
      </c>
      <c r="BH20" s="11">
        <v>-0.1500573005634544</v>
      </c>
      <c r="BI20" s="11">
        <v>0.1142556657345235</v>
      </c>
      <c r="BJ20" s="11">
        <v>-4.9139783811273992E-2</v>
      </c>
      <c r="BK20" s="11">
        <v>-0.1025982841544454</v>
      </c>
      <c r="BL20" s="11">
        <v>1.978340000000001E-2</v>
      </c>
      <c r="BM20" s="11">
        <v>-0.1369176613284383</v>
      </c>
      <c r="BN20" s="11">
        <v>-0.1185572414453714</v>
      </c>
      <c r="BO20" s="11">
        <v>3.8461717515979203E-2</v>
      </c>
      <c r="BP20" s="11">
        <v>-6.0407520762954983E-2</v>
      </c>
      <c r="BQ20" s="11">
        <v>-1.5451706960843021E-2</v>
      </c>
      <c r="BR20" s="11">
        <v>-1.207363173047259E-2</v>
      </c>
      <c r="BS20" s="11">
        <v>-3.2536197724856143E-2</v>
      </c>
      <c r="BT20" s="11">
        <v>5.246859999999999E-2</v>
      </c>
      <c r="BU20" s="11">
        <v>-0.14944099999999999</v>
      </c>
      <c r="BV20" s="11">
        <v>0.13370979999999999</v>
      </c>
      <c r="BW20" s="11">
        <v>0.34204220000000002</v>
      </c>
      <c r="BX20" s="11">
        <v>-3.069363668324426E-2</v>
      </c>
      <c r="BY20" s="11">
        <v>-4.3187799999999998E-2</v>
      </c>
      <c r="BZ20" s="11">
        <v>0.1847258</v>
      </c>
      <c r="CA20" s="11">
        <v>5.0216200000000003E-2</v>
      </c>
      <c r="CB20" s="11">
        <v>1.077551010283638E-4</v>
      </c>
      <c r="CC20" s="11">
        <v>0.1014293809649939</v>
      </c>
      <c r="CD20" s="11">
        <v>-0.1888595125433957</v>
      </c>
      <c r="CE20" s="11">
        <v>-0.1137684736196253</v>
      </c>
      <c r="CF20" s="11">
        <v>-0.1312084</v>
      </c>
      <c r="CG20" s="11">
        <v>-7.597024074310807E-2</v>
      </c>
      <c r="CH20" s="11">
        <v>-2.219522902413288E-2</v>
      </c>
      <c r="CI20" s="11">
        <v>-8.5208202435075389E-2</v>
      </c>
      <c r="CJ20" s="11">
        <v>-4.1509984783928693E-2</v>
      </c>
      <c r="CK20" s="11">
        <v>8.0589623940621552E-2</v>
      </c>
      <c r="CL20" s="11">
        <v>0.14931315063025169</v>
      </c>
      <c r="CM20" s="11">
        <v>-0.18905116517062071</v>
      </c>
      <c r="CN20" s="11">
        <v>-2.215941137048465E-2</v>
      </c>
      <c r="CO20" s="11">
        <v>0.41597133516901241</v>
      </c>
      <c r="CP20" s="11">
        <v>-0.1920312051090273</v>
      </c>
      <c r="CQ20" s="11">
        <v>-6.1113579290622234E-3</v>
      </c>
      <c r="CR20" s="11">
        <v>-7.3116244505850386E-2</v>
      </c>
      <c r="CS20" s="11">
        <v>-8.8364277012261461E-2</v>
      </c>
      <c r="CT20" s="11">
        <v>-9.0474037414266281E-2</v>
      </c>
      <c r="CU20" s="11">
        <v>9.4867658266512403E-2</v>
      </c>
      <c r="CV20" s="11">
        <v>-9.2511075695426118E-2</v>
      </c>
      <c r="CW20" s="11">
        <v>-9.9530629212826391E-3</v>
      </c>
      <c r="CX20" s="11">
        <v>-9.0298550867764463E-2</v>
      </c>
      <c r="CY20" s="11">
        <v>1.247973266829688E-2</v>
      </c>
      <c r="CZ20" s="11">
        <v>-0.15516164514919831</v>
      </c>
      <c r="DA20" s="11">
        <v>4.7471893155177573E-2</v>
      </c>
      <c r="DB20" s="11">
        <v>5.6902709757134122E-2</v>
      </c>
      <c r="DC20" s="11">
        <v>4.9613069235555772E-2</v>
      </c>
      <c r="DD20" s="11">
        <v>0.14810881433882259</v>
      </c>
      <c r="DE20" s="11">
        <v>2.674986392092854E-2</v>
      </c>
      <c r="DF20" s="11">
        <v>-8.591215324206241E-4</v>
      </c>
      <c r="DG20" s="11">
        <v>4.2022106203706937E-3</v>
      </c>
      <c r="DH20" s="11">
        <v>1.097541174252706E-2</v>
      </c>
      <c r="DI20" s="11">
        <v>2.2876731785052461E-2</v>
      </c>
      <c r="DJ20" s="11">
        <v>3.9459946268887811E-2</v>
      </c>
      <c r="DK20" s="11">
        <v>-8.4953981446054899E-2</v>
      </c>
      <c r="DL20" s="11">
        <v>-7.5826636178542531E-2</v>
      </c>
      <c r="DM20" s="11">
        <v>-9.2836502794370751E-3</v>
      </c>
      <c r="DN20" s="11">
        <v>-5.8019206654199171E-2</v>
      </c>
      <c r="DO20" s="11">
        <v>-6.5815801837970381E-2</v>
      </c>
      <c r="DP20" s="11">
        <v>-9.8305313908873052E-3</v>
      </c>
      <c r="DQ20" s="11">
        <v>5.7460181624700082E-2</v>
      </c>
      <c r="DR20" s="11">
        <v>8.8208883828872625E-2</v>
      </c>
      <c r="DS20" s="11">
        <v>0.20608109757835469</v>
      </c>
      <c r="DT20" s="11">
        <v>0.13343598462213829</v>
      </c>
      <c r="DU20" s="11">
        <v>0.1720691072058694</v>
      </c>
      <c r="DV20" s="11">
        <v>-0.12934547183885869</v>
      </c>
      <c r="DW20" s="11">
        <v>-6.9060203958039607E-2</v>
      </c>
      <c r="DX20" s="11">
        <v>0.15386632960631469</v>
      </c>
      <c r="DY20" s="11">
        <v>-5.3618609351648763E-2</v>
      </c>
      <c r="DZ20" s="11">
        <v>8.4474578309692155E-2</v>
      </c>
      <c r="EA20" s="11">
        <v>-5.9255992733342772E-3</v>
      </c>
      <c r="EB20" s="11">
        <v>8.2407142444419712E-2</v>
      </c>
      <c r="EC20" s="11">
        <v>-0.13100614576206751</v>
      </c>
      <c r="ED20" s="11">
        <v>-5.7827564200198737E-2</v>
      </c>
      <c r="EE20" s="11">
        <v>2.0017587297018819E-2</v>
      </c>
      <c r="EF20" s="11">
        <v>-2.0281416615907238E-2</v>
      </c>
      <c r="EG20" s="8">
        <f t="shared" si="6"/>
        <v>2.8358984459922621E-3</v>
      </c>
      <c r="EH20" s="18">
        <f t="shared" si="7"/>
        <v>0.11497554775449613</v>
      </c>
      <c r="EI20" s="8">
        <f t="shared" si="8"/>
        <v>2.4665231011098739E-2</v>
      </c>
    </row>
    <row r="21" spans="1:139">
      <c r="A21">
        <v>241</v>
      </c>
      <c r="B21">
        <v>4</v>
      </c>
      <c r="C21" s="11">
        <v>0.2146305</v>
      </c>
      <c r="D21" s="11">
        <v>0.126389</v>
      </c>
      <c r="E21" s="11">
        <v>-1.3691500000000001E-2</v>
      </c>
      <c r="F21" s="11">
        <v>0.20341300000000001</v>
      </c>
      <c r="G21" s="11">
        <v>0.14533199999999999</v>
      </c>
      <c r="H21" s="11">
        <v>0.162164</v>
      </c>
      <c r="I21" s="11">
        <v>1.4112E-2</v>
      </c>
      <c r="J21" s="11">
        <v>-0.13674149999999999</v>
      </c>
      <c r="K21" s="11">
        <v>1.4699999999999991E-3</v>
      </c>
      <c r="L21" s="11">
        <v>-5.030999999999999E-3</v>
      </c>
      <c r="M21" s="11">
        <v>-9.9684593408211258E-2</v>
      </c>
      <c r="N21" s="11">
        <v>-0.13905067586079981</v>
      </c>
      <c r="O21" s="11">
        <v>3.4351989460690638E-2</v>
      </c>
      <c r="P21" s="11">
        <v>4.5427749999999989E-2</v>
      </c>
      <c r="Q21" s="11">
        <v>0.27408575000000002</v>
      </c>
      <c r="R21" s="11">
        <v>8.4905250000000002E-2</v>
      </c>
      <c r="S21" s="11">
        <v>-3.6561749999999997E-2</v>
      </c>
      <c r="T21" s="11">
        <v>-0.13111999999999999</v>
      </c>
      <c r="U21" s="11">
        <v>-8.0215735806459076E-2</v>
      </c>
      <c r="V21" s="11">
        <v>-0.10537077038935461</v>
      </c>
      <c r="W21" s="11">
        <v>-0.32292054868818693</v>
      </c>
      <c r="X21" s="11">
        <v>0.20780100000000001</v>
      </c>
      <c r="Y21" s="11">
        <v>-2.0833082892434851E-2</v>
      </c>
      <c r="Z21" s="11">
        <v>-0.1142039872227245</v>
      </c>
      <c r="AA21" s="11">
        <v>2.8035500000000001E-2</v>
      </c>
      <c r="AB21" s="11">
        <v>-0.1298395823970698</v>
      </c>
      <c r="AC21" s="11">
        <v>-7.43011297920224E-2</v>
      </c>
      <c r="AD21" s="11">
        <v>0.12882450000000001</v>
      </c>
      <c r="AE21" s="11">
        <v>0.24045611049318669</v>
      </c>
      <c r="AF21" s="11">
        <v>-5.3125609886562987E-2</v>
      </c>
      <c r="AG21" s="11">
        <v>-4.4302777789794079E-2</v>
      </c>
      <c r="AH21" s="11">
        <v>0.10758136256479831</v>
      </c>
      <c r="AI21" s="11">
        <v>-7.9594209333291061E-2</v>
      </c>
      <c r="AJ21" s="11">
        <v>7.0405341946468691E-2</v>
      </c>
      <c r="AK21" s="11">
        <v>3.5803167618110053E-2</v>
      </c>
      <c r="AL21" s="11">
        <v>-6.5379822733110632E-2</v>
      </c>
      <c r="AM21" s="11">
        <v>-6.8535807447630548E-2</v>
      </c>
      <c r="AN21" s="11">
        <v>-0.11195605606309431</v>
      </c>
      <c r="AO21" s="11">
        <v>-4.7726395643726653E-2</v>
      </c>
      <c r="AP21" s="11">
        <v>7.2535143570019153E-2</v>
      </c>
      <c r="AQ21" s="11">
        <v>-7.6865507010547632E-2</v>
      </c>
      <c r="AR21" s="11">
        <v>-0.20518227823048121</v>
      </c>
      <c r="AS21" s="11">
        <v>-6.4455868646629361E-2</v>
      </c>
      <c r="AT21" s="11">
        <v>2.4929112771550628E-3</v>
      </c>
      <c r="AU21" s="11">
        <v>-4.7809631508957028E-2</v>
      </c>
      <c r="AV21" s="11">
        <v>5.5520780062133721E-2</v>
      </c>
      <c r="AW21" s="11">
        <v>-9.7910299540974015E-3</v>
      </c>
      <c r="AX21" s="11">
        <v>-0.1431476874697567</v>
      </c>
      <c r="AY21" s="11">
        <v>-4.7021290978038012E-2</v>
      </c>
      <c r="AZ21" s="11">
        <v>0.25491126989713642</v>
      </c>
      <c r="BA21" s="11">
        <v>0.13959250000000001</v>
      </c>
      <c r="BB21" s="11">
        <v>-0.2253461350383382</v>
      </c>
      <c r="BC21" s="11">
        <v>-3.8321147725193863E-2</v>
      </c>
      <c r="BD21" s="11">
        <v>2.1750863370627919E-2</v>
      </c>
      <c r="BE21" s="11">
        <v>-6.3505333974014731E-3</v>
      </c>
      <c r="BF21" s="11">
        <v>-3.5771001804346838E-3</v>
      </c>
      <c r="BG21" s="11">
        <v>-9.2285571507253639E-2</v>
      </c>
      <c r="BH21" s="11">
        <v>-0.1068421096374302</v>
      </c>
      <c r="BI21" s="11">
        <v>0.15387464609225671</v>
      </c>
      <c r="BJ21" s="11">
        <v>-3.1982514410992063E-2</v>
      </c>
      <c r="BK21" s="11">
        <v>-8.2973161890065844E-2</v>
      </c>
      <c r="BL21" s="11">
        <v>3.7530000000000059E-3</v>
      </c>
      <c r="BM21" s="11">
        <v>-0.15512000392109981</v>
      </c>
      <c r="BN21" s="11">
        <v>-6.3647947992248044E-2</v>
      </c>
      <c r="BO21" s="11">
        <v>6.3857236413680254E-2</v>
      </c>
      <c r="BP21" s="11">
        <v>-0.1045091294194143</v>
      </c>
      <c r="BQ21" s="11">
        <v>-5.4542230834504879E-2</v>
      </c>
      <c r="BR21" s="11">
        <v>-1.232386218386442E-2</v>
      </c>
      <c r="BS21" s="11">
        <v>-6.5741820960347419E-2</v>
      </c>
      <c r="BT21" s="11">
        <v>6.0821999999999987E-2</v>
      </c>
      <c r="BU21" s="11">
        <v>-0.170738</v>
      </c>
      <c r="BV21" s="11">
        <v>1.924025E-2</v>
      </c>
      <c r="BW21" s="11">
        <v>0.40213025000000002</v>
      </c>
      <c r="BX21" s="11">
        <v>2.9908192844139221E-3</v>
      </c>
      <c r="BY21" s="11">
        <v>-1.4919750000000009E-2</v>
      </c>
      <c r="BZ21" s="11">
        <v>0.25140249999999997</v>
      </c>
      <c r="CA21" s="11">
        <v>9.5060000000000006E-2</v>
      </c>
      <c r="CB21" s="11">
        <v>-7.3466099404929153E-2</v>
      </c>
      <c r="CC21" s="11">
        <v>5.3307577939454079E-2</v>
      </c>
      <c r="CD21" s="11">
        <v>-0.15078839020228069</v>
      </c>
      <c r="CE21" s="11">
        <v>-0.14537496044398809</v>
      </c>
      <c r="CF21" s="11">
        <v>-0.127168</v>
      </c>
      <c r="CG21" s="11">
        <v>-8.508533547413108E-2</v>
      </c>
      <c r="CH21" s="11">
        <v>-0.15662644062696859</v>
      </c>
      <c r="CI21" s="11">
        <v>-7.3182727074998788E-2</v>
      </c>
      <c r="CJ21" s="11">
        <v>-5.5140848561157058E-2</v>
      </c>
      <c r="CK21" s="11">
        <v>6.7159630296855705E-2</v>
      </c>
      <c r="CL21" s="11">
        <v>0.18743312154072689</v>
      </c>
      <c r="CM21" s="11">
        <v>-0.2255029884033713</v>
      </c>
      <c r="CN21" s="11">
        <v>-3.05388902037756E-2</v>
      </c>
      <c r="CO21" s="11">
        <v>0.51486524859759264</v>
      </c>
      <c r="CP21" s="11">
        <v>-0.22270006087791269</v>
      </c>
      <c r="CQ21" s="11">
        <v>-3.2880917250907721E-3</v>
      </c>
      <c r="CR21" s="11">
        <v>-9.0824277979679707E-2</v>
      </c>
      <c r="CS21" s="11">
        <v>-6.9646396146771747E-2</v>
      </c>
      <c r="CT21" s="11">
        <v>-8.2292872854338978E-2</v>
      </c>
      <c r="CU21" s="11">
        <v>6.2673560169491313E-2</v>
      </c>
      <c r="CV21" s="11">
        <v>-9.8225632021386913E-2</v>
      </c>
      <c r="CW21" s="11">
        <v>-6.5005417280988659E-2</v>
      </c>
      <c r="CX21" s="11">
        <v>-0.1021221756574071</v>
      </c>
      <c r="CY21" s="11">
        <v>8.4819164039144704E-3</v>
      </c>
      <c r="CZ21" s="11">
        <v>-0.2374513708258302</v>
      </c>
      <c r="DA21" s="11">
        <v>-1.192256456731756E-3</v>
      </c>
      <c r="DB21" s="11">
        <v>5.1624433676154581E-2</v>
      </c>
      <c r="DC21" s="11">
        <v>4.5047559223290658E-2</v>
      </c>
      <c r="DD21" s="11">
        <v>-0.121322688868649</v>
      </c>
      <c r="DE21" s="11">
        <v>-1.2238108588318921E-2</v>
      </c>
      <c r="DF21" s="11">
        <v>-2.156088069787479E-2</v>
      </c>
      <c r="DG21" s="11">
        <v>-7.8463781285332893E-3</v>
      </c>
      <c r="DH21" s="11">
        <v>-1.407682021245452E-2</v>
      </c>
      <c r="DI21" s="11">
        <v>-3.4407478280179482E-2</v>
      </c>
      <c r="DJ21" s="11">
        <v>3.7911313190560098E-2</v>
      </c>
      <c r="DK21" s="11">
        <v>-0.13950270681890459</v>
      </c>
      <c r="DL21" s="11">
        <v>-9.8364938839376553E-2</v>
      </c>
      <c r="DM21" s="11">
        <v>2.9834119642240212E-2</v>
      </c>
      <c r="DN21" s="11">
        <v>-7.1197612493993062E-2</v>
      </c>
      <c r="DO21" s="11">
        <v>-8.2445792330679737E-2</v>
      </c>
      <c r="DP21" s="11">
        <v>-2.426615509356601E-2</v>
      </c>
      <c r="DQ21" s="11">
        <v>7.0422698808183373E-2</v>
      </c>
      <c r="DR21" s="11">
        <v>0.1163975142928509</v>
      </c>
      <c r="DS21" s="11">
        <v>0.20083947383729561</v>
      </c>
      <c r="DT21" s="11">
        <v>0.17057080268546079</v>
      </c>
      <c r="DU21" s="11">
        <v>2.8090293996378659E-2</v>
      </c>
      <c r="DV21" s="11">
        <v>-0.140275976869878</v>
      </c>
      <c r="DW21" s="11">
        <v>-0.12824786866412111</v>
      </c>
      <c r="DX21" s="11">
        <v>0.18596621403118341</v>
      </c>
      <c r="DY21" s="11">
        <v>-2.459599553801604E-2</v>
      </c>
      <c r="DZ21" s="11">
        <v>5.2844066560288887E-2</v>
      </c>
      <c r="EA21" s="11">
        <v>-3.5066457185236648E-2</v>
      </c>
      <c r="EB21" s="11">
        <v>2.6302193998533951E-2</v>
      </c>
      <c r="EC21" s="11">
        <v>-0.14009401795222581</v>
      </c>
      <c r="ED21" s="11">
        <v>0.12915520333718639</v>
      </c>
      <c r="EE21" s="11">
        <v>-1.095594540687448E-2</v>
      </c>
      <c r="EF21" s="11">
        <v>1.8771264042119089E-2</v>
      </c>
      <c r="EG21" s="8">
        <f t="shared" si="6"/>
        <v>-8.3802186874757552E-3</v>
      </c>
      <c r="EH21" s="18">
        <f t="shared" si="7"/>
        <v>0.12568812047050215</v>
      </c>
      <c r="EI21" s="8">
        <f t="shared" si="8"/>
        <v>-6.6674707650215159E-2</v>
      </c>
    </row>
    <row r="22" spans="1:139">
      <c r="A22">
        <v>321</v>
      </c>
      <c r="B22">
        <v>3</v>
      </c>
      <c r="C22" s="11">
        <v>0.20528266666666661</v>
      </c>
      <c r="D22" s="11">
        <v>0.1424293333333333</v>
      </c>
      <c r="E22" s="11">
        <v>-1.735666666666667E-2</v>
      </c>
      <c r="F22" s="11">
        <v>-0.13986799999999999</v>
      </c>
      <c r="G22" s="11">
        <v>0.23294533333333339</v>
      </c>
      <c r="H22" s="11">
        <v>0.124178</v>
      </c>
      <c r="I22" s="11">
        <v>1.7439333333333331E-2</v>
      </c>
      <c r="J22" s="11">
        <v>-0.104252</v>
      </c>
      <c r="K22" s="11">
        <v>2.865666666666666E-2</v>
      </c>
      <c r="L22" s="11">
        <v>1.427200000000001E-2</v>
      </c>
      <c r="M22" s="11">
        <v>-7.4100058770572547E-2</v>
      </c>
      <c r="N22" s="11">
        <v>-9.8030860807632764E-2</v>
      </c>
      <c r="O22" s="11">
        <v>-6.7158783113674958E-3</v>
      </c>
      <c r="P22" s="11">
        <v>9.0630333333333327E-2</v>
      </c>
      <c r="Q22" s="11">
        <v>0.12727466666666659</v>
      </c>
      <c r="R22" s="11">
        <v>6.6697666666666655E-2</v>
      </c>
      <c r="S22" s="11">
        <v>-3.9232333333333327E-2</v>
      </c>
      <c r="T22" s="11">
        <v>-0.104848</v>
      </c>
      <c r="U22" s="11">
        <v>-0.15202918277454339</v>
      </c>
      <c r="V22" s="11">
        <v>-5.7024134634289667E-2</v>
      </c>
      <c r="W22" s="11">
        <v>-0.34619348529924859</v>
      </c>
      <c r="X22" s="11">
        <v>0.25720199999999999</v>
      </c>
      <c r="Y22" s="11">
        <v>-1.5732208413521059E-2</v>
      </c>
      <c r="Z22" s="11">
        <v>-7.5548269145846045E-2</v>
      </c>
      <c r="AA22" s="11">
        <v>0.1181226666666667</v>
      </c>
      <c r="AB22" s="11">
        <v>-0.13443621271332551</v>
      </c>
      <c r="AC22" s="11">
        <v>-7.4420380840427389E-2</v>
      </c>
      <c r="AD22" s="11">
        <v>1.3571333333333329E-2</v>
      </c>
      <c r="AE22" s="11">
        <v>0.22862111160637419</v>
      </c>
      <c r="AF22" s="11">
        <v>-4.718231615802413E-2</v>
      </c>
      <c r="AG22" s="11">
        <v>-5.2841540175733892E-2</v>
      </c>
      <c r="AH22" s="11">
        <v>0.10586595942047269</v>
      </c>
      <c r="AI22" s="11">
        <v>-9.4141260657386039E-2</v>
      </c>
      <c r="AJ22" s="11">
        <v>3.1699849326408271E-2</v>
      </c>
      <c r="AK22" s="11">
        <v>-0.1012885607403957</v>
      </c>
      <c r="AL22" s="11">
        <v>-4.0340966806900407E-2</v>
      </c>
      <c r="AM22" s="11">
        <v>-8.4088903467703563E-2</v>
      </c>
      <c r="AN22" s="11">
        <v>-0.1111328096635593</v>
      </c>
      <c r="AO22" s="11">
        <v>-7.4717373393705613E-2</v>
      </c>
      <c r="AP22" s="11">
        <v>6.2536353887992696E-2</v>
      </c>
      <c r="AQ22" s="11">
        <v>-7.9426117478593142E-2</v>
      </c>
      <c r="AR22" s="11">
        <v>-0.25053267815838243</v>
      </c>
      <c r="AS22" s="11">
        <v>-8.2810438898549957E-2</v>
      </c>
      <c r="AT22" s="11">
        <v>2.513636184002634E-2</v>
      </c>
      <c r="AU22" s="11">
        <v>-3.3500451910869901E-2</v>
      </c>
      <c r="AV22" s="11">
        <v>5.9813176675879959E-2</v>
      </c>
      <c r="AW22" s="11">
        <v>3.014938920700894E-2</v>
      </c>
      <c r="AX22" s="11">
        <v>-0.17376339998002421</v>
      </c>
      <c r="AY22" s="11">
        <v>-7.1733385334230598E-2</v>
      </c>
      <c r="AZ22" s="11">
        <v>0.1549037783211521</v>
      </c>
      <c r="BA22" s="11">
        <v>4.9774666666666662E-2</v>
      </c>
      <c r="BB22" s="11">
        <v>-0.30192994454042299</v>
      </c>
      <c r="BC22" s="11">
        <v>0.13083693812295519</v>
      </c>
      <c r="BD22" s="11">
        <v>2.2174181465828179E-2</v>
      </c>
      <c r="BE22" s="11">
        <v>-2.221618339448047E-2</v>
      </c>
      <c r="BF22" s="11">
        <v>-1.363881733831962E-2</v>
      </c>
      <c r="BG22" s="11">
        <v>4.1231469152780448E-2</v>
      </c>
      <c r="BH22" s="11">
        <v>-0.12770700939641619</v>
      </c>
      <c r="BI22" s="11">
        <v>8.731805917717568E-2</v>
      </c>
      <c r="BJ22" s="11">
        <v>1.023397544910358E-2</v>
      </c>
      <c r="BK22" s="11">
        <v>-2.085475532976656E-2</v>
      </c>
      <c r="BL22" s="11">
        <v>1.7864000000000019E-2</v>
      </c>
      <c r="BM22" s="11">
        <v>-0.19179703945604709</v>
      </c>
      <c r="BN22" s="11">
        <v>1.5327552023042271E-2</v>
      </c>
      <c r="BO22" s="11">
        <v>5.0484429112750417E-2</v>
      </c>
      <c r="BP22" s="11">
        <v>-7.4835550155106345E-2</v>
      </c>
      <c r="BQ22" s="11">
        <v>-2.7830097398312589E-2</v>
      </c>
      <c r="BR22" s="11">
        <v>-2.081360946645289E-2</v>
      </c>
      <c r="BS22" s="11">
        <v>-9.7047589704545023E-2</v>
      </c>
      <c r="BT22" s="11">
        <v>-8.8724333333333336E-2</v>
      </c>
      <c r="BU22" s="11">
        <v>-0.104351</v>
      </c>
      <c r="BV22" s="11">
        <v>6.806666666666697E-4</v>
      </c>
      <c r="BW22" s="11">
        <v>0.42771533333333328</v>
      </c>
      <c r="BX22" s="11">
        <v>-3.6637445691972373E-2</v>
      </c>
      <c r="BY22" s="11">
        <v>3.2350333333333328E-2</v>
      </c>
      <c r="BZ22" s="11">
        <v>0.27962999999999999</v>
      </c>
      <c r="CA22" s="11">
        <v>0.14408033333333331</v>
      </c>
      <c r="CB22" s="11">
        <v>-6.3604269539688812E-2</v>
      </c>
      <c r="CC22" s="11">
        <v>-2.243146575298537E-2</v>
      </c>
      <c r="CD22" s="11">
        <v>-0.31577166020284902</v>
      </c>
      <c r="CE22" s="11">
        <v>-0.13394243105119161</v>
      </c>
      <c r="CF22" s="11">
        <v>-0.15557066666666661</v>
      </c>
      <c r="CG22" s="11">
        <v>-0.207085332633513</v>
      </c>
      <c r="CH22" s="11">
        <v>-0.1536062848095433</v>
      </c>
      <c r="CI22" s="11">
        <v>-6.4617322810374245E-2</v>
      </c>
      <c r="CJ22" s="11">
        <v>-0.12632535927858729</v>
      </c>
      <c r="CK22" s="11">
        <v>0.1109235402867822</v>
      </c>
      <c r="CL22" s="11">
        <v>9.499701202354538E-2</v>
      </c>
      <c r="CM22" s="11">
        <v>-0.32043200365782532</v>
      </c>
      <c r="CN22" s="11">
        <v>8.5467718209073992E-3</v>
      </c>
      <c r="CO22" s="11">
        <v>0.64995646824915565</v>
      </c>
      <c r="CP22" s="11">
        <v>-0.25940855696940252</v>
      </c>
      <c r="CQ22" s="11">
        <v>1.233377932566462E-2</v>
      </c>
      <c r="CR22" s="11">
        <v>-0.16185042130139199</v>
      </c>
      <c r="CS22" s="11">
        <v>1.5202183521422779E-2</v>
      </c>
      <c r="CT22" s="11">
        <v>-5.8232521355985362E-2</v>
      </c>
      <c r="CU22" s="11">
        <v>0.1202317119640979</v>
      </c>
      <c r="CV22" s="11">
        <v>-0.1122336952070542</v>
      </c>
      <c r="CW22" s="11">
        <v>-3.6451253326165209E-2</v>
      </c>
      <c r="CX22" s="11">
        <v>-3.749593267848913E-3</v>
      </c>
      <c r="CY22" s="11">
        <v>7.9888257735091419E-3</v>
      </c>
      <c r="CZ22" s="11">
        <v>-0.26292048459923911</v>
      </c>
      <c r="DA22" s="11">
        <v>3.9917538819241108E-3</v>
      </c>
      <c r="DB22" s="11">
        <v>5.8383506828492103E-2</v>
      </c>
      <c r="DC22" s="11">
        <v>2.0724784444157599E-2</v>
      </c>
      <c r="DD22" s="11">
        <v>-0.1478941025728035</v>
      </c>
      <c r="DE22" s="11">
        <v>5.4917579819501461E-3</v>
      </c>
      <c r="DF22" s="11">
        <v>-1.7031775273553061E-2</v>
      </c>
      <c r="DG22" s="11">
        <v>-3.1985043080887662E-2</v>
      </c>
      <c r="DH22" s="11">
        <v>-1.3945346183503959E-2</v>
      </c>
      <c r="DI22" s="11">
        <v>-6.356099926224941E-2</v>
      </c>
      <c r="DJ22" s="11">
        <v>5.0246005833095859E-2</v>
      </c>
      <c r="DK22" s="11">
        <v>-0.1791347138228401</v>
      </c>
      <c r="DL22" s="11">
        <v>-0.1249416477373831</v>
      </c>
      <c r="DM22" s="11">
        <v>6.3466051038033502E-2</v>
      </c>
      <c r="DN22" s="11">
        <v>-4.6763328204007498E-2</v>
      </c>
      <c r="DO22" s="11">
        <v>-0.12343750131163821</v>
      </c>
      <c r="DP22" s="11">
        <v>-1.022725785290381E-2</v>
      </c>
      <c r="DQ22" s="11">
        <v>0.16540416654463991</v>
      </c>
      <c r="DR22" s="11">
        <v>0.129630713103349</v>
      </c>
      <c r="DS22" s="11">
        <v>0.19705092156235929</v>
      </c>
      <c r="DT22" s="11">
        <v>5.8357008996765318E-2</v>
      </c>
      <c r="DU22" s="11">
        <v>5.7495390836838987E-2</v>
      </c>
      <c r="DV22" s="11">
        <v>-0.12570511767817799</v>
      </c>
      <c r="DW22" s="11">
        <v>-7.838972370699715E-2</v>
      </c>
      <c r="DX22" s="11">
        <v>0.22244260844829469</v>
      </c>
      <c r="DY22" s="11">
        <v>8.1471166255399959E-3</v>
      </c>
      <c r="DZ22" s="11">
        <v>0.10374798094555759</v>
      </c>
      <c r="EA22" s="11">
        <v>-3.4191242409873077E-2</v>
      </c>
      <c r="EB22" s="11">
        <v>0.12976595030606911</v>
      </c>
      <c r="EC22" s="11">
        <v>2.8428811778050931E-2</v>
      </c>
      <c r="ED22" s="11">
        <v>0.18368198650415579</v>
      </c>
      <c r="EE22" s="11">
        <v>-3.5899357196068807E-2</v>
      </c>
      <c r="EF22" s="11">
        <v>3.4790246372172352E-2</v>
      </c>
      <c r="EG22" s="8">
        <f t="shared" si="6"/>
        <v>-1.0212348920480544E-2</v>
      </c>
      <c r="EH22" s="18">
        <f t="shared" si="7"/>
        <v>0.13779206806861399</v>
      </c>
      <c r="EI22" s="8">
        <f t="shared" si="8"/>
        <v>-7.4114200212128847E-2</v>
      </c>
    </row>
    <row r="23" spans="1:139">
      <c r="A23">
        <v>482</v>
      </c>
      <c r="B23">
        <v>2</v>
      </c>
      <c r="C23" s="11">
        <v>0.28298899999999988</v>
      </c>
      <c r="D23" s="11">
        <v>0.25409399999999999</v>
      </c>
      <c r="E23" s="11">
        <v>0.13300500000000001</v>
      </c>
      <c r="F23" s="11">
        <v>-3.7419999999999949E-3</v>
      </c>
      <c r="G23" s="11">
        <v>0.36163200000000001</v>
      </c>
      <c r="H23" s="11">
        <v>-1.81885E-2</v>
      </c>
      <c r="I23" s="11">
        <v>-3.6385500000000001E-2</v>
      </c>
      <c r="J23" s="11">
        <v>-0.11487550000000001</v>
      </c>
      <c r="K23" s="11">
        <v>-5.9918500000000013E-2</v>
      </c>
      <c r="L23" s="11">
        <v>5.0770999999999997E-2</v>
      </c>
      <c r="M23" s="11">
        <v>-0.2584499163586424</v>
      </c>
      <c r="N23" s="11">
        <v>-0.12680001369232849</v>
      </c>
      <c r="O23" s="11">
        <v>-1.9407711266769139E-2</v>
      </c>
      <c r="P23" s="11">
        <v>5.4681500000000001E-2</v>
      </c>
      <c r="Q23" s="11">
        <v>0.29117749999999998</v>
      </c>
      <c r="R23" s="11">
        <v>6.2820000000000001E-2</v>
      </c>
      <c r="S23" s="11">
        <v>-7.257050000000001E-2</v>
      </c>
      <c r="T23" s="11">
        <v>-8.4677000000000002E-2</v>
      </c>
      <c r="U23" s="11">
        <v>-0.21298177286802589</v>
      </c>
      <c r="V23" s="11">
        <v>6.3357010979066042E-2</v>
      </c>
      <c r="W23" s="11">
        <v>-0.50391933118531074</v>
      </c>
      <c r="X23" s="11">
        <v>0.19455600000000001</v>
      </c>
      <c r="Y23" s="11">
        <v>-1.4659801530490259E-2</v>
      </c>
      <c r="Z23" s="11">
        <v>-3.3032515443875303E-2</v>
      </c>
      <c r="AA23" s="11">
        <v>0.15165200000000001</v>
      </c>
      <c r="AB23" s="11">
        <v>-6.4039779876783498E-2</v>
      </c>
      <c r="AC23" s="11">
        <v>-7.6346338146838E-2</v>
      </c>
      <c r="AD23" s="11">
        <v>7.1626999999999996E-2</v>
      </c>
      <c r="AE23" s="11">
        <v>0.33234424861252548</v>
      </c>
      <c r="AF23" s="11">
        <v>-6.6906260089751285E-2</v>
      </c>
      <c r="AG23" s="11">
        <v>-9.1873657646360199E-2</v>
      </c>
      <c r="AH23" s="11">
        <v>8.417158452318324E-2</v>
      </c>
      <c r="AI23" s="11">
        <v>-2.3228266622481949E-2</v>
      </c>
      <c r="AJ23" s="11">
        <v>-5.6431378481542303E-3</v>
      </c>
      <c r="AK23" s="11">
        <v>-0.11411109934719101</v>
      </c>
      <c r="AL23" s="11">
        <v>-0.1314317131925356</v>
      </c>
      <c r="AM23" s="11">
        <v>-7.769489004865255E-3</v>
      </c>
      <c r="AN23" s="11">
        <v>-0.24231469935730071</v>
      </c>
      <c r="AO23" s="11">
        <v>5.3369521914240978E-3</v>
      </c>
      <c r="AP23" s="11">
        <v>-3.1210993523056942E-3</v>
      </c>
      <c r="AQ23" s="11">
        <v>-8.9424992259610633E-2</v>
      </c>
      <c r="AR23" s="11">
        <v>-0.33674404384506768</v>
      </c>
      <c r="AS23" s="11">
        <v>1.470688799737762E-2</v>
      </c>
      <c r="AT23" s="11">
        <v>4.1427721813649641E-2</v>
      </c>
      <c r="AU23" s="11">
        <v>-3.3145526128504327E-2</v>
      </c>
      <c r="AV23" s="11">
        <v>2.7638994197374041E-2</v>
      </c>
      <c r="AW23" s="11">
        <v>5.202690983840276E-2</v>
      </c>
      <c r="AX23" s="11">
        <v>-6.9838153827044058E-2</v>
      </c>
      <c r="AY23" s="11">
        <v>-0.17023398084058211</v>
      </c>
      <c r="AZ23" s="11">
        <v>6.3753617401060211E-2</v>
      </c>
      <c r="BA23" s="11">
        <v>5.3997999999999997E-2</v>
      </c>
      <c r="BB23" s="11">
        <v>5.1049484102885123E-2</v>
      </c>
      <c r="BC23" s="11">
        <v>0.30082824917306578</v>
      </c>
      <c r="BD23" s="11">
        <v>-9.4830881346450333E-2</v>
      </c>
      <c r="BE23" s="11">
        <v>7.1430762397296579E-2</v>
      </c>
      <c r="BF23" s="11">
        <v>2.284699060468626E-2</v>
      </c>
      <c r="BG23" s="11">
        <v>-3.8322827419145812E-2</v>
      </c>
      <c r="BH23" s="11">
        <v>-6.3365195703238231E-2</v>
      </c>
      <c r="BI23" s="11">
        <v>0.13821955522644711</v>
      </c>
      <c r="BJ23" s="11">
        <v>-5.8020213544642429E-2</v>
      </c>
      <c r="BK23" s="11">
        <v>-5.0098634745350491E-3</v>
      </c>
      <c r="BL23" s="11">
        <v>-5.3431999999999993E-2</v>
      </c>
      <c r="BM23" s="11">
        <v>-0.18918068678715391</v>
      </c>
      <c r="BN23" s="11">
        <v>6.9471707588132049E-3</v>
      </c>
      <c r="BO23" s="11">
        <v>-3.6524941745999073E-2</v>
      </c>
      <c r="BP23" s="11">
        <v>-9.8266399211456468E-2</v>
      </c>
      <c r="BQ23" s="11">
        <v>-7.2047901435266168E-2</v>
      </c>
      <c r="BR23" s="11">
        <v>-1.7844321463962809E-2</v>
      </c>
      <c r="BS23" s="11">
        <v>-0.2205670944023907</v>
      </c>
      <c r="BT23" s="11">
        <v>-0.2181855</v>
      </c>
      <c r="BU23" s="11">
        <v>-0.1056865</v>
      </c>
      <c r="BV23" s="11">
        <v>-1.702049999999999E-2</v>
      </c>
      <c r="BW23" s="11">
        <v>0.60099800000000003</v>
      </c>
      <c r="BX23" s="11">
        <v>8.2131197272531514E-3</v>
      </c>
      <c r="BY23" s="11">
        <v>3.9935999999999972E-2</v>
      </c>
      <c r="BZ23" s="11">
        <v>0.35239900000000002</v>
      </c>
      <c r="CA23" s="11">
        <v>0.20637549999999999</v>
      </c>
      <c r="CB23" s="11">
        <v>4.1664988378588452E-2</v>
      </c>
      <c r="CC23" s="11">
        <v>-8.3555909038169007E-2</v>
      </c>
      <c r="CD23" s="11">
        <v>-0.64074657751655262</v>
      </c>
      <c r="CE23" s="11">
        <v>-0.2045907215024447</v>
      </c>
      <c r="CF23" s="11">
        <v>-0.1834305</v>
      </c>
      <c r="CG23" s="11">
        <v>-0.21663724162720299</v>
      </c>
      <c r="CH23" s="11">
        <v>-0.16212257431707061</v>
      </c>
      <c r="CI23" s="11">
        <v>-0.13522219665147919</v>
      </c>
      <c r="CJ23" s="11">
        <v>-0.15651589641790081</v>
      </c>
      <c r="CK23" s="11">
        <v>7.1856390536544607E-2</v>
      </c>
      <c r="CL23" s="11">
        <v>0.1640494591789142</v>
      </c>
      <c r="CM23" s="11">
        <v>-0.3867329465229094</v>
      </c>
      <c r="CN23" s="11">
        <v>5.3005178369803271E-2</v>
      </c>
      <c r="CO23" s="11">
        <v>0.90892328736561978</v>
      </c>
      <c r="CP23" s="11">
        <v>-0.31136074316275669</v>
      </c>
      <c r="CQ23" s="11">
        <v>9.1837444998058917E-3</v>
      </c>
      <c r="CR23" s="11">
        <v>-1.159780382107861E-2</v>
      </c>
      <c r="CS23" s="11">
        <v>3.697421899127859E-2</v>
      </c>
      <c r="CT23" s="11">
        <v>-4.5662541711253862E-2</v>
      </c>
      <c r="CU23" s="11">
        <v>2.1056595713287041E-2</v>
      </c>
      <c r="CV23" s="11">
        <v>2.2245137488805671E-2</v>
      </c>
      <c r="CW23" s="11">
        <v>-0.1009013318024186</v>
      </c>
      <c r="CX23" s="11">
        <v>8.8716994096526336E-2</v>
      </c>
      <c r="CY23" s="11">
        <v>-2.20465307533785E-2</v>
      </c>
      <c r="CZ23" s="11">
        <v>-0.18199879385735121</v>
      </c>
      <c r="DA23" s="11">
        <v>3.0982136225910391E-2</v>
      </c>
      <c r="DB23" s="11">
        <v>1.5955156866996431E-2</v>
      </c>
      <c r="DC23" s="11">
        <v>-0.1191904860704142</v>
      </c>
      <c r="DD23" s="11">
        <v>-0.21341104440699671</v>
      </c>
      <c r="DE23" s="11">
        <v>9.3952259516448811E-3</v>
      </c>
      <c r="DF23" s="11">
        <v>-6.194212704490535E-2</v>
      </c>
      <c r="DG23" s="11">
        <v>-3.8270011874717E-2</v>
      </c>
      <c r="DH23" s="11">
        <v>-5.5413447308742453E-2</v>
      </c>
      <c r="DI23" s="11">
        <v>-5.3479596916020812E-2</v>
      </c>
      <c r="DJ23" s="11">
        <v>8.7058008172347823E-2</v>
      </c>
      <c r="DK23" s="11">
        <v>-0.27783321655884308</v>
      </c>
      <c r="DL23" s="11">
        <v>-0.21610105954027359</v>
      </c>
      <c r="DM23" s="11">
        <v>1.949730491936592E-2</v>
      </c>
      <c r="DN23" s="11">
        <v>-6.4971960439702253E-3</v>
      </c>
      <c r="DO23" s="11">
        <v>-0.16409130373383399</v>
      </c>
      <c r="DP23" s="11">
        <v>-4.7088232655722921E-2</v>
      </c>
      <c r="DQ23" s="11">
        <v>0.24594610755878629</v>
      </c>
      <c r="DR23" s="11">
        <v>0.1239173545292539</v>
      </c>
      <c r="DS23" s="11">
        <v>0.28809657691904628</v>
      </c>
      <c r="DT23" s="11">
        <v>0.12395522319619889</v>
      </c>
      <c r="DU23" s="11">
        <v>-3.4287185254997438E-2</v>
      </c>
      <c r="DV23" s="11">
        <v>-0.27627160832943959</v>
      </c>
      <c r="DW23" s="11">
        <v>-0.14122823258283859</v>
      </c>
      <c r="DX23" s="11">
        <v>0.31349320637896622</v>
      </c>
      <c r="DY23" s="11">
        <v>-0.16987682865225409</v>
      </c>
      <c r="DZ23" s="11">
        <v>0.10287301862651251</v>
      </c>
      <c r="EA23" s="11">
        <v>-9.3362079468968795E-2</v>
      </c>
      <c r="EB23" s="11">
        <v>0.24428465812392219</v>
      </c>
      <c r="EC23" s="11">
        <v>0.1232049429556647</v>
      </c>
      <c r="ED23" s="11">
        <v>0.194323278521919</v>
      </c>
      <c r="EE23" s="11">
        <v>-6.9545558094986554E-2</v>
      </c>
      <c r="EF23" s="11">
        <v>4.7782278591659677E-2</v>
      </c>
      <c r="EG23" s="8">
        <f t="shared" si="6"/>
        <v>-1.0594372520918455E-2</v>
      </c>
      <c r="EH23" s="18">
        <f t="shared" si="7"/>
        <v>0.18657752043059456</v>
      </c>
      <c r="EI23" s="8">
        <f t="shared" si="8"/>
        <v>-5.6782684733231212E-2</v>
      </c>
    </row>
    <row r="24" spans="1:139">
      <c r="A24">
        <v>964</v>
      </c>
      <c r="B24">
        <v>1</v>
      </c>
      <c r="C24" s="11">
        <v>9.9113000000000007E-2</v>
      </c>
      <c r="D24" s="11">
        <v>0.10061</v>
      </c>
      <c r="E24" s="11">
        <v>0.28451199999999999</v>
      </c>
      <c r="F24" s="11">
        <v>7.5326000000000004E-2</v>
      </c>
      <c r="G24" s="11">
        <v>0.22960700000000001</v>
      </c>
      <c r="H24" s="11">
        <v>3.5856000000000013E-2</v>
      </c>
      <c r="I24" s="11">
        <v>1.6930000000000001E-2</v>
      </c>
      <c r="J24" s="11">
        <v>-0.11546099999999999</v>
      </c>
      <c r="K24" s="11">
        <v>5.3733000000000003E-2</v>
      </c>
      <c r="L24" s="11">
        <v>9.3800000000000008E-2</v>
      </c>
      <c r="M24" s="11">
        <v>-0.14681933889950849</v>
      </c>
      <c r="N24" s="11">
        <v>-0.1051917107958454</v>
      </c>
      <c r="O24" s="11">
        <v>3.6648790739543732E-2</v>
      </c>
      <c r="P24" s="11">
        <v>1.736000000000001E-3</v>
      </c>
      <c r="Q24" s="11">
        <v>-2.8400000000000018E-3</v>
      </c>
      <c r="R24" s="11">
        <v>-2.7827000000000001E-2</v>
      </c>
      <c r="S24" s="11">
        <v>-1.1050000000000001E-2</v>
      </c>
      <c r="T24" s="11">
        <v>-0.28782000000000002</v>
      </c>
      <c r="U24" s="11">
        <v>-0.39296188484865302</v>
      </c>
      <c r="V24" s="11">
        <v>0.11654031671685081</v>
      </c>
      <c r="W24" s="11">
        <v>-0.64293352860565944</v>
      </c>
      <c r="X24" s="11">
        <v>-8.9899999999999702E-4</v>
      </c>
      <c r="Y24" s="11">
        <v>-9.4770149264170878E-3</v>
      </c>
      <c r="Z24" s="11">
        <v>-0.10584232727880701</v>
      </c>
      <c r="AA24" s="11">
        <v>9.4362000000000001E-2</v>
      </c>
      <c r="AB24" s="11">
        <v>-0.1953396226752438</v>
      </c>
      <c r="AC24" s="11">
        <v>-0.125380380775965</v>
      </c>
      <c r="AD24" s="11">
        <v>0.101174</v>
      </c>
      <c r="AE24" s="11">
        <v>0.54125812124628125</v>
      </c>
      <c r="AF24" s="11">
        <v>-2.2522010034790499E-2</v>
      </c>
      <c r="AG24" s="11">
        <v>-0.13873571762663761</v>
      </c>
      <c r="AH24" s="11">
        <v>5.6697360067789589E-2</v>
      </c>
      <c r="AI24" s="11">
        <v>8.8083310984272967E-3</v>
      </c>
      <c r="AJ24" s="11">
        <v>8.089124399937539E-2</v>
      </c>
      <c r="AK24" s="11">
        <v>-8.4883953068192297E-2</v>
      </c>
      <c r="AL24" s="11">
        <v>5.4676935490635382E-2</v>
      </c>
      <c r="AM24" s="11">
        <v>1.89192814205267E-2</v>
      </c>
      <c r="AN24" s="11">
        <v>-0.22118946514543131</v>
      </c>
      <c r="AO24" s="11">
        <v>-6.6090111828990022E-2</v>
      </c>
      <c r="AP24" s="11">
        <v>2.28517154890964E-2</v>
      </c>
      <c r="AQ24" s="11">
        <v>-4.7076972834245667E-2</v>
      </c>
      <c r="AR24" s="11">
        <v>-9.6392566076069844E-3</v>
      </c>
      <c r="AS24" s="11">
        <v>2.7956077266590069E-2</v>
      </c>
      <c r="AT24" s="11">
        <v>-3.045920748470865E-2</v>
      </c>
      <c r="AU24" s="11">
        <v>-4.4095319865224331E-2</v>
      </c>
      <c r="AV24" s="11">
        <v>8.7151952186895892E-2</v>
      </c>
      <c r="AW24" s="11">
        <v>-4.9875415110391882E-3</v>
      </c>
      <c r="AX24" s="11">
        <v>-2.8306186588424521E-2</v>
      </c>
      <c r="AY24" s="11">
        <v>-0.16812729388488939</v>
      </c>
      <c r="AZ24" s="11">
        <v>-3.7867073599665187E-2</v>
      </c>
      <c r="BA24" s="11">
        <v>5.0491000000000001E-2</v>
      </c>
      <c r="BB24" s="11">
        <v>8.6159033395334803E-2</v>
      </c>
      <c r="BC24" s="11">
        <v>0.8032160130443774</v>
      </c>
      <c r="BD24" s="11">
        <v>-0.18559521924643521</v>
      </c>
      <c r="BE24" s="11">
        <v>4.606435403168687E-2</v>
      </c>
      <c r="BF24" s="11">
        <v>-8.765133605409231E-2</v>
      </c>
      <c r="BG24" s="11">
        <v>9.0984227707435611E-2</v>
      </c>
      <c r="BH24" s="11">
        <v>-0.14767356525171971</v>
      </c>
      <c r="BI24" s="11">
        <v>-2.8151632148178202E-2</v>
      </c>
      <c r="BJ24" s="11">
        <v>6.0567254322459393E-2</v>
      </c>
      <c r="BK24" s="11">
        <v>-1.00197269490701E-2</v>
      </c>
      <c r="BL24" s="11">
        <v>-3.0898999999999999E-2</v>
      </c>
      <c r="BM24" s="11">
        <v>-1.1473019117737151E-2</v>
      </c>
      <c r="BN24" s="11">
        <v>-6.849341845574783E-3</v>
      </c>
      <c r="BO24" s="11">
        <v>0.16110969109564191</v>
      </c>
      <c r="BP24" s="11">
        <v>-0.1233511811293219</v>
      </c>
      <c r="BQ24" s="11">
        <v>6.4169633330115036E-2</v>
      </c>
      <c r="BR24" s="11">
        <v>-4.2356223303417713E-2</v>
      </c>
      <c r="BS24" s="11">
        <v>-0.1216210365296066</v>
      </c>
      <c r="BT24" s="11">
        <v>-0.27671800000000002</v>
      </c>
      <c r="BU24" s="11">
        <v>-8.7489999999999981E-3</v>
      </c>
      <c r="BV24" s="11">
        <v>-0.20330699999999999</v>
      </c>
      <c r="BW24" s="11">
        <v>1.1090150000000001</v>
      </c>
      <c r="BX24" s="11">
        <v>0.1329600557104578</v>
      </c>
      <c r="BY24" s="11">
        <v>-0.29033999999999999</v>
      </c>
      <c r="BZ24" s="11">
        <v>0.81395799999999996</v>
      </c>
      <c r="CA24" s="11">
        <v>0.10002800000000001</v>
      </c>
      <c r="CB24" s="11">
        <v>-6.4127083156042083E-2</v>
      </c>
      <c r="CC24" s="11">
        <v>-0.2198311932012271</v>
      </c>
      <c r="CD24" s="11">
        <v>-0.69133196858938295</v>
      </c>
      <c r="CE24" s="11">
        <v>-0.17930378386651619</v>
      </c>
      <c r="CF24" s="11">
        <v>-0.16513</v>
      </c>
      <c r="CG24" s="11">
        <v>-0.51996896607392207</v>
      </c>
      <c r="CH24" s="11">
        <v>-0.2129728840293183</v>
      </c>
      <c r="CI24" s="11">
        <v>-0.29359964364968388</v>
      </c>
      <c r="CJ24" s="11">
        <v>-0.3001868935902553</v>
      </c>
      <c r="CK24" s="11">
        <v>0.32305926532838408</v>
      </c>
      <c r="CL24" s="11">
        <v>1.5683747889366519E-2</v>
      </c>
      <c r="CM24" s="11">
        <v>-0.54958710995910021</v>
      </c>
      <c r="CN24" s="11">
        <v>0.1077387664572132</v>
      </c>
      <c r="CO24" s="11">
        <v>0.77665321833623113</v>
      </c>
      <c r="CP24" s="11">
        <v>-0.1603442048148421</v>
      </c>
      <c r="CQ24" s="11">
        <v>-0.1146871738632968</v>
      </c>
      <c r="CR24" s="11">
        <v>-6.1084838239556717E-2</v>
      </c>
      <c r="CS24" s="11">
        <v>8.5895232746805786E-2</v>
      </c>
      <c r="CT24" s="11">
        <v>-9.6419008147395818E-2</v>
      </c>
      <c r="CU24" s="11">
        <v>7.2751347656710041E-2</v>
      </c>
      <c r="CV24" s="11">
        <v>-1.5064047539375311E-2</v>
      </c>
      <c r="CW24" s="11">
        <v>-0.17511716607200739</v>
      </c>
      <c r="CX24" s="11">
        <v>-5.5207193708687041E-2</v>
      </c>
      <c r="CY24" s="11">
        <v>8.0066904636818925E-2</v>
      </c>
      <c r="CZ24" s="11">
        <v>-0.11220662844456721</v>
      </c>
      <c r="DA24" s="11">
        <v>-2.451120416275485E-2</v>
      </c>
      <c r="DB24" s="11">
        <v>0.19546067251265431</v>
      </c>
      <c r="DC24" s="11">
        <v>-0.19117575817053481</v>
      </c>
      <c r="DD24" s="11">
        <v>-0.15338138073910601</v>
      </c>
      <c r="DE24" s="11">
        <v>0.17606275750953501</v>
      </c>
      <c r="DF24" s="11">
        <v>0.1046649760205613</v>
      </c>
      <c r="DG24" s="11">
        <v>-5.9105834124344087E-2</v>
      </c>
      <c r="DH24" s="11">
        <v>-8.4652506536621926E-4</v>
      </c>
      <c r="DI24" s="11">
        <v>-0.1418754589382695</v>
      </c>
      <c r="DJ24" s="11">
        <v>0.13248861050923971</v>
      </c>
      <c r="DK24" s="11">
        <v>-0.33950921063044381</v>
      </c>
      <c r="DL24" s="11">
        <v>-0.21310442628588119</v>
      </c>
      <c r="DM24" s="11">
        <v>0.14143952722687489</v>
      </c>
      <c r="DN24" s="11">
        <v>-0.23333457077469619</v>
      </c>
      <c r="DO24" s="11">
        <v>-0.18544080263268789</v>
      </c>
      <c r="DP24" s="11">
        <v>-0.1143734254860139</v>
      </c>
      <c r="DQ24" s="11">
        <v>0.35907130209664839</v>
      </c>
      <c r="DR24" s="11">
        <v>0.34727416965402652</v>
      </c>
      <c r="DS24" s="11">
        <v>0.21626154103284559</v>
      </c>
      <c r="DT24" s="11">
        <v>3.8362866170129663E-2</v>
      </c>
      <c r="DU24" s="11">
        <v>4.7638587273757492E-2</v>
      </c>
      <c r="DV24" s="11">
        <v>-0.1582246986438143</v>
      </c>
      <c r="DW24" s="11">
        <v>-0.10885708989133031</v>
      </c>
      <c r="DX24" s="11">
        <v>0.31159312779250392</v>
      </c>
      <c r="DY24" s="11">
        <v>-0.34380428679820851</v>
      </c>
      <c r="DZ24" s="11">
        <v>5.0469182403116652E-2</v>
      </c>
      <c r="EA24" s="11">
        <v>-2.3171501846674901E-2</v>
      </c>
      <c r="EB24" s="11">
        <v>0.58969791699909047</v>
      </c>
      <c r="EC24" s="11">
        <v>0.25665137996352638</v>
      </c>
      <c r="ED24" s="11">
        <v>8.4540092567264802E-2</v>
      </c>
      <c r="EE24" s="11">
        <v>3.5663982870964749E-2</v>
      </c>
      <c r="EF24" s="11">
        <v>-6.7276677043968364E-2</v>
      </c>
      <c r="EG24" s="8">
        <f t="shared" si="6"/>
        <v>-5.1169423479595485E-3</v>
      </c>
      <c r="EH24" s="18">
        <f t="shared" si="7"/>
        <v>0.2450021233140221</v>
      </c>
      <c r="EI24" s="8">
        <f t="shared" si="8"/>
        <v>-2.0885297966993958E-2</v>
      </c>
    </row>
    <row r="26" spans="1:139">
      <c r="A26" t="s">
        <v>144</v>
      </c>
      <c r="B26" t="s">
        <v>145</v>
      </c>
      <c r="C26" s="6">
        <v>-1.7446770539390338E-2</v>
      </c>
      <c r="D26" s="6">
        <v>2.070106053181563E-2</v>
      </c>
      <c r="E26" s="6">
        <v>2.3982129254766709E-2</v>
      </c>
      <c r="F26" s="6">
        <v>-6.557578972823077E-3</v>
      </c>
      <c r="G26" s="6">
        <v>3.1845129800519692E-2</v>
      </c>
      <c r="H26" s="6">
        <v>3.4348532736990518E-2</v>
      </c>
      <c r="I26" s="6">
        <v>-8.2549327813252367E-3</v>
      </c>
      <c r="J26" s="6">
        <v>1.2843524394052759E-2</v>
      </c>
      <c r="K26" s="6">
        <v>-5.1018524626790823E-2</v>
      </c>
      <c r="L26" s="6">
        <v>8.7394274103658827E-4</v>
      </c>
      <c r="M26" s="6">
        <v>2.3389575505495919E-2</v>
      </c>
      <c r="N26" s="6">
        <v>1.2988972200332851E-2</v>
      </c>
      <c r="O26" s="6">
        <v>5.8545887256348812E-3</v>
      </c>
      <c r="P26" s="6">
        <v>2.7413206571790558E-2</v>
      </c>
      <c r="Q26" s="6">
        <v>-3.7129361176928542E-3</v>
      </c>
      <c r="R26" s="6">
        <v>2.4076614047823328E-2</v>
      </c>
      <c r="S26" s="6">
        <v>-1.219002529903996E-2</v>
      </c>
      <c r="T26" s="6">
        <v>-3.9749578159589592E-2</v>
      </c>
      <c r="U26" s="6">
        <v>-7.3155449831649552E-2</v>
      </c>
      <c r="V26" s="6">
        <v>-5.8260229910114661E-2</v>
      </c>
      <c r="W26" s="6">
        <v>7.7279756550837221E-4</v>
      </c>
      <c r="X26" s="6">
        <v>4.459152113521897E-2</v>
      </c>
      <c r="Y26" s="6">
        <v>-2.7699680050213091E-2</v>
      </c>
      <c r="Z26" s="6">
        <v>2.0950059497436462E-3</v>
      </c>
      <c r="AA26" s="6">
        <v>-2.340055099256411E-2</v>
      </c>
      <c r="AB26" s="6">
        <v>3.2129371097322189E-2</v>
      </c>
      <c r="AC26" s="6">
        <v>3.890327309406643E-2</v>
      </c>
      <c r="AD26" s="6">
        <v>-4.286538217110427E-2</v>
      </c>
      <c r="AE26" s="6">
        <v>1.8647194550152159E-2</v>
      </c>
      <c r="AF26" s="6">
        <v>1.5229768322528949E-2</v>
      </c>
      <c r="AG26" s="6">
        <v>3.6016603778892417E-2</v>
      </c>
      <c r="AH26" s="6">
        <v>9.3546113853161701E-3</v>
      </c>
      <c r="AI26" s="6">
        <v>1.0748251336838139E-2</v>
      </c>
      <c r="AJ26" s="6">
        <v>1.335775405308097E-2</v>
      </c>
      <c r="AK26" s="6">
        <v>-5.3327473290953921E-3</v>
      </c>
      <c r="AL26" s="6">
        <v>1.383135807261675E-3</v>
      </c>
      <c r="AM26" s="6">
        <v>2.079592842007446E-2</v>
      </c>
      <c r="AN26" s="6">
        <v>3.1517702220390638E-2</v>
      </c>
      <c r="AO26" s="6">
        <v>6.2417165333294418E-3</v>
      </c>
      <c r="AP26" s="6">
        <v>6.1452616535713897E-3</v>
      </c>
      <c r="AQ26" s="6">
        <v>1.694635767669651E-2</v>
      </c>
      <c r="AR26" s="6">
        <v>3.4682830454308228E-2</v>
      </c>
      <c r="AS26" s="6">
        <v>3.0985886171969678E-3</v>
      </c>
      <c r="AT26" s="6">
        <v>1.508134714348611E-2</v>
      </c>
      <c r="AU26" s="6">
        <v>-1.9251209229863991E-2</v>
      </c>
      <c r="AV26" s="6">
        <v>3.8711513387631437E-2</v>
      </c>
      <c r="AW26" s="6">
        <v>-2.1856951135736599E-2</v>
      </c>
      <c r="AX26" s="6">
        <v>7.7743007097896798E-3</v>
      </c>
      <c r="AY26" s="6">
        <v>4.2397246695325942E-2</v>
      </c>
      <c r="AZ26" s="6">
        <v>-2.630897486115975E-2</v>
      </c>
      <c r="BA26" s="6">
        <v>9.5717493087162323E-3</v>
      </c>
      <c r="BB26" s="6">
        <v>-2.424974126627483E-2</v>
      </c>
      <c r="BC26" s="6">
        <v>2.0163374143915822E-2</v>
      </c>
      <c r="BD26" s="6">
        <v>-3.5049987821160239E-3</v>
      </c>
      <c r="BE26" s="6">
        <v>2.0151935098542271E-2</v>
      </c>
      <c r="BF26" s="6">
        <v>5.8133623077027128E-4</v>
      </c>
      <c r="BG26" s="6">
        <v>-5.2197009532526043E-3</v>
      </c>
      <c r="BH26" s="6">
        <v>-0.11587176140213</v>
      </c>
      <c r="BI26" s="6">
        <v>8.7252256924373536E-3</v>
      </c>
      <c r="BJ26" s="6">
        <v>-1.6377260977822151E-2</v>
      </c>
      <c r="BK26" s="6">
        <v>2.0840371600260421E-2</v>
      </c>
      <c r="BL26" s="6">
        <v>4.4975872102114713E-2</v>
      </c>
      <c r="BM26" s="6">
        <v>2.3954306081863871E-2</v>
      </c>
      <c r="BN26" s="6">
        <v>3.0239101391442601E-2</v>
      </c>
      <c r="BO26" s="6">
        <v>-4.372588759108751E-2</v>
      </c>
      <c r="BP26" s="6">
        <v>2.1889469568198618E-2</v>
      </c>
      <c r="BQ26" s="6">
        <v>8.6274302635084028E-3</v>
      </c>
      <c r="BR26" s="6">
        <v>-1.9192953994658781E-2</v>
      </c>
      <c r="BS26" s="6">
        <v>1.973512988813305E-2</v>
      </c>
      <c r="BT26" s="6">
        <v>4.7694337483699438E-2</v>
      </c>
      <c r="BU26" s="6">
        <v>1.145481680658339E-2</v>
      </c>
      <c r="BV26" s="6">
        <v>4.3228620735213191E-2</v>
      </c>
      <c r="BW26" s="6">
        <v>-4.2747430436922793E-2</v>
      </c>
      <c r="BX26" s="6">
        <v>-1.781129242779457E-2</v>
      </c>
      <c r="BY26" s="6">
        <v>-0.1511530968690756</v>
      </c>
      <c r="BZ26" s="6">
        <v>0.12422400361957529</v>
      </c>
      <c r="CA26" s="6">
        <v>-4.5572538445296431E-3</v>
      </c>
      <c r="CB26" s="6">
        <v>6.0211240204911178E-2</v>
      </c>
      <c r="CC26" s="6">
        <v>8.5992033482502284E-2</v>
      </c>
      <c r="CD26" s="6">
        <v>-5.8084795823660634E-3</v>
      </c>
      <c r="CE26" s="6">
        <v>-6.0413469889680736E-3</v>
      </c>
      <c r="CF26" s="6">
        <v>2.4523243722520739E-3</v>
      </c>
      <c r="CG26" s="6">
        <v>8.963625193702289E-2</v>
      </c>
      <c r="CH26" s="6">
        <v>7.099273252675789E-2</v>
      </c>
      <c r="CI26" s="6">
        <v>2.7170642901783448E-2</v>
      </c>
      <c r="CJ26" s="6">
        <v>5.2468428425330033E-2</v>
      </c>
      <c r="CK26" s="6">
        <v>2.9480660943049509E-2</v>
      </c>
      <c r="CL26" s="6">
        <v>6.6825081060201283E-2</v>
      </c>
      <c r="CM26" s="6">
        <v>-2.8772229019816971E-2</v>
      </c>
      <c r="CN26" s="6">
        <v>3.9462515901637851E-2</v>
      </c>
      <c r="CO26" s="6">
        <v>-2.9031086977359909E-2</v>
      </c>
      <c r="CP26" s="6">
        <v>1.3983882519467901E-2</v>
      </c>
      <c r="CQ26" s="6">
        <v>-3.2276964959333833E-2</v>
      </c>
      <c r="CR26" s="6">
        <v>3.1035766128940231E-3</v>
      </c>
      <c r="CS26" s="6">
        <v>2.5591855767083171E-2</v>
      </c>
      <c r="CT26" s="6">
        <v>4.4391886287193302E-2</v>
      </c>
      <c r="CU26" s="6">
        <v>-3.0338958549577438E-2</v>
      </c>
      <c r="CV26" s="6">
        <v>-1.2579764545717069E-3</v>
      </c>
      <c r="CW26" s="6">
        <v>2.336356455857952E-3</v>
      </c>
      <c r="CX26" s="6">
        <v>-6.4264144925906069E-2</v>
      </c>
      <c r="CY26" s="6">
        <v>1.2909779458992439E-2</v>
      </c>
      <c r="CZ26" s="6">
        <v>-0.12547709467085871</v>
      </c>
      <c r="DA26" s="6">
        <v>1.1690682939792569E-2</v>
      </c>
      <c r="DB26" s="6">
        <v>6.3378437007417512E-3</v>
      </c>
      <c r="DC26" s="6">
        <v>-0.1173053564693855</v>
      </c>
      <c r="DD26" s="6">
        <v>-3.6010872049446613E-2</v>
      </c>
      <c r="DE26" s="6">
        <v>0.1389113040722679</v>
      </c>
      <c r="DF26" s="6">
        <v>-5.1143506226105737E-2</v>
      </c>
      <c r="DG26" s="6">
        <v>7.6731447181969059E-2</v>
      </c>
      <c r="DH26" s="6">
        <v>1.550878219700816E-2</v>
      </c>
      <c r="DI26" s="6">
        <v>2.3223773674755831E-2</v>
      </c>
      <c r="DJ26" s="6">
        <v>-1.8372876361227891E-2</v>
      </c>
      <c r="DK26" s="6">
        <v>6.2199014085099431E-2</v>
      </c>
      <c r="DL26" s="6">
        <v>2.0098304486957191E-2</v>
      </c>
      <c r="DM26" s="6">
        <v>1.349893974806809E-2</v>
      </c>
      <c r="DN26" s="6">
        <v>-3.025221272842088E-2</v>
      </c>
      <c r="DO26" s="6">
        <v>-1.7022835708053841E-2</v>
      </c>
      <c r="DP26" s="6">
        <v>-2.1788523272461981E-2</v>
      </c>
      <c r="DQ26" s="6">
        <v>8.5745624585137223E-2</v>
      </c>
      <c r="DR26" s="6">
        <v>2.8106743604973752E-2</v>
      </c>
      <c r="DS26" s="6">
        <v>-2.3031598073594501E-3</v>
      </c>
      <c r="DT26" s="6">
        <v>5.8471198131487503E-2</v>
      </c>
      <c r="DU26" s="6">
        <v>6.7658949048647651E-2</v>
      </c>
      <c r="DV26" s="6">
        <v>5.0207706404322644E-3</v>
      </c>
      <c r="DW26" s="6">
        <v>3.7416183675207063E-2</v>
      </c>
      <c r="DX26" s="6">
        <v>8.4111003746042121E-2</v>
      </c>
      <c r="DY26" s="6">
        <v>-3.6832398544012837E-2</v>
      </c>
      <c r="DZ26" s="6">
        <v>3.0917028169369942E-3</v>
      </c>
      <c r="EA26" s="6">
        <v>-1.957628214294549E-3</v>
      </c>
      <c r="EB26" s="6">
        <v>2.6459103603519739E-2</v>
      </c>
      <c r="EC26" s="6">
        <v>-2.4752538760690269E-2</v>
      </c>
      <c r="ED26" s="6">
        <v>3.4115490982559941E-2</v>
      </c>
      <c r="EE26" s="6">
        <v>2.1061973989032982E-2</v>
      </c>
      <c r="EF26" s="6">
        <v>-2.0277392706005919E-2</v>
      </c>
      <c r="EG26" s="6">
        <f>AVERAGE(C26:EF26)</f>
        <v>7.3485376145559517E-3</v>
      </c>
      <c r="EH26" s="6">
        <f>STDEV(C26:EF26)</f>
        <v>4.2276369775976368E-2</v>
      </c>
      <c r="EI26" s="6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DQ1" zoomScale="157" zoomScaleNormal="90" workbookViewId="0">
      <selection activeCell="DB9" sqref="DB9"/>
    </sheetView>
  </sheetViews>
  <sheetFormatPr baseColWidth="10" defaultColWidth="8.83203125" defaultRowHeight="15"/>
  <sheetData>
    <row r="1" spans="1:138" s="1" customFormat="1">
      <c r="A1" s="2" t="s">
        <v>208</v>
      </c>
    </row>
    <row r="2" spans="1:138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8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8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8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8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8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8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8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  <c r="EG11" s="3" t="s">
        <v>187</v>
      </c>
      <c r="EH11" s="3" t="s">
        <v>188</v>
      </c>
    </row>
    <row r="12" spans="1:138">
      <c r="A12" s="2">
        <v>10</v>
      </c>
      <c r="B12" s="2">
        <v>96</v>
      </c>
      <c r="C12" s="11">
        <f>IF(預測IC!C12&gt;預測IC!C$26,1,0)</f>
        <v>1</v>
      </c>
      <c r="D12" s="11">
        <f>IF(預測IC!D12&gt;預測IC!D$26,1,0)</f>
        <v>1</v>
      </c>
      <c r="E12" s="11">
        <f>IF(預測IC!E12&gt;預測IC!E$26,1,0)</f>
        <v>1</v>
      </c>
      <c r="F12" s="11">
        <f>IF(預測IC!F12&gt;預測IC!F$26,1,0)</f>
        <v>1</v>
      </c>
      <c r="G12" s="11">
        <f>IF(預測IC!G12&gt;預測IC!G$26,1,0)</f>
        <v>0</v>
      </c>
      <c r="H12" s="11">
        <f>IF(預測IC!H12&gt;預測IC!H$26,1,0)</f>
        <v>1</v>
      </c>
      <c r="I12" s="11">
        <f>IF(預測IC!I12&gt;預測IC!I$26,1,0)</f>
        <v>1</v>
      </c>
      <c r="J12" s="11">
        <f>IF(預測IC!J12&gt;預測IC!J$26,1,0)</f>
        <v>0</v>
      </c>
      <c r="K12" s="11">
        <f>IF(預測IC!K12&gt;預測IC!K$26,1,0)</f>
        <v>1</v>
      </c>
      <c r="L12" s="11">
        <f>IF(預測IC!L12&gt;預測IC!L$26,1,0)</f>
        <v>0</v>
      </c>
      <c r="M12" s="11">
        <f>IF(預測IC!M12&gt;預測IC!M$26,1,0)</f>
        <v>1</v>
      </c>
      <c r="N12" s="11">
        <f>IF(預測IC!N12&gt;預測IC!N$26,1,0)</f>
        <v>0</v>
      </c>
      <c r="O12" s="11">
        <f>IF(預測IC!O12&gt;預測IC!O$26,1,0)</f>
        <v>1</v>
      </c>
      <c r="P12" s="11">
        <f>IF(預測IC!P12&gt;預測IC!P$26,1,0)</f>
        <v>0</v>
      </c>
      <c r="Q12" s="11">
        <f>IF(預測IC!Q12&gt;預測IC!Q$26,1,0)</f>
        <v>1</v>
      </c>
      <c r="R12" s="11">
        <f>IF(預測IC!R12&gt;預測IC!R$26,1,0)</f>
        <v>0</v>
      </c>
      <c r="S12" s="11">
        <f>IF(預測IC!S12&gt;預測IC!S$26,1,0)</f>
        <v>0</v>
      </c>
      <c r="T12" s="11">
        <f>IF(預測IC!T12&gt;預測IC!T$26,1,0)</f>
        <v>1</v>
      </c>
      <c r="U12" s="11">
        <f>IF(預測IC!U12&gt;預測IC!U$26,1,0)</f>
        <v>1</v>
      </c>
      <c r="V12" s="11">
        <f>IF(預測IC!V12&gt;預測IC!V$26,1,0)</f>
        <v>1</v>
      </c>
      <c r="W12" s="11">
        <f>IF(預測IC!W12&gt;預測IC!W$26,1,0)</f>
        <v>0</v>
      </c>
      <c r="X12" s="11">
        <f>IF(預測IC!X12&gt;預測IC!X$26,1,0)</f>
        <v>0</v>
      </c>
      <c r="Y12" s="11">
        <f>IF(預測IC!Y12&gt;預測IC!Y$26,1,0)</f>
        <v>1</v>
      </c>
      <c r="Z12" s="11">
        <f>IF(預測IC!Z12&gt;預測IC!Z$26,1,0)</f>
        <v>0</v>
      </c>
      <c r="AA12" s="11">
        <f>IF(預測IC!AA12&gt;預測IC!AA$26,1,0)</f>
        <v>1</v>
      </c>
      <c r="AB12" s="11">
        <f>IF(預測IC!AB12&gt;預測IC!AB$26,1,0)</f>
        <v>0</v>
      </c>
      <c r="AC12" s="11">
        <f>IF(預測IC!AC12&gt;預測IC!AC$26,1,0)</f>
        <v>0</v>
      </c>
      <c r="AD12" s="11">
        <f>IF(預測IC!AD12&gt;預測IC!AD$26,1,0)</f>
        <v>1</v>
      </c>
      <c r="AE12" s="11">
        <f>IF(預測IC!AE12&gt;預測IC!AE$26,1,0)</f>
        <v>1</v>
      </c>
      <c r="AF12" s="11">
        <f>IF(預測IC!AF12&gt;預測IC!AF$26,1,0)</f>
        <v>0</v>
      </c>
      <c r="AG12" s="11">
        <f>IF(預測IC!AG12&gt;預測IC!AG$26,1,0)</f>
        <v>0</v>
      </c>
      <c r="AH12" s="11">
        <f>IF(預測IC!AH12&gt;預測IC!AH$26,1,0)</f>
        <v>0</v>
      </c>
      <c r="AI12" s="11">
        <f>IF(預測IC!AI12&gt;預測IC!AI$26,1,0)</f>
        <v>0</v>
      </c>
      <c r="AJ12" s="11">
        <f>IF(預測IC!AJ12&gt;預測IC!AJ$26,1,0)</f>
        <v>0</v>
      </c>
      <c r="AK12" s="11">
        <f>IF(預測IC!AK12&gt;預測IC!AK$26,1,0)</f>
        <v>0</v>
      </c>
      <c r="AL12" s="11">
        <f>IF(預測IC!AL12&gt;預測IC!AL$26,1,0)</f>
        <v>0</v>
      </c>
      <c r="AM12" s="11">
        <f>IF(預測IC!AM12&gt;預測IC!AM$26,1,0)</f>
        <v>0</v>
      </c>
      <c r="AN12" s="11">
        <f>IF(預測IC!AN12&gt;預測IC!AN$26,1,0)</f>
        <v>0</v>
      </c>
      <c r="AO12" s="11">
        <f>IF(預測IC!AO12&gt;預測IC!AO$26,1,0)</f>
        <v>0</v>
      </c>
      <c r="AP12" s="11">
        <f>IF(預測IC!AP12&gt;預測IC!AP$26,1,0)</f>
        <v>1</v>
      </c>
      <c r="AQ12" s="11">
        <f>IF(預測IC!AQ12&gt;預測IC!AQ$26,1,0)</f>
        <v>0</v>
      </c>
      <c r="AR12" s="11">
        <f>IF(預測IC!AR12&gt;預測IC!AR$26,1,0)</f>
        <v>0</v>
      </c>
      <c r="AS12" s="11">
        <f>IF(預測IC!AS12&gt;預測IC!AS$26,1,0)</f>
        <v>0</v>
      </c>
      <c r="AT12" s="11">
        <f>IF(預測IC!AT12&gt;預測IC!AT$26,1,0)</f>
        <v>0</v>
      </c>
      <c r="AU12" s="11">
        <f>IF(預測IC!AU12&gt;預測IC!AU$26,1,0)</f>
        <v>0</v>
      </c>
      <c r="AV12" s="11">
        <f>IF(預測IC!AV12&gt;預測IC!AV$26,1,0)</f>
        <v>1</v>
      </c>
      <c r="AW12" s="11">
        <f>IF(預測IC!AW12&gt;預測IC!AW$26,1,0)</f>
        <v>1</v>
      </c>
      <c r="AX12" s="11">
        <f>IF(預測IC!AX12&gt;預測IC!AX$26,1,0)</f>
        <v>0</v>
      </c>
      <c r="AY12" s="11">
        <f>IF(預測IC!AY12&gt;預測IC!AY$26,1,0)</f>
        <v>0</v>
      </c>
      <c r="AZ12" s="11">
        <f>IF(預測IC!AZ12&gt;預測IC!AZ$26,1,0)</f>
        <v>1</v>
      </c>
      <c r="BA12" s="11">
        <f>IF(預測IC!BA12&gt;預測IC!BA$26,1,0)</f>
        <v>1</v>
      </c>
      <c r="BB12" s="11">
        <f>IF(預測IC!BB12&gt;預測IC!BB$26,1,0)</f>
        <v>1</v>
      </c>
      <c r="BC12" s="11">
        <f>IF(預測IC!BC12&gt;預測IC!BC$26,1,0)</f>
        <v>0</v>
      </c>
      <c r="BD12" s="11">
        <f>IF(預測IC!BD12&gt;預測IC!BD$26,1,0)</f>
        <v>0</v>
      </c>
      <c r="BE12" s="11">
        <f>IF(預測IC!BE12&gt;預測IC!BE$26,1,0)</f>
        <v>0</v>
      </c>
      <c r="BF12" s="11">
        <f>IF(預測IC!BF12&gt;預測IC!BF$26,1,0)</f>
        <v>0</v>
      </c>
      <c r="BG12" s="11">
        <f>IF(預測IC!BG12&gt;預測IC!BG$26,1,0)</f>
        <v>0</v>
      </c>
      <c r="BH12" s="11">
        <f>IF(預測IC!BH12&gt;預測IC!BH$26,1,0)</f>
        <v>1</v>
      </c>
      <c r="BI12" s="11">
        <f>IF(預測IC!BI12&gt;預測IC!BI$26,1,0)</f>
        <v>0</v>
      </c>
      <c r="BJ12" s="11">
        <f>IF(預測IC!BJ12&gt;預測IC!BJ$26,1,0)</f>
        <v>0</v>
      </c>
      <c r="BK12" s="11">
        <f>IF(預測IC!BK12&gt;預測IC!BK$26,1,0)</f>
        <v>0</v>
      </c>
      <c r="BL12" s="11">
        <f>IF(預測IC!BL12&gt;預測IC!BL$26,1,0)</f>
        <v>0</v>
      </c>
      <c r="BM12" s="11">
        <f>IF(預測IC!BM12&gt;預測IC!BM$26,1,0)</f>
        <v>0</v>
      </c>
      <c r="BN12" s="11">
        <f>IF(預測IC!BN12&gt;預測IC!BN$26,1,0)</f>
        <v>0</v>
      </c>
      <c r="BO12" s="11">
        <f>IF(預測IC!BO12&gt;預測IC!BO$26,1,0)</f>
        <v>1</v>
      </c>
      <c r="BP12" s="11">
        <f>IF(預測IC!BP12&gt;預測IC!BP$26,1,0)</f>
        <v>0</v>
      </c>
      <c r="BQ12" s="11">
        <f>IF(預測IC!BQ12&gt;預測IC!BQ$26,1,0)</f>
        <v>0</v>
      </c>
      <c r="BR12" s="11">
        <f>IF(預測IC!BR12&gt;預測IC!BR$26,1,0)</f>
        <v>1</v>
      </c>
      <c r="BS12" s="11">
        <f>IF(預測IC!BS12&gt;預測IC!BS$26,1,0)</f>
        <v>1</v>
      </c>
      <c r="BT12" s="11">
        <f>IF(預測IC!BT12&gt;預測IC!BT$26,1,0)</f>
        <v>0</v>
      </c>
      <c r="BU12" s="11">
        <f>IF(預測IC!BU12&gt;預測IC!BU$26,1,0)</f>
        <v>0</v>
      </c>
      <c r="BV12" s="11">
        <f>IF(預測IC!BV12&gt;預測IC!BV$26,1,0)</f>
        <v>0</v>
      </c>
      <c r="BW12" s="11">
        <f>IF(預測IC!BW12&gt;預測IC!BW$26,1,0)</f>
        <v>1</v>
      </c>
      <c r="BX12" s="11">
        <f>IF(預測IC!BX12&gt;預測IC!BX$26,1,0)</f>
        <v>1</v>
      </c>
      <c r="BY12" s="11">
        <f>IF(預測IC!BY12&gt;預測IC!BY$26,1,0)</f>
        <v>1</v>
      </c>
      <c r="BZ12" s="11">
        <f>IF(預測IC!BZ12&gt;預測IC!BZ$26,1,0)</f>
        <v>0</v>
      </c>
      <c r="CA12" s="11">
        <f>IF(預測IC!CA12&gt;預測IC!CA$26,1,0)</f>
        <v>1</v>
      </c>
      <c r="CB12" s="11">
        <f>IF(預測IC!CB12&gt;預測IC!CB$26,1,0)</f>
        <v>0</v>
      </c>
      <c r="CC12" s="11">
        <f>IF(預測IC!CC12&gt;預測IC!CC$26,1,0)</f>
        <v>0</v>
      </c>
      <c r="CD12" s="11">
        <f>IF(預測IC!CD12&gt;預測IC!CD$26,1,0)</f>
        <v>0</v>
      </c>
      <c r="CE12" s="11">
        <f>IF(預測IC!CE12&gt;預測IC!CE$26,1,0)</f>
        <v>0</v>
      </c>
      <c r="CF12" s="11">
        <f>IF(預測IC!CF12&gt;預測IC!CF$26,1,0)</f>
        <v>1</v>
      </c>
      <c r="CG12" s="11">
        <f>IF(預測IC!CG12&gt;預測IC!CG$26,1,0)</f>
        <v>0</v>
      </c>
      <c r="CH12" s="11">
        <f>IF(預測IC!CH12&gt;預測IC!CH$26,1,0)</f>
        <v>0</v>
      </c>
      <c r="CI12" s="11">
        <f>IF(預測IC!CI12&gt;預測IC!CI$26,1,0)</f>
        <v>0</v>
      </c>
      <c r="CJ12" s="11">
        <f>IF(預測IC!CJ12&gt;預測IC!CJ$26,1,0)</f>
        <v>1</v>
      </c>
      <c r="CK12" s="11">
        <f>IF(預測IC!CK12&gt;預測IC!CK$26,1,0)</f>
        <v>1</v>
      </c>
      <c r="CL12" s="11">
        <f>IF(預測IC!CL12&gt;預測IC!CL$26,1,0)</f>
        <v>1</v>
      </c>
      <c r="CM12" s="11">
        <f>IF(預測IC!CM12&gt;預測IC!CM$26,1,0)</f>
        <v>1</v>
      </c>
      <c r="CN12" s="11">
        <f>IF(預測IC!CN12&gt;預測IC!CN$26,1,0)</f>
        <v>0</v>
      </c>
      <c r="CO12" s="11">
        <f>IF(預測IC!CO12&gt;預測IC!CO$26,1,0)</f>
        <v>1</v>
      </c>
      <c r="CP12" s="11">
        <f>IF(預測IC!CP12&gt;預測IC!CP$26,1,0)</f>
        <v>0</v>
      </c>
      <c r="CQ12" s="11">
        <f>IF(預測IC!CQ12&gt;預測IC!CQ$26,1,0)</f>
        <v>0</v>
      </c>
      <c r="CR12" s="11">
        <f>IF(預測IC!CR12&gt;預測IC!CR$26,1,0)</f>
        <v>0</v>
      </c>
      <c r="CS12" s="11">
        <f>IF(預測IC!CS12&gt;預測IC!CS$26,1,0)</f>
        <v>0</v>
      </c>
      <c r="CT12" s="11">
        <f>IF(預測IC!CT12&gt;預測IC!CT$26,1,0)</f>
        <v>0</v>
      </c>
      <c r="CU12" s="11">
        <f>IF(預測IC!CU12&gt;預測IC!CU$26,1,0)</f>
        <v>0</v>
      </c>
      <c r="CV12" s="11">
        <f>IF(預測IC!CV12&gt;預測IC!CV$26,1,0)</f>
        <v>0</v>
      </c>
      <c r="CW12" s="11">
        <f>IF(預測IC!CW12&gt;預測IC!CW$26,1,0)</f>
        <v>0</v>
      </c>
      <c r="CX12" s="11">
        <f>IF(預測IC!CX12&gt;預測IC!CX$26,1,0)</f>
        <v>1</v>
      </c>
      <c r="CY12" s="11">
        <f>IF(預測IC!CY12&gt;預測IC!CY$26,1,0)</f>
        <v>0</v>
      </c>
      <c r="CZ12" s="11">
        <f>IF(預測IC!CZ12&gt;預測IC!CZ$26,1,0)</f>
        <v>1</v>
      </c>
      <c r="DA12" s="11">
        <f>IF(預測IC!DA12&gt;預測IC!DA$26,1,0)</f>
        <v>0</v>
      </c>
      <c r="DB12" s="11">
        <f>IF(預測IC!DB12&gt;預測IC!DB$26,1,0)</f>
        <v>1</v>
      </c>
      <c r="DC12" s="11">
        <f>IF(預測IC!DC12&gt;預測IC!DC$26,1,0)</f>
        <v>1</v>
      </c>
      <c r="DD12" s="11">
        <f>IF(預測IC!DD12&gt;預測IC!DD$26,1,0)</f>
        <v>1</v>
      </c>
      <c r="DE12" s="11">
        <f>IF(預測IC!DE12&gt;預測IC!DE$26,1,0)</f>
        <v>0</v>
      </c>
      <c r="DF12" s="11">
        <f>IF(預測IC!DF12&gt;預測IC!DF$26,1,0)</f>
        <v>1</v>
      </c>
      <c r="DG12" s="11">
        <f>IF(預測IC!DG12&gt;預測IC!DG$26,1,0)</f>
        <v>0</v>
      </c>
      <c r="DH12" s="11">
        <f>IF(預測IC!DH12&gt;預測IC!DH$26,1,0)</f>
        <v>0</v>
      </c>
      <c r="DI12" s="11">
        <f>IF(預測IC!DI12&gt;預測IC!DI$26,1,0)</f>
        <v>1</v>
      </c>
      <c r="DJ12" s="11">
        <f>IF(預測IC!DJ12&gt;預測IC!DJ$26,1,0)</f>
        <v>1</v>
      </c>
      <c r="DK12" s="11">
        <f>IF(預測IC!DK12&gt;預測IC!DK$26,1,0)</f>
        <v>0</v>
      </c>
      <c r="DL12" s="11">
        <f>IF(預測IC!DL12&gt;預測IC!DL$26,1,0)</f>
        <v>0</v>
      </c>
      <c r="DM12" s="11">
        <f>IF(預測IC!DM12&gt;預測IC!DM$26,1,0)</f>
        <v>0</v>
      </c>
      <c r="DN12" s="11">
        <f>IF(預測IC!DN12&gt;預測IC!DN$26,1,0)</f>
        <v>0</v>
      </c>
      <c r="DO12" s="11">
        <f>IF(預測IC!DO12&gt;預測IC!DO$26,1,0)</f>
        <v>0</v>
      </c>
      <c r="DP12" s="11">
        <f>IF(預測IC!DP12&gt;預測IC!DP$26,1,0)</f>
        <v>0</v>
      </c>
      <c r="DQ12" s="11">
        <f>IF(預測IC!DQ12&gt;預測IC!DQ$26,1,0)</f>
        <v>0</v>
      </c>
      <c r="DR12" s="11">
        <f>IF(預測IC!DR12&gt;預測IC!DR$26,1,0)</f>
        <v>0</v>
      </c>
      <c r="DS12" s="11">
        <f>IF(預測IC!DS12&gt;預測IC!DS$26,1,0)</f>
        <v>1</v>
      </c>
      <c r="DT12" s="11">
        <f>IF(預測IC!DT12&gt;預測IC!DT$26,1,0)</f>
        <v>0</v>
      </c>
      <c r="DU12" s="11">
        <f>IF(預測IC!DU12&gt;預測IC!DU$26,1,0)</f>
        <v>0</v>
      </c>
      <c r="DV12" s="11">
        <f>IF(預測IC!DV12&gt;預測IC!DV$26,1,0)</f>
        <v>0</v>
      </c>
      <c r="DW12" s="11">
        <f>IF(預測IC!DW12&gt;預測IC!DW$26,1,0)</f>
        <v>0</v>
      </c>
      <c r="DX12" s="11">
        <f>IF(預測IC!DX12&gt;預測IC!DX$26,1,0)</f>
        <v>0</v>
      </c>
      <c r="DY12" s="11">
        <f>IF(預測IC!DY12&gt;預測IC!DY$26,1,0)</f>
        <v>1</v>
      </c>
      <c r="DZ12" s="11">
        <f>IF(預測IC!DZ12&gt;預測IC!DZ$26,1,0)</f>
        <v>1</v>
      </c>
      <c r="EA12" s="11">
        <f>IF(預測IC!EA12&gt;預測IC!EA$26,1,0)</f>
        <v>1</v>
      </c>
      <c r="EB12" s="11">
        <f>IF(預測IC!EB12&gt;預測IC!EB$26,1,0)</f>
        <v>1</v>
      </c>
      <c r="EC12" s="11">
        <f>IF(預測IC!EC12&gt;預測IC!EC$26,1,0)</f>
        <v>1</v>
      </c>
      <c r="ED12" s="11">
        <f>IF(預測IC!ED12&gt;預測IC!ED$26,1,0)</f>
        <v>0</v>
      </c>
      <c r="EE12" s="11">
        <f>IF(預測IC!EE12&gt;預測IC!EE$26,1,0)</f>
        <v>1</v>
      </c>
      <c r="EF12" s="11">
        <f>IF(預測IC!EF12&gt;預測IC!EF$26,1,0)</f>
        <v>0</v>
      </c>
      <c r="EG12" s="1">
        <f t="shared" ref="EG12:EG24" si="6">SUM(C12:EF12)</f>
        <v>52</v>
      </c>
      <c r="EH12" s="17">
        <f t="shared" ref="EH12:EH24" si="7">SUM(C12:EF12)/134</f>
        <v>0.38805970149253732</v>
      </c>
    </row>
    <row r="13" spans="1:138">
      <c r="A13" s="2">
        <v>20</v>
      </c>
      <c r="B13" s="2">
        <v>48</v>
      </c>
      <c r="C13" s="11">
        <f>IF(預測IC!C13&gt;預測IC!C$26,1,0)</f>
        <v>1</v>
      </c>
      <c r="D13" s="11">
        <f>IF(預測IC!D13&gt;預測IC!D$26,1,0)</f>
        <v>1</v>
      </c>
      <c r="E13" s="11">
        <f>IF(預測IC!E13&gt;預測IC!E$26,1,0)</f>
        <v>1</v>
      </c>
      <c r="F13" s="11">
        <f>IF(預測IC!F13&gt;預測IC!F$26,1,0)</f>
        <v>0</v>
      </c>
      <c r="G13" s="11">
        <f>IF(預測IC!G13&gt;預測IC!G$26,1,0)</f>
        <v>0</v>
      </c>
      <c r="H13" s="11">
        <f>IF(預測IC!H13&gt;預測IC!H$26,1,0)</f>
        <v>0</v>
      </c>
      <c r="I13" s="11">
        <f>IF(預測IC!I13&gt;預測IC!I$26,1,0)</f>
        <v>1</v>
      </c>
      <c r="J13" s="11">
        <f>IF(預測IC!J13&gt;預測IC!J$26,1,0)</f>
        <v>0</v>
      </c>
      <c r="K13" s="11">
        <f>IF(預測IC!K13&gt;預測IC!K$26,1,0)</f>
        <v>1</v>
      </c>
      <c r="L13" s="11">
        <f>IF(預測IC!L13&gt;預測IC!L$26,1,0)</f>
        <v>0</v>
      </c>
      <c r="M13" s="11">
        <f>IF(預測IC!M13&gt;預測IC!M$26,1,0)</f>
        <v>0</v>
      </c>
      <c r="N13" s="11">
        <f>IF(預測IC!N13&gt;預測IC!N$26,1,0)</f>
        <v>0</v>
      </c>
      <c r="O13" s="11">
        <f>IF(預測IC!O13&gt;預測IC!O$26,1,0)</f>
        <v>1</v>
      </c>
      <c r="P13" s="11">
        <f>IF(預測IC!P13&gt;預測IC!P$26,1,0)</f>
        <v>0</v>
      </c>
      <c r="Q13" s="11">
        <f>IF(預測IC!Q13&gt;預測IC!Q$26,1,0)</f>
        <v>1</v>
      </c>
      <c r="R13" s="11">
        <f>IF(預測IC!R13&gt;預測IC!R$26,1,0)</f>
        <v>0</v>
      </c>
      <c r="S13" s="11">
        <f>IF(預測IC!S13&gt;預測IC!S$26,1,0)</f>
        <v>0</v>
      </c>
      <c r="T13" s="11">
        <f>IF(預測IC!T13&gt;預測IC!T$26,1,0)</f>
        <v>1</v>
      </c>
      <c r="U13" s="11">
        <f>IF(預測IC!U13&gt;預測IC!U$26,1,0)</f>
        <v>1</v>
      </c>
      <c r="V13" s="11">
        <f>IF(預測IC!V13&gt;預測IC!V$26,1,0)</f>
        <v>1</v>
      </c>
      <c r="W13" s="11">
        <f>IF(預測IC!W13&gt;預測IC!W$26,1,0)</f>
        <v>0</v>
      </c>
      <c r="X13" s="11">
        <f>IF(預測IC!X13&gt;預測IC!X$26,1,0)</f>
        <v>1</v>
      </c>
      <c r="Y13" s="11">
        <f>IF(預測IC!Y13&gt;預測IC!Y$26,1,0)</f>
        <v>1</v>
      </c>
      <c r="Z13" s="11">
        <f>IF(預測IC!Z13&gt;預測IC!Z$26,1,0)</f>
        <v>0</v>
      </c>
      <c r="AA13" s="11">
        <f>IF(預測IC!AA13&gt;預測IC!AA$26,1,0)</f>
        <v>1</v>
      </c>
      <c r="AB13" s="11">
        <f>IF(預測IC!AB13&gt;預測IC!AB$26,1,0)</f>
        <v>0</v>
      </c>
      <c r="AC13" s="11">
        <f>IF(預測IC!AC13&gt;預測IC!AC$26,1,0)</f>
        <v>0</v>
      </c>
      <c r="AD13" s="11">
        <f>IF(預測IC!AD13&gt;預測IC!AD$26,1,0)</f>
        <v>1</v>
      </c>
      <c r="AE13" s="11">
        <f>IF(預測IC!AE13&gt;預測IC!AE$26,1,0)</f>
        <v>1</v>
      </c>
      <c r="AF13" s="11">
        <f>IF(預測IC!AF13&gt;預測IC!AF$26,1,0)</f>
        <v>0</v>
      </c>
      <c r="AG13" s="11">
        <f>IF(預測IC!AG13&gt;預測IC!AG$26,1,0)</f>
        <v>0</v>
      </c>
      <c r="AH13" s="11">
        <f>IF(預測IC!AH13&gt;預測IC!AH$26,1,0)</f>
        <v>0</v>
      </c>
      <c r="AI13" s="11">
        <f>IF(預測IC!AI13&gt;預測IC!AI$26,1,0)</f>
        <v>0</v>
      </c>
      <c r="AJ13" s="11">
        <f>IF(預測IC!AJ13&gt;預測IC!AJ$26,1,0)</f>
        <v>1</v>
      </c>
      <c r="AK13" s="11">
        <f>IF(預測IC!AK13&gt;預測IC!AK$26,1,0)</f>
        <v>0</v>
      </c>
      <c r="AL13" s="11">
        <f>IF(預測IC!AL13&gt;預測IC!AL$26,1,0)</f>
        <v>0</v>
      </c>
      <c r="AM13" s="11">
        <f>IF(預測IC!AM13&gt;預測IC!AM$26,1,0)</f>
        <v>0</v>
      </c>
      <c r="AN13" s="11">
        <f>IF(預測IC!AN13&gt;預測IC!AN$26,1,0)</f>
        <v>0</v>
      </c>
      <c r="AO13" s="11">
        <f>IF(預測IC!AO13&gt;預測IC!AO$26,1,0)</f>
        <v>0</v>
      </c>
      <c r="AP13" s="11">
        <f>IF(預測IC!AP13&gt;預測IC!AP$26,1,0)</f>
        <v>1</v>
      </c>
      <c r="AQ13" s="11">
        <f>IF(預測IC!AQ13&gt;預測IC!AQ$26,1,0)</f>
        <v>0</v>
      </c>
      <c r="AR13" s="11">
        <f>IF(預測IC!AR13&gt;預測IC!AR$26,1,0)</f>
        <v>0</v>
      </c>
      <c r="AS13" s="11">
        <f>IF(預測IC!AS13&gt;預測IC!AS$26,1,0)</f>
        <v>0</v>
      </c>
      <c r="AT13" s="11">
        <f>IF(預測IC!AT13&gt;預測IC!AT$26,1,0)</f>
        <v>0</v>
      </c>
      <c r="AU13" s="11">
        <f>IF(預測IC!AU13&gt;預測IC!AU$26,1,0)</f>
        <v>0</v>
      </c>
      <c r="AV13" s="11">
        <f>IF(預測IC!AV13&gt;預測IC!AV$26,1,0)</f>
        <v>0</v>
      </c>
      <c r="AW13" s="11">
        <f>IF(預測IC!AW13&gt;預測IC!AW$26,1,0)</f>
        <v>1</v>
      </c>
      <c r="AX13" s="11">
        <f>IF(預測IC!AX13&gt;預測IC!AX$26,1,0)</f>
        <v>0</v>
      </c>
      <c r="AY13" s="11">
        <f>IF(預測IC!AY13&gt;預測IC!AY$26,1,0)</f>
        <v>0</v>
      </c>
      <c r="AZ13" s="11">
        <f>IF(預測IC!AZ13&gt;預測IC!AZ$26,1,0)</f>
        <v>1</v>
      </c>
      <c r="BA13" s="11">
        <f>IF(預測IC!BA13&gt;預測IC!BA$26,1,0)</f>
        <v>1</v>
      </c>
      <c r="BB13" s="11">
        <f>IF(預測IC!BB13&gt;預測IC!BB$26,1,0)</f>
        <v>0</v>
      </c>
      <c r="BC13" s="11">
        <f>IF(預測IC!BC13&gt;預測IC!BC$26,1,0)</f>
        <v>0</v>
      </c>
      <c r="BD13" s="11">
        <f>IF(預測IC!BD13&gt;預測IC!BD$26,1,0)</f>
        <v>1</v>
      </c>
      <c r="BE13" s="11">
        <f>IF(預測IC!BE13&gt;預測IC!BE$26,1,0)</f>
        <v>0</v>
      </c>
      <c r="BF13" s="11">
        <f>IF(預測IC!BF13&gt;預測IC!BF$26,1,0)</f>
        <v>0</v>
      </c>
      <c r="BG13" s="11">
        <f>IF(預測IC!BG13&gt;預測IC!BG$26,1,0)</f>
        <v>0</v>
      </c>
      <c r="BH13" s="11">
        <f>IF(預測IC!BH13&gt;預測IC!BH$26,1,0)</f>
        <v>1</v>
      </c>
      <c r="BI13" s="11">
        <f>IF(預測IC!BI13&gt;預測IC!BI$26,1,0)</f>
        <v>0</v>
      </c>
      <c r="BJ13" s="11">
        <f>IF(預測IC!BJ13&gt;預測IC!BJ$26,1,0)</f>
        <v>0</v>
      </c>
      <c r="BK13" s="11">
        <f>IF(預測IC!BK13&gt;預測IC!BK$26,1,0)</f>
        <v>0</v>
      </c>
      <c r="BL13" s="11">
        <f>IF(預測IC!BL13&gt;預測IC!BL$26,1,0)</f>
        <v>0</v>
      </c>
      <c r="BM13" s="11">
        <f>IF(預測IC!BM13&gt;預測IC!BM$26,1,0)</f>
        <v>0</v>
      </c>
      <c r="BN13" s="11">
        <f>IF(預測IC!BN13&gt;預測IC!BN$26,1,0)</f>
        <v>0</v>
      </c>
      <c r="BO13" s="11">
        <f>IF(預測IC!BO13&gt;預測IC!BO$26,1,0)</f>
        <v>1</v>
      </c>
      <c r="BP13" s="11">
        <f>IF(預測IC!BP13&gt;預測IC!BP$26,1,0)</f>
        <v>0</v>
      </c>
      <c r="BQ13" s="11">
        <f>IF(預測IC!BQ13&gt;預測IC!BQ$26,1,0)</f>
        <v>0</v>
      </c>
      <c r="BR13" s="11">
        <f>IF(預測IC!BR13&gt;預測IC!BR$26,1,0)</f>
        <v>1</v>
      </c>
      <c r="BS13" s="11">
        <f>IF(預測IC!BS13&gt;預測IC!BS$26,1,0)</f>
        <v>1</v>
      </c>
      <c r="BT13" s="11">
        <f>IF(預測IC!BT13&gt;預測IC!BT$26,1,0)</f>
        <v>0</v>
      </c>
      <c r="BU13" s="11">
        <f>IF(預測IC!BU13&gt;預測IC!BU$26,1,0)</f>
        <v>0</v>
      </c>
      <c r="BV13" s="11">
        <f>IF(預測IC!BV13&gt;預測IC!BV$26,1,0)</f>
        <v>0</v>
      </c>
      <c r="BW13" s="11">
        <f>IF(預測IC!BW13&gt;預測IC!BW$26,1,0)</f>
        <v>1</v>
      </c>
      <c r="BX13" s="11">
        <f>IF(預測IC!BX13&gt;預測IC!BX$26,1,0)</f>
        <v>0</v>
      </c>
      <c r="BY13" s="11">
        <f>IF(預測IC!BY13&gt;預測IC!BY$26,1,0)</f>
        <v>1</v>
      </c>
      <c r="BZ13" s="11">
        <f>IF(預測IC!BZ13&gt;預測IC!BZ$26,1,0)</f>
        <v>0</v>
      </c>
      <c r="CA13" s="11">
        <f>IF(預測IC!CA13&gt;預測IC!CA$26,1,0)</f>
        <v>1</v>
      </c>
      <c r="CB13" s="11">
        <f>IF(預測IC!CB13&gt;預測IC!CB$26,1,0)</f>
        <v>0</v>
      </c>
      <c r="CC13" s="11">
        <f>IF(預測IC!CC13&gt;預測IC!CC$26,1,0)</f>
        <v>0</v>
      </c>
      <c r="CD13" s="11">
        <f>IF(預測IC!CD13&gt;預測IC!CD$26,1,0)</f>
        <v>0</v>
      </c>
      <c r="CE13" s="11">
        <f>IF(預測IC!CE13&gt;預測IC!CE$26,1,0)</f>
        <v>0</v>
      </c>
      <c r="CF13" s="11">
        <f>IF(預測IC!CF13&gt;預測IC!CF$26,1,0)</f>
        <v>1</v>
      </c>
      <c r="CG13" s="11">
        <f>IF(預測IC!CG13&gt;預測IC!CG$26,1,0)</f>
        <v>0</v>
      </c>
      <c r="CH13" s="11">
        <f>IF(預測IC!CH13&gt;預測IC!CH$26,1,0)</f>
        <v>0</v>
      </c>
      <c r="CI13" s="11">
        <f>IF(預測IC!CI13&gt;預測IC!CI$26,1,0)</f>
        <v>0</v>
      </c>
      <c r="CJ13" s="11">
        <f>IF(預測IC!CJ13&gt;預測IC!CJ$26,1,0)</f>
        <v>1</v>
      </c>
      <c r="CK13" s="11">
        <f>IF(預測IC!CK13&gt;預測IC!CK$26,1,0)</f>
        <v>1</v>
      </c>
      <c r="CL13" s="11">
        <f>IF(預測IC!CL13&gt;預測IC!CL$26,1,0)</f>
        <v>1</v>
      </c>
      <c r="CM13" s="11">
        <f>IF(預測IC!CM13&gt;預測IC!CM$26,1,0)</f>
        <v>1</v>
      </c>
      <c r="CN13" s="11">
        <f>IF(預測IC!CN13&gt;預測IC!CN$26,1,0)</f>
        <v>0</v>
      </c>
      <c r="CO13" s="11">
        <f>IF(預測IC!CO13&gt;預測IC!CO$26,1,0)</f>
        <v>1</v>
      </c>
      <c r="CP13" s="11">
        <f>IF(預測IC!CP13&gt;預測IC!CP$26,1,0)</f>
        <v>0</v>
      </c>
      <c r="CQ13" s="11">
        <f>IF(預測IC!CQ13&gt;預測IC!CQ$26,1,0)</f>
        <v>0</v>
      </c>
      <c r="CR13" s="11">
        <f>IF(預測IC!CR13&gt;預測IC!CR$26,1,0)</f>
        <v>0</v>
      </c>
      <c r="CS13" s="11">
        <f>IF(預測IC!CS13&gt;預測IC!CS$26,1,0)</f>
        <v>0</v>
      </c>
      <c r="CT13" s="11">
        <f>IF(預測IC!CT13&gt;預測IC!CT$26,1,0)</f>
        <v>0</v>
      </c>
      <c r="CU13" s="11">
        <f>IF(預測IC!CU13&gt;預測IC!CU$26,1,0)</f>
        <v>0</v>
      </c>
      <c r="CV13" s="11">
        <f>IF(預測IC!CV13&gt;預測IC!CV$26,1,0)</f>
        <v>1</v>
      </c>
      <c r="CW13" s="11">
        <f>IF(預測IC!CW13&gt;預測IC!CW$26,1,0)</f>
        <v>0</v>
      </c>
      <c r="CX13" s="11">
        <f>IF(預測IC!CX13&gt;預測IC!CX$26,1,0)</f>
        <v>1</v>
      </c>
      <c r="CY13" s="11">
        <f>IF(預測IC!CY13&gt;預測IC!CY$26,1,0)</f>
        <v>1</v>
      </c>
      <c r="CZ13" s="11">
        <f>IF(預測IC!CZ13&gt;預測IC!CZ$26,1,0)</f>
        <v>1</v>
      </c>
      <c r="DA13" s="11">
        <f>IF(預測IC!DA13&gt;預測IC!DA$26,1,0)</f>
        <v>0</v>
      </c>
      <c r="DB13" s="11">
        <f>IF(預測IC!DB13&gt;預測IC!DB$26,1,0)</f>
        <v>1</v>
      </c>
      <c r="DC13" s="11">
        <f>IF(預測IC!DC13&gt;預測IC!DC$26,1,0)</f>
        <v>1</v>
      </c>
      <c r="DD13" s="11">
        <f>IF(預測IC!DD13&gt;預測IC!DD$26,1,0)</f>
        <v>1</v>
      </c>
      <c r="DE13" s="11">
        <f>IF(預測IC!DE13&gt;預測IC!DE$26,1,0)</f>
        <v>0</v>
      </c>
      <c r="DF13" s="11">
        <f>IF(預測IC!DF13&gt;預測IC!DF$26,1,0)</f>
        <v>1</v>
      </c>
      <c r="DG13" s="11">
        <f>IF(預測IC!DG13&gt;預測IC!DG$26,1,0)</f>
        <v>0</v>
      </c>
      <c r="DH13" s="11">
        <f>IF(預測IC!DH13&gt;預測IC!DH$26,1,0)</f>
        <v>0</v>
      </c>
      <c r="DI13" s="11">
        <f>IF(預測IC!DI13&gt;預測IC!DI$26,1,0)</f>
        <v>1</v>
      </c>
      <c r="DJ13" s="11">
        <f>IF(預測IC!DJ13&gt;預測IC!DJ$26,1,0)</f>
        <v>1</v>
      </c>
      <c r="DK13" s="11">
        <f>IF(預測IC!DK13&gt;預測IC!DK$26,1,0)</f>
        <v>0</v>
      </c>
      <c r="DL13" s="11">
        <f>IF(預測IC!DL13&gt;預測IC!DL$26,1,0)</f>
        <v>0</v>
      </c>
      <c r="DM13" s="11">
        <f>IF(預測IC!DM13&gt;預測IC!DM$26,1,0)</f>
        <v>0</v>
      </c>
      <c r="DN13" s="11">
        <f>IF(預測IC!DN13&gt;預測IC!DN$26,1,0)</f>
        <v>1</v>
      </c>
      <c r="DO13" s="11">
        <f>IF(預測IC!DO13&gt;預測IC!DO$26,1,0)</f>
        <v>0</v>
      </c>
      <c r="DP13" s="11">
        <f>IF(預測IC!DP13&gt;預測IC!DP$26,1,0)</f>
        <v>0</v>
      </c>
      <c r="DQ13" s="11">
        <f>IF(預測IC!DQ13&gt;預測IC!DQ$26,1,0)</f>
        <v>1</v>
      </c>
      <c r="DR13" s="11">
        <f>IF(預測IC!DR13&gt;預測IC!DR$26,1,0)</f>
        <v>0</v>
      </c>
      <c r="DS13" s="11">
        <f>IF(預測IC!DS13&gt;預測IC!DS$26,1,0)</f>
        <v>1</v>
      </c>
      <c r="DT13" s="11">
        <f>IF(預測IC!DT13&gt;預測IC!DT$26,1,0)</f>
        <v>0</v>
      </c>
      <c r="DU13" s="11">
        <f>IF(預測IC!DU13&gt;預測IC!DU$26,1,0)</f>
        <v>0</v>
      </c>
      <c r="DV13" s="11">
        <f>IF(預測IC!DV13&gt;預測IC!DV$26,1,0)</f>
        <v>0</v>
      </c>
      <c r="DW13" s="11">
        <f>IF(預測IC!DW13&gt;預測IC!DW$26,1,0)</f>
        <v>0</v>
      </c>
      <c r="DX13" s="11">
        <f>IF(預測IC!DX13&gt;預測IC!DX$26,1,0)</f>
        <v>0</v>
      </c>
      <c r="DY13" s="11">
        <f>IF(預測IC!DY13&gt;預測IC!DY$26,1,0)</f>
        <v>1</v>
      </c>
      <c r="DZ13" s="11">
        <f>IF(預測IC!DZ13&gt;預測IC!DZ$26,1,0)</f>
        <v>1</v>
      </c>
      <c r="EA13" s="11">
        <f>IF(預測IC!EA13&gt;預測IC!EA$26,1,0)</f>
        <v>1</v>
      </c>
      <c r="EB13" s="11">
        <f>IF(預測IC!EB13&gt;預測IC!EB$26,1,0)</f>
        <v>1</v>
      </c>
      <c r="EC13" s="11">
        <f>IF(預測IC!EC13&gt;預測IC!EC$26,1,0)</f>
        <v>1</v>
      </c>
      <c r="ED13" s="11">
        <f>IF(預測IC!ED13&gt;預測IC!ED$26,1,0)</f>
        <v>0</v>
      </c>
      <c r="EE13" s="11">
        <f>IF(預測IC!EE13&gt;預測IC!EE$26,1,0)</f>
        <v>1</v>
      </c>
      <c r="EF13" s="11">
        <f>IF(預測IC!EF13&gt;預測IC!EF$26,1,0)</f>
        <v>0</v>
      </c>
      <c r="EG13" s="1">
        <f t="shared" si="6"/>
        <v>53</v>
      </c>
      <c r="EH13" s="17">
        <f t="shared" si="7"/>
        <v>0.39552238805970147</v>
      </c>
    </row>
    <row r="14" spans="1:138">
      <c r="A14" s="2">
        <v>50</v>
      </c>
      <c r="B14" s="2">
        <v>19</v>
      </c>
      <c r="C14" s="11">
        <f>IF(預測IC!C14&gt;預測IC!C$26,1,0)</f>
        <v>1</v>
      </c>
      <c r="D14" s="11">
        <f>IF(預測IC!D14&gt;預測IC!D$26,1,0)</f>
        <v>1</v>
      </c>
      <c r="E14" s="11">
        <f>IF(預測IC!E14&gt;預測IC!E$26,1,0)</f>
        <v>1</v>
      </c>
      <c r="F14" s="11">
        <f>IF(預測IC!F14&gt;預測IC!F$26,1,0)</f>
        <v>1</v>
      </c>
      <c r="G14" s="11">
        <f>IF(預測IC!G14&gt;預測IC!G$26,1,0)</f>
        <v>1</v>
      </c>
      <c r="H14" s="11">
        <f>IF(預測IC!H14&gt;預測IC!H$26,1,0)</f>
        <v>1</v>
      </c>
      <c r="I14" s="11">
        <f>IF(預測IC!I14&gt;預測IC!I$26,1,0)</f>
        <v>1</v>
      </c>
      <c r="J14" s="11">
        <f>IF(預測IC!J14&gt;預測IC!J$26,1,0)</f>
        <v>0</v>
      </c>
      <c r="K14" s="11">
        <f>IF(預測IC!K14&gt;預測IC!K$26,1,0)</f>
        <v>1</v>
      </c>
      <c r="L14" s="11">
        <f>IF(預測IC!L14&gt;預測IC!L$26,1,0)</f>
        <v>0</v>
      </c>
      <c r="M14" s="11">
        <f>IF(預測IC!M14&gt;預測IC!M$26,1,0)</f>
        <v>0</v>
      </c>
      <c r="N14" s="11">
        <f>IF(預測IC!N14&gt;預測IC!N$26,1,0)</f>
        <v>0</v>
      </c>
      <c r="O14" s="11">
        <f>IF(預測IC!O14&gt;預測IC!O$26,1,0)</f>
        <v>0</v>
      </c>
      <c r="P14" s="11">
        <f>IF(預測IC!P14&gt;預測IC!P$26,1,0)</f>
        <v>1</v>
      </c>
      <c r="Q14" s="11">
        <f>IF(預測IC!Q14&gt;預測IC!Q$26,1,0)</f>
        <v>1</v>
      </c>
      <c r="R14" s="11">
        <f>IF(預測IC!R14&gt;預測IC!R$26,1,0)</f>
        <v>0</v>
      </c>
      <c r="S14" s="11">
        <f>IF(預測IC!S14&gt;預測IC!S$26,1,0)</f>
        <v>1</v>
      </c>
      <c r="T14" s="11">
        <f>IF(預測IC!T14&gt;預測IC!T$26,1,0)</f>
        <v>1</v>
      </c>
      <c r="U14" s="11">
        <f>IF(預測IC!U14&gt;預測IC!U$26,1,0)</f>
        <v>1</v>
      </c>
      <c r="V14" s="11">
        <f>IF(預測IC!V14&gt;預測IC!V$26,1,0)</f>
        <v>1</v>
      </c>
      <c r="W14" s="11">
        <f>IF(預測IC!W14&gt;預測IC!W$26,1,0)</f>
        <v>0</v>
      </c>
      <c r="X14" s="11">
        <f>IF(預測IC!X14&gt;預測IC!X$26,1,0)</f>
        <v>1</v>
      </c>
      <c r="Y14" s="11">
        <f>IF(預測IC!Y14&gt;預測IC!Y$26,1,0)</f>
        <v>1</v>
      </c>
      <c r="Z14" s="11">
        <f>IF(預測IC!Z14&gt;預測IC!Z$26,1,0)</f>
        <v>0</v>
      </c>
      <c r="AA14" s="11">
        <f>IF(預測IC!AA14&gt;預測IC!AA$26,1,0)</f>
        <v>1</v>
      </c>
      <c r="AB14" s="11">
        <f>IF(預測IC!AB14&gt;預測IC!AB$26,1,0)</f>
        <v>0</v>
      </c>
      <c r="AC14" s="11">
        <f>IF(預測IC!AC14&gt;預測IC!AC$26,1,0)</f>
        <v>0</v>
      </c>
      <c r="AD14" s="11">
        <f>IF(預測IC!AD14&gt;預測IC!AD$26,1,0)</f>
        <v>1</v>
      </c>
      <c r="AE14" s="11">
        <f>IF(預測IC!AE14&gt;預測IC!AE$26,1,0)</f>
        <v>1</v>
      </c>
      <c r="AF14" s="11">
        <f>IF(預測IC!AF14&gt;預測IC!AF$26,1,0)</f>
        <v>0</v>
      </c>
      <c r="AG14" s="11">
        <f>IF(預測IC!AG14&gt;預測IC!AG$26,1,0)</f>
        <v>0</v>
      </c>
      <c r="AH14" s="11">
        <f>IF(預測IC!AH14&gt;預測IC!AH$26,1,0)</f>
        <v>0</v>
      </c>
      <c r="AI14" s="11">
        <f>IF(預測IC!AI14&gt;預測IC!AI$26,1,0)</f>
        <v>0</v>
      </c>
      <c r="AJ14" s="11">
        <f>IF(預測IC!AJ14&gt;預測IC!AJ$26,1,0)</f>
        <v>0</v>
      </c>
      <c r="AK14" s="11">
        <f>IF(預測IC!AK14&gt;預測IC!AK$26,1,0)</f>
        <v>0</v>
      </c>
      <c r="AL14" s="11">
        <f>IF(預測IC!AL14&gt;預測IC!AL$26,1,0)</f>
        <v>0</v>
      </c>
      <c r="AM14" s="11">
        <f>IF(預測IC!AM14&gt;預測IC!AM$26,1,0)</f>
        <v>0</v>
      </c>
      <c r="AN14" s="11">
        <f>IF(預測IC!AN14&gt;預測IC!AN$26,1,0)</f>
        <v>0</v>
      </c>
      <c r="AO14" s="11">
        <f>IF(預測IC!AO14&gt;預測IC!AO$26,1,0)</f>
        <v>0</v>
      </c>
      <c r="AP14" s="11">
        <f>IF(預測IC!AP14&gt;預測IC!AP$26,1,0)</f>
        <v>1</v>
      </c>
      <c r="AQ14" s="11">
        <f>IF(預測IC!AQ14&gt;預測IC!AQ$26,1,0)</f>
        <v>0</v>
      </c>
      <c r="AR14" s="11">
        <f>IF(預測IC!AR14&gt;預測IC!AR$26,1,0)</f>
        <v>0</v>
      </c>
      <c r="AS14" s="11">
        <f>IF(預測IC!AS14&gt;預測IC!AS$26,1,0)</f>
        <v>0</v>
      </c>
      <c r="AT14" s="11">
        <f>IF(預測IC!AT14&gt;預測IC!AT$26,1,0)</f>
        <v>0</v>
      </c>
      <c r="AU14" s="11">
        <f>IF(預測IC!AU14&gt;預測IC!AU$26,1,0)</f>
        <v>0</v>
      </c>
      <c r="AV14" s="11">
        <f>IF(預測IC!AV14&gt;預測IC!AV$26,1,0)</f>
        <v>0</v>
      </c>
      <c r="AW14" s="11">
        <f>IF(預測IC!AW14&gt;預測IC!AW$26,1,0)</f>
        <v>1</v>
      </c>
      <c r="AX14" s="11">
        <f>IF(預測IC!AX14&gt;預測IC!AX$26,1,0)</f>
        <v>0</v>
      </c>
      <c r="AY14" s="11">
        <f>IF(預測IC!AY14&gt;預測IC!AY$26,1,0)</f>
        <v>0</v>
      </c>
      <c r="AZ14" s="11">
        <f>IF(預測IC!AZ14&gt;預測IC!AZ$26,1,0)</f>
        <v>1</v>
      </c>
      <c r="BA14" s="11">
        <f>IF(預測IC!BA14&gt;預測IC!BA$26,1,0)</f>
        <v>1</v>
      </c>
      <c r="BB14" s="11">
        <f>IF(預測IC!BB14&gt;預測IC!BB$26,1,0)</f>
        <v>0</v>
      </c>
      <c r="BC14" s="11">
        <f>IF(預測IC!BC14&gt;預測IC!BC$26,1,0)</f>
        <v>0</v>
      </c>
      <c r="BD14" s="11">
        <f>IF(預測IC!BD14&gt;預測IC!BD$26,1,0)</f>
        <v>0</v>
      </c>
      <c r="BE14" s="11">
        <f>IF(預測IC!BE14&gt;預測IC!BE$26,1,0)</f>
        <v>0</v>
      </c>
      <c r="BF14" s="11">
        <f>IF(預測IC!BF14&gt;預測IC!BF$26,1,0)</f>
        <v>0</v>
      </c>
      <c r="BG14" s="11">
        <f>IF(預測IC!BG14&gt;預測IC!BG$26,1,0)</f>
        <v>0</v>
      </c>
      <c r="BH14" s="11">
        <f>IF(預測IC!BH14&gt;預測IC!BH$26,1,0)</f>
        <v>1</v>
      </c>
      <c r="BI14" s="11">
        <f>IF(預測IC!BI14&gt;預測IC!BI$26,1,0)</f>
        <v>1</v>
      </c>
      <c r="BJ14" s="11">
        <f>IF(預測IC!BJ14&gt;預測IC!BJ$26,1,0)</f>
        <v>0</v>
      </c>
      <c r="BK14" s="11">
        <f>IF(預測IC!BK14&gt;預測IC!BK$26,1,0)</f>
        <v>0</v>
      </c>
      <c r="BL14" s="11">
        <f>IF(預測IC!BL14&gt;預測IC!BL$26,1,0)</f>
        <v>0</v>
      </c>
      <c r="BM14" s="11">
        <f>IF(預測IC!BM14&gt;預測IC!BM$26,1,0)</f>
        <v>0</v>
      </c>
      <c r="BN14" s="11">
        <f>IF(預測IC!BN14&gt;預測IC!BN$26,1,0)</f>
        <v>0</v>
      </c>
      <c r="BO14" s="11">
        <f>IF(預測IC!BO14&gt;預測IC!BO$26,1,0)</f>
        <v>1</v>
      </c>
      <c r="BP14" s="11">
        <f>IF(預測IC!BP14&gt;預測IC!BP$26,1,0)</f>
        <v>0</v>
      </c>
      <c r="BQ14" s="11">
        <f>IF(預測IC!BQ14&gt;預測IC!BQ$26,1,0)</f>
        <v>0</v>
      </c>
      <c r="BR14" s="11">
        <f>IF(預測IC!BR14&gt;預測IC!BR$26,1,0)</f>
        <v>1</v>
      </c>
      <c r="BS14" s="11">
        <f>IF(預測IC!BS14&gt;預測IC!BS$26,1,0)</f>
        <v>1</v>
      </c>
      <c r="BT14" s="11">
        <f>IF(預測IC!BT14&gt;預測IC!BT$26,1,0)</f>
        <v>0</v>
      </c>
      <c r="BU14" s="11">
        <f>IF(預測IC!BU14&gt;預測IC!BU$26,1,0)</f>
        <v>0</v>
      </c>
      <c r="BV14" s="11">
        <f>IF(預測IC!BV14&gt;預測IC!BV$26,1,0)</f>
        <v>0</v>
      </c>
      <c r="BW14" s="11">
        <f>IF(預測IC!BW14&gt;預測IC!BW$26,1,0)</f>
        <v>1</v>
      </c>
      <c r="BX14" s="11">
        <f>IF(預測IC!BX14&gt;預測IC!BX$26,1,0)</f>
        <v>0</v>
      </c>
      <c r="BY14" s="11">
        <f>IF(預測IC!BY14&gt;預測IC!BY$26,1,0)</f>
        <v>1</v>
      </c>
      <c r="BZ14" s="11">
        <f>IF(預測IC!BZ14&gt;預測IC!BZ$26,1,0)</f>
        <v>0</v>
      </c>
      <c r="CA14" s="11">
        <f>IF(預測IC!CA14&gt;預測IC!CA$26,1,0)</f>
        <v>1</v>
      </c>
      <c r="CB14" s="11">
        <f>IF(預測IC!CB14&gt;預測IC!CB$26,1,0)</f>
        <v>0</v>
      </c>
      <c r="CC14" s="11">
        <f>IF(預測IC!CC14&gt;預測IC!CC$26,1,0)</f>
        <v>0</v>
      </c>
      <c r="CD14" s="11">
        <f>IF(預測IC!CD14&gt;預測IC!CD$26,1,0)</f>
        <v>1</v>
      </c>
      <c r="CE14" s="11">
        <f>IF(預測IC!CE14&gt;預測IC!CE$26,1,0)</f>
        <v>0</v>
      </c>
      <c r="CF14" s="11">
        <f>IF(預測IC!CF14&gt;預測IC!CF$26,1,0)</f>
        <v>0</v>
      </c>
      <c r="CG14" s="11">
        <f>IF(預測IC!CG14&gt;預測IC!CG$26,1,0)</f>
        <v>0</v>
      </c>
      <c r="CH14" s="11">
        <f>IF(預測IC!CH14&gt;預測IC!CH$26,1,0)</f>
        <v>0</v>
      </c>
      <c r="CI14" s="11">
        <f>IF(預測IC!CI14&gt;預測IC!CI$26,1,0)</f>
        <v>0</v>
      </c>
      <c r="CJ14" s="11">
        <f>IF(預測IC!CJ14&gt;預測IC!CJ$26,1,0)</f>
        <v>0</v>
      </c>
      <c r="CK14" s="11">
        <f>IF(預測IC!CK14&gt;預測IC!CK$26,1,0)</f>
        <v>1</v>
      </c>
      <c r="CL14" s="11">
        <f>IF(預測IC!CL14&gt;預測IC!CL$26,1,0)</f>
        <v>1</v>
      </c>
      <c r="CM14" s="11">
        <f>IF(預測IC!CM14&gt;預測IC!CM$26,1,0)</f>
        <v>0</v>
      </c>
      <c r="CN14" s="11">
        <f>IF(預測IC!CN14&gt;預測IC!CN$26,1,0)</f>
        <v>0</v>
      </c>
      <c r="CO14" s="11">
        <f>IF(預測IC!CO14&gt;預測IC!CO$26,1,0)</f>
        <v>1</v>
      </c>
      <c r="CP14" s="11">
        <f>IF(預測IC!CP14&gt;預測IC!CP$26,1,0)</f>
        <v>0</v>
      </c>
      <c r="CQ14" s="11">
        <f>IF(預測IC!CQ14&gt;預測IC!CQ$26,1,0)</f>
        <v>0</v>
      </c>
      <c r="CR14" s="11">
        <f>IF(預測IC!CR14&gt;預測IC!CR$26,1,0)</f>
        <v>0</v>
      </c>
      <c r="CS14" s="11">
        <f>IF(預測IC!CS14&gt;預測IC!CS$26,1,0)</f>
        <v>0</v>
      </c>
      <c r="CT14" s="11">
        <f>IF(預測IC!CT14&gt;預測IC!CT$26,1,0)</f>
        <v>0</v>
      </c>
      <c r="CU14" s="11">
        <f>IF(預測IC!CU14&gt;預測IC!CU$26,1,0)</f>
        <v>1</v>
      </c>
      <c r="CV14" s="11">
        <f>IF(預測IC!CV14&gt;預測IC!CV$26,1,0)</f>
        <v>0</v>
      </c>
      <c r="CW14" s="11">
        <f>IF(預測IC!CW14&gt;預測IC!CW$26,1,0)</f>
        <v>1</v>
      </c>
      <c r="CX14" s="11">
        <f>IF(預測IC!CX14&gt;預測IC!CX$26,1,0)</f>
        <v>1</v>
      </c>
      <c r="CY14" s="11">
        <f>IF(預測IC!CY14&gt;預測IC!CY$26,1,0)</f>
        <v>1</v>
      </c>
      <c r="CZ14" s="11">
        <f>IF(預測IC!CZ14&gt;預測IC!CZ$26,1,0)</f>
        <v>1</v>
      </c>
      <c r="DA14" s="11">
        <f>IF(預測IC!DA14&gt;預測IC!DA$26,1,0)</f>
        <v>1</v>
      </c>
      <c r="DB14" s="11">
        <f>IF(預測IC!DB14&gt;預測IC!DB$26,1,0)</f>
        <v>1</v>
      </c>
      <c r="DC14" s="11">
        <f>IF(預測IC!DC14&gt;預測IC!DC$26,1,0)</f>
        <v>1</v>
      </c>
      <c r="DD14" s="11">
        <f>IF(預測IC!DD14&gt;預測IC!DD$26,1,0)</f>
        <v>1</v>
      </c>
      <c r="DE14" s="11">
        <f>IF(預測IC!DE14&gt;預測IC!DE$26,1,0)</f>
        <v>0</v>
      </c>
      <c r="DF14" s="11">
        <f>IF(預測IC!DF14&gt;預測IC!DF$26,1,0)</f>
        <v>1</v>
      </c>
      <c r="DG14" s="11">
        <f>IF(預測IC!DG14&gt;預測IC!DG$26,1,0)</f>
        <v>0</v>
      </c>
      <c r="DH14" s="11">
        <f>IF(預測IC!DH14&gt;預測IC!DH$26,1,0)</f>
        <v>0</v>
      </c>
      <c r="DI14" s="11">
        <f>IF(預測IC!DI14&gt;預測IC!DI$26,1,0)</f>
        <v>1</v>
      </c>
      <c r="DJ14" s="11">
        <f>IF(預測IC!DJ14&gt;預測IC!DJ$26,1,0)</f>
        <v>1</v>
      </c>
      <c r="DK14" s="11">
        <f>IF(預測IC!DK14&gt;預測IC!DK$26,1,0)</f>
        <v>0</v>
      </c>
      <c r="DL14" s="11">
        <f>IF(預測IC!DL14&gt;預測IC!DL$26,1,0)</f>
        <v>0</v>
      </c>
      <c r="DM14" s="11">
        <f>IF(預測IC!DM14&gt;預測IC!DM$26,1,0)</f>
        <v>0</v>
      </c>
      <c r="DN14" s="11">
        <f>IF(預測IC!DN14&gt;預測IC!DN$26,1,0)</f>
        <v>0</v>
      </c>
      <c r="DO14" s="11">
        <f>IF(預測IC!DO14&gt;預測IC!DO$26,1,0)</f>
        <v>0</v>
      </c>
      <c r="DP14" s="11">
        <f>IF(預測IC!DP14&gt;預測IC!DP$26,1,0)</f>
        <v>0</v>
      </c>
      <c r="DQ14" s="11">
        <f>IF(預測IC!DQ14&gt;預測IC!DQ$26,1,0)</f>
        <v>0</v>
      </c>
      <c r="DR14" s="11">
        <f>IF(預測IC!DR14&gt;預測IC!DR$26,1,0)</f>
        <v>0</v>
      </c>
      <c r="DS14" s="11">
        <f>IF(預測IC!DS14&gt;預測IC!DS$26,1,0)</f>
        <v>1</v>
      </c>
      <c r="DT14" s="11">
        <f>IF(預測IC!DT14&gt;預測IC!DT$26,1,0)</f>
        <v>0</v>
      </c>
      <c r="DU14" s="11">
        <f>IF(預測IC!DU14&gt;預測IC!DU$26,1,0)</f>
        <v>0</v>
      </c>
      <c r="DV14" s="11">
        <f>IF(預測IC!DV14&gt;預測IC!DV$26,1,0)</f>
        <v>0</v>
      </c>
      <c r="DW14" s="11">
        <f>IF(預測IC!DW14&gt;預測IC!DW$26,1,0)</f>
        <v>0</v>
      </c>
      <c r="DX14" s="11">
        <f>IF(預測IC!DX14&gt;預測IC!DX$26,1,0)</f>
        <v>1</v>
      </c>
      <c r="DY14" s="11">
        <f>IF(預測IC!DY14&gt;預測IC!DY$26,1,0)</f>
        <v>0</v>
      </c>
      <c r="DZ14" s="11">
        <f>IF(預測IC!DZ14&gt;預測IC!DZ$26,1,0)</f>
        <v>1</v>
      </c>
      <c r="EA14" s="11">
        <f>IF(預測IC!EA14&gt;預測IC!EA$26,1,0)</f>
        <v>1</v>
      </c>
      <c r="EB14" s="11">
        <f>IF(預測IC!EB14&gt;預測IC!EB$26,1,0)</f>
        <v>1</v>
      </c>
      <c r="EC14" s="11">
        <f>IF(預測IC!EC14&gt;預測IC!EC$26,1,0)</f>
        <v>0</v>
      </c>
      <c r="ED14" s="11">
        <f>IF(預測IC!ED14&gt;預測IC!ED$26,1,0)</f>
        <v>0</v>
      </c>
      <c r="EE14" s="11">
        <f>IF(預測IC!EE14&gt;預測IC!EE$26,1,0)</f>
        <v>1</v>
      </c>
      <c r="EF14" s="11">
        <f>IF(預測IC!EF14&gt;預測IC!EF$26,1,0)</f>
        <v>0</v>
      </c>
      <c r="EG14" s="1">
        <f t="shared" si="6"/>
        <v>53</v>
      </c>
      <c r="EH14" s="17">
        <f t="shared" si="7"/>
        <v>0.39552238805970147</v>
      </c>
    </row>
    <row r="15" spans="1:138">
      <c r="A15" s="2">
        <v>100</v>
      </c>
      <c r="B15" s="2">
        <v>10</v>
      </c>
      <c r="C15" s="11">
        <f>IF(預測IC!C15&gt;預測IC!C$26,1,0)</f>
        <v>1</v>
      </c>
      <c r="D15" s="11">
        <f>IF(預測IC!D15&gt;預測IC!D$26,1,0)</f>
        <v>1</v>
      </c>
      <c r="E15" s="11">
        <f>IF(預測IC!E15&gt;預測IC!E$26,1,0)</f>
        <v>1</v>
      </c>
      <c r="F15" s="11">
        <f>IF(預測IC!F15&gt;預測IC!F$26,1,0)</f>
        <v>1</v>
      </c>
      <c r="G15" s="11">
        <f>IF(預測IC!G15&gt;預測IC!G$26,1,0)</f>
        <v>1</v>
      </c>
      <c r="H15" s="11">
        <f>IF(預測IC!H15&gt;預測IC!H$26,1,0)</f>
        <v>1</v>
      </c>
      <c r="I15" s="11">
        <f>IF(預測IC!I15&gt;預測IC!I$26,1,0)</f>
        <v>1</v>
      </c>
      <c r="J15" s="11">
        <f>IF(預測IC!J15&gt;預測IC!J$26,1,0)</f>
        <v>0</v>
      </c>
      <c r="K15" s="11">
        <f>IF(預測IC!K15&gt;預測IC!K$26,1,0)</f>
        <v>1</v>
      </c>
      <c r="L15" s="11">
        <f>IF(預測IC!L15&gt;預測IC!L$26,1,0)</f>
        <v>1</v>
      </c>
      <c r="M15" s="11">
        <f>IF(預測IC!M15&gt;預測IC!M$26,1,0)</f>
        <v>0</v>
      </c>
      <c r="N15" s="11">
        <f>IF(預測IC!N15&gt;預測IC!N$26,1,0)</f>
        <v>0</v>
      </c>
      <c r="O15" s="11">
        <f>IF(預測IC!O15&gt;預測IC!O$26,1,0)</f>
        <v>0</v>
      </c>
      <c r="P15" s="11">
        <f>IF(預測IC!P15&gt;預測IC!P$26,1,0)</f>
        <v>1</v>
      </c>
      <c r="Q15" s="11">
        <f>IF(預測IC!Q15&gt;預測IC!Q$26,1,0)</f>
        <v>1</v>
      </c>
      <c r="R15" s="11">
        <f>IF(預測IC!R15&gt;預測IC!R$26,1,0)</f>
        <v>0</v>
      </c>
      <c r="S15" s="11">
        <f>IF(預測IC!S15&gt;預測IC!S$26,1,0)</f>
        <v>0</v>
      </c>
      <c r="T15" s="11">
        <f>IF(預測IC!T15&gt;預測IC!T$26,1,0)</f>
        <v>0</v>
      </c>
      <c r="U15" s="11">
        <f>IF(預測IC!U15&gt;預測IC!U$26,1,0)</f>
        <v>1</v>
      </c>
      <c r="V15" s="11">
        <f>IF(預測IC!V15&gt;預測IC!V$26,1,0)</f>
        <v>0</v>
      </c>
      <c r="W15" s="11">
        <f>IF(預測IC!W15&gt;預測IC!W$26,1,0)</f>
        <v>0</v>
      </c>
      <c r="X15" s="11">
        <f>IF(預測IC!X15&gt;預測IC!X$26,1,0)</f>
        <v>1</v>
      </c>
      <c r="Y15" s="11">
        <f>IF(預測IC!Y15&gt;預測IC!Y$26,1,0)</f>
        <v>1</v>
      </c>
      <c r="Z15" s="11">
        <f>IF(預測IC!Z15&gt;預測IC!Z$26,1,0)</f>
        <v>0</v>
      </c>
      <c r="AA15" s="11">
        <f>IF(預測IC!AA15&gt;預測IC!AA$26,1,0)</f>
        <v>1</v>
      </c>
      <c r="AB15" s="11">
        <f>IF(預測IC!AB15&gt;預測IC!AB$26,1,0)</f>
        <v>0</v>
      </c>
      <c r="AC15" s="11">
        <f>IF(預測IC!AC15&gt;預測IC!AC$26,1,0)</f>
        <v>0</v>
      </c>
      <c r="AD15" s="11">
        <f>IF(預測IC!AD15&gt;預測IC!AD$26,1,0)</f>
        <v>1</v>
      </c>
      <c r="AE15" s="11">
        <f>IF(預測IC!AE15&gt;預測IC!AE$26,1,0)</f>
        <v>1</v>
      </c>
      <c r="AF15" s="11">
        <f>IF(預測IC!AF15&gt;預測IC!AF$26,1,0)</f>
        <v>0</v>
      </c>
      <c r="AG15" s="11">
        <f>IF(預測IC!AG15&gt;預測IC!AG$26,1,0)</f>
        <v>0</v>
      </c>
      <c r="AH15" s="11">
        <f>IF(預測IC!AH15&gt;預測IC!AH$26,1,0)</f>
        <v>1</v>
      </c>
      <c r="AI15" s="11">
        <f>IF(預測IC!AI15&gt;預測IC!AI$26,1,0)</f>
        <v>0</v>
      </c>
      <c r="AJ15" s="11">
        <f>IF(預測IC!AJ15&gt;預測IC!AJ$26,1,0)</f>
        <v>0</v>
      </c>
      <c r="AK15" s="11">
        <f>IF(預測IC!AK15&gt;預測IC!AK$26,1,0)</f>
        <v>0</v>
      </c>
      <c r="AL15" s="11">
        <f>IF(預測IC!AL15&gt;預測IC!AL$26,1,0)</f>
        <v>0</v>
      </c>
      <c r="AM15" s="11">
        <f>IF(預測IC!AM15&gt;預測IC!AM$26,1,0)</f>
        <v>0</v>
      </c>
      <c r="AN15" s="11">
        <f>IF(預測IC!AN15&gt;預測IC!AN$26,1,0)</f>
        <v>0</v>
      </c>
      <c r="AO15" s="11">
        <f>IF(預測IC!AO15&gt;預測IC!AO$26,1,0)</f>
        <v>0</v>
      </c>
      <c r="AP15" s="11">
        <f>IF(預測IC!AP15&gt;預測IC!AP$26,1,0)</f>
        <v>1</v>
      </c>
      <c r="AQ15" s="11">
        <f>IF(預測IC!AQ15&gt;預測IC!AQ$26,1,0)</f>
        <v>1</v>
      </c>
      <c r="AR15" s="11">
        <f>IF(預測IC!AR15&gt;預測IC!AR$26,1,0)</f>
        <v>0</v>
      </c>
      <c r="AS15" s="11">
        <f>IF(預測IC!AS15&gt;預測IC!AS$26,1,0)</f>
        <v>0</v>
      </c>
      <c r="AT15" s="11">
        <f>IF(預測IC!AT15&gt;預測IC!AT$26,1,0)</f>
        <v>0</v>
      </c>
      <c r="AU15" s="11">
        <f>IF(預測IC!AU15&gt;預測IC!AU$26,1,0)</f>
        <v>0</v>
      </c>
      <c r="AV15" s="11">
        <f>IF(預測IC!AV15&gt;預測IC!AV$26,1,0)</f>
        <v>1</v>
      </c>
      <c r="AW15" s="11">
        <f>IF(預測IC!AW15&gt;預測IC!AW$26,1,0)</f>
        <v>1</v>
      </c>
      <c r="AX15" s="11">
        <f>IF(預測IC!AX15&gt;預測IC!AX$26,1,0)</f>
        <v>0</v>
      </c>
      <c r="AY15" s="11">
        <f>IF(預測IC!AY15&gt;預測IC!AY$26,1,0)</f>
        <v>0</v>
      </c>
      <c r="AZ15" s="11">
        <f>IF(預測IC!AZ15&gt;預測IC!AZ$26,1,0)</f>
        <v>1</v>
      </c>
      <c r="BA15" s="11">
        <f>IF(預測IC!BA15&gt;預測IC!BA$26,1,0)</f>
        <v>1</v>
      </c>
      <c r="BB15" s="11">
        <f>IF(預測IC!BB15&gt;預測IC!BB$26,1,0)</f>
        <v>0</v>
      </c>
      <c r="BC15" s="11">
        <f>IF(預測IC!BC15&gt;預測IC!BC$26,1,0)</f>
        <v>0</v>
      </c>
      <c r="BD15" s="11">
        <f>IF(預測IC!BD15&gt;預測IC!BD$26,1,0)</f>
        <v>0</v>
      </c>
      <c r="BE15" s="11">
        <f>IF(預測IC!BE15&gt;預測IC!BE$26,1,0)</f>
        <v>0</v>
      </c>
      <c r="BF15" s="11">
        <f>IF(預測IC!BF15&gt;預測IC!BF$26,1,0)</f>
        <v>0</v>
      </c>
      <c r="BG15" s="11">
        <f>IF(預測IC!BG15&gt;預測IC!BG$26,1,0)</f>
        <v>0</v>
      </c>
      <c r="BH15" s="11">
        <f>IF(預測IC!BH15&gt;預測IC!BH$26,1,0)</f>
        <v>1</v>
      </c>
      <c r="BI15" s="11">
        <f>IF(預測IC!BI15&gt;預測IC!BI$26,1,0)</f>
        <v>1</v>
      </c>
      <c r="BJ15" s="11">
        <f>IF(預測IC!BJ15&gt;預測IC!BJ$26,1,0)</f>
        <v>0</v>
      </c>
      <c r="BK15" s="11">
        <f>IF(預測IC!BK15&gt;預測IC!BK$26,1,0)</f>
        <v>1</v>
      </c>
      <c r="BL15" s="11">
        <f>IF(預測IC!BL15&gt;預測IC!BL$26,1,0)</f>
        <v>0</v>
      </c>
      <c r="BM15" s="11">
        <f>IF(預測IC!BM15&gt;預測IC!BM$26,1,0)</f>
        <v>0</v>
      </c>
      <c r="BN15" s="11">
        <f>IF(預測IC!BN15&gt;預測IC!BN$26,1,0)</f>
        <v>0</v>
      </c>
      <c r="BO15" s="11">
        <f>IF(預測IC!BO15&gt;預測IC!BO$26,1,0)</f>
        <v>1</v>
      </c>
      <c r="BP15" s="11">
        <f>IF(預測IC!BP15&gt;預測IC!BP$26,1,0)</f>
        <v>0</v>
      </c>
      <c r="BQ15" s="11">
        <f>IF(預測IC!BQ15&gt;預測IC!BQ$26,1,0)</f>
        <v>0</v>
      </c>
      <c r="BR15" s="11">
        <f>IF(預測IC!BR15&gt;預測IC!BR$26,1,0)</f>
        <v>1</v>
      </c>
      <c r="BS15" s="11">
        <f>IF(預測IC!BS15&gt;預測IC!BS$26,1,0)</f>
        <v>0</v>
      </c>
      <c r="BT15" s="11">
        <f>IF(預測IC!BT15&gt;預測IC!BT$26,1,0)</f>
        <v>0</v>
      </c>
      <c r="BU15" s="11">
        <f>IF(預測IC!BU15&gt;預測IC!BU$26,1,0)</f>
        <v>0</v>
      </c>
      <c r="BV15" s="11">
        <f>IF(預測IC!BV15&gt;預測IC!BV$26,1,0)</f>
        <v>1</v>
      </c>
      <c r="BW15" s="11">
        <f>IF(預測IC!BW15&gt;預測IC!BW$26,1,0)</f>
        <v>1</v>
      </c>
      <c r="BX15" s="11">
        <f>IF(預測IC!BX15&gt;預測IC!BX$26,1,0)</f>
        <v>0</v>
      </c>
      <c r="BY15" s="11">
        <f>IF(預測IC!BY15&gt;預測IC!BY$26,1,0)</f>
        <v>1</v>
      </c>
      <c r="BZ15" s="11">
        <f>IF(預測IC!BZ15&gt;預測IC!BZ$26,1,0)</f>
        <v>0</v>
      </c>
      <c r="CA15" s="11">
        <f>IF(預測IC!CA15&gt;預測IC!CA$26,1,0)</f>
        <v>1</v>
      </c>
      <c r="CB15" s="11">
        <f>IF(預測IC!CB15&gt;預測IC!CB$26,1,0)</f>
        <v>0</v>
      </c>
      <c r="CC15" s="11">
        <f>IF(預測IC!CC15&gt;預測IC!CC$26,1,0)</f>
        <v>0</v>
      </c>
      <c r="CD15" s="11">
        <f>IF(預測IC!CD15&gt;預測IC!CD$26,1,0)</f>
        <v>0</v>
      </c>
      <c r="CE15" s="11">
        <f>IF(預測IC!CE15&gt;預測IC!CE$26,1,0)</f>
        <v>0</v>
      </c>
      <c r="CF15" s="11">
        <f>IF(預測IC!CF15&gt;預測IC!CF$26,1,0)</f>
        <v>0</v>
      </c>
      <c r="CG15" s="11">
        <f>IF(預測IC!CG15&gt;預測IC!CG$26,1,0)</f>
        <v>0</v>
      </c>
      <c r="CH15" s="11">
        <f>IF(預測IC!CH15&gt;預測IC!CH$26,1,0)</f>
        <v>0</v>
      </c>
      <c r="CI15" s="11">
        <f>IF(預測IC!CI15&gt;預測IC!CI$26,1,0)</f>
        <v>0</v>
      </c>
      <c r="CJ15" s="11">
        <f>IF(預測IC!CJ15&gt;預測IC!CJ$26,1,0)</f>
        <v>0</v>
      </c>
      <c r="CK15" s="11">
        <f>IF(預測IC!CK15&gt;預測IC!CK$26,1,0)</f>
        <v>1</v>
      </c>
      <c r="CL15" s="11">
        <f>IF(預測IC!CL15&gt;預測IC!CL$26,1,0)</f>
        <v>1</v>
      </c>
      <c r="CM15" s="11">
        <f>IF(預測IC!CM15&gt;預測IC!CM$26,1,0)</f>
        <v>0</v>
      </c>
      <c r="CN15" s="11">
        <f>IF(預測IC!CN15&gt;預測IC!CN$26,1,0)</f>
        <v>1</v>
      </c>
      <c r="CO15" s="11">
        <f>IF(預測IC!CO15&gt;預測IC!CO$26,1,0)</f>
        <v>1</v>
      </c>
      <c r="CP15" s="11">
        <f>IF(預測IC!CP15&gt;預測IC!CP$26,1,0)</f>
        <v>0</v>
      </c>
      <c r="CQ15" s="11">
        <f>IF(預測IC!CQ15&gt;預測IC!CQ$26,1,0)</f>
        <v>0</v>
      </c>
      <c r="CR15" s="11">
        <f>IF(預測IC!CR15&gt;預測IC!CR$26,1,0)</f>
        <v>0</v>
      </c>
      <c r="CS15" s="11">
        <f>IF(預測IC!CS15&gt;預測IC!CS$26,1,0)</f>
        <v>0</v>
      </c>
      <c r="CT15" s="11">
        <f>IF(預測IC!CT15&gt;預測IC!CT$26,1,0)</f>
        <v>0</v>
      </c>
      <c r="CU15" s="11">
        <f>IF(預測IC!CU15&gt;預測IC!CU$26,1,0)</f>
        <v>1</v>
      </c>
      <c r="CV15" s="11">
        <f>IF(預測IC!CV15&gt;預測IC!CV$26,1,0)</f>
        <v>1</v>
      </c>
      <c r="CW15" s="11">
        <f>IF(預測IC!CW15&gt;預測IC!CW$26,1,0)</f>
        <v>1</v>
      </c>
      <c r="CX15" s="11">
        <f>IF(預測IC!CX15&gt;預測IC!CX$26,1,0)</f>
        <v>1</v>
      </c>
      <c r="CY15" s="11">
        <f>IF(預測IC!CY15&gt;預測IC!CY$26,1,0)</f>
        <v>1</v>
      </c>
      <c r="CZ15" s="11">
        <f>IF(預測IC!CZ15&gt;預測IC!CZ$26,1,0)</f>
        <v>1</v>
      </c>
      <c r="DA15" s="11">
        <f>IF(預測IC!DA15&gt;預測IC!DA$26,1,0)</f>
        <v>1</v>
      </c>
      <c r="DB15" s="11">
        <f>IF(預測IC!DB15&gt;預測IC!DB$26,1,0)</f>
        <v>1</v>
      </c>
      <c r="DC15" s="11">
        <f>IF(預測IC!DC15&gt;預測IC!DC$26,1,0)</f>
        <v>1</v>
      </c>
      <c r="DD15" s="11">
        <f>IF(預測IC!DD15&gt;預測IC!DD$26,1,0)</f>
        <v>1</v>
      </c>
      <c r="DE15" s="11">
        <f>IF(預測IC!DE15&gt;預測IC!DE$26,1,0)</f>
        <v>0</v>
      </c>
      <c r="DF15" s="11">
        <f>IF(預測IC!DF15&gt;預測IC!DF$26,1,0)</f>
        <v>1</v>
      </c>
      <c r="DG15" s="11">
        <f>IF(預測IC!DG15&gt;預測IC!DG$26,1,0)</f>
        <v>0</v>
      </c>
      <c r="DH15" s="11">
        <f>IF(預測IC!DH15&gt;預測IC!DH$26,1,0)</f>
        <v>1</v>
      </c>
      <c r="DI15" s="11">
        <f>IF(預測IC!DI15&gt;預測IC!DI$26,1,0)</f>
        <v>0</v>
      </c>
      <c r="DJ15" s="11">
        <f>IF(預測IC!DJ15&gt;預測IC!DJ$26,1,0)</f>
        <v>1</v>
      </c>
      <c r="DK15" s="11">
        <f>IF(預測IC!DK15&gt;預測IC!DK$26,1,0)</f>
        <v>0</v>
      </c>
      <c r="DL15" s="11">
        <f>IF(預測IC!DL15&gt;預測IC!DL$26,1,0)</f>
        <v>0</v>
      </c>
      <c r="DM15" s="11">
        <f>IF(預測IC!DM15&gt;預測IC!DM$26,1,0)</f>
        <v>1</v>
      </c>
      <c r="DN15" s="11">
        <f>IF(預測IC!DN15&gt;預測IC!DN$26,1,0)</f>
        <v>0</v>
      </c>
      <c r="DO15" s="11">
        <f>IF(預測IC!DO15&gt;預測IC!DO$26,1,0)</f>
        <v>0</v>
      </c>
      <c r="DP15" s="11">
        <f>IF(預測IC!DP15&gt;預測IC!DP$26,1,0)</f>
        <v>0</v>
      </c>
      <c r="DQ15" s="11">
        <f>IF(預測IC!DQ15&gt;預測IC!DQ$26,1,0)</f>
        <v>0</v>
      </c>
      <c r="DR15" s="11">
        <f>IF(預測IC!DR15&gt;預測IC!DR$26,1,0)</f>
        <v>1</v>
      </c>
      <c r="DS15" s="11">
        <f>IF(預測IC!DS15&gt;預測IC!DS$26,1,0)</f>
        <v>1</v>
      </c>
      <c r="DT15" s="11">
        <f>IF(預測IC!DT15&gt;預測IC!DT$26,1,0)</f>
        <v>1</v>
      </c>
      <c r="DU15" s="11">
        <f>IF(預測IC!DU15&gt;預測IC!DU$26,1,0)</f>
        <v>0</v>
      </c>
      <c r="DV15" s="11">
        <f>IF(預測IC!DV15&gt;預測IC!DV$26,1,0)</f>
        <v>0</v>
      </c>
      <c r="DW15" s="11">
        <f>IF(預測IC!DW15&gt;預測IC!DW$26,1,0)</f>
        <v>0</v>
      </c>
      <c r="DX15" s="11">
        <f>IF(預測IC!DX15&gt;預測IC!DX$26,1,0)</f>
        <v>1</v>
      </c>
      <c r="DY15" s="11">
        <f>IF(預測IC!DY15&gt;預測IC!DY$26,1,0)</f>
        <v>0</v>
      </c>
      <c r="DZ15" s="11">
        <f>IF(預測IC!DZ15&gt;預測IC!DZ$26,1,0)</f>
        <v>1</v>
      </c>
      <c r="EA15" s="11">
        <f>IF(預測IC!EA15&gt;預測IC!EA$26,1,0)</f>
        <v>1</v>
      </c>
      <c r="EB15" s="11">
        <f>IF(預測IC!EB15&gt;預測IC!EB$26,1,0)</f>
        <v>1</v>
      </c>
      <c r="EC15" s="11">
        <f>IF(預測IC!EC15&gt;預測IC!EC$26,1,0)</f>
        <v>0</v>
      </c>
      <c r="ED15" s="11">
        <f>IF(預測IC!ED15&gt;預測IC!ED$26,1,0)</f>
        <v>0</v>
      </c>
      <c r="EE15" s="11">
        <f>IF(預測IC!EE15&gt;預測IC!EE$26,1,0)</f>
        <v>1</v>
      </c>
      <c r="EF15" s="11">
        <f>IF(預測IC!EF15&gt;預測IC!EF$26,1,0)</f>
        <v>0</v>
      </c>
      <c r="EG15" s="1">
        <f t="shared" si="6"/>
        <v>59</v>
      </c>
      <c r="EH15" s="17">
        <f t="shared" si="7"/>
        <v>0.44029850746268656</v>
      </c>
    </row>
    <row r="16" spans="1:138">
      <c r="A16" s="2">
        <v>107</v>
      </c>
      <c r="B16" s="2">
        <v>9</v>
      </c>
      <c r="C16" s="11">
        <f>IF(預測IC!C16&gt;預測IC!C$26,1,0)</f>
        <v>1</v>
      </c>
      <c r="D16" s="11">
        <f>IF(預測IC!D16&gt;預測IC!D$26,1,0)</f>
        <v>1</v>
      </c>
      <c r="E16" s="11">
        <f>IF(預測IC!E16&gt;預測IC!E$26,1,0)</f>
        <v>1</v>
      </c>
      <c r="F16" s="11">
        <f>IF(預測IC!F16&gt;預測IC!F$26,1,0)</f>
        <v>1</v>
      </c>
      <c r="G16" s="11">
        <f>IF(預測IC!G16&gt;預測IC!G$26,1,0)</f>
        <v>1</v>
      </c>
      <c r="H16" s="11">
        <f>IF(預測IC!H16&gt;預測IC!H$26,1,0)</f>
        <v>1</v>
      </c>
      <c r="I16" s="11">
        <f>IF(預測IC!I16&gt;預測IC!I$26,1,0)</f>
        <v>1</v>
      </c>
      <c r="J16" s="11">
        <f>IF(預測IC!J16&gt;預測IC!J$26,1,0)</f>
        <v>0</v>
      </c>
      <c r="K16" s="11">
        <f>IF(預測IC!K16&gt;預測IC!K$26,1,0)</f>
        <v>1</v>
      </c>
      <c r="L16" s="11">
        <f>IF(預測IC!L16&gt;預測IC!L$26,1,0)</f>
        <v>1</v>
      </c>
      <c r="M16" s="11">
        <f>IF(預測IC!M16&gt;預測IC!M$26,1,0)</f>
        <v>0</v>
      </c>
      <c r="N16" s="11">
        <f>IF(預測IC!N16&gt;預測IC!N$26,1,0)</f>
        <v>0</v>
      </c>
      <c r="O16" s="11">
        <f>IF(預測IC!O16&gt;預測IC!O$26,1,0)</f>
        <v>0</v>
      </c>
      <c r="P16" s="11">
        <f>IF(預測IC!P16&gt;預測IC!P$26,1,0)</f>
        <v>1</v>
      </c>
      <c r="Q16" s="11">
        <f>IF(預測IC!Q16&gt;預測IC!Q$26,1,0)</f>
        <v>1</v>
      </c>
      <c r="R16" s="11">
        <f>IF(預測IC!R16&gt;預測IC!R$26,1,0)</f>
        <v>0</v>
      </c>
      <c r="S16" s="11">
        <f>IF(預測IC!S16&gt;預測IC!S$26,1,0)</f>
        <v>0</v>
      </c>
      <c r="T16" s="11">
        <f>IF(預測IC!T16&gt;預測IC!T$26,1,0)</f>
        <v>1</v>
      </c>
      <c r="U16" s="11">
        <f>IF(預測IC!U16&gt;預測IC!U$26,1,0)</f>
        <v>1</v>
      </c>
      <c r="V16" s="11">
        <f>IF(預測IC!V16&gt;預測IC!V$26,1,0)</f>
        <v>0</v>
      </c>
      <c r="W16" s="11">
        <f>IF(預測IC!W16&gt;預測IC!W$26,1,0)</f>
        <v>0</v>
      </c>
      <c r="X16" s="11">
        <f>IF(預測IC!X16&gt;預測IC!X$26,1,0)</f>
        <v>1</v>
      </c>
      <c r="Y16" s="11">
        <f>IF(預測IC!Y16&gt;預測IC!Y$26,1,0)</f>
        <v>1</v>
      </c>
      <c r="Z16" s="11">
        <f>IF(預測IC!Z16&gt;預測IC!Z$26,1,0)</f>
        <v>0</v>
      </c>
      <c r="AA16" s="11">
        <f>IF(預測IC!AA16&gt;預測IC!AA$26,1,0)</f>
        <v>1</v>
      </c>
      <c r="AB16" s="11">
        <f>IF(預測IC!AB16&gt;預測IC!AB$26,1,0)</f>
        <v>0</v>
      </c>
      <c r="AC16" s="11">
        <f>IF(預測IC!AC16&gt;預測IC!AC$26,1,0)</f>
        <v>0</v>
      </c>
      <c r="AD16" s="11">
        <f>IF(預測IC!AD16&gt;預測IC!AD$26,1,0)</f>
        <v>1</v>
      </c>
      <c r="AE16" s="11">
        <f>IF(預測IC!AE16&gt;預測IC!AE$26,1,0)</f>
        <v>1</v>
      </c>
      <c r="AF16" s="11">
        <f>IF(預測IC!AF16&gt;預測IC!AF$26,1,0)</f>
        <v>0</v>
      </c>
      <c r="AG16" s="11">
        <f>IF(預測IC!AG16&gt;預測IC!AG$26,1,0)</f>
        <v>0</v>
      </c>
      <c r="AH16" s="11">
        <f>IF(預測IC!AH16&gt;預測IC!AH$26,1,0)</f>
        <v>1</v>
      </c>
      <c r="AI16" s="11">
        <f>IF(預測IC!AI16&gt;預測IC!AI$26,1,0)</f>
        <v>0</v>
      </c>
      <c r="AJ16" s="11">
        <f>IF(預測IC!AJ16&gt;預測IC!AJ$26,1,0)</f>
        <v>0</v>
      </c>
      <c r="AK16" s="11">
        <f>IF(預測IC!AK16&gt;預測IC!AK$26,1,0)</f>
        <v>0</v>
      </c>
      <c r="AL16" s="11">
        <f>IF(預測IC!AL16&gt;預測IC!AL$26,1,0)</f>
        <v>0</v>
      </c>
      <c r="AM16" s="11">
        <f>IF(預測IC!AM16&gt;預測IC!AM$26,1,0)</f>
        <v>0</v>
      </c>
      <c r="AN16" s="11">
        <f>IF(預測IC!AN16&gt;預測IC!AN$26,1,0)</f>
        <v>0</v>
      </c>
      <c r="AO16" s="11">
        <f>IF(預測IC!AO16&gt;預測IC!AO$26,1,0)</f>
        <v>0</v>
      </c>
      <c r="AP16" s="11">
        <f>IF(預測IC!AP16&gt;預測IC!AP$26,1,0)</f>
        <v>1</v>
      </c>
      <c r="AQ16" s="11">
        <f>IF(預測IC!AQ16&gt;預測IC!AQ$26,1,0)</f>
        <v>1</v>
      </c>
      <c r="AR16" s="11">
        <f>IF(預測IC!AR16&gt;預測IC!AR$26,1,0)</f>
        <v>0</v>
      </c>
      <c r="AS16" s="11">
        <f>IF(預測IC!AS16&gt;預測IC!AS$26,1,0)</f>
        <v>0</v>
      </c>
      <c r="AT16" s="11">
        <f>IF(預測IC!AT16&gt;預測IC!AT$26,1,0)</f>
        <v>0</v>
      </c>
      <c r="AU16" s="11">
        <f>IF(預測IC!AU16&gt;預測IC!AU$26,1,0)</f>
        <v>0</v>
      </c>
      <c r="AV16" s="11">
        <f>IF(預測IC!AV16&gt;預測IC!AV$26,1,0)</f>
        <v>0</v>
      </c>
      <c r="AW16" s="11">
        <f>IF(預測IC!AW16&gt;預測IC!AW$26,1,0)</f>
        <v>0</v>
      </c>
      <c r="AX16" s="11">
        <f>IF(預測IC!AX16&gt;預測IC!AX$26,1,0)</f>
        <v>0</v>
      </c>
      <c r="AY16" s="11">
        <f>IF(預測IC!AY16&gt;預測IC!AY$26,1,0)</f>
        <v>0</v>
      </c>
      <c r="AZ16" s="11">
        <f>IF(預測IC!AZ16&gt;預測IC!AZ$26,1,0)</f>
        <v>1</v>
      </c>
      <c r="BA16" s="11">
        <f>IF(預測IC!BA16&gt;預測IC!BA$26,1,0)</f>
        <v>1</v>
      </c>
      <c r="BB16" s="11">
        <f>IF(預測IC!BB16&gt;預測IC!BB$26,1,0)</f>
        <v>0</v>
      </c>
      <c r="BC16" s="11">
        <f>IF(預測IC!BC16&gt;預測IC!BC$26,1,0)</f>
        <v>0</v>
      </c>
      <c r="BD16" s="11">
        <f>IF(預測IC!BD16&gt;預測IC!BD$26,1,0)</f>
        <v>0</v>
      </c>
      <c r="BE16" s="11">
        <f>IF(預測IC!BE16&gt;預測IC!BE$26,1,0)</f>
        <v>0</v>
      </c>
      <c r="BF16" s="11">
        <f>IF(預測IC!BF16&gt;預測IC!BF$26,1,0)</f>
        <v>0</v>
      </c>
      <c r="BG16" s="11">
        <f>IF(預測IC!BG16&gt;預測IC!BG$26,1,0)</f>
        <v>0</v>
      </c>
      <c r="BH16" s="11">
        <f>IF(預測IC!BH16&gt;預測IC!BH$26,1,0)</f>
        <v>1</v>
      </c>
      <c r="BI16" s="11">
        <f>IF(預測IC!BI16&gt;預測IC!BI$26,1,0)</f>
        <v>1</v>
      </c>
      <c r="BJ16" s="11">
        <f>IF(預測IC!BJ16&gt;預測IC!BJ$26,1,0)</f>
        <v>0</v>
      </c>
      <c r="BK16" s="11">
        <f>IF(預測IC!BK16&gt;預測IC!BK$26,1,0)</f>
        <v>1</v>
      </c>
      <c r="BL16" s="11">
        <f>IF(預測IC!BL16&gt;預測IC!BL$26,1,0)</f>
        <v>0</v>
      </c>
      <c r="BM16" s="11">
        <f>IF(預測IC!BM16&gt;預測IC!BM$26,1,0)</f>
        <v>0</v>
      </c>
      <c r="BN16" s="11">
        <f>IF(預測IC!BN16&gt;預測IC!BN$26,1,0)</f>
        <v>0</v>
      </c>
      <c r="BO16" s="11">
        <f>IF(預測IC!BO16&gt;預測IC!BO$26,1,0)</f>
        <v>1</v>
      </c>
      <c r="BP16" s="11">
        <f>IF(預測IC!BP16&gt;預測IC!BP$26,1,0)</f>
        <v>0</v>
      </c>
      <c r="BQ16" s="11">
        <f>IF(預測IC!BQ16&gt;預測IC!BQ$26,1,0)</f>
        <v>0</v>
      </c>
      <c r="BR16" s="11">
        <f>IF(預測IC!BR16&gt;預測IC!BR$26,1,0)</f>
        <v>1</v>
      </c>
      <c r="BS16" s="11">
        <f>IF(預測IC!BS16&gt;預測IC!BS$26,1,0)</f>
        <v>1</v>
      </c>
      <c r="BT16" s="11">
        <f>IF(預測IC!BT16&gt;預測IC!BT$26,1,0)</f>
        <v>0</v>
      </c>
      <c r="BU16" s="11">
        <f>IF(預測IC!BU16&gt;預測IC!BU$26,1,0)</f>
        <v>0</v>
      </c>
      <c r="BV16" s="11">
        <f>IF(預測IC!BV16&gt;預測IC!BV$26,1,0)</f>
        <v>1</v>
      </c>
      <c r="BW16" s="11">
        <f>IF(預測IC!BW16&gt;預測IC!BW$26,1,0)</f>
        <v>1</v>
      </c>
      <c r="BX16" s="11">
        <f>IF(預測IC!BX16&gt;預測IC!BX$26,1,0)</f>
        <v>0</v>
      </c>
      <c r="BY16" s="11">
        <f>IF(預測IC!BY16&gt;預測IC!BY$26,1,0)</f>
        <v>1</v>
      </c>
      <c r="BZ16" s="11">
        <f>IF(預測IC!BZ16&gt;預測IC!BZ$26,1,0)</f>
        <v>0</v>
      </c>
      <c r="CA16" s="11">
        <f>IF(預測IC!CA16&gt;預測IC!CA$26,1,0)</f>
        <v>1</v>
      </c>
      <c r="CB16" s="11">
        <f>IF(預測IC!CB16&gt;預測IC!CB$26,1,0)</f>
        <v>0</v>
      </c>
      <c r="CC16" s="11">
        <f>IF(預測IC!CC16&gt;預測IC!CC$26,1,0)</f>
        <v>0</v>
      </c>
      <c r="CD16" s="11">
        <f>IF(預測IC!CD16&gt;預測IC!CD$26,1,0)</f>
        <v>0</v>
      </c>
      <c r="CE16" s="11">
        <f>IF(預測IC!CE16&gt;預測IC!CE$26,1,0)</f>
        <v>0</v>
      </c>
      <c r="CF16" s="11">
        <f>IF(預測IC!CF16&gt;預測IC!CF$26,1,0)</f>
        <v>0</v>
      </c>
      <c r="CG16" s="11">
        <f>IF(預測IC!CG16&gt;預測IC!CG$26,1,0)</f>
        <v>0</v>
      </c>
      <c r="CH16" s="11">
        <f>IF(預測IC!CH16&gt;預測IC!CH$26,1,0)</f>
        <v>0</v>
      </c>
      <c r="CI16" s="11">
        <f>IF(預測IC!CI16&gt;預測IC!CI$26,1,0)</f>
        <v>0</v>
      </c>
      <c r="CJ16" s="11">
        <f>IF(預測IC!CJ16&gt;預測IC!CJ$26,1,0)</f>
        <v>0</v>
      </c>
      <c r="CK16" s="11">
        <f>IF(預測IC!CK16&gt;預測IC!CK$26,1,0)</f>
        <v>1</v>
      </c>
      <c r="CL16" s="11">
        <f>IF(預測IC!CL16&gt;預測IC!CL$26,1,0)</f>
        <v>1</v>
      </c>
      <c r="CM16" s="11">
        <f>IF(預測IC!CM16&gt;預測IC!CM$26,1,0)</f>
        <v>0</v>
      </c>
      <c r="CN16" s="11">
        <f>IF(預測IC!CN16&gt;預測IC!CN$26,1,0)</f>
        <v>0</v>
      </c>
      <c r="CO16" s="11">
        <f>IF(預測IC!CO16&gt;預測IC!CO$26,1,0)</f>
        <v>1</v>
      </c>
      <c r="CP16" s="11">
        <f>IF(預測IC!CP16&gt;預測IC!CP$26,1,0)</f>
        <v>0</v>
      </c>
      <c r="CQ16" s="11">
        <f>IF(預測IC!CQ16&gt;預測IC!CQ$26,1,0)</f>
        <v>0</v>
      </c>
      <c r="CR16" s="11">
        <f>IF(預測IC!CR16&gt;預測IC!CR$26,1,0)</f>
        <v>0</v>
      </c>
      <c r="CS16" s="11">
        <f>IF(預測IC!CS16&gt;預測IC!CS$26,1,0)</f>
        <v>0</v>
      </c>
      <c r="CT16" s="11">
        <f>IF(預測IC!CT16&gt;預測IC!CT$26,1,0)</f>
        <v>0</v>
      </c>
      <c r="CU16" s="11">
        <f>IF(預測IC!CU16&gt;預測IC!CU$26,1,0)</f>
        <v>1</v>
      </c>
      <c r="CV16" s="11">
        <f>IF(預測IC!CV16&gt;預測IC!CV$26,1,0)</f>
        <v>1</v>
      </c>
      <c r="CW16" s="11">
        <f>IF(預測IC!CW16&gt;預測IC!CW$26,1,0)</f>
        <v>1</v>
      </c>
      <c r="CX16" s="11">
        <f>IF(預測IC!CX16&gt;預測IC!CX$26,1,0)</f>
        <v>1</v>
      </c>
      <c r="CY16" s="11">
        <f>IF(預測IC!CY16&gt;預測IC!CY$26,1,0)</f>
        <v>1</v>
      </c>
      <c r="CZ16" s="11">
        <f>IF(預測IC!CZ16&gt;預測IC!CZ$26,1,0)</f>
        <v>1</v>
      </c>
      <c r="DA16" s="11">
        <f>IF(預測IC!DA16&gt;預測IC!DA$26,1,0)</f>
        <v>1</v>
      </c>
      <c r="DB16" s="11">
        <f>IF(預測IC!DB16&gt;預測IC!DB$26,1,0)</f>
        <v>1</v>
      </c>
      <c r="DC16" s="11">
        <f>IF(預測IC!DC16&gt;預測IC!DC$26,1,0)</f>
        <v>1</v>
      </c>
      <c r="DD16" s="11">
        <f>IF(預測IC!DD16&gt;預測IC!DD$26,1,0)</f>
        <v>1</v>
      </c>
      <c r="DE16" s="11">
        <f>IF(預測IC!DE16&gt;預測IC!DE$26,1,0)</f>
        <v>0</v>
      </c>
      <c r="DF16" s="11">
        <f>IF(預測IC!DF16&gt;預測IC!DF$26,1,0)</f>
        <v>1</v>
      </c>
      <c r="DG16" s="11">
        <f>IF(預測IC!DG16&gt;預測IC!DG$26,1,0)</f>
        <v>0</v>
      </c>
      <c r="DH16" s="11">
        <f>IF(預測IC!DH16&gt;預測IC!DH$26,1,0)</f>
        <v>1</v>
      </c>
      <c r="DI16" s="11">
        <f>IF(預測IC!DI16&gt;預測IC!DI$26,1,0)</f>
        <v>0</v>
      </c>
      <c r="DJ16" s="11">
        <f>IF(預測IC!DJ16&gt;預測IC!DJ$26,1,0)</f>
        <v>1</v>
      </c>
      <c r="DK16" s="11">
        <f>IF(預測IC!DK16&gt;預測IC!DK$26,1,0)</f>
        <v>0</v>
      </c>
      <c r="DL16" s="11">
        <f>IF(預測IC!DL16&gt;預測IC!DL$26,1,0)</f>
        <v>0</v>
      </c>
      <c r="DM16" s="11">
        <f>IF(預測IC!DM16&gt;預測IC!DM$26,1,0)</f>
        <v>1</v>
      </c>
      <c r="DN16" s="11">
        <f>IF(預測IC!DN16&gt;預測IC!DN$26,1,0)</f>
        <v>0</v>
      </c>
      <c r="DO16" s="11">
        <f>IF(預測IC!DO16&gt;預測IC!DO$26,1,0)</f>
        <v>0</v>
      </c>
      <c r="DP16" s="11">
        <f>IF(預測IC!DP16&gt;預測IC!DP$26,1,0)</f>
        <v>1</v>
      </c>
      <c r="DQ16" s="11">
        <f>IF(預測IC!DQ16&gt;預測IC!DQ$26,1,0)</f>
        <v>0</v>
      </c>
      <c r="DR16" s="11">
        <f>IF(預測IC!DR16&gt;預測IC!DR$26,1,0)</f>
        <v>1</v>
      </c>
      <c r="DS16" s="11">
        <f>IF(預測IC!DS16&gt;預測IC!DS$26,1,0)</f>
        <v>1</v>
      </c>
      <c r="DT16" s="11">
        <f>IF(預測IC!DT16&gt;預測IC!DT$26,1,0)</f>
        <v>1</v>
      </c>
      <c r="DU16" s="11">
        <f>IF(預測IC!DU16&gt;預測IC!DU$26,1,0)</f>
        <v>0</v>
      </c>
      <c r="DV16" s="11">
        <f>IF(預測IC!DV16&gt;預測IC!DV$26,1,0)</f>
        <v>0</v>
      </c>
      <c r="DW16" s="11">
        <f>IF(預測IC!DW16&gt;預測IC!DW$26,1,0)</f>
        <v>0</v>
      </c>
      <c r="DX16" s="11">
        <f>IF(預測IC!DX16&gt;預測IC!DX$26,1,0)</f>
        <v>1</v>
      </c>
      <c r="DY16" s="11">
        <f>IF(預測IC!DY16&gt;預測IC!DY$26,1,0)</f>
        <v>0</v>
      </c>
      <c r="DZ16" s="11">
        <f>IF(預測IC!DZ16&gt;預測IC!DZ$26,1,0)</f>
        <v>1</v>
      </c>
      <c r="EA16" s="11">
        <f>IF(預測IC!EA16&gt;預測IC!EA$26,1,0)</f>
        <v>1</v>
      </c>
      <c r="EB16" s="11">
        <f>IF(預測IC!EB16&gt;預測IC!EB$26,1,0)</f>
        <v>1</v>
      </c>
      <c r="EC16" s="11">
        <f>IF(預測IC!EC16&gt;預測IC!EC$26,1,0)</f>
        <v>0</v>
      </c>
      <c r="ED16" s="11">
        <f>IF(預測IC!ED16&gt;預測IC!ED$26,1,0)</f>
        <v>0</v>
      </c>
      <c r="EE16" s="11">
        <f>IF(預測IC!EE16&gt;預測IC!EE$26,1,0)</f>
        <v>1</v>
      </c>
      <c r="EF16" s="11">
        <f>IF(預測IC!EF16&gt;預測IC!EF$26,1,0)</f>
        <v>0</v>
      </c>
      <c r="EG16" s="1">
        <f t="shared" si="6"/>
        <v>59</v>
      </c>
      <c r="EH16" s="17">
        <f t="shared" si="7"/>
        <v>0.44029850746268656</v>
      </c>
    </row>
    <row r="17" spans="1:138">
      <c r="A17" s="2">
        <v>120</v>
      </c>
      <c r="B17" s="2">
        <v>8</v>
      </c>
      <c r="C17" s="11">
        <f>IF(預測IC!C17&gt;預測IC!C$26,1,0)</f>
        <v>1</v>
      </c>
      <c r="D17" s="11">
        <f>IF(預測IC!D17&gt;預測IC!D$26,1,0)</f>
        <v>1</v>
      </c>
      <c r="E17" s="11">
        <f>IF(預測IC!E17&gt;預測IC!E$26,1,0)</f>
        <v>1</v>
      </c>
      <c r="F17" s="11">
        <f>IF(預測IC!F17&gt;預測IC!F$26,1,0)</f>
        <v>1</v>
      </c>
      <c r="G17" s="11">
        <f>IF(預測IC!G17&gt;預測IC!G$26,1,0)</f>
        <v>1</v>
      </c>
      <c r="H17" s="11">
        <f>IF(預測IC!H17&gt;預測IC!H$26,1,0)</f>
        <v>1</v>
      </c>
      <c r="I17" s="11">
        <f>IF(預測IC!I17&gt;預測IC!I$26,1,0)</f>
        <v>1</v>
      </c>
      <c r="J17" s="11">
        <f>IF(預測IC!J17&gt;預測IC!J$26,1,0)</f>
        <v>0</v>
      </c>
      <c r="K17" s="11">
        <f>IF(預測IC!K17&gt;預測IC!K$26,1,0)</f>
        <v>1</v>
      </c>
      <c r="L17" s="11">
        <f>IF(預測IC!L17&gt;預測IC!L$26,1,0)</f>
        <v>1</v>
      </c>
      <c r="M17" s="11">
        <f>IF(預測IC!M17&gt;預測IC!M$26,1,0)</f>
        <v>0</v>
      </c>
      <c r="N17" s="11">
        <f>IF(預測IC!N17&gt;預測IC!N$26,1,0)</f>
        <v>0</v>
      </c>
      <c r="O17" s="11">
        <f>IF(預測IC!O17&gt;預測IC!O$26,1,0)</f>
        <v>0</v>
      </c>
      <c r="P17" s="11">
        <f>IF(預測IC!P17&gt;預測IC!P$26,1,0)</f>
        <v>1</v>
      </c>
      <c r="Q17" s="11">
        <f>IF(預測IC!Q17&gt;預測IC!Q$26,1,0)</f>
        <v>1</v>
      </c>
      <c r="R17" s="11">
        <f>IF(預測IC!R17&gt;預測IC!R$26,1,0)</f>
        <v>0</v>
      </c>
      <c r="S17" s="11">
        <f>IF(預測IC!S17&gt;預測IC!S$26,1,0)</f>
        <v>0</v>
      </c>
      <c r="T17" s="11">
        <f>IF(預測IC!T17&gt;預測IC!T$26,1,0)</f>
        <v>1</v>
      </c>
      <c r="U17" s="11">
        <f>IF(預測IC!U17&gt;預測IC!U$26,1,0)</f>
        <v>1</v>
      </c>
      <c r="V17" s="11">
        <f>IF(預測IC!V17&gt;預測IC!V$26,1,0)</f>
        <v>0</v>
      </c>
      <c r="W17" s="11">
        <f>IF(預測IC!W17&gt;預測IC!W$26,1,0)</f>
        <v>0</v>
      </c>
      <c r="X17" s="11">
        <f>IF(預測IC!X17&gt;預測IC!X$26,1,0)</f>
        <v>1</v>
      </c>
      <c r="Y17" s="11">
        <f>IF(預測IC!Y17&gt;預測IC!Y$26,1,0)</f>
        <v>1</v>
      </c>
      <c r="Z17" s="11">
        <f>IF(預測IC!Z17&gt;預測IC!Z$26,1,0)</f>
        <v>0</v>
      </c>
      <c r="AA17" s="11">
        <f>IF(預測IC!AA17&gt;預測IC!AA$26,1,0)</f>
        <v>1</v>
      </c>
      <c r="AB17" s="11">
        <f>IF(預測IC!AB17&gt;預測IC!AB$26,1,0)</f>
        <v>0</v>
      </c>
      <c r="AC17" s="11">
        <f>IF(預測IC!AC17&gt;預測IC!AC$26,1,0)</f>
        <v>0</v>
      </c>
      <c r="AD17" s="11">
        <f>IF(預測IC!AD17&gt;預測IC!AD$26,1,0)</f>
        <v>1</v>
      </c>
      <c r="AE17" s="11">
        <f>IF(預測IC!AE17&gt;預測IC!AE$26,1,0)</f>
        <v>1</v>
      </c>
      <c r="AF17" s="11">
        <f>IF(預測IC!AF17&gt;預測IC!AF$26,1,0)</f>
        <v>0</v>
      </c>
      <c r="AG17" s="11">
        <f>IF(預測IC!AG17&gt;預測IC!AG$26,1,0)</f>
        <v>0</v>
      </c>
      <c r="AH17" s="11">
        <f>IF(預測IC!AH17&gt;預測IC!AH$26,1,0)</f>
        <v>1</v>
      </c>
      <c r="AI17" s="11">
        <f>IF(預測IC!AI17&gt;預測IC!AI$26,1,0)</f>
        <v>0</v>
      </c>
      <c r="AJ17" s="11">
        <f>IF(預測IC!AJ17&gt;預測IC!AJ$26,1,0)</f>
        <v>1</v>
      </c>
      <c r="AK17" s="11">
        <f>IF(預測IC!AK17&gt;預測IC!AK$26,1,0)</f>
        <v>0</v>
      </c>
      <c r="AL17" s="11">
        <f>IF(預測IC!AL17&gt;預測IC!AL$26,1,0)</f>
        <v>0</v>
      </c>
      <c r="AM17" s="11">
        <f>IF(預測IC!AM17&gt;預測IC!AM$26,1,0)</f>
        <v>0</v>
      </c>
      <c r="AN17" s="11">
        <f>IF(預測IC!AN17&gt;預測IC!AN$26,1,0)</f>
        <v>0</v>
      </c>
      <c r="AO17" s="11">
        <f>IF(預測IC!AO17&gt;預測IC!AO$26,1,0)</f>
        <v>0</v>
      </c>
      <c r="AP17" s="11">
        <f>IF(預測IC!AP17&gt;預測IC!AP$26,1,0)</f>
        <v>1</v>
      </c>
      <c r="AQ17" s="11">
        <f>IF(預測IC!AQ17&gt;預測IC!AQ$26,1,0)</f>
        <v>1</v>
      </c>
      <c r="AR17" s="11">
        <f>IF(預測IC!AR17&gt;預測IC!AR$26,1,0)</f>
        <v>0</v>
      </c>
      <c r="AS17" s="11">
        <f>IF(預測IC!AS17&gt;預測IC!AS$26,1,0)</f>
        <v>0</v>
      </c>
      <c r="AT17" s="11">
        <f>IF(預測IC!AT17&gt;預測IC!AT$26,1,0)</f>
        <v>0</v>
      </c>
      <c r="AU17" s="11">
        <f>IF(預測IC!AU17&gt;預測IC!AU$26,1,0)</f>
        <v>0</v>
      </c>
      <c r="AV17" s="11">
        <f>IF(預測IC!AV17&gt;預測IC!AV$26,1,0)</f>
        <v>0</v>
      </c>
      <c r="AW17" s="11">
        <f>IF(預測IC!AW17&gt;預測IC!AW$26,1,0)</f>
        <v>1</v>
      </c>
      <c r="AX17" s="11">
        <f>IF(預測IC!AX17&gt;預測IC!AX$26,1,0)</f>
        <v>0</v>
      </c>
      <c r="AY17" s="11">
        <f>IF(預測IC!AY17&gt;預測IC!AY$26,1,0)</f>
        <v>0</v>
      </c>
      <c r="AZ17" s="11">
        <f>IF(預測IC!AZ17&gt;預測IC!AZ$26,1,0)</f>
        <v>1</v>
      </c>
      <c r="BA17" s="11">
        <f>IF(預測IC!BA17&gt;預測IC!BA$26,1,0)</f>
        <v>1</v>
      </c>
      <c r="BB17" s="11">
        <f>IF(預測IC!BB17&gt;預測IC!BB$26,1,0)</f>
        <v>0</v>
      </c>
      <c r="BC17" s="11">
        <f>IF(預測IC!BC17&gt;預測IC!BC$26,1,0)</f>
        <v>0</v>
      </c>
      <c r="BD17" s="11">
        <f>IF(預測IC!BD17&gt;預測IC!BD$26,1,0)</f>
        <v>0</v>
      </c>
      <c r="BE17" s="11">
        <f>IF(預測IC!BE17&gt;預測IC!BE$26,1,0)</f>
        <v>0</v>
      </c>
      <c r="BF17" s="11">
        <f>IF(預測IC!BF17&gt;預測IC!BF$26,1,0)</f>
        <v>0</v>
      </c>
      <c r="BG17" s="11">
        <f>IF(預測IC!BG17&gt;預測IC!BG$26,1,0)</f>
        <v>0</v>
      </c>
      <c r="BH17" s="11">
        <f>IF(預測IC!BH17&gt;預測IC!BH$26,1,0)</f>
        <v>0</v>
      </c>
      <c r="BI17" s="11">
        <f>IF(預測IC!BI17&gt;預測IC!BI$26,1,0)</f>
        <v>1</v>
      </c>
      <c r="BJ17" s="11">
        <f>IF(預測IC!BJ17&gt;預測IC!BJ$26,1,0)</f>
        <v>0</v>
      </c>
      <c r="BK17" s="11">
        <f>IF(預測IC!BK17&gt;預測IC!BK$26,1,0)</f>
        <v>0</v>
      </c>
      <c r="BL17" s="11">
        <f>IF(預測IC!BL17&gt;預測IC!BL$26,1,0)</f>
        <v>0</v>
      </c>
      <c r="BM17" s="11">
        <f>IF(預測IC!BM17&gt;預測IC!BM$26,1,0)</f>
        <v>0</v>
      </c>
      <c r="BN17" s="11">
        <f>IF(預測IC!BN17&gt;預測IC!BN$26,1,0)</f>
        <v>0</v>
      </c>
      <c r="BO17" s="11">
        <f>IF(預測IC!BO17&gt;預測IC!BO$26,1,0)</f>
        <v>1</v>
      </c>
      <c r="BP17" s="11">
        <f>IF(預測IC!BP17&gt;預測IC!BP$26,1,0)</f>
        <v>0</v>
      </c>
      <c r="BQ17" s="11">
        <f>IF(預測IC!BQ17&gt;預測IC!BQ$26,1,0)</f>
        <v>0</v>
      </c>
      <c r="BR17" s="11">
        <f>IF(預測IC!BR17&gt;預測IC!BR$26,1,0)</f>
        <v>1</v>
      </c>
      <c r="BS17" s="11">
        <f>IF(預測IC!BS17&gt;預測IC!BS$26,1,0)</f>
        <v>1</v>
      </c>
      <c r="BT17" s="11">
        <f>IF(預測IC!BT17&gt;預測IC!BT$26,1,0)</f>
        <v>0</v>
      </c>
      <c r="BU17" s="11">
        <f>IF(預測IC!BU17&gt;預測IC!BU$26,1,0)</f>
        <v>0</v>
      </c>
      <c r="BV17" s="11">
        <f>IF(預測IC!BV17&gt;預測IC!BV$26,1,0)</f>
        <v>1</v>
      </c>
      <c r="BW17" s="11">
        <f>IF(預測IC!BW17&gt;預測IC!BW$26,1,0)</f>
        <v>1</v>
      </c>
      <c r="BX17" s="11">
        <f>IF(預測IC!BX17&gt;預測IC!BX$26,1,0)</f>
        <v>0</v>
      </c>
      <c r="BY17" s="11">
        <f>IF(預測IC!BY17&gt;預測IC!BY$26,1,0)</f>
        <v>1</v>
      </c>
      <c r="BZ17" s="11">
        <f>IF(預測IC!BZ17&gt;預測IC!BZ$26,1,0)</f>
        <v>0</v>
      </c>
      <c r="CA17" s="11">
        <f>IF(預測IC!CA17&gt;預測IC!CA$26,1,0)</f>
        <v>1</v>
      </c>
      <c r="CB17" s="11">
        <f>IF(預測IC!CB17&gt;預測IC!CB$26,1,0)</f>
        <v>0</v>
      </c>
      <c r="CC17" s="11">
        <f>IF(預測IC!CC17&gt;預測IC!CC$26,1,0)</f>
        <v>1</v>
      </c>
      <c r="CD17" s="11">
        <f>IF(預測IC!CD17&gt;預測IC!CD$26,1,0)</f>
        <v>0</v>
      </c>
      <c r="CE17" s="11">
        <f>IF(預測IC!CE17&gt;預測IC!CE$26,1,0)</f>
        <v>0</v>
      </c>
      <c r="CF17" s="11">
        <f>IF(預測IC!CF17&gt;預測IC!CF$26,1,0)</f>
        <v>0</v>
      </c>
      <c r="CG17" s="11">
        <f>IF(預測IC!CG17&gt;預測IC!CG$26,1,0)</f>
        <v>0</v>
      </c>
      <c r="CH17" s="11">
        <f>IF(預測IC!CH17&gt;預測IC!CH$26,1,0)</f>
        <v>0</v>
      </c>
      <c r="CI17" s="11">
        <f>IF(預測IC!CI17&gt;預測IC!CI$26,1,0)</f>
        <v>0</v>
      </c>
      <c r="CJ17" s="11">
        <f>IF(預測IC!CJ17&gt;預測IC!CJ$26,1,0)</f>
        <v>0</v>
      </c>
      <c r="CK17" s="11">
        <f>IF(預測IC!CK17&gt;預測IC!CK$26,1,0)</f>
        <v>1</v>
      </c>
      <c r="CL17" s="11">
        <f>IF(預測IC!CL17&gt;預測IC!CL$26,1,0)</f>
        <v>1</v>
      </c>
      <c r="CM17" s="11">
        <f>IF(預測IC!CM17&gt;預測IC!CM$26,1,0)</f>
        <v>0</v>
      </c>
      <c r="CN17" s="11">
        <f>IF(預測IC!CN17&gt;預測IC!CN$26,1,0)</f>
        <v>0</v>
      </c>
      <c r="CO17" s="11">
        <f>IF(預測IC!CO17&gt;預測IC!CO$26,1,0)</f>
        <v>1</v>
      </c>
      <c r="CP17" s="11">
        <f>IF(預測IC!CP17&gt;預測IC!CP$26,1,0)</f>
        <v>0</v>
      </c>
      <c r="CQ17" s="11">
        <f>IF(預測IC!CQ17&gt;預測IC!CQ$26,1,0)</f>
        <v>0</v>
      </c>
      <c r="CR17" s="11">
        <f>IF(預測IC!CR17&gt;預測IC!CR$26,1,0)</f>
        <v>0</v>
      </c>
      <c r="CS17" s="11">
        <f>IF(預測IC!CS17&gt;預測IC!CS$26,1,0)</f>
        <v>0</v>
      </c>
      <c r="CT17" s="11">
        <f>IF(預測IC!CT17&gt;預測IC!CT$26,1,0)</f>
        <v>0</v>
      </c>
      <c r="CU17" s="11">
        <f>IF(預測IC!CU17&gt;預測IC!CU$26,1,0)</f>
        <v>1</v>
      </c>
      <c r="CV17" s="11">
        <f>IF(預測IC!CV17&gt;預測IC!CV$26,1,0)</f>
        <v>0</v>
      </c>
      <c r="CW17" s="11">
        <f>IF(預測IC!CW17&gt;預測IC!CW$26,1,0)</f>
        <v>1</v>
      </c>
      <c r="CX17" s="11">
        <f>IF(預測IC!CX17&gt;預測IC!CX$26,1,0)</f>
        <v>1</v>
      </c>
      <c r="CY17" s="11">
        <f>IF(預測IC!CY17&gt;預測IC!CY$26,1,0)</f>
        <v>1</v>
      </c>
      <c r="CZ17" s="11">
        <f>IF(預測IC!CZ17&gt;預測IC!CZ$26,1,0)</f>
        <v>1</v>
      </c>
      <c r="DA17" s="11">
        <f>IF(預測IC!DA17&gt;預測IC!DA$26,1,0)</f>
        <v>1</v>
      </c>
      <c r="DB17" s="11">
        <f>IF(預測IC!DB17&gt;預測IC!DB$26,1,0)</f>
        <v>1</v>
      </c>
      <c r="DC17" s="11">
        <f>IF(預測IC!DC17&gt;預測IC!DC$26,1,0)</f>
        <v>1</v>
      </c>
      <c r="DD17" s="11">
        <f>IF(預測IC!DD17&gt;預測IC!DD$26,1,0)</f>
        <v>1</v>
      </c>
      <c r="DE17" s="11">
        <f>IF(預測IC!DE17&gt;預測IC!DE$26,1,0)</f>
        <v>0</v>
      </c>
      <c r="DF17" s="11">
        <f>IF(預測IC!DF17&gt;預測IC!DF$26,1,0)</f>
        <v>1</v>
      </c>
      <c r="DG17" s="11">
        <f>IF(預測IC!DG17&gt;預測IC!DG$26,1,0)</f>
        <v>0</v>
      </c>
      <c r="DH17" s="11">
        <f>IF(預測IC!DH17&gt;預測IC!DH$26,1,0)</f>
        <v>1</v>
      </c>
      <c r="DI17" s="11">
        <f>IF(預測IC!DI17&gt;預測IC!DI$26,1,0)</f>
        <v>0</v>
      </c>
      <c r="DJ17" s="11">
        <f>IF(預測IC!DJ17&gt;預測IC!DJ$26,1,0)</f>
        <v>1</v>
      </c>
      <c r="DK17" s="11">
        <f>IF(預測IC!DK17&gt;預測IC!DK$26,1,0)</f>
        <v>0</v>
      </c>
      <c r="DL17" s="11">
        <f>IF(預測IC!DL17&gt;預測IC!DL$26,1,0)</f>
        <v>0</v>
      </c>
      <c r="DM17" s="11">
        <f>IF(預測IC!DM17&gt;預測IC!DM$26,1,0)</f>
        <v>1</v>
      </c>
      <c r="DN17" s="11">
        <f>IF(預測IC!DN17&gt;預測IC!DN$26,1,0)</f>
        <v>0</v>
      </c>
      <c r="DO17" s="11">
        <f>IF(預測IC!DO17&gt;預測IC!DO$26,1,0)</f>
        <v>0</v>
      </c>
      <c r="DP17" s="11">
        <f>IF(預測IC!DP17&gt;預測IC!DP$26,1,0)</f>
        <v>1</v>
      </c>
      <c r="DQ17" s="11">
        <f>IF(預測IC!DQ17&gt;預測IC!DQ$26,1,0)</f>
        <v>0</v>
      </c>
      <c r="DR17" s="11">
        <f>IF(預測IC!DR17&gt;預測IC!DR$26,1,0)</f>
        <v>1</v>
      </c>
      <c r="DS17" s="11">
        <f>IF(預測IC!DS17&gt;預測IC!DS$26,1,0)</f>
        <v>1</v>
      </c>
      <c r="DT17" s="11">
        <f>IF(預測IC!DT17&gt;預測IC!DT$26,1,0)</f>
        <v>1</v>
      </c>
      <c r="DU17" s="11">
        <f>IF(預測IC!DU17&gt;預測IC!DU$26,1,0)</f>
        <v>1</v>
      </c>
      <c r="DV17" s="11">
        <f>IF(預測IC!DV17&gt;預測IC!DV$26,1,0)</f>
        <v>0</v>
      </c>
      <c r="DW17" s="11">
        <f>IF(預測IC!DW17&gt;預測IC!DW$26,1,0)</f>
        <v>0</v>
      </c>
      <c r="DX17" s="11">
        <f>IF(預測IC!DX17&gt;預測IC!DX$26,1,0)</f>
        <v>1</v>
      </c>
      <c r="DY17" s="11">
        <f>IF(預測IC!DY17&gt;預測IC!DY$26,1,0)</f>
        <v>0</v>
      </c>
      <c r="DZ17" s="11">
        <f>IF(預測IC!DZ17&gt;預測IC!DZ$26,1,0)</f>
        <v>1</v>
      </c>
      <c r="EA17" s="11">
        <f>IF(預測IC!EA17&gt;預測IC!EA$26,1,0)</f>
        <v>0</v>
      </c>
      <c r="EB17" s="11">
        <f>IF(預測IC!EB17&gt;預測IC!EB$26,1,0)</f>
        <v>1</v>
      </c>
      <c r="EC17" s="11">
        <f>IF(預測IC!EC17&gt;預測IC!EC$26,1,0)</f>
        <v>0</v>
      </c>
      <c r="ED17" s="11">
        <f>IF(預測IC!ED17&gt;預測IC!ED$26,1,0)</f>
        <v>0</v>
      </c>
      <c r="EE17" s="11">
        <f>IF(預測IC!EE17&gt;預測IC!EE$26,1,0)</f>
        <v>1</v>
      </c>
      <c r="EF17" s="11">
        <f>IF(預測IC!EF17&gt;預測IC!EF$26,1,0)</f>
        <v>0</v>
      </c>
      <c r="EG17" s="1">
        <f t="shared" si="6"/>
        <v>59</v>
      </c>
      <c r="EH17" s="17">
        <f t="shared" si="7"/>
        <v>0.44029850746268656</v>
      </c>
    </row>
    <row r="18" spans="1:138">
      <c r="A18" s="2">
        <v>137</v>
      </c>
      <c r="B18" s="2">
        <v>7</v>
      </c>
      <c r="C18" s="11">
        <f>IF(預測IC!C18&gt;預測IC!C$26,1,0)</f>
        <v>1</v>
      </c>
      <c r="D18" s="11">
        <f>IF(預測IC!D18&gt;預測IC!D$26,1,0)</f>
        <v>1</v>
      </c>
      <c r="E18" s="11">
        <f>IF(預測IC!E18&gt;預測IC!E$26,1,0)</f>
        <v>1</v>
      </c>
      <c r="F18" s="11">
        <f>IF(預測IC!F18&gt;預測IC!F$26,1,0)</f>
        <v>1</v>
      </c>
      <c r="G18" s="11">
        <f>IF(預測IC!G18&gt;預測IC!G$26,1,0)</f>
        <v>1</v>
      </c>
      <c r="H18" s="11">
        <f>IF(預測IC!H18&gt;預測IC!H$26,1,0)</f>
        <v>1</v>
      </c>
      <c r="I18" s="11">
        <f>IF(預測IC!I18&gt;預測IC!I$26,1,0)</f>
        <v>1</v>
      </c>
      <c r="J18" s="11">
        <f>IF(預測IC!J18&gt;預測IC!J$26,1,0)</f>
        <v>0</v>
      </c>
      <c r="K18" s="11">
        <f>IF(預測IC!K18&gt;預測IC!K$26,1,0)</f>
        <v>1</v>
      </c>
      <c r="L18" s="11">
        <f>IF(預測IC!L18&gt;預測IC!L$26,1,0)</f>
        <v>1</v>
      </c>
      <c r="M18" s="11">
        <f>IF(預測IC!M18&gt;預測IC!M$26,1,0)</f>
        <v>1</v>
      </c>
      <c r="N18" s="11">
        <f>IF(預測IC!N18&gt;預測IC!N$26,1,0)</f>
        <v>0</v>
      </c>
      <c r="O18" s="11">
        <f>IF(預測IC!O18&gt;預測IC!O$26,1,0)</f>
        <v>1</v>
      </c>
      <c r="P18" s="11">
        <f>IF(預測IC!P18&gt;預測IC!P$26,1,0)</f>
        <v>1</v>
      </c>
      <c r="Q18" s="11">
        <f>IF(預測IC!Q18&gt;預測IC!Q$26,1,0)</f>
        <v>1</v>
      </c>
      <c r="R18" s="11">
        <f>IF(預測IC!R18&gt;預測IC!R$26,1,0)</f>
        <v>0</v>
      </c>
      <c r="S18" s="11">
        <f>IF(預測IC!S18&gt;預測IC!S$26,1,0)</f>
        <v>0</v>
      </c>
      <c r="T18" s="11">
        <f>IF(預測IC!T18&gt;預測IC!T$26,1,0)</f>
        <v>1</v>
      </c>
      <c r="U18" s="11">
        <f>IF(預測IC!U18&gt;預測IC!U$26,1,0)</f>
        <v>1</v>
      </c>
      <c r="V18" s="11">
        <f>IF(預測IC!V18&gt;預測IC!V$26,1,0)</f>
        <v>0</v>
      </c>
      <c r="W18" s="11">
        <f>IF(預測IC!W18&gt;預測IC!W$26,1,0)</f>
        <v>0</v>
      </c>
      <c r="X18" s="11">
        <f>IF(預測IC!X18&gt;預測IC!X$26,1,0)</f>
        <v>1</v>
      </c>
      <c r="Y18" s="11">
        <f>IF(預測IC!Y18&gt;預測IC!Y$26,1,0)</f>
        <v>1</v>
      </c>
      <c r="Z18" s="11">
        <f>IF(預測IC!Z18&gt;預測IC!Z$26,1,0)</f>
        <v>0</v>
      </c>
      <c r="AA18" s="11">
        <f>IF(預測IC!AA18&gt;預測IC!AA$26,1,0)</f>
        <v>1</v>
      </c>
      <c r="AB18" s="11">
        <f>IF(預測IC!AB18&gt;預測IC!AB$26,1,0)</f>
        <v>0</v>
      </c>
      <c r="AC18" s="11">
        <f>IF(預測IC!AC18&gt;預測IC!AC$26,1,0)</f>
        <v>0</v>
      </c>
      <c r="AD18" s="11">
        <f>IF(預測IC!AD18&gt;預測IC!AD$26,1,0)</f>
        <v>1</v>
      </c>
      <c r="AE18" s="11">
        <f>IF(預測IC!AE18&gt;預測IC!AE$26,1,0)</f>
        <v>1</v>
      </c>
      <c r="AF18" s="11">
        <f>IF(預測IC!AF18&gt;預測IC!AF$26,1,0)</f>
        <v>0</v>
      </c>
      <c r="AG18" s="11">
        <f>IF(預測IC!AG18&gt;預測IC!AG$26,1,0)</f>
        <v>0</v>
      </c>
      <c r="AH18" s="11">
        <f>IF(預測IC!AH18&gt;預測IC!AH$26,1,0)</f>
        <v>1</v>
      </c>
      <c r="AI18" s="11">
        <f>IF(預測IC!AI18&gt;預測IC!AI$26,1,0)</f>
        <v>0</v>
      </c>
      <c r="AJ18" s="11">
        <f>IF(預測IC!AJ18&gt;預測IC!AJ$26,1,0)</f>
        <v>1</v>
      </c>
      <c r="AK18" s="11">
        <f>IF(預測IC!AK18&gt;預測IC!AK$26,1,0)</f>
        <v>0</v>
      </c>
      <c r="AL18" s="11">
        <f>IF(預測IC!AL18&gt;預測IC!AL$26,1,0)</f>
        <v>0</v>
      </c>
      <c r="AM18" s="11">
        <f>IF(預測IC!AM18&gt;預測IC!AM$26,1,0)</f>
        <v>0</v>
      </c>
      <c r="AN18" s="11">
        <f>IF(預測IC!AN18&gt;預測IC!AN$26,1,0)</f>
        <v>0</v>
      </c>
      <c r="AO18" s="11">
        <f>IF(預測IC!AO18&gt;預測IC!AO$26,1,0)</f>
        <v>0</v>
      </c>
      <c r="AP18" s="11">
        <f>IF(預測IC!AP18&gt;預測IC!AP$26,1,0)</f>
        <v>1</v>
      </c>
      <c r="AQ18" s="11">
        <f>IF(預測IC!AQ18&gt;預測IC!AQ$26,1,0)</f>
        <v>1</v>
      </c>
      <c r="AR18" s="11">
        <f>IF(預測IC!AR18&gt;預測IC!AR$26,1,0)</f>
        <v>0</v>
      </c>
      <c r="AS18" s="11">
        <f>IF(預測IC!AS18&gt;預測IC!AS$26,1,0)</f>
        <v>0</v>
      </c>
      <c r="AT18" s="11">
        <f>IF(預測IC!AT18&gt;預測IC!AT$26,1,0)</f>
        <v>0</v>
      </c>
      <c r="AU18" s="11">
        <f>IF(預測IC!AU18&gt;預測IC!AU$26,1,0)</f>
        <v>0</v>
      </c>
      <c r="AV18" s="11">
        <f>IF(預測IC!AV18&gt;預測IC!AV$26,1,0)</f>
        <v>0</v>
      </c>
      <c r="AW18" s="11">
        <f>IF(預測IC!AW18&gt;預測IC!AW$26,1,0)</f>
        <v>0</v>
      </c>
      <c r="AX18" s="11">
        <f>IF(預測IC!AX18&gt;預測IC!AX$26,1,0)</f>
        <v>0</v>
      </c>
      <c r="AY18" s="11">
        <f>IF(預測IC!AY18&gt;預測IC!AY$26,1,0)</f>
        <v>0</v>
      </c>
      <c r="AZ18" s="11">
        <f>IF(預測IC!AZ18&gt;預測IC!AZ$26,1,0)</f>
        <v>1</v>
      </c>
      <c r="BA18" s="11">
        <f>IF(預測IC!BA18&gt;預測IC!BA$26,1,0)</f>
        <v>1</v>
      </c>
      <c r="BB18" s="11">
        <f>IF(預測IC!BB18&gt;預測IC!BB$26,1,0)</f>
        <v>0</v>
      </c>
      <c r="BC18" s="11">
        <f>IF(預測IC!BC18&gt;預測IC!BC$26,1,0)</f>
        <v>0</v>
      </c>
      <c r="BD18" s="11">
        <f>IF(預測IC!BD18&gt;預測IC!BD$26,1,0)</f>
        <v>1</v>
      </c>
      <c r="BE18" s="11">
        <f>IF(預測IC!BE18&gt;預測IC!BE$26,1,0)</f>
        <v>0</v>
      </c>
      <c r="BF18" s="11">
        <f>IF(預測IC!BF18&gt;預測IC!BF$26,1,0)</f>
        <v>0</v>
      </c>
      <c r="BG18" s="11">
        <f>IF(預測IC!BG18&gt;預測IC!BG$26,1,0)</f>
        <v>0</v>
      </c>
      <c r="BH18" s="11">
        <f>IF(預測IC!BH18&gt;預測IC!BH$26,1,0)</f>
        <v>0</v>
      </c>
      <c r="BI18" s="11">
        <f>IF(預測IC!BI18&gt;預測IC!BI$26,1,0)</f>
        <v>1</v>
      </c>
      <c r="BJ18" s="11">
        <f>IF(預測IC!BJ18&gt;預測IC!BJ$26,1,0)</f>
        <v>0</v>
      </c>
      <c r="BK18" s="11">
        <f>IF(預測IC!BK18&gt;預測IC!BK$26,1,0)</f>
        <v>0</v>
      </c>
      <c r="BL18" s="11">
        <f>IF(預測IC!BL18&gt;預測IC!BL$26,1,0)</f>
        <v>0</v>
      </c>
      <c r="BM18" s="11">
        <f>IF(預測IC!BM18&gt;預測IC!BM$26,1,0)</f>
        <v>0</v>
      </c>
      <c r="BN18" s="11">
        <f>IF(預測IC!BN18&gt;預測IC!BN$26,1,0)</f>
        <v>0</v>
      </c>
      <c r="BO18" s="11">
        <f>IF(預測IC!BO18&gt;預測IC!BO$26,1,0)</f>
        <v>1</v>
      </c>
      <c r="BP18" s="11">
        <f>IF(預測IC!BP18&gt;預測IC!BP$26,1,0)</f>
        <v>0</v>
      </c>
      <c r="BQ18" s="11">
        <f>IF(預測IC!BQ18&gt;預測IC!BQ$26,1,0)</f>
        <v>0</v>
      </c>
      <c r="BR18" s="11">
        <f>IF(預測IC!BR18&gt;預測IC!BR$26,1,0)</f>
        <v>1</v>
      </c>
      <c r="BS18" s="11">
        <f>IF(預測IC!BS18&gt;預測IC!BS$26,1,0)</f>
        <v>1</v>
      </c>
      <c r="BT18" s="11">
        <f>IF(預測IC!BT18&gt;預測IC!BT$26,1,0)</f>
        <v>0</v>
      </c>
      <c r="BU18" s="11">
        <f>IF(預測IC!BU18&gt;預測IC!BU$26,1,0)</f>
        <v>0</v>
      </c>
      <c r="BV18" s="11">
        <f>IF(預測IC!BV18&gt;預測IC!BV$26,1,0)</f>
        <v>1</v>
      </c>
      <c r="BW18" s="11">
        <f>IF(預測IC!BW18&gt;預測IC!BW$26,1,0)</f>
        <v>1</v>
      </c>
      <c r="BX18" s="11">
        <f>IF(預測IC!BX18&gt;預測IC!BX$26,1,0)</f>
        <v>0</v>
      </c>
      <c r="BY18" s="11">
        <f>IF(預測IC!BY18&gt;預測IC!BY$26,1,0)</f>
        <v>1</v>
      </c>
      <c r="BZ18" s="11">
        <f>IF(預測IC!BZ18&gt;預測IC!BZ$26,1,0)</f>
        <v>0</v>
      </c>
      <c r="CA18" s="11">
        <f>IF(預測IC!CA18&gt;預測IC!CA$26,1,0)</f>
        <v>1</v>
      </c>
      <c r="CB18" s="11">
        <f>IF(預測IC!CB18&gt;預測IC!CB$26,1,0)</f>
        <v>0</v>
      </c>
      <c r="CC18" s="11">
        <f>IF(預測IC!CC18&gt;預測IC!CC$26,1,0)</f>
        <v>1</v>
      </c>
      <c r="CD18" s="11">
        <f>IF(預測IC!CD18&gt;預測IC!CD$26,1,0)</f>
        <v>0</v>
      </c>
      <c r="CE18" s="11">
        <f>IF(預測IC!CE18&gt;預測IC!CE$26,1,0)</f>
        <v>0</v>
      </c>
      <c r="CF18" s="11">
        <f>IF(預測IC!CF18&gt;預測IC!CF$26,1,0)</f>
        <v>0</v>
      </c>
      <c r="CG18" s="11">
        <f>IF(預測IC!CG18&gt;預測IC!CG$26,1,0)</f>
        <v>0</v>
      </c>
      <c r="CH18" s="11">
        <f>IF(預測IC!CH18&gt;預測IC!CH$26,1,0)</f>
        <v>0</v>
      </c>
      <c r="CI18" s="11">
        <f>IF(預測IC!CI18&gt;預測IC!CI$26,1,0)</f>
        <v>0</v>
      </c>
      <c r="CJ18" s="11">
        <f>IF(預測IC!CJ18&gt;預測IC!CJ$26,1,0)</f>
        <v>0</v>
      </c>
      <c r="CK18" s="11">
        <f>IF(預測IC!CK18&gt;預測IC!CK$26,1,0)</f>
        <v>1</v>
      </c>
      <c r="CL18" s="11">
        <f>IF(預測IC!CL18&gt;預測IC!CL$26,1,0)</f>
        <v>1</v>
      </c>
      <c r="CM18" s="11">
        <f>IF(預測IC!CM18&gt;預測IC!CM$26,1,0)</f>
        <v>0</v>
      </c>
      <c r="CN18" s="11">
        <f>IF(預測IC!CN18&gt;預測IC!CN$26,1,0)</f>
        <v>0</v>
      </c>
      <c r="CO18" s="11">
        <f>IF(預測IC!CO18&gt;預測IC!CO$26,1,0)</f>
        <v>1</v>
      </c>
      <c r="CP18" s="11">
        <f>IF(預測IC!CP18&gt;預測IC!CP$26,1,0)</f>
        <v>0</v>
      </c>
      <c r="CQ18" s="11">
        <f>IF(預測IC!CQ18&gt;預測IC!CQ$26,1,0)</f>
        <v>0</v>
      </c>
      <c r="CR18" s="11">
        <f>IF(預測IC!CR18&gt;預測IC!CR$26,1,0)</f>
        <v>0</v>
      </c>
      <c r="CS18" s="11">
        <f>IF(預測IC!CS18&gt;預測IC!CS$26,1,0)</f>
        <v>0</v>
      </c>
      <c r="CT18" s="11">
        <f>IF(預測IC!CT18&gt;預測IC!CT$26,1,0)</f>
        <v>0</v>
      </c>
      <c r="CU18" s="11">
        <f>IF(預測IC!CU18&gt;預測IC!CU$26,1,0)</f>
        <v>1</v>
      </c>
      <c r="CV18" s="11">
        <f>IF(預測IC!CV18&gt;預測IC!CV$26,1,0)</f>
        <v>0</v>
      </c>
      <c r="CW18" s="11">
        <f>IF(預測IC!CW18&gt;預測IC!CW$26,1,0)</f>
        <v>1</v>
      </c>
      <c r="CX18" s="11">
        <f>IF(預測IC!CX18&gt;預測IC!CX$26,1,0)</f>
        <v>1</v>
      </c>
      <c r="CY18" s="11">
        <f>IF(預測IC!CY18&gt;預測IC!CY$26,1,0)</f>
        <v>1</v>
      </c>
      <c r="CZ18" s="11">
        <f>IF(預測IC!CZ18&gt;預測IC!CZ$26,1,0)</f>
        <v>0</v>
      </c>
      <c r="DA18" s="11">
        <f>IF(預測IC!DA18&gt;預測IC!DA$26,1,0)</f>
        <v>1</v>
      </c>
      <c r="DB18" s="11">
        <f>IF(預測IC!DB18&gt;預測IC!DB$26,1,0)</f>
        <v>1</v>
      </c>
      <c r="DC18" s="11">
        <f>IF(預測IC!DC18&gt;預測IC!DC$26,1,0)</f>
        <v>1</v>
      </c>
      <c r="DD18" s="11">
        <f>IF(預測IC!DD18&gt;預測IC!DD$26,1,0)</f>
        <v>1</v>
      </c>
      <c r="DE18" s="11">
        <f>IF(預測IC!DE18&gt;預測IC!DE$26,1,0)</f>
        <v>0</v>
      </c>
      <c r="DF18" s="11">
        <f>IF(預測IC!DF18&gt;預測IC!DF$26,1,0)</f>
        <v>1</v>
      </c>
      <c r="DG18" s="11">
        <f>IF(預測IC!DG18&gt;預測IC!DG$26,1,0)</f>
        <v>0</v>
      </c>
      <c r="DH18" s="11">
        <f>IF(預測IC!DH18&gt;預測IC!DH$26,1,0)</f>
        <v>1</v>
      </c>
      <c r="DI18" s="11">
        <f>IF(預測IC!DI18&gt;預測IC!DI$26,1,0)</f>
        <v>0</v>
      </c>
      <c r="DJ18" s="11">
        <f>IF(預測IC!DJ18&gt;預測IC!DJ$26,1,0)</f>
        <v>1</v>
      </c>
      <c r="DK18" s="11">
        <f>IF(預測IC!DK18&gt;預測IC!DK$26,1,0)</f>
        <v>0</v>
      </c>
      <c r="DL18" s="11">
        <f>IF(預測IC!DL18&gt;預測IC!DL$26,1,0)</f>
        <v>0</v>
      </c>
      <c r="DM18" s="11">
        <f>IF(預測IC!DM18&gt;預測IC!DM$26,1,0)</f>
        <v>1</v>
      </c>
      <c r="DN18" s="11">
        <f>IF(預測IC!DN18&gt;預測IC!DN$26,1,0)</f>
        <v>1</v>
      </c>
      <c r="DO18" s="11">
        <f>IF(預測IC!DO18&gt;預測IC!DO$26,1,0)</f>
        <v>0</v>
      </c>
      <c r="DP18" s="11">
        <f>IF(預測IC!DP18&gt;預測IC!DP$26,1,0)</f>
        <v>1</v>
      </c>
      <c r="DQ18" s="11">
        <f>IF(預測IC!DQ18&gt;預測IC!DQ$26,1,0)</f>
        <v>0</v>
      </c>
      <c r="DR18" s="11">
        <f>IF(預測IC!DR18&gt;預測IC!DR$26,1,0)</f>
        <v>1</v>
      </c>
      <c r="DS18" s="11">
        <f>IF(預測IC!DS18&gt;預測IC!DS$26,1,0)</f>
        <v>1</v>
      </c>
      <c r="DT18" s="11">
        <f>IF(預測IC!DT18&gt;預測IC!DT$26,1,0)</f>
        <v>1</v>
      </c>
      <c r="DU18" s="11">
        <f>IF(預測IC!DU18&gt;預測IC!DU$26,1,0)</f>
        <v>1</v>
      </c>
      <c r="DV18" s="11">
        <f>IF(預測IC!DV18&gt;預測IC!DV$26,1,0)</f>
        <v>0</v>
      </c>
      <c r="DW18" s="11">
        <f>IF(預測IC!DW18&gt;預測IC!DW$26,1,0)</f>
        <v>0</v>
      </c>
      <c r="DX18" s="11">
        <f>IF(預測IC!DX18&gt;預測IC!DX$26,1,0)</f>
        <v>1</v>
      </c>
      <c r="DY18" s="11">
        <f>IF(預測IC!DY18&gt;預測IC!DY$26,1,0)</f>
        <v>0</v>
      </c>
      <c r="DZ18" s="11">
        <f>IF(預測IC!DZ18&gt;預測IC!DZ$26,1,0)</f>
        <v>1</v>
      </c>
      <c r="EA18" s="11">
        <f>IF(預測IC!EA18&gt;預測IC!EA$26,1,0)</f>
        <v>0</v>
      </c>
      <c r="EB18" s="11">
        <f>IF(預測IC!EB18&gt;預測IC!EB$26,1,0)</f>
        <v>1</v>
      </c>
      <c r="EC18" s="11">
        <f>IF(預測IC!EC18&gt;預測IC!EC$26,1,0)</f>
        <v>0</v>
      </c>
      <c r="ED18" s="11">
        <f>IF(預測IC!ED18&gt;預測IC!ED$26,1,0)</f>
        <v>0</v>
      </c>
      <c r="EE18" s="11">
        <f>IF(預測IC!EE18&gt;預測IC!EE$26,1,0)</f>
        <v>1</v>
      </c>
      <c r="EF18" s="11">
        <f>IF(預測IC!EF18&gt;預測IC!EF$26,1,0)</f>
        <v>0</v>
      </c>
      <c r="EG18" s="1">
        <f t="shared" si="6"/>
        <v>61</v>
      </c>
      <c r="EH18" s="17">
        <f t="shared" si="7"/>
        <v>0.45522388059701491</v>
      </c>
    </row>
    <row r="19" spans="1:138">
      <c r="A19" s="2">
        <v>160</v>
      </c>
      <c r="B19" s="2">
        <v>6</v>
      </c>
      <c r="C19" s="11">
        <f>IF(預測IC!C19&gt;預測IC!C$26,1,0)</f>
        <v>1</v>
      </c>
      <c r="D19" s="11">
        <f>IF(預測IC!D19&gt;預測IC!D$26,1,0)</f>
        <v>1</v>
      </c>
      <c r="E19" s="11">
        <f>IF(預測IC!E19&gt;預測IC!E$26,1,0)</f>
        <v>1</v>
      </c>
      <c r="F19" s="11">
        <f>IF(預測IC!F19&gt;預測IC!F$26,1,0)</f>
        <v>1</v>
      </c>
      <c r="G19" s="11">
        <f>IF(預測IC!G19&gt;預測IC!G$26,1,0)</f>
        <v>1</v>
      </c>
      <c r="H19" s="11">
        <f>IF(預測IC!H19&gt;預測IC!H$26,1,0)</f>
        <v>1</v>
      </c>
      <c r="I19" s="11">
        <f>IF(預測IC!I19&gt;預測IC!I$26,1,0)</f>
        <v>1</v>
      </c>
      <c r="J19" s="11">
        <f>IF(預測IC!J19&gt;預測IC!J$26,1,0)</f>
        <v>0</v>
      </c>
      <c r="K19" s="11">
        <f>IF(預測IC!K19&gt;預測IC!K$26,1,0)</f>
        <v>1</v>
      </c>
      <c r="L19" s="11">
        <f>IF(預測IC!L19&gt;預測IC!L$26,1,0)</f>
        <v>1</v>
      </c>
      <c r="M19" s="11">
        <f>IF(預測IC!M19&gt;預測IC!M$26,1,0)</f>
        <v>0</v>
      </c>
      <c r="N19" s="11">
        <f>IF(預測IC!N19&gt;預測IC!N$26,1,0)</f>
        <v>0</v>
      </c>
      <c r="O19" s="11">
        <f>IF(預測IC!O19&gt;預測IC!O$26,1,0)</f>
        <v>1</v>
      </c>
      <c r="P19" s="11">
        <f>IF(預測IC!P19&gt;預測IC!P$26,1,0)</f>
        <v>0</v>
      </c>
      <c r="Q19" s="11">
        <f>IF(預測IC!Q19&gt;預測IC!Q$26,1,0)</f>
        <v>1</v>
      </c>
      <c r="R19" s="11">
        <f>IF(預測IC!R19&gt;預測IC!R$26,1,0)</f>
        <v>1</v>
      </c>
      <c r="S19" s="11">
        <f>IF(預測IC!S19&gt;預測IC!S$26,1,0)</f>
        <v>0</v>
      </c>
      <c r="T19" s="11">
        <f>IF(預測IC!T19&gt;預測IC!T$26,1,0)</f>
        <v>0</v>
      </c>
      <c r="U19" s="11">
        <f>IF(預測IC!U19&gt;預測IC!U$26,1,0)</f>
        <v>1</v>
      </c>
      <c r="V19" s="11">
        <f>IF(預測IC!V19&gt;預測IC!V$26,1,0)</f>
        <v>0</v>
      </c>
      <c r="W19" s="11">
        <f>IF(預測IC!W19&gt;預測IC!W$26,1,0)</f>
        <v>0</v>
      </c>
      <c r="X19" s="11">
        <f>IF(預測IC!X19&gt;預測IC!X$26,1,0)</f>
        <v>1</v>
      </c>
      <c r="Y19" s="11">
        <f>IF(預測IC!Y19&gt;預測IC!Y$26,1,0)</f>
        <v>1</v>
      </c>
      <c r="Z19" s="11">
        <f>IF(預測IC!Z19&gt;預測IC!Z$26,1,0)</f>
        <v>0</v>
      </c>
      <c r="AA19" s="11">
        <f>IF(預測IC!AA19&gt;預測IC!AA$26,1,0)</f>
        <v>1</v>
      </c>
      <c r="AB19" s="11">
        <f>IF(預測IC!AB19&gt;預測IC!AB$26,1,0)</f>
        <v>0</v>
      </c>
      <c r="AC19" s="11">
        <f>IF(預測IC!AC19&gt;預測IC!AC$26,1,0)</f>
        <v>0</v>
      </c>
      <c r="AD19" s="11">
        <f>IF(預測IC!AD19&gt;預測IC!AD$26,1,0)</f>
        <v>1</v>
      </c>
      <c r="AE19" s="11">
        <f>IF(預測IC!AE19&gt;預測IC!AE$26,1,0)</f>
        <v>1</v>
      </c>
      <c r="AF19" s="11">
        <f>IF(預測IC!AF19&gt;預測IC!AF$26,1,0)</f>
        <v>0</v>
      </c>
      <c r="AG19" s="11">
        <f>IF(預測IC!AG19&gt;預測IC!AG$26,1,0)</f>
        <v>0</v>
      </c>
      <c r="AH19" s="11">
        <f>IF(預測IC!AH19&gt;預測IC!AH$26,1,0)</f>
        <v>1</v>
      </c>
      <c r="AI19" s="11">
        <f>IF(預測IC!AI19&gt;預測IC!AI$26,1,0)</f>
        <v>0</v>
      </c>
      <c r="AJ19" s="11">
        <f>IF(預測IC!AJ19&gt;預測IC!AJ$26,1,0)</f>
        <v>1</v>
      </c>
      <c r="AK19" s="11">
        <f>IF(預測IC!AK19&gt;預測IC!AK$26,1,0)</f>
        <v>0</v>
      </c>
      <c r="AL19" s="11">
        <f>IF(預測IC!AL19&gt;預測IC!AL$26,1,0)</f>
        <v>0</v>
      </c>
      <c r="AM19" s="11">
        <f>IF(預測IC!AM19&gt;預測IC!AM$26,1,0)</f>
        <v>0</v>
      </c>
      <c r="AN19" s="11">
        <f>IF(預測IC!AN19&gt;預測IC!AN$26,1,0)</f>
        <v>0</v>
      </c>
      <c r="AO19" s="11">
        <f>IF(預測IC!AO19&gt;預測IC!AO$26,1,0)</f>
        <v>0</v>
      </c>
      <c r="AP19" s="11">
        <f>IF(預測IC!AP19&gt;預測IC!AP$26,1,0)</f>
        <v>1</v>
      </c>
      <c r="AQ19" s="11">
        <f>IF(預測IC!AQ19&gt;預測IC!AQ$26,1,0)</f>
        <v>1</v>
      </c>
      <c r="AR19" s="11">
        <f>IF(預測IC!AR19&gt;預測IC!AR$26,1,0)</f>
        <v>0</v>
      </c>
      <c r="AS19" s="11">
        <f>IF(預測IC!AS19&gt;預測IC!AS$26,1,0)</f>
        <v>0</v>
      </c>
      <c r="AT19" s="11">
        <f>IF(預測IC!AT19&gt;預測IC!AT$26,1,0)</f>
        <v>0</v>
      </c>
      <c r="AU19" s="11">
        <f>IF(預測IC!AU19&gt;預測IC!AU$26,1,0)</f>
        <v>0</v>
      </c>
      <c r="AV19" s="11">
        <f>IF(預測IC!AV19&gt;預測IC!AV$26,1,0)</f>
        <v>1</v>
      </c>
      <c r="AW19" s="11">
        <f>IF(預測IC!AW19&gt;預測IC!AW$26,1,0)</f>
        <v>0</v>
      </c>
      <c r="AX19" s="11">
        <f>IF(預測IC!AX19&gt;預測IC!AX$26,1,0)</f>
        <v>0</v>
      </c>
      <c r="AY19" s="11">
        <f>IF(預測IC!AY19&gt;預測IC!AY$26,1,0)</f>
        <v>0</v>
      </c>
      <c r="AZ19" s="11">
        <f>IF(預測IC!AZ19&gt;預測IC!AZ$26,1,0)</f>
        <v>1</v>
      </c>
      <c r="BA19" s="11">
        <f>IF(預測IC!BA19&gt;預測IC!BA$26,1,0)</f>
        <v>1</v>
      </c>
      <c r="BB19" s="11">
        <f>IF(預測IC!BB19&gt;預測IC!BB$26,1,0)</f>
        <v>0</v>
      </c>
      <c r="BC19" s="11">
        <f>IF(預測IC!BC19&gt;預測IC!BC$26,1,0)</f>
        <v>0</v>
      </c>
      <c r="BD19" s="11">
        <f>IF(預測IC!BD19&gt;預測IC!BD$26,1,0)</f>
        <v>1</v>
      </c>
      <c r="BE19" s="11">
        <f>IF(預測IC!BE19&gt;預測IC!BE$26,1,0)</f>
        <v>0</v>
      </c>
      <c r="BF19" s="11">
        <f>IF(預測IC!BF19&gt;預測IC!BF$26,1,0)</f>
        <v>0</v>
      </c>
      <c r="BG19" s="11">
        <f>IF(預測IC!BG19&gt;預測IC!BG$26,1,0)</f>
        <v>0</v>
      </c>
      <c r="BH19" s="11">
        <f>IF(預測IC!BH19&gt;預測IC!BH$26,1,0)</f>
        <v>0</v>
      </c>
      <c r="BI19" s="11">
        <f>IF(預測IC!BI19&gt;預測IC!BI$26,1,0)</f>
        <v>1</v>
      </c>
      <c r="BJ19" s="11">
        <f>IF(預測IC!BJ19&gt;預測IC!BJ$26,1,0)</f>
        <v>0</v>
      </c>
      <c r="BK19" s="11">
        <f>IF(預測IC!BK19&gt;預測IC!BK$26,1,0)</f>
        <v>0</v>
      </c>
      <c r="BL19" s="11">
        <f>IF(預測IC!BL19&gt;預測IC!BL$26,1,0)</f>
        <v>0</v>
      </c>
      <c r="BM19" s="11">
        <f>IF(預測IC!BM19&gt;預測IC!BM$26,1,0)</f>
        <v>0</v>
      </c>
      <c r="BN19" s="11">
        <f>IF(預測IC!BN19&gt;預測IC!BN$26,1,0)</f>
        <v>0</v>
      </c>
      <c r="BO19" s="11">
        <f>IF(預測IC!BO19&gt;預測IC!BO$26,1,0)</f>
        <v>1</v>
      </c>
      <c r="BP19" s="11">
        <f>IF(預測IC!BP19&gt;預測IC!BP$26,1,0)</f>
        <v>0</v>
      </c>
      <c r="BQ19" s="11">
        <f>IF(預測IC!BQ19&gt;預測IC!BQ$26,1,0)</f>
        <v>0</v>
      </c>
      <c r="BR19" s="11">
        <f>IF(預測IC!BR19&gt;預測IC!BR$26,1,0)</f>
        <v>1</v>
      </c>
      <c r="BS19" s="11">
        <f>IF(預測IC!BS19&gt;預測IC!BS$26,1,0)</f>
        <v>0</v>
      </c>
      <c r="BT19" s="11">
        <f>IF(預測IC!BT19&gt;預測IC!BT$26,1,0)</f>
        <v>0</v>
      </c>
      <c r="BU19" s="11">
        <f>IF(預測IC!BU19&gt;預測IC!BU$26,1,0)</f>
        <v>0</v>
      </c>
      <c r="BV19" s="11">
        <f>IF(預測IC!BV19&gt;預測IC!BV$26,1,0)</f>
        <v>1</v>
      </c>
      <c r="BW19" s="11">
        <f>IF(預測IC!BW19&gt;預測IC!BW$26,1,0)</f>
        <v>1</v>
      </c>
      <c r="BX19" s="11">
        <f>IF(預測IC!BX19&gt;預測IC!BX$26,1,0)</f>
        <v>0</v>
      </c>
      <c r="BY19" s="11">
        <f>IF(預測IC!BY19&gt;預測IC!BY$26,1,0)</f>
        <v>1</v>
      </c>
      <c r="BZ19" s="11">
        <f>IF(預測IC!BZ19&gt;預測IC!BZ$26,1,0)</f>
        <v>1</v>
      </c>
      <c r="CA19" s="11">
        <f>IF(預測IC!CA19&gt;預測IC!CA$26,1,0)</f>
        <v>1</v>
      </c>
      <c r="CB19" s="11">
        <f>IF(預測IC!CB19&gt;預測IC!CB$26,1,0)</f>
        <v>0</v>
      </c>
      <c r="CC19" s="11">
        <f>IF(預測IC!CC19&gt;預測IC!CC$26,1,0)</f>
        <v>1</v>
      </c>
      <c r="CD19" s="11">
        <f>IF(預測IC!CD19&gt;預測IC!CD$26,1,0)</f>
        <v>0</v>
      </c>
      <c r="CE19" s="11">
        <f>IF(預測IC!CE19&gt;預測IC!CE$26,1,0)</f>
        <v>0</v>
      </c>
      <c r="CF19" s="11">
        <f>IF(預測IC!CF19&gt;預測IC!CF$26,1,0)</f>
        <v>0</v>
      </c>
      <c r="CG19" s="11">
        <f>IF(預測IC!CG19&gt;預測IC!CG$26,1,0)</f>
        <v>0</v>
      </c>
      <c r="CH19" s="11">
        <f>IF(預測IC!CH19&gt;預測IC!CH$26,1,0)</f>
        <v>0</v>
      </c>
      <c r="CI19" s="11">
        <f>IF(預測IC!CI19&gt;預測IC!CI$26,1,0)</f>
        <v>0</v>
      </c>
      <c r="CJ19" s="11">
        <f>IF(預測IC!CJ19&gt;預測IC!CJ$26,1,0)</f>
        <v>0</v>
      </c>
      <c r="CK19" s="11">
        <f>IF(預測IC!CK19&gt;預測IC!CK$26,1,0)</f>
        <v>1</v>
      </c>
      <c r="CL19" s="11">
        <f>IF(預測IC!CL19&gt;預測IC!CL$26,1,0)</f>
        <v>1</v>
      </c>
      <c r="CM19" s="11">
        <f>IF(預測IC!CM19&gt;預測IC!CM$26,1,0)</f>
        <v>0</v>
      </c>
      <c r="CN19" s="11">
        <f>IF(預測IC!CN19&gt;預測IC!CN$26,1,0)</f>
        <v>1</v>
      </c>
      <c r="CO19" s="11">
        <f>IF(預測IC!CO19&gt;預測IC!CO$26,1,0)</f>
        <v>1</v>
      </c>
      <c r="CP19" s="11">
        <f>IF(預測IC!CP19&gt;預測IC!CP$26,1,0)</f>
        <v>0</v>
      </c>
      <c r="CQ19" s="11">
        <f>IF(預測IC!CQ19&gt;預測IC!CQ$26,1,0)</f>
        <v>1</v>
      </c>
      <c r="CR19" s="11">
        <f>IF(預測IC!CR19&gt;預測IC!CR$26,1,0)</f>
        <v>0</v>
      </c>
      <c r="CS19" s="11">
        <f>IF(預測IC!CS19&gt;預測IC!CS$26,1,0)</f>
        <v>0</v>
      </c>
      <c r="CT19" s="11">
        <f>IF(預測IC!CT19&gt;預測IC!CT$26,1,0)</f>
        <v>0</v>
      </c>
      <c r="CU19" s="11">
        <f>IF(預測IC!CU19&gt;預測IC!CU$26,1,0)</f>
        <v>1</v>
      </c>
      <c r="CV19" s="11">
        <f>IF(預測IC!CV19&gt;預測IC!CV$26,1,0)</f>
        <v>0</v>
      </c>
      <c r="CW19" s="11">
        <f>IF(預測IC!CW19&gt;預測IC!CW$26,1,0)</f>
        <v>1</v>
      </c>
      <c r="CX19" s="11">
        <f>IF(預測IC!CX19&gt;預測IC!CX$26,1,0)</f>
        <v>1</v>
      </c>
      <c r="CY19" s="11">
        <f>IF(預測IC!CY19&gt;預測IC!CY$26,1,0)</f>
        <v>1</v>
      </c>
      <c r="CZ19" s="11">
        <f>IF(預測IC!CZ19&gt;預測IC!CZ$26,1,0)</f>
        <v>1</v>
      </c>
      <c r="DA19" s="11">
        <f>IF(預測IC!DA19&gt;預測IC!DA$26,1,0)</f>
        <v>1</v>
      </c>
      <c r="DB19" s="11">
        <f>IF(預測IC!DB19&gt;預測IC!DB$26,1,0)</f>
        <v>1</v>
      </c>
      <c r="DC19" s="11">
        <f>IF(預測IC!DC19&gt;預測IC!DC$26,1,0)</f>
        <v>1</v>
      </c>
      <c r="DD19" s="11">
        <f>IF(預測IC!DD19&gt;預測IC!DD$26,1,0)</f>
        <v>1</v>
      </c>
      <c r="DE19" s="11">
        <f>IF(預測IC!DE19&gt;預測IC!DE$26,1,0)</f>
        <v>0</v>
      </c>
      <c r="DF19" s="11">
        <f>IF(預測IC!DF19&gt;預測IC!DF$26,1,0)</f>
        <v>1</v>
      </c>
      <c r="DG19" s="11">
        <f>IF(預測IC!DG19&gt;預測IC!DG$26,1,0)</f>
        <v>0</v>
      </c>
      <c r="DH19" s="11">
        <f>IF(預測IC!DH19&gt;預測IC!DH$26,1,0)</f>
        <v>0</v>
      </c>
      <c r="DI19" s="11">
        <f>IF(預測IC!DI19&gt;預測IC!DI$26,1,0)</f>
        <v>0</v>
      </c>
      <c r="DJ19" s="11">
        <f>IF(預測IC!DJ19&gt;預測IC!DJ$26,1,0)</f>
        <v>1</v>
      </c>
      <c r="DK19" s="11">
        <f>IF(預測IC!DK19&gt;預測IC!DK$26,1,0)</f>
        <v>0</v>
      </c>
      <c r="DL19" s="11">
        <f>IF(預測IC!DL19&gt;預測IC!DL$26,1,0)</f>
        <v>0</v>
      </c>
      <c r="DM19" s="11">
        <f>IF(預測IC!DM19&gt;預測IC!DM$26,1,0)</f>
        <v>1</v>
      </c>
      <c r="DN19" s="11">
        <f>IF(預測IC!DN19&gt;預測IC!DN$26,1,0)</f>
        <v>1</v>
      </c>
      <c r="DO19" s="11">
        <f>IF(預測IC!DO19&gt;預測IC!DO$26,1,0)</f>
        <v>0</v>
      </c>
      <c r="DP19" s="11">
        <f>IF(預測IC!DP19&gt;預測IC!DP$26,1,0)</f>
        <v>0</v>
      </c>
      <c r="DQ19" s="11">
        <f>IF(預測IC!DQ19&gt;預測IC!DQ$26,1,0)</f>
        <v>0</v>
      </c>
      <c r="DR19" s="11">
        <f>IF(預測IC!DR19&gt;預測IC!DR$26,1,0)</f>
        <v>1</v>
      </c>
      <c r="DS19" s="11">
        <f>IF(預測IC!DS19&gt;預測IC!DS$26,1,0)</f>
        <v>1</v>
      </c>
      <c r="DT19" s="11">
        <f>IF(預測IC!DT19&gt;預測IC!DT$26,1,0)</f>
        <v>1</v>
      </c>
      <c r="DU19" s="11">
        <f>IF(預測IC!DU19&gt;預測IC!DU$26,1,0)</f>
        <v>1</v>
      </c>
      <c r="DV19" s="11">
        <f>IF(預測IC!DV19&gt;預測IC!DV$26,1,0)</f>
        <v>0</v>
      </c>
      <c r="DW19" s="11">
        <f>IF(預測IC!DW19&gt;預測IC!DW$26,1,0)</f>
        <v>0</v>
      </c>
      <c r="DX19" s="11">
        <f>IF(預測IC!DX19&gt;預測IC!DX$26,1,0)</f>
        <v>1</v>
      </c>
      <c r="DY19" s="11">
        <f>IF(預測IC!DY19&gt;預測IC!DY$26,1,0)</f>
        <v>0</v>
      </c>
      <c r="DZ19" s="11">
        <f>IF(預測IC!DZ19&gt;預測IC!DZ$26,1,0)</f>
        <v>1</v>
      </c>
      <c r="EA19" s="11">
        <f>IF(預測IC!EA19&gt;預測IC!EA$26,1,0)</f>
        <v>1</v>
      </c>
      <c r="EB19" s="11">
        <f>IF(預測IC!EB19&gt;預測IC!EB$26,1,0)</f>
        <v>1</v>
      </c>
      <c r="EC19" s="11">
        <f>IF(預測IC!EC19&gt;預測IC!EC$26,1,0)</f>
        <v>0</v>
      </c>
      <c r="ED19" s="11">
        <f>IF(預測IC!ED19&gt;預測IC!ED$26,1,0)</f>
        <v>0</v>
      </c>
      <c r="EE19" s="11">
        <f>IF(預測IC!EE19&gt;預測IC!EE$26,1,0)</f>
        <v>1</v>
      </c>
      <c r="EF19" s="11">
        <f>IF(預測IC!EF19&gt;預測IC!EF$26,1,0)</f>
        <v>1</v>
      </c>
      <c r="EG19" s="1">
        <f t="shared" si="6"/>
        <v>63</v>
      </c>
      <c r="EH19" s="17">
        <f t="shared" si="7"/>
        <v>0.47014925373134331</v>
      </c>
    </row>
    <row r="20" spans="1:138">
      <c r="A20" s="2">
        <v>192</v>
      </c>
      <c r="B20" s="2">
        <v>5</v>
      </c>
      <c r="C20" s="11">
        <f>IF(預測IC!C20&gt;預測IC!C$26,1,0)</f>
        <v>1</v>
      </c>
      <c r="D20" s="11">
        <f>IF(預測IC!D20&gt;預測IC!D$26,1,0)</f>
        <v>1</v>
      </c>
      <c r="E20" s="11">
        <f>IF(預測IC!E20&gt;預測IC!E$26,1,0)</f>
        <v>1</v>
      </c>
      <c r="F20" s="11">
        <f>IF(預測IC!F20&gt;預測IC!F$26,1,0)</f>
        <v>1</v>
      </c>
      <c r="G20" s="11">
        <f>IF(預測IC!G20&gt;預測IC!G$26,1,0)</f>
        <v>1</v>
      </c>
      <c r="H20" s="11">
        <f>IF(預測IC!H20&gt;預測IC!H$26,1,0)</f>
        <v>1</v>
      </c>
      <c r="I20" s="11">
        <f>IF(預測IC!I20&gt;預測IC!I$26,1,0)</f>
        <v>1</v>
      </c>
      <c r="J20" s="11">
        <f>IF(預測IC!J20&gt;預測IC!J$26,1,0)</f>
        <v>0</v>
      </c>
      <c r="K20" s="11">
        <f>IF(預測IC!K20&gt;預測IC!K$26,1,0)</f>
        <v>1</v>
      </c>
      <c r="L20" s="11">
        <f>IF(預測IC!L20&gt;預測IC!L$26,1,0)</f>
        <v>1</v>
      </c>
      <c r="M20" s="11">
        <f>IF(預測IC!M20&gt;預測IC!M$26,1,0)</f>
        <v>0</v>
      </c>
      <c r="N20" s="11">
        <f>IF(預測IC!N20&gt;預測IC!N$26,1,0)</f>
        <v>0</v>
      </c>
      <c r="O20" s="11">
        <f>IF(預測IC!O20&gt;預測IC!O$26,1,0)</f>
        <v>1</v>
      </c>
      <c r="P20" s="11">
        <f>IF(預測IC!P20&gt;預測IC!P$26,1,0)</f>
        <v>1</v>
      </c>
      <c r="Q20" s="11">
        <f>IF(預測IC!Q20&gt;預測IC!Q$26,1,0)</f>
        <v>1</v>
      </c>
      <c r="R20" s="11">
        <f>IF(預測IC!R20&gt;預測IC!R$26,1,0)</f>
        <v>1</v>
      </c>
      <c r="S20" s="11">
        <f>IF(預測IC!S20&gt;預測IC!S$26,1,0)</f>
        <v>0</v>
      </c>
      <c r="T20" s="11">
        <f>IF(預測IC!T20&gt;預測IC!T$26,1,0)</f>
        <v>0</v>
      </c>
      <c r="U20" s="11">
        <f>IF(預測IC!U20&gt;預測IC!U$26,1,0)</f>
        <v>1</v>
      </c>
      <c r="V20" s="11">
        <f>IF(預測IC!V20&gt;預測IC!V$26,1,0)</f>
        <v>0</v>
      </c>
      <c r="W20" s="11">
        <f>IF(預測IC!W20&gt;預測IC!W$26,1,0)</f>
        <v>0</v>
      </c>
      <c r="X20" s="11">
        <f>IF(預測IC!X20&gt;預測IC!X$26,1,0)</f>
        <v>1</v>
      </c>
      <c r="Y20" s="11">
        <f>IF(預測IC!Y20&gt;預測IC!Y$26,1,0)</f>
        <v>0</v>
      </c>
      <c r="Z20" s="11">
        <f>IF(預測IC!Z20&gt;預測IC!Z$26,1,0)</f>
        <v>0</v>
      </c>
      <c r="AA20" s="11">
        <f>IF(預測IC!AA20&gt;預測IC!AA$26,1,0)</f>
        <v>1</v>
      </c>
      <c r="AB20" s="11">
        <f>IF(預測IC!AB20&gt;預測IC!AB$26,1,0)</f>
        <v>0</v>
      </c>
      <c r="AC20" s="11">
        <f>IF(預測IC!AC20&gt;預測IC!AC$26,1,0)</f>
        <v>0</v>
      </c>
      <c r="AD20" s="11">
        <f>IF(預測IC!AD20&gt;預測IC!AD$26,1,0)</f>
        <v>1</v>
      </c>
      <c r="AE20" s="11">
        <f>IF(預測IC!AE20&gt;預測IC!AE$26,1,0)</f>
        <v>1</v>
      </c>
      <c r="AF20" s="11">
        <f>IF(預測IC!AF20&gt;預測IC!AF$26,1,0)</f>
        <v>0</v>
      </c>
      <c r="AG20" s="11">
        <f>IF(預測IC!AG20&gt;預測IC!AG$26,1,0)</f>
        <v>0</v>
      </c>
      <c r="AH20" s="11">
        <f>IF(預測IC!AH20&gt;預測IC!AH$26,1,0)</f>
        <v>1</v>
      </c>
      <c r="AI20" s="11">
        <f>IF(預測IC!AI20&gt;預測IC!AI$26,1,0)</f>
        <v>0</v>
      </c>
      <c r="AJ20" s="11">
        <f>IF(預測IC!AJ20&gt;預測IC!AJ$26,1,0)</f>
        <v>1</v>
      </c>
      <c r="AK20" s="11">
        <f>IF(預測IC!AK20&gt;預測IC!AK$26,1,0)</f>
        <v>1</v>
      </c>
      <c r="AL20" s="11">
        <f>IF(預測IC!AL20&gt;預測IC!AL$26,1,0)</f>
        <v>0</v>
      </c>
      <c r="AM20" s="11">
        <f>IF(預測IC!AM20&gt;預測IC!AM$26,1,0)</f>
        <v>0</v>
      </c>
      <c r="AN20" s="11">
        <f>IF(預測IC!AN20&gt;預測IC!AN$26,1,0)</f>
        <v>0</v>
      </c>
      <c r="AO20" s="11">
        <f>IF(預測IC!AO20&gt;預測IC!AO$26,1,0)</f>
        <v>0</v>
      </c>
      <c r="AP20" s="11">
        <f>IF(預測IC!AP20&gt;預測IC!AP$26,1,0)</f>
        <v>1</v>
      </c>
      <c r="AQ20" s="11">
        <f>IF(預測IC!AQ20&gt;預測IC!AQ$26,1,0)</f>
        <v>0</v>
      </c>
      <c r="AR20" s="11">
        <f>IF(預測IC!AR20&gt;預測IC!AR$26,1,0)</f>
        <v>0</v>
      </c>
      <c r="AS20" s="11">
        <f>IF(預測IC!AS20&gt;預測IC!AS$26,1,0)</f>
        <v>0</v>
      </c>
      <c r="AT20" s="11">
        <f>IF(預測IC!AT20&gt;預測IC!AT$26,1,0)</f>
        <v>0</v>
      </c>
      <c r="AU20" s="11">
        <f>IF(預測IC!AU20&gt;預測IC!AU$26,1,0)</f>
        <v>0</v>
      </c>
      <c r="AV20" s="11">
        <f>IF(預測IC!AV20&gt;預測IC!AV$26,1,0)</f>
        <v>1</v>
      </c>
      <c r="AW20" s="11">
        <f>IF(預測IC!AW20&gt;預測IC!AW$26,1,0)</f>
        <v>1</v>
      </c>
      <c r="AX20" s="11">
        <f>IF(預測IC!AX20&gt;預測IC!AX$26,1,0)</f>
        <v>0</v>
      </c>
      <c r="AY20" s="11">
        <f>IF(預測IC!AY20&gt;預測IC!AY$26,1,0)</f>
        <v>0</v>
      </c>
      <c r="AZ20" s="11">
        <f>IF(預測IC!AZ20&gt;預測IC!AZ$26,1,0)</f>
        <v>1</v>
      </c>
      <c r="BA20" s="11">
        <f>IF(預測IC!BA20&gt;預測IC!BA$26,1,0)</f>
        <v>1</v>
      </c>
      <c r="BB20" s="11">
        <f>IF(預測IC!BB20&gt;預測IC!BB$26,1,0)</f>
        <v>0</v>
      </c>
      <c r="BC20" s="11">
        <f>IF(預測IC!BC20&gt;預測IC!BC$26,1,0)</f>
        <v>0</v>
      </c>
      <c r="BD20" s="11">
        <f>IF(預測IC!BD20&gt;預測IC!BD$26,1,0)</f>
        <v>1</v>
      </c>
      <c r="BE20" s="11">
        <f>IF(預測IC!BE20&gt;預測IC!BE$26,1,0)</f>
        <v>0</v>
      </c>
      <c r="BF20" s="11">
        <f>IF(預測IC!BF20&gt;預測IC!BF$26,1,0)</f>
        <v>0</v>
      </c>
      <c r="BG20" s="11">
        <f>IF(預測IC!BG20&gt;預測IC!BG$26,1,0)</f>
        <v>0</v>
      </c>
      <c r="BH20" s="11">
        <f>IF(預測IC!BH20&gt;預測IC!BH$26,1,0)</f>
        <v>0</v>
      </c>
      <c r="BI20" s="11">
        <f>IF(預測IC!BI20&gt;預測IC!BI$26,1,0)</f>
        <v>1</v>
      </c>
      <c r="BJ20" s="11">
        <f>IF(預測IC!BJ20&gt;預測IC!BJ$26,1,0)</f>
        <v>0</v>
      </c>
      <c r="BK20" s="11">
        <f>IF(預測IC!BK20&gt;預測IC!BK$26,1,0)</f>
        <v>0</v>
      </c>
      <c r="BL20" s="11">
        <f>IF(預測IC!BL20&gt;預測IC!BL$26,1,0)</f>
        <v>0</v>
      </c>
      <c r="BM20" s="11">
        <f>IF(預測IC!BM20&gt;預測IC!BM$26,1,0)</f>
        <v>0</v>
      </c>
      <c r="BN20" s="11">
        <f>IF(預測IC!BN20&gt;預測IC!BN$26,1,0)</f>
        <v>0</v>
      </c>
      <c r="BO20" s="11">
        <f>IF(預測IC!BO20&gt;預測IC!BO$26,1,0)</f>
        <v>1</v>
      </c>
      <c r="BP20" s="11">
        <f>IF(預測IC!BP20&gt;預測IC!BP$26,1,0)</f>
        <v>0</v>
      </c>
      <c r="BQ20" s="11">
        <f>IF(預測IC!BQ20&gt;預測IC!BQ$26,1,0)</f>
        <v>0</v>
      </c>
      <c r="BR20" s="11">
        <f>IF(預測IC!BR20&gt;預測IC!BR$26,1,0)</f>
        <v>1</v>
      </c>
      <c r="BS20" s="11">
        <f>IF(預測IC!BS20&gt;預測IC!BS$26,1,0)</f>
        <v>0</v>
      </c>
      <c r="BT20" s="11">
        <f>IF(預測IC!BT20&gt;預測IC!BT$26,1,0)</f>
        <v>1</v>
      </c>
      <c r="BU20" s="11">
        <f>IF(預測IC!BU20&gt;預測IC!BU$26,1,0)</f>
        <v>0</v>
      </c>
      <c r="BV20" s="11">
        <f>IF(預測IC!BV20&gt;預測IC!BV$26,1,0)</f>
        <v>1</v>
      </c>
      <c r="BW20" s="11">
        <f>IF(預測IC!BW20&gt;預測IC!BW$26,1,0)</f>
        <v>1</v>
      </c>
      <c r="BX20" s="11">
        <f>IF(預測IC!BX20&gt;預測IC!BX$26,1,0)</f>
        <v>0</v>
      </c>
      <c r="BY20" s="11">
        <f>IF(預測IC!BY20&gt;預測IC!BY$26,1,0)</f>
        <v>1</v>
      </c>
      <c r="BZ20" s="11">
        <f>IF(預測IC!BZ20&gt;預測IC!BZ$26,1,0)</f>
        <v>1</v>
      </c>
      <c r="CA20" s="11">
        <f>IF(預測IC!CA20&gt;預測IC!CA$26,1,0)</f>
        <v>1</v>
      </c>
      <c r="CB20" s="11">
        <f>IF(預測IC!CB20&gt;預測IC!CB$26,1,0)</f>
        <v>0</v>
      </c>
      <c r="CC20" s="11">
        <f>IF(預測IC!CC20&gt;預測IC!CC$26,1,0)</f>
        <v>1</v>
      </c>
      <c r="CD20" s="11">
        <f>IF(預測IC!CD20&gt;預測IC!CD$26,1,0)</f>
        <v>0</v>
      </c>
      <c r="CE20" s="11">
        <f>IF(預測IC!CE20&gt;預測IC!CE$26,1,0)</f>
        <v>0</v>
      </c>
      <c r="CF20" s="11">
        <f>IF(預測IC!CF20&gt;預測IC!CF$26,1,0)</f>
        <v>0</v>
      </c>
      <c r="CG20" s="11">
        <f>IF(預測IC!CG20&gt;預測IC!CG$26,1,0)</f>
        <v>0</v>
      </c>
      <c r="CH20" s="11">
        <f>IF(預測IC!CH20&gt;預測IC!CH$26,1,0)</f>
        <v>0</v>
      </c>
      <c r="CI20" s="11">
        <f>IF(預測IC!CI20&gt;預測IC!CI$26,1,0)</f>
        <v>0</v>
      </c>
      <c r="CJ20" s="11">
        <f>IF(預測IC!CJ20&gt;預測IC!CJ$26,1,0)</f>
        <v>0</v>
      </c>
      <c r="CK20" s="11">
        <f>IF(預測IC!CK20&gt;預測IC!CK$26,1,0)</f>
        <v>1</v>
      </c>
      <c r="CL20" s="11">
        <f>IF(預測IC!CL20&gt;預測IC!CL$26,1,0)</f>
        <v>1</v>
      </c>
      <c r="CM20" s="11">
        <f>IF(預測IC!CM20&gt;預測IC!CM$26,1,0)</f>
        <v>0</v>
      </c>
      <c r="CN20" s="11">
        <f>IF(預測IC!CN20&gt;預測IC!CN$26,1,0)</f>
        <v>0</v>
      </c>
      <c r="CO20" s="11">
        <f>IF(預測IC!CO20&gt;預測IC!CO$26,1,0)</f>
        <v>1</v>
      </c>
      <c r="CP20" s="11">
        <f>IF(預測IC!CP20&gt;預測IC!CP$26,1,0)</f>
        <v>0</v>
      </c>
      <c r="CQ20" s="11">
        <f>IF(預測IC!CQ20&gt;預測IC!CQ$26,1,0)</f>
        <v>1</v>
      </c>
      <c r="CR20" s="11">
        <f>IF(預測IC!CR20&gt;預測IC!CR$26,1,0)</f>
        <v>0</v>
      </c>
      <c r="CS20" s="11">
        <f>IF(預測IC!CS20&gt;預測IC!CS$26,1,0)</f>
        <v>0</v>
      </c>
      <c r="CT20" s="11">
        <f>IF(預測IC!CT20&gt;預測IC!CT$26,1,0)</f>
        <v>0</v>
      </c>
      <c r="CU20" s="11">
        <f>IF(預測IC!CU20&gt;預測IC!CU$26,1,0)</f>
        <v>1</v>
      </c>
      <c r="CV20" s="11">
        <f>IF(預測IC!CV20&gt;預測IC!CV$26,1,0)</f>
        <v>0</v>
      </c>
      <c r="CW20" s="11">
        <f>IF(預測IC!CW20&gt;預測IC!CW$26,1,0)</f>
        <v>0</v>
      </c>
      <c r="CX20" s="11">
        <f>IF(預測IC!CX20&gt;預測IC!CX$26,1,0)</f>
        <v>0</v>
      </c>
      <c r="CY20" s="11">
        <f>IF(預測IC!CY20&gt;預測IC!CY$26,1,0)</f>
        <v>0</v>
      </c>
      <c r="CZ20" s="11">
        <f>IF(預測IC!CZ20&gt;預測IC!CZ$26,1,0)</f>
        <v>0</v>
      </c>
      <c r="DA20" s="11">
        <f>IF(預測IC!DA20&gt;預測IC!DA$26,1,0)</f>
        <v>1</v>
      </c>
      <c r="DB20" s="11">
        <f>IF(預測IC!DB20&gt;預測IC!DB$26,1,0)</f>
        <v>1</v>
      </c>
      <c r="DC20" s="11">
        <f>IF(預測IC!DC20&gt;預測IC!DC$26,1,0)</f>
        <v>1</v>
      </c>
      <c r="DD20" s="11">
        <f>IF(預測IC!DD20&gt;預測IC!DD$26,1,0)</f>
        <v>1</v>
      </c>
      <c r="DE20" s="11">
        <f>IF(預測IC!DE20&gt;預測IC!DE$26,1,0)</f>
        <v>0</v>
      </c>
      <c r="DF20" s="11">
        <f>IF(預測IC!DF20&gt;預測IC!DF$26,1,0)</f>
        <v>1</v>
      </c>
      <c r="DG20" s="11">
        <f>IF(預測IC!DG20&gt;預測IC!DG$26,1,0)</f>
        <v>0</v>
      </c>
      <c r="DH20" s="11">
        <f>IF(預測IC!DH20&gt;預測IC!DH$26,1,0)</f>
        <v>0</v>
      </c>
      <c r="DI20" s="11">
        <f>IF(預測IC!DI20&gt;預測IC!DI$26,1,0)</f>
        <v>0</v>
      </c>
      <c r="DJ20" s="11">
        <f>IF(預測IC!DJ20&gt;預測IC!DJ$26,1,0)</f>
        <v>1</v>
      </c>
      <c r="DK20" s="11">
        <f>IF(預測IC!DK20&gt;預測IC!DK$26,1,0)</f>
        <v>0</v>
      </c>
      <c r="DL20" s="11">
        <f>IF(預測IC!DL20&gt;預測IC!DL$26,1,0)</f>
        <v>0</v>
      </c>
      <c r="DM20" s="11">
        <f>IF(預測IC!DM20&gt;預測IC!DM$26,1,0)</f>
        <v>0</v>
      </c>
      <c r="DN20" s="11">
        <f>IF(預測IC!DN20&gt;預測IC!DN$26,1,0)</f>
        <v>0</v>
      </c>
      <c r="DO20" s="11">
        <f>IF(預測IC!DO20&gt;預測IC!DO$26,1,0)</f>
        <v>0</v>
      </c>
      <c r="DP20" s="11">
        <f>IF(預測IC!DP20&gt;預測IC!DP$26,1,0)</f>
        <v>1</v>
      </c>
      <c r="DQ20" s="11">
        <f>IF(預測IC!DQ20&gt;預測IC!DQ$26,1,0)</f>
        <v>0</v>
      </c>
      <c r="DR20" s="11">
        <f>IF(預測IC!DR20&gt;預測IC!DR$26,1,0)</f>
        <v>1</v>
      </c>
      <c r="DS20" s="11">
        <f>IF(預測IC!DS20&gt;預測IC!DS$26,1,0)</f>
        <v>1</v>
      </c>
      <c r="DT20" s="11">
        <f>IF(預測IC!DT20&gt;預測IC!DT$26,1,0)</f>
        <v>1</v>
      </c>
      <c r="DU20" s="11">
        <f>IF(預測IC!DU20&gt;預測IC!DU$26,1,0)</f>
        <v>1</v>
      </c>
      <c r="DV20" s="11">
        <f>IF(預測IC!DV20&gt;預測IC!DV$26,1,0)</f>
        <v>0</v>
      </c>
      <c r="DW20" s="11">
        <f>IF(預測IC!DW20&gt;預測IC!DW$26,1,0)</f>
        <v>0</v>
      </c>
      <c r="DX20" s="11">
        <f>IF(預測IC!DX20&gt;預測IC!DX$26,1,0)</f>
        <v>1</v>
      </c>
      <c r="DY20" s="11">
        <f>IF(預測IC!DY20&gt;預測IC!DY$26,1,0)</f>
        <v>0</v>
      </c>
      <c r="DZ20" s="11">
        <f>IF(預測IC!DZ20&gt;預測IC!DZ$26,1,0)</f>
        <v>1</v>
      </c>
      <c r="EA20" s="11">
        <f>IF(預測IC!EA20&gt;預測IC!EA$26,1,0)</f>
        <v>0</v>
      </c>
      <c r="EB20" s="11">
        <f>IF(預測IC!EB20&gt;預測IC!EB$26,1,0)</f>
        <v>1</v>
      </c>
      <c r="EC20" s="11">
        <f>IF(預測IC!EC20&gt;預測IC!EC$26,1,0)</f>
        <v>0</v>
      </c>
      <c r="ED20" s="11">
        <f>IF(預測IC!ED20&gt;預測IC!ED$26,1,0)</f>
        <v>0</v>
      </c>
      <c r="EE20" s="11">
        <f>IF(預測IC!EE20&gt;預測IC!EE$26,1,0)</f>
        <v>0</v>
      </c>
      <c r="EF20" s="11">
        <f>IF(預測IC!EF20&gt;預測IC!EF$26,1,0)</f>
        <v>0</v>
      </c>
      <c r="EG20" s="1">
        <f t="shared" si="6"/>
        <v>56</v>
      </c>
      <c r="EH20" s="17">
        <f t="shared" si="7"/>
        <v>0.41791044776119401</v>
      </c>
    </row>
    <row r="21" spans="1:138">
      <c r="A21" s="2">
        <v>241</v>
      </c>
      <c r="B21" s="2">
        <v>4</v>
      </c>
      <c r="C21" s="11">
        <f>IF(預測IC!C21&gt;預測IC!C$26,1,0)</f>
        <v>1</v>
      </c>
      <c r="D21" s="11">
        <f>IF(預測IC!D21&gt;預測IC!D$26,1,0)</f>
        <v>1</v>
      </c>
      <c r="E21" s="11">
        <f>IF(預測IC!E21&gt;預測IC!E$26,1,0)</f>
        <v>0</v>
      </c>
      <c r="F21" s="11">
        <f>IF(預測IC!F21&gt;預測IC!F$26,1,0)</f>
        <v>1</v>
      </c>
      <c r="G21" s="11">
        <f>IF(預測IC!G21&gt;預測IC!G$26,1,0)</f>
        <v>1</v>
      </c>
      <c r="H21" s="11">
        <f>IF(預測IC!H21&gt;預測IC!H$26,1,0)</f>
        <v>1</v>
      </c>
      <c r="I21" s="11">
        <f>IF(預測IC!I21&gt;預測IC!I$26,1,0)</f>
        <v>1</v>
      </c>
      <c r="J21" s="11">
        <f>IF(預測IC!J21&gt;預測IC!J$26,1,0)</f>
        <v>0</v>
      </c>
      <c r="K21" s="11">
        <f>IF(預測IC!K21&gt;預測IC!K$26,1,0)</f>
        <v>1</v>
      </c>
      <c r="L21" s="11">
        <f>IF(預測IC!L21&gt;預測IC!L$26,1,0)</f>
        <v>0</v>
      </c>
      <c r="M21" s="11">
        <f>IF(預測IC!M21&gt;預測IC!M$26,1,0)</f>
        <v>0</v>
      </c>
      <c r="N21" s="11">
        <f>IF(預測IC!N21&gt;預測IC!N$26,1,0)</f>
        <v>0</v>
      </c>
      <c r="O21" s="11">
        <f>IF(預測IC!O21&gt;預測IC!O$26,1,0)</f>
        <v>1</v>
      </c>
      <c r="P21" s="11">
        <f>IF(預測IC!P21&gt;預測IC!P$26,1,0)</f>
        <v>1</v>
      </c>
      <c r="Q21" s="11">
        <f>IF(預測IC!Q21&gt;預測IC!Q$26,1,0)</f>
        <v>1</v>
      </c>
      <c r="R21" s="11">
        <f>IF(預測IC!R21&gt;預測IC!R$26,1,0)</f>
        <v>1</v>
      </c>
      <c r="S21" s="11">
        <f>IF(預測IC!S21&gt;預測IC!S$26,1,0)</f>
        <v>0</v>
      </c>
      <c r="T21" s="11">
        <f>IF(預測IC!T21&gt;預測IC!T$26,1,0)</f>
        <v>0</v>
      </c>
      <c r="U21" s="11">
        <f>IF(預測IC!U21&gt;預測IC!U$26,1,0)</f>
        <v>0</v>
      </c>
      <c r="V21" s="11">
        <f>IF(預測IC!V21&gt;預測IC!V$26,1,0)</f>
        <v>0</v>
      </c>
      <c r="W21" s="11">
        <f>IF(預測IC!W21&gt;預測IC!W$26,1,0)</f>
        <v>0</v>
      </c>
      <c r="X21" s="11">
        <f>IF(預測IC!X21&gt;預測IC!X$26,1,0)</f>
        <v>1</v>
      </c>
      <c r="Y21" s="11">
        <f>IF(預測IC!Y21&gt;預測IC!Y$26,1,0)</f>
        <v>1</v>
      </c>
      <c r="Z21" s="11">
        <f>IF(預測IC!Z21&gt;預測IC!Z$26,1,0)</f>
        <v>0</v>
      </c>
      <c r="AA21" s="11">
        <f>IF(預測IC!AA21&gt;預測IC!AA$26,1,0)</f>
        <v>1</v>
      </c>
      <c r="AB21" s="11">
        <f>IF(預測IC!AB21&gt;預測IC!AB$26,1,0)</f>
        <v>0</v>
      </c>
      <c r="AC21" s="11">
        <f>IF(預測IC!AC21&gt;預測IC!AC$26,1,0)</f>
        <v>0</v>
      </c>
      <c r="AD21" s="11">
        <f>IF(預測IC!AD21&gt;預測IC!AD$26,1,0)</f>
        <v>1</v>
      </c>
      <c r="AE21" s="11">
        <f>IF(預測IC!AE21&gt;預測IC!AE$26,1,0)</f>
        <v>1</v>
      </c>
      <c r="AF21" s="11">
        <f>IF(預測IC!AF21&gt;預測IC!AF$26,1,0)</f>
        <v>0</v>
      </c>
      <c r="AG21" s="11">
        <f>IF(預測IC!AG21&gt;預測IC!AG$26,1,0)</f>
        <v>0</v>
      </c>
      <c r="AH21" s="11">
        <f>IF(預測IC!AH21&gt;預測IC!AH$26,1,0)</f>
        <v>1</v>
      </c>
      <c r="AI21" s="11">
        <f>IF(預測IC!AI21&gt;預測IC!AI$26,1,0)</f>
        <v>0</v>
      </c>
      <c r="AJ21" s="11">
        <f>IF(預測IC!AJ21&gt;預測IC!AJ$26,1,0)</f>
        <v>1</v>
      </c>
      <c r="AK21" s="11">
        <f>IF(預測IC!AK21&gt;預測IC!AK$26,1,0)</f>
        <v>1</v>
      </c>
      <c r="AL21" s="11">
        <f>IF(預測IC!AL21&gt;預測IC!AL$26,1,0)</f>
        <v>0</v>
      </c>
      <c r="AM21" s="11">
        <f>IF(預測IC!AM21&gt;預測IC!AM$26,1,0)</f>
        <v>0</v>
      </c>
      <c r="AN21" s="11">
        <f>IF(預測IC!AN21&gt;預測IC!AN$26,1,0)</f>
        <v>0</v>
      </c>
      <c r="AO21" s="11">
        <f>IF(預測IC!AO21&gt;預測IC!AO$26,1,0)</f>
        <v>0</v>
      </c>
      <c r="AP21" s="11">
        <f>IF(預測IC!AP21&gt;預測IC!AP$26,1,0)</f>
        <v>1</v>
      </c>
      <c r="AQ21" s="11">
        <f>IF(預測IC!AQ21&gt;預測IC!AQ$26,1,0)</f>
        <v>0</v>
      </c>
      <c r="AR21" s="11">
        <f>IF(預測IC!AR21&gt;預測IC!AR$26,1,0)</f>
        <v>0</v>
      </c>
      <c r="AS21" s="11">
        <f>IF(預測IC!AS21&gt;預測IC!AS$26,1,0)</f>
        <v>0</v>
      </c>
      <c r="AT21" s="11">
        <f>IF(預測IC!AT21&gt;預測IC!AT$26,1,0)</f>
        <v>0</v>
      </c>
      <c r="AU21" s="11">
        <f>IF(預測IC!AU21&gt;預測IC!AU$26,1,0)</f>
        <v>0</v>
      </c>
      <c r="AV21" s="11">
        <f>IF(預測IC!AV21&gt;預測IC!AV$26,1,0)</f>
        <v>1</v>
      </c>
      <c r="AW21" s="11">
        <f>IF(預測IC!AW21&gt;預測IC!AW$26,1,0)</f>
        <v>1</v>
      </c>
      <c r="AX21" s="11">
        <f>IF(預測IC!AX21&gt;預測IC!AX$26,1,0)</f>
        <v>0</v>
      </c>
      <c r="AY21" s="11">
        <f>IF(預測IC!AY21&gt;預測IC!AY$26,1,0)</f>
        <v>0</v>
      </c>
      <c r="AZ21" s="11">
        <f>IF(預測IC!AZ21&gt;預測IC!AZ$26,1,0)</f>
        <v>1</v>
      </c>
      <c r="BA21" s="11">
        <f>IF(預測IC!BA21&gt;預測IC!BA$26,1,0)</f>
        <v>1</v>
      </c>
      <c r="BB21" s="11">
        <f>IF(預測IC!BB21&gt;預測IC!BB$26,1,0)</f>
        <v>0</v>
      </c>
      <c r="BC21" s="11">
        <f>IF(預測IC!BC21&gt;預測IC!BC$26,1,0)</f>
        <v>0</v>
      </c>
      <c r="BD21" s="11">
        <f>IF(預測IC!BD21&gt;預測IC!BD$26,1,0)</f>
        <v>1</v>
      </c>
      <c r="BE21" s="11">
        <f>IF(預測IC!BE21&gt;預測IC!BE$26,1,0)</f>
        <v>0</v>
      </c>
      <c r="BF21" s="11">
        <f>IF(預測IC!BF21&gt;預測IC!BF$26,1,0)</f>
        <v>0</v>
      </c>
      <c r="BG21" s="11">
        <f>IF(預測IC!BG21&gt;預測IC!BG$26,1,0)</f>
        <v>0</v>
      </c>
      <c r="BH21" s="11">
        <f>IF(預測IC!BH21&gt;預測IC!BH$26,1,0)</f>
        <v>1</v>
      </c>
      <c r="BI21" s="11">
        <f>IF(預測IC!BI21&gt;預測IC!BI$26,1,0)</f>
        <v>1</v>
      </c>
      <c r="BJ21" s="11">
        <f>IF(預測IC!BJ21&gt;預測IC!BJ$26,1,0)</f>
        <v>0</v>
      </c>
      <c r="BK21" s="11">
        <f>IF(預測IC!BK21&gt;預測IC!BK$26,1,0)</f>
        <v>0</v>
      </c>
      <c r="BL21" s="11">
        <f>IF(預測IC!BL21&gt;預測IC!BL$26,1,0)</f>
        <v>0</v>
      </c>
      <c r="BM21" s="11">
        <f>IF(預測IC!BM21&gt;預測IC!BM$26,1,0)</f>
        <v>0</v>
      </c>
      <c r="BN21" s="11">
        <f>IF(預測IC!BN21&gt;預測IC!BN$26,1,0)</f>
        <v>0</v>
      </c>
      <c r="BO21" s="11">
        <f>IF(預測IC!BO21&gt;預測IC!BO$26,1,0)</f>
        <v>1</v>
      </c>
      <c r="BP21" s="11">
        <f>IF(預測IC!BP21&gt;預測IC!BP$26,1,0)</f>
        <v>0</v>
      </c>
      <c r="BQ21" s="11">
        <f>IF(預測IC!BQ21&gt;預測IC!BQ$26,1,0)</f>
        <v>0</v>
      </c>
      <c r="BR21" s="11">
        <f>IF(預測IC!BR21&gt;預測IC!BR$26,1,0)</f>
        <v>1</v>
      </c>
      <c r="BS21" s="11">
        <f>IF(預測IC!BS21&gt;預測IC!BS$26,1,0)</f>
        <v>0</v>
      </c>
      <c r="BT21" s="11">
        <f>IF(預測IC!BT21&gt;預測IC!BT$26,1,0)</f>
        <v>1</v>
      </c>
      <c r="BU21" s="11">
        <f>IF(預測IC!BU21&gt;預測IC!BU$26,1,0)</f>
        <v>0</v>
      </c>
      <c r="BV21" s="11">
        <f>IF(預測IC!BV21&gt;預測IC!BV$26,1,0)</f>
        <v>0</v>
      </c>
      <c r="BW21" s="11">
        <f>IF(預測IC!BW21&gt;預測IC!BW$26,1,0)</f>
        <v>1</v>
      </c>
      <c r="BX21" s="11">
        <f>IF(預測IC!BX21&gt;預測IC!BX$26,1,0)</f>
        <v>1</v>
      </c>
      <c r="BY21" s="11">
        <f>IF(預測IC!BY21&gt;預測IC!BY$26,1,0)</f>
        <v>1</v>
      </c>
      <c r="BZ21" s="11">
        <f>IF(預測IC!BZ21&gt;預測IC!BZ$26,1,0)</f>
        <v>1</v>
      </c>
      <c r="CA21" s="11">
        <f>IF(預測IC!CA21&gt;預測IC!CA$26,1,0)</f>
        <v>1</v>
      </c>
      <c r="CB21" s="11">
        <f>IF(預測IC!CB21&gt;預測IC!CB$26,1,0)</f>
        <v>0</v>
      </c>
      <c r="CC21" s="11">
        <f>IF(預測IC!CC21&gt;預測IC!CC$26,1,0)</f>
        <v>0</v>
      </c>
      <c r="CD21" s="11">
        <f>IF(預測IC!CD21&gt;預測IC!CD$26,1,0)</f>
        <v>0</v>
      </c>
      <c r="CE21" s="11">
        <f>IF(預測IC!CE21&gt;預測IC!CE$26,1,0)</f>
        <v>0</v>
      </c>
      <c r="CF21" s="11">
        <f>IF(預測IC!CF21&gt;預測IC!CF$26,1,0)</f>
        <v>0</v>
      </c>
      <c r="CG21" s="11">
        <f>IF(預測IC!CG21&gt;預測IC!CG$26,1,0)</f>
        <v>0</v>
      </c>
      <c r="CH21" s="11">
        <f>IF(預測IC!CH21&gt;預測IC!CH$26,1,0)</f>
        <v>0</v>
      </c>
      <c r="CI21" s="11">
        <f>IF(預測IC!CI21&gt;預測IC!CI$26,1,0)</f>
        <v>0</v>
      </c>
      <c r="CJ21" s="11">
        <f>IF(預測IC!CJ21&gt;預測IC!CJ$26,1,0)</f>
        <v>0</v>
      </c>
      <c r="CK21" s="11">
        <f>IF(預測IC!CK21&gt;預測IC!CK$26,1,0)</f>
        <v>1</v>
      </c>
      <c r="CL21" s="11">
        <f>IF(預測IC!CL21&gt;預測IC!CL$26,1,0)</f>
        <v>1</v>
      </c>
      <c r="CM21" s="11">
        <f>IF(預測IC!CM21&gt;預測IC!CM$26,1,0)</f>
        <v>0</v>
      </c>
      <c r="CN21" s="11">
        <f>IF(預測IC!CN21&gt;預測IC!CN$26,1,0)</f>
        <v>0</v>
      </c>
      <c r="CO21" s="11">
        <f>IF(預測IC!CO21&gt;預測IC!CO$26,1,0)</f>
        <v>1</v>
      </c>
      <c r="CP21" s="11">
        <f>IF(預測IC!CP21&gt;預測IC!CP$26,1,0)</f>
        <v>0</v>
      </c>
      <c r="CQ21" s="11">
        <f>IF(預測IC!CQ21&gt;預測IC!CQ$26,1,0)</f>
        <v>1</v>
      </c>
      <c r="CR21" s="11">
        <f>IF(預測IC!CR21&gt;預測IC!CR$26,1,0)</f>
        <v>0</v>
      </c>
      <c r="CS21" s="11">
        <f>IF(預測IC!CS21&gt;預測IC!CS$26,1,0)</f>
        <v>0</v>
      </c>
      <c r="CT21" s="11">
        <f>IF(預測IC!CT21&gt;預測IC!CT$26,1,0)</f>
        <v>0</v>
      </c>
      <c r="CU21" s="11">
        <f>IF(預測IC!CU21&gt;預測IC!CU$26,1,0)</f>
        <v>1</v>
      </c>
      <c r="CV21" s="11">
        <f>IF(預測IC!CV21&gt;預測IC!CV$26,1,0)</f>
        <v>0</v>
      </c>
      <c r="CW21" s="11">
        <f>IF(預測IC!CW21&gt;預測IC!CW$26,1,0)</f>
        <v>0</v>
      </c>
      <c r="CX21" s="11">
        <f>IF(預測IC!CX21&gt;預測IC!CX$26,1,0)</f>
        <v>0</v>
      </c>
      <c r="CY21" s="11">
        <f>IF(預測IC!CY21&gt;預測IC!CY$26,1,0)</f>
        <v>0</v>
      </c>
      <c r="CZ21" s="11">
        <f>IF(預測IC!CZ21&gt;預測IC!CZ$26,1,0)</f>
        <v>0</v>
      </c>
      <c r="DA21" s="11">
        <f>IF(預測IC!DA21&gt;預測IC!DA$26,1,0)</f>
        <v>0</v>
      </c>
      <c r="DB21" s="11">
        <f>IF(預測IC!DB21&gt;預測IC!DB$26,1,0)</f>
        <v>1</v>
      </c>
      <c r="DC21" s="11">
        <f>IF(預測IC!DC21&gt;預測IC!DC$26,1,0)</f>
        <v>1</v>
      </c>
      <c r="DD21" s="11">
        <f>IF(預測IC!DD21&gt;預測IC!DD$26,1,0)</f>
        <v>0</v>
      </c>
      <c r="DE21" s="11">
        <f>IF(預測IC!DE21&gt;預測IC!DE$26,1,0)</f>
        <v>0</v>
      </c>
      <c r="DF21" s="11">
        <f>IF(預測IC!DF21&gt;預測IC!DF$26,1,0)</f>
        <v>1</v>
      </c>
      <c r="DG21" s="11">
        <f>IF(預測IC!DG21&gt;預測IC!DG$26,1,0)</f>
        <v>0</v>
      </c>
      <c r="DH21" s="11">
        <f>IF(預測IC!DH21&gt;預測IC!DH$26,1,0)</f>
        <v>0</v>
      </c>
      <c r="DI21" s="11">
        <f>IF(預測IC!DI21&gt;預測IC!DI$26,1,0)</f>
        <v>0</v>
      </c>
      <c r="DJ21" s="11">
        <f>IF(預測IC!DJ21&gt;預測IC!DJ$26,1,0)</f>
        <v>1</v>
      </c>
      <c r="DK21" s="11">
        <f>IF(預測IC!DK21&gt;預測IC!DK$26,1,0)</f>
        <v>0</v>
      </c>
      <c r="DL21" s="11">
        <f>IF(預測IC!DL21&gt;預測IC!DL$26,1,0)</f>
        <v>0</v>
      </c>
      <c r="DM21" s="11">
        <f>IF(預測IC!DM21&gt;預測IC!DM$26,1,0)</f>
        <v>1</v>
      </c>
      <c r="DN21" s="11">
        <f>IF(預測IC!DN21&gt;預測IC!DN$26,1,0)</f>
        <v>0</v>
      </c>
      <c r="DO21" s="11">
        <f>IF(預測IC!DO21&gt;預測IC!DO$26,1,0)</f>
        <v>0</v>
      </c>
      <c r="DP21" s="11">
        <f>IF(預測IC!DP21&gt;預測IC!DP$26,1,0)</f>
        <v>0</v>
      </c>
      <c r="DQ21" s="11">
        <f>IF(預測IC!DQ21&gt;預測IC!DQ$26,1,0)</f>
        <v>0</v>
      </c>
      <c r="DR21" s="11">
        <f>IF(預測IC!DR21&gt;預測IC!DR$26,1,0)</f>
        <v>1</v>
      </c>
      <c r="DS21" s="11">
        <f>IF(預測IC!DS21&gt;預測IC!DS$26,1,0)</f>
        <v>1</v>
      </c>
      <c r="DT21" s="11">
        <f>IF(預測IC!DT21&gt;預測IC!DT$26,1,0)</f>
        <v>1</v>
      </c>
      <c r="DU21" s="11">
        <f>IF(預測IC!DU21&gt;預測IC!DU$26,1,0)</f>
        <v>0</v>
      </c>
      <c r="DV21" s="11">
        <f>IF(預測IC!DV21&gt;預測IC!DV$26,1,0)</f>
        <v>0</v>
      </c>
      <c r="DW21" s="11">
        <f>IF(預測IC!DW21&gt;預測IC!DW$26,1,0)</f>
        <v>0</v>
      </c>
      <c r="DX21" s="11">
        <f>IF(預測IC!DX21&gt;預測IC!DX$26,1,0)</f>
        <v>1</v>
      </c>
      <c r="DY21" s="11">
        <f>IF(預測IC!DY21&gt;預測IC!DY$26,1,0)</f>
        <v>1</v>
      </c>
      <c r="DZ21" s="11">
        <f>IF(預測IC!DZ21&gt;預測IC!DZ$26,1,0)</f>
        <v>1</v>
      </c>
      <c r="EA21" s="11">
        <f>IF(預測IC!EA21&gt;預測IC!EA$26,1,0)</f>
        <v>0</v>
      </c>
      <c r="EB21" s="11">
        <f>IF(預測IC!EB21&gt;預測IC!EB$26,1,0)</f>
        <v>0</v>
      </c>
      <c r="EC21" s="11">
        <f>IF(預測IC!EC21&gt;預測IC!EC$26,1,0)</f>
        <v>0</v>
      </c>
      <c r="ED21" s="11">
        <f>IF(預測IC!ED21&gt;預測IC!ED$26,1,0)</f>
        <v>1</v>
      </c>
      <c r="EE21" s="11">
        <f>IF(預測IC!EE21&gt;預測IC!EE$26,1,0)</f>
        <v>0</v>
      </c>
      <c r="EF21" s="11">
        <f>IF(預測IC!EF21&gt;預測IC!EF$26,1,0)</f>
        <v>1</v>
      </c>
      <c r="EG21" s="1">
        <f t="shared" si="6"/>
        <v>53</v>
      </c>
      <c r="EH21" s="17">
        <f t="shared" si="7"/>
        <v>0.39552238805970147</v>
      </c>
    </row>
    <row r="22" spans="1:138">
      <c r="A22" s="2">
        <v>321</v>
      </c>
      <c r="B22" s="2">
        <v>3</v>
      </c>
      <c r="C22" s="11">
        <f>IF(預測IC!C22&gt;預測IC!C$26,1,0)</f>
        <v>1</v>
      </c>
      <c r="D22" s="11">
        <f>IF(預測IC!D22&gt;預測IC!D$26,1,0)</f>
        <v>1</v>
      </c>
      <c r="E22" s="11">
        <f>IF(預測IC!E22&gt;預測IC!E$26,1,0)</f>
        <v>0</v>
      </c>
      <c r="F22" s="11">
        <f>IF(預測IC!F22&gt;預測IC!F$26,1,0)</f>
        <v>0</v>
      </c>
      <c r="G22" s="11">
        <f>IF(預測IC!G22&gt;預測IC!G$26,1,0)</f>
        <v>1</v>
      </c>
      <c r="H22" s="11">
        <f>IF(預測IC!H22&gt;預測IC!H$26,1,0)</f>
        <v>1</v>
      </c>
      <c r="I22" s="11">
        <f>IF(預測IC!I22&gt;預測IC!I$26,1,0)</f>
        <v>1</v>
      </c>
      <c r="J22" s="11">
        <f>IF(預測IC!J22&gt;預測IC!J$26,1,0)</f>
        <v>0</v>
      </c>
      <c r="K22" s="11">
        <f>IF(預測IC!K22&gt;預測IC!K$26,1,0)</f>
        <v>1</v>
      </c>
      <c r="L22" s="11">
        <f>IF(預測IC!L22&gt;預測IC!L$26,1,0)</f>
        <v>1</v>
      </c>
      <c r="M22" s="11">
        <f>IF(預測IC!M22&gt;預測IC!M$26,1,0)</f>
        <v>0</v>
      </c>
      <c r="N22" s="11">
        <f>IF(預測IC!N22&gt;預測IC!N$26,1,0)</f>
        <v>0</v>
      </c>
      <c r="O22" s="11">
        <f>IF(預測IC!O22&gt;預測IC!O$26,1,0)</f>
        <v>0</v>
      </c>
      <c r="P22" s="11">
        <f>IF(預測IC!P22&gt;預測IC!P$26,1,0)</f>
        <v>1</v>
      </c>
      <c r="Q22" s="11">
        <f>IF(預測IC!Q22&gt;預測IC!Q$26,1,0)</f>
        <v>1</v>
      </c>
      <c r="R22" s="11">
        <f>IF(預測IC!R22&gt;預測IC!R$26,1,0)</f>
        <v>1</v>
      </c>
      <c r="S22" s="11">
        <f>IF(預測IC!S22&gt;預測IC!S$26,1,0)</f>
        <v>0</v>
      </c>
      <c r="T22" s="11">
        <f>IF(預測IC!T22&gt;預測IC!T$26,1,0)</f>
        <v>0</v>
      </c>
      <c r="U22" s="11">
        <f>IF(預測IC!U22&gt;預測IC!U$26,1,0)</f>
        <v>0</v>
      </c>
      <c r="V22" s="11">
        <f>IF(預測IC!V22&gt;預測IC!V$26,1,0)</f>
        <v>1</v>
      </c>
      <c r="W22" s="11">
        <f>IF(預測IC!W22&gt;預測IC!W$26,1,0)</f>
        <v>0</v>
      </c>
      <c r="X22" s="11">
        <f>IF(預測IC!X22&gt;預測IC!X$26,1,0)</f>
        <v>1</v>
      </c>
      <c r="Y22" s="11">
        <f>IF(預測IC!Y22&gt;預測IC!Y$26,1,0)</f>
        <v>1</v>
      </c>
      <c r="Z22" s="11">
        <f>IF(預測IC!Z22&gt;預測IC!Z$26,1,0)</f>
        <v>0</v>
      </c>
      <c r="AA22" s="11">
        <f>IF(預測IC!AA22&gt;預測IC!AA$26,1,0)</f>
        <v>1</v>
      </c>
      <c r="AB22" s="11">
        <f>IF(預測IC!AB22&gt;預測IC!AB$26,1,0)</f>
        <v>0</v>
      </c>
      <c r="AC22" s="11">
        <f>IF(預測IC!AC22&gt;預測IC!AC$26,1,0)</f>
        <v>0</v>
      </c>
      <c r="AD22" s="11">
        <f>IF(預測IC!AD22&gt;預測IC!AD$26,1,0)</f>
        <v>1</v>
      </c>
      <c r="AE22" s="11">
        <f>IF(預測IC!AE22&gt;預測IC!AE$26,1,0)</f>
        <v>1</v>
      </c>
      <c r="AF22" s="11">
        <f>IF(預測IC!AF22&gt;預測IC!AF$26,1,0)</f>
        <v>0</v>
      </c>
      <c r="AG22" s="11">
        <f>IF(預測IC!AG22&gt;預測IC!AG$26,1,0)</f>
        <v>0</v>
      </c>
      <c r="AH22" s="11">
        <f>IF(預測IC!AH22&gt;預測IC!AH$26,1,0)</f>
        <v>1</v>
      </c>
      <c r="AI22" s="11">
        <f>IF(預測IC!AI22&gt;預測IC!AI$26,1,0)</f>
        <v>0</v>
      </c>
      <c r="AJ22" s="11">
        <f>IF(預測IC!AJ22&gt;預測IC!AJ$26,1,0)</f>
        <v>1</v>
      </c>
      <c r="AK22" s="11">
        <f>IF(預測IC!AK22&gt;預測IC!AK$26,1,0)</f>
        <v>0</v>
      </c>
      <c r="AL22" s="11">
        <f>IF(預測IC!AL22&gt;預測IC!AL$26,1,0)</f>
        <v>0</v>
      </c>
      <c r="AM22" s="11">
        <f>IF(預測IC!AM22&gt;預測IC!AM$26,1,0)</f>
        <v>0</v>
      </c>
      <c r="AN22" s="11">
        <f>IF(預測IC!AN22&gt;預測IC!AN$26,1,0)</f>
        <v>0</v>
      </c>
      <c r="AO22" s="11">
        <f>IF(預測IC!AO22&gt;預測IC!AO$26,1,0)</f>
        <v>0</v>
      </c>
      <c r="AP22" s="11">
        <f>IF(預測IC!AP22&gt;預測IC!AP$26,1,0)</f>
        <v>1</v>
      </c>
      <c r="AQ22" s="11">
        <f>IF(預測IC!AQ22&gt;預測IC!AQ$26,1,0)</f>
        <v>0</v>
      </c>
      <c r="AR22" s="11">
        <f>IF(預測IC!AR22&gt;預測IC!AR$26,1,0)</f>
        <v>0</v>
      </c>
      <c r="AS22" s="11">
        <f>IF(預測IC!AS22&gt;預測IC!AS$26,1,0)</f>
        <v>0</v>
      </c>
      <c r="AT22" s="11">
        <f>IF(預測IC!AT22&gt;預測IC!AT$26,1,0)</f>
        <v>1</v>
      </c>
      <c r="AU22" s="11">
        <f>IF(預測IC!AU22&gt;預測IC!AU$26,1,0)</f>
        <v>0</v>
      </c>
      <c r="AV22" s="11">
        <f>IF(預測IC!AV22&gt;預測IC!AV$26,1,0)</f>
        <v>1</v>
      </c>
      <c r="AW22" s="11">
        <f>IF(預測IC!AW22&gt;預測IC!AW$26,1,0)</f>
        <v>1</v>
      </c>
      <c r="AX22" s="11">
        <f>IF(預測IC!AX22&gt;預測IC!AX$26,1,0)</f>
        <v>0</v>
      </c>
      <c r="AY22" s="11">
        <f>IF(預測IC!AY22&gt;預測IC!AY$26,1,0)</f>
        <v>0</v>
      </c>
      <c r="AZ22" s="11">
        <f>IF(預測IC!AZ22&gt;預測IC!AZ$26,1,0)</f>
        <v>1</v>
      </c>
      <c r="BA22" s="11">
        <f>IF(預測IC!BA22&gt;預測IC!BA$26,1,0)</f>
        <v>1</v>
      </c>
      <c r="BB22" s="11">
        <f>IF(預測IC!BB22&gt;預測IC!BB$26,1,0)</f>
        <v>0</v>
      </c>
      <c r="BC22" s="11">
        <f>IF(預測IC!BC22&gt;預測IC!BC$26,1,0)</f>
        <v>1</v>
      </c>
      <c r="BD22" s="11">
        <f>IF(預測IC!BD22&gt;預測IC!BD$26,1,0)</f>
        <v>1</v>
      </c>
      <c r="BE22" s="11">
        <f>IF(預測IC!BE22&gt;預測IC!BE$26,1,0)</f>
        <v>0</v>
      </c>
      <c r="BF22" s="11">
        <f>IF(預測IC!BF22&gt;預測IC!BF$26,1,0)</f>
        <v>0</v>
      </c>
      <c r="BG22" s="11">
        <f>IF(預測IC!BG22&gt;預測IC!BG$26,1,0)</f>
        <v>1</v>
      </c>
      <c r="BH22" s="11">
        <f>IF(預測IC!BH22&gt;預測IC!BH$26,1,0)</f>
        <v>0</v>
      </c>
      <c r="BI22" s="11">
        <f>IF(預測IC!BI22&gt;預測IC!BI$26,1,0)</f>
        <v>1</v>
      </c>
      <c r="BJ22" s="11">
        <f>IF(預測IC!BJ22&gt;預測IC!BJ$26,1,0)</f>
        <v>1</v>
      </c>
      <c r="BK22" s="11">
        <f>IF(預測IC!BK22&gt;預測IC!BK$26,1,0)</f>
        <v>0</v>
      </c>
      <c r="BL22" s="11">
        <f>IF(預測IC!BL22&gt;預測IC!BL$26,1,0)</f>
        <v>0</v>
      </c>
      <c r="BM22" s="11">
        <f>IF(預測IC!BM22&gt;預測IC!BM$26,1,0)</f>
        <v>0</v>
      </c>
      <c r="BN22" s="11">
        <f>IF(預測IC!BN22&gt;預測IC!BN$26,1,0)</f>
        <v>0</v>
      </c>
      <c r="BO22" s="11">
        <f>IF(預測IC!BO22&gt;預測IC!BO$26,1,0)</f>
        <v>1</v>
      </c>
      <c r="BP22" s="11">
        <f>IF(預測IC!BP22&gt;預測IC!BP$26,1,0)</f>
        <v>0</v>
      </c>
      <c r="BQ22" s="11">
        <f>IF(預測IC!BQ22&gt;預測IC!BQ$26,1,0)</f>
        <v>0</v>
      </c>
      <c r="BR22" s="11">
        <f>IF(預測IC!BR22&gt;預測IC!BR$26,1,0)</f>
        <v>0</v>
      </c>
      <c r="BS22" s="11">
        <f>IF(預測IC!BS22&gt;預測IC!BS$26,1,0)</f>
        <v>0</v>
      </c>
      <c r="BT22" s="11">
        <f>IF(預測IC!BT22&gt;預測IC!BT$26,1,0)</f>
        <v>0</v>
      </c>
      <c r="BU22" s="11">
        <f>IF(預測IC!BU22&gt;預測IC!BU$26,1,0)</f>
        <v>0</v>
      </c>
      <c r="BV22" s="11">
        <f>IF(預測IC!BV22&gt;預測IC!BV$26,1,0)</f>
        <v>0</v>
      </c>
      <c r="BW22" s="11">
        <f>IF(預測IC!BW22&gt;預測IC!BW$26,1,0)</f>
        <v>1</v>
      </c>
      <c r="BX22" s="11">
        <f>IF(預測IC!BX22&gt;預測IC!BX$26,1,0)</f>
        <v>0</v>
      </c>
      <c r="BY22" s="11">
        <f>IF(預測IC!BY22&gt;預測IC!BY$26,1,0)</f>
        <v>1</v>
      </c>
      <c r="BZ22" s="11">
        <f>IF(預測IC!BZ22&gt;預測IC!BZ$26,1,0)</f>
        <v>1</v>
      </c>
      <c r="CA22" s="11">
        <f>IF(預測IC!CA22&gt;預測IC!CA$26,1,0)</f>
        <v>1</v>
      </c>
      <c r="CB22" s="11">
        <f>IF(預測IC!CB22&gt;預測IC!CB$26,1,0)</f>
        <v>0</v>
      </c>
      <c r="CC22" s="11">
        <f>IF(預測IC!CC22&gt;預測IC!CC$26,1,0)</f>
        <v>0</v>
      </c>
      <c r="CD22" s="11">
        <f>IF(預測IC!CD22&gt;預測IC!CD$26,1,0)</f>
        <v>0</v>
      </c>
      <c r="CE22" s="11">
        <f>IF(預測IC!CE22&gt;預測IC!CE$26,1,0)</f>
        <v>0</v>
      </c>
      <c r="CF22" s="11">
        <f>IF(預測IC!CF22&gt;預測IC!CF$26,1,0)</f>
        <v>0</v>
      </c>
      <c r="CG22" s="11">
        <f>IF(預測IC!CG22&gt;預測IC!CG$26,1,0)</f>
        <v>0</v>
      </c>
      <c r="CH22" s="11">
        <f>IF(預測IC!CH22&gt;預測IC!CH$26,1,0)</f>
        <v>0</v>
      </c>
      <c r="CI22" s="11">
        <f>IF(預測IC!CI22&gt;預測IC!CI$26,1,0)</f>
        <v>0</v>
      </c>
      <c r="CJ22" s="11">
        <f>IF(預測IC!CJ22&gt;預測IC!CJ$26,1,0)</f>
        <v>0</v>
      </c>
      <c r="CK22" s="11">
        <f>IF(預測IC!CK22&gt;預測IC!CK$26,1,0)</f>
        <v>1</v>
      </c>
      <c r="CL22" s="11">
        <f>IF(預測IC!CL22&gt;預測IC!CL$26,1,0)</f>
        <v>1</v>
      </c>
      <c r="CM22" s="11">
        <f>IF(預測IC!CM22&gt;預測IC!CM$26,1,0)</f>
        <v>0</v>
      </c>
      <c r="CN22" s="11">
        <f>IF(預測IC!CN22&gt;預測IC!CN$26,1,0)</f>
        <v>0</v>
      </c>
      <c r="CO22" s="11">
        <f>IF(預測IC!CO22&gt;預測IC!CO$26,1,0)</f>
        <v>1</v>
      </c>
      <c r="CP22" s="11">
        <f>IF(預測IC!CP22&gt;預測IC!CP$26,1,0)</f>
        <v>0</v>
      </c>
      <c r="CQ22" s="11">
        <f>IF(預測IC!CQ22&gt;預測IC!CQ$26,1,0)</f>
        <v>1</v>
      </c>
      <c r="CR22" s="11">
        <f>IF(預測IC!CR22&gt;預測IC!CR$26,1,0)</f>
        <v>0</v>
      </c>
      <c r="CS22" s="11">
        <f>IF(預測IC!CS22&gt;預測IC!CS$26,1,0)</f>
        <v>0</v>
      </c>
      <c r="CT22" s="11">
        <f>IF(預測IC!CT22&gt;預測IC!CT$26,1,0)</f>
        <v>0</v>
      </c>
      <c r="CU22" s="11">
        <f>IF(預測IC!CU22&gt;預測IC!CU$26,1,0)</f>
        <v>1</v>
      </c>
      <c r="CV22" s="11">
        <f>IF(預測IC!CV22&gt;預測IC!CV$26,1,0)</f>
        <v>0</v>
      </c>
      <c r="CW22" s="11">
        <f>IF(預測IC!CW22&gt;預測IC!CW$26,1,0)</f>
        <v>0</v>
      </c>
      <c r="CX22" s="11">
        <f>IF(預測IC!CX22&gt;預測IC!CX$26,1,0)</f>
        <v>1</v>
      </c>
      <c r="CY22" s="11">
        <f>IF(預測IC!CY22&gt;預測IC!CY$26,1,0)</f>
        <v>0</v>
      </c>
      <c r="CZ22" s="11">
        <f>IF(預測IC!CZ22&gt;預測IC!CZ$26,1,0)</f>
        <v>0</v>
      </c>
      <c r="DA22" s="11">
        <f>IF(預測IC!DA22&gt;預測IC!DA$26,1,0)</f>
        <v>0</v>
      </c>
      <c r="DB22" s="11">
        <f>IF(預測IC!DB22&gt;預測IC!DB$26,1,0)</f>
        <v>1</v>
      </c>
      <c r="DC22" s="11">
        <f>IF(預測IC!DC22&gt;預測IC!DC$26,1,0)</f>
        <v>1</v>
      </c>
      <c r="DD22" s="11">
        <f>IF(預測IC!DD22&gt;預測IC!DD$26,1,0)</f>
        <v>0</v>
      </c>
      <c r="DE22" s="11">
        <f>IF(預測IC!DE22&gt;預測IC!DE$26,1,0)</f>
        <v>0</v>
      </c>
      <c r="DF22" s="11">
        <f>IF(預測IC!DF22&gt;預測IC!DF$26,1,0)</f>
        <v>1</v>
      </c>
      <c r="DG22" s="11">
        <f>IF(預測IC!DG22&gt;預測IC!DG$26,1,0)</f>
        <v>0</v>
      </c>
      <c r="DH22" s="11">
        <f>IF(預測IC!DH22&gt;預測IC!DH$26,1,0)</f>
        <v>0</v>
      </c>
      <c r="DI22" s="11">
        <f>IF(預測IC!DI22&gt;預測IC!DI$26,1,0)</f>
        <v>0</v>
      </c>
      <c r="DJ22" s="11">
        <f>IF(預測IC!DJ22&gt;預測IC!DJ$26,1,0)</f>
        <v>1</v>
      </c>
      <c r="DK22" s="11">
        <f>IF(預測IC!DK22&gt;預測IC!DK$26,1,0)</f>
        <v>0</v>
      </c>
      <c r="DL22" s="11">
        <f>IF(預測IC!DL22&gt;預測IC!DL$26,1,0)</f>
        <v>0</v>
      </c>
      <c r="DM22" s="11">
        <f>IF(預測IC!DM22&gt;預測IC!DM$26,1,0)</f>
        <v>1</v>
      </c>
      <c r="DN22" s="11">
        <f>IF(預測IC!DN22&gt;預測IC!DN$26,1,0)</f>
        <v>0</v>
      </c>
      <c r="DO22" s="11">
        <f>IF(預測IC!DO22&gt;預測IC!DO$26,1,0)</f>
        <v>0</v>
      </c>
      <c r="DP22" s="11">
        <f>IF(預測IC!DP22&gt;預測IC!DP$26,1,0)</f>
        <v>1</v>
      </c>
      <c r="DQ22" s="11">
        <f>IF(預測IC!DQ22&gt;預測IC!DQ$26,1,0)</f>
        <v>1</v>
      </c>
      <c r="DR22" s="11">
        <f>IF(預測IC!DR22&gt;預測IC!DR$26,1,0)</f>
        <v>1</v>
      </c>
      <c r="DS22" s="11">
        <f>IF(預測IC!DS22&gt;預測IC!DS$26,1,0)</f>
        <v>1</v>
      </c>
      <c r="DT22" s="11">
        <f>IF(預測IC!DT22&gt;預測IC!DT$26,1,0)</f>
        <v>0</v>
      </c>
      <c r="DU22" s="11">
        <f>IF(預測IC!DU22&gt;預測IC!DU$26,1,0)</f>
        <v>0</v>
      </c>
      <c r="DV22" s="11">
        <f>IF(預測IC!DV22&gt;預測IC!DV$26,1,0)</f>
        <v>0</v>
      </c>
      <c r="DW22" s="11">
        <f>IF(預測IC!DW22&gt;預測IC!DW$26,1,0)</f>
        <v>0</v>
      </c>
      <c r="DX22" s="11">
        <f>IF(預測IC!DX22&gt;預測IC!DX$26,1,0)</f>
        <v>1</v>
      </c>
      <c r="DY22" s="11">
        <f>IF(預測IC!DY22&gt;預測IC!DY$26,1,0)</f>
        <v>1</v>
      </c>
      <c r="DZ22" s="11">
        <f>IF(預測IC!DZ22&gt;預測IC!DZ$26,1,0)</f>
        <v>1</v>
      </c>
      <c r="EA22" s="11">
        <f>IF(預測IC!EA22&gt;預測IC!EA$26,1,0)</f>
        <v>0</v>
      </c>
      <c r="EB22" s="11">
        <f>IF(預測IC!EB22&gt;預測IC!EB$26,1,0)</f>
        <v>1</v>
      </c>
      <c r="EC22" s="11">
        <f>IF(預測IC!EC22&gt;預測IC!EC$26,1,0)</f>
        <v>1</v>
      </c>
      <c r="ED22" s="11">
        <f>IF(預測IC!ED22&gt;預測IC!ED$26,1,0)</f>
        <v>1</v>
      </c>
      <c r="EE22" s="11">
        <f>IF(預測IC!EE22&gt;預測IC!EE$26,1,0)</f>
        <v>0</v>
      </c>
      <c r="EF22" s="11">
        <f>IF(預測IC!EF22&gt;預測IC!EF$26,1,0)</f>
        <v>1</v>
      </c>
      <c r="EG22" s="1">
        <f t="shared" si="6"/>
        <v>56</v>
      </c>
      <c r="EH22" s="17">
        <f t="shared" si="7"/>
        <v>0.41791044776119401</v>
      </c>
    </row>
    <row r="23" spans="1:138">
      <c r="A23" s="2">
        <v>482</v>
      </c>
      <c r="B23" s="2">
        <v>2</v>
      </c>
      <c r="C23" s="11">
        <f>IF(預測IC!C23&gt;預測IC!C$26,1,0)</f>
        <v>1</v>
      </c>
      <c r="D23" s="11">
        <f>IF(預測IC!D23&gt;預測IC!D$26,1,0)</f>
        <v>1</v>
      </c>
      <c r="E23" s="11">
        <f>IF(預測IC!E23&gt;預測IC!E$26,1,0)</f>
        <v>1</v>
      </c>
      <c r="F23" s="11">
        <f>IF(預測IC!F23&gt;預測IC!F$26,1,0)</f>
        <v>1</v>
      </c>
      <c r="G23" s="11">
        <f>IF(預測IC!G23&gt;預測IC!G$26,1,0)</f>
        <v>1</v>
      </c>
      <c r="H23" s="11">
        <f>IF(預測IC!H23&gt;預測IC!H$26,1,0)</f>
        <v>0</v>
      </c>
      <c r="I23" s="11">
        <f>IF(預測IC!I23&gt;預測IC!I$26,1,0)</f>
        <v>0</v>
      </c>
      <c r="J23" s="11">
        <f>IF(預測IC!J23&gt;預測IC!J$26,1,0)</f>
        <v>0</v>
      </c>
      <c r="K23" s="11">
        <f>IF(預測IC!K23&gt;預測IC!K$26,1,0)</f>
        <v>0</v>
      </c>
      <c r="L23" s="11">
        <f>IF(預測IC!L23&gt;預測IC!L$26,1,0)</f>
        <v>1</v>
      </c>
      <c r="M23" s="11">
        <f>IF(預測IC!M23&gt;預測IC!M$26,1,0)</f>
        <v>0</v>
      </c>
      <c r="N23" s="11">
        <f>IF(預測IC!N23&gt;預測IC!N$26,1,0)</f>
        <v>0</v>
      </c>
      <c r="O23" s="11">
        <f>IF(預測IC!O23&gt;預測IC!O$26,1,0)</f>
        <v>0</v>
      </c>
      <c r="P23" s="11">
        <f>IF(預測IC!P23&gt;預測IC!P$26,1,0)</f>
        <v>1</v>
      </c>
      <c r="Q23" s="11">
        <f>IF(預測IC!Q23&gt;預測IC!Q$26,1,0)</f>
        <v>1</v>
      </c>
      <c r="R23" s="11">
        <f>IF(預測IC!R23&gt;預測IC!R$26,1,0)</f>
        <v>1</v>
      </c>
      <c r="S23" s="11">
        <f>IF(預測IC!S23&gt;預測IC!S$26,1,0)</f>
        <v>0</v>
      </c>
      <c r="T23" s="11">
        <f>IF(預測IC!T23&gt;預測IC!T$26,1,0)</f>
        <v>0</v>
      </c>
      <c r="U23" s="11">
        <f>IF(預測IC!U23&gt;預測IC!U$26,1,0)</f>
        <v>0</v>
      </c>
      <c r="V23" s="11">
        <f>IF(預測IC!V23&gt;預測IC!V$26,1,0)</f>
        <v>1</v>
      </c>
      <c r="W23" s="11">
        <f>IF(預測IC!W23&gt;預測IC!W$26,1,0)</f>
        <v>0</v>
      </c>
      <c r="X23" s="11">
        <f>IF(預測IC!X23&gt;預測IC!X$26,1,0)</f>
        <v>1</v>
      </c>
      <c r="Y23" s="11">
        <f>IF(預測IC!Y23&gt;預測IC!Y$26,1,0)</f>
        <v>1</v>
      </c>
      <c r="Z23" s="11">
        <f>IF(預測IC!Z23&gt;預測IC!Z$26,1,0)</f>
        <v>0</v>
      </c>
      <c r="AA23" s="11">
        <f>IF(預測IC!AA23&gt;預測IC!AA$26,1,0)</f>
        <v>1</v>
      </c>
      <c r="AB23" s="11">
        <f>IF(預測IC!AB23&gt;預測IC!AB$26,1,0)</f>
        <v>0</v>
      </c>
      <c r="AC23" s="11">
        <f>IF(預測IC!AC23&gt;預測IC!AC$26,1,0)</f>
        <v>0</v>
      </c>
      <c r="AD23" s="11">
        <f>IF(預測IC!AD23&gt;預測IC!AD$26,1,0)</f>
        <v>1</v>
      </c>
      <c r="AE23" s="11">
        <f>IF(預測IC!AE23&gt;預測IC!AE$26,1,0)</f>
        <v>1</v>
      </c>
      <c r="AF23" s="11">
        <f>IF(預測IC!AF23&gt;預測IC!AF$26,1,0)</f>
        <v>0</v>
      </c>
      <c r="AG23" s="11">
        <f>IF(預測IC!AG23&gt;預測IC!AG$26,1,0)</f>
        <v>0</v>
      </c>
      <c r="AH23" s="11">
        <f>IF(預測IC!AH23&gt;預測IC!AH$26,1,0)</f>
        <v>1</v>
      </c>
      <c r="AI23" s="11">
        <f>IF(預測IC!AI23&gt;預測IC!AI$26,1,0)</f>
        <v>0</v>
      </c>
      <c r="AJ23" s="11">
        <f>IF(預測IC!AJ23&gt;預測IC!AJ$26,1,0)</f>
        <v>0</v>
      </c>
      <c r="AK23" s="11">
        <f>IF(預測IC!AK23&gt;預測IC!AK$26,1,0)</f>
        <v>0</v>
      </c>
      <c r="AL23" s="11">
        <f>IF(預測IC!AL23&gt;預測IC!AL$26,1,0)</f>
        <v>0</v>
      </c>
      <c r="AM23" s="11">
        <f>IF(預測IC!AM23&gt;預測IC!AM$26,1,0)</f>
        <v>0</v>
      </c>
      <c r="AN23" s="11">
        <f>IF(預測IC!AN23&gt;預測IC!AN$26,1,0)</f>
        <v>0</v>
      </c>
      <c r="AO23" s="11">
        <f>IF(預測IC!AO23&gt;預測IC!AO$26,1,0)</f>
        <v>0</v>
      </c>
      <c r="AP23" s="11">
        <f>IF(預測IC!AP23&gt;預測IC!AP$26,1,0)</f>
        <v>0</v>
      </c>
      <c r="AQ23" s="11">
        <f>IF(預測IC!AQ23&gt;預測IC!AQ$26,1,0)</f>
        <v>0</v>
      </c>
      <c r="AR23" s="11">
        <f>IF(預測IC!AR23&gt;預測IC!AR$26,1,0)</f>
        <v>0</v>
      </c>
      <c r="AS23" s="11">
        <f>IF(預測IC!AS23&gt;預測IC!AS$26,1,0)</f>
        <v>1</v>
      </c>
      <c r="AT23" s="11">
        <f>IF(預測IC!AT23&gt;預測IC!AT$26,1,0)</f>
        <v>1</v>
      </c>
      <c r="AU23" s="11">
        <f>IF(預測IC!AU23&gt;預測IC!AU$26,1,0)</f>
        <v>0</v>
      </c>
      <c r="AV23" s="11">
        <f>IF(預測IC!AV23&gt;預測IC!AV$26,1,0)</f>
        <v>0</v>
      </c>
      <c r="AW23" s="11">
        <f>IF(預測IC!AW23&gt;預測IC!AW$26,1,0)</f>
        <v>1</v>
      </c>
      <c r="AX23" s="11">
        <f>IF(預測IC!AX23&gt;預測IC!AX$26,1,0)</f>
        <v>0</v>
      </c>
      <c r="AY23" s="11">
        <f>IF(預測IC!AY23&gt;預測IC!AY$26,1,0)</f>
        <v>0</v>
      </c>
      <c r="AZ23" s="11">
        <f>IF(預測IC!AZ23&gt;預測IC!AZ$26,1,0)</f>
        <v>1</v>
      </c>
      <c r="BA23" s="11">
        <f>IF(預測IC!BA23&gt;預測IC!BA$26,1,0)</f>
        <v>1</v>
      </c>
      <c r="BB23" s="11">
        <f>IF(預測IC!BB23&gt;預測IC!BB$26,1,0)</f>
        <v>1</v>
      </c>
      <c r="BC23" s="11">
        <f>IF(預測IC!BC23&gt;預測IC!BC$26,1,0)</f>
        <v>1</v>
      </c>
      <c r="BD23" s="11">
        <f>IF(預測IC!BD23&gt;預測IC!BD$26,1,0)</f>
        <v>0</v>
      </c>
      <c r="BE23" s="11">
        <f>IF(預測IC!BE23&gt;預測IC!BE$26,1,0)</f>
        <v>1</v>
      </c>
      <c r="BF23" s="11">
        <f>IF(預測IC!BF23&gt;預測IC!BF$26,1,0)</f>
        <v>1</v>
      </c>
      <c r="BG23" s="11">
        <f>IF(預測IC!BG23&gt;預測IC!BG$26,1,0)</f>
        <v>0</v>
      </c>
      <c r="BH23" s="11">
        <f>IF(預測IC!BH23&gt;預測IC!BH$26,1,0)</f>
        <v>1</v>
      </c>
      <c r="BI23" s="11">
        <f>IF(預測IC!BI23&gt;預測IC!BI$26,1,0)</f>
        <v>1</v>
      </c>
      <c r="BJ23" s="11">
        <f>IF(預測IC!BJ23&gt;預測IC!BJ$26,1,0)</f>
        <v>0</v>
      </c>
      <c r="BK23" s="11">
        <f>IF(預測IC!BK23&gt;預測IC!BK$26,1,0)</f>
        <v>0</v>
      </c>
      <c r="BL23" s="11">
        <f>IF(預測IC!BL23&gt;預測IC!BL$26,1,0)</f>
        <v>0</v>
      </c>
      <c r="BM23" s="11">
        <f>IF(預測IC!BM23&gt;預測IC!BM$26,1,0)</f>
        <v>0</v>
      </c>
      <c r="BN23" s="11">
        <f>IF(預測IC!BN23&gt;預測IC!BN$26,1,0)</f>
        <v>0</v>
      </c>
      <c r="BO23" s="11">
        <f>IF(預測IC!BO23&gt;預測IC!BO$26,1,0)</f>
        <v>1</v>
      </c>
      <c r="BP23" s="11">
        <f>IF(預測IC!BP23&gt;預測IC!BP$26,1,0)</f>
        <v>0</v>
      </c>
      <c r="BQ23" s="11">
        <f>IF(預測IC!BQ23&gt;預測IC!BQ$26,1,0)</f>
        <v>0</v>
      </c>
      <c r="BR23" s="11">
        <f>IF(預測IC!BR23&gt;預測IC!BR$26,1,0)</f>
        <v>1</v>
      </c>
      <c r="BS23" s="11">
        <f>IF(預測IC!BS23&gt;預測IC!BS$26,1,0)</f>
        <v>0</v>
      </c>
      <c r="BT23" s="11">
        <f>IF(預測IC!BT23&gt;預測IC!BT$26,1,0)</f>
        <v>0</v>
      </c>
      <c r="BU23" s="11">
        <f>IF(預測IC!BU23&gt;預測IC!BU$26,1,0)</f>
        <v>0</v>
      </c>
      <c r="BV23" s="11">
        <f>IF(預測IC!BV23&gt;預測IC!BV$26,1,0)</f>
        <v>0</v>
      </c>
      <c r="BW23" s="11">
        <f>IF(預測IC!BW23&gt;預測IC!BW$26,1,0)</f>
        <v>1</v>
      </c>
      <c r="BX23" s="11">
        <f>IF(預測IC!BX23&gt;預測IC!BX$26,1,0)</f>
        <v>1</v>
      </c>
      <c r="BY23" s="11">
        <f>IF(預測IC!BY23&gt;預測IC!BY$26,1,0)</f>
        <v>1</v>
      </c>
      <c r="BZ23" s="11">
        <f>IF(預測IC!BZ23&gt;預測IC!BZ$26,1,0)</f>
        <v>1</v>
      </c>
      <c r="CA23" s="11">
        <f>IF(預測IC!CA23&gt;預測IC!CA$26,1,0)</f>
        <v>1</v>
      </c>
      <c r="CB23" s="11">
        <f>IF(預測IC!CB23&gt;預測IC!CB$26,1,0)</f>
        <v>0</v>
      </c>
      <c r="CC23" s="11">
        <f>IF(預測IC!CC23&gt;預測IC!CC$26,1,0)</f>
        <v>0</v>
      </c>
      <c r="CD23" s="11">
        <f>IF(預測IC!CD23&gt;預測IC!CD$26,1,0)</f>
        <v>0</v>
      </c>
      <c r="CE23" s="11">
        <f>IF(預測IC!CE23&gt;預測IC!CE$26,1,0)</f>
        <v>0</v>
      </c>
      <c r="CF23" s="11">
        <f>IF(預測IC!CF23&gt;預測IC!CF$26,1,0)</f>
        <v>0</v>
      </c>
      <c r="CG23" s="11">
        <f>IF(預測IC!CG23&gt;預測IC!CG$26,1,0)</f>
        <v>0</v>
      </c>
      <c r="CH23" s="11">
        <f>IF(預測IC!CH23&gt;預測IC!CH$26,1,0)</f>
        <v>0</v>
      </c>
      <c r="CI23" s="11">
        <f>IF(預測IC!CI23&gt;預測IC!CI$26,1,0)</f>
        <v>0</v>
      </c>
      <c r="CJ23" s="11">
        <f>IF(預測IC!CJ23&gt;預測IC!CJ$26,1,0)</f>
        <v>0</v>
      </c>
      <c r="CK23" s="11">
        <f>IF(預測IC!CK23&gt;預測IC!CK$26,1,0)</f>
        <v>1</v>
      </c>
      <c r="CL23" s="11">
        <f>IF(預測IC!CL23&gt;預測IC!CL$26,1,0)</f>
        <v>1</v>
      </c>
      <c r="CM23" s="11">
        <f>IF(預測IC!CM23&gt;預測IC!CM$26,1,0)</f>
        <v>0</v>
      </c>
      <c r="CN23" s="11">
        <f>IF(預測IC!CN23&gt;預測IC!CN$26,1,0)</f>
        <v>1</v>
      </c>
      <c r="CO23" s="11">
        <f>IF(預測IC!CO23&gt;預測IC!CO$26,1,0)</f>
        <v>1</v>
      </c>
      <c r="CP23" s="11">
        <f>IF(預測IC!CP23&gt;預測IC!CP$26,1,0)</f>
        <v>0</v>
      </c>
      <c r="CQ23" s="11">
        <f>IF(預測IC!CQ23&gt;預測IC!CQ$26,1,0)</f>
        <v>1</v>
      </c>
      <c r="CR23" s="11">
        <f>IF(預測IC!CR23&gt;預測IC!CR$26,1,0)</f>
        <v>0</v>
      </c>
      <c r="CS23" s="11">
        <f>IF(預測IC!CS23&gt;預測IC!CS$26,1,0)</f>
        <v>1</v>
      </c>
      <c r="CT23" s="11">
        <f>IF(預測IC!CT23&gt;預測IC!CT$26,1,0)</f>
        <v>0</v>
      </c>
      <c r="CU23" s="11">
        <f>IF(預測IC!CU23&gt;預測IC!CU$26,1,0)</f>
        <v>1</v>
      </c>
      <c r="CV23" s="11">
        <f>IF(預測IC!CV23&gt;預測IC!CV$26,1,0)</f>
        <v>1</v>
      </c>
      <c r="CW23" s="11">
        <f>IF(預測IC!CW23&gt;預測IC!CW$26,1,0)</f>
        <v>0</v>
      </c>
      <c r="CX23" s="11">
        <f>IF(預測IC!CX23&gt;預測IC!CX$26,1,0)</f>
        <v>1</v>
      </c>
      <c r="CY23" s="11">
        <f>IF(預測IC!CY23&gt;預測IC!CY$26,1,0)</f>
        <v>0</v>
      </c>
      <c r="CZ23" s="11">
        <f>IF(預測IC!CZ23&gt;預測IC!CZ$26,1,0)</f>
        <v>0</v>
      </c>
      <c r="DA23" s="11">
        <f>IF(預測IC!DA23&gt;預測IC!DA$26,1,0)</f>
        <v>1</v>
      </c>
      <c r="DB23" s="11">
        <f>IF(預測IC!DB23&gt;預測IC!DB$26,1,0)</f>
        <v>1</v>
      </c>
      <c r="DC23" s="11">
        <f>IF(預測IC!DC23&gt;預測IC!DC$26,1,0)</f>
        <v>0</v>
      </c>
      <c r="DD23" s="11">
        <f>IF(預測IC!DD23&gt;預測IC!DD$26,1,0)</f>
        <v>0</v>
      </c>
      <c r="DE23" s="11">
        <f>IF(預測IC!DE23&gt;預測IC!DE$26,1,0)</f>
        <v>0</v>
      </c>
      <c r="DF23" s="11">
        <f>IF(預測IC!DF23&gt;預測IC!DF$26,1,0)</f>
        <v>0</v>
      </c>
      <c r="DG23" s="11">
        <f>IF(預測IC!DG23&gt;預測IC!DG$26,1,0)</f>
        <v>0</v>
      </c>
      <c r="DH23" s="11">
        <f>IF(預測IC!DH23&gt;預測IC!DH$26,1,0)</f>
        <v>0</v>
      </c>
      <c r="DI23" s="11">
        <f>IF(預測IC!DI23&gt;預測IC!DI$26,1,0)</f>
        <v>0</v>
      </c>
      <c r="DJ23" s="11">
        <f>IF(預測IC!DJ23&gt;預測IC!DJ$26,1,0)</f>
        <v>1</v>
      </c>
      <c r="DK23" s="11">
        <f>IF(預測IC!DK23&gt;預測IC!DK$26,1,0)</f>
        <v>0</v>
      </c>
      <c r="DL23" s="11">
        <f>IF(預測IC!DL23&gt;預測IC!DL$26,1,0)</f>
        <v>0</v>
      </c>
      <c r="DM23" s="11">
        <f>IF(預測IC!DM23&gt;預測IC!DM$26,1,0)</f>
        <v>1</v>
      </c>
      <c r="DN23" s="11">
        <f>IF(預測IC!DN23&gt;預測IC!DN$26,1,0)</f>
        <v>1</v>
      </c>
      <c r="DO23" s="11">
        <f>IF(預測IC!DO23&gt;預測IC!DO$26,1,0)</f>
        <v>0</v>
      </c>
      <c r="DP23" s="11">
        <f>IF(預測IC!DP23&gt;預測IC!DP$26,1,0)</f>
        <v>0</v>
      </c>
      <c r="DQ23" s="11">
        <f>IF(預測IC!DQ23&gt;預測IC!DQ$26,1,0)</f>
        <v>1</v>
      </c>
      <c r="DR23" s="11">
        <f>IF(預測IC!DR23&gt;預測IC!DR$26,1,0)</f>
        <v>1</v>
      </c>
      <c r="DS23" s="11">
        <f>IF(預測IC!DS23&gt;預測IC!DS$26,1,0)</f>
        <v>1</v>
      </c>
      <c r="DT23" s="11">
        <f>IF(預測IC!DT23&gt;預測IC!DT$26,1,0)</f>
        <v>1</v>
      </c>
      <c r="DU23" s="11">
        <f>IF(預測IC!DU23&gt;預測IC!DU$26,1,0)</f>
        <v>0</v>
      </c>
      <c r="DV23" s="11">
        <f>IF(預測IC!DV23&gt;預測IC!DV$26,1,0)</f>
        <v>0</v>
      </c>
      <c r="DW23" s="11">
        <f>IF(預測IC!DW23&gt;預測IC!DW$26,1,0)</f>
        <v>0</v>
      </c>
      <c r="DX23" s="11">
        <f>IF(預測IC!DX23&gt;預測IC!DX$26,1,0)</f>
        <v>1</v>
      </c>
      <c r="DY23" s="11">
        <f>IF(預測IC!DY23&gt;預測IC!DY$26,1,0)</f>
        <v>0</v>
      </c>
      <c r="DZ23" s="11">
        <f>IF(預測IC!DZ23&gt;預測IC!DZ$26,1,0)</f>
        <v>1</v>
      </c>
      <c r="EA23" s="11">
        <f>IF(預測IC!EA23&gt;預測IC!EA$26,1,0)</f>
        <v>0</v>
      </c>
      <c r="EB23" s="11">
        <f>IF(預測IC!EB23&gt;預測IC!EB$26,1,0)</f>
        <v>1</v>
      </c>
      <c r="EC23" s="11">
        <f>IF(預測IC!EC23&gt;預測IC!EC$26,1,0)</f>
        <v>1</v>
      </c>
      <c r="ED23" s="11">
        <f>IF(預測IC!ED23&gt;預測IC!ED$26,1,0)</f>
        <v>1</v>
      </c>
      <c r="EE23" s="11">
        <f>IF(預測IC!EE23&gt;預測IC!EE$26,1,0)</f>
        <v>0</v>
      </c>
      <c r="EF23" s="11">
        <f>IF(預測IC!EF23&gt;預測IC!EF$26,1,0)</f>
        <v>1</v>
      </c>
      <c r="EG23" s="1">
        <f t="shared" si="6"/>
        <v>58</v>
      </c>
      <c r="EH23" s="17">
        <f t="shared" si="7"/>
        <v>0.43283582089552236</v>
      </c>
    </row>
    <row r="24" spans="1:138">
      <c r="A24" s="2">
        <v>964</v>
      </c>
      <c r="B24" s="2">
        <v>1</v>
      </c>
      <c r="C24" s="11">
        <f>IF(預測IC!C24&gt;預測IC!C$26,1,0)</f>
        <v>1</v>
      </c>
      <c r="D24" s="11">
        <f>IF(預測IC!D24&gt;預測IC!D$26,1,0)</f>
        <v>1</v>
      </c>
      <c r="E24" s="11">
        <f>IF(預測IC!E24&gt;預測IC!E$26,1,0)</f>
        <v>1</v>
      </c>
      <c r="F24" s="11">
        <f>IF(預測IC!F24&gt;預測IC!F$26,1,0)</f>
        <v>1</v>
      </c>
      <c r="G24" s="11">
        <f>IF(預測IC!G24&gt;預測IC!G$26,1,0)</f>
        <v>1</v>
      </c>
      <c r="H24" s="11">
        <f>IF(預測IC!H24&gt;預測IC!H$26,1,0)</f>
        <v>1</v>
      </c>
      <c r="I24" s="11">
        <f>IF(預測IC!I24&gt;預測IC!I$26,1,0)</f>
        <v>1</v>
      </c>
      <c r="J24" s="11">
        <f>IF(預測IC!J24&gt;預測IC!J$26,1,0)</f>
        <v>0</v>
      </c>
      <c r="K24" s="11">
        <f>IF(預測IC!K24&gt;預測IC!K$26,1,0)</f>
        <v>1</v>
      </c>
      <c r="L24" s="11">
        <f>IF(預測IC!L24&gt;預測IC!L$26,1,0)</f>
        <v>1</v>
      </c>
      <c r="M24" s="11">
        <f>IF(預測IC!M24&gt;預測IC!M$26,1,0)</f>
        <v>0</v>
      </c>
      <c r="N24" s="11">
        <f>IF(預測IC!N24&gt;預測IC!N$26,1,0)</f>
        <v>0</v>
      </c>
      <c r="O24" s="11">
        <f>IF(預測IC!O24&gt;預測IC!O$26,1,0)</f>
        <v>1</v>
      </c>
      <c r="P24" s="11">
        <f>IF(預測IC!P24&gt;預測IC!P$26,1,0)</f>
        <v>0</v>
      </c>
      <c r="Q24" s="11">
        <f>IF(預測IC!Q24&gt;預測IC!Q$26,1,0)</f>
        <v>1</v>
      </c>
      <c r="R24" s="11">
        <f>IF(預測IC!R24&gt;預測IC!R$26,1,0)</f>
        <v>0</v>
      </c>
      <c r="S24" s="11">
        <f>IF(預測IC!S24&gt;預測IC!S$26,1,0)</f>
        <v>1</v>
      </c>
      <c r="T24" s="11">
        <f>IF(預測IC!T24&gt;預測IC!T$26,1,0)</f>
        <v>0</v>
      </c>
      <c r="U24" s="11">
        <f>IF(預測IC!U24&gt;預測IC!U$26,1,0)</f>
        <v>0</v>
      </c>
      <c r="V24" s="11">
        <f>IF(預測IC!V24&gt;預測IC!V$26,1,0)</f>
        <v>1</v>
      </c>
      <c r="W24" s="11">
        <f>IF(預測IC!W24&gt;預測IC!W$26,1,0)</f>
        <v>0</v>
      </c>
      <c r="X24" s="11">
        <f>IF(預測IC!X24&gt;預測IC!X$26,1,0)</f>
        <v>0</v>
      </c>
      <c r="Y24" s="11">
        <f>IF(預測IC!Y24&gt;預測IC!Y$26,1,0)</f>
        <v>1</v>
      </c>
      <c r="Z24" s="11">
        <f>IF(預測IC!Z24&gt;預測IC!Z$26,1,0)</f>
        <v>0</v>
      </c>
      <c r="AA24" s="11">
        <f>IF(預測IC!AA24&gt;預測IC!AA$26,1,0)</f>
        <v>1</v>
      </c>
      <c r="AB24" s="11">
        <f>IF(預測IC!AB24&gt;預測IC!AB$26,1,0)</f>
        <v>0</v>
      </c>
      <c r="AC24" s="11">
        <f>IF(預測IC!AC24&gt;預測IC!AC$26,1,0)</f>
        <v>0</v>
      </c>
      <c r="AD24" s="11">
        <f>IF(預測IC!AD24&gt;預測IC!AD$26,1,0)</f>
        <v>1</v>
      </c>
      <c r="AE24" s="11">
        <f>IF(預測IC!AE24&gt;預測IC!AE$26,1,0)</f>
        <v>1</v>
      </c>
      <c r="AF24" s="11">
        <f>IF(預測IC!AF24&gt;預測IC!AF$26,1,0)</f>
        <v>0</v>
      </c>
      <c r="AG24" s="11">
        <f>IF(預測IC!AG24&gt;預測IC!AG$26,1,0)</f>
        <v>0</v>
      </c>
      <c r="AH24" s="11">
        <f>IF(預測IC!AH24&gt;預測IC!AH$26,1,0)</f>
        <v>1</v>
      </c>
      <c r="AI24" s="11">
        <f>IF(預測IC!AI24&gt;預測IC!AI$26,1,0)</f>
        <v>0</v>
      </c>
      <c r="AJ24" s="11">
        <f>IF(預測IC!AJ24&gt;預測IC!AJ$26,1,0)</f>
        <v>1</v>
      </c>
      <c r="AK24" s="11">
        <f>IF(預測IC!AK24&gt;預測IC!AK$26,1,0)</f>
        <v>0</v>
      </c>
      <c r="AL24" s="11">
        <f>IF(預測IC!AL24&gt;預測IC!AL$26,1,0)</f>
        <v>1</v>
      </c>
      <c r="AM24" s="11">
        <f>IF(預測IC!AM24&gt;預測IC!AM$26,1,0)</f>
        <v>0</v>
      </c>
      <c r="AN24" s="11">
        <f>IF(預測IC!AN24&gt;預測IC!AN$26,1,0)</f>
        <v>0</v>
      </c>
      <c r="AO24" s="11">
        <f>IF(預測IC!AO24&gt;預測IC!AO$26,1,0)</f>
        <v>0</v>
      </c>
      <c r="AP24" s="11">
        <f>IF(預測IC!AP24&gt;預測IC!AP$26,1,0)</f>
        <v>1</v>
      </c>
      <c r="AQ24" s="11">
        <f>IF(預測IC!AQ24&gt;預測IC!AQ$26,1,0)</f>
        <v>0</v>
      </c>
      <c r="AR24" s="11">
        <f>IF(預測IC!AR24&gt;預測IC!AR$26,1,0)</f>
        <v>0</v>
      </c>
      <c r="AS24" s="11">
        <f>IF(預測IC!AS24&gt;預測IC!AS$26,1,0)</f>
        <v>1</v>
      </c>
      <c r="AT24" s="11">
        <f>IF(預測IC!AT24&gt;預測IC!AT$26,1,0)</f>
        <v>0</v>
      </c>
      <c r="AU24" s="11">
        <f>IF(預測IC!AU24&gt;預測IC!AU$26,1,0)</f>
        <v>0</v>
      </c>
      <c r="AV24" s="11">
        <f>IF(預測IC!AV24&gt;預測IC!AV$26,1,0)</f>
        <v>1</v>
      </c>
      <c r="AW24" s="11">
        <f>IF(預測IC!AW24&gt;預測IC!AW$26,1,0)</f>
        <v>1</v>
      </c>
      <c r="AX24" s="11">
        <f>IF(預測IC!AX24&gt;預測IC!AX$26,1,0)</f>
        <v>0</v>
      </c>
      <c r="AY24" s="11">
        <f>IF(預測IC!AY24&gt;預測IC!AY$26,1,0)</f>
        <v>0</v>
      </c>
      <c r="AZ24" s="11">
        <f>IF(預測IC!AZ24&gt;預測IC!AZ$26,1,0)</f>
        <v>0</v>
      </c>
      <c r="BA24" s="11">
        <f>IF(預測IC!BA24&gt;預測IC!BA$26,1,0)</f>
        <v>1</v>
      </c>
      <c r="BB24" s="11">
        <f>IF(預測IC!BB24&gt;預測IC!BB$26,1,0)</f>
        <v>1</v>
      </c>
      <c r="BC24" s="11">
        <f>IF(預測IC!BC24&gt;預測IC!BC$26,1,0)</f>
        <v>1</v>
      </c>
      <c r="BD24" s="11">
        <f>IF(預測IC!BD24&gt;預測IC!BD$26,1,0)</f>
        <v>0</v>
      </c>
      <c r="BE24" s="11">
        <f>IF(預測IC!BE24&gt;預測IC!BE$26,1,0)</f>
        <v>1</v>
      </c>
      <c r="BF24" s="11">
        <f>IF(預測IC!BF24&gt;預測IC!BF$26,1,0)</f>
        <v>0</v>
      </c>
      <c r="BG24" s="11">
        <f>IF(預測IC!BG24&gt;預測IC!BG$26,1,0)</f>
        <v>1</v>
      </c>
      <c r="BH24" s="11">
        <f>IF(預測IC!BH24&gt;預測IC!BH$26,1,0)</f>
        <v>0</v>
      </c>
      <c r="BI24" s="11">
        <f>IF(預測IC!BI24&gt;預測IC!BI$26,1,0)</f>
        <v>0</v>
      </c>
      <c r="BJ24" s="11">
        <f>IF(預測IC!BJ24&gt;預測IC!BJ$26,1,0)</f>
        <v>1</v>
      </c>
      <c r="BK24" s="11">
        <f>IF(預測IC!BK24&gt;預測IC!BK$26,1,0)</f>
        <v>0</v>
      </c>
      <c r="BL24" s="11">
        <f>IF(預測IC!BL24&gt;預測IC!BL$26,1,0)</f>
        <v>0</v>
      </c>
      <c r="BM24" s="11">
        <f>IF(預測IC!BM24&gt;預測IC!BM$26,1,0)</f>
        <v>0</v>
      </c>
      <c r="BN24" s="11">
        <f>IF(預測IC!BN24&gt;預測IC!BN$26,1,0)</f>
        <v>0</v>
      </c>
      <c r="BO24" s="11">
        <f>IF(預測IC!BO24&gt;預測IC!BO$26,1,0)</f>
        <v>1</v>
      </c>
      <c r="BP24" s="11">
        <f>IF(預測IC!BP24&gt;預測IC!BP$26,1,0)</f>
        <v>0</v>
      </c>
      <c r="BQ24" s="11">
        <f>IF(預測IC!BQ24&gt;預測IC!BQ$26,1,0)</f>
        <v>1</v>
      </c>
      <c r="BR24" s="11">
        <f>IF(預測IC!BR24&gt;預測IC!BR$26,1,0)</f>
        <v>0</v>
      </c>
      <c r="BS24" s="11">
        <f>IF(預測IC!BS24&gt;預測IC!BS$26,1,0)</f>
        <v>0</v>
      </c>
      <c r="BT24" s="11">
        <f>IF(預測IC!BT24&gt;預測IC!BT$26,1,0)</f>
        <v>0</v>
      </c>
      <c r="BU24" s="11">
        <f>IF(預測IC!BU24&gt;預測IC!BU$26,1,0)</f>
        <v>0</v>
      </c>
      <c r="BV24" s="11">
        <f>IF(預測IC!BV24&gt;預測IC!BV$26,1,0)</f>
        <v>0</v>
      </c>
      <c r="BW24" s="11">
        <f>IF(預測IC!BW24&gt;預測IC!BW$26,1,0)</f>
        <v>1</v>
      </c>
      <c r="BX24" s="11">
        <f>IF(預測IC!BX24&gt;預測IC!BX$26,1,0)</f>
        <v>1</v>
      </c>
      <c r="BY24" s="11">
        <f>IF(預測IC!BY24&gt;預測IC!BY$26,1,0)</f>
        <v>0</v>
      </c>
      <c r="BZ24" s="11">
        <f>IF(預測IC!BZ24&gt;預測IC!BZ$26,1,0)</f>
        <v>1</v>
      </c>
      <c r="CA24" s="11">
        <f>IF(預測IC!CA24&gt;預測IC!CA$26,1,0)</f>
        <v>1</v>
      </c>
      <c r="CB24" s="11">
        <f>IF(預測IC!CB24&gt;預測IC!CB$26,1,0)</f>
        <v>0</v>
      </c>
      <c r="CC24" s="11">
        <f>IF(預測IC!CC24&gt;預測IC!CC$26,1,0)</f>
        <v>0</v>
      </c>
      <c r="CD24" s="11">
        <f>IF(預測IC!CD24&gt;預測IC!CD$26,1,0)</f>
        <v>0</v>
      </c>
      <c r="CE24" s="11">
        <f>IF(預測IC!CE24&gt;預測IC!CE$26,1,0)</f>
        <v>0</v>
      </c>
      <c r="CF24" s="11">
        <f>IF(預測IC!CF24&gt;預測IC!CF$26,1,0)</f>
        <v>0</v>
      </c>
      <c r="CG24" s="11">
        <f>IF(預測IC!CG24&gt;預測IC!CG$26,1,0)</f>
        <v>0</v>
      </c>
      <c r="CH24" s="11">
        <f>IF(預測IC!CH24&gt;預測IC!CH$26,1,0)</f>
        <v>0</v>
      </c>
      <c r="CI24" s="11">
        <f>IF(預測IC!CI24&gt;預測IC!CI$26,1,0)</f>
        <v>0</v>
      </c>
      <c r="CJ24" s="11">
        <f>IF(預測IC!CJ24&gt;預測IC!CJ$26,1,0)</f>
        <v>0</v>
      </c>
      <c r="CK24" s="11">
        <f>IF(預測IC!CK24&gt;預測IC!CK$26,1,0)</f>
        <v>1</v>
      </c>
      <c r="CL24" s="11">
        <f>IF(預測IC!CL24&gt;預測IC!CL$26,1,0)</f>
        <v>0</v>
      </c>
      <c r="CM24" s="11">
        <f>IF(預測IC!CM24&gt;預測IC!CM$26,1,0)</f>
        <v>0</v>
      </c>
      <c r="CN24" s="11">
        <f>IF(預測IC!CN24&gt;預測IC!CN$26,1,0)</f>
        <v>1</v>
      </c>
      <c r="CO24" s="11">
        <f>IF(預測IC!CO24&gt;預測IC!CO$26,1,0)</f>
        <v>1</v>
      </c>
      <c r="CP24" s="11">
        <f>IF(預測IC!CP24&gt;預測IC!CP$26,1,0)</f>
        <v>0</v>
      </c>
      <c r="CQ24" s="11">
        <f>IF(預測IC!CQ24&gt;預測IC!CQ$26,1,0)</f>
        <v>0</v>
      </c>
      <c r="CR24" s="11">
        <f>IF(預測IC!CR24&gt;預測IC!CR$26,1,0)</f>
        <v>0</v>
      </c>
      <c r="CS24" s="11">
        <f>IF(預測IC!CS24&gt;預測IC!CS$26,1,0)</f>
        <v>1</v>
      </c>
      <c r="CT24" s="11">
        <f>IF(預測IC!CT24&gt;預測IC!CT$26,1,0)</f>
        <v>0</v>
      </c>
      <c r="CU24" s="11">
        <f>IF(預測IC!CU24&gt;預測IC!CU$26,1,0)</f>
        <v>1</v>
      </c>
      <c r="CV24" s="11">
        <f>IF(預測IC!CV24&gt;預測IC!CV$26,1,0)</f>
        <v>0</v>
      </c>
      <c r="CW24" s="11">
        <f>IF(預測IC!CW24&gt;預測IC!CW$26,1,0)</f>
        <v>0</v>
      </c>
      <c r="CX24" s="11">
        <f>IF(預測IC!CX24&gt;預測IC!CX$26,1,0)</f>
        <v>1</v>
      </c>
      <c r="CY24" s="11">
        <f>IF(預測IC!CY24&gt;預測IC!CY$26,1,0)</f>
        <v>1</v>
      </c>
      <c r="CZ24" s="11">
        <f>IF(預測IC!CZ24&gt;預測IC!CZ$26,1,0)</f>
        <v>1</v>
      </c>
      <c r="DA24" s="11">
        <f>IF(預測IC!DA24&gt;預測IC!DA$26,1,0)</f>
        <v>0</v>
      </c>
      <c r="DB24" s="11">
        <f>IF(預測IC!DB24&gt;預測IC!DB$26,1,0)</f>
        <v>1</v>
      </c>
      <c r="DC24" s="11">
        <f>IF(預測IC!DC24&gt;預測IC!DC$26,1,0)</f>
        <v>0</v>
      </c>
      <c r="DD24" s="11">
        <f>IF(預測IC!DD24&gt;預測IC!DD$26,1,0)</f>
        <v>0</v>
      </c>
      <c r="DE24" s="11">
        <f>IF(預測IC!DE24&gt;預測IC!DE$26,1,0)</f>
        <v>1</v>
      </c>
      <c r="DF24" s="11">
        <f>IF(預測IC!DF24&gt;預測IC!DF$26,1,0)</f>
        <v>1</v>
      </c>
      <c r="DG24" s="11">
        <f>IF(預測IC!DG24&gt;預測IC!DG$26,1,0)</f>
        <v>0</v>
      </c>
      <c r="DH24" s="11">
        <f>IF(預測IC!DH24&gt;預測IC!DH$26,1,0)</f>
        <v>0</v>
      </c>
      <c r="DI24" s="11">
        <f>IF(預測IC!DI24&gt;預測IC!DI$26,1,0)</f>
        <v>0</v>
      </c>
      <c r="DJ24" s="11">
        <f>IF(預測IC!DJ24&gt;預測IC!DJ$26,1,0)</f>
        <v>1</v>
      </c>
      <c r="DK24" s="11">
        <f>IF(預測IC!DK24&gt;預測IC!DK$26,1,0)</f>
        <v>0</v>
      </c>
      <c r="DL24" s="11">
        <f>IF(預測IC!DL24&gt;預測IC!DL$26,1,0)</f>
        <v>0</v>
      </c>
      <c r="DM24" s="11">
        <f>IF(預測IC!DM24&gt;預測IC!DM$26,1,0)</f>
        <v>1</v>
      </c>
      <c r="DN24" s="11">
        <f>IF(預測IC!DN24&gt;預測IC!DN$26,1,0)</f>
        <v>0</v>
      </c>
      <c r="DO24" s="11">
        <f>IF(預測IC!DO24&gt;預測IC!DO$26,1,0)</f>
        <v>0</v>
      </c>
      <c r="DP24" s="11">
        <f>IF(預測IC!DP24&gt;預測IC!DP$26,1,0)</f>
        <v>0</v>
      </c>
      <c r="DQ24" s="11">
        <f>IF(預測IC!DQ24&gt;預測IC!DQ$26,1,0)</f>
        <v>1</v>
      </c>
      <c r="DR24" s="11">
        <f>IF(預測IC!DR24&gt;預測IC!DR$26,1,0)</f>
        <v>1</v>
      </c>
      <c r="DS24" s="11">
        <f>IF(預測IC!DS24&gt;預測IC!DS$26,1,0)</f>
        <v>1</v>
      </c>
      <c r="DT24" s="11">
        <f>IF(預測IC!DT24&gt;預測IC!DT$26,1,0)</f>
        <v>0</v>
      </c>
      <c r="DU24" s="11">
        <f>IF(預測IC!DU24&gt;預測IC!DU$26,1,0)</f>
        <v>0</v>
      </c>
      <c r="DV24" s="11">
        <f>IF(預測IC!DV24&gt;預測IC!DV$26,1,0)</f>
        <v>0</v>
      </c>
      <c r="DW24" s="11">
        <f>IF(預測IC!DW24&gt;預測IC!DW$26,1,0)</f>
        <v>0</v>
      </c>
      <c r="DX24" s="11">
        <f>IF(預測IC!DX24&gt;預測IC!DX$26,1,0)</f>
        <v>1</v>
      </c>
      <c r="DY24" s="11">
        <f>IF(預測IC!DY24&gt;預測IC!DY$26,1,0)</f>
        <v>0</v>
      </c>
      <c r="DZ24" s="11">
        <f>IF(預測IC!DZ24&gt;預測IC!DZ$26,1,0)</f>
        <v>1</v>
      </c>
      <c r="EA24" s="11">
        <f>IF(預測IC!EA24&gt;預測IC!EA$26,1,0)</f>
        <v>0</v>
      </c>
      <c r="EB24" s="11">
        <f>IF(預測IC!EB24&gt;預測IC!EB$26,1,0)</f>
        <v>1</v>
      </c>
      <c r="EC24" s="11">
        <f>IF(預測IC!EC24&gt;預測IC!EC$26,1,0)</f>
        <v>1</v>
      </c>
      <c r="ED24" s="11">
        <f>IF(預測IC!ED24&gt;預測IC!ED$26,1,0)</f>
        <v>1</v>
      </c>
      <c r="EE24" s="11">
        <f>IF(預測IC!EE24&gt;預測IC!EE$26,1,0)</f>
        <v>1</v>
      </c>
      <c r="EF24" s="11">
        <f>IF(預測IC!EF24&gt;預測IC!EF$26,1,0)</f>
        <v>0</v>
      </c>
      <c r="EG24" s="1">
        <f t="shared" si="6"/>
        <v>58</v>
      </c>
      <c r="EH24" s="17">
        <f t="shared" si="7"/>
        <v>0.43283582089552236</v>
      </c>
    </row>
    <row r="26" spans="1:138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topLeftCell="A3" zoomScale="150" zoomScaleNormal="90" workbookViewId="0">
      <selection activeCell="C12" sqref="C12:EF24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6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10</v>
      </c>
      <c r="B12" s="2">
        <v>96</v>
      </c>
      <c r="C12" s="11">
        <v>8.4653541666666707E-2</v>
      </c>
      <c r="D12" s="11">
        <f>C12+預測IC!D12</f>
        <v>0.19934205208333339</v>
      </c>
      <c r="E12" s="11">
        <f>D12+預測IC!E12</f>
        <v>0.24736833333333338</v>
      </c>
      <c r="F12" s="11">
        <f>E12+預測IC!F12</f>
        <v>0.2607897395833334</v>
      </c>
      <c r="G12" s="11">
        <f>F12+預測IC!G12</f>
        <v>0.27251470833333341</v>
      </c>
      <c r="H12" s="11">
        <f>G12+預測IC!H12</f>
        <v>0.31104542708333344</v>
      </c>
      <c r="I12" s="11">
        <f>H12+預測IC!I12</f>
        <v>0.32385537500000011</v>
      </c>
      <c r="J12" s="11">
        <f>I12+預測IC!J12</f>
        <v>0.29444757291666679</v>
      </c>
      <c r="K12" s="11">
        <f>J12+預測IC!K12</f>
        <v>0.31322175000000013</v>
      </c>
      <c r="L12" s="11">
        <f>K12+預測IC!L12</f>
        <v>0.27133111458333348</v>
      </c>
      <c r="M12" s="11">
        <f>L12+預測IC!M12</f>
        <v>0.29822028841654041</v>
      </c>
      <c r="N12" s="11">
        <f>M12+預測IC!N12</f>
        <v>0.26351693417307759</v>
      </c>
      <c r="O12" s="11">
        <f>N12+預測IC!O12</f>
        <v>0.29143169324031798</v>
      </c>
      <c r="P12" s="11">
        <f>O12+預測IC!P12</f>
        <v>0.29166202657365131</v>
      </c>
      <c r="Q12" s="11">
        <f>P12+預測IC!Q12</f>
        <v>0.32693249532365132</v>
      </c>
      <c r="R12" s="11">
        <f>Q12+預測IC!R12</f>
        <v>0.33359557865698464</v>
      </c>
      <c r="S12" s="11">
        <f>R12+預測IC!S12</f>
        <v>0.31712334949031795</v>
      </c>
      <c r="T12" s="11">
        <f>S12+預測IC!T12</f>
        <v>0.30938296407365129</v>
      </c>
      <c r="U12" s="11">
        <f>T12+預測IC!U12</f>
        <v>0.30802644098987031</v>
      </c>
      <c r="V12" s="11">
        <f>U12+預測IC!V12</f>
        <v>0.31753739464351854</v>
      </c>
      <c r="W12" s="11">
        <f>V12+預測IC!W12</f>
        <v>0.28911973178535544</v>
      </c>
      <c r="X12" s="11">
        <f>W12+預測IC!X12</f>
        <v>0.31619347136868881</v>
      </c>
      <c r="Y12" s="11">
        <f>X12+預測IC!Y12</f>
        <v>0.33298184862050489</v>
      </c>
      <c r="Z12" s="11">
        <f>Y12+預測IC!Z12</f>
        <v>0.26935816530493095</v>
      </c>
      <c r="AA12" s="11">
        <f>Z12+預測IC!AA12</f>
        <v>0.25784560280493096</v>
      </c>
      <c r="AB12" s="11">
        <f>AA12+預測IC!AB12</f>
        <v>0.2231564922534528</v>
      </c>
      <c r="AC12" s="11">
        <f>AB12+預測IC!AC12</f>
        <v>0.18804172818980638</v>
      </c>
      <c r="AD12" s="11">
        <f>AC12+預測IC!AD12</f>
        <v>0.19743370735647306</v>
      </c>
      <c r="AE12" s="11">
        <f>AD12+預測IC!AE12</f>
        <v>0.23533133088870362</v>
      </c>
      <c r="AF12" s="11">
        <f>AE12+預測IC!AF12</f>
        <v>0.21489917958483867</v>
      </c>
      <c r="AG12" s="11">
        <f>AF12+預測IC!AG12</f>
        <v>0.18491703465211426</v>
      </c>
      <c r="AH12" s="11">
        <f>AG12+預測IC!AH12</f>
        <v>0.17151123000248103</v>
      </c>
      <c r="AI12" s="11">
        <f>AH12+預測IC!AI12</f>
        <v>0.15200517882229508</v>
      </c>
      <c r="AJ12" s="11">
        <f>AI12+預測IC!AJ12</f>
        <v>0.1390214312762405</v>
      </c>
      <c r="AK12" s="11">
        <f>AJ12+預測IC!AK12</f>
        <v>9.0897727124106098E-2</v>
      </c>
      <c r="AL12" s="11">
        <f>AK12+預測IC!AL12</f>
        <v>7.3038724102184011E-2</v>
      </c>
      <c r="AM12" s="11">
        <f>AL12+預測IC!AM12</f>
        <v>4.2952608489586083E-2</v>
      </c>
      <c r="AN12" s="11">
        <f>AM12+預測IC!AN12</f>
        <v>-2.6280625823842441E-2</v>
      </c>
      <c r="AO12" s="11">
        <f>AN12+預測IC!AO12</f>
        <v>-2.850941886351549E-2</v>
      </c>
      <c r="AP12" s="11">
        <f>AO12+預測IC!AP12</f>
        <v>5.2089259183336623E-3</v>
      </c>
      <c r="AQ12" s="11">
        <f>AP12+預測IC!AQ12</f>
        <v>1.2830862306917467E-2</v>
      </c>
      <c r="AR12" s="11">
        <f>AQ12+預測IC!AR12</f>
        <v>-6.9539714304893245E-4</v>
      </c>
      <c r="AS12" s="11">
        <f>AR12+預測IC!AS12</f>
        <v>-1.9795115597749532E-2</v>
      </c>
      <c r="AT12" s="11">
        <f>AS12+預測IC!AT12</f>
        <v>-3.3630020305420713E-2</v>
      </c>
      <c r="AU12" s="11">
        <f>AT12+預測IC!AU12</f>
        <v>-5.4338678986296143E-2</v>
      </c>
      <c r="AV12" s="11">
        <f>AU12+預測IC!AV12</f>
        <v>-1.2978594241271131E-2</v>
      </c>
      <c r="AW12" s="11">
        <f>AV12+預測IC!AW12</f>
        <v>-1.3600071259287206E-2</v>
      </c>
      <c r="AX12" s="11">
        <f>AW12+預測IC!AX12</f>
        <v>-5.7198538512710041E-2</v>
      </c>
      <c r="AY12" s="11">
        <f>AX12+預測IC!AY12</f>
        <v>-8.2153831580383294E-2</v>
      </c>
      <c r="AZ12" s="11">
        <f>AY12+預測IC!AZ12</f>
        <v>-7.9853805508725645E-2</v>
      </c>
      <c r="BA12" s="11">
        <f>AZ12+預測IC!BA12</f>
        <v>-8.5775034253923188E-3</v>
      </c>
      <c r="BB12" s="11">
        <f>BA12+預測IC!BB12</f>
        <v>-2.3852108677851737E-2</v>
      </c>
      <c r="BC12" s="11">
        <f>BB12+預測IC!BC12</f>
        <v>-3.6124897716328229E-2</v>
      </c>
      <c r="BD12" s="11">
        <f>BC12+預測IC!BD12</f>
        <v>-4.9755454657980855E-2</v>
      </c>
      <c r="BE12" s="11">
        <f>BD12+預測IC!BE12</f>
        <v>-6.8364264497366128E-2</v>
      </c>
      <c r="BF12" s="11">
        <f>BE12+預測IC!BF12</f>
        <v>-0.13615661698056625</v>
      </c>
      <c r="BG12" s="11">
        <f>BF12+預測IC!BG12</f>
        <v>-0.18291437086184997</v>
      </c>
      <c r="BH12" s="11">
        <f>BG12+預測IC!BH12</f>
        <v>-0.21799395989176698</v>
      </c>
      <c r="BI12" s="11">
        <f>BH12+預測IC!BI12</f>
        <v>-0.26175002427161159</v>
      </c>
      <c r="BJ12" s="11">
        <f>BI12+預測IC!BJ12</f>
        <v>-0.28641315044673099</v>
      </c>
      <c r="BK12" s="11">
        <f>BJ12+預測IC!BK12</f>
        <v>-0.28707053394176557</v>
      </c>
      <c r="BL12" s="11">
        <f>BK12+預測IC!BL12</f>
        <v>-0.27601041935843224</v>
      </c>
      <c r="BM12" s="11">
        <f>BL12+預測IC!BM12</f>
        <v>-0.27084132740220235</v>
      </c>
      <c r="BN12" s="11">
        <f>BM12+預測IC!BN12</f>
        <v>-0.28235786291429887</v>
      </c>
      <c r="BO12" s="11">
        <f>BN12+預測IC!BO12</f>
        <v>-0.30660417317053579</v>
      </c>
      <c r="BP12" s="11">
        <f>BO12+預測IC!BP12</f>
        <v>-0.29609518786524169</v>
      </c>
      <c r="BQ12" s="11">
        <f>BP12+預測IC!BQ12</f>
        <v>-0.3099919374839884</v>
      </c>
      <c r="BR12" s="11">
        <f>BQ12+預測IC!BR12</f>
        <v>-0.30773092903058957</v>
      </c>
      <c r="BS12" s="11">
        <f>BR12+預測IC!BS12</f>
        <v>-0.27508807414219688</v>
      </c>
      <c r="BT12" s="11">
        <f>BS12+預測IC!BT12</f>
        <v>-0.29637625122553024</v>
      </c>
      <c r="BU12" s="11">
        <f>BT12+預測IC!BU12</f>
        <v>-0.34445944914219689</v>
      </c>
      <c r="BV12" s="11">
        <f>BU12+預測IC!BV12</f>
        <v>-0.31240613664219691</v>
      </c>
      <c r="BW12" s="11">
        <f>BV12+預測IC!BW12</f>
        <v>-0.25691858455886363</v>
      </c>
      <c r="BX12" s="11">
        <f>BW12+預測IC!BX12</f>
        <v>-0.26839574656281373</v>
      </c>
      <c r="BY12" s="11">
        <f>BX12+預測IC!BY12</f>
        <v>-0.314212704896147</v>
      </c>
      <c r="BZ12" s="11">
        <f>BY12+預測IC!BZ12</f>
        <v>-0.31043531947948033</v>
      </c>
      <c r="CA12" s="11">
        <f>BZ12+預測IC!CA12</f>
        <v>-0.29585473614614699</v>
      </c>
      <c r="CB12" s="11">
        <f>CA12+預測IC!CB12</f>
        <v>-0.32302859893917868</v>
      </c>
      <c r="CC12" s="11">
        <f>CB12+預測IC!CC12</f>
        <v>-0.30690741823210144</v>
      </c>
      <c r="CD12" s="11">
        <f>CC12+預測IC!CD12</f>
        <v>-0.35126268158878599</v>
      </c>
      <c r="CE12" s="11">
        <f>CD12+預測IC!CE12</f>
        <v>-0.40207922061780366</v>
      </c>
      <c r="CF12" s="11">
        <f>CE12+預測IC!CF12</f>
        <v>-0.39800117895113696</v>
      </c>
      <c r="CG12" s="11">
        <f>CF12+預測IC!CG12</f>
        <v>-0.44727913891421756</v>
      </c>
      <c r="CH12" s="11">
        <f>CG12+預測IC!CH12</f>
        <v>-0.46374225129300339</v>
      </c>
      <c r="CI12" s="11">
        <f>CH12+預測IC!CI12</f>
        <v>-0.4993402821941092</v>
      </c>
      <c r="CJ12" s="11">
        <f>CI12+預測IC!CJ12</f>
        <v>-0.44522021527991418</v>
      </c>
      <c r="CK12" s="11">
        <f>CJ12+預測IC!CK12</f>
        <v>-0.38911877463212402</v>
      </c>
      <c r="CL12" s="11">
        <f>CK12+預測IC!CL12</f>
        <v>-0.31067849434610312</v>
      </c>
      <c r="CM12" s="11">
        <f>CL12+預測IC!CM12</f>
        <v>-0.29545876817876232</v>
      </c>
      <c r="CN12" s="11">
        <f>CM12+預測IC!CN12</f>
        <v>-0.26837506696420294</v>
      </c>
      <c r="CO12" s="11">
        <f>CN12+預測IC!CO12</f>
        <v>-0.24110894008409714</v>
      </c>
      <c r="CP12" s="11">
        <f>CO12+預測IC!CP12</f>
        <v>-0.28640796155159087</v>
      </c>
      <c r="CQ12" s="11">
        <f>CP12+預測IC!CQ12</f>
        <v>-0.32298015646152439</v>
      </c>
      <c r="CR12" s="11">
        <f>CQ12+預測IC!CR12</f>
        <v>-0.32509803489217681</v>
      </c>
      <c r="CS12" s="11">
        <f>CR12+預測IC!CS12</f>
        <v>-0.30989638720513124</v>
      </c>
      <c r="CT12" s="11">
        <f>CS12+預測IC!CT12</f>
        <v>-0.30907235118160031</v>
      </c>
      <c r="CU12" s="11">
        <f>CT12+預測IC!CU12</f>
        <v>-0.3446960668437955</v>
      </c>
      <c r="CV12" s="11">
        <f>CU12+預測IC!CV12</f>
        <v>-0.3528086932193325</v>
      </c>
      <c r="CW12" s="11">
        <f>CV12+預測IC!CW12</f>
        <v>-0.35835661796386475</v>
      </c>
      <c r="CX12" s="11">
        <f>CW12+預測IC!CX12</f>
        <v>-0.41934650050085653</v>
      </c>
      <c r="CY12" s="11">
        <f>CX12+預測IC!CY12</f>
        <v>-0.41336355828936594</v>
      </c>
      <c r="CZ12" s="11">
        <f>CY12+預測IC!CZ12</f>
        <v>-0.49115588562886653</v>
      </c>
      <c r="DA12" s="11">
        <f>CZ12+預測IC!DA12</f>
        <v>-0.49675966969922708</v>
      </c>
      <c r="DB12" s="11">
        <f>DA12+預測IC!DB12</f>
        <v>-0.47377779374510004</v>
      </c>
      <c r="DC12" s="11">
        <f>DB12+預測IC!DC12</f>
        <v>-0.50775099661987477</v>
      </c>
      <c r="DD12" s="11">
        <f>DC12+預測IC!DD12</f>
        <v>-0.53263997467711521</v>
      </c>
      <c r="DE12" s="11">
        <f>DD12+預測IC!DE12</f>
        <v>-0.53383808305833635</v>
      </c>
      <c r="DF12" s="11">
        <f>DE12+預測IC!DF12</f>
        <v>-0.52700355732229598</v>
      </c>
      <c r="DG12" s="11">
        <f>DF12+預測IC!DG12</f>
        <v>-0.52605584838297903</v>
      </c>
      <c r="DH12" s="11">
        <f>DG12+預測IC!DH12</f>
        <v>-0.52223316641154649</v>
      </c>
      <c r="DI12" s="11">
        <f>DH12+預測IC!DI12</f>
        <v>-0.46778999341941407</v>
      </c>
      <c r="DJ12" s="11">
        <f>DI12+預測IC!DJ12</f>
        <v>-0.47585259167418453</v>
      </c>
      <c r="DK12" s="11">
        <f>DJ12+預測IC!DK12</f>
        <v>-0.45990663854716818</v>
      </c>
      <c r="DL12" s="11">
        <f>DK12+預測IC!DL12</f>
        <v>-0.4595519625245244</v>
      </c>
      <c r="DM12" s="11">
        <f>DL12+預測IC!DM12</f>
        <v>-0.45471161327944448</v>
      </c>
      <c r="DN12" s="11">
        <f>DM12+預測IC!DN12</f>
        <v>-0.49712197866550933</v>
      </c>
      <c r="DO12" s="11">
        <f>DN12+預測IC!DO12</f>
        <v>-0.51972171234583797</v>
      </c>
      <c r="DP12" s="11">
        <f>DO12+預測IC!DP12</f>
        <v>-0.55230616194613513</v>
      </c>
      <c r="DQ12" s="11">
        <f>DP12+預測IC!DQ12</f>
        <v>-0.4777655144656624</v>
      </c>
      <c r="DR12" s="11">
        <f>DQ12+預測IC!DR12</f>
        <v>-0.48861756089336672</v>
      </c>
      <c r="DS12" s="11">
        <f>DR12+預測IC!DS12</f>
        <v>-0.45289140544166889</v>
      </c>
      <c r="DT12" s="11">
        <f>DS12+預測IC!DT12</f>
        <v>-0.40759352204726834</v>
      </c>
      <c r="DU12" s="11">
        <f>DT12+預測IC!DU12</f>
        <v>-0.42134617013365078</v>
      </c>
      <c r="DV12" s="11">
        <f>DU12+預測IC!DV12</f>
        <v>-0.46989699461118145</v>
      </c>
      <c r="DW12" s="11">
        <f>DV12+預測IC!DW12</f>
        <v>-0.51362255883121888</v>
      </c>
      <c r="DX12" s="11">
        <f>DW12+預測IC!DX12</f>
        <v>-0.46347047828885735</v>
      </c>
      <c r="DY12" s="11">
        <f>DX12+預測IC!DY12</f>
        <v>-0.47882774840735226</v>
      </c>
      <c r="DZ12" s="11">
        <f>DY12+預測IC!DZ12</f>
        <v>-0.47469202292717488</v>
      </c>
      <c r="EA12" s="11">
        <f>DZ12+預測IC!EA12</f>
        <v>-0.36156498117803787</v>
      </c>
      <c r="EB12" s="11">
        <f>EA12+預測IC!EB12</f>
        <v>-0.33103920436019624</v>
      </c>
      <c r="EC12" s="11">
        <f>EB12+預測IC!EC12</f>
        <v>-0.34592312248971546</v>
      </c>
      <c r="ED12" s="11">
        <f>EC12+預測IC!ED12</f>
        <v>-0.36936769773265665</v>
      </c>
      <c r="EE12" s="11">
        <f>ED12+預測IC!EE12</f>
        <v>-0.34115141746485328</v>
      </c>
      <c r="EF12" s="11">
        <f>EE12+預測IC!EF12</f>
        <v>-0.38038476550364897</v>
      </c>
    </row>
    <row r="13" spans="1:136">
      <c r="A13" s="2">
        <v>20</v>
      </c>
      <c r="B13" s="2">
        <v>48</v>
      </c>
      <c r="C13" s="11">
        <v>0.10411314583333341</v>
      </c>
      <c r="D13" s="11">
        <f>C13+預測IC!D13</f>
        <v>0.22785825000000001</v>
      </c>
      <c r="E13" s="11">
        <f>D13+預測IC!E13</f>
        <v>0.2977195416666667</v>
      </c>
      <c r="F13" s="11">
        <f>E13+預測IC!F13</f>
        <v>0.28626472916666668</v>
      </c>
      <c r="G13" s="11">
        <f>F13+預測IC!G13</f>
        <v>0.30200958333333333</v>
      </c>
      <c r="H13" s="11">
        <f>G13+預測IC!H13</f>
        <v>0.33199993750000001</v>
      </c>
      <c r="I13" s="11">
        <f>H13+預測IC!I13</f>
        <v>0.36113047916666668</v>
      </c>
      <c r="J13" s="11">
        <f>I13+預測IC!J13</f>
        <v>0.31723166666666669</v>
      </c>
      <c r="K13" s="11">
        <f>J13+預測IC!K13</f>
        <v>0.3158641875</v>
      </c>
      <c r="L13" s="11">
        <f>K13+預測IC!L13</f>
        <v>0.30983908333333332</v>
      </c>
      <c r="M13" s="11">
        <f>L13+預測IC!M13</f>
        <v>0.31311884155933806</v>
      </c>
      <c r="N13" s="11">
        <f>M13+預測IC!N13</f>
        <v>0.26972642409364128</v>
      </c>
      <c r="O13" s="11">
        <f>N13+預測IC!O13</f>
        <v>0.28714912290459121</v>
      </c>
      <c r="P13" s="11">
        <f>O13+預測IC!P13</f>
        <v>0.30394126873792454</v>
      </c>
      <c r="Q13" s="11">
        <f>P13+預測IC!Q13</f>
        <v>0.37716628957125786</v>
      </c>
      <c r="R13" s="11">
        <f>Q13+預測IC!R13</f>
        <v>0.39132612290459118</v>
      </c>
      <c r="S13" s="11">
        <f>R13+預測IC!S13</f>
        <v>0.37908281040459119</v>
      </c>
      <c r="T13" s="11">
        <f>S13+預測IC!T13</f>
        <v>0.35697833123792455</v>
      </c>
      <c r="U13" s="11">
        <f>T13+預測IC!U13</f>
        <v>0.38573966182847885</v>
      </c>
      <c r="V13" s="11">
        <f>U13+預測IC!V13</f>
        <v>0.38795630173153278</v>
      </c>
      <c r="W13" s="11">
        <f>V13+預測IC!W13</f>
        <v>0.35698739766004989</v>
      </c>
      <c r="X13" s="11">
        <f>W13+預測IC!X13</f>
        <v>0.41026385599338322</v>
      </c>
      <c r="Y13" s="11">
        <f>X13+預測IC!Y13</f>
        <v>0.43673573921072573</v>
      </c>
      <c r="Z13" s="11">
        <f>Y13+預測IC!Z13</f>
        <v>0.35831130440554215</v>
      </c>
      <c r="AA13" s="11">
        <f>Z13+預測IC!AA13</f>
        <v>0.34187126273887553</v>
      </c>
      <c r="AB13" s="11">
        <f>AA13+預測IC!AB13</f>
        <v>0.29519304261749824</v>
      </c>
      <c r="AC13" s="11">
        <f>AB13+預測IC!AC13</f>
        <v>0.2733214864561207</v>
      </c>
      <c r="AD13" s="11">
        <f>AC13+預測IC!AD13</f>
        <v>0.29486456978945402</v>
      </c>
      <c r="AE13" s="11">
        <f>AD13+預測IC!AE13</f>
        <v>0.3373817812452452</v>
      </c>
      <c r="AF13" s="11">
        <f>AE13+預測IC!AF13</f>
        <v>0.30544131741094399</v>
      </c>
      <c r="AG13" s="11">
        <f>AF13+預測IC!AG13</f>
        <v>0.27375953435594108</v>
      </c>
      <c r="AH13" s="11">
        <f>AG13+預測IC!AH13</f>
        <v>0.2641181951164247</v>
      </c>
      <c r="AI13" s="11">
        <f>AH13+預測IC!AI13</f>
        <v>0.25205064504235192</v>
      </c>
      <c r="AJ13" s="11">
        <f>AI13+預測IC!AJ13</f>
        <v>0.26833111503062762</v>
      </c>
      <c r="AK13" s="11">
        <f>AJ13+預測IC!AK13</f>
        <v>0.20234320221997162</v>
      </c>
      <c r="AL13" s="11">
        <f>AK13+預測IC!AL13</f>
        <v>0.1791917736248006</v>
      </c>
      <c r="AM13" s="11">
        <f>AL13+預測IC!AM13</f>
        <v>0.13290933008797168</v>
      </c>
      <c r="AN13" s="11">
        <f>AM13+預測IC!AN13</f>
        <v>2.7579091951937584E-2</v>
      </c>
      <c r="AO13" s="11">
        <f>AN13+預測IC!AO13</f>
        <v>1.8267904052522644E-2</v>
      </c>
      <c r="AP13" s="11">
        <f>AO13+預測IC!AP13</f>
        <v>7.7818744414520358E-2</v>
      </c>
      <c r="AQ13" s="11">
        <f>AP13+預測IC!AQ13</f>
        <v>8.3868033183420038E-2</v>
      </c>
      <c r="AR13" s="11">
        <f>AQ13+預測IC!AR13</f>
        <v>7.3178847647484377E-2</v>
      </c>
      <c r="AS13" s="11">
        <f>AR13+預測IC!AS13</f>
        <v>3.1865729163250284E-2</v>
      </c>
      <c r="AT13" s="11">
        <f>AS13+預測IC!AT13</f>
        <v>-8.5973586911894592E-3</v>
      </c>
      <c r="AU13" s="11">
        <f>AT13+預測IC!AU13</f>
        <v>-4.9573485167168321E-2</v>
      </c>
      <c r="AV13" s="11">
        <f>AU13+預測IC!AV13</f>
        <v>-4.0098012527615239E-2</v>
      </c>
      <c r="AW13" s="11">
        <f>AV13+預測IC!AW13</f>
        <v>-4.4178026110678642E-2</v>
      </c>
      <c r="AX13" s="11">
        <f>AW13+預測IC!AX13</f>
        <v>-0.11133181389378898</v>
      </c>
      <c r="AY13" s="11">
        <f>AX13+預測IC!AY13</f>
        <v>-0.12889616024241393</v>
      </c>
      <c r="AZ13" s="11">
        <f>AY13+預測IC!AZ13</f>
        <v>-0.12079269277291454</v>
      </c>
      <c r="BA13" s="11">
        <f>AZ13+預測IC!BA13</f>
        <v>-4.0963421939581218E-2</v>
      </c>
      <c r="BB13" s="11">
        <f>BA13+預測IC!BB13</f>
        <v>-8.383879643639211E-2</v>
      </c>
      <c r="BC13" s="11">
        <f>BB13+預測IC!BC13</f>
        <v>-9.5122563548049766E-2</v>
      </c>
      <c r="BD13" s="11">
        <f>BC13+預測IC!BD13</f>
        <v>-9.8466991931731099E-2</v>
      </c>
      <c r="BE13" s="11">
        <f>BD13+預測IC!BE13</f>
        <v>-0.12585879823737267</v>
      </c>
      <c r="BF13" s="11">
        <f>BE13+預測IC!BF13</f>
        <v>-0.20978821354486943</v>
      </c>
      <c r="BG13" s="11">
        <f>BF13+預測IC!BG13</f>
        <v>-0.29818575940119024</v>
      </c>
      <c r="BH13" s="11">
        <f>BG13+預測IC!BH13</f>
        <v>-0.33920941559338225</v>
      </c>
      <c r="BI13" s="11">
        <f>BH13+預測IC!BI13</f>
        <v>-0.36081097469631518</v>
      </c>
      <c r="BJ13" s="11">
        <f>BI13+預測IC!BJ13</f>
        <v>-0.38507706230942407</v>
      </c>
      <c r="BK13" s="11">
        <f>BJ13+預測IC!BK13</f>
        <v>-0.39395545822551542</v>
      </c>
      <c r="BL13" s="11">
        <f>BK13+預測IC!BL13</f>
        <v>-0.3803364998921821</v>
      </c>
      <c r="BM13" s="11">
        <f>BL13+預測IC!BM13</f>
        <v>-0.39725511551106374</v>
      </c>
      <c r="BN13" s="11">
        <f>BM13+預測IC!BN13</f>
        <v>-0.40830765738634001</v>
      </c>
      <c r="BO13" s="11">
        <f>BN13+預測IC!BO13</f>
        <v>-0.43918637361981411</v>
      </c>
      <c r="BP13" s="11">
        <f>BO13+預測IC!BP13</f>
        <v>-0.4486190693144656</v>
      </c>
      <c r="BQ13" s="11">
        <f>BP13+預測IC!BQ13</f>
        <v>-0.49027213310389139</v>
      </c>
      <c r="BR13" s="11">
        <f>BQ13+預測IC!BR13</f>
        <v>-0.48359071562033396</v>
      </c>
      <c r="BS13" s="11">
        <f>BR13+預測IC!BS13</f>
        <v>-0.44341020125891706</v>
      </c>
      <c r="BT13" s="11">
        <f>BS13+預測IC!BT13</f>
        <v>-0.47707809709225041</v>
      </c>
      <c r="BU13" s="11">
        <f>BT13+預測IC!BU13</f>
        <v>-0.55173626375891704</v>
      </c>
      <c r="BV13" s="11">
        <f>BU13+預測IC!BV13</f>
        <v>-0.52029603459225038</v>
      </c>
      <c r="BW13" s="11">
        <f>BV13+預測IC!BW13</f>
        <v>-0.43406570125891702</v>
      </c>
      <c r="BX13" s="11">
        <f>BW13+預測IC!BX13</f>
        <v>-0.4551437687829436</v>
      </c>
      <c r="BY13" s="11">
        <f>BX13+預測IC!BY13</f>
        <v>-0.48597235211627693</v>
      </c>
      <c r="BZ13" s="11">
        <f>BY13+預測IC!BZ13</f>
        <v>-0.4997310604496103</v>
      </c>
      <c r="CA13" s="11">
        <f>BZ13+預測IC!CA13</f>
        <v>-0.47571887294961029</v>
      </c>
      <c r="CB13" s="11">
        <f>CA13+預測IC!CB13</f>
        <v>-0.50173625247230524</v>
      </c>
      <c r="CC13" s="11">
        <f>CB13+預測IC!CC13</f>
        <v>-0.50996106184423562</v>
      </c>
      <c r="CD13" s="11">
        <f>CC13+預測IC!CD13</f>
        <v>-0.53116520572484216</v>
      </c>
      <c r="CE13" s="11">
        <f>CD13+預測IC!CE13</f>
        <v>-0.61060307551204474</v>
      </c>
      <c r="CF13" s="11">
        <f>CE13+預測IC!CF13</f>
        <v>-0.59237392967871139</v>
      </c>
      <c r="CG13" s="11">
        <f>CF13+預測IC!CG13</f>
        <v>-0.65038889748595075</v>
      </c>
      <c r="CH13" s="11">
        <f>CG13+預測IC!CH13</f>
        <v>-0.65441840354416103</v>
      </c>
      <c r="CI13" s="11">
        <f>CH13+預測IC!CI13</f>
        <v>-0.66895170677744087</v>
      </c>
      <c r="CJ13" s="11">
        <f>CI13+預測IC!CJ13</f>
        <v>-0.61414152609860084</v>
      </c>
      <c r="CK13" s="11">
        <f>CJ13+預測IC!CK13</f>
        <v>-0.54845439983180344</v>
      </c>
      <c r="CL13" s="11">
        <f>CK13+預測IC!CL13</f>
        <v>-0.47573022467858489</v>
      </c>
      <c r="CM13" s="11">
        <f>CL13+預測IC!CM13</f>
        <v>-0.46543342092218992</v>
      </c>
      <c r="CN13" s="11">
        <f>CM13+預測IC!CN13</f>
        <v>-0.43854585492333759</v>
      </c>
      <c r="CO13" s="11">
        <f>CN13+預測IC!CO13</f>
        <v>-0.4250883963601102</v>
      </c>
      <c r="CP13" s="11">
        <f>CO13+預測IC!CP13</f>
        <v>-0.49481493663784454</v>
      </c>
      <c r="CQ13" s="11">
        <f>CP13+預測IC!CQ13</f>
        <v>-0.53299988683400423</v>
      </c>
      <c r="CR13" s="11">
        <f>CQ13+預測IC!CR13</f>
        <v>-0.54127966783165271</v>
      </c>
      <c r="CS13" s="11">
        <f>CR13+預測IC!CS13</f>
        <v>-0.55211271894692737</v>
      </c>
      <c r="CT13" s="11">
        <f>CS13+預測IC!CT13</f>
        <v>-0.56018351826330604</v>
      </c>
      <c r="CU13" s="11">
        <f>CT13+預測IC!CU13</f>
        <v>-0.59734492054561728</v>
      </c>
      <c r="CV13" s="11">
        <f>CU13+預測IC!CV13</f>
        <v>-0.59439160837235938</v>
      </c>
      <c r="CW13" s="11">
        <f>CV13+預測IC!CW13</f>
        <v>-0.60036863922860551</v>
      </c>
      <c r="CX13" s="11">
        <f>CW13+預測IC!CX13</f>
        <v>-0.66040189446865849</v>
      </c>
      <c r="CY13" s="11">
        <f>CX13+預測IC!CY13</f>
        <v>-0.64728315435364581</v>
      </c>
      <c r="CZ13" s="11">
        <f>CY13+預測IC!CZ13</f>
        <v>-0.70450737470713087</v>
      </c>
      <c r="DA13" s="11">
        <f>CZ13+預測IC!DA13</f>
        <v>-0.69892369778130947</v>
      </c>
      <c r="DB13" s="11">
        <f>DA13+預測IC!DB13</f>
        <v>-0.6571621280645249</v>
      </c>
      <c r="DC13" s="11">
        <f>DB13+預測IC!DC13</f>
        <v>-0.68693769394281778</v>
      </c>
      <c r="DD13" s="11">
        <f>DC13+預測IC!DD13</f>
        <v>-0.69763529454355355</v>
      </c>
      <c r="DE13" s="11">
        <f>DD13+預測IC!DE13</f>
        <v>-0.70356425166962855</v>
      </c>
      <c r="DF13" s="11">
        <f>DE13+預測IC!DF13</f>
        <v>-0.67504545487599377</v>
      </c>
      <c r="DG13" s="11">
        <f>DF13+預測IC!DG13</f>
        <v>-0.67341479770310386</v>
      </c>
      <c r="DH13" s="11">
        <f>DG13+預測IC!DH13</f>
        <v>-0.68471056558501897</v>
      </c>
      <c r="DI13" s="11">
        <f>DH13+預測IC!DI13</f>
        <v>-0.63873354049034214</v>
      </c>
      <c r="DJ13" s="11">
        <f>DI13+預測IC!DJ13</f>
        <v>-0.63540178431083139</v>
      </c>
      <c r="DK13" s="11">
        <f>DJ13+預測IC!DK13</f>
        <v>-0.64781085852945908</v>
      </c>
      <c r="DL13" s="11">
        <f>DK13+預測IC!DL13</f>
        <v>-0.63151061203814451</v>
      </c>
      <c r="DM13" s="11">
        <f>DL13+預測IC!DM13</f>
        <v>-0.62485174298970059</v>
      </c>
      <c r="DN13" s="11">
        <f>DM13+預測IC!DN13</f>
        <v>-0.63635132091221369</v>
      </c>
      <c r="DO13" s="11">
        <f>DN13+預測IC!DO13</f>
        <v>-0.68324273330034546</v>
      </c>
      <c r="DP13" s="11">
        <f>DO13+預測IC!DP13</f>
        <v>-0.73202936915661487</v>
      </c>
      <c r="DQ13" s="11">
        <f>DP13+預測IC!DQ13</f>
        <v>-0.64490035776404442</v>
      </c>
      <c r="DR13" s="11">
        <f>DQ13+預測IC!DR13</f>
        <v>-0.65936731923490421</v>
      </c>
      <c r="DS13" s="11">
        <f>DR13+預測IC!DS13</f>
        <v>-0.6204796913952344</v>
      </c>
      <c r="DT13" s="11">
        <f>DS13+預測IC!DT13</f>
        <v>-0.58505339034756965</v>
      </c>
      <c r="DU13" s="11">
        <f>DT13+預測IC!DU13</f>
        <v>-0.60375855398471445</v>
      </c>
      <c r="DV13" s="11">
        <f>DU13+預測IC!DV13</f>
        <v>-0.68337869800890305</v>
      </c>
      <c r="DW13" s="11">
        <f>DV13+預測IC!DW13</f>
        <v>-0.72779648763325333</v>
      </c>
      <c r="DX13" s="11">
        <f>DW13+預測IC!DX13</f>
        <v>-0.66327310805475714</v>
      </c>
      <c r="DY13" s="11">
        <f>DX13+預測IC!DY13</f>
        <v>-0.69865915270859047</v>
      </c>
      <c r="DZ13" s="11">
        <f>DY13+預測IC!DZ13</f>
        <v>-0.68405033822137218</v>
      </c>
      <c r="EA13" s="11">
        <f>DZ13+預測IC!EA13</f>
        <v>-0.55958138007230129</v>
      </c>
      <c r="EB13" s="11">
        <f>EA13+預測IC!EB13</f>
        <v>-0.50237608732391226</v>
      </c>
      <c r="EC13" s="11">
        <f>EB13+預測IC!EC13</f>
        <v>-0.52436093985543664</v>
      </c>
      <c r="ED13" s="11">
        <f>EC13+預測IC!ED13</f>
        <v>-0.57833895948469194</v>
      </c>
      <c r="EE13" s="11">
        <f>ED13+預測IC!EE13</f>
        <v>-0.54247147958387187</v>
      </c>
      <c r="EF13" s="11">
        <f>EE13+預測IC!EF13</f>
        <v>-0.60904869494742808</v>
      </c>
    </row>
    <row r="14" spans="1:136">
      <c r="A14" s="2">
        <v>50</v>
      </c>
      <c r="B14" s="2">
        <v>19</v>
      </c>
      <c r="C14" s="11">
        <v>0.1199416315789474</v>
      </c>
      <c r="D14" s="11">
        <f>C14+預測IC!D14</f>
        <v>0.34225042105263159</v>
      </c>
      <c r="E14" s="11">
        <f>D14+預測IC!E14</f>
        <v>0.44101857894736846</v>
      </c>
      <c r="F14" s="11">
        <f>E14+預測IC!F14</f>
        <v>0.47556178947368422</v>
      </c>
      <c r="G14" s="11">
        <f>F14+預測IC!G14</f>
        <v>0.56071099999999996</v>
      </c>
      <c r="H14" s="11">
        <f>G14+預測IC!H14</f>
        <v>0.62029994736842098</v>
      </c>
      <c r="I14" s="11">
        <f>H14+預測IC!I14</f>
        <v>0.69741494736842102</v>
      </c>
      <c r="J14" s="11">
        <f>I14+預測IC!J14</f>
        <v>0.59232136842105265</v>
      </c>
      <c r="K14" s="11">
        <f>J14+預測IC!K14</f>
        <v>0.60477284210526316</v>
      </c>
      <c r="L14" s="11">
        <f>K14+預測IC!L14</f>
        <v>0.59629263157894741</v>
      </c>
      <c r="M14" s="11">
        <f>L14+預測IC!M14</f>
        <v>0.57727091711396339</v>
      </c>
      <c r="N14" s="11">
        <f>M14+預測IC!N14</f>
        <v>0.51990149045694134</v>
      </c>
      <c r="O14" s="11">
        <f>N14+預測IC!O14</f>
        <v>0.52139589839548983</v>
      </c>
      <c r="P14" s="11">
        <f>O14+預測IC!P14</f>
        <v>0.56917584576391089</v>
      </c>
      <c r="Q14" s="11">
        <f>P14+預測IC!Q14</f>
        <v>0.62741489839548981</v>
      </c>
      <c r="R14" s="11">
        <f>Q14+預測IC!R14</f>
        <v>0.61326321418496355</v>
      </c>
      <c r="S14" s="11">
        <f>R14+預測IC!S14</f>
        <v>0.65179847734285823</v>
      </c>
      <c r="T14" s="11">
        <f>S14+預測IC!T14</f>
        <v>0.63443674050075294</v>
      </c>
      <c r="U14" s="11">
        <f>T14+預測IC!U14</f>
        <v>0.66499290983115367</v>
      </c>
      <c r="V14" s="11">
        <f>U14+預測IC!V14</f>
        <v>0.61257160967226854</v>
      </c>
      <c r="W14" s="11">
        <f>V14+預測IC!W14</f>
        <v>0.56477660693874843</v>
      </c>
      <c r="X14" s="11">
        <f>W14+預測IC!X14</f>
        <v>0.61835839641243262</v>
      </c>
      <c r="Y14" s="11">
        <f>X14+預測IC!Y14</f>
        <v>0.62357827100796459</v>
      </c>
      <c r="Z14" s="11">
        <f>Y14+預測IC!Z14</f>
        <v>0.58506634472765695</v>
      </c>
      <c r="AA14" s="11">
        <f>Z14+預測IC!AA14</f>
        <v>0.58244066051713062</v>
      </c>
      <c r="AB14" s="11">
        <f>AA14+預測IC!AB14</f>
        <v>0.5116712831699004</v>
      </c>
      <c r="AC14" s="11">
        <f>AB14+預測IC!AC14</f>
        <v>0.52518855197339376</v>
      </c>
      <c r="AD14" s="11">
        <f>AC14+預測IC!AD14</f>
        <v>0.5645164993418148</v>
      </c>
      <c r="AE14" s="11">
        <f>AD14+預測IC!AE14</f>
        <v>0.67092857158949237</v>
      </c>
      <c r="AF14" s="11">
        <f>AE14+預測IC!AF14</f>
        <v>0.63050786904709322</v>
      </c>
      <c r="AG14" s="11">
        <f>AF14+預測IC!AG14</f>
        <v>0.60998697440053073</v>
      </c>
      <c r="AH14" s="11">
        <f>AG14+預測IC!AH14</f>
        <v>0.6047366964700247</v>
      </c>
      <c r="AI14" s="11">
        <f>AH14+預測IC!AI14</f>
        <v>0.53266374554290385</v>
      </c>
      <c r="AJ14" s="11">
        <f>AI14+預測IC!AJ14</f>
        <v>0.5176047094597529</v>
      </c>
      <c r="AK14" s="11">
        <f>AJ14+預測IC!AK14</f>
        <v>0.44069327860145091</v>
      </c>
      <c r="AL14" s="11">
        <f>AK14+預測IC!AL14</f>
        <v>0.40272408887899019</v>
      </c>
      <c r="AM14" s="11">
        <f>AL14+預測IC!AM14</f>
        <v>0.34148192250036496</v>
      </c>
      <c r="AN14" s="11">
        <f>AM14+預測IC!AN14</f>
        <v>0.24288725573082126</v>
      </c>
      <c r="AO14" s="11">
        <f>AN14+預測IC!AO14</f>
        <v>0.1819815502654113</v>
      </c>
      <c r="AP14" s="11">
        <f>AO14+預測IC!AP14</f>
        <v>0.25195807541749549</v>
      </c>
      <c r="AQ14" s="11">
        <f>AP14+預測IC!AQ14</f>
        <v>0.25232604315525542</v>
      </c>
      <c r="AR14" s="11">
        <f>AQ14+預測IC!AR14</f>
        <v>0.21468020339299249</v>
      </c>
      <c r="AS14" s="11">
        <f>AR14+預測IC!AS14</f>
        <v>0.12930321743994572</v>
      </c>
      <c r="AT14" s="11">
        <f>AS14+預測IC!AT14</f>
        <v>9.4796637754801238E-2</v>
      </c>
      <c r="AU14" s="11">
        <f>AT14+預測IC!AU14</f>
        <v>5.4804988751497398E-2</v>
      </c>
      <c r="AV14" s="11">
        <f>AU14+預測IC!AV14</f>
        <v>7.3487874185114571E-2</v>
      </c>
      <c r="AW14" s="11">
        <f>AV14+預測IC!AW14</f>
        <v>9.1850805691072068E-2</v>
      </c>
      <c r="AX14" s="11">
        <f>AW14+預測IC!AX14</f>
        <v>-4.5100222603320639E-2</v>
      </c>
      <c r="AY14" s="11">
        <f>AX14+預測IC!AY14</f>
        <v>-6.0168341375082188E-2</v>
      </c>
      <c r="AZ14" s="11">
        <f>AY14+預測IC!AZ14</f>
        <v>-6.819772202926129E-3</v>
      </c>
      <c r="BA14" s="11">
        <f>AZ14+預測IC!BA14</f>
        <v>8.951764884970545E-2</v>
      </c>
      <c r="BB14" s="11">
        <f>BA14+預測IC!BB14</f>
        <v>2.7783366848030608E-2</v>
      </c>
      <c r="BC14" s="11">
        <f>BB14+預測IC!BC14</f>
        <v>3.7604365803308025E-2</v>
      </c>
      <c r="BD14" s="11">
        <f>BC14+預測IC!BD14</f>
        <v>-5.7234158640973934E-3</v>
      </c>
      <c r="BE14" s="11">
        <f>BD14+預測IC!BE14</f>
        <v>-4.9510478399584411E-2</v>
      </c>
      <c r="BF14" s="11">
        <f>BE14+預測IC!BF14</f>
        <v>-9.0280999945274193E-2</v>
      </c>
      <c r="BG14" s="11">
        <f>BF14+預測IC!BG14</f>
        <v>-0.21558630638486398</v>
      </c>
      <c r="BH14" s="11">
        <f>BG14+預測IC!BH14</f>
        <v>-0.28899977056358905</v>
      </c>
      <c r="BI14" s="11">
        <f>BH14+預測IC!BI14</f>
        <v>-0.24796870263035717</v>
      </c>
      <c r="BJ14" s="11">
        <f>BI14+預測IC!BJ14</f>
        <v>-0.31657289823265988</v>
      </c>
      <c r="BK14" s="11">
        <f>BJ14+預測IC!BK14</f>
        <v>-0.35026431810342845</v>
      </c>
      <c r="BL14" s="11">
        <f>BK14+預測IC!BL14</f>
        <v>-0.33969273915606002</v>
      </c>
      <c r="BM14" s="11">
        <f>BL14+預測IC!BM14</f>
        <v>-0.37894995436248713</v>
      </c>
      <c r="BN14" s="11">
        <f>BM14+預測IC!BN14</f>
        <v>-0.39988649243503849</v>
      </c>
      <c r="BO14" s="11">
        <f>BN14+預測IC!BO14</f>
        <v>-0.43349553811230296</v>
      </c>
      <c r="BP14" s="11">
        <f>BO14+預測IC!BP14</f>
        <v>-0.4491692716052621</v>
      </c>
      <c r="BQ14" s="11">
        <f>BP14+預測IC!BQ14</f>
        <v>-0.4650127954752129</v>
      </c>
      <c r="BR14" s="11">
        <f>BQ14+預測IC!BR14</f>
        <v>-0.437083365942595</v>
      </c>
      <c r="BS14" s="11">
        <f>BR14+預測IC!BS14</f>
        <v>-0.40675064195582439</v>
      </c>
      <c r="BT14" s="11">
        <f>BS14+預測IC!BT14</f>
        <v>-0.39146232616635068</v>
      </c>
      <c r="BU14" s="11">
        <f>BT14+預測IC!BU14</f>
        <v>-0.50262243142950858</v>
      </c>
      <c r="BV14" s="11">
        <f>BU14+預測IC!BV14</f>
        <v>-0.46134022090319277</v>
      </c>
      <c r="BW14" s="11">
        <f>BV14+預測IC!BW14</f>
        <v>-0.34293201037687698</v>
      </c>
      <c r="BX14" s="11">
        <f>BW14+預測IC!BX14</f>
        <v>-0.39790277049883005</v>
      </c>
      <c r="BY14" s="11">
        <f>BX14+預測IC!BY14</f>
        <v>-0.47830377049883011</v>
      </c>
      <c r="BZ14" s="11">
        <f>BY14+預測IC!BZ14</f>
        <v>-0.42731798102514595</v>
      </c>
      <c r="CA14" s="11">
        <f>BZ14+預測IC!CA14</f>
        <v>-0.39386334944619861</v>
      </c>
      <c r="CB14" s="11">
        <f>CA14+預測IC!CB14</f>
        <v>-0.45334040973973844</v>
      </c>
      <c r="CC14" s="11">
        <f>CB14+預測IC!CC14</f>
        <v>-0.48231609122610714</v>
      </c>
      <c r="CD14" s="11">
        <f>CC14+預測IC!CD14</f>
        <v>-0.4493897038733235</v>
      </c>
      <c r="CE14" s="11">
        <f>CD14+預測IC!CE14</f>
        <v>-0.56374281250041824</v>
      </c>
      <c r="CF14" s="11">
        <f>CE14+預測IC!CF14</f>
        <v>-0.58405312828989198</v>
      </c>
      <c r="CG14" s="11">
        <f>CF14+預測IC!CG14</f>
        <v>-0.6413737919577126</v>
      </c>
      <c r="CH14" s="11">
        <f>CG14+預測IC!CH14</f>
        <v>-0.69025346241377838</v>
      </c>
      <c r="CI14" s="11">
        <f>CH14+預測IC!CI14</f>
        <v>-0.7049550744252211</v>
      </c>
      <c r="CJ14" s="11">
        <f>CI14+預測IC!CJ14</f>
        <v>-0.68715895807607974</v>
      </c>
      <c r="CK14" s="11">
        <f>CJ14+預測IC!CK14</f>
        <v>-0.63336687156208682</v>
      </c>
      <c r="CL14" s="11">
        <f>CK14+預測IC!CL14</f>
        <v>-0.49602330110861231</v>
      </c>
      <c r="CM14" s="11">
        <f>CL14+預測IC!CM14</f>
        <v>-0.52806331147692942</v>
      </c>
      <c r="CN14" s="11">
        <f>CM14+預測IC!CN14</f>
        <v>-0.50503662280600337</v>
      </c>
      <c r="CO14" s="11">
        <f>CN14+預測IC!CO14</f>
        <v>-0.4314489027671104</v>
      </c>
      <c r="CP14" s="11">
        <f>CO14+預測IC!CP14</f>
        <v>-0.5312582342488632</v>
      </c>
      <c r="CQ14" s="11">
        <f>CP14+預測IC!CQ14</f>
        <v>-0.58446986234053777</v>
      </c>
      <c r="CR14" s="11">
        <f>CQ14+預測IC!CR14</f>
        <v>-0.64037899996503911</v>
      </c>
      <c r="CS14" s="11">
        <f>CR14+預測IC!CS14</f>
        <v>-0.69940612022869486</v>
      </c>
      <c r="CT14" s="11">
        <f>CS14+預測IC!CT14</f>
        <v>-0.71850669677937973</v>
      </c>
      <c r="CU14" s="11">
        <f>CT14+預測IC!CU14</f>
        <v>-0.67458959408216512</v>
      </c>
      <c r="CV14" s="11">
        <f>CU14+預測IC!CV14</f>
        <v>-0.69733530922042042</v>
      </c>
      <c r="CW14" s="11">
        <f>CV14+預測IC!CW14</f>
        <v>-0.69393692675694962</v>
      </c>
      <c r="CX14" s="11">
        <f>CW14+預測IC!CX14</f>
        <v>-0.73023633564518875</v>
      </c>
      <c r="CY14" s="11">
        <f>CX14+預測IC!CY14</f>
        <v>-0.70147721535371454</v>
      </c>
      <c r="CZ14" s="11">
        <f>CY14+預測IC!CZ14</f>
        <v>-0.76554077870409787</v>
      </c>
      <c r="DA14" s="11">
        <f>CZ14+預測IC!DA14</f>
        <v>-0.7412364895335134</v>
      </c>
      <c r="DB14" s="11">
        <f>DA14+預測IC!DB14</f>
        <v>-0.7176754163453225</v>
      </c>
      <c r="DC14" s="11">
        <f>DB14+預測IC!DC14</f>
        <v>-0.74130802555017006</v>
      </c>
      <c r="DD14" s="11">
        <f>DC14+預測IC!DD14</f>
        <v>-0.72454947575775364</v>
      </c>
      <c r="DE14" s="11">
        <f>DD14+預測IC!DE14</f>
        <v>-0.72993377536551818</v>
      </c>
      <c r="DF14" s="11">
        <f>DE14+預測IC!DF14</f>
        <v>-0.69407714480845561</v>
      </c>
      <c r="DG14" s="11">
        <f>DF14+預測IC!DG14</f>
        <v>-0.70552370120177288</v>
      </c>
      <c r="DH14" s="11">
        <f>DG14+預測IC!DH14</f>
        <v>-0.71029853844468449</v>
      </c>
      <c r="DI14" s="11">
        <f>DH14+預測IC!DI14</f>
        <v>-0.6517007187357674</v>
      </c>
      <c r="DJ14" s="11">
        <f>DI14+預測IC!DJ14</f>
        <v>-0.65272444300306476</v>
      </c>
      <c r="DK14" s="11">
        <f>DJ14+預測IC!DK14</f>
        <v>-0.6717955061207207</v>
      </c>
      <c r="DL14" s="11">
        <f>DK14+預測IC!DL14</f>
        <v>-0.65663034456583214</v>
      </c>
      <c r="DM14" s="11">
        <f>DL14+預測IC!DM14</f>
        <v>-0.66213461365948267</v>
      </c>
      <c r="DN14" s="11">
        <f>DM14+預測IC!DN14</f>
        <v>-0.70479710955274699</v>
      </c>
      <c r="DO14" s="11">
        <f>DN14+預測IC!DO14</f>
        <v>-0.74617275471554434</v>
      </c>
      <c r="DP14" s="11">
        <f>DO14+預測IC!DP14</f>
        <v>-0.78971247107319631</v>
      </c>
      <c r="DQ14" s="11">
        <f>DP14+預測IC!DQ14</f>
        <v>-0.71853990649206334</v>
      </c>
      <c r="DR14" s="11">
        <f>DQ14+預測IC!DR14</f>
        <v>-0.72402400273761258</v>
      </c>
      <c r="DS14" s="11">
        <f>DR14+預測IC!DS14</f>
        <v>-0.68897909646669575</v>
      </c>
      <c r="DT14" s="11">
        <f>DS14+預測IC!DT14</f>
        <v>-0.64446214286924042</v>
      </c>
      <c r="DU14" s="11">
        <f>DT14+預測IC!DU14</f>
        <v>-0.59954719425025838</v>
      </c>
      <c r="DV14" s="11">
        <f>DU14+預測IC!DV14</f>
        <v>-0.70780954878036573</v>
      </c>
      <c r="DW14" s="11">
        <f>DV14+預測IC!DW14</f>
        <v>-0.80615391579814344</v>
      </c>
      <c r="DX14" s="11">
        <f>DW14+預測IC!DX14</f>
        <v>-0.7042224102457223</v>
      </c>
      <c r="DY14" s="11">
        <f>DX14+預測IC!DY14</f>
        <v>-0.74221949019257083</v>
      </c>
      <c r="DZ14" s="11">
        <f>DY14+預測IC!DZ14</f>
        <v>-0.72033791687410853</v>
      </c>
      <c r="EA14" s="11">
        <f>DZ14+預測IC!EA14</f>
        <v>-0.65742523230136696</v>
      </c>
      <c r="EB14" s="11">
        <f>EA14+預測IC!EB14</f>
        <v>-0.57924540160110383</v>
      </c>
      <c r="EC14" s="11">
        <f>EB14+預測IC!EC14</f>
        <v>-0.62250541913041146</v>
      </c>
      <c r="ED14" s="11">
        <f>EC14+預測IC!ED14</f>
        <v>-0.70090468327547495</v>
      </c>
      <c r="EE14" s="11">
        <f>ED14+預測IC!EE14</f>
        <v>-0.65839894397411669</v>
      </c>
      <c r="EF14" s="11">
        <f>EE14+預測IC!EF14</f>
        <v>-0.72835536447267479</v>
      </c>
    </row>
    <row r="15" spans="1:136">
      <c r="A15" s="2">
        <v>100</v>
      </c>
      <c r="B15" s="2">
        <v>10</v>
      </c>
      <c r="C15" s="11">
        <v>0.22764509999999999</v>
      </c>
      <c r="D15" s="11">
        <f>C15+預測IC!D15</f>
        <v>0.60035480000000008</v>
      </c>
      <c r="E15" s="11">
        <f>D15+預測IC!E15</f>
        <v>0.66239940000000008</v>
      </c>
      <c r="F15" s="11">
        <f>E15+預測IC!F15</f>
        <v>0.75270400000000004</v>
      </c>
      <c r="G15" s="11">
        <f>F15+預測IC!G15</f>
        <v>0.84931020000000002</v>
      </c>
      <c r="H15" s="11">
        <f>G15+預測IC!H15</f>
        <v>0.96815459999999998</v>
      </c>
      <c r="I15" s="11">
        <f>H15+預測IC!I15</f>
        <v>1.0948834999999999</v>
      </c>
      <c r="J15" s="11">
        <f>I15+預測IC!J15</f>
        <v>1.0303593</v>
      </c>
      <c r="K15" s="11">
        <f>J15+預測IC!K15</f>
        <v>1.0261483</v>
      </c>
      <c r="L15" s="11">
        <f>K15+預測IC!L15</f>
        <v>1.0391152000000001</v>
      </c>
      <c r="M15" s="11">
        <f>L15+預測IC!M15</f>
        <v>1.0369821835637125</v>
      </c>
      <c r="N15" s="11">
        <f>M15+預測IC!N15</f>
        <v>0.92718598913857886</v>
      </c>
      <c r="O15" s="11">
        <f>N15+預測IC!O15</f>
        <v>0.91491519337942617</v>
      </c>
      <c r="P15" s="11">
        <f>O15+預測IC!P15</f>
        <v>0.96789859337942619</v>
      </c>
      <c r="Q15" s="11">
        <f>P15+預測IC!Q15</f>
        <v>1.0682753933794262</v>
      </c>
      <c r="R15" s="11">
        <f>Q15+預測IC!R15</f>
        <v>1.0850305933794262</v>
      </c>
      <c r="S15" s="11">
        <f>R15+預測IC!S15</f>
        <v>1.0419969933794262</v>
      </c>
      <c r="T15" s="11">
        <f>S15+預測IC!T15</f>
        <v>0.99265729337942621</v>
      </c>
      <c r="U15" s="11">
        <f>T15+預測IC!U15</f>
        <v>1.0708566838172391</v>
      </c>
      <c r="V15" s="11">
        <f>U15+預測IC!V15</f>
        <v>0.96072967748640314</v>
      </c>
      <c r="W15" s="11">
        <f>V15+預測IC!W15</f>
        <v>0.91005825324141254</v>
      </c>
      <c r="X15" s="11">
        <f>W15+預測IC!X15</f>
        <v>0.98849475324141256</v>
      </c>
      <c r="Y15" s="11">
        <f>X15+預測IC!Y15</f>
        <v>0.96786477887559275</v>
      </c>
      <c r="Z15" s="11">
        <f>Y15+預測IC!Z15</f>
        <v>0.9211448068222341</v>
      </c>
      <c r="AA15" s="11">
        <f>Z15+預測IC!AA15</f>
        <v>0.96773370682223414</v>
      </c>
      <c r="AB15" s="11">
        <f>AA15+預測IC!AB15</f>
        <v>0.88403353430640363</v>
      </c>
      <c r="AC15" s="11">
        <f>AB15+預測IC!AC15</f>
        <v>0.86755256809821557</v>
      </c>
      <c r="AD15" s="11">
        <f>AC15+預測IC!AD15</f>
        <v>0.90724296809821559</v>
      </c>
      <c r="AE15" s="11">
        <f>AD15+預測IC!AE15</f>
        <v>1.0050406521071666</v>
      </c>
      <c r="AF15" s="11">
        <f>AE15+預測IC!AF15</f>
        <v>0.93922103961012682</v>
      </c>
      <c r="AG15" s="11">
        <f>AF15+預測IC!AG15</f>
        <v>0.92909756134847121</v>
      </c>
      <c r="AH15" s="11">
        <f>AG15+預測IC!AH15</f>
        <v>0.96270193470614773</v>
      </c>
      <c r="AI15" s="11">
        <f>AH15+預測IC!AI15</f>
        <v>0.87727182389054081</v>
      </c>
      <c r="AJ15" s="11">
        <f>AI15+預測IC!AJ15</f>
        <v>0.86780696392306511</v>
      </c>
      <c r="AK15" s="11">
        <f>AJ15+預測IC!AK15</f>
        <v>0.80604734426462021</v>
      </c>
      <c r="AL15" s="11">
        <f>AK15+預測IC!AL15</f>
        <v>0.76161568176880567</v>
      </c>
      <c r="AM15" s="11">
        <f>AL15+預測IC!AM15</f>
        <v>0.70649305963417852</v>
      </c>
      <c r="AN15" s="11">
        <f>AM15+預測IC!AN15</f>
        <v>0.60480435372179497</v>
      </c>
      <c r="AO15" s="11">
        <f>AN15+預測IC!AO15</f>
        <v>0.54143454125832791</v>
      </c>
      <c r="AP15" s="11">
        <f>AO15+預測IC!AP15</f>
        <v>0.6197202351510821</v>
      </c>
      <c r="AQ15" s="11">
        <f>AP15+預測IC!AQ15</f>
        <v>0.65708736194720374</v>
      </c>
      <c r="AR15" s="11">
        <f>AQ15+預測IC!AR15</f>
        <v>0.56679350647128701</v>
      </c>
      <c r="AS15" s="11">
        <f>AR15+預測IC!AS15</f>
        <v>0.51297232743417298</v>
      </c>
      <c r="AT15" s="11">
        <f>AS15+預測IC!AT15</f>
        <v>0.44771733678174441</v>
      </c>
      <c r="AU15" s="11">
        <f>AT15+預測IC!AU15</f>
        <v>0.40777407569227808</v>
      </c>
      <c r="AV15" s="11">
        <f>AU15+預測IC!AV15</f>
        <v>0.45500089401971694</v>
      </c>
      <c r="AW15" s="11">
        <f>AV15+預測IC!AW15</f>
        <v>0.43934095476513602</v>
      </c>
      <c r="AX15" s="11">
        <f>AW15+預測IC!AX15</f>
        <v>0.31410697759040085</v>
      </c>
      <c r="AY15" s="11">
        <f>AX15+預測IC!AY15</f>
        <v>0.28608991348036794</v>
      </c>
      <c r="AZ15" s="11">
        <f>AY15+預測IC!AZ15</f>
        <v>0.37741319354887143</v>
      </c>
      <c r="BA15" s="11">
        <f>AZ15+預測IC!BA15</f>
        <v>0.53510149354887138</v>
      </c>
      <c r="BB15" s="11">
        <f>BA15+預測IC!BB15</f>
        <v>0.42237662747005827</v>
      </c>
      <c r="BC15" s="11">
        <f>BB15+預測IC!BC15</f>
        <v>0.36022148380222796</v>
      </c>
      <c r="BD15" s="11">
        <f>BC15+預測IC!BD15</f>
        <v>0.30717820989743189</v>
      </c>
      <c r="BE15" s="11">
        <f>BD15+預測IC!BE15</f>
        <v>0.25873548887976877</v>
      </c>
      <c r="BF15" s="11">
        <f>BE15+預測IC!BF15</f>
        <v>0.21107250942301664</v>
      </c>
      <c r="BG15" s="11">
        <f>BF15+預測IC!BG15</f>
        <v>4.5021293958419834E-2</v>
      </c>
      <c r="BH15" s="11">
        <f>BG15+預測IC!BH15</f>
        <v>-5.3627752448000832E-2</v>
      </c>
      <c r="BI15" s="11">
        <f>BH15+預測IC!BI15</f>
        <v>-3.2468638041261239E-2</v>
      </c>
      <c r="BJ15" s="11">
        <f>BI15+預測IC!BJ15</f>
        <v>-0.16257889307743065</v>
      </c>
      <c r="BK15" s="11">
        <f>BJ15+預測IC!BK15</f>
        <v>-0.11697396077701719</v>
      </c>
      <c r="BL15" s="11">
        <f>BK15+預測IC!BL15</f>
        <v>-0.1168962607770172</v>
      </c>
      <c r="BM15" s="11">
        <f>BL15+預測IC!BM15</f>
        <v>-0.18372108214374644</v>
      </c>
      <c r="BN15" s="11">
        <f>BM15+預測IC!BN15</f>
        <v>-0.22386365187693633</v>
      </c>
      <c r="BO15" s="11">
        <f>BN15+預測IC!BO15</f>
        <v>-0.2515981278318673</v>
      </c>
      <c r="BP15" s="11">
        <f>BO15+預測IC!BP15</f>
        <v>-0.26578234853967209</v>
      </c>
      <c r="BQ15" s="11">
        <f>BP15+預測IC!BQ15</f>
        <v>-0.27858527982999987</v>
      </c>
      <c r="BR15" s="11">
        <f>BQ15+預測IC!BR15</f>
        <v>-0.22842785070794017</v>
      </c>
      <c r="BS15" s="11">
        <f>BR15+預測IC!BS15</f>
        <v>-0.21656193979932845</v>
      </c>
      <c r="BT15" s="11">
        <f>BS15+預測IC!BT15</f>
        <v>-0.25319453979932843</v>
      </c>
      <c r="BU15" s="11">
        <f>BT15+預測IC!BU15</f>
        <v>-0.33874103979932846</v>
      </c>
      <c r="BV15" s="11">
        <f>BU15+預測IC!BV15</f>
        <v>-0.25256093979932848</v>
      </c>
      <c r="BW15" s="11">
        <f>BV15+預測IC!BW15</f>
        <v>-4.8415439799328469E-2</v>
      </c>
      <c r="BX15" s="11">
        <f>BW15+預測IC!BX15</f>
        <v>-7.7051334865059953E-2</v>
      </c>
      <c r="BY15" s="11">
        <f>BX15+預測IC!BY15</f>
        <v>-0.17039023486505994</v>
      </c>
      <c r="BZ15" s="11">
        <f>BY15+預測IC!BZ15</f>
        <v>-0.10303003486505995</v>
      </c>
      <c r="CA15" s="11">
        <f>BZ15+預測IC!CA15</f>
        <v>-7.3067134865059946E-2</v>
      </c>
      <c r="CB15" s="11">
        <f>CA15+預測IC!CB15</f>
        <v>-0.16575124038829742</v>
      </c>
      <c r="CC15" s="11">
        <f>CB15+預測IC!CC15</f>
        <v>-0.1303926972157807</v>
      </c>
      <c r="CD15" s="11">
        <f>CC15+預測IC!CD15</f>
        <v>-0.17750716534445435</v>
      </c>
      <c r="CE15" s="11">
        <f>CD15+預測IC!CE15</f>
        <v>-0.27499791048988903</v>
      </c>
      <c r="CF15" s="11">
        <f>CE15+預測IC!CF15</f>
        <v>-0.278624310489889</v>
      </c>
      <c r="CG15" s="11">
        <f>CF15+預測IC!CG15</f>
        <v>-0.36451033202005279</v>
      </c>
      <c r="CH15" s="11">
        <f>CG15+預測IC!CH15</f>
        <v>-0.44585294000338105</v>
      </c>
      <c r="CI15" s="11">
        <f>CH15+預測IC!CI15</f>
        <v>-0.44334200122304868</v>
      </c>
      <c r="CJ15" s="11">
        <f>CI15+預測IC!CJ15</f>
        <v>-0.4026702842759875</v>
      </c>
      <c r="CK15" s="11">
        <f>CJ15+預測IC!CK15</f>
        <v>-0.30702953610328215</v>
      </c>
      <c r="CL15" s="11">
        <f>CK15+預測IC!CL15</f>
        <v>-0.14537506306010556</v>
      </c>
      <c r="CM15" s="11">
        <f>CL15+預測IC!CM15</f>
        <v>-0.22000617918855933</v>
      </c>
      <c r="CN15" s="11">
        <f>CM15+預測IC!CN15</f>
        <v>-0.17737206338939904</v>
      </c>
      <c r="CO15" s="11">
        <f>CN15+預測IC!CO15</f>
        <v>-4.7923038507357629E-2</v>
      </c>
      <c r="CP15" s="11">
        <f>CO15+預測IC!CP15</f>
        <v>-0.17545887394030732</v>
      </c>
      <c r="CQ15" s="11">
        <f>CP15+預測IC!CQ15</f>
        <v>-0.21283688470543632</v>
      </c>
      <c r="CR15" s="11">
        <f>CQ15+預測IC!CR15</f>
        <v>-0.26107395499360059</v>
      </c>
      <c r="CS15" s="11">
        <f>CR15+預測IC!CS15</f>
        <v>-0.3212591274571952</v>
      </c>
      <c r="CT15" s="11">
        <f>CS15+預測IC!CT15</f>
        <v>-0.32865370243264996</v>
      </c>
      <c r="CU15" s="11">
        <f>CT15+預測IC!CU15</f>
        <v>-0.26547504251787724</v>
      </c>
      <c r="CV15" s="11">
        <f>CU15+預測IC!CV15</f>
        <v>-0.25933319561306833</v>
      </c>
      <c r="CW15" s="11">
        <f>CV15+預測IC!CW15</f>
        <v>-0.24684853543262816</v>
      </c>
      <c r="CX15" s="11">
        <f>CW15+預測IC!CX15</f>
        <v>-0.2708881424859591</v>
      </c>
      <c r="CY15" s="11">
        <f>CX15+預測IC!CY15</f>
        <v>-0.22841746940819677</v>
      </c>
      <c r="CZ15" s="11">
        <f>CY15+預測IC!CZ15</f>
        <v>-0.308304417352539</v>
      </c>
      <c r="DA15" s="11">
        <f>CZ15+預測IC!DA15</f>
        <v>-0.2819285819106625</v>
      </c>
      <c r="DB15" s="11">
        <f>DA15+預測IC!DB15</f>
        <v>-0.2517019636965388</v>
      </c>
      <c r="DC15" s="11">
        <f>DB15+預測IC!DC15</f>
        <v>-0.28677711367112091</v>
      </c>
      <c r="DD15" s="11">
        <f>DC15+預測IC!DD15</f>
        <v>-0.23738342317123631</v>
      </c>
      <c r="DE15" s="11">
        <f>DD15+預測IC!DE15</f>
        <v>-0.2623321379162793</v>
      </c>
      <c r="DF15" s="11">
        <f>DE15+預測IC!DF15</f>
        <v>-0.21994083151688454</v>
      </c>
      <c r="DG15" s="11">
        <f>DF15+預測IC!DG15</f>
        <v>-0.23613756313512574</v>
      </c>
      <c r="DH15" s="11">
        <f>DG15+預測IC!DH15</f>
        <v>-0.21742855209123363</v>
      </c>
      <c r="DI15" s="11">
        <f>DH15+預測IC!DI15</f>
        <v>-0.20571010308177595</v>
      </c>
      <c r="DJ15" s="11">
        <f>DI15+預測IC!DJ15</f>
        <v>-0.15385624998736908</v>
      </c>
      <c r="DK15" s="11">
        <f>DJ15+預測IC!DK15</f>
        <v>-0.25563108403883705</v>
      </c>
      <c r="DL15" s="11">
        <f>DK15+預測IC!DL15</f>
        <v>-0.31826657812727499</v>
      </c>
      <c r="DM15" s="11">
        <f>DL15+預測IC!DM15</f>
        <v>-0.29445803125960629</v>
      </c>
      <c r="DN15" s="11">
        <f>DM15+預測IC!DN15</f>
        <v>-0.33845452868322595</v>
      </c>
      <c r="DO15" s="11">
        <f>DN15+預測IC!DO15</f>
        <v>-0.38475125591702675</v>
      </c>
      <c r="DP15" s="11">
        <f>DO15+預測IC!DP15</f>
        <v>-0.40848685792391931</v>
      </c>
      <c r="DQ15" s="11">
        <f>DP15+預測IC!DQ15</f>
        <v>-0.37144816897172189</v>
      </c>
      <c r="DR15" s="11">
        <f>DQ15+預測IC!DR15</f>
        <v>-0.34097552847664059</v>
      </c>
      <c r="DS15" s="11">
        <f>DR15+預測IC!DS15</f>
        <v>-0.26473362006484347</v>
      </c>
      <c r="DT15" s="11">
        <f>DS15+預測IC!DT15</f>
        <v>-0.19256998834668046</v>
      </c>
      <c r="DU15" s="11">
        <f>DT15+預測IC!DU15</f>
        <v>-0.1467992593949998</v>
      </c>
      <c r="DV15" s="11">
        <f>DU15+預測IC!DV15</f>
        <v>-0.28656761633587119</v>
      </c>
      <c r="DW15" s="11">
        <f>DV15+預測IC!DW15</f>
        <v>-0.31210624348270372</v>
      </c>
      <c r="DX15" s="11">
        <f>DW15+預測IC!DX15</f>
        <v>-0.19348999283271731</v>
      </c>
      <c r="DY15" s="11">
        <f>DX15+預測IC!DY15</f>
        <v>-0.30002915943372688</v>
      </c>
      <c r="DZ15" s="11">
        <f>DY15+預測IC!DZ15</f>
        <v>-0.28110891536434246</v>
      </c>
      <c r="EA15" s="11">
        <f>DZ15+預測IC!EA15</f>
        <v>-0.23765769508401716</v>
      </c>
      <c r="EB15" s="11">
        <f>EA15+預測IC!EB15</f>
        <v>-0.14957024555676227</v>
      </c>
      <c r="EC15" s="11">
        <f>EB15+預測IC!EC15</f>
        <v>-0.22572732235338211</v>
      </c>
      <c r="ED15" s="11">
        <f>EC15+預測IC!ED15</f>
        <v>-0.33638735684160243</v>
      </c>
      <c r="EE15" s="11">
        <f>ED15+預測IC!EE15</f>
        <v>-0.28704317690144282</v>
      </c>
      <c r="EF15" s="11">
        <f>EE15+預測IC!EF15</f>
        <v>-0.35274416804028508</v>
      </c>
    </row>
    <row r="16" spans="1:136">
      <c r="A16" s="2">
        <v>107</v>
      </c>
      <c r="B16" s="2">
        <v>9</v>
      </c>
      <c r="C16" s="11">
        <v>0.20787511111111109</v>
      </c>
      <c r="D16" s="11">
        <f>C16+預測IC!D16</f>
        <v>0.61607055555555545</v>
      </c>
      <c r="E16" s="11">
        <f>D16+預測IC!E16</f>
        <v>0.68107544444444434</v>
      </c>
      <c r="F16" s="11">
        <f>E16+預測IC!F16</f>
        <v>0.80533611111111103</v>
      </c>
      <c r="G16" s="11">
        <f>F16+預測IC!G16</f>
        <v>0.91434966666666651</v>
      </c>
      <c r="H16" s="11">
        <f>G16+預測IC!H16</f>
        <v>0.98719844444444427</v>
      </c>
      <c r="I16" s="11">
        <f>H16+預測IC!I16</f>
        <v>1.0989904444444443</v>
      </c>
      <c r="J16" s="11">
        <f>I16+預測IC!J16</f>
        <v>1.0302969999999998</v>
      </c>
      <c r="K16" s="11">
        <f>J16+預測IC!K16</f>
        <v>1.0482214444444442</v>
      </c>
      <c r="L16" s="11">
        <f>K16+預測IC!L16</f>
        <v>1.0792479999999998</v>
      </c>
      <c r="M16" s="11">
        <f>L16+預測IC!M16</f>
        <v>1.0652605641380826</v>
      </c>
      <c r="N16" s="11">
        <f>M16+預測IC!N16</f>
        <v>0.94501806585888581</v>
      </c>
      <c r="O16" s="11">
        <f>N16+預測IC!O16</f>
        <v>0.9164309889799066</v>
      </c>
      <c r="P16" s="11">
        <f>O16+預測IC!P16</f>
        <v>0.97841076675768435</v>
      </c>
      <c r="Q16" s="11">
        <f>P16+預測IC!Q16</f>
        <v>1.0750306556465732</v>
      </c>
      <c r="R16" s="11">
        <f>Q16+預測IC!R16</f>
        <v>1.0942131000910176</v>
      </c>
      <c r="S16" s="11">
        <f>R16+預測IC!S16</f>
        <v>1.0517979889799065</v>
      </c>
      <c r="T16" s="11">
        <f>S16+預測IC!T16</f>
        <v>1.028570544535462</v>
      </c>
      <c r="U16" s="11">
        <f>T16+預測IC!U16</f>
        <v>1.1200424794862289</v>
      </c>
      <c r="V16" s="11">
        <f>U16+預測IC!V16</f>
        <v>1.044470993377322</v>
      </c>
      <c r="W16" s="11">
        <f>V16+預測IC!W16</f>
        <v>0.94283963624614653</v>
      </c>
      <c r="X16" s="11">
        <f>W16+預測IC!X16</f>
        <v>1.0165179695794799</v>
      </c>
      <c r="Y16" s="11">
        <f>X16+預測IC!Y16</f>
        <v>0.99633738115984438</v>
      </c>
      <c r="Z16" s="11">
        <f>Y16+預測IC!Z16</f>
        <v>0.95327945027563266</v>
      </c>
      <c r="AA16" s="11">
        <f>Z16+預測IC!AA16</f>
        <v>1.0035071169422993</v>
      </c>
      <c r="AB16" s="11">
        <f>AA16+預測IC!AB16</f>
        <v>0.92852207530431896</v>
      </c>
      <c r="AC16" s="11">
        <f>AB16+預測IC!AC16</f>
        <v>0.88129583910175846</v>
      </c>
      <c r="AD16" s="11">
        <f>AC16+預測IC!AD16</f>
        <v>0.9161068391017585</v>
      </c>
      <c r="AE16" s="11">
        <f>AD16+預測IC!AE16</f>
        <v>1.0126091995903641</v>
      </c>
      <c r="AF16" s="11">
        <f>AE16+預測IC!AF16</f>
        <v>0.94892335700877495</v>
      </c>
      <c r="AG16" s="11">
        <f>AF16+預測IC!AG16</f>
        <v>0.93563260397223957</v>
      </c>
      <c r="AH16" s="11">
        <f>AG16+預測IC!AH16</f>
        <v>0.96739800442168011</v>
      </c>
      <c r="AI16" s="11">
        <f>AH16+預測IC!AI16</f>
        <v>0.91831996124511206</v>
      </c>
      <c r="AJ16" s="11">
        <f>AI16+預測IC!AJ16</f>
        <v>0.92534592731698806</v>
      </c>
      <c r="AK16" s="11">
        <f>AJ16+預測IC!AK16</f>
        <v>0.86092452648461593</v>
      </c>
      <c r="AL16" s="11">
        <f>AK16+預測IC!AL16</f>
        <v>0.81223559338009266</v>
      </c>
      <c r="AM16" s="11">
        <f>AL16+預測IC!AM16</f>
        <v>0.74615886277829468</v>
      </c>
      <c r="AN16" s="11">
        <f>AM16+預測IC!AN16</f>
        <v>0.63970266268861908</v>
      </c>
      <c r="AO16" s="11">
        <f>AN16+預測IC!AO16</f>
        <v>0.57827799086270681</v>
      </c>
      <c r="AP16" s="11">
        <f>AO16+預測IC!AP16</f>
        <v>0.65607635900829531</v>
      </c>
      <c r="AQ16" s="11">
        <f>AP16+預測IC!AQ16</f>
        <v>0.69454255915436391</v>
      </c>
      <c r="AR16" s="11">
        <f>AQ16+預測IC!AR16</f>
        <v>0.59125138009387146</v>
      </c>
      <c r="AS16" s="11">
        <f>AR16+預測IC!AS16</f>
        <v>0.52618315461990206</v>
      </c>
      <c r="AT16" s="11">
        <f>AS16+預測IC!AT16</f>
        <v>0.47663599930153205</v>
      </c>
      <c r="AU16" s="11">
        <f>AT16+預測IC!AU16</f>
        <v>0.43480916104663692</v>
      </c>
      <c r="AV16" s="11">
        <f>AU16+預測IC!AV16</f>
        <v>0.44388166782665561</v>
      </c>
      <c r="AW16" s="11">
        <f>AV16+預測IC!AW16</f>
        <v>0.40462873775200497</v>
      </c>
      <c r="AX16" s="11">
        <f>AW16+預測IC!AX16</f>
        <v>0.30379896450803207</v>
      </c>
      <c r="AY16" s="11">
        <f>AX16+預測IC!AY16</f>
        <v>0.26998637466368614</v>
      </c>
      <c r="AZ16" s="11">
        <f>AY16+預測IC!AZ16</f>
        <v>0.37489600984239835</v>
      </c>
      <c r="BA16" s="11">
        <f>AZ16+預測IC!BA16</f>
        <v>0.53488712095350943</v>
      </c>
      <c r="BB16" s="11">
        <f>BA16+預測IC!BB16</f>
        <v>0.42684819680077135</v>
      </c>
      <c r="BC16" s="11">
        <f>BB16+預測IC!BC16</f>
        <v>0.35972673069307948</v>
      </c>
      <c r="BD16" s="11">
        <f>BC16+預測IC!BD16</f>
        <v>0.32379001914717548</v>
      </c>
      <c r="BE16" s="11">
        <f>BD16+預測IC!BE16</f>
        <v>0.27237902475270054</v>
      </c>
      <c r="BF16" s="11">
        <f>BE16+預測IC!BF16</f>
        <v>0.20811097043298232</v>
      </c>
      <c r="BG16" s="11">
        <f>BF16+預測IC!BG16</f>
        <v>4.688140084863171E-2</v>
      </c>
      <c r="BH16" s="11">
        <f>BG16+預測IC!BH16</f>
        <v>-4.9280633659101986E-2</v>
      </c>
      <c r="BI16" s="11">
        <f>BH16+預測IC!BI16</f>
        <v>-2.9069322619099808E-4</v>
      </c>
      <c r="BJ16" s="11">
        <f>BI16+預測IC!BJ16</f>
        <v>-9.6857496751729028E-2</v>
      </c>
      <c r="BK16" s="11">
        <f>BJ16+預測IC!BK16</f>
        <v>-4.5485872225717608E-2</v>
      </c>
      <c r="BL16" s="11">
        <f>BK16+預測IC!BL16</f>
        <v>-5.3900427781273165E-2</v>
      </c>
      <c r="BM16" s="11">
        <f>BL16+預測IC!BM16</f>
        <v>-0.13542430282323822</v>
      </c>
      <c r="BN16" s="11">
        <f>BM16+預測IC!BN16</f>
        <v>-0.18333013542726545</v>
      </c>
      <c r="BO16" s="11">
        <f>BN16+預測IC!BO16</f>
        <v>-0.20522049538092313</v>
      </c>
      <c r="BP16" s="11">
        <f>BO16+預測IC!BP16</f>
        <v>-0.22606367892850371</v>
      </c>
      <c r="BQ16" s="11">
        <f>BP16+預測IC!BQ16</f>
        <v>-0.2425416951834323</v>
      </c>
      <c r="BR16" s="11">
        <f>BQ16+預測IC!BR16</f>
        <v>-0.21624484716198791</v>
      </c>
      <c r="BS16" s="11">
        <f>BR16+預測IC!BS16</f>
        <v>-0.18423785996910474</v>
      </c>
      <c r="BT16" s="11">
        <f>BS16+預測IC!BT16</f>
        <v>-0.22230319330243808</v>
      </c>
      <c r="BU16" s="11">
        <f>BT16+預測IC!BU16</f>
        <v>-0.32384041552466025</v>
      </c>
      <c r="BV16" s="11">
        <f>BU16+預測IC!BV16</f>
        <v>-0.2293299710802158</v>
      </c>
      <c r="BW16" s="11">
        <f>BV16+預測IC!BW16</f>
        <v>-5.3849710802157946E-3</v>
      </c>
      <c r="BX16" s="11">
        <f>BW16+預測IC!BX16</f>
        <v>-3.6944208601346742E-2</v>
      </c>
      <c r="BY16" s="11">
        <f>BX16+預測IC!BY16</f>
        <v>-0.15593965304579124</v>
      </c>
      <c r="BZ16" s="11">
        <f>BY16+預測IC!BZ16</f>
        <v>-6.3310097490235695E-2</v>
      </c>
      <c r="CA16" s="11">
        <f>BZ16+預測IC!CA16</f>
        <v>-3.5879097490235698E-2</v>
      </c>
      <c r="CB16" s="11">
        <f>CA16+預測IC!CB16</f>
        <v>-0.15174464647939101</v>
      </c>
      <c r="CC16" s="11">
        <f>CB16+預測IC!CC16</f>
        <v>-0.13106148577820584</v>
      </c>
      <c r="CD16" s="11">
        <f>CC16+預測IC!CD16</f>
        <v>-0.1920500116519358</v>
      </c>
      <c r="CE16" s="11">
        <f>CD16+預測IC!CE16</f>
        <v>-0.313360425053896</v>
      </c>
      <c r="CF16" s="11">
        <f>CE16+預測IC!CF16</f>
        <v>-0.32805642505389598</v>
      </c>
      <c r="CG16" s="11">
        <f>CF16+預測IC!CG16</f>
        <v>-0.38978430320056257</v>
      </c>
      <c r="CH16" s="11">
        <f>CG16+預測IC!CH16</f>
        <v>-0.44023302790455865</v>
      </c>
      <c r="CI16" s="11">
        <f>CH16+預測IC!CI16</f>
        <v>-0.43599235979240797</v>
      </c>
      <c r="CJ16" s="11">
        <f>CI16+預測IC!CJ16</f>
        <v>-0.40628897429864463</v>
      </c>
      <c r="CK16" s="11">
        <f>CJ16+預測IC!CK16</f>
        <v>-0.31786628451703702</v>
      </c>
      <c r="CL16" s="11">
        <f>CK16+預測IC!CL16</f>
        <v>-0.12112584635782334</v>
      </c>
      <c r="CM16" s="11">
        <f>CL16+預測IC!CM16</f>
        <v>-0.210114474507335</v>
      </c>
      <c r="CN16" s="11">
        <f>CM16+預測IC!CN16</f>
        <v>-0.17705695936638502</v>
      </c>
      <c r="CO16" s="11">
        <f>CN16+預測IC!CO16</f>
        <v>5.3949951734442725E-3</v>
      </c>
      <c r="CP16" s="11">
        <f>CO16+預測IC!CP16</f>
        <v>-0.13123669430864704</v>
      </c>
      <c r="CQ16" s="11">
        <f>CP16+預測IC!CQ16</f>
        <v>-0.17267229996805744</v>
      </c>
      <c r="CR16" s="11">
        <f>CQ16+預測IC!CR16</f>
        <v>-0.22097206665137398</v>
      </c>
      <c r="CS16" s="11">
        <f>CR16+預測IC!CS16</f>
        <v>-0.28753122652544783</v>
      </c>
      <c r="CT16" s="11">
        <f>CS16+預測IC!CT16</f>
        <v>-0.2925986330262888</v>
      </c>
      <c r="CU16" s="11">
        <f>CT16+預測IC!CU16</f>
        <v>-0.22916397866731411</v>
      </c>
      <c r="CV16" s="11">
        <f>CU16+預測IC!CV16</f>
        <v>-0.21241289458659324</v>
      </c>
      <c r="CW16" s="11">
        <f>CV16+預測IC!CW16</f>
        <v>-0.20321873505397153</v>
      </c>
      <c r="CX16" s="11">
        <f>CW16+預測IC!CX16</f>
        <v>-0.21545901980822149</v>
      </c>
      <c r="CY16" s="11">
        <f>CX16+預測IC!CY16</f>
        <v>-0.16634197069159609</v>
      </c>
      <c r="CZ16" s="11">
        <f>CY16+預測IC!CZ16</f>
        <v>-0.2689752298697286</v>
      </c>
      <c r="DA16" s="11">
        <f>CZ16+預測IC!DA16</f>
        <v>-0.23917043590249307</v>
      </c>
      <c r="DB16" s="11">
        <f>DA16+預測IC!DB16</f>
        <v>-0.19645826612226702</v>
      </c>
      <c r="DC16" s="11">
        <f>DB16+預測IC!DC16</f>
        <v>-0.2394006284427673</v>
      </c>
      <c r="DD16" s="11">
        <f>DC16+預測IC!DD16</f>
        <v>-0.1693296933854096</v>
      </c>
      <c r="DE16" s="11">
        <f>DD16+預測IC!DE16</f>
        <v>-0.20377406572663836</v>
      </c>
      <c r="DF16" s="11">
        <f>DE16+預測IC!DF16</f>
        <v>-0.18062763250107927</v>
      </c>
      <c r="DG16" s="11">
        <f>DF16+預測IC!DG16</f>
        <v>-0.19508058013251789</v>
      </c>
      <c r="DH16" s="11">
        <f>DG16+預測IC!DH16</f>
        <v>-0.17595123671454677</v>
      </c>
      <c r="DI16" s="11">
        <f>DH16+預測IC!DI16</f>
        <v>-0.16271781100202448</v>
      </c>
      <c r="DJ16" s="11">
        <f>DI16+預測IC!DJ16</f>
        <v>-0.13357640492139483</v>
      </c>
      <c r="DK16" s="11">
        <f>DJ16+預測IC!DK16</f>
        <v>-0.2671707615469755</v>
      </c>
      <c r="DL16" s="11">
        <f>DK16+預測IC!DL16</f>
        <v>-0.33228379767562038</v>
      </c>
      <c r="DM16" s="11">
        <f>DL16+預測IC!DM16</f>
        <v>-0.30195284791727944</v>
      </c>
      <c r="DN16" s="11">
        <f>DM16+預測IC!DN16</f>
        <v>-0.34439070127668658</v>
      </c>
      <c r="DO16" s="11">
        <f>DN16+預測IC!DO16</f>
        <v>-0.39761260883283028</v>
      </c>
      <c r="DP16" s="11">
        <f>DO16+預測IC!DP16</f>
        <v>-0.41745455741205634</v>
      </c>
      <c r="DQ16" s="11">
        <f>DP16+預測IC!DQ16</f>
        <v>-0.37038440140752454</v>
      </c>
      <c r="DR16" s="11">
        <f>DQ16+預測IC!DR16</f>
        <v>-0.30207901984546931</v>
      </c>
      <c r="DS16" s="11">
        <f>DR16+預測IC!DS16</f>
        <v>-0.20832695485571501</v>
      </c>
      <c r="DT16" s="11">
        <f>DS16+預測IC!DT16</f>
        <v>-0.10779282703124941</v>
      </c>
      <c r="DU16" s="11">
        <f>DT16+預測IC!DU16</f>
        <v>-4.3319093261710753E-2</v>
      </c>
      <c r="DV16" s="11">
        <f>DU16+預測IC!DV16</f>
        <v>-0.18027282527950428</v>
      </c>
      <c r="DW16" s="11">
        <f>DV16+預測IC!DW16</f>
        <v>-0.2211905549791951</v>
      </c>
      <c r="DX16" s="11">
        <f>DW16+預測IC!DX16</f>
        <v>-9.5905848655217701E-2</v>
      </c>
      <c r="DY16" s="11">
        <f>DX16+預測IC!DY16</f>
        <v>-0.21226018356556089</v>
      </c>
      <c r="DZ16" s="11">
        <f>DY16+預測IC!DZ16</f>
        <v>-0.18098310374088444</v>
      </c>
      <c r="EA16" s="11">
        <f>DZ16+預測IC!EA16</f>
        <v>-0.18056258850064047</v>
      </c>
      <c r="EB16" s="11">
        <f>EA16+預測IC!EB16</f>
        <v>-7.9883487823438765E-2</v>
      </c>
      <c r="EC16" s="11">
        <f>EB16+預測IC!EC16</f>
        <v>-0.14838496839127779</v>
      </c>
      <c r="ED16" s="11">
        <f>EC16+預測IC!ED16</f>
        <v>-0.26308419603219457</v>
      </c>
      <c r="EE16" s="11">
        <f>ED16+預測IC!EE16</f>
        <v>-0.2038431993770087</v>
      </c>
      <c r="EF16" s="11">
        <f>EE16+預測IC!EF16</f>
        <v>-0.24631760087091592</v>
      </c>
    </row>
    <row r="17" spans="1:136">
      <c r="A17" s="2">
        <v>120</v>
      </c>
      <c r="B17" s="2">
        <v>8</v>
      </c>
      <c r="C17" s="11">
        <v>0.20609237499999999</v>
      </c>
      <c r="D17" s="11">
        <f>C17+預測IC!D17</f>
        <v>0.64568074999999991</v>
      </c>
      <c r="E17" s="11">
        <f>D17+預測IC!E17</f>
        <v>0.72526874999999991</v>
      </c>
      <c r="F17" s="11">
        <f>E17+預測IC!F17</f>
        <v>0.87204074999999992</v>
      </c>
      <c r="G17" s="11">
        <f>F17+預測IC!G17</f>
        <v>0.98917337499999991</v>
      </c>
      <c r="H17" s="11">
        <f>G17+預測IC!H17</f>
        <v>1.0941681249999999</v>
      </c>
      <c r="I17" s="11">
        <f>H17+預測IC!I17</f>
        <v>1.1616573749999999</v>
      </c>
      <c r="J17" s="11">
        <f>I17+預測IC!J17</f>
        <v>1.0463589999999998</v>
      </c>
      <c r="K17" s="11">
        <f>J17+預測IC!K17</f>
        <v>1.0858027499999998</v>
      </c>
      <c r="L17" s="11">
        <f>K17+預測IC!L17</f>
        <v>1.1195776249999998</v>
      </c>
      <c r="M17" s="11">
        <f>L17+預測IC!M17</f>
        <v>1.1342367670902882</v>
      </c>
      <c r="N17" s="11">
        <f>M17+預測IC!N17</f>
        <v>1.0249589402604824</v>
      </c>
      <c r="O17" s="11">
        <f>N17+預測IC!O17</f>
        <v>1.0136522641963501</v>
      </c>
      <c r="P17" s="11">
        <f>O17+預測IC!P17</f>
        <v>1.0905678891963502</v>
      </c>
      <c r="Q17" s="11">
        <f>P17+預測IC!Q17</f>
        <v>1.1970002641963502</v>
      </c>
      <c r="R17" s="11">
        <f>Q17+預測IC!R17</f>
        <v>1.1989752641963503</v>
      </c>
      <c r="S17" s="11">
        <f>R17+預測IC!S17</f>
        <v>1.1438435141963503</v>
      </c>
      <c r="T17" s="11">
        <f>S17+預測IC!T17</f>
        <v>1.1203351391963503</v>
      </c>
      <c r="U17" s="11">
        <f>T17+預測IC!U17</f>
        <v>1.1827410408962473</v>
      </c>
      <c r="V17" s="11">
        <f>U17+預測IC!V17</f>
        <v>1.0854813850436442</v>
      </c>
      <c r="W17" s="11">
        <f>V17+預測IC!W17</f>
        <v>0.95681413068597565</v>
      </c>
      <c r="X17" s="11">
        <f>W17+預測IC!X17</f>
        <v>1.0570005056859757</v>
      </c>
      <c r="Y17" s="11">
        <f>X17+預測IC!Y17</f>
        <v>1.0340724946233208</v>
      </c>
      <c r="Z17" s="11">
        <f>Y17+預測IC!Z17</f>
        <v>0.98020400533245511</v>
      </c>
      <c r="AA17" s="11">
        <f>Z17+預測IC!AA17</f>
        <v>1.0424601303324552</v>
      </c>
      <c r="AB17" s="11">
        <f>AA17+預測IC!AB17</f>
        <v>0.95760806745428284</v>
      </c>
      <c r="AC17" s="11">
        <f>AB17+預測IC!AC17</f>
        <v>0.89887937716378907</v>
      </c>
      <c r="AD17" s="11">
        <f>AC17+預測IC!AD17</f>
        <v>0.96749925216378907</v>
      </c>
      <c r="AE17" s="11">
        <f>AD17+預測IC!AE17</f>
        <v>1.0946576746110142</v>
      </c>
      <c r="AF17" s="11">
        <f>AE17+預測IC!AF17</f>
        <v>1.0332283644890741</v>
      </c>
      <c r="AG17" s="11">
        <f>AF17+預測IC!AG17</f>
        <v>1.0104873837012838</v>
      </c>
      <c r="AH17" s="11">
        <f>AG17+預測IC!AH17</f>
        <v>1.0459600028741727</v>
      </c>
      <c r="AI17" s="11">
        <f>AH17+預測IC!AI17</f>
        <v>1.0153722942326591</v>
      </c>
      <c r="AJ17" s="11">
        <f>AI17+預測IC!AJ17</f>
        <v>1.0579749247516159</v>
      </c>
      <c r="AK17" s="11">
        <f>AJ17+預測IC!AK17</f>
        <v>0.98425865001257951</v>
      </c>
      <c r="AL17" s="11">
        <f>AK17+預測IC!AL17</f>
        <v>0.93353424426402298</v>
      </c>
      <c r="AM17" s="11">
        <f>AL17+預測IC!AM17</f>
        <v>0.85816487667636598</v>
      </c>
      <c r="AN17" s="11">
        <f>AM17+預測IC!AN17</f>
        <v>0.74487775633044828</v>
      </c>
      <c r="AO17" s="11">
        <f>AN17+預測IC!AO17</f>
        <v>0.73224542173472407</v>
      </c>
      <c r="AP17" s="11">
        <f>AO17+預測IC!AP17</f>
        <v>0.80948823615430954</v>
      </c>
      <c r="AQ17" s="11">
        <f>AP17+預測IC!AQ17</f>
        <v>0.8700153735558086</v>
      </c>
      <c r="AR17" s="11">
        <f>AQ17+預測IC!AR17</f>
        <v>0.75608466366099125</v>
      </c>
      <c r="AS17" s="11">
        <f>AR17+預測IC!AS17</f>
        <v>0.6997611016265155</v>
      </c>
      <c r="AT17" s="11">
        <f>AS17+預測IC!AT17</f>
        <v>0.64749329517679333</v>
      </c>
      <c r="AU17" s="11">
        <f>AT17+預測IC!AU17</f>
        <v>0.59293778789010554</v>
      </c>
      <c r="AV17" s="11">
        <f>AU17+預測IC!AV17</f>
        <v>0.61414369067237395</v>
      </c>
      <c r="AW17" s="11">
        <f>AV17+預測IC!AW17</f>
        <v>0.60572180263053721</v>
      </c>
      <c r="AX17" s="11">
        <f>AW17+預測IC!AX17</f>
        <v>0.50948124412173823</v>
      </c>
      <c r="AY17" s="11">
        <f>AX17+預測IC!AY17</f>
        <v>0.48205754743113732</v>
      </c>
      <c r="AZ17" s="11">
        <f>AY17+預測IC!AZ17</f>
        <v>0.60721514969132839</v>
      </c>
      <c r="BA17" s="11">
        <f>AZ17+預測IC!BA17</f>
        <v>0.77002164969132836</v>
      </c>
      <c r="BB17" s="11">
        <f>BA17+預測IC!BB17</f>
        <v>0.646257586577484</v>
      </c>
      <c r="BC17" s="11">
        <f>BB17+預測IC!BC17</f>
        <v>0.5623943913996704</v>
      </c>
      <c r="BD17" s="11">
        <f>BC17+預測IC!BD17</f>
        <v>0.54003790915346561</v>
      </c>
      <c r="BE17" s="11">
        <f>BD17+預測IC!BE17</f>
        <v>0.46268766691540519</v>
      </c>
      <c r="BF17" s="11">
        <f>BE17+預測IC!BF17</f>
        <v>0.40749017030645146</v>
      </c>
      <c r="BG17" s="11">
        <f>BF17+預測IC!BG17</f>
        <v>0.22173859217557057</v>
      </c>
      <c r="BH17" s="11">
        <f>BG17+預測IC!BH17</f>
        <v>8.8547478850241473E-2</v>
      </c>
      <c r="BI17" s="11">
        <f>BH17+預測IC!BI17</f>
        <v>0.16928587840859305</v>
      </c>
      <c r="BJ17" s="11">
        <f>BI17+預測IC!BJ17</f>
        <v>7.141763404016907E-2</v>
      </c>
      <c r="BK17" s="11">
        <f>BJ17+預測IC!BK17</f>
        <v>8.8168960790549866E-2</v>
      </c>
      <c r="BL17" s="11">
        <f>BK17+預測IC!BL17</f>
        <v>9.5742210790549884E-2</v>
      </c>
      <c r="BM17" s="11">
        <f>BL17+預測IC!BM17</f>
        <v>1.9744440344689917E-2</v>
      </c>
      <c r="BN17" s="11">
        <f>BM17+預測IC!BN17</f>
        <v>-2.7171085249188071E-2</v>
      </c>
      <c r="BO17" s="11">
        <f>BN17+預測IC!BO17</f>
        <v>-6.2350700665911682E-2</v>
      </c>
      <c r="BP17" s="11">
        <f>BO17+預測IC!BP17</f>
        <v>-9.8346680320392593E-2</v>
      </c>
      <c r="BQ17" s="11">
        <f>BP17+預測IC!BQ17</f>
        <v>-0.1097231907668442</v>
      </c>
      <c r="BR17" s="11">
        <f>BQ17+預測IC!BR17</f>
        <v>-0.10007681564209431</v>
      </c>
      <c r="BS17" s="11">
        <f>BR17+預測IC!BS17</f>
        <v>-7.9170797428398804E-2</v>
      </c>
      <c r="BT17" s="11">
        <f>BS17+預測IC!BT17</f>
        <v>-0.11281804742839879</v>
      </c>
      <c r="BU17" s="11">
        <f>BT17+預測IC!BU17</f>
        <v>-0.2173424224283988</v>
      </c>
      <c r="BV17" s="11">
        <f>BU17+預測IC!BV17</f>
        <v>-0.1106985474283988</v>
      </c>
      <c r="BW17" s="11">
        <f>BV17+預測IC!BW17</f>
        <v>0.11653582757160119</v>
      </c>
      <c r="BX17" s="11">
        <f>BW17+預測IC!BX17</f>
        <v>8.7712862951928455E-2</v>
      </c>
      <c r="BY17" s="11">
        <f>BX17+預測IC!BY17</f>
        <v>-8.1495120480715583E-3</v>
      </c>
      <c r="BZ17" s="11">
        <f>BY17+預測IC!BZ17</f>
        <v>9.8802487951928447E-2</v>
      </c>
      <c r="CA17" s="11">
        <f>BZ17+預測IC!CA17</f>
        <v>0.12599861295192843</v>
      </c>
      <c r="CB17" s="11">
        <f>CA17+預測IC!CB17</f>
        <v>1.6832775931184429E-2</v>
      </c>
      <c r="CC17" s="11">
        <f>CB17+預測IC!CC17</f>
        <v>0.13151362278496223</v>
      </c>
      <c r="CD17" s="11">
        <f>CC17+預測IC!CD17</f>
        <v>5.5128507505488117E-2</v>
      </c>
      <c r="CE17" s="11">
        <f>CD17+預測IC!CE17</f>
        <v>-5.7366083789918781E-2</v>
      </c>
      <c r="CF17" s="11">
        <f>CE17+預測IC!CF17</f>
        <v>-0.15248983378991876</v>
      </c>
      <c r="CG17" s="11">
        <f>CF17+預測IC!CG17</f>
        <v>-0.22720482241864987</v>
      </c>
      <c r="CH17" s="11">
        <f>CG17+預測IC!CH17</f>
        <v>-0.26017389458910289</v>
      </c>
      <c r="CI17" s="11">
        <f>CH17+預測IC!CI17</f>
        <v>-0.25647211121421831</v>
      </c>
      <c r="CJ17" s="11">
        <f>CI17+預測IC!CJ17</f>
        <v>-0.2355212837328699</v>
      </c>
      <c r="CK17" s="11">
        <f>CJ17+預測IC!CK17</f>
        <v>-0.15156543547323914</v>
      </c>
      <c r="CL17" s="11">
        <f>CK17+預測IC!CL17</f>
        <v>-1.472633650850233E-2</v>
      </c>
      <c r="CM17" s="11">
        <f>CL17+預測IC!CM17</f>
        <v>-0.14929568094007664</v>
      </c>
      <c r="CN17" s="11">
        <f>CM17+預測IC!CN17</f>
        <v>-0.12257761978908967</v>
      </c>
      <c r="CO17" s="11">
        <f>CN17+預測IC!CO17</f>
        <v>7.9961007473899823E-2</v>
      </c>
      <c r="CP17" s="11">
        <f>CO17+預測IC!CP17</f>
        <v>-6.8198261723443773E-2</v>
      </c>
      <c r="CQ17" s="11">
        <f>CP17+預測IC!CQ17</f>
        <v>-0.1092861949068471</v>
      </c>
      <c r="CR17" s="11">
        <f>CQ17+預測IC!CR17</f>
        <v>-0.15996268560907029</v>
      </c>
      <c r="CS17" s="11">
        <f>CR17+預測IC!CS17</f>
        <v>-0.25680431690864003</v>
      </c>
      <c r="CT17" s="11">
        <f>CS17+預測IC!CT17</f>
        <v>-0.30606437329783309</v>
      </c>
      <c r="CU17" s="11">
        <f>CT17+預測IC!CU17</f>
        <v>-0.2316560657145792</v>
      </c>
      <c r="CV17" s="11">
        <f>CU17+預測IC!CV17</f>
        <v>-0.23553567365450662</v>
      </c>
      <c r="CW17" s="11">
        <f>CV17+預測IC!CW17</f>
        <v>-0.21577381974515367</v>
      </c>
      <c r="CX17" s="11">
        <f>CW17+預測IC!CX17</f>
        <v>-0.22654621426910149</v>
      </c>
      <c r="CY17" s="11">
        <f>CX17+預測IC!CY17</f>
        <v>-0.17716291555301145</v>
      </c>
      <c r="CZ17" s="11">
        <f>CY17+預測IC!CZ17</f>
        <v>-0.30141175340063198</v>
      </c>
      <c r="DA17" s="11">
        <f>CZ17+預測IC!DA17</f>
        <v>-0.25751589425549781</v>
      </c>
      <c r="DB17" s="11">
        <f>DA17+預測IC!DB17</f>
        <v>-0.2226328834630299</v>
      </c>
      <c r="DC17" s="11">
        <f>DB17+預測IC!DC17</f>
        <v>-0.26599635244052922</v>
      </c>
      <c r="DD17" s="11">
        <f>DC17+預測IC!DD17</f>
        <v>-0.18086241935637526</v>
      </c>
      <c r="DE17" s="11">
        <f>DD17+預測IC!DE17</f>
        <v>-0.22458583513967847</v>
      </c>
      <c r="DF17" s="11">
        <f>DE17+預測IC!DF17</f>
        <v>-0.2133544648130192</v>
      </c>
      <c r="DG17" s="11">
        <f>DF17+預測IC!DG17</f>
        <v>-0.21151518288411078</v>
      </c>
      <c r="DH17" s="11">
        <f>DG17+預測IC!DH17</f>
        <v>-0.17278853194609806</v>
      </c>
      <c r="DI17" s="11">
        <f>DH17+預測IC!DI17</f>
        <v>-0.16749528762231561</v>
      </c>
      <c r="DJ17" s="11">
        <f>DI17+預測IC!DJ17</f>
        <v>-0.12215913008149565</v>
      </c>
      <c r="DK17" s="11">
        <f>DJ17+預測IC!DK17</f>
        <v>-0.27819555819804187</v>
      </c>
      <c r="DL17" s="11">
        <f>DK17+預測IC!DL17</f>
        <v>-0.35171115913521295</v>
      </c>
      <c r="DM17" s="11">
        <f>DL17+預測IC!DM17</f>
        <v>-0.29945824855289693</v>
      </c>
      <c r="DN17" s="11">
        <f>DM17+預測IC!DN17</f>
        <v>-0.33494728126723594</v>
      </c>
      <c r="DO17" s="11">
        <f>DN17+預測IC!DO17</f>
        <v>-0.38839865160713938</v>
      </c>
      <c r="DP17" s="11">
        <f>DO17+預測IC!DP17</f>
        <v>-0.37188014335051583</v>
      </c>
      <c r="DQ17" s="11">
        <f>DP17+預測IC!DQ17</f>
        <v>-0.29922613824449096</v>
      </c>
      <c r="DR17" s="11">
        <f>DQ17+預測IC!DR17</f>
        <v>-0.25379487455387428</v>
      </c>
      <c r="DS17" s="11">
        <f>DR17+預測IC!DS17</f>
        <v>-0.12947871474906339</v>
      </c>
      <c r="DT17" s="11">
        <f>DS17+預測IC!DT17</f>
        <v>-3.6339765063911816E-2</v>
      </c>
      <c r="DU17" s="11">
        <f>DT17+預測IC!DU17</f>
        <v>3.5390940986593511E-2</v>
      </c>
      <c r="DV17" s="11">
        <f>DU17+預測IC!DV17</f>
        <v>-8.2374457124360784E-2</v>
      </c>
      <c r="DW17" s="11">
        <f>DV17+預測IC!DW17</f>
        <v>-0.13105594053851094</v>
      </c>
      <c r="DX17" s="11">
        <f>DW17+預測IC!DX17</f>
        <v>-1.5169579420369339E-3</v>
      </c>
      <c r="DY17" s="11">
        <f>DX17+預測IC!DY17</f>
        <v>-0.11365541274811103</v>
      </c>
      <c r="DZ17" s="11">
        <f>DY17+預測IC!DZ17</f>
        <v>-8.1827240148324848E-2</v>
      </c>
      <c r="EA17" s="11">
        <f>DZ17+預測IC!EA17</f>
        <v>-8.6459764365049457E-2</v>
      </c>
      <c r="EB17" s="11">
        <f>EA17+預測IC!EB17</f>
        <v>2.0825562388708044E-2</v>
      </c>
      <c r="EC17" s="11">
        <f>EB17+預測IC!EC17</f>
        <v>-0.10068645487931506</v>
      </c>
      <c r="ED17" s="11">
        <f>EC17+預測IC!ED17</f>
        <v>-0.20397712881634417</v>
      </c>
      <c r="EE17" s="11">
        <f>ED17+預測IC!EE17</f>
        <v>-0.13969842884745515</v>
      </c>
      <c r="EF17" s="11">
        <f>EE17+預測IC!EF17</f>
        <v>-0.187408195857307</v>
      </c>
    </row>
    <row r="18" spans="1:136">
      <c r="A18" s="2">
        <v>137</v>
      </c>
      <c r="B18" s="2">
        <v>7</v>
      </c>
      <c r="C18" s="11">
        <v>0.1897511428571429</v>
      </c>
      <c r="D18" s="11">
        <f>C18+預測IC!D18</f>
        <v>0.59163514285714291</v>
      </c>
      <c r="E18" s="11">
        <f>D18+預測IC!E18</f>
        <v>0.64507300000000012</v>
      </c>
      <c r="F18" s="11">
        <f>E18+預測IC!F18</f>
        <v>0.85716385714285726</v>
      </c>
      <c r="G18" s="11">
        <f>F18+預測IC!G18</f>
        <v>0.99022257142857151</v>
      </c>
      <c r="H18" s="11">
        <f>G18+預測IC!H18</f>
        <v>1.1187625714285714</v>
      </c>
      <c r="I18" s="11">
        <f>H18+預測IC!I18</f>
        <v>1.1737151428571428</v>
      </c>
      <c r="J18" s="11">
        <f>I18+預測IC!J18</f>
        <v>1.0485542857142855</v>
      </c>
      <c r="K18" s="11">
        <f>J18+預測IC!K18</f>
        <v>1.0801395714285713</v>
      </c>
      <c r="L18" s="11">
        <f>K18+預測IC!L18</f>
        <v>1.1268111428571428</v>
      </c>
      <c r="M18" s="11">
        <f>L18+預測IC!M18</f>
        <v>1.1558626072336</v>
      </c>
      <c r="N18" s="11">
        <f>M18+預測IC!N18</f>
        <v>1.0146551187373039</v>
      </c>
      <c r="O18" s="11">
        <f>N18+預測IC!O18</f>
        <v>1.0463930598348021</v>
      </c>
      <c r="P18" s="11">
        <f>O18+預測IC!P18</f>
        <v>1.1009627741205164</v>
      </c>
      <c r="Q18" s="11">
        <f>P18+預測IC!Q18</f>
        <v>1.2227014884062306</v>
      </c>
      <c r="R18" s="11">
        <f>Q18+預測IC!R18</f>
        <v>1.2420280598348021</v>
      </c>
      <c r="S18" s="11">
        <f>R18+預測IC!S18</f>
        <v>1.1730147741205164</v>
      </c>
      <c r="T18" s="11">
        <f>S18+預測IC!T18</f>
        <v>1.1679852026919448</v>
      </c>
      <c r="U18" s="11">
        <f>T18+預測IC!U18</f>
        <v>1.2231355457435096</v>
      </c>
      <c r="V18" s="11">
        <f>U18+預測IC!V18</f>
        <v>1.1017440843175839</v>
      </c>
      <c r="W18" s="11">
        <f>V18+預測IC!W18</f>
        <v>0.93560925504828474</v>
      </c>
      <c r="X18" s="11">
        <f>W18+預測IC!X18</f>
        <v>1.0627325407625705</v>
      </c>
      <c r="Y18" s="11">
        <f>X18+預測IC!Y18</f>
        <v>1.0435002064051351</v>
      </c>
      <c r="Z18" s="11">
        <f>Y18+預測IC!Z18</f>
        <v>0.95426584296461225</v>
      </c>
      <c r="AA18" s="11">
        <f>Z18+預測IC!AA18</f>
        <v>1.0090714143931836</v>
      </c>
      <c r="AB18" s="11">
        <f>AA18+預測IC!AB18</f>
        <v>0.92437311466269945</v>
      </c>
      <c r="AC18" s="11">
        <f>AB18+預測IC!AC18</f>
        <v>0.86655010180674219</v>
      </c>
      <c r="AD18" s="11">
        <f>AC18+預測IC!AD18</f>
        <v>0.96283595894959939</v>
      </c>
      <c r="AE18" s="11">
        <f>AD18+預測IC!AE18</f>
        <v>1.1063652003786739</v>
      </c>
      <c r="AF18" s="11">
        <f>AE18+預測IC!AF18</f>
        <v>1.0744917822180484</v>
      </c>
      <c r="AG18" s="11">
        <f>AF18+預測IC!AG18</f>
        <v>1.0419986661201723</v>
      </c>
      <c r="AH18" s="11">
        <f>AG18+預測IC!AH18</f>
        <v>1.0821961270886871</v>
      </c>
      <c r="AI18" s="11">
        <f>AH18+預測IC!AI18</f>
        <v>1.0353405857349312</v>
      </c>
      <c r="AJ18" s="11">
        <f>AI18+預測IC!AJ18</f>
        <v>1.0827343419013802</v>
      </c>
      <c r="AK18" s="11">
        <f>AJ18+預測IC!AK18</f>
        <v>1.0525818613037541</v>
      </c>
      <c r="AL18" s="11">
        <f>AK18+預測IC!AL18</f>
        <v>1.0050540976714963</v>
      </c>
      <c r="AM18" s="11">
        <f>AL18+預測IC!AM18</f>
        <v>0.93841069224672513</v>
      </c>
      <c r="AN18" s="11">
        <f>AM18+預測IC!AN18</f>
        <v>0.85911605229152332</v>
      </c>
      <c r="AO18" s="11">
        <f>AN18+預測IC!AO18</f>
        <v>0.85368851732383055</v>
      </c>
      <c r="AP18" s="11">
        <f>AO18+預測IC!AP18</f>
        <v>0.93196710925763748</v>
      </c>
      <c r="AQ18" s="11">
        <f>AP18+預測IC!AQ18</f>
        <v>1.0081979545840873</v>
      </c>
      <c r="AR18" s="11">
        <f>AQ18+預測IC!AR18</f>
        <v>0.88365244822114319</v>
      </c>
      <c r="AS18" s="11">
        <f>AR18+預測IC!AS18</f>
        <v>0.79782589666717407</v>
      </c>
      <c r="AT18" s="11">
        <f>AS18+預測IC!AT18</f>
        <v>0.75450024684659533</v>
      </c>
      <c r="AU18" s="11">
        <f>AT18+預測IC!AU18</f>
        <v>0.68992460276700385</v>
      </c>
      <c r="AV18" s="11">
        <f>AU18+預測IC!AV18</f>
        <v>0.71869335864872108</v>
      </c>
      <c r="AW18" s="11">
        <f>AV18+預測IC!AW18</f>
        <v>0.69415532440761363</v>
      </c>
      <c r="AX18" s="11">
        <f>AW18+預測IC!AX18</f>
        <v>0.58659445615177752</v>
      </c>
      <c r="AY18" s="11">
        <f>AX18+預測IC!AY18</f>
        <v>0.55181117751062947</v>
      </c>
      <c r="AZ18" s="11">
        <f>AY18+預測IC!AZ18</f>
        <v>0.70022025989952863</v>
      </c>
      <c r="BA18" s="11">
        <f>AZ18+預測IC!BA18</f>
        <v>0.88070011704238571</v>
      </c>
      <c r="BB18" s="11">
        <f>BA18+預測IC!BB18</f>
        <v>0.74304407488504864</v>
      </c>
      <c r="BC18" s="11">
        <f>BB18+預測IC!BC18</f>
        <v>0.65984250229172803</v>
      </c>
      <c r="BD18" s="11">
        <f>BC18+預測IC!BD18</f>
        <v>0.6838587739790285</v>
      </c>
      <c r="BE18" s="11">
        <f>BD18+預測IC!BE18</f>
        <v>0.6154975607408657</v>
      </c>
      <c r="BF18" s="11">
        <f>BE18+預測IC!BF18</f>
        <v>0.56961302444128692</v>
      </c>
      <c r="BG18" s="11">
        <f>BF18+預測IC!BG18</f>
        <v>0.42289904961299829</v>
      </c>
      <c r="BH18" s="11">
        <f>BG18+預測IC!BH18</f>
        <v>0.28500078446285582</v>
      </c>
      <c r="BI18" s="11">
        <f>BH18+預測IC!BI18</f>
        <v>0.36099187820331446</v>
      </c>
      <c r="BJ18" s="11">
        <f>BI18+預測IC!BJ18</f>
        <v>0.26245802151789266</v>
      </c>
      <c r="BK18" s="11">
        <f>BJ18+預測IC!BK18</f>
        <v>0.26343910542100957</v>
      </c>
      <c r="BL18" s="11">
        <f>BK18+預測IC!BL18</f>
        <v>0.28979139113529528</v>
      </c>
      <c r="BM18" s="11">
        <f>BL18+預測IC!BM18</f>
        <v>0.18701745207185569</v>
      </c>
      <c r="BN18" s="11">
        <f>BM18+預測IC!BN18</f>
        <v>0.13424306244802553</v>
      </c>
      <c r="BO18" s="11">
        <f>BN18+預測IC!BO18</f>
        <v>0.11401556634165089</v>
      </c>
      <c r="BP18" s="11">
        <f>BO18+預測IC!BP18</f>
        <v>6.7158026006968879E-2</v>
      </c>
      <c r="BQ18" s="11">
        <f>BP18+預測IC!BQ18</f>
        <v>6.5241241897119884E-2</v>
      </c>
      <c r="BR18" s="11">
        <f>BQ18+預測IC!BR18</f>
        <v>7.0989435481074614E-2</v>
      </c>
      <c r="BS18" s="11">
        <f>BR18+預測IC!BS18</f>
        <v>0.10386269205710644</v>
      </c>
      <c r="BT18" s="11">
        <f>BS18+預測IC!BT18</f>
        <v>9.0563834914249283E-2</v>
      </c>
      <c r="BU18" s="11">
        <f>BT18+預測IC!BU18</f>
        <v>-2.0898307942893518E-2</v>
      </c>
      <c r="BV18" s="11">
        <f>BU18+預測IC!BV18</f>
        <v>9.4607263485677884E-2</v>
      </c>
      <c r="BW18" s="11">
        <f>BV18+預測IC!BW18</f>
        <v>0.35564654919996358</v>
      </c>
      <c r="BX18" s="11">
        <f>BW18+預測IC!BX18</f>
        <v>0.3366280744839279</v>
      </c>
      <c r="BY18" s="11">
        <f>BX18+預測IC!BY18</f>
        <v>0.27393964591249931</v>
      </c>
      <c r="BZ18" s="11">
        <f>BY18+預測IC!BZ18</f>
        <v>0.38375478876964209</v>
      </c>
      <c r="CA18" s="11">
        <f>BZ18+預測IC!CA18</f>
        <v>0.41704064591249923</v>
      </c>
      <c r="CB18" s="11">
        <f>CA18+預測IC!CB18</f>
        <v>0.31965336293308999</v>
      </c>
      <c r="CC18" s="11">
        <f>CB18+預測IC!CC18</f>
        <v>0.42525142564898138</v>
      </c>
      <c r="CD18" s="11">
        <f>CC18+預測IC!CD18</f>
        <v>0.30365620248021719</v>
      </c>
      <c r="CE18" s="11">
        <f>CD18+預測IC!CE18</f>
        <v>0.17358061686296999</v>
      </c>
      <c r="CF18" s="11">
        <f>CE18+預測IC!CF18</f>
        <v>7.1721616862969989E-2</v>
      </c>
      <c r="CG18" s="11">
        <f>CF18+預測IC!CG18</f>
        <v>-1.9887638700949353E-2</v>
      </c>
      <c r="CH18" s="11">
        <f>CG18+預測IC!CH18</f>
        <v>-6.5253287660108142E-2</v>
      </c>
      <c r="CI18" s="11">
        <f>CH18+預測IC!CI18</f>
        <v>-0.18031259846928666</v>
      </c>
      <c r="CJ18" s="11">
        <f>CI18+預測IC!CJ18</f>
        <v>-0.18408496496968427</v>
      </c>
      <c r="CK18" s="11">
        <f>CJ18+預測IC!CK18</f>
        <v>-8.802693330416117E-2</v>
      </c>
      <c r="CL18" s="11">
        <f>CK18+預測IC!CL18</f>
        <v>6.4887010505323917E-2</v>
      </c>
      <c r="CM18" s="11">
        <f>CL18+預測IC!CM18</f>
        <v>-7.8761532659069794E-2</v>
      </c>
      <c r="CN18" s="11">
        <f>CM18+預測IC!CN18</f>
        <v>-4.3675278680893187E-2</v>
      </c>
      <c r="CO18" s="11">
        <f>CN18+預測IC!CO18</f>
        <v>0.1878985998685361</v>
      </c>
      <c r="CP18" s="11">
        <f>CO18+預測IC!CP18</f>
        <v>2.5059490920525396E-2</v>
      </c>
      <c r="CQ18" s="11">
        <f>CP18+預測IC!CQ18</f>
        <v>-2.2917045487742142E-2</v>
      </c>
      <c r="CR18" s="11">
        <f>CQ18+預測IC!CR18</f>
        <v>-7.807317420433417E-2</v>
      </c>
      <c r="CS18" s="11">
        <f>CR18+預測IC!CS18</f>
        <v>-0.15610042093630544</v>
      </c>
      <c r="CT18" s="11">
        <f>CS18+預測IC!CT18</f>
        <v>-0.24661584993855484</v>
      </c>
      <c r="CU18" s="11">
        <f>CT18+預測IC!CU18</f>
        <v>-0.17496715873344484</v>
      </c>
      <c r="CV18" s="11">
        <f>CU18+預測IC!CV18</f>
        <v>-0.26600744096373352</v>
      </c>
      <c r="CW18" s="11">
        <f>CV18+預測IC!CW18</f>
        <v>-0.2575513553992077</v>
      </c>
      <c r="CX18" s="11">
        <f>CW18+預測IC!CX18</f>
        <v>-0.3191115412329858</v>
      </c>
      <c r="CY18" s="11">
        <f>CX18+預測IC!CY18</f>
        <v>-0.26775412745820354</v>
      </c>
      <c r="CZ18" s="11">
        <f>CY18+預測IC!CZ18</f>
        <v>-0.4005969907599749</v>
      </c>
      <c r="DA18" s="11">
        <f>CZ18+預測IC!DA18</f>
        <v>-0.35321605124128136</v>
      </c>
      <c r="DB18" s="11">
        <f>DA18+預測IC!DB18</f>
        <v>-0.30748084256252195</v>
      </c>
      <c r="DC18" s="11">
        <f>DB18+預測IC!DC18</f>
        <v>-0.34388962405802814</v>
      </c>
      <c r="DD18" s="11">
        <f>DC18+預測IC!DD18</f>
        <v>-0.26142727056261394</v>
      </c>
      <c r="DE18" s="11">
        <f>DD18+預測IC!DE18</f>
        <v>-0.31060071545425494</v>
      </c>
      <c r="DF18" s="11">
        <f>DE18+預測IC!DF18</f>
        <v>-0.27555793667188466</v>
      </c>
      <c r="DG18" s="11">
        <f>DF18+預測IC!DG18</f>
        <v>-0.26793846351425699</v>
      </c>
      <c r="DH18" s="11">
        <f>DG18+預測IC!DH18</f>
        <v>-0.23990045026560797</v>
      </c>
      <c r="DI18" s="11">
        <f>DH18+預測IC!DI18</f>
        <v>-0.22378582102758116</v>
      </c>
      <c r="DJ18" s="11">
        <f>DI18+預測IC!DJ18</f>
        <v>-0.17858178124229163</v>
      </c>
      <c r="DK18" s="11">
        <f>DJ18+預測IC!DK18</f>
        <v>-0.33709540833471902</v>
      </c>
      <c r="DL18" s="11">
        <f>DK18+預測IC!DL18</f>
        <v>-0.41849315125096015</v>
      </c>
      <c r="DM18" s="11">
        <f>DL18+預測IC!DM18</f>
        <v>-0.351985010518922</v>
      </c>
      <c r="DN18" s="11">
        <f>DM18+預測IC!DN18</f>
        <v>-0.33526294644090077</v>
      </c>
      <c r="DO18" s="11">
        <f>DN18+預測IC!DO18</f>
        <v>-0.37736785399153128</v>
      </c>
      <c r="DP18" s="11">
        <f>DO18+預測IC!DP18</f>
        <v>-0.35676316752466553</v>
      </c>
      <c r="DQ18" s="11">
        <f>DP18+預測IC!DQ18</f>
        <v>-0.2910137093407667</v>
      </c>
      <c r="DR18" s="11">
        <f>DQ18+預測IC!DR18</f>
        <v>-0.2385526453092181</v>
      </c>
      <c r="DS18" s="11">
        <f>DR18+預測IC!DS18</f>
        <v>-9.0830646857485403E-2</v>
      </c>
      <c r="DT18" s="11">
        <f>DS18+預測IC!DT18</f>
        <v>2.5186743253491697E-2</v>
      </c>
      <c r="DU18" s="11">
        <f>DT18+預測IC!DU18</f>
        <v>0.12208192933039634</v>
      </c>
      <c r="DV18" s="11">
        <f>DU18+預測IC!DV18</f>
        <v>1.6441320530334438E-2</v>
      </c>
      <c r="DW18" s="11">
        <f>DV18+預測IC!DW18</f>
        <v>-6.5467371754038731E-2</v>
      </c>
      <c r="DX18" s="11">
        <f>DW18+預測IC!DX18</f>
        <v>8.8135605708443074E-2</v>
      </c>
      <c r="DY18" s="11">
        <f>DX18+預測IC!DY18</f>
        <v>-9.2924312675065346E-3</v>
      </c>
      <c r="DZ18" s="11">
        <f>DY18+預測IC!DZ18</f>
        <v>6.6223928028859125E-2</v>
      </c>
      <c r="EA18" s="11">
        <f>DZ18+預測IC!EA18</f>
        <v>6.1485630790614386E-2</v>
      </c>
      <c r="EB18" s="11">
        <f>EA18+預測IC!EB18</f>
        <v>0.17144998524080979</v>
      </c>
      <c r="EC18" s="11">
        <f>EB18+預測IC!EC18</f>
        <v>2.8409754648024282E-2</v>
      </c>
      <c r="ED18" s="11">
        <f>EC18+預測IC!ED18</f>
        <v>-5.4349346740542301E-2</v>
      </c>
      <c r="EE18" s="11">
        <f>ED18+預測IC!EE18</f>
        <v>-1.3343064251780876E-3</v>
      </c>
      <c r="EF18" s="11">
        <f>EE18+預測IC!EF18</f>
        <v>-5.0289323535594635E-2</v>
      </c>
    </row>
    <row r="19" spans="1:136">
      <c r="A19" s="2">
        <v>160</v>
      </c>
      <c r="B19" s="2">
        <v>6</v>
      </c>
      <c r="C19" s="11">
        <v>0.19659983333333331</v>
      </c>
      <c r="D19" s="11">
        <f>C19+預測IC!D19</f>
        <v>0.60412116666666671</v>
      </c>
      <c r="E19" s="11">
        <f>D19+預測IC!E19</f>
        <v>0.66993366666666665</v>
      </c>
      <c r="F19" s="11">
        <f>E19+預測IC!F19</f>
        <v>0.90610449999999998</v>
      </c>
      <c r="G19" s="11">
        <f>F19+預測IC!G19</f>
        <v>1.0589696666666666</v>
      </c>
      <c r="H19" s="11">
        <f>G19+預測IC!H19</f>
        <v>1.2365798333333333</v>
      </c>
      <c r="I19" s="11">
        <f>H19+預測IC!I19</f>
        <v>1.2840431666666667</v>
      </c>
      <c r="J19" s="11">
        <f>I19+預測IC!J19</f>
        <v>1.1278140000000001</v>
      </c>
      <c r="K19" s="11">
        <f>J19+預測IC!K19</f>
        <v>1.1843535000000001</v>
      </c>
      <c r="L19" s="11">
        <f>K19+預測IC!L19</f>
        <v>1.2147146666666668</v>
      </c>
      <c r="M19" s="11">
        <f>L19+預測IC!M19</f>
        <v>1.1710244305103596</v>
      </c>
      <c r="N19" s="11">
        <f>M19+預測IC!N19</f>
        <v>1.0191808493623795</v>
      </c>
      <c r="O19" s="11">
        <f>N19+預測IC!O19</f>
        <v>1.0507427238512954</v>
      </c>
      <c r="P19" s="11">
        <f>O19+預測IC!P19</f>
        <v>1.0735280571846286</v>
      </c>
      <c r="Q19" s="11">
        <f>P19+預測IC!Q19</f>
        <v>1.243992390517962</v>
      </c>
      <c r="R19" s="11">
        <f>Q19+預測IC!R19</f>
        <v>1.285935390517962</v>
      </c>
      <c r="S19" s="11">
        <f>R19+預測IC!S19</f>
        <v>1.2072392238512952</v>
      </c>
      <c r="T19" s="11">
        <f>S19+預測IC!T19</f>
        <v>1.097712390517962</v>
      </c>
      <c r="U19" s="11">
        <f>T19+預測IC!U19</f>
        <v>1.1649623921364449</v>
      </c>
      <c r="V19" s="11">
        <f>U19+預測IC!V19</f>
        <v>1.0722740724111317</v>
      </c>
      <c r="W19" s="11">
        <f>V19+預測IC!W19</f>
        <v>0.89753930910890023</v>
      </c>
      <c r="X19" s="11">
        <f>W19+預測IC!X19</f>
        <v>1.020462975775567</v>
      </c>
      <c r="Y19" s="11">
        <f>X19+預測IC!Y19</f>
        <v>0.99483433824741052</v>
      </c>
      <c r="Z19" s="11">
        <f>Y19+預測IC!Z19</f>
        <v>0.90321522767138696</v>
      </c>
      <c r="AA19" s="11">
        <f>Z19+預測IC!AA19</f>
        <v>0.95051689433805364</v>
      </c>
      <c r="AB19" s="11">
        <f>AA19+預測IC!AB19</f>
        <v>0.84826328845411092</v>
      </c>
      <c r="AC19" s="11">
        <f>AB19+預測IC!AC19</f>
        <v>0.81981045381241957</v>
      </c>
      <c r="AD19" s="11">
        <f>AC19+預測IC!AD19</f>
        <v>0.91580328714575288</v>
      </c>
      <c r="AE19" s="11">
        <f>AD19+預測IC!AE19</f>
        <v>1.0852193481435426</v>
      </c>
      <c r="AF19" s="11">
        <f>AE19+預測IC!AF19</f>
        <v>1.0464336813346429</v>
      </c>
      <c r="AG19" s="11">
        <f>AF19+預測IC!AG19</f>
        <v>1.0242974622620951</v>
      </c>
      <c r="AH19" s="11">
        <f>AG19+預測IC!AH19</f>
        <v>1.0808551774837987</v>
      </c>
      <c r="AI19" s="11">
        <f>AH19+預測IC!AI19</f>
        <v>0.99908505269430214</v>
      </c>
      <c r="AJ19" s="11">
        <f>AI19+預測IC!AJ19</f>
        <v>1.0506303430215644</v>
      </c>
      <c r="AK19" s="11">
        <f>AJ19+預測IC!AK19</f>
        <v>1.0430783005156117</v>
      </c>
      <c r="AL19" s="11">
        <f>AK19+預測IC!AL19</f>
        <v>0.97280735484480618</v>
      </c>
      <c r="AM19" s="11">
        <f>AL19+預測IC!AM19</f>
        <v>0.92970134303340124</v>
      </c>
      <c r="AN19" s="11">
        <f>AM19+預測IC!AN19</f>
        <v>0.84613304866771921</v>
      </c>
      <c r="AO19" s="11">
        <f>AN19+預測IC!AO19</f>
        <v>0.82024014562230485</v>
      </c>
      <c r="AP19" s="11">
        <f>AO19+預測IC!AP19</f>
        <v>0.9078142658951569</v>
      </c>
      <c r="AQ19" s="11">
        <f>AP19+預測IC!AQ19</f>
        <v>0.99606702295580751</v>
      </c>
      <c r="AR19" s="11">
        <f>AQ19+預測IC!AR19</f>
        <v>0.84254946064295011</v>
      </c>
      <c r="AS19" s="11">
        <f>AR19+預測IC!AS19</f>
        <v>0.74475250537463566</v>
      </c>
      <c r="AT19" s="11">
        <f>AS19+預測IC!AT19</f>
        <v>0.69545752360893431</v>
      </c>
      <c r="AU19" s="11">
        <f>AT19+預測IC!AU19</f>
        <v>0.61902880789528014</v>
      </c>
      <c r="AV19" s="11">
        <f>AU19+預測IC!AV19</f>
        <v>0.66906182859225805</v>
      </c>
      <c r="AW19" s="11">
        <f>AV19+預測IC!AW19</f>
        <v>0.64670566043812161</v>
      </c>
      <c r="AX19" s="11">
        <f>AW19+預測IC!AX19</f>
        <v>0.56649924612770874</v>
      </c>
      <c r="AY19" s="11">
        <f>AX19+預測IC!AY19</f>
        <v>0.53697027573432887</v>
      </c>
      <c r="AZ19" s="11">
        <f>AY19+預測IC!AZ19</f>
        <v>0.72384989390250321</v>
      </c>
      <c r="BA19" s="11">
        <f>AZ19+預測IC!BA19</f>
        <v>0.91084689390250317</v>
      </c>
      <c r="BB19" s="11">
        <f>BA19+預測IC!BB19</f>
        <v>0.75110069483007158</v>
      </c>
      <c r="BC19" s="11">
        <f>BB19+預測IC!BC19</f>
        <v>0.68704520848388584</v>
      </c>
      <c r="BD19" s="11">
        <f>BC19+預測IC!BD19</f>
        <v>0.69027960111395403</v>
      </c>
      <c r="BE19" s="11">
        <f>BD19+預測IC!BE19</f>
        <v>0.63914772715028745</v>
      </c>
      <c r="BF19" s="11">
        <f>BE19+預測IC!BF19</f>
        <v>0.62557675300114879</v>
      </c>
      <c r="BG19" s="11">
        <f>BF19+預測IC!BG19</f>
        <v>0.47226800183136053</v>
      </c>
      <c r="BH19" s="11">
        <f>BG19+預測IC!BH19</f>
        <v>0.33177109587778719</v>
      </c>
      <c r="BI19" s="11">
        <f>BH19+預測IC!BI19</f>
        <v>0.4330553258370034</v>
      </c>
      <c r="BJ19" s="11">
        <f>BI19+預測IC!BJ19</f>
        <v>0.3741431086645477</v>
      </c>
      <c r="BK19" s="11">
        <f>BJ19+預測IC!BK19</f>
        <v>0.304624072035106</v>
      </c>
      <c r="BL19" s="11">
        <f>BK19+預測IC!BL19</f>
        <v>0.33061990536843933</v>
      </c>
      <c r="BM19" s="11">
        <f>BL19+預測IC!BM19</f>
        <v>0.21636930510974361</v>
      </c>
      <c r="BN19" s="11">
        <f>BM19+預測IC!BN19</f>
        <v>0.14911665764247184</v>
      </c>
      <c r="BO19" s="11">
        <f>BN19+預測IC!BO19</f>
        <v>0.12338769637735646</v>
      </c>
      <c r="BP19" s="11">
        <f>BO19+預測IC!BP19</f>
        <v>6.0568888843224311E-2</v>
      </c>
      <c r="BQ19" s="11">
        <f>BP19+預測IC!BQ19</f>
        <v>5.0634844388901243E-2</v>
      </c>
      <c r="BR19" s="11">
        <f>BQ19+預測IC!BR19</f>
        <v>4.3959598365381235E-2</v>
      </c>
      <c r="BS19" s="11">
        <f>BR19+預測IC!BS19</f>
        <v>4.0459666425742329E-2</v>
      </c>
      <c r="BT19" s="11">
        <f>BS19+預測IC!BT19</f>
        <v>5.3654499759075651E-2</v>
      </c>
      <c r="BU19" s="11">
        <f>BT19+預測IC!BU19</f>
        <v>-7.7016333574257634E-2</v>
      </c>
      <c r="BV19" s="11">
        <f>BU19+預測IC!BV19</f>
        <v>2.306899975907567E-2</v>
      </c>
      <c r="BW19" s="11">
        <f>BV19+預測IC!BW19</f>
        <v>0.31904483309240905</v>
      </c>
      <c r="BX19" s="11">
        <f>BW19+預測IC!BX19</f>
        <v>0.28495704782055081</v>
      </c>
      <c r="BY19" s="11">
        <f>BX19+預測IC!BY19</f>
        <v>0.25727888115388414</v>
      </c>
      <c r="BZ19" s="11">
        <f>BY19+預測IC!BZ19</f>
        <v>0.40202154782055077</v>
      </c>
      <c r="CA19" s="11">
        <f>BZ19+預測IC!CA19</f>
        <v>0.43763171448721744</v>
      </c>
      <c r="CB19" s="11">
        <f>CA19+預測IC!CB19</f>
        <v>0.35865490686869189</v>
      </c>
      <c r="CC19" s="11">
        <f>CB19+預測IC!CC19</f>
        <v>0.46407166388741611</v>
      </c>
      <c r="CD19" s="11">
        <f>CC19+預測IC!CD19</f>
        <v>0.31533975059900887</v>
      </c>
      <c r="CE19" s="11">
        <f>CD19+預測IC!CE19</f>
        <v>0.20092539108587557</v>
      </c>
      <c r="CF19" s="11">
        <f>CE19+預測IC!CF19</f>
        <v>8.9226724419208869E-2</v>
      </c>
      <c r="CG19" s="11">
        <f>CF19+預測IC!CG19</f>
        <v>3.2109099552251719E-2</v>
      </c>
      <c r="CH19" s="11">
        <f>CG19+預測IC!CH19</f>
        <v>-1.0605944190482441E-2</v>
      </c>
      <c r="CI19" s="11">
        <f>CH19+預測IC!CI19</f>
        <v>-0.12134015194418685</v>
      </c>
      <c r="CJ19" s="11">
        <f>CI19+預測IC!CJ19</f>
        <v>-0.13315207470618107</v>
      </c>
      <c r="CK19" s="11">
        <f>CJ19+預測IC!CK19</f>
        <v>-1.4354811748846563E-2</v>
      </c>
      <c r="CL19" s="11">
        <f>CK19+預測IC!CL19</f>
        <v>0.10099296988989094</v>
      </c>
      <c r="CM19" s="11">
        <f>CL19+預測IC!CM19</f>
        <v>-7.4354671691824067E-2</v>
      </c>
      <c r="CN19" s="11">
        <f>CM19+預測IC!CN19</f>
        <v>2.5779829754793981E-3</v>
      </c>
      <c r="CO19" s="11">
        <f>CN19+預測IC!CO19</f>
        <v>0.27503238760398591</v>
      </c>
      <c r="CP19" s="11">
        <f>CO19+預測IC!CP19</f>
        <v>0.11599978862165319</v>
      </c>
      <c r="CQ19" s="11">
        <f>CP19+預測IC!CQ19</f>
        <v>0.11872969677621513</v>
      </c>
      <c r="CR19" s="11">
        <f>CQ19+預測IC!CR19</f>
        <v>6.9035507223812478E-2</v>
      </c>
      <c r="CS19" s="11">
        <f>CR19+預測IC!CS19</f>
        <v>8.334656325274345E-3</v>
      </c>
      <c r="CT19" s="11">
        <f>CS19+預測IC!CT19</f>
        <v>-0.11428577030475645</v>
      </c>
      <c r="CU19" s="11">
        <f>CT19+預測IC!CU19</f>
        <v>-3.0849373190863477E-2</v>
      </c>
      <c r="CV19" s="11">
        <f>CU19+預測IC!CV19</f>
        <v>-0.1328292347072671</v>
      </c>
      <c r="CW19" s="11">
        <f>CV19+預測IC!CW19</f>
        <v>-0.1109274269253685</v>
      </c>
      <c r="CX19" s="11">
        <f>CW19+預測IC!CX19</f>
        <v>-0.16856215329355345</v>
      </c>
      <c r="CY19" s="11">
        <f>CX19+預測IC!CY19</f>
        <v>-9.7640283729183902E-2</v>
      </c>
      <c r="CZ19" s="11">
        <f>CY19+預測IC!CZ19</f>
        <v>-0.21049211237064791</v>
      </c>
      <c r="DA19" s="11">
        <f>CZ19+預測IC!DA19</f>
        <v>-0.15226823566741116</v>
      </c>
      <c r="DB19" s="11">
        <f>DA19+預測IC!DB19</f>
        <v>-0.11654733664219549</v>
      </c>
      <c r="DC19" s="11">
        <f>DB19+預測IC!DC19</f>
        <v>-8.1367936740101426E-2</v>
      </c>
      <c r="DD19" s="11">
        <f>DC19+預測IC!DD19</f>
        <v>2.4889399214699279E-2</v>
      </c>
      <c r="DE19" s="11">
        <f>DD19+預測IC!DE19</f>
        <v>-2.9135556167910234E-2</v>
      </c>
      <c r="DF19" s="11">
        <f>DE19+預測IC!DF19</f>
        <v>4.0557490725112416E-2</v>
      </c>
      <c r="DG19" s="11">
        <f>DF19+預測IC!DG19</f>
        <v>5.3303965635761515E-2</v>
      </c>
      <c r="DH19" s="11">
        <f>DG19+預測IC!DH19</f>
        <v>5.3460948765166237E-2</v>
      </c>
      <c r="DI19" s="11">
        <f>DH19+預測IC!DI19</f>
        <v>4.9794524322745067E-2</v>
      </c>
      <c r="DJ19" s="11">
        <f>DI19+預測IC!DJ19</f>
        <v>9.8308875045721666E-2</v>
      </c>
      <c r="DK19" s="11">
        <f>DJ19+預測IC!DK19</f>
        <v>-2.5835712738485936E-2</v>
      </c>
      <c r="DL19" s="11">
        <f>DK19+預測IC!DL19</f>
        <v>-9.6003120538355427E-2</v>
      </c>
      <c r="DM19" s="11">
        <f>DL19+預測IC!DM19</f>
        <v>-1.4050865504361049E-2</v>
      </c>
      <c r="DN19" s="11">
        <f>DM19+預測IC!DN19</f>
        <v>-1.6525988601999549E-2</v>
      </c>
      <c r="DO19" s="11">
        <f>DN19+預測IC!DO19</f>
        <v>-7.1652552001943398E-2</v>
      </c>
      <c r="DP19" s="11">
        <f>DO19+預測IC!DP19</f>
        <v>-9.9490566484937121E-2</v>
      </c>
      <c r="DQ19" s="11">
        <f>DP19+預測IC!DQ19</f>
        <v>-1.9116394646862073E-2</v>
      </c>
      <c r="DR19" s="11">
        <f>DQ19+預測IC!DR19</f>
        <v>1.4064660598344096E-2</v>
      </c>
      <c r="DS19" s="11">
        <f>DR19+預測IC!DS19</f>
        <v>0.1920602075523144</v>
      </c>
      <c r="DT19" s="11">
        <f>DS19+預測IC!DT19</f>
        <v>0.32518870817166379</v>
      </c>
      <c r="DU19" s="11">
        <f>DT19+預測IC!DU19</f>
        <v>0.46801940622610405</v>
      </c>
      <c r="DV19" s="11">
        <f>DU19+預測IC!DV19</f>
        <v>0.35649469978549952</v>
      </c>
      <c r="DW19" s="11">
        <f>DV19+預測IC!DW19</f>
        <v>0.29588556044481523</v>
      </c>
      <c r="DX19" s="11">
        <f>DW19+預測IC!DX19</f>
        <v>0.43425069468299293</v>
      </c>
      <c r="DY19" s="11">
        <f>DX19+預測IC!DY19</f>
        <v>0.36414111699506979</v>
      </c>
      <c r="DZ19" s="11">
        <f>DY19+預測IC!DZ19</f>
        <v>0.47606194585906292</v>
      </c>
      <c r="EA19" s="11">
        <f>DZ19+預測IC!EA19</f>
        <v>0.50898167305407815</v>
      </c>
      <c r="EB19" s="11">
        <f>EA19+預測IC!EB19</f>
        <v>0.61773518269233063</v>
      </c>
      <c r="EC19" s="11">
        <f>EB19+預測IC!EC19</f>
        <v>0.47396097986732155</v>
      </c>
      <c r="ED19" s="11">
        <f>EC19+預測IC!ED19</f>
        <v>0.39367572159094644</v>
      </c>
      <c r="EE19" s="11">
        <f>ED19+預測IC!EE19</f>
        <v>0.4164916074348593</v>
      </c>
      <c r="EF19" s="11">
        <f>EE19+預測IC!EF19</f>
        <v>0.39951365256009014</v>
      </c>
    </row>
    <row r="20" spans="1:136">
      <c r="A20" s="2">
        <v>192</v>
      </c>
      <c r="B20" s="2">
        <v>5</v>
      </c>
      <c r="C20" s="11">
        <v>0.20155100000000001</v>
      </c>
      <c r="D20" s="11">
        <f>C20+預測IC!D20</f>
        <v>0.58357680000000001</v>
      </c>
      <c r="E20" s="11">
        <f>D20+預測IC!E20</f>
        <v>0.64091200000000004</v>
      </c>
      <c r="F20" s="11">
        <f>E20+預測IC!F20</f>
        <v>0.82333120000000004</v>
      </c>
      <c r="G20" s="11">
        <f>F20+預測IC!G20</f>
        <v>0.9813594000000001</v>
      </c>
      <c r="H20" s="11">
        <f>G20+預測IC!H20</f>
        <v>1.1252916000000002</v>
      </c>
      <c r="I20" s="11">
        <f>H20+預測IC!I20</f>
        <v>1.1532278000000002</v>
      </c>
      <c r="J20" s="11">
        <f>I20+預測IC!J20</f>
        <v>1.0200216000000002</v>
      </c>
      <c r="K20" s="11">
        <f>J20+預測IC!K20</f>
        <v>1.0574252000000002</v>
      </c>
      <c r="L20" s="11">
        <f>K20+預測IC!L20</f>
        <v>1.0881188000000002</v>
      </c>
      <c r="M20" s="11">
        <f>L20+預測IC!M20</f>
        <v>1.0104005717087268</v>
      </c>
      <c r="N20" s="11">
        <f>M20+預測IC!N20</f>
        <v>0.84225698351918288</v>
      </c>
      <c r="O20" s="11">
        <f>N20+預測IC!O20</f>
        <v>0.89212186958845696</v>
      </c>
      <c r="P20" s="11">
        <f>O20+預測IC!P20</f>
        <v>0.93215086958845694</v>
      </c>
      <c r="Q20" s="11">
        <f>P20+預測IC!Q20</f>
        <v>1.1569774695884569</v>
      </c>
      <c r="R20" s="11">
        <f>Q20+預測IC!R20</f>
        <v>1.2234470695884569</v>
      </c>
      <c r="S20" s="11">
        <f>R20+預測IC!S20</f>
        <v>1.1661056695884569</v>
      </c>
      <c r="T20" s="11">
        <f>S20+預測IC!T20</f>
        <v>1.0652598695884568</v>
      </c>
      <c r="U20" s="11">
        <f>T20+預測IC!U20</f>
        <v>1.0789802342956341</v>
      </c>
      <c r="V20" s="11">
        <f>U20+預測IC!V20</f>
        <v>0.97546263109101661</v>
      </c>
      <c r="W20" s="11">
        <f>V20+預測IC!W20</f>
        <v>0.74901896900791509</v>
      </c>
      <c r="X20" s="11">
        <f>W20+預測IC!X20</f>
        <v>0.89906196900791513</v>
      </c>
      <c r="Y20" s="11">
        <f>X20+預測IC!Y20</f>
        <v>0.85699447946931784</v>
      </c>
      <c r="Z20" s="11">
        <f>Y20+預測IC!Z20</f>
        <v>0.75137751898565852</v>
      </c>
      <c r="AA20" s="11">
        <f>Z20+預測IC!AA20</f>
        <v>0.81834151898565854</v>
      </c>
      <c r="AB20" s="11">
        <f>AA20+預測IC!AB20</f>
        <v>0.73358167825948528</v>
      </c>
      <c r="AC20" s="11">
        <f>AB20+預測IC!AC20</f>
        <v>0.67713833261896572</v>
      </c>
      <c r="AD20" s="11">
        <f>AC20+預測IC!AD20</f>
        <v>0.80698093261896575</v>
      </c>
      <c r="AE20" s="11">
        <f>AD20+預測IC!AE20</f>
        <v>1.0062737969580637</v>
      </c>
      <c r="AF20" s="11">
        <f>AE20+預測IC!AF20</f>
        <v>0.96722911857048377</v>
      </c>
      <c r="AG20" s="11">
        <f>AF20+預測IC!AG20</f>
        <v>0.93956990003059149</v>
      </c>
      <c r="AH20" s="11">
        <f>AG20+預測IC!AH20</f>
        <v>1.0297481007453742</v>
      </c>
      <c r="AI20" s="11">
        <f>AH20+預測IC!AI20</f>
        <v>0.95159355582420568</v>
      </c>
      <c r="AJ20" s="11">
        <f>AI20+預測IC!AJ20</f>
        <v>1.0135835903717534</v>
      </c>
      <c r="AK20" s="11">
        <f>AJ20+預測IC!AK20</f>
        <v>1.0271787058677562</v>
      </c>
      <c r="AL20" s="11">
        <f>AK20+預測IC!AL20</f>
        <v>0.95428525383077922</v>
      </c>
      <c r="AM20" s="11">
        <f>AL20+預測IC!AM20</f>
        <v>0.92118927308197662</v>
      </c>
      <c r="AN20" s="11">
        <f>AM20+預測IC!AN20</f>
        <v>0.84571907956297832</v>
      </c>
      <c r="AO20" s="11">
        <f>AN20+預測IC!AO20</f>
        <v>0.80043399759828993</v>
      </c>
      <c r="AP20" s="11">
        <f>AO20+預測IC!AP20</f>
        <v>0.93216445885367771</v>
      </c>
      <c r="AQ20" s="11">
        <f>AP20+預測IC!AQ20</f>
        <v>0.90471197352072663</v>
      </c>
      <c r="AR20" s="11">
        <f>AQ20+預測IC!AR20</f>
        <v>0.73466296884180249</v>
      </c>
      <c r="AS20" s="11">
        <f>AR20+預測IC!AS20</f>
        <v>0.62256715915898553</v>
      </c>
      <c r="AT20" s="11">
        <f>AS20+預測IC!AT20</f>
        <v>0.61670838539877981</v>
      </c>
      <c r="AU20" s="11">
        <f>AT20+預測IC!AU20</f>
        <v>0.54101599850365401</v>
      </c>
      <c r="AV20" s="11">
        <f>AU20+預測IC!AV20</f>
        <v>0.59564171228613216</v>
      </c>
      <c r="AW20" s="11">
        <f>AV20+預測IC!AW20</f>
        <v>0.58877644410698116</v>
      </c>
      <c r="AX20" s="11">
        <f>AW20+預測IC!AX20</f>
        <v>0.47804389610827958</v>
      </c>
      <c r="AY20" s="11">
        <f>AX20+預測IC!AY20</f>
        <v>0.43936919766537014</v>
      </c>
      <c r="AZ20" s="11">
        <f>AY20+預測IC!AZ20</f>
        <v>0.65317162884245883</v>
      </c>
      <c r="BA20" s="11">
        <f>AZ20+預測IC!BA20</f>
        <v>0.8045096288424588</v>
      </c>
      <c r="BB20" s="11">
        <f>BA20+預測IC!BB20</f>
        <v>0.63685420546588944</v>
      </c>
      <c r="BC20" s="11">
        <f>BB20+預測IC!BC20</f>
        <v>0.56624863778814927</v>
      </c>
      <c r="BD20" s="11">
        <f>BC20+預測IC!BD20</f>
        <v>0.61967845100974661</v>
      </c>
      <c r="BE20" s="11">
        <f>BD20+預測IC!BE20</f>
        <v>0.625625248149007</v>
      </c>
      <c r="BF20" s="11">
        <f>BE20+預測IC!BF20</f>
        <v>0.61993666581767826</v>
      </c>
      <c r="BG20" s="11">
        <f>BF20+預測IC!BG20</f>
        <v>0.52587461020933801</v>
      </c>
      <c r="BH20" s="11">
        <f>BG20+預測IC!BH20</f>
        <v>0.37581730964588361</v>
      </c>
      <c r="BI20" s="11">
        <f>BH20+預測IC!BI20</f>
        <v>0.49007297538040712</v>
      </c>
      <c r="BJ20" s="11">
        <f>BI20+預測IC!BJ20</f>
        <v>0.44093319156913313</v>
      </c>
      <c r="BK20" s="11">
        <f>BJ20+預測IC!BK20</f>
        <v>0.33833490741468775</v>
      </c>
      <c r="BL20" s="11">
        <f>BK20+預測IC!BL20</f>
        <v>0.35811830741468775</v>
      </c>
      <c r="BM20" s="11">
        <f>BL20+預測IC!BM20</f>
        <v>0.22120064608624945</v>
      </c>
      <c r="BN20" s="11">
        <f>BM20+預測IC!BN20</f>
        <v>0.10264340464087805</v>
      </c>
      <c r="BO20" s="11">
        <f>BN20+預測IC!BO20</f>
        <v>0.14110512215685725</v>
      </c>
      <c r="BP20" s="11">
        <f>BO20+預測IC!BP20</f>
        <v>8.0697601393902266E-2</v>
      </c>
      <c r="BQ20" s="11">
        <f>BP20+預測IC!BQ20</f>
        <v>6.524589443305924E-2</v>
      </c>
      <c r="BR20" s="11">
        <f>BQ20+預測IC!BR20</f>
        <v>5.3172262702586653E-2</v>
      </c>
      <c r="BS20" s="11">
        <f>BR20+預測IC!BS20</f>
        <v>2.063606497773051E-2</v>
      </c>
      <c r="BT20" s="11">
        <f>BS20+預測IC!BT20</f>
        <v>7.3104664977730494E-2</v>
      </c>
      <c r="BU20" s="11">
        <f>BT20+預測IC!BU20</f>
        <v>-7.6336335022269497E-2</v>
      </c>
      <c r="BV20" s="11">
        <f>BU20+預測IC!BV20</f>
        <v>5.7373464977730493E-2</v>
      </c>
      <c r="BW20" s="11">
        <f>BV20+預測IC!BW20</f>
        <v>0.39941566497773051</v>
      </c>
      <c r="BX20" s="11">
        <f>BW20+預測IC!BX20</f>
        <v>0.36872202829448625</v>
      </c>
      <c r="BY20" s="11">
        <f>BX20+預測IC!BY20</f>
        <v>0.32553422829448625</v>
      </c>
      <c r="BZ20" s="11">
        <f>BY20+預測IC!BZ20</f>
        <v>0.51026002829448625</v>
      </c>
      <c r="CA20" s="11">
        <f>BZ20+預測IC!CA20</f>
        <v>0.56047622829448629</v>
      </c>
      <c r="CB20" s="11">
        <f>CA20+預測IC!CB20</f>
        <v>0.56058398339551463</v>
      </c>
      <c r="CC20" s="11">
        <f>CB20+預測IC!CC20</f>
        <v>0.6620133643605085</v>
      </c>
      <c r="CD20" s="11">
        <f>CC20+預測IC!CD20</f>
        <v>0.47315385181711278</v>
      </c>
      <c r="CE20" s="11">
        <f>CD20+預測IC!CE20</f>
        <v>0.3593853781974875</v>
      </c>
      <c r="CF20" s="11">
        <f>CE20+預測IC!CF20</f>
        <v>0.2281769781974875</v>
      </c>
      <c r="CG20" s="11">
        <f>CF20+預測IC!CG20</f>
        <v>0.15220673745437943</v>
      </c>
      <c r="CH20" s="11">
        <f>CG20+預測IC!CH20</f>
        <v>0.13001150843024656</v>
      </c>
      <c r="CI20" s="11">
        <f>CH20+預測IC!CI20</f>
        <v>4.4803305995171169E-2</v>
      </c>
      <c r="CJ20" s="11">
        <f>CI20+預測IC!CJ20</f>
        <v>3.2933212112424767E-3</v>
      </c>
      <c r="CK20" s="11">
        <f>CJ20+預測IC!CK20</f>
        <v>8.3882945151864036E-2</v>
      </c>
      <c r="CL20" s="11">
        <f>CK20+預測IC!CL20</f>
        <v>0.23319609578211573</v>
      </c>
      <c r="CM20" s="11">
        <f>CL20+預測IC!CM20</f>
        <v>4.414493061149502E-2</v>
      </c>
      <c r="CN20" s="11">
        <f>CM20+預測IC!CN20</f>
        <v>2.198551924101037E-2</v>
      </c>
      <c r="CO20" s="11">
        <f>CN20+預測IC!CO20</f>
        <v>0.4379568544100228</v>
      </c>
      <c r="CP20" s="11">
        <f>CO20+預測IC!CP20</f>
        <v>0.2459256493009955</v>
      </c>
      <c r="CQ20" s="11">
        <f>CP20+預測IC!CQ20</f>
        <v>0.23981429137193327</v>
      </c>
      <c r="CR20" s="11">
        <f>CQ20+預測IC!CR20</f>
        <v>0.16669804686608289</v>
      </c>
      <c r="CS20" s="11">
        <f>CR20+預測IC!CS20</f>
        <v>7.8333769853821428E-2</v>
      </c>
      <c r="CT20" s="11">
        <f>CS20+預測IC!CT20</f>
        <v>-1.2140267560444853E-2</v>
      </c>
      <c r="CU20" s="11">
        <f>CT20+預測IC!CU20</f>
        <v>8.272739070606755E-2</v>
      </c>
      <c r="CV20" s="11">
        <f>CU20+預測IC!CV20</f>
        <v>-9.7836849893585681E-3</v>
      </c>
      <c r="CW20" s="11">
        <f>CV20+預測IC!CW20</f>
        <v>-1.9736747910641207E-2</v>
      </c>
      <c r="CX20" s="11">
        <f>CW20+預測IC!CX20</f>
        <v>-0.11003529877840568</v>
      </c>
      <c r="CY20" s="11">
        <f>CX20+預測IC!CY20</f>
        <v>-9.7555566110108793E-2</v>
      </c>
      <c r="CZ20" s="11">
        <f>CY20+預測IC!CZ20</f>
        <v>-0.25271721125930713</v>
      </c>
      <c r="DA20" s="11">
        <f>CZ20+預測IC!DA20</f>
        <v>-0.20524531810412955</v>
      </c>
      <c r="DB20" s="11">
        <f>DA20+預測IC!DB20</f>
        <v>-0.14834260834699542</v>
      </c>
      <c r="DC20" s="11">
        <f>DB20+預測IC!DC20</f>
        <v>-9.872953911143964E-2</v>
      </c>
      <c r="DD20" s="11">
        <f>DC20+預測IC!DD20</f>
        <v>4.9379275227382946E-2</v>
      </c>
      <c r="DE20" s="11">
        <f>DD20+預測IC!DE20</f>
        <v>7.6129139148311487E-2</v>
      </c>
      <c r="DF20" s="11">
        <f>DE20+預測IC!DF20</f>
        <v>7.5270017615890861E-2</v>
      </c>
      <c r="DG20" s="11">
        <f>DF20+預測IC!DG20</f>
        <v>7.9472228236261558E-2</v>
      </c>
      <c r="DH20" s="11">
        <f>DG20+預測IC!DH20</f>
        <v>9.0447639978788616E-2</v>
      </c>
      <c r="DI20" s="11">
        <f>DH20+預測IC!DI20</f>
        <v>0.11332437176384108</v>
      </c>
      <c r="DJ20" s="11">
        <f>DI20+預測IC!DJ20</f>
        <v>0.15278431803272891</v>
      </c>
      <c r="DK20" s="11">
        <f>DJ20+預測IC!DK20</f>
        <v>6.7830336586674006E-2</v>
      </c>
      <c r="DL20" s="11">
        <f>DK20+預測IC!DL20</f>
        <v>-7.9962995918685248E-3</v>
      </c>
      <c r="DM20" s="11">
        <f>DL20+預測IC!DM20</f>
        <v>-1.72799498713056E-2</v>
      </c>
      <c r="DN20" s="11">
        <f>DM20+預測IC!DN20</f>
        <v>-7.5299156525504771E-2</v>
      </c>
      <c r="DO20" s="11">
        <f>DN20+預測IC!DO20</f>
        <v>-0.14111495836347515</v>
      </c>
      <c r="DP20" s="11">
        <f>DO20+預測IC!DP20</f>
        <v>-0.15094548975436245</v>
      </c>
      <c r="DQ20" s="11">
        <f>DP20+預測IC!DQ20</f>
        <v>-9.3485308129662367E-2</v>
      </c>
      <c r="DR20" s="11">
        <f>DQ20+預測IC!DR20</f>
        <v>-5.2764243007897421E-3</v>
      </c>
      <c r="DS20" s="11">
        <f>DR20+預測IC!DS20</f>
        <v>0.20080467327756496</v>
      </c>
      <c r="DT20" s="11">
        <f>DS20+預測IC!DT20</f>
        <v>0.33424065789970325</v>
      </c>
      <c r="DU20" s="11">
        <f>DT20+預測IC!DU20</f>
        <v>0.50630976510557268</v>
      </c>
      <c r="DV20" s="11">
        <f>DU20+預測IC!DV20</f>
        <v>0.37696429326671399</v>
      </c>
      <c r="DW20" s="11">
        <f>DV20+預測IC!DW20</f>
        <v>0.30790408930867441</v>
      </c>
      <c r="DX20" s="11">
        <f>DW20+預測IC!DX20</f>
        <v>0.4617704189149891</v>
      </c>
      <c r="DY20" s="11">
        <f>DX20+預測IC!DY20</f>
        <v>0.40815180956334035</v>
      </c>
      <c r="DZ20" s="11">
        <f>DY20+預測IC!DZ20</f>
        <v>0.49262638787303248</v>
      </c>
      <c r="EA20" s="11">
        <f>DZ20+預測IC!EA20</f>
        <v>0.48670078859969818</v>
      </c>
      <c r="EB20" s="11">
        <f>EA20+預測IC!EB20</f>
        <v>0.56910793104411783</v>
      </c>
      <c r="EC20" s="11">
        <f>EB20+預測IC!EC20</f>
        <v>0.43810178528205035</v>
      </c>
      <c r="ED20" s="11">
        <f>EC20+預測IC!ED20</f>
        <v>0.3802742210818516</v>
      </c>
      <c r="EE20" s="11">
        <f>ED20+預測IC!EE20</f>
        <v>0.40029180837887041</v>
      </c>
      <c r="EF20" s="11">
        <f>EE20+預測IC!EF20</f>
        <v>0.38001039176296314</v>
      </c>
    </row>
    <row r="21" spans="1:136">
      <c r="A21" s="2">
        <v>241</v>
      </c>
      <c r="B21" s="2">
        <v>4</v>
      </c>
      <c r="C21" s="11">
        <v>0.2146305</v>
      </c>
      <c r="D21" s="11">
        <f>C21+預測IC!D21</f>
        <v>0.34101950000000003</v>
      </c>
      <c r="E21" s="11">
        <f>D21+預測IC!E21</f>
        <v>0.32732800000000001</v>
      </c>
      <c r="F21" s="11">
        <f>E21+預測IC!F21</f>
        <v>0.53074100000000002</v>
      </c>
      <c r="G21" s="11">
        <f>F21+預測IC!G21</f>
        <v>0.67607300000000004</v>
      </c>
      <c r="H21" s="11">
        <f>G21+預測IC!H21</f>
        <v>0.83823700000000001</v>
      </c>
      <c r="I21" s="11">
        <f>H21+預測IC!I21</f>
        <v>0.85234900000000002</v>
      </c>
      <c r="J21" s="11">
        <f>I21+預測IC!J21</f>
        <v>0.71560750000000006</v>
      </c>
      <c r="K21" s="11">
        <f>J21+預測IC!K21</f>
        <v>0.71707750000000003</v>
      </c>
      <c r="L21" s="11">
        <f>K21+預測IC!L21</f>
        <v>0.71204650000000003</v>
      </c>
      <c r="M21" s="11">
        <f>L21+預測IC!M21</f>
        <v>0.6123619065917888</v>
      </c>
      <c r="N21" s="11">
        <f>M21+預測IC!N21</f>
        <v>0.47331123073098902</v>
      </c>
      <c r="O21" s="11">
        <f>N21+預測IC!O21</f>
        <v>0.50766322019167964</v>
      </c>
      <c r="P21" s="11">
        <f>O21+預測IC!P21</f>
        <v>0.55309097019167963</v>
      </c>
      <c r="Q21" s="11">
        <f>P21+預測IC!Q21</f>
        <v>0.82717672019167965</v>
      </c>
      <c r="R21" s="11">
        <f>Q21+預測IC!R21</f>
        <v>0.91208197019167969</v>
      </c>
      <c r="S21" s="11">
        <f>R21+預測IC!S21</f>
        <v>0.87552022019167974</v>
      </c>
      <c r="T21" s="11">
        <f>S21+預測IC!T21</f>
        <v>0.74440022019167973</v>
      </c>
      <c r="U21" s="11">
        <f>T21+預測IC!U21</f>
        <v>0.66418448438522071</v>
      </c>
      <c r="V21" s="11">
        <f>U21+預測IC!V21</f>
        <v>0.5588137139958661</v>
      </c>
      <c r="W21" s="11">
        <f>V21+預測IC!W21</f>
        <v>0.23589316530767918</v>
      </c>
      <c r="X21" s="11">
        <f>W21+預測IC!X21</f>
        <v>0.44369416530767919</v>
      </c>
      <c r="Y21" s="11">
        <f>X21+預測IC!Y21</f>
        <v>0.42286108241524434</v>
      </c>
      <c r="Z21" s="11">
        <f>Y21+預測IC!Z21</f>
        <v>0.30865709519251983</v>
      </c>
      <c r="AA21" s="11">
        <f>Z21+預測IC!AA21</f>
        <v>0.33669259519251982</v>
      </c>
      <c r="AB21" s="11">
        <f>AA21+預測IC!AB21</f>
        <v>0.20685301279545001</v>
      </c>
      <c r="AC21" s="11">
        <f>AB21+預測IC!AC21</f>
        <v>0.13255188300342763</v>
      </c>
      <c r="AD21" s="11">
        <f>AC21+預測IC!AD21</f>
        <v>0.26137638300342764</v>
      </c>
      <c r="AE21" s="11">
        <f>AD21+預測IC!AE21</f>
        <v>0.5018324934966143</v>
      </c>
      <c r="AF21" s="11">
        <f>AE21+預測IC!AF21</f>
        <v>0.44870688361005129</v>
      </c>
      <c r="AG21" s="11">
        <f>AF21+預測IC!AG21</f>
        <v>0.40440410582025721</v>
      </c>
      <c r="AH21" s="11">
        <f>AG21+預測IC!AH21</f>
        <v>0.51198546838505554</v>
      </c>
      <c r="AI21" s="11">
        <f>AH21+預測IC!AI21</f>
        <v>0.43239125905176445</v>
      </c>
      <c r="AJ21" s="11">
        <f>AI21+預測IC!AJ21</f>
        <v>0.5027966009982332</v>
      </c>
      <c r="AK21" s="11">
        <f>AJ21+預測IC!AK21</f>
        <v>0.53859976861634329</v>
      </c>
      <c r="AL21" s="11">
        <f>AK21+預測IC!AL21</f>
        <v>0.47321994588323268</v>
      </c>
      <c r="AM21" s="11">
        <f>AL21+預測IC!AM21</f>
        <v>0.40468413843560214</v>
      </c>
      <c r="AN21" s="11">
        <f>AM21+預測IC!AN21</f>
        <v>0.2927280823725078</v>
      </c>
      <c r="AO21" s="11">
        <f>AN21+預測IC!AO21</f>
        <v>0.24500168672878114</v>
      </c>
      <c r="AP21" s="11">
        <f>AO21+預測IC!AP21</f>
        <v>0.31753683029880031</v>
      </c>
      <c r="AQ21" s="11">
        <f>AP21+預測IC!AQ21</f>
        <v>0.24067132328825269</v>
      </c>
      <c r="AR21" s="11">
        <f>AQ21+預測IC!AR21</f>
        <v>3.5489045057771479E-2</v>
      </c>
      <c r="AS21" s="11">
        <f>AR21+預測IC!AS21</f>
        <v>-2.8966823588857882E-2</v>
      </c>
      <c r="AT21" s="11">
        <f>AS21+預測IC!AT21</f>
        <v>-2.6473912311702819E-2</v>
      </c>
      <c r="AU21" s="11">
        <f>AT21+預測IC!AU21</f>
        <v>-7.4283543820659853E-2</v>
      </c>
      <c r="AV21" s="11">
        <f>AU21+預測IC!AV21</f>
        <v>-1.8762763758526133E-2</v>
      </c>
      <c r="AW21" s="11">
        <f>AV21+預測IC!AW21</f>
        <v>-2.8553793712623534E-2</v>
      </c>
      <c r="AX21" s="11">
        <f>AW21+預測IC!AX21</f>
        <v>-0.17170148118238024</v>
      </c>
      <c r="AY21" s="11">
        <f>AX21+預測IC!AY21</f>
        <v>-0.21872277216041824</v>
      </c>
      <c r="AZ21" s="11">
        <f>AY21+預測IC!AZ21</f>
        <v>3.6188497736718173E-2</v>
      </c>
      <c r="BA21" s="11">
        <f>AZ21+預測IC!BA21</f>
        <v>0.17578099773671818</v>
      </c>
      <c r="BB21" s="11">
        <f>BA21+預測IC!BB21</f>
        <v>-4.9565137301620016E-2</v>
      </c>
      <c r="BC21" s="11">
        <f>BB21+預測IC!BC21</f>
        <v>-8.7886285026813879E-2</v>
      </c>
      <c r="BD21" s="11">
        <f>BC21+預測IC!BD21</f>
        <v>-6.6135421656185966E-2</v>
      </c>
      <c r="BE21" s="11">
        <f>BD21+預測IC!BE21</f>
        <v>-7.2485955053587445E-2</v>
      </c>
      <c r="BF21" s="11">
        <f>BE21+預測IC!BF21</f>
        <v>-7.6063055234022126E-2</v>
      </c>
      <c r="BG21" s="11">
        <f>BF21+預測IC!BG21</f>
        <v>-0.16834862674127576</v>
      </c>
      <c r="BH21" s="11">
        <f>BG21+預測IC!BH21</f>
        <v>-0.27519073637870595</v>
      </c>
      <c r="BI21" s="11">
        <f>BH21+預測IC!BI21</f>
        <v>-0.12131609028644924</v>
      </c>
      <c r="BJ21" s="11">
        <f>BI21+預測IC!BJ21</f>
        <v>-0.1532986046974413</v>
      </c>
      <c r="BK21" s="11">
        <f>BJ21+預測IC!BK21</f>
        <v>-0.23627176658750715</v>
      </c>
      <c r="BL21" s="11">
        <f>BK21+預測IC!BL21</f>
        <v>-0.23251876658750714</v>
      </c>
      <c r="BM21" s="11">
        <f>BL21+預測IC!BM21</f>
        <v>-0.38763877050860696</v>
      </c>
      <c r="BN21" s="11">
        <f>BM21+預測IC!BN21</f>
        <v>-0.451286718500855</v>
      </c>
      <c r="BO21" s="11">
        <f>BN21+預測IC!BO21</f>
        <v>-0.38742948208717476</v>
      </c>
      <c r="BP21" s="11">
        <f>BO21+預測IC!BP21</f>
        <v>-0.49193861150658907</v>
      </c>
      <c r="BQ21" s="11">
        <f>BP21+預測IC!BQ21</f>
        <v>-0.54648084234109395</v>
      </c>
      <c r="BR21" s="11">
        <f>BQ21+預測IC!BR21</f>
        <v>-0.55880470452495834</v>
      </c>
      <c r="BS21" s="11">
        <f>BR21+預測IC!BS21</f>
        <v>-0.62454652548530576</v>
      </c>
      <c r="BT21" s="11">
        <f>BS21+預測IC!BT21</f>
        <v>-0.56372452548530583</v>
      </c>
      <c r="BU21" s="11">
        <f>BT21+預測IC!BU21</f>
        <v>-0.73446252548530588</v>
      </c>
      <c r="BV21" s="11">
        <f>BU21+預測IC!BV21</f>
        <v>-0.71522227548530593</v>
      </c>
      <c r="BW21" s="11">
        <f>BV21+預測IC!BW21</f>
        <v>-0.3130920254853059</v>
      </c>
      <c r="BX21" s="11">
        <f>BW21+預測IC!BX21</f>
        <v>-0.31010120620089199</v>
      </c>
      <c r="BY21" s="11">
        <f>BX21+預測IC!BY21</f>
        <v>-0.325020956200892</v>
      </c>
      <c r="BZ21" s="11">
        <f>BY21+預測IC!BZ21</f>
        <v>-7.3618456200892024E-2</v>
      </c>
      <c r="CA21" s="11">
        <f>BZ21+預測IC!CA21</f>
        <v>2.1441543799107982E-2</v>
      </c>
      <c r="CB21" s="11">
        <f>CA21+預測IC!CB21</f>
        <v>-5.2024555605821171E-2</v>
      </c>
      <c r="CC21" s="11">
        <f>CB21+預測IC!CC21</f>
        <v>1.2830223336329077E-3</v>
      </c>
      <c r="CD21" s="11">
        <f>CC21+預測IC!CD21</f>
        <v>-0.14950536786864776</v>
      </c>
      <c r="CE21" s="11">
        <f>CD21+預測IC!CE21</f>
        <v>-0.29488032831263589</v>
      </c>
      <c r="CF21" s="11">
        <f>CE21+預測IC!CF21</f>
        <v>-0.42204832831263589</v>
      </c>
      <c r="CG21" s="11">
        <f>CF21+預測IC!CG21</f>
        <v>-0.50713366378676694</v>
      </c>
      <c r="CH21" s="11">
        <f>CG21+預測IC!CH21</f>
        <v>-0.66376010441373556</v>
      </c>
      <c r="CI21" s="11">
        <f>CH21+預測IC!CI21</f>
        <v>-0.7369428314887343</v>
      </c>
      <c r="CJ21" s="11">
        <f>CI21+預測IC!CJ21</f>
        <v>-0.79208368004989138</v>
      </c>
      <c r="CK21" s="11">
        <f>CJ21+預測IC!CK21</f>
        <v>-0.7249240497530357</v>
      </c>
      <c r="CL21" s="11">
        <f>CK21+預測IC!CL21</f>
        <v>-0.53749092821230882</v>
      </c>
      <c r="CM21" s="11">
        <f>CL21+預測IC!CM21</f>
        <v>-0.76299391661568006</v>
      </c>
      <c r="CN21" s="11">
        <f>CM21+預測IC!CN21</f>
        <v>-0.7935328068194557</v>
      </c>
      <c r="CO21" s="11">
        <f>CN21+預測IC!CO21</f>
        <v>-0.27866755822186307</v>
      </c>
      <c r="CP21" s="11">
        <f>CO21+預測IC!CP21</f>
        <v>-0.50136761909977579</v>
      </c>
      <c r="CQ21" s="11">
        <f>CP21+預測IC!CQ21</f>
        <v>-0.5046557108248666</v>
      </c>
      <c r="CR21" s="11">
        <f>CQ21+預測IC!CR21</f>
        <v>-0.59547998880454633</v>
      </c>
      <c r="CS21" s="11">
        <f>CR21+預測IC!CS21</f>
        <v>-0.66512638495131804</v>
      </c>
      <c r="CT21" s="11">
        <f>CS21+預測IC!CT21</f>
        <v>-0.74741925780565699</v>
      </c>
      <c r="CU21" s="11">
        <f>CT21+預測IC!CU21</f>
        <v>-0.68474569763616566</v>
      </c>
      <c r="CV21" s="11">
        <f>CU21+預測IC!CV21</f>
        <v>-0.78297132965755256</v>
      </c>
      <c r="CW21" s="11">
        <f>CV21+預測IC!CW21</f>
        <v>-0.84797674693854119</v>
      </c>
      <c r="CX21" s="11">
        <f>CW21+預測IC!CX21</f>
        <v>-0.9500989225959483</v>
      </c>
      <c r="CY21" s="11">
        <f>CX21+預測IC!CY21</f>
        <v>-0.94161700619203381</v>
      </c>
      <c r="CZ21" s="11">
        <f>CY21+預測IC!CZ21</f>
        <v>-1.179068377017864</v>
      </c>
      <c r="DA21" s="11">
        <f>CZ21+預測IC!DA21</f>
        <v>-1.1802606334745958</v>
      </c>
      <c r="DB21" s="11">
        <f>DA21+預測IC!DB21</f>
        <v>-1.1286361997984411</v>
      </c>
      <c r="DC21" s="11">
        <f>DB21+預測IC!DC21</f>
        <v>-1.0835886405751505</v>
      </c>
      <c r="DD21" s="11">
        <f>DC21+預測IC!DD21</f>
        <v>-1.2049113294437994</v>
      </c>
      <c r="DE21" s="11">
        <f>DD21+預測IC!DE21</f>
        <v>-1.2171494380321184</v>
      </c>
      <c r="DF21" s="11">
        <f>DE21+預測IC!DF21</f>
        <v>-1.2387103187299933</v>
      </c>
      <c r="DG21" s="11">
        <f>DF21+預測IC!DG21</f>
        <v>-1.2465566968585267</v>
      </c>
      <c r="DH21" s="11">
        <f>DG21+預測IC!DH21</f>
        <v>-1.2606335170709813</v>
      </c>
      <c r="DI21" s="11">
        <f>DH21+預測IC!DI21</f>
        <v>-1.2950409953511608</v>
      </c>
      <c r="DJ21" s="11">
        <f>DI21+預測IC!DJ21</f>
        <v>-1.2571296821606006</v>
      </c>
      <c r="DK21" s="11">
        <f>DJ21+預測IC!DK21</f>
        <v>-1.3966323889795051</v>
      </c>
      <c r="DL21" s="11">
        <f>DK21+預測IC!DL21</f>
        <v>-1.4949973278188817</v>
      </c>
      <c r="DM21" s="11">
        <f>DL21+預測IC!DM21</f>
        <v>-1.4651632081766415</v>
      </c>
      <c r="DN21" s="11">
        <f>DM21+預測IC!DN21</f>
        <v>-1.5363608206706345</v>
      </c>
      <c r="DO21" s="11">
        <f>DN21+預測IC!DO21</f>
        <v>-1.6188066130013143</v>
      </c>
      <c r="DP21" s="11">
        <f>DO21+預測IC!DP21</f>
        <v>-1.6430727680948805</v>
      </c>
      <c r="DQ21" s="11">
        <f>DP21+預測IC!DQ21</f>
        <v>-1.5726500692866971</v>
      </c>
      <c r="DR21" s="11">
        <f>DQ21+預測IC!DR21</f>
        <v>-1.4562525549938463</v>
      </c>
      <c r="DS21" s="11">
        <f>DR21+預測IC!DS21</f>
        <v>-1.2554130811565507</v>
      </c>
      <c r="DT21" s="11">
        <f>DS21+預測IC!DT21</f>
        <v>-1.0848422784710898</v>
      </c>
      <c r="DU21" s="11">
        <f>DT21+預測IC!DU21</f>
        <v>-1.0567519844747111</v>
      </c>
      <c r="DV21" s="11">
        <f>DU21+預測IC!DV21</f>
        <v>-1.1970279613445891</v>
      </c>
      <c r="DW21" s="11">
        <f>DV21+預測IC!DW21</f>
        <v>-1.3252758300087102</v>
      </c>
      <c r="DX21" s="11">
        <f>DW21+預測IC!DX21</f>
        <v>-1.1393096159775267</v>
      </c>
      <c r="DY21" s="11">
        <f>DX21+預測IC!DY21</f>
        <v>-1.1639056115155426</v>
      </c>
      <c r="DZ21" s="11">
        <f>DY21+預測IC!DZ21</f>
        <v>-1.1110615449552537</v>
      </c>
      <c r="EA21" s="11">
        <f>DZ21+預測IC!EA21</f>
        <v>-1.1461280021404903</v>
      </c>
      <c r="EB21" s="11">
        <f>EA21+預測IC!EB21</f>
        <v>-1.1198258081419563</v>
      </c>
      <c r="EC21" s="11">
        <f>EB21+預測IC!EC21</f>
        <v>-1.2599198260941822</v>
      </c>
      <c r="ED21" s="11">
        <f>EC21+預測IC!ED21</f>
        <v>-1.1307646227569959</v>
      </c>
      <c r="EE21" s="11">
        <f>ED21+預測IC!EE21</f>
        <v>-1.1417205681638702</v>
      </c>
      <c r="EF21" s="11">
        <f>EE21+預測IC!EF21</f>
        <v>-1.1229493041217511</v>
      </c>
    </row>
    <row r="22" spans="1:136">
      <c r="A22" s="2">
        <v>321</v>
      </c>
      <c r="B22" s="2">
        <v>3</v>
      </c>
      <c r="C22" s="11">
        <v>0.20528266666666661</v>
      </c>
      <c r="D22" s="11">
        <f>C22+預測IC!D22</f>
        <v>0.34771199999999991</v>
      </c>
      <c r="E22" s="11">
        <f>D22+預測IC!E22</f>
        <v>0.33035533333333322</v>
      </c>
      <c r="F22" s="11">
        <f>E22+預測IC!F22</f>
        <v>0.19048733333333323</v>
      </c>
      <c r="G22" s="11">
        <f>F22+預測IC!G22</f>
        <v>0.42343266666666662</v>
      </c>
      <c r="H22" s="11">
        <f>G22+預測IC!H22</f>
        <v>0.54761066666666658</v>
      </c>
      <c r="I22" s="11">
        <f>H22+預測IC!I22</f>
        <v>0.56504999999999994</v>
      </c>
      <c r="J22" s="11">
        <f>I22+預測IC!J22</f>
        <v>0.46079799999999993</v>
      </c>
      <c r="K22" s="11">
        <f>J22+預測IC!K22</f>
        <v>0.48945466666666659</v>
      </c>
      <c r="L22" s="11">
        <f>K22+預測IC!L22</f>
        <v>0.50372666666666666</v>
      </c>
      <c r="M22" s="11">
        <f>L22+預測IC!M22</f>
        <v>0.42962660789609408</v>
      </c>
      <c r="N22" s="11">
        <f>M22+預測IC!N22</f>
        <v>0.33159574708846129</v>
      </c>
      <c r="O22" s="11">
        <f>N22+預測IC!O22</f>
        <v>0.32487986877709379</v>
      </c>
      <c r="P22" s="11">
        <f>O22+預測IC!P22</f>
        <v>0.41551020211042711</v>
      </c>
      <c r="Q22" s="11">
        <f>P22+預測IC!Q22</f>
        <v>0.54278486877709375</v>
      </c>
      <c r="R22" s="11">
        <f>Q22+預測IC!R22</f>
        <v>0.60948253544376041</v>
      </c>
      <c r="S22" s="11">
        <f>R22+預測IC!S22</f>
        <v>0.5702502021104271</v>
      </c>
      <c r="T22" s="11">
        <f>S22+預測IC!T22</f>
        <v>0.4654022021104271</v>
      </c>
      <c r="U22" s="11">
        <f>T22+預測IC!U22</f>
        <v>0.31337301933588368</v>
      </c>
      <c r="V22" s="11">
        <f>U22+預測IC!V22</f>
        <v>0.256348884701594</v>
      </c>
      <c r="W22" s="11">
        <f>V22+預測IC!W22</f>
        <v>-8.9844600597654589E-2</v>
      </c>
      <c r="X22" s="11">
        <f>W22+預測IC!X22</f>
        <v>0.1673573994023454</v>
      </c>
      <c r="Y22" s="11">
        <f>X22+預測IC!Y22</f>
        <v>0.15162519098882435</v>
      </c>
      <c r="Z22" s="11">
        <f>Y22+預測IC!Z22</f>
        <v>7.6076921842978304E-2</v>
      </c>
      <c r="AA22" s="11">
        <f>Z22+預測IC!AA22</f>
        <v>0.194199588509645</v>
      </c>
      <c r="AB22" s="11">
        <f>AA22+預測IC!AB22</f>
        <v>5.976337579631949E-2</v>
      </c>
      <c r="AC22" s="11">
        <f>AB22+預測IC!AC22</f>
        <v>-1.4657005044107899E-2</v>
      </c>
      <c r="AD22" s="11">
        <f>AC22+預測IC!AD22</f>
        <v>-1.0856717107745693E-3</v>
      </c>
      <c r="AE22" s="11">
        <f>AD22+預測IC!AE22</f>
        <v>0.22753543989559963</v>
      </c>
      <c r="AF22" s="11">
        <f>AE22+預測IC!AF22</f>
        <v>0.1803531237375755</v>
      </c>
      <c r="AG22" s="11">
        <f>AF22+預測IC!AG22</f>
        <v>0.12751158356184161</v>
      </c>
      <c r="AH22" s="11">
        <f>AG22+預測IC!AH22</f>
        <v>0.23337754298231431</v>
      </c>
      <c r="AI22" s="11">
        <f>AH22+預測IC!AI22</f>
        <v>0.13923628232492827</v>
      </c>
      <c r="AJ22" s="11">
        <f>AI22+預測IC!AJ22</f>
        <v>0.17093613165133653</v>
      </c>
      <c r="AK22" s="11">
        <f>AJ22+預測IC!AK22</f>
        <v>6.9647570910940829E-2</v>
      </c>
      <c r="AL22" s="11">
        <f>AK22+預測IC!AL22</f>
        <v>2.9306604104040422E-2</v>
      </c>
      <c r="AM22" s="11">
        <f>AL22+預測IC!AM22</f>
        <v>-5.4782299363663141E-2</v>
      </c>
      <c r="AN22" s="11">
        <f>AM22+預測IC!AN22</f>
        <v>-0.16591510902722245</v>
      </c>
      <c r="AO22" s="11">
        <f>AN22+預測IC!AO22</f>
        <v>-0.24063248242092805</v>
      </c>
      <c r="AP22" s="11">
        <f>AO22+預測IC!AP22</f>
        <v>-0.17809612853293535</v>
      </c>
      <c r="AQ22" s="11">
        <f>AP22+預測IC!AQ22</f>
        <v>-0.25752224601152851</v>
      </c>
      <c r="AR22" s="11">
        <f>AQ22+預測IC!AR22</f>
        <v>-0.50805492416991094</v>
      </c>
      <c r="AS22" s="11">
        <f>AR22+預測IC!AS22</f>
        <v>-0.59086536306846094</v>
      </c>
      <c r="AT22" s="11">
        <f>AS22+預測IC!AT22</f>
        <v>-0.56572900122843461</v>
      </c>
      <c r="AU22" s="11">
        <f>AT22+預測IC!AU22</f>
        <v>-0.59922945313930454</v>
      </c>
      <c r="AV22" s="11">
        <f>AU22+預測IC!AV22</f>
        <v>-0.5394162764634246</v>
      </c>
      <c r="AW22" s="11">
        <f>AV22+預測IC!AW22</f>
        <v>-0.50926688725641567</v>
      </c>
      <c r="AX22" s="11">
        <f>AW22+預測IC!AX22</f>
        <v>-0.68303028723643988</v>
      </c>
      <c r="AY22" s="11">
        <f>AX22+預測IC!AY22</f>
        <v>-0.75476367257067045</v>
      </c>
      <c r="AZ22" s="11">
        <f>AY22+預測IC!AZ22</f>
        <v>-0.59985989424951836</v>
      </c>
      <c r="BA22" s="11">
        <f>AZ22+預測IC!BA22</f>
        <v>-0.55008522758285172</v>
      </c>
      <c r="BB22" s="11">
        <f>BA22+預測IC!BB22</f>
        <v>-0.85201517212327471</v>
      </c>
      <c r="BC22" s="11">
        <f>BB22+預測IC!BC22</f>
        <v>-0.72117823400031955</v>
      </c>
      <c r="BD22" s="11">
        <f>BC22+預測IC!BD22</f>
        <v>-0.69900405253449138</v>
      </c>
      <c r="BE22" s="11">
        <f>BD22+預測IC!BE22</f>
        <v>-0.72122023592897189</v>
      </c>
      <c r="BF22" s="11">
        <f>BE22+預測IC!BF22</f>
        <v>-0.73485905326729151</v>
      </c>
      <c r="BG22" s="11">
        <f>BF22+預測IC!BG22</f>
        <v>-0.69362758411451109</v>
      </c>
      <c r="BH22" s="11">
        <f>BG22+預測IC!BH22</f>
        <v>-0.8213345935109273</v>
      </c>
      <c r="BI22" s="11">
        <f>BH22+預測IC!BI22</f>
        <v>-0.73401653433375158</v>
      </c>
      <c r="BJ22" s="11">
        <f>BI22+預測IC!BJ22</f>
        <v>-0.72378255888464804</v>
      </c>
      <c r="BK22" s="11">
        <f>BJ22+預測IC!BK22</f>
        <v>-0.74463731421441459</v>
      </c>
      <c r="BL22" s="11">
        <f>BK22+預測IC!BL22</f>
        <v>-0.7267733142144146</v>
      </c>
      <c r="BM22" s="11">
        <f>BL22+預測IC!BM22</f>
        <v>-0.91857035367046169</v>
      </c>
      <c r="BN22" s="11">
        <f>BM22+預測IC!BN22</f>
        <v>-0.90324280164741944</v>
      </c>
      <c r="BO22" s="11">
        <f>BN22+預測IC!BO22</f>
        <v>-0.85275837253466902</v>
      </c>
      <c r="BP22" s="11">
        <f>BO22+預測IC!BP22</f>
        <v>-0.92759392268977536</v>
      </c>
      <c r="BQ22" s="11">
        <f>BP22+預測IC!BQ22</f>
        <v>-0.95542402008808791</v>
      </c>
      <c r="BR22" s="11">
        <f>BQ22+預測IC!BR22</f>
        <v>-0.97623762955454085</v>
      </c>
      <c r="BS22" s="11">
        <f>BR22+預測IC!BS22</f>
        <v>-1.0732852192590858</v>
      </c>
      <c r="BT22" s="11">
        <f>BS22+預測IC!BT22</f>
        <v>-1.1620095525924192</v>
      </c>
      <c r="BU22" s="11">
        <f>BT22+預測IC!BU22</f>
        <v>-1.2663605525924193</v>
      </c>
      <c r="BV22" s="11">
        <f>BU22+預測IC!BV22</f>
        <v>-1.2656798859257525</v>
      </c>
      <c r="BW22" s="11">
        <f>BV22+預測IC!BW22</f>
        <v>-0.83796455259241931</v>
      </c>
      <c r="BX22" s="11">
        <f>BW22+預測IC!BX22</f>
        <v>-0.87460199828439167</v>
      </c>
      <c r="BY22" s="11">
        <f>BX22+預測IC!BY22</f>
        <v>-0.8422516649510583</v>
      </c>
      <c r="BZ22" s="11">
        <f>BY22+預測IC!BZ22</f>
        <v>-0.56262166495105825</v>
      </c>
      <c r="CA22" s="11">
        <f>BZ22+預測IC!CA22</f>
        <v>-0.41854133161772494</v>
      </c>
      <c r="CB22" s="11">
        <f>CA22+預測IC!CB22</f>
        <v>-0.48214560115741378</v>
      </c>
      <c r="CC22" s="11">
        <f>CB22+預測IC!CC22</f>
        <v>-0.50457706691039916</v>
      </c>
      <c r="CD22" s="11">
        <f>CC22+預測IC!CD22</f>
        <v>-0.82034872711324813</v>
      </c>
      <c r="CE22" s="11">
        <f>CD22+預測IC!CE22</f>
        <v>-0.95429115816443977</v>
      </c>
      <c r="CF22" s="11">
        <f>CE22+預測IC!CF22</f>
        <v>-1.1098618248311063</v>
      </c>
      <c r="CG22" s="11">
        <f>CF22+預測IC!CG22</f>
        <v>-1.3169471574646192</v>
      </c>
      <c r="CH22" s="11">
        <f>CG22+預測IC!CH22</f>
        <v>-1.4705534422741624</v>
      </c>
      <c r="CI22" s="11">
        <f>CH22+預測IC!CI22</f>
        <v>-1.5351707650845365</v>
      </c>
      <c r="CJ22" s="11">
        <f>CI22+預測IC!CJ22</f>
        <v>-1.6614961243631239</v>
      </c>
      <c r="CK22" s="11">
        <f>CJ22+預測IC!CK22</f>
        <v>-1.5505725840763418</v>
      </c>
      <c r="CL22" s="11">
        <f>CK22+預測IC!CL22</f>
        <v>-1.4555755720527963</v>
      </c>
      <c r="CM22" s="11">
        <f>CL22+預測IC!CM22</f>
        <v>-1.7760075757106217</v>
      </c>
      <c r="CN22" s="11">
        <f>CM22+預測IC!CN22</f>
        <v>-1.7674608038897144</v>
      </c>
      <c r="CO22" s="11">
        <f>CN22+預測IC!CO22</f>
        <v>-1.1175043356405587</v>
      </c>
      <c r="CP22" s="11">
        <f>CO22+預測IC!CP22</f>
        <v>-1.3769128926099612</v>
      </c>
      <c r="CQ22" s="11">
        <f>CP22+預測IC!CQ22</f>
        <v>-1.3645791132842966</v>
      </c>
      <c r="CR22" s="11">
        <f>CQ22+預測IC!CR22</f>
        <v>-1.5264295345856886</v>
      </c>
      <c r="CS22" s="11">
        <f>CR22+預測IC!CS22</f>
        <v>-1.5112273510642658</v>
      </c>
      <c r="CT22" s="11">
        <f>CS22+預測IC!CT22</f>
        <v>-1.5694598724202511</v>
      </c>
      <c r="CU22" s="11">
        <f>CT22+預測IC!CU22</f>
        <v>-1.4492281604561532</v>
      </c>
      <c r="CV22" s="11">
        <f>CU22+預測IC!CV22</f>
        <v>-1.5614618556632074</v>
      </c>
      <c r="CW22" s="11">
        <f>CV22+預測IC!CW22</f>
        <v>-1.5979131089893726</v>
      </c>
      <c r="CX22" s="11">
        <f>CW22+預測IC!CX22</f>
        <v>-1.6016627022572214</v>
      </c>
      <c r="CY22" s="11">
        <f>CX22+預測IC!CY22</f>
        <v>-1.5936738764837122</v>
      </c>
      <c r="CZ22" s="11">
        <f>CY22+預測IC!CZ22</f>
        <v>-1.8565943610829514</v>
      </c>
      <c r="DA22" s="11">
        <f>CZ22+預測IC!DA22</f>
        <v>-1.8526026072010273</v>
      </c>
      <c r="DB22" s="11">
        <f>DA22+預測IC!DB22</f>
        <v>-1.7942191003725352</v>
      </c>
      <c r="DC22" s="11">
        <f>DB22+預測IC!DC22</f>
        <v>-1.7734943159283776</v>
      </c>
      <c r="DD22" s="11">
        <f>DC22+預測IC!DD22</f>
        <v>-1.9213884185011811</v>
      </c>
      <c r="DE22" s="11">
        <f>DD22+預測IC!DE22</f>
        <v>-1.9158966605192309</v>
      </c>
      <c r="DF22" s="11">
        <f>DE22+預測IC!DF22</f>
        <v>-1.9329284357927841</v>
      </c>
      <c r="DG22" s="11">
        <f>DF22+預測IC!DG22</f>
        <v>-1.9649134788736717</v>
      </c>
      <c r="DH22" s="11">
        <f>DG22+預測IC!DH22</f>
        <v>-1.9788588250571757</v>
      </c>
      <c r="DI22" s="11">
        <f>DH22+預測IC!DI22</f>
        <v>-2.0424198243194249</v>
      </c>
      <c r="DJ22" s="11">
        <f>DI22+預測IC!DJ22</f>
        <v>-1.9921738184863291</v>
      </c>
      <c r="DK22" s="11">
        <f>DJ22+預測IC!DK22</f>
        <v>-2.1713085323091694</v>
      </c>
      <c r="DL22" s="11">
        <f>DK22+預測IC!DL22</f>
        <v>-2.2962501800465525</v>
      </c>
      <c r="DM22" s="11">
        <f>DL22+預測IC!DM22</f>
        <v>-2.2327841290085191</v>
      </c>
      <c r="DN22" s="11">
        <f>DM22+預測IC!DN22</f>
        <v>-2.2795474572125265</v>
      </c>
      <c r="DO22" s="11">
        <f>DN22+預測IC!DO22</f>
        <v>-2.4029849585241645</v>
      </c>
      <c r="DP22" s="11">
        <f>DO22+預測IC!DP22</f>
        <v>-2.4132122163770684</v>
      </c>
      <c r="DQ22" s="11">
        <f>DP22+預測IC!DQ22</f>
        <v>-2.2478080498324284</v>
      </c>
      <c r="DR22" s="11">
        <f>DQ22+預測IC!DR22</f>
        <v>-2.1181773367290795</v>
      </c>
      <c r="DS22" s="11">
        <f>DR22+預測IC!DS22</f>
        <v>-1.9211264151667202</v>
      </c>
      <c r="DT22" s="11">
        <f>DS22+預測IC!DT22</f>
        <v>-1.8627694061699549</v>
      </c>
      <c r="DU22" s="11">
        <f>DT22+預測IC!DU22</f>
        <v>-1.8052740153331159</v>
      </c>
      <c r="DV22" s="11">
        <f>DU22+預測IC!DV22</f>
        <v>-1.930979133011294</v>
      </c>
      <c r="DW22" s="11">
        <f>DV22+預測IC!DW22</f>
        <v>-2.0093688567182912</v>
      </c>
      <c r="DX22" s="11">
        <f>DW22+預測IC!DX22</f>
        <v>-1.7869262482699966</v>
      </c>
      <c r="DY22" s="11">
        <f>DX22+預測IC!DY22</f>
        <v>-1.7787791316444566</v>
      </c>
      <c r="DZ22" s="11">
        <f>DY22+預測IC!DZ22</f>
        <v>-1.6750311506988989</v>
      </c>
      <c r="EA22" s="11">
        <f>DZ22+預測IC!EA22</f>
        <v>-1.709222393108772</v>
      </c>
      <c r="EB22" s="11">
        <f>EA22+預測IC!EB22</f>
        <v>-1.5794564428027029</v>
      </c>
      <c r="EC22" s="11">
        <f>EB22+預測IC!EC22</f>
        <v>-1.551027631024652</v>
      </c>
      <c r="ED22" s="11">
        <f>EC22+預測IC!ED22</f>
        <v>-1.3673456445204963</v>
      </c>
      <c r="EE22" s="11">
        <f>ED22+預測IC!EE22</f>
        <v>-1.4032450017165652</v>
      </c>
      <c r="EF22" s="11">
        <f>EE22+預測IC!EF22</f>
        <v>-1.3684547553443929</v>
      </c>
    </row>
    <row r="23" spans="1:136">
      <c r="A23" s="2">
        <v>482</v>
      </c>
      <c r="B23" s="2">
        <v>2</v>
      </c>
      <c r="C23" s="11">
        <v>0.28298899999999988</v>
      </c>
      <c r="D23" s="11">
        <f>C23+預測IC!D23</f>
        <v>0.53708299999999987</v>
      </c>
      <c r="E23" s="11">
        <f>D23+預測IC!E23</f>
        <v>0.67008799999999991</v>
      </c>
      <c r="F23" s="11">
        <f>E23+預測IC!F23</f>
        <v>0.66634599999999988</v>
      </c>
      <c r="G23" s="11">
        <f>F23+預測IC!G23</f>
        <v>1.0279779999999998</v>
      </c>
      <c r="H23" s="11">
        <f>G23+預測IC!H23</f>
        <v>1.0097894999999999</v>
      </c>
      <c r="I23" s="11">
        <f>H23+預測IC!I23</f>
        <v>0.97340399999999994</v>
      </c>
      <c r="J23" s="11">
        <f>I23+預測IC!J23</f>
        <v>0.85852849999999992</v>
      </c>
      <c r="K23" s="11">
        <f>J23+預測IC!K23</f>
        <v>0.79860999999999993</v>
      </c>
      <c r="L23" s="11">
        <f>K23+預測IC!L23</f>
        <v>0.84938099999999994</v>
      </c>
      <c r="M23" s="11">
        <f>L23+預測IC!M23</f>
        <v>0.59093108364135749</v>
      </c>
      <c r="N23" s="11">
        <f>M23+預測IC!N23</f>
        <v>0.46413106994902897</v>
      </c>
      <c r="O23" s="11">
        <f>N23+預測IC!O23</f>
        <v>0.44472335868225982</v>
      </c>
      <c r="P23" s="11">
        <f>O23+預測IC!P23</f>
        <v>0.49940485868225981</v>
      </c>
      <c r="Q23" s="11">
        <f>P23+預測IC!Q23</f>
        <v>0.79058235868225979</v>
      </c>
      <c r="R23" s="11">
        <f>Q23+預測IC!R23</f>
        <v>0.85340235868225978</v>
      </c>
      <c r="S23" s="11">
        <f>R23+預測IC!S23</f>
        <v>0.78083185868225979</v>
      </c>
      <c r="T23" s="11">
        <f>S23+預測IC!T23</f>
        <v>0.69615485868225979</v>
      </c>
      <c r="U23" s="11">
        <f>T23+預測IC!U23</f>
        <v>0.4831730858142339</v>
      </c>
      <c r="V23" s="11">
        <f>U23+預測IC!V23</f>
        <v>0.5465300967933</v>
      </c>
      <c r="W23" s="11">
        <f>V23+預測IC!W23</f>
        <v>4.2610765607989265E-2</v>
      </c>
      <c r="X23" s="11">
        <f>W23+預測IC!X23</f>
        <v>0.23716676560798927</v>
      </c>
      <c r="Y23" s="11">
        <f>X23+預測IC!Y23</f>
        <v>0.22250696407749901</v>
      </c>
      <c r="Z23" s="11">
        <f>Y23+預測IC!Z23</f>
        <v>0.1894744486336237</v>
      </c>
      <c r="AA23" s="11">
        <f>Z23+預測IC!AA23</f>
        <v>0.34112644863362374</v>
      </c>
      <c r="AB23" s="11">
        <f>AA23+預測IC!AB23</f>
        <v>0.27708666875684024</v>
      </c>
      <c r="AC23" s="11">
        <f>AB23+預測IC!AC23</f>
        <v>0.20074033061000224</v>
      </c>
      <c r="AD23" s="11">
        <f>AC23+預測IC!AD23</f>
        <v>0.27236733061000223</v>
      </c>
      <c r="AE23" s="11">
        <f>AD23+預測IC!AE23</f>
        <v>0.60471157922252772</v>
      </c>
      <c r="AF23" s="11">
        <f>AE23+預測IC!AF23</f>
        <v>0.5378053191327764</v>
      </c>
      <c r="AG23" s="11">
        <f>AF23+預測IC!AG23</f>
        <v>0.44593166148641622</v>
      </c>
      <c r="AH23" s="11">
        <f>AG23+預測IC!AH23</f>
        <v>0.53010324600959946</v>
      </c>
      <c r="AI23" s="11">
        <f>AH23+預測IC!AI23</f>
        <v>0.50687497938711756</v>
      </c>
      <c r="AJ23" s="11">
        <f>AI23+預測IC!AJ23</f>
        <v>0.50123184153896339</v>
      </c>
      <c r="AK23" s="11">
        <f>AJ23+預測IC!AK23</f>
        <v>0.38712074219177239</v>
      </c>
      <c r="AL23" s="11">
        <f>AK23+預測IC!AL23</f>
        <v>0.25568902899923679</v>
      </c>
      <c r="AM23" s="11">
        <f>AL23+預測IC!AM23</f>
        <v>0.24791953999437152</v>
      </c>
      <c r="AN23" s="11">
        <f>AM23+預測IC!AN23</f>
        <v>5.6048406370708126E-3</v>
      </c>
      <c r="AO23" s="11">
        <f>AN23+預測IC!AO23</f>
        <v>1.094179282849491E-2</v>
      </c>
      <c r="AP23" s="11">
        <f>AO23+預測IC!AP23</f>
        <v>7.8206934761892166E-3</v>
      </c>
      <c r="AQ23" s="11">
        <f>AP23+預測IC!AQ23</f>
        <v>-8.1604298783421417E-2</v>
      </c>
      <c r="AR23" s="11">
        <f>AQ23+預測IC!AR23</f>
        <v>-0.41834834262848908</v>
      </c>
      <c r="AS23" s="11">
        <f>AR23+預測IC!AS23</f>
        <v>-0.40364145463111145</v>
      </c>
      <c r="AT23" s="11">
        <f>AS23+預測IC!AT23</f>
        <v>-0.36221373281746183</v>
      </c>
      <c r="AU23" s="11">
        <f>AT23+預測IC!AU23</f>
        <v>-0.39535925894596613</v>
      </c>
      <c r="AV23" s="11">
        <f>AU23+預測IC!AV23</f>
        <v>-0.3677202647485921</v>
      </c>
      <c r="AW23" s="11">
        <f>AV23+預測IC!AW23</f>
        <v>-0.31569335491018935</v>
      </c>
      <c r="AX23" s="11">
        <f>AW23+預測IC!AX23</f>
        <v>-0.38553150873723341</v>
      </c>
      <c r="AY23" s="11">
        <f>AX23+預測IC!AY23</f>
        <v>-0.55576548957781546</v>
      </c>
      <c r="AZ23" s="11">
        <f>AY23+預測IC!AZ23</f>
        <v>-0.49201187217675524</v>
      </c>
      <c r="BA23" s="11">
        <f>AZ23+預測IC!BA23</f>
        <v>-0.43801387217675525</v>
      </c>
      <c r="BB23" s="11">
        <f>BA23+預測IC!BB23</f>
        <v>-0.38696438807387012</v>
      </c>
      <c r="BC23" s="11">
        <f>BB23+預測IC!BC23</f>
        <v>-8.6136138900804349E-2</v>
      </c>
      <c r="BD23" s="11">
        <f>BC23+預測IC!BD23</f>
        <v>-0.1809670202472547</v>
      </c>
      <c r="BE23" s="11">
        <f>BD23+預測IC!BE23</f>
        <v>-0.10953625784995812</v>
      </c>
      <c r="BF23" s="11">
        <f>BE23+預測IC!BF23</f>
        <v>-8.6689267245271859E-2</v>
      </c>
      <c r="BG23" s="11">
        <f>BF23+預測IC!BG23</f>
        <v>-0.12501209466441768</v>
      </c>
      <c r="BH23" s="11">
        <f>BG23+預測IC!BH23</f>
        <v>-0.18837729036765591</v>
      </c>
      <c r="BI23" s="11">
        <f>BH23+預測IC!BI23</f>
        <v>-5.0157735141208803E-2</v>
      </c>
      <c r="BJ23" s="11">
        <f>BI23+預測IC!BJ23</f>
        <v>-0.10817794868585123</v>
      </c>
      <c r="BK23" s="11">
        <f>BJ23+預測IC!BK23</f>
        <v>-0.11318781216038629</v>
      </c>
      <c r="BL23" s="11">
        <f>BK23+預測IC!BL23</f>
        <v>-0.16661981216038629</v>
      </c>
      <c r="BM23" s="11">
        <f>BL23+預測IC!BM23</f>
        <v>-0.35580049894754018</v>
      </c>
      <c r="BN23" s="11">
        <f>BM23+預測IC!BN23</f>
        <v>-0.348853328188727</v>
      </c>
      <c r="BO23" s="11">
        <f>BN23+預測IC!BO23</f>
        <v>-0.38537826993472607</v>
      </c>
      <c r="BP23" s="11">
        <f>BO23+預測IC!BP23</f>
        <v>-0.48364466914618254</v>
      </c>
      <c r="BQ23" s="11">
        <f>BP23+預測IC!BQ23</f>
        <v>-0.55569257058144872</v>
      </c>
      <c r="BR23" s="11">
        <f>BQ23+預測IC!BR23</f>
        <v>-0.57353689204541158</v>
      </c>
      <c r="BS23" s="11">
        <f>BR23+預測IC!BS23</f>
        <v>-0.79410398644780233</v>
      </c>
      <c r="BT23" s="11">
        <f>BS23+預測IC!BT23</f>
        <v>-1.0122894864478023</v>
      </c>
      <c r="BU23" s="11">
        <f>BT23+預測IC!BU23</f>
        <v>-1.1179759864478023</v>
      </c>
      <c r="BV23" s="11">
        <f>BU23+預測IC!BV23</f>
        <v>-1.1349964864478022</v>
      </c>
      <c r="BW23" s="11">
        <f>BV23+預測IC!BW23</f>
        <v>-0.53399848644780212</v>
      </c>
      <c r="BX23" s="11">
        <f>BW23+預測IC!BX23</f>
        <v>-0.52578536672054899</v>
      </c>
      <c r="BY23" s="11">
        <f>BX23+預測IC!BY23</f>
        <v>-0.48584936672054901</v>
      </c>
      <c r="BZ23" s="11">
        <f>BY23+預測IC!BZ23</f>
        <v>-0.133450366720549</v>
      </c>
      <c r="CA23" s="11">
        <f>BZ23+預測IC!CA23</f>
        <v>7.2925133279450993E-2</v>
      </c>
      <c r="CB23" s="11">
        <f>CA23+預測IC!CB23</f>
        <v>0.11459012165803945</v>
      </c>
      <c r="CC23" s="11">
        <f>CB23+預測IC!CC23</f>
        <v>3.1034212619870438E-2</v>
      </c>
      <c r="CD23" s="11">
        <f>CC23+預測IC!CD23</f>
        <v>-0.60971236489668224</v>
      </c>
      <c r="CE23" s="11">
        <f>CD23+預測IC!CE23</f>
        <v>-0.81430308639912696</v>
      </c>
      <c r="CF23" s="11">
        <f>CE23+預測IC!CF23</f>
        <v>-0.99773358639912701</v>
      </c>
      <c r="CG23" s="11">
        <f>CF23+預測IC!CG23</f>
        <v>-1.2143708280263299</v>
      </c>
      <c r="CH23" s="11">
        <f>CG23+預測IC!CH23</f>
        <v>-1.3764934023434006</v>
      </c>
      <c r="CI23" s="11">
        <f>CH23+預測IC!CI23</f>
        <v>-1.5117155989948798</v>
      </c>
      <c r="CJ23" s="11">
        <f>CI23+預測IC!CJ23</f>
        <v>-1.6682314954127806</v>
      </c>
      <c r="CK23" s="11">
        <f>CJ23+預測IC!CK23</f>
        <v>-1.596375104876236</v>
      </c>
      <c r="CL23" s="11">
        <f>CK23+預測IC!CL23</f>
        <v>-1.4323256456973219</v>
      </c>
      <c r="CM23" s="11">
        <f>CL23+預測IC!CM23</f>
        <v>-1.8190585922202314</v>
      </c>
      <c r="CN23" s="11">
        <f>CM23+預測IC!CN23</f>
        <v>-1.766053413850428</v>
      </c>
      <c r="CO23" s="11">
        <f>CN23+預測IC!CO23</f>
        <v>-0.85713012648480824</v>
      </c>
      <c r="CP23" s="11">
        <f>CO23+預測IC!CP23</f>
        <v>-1.1684908696475649</v>
      </c>
      <c r="CQ23" s="11">
        <f>CP23+預測IC!CQ23</f>
        <v>-1.1593071251477589</v>
      </c>
      <c r="CR23" s="11">
        <f>CQ23+預測IC!CR23</f>
        <v>-1.1709049289688376</v>
      </c>
      <c r="CS23" s="11">
        <f>CR23+預測IC!CS23</f>
        <v>-1.1339307099775591</v>
      </c>
      <c r="CT23" s="11">
        <f>CS23+預測IC!CT23</f>
        <v>-1.179593251688813</v>
      </c>
      <c r="CU23" s="11">
        <f>CT23+預測IC!CU23</f>
        <v>-1.1585366559755259</v>
      </c>
      <c r="CV23" s="11">
        <f>CU23+預測IC!CV23</f>
        <v>-1.1362915184867202</v>
      </c>
      <c r="CW23" s="11">
        <f>CV23+預測IC!CW23</f>
        <v>-1.2371928502891387</v>
      </c>
      <c r="CX23" s="11">
        <f>CW23+預測IC!CX23</f>
        <v>-1.1484758561926123</v>
      </c>
      <c r="CY23" s="11">
        <f>CX23+預測IC!CY23</f>
        <v>-1.1705223869459909</v>
      </c>
      <c r="CZ23" s="11">
        <f>CY23+預測IC!CZ23</f>
        <v>-1.3525211808033422</v>
      </c>
      <c r="DA23" s="11">
        <f>CZ23+預測IC!DA23</f>
        <v>-1.3215390445774318</v>
      </c>
      <c r="DB23" s="11">
        <f>DA23+預測IC!DB23</f>
        <v>-1.3055838877104353</v>
      </c>
      <c r="DC23" s="11">
        <f>DB23+預測IC!DC23</f>
        <v>-1.4247743737808496</v>
      </c>
      <c r="DD23" s="11">
        <f>DC23+預測IC!DD23</f>
        <v>-1.6381854181878464</v>
      </c>
      <c r="DE23" s="11">
        <f>DD23+預測IC!DE23</f>
        <v>-1.6287901922362016</v>
      </c>
      <c r="DF23" s="11">
        <f>DE23+預測IC!DF23</f>
        <v>-1.690732319281107</v>
      </c>
      <c r="DG23" s="11">
        <f>DF23+預測IC!DG23</f>
        <v>-1.729002331155824</v>
      </c>
      <c r="DH23" s="11">
        <f>DG23+預測IC!DH23</f>
        <v>-1.7844157784645664</v>
      </c>
      <c r="DI23" s="11">
        <f>DH23+預測IC!DI23</f>
        <v>-1.8378953753805873</v>
      </c>
      <c r="DJ23" s="11">
        <f>DI23+預測IC!DJ23</f>
        <v>-1.7508373672082396</v>
      </c>
      <c r="DK23" s="11">
        <f>DJ23+預測IC!DK23</f>
        <v>-2.0286705837670826</v>
      </c>
      <c r="DL23" s="11">
        <f>DK23+預測IC!DL23</f>
        <v>-2.2447716433073563</v>
      </c>
      <c r="DM23" s="11">
        <f>DL23+預測IC!DM23</f>
        <v>-2.2252743383879903</v>
      </c>
      <c r="DN23" s="11">
        <f>DM23+預測IC!DN23</f>
        <v>-2.2317715344319606</v>
      </c>
      <c r="DO23" s="11">
        <f>DN23+預測IC!DO23</f>
        <v>-2.3958628381657947</v>
      </c>
      <c r="DP23" s="11">
        <f>DO23+預測IC!DP23</f>
        <v>-2.4429510708215174</v>
      </c>
      <c r="DQ23" s="11">
        <f>DP23+預測IC!DQ23</f>
        <v>-2.1970049632627311</v>
      </c>
      <c r="DR23" s="11">
        <f>DQ23+預測IC!DR23</f>
        <v>-2.0730876087334771</v>
      </c>
      <c r="DS23" s="11">
        <f>DR23+預測IC!DS23</f>
        <v>-1.7849910318144309</v>
      </c>
      <c r="DT23" s="11">
        <f>DS23+預測IC!DT23</f>
        <v>-1.661035808618232</v>
      </c>
      <c r="DU23" s="11">
        <f>DT23+預測IC!DU23</f>
        <v>-1.6953229938732295</v>
      </c>
      <c r="DV23" s="11">
        <f>DU23+預測IC!DV23</f>
        <v>-1.9715946022026691</v>
      </c>
      <c r="DW23" s="11">
        <f>DV23+預測IC!DW23</f>
        <v>-2.1128228347855078</v>
      </c>
      <c r="DX23" s="11">
        <f>DW23+預測IC!DX23</f>
        <v>-1.7993296284065416</v>
      </c>
      <c r="DY23" s="11">
        <f>DX23+預測IC!DY23</f>
        <v>-1.9692064570587957</v>
      </c>
      <c r="DZ23" s="11">
        <f>DY23+預測IC!DZ23</f>
        <v>-1.8663334384322832</v>
      </c>
      <c r="EA23" s="11">
        <f>DZ23+預測IC!EA23</f>
        <v>-1.9596955179012521</v>
      </c>
      <c r="EB23" s="11">
        <f>EA23+預測IC!EB23</f>
        <v>-1.7154108597773299</v>
      </c>
      <c r="EC23" s="11">
        <f>EB23+預測IC!EC23</f>
        <v>-1.5922059168216651</v>
      </c>
      <c r="ED23" s="11">
        <f>EC23+預測IC!ED23</f>
        <v>-1.397882638299746</v>
      </c>
      <c r="EE23" s="11">
        <f>ED23+預測IC!EE23</f>
        <v>-1.4674281963947327</v>
      </c>
      <c r="EF23" s="11">
        <f>EE23+預測IC!EF23</f>
        <v>-1.4196459178030729</v>
      </c>
    </row>
    <row r="24" spans="1:136">
      <c r="A24" s="2">
        <v>964</v>
      </c>
      <c r="B24" s="2">
        <v>1</v>
      </c>
      <c r="C24" s="11">
        <v>9.9113000000000007E-2</v>
      </c>
      <c r="D24" s="11">
        <f>C24+預測IC!D24</f>
        <v>0.19972300000000001</v>
      </c>
      <c r="E24" s="11">
        <f>D24+預測IC!E24</f>
        <v>0.48423499999999997</v>
      </c>
      <c r="F24" s="11">
        <f>E24+預測IC!F24</f>
        <v>0.55956099999999998</v>
      </c>
      <c r="G24" s="11">
        <f>F24+預測IC!G24</f>
        <v>0.78916799999999998</v>
      </c>
      <c r="H24" s="11">
        <f>G24+預測IC!H24</f>
        <v>0.82502399999999998</v>
      </c>
      <c r="I24" s="11">
        <f>H24+預測IC!I24</f>
        <v>0.84195399999999998</v>
      </c>
      <c r="J24" s="11">
        <f>I24+預測IC!J24</f>
        <v>0.72649299999999994</v>
      </c>
      <c r="K24" s="11">
        <f>J24+預測IC!K24</f>
        <v>0.78022599999999998</v>
      </c>
      <c r="L24" s="11">
        <f>K24+預測IC!L24</f>
        <v>0.87402599999999997</v>
      </c>
      <c r="M24" s="11">
        <f>L24+預測IC!M24</f>
        <v>0.72720666110049148</v>
      </c>
      <c r="N24" s="11">
        <f>M24+預測IC!N24</f>
        <v>0.62201495030464604</v>
      </c>
      <c r="O24" s="11">
        <f>N24+預測IC!O24</f>
        <v>0.65866374104418979</v>
      </c>
      <c r="P24" s="11">
        <f>O24+預測IC!P24</f>
        <v>0.66039974104418975</v>
      </c>
      <c r="Q24" s="11">
        <f>P24+預測IC!Q24</f>
        <v>0.65755974104418979</v>
      </c>
      <c r="R24" s="11">
        <f>Q24+預測IC!R24</f>
        <v>0.62973274104418975</v>
      </c>
      <c r="S24" s="11">
        <f>R24+預測IC!S24</f>
        <v>0.61868274104418974</v>
      </c>
      <c r="T24" s="11">
        <f>S24+預測IC!T24</f>
        <v>0.33086274104418972</v>
      </c>
      <c r="U24" s="11">
        <f>T24+預測IC!U24</f>
        <v>-6.2099143804463297E-2</v>
      </c>
      <c r="V24" s="11">
        <f>U24+預測IC!V24</f>
        <v>5.4441172912387509E-2</v>
      </c>
      <c r="W24" s="11">
        <f>V24+預測IC!W24</f>
        <v>-0.58849235569327196</v>
      </c>
      <c r="X24" s="11">
        <f>W24+預測IC!X24</f>
        <v>-0.58939135569327195</v>
      </c>
      <c r="Y24" s="11">
        <f>X24+預測IC!Y24</f>
        <v>-0.59886837061968901</v>
      </c>
      <c r="Z24" s="11">
        <f>Y24+預測IC!Z24</f>
        <v>-0.70471069789849605</v>
      </c>
      <c r="AA24" s="11">
        <f>Z24+預測IC!AA24</f>
        <v>-0.610348697898496</v>
      </c>
      <c r="AB24" s="11">
        <f>AA24+預測IC!AB24</f>
        <v>-0.80568832057373974</v>
      </c>
      <c r="AC24" s="11">
        <f>AB24+預測IC!AC24</f>
        <v>-0.93106870134970476</v>
      </c>
      <c r="AD24" s="11">
        <f>AC24+預測IC!AD24</f>
        <v>-0.82989470134970478</v>
      </c>
      <c r="AE24" s="11">
        <f>AD24+預測IC!AE24</f>
        <v>-0.28863658010342352</v>
      </c>
      <c r="AF24" s="11">
        <f>AE24+預測IC!AF24</f>
        <v>-0.31115859013821401</v>
      </c>
      <c r="AG24" s="11">
        <f>AF24+預測IC!AG24</f>
        <v>-0.44989430776485162</v>
      </c>
      <c r="AH24" s="11">
        <f>AG24+預測IC!AH24</f>
        <v>-0.39319694769706204</v>
      </c>
      <c r="AI24" s="11">
        <f>AH24+預測IC!AI24</f>
        <v>-0.38438861659863477</v>
      </c>
      <c r="AJ24" s="11">
        <f>AI24+預測IC!AJ24</f>
        <v>-0.30349737259925935</v>
      </c>
      <c r="AK24" s="11">
        <f>AJ24+預測IC!AK24</f>
        <v>-0.38838132566745165</v>
      </c>
      <c r="AL24" s="11">
        <f>AK24+預測IC!AL24</f>
        <v>-0.33370439017681625</v>
      </c>
      <c r="AM24" s="11">
        <f>AL24+預測IC!AM24</f>
        <v>-0.31478510875628957</v>
      </c>
      <c r="AN24" s="11">
        <f>AM24+預測IC!AN24</f>
        <v>-0.53597457390172087</v>
      </c>
      <c r="AO24" s="11">
        <f>AN24+預測IC!AO24</f>
        <v>-0.60206468573071092</v>
      </c>
      <c r="AP24" s="11">
        <f>AO24+預測IC!AP24</f>
        <v>-0.57921297024161456</v>
      </c>
      <c r="AQ24" s="11">
        <f>AP24+預測IC!AQ24</f>
        <v>-0.62628994307586017</v>
      </c>
      <c r="AR24" s="11">
        <f>AQ24+預測IC!AR24</f>
        <v>-0.63592919968346717</v>
      </c>
      <c r="AS24" s="11">
        <f>AR24+預測IC!AS24</f>
        <v>-0.60797312241687707</v>
      </c>
      <c r="AT24" s="11">
        <f>AS24+預測IC!AT24</f>
        <v>-0.63843232990158572</v>
      </c>
      <c r="AU24" s="11">
        <f>AT24+預測IC!AU24</f>
        <v>-0.68252764976681002</v>
      </c>
      <c r="AV24" s="11">
        <f>AU24+預測IC!AV24</f>
        <v>-0.59537569757991415</v>
      </c>
      <c r="AW24" s="11">
        <f>AV24+預測IC!AW24</f>
        <v>-0.60036323909095335</v>
      </c>
      <c r="AX24" s="11">
        <f>AW24+預測IC!AX24</f>
        <v>-0.62866942567937789</v>
      </c>
      <c r="AY24" s="11">
        <f>AX24+預測IC!AY24</f>
        <v>-0.79679671956426734</v>
      </c>
      <c r="AZ24" s="11">
        <f>AY24+預測IC!AZ24</f>
        <v>-0.83466379316393258</v>
      </c>
      <c r="BA24" s="11">
        <f>AZ24+預測IC!BA24</f>
        <v>-0.78417279316393262</v>
      </c>
      <c r="BB24" s="11">
        <f>BA24+預測IC!BB24</f>
        <v>-0.69801375976859781</v>
      </c>
      <c r="BC24" s="11">
        <f>BB24+預測IC!BC24</f>
        <v>0.10520225327577959</v>
      </c>
      <c r="BD24" s="11">
        <f>BC24+預測IC!BD24</f>
        <v>-8.0392965970655622E-2</v>
      </c>
      <c r="BE24" s="11">
        <f>BD24+預測IC!BE24</f>
        <v>-3.4328611938968752E-2</v>
      </c>
      <c r="BF24" s="11">
        <f>BE24+預測IC!BF24</f>
        <v>-0.12197994799306106</v>
      </c>
      <c r="BG24" s="11">
        <f>BF24+預測IC!BG24</f>
        <v>-3.0995720285625444E-2</v>
      </c>
      <c r="BH24" s="11">
        <f>BG24+預測IC!BH24</f>
        <v>-0.17866928553734515</v>
      </c>
      <c r="BI24" s="11">
        <f>BH24+預測IC!BI24</f>
        <v>-0.20682091768552335</v>
      </c>
      <c r="BJ24" s="11">
        <f>BI24+預測IC!BJ24</f>
        <v>-0.14625366336306395</v>
      </c>
      <c r="BK24" s="11">
        <f>BJ24+預測IC!BK24</f>
        <v>-0.15627339031213405</v>
      </c>
      <c r="BL24" s="11">
        <f>BK24+預測IC!BL24</f>
        <v>-0.18717239031213406</v>
      </c>
      <c r="BM24" s="11">
        <f>BL24+預測IC!BM24</f>
        <v>-0.19864540942987122</v>
      </c>
      <c r="BN24" s="11">
        <f>BM24+預測IC!BN24</f>
        <v>-0.205494751275446</v>
      </c>
      <c r="BO24" s="11">
        <f>BN24+預測IC!BO24</f>
        <v>-4.4385060179804092E-2</v>
      </c>
      <c r="BP24" s="11">
        <f>BO24+預測IC!BP24</f>
        <v>-0.16773624130912601</v>
      </c>
      <c r="BQ24" s="11">
        <f>BP24+預測IC!BQ24</f>
        <v>-0.10356660797901097</v>
      </c>
      <c r="BR24" s="11">
        <f>BQ24+預測IC!BR24</f>
        <v>-0.14592283128242869</v>
      </c>
      <c r="BS24" s="11">
        <f>BR24+預測IC!BS24</f>
        <v>-0.26754386781203532</v>
      </c>
      <c r="BT24" s="11">
        <f>BS24+預測IC!BT24</f>
        <v>-0.54426186781203534</v>
      </c>
      <c r="BU24" s="11">
        <f>BT24+預測IC!BU24</f>
        <v>-0.55301086781203534</v>
      </c>
      <c r="BV24" s="11">
        <f>BU24+預測IC!BV24</f>
        <v>-0.75631786781203536</v>
      </c>
      <c r="BW24" s="11">
        <f>BV24+預測IC!BW24</f>
        <v>0.35269713218796472</v>
      </c>
      <c r="BX24" s="11">
        <f>BW24+預測IC!BX24</f>
        <v>0.48565718789842249</v>
      </c>
      <c r="BY24" s="11">
        <f>BX24+預測IC!BY24</f>
        <v>0.19531718789842251</v>
      </c>
      <c r="BZ24" s="11">
        <f>BY24+預測IC!BZ24</f>
        <v>1.0092751878984225</v>
      </c>
      <c r="CA24" s="11">
        <f>BZ24+預測IC!CA24</f>
        <v>1.1093031878984225</v>
      </c>
      <c r="CB24" s="11">
        <f>CA24+預測IC!CB24</f>
        <v>1.0451761047423804</v>
      </c>
      <c r="CC24" s="11">
        <f>CB24+預測IC!CC24</f>
        <v>0.8253449115411533</v>
      </c>
      <c r="CD24" s="11">
        <f>CC24+預測IC!CD24</f>
        <v>0.13401294295177035</v>
      </c>
      <c r="CE24" s="11">
        <f>CD24+預測IC!CE24</f>
        <v>-4.5290840914745834E-2</v>
      </c>
      <c r="CF24" s="11">
        <f>CE24+預測IC!CF24</f>
        <v>-0.21042084091474583</v>
      </c>
      <c r="CG24" s="11">
        <f>CF24+預測IC!CG24</f>
        <v>-0.73038980698866784</v>
      </c>
      <c r="CH24" s="11">
        <f>CG24+預測IC!CH24</f>
        <v>-0.9433626910179862</v>
      </c>
      <c r="CI24" s="11">
        <f>CH24+預測IC!CI24</f>
        <v>-1.2369623346676701</v>
      </c>
      <c r="CJ24" s="11">
        <f>CI24+預測IC!CJ24</f>
        <v>-1.5371492282579253</v>
      </c>
      <c r="CK24" s="11">
        <f>CJ24+預測IC!CK24</f>
        <v>-1.2140899629295412</v>
      </c>
      <c r="CL24" s="11">
        <f>CK24+預測IC!CL24</f>
        <v>-1.1984062150401746</v>
      </c>
      <c r="CM24" s="11">
        <f>CL24+預測IC!CM24</f>
        <v>-1.7479933249992747</v>
      </c>
      <c r="CN24" s="11">
        <f>CM24+預測IC!CN24</f>
        <v>-1.6402545585420616</v>
      </c>
      <c r="CO24" s="11">
        <f>CN24+預測IC!CO24</f>
        <v>-0.86360134020583046</v>
      </c>
      <c r="CP24" s="11">
        <f>CO24+預測IC!CP24</f>
        <v>-1.0239455450206725</v>
      </c>
      <c r="CQ24" s="11">
        <f>CP24+預測IC!CQ24</f>
        <v>-1.1386327188839693</v>
      </c>
      <c r="CR24" s="11">
        <f>CQ24+預測IC!CR24</f>
        <v>-1.1997175571235261</v>
      </c>
      <c r="CS24" s="11">
        <f>CR24+預測IC!CS24</f>
        <v>-1.1138223243767202</v>
      </c>
      <c r="CT24" s="11">
        <f>CS24+預測IC!CT24</f>
        <v>-1.2102413325241161</v>
      </c>
      <c r="CU24" s="11">
        <f>CT24+預測IC!CU24</f>
        <v>-1.137489984867406</v>
      </c>
      <c r="CV24" s="11">
        <f>CU24+預測IC!CV24</f>
        <v>-1.1525540324067813</v>
      </c>
      <c r="CW24" s="11">
        <f>CV24+預測IC!CW24</f>
        <v>-1.3276711984787888</v>
      </c>
      <c r="CX24" s="11">
        <f>CW24+預測IC!CX24</f>
        <v>-1.3828783921874759</v>
      </c>
      <c r="CY24" s="11">
        <f>CX24+預測IC!CY24</f>
        <v>-1.3028114875506569</v>
      </c>
      <c r="CZ24" s="11">
        <f>CY24+預測IC!CZ24</f>
        <v>-1.4150181159952242</v>
      </c>
      <c r="DA24" s="11">
        <f>CZ24+預測IC!DA24</f>
        <v>-1.4395293201579791</v>
      </c>
      <c r="DB24" s="11">
        <f>DA24+預測IC!DB24</f>
        <v>-1.2440686476453249</v>
      </c>
      <c r="DC24" s="11">
        <f>DB24+預測IC!DC24</f>
        <v>-1.4352444058158598</v>
      </c>
      <c r="DD24" s="11">
        <f>DC24+預測IC!DD24</f>
        <v>-1.5886257865549658</v>
      </c>
      <c r="DE24" s="11">
        <f>DD24+預測IC!DE24</f>
        <v>-1.4125630290454307</v>
      </c>
      <c r="DF24" s="11">
        <f>DE24+預測IC!DF24</f>
        <v>-1.3078980530248694</v>
      </c>
      <c r="DG24" s="11">
        <f>DF24+預測IC!DG24</f>
        <v>-1.3670038871492134</v>
      </c>
      <c r="DH24" s="11">
        <f>DG24+預測IC!DH24</f>
        <v>-1.3678504122145796</v>
      </c>
      <c r="DI24" s="11">
        <f>DH24+預測IC!DI24</f>
        <v>-1.5097258711528492</v>
      </c>
      <c r="DJ24" s="11">
        <f>DI24+預測IC!DJ24</f>
        <v>-1.3772372606436094</v>
      </c>
      <c r="DK24" s="11">
        <f>DJ24+預測IC!DK24</f>
        <v>-1.7167464712740532</v>
      </c>
      <c r="DL24" s="11">
        <f>DK24+預測IC!DL24</f>
        <v>-1.9298508975599344</v>
      </c>
      <c r="DM24" s="11">
        <f>DL24+預測IC!DM24</f>
        <v>-1.7884113703330595</v>
      </c>
      <c r="DN24" s="11">
        <f>DM24+預測IC!DN24</f>
        <v>-2.0217459411077559</v>
      </c>
      <c r="DO24" s="11">
        <f>DN24+預測IC!DO24</f>
        <v>-2.2071867437404435</v>
      </c>
      <c r="DP24" s="11">
        <f>DO24+預測IC!DP24</f>
        <v>-2.3215601692264576</v>
      </c>
      <c r="DQ24" s="11">
        <f>DP24+預測IC!DQ24</f>
        <v>-1.9624888671298093</v>
      </c>
      <c r="DR24" s="11">
        <f>DQ24+預測IC!DR24</f>
        <v>-1.6152146974757828</v>
      </c>
      <c r="DS24" s="11">
        <f>DR24+預測IC!DS24</f>
        <v>-1.3989531564429372</v>
      </c>
      <c r="DT24" s="11">
        <f>DS24+預測IC!DT24</f>
        <v>-1.3605902902728075</v>
      </c>
      <c r="DU24" s="11">
        <f>DT24+預測IC!DU24</f>
        <v>-1.3129517029990501</v>
      </c>
      <c r="DV24" s="11">
        <f>DU24+預測IC!DV24</f>
        <v>-1.4711764016428643</v>
      </c>
      <c r="DW24" s="11">
        <f>DV24+預測IC!DW24</f>
        <v>-1.5800334915341947</v>
      </c>
      <c r="DX24" s="11">
        <f>DW24+預測IC!DX24</f>
        <v>-1.2684403637416908</v>
      </c>
      <c r="DY24" s="11">
        <f>DX24+預測IC!DY24</f>
        <v>-1.6122446505398993</v>
      </c>
      <c r="DZ24" s="11">
        <f>DY24+預測IC!DZ24</f>
        <v>-1.5617754681367826</v>
      </c>
      <c r="EA24" s="11">
        <f>DZ24+預測IC!EA24</f>
        <v>-1.5849469699834575</v>
      </c>
      <c r="EB24" s="11">
        <f>EA24+預測IC!EB24</f>
        <v>-0.99524905298436706</v>
      </c>
      <c r="EC24" s="11">
        <f>EB24+預測IC!EC24</f>
        <v>-0.73859767302084067</v>
      </c>
      <c r="ED24" s="11">
        <f>EC24+預測IC!ED24</f>
        <v>-0.65405758045357587</v>
      </c>
      <c r="EE24" s="11">
        <f>ED24+預測IC!EE24</f>
        <v>-0.61839359758261114</v>
      </c>
      <c r="EF24" s="11">
        <f>EE24+預測IC!EF24</f>
        <v>-0.68567027462657948</v>
      </c>
    </row>
    <row r="25" spans="1:136">
      <c r="A25" s="2" t="s">
        <v>144</v>
      </c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zoomScale="168" zoomScaleNormal="90" workbookViewId="0">
      <selection activeCell="P37" sqref="P37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6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/>
      <c r="B12" s="2" t="s">
        <v>189</v>
      </c>
      <c r="C12" s="11">
        <v>8.4653541666666707E-2</v>
      </c>
      <c r="D12" s="11">
        <f>C12+預測IC!D12</f>
        <v>0.19934205208333339</v>
      </c>
      <c r="E12" s="11">
        <f>D12+預測IC!E12</f>
        <v>0.24736833333333338</v>
      </c>
      <c r="F12" s="11">
        <f>E12+預測IC!F12</f>
        <v>0.2607897395833334</v>
      </c>
      <c r="G12" s="11">
        <f>F12+預測IC!G12</f>
        <v>0.27251470833333341</v>
      </c>
      <c r="H12" s="11">
        <f>G12+預測IC!H12</f>
        <v>0.31104542708333344</v>
      </c>
      <c r="I12" s="11">
        <f>H12+預測IC!I12</f>
        <v>0.32385537500000011</v>
      </c>
      <c r="J12" s="11">
        <f>I12+預測IC!J12</f>
        <v>0.29444757291666679</v>
      </c>
      <c r="K12" s="11">
        <f>J12+預測IC!K12</f>
        <v>0.31322175000000013</v>
      </c>
      <c r="L12" s="11">
        <f>K12+預測IC!L12</f>
        <v>0.27133111458333348</v>
      </c>
      <c r="M12" s="11">
        <f>L12+預測IC!M12</f>
        <v>0.29822028841654041</v>
      </c>
      <c r="N12" s="11">
        <f>M12+預測IC!N12</f>
        <v>0.26351693417307759</v>
      </c>
      <c r="O12" s="11">
        <f>N12+預測IC!O12</f>
        <v>0.29143169324031798</v>
      </c>
      <c r="P12" s="11">
        <f>O12+預測IC!P12</f>
        <v>0.29166202657365131</v>
      </c>
      <c r="Q12" s="11">
        <f>P12+預測IC!Q12</f>
        <v>0.32693249532365132</v>
      </c>
      <c r="R12" s="11">
        <f>Q12+預測IC!R12</f>
        <v>0.33359557865698464</v>
      </c>
      <c r="S12" s="11">
        <f>R12+預測IC!S12</f>
        <v>0.31712334949031795</v>
      </c>
      <c r="T12" s="11">
        <f>S12+預測IC!T12</f>
        <v>0.30938296407365129</v>
      </c>
      <c r="U12" s="11">
        <f>T12+預測IC!U12</f>
        <v>0.30802644098987031</v>
      </c>
      <c r="V12" s="11">
        <f>U12+預測IC!V12</f>
        <v>0.31753739464351854</v>
      </c>
      <c r="W12" s="11">
        <f>V12+預測IC!W12</f>
        <v>0.28911973178535544</v>
      </c>
      <c r="X12" s="11">
        <f>W12+預測IC!X12</f>
        <v>0.31619347136868881</v>
      </c>
      <c r="Y12" s="11">
        <f>X12+預測IC!Y12</f>
        <v>0.33298184862050489</v>
      </c>
      <c r="Z12" s="11">
        <f>Y12+預測IC!Z12</f>
        <v>0.26935816530493095</v>
      </c>
      <c r="AA12" s="11">
        <f>Z12+預測IC!AA12</f>
        <v>0.25784560280493096</v>
      </c>
      <c r="AB12" s="11">
        <f>AA12+預測IC!AB12</f>
        <v>0.2231564922534528</v>
      </c>
      <c r="AC12" s="11">
        <f>AB12+預測IC!AC12</f>
        <v>0.18804172818980638</v>
      </c>
      <c r="AD12" s="11">
        <f>AC12+預測IC!AD12</f>
        <v>0.19743370735647306</v>
      </c>
      <c r="AE12" s="11">
        <f>AD12+預測IC!AE12</f>
        <v>0.23533133088870362</v>
      </c>
      <c r="AF12" s="11">
        <f>AE12+預測IC!AF12</f>
        <v>0.21489917958483867</v>
      </c>
      <c r="AG12" s="11">
        <f>AF12+預測IC!AG12</f>
        <v>0.18491703465211426</v>
      </c>
      <c r="AH12" s="11">
        <f>AG12+預測IC!AH12</f>
        <v>0.17151123000248103</v>
      </c>
      <c r="AI12" s="11">
        <f>AH12+預測IC!AI12</f>
        <v>0.15200517882229508</v>
      </c>
      <c r="AJ12" s="11">
        <f>AI12+預測IC!AJ12</f>
        <v>0.1390214312762405</v>
      </c>
      <c r="AK12" s="11">
        <f>AJ12+預測IC!AK12</f>
        <v>9.0897727124106098E-2</v>
      </c>
      <c r="AL12" s="11">
        <f>AK12+預測IC!AL12</f>
        <v>7.3038724102184011E-2</v>
      </c>
      <c r="AM12" s="11">
        <f>AL12+預測IC!AM12</f>
        <v>4.2952608489586083E-2</v>
      </c>
      <c r="AN12" s="11">
        <f>AM12+預測IC!AN12</f>
        <v>-2.6280625823842441E-2</v>
      </c>
      <c r="AO12" s="11">
        <f>AN12+預測IC!AO12</f>
        <v>-2.850941886351549E-2</v>
      </c>
      <c r="AP12" s="11">
        <f>AO12+預測IC!AP12</f>
        <v>5.2089259183336623E-3</v>
      </c>
      <c r="AQ12" s="11">
        <f>AP12+預測IC!AQ12</f>
        <v>1.2830862306917467E-2</v>
      </c>
      <c r="AR12" s="11">
        <f>AQ12+預測IC!AR12</f>
        <v>-6.9539714304893245E-4</v>
      </c>
      <c r="AS12" s="11">
        <f>AR12+預測IC!AS12</f>
        <v>-1.9795115597749532E-2</v>
      </c>
      <c r="AT12" s="11">
        <f>AS12+預測IC!AT12</f>
        <v>-3.3630020305420713E-2</v>
      </c>
      <c r="AU12" s="11">
        <f>AT12+預測IC!AU12</f>
        <v>-5.4338678986296143E-2</v>
      </c>
      <c r="AV12" s="11">
        <f>AU12+預測IC!AV12</f>
        <v>-1.2978594241271131E-2</v>
      </c>
      <c r="AW12" s="11">
        <f>AV12+預測IC!AW12</f>
        <v>-1.3600071259287206E-2</v>
      </c>
      <c r="AX12" s="11">
        <f>AW12+預測IC!AX12</f>
        <v>-5.7198538512710041E-2</v>
      </c>
      <c r="AY12" s="11">
        <f>AX12+預測IC!AY12</f>
        <v>-8.2153831580383294E-2</v>
      </c>
      <c r="AZ12" s="11">
        <f>AY12+預測IC!AZ12</f>
        <v>-7.9853805508725645E-2</v>
      </c>
      <c r="BA12" s="11">
        <f>AZ12+預測IC!BA12</f>
        <v>-8.5775034253923188E-3</v>
      </c>
      <c r="BB12" s="11">
        <f>BA12+預測IC!BB12</f>
        <v>-2.3852108677851737E-2</v>
      </c>
      <c r="BC12" s="11">
        <f>BB12+預測IC!BC12</f>
        <v>-3.6124897716328229E-2</v>
      </c>
      <c r="BD12" s="11">
        <f>BC12+預測IC!BD12</f>
        <v>-4.9755454657980855E-2</v>
      </c>
      <c r="BE12" s="11">
        <f>BD12+預測IC!BE12</f>
        <v>-6.8364264497366128E-2</v>
      </c>
      <c r="BF12" s="11">
        <f>BE12+預測IC!BF12</f>
        <v>-0.13615661698056625</v>
      </c>
      <c r="BG12" s="11">
        <f>BF12+預測IC!BG12</f>
        <v>-0.18291437086184997</v>
      </c>
      <c r="BH12" s="11">
        <f>BG12+預測IC!BH12</f>
        <v>-0.21799395989176698</v>
      </c>
      <c r="BI12" s="11">
        <f>BH12+預測IC!BI12</f>
        <v>-0.26175002427161159</v>
      </c>
      <c r="BJ12" s="11">
        <f>BI12+預測IC!BJ12</f>
        <v>-0.28641315044673099</v>
      </c>
      <c r="BK12" s="11">
        <f>BJ12+預測IC!BK12</f>
        <v>-0.28707053394176557</v>
      </c>
      <c r="BL12" s="11">
        <f>BK12+預測IC!BL12</f>
        <v>-0.27601041935843224</v>
      </c>
      <c r="BM12" s="11">
        <f>BL12+預測IC!BM12</f>
        <v>-0.27084132740220235</v>
      </c>
      <c r="BN12" s="11">
        <f>BM12+預測IC!BN12</f>
        <v>-0.28235786291429887</v>
      </c>
      <c r="BO12" s="11">
        <f>BN12+預測IC!BO12</f>
        <v>-0.30660417317053579</v>
      </c>
      <c r="BP12" s="11">
        <f>BO12+預測IC!BP12</f>
        <v>-0.29609518786524169</v>
      </c>
      <c r="BQ12" s="11">
        <f>BP12+預測IC!BQ12</f>
        <v>-0.3099919374839884</v>
      </c>
      <c r="BR12" s="11">
        <f>BQ12+預測IC!BR12</f>
        <v>-0.30773092903058957</v>
      </c>
      <c r="BS12" s="11">
        <f>BR12+預測IC!BS12</f>
        <v>-0.27508807414219688</v>
      </c>
      <c r="BT12" s="11">
        <f>BS12+預測IC!BT12</f>
        <v>-0.29637625122553024</v>
      </c>
      <c r="BU12" s="11">
        <f>BT12+預測IC!BU12</f>
        <v>-0.34445944914219689</v>
      </c>
      <c r="BV12" s="11">
        <f>BU12+預測IC!BV12</f>
        <v>-0.31240613664219691</v>
      </c>
      <c r="BW12" s="11">
        <f>BV12+預測IC!BW12</f>
        <v>-0.25691858455886363</v>
      </c>
      <c r="BX12" s="11">
        <f>BW12+預測IC!BX12</f>
        <v>-0.26839574656281373</v>
      </c>
      <c r="BY12" s="11">
        <f>BX12+預測IC!BY12</f>
        <v>-0.314212704896147</v>
      </c>
      <c r="BZ12" s="11">
        <f>BY12+預測IC!BZ12</f>
        <v>-0.31043531947948033</v>
      </c>
      <c r="CA12" s="11">
        <f>BZ12+預測IC!CA12</f>
        <v>-0.29585473614614699</v>
      </c>
      <c r="CB12" s="11">
        <f>CA12+預測IC!CB12</f>
        <v>-0.32302859893917868</v>
      </c>
      <c r="CC12" s="11">
        <f>CB12+預測IC!CC12</f>
        <v>-0.30690741823210144</v>
      </c>
      <c r="CD12" s="11">
        <f>CC12+預測IC!CD12</f>
        <v>-0.35126268158878599</v>
      </c>
      <c r="CE12" s="11">
        <f>CD12+預測IC!CE12</f>
        <v>-0.40207922061780366</v>
      </c>
      <c r="CF12" s="11">
        <f>CE12+預測IC!CF12</f>
        <v>-0.39800117895113696</v>
      </c>
      <c r="CG12" s="11">
        <f>CF12+預測IC!CG12</f>
        <v>-0.44727913891421756</v>
      </c>
      <c r="CH12" s="11">
        <f>CG12+預測IC!CH12</f>
        <v>-0.46374225129300339</v>
      </c>
      <c r="CI12" s="11">
        <f>CH12+預測IC!CI12</f>
        <v>-0.4993402821941092</v>
      </c>
      <c r="CJ12" s="11">
        <f>CI12+預測IC!CJ12</f>
        <v>-0.44522021527991418</v>
      </c>
      <c r="CK12" s="11">
        <f>CJ12+預測IC!CK12</f>
        <v>-0.38911877463212402</v>
      </c>
      <c r="CL12" s="11">
        <f>CK12+預測IC!CL12</f>
        <v>-0.31067849434610312</v>
      </c>
      <c r="CM12" s="11">
        <f>CL12+預測IC!CM12</f>
        <v>-0.29545876817876232</v>
      </c>
      <c r="CN12" s="11">
        <f>CM12+預測IC!CN12</f>
        <v>-0.26837506696420294</v>
      </c>
      <c r="CO12" s="11">
        <f>CN12+預測IC!CO12</f>
        <v>-0.24110894008409714</v>
      </c>
      <c r="CP12" s="11">
        <f>CO12+預測IC!CP12</f>
        <v>-0.28640796155159087</v>
      </c>
      <c r="CQ12" s="11">
        <f>CP12+預測IC!CQ12</f>
        <v>-0.32298015646152439</v>
      </c>
      <c r="CR12" s="11">
        <f>CQ12+預測IC!CR12</f>
        <v>-0.32509803489217681</v>
      </c>
      <c r="CS12" s="11">
        <f>CR12+預測IC!CS12</f>
        <v>-0.30989638720513124</v>
      </c>
      <c r="CT12" s="11">
        <f>CS12+預測IC!CT12</f>
        <v>-0.30907235118160031</v>
      </c>
      <c r="CU12" s="11">
        <f>CT12+預測IC!CU12</f>
        <v>-0.3446960668437955</v>
      </c>
      <c r="CV12" s="11">
        <f>CU12+預測IC!CV12</f>
        <v>-0.3528086932193325</v>
      </c>
      <c r="CW12" s="11">
        <f>CV12+預測IC!CW12</f>
        <v>-0.35835661796386475</v>
      </c>
      <c r="CX12" s="11">
        <f>CW12+預測IC!CX12</f>
        <v>-0.41934650050085653</v>
      </c>
      <c r="CY12" s="11">
        <f>CX12+預測IC!CY12</f>
        <v>-0.41336355828936594</v>
      </c>
      <c r="CZ12" s="11">
        <f>CY12+預測IC!CZ12</f>
        <v>-0.49115588562886653</v>
      </c>
      <c r="DA12" s="11">
        <f>CZ12+預測IC!DA12</f>
        <v>-0.49675966969922708</v>
      </c>
      <c r="DB12" s="11">
        <f>DA12+預測IC!DB12</f>
        <v>-0.47377779374510004</v>
      </c>
      <c r="DC12" s="11">
        <f>DB12+預測IC!DC12</f>
        <v>-0.50775099661987477</v>
      </c>
      <c r="DD12" s="11">
        <f>DC12+預測IC!DD12</f>
        <v>-0.53263997467711521</v>
      </c>
      <c r="DE12" s="11">
        <f>DD12+預測IC!DE12</f>
        <v>-0.53383808305833635</v>
      </c>
      <c r="DF12" s="11">
        <f>DE12+預測IC!DF12</f>
        <v>-0.52700355732229598</v>
      </c>
      <c r="DG12" s="11">
        <f>DF12+預測IC!DG12</f>
        <v>-0.52605584838297903</v>
      </c>
      <c r="DH12" s="11">
        <f>DG12+預測IC!DH12</f>
        <v>-0.52223316641154649</v>
      </c>
      <c r="DI12" s="11">
        <f>DH12+預測IC!DI12</f>
        <v>-0.46778999341941407</v>
      </c>
      <c r="DJ12" s="11">
        <f>DI12+預測IC!DJ12</f>
        <v>-0.47585259167418453</v>
      </c>
      <c r="DK12" s="11">
        <f>DJ12+預測IC!DK12</f>
        <v>-0.45990663854716818</v>
      </c>
      <c r="DL12" s="11">
        <f>DK12+預測IC!DL12</f>
        <v>-0.4595519625245244</v>
      </c>
      <c r="DM12" s="11">
        <f>DL12+預測IC!DM12</f>
        <v>-0.45471161327944448</v>
      </c>
      <c r="DN12" s="11">
        <f>DM12+預測IC!DN12</f>
        <v>-0.49712197866550933</v>
      </c>
      <c r="DO12" s="11">
        <f>DN12+預測IC!DO12</f>
        <v>-0.51972171234583797</v>
      </c>
      <c r="DP12" s="11">
        <f>DO12+預測IC!DP12</f>
        <v>-0.55230616194613513</v>
      </c>
      <c r="DQ12" s="11">
        <f>DP12+預測IC!DQ12</f>
        <v>-0.4777655144656624</v>
      </c>
      <c r="DR12" s="11">
        <f>DQ12+預測IC!DR12</f>
        <v>-0.48861756089336672</v>
      </c>
      <c r="DS12" s="11">
        <f>DR12+預測IC!DS12</f>
        <v>-0.45289140544166889</v>
      </c>
      <c r="DT12" s="11">
        <f>DS12+預測IC!DT12</f>
        <v>-0.40759352204726834</v>
      </c>
      <c r="DU12" s="11">
        <f>DT12+預測IC!DU12</f>
        <v>-0.42134617013365078</v>
      </c>
      <c r="DV12" s="11">
        <f>DU12+預測IC!DV12</f>
        <v>-0.46989699461118145</v>
      </c>
      <c r="DW12" s="11">
        <f>DV12+預測IC!DW12</f>
        <v>-0.51362255883121888</v>
      </c>
      <c r="DX12" s="11">
        <f>DW12+預測IC!DX12</f>
        <v>-0.46347047828885735</v>
      </c>
      <c r="DY12" s="11">
        <f>DX12+預測IC!DY12</f>
        <v>-0.47882774840735226</v>
      </c>
      <c r="DZ12" s="11">
        <f>DY12+預測IC!DZ12</f>
        <v>-0.47469202292717488</v>
      </c>
      <c r="EA12" s="11">
        <f>DZ12+預測IC!EA12</f>
        <v>-0.36156498117803787</v>
      </c>
      <c r="EB12" s="11">
        <f>EA12+預測IC!EB12</f>
        <v>-0.33103920436019624</v>
      </c>
      <c r="EC12" s="11">
        <f>EB12+預測IC!EC12</f>
        <v>-0.34592312248971546</v>
      </c>
      <c r="ED12" s="11">
        <f>EC12+預測IC!ED12</f>
        <v>-0.36936769773265665</v>
      </c>
      <c r="EE12" s="11">
        <f>ED12+預測IC!EE12</f>
        <v>-0.34115141746485328</v>
      </c>
      <c r="EF12" s="11">
        <f>EE12+預測IC!EF12</f>
        <v>-0.38038476550364897</v>
      </c>
    </row>
    <row r="13" spans="1:136">
      <c r="A13" s="2"/>
      <c r="B13" s="2" t="s">
        <v>190</v>
      </c>
      <c r="C13" s="11">
        <v>0.10411314583333341</v>
      </c>
      <c r="D13" s="11">
        <f>C13+預測IC!D13</f>
        <v>0.22785825000000001</v>
      </c>
      <c r="E13" s="11">
        <f>D13+預測IC!E13</f>
        <v>0.2977195416666667</v>
      </c>
      <c r="F13" s="11">
        <f>E13+預測IC!F13</f>
        <v>0.28626472916666668</v>
      </c>
      <c r="G13" s="11">
        <f>F13+預測IC!G13</f>
        <v>0.30200958333333333</v>
      </c>
      <c r="H13" s="11">
        <f>G13+預測IC!H13</f>
        <v>0.33199993750000001</v>
      </c>
      <c r="I13" s="11">
        <f>H13+預測IC!I13</f>
        <v>0.36113047916666668</v>
      </c>
      <c r="J13" s="11">
        <f>I13+預測IC!J13</f>
        <v>0.31723166666666669</v>
      </c>
      <c r="K13" s="11">
        <f>J13+預測IC!K13</f>
        <v>0.3158641875</v>
      </c>
      <c r="L13" s="11">
        <f>K13+預測IC!L13</f>
        <v>0.30983908333333332</v>
      </c>
      <c r="M13" s="11">
        <f>L13+預測IC!M13</f>
        <v>0.31311884155933806</v>
      </c>
      <c r="N13" s="11">
        <f>M13+預測IC!N13</f>
        <v>0.26972642409364128</v>
      </c>
      <c r="O13" s="11">
        <f>N13+預測IC!O13</f>
        <v>0.28714912290459121</v>
      </c>
      <c r="P13" s="11">
        <f>O13+預測IC!P13</f>
        <v>0.30394126873792454</v>
      </c>
      <c r="Q13" s="11">
        <f>P13+預測IC!Q13</f>
        <v>0.37716628957125786</v>
      </c>
      <c r="R13" s="11">
        <f>Q13+預測IC!R13</f>
        <v>0.39132612290459118</v>
      </c>
      <c r="S13" s="11">
        <f>R13+預測IC!S13</f>
        <v>0.37908281040459119</v>
      </c>
      <c r="T13" s="11">
        <f>S13+預測IC!T13</f>
        <v>0.35697833123792455</v>
      </c>
      <c r="U13" s="11">
        <f>T13+預測IC!U13</f>
        <v>0.38573966182847885</v>
      </c>
      <c r="V13" s="11">
        <f>U13+預測IC!V13</f>
        <v>0.38795630173153278</v>
      </c>
      <c r="W13" s="11">
        <f>V13+預測IC!W13</f>
        <v>0.35698739766004989</v>
      </c>
      <c r="X13" s="11">
        <f>W13+預測IC!X13</f>
        <v>0.41026385599338322</v>
      </c>
      <c r="Y13" s="11">
        <f>X13+預測IC!Y13</f>
        <v>0.43673573921072573</v>
      </c>
      <c r="Z13" s="11">
        <f>Y13+預測IC!Z13</f>
        <v>0.35831130440554215</v>
      </c>
      <c r="AA13" s="11">
        <f>Z13+預測IC!AA13</f>
        <v>0.34187126273887553</v>
      </c>
      <c r="AB13" s="11">
        <f>AA13+預測IC!AB13</f>
        <v>0.29519304261749824</v>
      </c>
      <c r="AC13" s="11">
        <f>AB13+預測IC!AC13</f>
        <v>0.2733214864561207</v>
      </c>
      <c r="AD13" s="11">
        <f>AC13+預測IC!AD13</f>
        <v>0.29486456978945402</v>
      </c>
      <c r="AE13" s="11">
        <f>AD13+預測IC!AE13</f>
        <v>0.3373817812452452</v>
      </c>
      <c r="AF13" s="11">
        <f>AE13+預測IC!AF13</f>
        <v>0.30544131741094399</v>
      </c>
      <c r="AG13" s="11">
        <f>AF13+預測IC!AG13</f>
        <v>0.27375953435594108</v>
      </c>
      <c r="AH13" s="11">
        <f>AG13+預測IC!AH13</f>
        <v>0.2641181951164247</v>
      </c>
      <c r="AI13" s="11">
        <f>AH13+預測IC!AI13</f>
        <v>0.25205064504235192</v>
      </c>
      <c r="AJ13" s="11">
        <f>AI13+預測IC!AJ13</f>
        <v>0.26833111503062762</v>
      </c>
      <c r="AK13" s="11">
        <f>AJ13+預測IC!AK13</f>
        <v>0.20234320221997162</v>
      </c>
      <c r="AL13" s="11">
        <f>AK13+預測IC!AL13</f>
        <v>0.1791917736248006</v>
      </c>
      <c r="AM13" s="11">
        <f>AL13+預測IC!AM13</f>
        <v>0.13290933008797168</v>
      </c>
      <c r="AN13" s="11">
        <f>AM13+預測IC!AN13</f>
        <v>2.7579091951937584E-2</v>
      </c>
      <c r="AO13" s="11">
        <f>AN13+預測IC!AO13</f>
        <v>1.8267904052522644E-2</v>
      </c>
      <c r="AP13" s="11">
        <f>AO13+預測IC!AP13</f>
        <v>7.7818744414520358E-2</v>
      </c>
      <c r="AQ13" s="11">
        <f>AP13+預測IC!AQ13</f>
        <v>8.3868033183420038E-2</v>
      </c>
      <c r="AR13" s="11">
        <f>AQ13+預測IC!AR13</f>
        <v>7.3178847647484377E-2</v>
      </c>
      <c r="AS13" s="11">
        <f>AR13+預測IC!AS13</f>
        <v>3.1865729163250284E-2</v>
      </c>
      <c r="AT13" s="11">
        <f>AS13+預測IC!AT13</f>
        <v>-8.5973586911894592E-3</v>
      </c>
      <c r="AU13" s="11">
        <f>AT13+預測IC!AU13</f>
        <v>-4.9573485167168321E-2</v>
      </c>
      <c r="AV13" s="11">
        <f>AU13+預測IC!AV13</f>
        <v>-4.0098012527615239E-2</v>
      </c>
      <c r="AW13" s="11">
        <f>AV13+預測IC!AW13</f>
        <v>-4.4178026110678642E-2</v>
      </c>
      <c r="AX13" s="11">
        <f>AW13+預測IC!AX13</f>
        <v>-0.11133181389378898</v>
      </c>
      <c r="AY13" s="11">
        <f>AX13+預測IC!AY13</f>
        <v>-0.12889616024241393</v>
      </c>
      <c r="AZ13" s="11">
        <f>AY13+預測IC!AZ13</f>
        <v>-0.12079269277291454</v>
      </c>
      <c r="BA13" s="11">
        <f>AZ13+預測IC!BA13</f>
        <v>-4.0963421939581218E-2</v>
      </c>
      <c r="BB13" s="11">
        <f>BA13+預測IC!BB13</f>
        <v>-8.383879643639211E-2</v>
      </c>
      <c r="BC13" s="11">
        <f>BB13+預測IC!BC13</f>
        <v>-9.5122563548049766E-2</v>
      </c>
      <c r="BD13" s="11">
        <f>BC13+預測IC!BD13</f>
        <v>-9.8466991931731099E-2</v>
      </c>
      <c r="BE13" s="11">
        <f>BD13+預測IC!BE13</f>
        <v>-0.12585879823737267</v>
      </c>
      <c r="BF13" s="11">
        <f>BE13+預測IC!BF13</f>
        <v>-0.20978821354486943</v>
      </c>
      <c r="BG13" s="11">
        <f>BF13+預測IC!BG13</f>
        <v>-0.29818575940119024</v>
      </c>
      <c r="BH13" s="11">
        <f>BG13+預測IC!BH13</f>
        <v>-0.33920941559338225</v>
      </c>
      <c r="BI13" s="11">
        <f>BH13+預測IC!BI13</f>
        <v>-0.36081097469631518</v>
      </c>
      <c r="BJ13" s="11">
        <f>BI13+預測IC!BJ13</f>
        <v>-0.38507706230942407</v>
      </c>
      <c r="BK13" s="11">
        <f>BJ13+預測IC!BK13</f>
        <v>-0.39395545822551542</v>
      </c>
      <c r="BL13" s="11">
        <f>BK13+預測IC!BL13</f>
        <v>-0.3803364998921821</v>
      </c>
      <c r="BM13" s="11">
        <f>BL13+預測IC!BM13</f>
        <v>-0.39725511551106374</v>
      </c>
      <c r="BN13" s="11">
        <f>BM13+預測IC!BN13</f>
        <v>-0.40830765738634001</v>
      </c>
      <c r="BO13" s="11">
        <f>BN13+預測IC!BO13</f>
        <v>-0.43918637361981411</v>
      </c>
      <c r="BP13" s="11">
        <f>BO13+預測IC!BP13</f>
        <v>-0.4486190693144656</v>
      </c>
      <c r="BQ13" s="11">
        <f>BP13+預測IC!BQ13</f>
        <v>-0.49027213310389139</v>
      </c>
      <c r="BR13" s="11">
        <f>BQ13+預測IC!BR13</f>
        <v>-0.48359071562033396</v>
      </c>
      <c r="BS13" s="11">
        <f>BR13+預測IC!BS13</f>
        <v>-0.44341020125891706</v>
      </c>
      <c r="BT13" s="11">
        <f>BS13+預測IC!BT13</f>
        <v>-0.47707809709225041</v>
      </c>
      <c r="BU13" s="11">
        <f>BT13+預測IC!BU13</f>
        <v>-0.55173626375891704</v>
      </c>
      <c r="BV13" s="11">
        <f>BU13+預測IC!BV13</f>
        <v>-0.52029603459225038</v>
      </c>
      <c r="BW13" s="11">
        <f>BV13+預測IC!BW13</f>
        <v>-0.43406570125891702</v>
      </c>
      <c r="BX13" s="11">
        <f>BW13+預測IC!BX13</f>
        <v>-0.4551437687829436</v>
      </c>
      <c r="BY13" s="11">
        <f>BX13+預測IC!BY13</f>
        <v>-0.48597235211627693</v>
      </c>
      <c r="BZ13" s="11">
        <f>BY13+預測IC!BZ13</f>
        <v>-0.4997310604496103</v>
      </c>
      <c r="CA13" s="11">
        <f>BZ13+預測IC!CA13</f>
        <v>-0.47571887294961029</v>
      </c>
      <c r="CB13" s="11">
        <f>CA13+預測IC!CB13</f>
        <v>-0.50173625247230524</v>
      </c>
      <c r="CC13" s="11">
        <f>CB13+預測IC!CC13</f>
        <v>-0.50996106184423562</v>
      </c>
      <c r="CD13" s="11">
        <f>CC13+預測IC!CD13</f>
        <v>-0.53116520572484216</v>
      </c>
      <c r="CE13" s="11">
        <f>CD13+預測IC!CE13</f>
        <v>-0.61060307551204474</v>
      </c>
      <c r="CF13" s="11">
        <f>CE13+預測IC!CF13</f>
        <v>-0.59237392967871139</v>
      </c>
      <c r="CG13" s="11">
        <f>CF13+預測IC!CG13</f>
        <v>-0.65038889748595075</v>
      </c>
      <c r="CH13" s="11">
        <f>CG13+預測IC!CH13</f>
        <v>-0.65441840354416103</v>
      </c>
      <c r="CI13" s="11">
        <f>CH13+預測IC!CI13</f>
        <v>-0.66895170677744087</v>
      </c>
      <c r="CJ13" s="11">
        <f>CI13+預測IC!CJ13</f>
        <v>-0.61414152609860084</v>
      </c>
      <c r="CK13" s="11">
        <f>CJ13+預測IC!CK13</f>
        <v>-0.54845439983180344</v>
      </c>
      <c r="CL13" s="11">
        <f>CK13+預測IC!CL13</f>
        <v>-0.47573022467858489</v>
      </c>
      <c r="CM13" s="11">
        <f>CL13+預測IC!CM13</f>
        <v>-0.46543342092218992</v>
      </c>
      <c r="CN13" s="11">
        <f>CM13+預測IC!CN13</f>
        <v>-0.43854585492333759</v>
      </c>
      <c r="CO13" s="11">
        <f>CN13+預測IC!CO13</f>
        <v>-0.4250883963601102</v>
      </c>
      <c r="CP13" s="11">
        <f>CO13+預測IC!CP13</f>
        <v>-0.49481493663784454</v>
      </c>
      <c r="CQ13" s="11">
        <f>CP13+預測IC!CQ13</f>
        <v>-0.53299988683400423</v>
      </c>
      <c r="CR13" s="11">
        <f>CQ13+預測IC!CR13</f>
        <v>-0.54127966783165271</v>
      </c>
      <c r="CS13" s="11">
        <f>CR13+預測IC!CS13</f>
        <v>-0.55211271894692737</v>
      </c>
      <c r="CT13" s="11">
        <f>CS13+預測IC!CT13</f>
        <v>-0.56018351826330604</v>
      </c>
      <c r="CU13" s="11">
        <f>CT13+預測IC!CU13</f>
        <v>-0.59734492054561728</v>
      </c>
      <c r="CV13" s="11">
        <f>CU13+預測IC!CV13</f>
        <v>-0.59439160837235938</v>
      </c>
      <c r="CW13" s="11">
        <f>CV13+預測IC!CW13</f>
        <v>-0.60036863922860551</v>
      </c>
      <c r="CX13" s="11">
        <f>CW13+預測IC!CX13</f>
        <v>-0.66040189446865849</v>
      </c>
      <c r="CY13" s="11">
        <f>CX13+預測IC!CY13</f>
        <v>-0.64728315435364581</v>
      </c>
      <c r="CZ13" s="11">
        <f>CY13+預測IC!CZ13</f>
        <v>-0.70450737470713087</v>
      </c>
      <c r="DA13" s="11">
        <f>CZ13+預測IC!DA13</f>
        <v>-0.69892369778130947</v>
      </c>
      <c r="DB13" s="11">
        <f>DA13+預測IC!DB13</f>
        <v>-0.6571621280645249</v>
      </c>
      <c r="DC13" s="11">
        <f>DB13+預測IC!DC13</f>
        <v>-0.68693769394281778</v>
      </c>
      <c r="DD13" s="11">
        <f>DC13+預測IC!DD13</f>
        <v>-0.69763529454355355</v>
      </c>
      <c r="DE13" s="11">
        <f>DD13+預測IC!DE13</f>
        <v>-0.70356425166962855</v>
      </c>
      <c r="DF13" s="11">
        <f>DE13+預測IC!DF13</f>
        <v>-0.67504545487599377</v>
      </c>
      <c r="DG13" s="11">
        <f>DF13+預測IC!DG13</f>
        <v>-0.67341479770310386</v>
      </c>
      <c r="DH13" s="11">
        <f>DG13+預測IC!DH13</f>
        <v>-0.68471056558501897</v>
      </c>
      <c r="DI13" s="11">
        <f>DH13+預測IC!DI13</f>
        <v>-0.63873354049034214</v>
      </c>
      <c r="DJ13" s="11">
        <f>DI13+預測IC!DJ13</f>
        <v>-0.63540178431083139</v>
      </c>
      <c r="DK13" s="11">
        <f>DJ13+預測IC!DK13</f>
        <v>-0.64781085852945908</v>
      </c>
      <c r="DL13" s="11">
        <f>DK13+預測IC!DL13</f>
        <v>-0.63151061203814451</v>
      </c>
      <c r="DM13" s="11">
        <f>DL13+預測IC!DM13</f>
        <v>-0.62485174298970059</v>
      </c>
      <c r="DN13" s="11">
        <f>DM13+預測IC!DN13</f>
        <v>-0.63635132091221369</v>
      </c>
      <c r="DO13" s="11">
        <f>DN13+預測IC!DO13</f>
        <v>-0.68324273330034546</v>
      </c>
      <c r="DP13" s="11">
        <f>DO13+預測IC!DP13</f>
        <v>-0.73202936915661487</v>
      </c>
      <c r="DQ13" s="11">
        <f>DP13+預測IC!DQ13</f>
        <v>-0.64490035776404442</v>
      </c>
      <c r="DR13" s="11">
        <f>DQ13+預測IC!DR13</f>
        <v>-0.65936731923490421</v>
      </c>
      <c r="DS13" s="11">
        <f>DR13+預測IC!DS13</f>
        <v>-0.6204796913952344</v>
      </c>
      <c r="DT13" s="11">
        <f>DS13+預測IC!DT13</f>
        <v>-0.58505339034756965</v>
      </c>
      <c r="DU13" s="11">
        <f>DT13+預測IC!DU13</f>
        <v>-0.60375855398471445</v>
      </c>
      <c r="DV13" s="11">
        <f>DU13+預測IC!DV13</f>
        <v>-0.68337869800890305</v>
      </c>
      <c r="DW13" s="11">
        <f>DV13+預測IC!DW13</f>
        <v>-0.72779648763325333</v>
      </c>
      <c r="DX13" s="11">
        <f>DW13+預測IC!DX13</f>
        <v>-0.66327310805475714</v>
      </c>
      <c r="DY13" s="11">
        <f>DX13+預測IC!DY13</f>
        <v>-0.69865915270859047</v>
      </c>
      <c r="DZ13" s="11">
        <f>DY13+預測IC!DZ13</f>
        <v>-0.68405033822137218</v>
      </c>
      <c r="EA13" s="11">
        <f>DZ13+預測IC!EA13</f>
        <v>-0.55958138007230129</v>
      </c>
      <c r="EB13" s="11">
        <f>EA13+預測IC!EB13</f>
        <v>-0.50237608732391226</v>
      </c>
      <c r="EC13" s="11">
        <f>EB13+預測IC!EC13</f>
        <v>-0.52436093985543664</v>
      </c>
      <c r="ED13" s="11">
        <f>EC13+預測IC!ED13</f>
        <v>-0.57833895948469194</v>
      </c>
      <c r="EE13" s="11">
        <f>ED13+預測IC!EE13</f>
        <v>-0.54247147958387187</v>
      </c>
      <c r="EF13" s="11">
        <f>EE13+預測IC!EF13</f>
        <v>-0.60904869494742808</v>
      </c>
    </row>
    <row r="14" spans="1:136">
      <c r="A14" s="2"/>
      <c r="B14" s="2" t="s">
        <v>191</v>
      </c>
      <c r="C14" s="11">
        <v>0.1199416315789474</v>
      </c>
      <c r="D14" s="11">
        <f>C14+預測IC!D14</f>
        <v>0.34225042105263159</v>
      </c>
      <c r="E14" s="11">
        <f>D14+預測IC!E14</f>
        <v>0.44101857894736846</v>
      </c>
      <c r="F14" s="11">
        <f>E14+預測IC!F14</f>
        <v>0.47556178947368422</v>
      </c>
      <c r="G14" s="11">
        <f>F14+預測IC!G14</f>
        <v>0.56071099999999996</v>
      </c>
      <c r="H14" s="11">
        <f>G14+預測IC!H14</f>
        <v>0.62029994736842098</v>
      </c>
      <c r="I14" s="11">
        <f>H14+預測IC!I14</f>
        <v>0.69741494736842102</v>
      </c>
      <c r="J14" s="11">
        <f>I14+預測IC!J14</f>
        <v>0.59232136842105265</v>
      </c>
      <c r="K14" s="11">
        <f>J14+預測IC!K14</f>
        <v>0.60477284210526316</v>
      </c>
      <c r="L14" s="11">
        <f>K14+預測IC!L14</f>
        <v>0.59629263157894741</v>
      </c>
      <c r="M14" s="11">
        <f>L14+預測IC!M14</f>
        <v>0.57727091711396339</v>
      </c>
      <c r="N14" s="11">
        <f>M14+預測IC!N14</f>
        <v>0.51990149045694134</v>
      </c>
      <c r="O14" s="11">
        <f>N14+預測IC!O14</f>
        <v>0.52139589839548983</v>
      </c>
      <c r="P14" s="11">
        <f>O14+預測IC!P14</f>
        <v>0.56917584576391089</v>
      </c>
      <c r="Q14" s="11">
        <f>P14+預測IC!Q14</f>
        <v>0.62741489839548981</v>
      </c>
      <c r="R14" s="11">
        <f>Q14+預測IC!R14</f>
        <v>0.61326321418496355</v>
      </c>
      <c r="S14" s="11">
        <f>R14+預測IC!S14</f>
        <v>0.65179847734285823</v>
      </c>
      <c r="T14" s="11">
        <f>S14+預測IC!T14</f>
        <v>0.63443674050075294</v>
      </c>
      <c r="U14" s="11">
        <f>T14+預測IC!U14</f>
        <v>0.66499290983115367</v>
      </c>
      <c r="V14" s="11">
        <f>U14+預測IC!V14</f>
        <v>0.61257160967226854</v>
      </c>
      <c r="W14" s="11">
        <f>V14+預測IC!W14</f>
        <v>0.56477660693874843</v>
      </c>
      <c r="X14" s="11">
        <f>W14+預測IC!X14</f>
        <v>0.61835839641243262</v>
      </c>
      <c r="Y14" s="11">
        <f>X14+預測IC!Y14</f>
        <v>0.62357827100796459</v>
      </c>
      <c r="Z14" s="11">
        <f>Y14+預測IC!Z14</f>
        <v>0.58506634472765695</v>
      </c>
      <c r="AA14" s="11">
        <f>Z14+預測IC!AA14</f>
        <v>0.58244066051713062</v>
      </c>
      <c r="AB14" s="11">
        <f>AA14+預測IC!AB14</f>
        <v>0.5116712831699004</v>
      </c>
      <c r="AC14" s="11">
        <f>AB14+預測IC!AC14</f>
        <v>0.52518855197339376</v>
      </c>
      <c r="AD14" s="11">
        <f>AC14+預測IC!AD14</f>
        <v>0.5645164993418148</v>
      </c>
      <c r="AE14" s="11">
        <f>AD14+預測IC!AE14</f>
        <v>0.67092857158949237</v>
      </c>
      <c r="AF14" s="11">
        <f>AE14+預測IC!AF14</f>
        <v>0.63050786904709322</v>
      </c>
      <c r="AG14" s="11">
        <f>AF14+預測IC!AG14</f>
        <v>0.60998697440053073</v>
      </c>
      <c r="AH14" s="11">
        <f>AG14+預測IC!AH14</f>
        <v>0.6047366964700247</v>
      </c>
      <c r="AI14" s="11">
        <f>AH14+預測IC!AI14</f>
        <v>0.53266374554290385</v>
      </c>
      <c r="AJ14" s="11">
        <f>AI14+預測IC!AJ14</f>
        <v>0.5176047094597529</v>
      </c>
      <c r="AK14" s="11">
        <f>AJ14+預測IC!AK14</f>
        <v>0.44069327860145091</v>
      </c>
      <c r="AL14" s="11">
        <f>AK14+預測IC!AL14</f>
        <v>0.40272408887899019</v>
      </c>
      <c r="AM14" s="11">
        <f>AL14+預測IC!AM14</f>
        <v>0.34148192250036496</v>
      </c>
      <c r="AN14" s="11">
        <f>AM14+預測IC!AN14</f>
        <v>0.24288725573082126</v>
      </c>
      <c r="AO14" s="11">
        <f>AN14+預測IC!AO14</f>
        <v>0.1819815502654113</v>
      </c>
      <c r="AP14" s="11">
        <f>AO14+預測IC!AP14</f>
        <v>0.25195807541749549</v>
      </c>
      <c r="AQ14" s="11">
        <f>AP14+預測IC!AQ14</f>
        <v>0.25232604315525542</v>
      </c>
      <c r="AR14" s="11">
        <f>AQ14+預測IC!AR14</f>
        <v>0.21468020339299249</v>
      </c>
      <c r="AS14" s="11">
        <f>AR14+預測IC!AS14</f>
        <v>0.12930321743994572</v>
      </c>
      <c r="AT14" s="11">
        <f>AS14+預測IC!AT14</f>
        <v>9.4796637754801238E-2</v>
      </c>
      <c r="AU14" s="11">
        <f>AT14+預測IC!AU14</f>
        <v>5.4804988751497398E-2</v>
      </c>
      <c r="AV14" s="11">
        <f>AU14+預測IC!AV14</f>
        <v>7.3487874185114571E-2</v>
      </c>
      <c r="AW14" s="11">
        <f>AV14+預測IC!AW14</f>
        <v>9.1850805691072068E-2</v>
      </c>
      <c r="AX14" s="11">
        <f>AW14+預測IC!AX14</f>
        <v>-4.5100222603320639E-2</v>
      </c>
      <c r="AY14" s="11">
        <f>AX14+預測IC!AY14</f>
        <v>-6.0168341375082188E-2</v>
      </c>
      <c r="AZ14" s="11">
        <f>AY14+預測IC!AZ14</f>
        <v>-6.819772202926129E-3</v>
      </c>
      <c r="BA14" s="11">
        <f>AZ14+預測IC!BA14</f>
        <v>8.951764884970545E-2</v>
      </c>
      <c r="BB14" s="11">
        <f>BA14+預測IC!BB14</f>
        <v>2.7783366848030608E-2</v>
      </c>
      <c r="BC14" s="11">
        <f>BB14+預測IC!BC14</f>
        <v>3.7604365803308025E-2</v>
      </c>
      <c r="BD14" s="11">
        <f>BC14+預測IC!BD14</f>
        <v>-5.7234158640973934E-3</v>
      </c>
      <c r="BE14" s="11">
        <f>BD14+預測IC!BE14</f>
        <v>-4.9510478399584411E-2</v>
      </c>
      <c r="BF14" s="11">
        <f>BE14+預測IC!BF14</f>
        <v>-9.0280999945274193E-2</v>
      </c>
      <c r="BG14" s="11">
        <f>BF14+預測IC!BG14</f>
        <v>-0.21558630638486398</v>
      </c>
      <c r="BH14" s="11">
        <f>BG14+預測IC!BH14</f>
        <v>-0.28899977056358905</v>
      </c>
      <c r="BI14" s="11">
        <f>BH14+預測IC!BI14</f>
        <v>-0.24796870263035717</v>
      </c>
      <c r="BJ14" s="11">
        <f>BI14+預測IC!BJ14</f>
        <v>-0.31657289823265988</v>
      </c>
      <c r="BK14" s="11">
        <f>BJ14+預測IC!BK14</f>
        <v>-0.35026431810342845</v>
      </c>
      <c r="BL14" s="11">
        <f>BK14+預測IC!BL14</f>
        <v>-0.33969273915606002</v>
      </c>
      <c r="BM14" s="11">
        <f>BL14+預測IC!BM14</f>
        <v>-0.37894995436248713</v>
      </c>
      <c r="BN14" s="11">
        <f>BM14+預測IC!BN14</f>
        <v>-0.39988649243503849</v>
      </c>
      <c r="BO14" s="11">
        <f>BN14+預測IC!BO14</f>
        <v>-0.43349553811230296</v>
      </c>
      <c r="BP14" s="11">
        <f>BO14+預測IC!BP14</f>
        <v>-0.4491692716052621</v>
      </c>
      <c r="BQ14" s="11">
        <f>BP14+預測IC!BQ14</f>
        <v>-0.4650127954752129</v>
      </c>
      <c r="BR14" s="11">
        <f>BQ14+預測IC!BR14</f>
        <v>-0.437083365942595</v>
      </c>
      <c r="BS14" s="11">
        <f>BR14+預測IC!BS14</f>
        <v>-0.40675064195582439</v>
      </c>
      <c r="BT14" s="11">
        <f>BS14+預測IC!BT14</f>
        <v>-0.39146232616635068</v>
      </c>
      <c r="BU14" s="11">
        <f>BT14+預測IC!BU14</f>
        <v>-0.50262243142950858</v>
      </c>
      <c r="BV14" s="11">
        <f>BU14+預測IC!BV14</f>
        <v>-0.46134022090319277</v>
      </c>
      <c r="BW14" s="11">
        <f>BV14+預測IC!BW14</f>
        <v>-0.34293201037687698</v>
      </c>
      <c r="BX14" s="11">
        <f>BW14+預測IC!BX14</f>
        <v>-0.39790277049883005</v>
      </c>
      <c r="BY14" s="11">
        <f>BX14+預測IC!BY14</f>
        <v>-0.47830377049883011</v>
      </c>
      <c r="BZ14" s="11">
        <f>BY14+預測IC!BZ14</f>
        <v>-0.42731798102514595</v>
      </c>
      <c r="CA14" s="11">
        <f>BZ14+預測IC!CA14</f>
        <v>-0.39386334944619861</v>
      </c>
      <c r="CB14" s="11">
        <f>CA14+預測IC!CB14</f>
        <v>-0.45334040973973844</v>
      </c>
      <c r="CC14" s="11">
        <f>CB14+預測IC!CC14</f>
        <v>-0.48231609122610714</v>
      </c>
      <c r="CD14" s="11">
        <f>CC14+預測IC!CD14</f>
        <v>-0.4493897038733235</v>
      </c>
      <c r="CE14" s="11">
        <f>CD14+預測IC!CE14</f>
        <v>-0.56374281250041824</v>
      </c>
      <c r="CF14" s="11">
        <f>CE14+預測IC!CF14</f>
        <v>-0.58405312828989198</v>
      </c>
      <c r="CG14" s="11">
        <f>CF14+預測IC!CG14</f>
        <v>-0.6413737919577126</v>
      </c>
      <c r="CH14" s="11">
        <f>CG14+預測IC!CH14</f>
        <v>-0.69025346241377838</v>
      </c>
      <c r="CI14" s="11">
        <f>CH14+預測IC!CI14</f>
        <v>-0.7049550744252211</v>
      </c>
      <c r="CJ14" s="11">
        <f>CI14+預測IC!CJ14</f>
        <v>-0.68715895807607974</v>
      </c>
      <c r="CK14" s="11">
        <f>CJ14+預測IC!CK14</f>
        <v>-0.63336687156208682</v>
      </c>
      <c r="CL14" s="11">
        <f>CK14+預測IC!CL14</f>
        <v>-0.49602330110861231</v>
      </c>
      <c r="CM14" s="11">
        <f>CL14+預測IC!CM14</f>
        <v>-0.52806331147692942</v>
      </c>
      <c r="CN14" s="11">
        <f>CM14+預測IC!CN14</f>
        <v>-0.50503662280600337</v>
      </c>
      <c r="CO14" s="11">
        <f>CN14+預測IC!CO14</f>
        <v>-0.4314489027671104</v>
      </c>
      <c r="CP14" s="11">
        <f>CO14+預測IC!CP14</f>
        <v>-0.5312582342488632</v>
      </c>
      <c r="CQ14" s="11">
        <f>CP14+預測IC!CQ14</f>
        <v>-0.58446986234053777</v>
      </c>
      <c r="CR14" s="11">
        <f>CQ14+預測IC!CR14</f>
        <v>-0.64037899996503911</v>
      </c>
      <c r="CS14" s="11">
        <f>CR14+預測IC!CS14</f>
        <v>-0.69940612022869486</v>
      </c>
      <c r="CT14" s="11">
        <f>CS14+預測IC!CT14</f>
        <v>-0.71850669677937973</v>
      </c>
      <c r="CU14" s="11">
        <f>CT14+預測IC!CU14</f>
        <v>-0.67458959408216512</v>
      </c>
      <c r="CV14" s="11">
        <f>CU14+預測IC!CV14</f>
        <v>-0.69733530922042042</v>
      </c>
      <c r="CW14" s="11">
        <f>CV14+預測IC!CW14</f>
        <v>-0.69393692675694962</v>
      </c>
      <c r="CX14" s="11">
        <f>CW14+預測IC!CX14</f>
        <v>-0.73023633564518875</v>
      </c>
      <c r="CY14" s="11">
        <f>CX14+預測IC!CY14</f>
        <v>-0.70147721535371454</v>
      </c>
      <c r="CZ14" s="11">
        <f>CY14+預測IC!CZ14</f>
        <v>-0.76554077870409787</v>
      </c>
      <c r="DA14" s="11">
        <f>CZ14+預測IC!DA14</f>
        <v>-0.7412364895335134</v>
      </c>
      <c r="DB14" s="11">
        <f>DA14+預測IC!DB14</f>
        <v>-0.7176754163453225</v>
      </c>
      <c r="DC14" s="11">
        <f>DB14+預測IC!DC14</f>
        <v>-0.74130802555017006</v>
      </c>
      <c r="DD14" s="11">
        <f>DC14+預測IC!DD14</f>
        <v>-0.72454947575775364</v>
      </c>
      <c r="DE14" s="11">
        <f>DD14+預測IC!DE14</f>
        <v>-0.72993377536551818</v>
      </c>
      <c r="DF14" s="11">
        <f>DE14+預測IC!DF14</f>
        <v>-0.69407714480845561</v>
      </c>
      <c r="DG14" s="11">
        <f>DF14+預測IC!DG14</f>
        <v>-0.70552370120177288</v>
      </c>
      <c r="DH14" s="11">
        <f>DG14+預測IC!DH14</f>
        <v>-0.71029853844468449</v>
      </c>
      <c r="DI14" s="11">
        <f>DH14+預測IC!DI14</f>
        <v>-0.6517007187357674</v>
      </c>
      <c r="DJ14" s="11">
        <f>DI14+預測IC!DJ14</f>
        <v>-0.65272444300306476</v>
      </c>
      <c r="DK14" s="11">
        <f>DJ14+預測IC!DK14</f>
        <v>-0.6717955061207207</v>
      </c>
      <c r="DL14" s="11">
        <f>DK14+預測IC!DL14</f>
        <v>-0.65663034456583214</v>
      </c>
      <c r="DM14" s="11">
        <f>DL14+預測IC!DM14</f>
        <v>-0.66213461365948267</v>
      </c>
      <c r="DN14" s="11">
        <f>DM14+預測IC!DN14</f>
        <v>-0.70479710955274699</v>
      </c>
      <c r="DO14" s="11">
        <f>DN14+預測IC!DO14</f>
        <v>-0.74617275471554434</v>
      </c>
      <c r="DP14" s="11">
        <f>DO14+預測IC!DP14</f>
        <v>-0.78971247107319631</v>
      </c>
      <c r="DQ14" s="11">
        <f>DP14+預測IC!DQ14</f>
        <v>-0.71853990649206334</v>
      </c>
      <c r="DR14" s="11">
        <f>DQ14+預測IC!DR14</f>
        <v>-0.72402400273761258</v>
      </c>
      <c r="DS14" s="11">
        <f>DR14+預測IC!DS14</f>
        <v>-0.68897909646669575</v>
      </c>
      <c r="DT14" s="11">
        <f>DS14+預測IC!DT14</f>
        <v>-0.64446214286924042</v>
      </c>
      <c r="DU14" s="11">
        <f>DT14+預測IC!DU14</f>
        <v>-0.59954719425025838</v>
      </c>
      <c r="DV14" s="11">
        <f>DU14+預測IC!DV14</f>
        <v>-0.70780954878036573</v>
      </c>
      <c r="DW14" s="11">
        <f>DV14+預測IC!DW14</f>
        <v>-0.80615391579814344</v>
      </c>
      <c r="DX14" s="11">
        <f>DW14+預測IC!DX14</f>
        <v>-0.7042224102457223</v>
      </c>
      <c r="DY14" s="11">
        <f>DX14+預測IC!DY14</f>
        <v>-0.74221949019257083</v>
      </c>
      <c r="DZ14" s="11">
        <f>DY14+預測IC!DZ14</f>
        <v>-0.72033791687410853</v>
      </c>
      <c r="EA14" s="11">
        <f>DZ14+預測IC!EA14</f>
        <v>-0.65742523230136696</v>
      </c>
      <c r="EB14" s="11">
        <f>EA14+預測IC!EB14</f>
        <v>-0.57924540160110383</v>
      </c>
      <c r="EC14" s="11">
        <f>EB14+預測IC!EC14</f>
        <v>-0.62250541913041146</v>
      </c>
      <c r="ED14" s="11">
        <f>EC14+預測IC!ED14</f>
        <v>-0.70090468327547495</v>
      </c>
      <c r="EE14" s="11">
        <f>ED14+預測IC!EE14</f>
        <v>-0.65839894397411669</v>
      </c>
      <c r="EF14" s="11">
        <f>EE14+預測IC!EF14</f>
        <v>-0.72835536447267479</v>
      </c>
    </row>
    <row r="15" spans="1:136">
      <c r="A15" s="2"/>
      <c r="B15" s="2" t="s">
        <v>192</v>
      </c>
      <c r="C15" s="11">
        <v>0.22764509999999999</v>
      </c>
      <c r="D15" s="11">
        <f>C15+預測IC!D15</f>
        <v>0.60035480000000008</v>
      </c>
      <c r="E15" s="11">
        <f>D15+預測IC!E15</f>
        <v>0.66239940000000008</v>
      </c>
      <c r="F15" s="11">
        <f>E15+預測IC!F15</f>
        <v>0.75270400000000004</v>
      </c>
      <c r="G15" s="11">
        <f>F15+預測IC!G15</f>
        <v>0.84931020000000002</v>
      </c>
      <c r="H15" s="11">
        <f>G15+預測IC!H15</f>
        <v>0.96815459999999998</v>
      </c>
      <c r="I15" s="11">
        <f>H15+預測IC!I15</f>
        <v>1.0948834999999999</v>
      </c>
      <c r="J15" s="11">
        <f>I15+預測IC!J15</f>
        <v>1.0303593</v>
      </c>
      <c r="K15" s="11">
        <f>J15+預測IC!K15</f>
        <v>1.0261483</v>
      </c>
      <c r="L15" s="11">
        <f>K15+預測IC!L15</f>
        <v>1.0391152000000001</v>
      </c>
      <c r="M15" s="11">
        <f>L15+預測IC!M15</f>
        <v>1.0369821835637125</v>
      </c>
      <c r="N15" s="11">
        <f>M15+預測IC!N15</f>
        <v>0.92718598913857886</v>
      </c>
      <c r="O15" s="11">
        <f>N15+預測IC!O15</f>
        <v>0.91491519337942617</v>
      </c>
      <c r="P15" s="11">
        <f>O15+預測IC!P15</f>
        <v>0.96789859337942619</v>
      </c>
      <c r="Q15" s="11">
        <f>P15+預測IC!Q15</f>
        <v>1.0682753933794262</v>
      </c>
      <c r="R15" s="11">
        <f>Q15+預測IC!R15</f>
        <v>1.0850305933794262</v>
      </c>
      <c r="S15" s="11">
        <f>R15+預測IC!S15</f>
        <v>1.0419969933794262</v>
      </c>
      <c r="T15" s="11">
        <f>S15+預測IC!T15</f>
        <v>0.99265729337942621</v>
      </c>
      <c r="U15" s="11">
        <f>T15+預測IC!U15</f>
        <v>1.0708566838172391</v>
      </c>
      <c r="V15" s="11">
        <f>U15+預測IC!V15</f>
        <v>0.96072967748640314</v>
      </c>
      <c r="W15" s="11">
        <f>V15+預測IC!W15</f>
        <v>0.91005825324141254</v>
      </c>
      <c r="X15" s="11">
        <f>W15+預測IC!X15</f>
        <v>0.98849475324141256</v>
      </c>
      <c r="Y15" s="11">
        <f>X15+預測IC!Y15</f>
        <v>0.96786477887559275</v>
      </c>
      <c r="Z15" s="11">
        <f>Y15+預測IC!Z15</f>
        <v>0.9211448068222341</v>
      </c>
      <c r="AA15" s="11">
        <f>Z15+預測IC!AA15</f>
        <v>0.96773370682223414</v>
      </c>
      <c r="AB15" s="11">
        <f>AA15+預測IC!AB15</f>
        <v>0.88403353430640363</v>
      </c>
      <c r="AC15" s="11">
        <f>AB15+預測IC!AC15</f>
        <v>0.86755256809821557</v>
      </c>
      <c r="AD15" s="11">
        <f>AC15+預測IC!AD15</f>
        <v>0.90724296809821559</v>
      </c>
      <c r="AE15" s="11">
        <f>AD15+預測IC!AE15</f>
        <v>1.0050406521071666</v>
      </c>
      <c r="AF15" s="11">
        <f>AE15+預測IC!AF15</f>
        <v>0.93922103961012682</v>
      </c>
      <c r="AG15" s="11">
        <f>AF15+預測IC!AG15</f>
        <v>0.92909756134847121</v>
      </c>
      <c r="AH15" s="11">
        <f>AG15+預測IC!AH15</f>
        <v>0.96270193470614773</v>
      </c>
      <c r="AI15" s="11">
        <f>AH15+預測IC!AI15</f>
        <v>0.87727182389054081</v>
      </c>
      <c r="AJ15" s="11">
        <f>AI15+預測IC!AJ15</f>
        <v>0.86780696392306511</v>
      </c>
      <c r="AK15" s="11">
        <f>AJ15+預測IC!AK15</f>
        <v>0.80604734426462021</v>
      </c>
      <c r="AL15" s="11">
        <f>AK15+預測IC!AL15</f>
        <v>0.76161568176880567</v>
      </c>
      <c r="AM15" s="11">
        <f>AL15+預測IC!AM15</f>
        <v>0.70649305963417852</v>
      </c>
      <c r="AN15" s="11">
        <f>AM15+預測IC!AN15</f>
        <v>0.60480435372179497</v>
      </c>
      <c r="AO15" s="11">
        <f>AN15+預測IC!AO15</f>
        <v>0.54143454125832791</v>
      </c>
      <c r="AP15" s="11">
        <f>AO15+預測IC!AP15</f>
        <v>0.6197202351510821</v>
      </c>
      <c r="AQ15" s="11">
        <f>AP15+預測IC!AQ15</f>
        <v>0.65708736194720374</v>
      </c>
      <c r="AR15" s="11">
        <f>AQ15+預測IC!AR15</f>
        <v>0.56679350647128701</v>
      </c>
      <c r="AS15" s="11">
        <f>AR15+預測IC!AS15</f>
        <v>0.51297232743417298</v>
      </c>
      <c r="AT15" s="11">
        <f>AS15+預測IC!AT15</f>
        <v>0.44771733678174441</v>
      </c>
      <c r="AU15" s="11">
        <f>AT15+預測IC!AU15</f>
        <v>0.40777407569227808</v>
      </c>
      <c r="AV15" s="11">
        <f>AU15+預測IC!AV15</f>
        <v>0.45500089401971694</v>
      </c>
      <c r="AW15" s="11">
        <f>AV15+預測IC!AW15</f>
        <v>0.43934095476513602</v>
      </c>
      <c r="AX15" s="11">
        <f>AW15+預測IC!AX15</f>
        <v>0.31410697759040085</v>
      </c>
      <c r="AY15" s="11">
        <f>AX15+預測IC!AY15</f>
        <v>0.28608991348036794</v>
      </c>
      <c r="AZ15" s="11">
        <f>AY15+預測IC!AZ15</f>
        <v>0.37741319354887143</v>
      </c>
      <c r="BA15" s="11">
        <f>AZ15+預測IC!BA15</f>
        <v>0.53510149354887138</v>
      </c>
      <c r="BB15" s="11">
        <f>BA15+預測IC!BB15</f>
        <v>0.42237662747005827</v>
      </c>
      <c r="BC15" s="11">
        <f>BB15+預測IC!BC15</f>
        <v>0.36022148380222796</v>
      </c>
      <c r="BD15" s="11">
        <f>BC15+預測IC!BD15</f>
        <v>0.30717820989743189</v>
      </c>
      <c r="BE15" s="11">
        <f>BD15+預測IC!BE15</f>
        <v>0.25873548887976877</v>
      </c>
      <c r="BF15" s="11">
        <f>BE15+預測IC!BF15</f>
        <v>0.21107250942301664</v>
      </c>
      <c r="BG15" s="11">
        <f>BF15+預測IC!BG15</f>
        <v>4.5021293958419834E-2</v>
      </c>
      <c r="BH15" s="11">
        <f>BG15+預測IC!BH15</f>
        <v>-5.3627752448000832E-2</v>
      </c>
      <c r="BI15" s="11">
        <f>BH15+預測IC!BI15</f>
        <v>-3.2468638041261239E-2</v>
      </c>
      <c r="BJ15" s="11">
        <f>BI15+預測IC!BJ15</f>
        <v>-0.16257889307743065</v>
      </c>
      <c r="BK15" s="11">
        <f>BJ15+預測IC!BK15</f>
        <v>-0.11697396077701719</v>
      </c>
      <c r="BL15" s="11">
        <f>BK15+預測IC!BL15</f>
        <v>-0.1168962607770172</v>
      </c>
      <c r="BM15" s="11">
        <f>BL15+預測IC!BM15</f>
        <v>-0.18372108214374644</v>
      </c>
      <c r="BN15" s="11">
        <f>BM15+預測IC!BN15</f>
        <v>-0.22386365187693633</v>
      </c>
      <c r="BO15" s="11">
        <f>BN15+預測IC!BO15</f>
        <v>-0.2515981278318673</v>
      </c>
      <c r="BP15" s="11">
        <f>BO15+預測IC!BP15</f>
        <v>-0.26578234853967209</v>
      </c>
      <c r="BQ15" s="11">
        <f>BP15+預測IC!BQ15</f>
        <v>-0.27858527982999987</v>
      </c>
      <c r="BR15" s="11">
        <f>BQ15+預測IC!BR15</f>
        <v>-0.22842785070794017</v>
      </c>
      <c r="BS15" s="11">
        <f>BR15+預測IC!BS15</f>
        <v>-0.21656193979932845</v>
      </c>
      <c r="BT15" s="11">
        <f>BS15+預測IC!BT15</f>
        <v>-0.25319453979932843</v>
      </c>
      <c r="BU15" s="11">
        <f>BT15+預測IC!BU15</f>
        <v>-0.33874103979932846</v>
      </c>
      <c r="BV15" s="11">
        <f>BU15+預測IC!BV15</f>
        <v>-0.25256093979932848</v>
      </c>
      <c r="BW15" s="11">
        <f>BV15+預測IC!BW15</f>
        <v>-4.8415439799328469E-2</v>
      </c>
      <c r="BX15" s="11">
        <f>BW15+預測IC!BX15</f>
        <v>-7.7051334865059953E-2</v>
      </c>
      <c r="BY15" s="11">
        <f>BX15+預測IC!BY15</f>
        <v>-0.17039023486505994</v>
      </c>
      <c r="BZ15" s="11">
        <f>BY15+預測IC!BZ15</f>
        <v>-0.10303003486505995</v>
      </c>
      <c r="CA15" s="11">
        <f>BZ15+預測IC!CA15</f>
        <v>-7.3067134865059946E-2</v>
      </c>
      <c r="CB15" s="11">
        <f>CA15+預測IC!CB15</f>
        <v>-0.16575124038829742</v>
      </c>
      <c r="CC15" s="11">
        <f>CB15+預測IC!CC15</f>
        <v>-0.1303926972157807</v>
      </c>
      <c r="CD15" s="11">
        <f>CC15+預測IC!CD15</f>
        <v>-0.17750716534445435</v>
      </c>
      <c r="CE15" s="11">
        <f>CD15+預測IC!CE15</f>
        <v>-0.27499791048988903</v>
      </c>
      <c r="CF15" s="11">
        <f>CE15+預測IC!CF15</f>
        <v>-0.278624310489889</v>
      </c>
      <c r="CG15" s="11">
        <f>CF15+預測IC!CG15</f>
        <v>-0.36451033202005279</v>
      </c>
      <c r="CH15" s="11">
        <f>CG15+預測IC!CH15</f>
        <v>-0.44585294000338105</v>
      </c>
      <c r="CI15" s="11">
        <f>CH15+預測IC!CI15</f>
        <v>-0.44334200122304868</v>
      </c>
      <c r="CJ15" s="11">
        <f>CI15+預測IC!CJ15</f>
        <v>-0.4026702842759875</v>
      </c>
      <c r="CK15" s="11">
        <f>CJ15+預測IC!CK15</f>
        <v>-0.30702953610328215</v>
      </c>
      <c r="CL15" s="11">
        <f>CK15+預測IC!CL15</f>
        <v>-0.14537506306010556</v>
      </c>
      <c r="CM15" s="11">
        <f>CL15+預測IC!CM15</f>
        <v>-0.22000617918855933</v>
      </c>
      <c r="CN15" s="11">
        <f>CM15+預測IC!CN15</f>
        <v>-0.17737206338939904</v>
      </c>
      <c r="CO15" s="11">
        <f>CN15+預測IC!CO15</f>
        <v>-4.7923038507357629E-2</v>
      </c>
      <c r="CP15" s="11">
        <f>CO15+預測IC!CP15</f>
        <v>-0.17545887394030732</v>
      </c>
      <c r="CQ15" s="11">
        <f>CP15+預測IC!CQ15</f>
        <v>-0.21283688470543632</v>
      </c>
      <c r="CR15" s="11">
        <f>CQ15+預測IC!CR15</f>
        <v>-0.26107395499360059</v>
      </c>
      <c r="CS15" s="11">
        <f>CR15+預測IC!CS15</f>
        <v>-0.3212591274571952</v>
      </c>
      <c r="CT15" s="11">
        <f>CS15+預測IC!CT15</f>
        <v>-0.32865370243264996</v>
      </c>
      <c r="CU15" s="11">
        <f>CT15+預測IC!CU15</f>
        <v>-0.26547504251787724</v>
      </c>
      <c r="CV15" s="11">
        <f>CU15+預測IC!CV15</f>
        <v>-0.25933319561306833</v>
      </c>
      <c r="CW15" s="11">
        <f>CV15+預測IC!CW15</f>
        <v>-0.24684853543262816</v>
      </c>
      <c r="CX15" s="11">
        <f>CW15+預測IC!CX15</f>
        <v>-0.2708881424859591</v>
      </c>
      <c r="CY15" s="11">
        <f>CX15+預測IC!CY15</f>
        <v>-0.22841746940819677</v>
      </c>
      <c r="CZ15" s="11">
        <f>CY15+預測IC!CZ15</f>
        <v>-0.308304417352539</v>
      </c>
      <c r="DA15" s="11">
        <f>CZ15+預測IC!DA15</f>
        <v>-0.2819285819106625</v>
      </c>
      <c r="DB15" s="11">
        <f>DA15+預測IC!DB15</f>
        <v>-0.2517019636965388</v>
      </c>
      <c r="DC15" s="11">
        <f>DB15+預測IC!DC15</f>
        <v>-0.28677711367112091</v>
      </c>
      <c r="DD15" s="11">
        <f>DC15+預測IC!DD15</f>
        <v>-0.23738342317123631</v>
      </c>
      <c r="DE15" s="11">
        <f>DD15+預測IC!DE15</f>
        <v>-0.2623321379162793</v>
      </c>
      <c r="DF15" s="11">
        <f>DE15+預測IC!DF15</f>
        <v>-0.21994083151688454</v>
      </c>
      <c r="DG15" s="11">
        <f>DF15+預測IC!DG15</f>
        <v>-0.23613756313512574</v>
      </c>
      <c r="DH15" s="11">
        <f>DG15+預測IC!DH15</f>
        <v>-0.21742855209123363</v>
      </c>
      <c r="DI15" s="11">
        <f>DH15+預測IC!DI15</f>
        <v>-0.20571010308177595</v>
      </c>
      <c r="DJ15" s="11">
        <f>DI15+預測IC!DJ15</f>
        <v>-0.15385624998736908</v>
      </c>
      <c r="DK15" s="11">
        <f>DJ15+預測IC!DK15</f>
        <v>-0.25563108403883705</v>
      </c>
      <c r="DL15" s="11">
        <f>DK15+預測IC!DL15</f>
        <v>-0.31826657812727499</v>
      </c>
      <c r="DM15" s="11">
        <f>DL15+預測IC!DM15</f>
        <v>-0.29445803125960629</v>
      </c>
      <c r="DN15" s="11">
        <f>DM15+預測IC!DN15</f>
        <v>-0.33845452868322595</v>
      </c>
      <c r="DO15" s="11">
        <f>DN15+預測IC!DO15</f>
        <v>-0.38475125591702675</v>
      </c>
      <c r="DP15" s="11">
        <f>DO15+預測IC!DP15</f>
        <v>-0.40848685792391931</v>
      </c>
      <c r="DQ15" s="11">
        <f>DP15+預測IC!DQ15</f>
        <v>-0.37144816897172189</v>
      </c>
      <c r="DR15" s="11">
        <f>DQ15+預測IC!DR15</f>
        <v>-0.34097552847664059</v>
      </c>
      <c r="DS15" s="11">
        <f>DR15+預測IC!DS15</f>
        <v>-0.26473362006484347</v>
      </c>
      <c r="DT15" s="11">
        <f>DS15+預測IC!DT15</f>
        <v>-0.19256998834668046</v>
      </c>
      <c r="DU15" s="11">
        <f>DT15+預測IC!DU15</f>
        <v>-0.1467992593949998</v>
      </c>
      <c r="DV15" s="11">
        <f>DU15+預測IC!DV15</f>
        <v>-0.28656761633587119</v>
      </c>
      <c r="DW15" s="11">
        <f>DV15+預測IC!DW15</f>
        <v>-0.31210624348270372</v>
      </c>
      <c r="DX15" s="11">
        <f>DW15+預測IC!DX15</f>
        <v>-0.19348999283271731</v>
      </c>
      <c r="DY15" s="11">
        <f>DX15+預測IC!DY15</f>
        <v>-0.30002915943372688</v>
      </c>
      <c r="DZ15" s="11">
        <f>DY15+預測IC!DZ15</f>
        <v>-0.28110891536434246</v>
      </c>
      <c r="EA15" s="11">
        <f>DZ15+預測IC!EA15</f>
        <v>-0.23765769508401716</v>
      </c>
      <c r="EB15" s="11">
        <f>EA15+預測IC!EB15</f>
        <v>-0.14957024555676227</v>
      </c>
      <c r="EC15" s="11">
        <f>EB15+預測IC!EC15</f>
        <v>-0.22572732235338211</v>
      </c>
      <c r="ED15" s="11">
        <f>EC15+預測IC!ED15</f>
        <v>-0.33638735684160243</v>
      </c>
      <c r="EE15" s="11">
        <f>ED15+預測IC!EE15</f>
        <v>-0.28704317690144282</v>
      </c>
      <c r="EF15" s="11">
        <f>EE15+預測IC!EF15</f>
        <v>-0.35274416804028508</v>
      </c>
    </row>
    <row r="16" spans="1:136">
      <c r="A16" s="2"/>
      <c r="B16" s="2" t="s">
        <v>193</v>
      </c>
      <c r="C16" s="11">
        <v>0.20787511111111109</v>
      </c>
      <c r="D16" s="11">
        <f>C16+預測IC!D16</f>
        <v>0.61607055555555545</v>
      </c>
      <c r="E16" s="11">
        <f>D16+預測IC!E16</f>
        <v>0.68107544444444434</v>
      </c>
      <c r="F16" s="11">
        <f>E16+預測IC!F16</f>
        <v>0.80533611111111103</v>
      </c>
      <c r="G16" s="11">
        <f>F16+預測IC!G16</f>
        <v>0.91434966666666651</v>
      </c>
      <c r="H16" s="11">
        <f>G16+預測IC!H16</f>
        <v>0.98719844444444427</v>
      </c>
      <c r="I16" s="11">
        <f>H16+預測IC!I16</f>
        <v>1.0989904444444443</v>
      </c>
      <c r="J16" s="11">
        <f>I16+預測IC!J16</f>
        <v>1.0302969999999998</v>
      </c>
      <c r="K16" s="11">
        <f>J16+預測IC!K16</f>
        <v>1.0482214444444442</v>
      </c>
      <c r="L16" s="11">
        <f>K16+預測IC!L16</f>
        <v>1.0792479999999998</v>
      </c>
      <c r="M16" s="11">
        <f>L16+預測IC!M16</f>
        <v>1.0652605641380826</v>
      </c>
      <c r="N16" s="11">
        <f>M16+預測IC!N16</f>
        <v>0.94501806585888581</v>
      </c>
      <c r="O16" s="11">
        <f>N16+預測IC!O16</f>
        <v>0.9164309889799066</v>
      </c>
      <c r="P16" s="11">
        <f>O16+預測IC!P16</f>
        <v>0.97841076675768435</v>
      </c>
      <c r="Q16" s="11">
        <f>P16+預測IC!Q16</f>
        <v>1.0750306556465732</v>
      </c>
      <c r="R16" s="11">
        <f>Q16+預測IC!R16</f>
        <v>1.0942131000910176</v>
      </c>
      <c r="S16" s="11">
        <f>R16+預測IC!S16</f>
        <v>1.0517979889799065</v>
      </c>
      <c r="T16" s="11">
        <f>S16+預測IC!T16</f>
        <v>1.028570544535462</v>
      </c>
      <c r="U16" s="11">
        <f>T16+預測IC!U16</f>
        <v>1.1200424794862289</v>
      </c>
      <c r="V16" s="11">
        <f>U16+預測IC!V16</f>
        <v>1.044470993377322</v>
      </c>
      <c r="W16" s="11">
        <f>V16+預測IC!W16</f>
        <v>0.94283963624614653</v>
      </c>
      <c r="X16" s="11">
        <f>W16+預測IC!X16</f>
        <v>1.0165179695794799</v>
      </c>
      <c r="Y16" s="11">
        <f>X16+預測IC!Y16</f>
        <v>0.99633738115984438</v>
      </c>
      <c r="Z16" s="11">
        <f>Y16+預測IC!Z16</f>
        <v>0.95327945027563266</v>
      </c>
      <c r="AA16" s="11">
        <f>Z16+預測IC!AA16</f>
        <v>1.0035071169422993</v>
      </c>
      <c r="AB16" s="11">
        <f>AA16+預測IC!AB16</f>
        <v>0.92852207530431896</v>
      </c>
      <c r="AC16" s="11">
        <f>AB16+預測IC!AC16</f>
        <v>0.88129583910175846</v>
      </c>
      <c r="AD16" s="11">
        <f>AC16+預測IC!AD16</f>
        <v>0.9161068391017585</v>
      </c>
      <c r="AE16" s="11">
        <f>AD16+預測IC!AE16</f>
        <v>1.0126091995903641</v>
      </c>
      <c r="AF16" s="11">
        <f>AE16+預測IC!AF16</f>
        <v>0.94892335700877495</v>
      </c>
      <c r="AG16" s="11">
        <f>AF16+預測IC!AG16</f>
        <v>0.93563260397223957</v>
      </c>
      <c r="AH16" s="11">
        <f>AG16+預測IC!AH16</f>
        <v>0.96739800442168011</v>
      </c>
      <c r="AI16" s="11">
        <f>AH16+預測IC!AI16</f>
        <v>0.91831996124511206</v>
      </c>
      <c r="AJ16" s="11">
        <f>AI16+預測IC!AJ16</f>
        <v>0.92534592731698806</v>
      </c>
      <c r="AK16" s="11">
        <f>AJ16+預測IC!AK16</f>
        <v>0.86092452648461593</v>
      </c>
      <c r="AL16" s="11">
        <f>AK16+預測IC!AL16</f>
        <v>0.81223559338009266</v>
      </c>
      <c r="AM16" s="11">
        <f>AL16+預測IC!AM16</f>
        <v>0.74615886277829468</v>
      </c>
      <c r="AN16" s="11">
        <f>AM16+預測IC!AN16</f>
        <v>0.63970266268861908</v>
      </c>
      <c r="AO16" s="11">
        <f>AN16+預測IC!AO16</f>
        <v>0.57827799086270681</v>
      </c>
      <c r="AP16" s="11">
        <f>AO16+預測IC!AP16</f>
        <v>0.65607635900829531</v>
      </c>
      <c r="AQ16" s="11">
        <f>AP16+預測IC!AQ16</f>
        <v>0.69454255915436391</v>
      </c>
      <c r="AR16" s="11">
        <f>AQ16+預測IC!AR16</f>
        <v>0.59125138009387146</v>
      </c>
      <c r="AS16" s="11">
        <f>AR16+預測IC!AS16</f>
        <v>0.52618315461990206</v>
      </c>
      <c r="AT16" s="11">
        <f>AS16+預測IC!AT16</f>
        <v>0.47663599930153205</v>
      </c>
      <c r="AU16" s="11">
        <f>AT16+預測IC!AU16</f>
        <v>0.43480916104663692</v>
      </c>
      <c r="AV16" s="11">
        <f>AU16+預測IC!AV16</f>
        <v>0.44388166782665561</v>
      </c>
      <c r="AW16" s="11">
        <f>AV16+預測IC!AW16</f>
        <v>0.40462873775200497</v>
      </c>
      <c r="AX16" s="11">
        <f>AW16+預測IC!AX16</f>
        <v>0.30379896450803207</v>
      </c>
      <c r="AY16" s="11">
        <f>AX16+預測IC!AY16</f>
        <v>0.26998637466368614</v>
      </c>
      <c r="AZ16" s="11">
        <f>AY16+預測IC!AZ16</f>
        <v>0.37489600984239835</v>
      </c>
      <c r="BA16" s="11">
        <f>AZ16+預測IC!BA16</f>
        <v>0.53488712095350943</v>
      </c>
      <c r="BB16" s="11">
        <f>BA16+預測IC!BB16</f>
        <v>0.42684819680077135</v>
      </c>
      <c r="BC16" s="11">
        <f>BB16+預測IC!BC16</f>
        <v>0.35972673069307948</v>
      </c>
      <c r="BD16" s="11">
        <f>BC16+預測IC!BD16</f>
        <v>0.32379001914717548</v>
      </c>
      <c r="BE16" s="11">
        <f>BD16+預測IC!BE16</f>
        <v>0.27237902475270054</v>
      </c>
      <c r="BF16" s="11">
        <f>BE16+預測IC!BF16</f>
        <v>0.20811097043298232</v>
      </c>
      <c r="BG16" s="11">
        <f>BF16+預測IC!BG16</f>
        <v>4.688140084863171E-2</v>
      </c>
      <c r="BH16" s="11">
        <f>BG16+預測IC!BH16</f>
        <v>-4.9280633659101986E-2</v>
      </c>
      <c r="BI16" s="11">
        <f>BH16+預測IC!BI16</f>
        <v>-2.9069322619099808E-4</v>
      </c>
      <c r="BJ16" s="11">
        <f>BI16+預測IC!BJ16</f>
        <v>-9.6857496751729028E-2</v>
      </c>
      <c r="BK16" s="11">
        <f>BJ16+預測IC!BK16</f>
        <v>-4.5485872225717608E-2</v>
      </c>
      <c r="BL16" s="11">
        <f>BK16+預測IC!BL16</f>
        <v>-5.3900427781273165E-2</v>
      </c>
      <c r="BM16" s="11">
        <f>BL16+預測IC!BM16</f>
        <v>-0.13542430282323822</v>
      </c>
      <c r="BN16" s="11">
        <f>BM16+預測IC!BN16</f>
        <v>-0.18333013542726545</v>
      </c>
      <c r="BO16" s="11">
        <f>BN16+預測IC!BO16</f>
        <v>-0.20522049538092313</v>
      </c>
      <c r="BP16" s="11">
        <f>BO16+預測IC!BP16</f>
        <v>-0.22606367892850371</v>
      </c>
      <c r="BQ16" s="11">
        <f>BP16+預測IC!BQ16</f>
        <v>-0.2425416951834323</v>
      </c>
      <c r="BR16" s="11">
        <f>BQ16+預測IC!BR16</f>
        <v>-0.21624484716198791</v>
      </c>
      <c r="BS16" s="11">
        <f>BR16+預測IC!BS16</f>
        <v>-0.18423785996910474</v>
      </c>
      <c r="BT16" s="11">
        <f>BS16+預測IC!BT16</f>
        <v>-0.22230319330243808</v>
      </c>
      <c r="BU16" s="11">
        <f>BT16+預測IC!BU16</f>
        <v>-0.32384041552466025</v>
      </c>
      <c r="BV16" s="11">
        <f>BU16+預測IC!BV16</f>
        <v>-0.2293299710802158</v>
      </c>
      <c r="BW16" s="11">
        <f>BV16+預測IC!BW16</f>
        <v>-5.3849710802157946E-3</v>
      </c>
      <c r="BX16" s="11">
        <f>BW16+預測IC!BX16</f>
        <v>-3.6944208601346742E-2</v>
      </c>
      <c r="BY16" s="11">
        <f>BX16+預測IC!BY16</f>
        <v>-0.15593965304579124</v>
      </c>
      <c r="BZ16" s="11">
        <f>BY16+預測IC!BZ16</f>
        <v>-6.3310097490235695E-2</v>
      </c>
      <c r="CA16" s="11">
        <f>BZ16+預測IC!CA16</f>
        <v>-3.5879097490235698E-2</v>
      </c>
      <c r="CB16" s="11">
        <f>CA16+預測IC!CB16</f>
        <v>-0.15174464647939101</v>
      </c>
      <c r="CC16" s="11">
        <f>CB16+預測IC!CC16</f>
        <v>-0.13106148577820584</v>
      </c>
      <c r="CD16" s="11">
        <f>CC16+預測IC!CD16</f>
        <v>-0.1920500116519358</v>
      </c>
      <c r="CE16" s="11">
        <f>CD16+預測IC!CE16</f>
        <v>-0.313360425053896</v>
      </c>
      <c r="CF16" s="11">
        <f>CE16+預測IC!CF16</f>
        <v>-0.32805642505389598</v>
      </c>
      <c r="CG16" s="11">
        <f>CF16+預測IC!CG16</f>
        <v>-0.38978430320056257</v>
      </c>
      <c r="CH16" s="11">
        <f>CG16+預測IC!CH16</f>
        <v>-0.44023302790455865</v>
      </c>
      <c r="CI16" s="11">
        <f>CH16+預測IC!CI16</f>
        <v>-0.43599235979240797</v>
      </c>
      <c r="CJ16" s="11">
        <f>CI16+預測IC!CJ16</f>
        <v>-0.40628897429864463</v>
      </c>
      <c r="CK16" s="11">
        <f>CJ16+預測IC!CK16</f>
        <v>-0.31786628451703702</v>
      </c>
      <c r="CL16" s="11">
        <f>CK16+預測IC!CL16</f>
        <v>-0.12112584635782334</v>
      </c>
      <c r="CM16" s="11">
        <f>CL16+預測IC!CM16</f>
        <v>-0.210114474507335</v>
      </c>
      <c r="CN16" s="11">
        <f>CM16+預測IC!CN16</f>
        <v>-0.17705695936638502</v>
      </c>
      <c r="CO16" s="11">
        <f>CN16+預測IC!CO16</f>
        <v>5.3949951734442725E-3</v>
      </c>
      <c r="CP16" s="11">
        <f>CO16+預測IC!CP16</f>
        <v>-0.13123669430864704</v>
      </c>
      <c r="CQ16" s="11">
        <f>CP16+預測IC!CQ16</f>
        <v>-0.17267229996805744</v>
      </c>
      <c r="CR16" s="11">
        <f>CQ16+預測IC!CR16</f>
        <v>-0.22097206665137398</v>
      </c>
      <c r="CS16" s="11">
        <f>CR16+預測IC!CS16</f>
        <v>-0.28753122652544783</v>
      </c>
      <c r="CT16" s="11">
        <f>CS16+預測IC!CT16</f>
        <v>-0.2925986330262888</v>
      </c>
      <c r="CU16" s="11">
        <f>CT16+預測IC!CU16</f>
        <v>-0.22916397866731411</v>
      </c>
      <c r="CV16" s="11">
        <f>CU16+預測IC!CV16</f>
        <v>-0.21241289458659324</v>
      </c>
      <c r="CW16" s="11">
        <f>CV16+預測IC!CW16</f>
        <v>-0.20321873505397153</v>
      </c>
      <c r="CX16" s="11">
        <f>CW16+預測IC!CX16</f>
        <v>-0.21545901980822149</v>
      </c>
      <c r="CY16" s="11">
        <f>CX16+預測IC!CY16</f>
        <v>-0.16634197069159609</v>
      </c>
      <c r="CZ16" s="11">
        <f>CY16+預測IC!CZ16</f>
        <v>-0.2689752298697286</v>
      </c>
      <c r="DA16" s="11">
        <f>CZ16+預測IC!DA16</f>
        <v>-0.23917043590249307</v>
      </c>
      <c r="DB16" s="11">
        <f>DA16+預測IC!DB16</f>
        <v>-0.19645826612226702</v>
      </c>
      <c r="DC16" s="11">
        <f>DB16+預測IC!DC16</f>
        <v>-0.2394006284427673</v>
      </c>
      <c r="DD16" s="11">
        <f>DC16+預測IC!DD16</f>
        <v>-0.1693296933854096</v>
      </c>
      <c r="DE16" s="11">
        <f>DD16+預測IC!DE16</f>
        <v>-0.20377406572663836</v>
      </c>
      <c r="DF16" s="11">
        <f>DE16+預測IC!DF16</f>
        <v>-0.18062763250107927</v>
      </c>
      <c r="DG16" s="11">
        <f>DF16+預測IC!DG16</f>
        <v>-0.19508058013251789</v>
      </c>
      <c r="DH16" s="11">
        <f>DG16+預測IC!DH16</f>
        <v>-0.17595123671454677</v>
      </c>
      <c r="DI16" s="11">
        <f>DH16+預測IC!DI16</f>
        <v>-0.16271781100202448</v>
      </c>
      <c r="DJ16" s="11">
        <f>DI16+預測IC!DJ16</f>
        <v>-0.13357640492139483</v>
      </c>
      <c r="DK16" s="11">
        <f>DJ16+預測IC!DK16</f>
        <v>-0.2671707615469755</v>
      </c>
      <c r="DL16" s="11">
        <f>DK16+預測IC!DL16</f>
        <v>-0.33228379767562038</v>
      </c>
      <c r="DM16" s="11">
        <f>DL16+預測IC!DM16</f>
        <v>-0.30195284791727944</v>
      </c>
      <c r="DN16" s="11">
        <f>DM16+預測IC!DN16</f>
        <v>-0.34439070127668658</v>
      </c>
      <c r="DO16" s="11">
        <f>DN16+預測IC!DO16</f>
        <v>-0.39761260883283028</v>
      </c>
      <c r="DP16" s="11">
        <f>DO16+預測IC!DP16</f>
        <v>-0.41745455741205634</v>
      </c>
      <c r="DQ16" s="11">
        <f>DP16+預測IC!DQ16</f>
        <v>-0.37038440140752454</v>
      </c>
      <c r="DR16" s="11">
        <f>DQ16+預測IC!DR16</f>
        <v>-0.30207901984546931</v>
      </c>
      <c r="DS16" s="11">
        <f>DR16+預測IC!DS16</f>
        <v>-0.20832695485571501</v>
      </c>
      <c r="DT16" s="11">
        <f>DS16+預測IC!DT16</f>
        <v>-0.10779282703124941</v>
      </c>
      <c r="DU16" s="11">
        <f>DT16+預測IC!DU16</f>
        <v>-4.3319093261710753E-2</v>
      </c>
      <c r="DV16" s="11">
        <f>DU16+預測IC!DV16</f>
        <v>-0.18027282527950428</v>
      </c>
      <c r="DW16" s="11">
        <f>DV16+預測IC!DW16</f>
        <v>-0.2211905549791951</v>
      </c>
      <c r="DX16" s="11">
        <f>DW16+預測IC!DX16</f>
        <v>-9.5905848655217701E-2</v>
      </c>
      <c r="DY16" s="11">
        <f>DX16+預測IC!DY16</f>
        <v>-0.21226018356556089</v>
      </c>
      <c r="DZ16" s="11">
        <f>DY16+預測IC!DZ16</f>
        <v>-0.18098310374088444</v>
      </c>
      <c r="EA16" s="11">
        <f>DZ16+預測IC!EA16</f>
        <v>-0.18056258850064047</v>
      </c>
      <c r="EB16" s="11">
        <f>EA16+預測IC!EB16</f>
        <v>-7.9883487823438765E-2</v>
      </c>
      <c r="EC16" s="11">
        <f>EB16+預測IC!EC16</f>
        <v>-0.14838496839127779</v>
      </c>
      <c r="ED16" s="11">
        <f>EC16+預測IC!ED16</f>
        <v>-0.26308419603219457</v>
      </c>
      <c r="EE16" s="11">
        <f>ED16+預測IC!EE16</f>
        <v>-0.2038431993770087</v>
      </c>
      <c r="EF16" s="11">
        <f>EE16+預測IC!EF16</f>
        <v>-0.24631760087091592</v>
      </c>
    </row>
    <row r="17" spans="1:136">
      <c r="A17" s="2"/>
      <c r="B17" s="2" t="s">
        <v>194</v>
      </c>
      <c r="C17" s="11">
        <v>0.20609237499999999</v>
      </c>
      <c r="D17" s="11">
        <f>C17+預測IC!D17</f>
        <v>0.64568074999999991</v>
      </c>
      <c r="E17" s="11">
        <f>D17+預測IC!E17</f>
        <v>0.72526874999999991</v>
      </c>
      <c r="F17" s="11">
        <f>E17+預測IC!F17</f>
        <v>0.87204074999999992</v>
      </c>
      <c r="G17" s="11">
        <f>F17+預測IC!G17</f>
        <v>0.98917337499999991</v>
      </c>
      <c r="H17" s="11">
        <f>G17+預測IC!H17</f>
        <v>1.0941681249999999</v>
      </c>
      <c r="I17" s="11">
        <f>H17+預測IC!I17</f>
        <v>1.1616573749999999</v>
      </c>
      <c r="J17" s="11">
        <f>I17+預測IC!J17</f>
        <v>1.0463589999999998</v>
      </c>
      <c r="K17" s="11">
        <f>J17+預測IC!K17</f>
        <v>1.0858027499999998</v>
      </c>
      <c r="L17" s="11">
        <f>K17+預測IC!L17</f>
        <v>1.1195776249999998</v>
      </c>
      <c r="M17" s="11">
        <f>L17+預測IC!M17</f>
        <v>1.1342367670902882</v>
      </c>
      <c r="N17" s="11">
        <f>M17+預測IC!N17</f>
        <v>1.0249589402604824</v>
      </c>
      <c r="O17" s="11">
        <f>N17+預測IC!O17</f>
        <v>1.0136522641963501</v>
      </c>
      <c r="P17" s="11">
        <f>O17+預測IC!P17</f>
        <v>1.0905678891963502</v>
      </c>
      <c r="Q17" s="11">
        <f>P17+預測IC!Q17</f>
        <v>1.1970002641963502</v>
      </c>
      <c r="R17" s="11">
        <f>Q17+預測IC!R17</f>
        <v>1.1989752641963503</v>
      </c>
      <c r="S17" s="11">
        <f>R17+預測IC!S17</f>
        <v>1.1438435141963503</v>
      </c>
      <c r="T17" s="11">
        <f>S17+預測IC!T17</f>
        <v>1.1203351391963503</v>
      </c>
      <c r="U17" s="11">
        <f>T17+預測IC!U17</f>
        <v>1.1827410408962473</v>
      </c>
      <c r="V17" s="11">
        <f>U17+預測IC!V17</f>
        <v>1.0854813850436442</v>
      </c>
      <c r="W17" s="11">
        <f>V17+預測IC!W17</f>
        <v>0.95681413068597565</v>
      </c>
      <c r="X17" s="11">
        <f>W17+預測IC!X17</f>
        <v>1.0570005056859757</v>
      </c>
      <c r="Y17" s="11">
        <f>X17+預測IC!Y17</f>
        <v>1.0340724946233208</v>
      </c>
      <c r="Z17" s="11">
        <f>Y17+預測IC!Z17</f>
        <v>0.98020400533245511</v>
      </c>
      <c r="AA17" s="11">
        <f>Z17+預測IC!AA17</f>
        <v>1.0424601303324552</v>
      </c>
      <c r="AB17" s="11">
        <f>AA17+預測IC!AB17</f>
        <v>0.95760806745428284</v>
      </c>
      <c r="AC17" s="11">
        <f>AB17+預測IC!AC17</f>
        <v>0.89887937716378907</v>
      </c>
      <c r="AD17" s="11">
        <f>AC17+預測IC!AD17</f>
        <v>0.96749925216378907</v>
      </c>
      <c r="AE17" s="11">
        <f>AD17+預測IC!AE17</f>
        <v>1.0946576746110142</v>
      </c>
      <c r="AF17" s="11">
        <f>AE17+預測IC!AF17</f>
        <v>1.0332283644890741</v>
      </c>
      <c r="AG17" s="11">
        <f>AF17+預測IC!AG17</f>
        <v>1.0104873837012838</v>
      </c>
      <c r="AH17" s="11">
        <f>AG17+預測IC!AH17</f>
        <v>1.0459600028741727</v>
      </c>
      <c r="AI17" s="11">
        <f>AH17+預測IC!AI17</f>
        <v>1.0153722942326591</v>
      </c>
      <c r="AJ17" s="11">
        <f>AI17+預測IC!AJ17</f>
        <v>1.0579749247516159</v>
      </c>
      <c r="AK17" s="11">
        <f>AJ17+預測IC!AK17</f>
        <v>0.98425865001257951</v>
      </c>
      <c r="AL17" s="11">
        <f>AK17+預測IC!AL17</f>
        <v>0.93353424426402298</v>
      </c>
      <c r="AM17" s="11">
        <f>AL17+預測IC!AM17</f>
        <v>0.85816487667636598</v>
      </c>
      <c r="AN17" s="11">
        <f>AM17+預測IC!AN17</f>
        <v>0.74487775633044828</v>
      </c>
      <c r="AO17" s="11">
        <f>AN17+預測IC!AO17</f>
        <v>0.73224542173472407</v>
      </c>
      <c r="AP17" s="11">
        <f>AO17+預測IC!AP17</f>
        <v>0.80948823615430954</v>
      </c>
      <c r="AQ17" s="11">
        <f>AP17+預測IC!AQ17</f>
        <v>0.8700153735558086</v>
      </c>
      <c r="AR17" s="11">
        <f>AQ17+預測IC!AR17</f>
        <v>0.75608466366099125</v>
      </c>
      <c r="AS17" s="11">
        <f>AR17+預測IC!AS17</f>
        <v>0.6997611016265155</v>
      </c>
      <c r="AT17" s="11">
        <f>AS17+預測IC!AT17</f>
        <v>0.64749329517679333</v>
      </c>
      <c r="AU17" s="11">
        <f>AT17+預測IC!AU17</f>
        <v>0.59293778789010554</v>
      </c>
      <c r="AV17" s="11">
        <f>AU17+預測IC!AV17</f>
        <v>0.61414369067237395</v>
      </c>
      <c r="AW17" s="11">
        <f>AV17+預測IC!AW17</f>
        <v>0.60572180263053721</v>
      </c>
      <c r="AX17" s="11">
        <f>AW17+預測IC!AX17</f>
        <v>0.50948124412173823</v>
      </c>
      <c r="AY17" s="11">
        <f>AX17+預測IC!AY17</f>
        <v>0.48205754743113732</v>
      </c>
      <c r="AZ17" s="11">
        <f>AY17+預測IC!AZ17</f>
        <v>0.60721514969132839</v>
      </c>
      <c r="BA17" s="11">
        <f>AZ17+預測IC!BA17</f>
        <v>0.77002164969132836</v>
      </c>
      <c r="BB17" s="11">
        <f>BA17+預測IC!BB17</f>
        <v>0.646257586577484</v>
      </c>
      <c r="BC17" s="11">
        <f>BB17+預測IC!BC17</f>
        <v>0.5623943913996704</v>
      </c>
      <c r="BD17" s="11">
        <f>BC17+預測IC!BD17</f>
        <v>0.54003790915346561</v>
      </c>
      <c r="BE17" s="11">
        <f>BD17+預測IC!BE17</f>
        <v>0.46268766691540519</v>
      </c>
      <c r="BF17" s="11">
        <f>BE17+預測IC!BF17</f>
        <v>0.40749017030645146</v>
      </c>
      <c r="BG17" s="11">
        <f>BF17+預測IC!BG17</f>
        <v>0.22173859217557057</v>
      </c>
      <c r="BH17" s="11">
        <f>BG17+預測IC!BH17</f>
        <v>8.8547478850241473E-2</v>
      </c>
      <c r="BI17" s="11">
        <f>BH17+預測IC!BI17</f>
        <v>0.16928587840859305</v>
      </c>
      <c r="BJ17" s="11">
        <f>BI17+預測IC!BJ17</f>
        <v>7.141763404016907E-2</v>
      </c>
      <c r="BK17" s="11">
        <f>BJ17+預測IC!BK17</f>
        <v>8.8168960790549866E-2</v>
      </c>
      <c r="BL17" s="11">
        <f>BK17+預測IC!BL17</f>
        <v>9.5742210790549884E-2</v>
      </c>
      <c r="BM17" s="11">
        <f>BL17+預測IC!BM17</f>
        <v>1.9744440344689917E-2</v>
      </c>
      <c r="BN17" s="11">
        <f>BM17+預測IC!BN17</f>
        <v>-2.7171085249188071E-2</v>
      </c>
      <c r="BO17" s="11">
        <f>BN17+預測IC!BO17</f>
        <v>-6.2350700665911682E-2</v>
      </c>
      <c r="BP17" s="11">
        <f>BO17+預測IC!BP17</f>
        <v>-9.8346680320392593E-2</v>
      </c>
      <c r="BQ17" s="11">
        <f>BP17+預測IC!BQ17</f>
        <v>-0.1097231907668442</v>
      </c>
      <c r="BR17" s="11">
        <f>BQ17+預測IC!BR17</f>
        <v>-0.10007681564209431</v>
      </c>
      <c r="BS17" s="11">
        <f>BR17+預測IC!BS17</f>
        <v>-7.9170797428398804E-2</v>
      </c>
      <c r="BT17" s="11">
        <f>BS17+預測IC!BT17</f>
        <v>-0.11281804742839879</v>
      </c>
      <c r="BU17" s="11">
        <f>BT17+預測IC!BU17</f>
        <v>-0.2173424224283988</v>
      </c>
      <c r="BV17" s="11">
        <f>BU17+預測IC!BV17</f>
        <v>-0.1106985474283988</v>
      </c>
      <c r="BW17" s="11">
        <f>BV17+預測IC!BW17</f>
        <v>0.11653582757160119</v>
      </c>
      <c r="BX17" s="11">
        <f>BW17+預測IC!BX17</f>
        <v>8.7712862951928455E-2</v>
      </c>
      <c r="BY17" s="11">
        <f>BX17+預測IC!BY17</f>
        <v>-8.1495120480715583E-3</v>
      </c>
      <c r="BZ17" s="11">
        <f>BY17+預測IC!BZ17</f>
        <v>9.8802487951928447E-2</v>
      </c>
      <c r="CA17" s="11">
        <f>BZ17+預測IC!CA17</f>
        <v>0.12599861295192843</v>
      </c>
      <c r="CB17" s="11">
        <f>CA17+預測IC!CB17</f>
        <v>1.6832775931184429E-2</v>
      </c>
      <c r="CC17" s="11">
        <f>CB17+預測IC!CC17</f>
        <v>0.13151362278496223</v>
      </c>
      <c r="CD17" s="11">
        <f>CC17+預測IC!CD17</f>
        <v>5.5128507505488117E-2</v>
      </c>
      <c r="CE17" s="11">
        <f>CD17+預測IC!CE17</f>
        <v>-5.7366083789918781E-2</v>
      </c>
      <c r="CF17" s="11">
        <f>CE17+預測IC!CF17</f>
        <v>-0.15248983378991876</v>
      </c>
      <c r="CG17" s="11">
        <f>CF17+預測IC!CG17</f>
        <v>-0.22720482241864987</v>
      </c>
      <c r="CH17" s="11">
        <f>CG17+預測IC!CH17</f>
        <v>-0.26017389458910289</v>
      </c>
      <c r="CI17" s="11">
        <f>CH17+預測IC!CI17</f>
        <v>-0.25647211121421831</v>
      </c>
      <c r="CJ17" s="11">
        <f>CI17+預測IC!CJ17</f>
        <v>-0.2355212837328699</v>
      </c>
      <c r="CK17" s="11">
        <f>CJ17+預測IC!CK17</f>
        <v>-0.15156543547323914</v>
      </c>
      <c r="CL17" s="11">
        <f>CK17+預測IC!CL17</f>
        <v>-1.472633650850233E-2</v>
      </c>
      <c r="CM17" s="11">
        <f>CL17+預測IC!CM17</f>
        <v>-0.14929568094007664</v>
      </c>
      <c r="CN17" s="11">
        <f>CM17+預測IC!CN17</f>
        <v>-0.12257761978908967</v>
      </c>
      <c r="CO17" s="11">
        <f>CN17+預測IC!CO17</f>
        <v>7.9961007473899823E-2</v>
      </c>
      <c r="CP17" s="11">
        <f>CO17+預測IC!CP17</f>
        <v>-6.8198261723443773E-2</v>
      </c>
      <c r="CQ17" s="11">
        <f>CP17+預測IC!CQ17</f>
        <v>-0.1092861949068471</v>
      </c>
      <c r="CR17" s="11">
        <f>CQ17+預測IC!CR17</f>
        <v>-0.15996268560907029</v>
      </c>
      <c r="CS17" s="11">
        <f>CR17+預測IC!CS17</f>
        <v>-0.25680431690864003</v>
      </c>
      <c r="CT17" s="11">
        <f>CS17+預測IC!CT17</f>
        <v>-0.30606437329783309</v>
      </c>
      <c r="CU17" s="11">
        <f>CT17+預測IC!CU17</f>
        <v>-0.2316560657145792</v>
      </c>
      <c r="CV17" s="11">
        <f>CU17+預測IC!CV17</f>
        <v>-0.23553567365450662</v>
      </c>
      <c r="CW17" s="11">
        <f>CV17+預測IC!CW17</f>
        <v>-0.21577381974515367</v>
      </c>
      <c r="CX17" s="11">
        <f>CW17+預測IC!CX17</f>
        <v>-0.22654621426910149</v>
      </c>
      <c r="CY17" s="11">
        <f>CX17+預測IC!CY17</f>
        <v>-0.17716291555301145</v>
      </c>
      <c r="CZ17" s="11">
        <f>CY17+預測IC!CZ17</f>
        <v>-0.30141175340063198</v>
      </c>
      <c r="DA17" s="11">
        <f>CZ17+預測IC!DA17</f>
        <v>-0.25751589425549781</v>
      </c>
      <c r="DB17" s="11">
        <f>DA17+預測IC!DB17</f>
        <v>-0.2226328834630299</v>
      </c>
      <c r="DC17" s="11">
        <f>DB17+預測IC!DC17</f>
        <v>-0.26599635244052922</v>
      </c>
      <c r="DD17" s="11">
        <f>DC17+預測IC!DD17</f>
        <v>-0.18086241935637526</v>
      </c>
      <c r="DE17" s="11">
        <f>DD17+預測IC!DE17</f>
        <v>-0.22458583513967847</v>
      </c>
      <c r="DF17" s="11">
        <f>DE17+預測IC!DF17</f>
        <v>-0.2133544648130192</v>
      </c>
      <c r="DG17" s="11">
        <f>DF17+預測IC!DG17</f>
        <v>-0.21151518288411078</v>
      </c>
      <c r="DH17" s="11">
        <f>DG17+預測IC!DH17</f>
        <v>-0.17278853194609806</v>
      </c>
      <c r="DI17" s="11">
        <f>DH17+預測IC!DI17</f>
        <v>-0.16749528762231561</v>
      </c>
      <c r="DJ17" s="11">
        <f>DI17+預測IC!DJ17</f>
        <v>-0.12215913008149565</v>
      </c>
      <c r="DK17" s="11">
        <f>DJ17+預測IC!DK17</f>
        <v>-0.27819555819804187</v>
      </c>
      <c r="DL17" s="11">
        <f>DK17+預測IC!DL17</f>
        <v>-0.35171115913521295</v>
      </c>
      <c r="DM17" s="11">
        <f>DL17+預測IC!DM17</f>
        <v>-0.29945824855289693</v>
      </c>
      <c r="DN17" s="11">
        <f>DM17+預測IC!DN17</f>
        <v>-0.33494728126723594</v>
      </c>
      <c r="DO17" s="11">
        <f>DN17+預測IC!DO17</f>
        <v>-0.38839865160713938</v>
      </c>
      <c r="DP17" s="11">
        <f>DO17+預測IC!DP17</f>
        <v>-0.37188014335051583</v>
      </c>
      <c r="DQ17" s="11">
        <f>DP17+預測IC!DQ17</f>
        <v>-0.29922613824449096</v>
      </c>
      <c r="DR17" s="11">
        <f>DQ17+預測IC!DR17</f>
        <v>-0.25379487455387428</v>
      </c>
      <c r="DS17" s="11">
        <f>DR17+預測IC!DS17</f>
        <v>-0.12947871474906339</v>
      </c>
      <c r="DT17" s="11">
        <f>DS17+預測IC!DT17</f>
        <v>-3.6339765063911816E-2</v>
      </c>
      <c r="DU17" s="11">
        <f>DT17+預測IC!DU17</f>
        <v>3.5390940986593511E-2</v>
      </c>
      <c r="DV17" s="11">
        <f>DU17+預測IC!DV17</f>
        <v>-8.2374457124360784E-2</v>
      </c>
      <c r="DW17" s="11">
        <f>DV17+預測IC!DW17</f>
        <v>-0.13105594053851094</v>
      </c>
      <c r="DX17" s="11">
        <f>DW17+預測IC!DX17</f>
        <v>-1.5169579420369339E-3</v>
      </c>
      <c r="DY17" s="11">
        <f>DX17+預測IC!DY17</f>
        <v>-0.11365541274811103</v>
      </c>
      <c r="DZ17" s="11">
        <f>DY17+預測IC!DZ17</f>
        <v>-8.1827240148324848E-2</v>
      </c>
      <c r="EA17" s="11">
        <f>DZ17+預測IC!EA17</f>
        <v>-8.6459764365049457E-2</v>
      </c>
      <c r="EB17" s="11">
        <f>EA17+預測IC!EB17</f>
        <v>2.0825562388708044E-2</v>
      </c>
      <c r="EC17" s="11">
        <f>EB17+預測IC!EC17</f>
        <v>-0.10068645487931506</v>
      </c>
      <c r="ED17" s="11">
        <f>EC17+預測IC!ED17</f>
        <v>-0.20397712881634417</v>
      </c>
      <c r="EE17" s="11">
        <f>ED17+預測IC!EE17</f>
        <v>-0.13969842884745515</v>
      </c>
      <c r="EF17" s="11">
        <f>EE17+預測IC!EF17</f>
        <v>-0.187408195857307</v>
      </c>
    </row>
    <row r="18" spans="1:136">
      <c r="A18" s="2"/>
      <c r="B18" s="2" t="s">
        <v>195</v>
      </c>
      <c r="C18" s="11">
        <v>0.1897511428571429</v>
      </c>
      <c r="D18" s="11">
        <f>C18+預測IC!D18</f>
        <v>0.59163514285714291</v>
      </c>
      <c r="E18" s="11">
        <f>D18+預測IC!E18</f>
        <v>0.64507300000000012</v>
      </c>
      <c r="F18" s="11">
        <f>E18+預測IC!F18</f>
        <v>0.85716385714285726</v>
      </c>
      <c r="G18" s="11">
        <f>F18+預測IC!G18</f>
        <v>0.99022257142857151</v>
      </c>
      <c r="H18" s="11">
        <f>G18+預測IC!H18</f>
        <v>1.1187625714285714</v>
      </c>
      <c r="I18" s="11">
        <f>H18+預測IC!I18</f>
        <v>1.1737151428571428</v>
      </c>
      <c r="J18" s="11">
        <f>I18+預測IC!J18</f>
        <v>1.0485542857142855</v>
      </c>
      <c r="K18" s="11">
        <f>J18+預測IC!K18</f>
        <v>1.0801395714285713</v>
      </c>
      <c r="L18" s="11">
        <f>K18+預測IC!L18</f>
        <v>1.1268111428571428</v>
      </c>
      <c r="M18" s="11">
        <f>L18+預測IC!M18</f>
        <v>1.1558626072336</v>
      </c>
      <c r="N18" s="11">
        <f>M18+預測IC!N18</f>
        <v>1.0146551187373039</v>
      </c>
      <c r="O18" s="11">
        <f>N18+預測IC!O18</f>
        <v>1.0463930598348021</v>
      </c>
      <c r="P18" s="11">
        <f>O18+預測IC!P18</f>
        <v>1.1009627741205164</v>
      </c>
      <c r="Q18" s="11">
        <f>P18+預測IC!Q18</f>
        <v>1.2227014884062306</v>
      </c>
      <c r="R18" s="11">
        <f>Q18+預測IC!R18</f>
        <v>1.2420280598348021</v>
      </c>
      <c r="S18" s="11">
        <f>R18+預測IC!S18</f>
        <v>1.1730147741205164</v>
      </c>
      <c r="T18" s="11">
        <f>S18+預測IC!T18</f>
        <v>1.1679852026919448</v>
      </c>
      <c r="U18" s="11">
        <f>T18+預測IC!U18</f>
        <v>1.2231355457435096</v>
      </c>
      <c r="V18" s="11">
        <f>U18+預測IC!V18</f>
        <v>1.1017440843175839</v>
      </c>
      <c r="W18" s="11">
        <f>V18+預測IC!W18</f>
        <v>0.93560925504828474</v>
      </c>
      <c r="X18" s="11">
        <f>W18+預測IC!X18</f>
        <v>1.0627325407625705</v>
      </c>
      <c r="Y18" s="11">
        <f>X18+預測IC!Y18</f>
        <v>1.0435002064051351</v>
      </c>
      <c r="Z18" s="11">
        <f>Y18+預測IC!Z18</f>
        <v>0.95426584296461225</v>
      </c>
      <c r="AA18" s="11">
        <f>Z18+預測IC!AA18</f>
        <v>1.0090714143931836</v>
      </c>
      <c r="AB18" s="11">
        <f>AA18+預測IC!AB18</f>
        <v>0.92437311466269945</v>
      </c>
      <c r="AC18" s="11">
        <f>AB18+預測IC!AC18</f>
        <v>0.86655010180674219</v>
      </c>
      <c r="AD18" s="11">
        <f>AC18+預測IC!AD18</f>
        <v>0.96283595894959939</v>
      </c>
      <c r="AE18" s="11">
        <f>AD18+預測IC!AE18</f>
        <v>1.1063652003786739</v>
      </c>
      <c r="AF18" s="11">
        <f>AE18+預測IC!AF18</f>
        <v>1.0744917822180484</v>
      </c>
      <c r="AG18" s="11">
        <f>AF18+預測IC!AG18</f>
        <v>1.0419986661201723</v>
      </c>
      <c r="AH18" s="11">
        <f>AG18+預測IC!AH18</f>
        <v>1.0821961270886871</v>
      </c>
      <c r="AI18" s="11">
        <f>AH18+預測IC!AI18</f>
        <v>1.0353405857349312</v>
      </c>
      <c r="AJ18" s="11">
        <f>AI18+預測IC!AJ18</f>
        <v>1.0827343419013802</v>
      </c>
      <c r="AK18" s="11">
        <f>AJ18+預測IC!AK18</f>
        <v>1.0525818613037541</v>
      </c>
      <c r="AL18" s="11">
        <f>AK18+預測IC!AL18</f>
        <v>1.0050540976714963</v>
      </c>
      <c r="AM18" s="11">
        <f>AL18+預測IC!AM18</f>
        <v>0.93841069224672513</v>
      </c>
      <c r="AN18" s="11">
        <f>AM18+預測IC!AN18</f>
        <v>0.85911605229152332</v>
      </c>
      <c r="AO18" s="11">
        <f>AN18+預測IC!AO18</f>
        <v>0.85368851732383055</v>
      </c>
      <c r="AP18" s="11">
        <f>AO18+預測IC!AP18</f>
        <v>0.93196710925763748</v>
      </c>
      <c r="AQ18" s="11">
        <f>AP18+預測IC!AQ18</f>
        <v>1.0081979545840873</v>
      </c>
      <c r="AR18" s="11">
        <f>AQ18+預測IC!AR18</f>
        <v>0.88365244822114319</v>
      </c>
      <c r="AS18" s="11">
        <f>AR18+預測IC!AS18</f>
        <v>0.79782589666717407</v>
      </c>
      <c r="AT18" s="11">
        <f>AS18+預測IC!AT18</f>
        <v>0.75450024684659533</v>
      </c>
      <c r="AU18" s="11">
        <f>AT18+預測IC!AU18</f>
        <v>0.68992460276700385</v>
      </c>
      <c r="AV18" s="11">
        <f>AU18+預測IC!AV18</f>
        <v>0.71869335864872108</v>
      </c>
      <c r="AW18" s="11">
        <f>AV18+預測IC!AW18</f>
        <v>0.69415532440761363</v>
      </c>
      <c r="AX18" s="11">
        <f>AW18+預測IC!AX18</f>
        <v>0.58659445615177752</v>
      </c>
      <c r="AY18" s="11">
        <f>AX18+預測IC!AY18</f>
        <v>0.55181117751062947</v>
      </c>
      <c r="AZ18" s="11">
        <f>AY18+預測IC!AZ18</f>
        <v>0.70022025989952863</v>
      </c>
      <c r="BA18" s="11">
        <f>AZ18+預測IC!BA18</f>
        <v>0.88070011704238571</v>
      </c>
      <c r="BB18" s="11">
        <f>BA18+預測IC!BB18</f>
        <v>0.74304407488504864</v>
      </c>
      <c r="BC18" s="11">
        <f>BB18+預測IC!BC18</f>
        <v>0.65984250229172803</v>
      </c>
      <c r="BD18" s="11">
        <f>BC18+預測IC!BD18</f>
        <v>0.6838587739790285</v>
      </c>
      <c r="BE18" s="11">
        <f>BD18+預測IC!BE18</f>
        <v>0.6154975607408657</v>
      </c>
      <c r="BF18" s="11">
        <f>BE18+預測IC!BF18</f>
        <v>0.56961302444128692</v>
      </c>
      <c r="BG18" s="11">
        <f>BF18+預測IC!BG18</f>
        <v>0.42289904961299829</v>
      </c>
      <c r="BH18" s="11">
        <f>BG18+預測IC!BH18</f>
        <v>0.28500078446285582</v>
      </c>
      <c r="BI18" s="11">
        <f>BH18+預測IC!BI18</f>
        <v>0.36099187820331446</v>
      </c>
      <c r="BJ18" s="11">
        <f>BI18+預測IC!BJ18</f>
        <v>0.26245802151789266</v>
      </c>
      <c r="BK18" s="11">
        <f>BJ18+預測IC!BK18</f>
        <v>0.26343910542100957</v>
      </c>
      <c r="BL18" s="11">
        <f>BK18+預測IC!BL18</f>
        <v>0.28979139113529528</v>
      </c>
      <c r="BM18" s="11">
        <f>BL18+預測IC!BM18</f>
        <v>0.18701745207185569</v>
      </c>
      <c r="BN18" s="11">
        <f>BM18+預測IC!BN18</f>
        <v>0.13424306244802553</v>
      </c>
      <c r="BO18" s="11">
        <f>BN18+預測IC!BO18</f>
        <v>0.11401556634165089</v>
      </c>
      <c r="BP18" s="11">
        <f>BO18+預測IC!BP18</f>
        <v>6.7158026006968879E-2</v>
      </c>
      <c r="BQ18" s="11">
        <f>BP18+預測IC!BQ18</f>
        <v>6.5241241897119884E-2</v>
      </c>
      <c r="BR18" s="11">
        <f>BQ18+預測IC!BR18</f>
        <v>7.0989435481074614E-2</v>
      </c>
      <c r="BS18" s="11">
        <f>BR18+預測IC!BS18</f>
        <v>0.10386269205710644</v>
      </c>
      <c r="BT18" s="11">
        <f>BS18+預測IC!BT18</f>
        <v>9.0563834914249283E-2</v>
      </c>
      <c r="BU18" s="11">
        <f>BT18+預測IC!BU18</f>
        <v>-2.0898307942893518E-2</v>
      </c>
      <c r="BV18" s="11">
        <f>BU18+預測IC!BV18</f>
        <v>9.4607263485677884E-2</v>
      </c>
      <c r="BW18" s="11">
        <f>BV18+預測IC!BW18</f>
        <v>0.35564654919996358</v>
      </c>
      <c r="BX18" s="11">
        <f>BW18+預測IC!BX18</f>
        <v>0.3366280744839279</v>
      </c>
      <c r="BY18" s="11">
        <f>BX18+預測IC!BY18</f>
        <v>0.27393964591249931</v>
      </c>
      <c r="BZ18" s="11">
        <f>BY18+預測IC!BZ18</f>
        <v>0.38375478876964209</v>
      </c>
      <c r="CA18" s="11">
        <f>BZ18+預測IC!CA18</f>
        <v>0.41704064591249923</v>
      </c>
      <c r="CB18" s="11">
        <f>CA18+預測IC!CB18</f>
        <v>0.31965336293308999</v>
      </c>
      <c r="CC18" s="11">
        <f>CB18+預測IC!CC18</f>
        <v>0.42525142564898138</v>
      </c>
      <c r="CD18" s="11">
        <f>CC18+預測IC!CD18</f>
        <v>0.30365620248021719</v>
      </c>
      <c r="CE18" s="11">
        <f>CD18+預測IC!CE18</f>
        <v>0.17358061686296999</v>
      </c>
      <c r="CF18" s="11">
        <f>CE18+預測IC!CF18</f>
        <v>7.1721616862969989E-2</v>
      </c>
      <c r="CG18" s="11">
        <f>CF18+預測IC!CG18</f>
        <v>-1.9887638700949353E-2</v>
      </c>
      <c r="CH18" s="11">
        <f>CG18+預測IC!CH18</f>
        <v>-6.5253287660108142E-2</v>
      </c>
      <c r="CI18" s="11">
        <f>CH18+預測IC!CI18</f>
        <v>-0.18031259846928666</v>
      </c>
      <c r="CJ18" s="11">
        <f>CI18+預測IC!CJ18</f>
        <v>-0.18408496496968427</v>
      </c>
      <c r="CK18" s="11">
        <f>CJ18+預測IC!CK18</f>
        <v>-8.802693330416117E-2</v>
      </c>
      <c r="CL18" s="11">
        <f>CK18+預測IC!CL18</f>
        <v>6.4887010505323917E-2</v>
      </c>
      <c r="CM18" s="11">
        <f>CL18+預測IC!CM18</f>
        <v>-7.8761532659069794E-2</v>
      </c>
      <c r="CN18" s="11">
        <f>CM18+預測IC!CN18</f>
        <v>-4.3675278680893187E-2</v>
      </c>
      <c r="CO18" s="11">
        <f>CN18+預測IC!CO18</f>
        <v>0.1878985998685361</v>
      </c>
      <c r="CP18" s="11">
        <f>CO18+預測IC!CP18</f>
        <v>2.5059490920525396E-2</v>
      </c>
      <c r="CQ18" s="11">
        <f>CP18+預測IC!CQ18</f>
        <v>-2.2917045487742142E-2</v>
      </c>
      <c r="CR18" s="11">
        <f>CQ18+預測IC!CR18</f>
        <v>-7.807317420433417E-2</v>
      </c>
      <c r="CS18" s="11">
        <f>CR18+預測IC!CS18</f>
        <v>-0.15610042093630544</v>
      </c>
      <c r="CT18" s="11">
        <f>CS18+預測IC!CT18</f>
        <v>-0.24661584993855484</v>
      </c>
      <c r="CU18" s="11">
        <f>CT18+預測IC!CU18</f>
        <v>-0.17496715873344484</v>
      </c>
      <c r="CV18" s="11">
        <f>CU18+預測IC!CV18</f>
        <v>-0.26600744096373352</v>
      </c>
      <c r="CW18" s="11">
        <f>CV18+預測IC!CW18</f>
        <v>-0.2575513553992077</v>
      </c>
      <c r="CX18" s="11">
        <f>CW18+預測IC!CX18</f>
        <v>-0.3191115412329858</v>
      </c>
      <c r="CY18" s="11">
        <f>CX18+預測IC!CY18</f>
        <v>-0.26775412745820354</v>
      </c>
      <c r="CZ18" s="11">
        <f>CY18+預測IC!CZ18</f>
        <v>-0.4005969907599749</v>
      </c>
      <c r="DA18" s="11">
        <f>CZ18+預測IC!DA18</f>
        <v>-0.35321605124128136</v>
      </c>
      <c r="DB18" s="11">
        <f>DA18+預測IC!DB18</f>
        <v>-0.30748084256252195</v>
      </c>
      <c r="DC18" s="11">
        <f>DB18+預測IC!DC18</f>
        <v>-0.34388962405802814</v>
      </c>
      <c r="DD18" s="11">
        <f>DC18+預測IC!DD18</f>
        <v>-0.26142727056261394</v>
      </c>
      <c r="DE18" s="11">
        <f>DD18+預測IC!DE18</f>
        <v>-0.31060071545425494</v>
      </c>
      <c r="DF18" s="11">
        <f>DE18+預測IC!DF18</f>
        <v>-0.27555793667188466</v>
      </c>
      <c r="DG18" s="11">
        <f>DF18+預測IC!DG18</f>
        <v>-0.26793846351425699</v>
      </c>
      <c r="DH18" s="11">
        <f>DG18+預測IC!DH18</f>
        <v>-0.23990045026560797</v>
      </c>
      <c r="DI18" s="11">
        <f>DH18+預測IC!DI18</f>
        <v>-0.22378582102758116</v>
      </c>
      <c r="DJ18" s="11">
        <f>DI18+預測IC!DJ18</f>
        <v>-0.17858178124229163</v>
      </c>
      <c r="DK18" s="11">
        <f>DJ18+預測IC!DK18</f>
        <v>-0.33709540833471902</v>
      </c>
      <c r="DL18" s="11">
        <f>DK18+預測IC!DL18</f>
        <v>-0.41849315125096015</v>
      </c>
      <c r="DM18" s="11">
        <f>DL18+預測IC!DM18</f>
        <v>-0.351985010518922</v>
      </c>
      <c r="DN18" s="11">
        <f>DM18+預測IC!DN18</f>
        <v>-0.33526294644090077</v>
      </c>
      <c r="DO18" s="11">
        <f>DN18+預測IC!DO18</f>
        <v>-0.37736785399153128</v>
      </c>
      <c r="DP18" s="11">
        <f>DO18+預測IC!DP18</f>
        <v>-0.35676316752466553</v>
      </c>
      <c r="DQ18" s="11">
        <f>DP18+預測IC!DQ18</f>
        <v>-0.2910137093407667</v>
      </c>
      <c r="DR18" s="11">
        <f>DQ18+預測IC!DR18</f>
        <v>-0.2385526453092181</v>
      </c>
      <c r="DS18" s="11">
        <f>DR18+預測IC!DS18</f>
        <v>-9.0830646857485403E-2</v>
      </c>
      <c r="DT18" s="11">
        <f>DS18+預測IC!DT18</f>
        <v>2.5186743253491697E-2</v>
      </c>
      <c r="DU18" s="11">
        <f>DT18+預測IC!DU18</f>
        <v>0.12208192933039634</v>
      </c>
      <c r="DV18" s="11">
        <f>DU18+預測IC!DV18</f>
        <v>1.6441320530334438E-2</v>
      </c>
      <c r="DW18" s="11">
        <f>DV18+預測IC!DW18</f>
        <v>-6.5467371754038731E-2</v>
      </c>
      <c r="DX18" s="11">
        <f>DW18+預測IC!DX18</f>
        <v>8.8135605708443074E-2</v>
      </c>
      <c r="DY18" s="11">
        <f>DX18+預測IC!DY18</f>
        <v>-9.2924312675065346E-3</v>
      </c>
      <c r="DZ18" s="11">
        <f>DY18+預測IC!DZ18</f>
        <v>6.6223928028859125E-2</v>
      </c>
      <c r="EA18" s="11">
        <f>DZ18+預測IC!EA18</f>
        <v>6.1485630790614386E-2</v>
      </c>
      <c r="EB18" s="11">
        <f>EA18+預測IC!EB18</f>
        <v>0.17144998524080979</v>
      </c>
      <c r="EC18" s="11">
        <f>EB18+預測IC!EC18</f>
        <v>2.8409754648024282E-2</v>
      </c>
      <c r="ED18" s="11">
        <f>EC18+預測IC!ED18</f>
        <v>-5.4349346740542301E-2</v>
      </c>
      <c r="EE18" s="11">
        <f>ED18+預測IC!EE18</f>
        <v>-1.3343064251780876E-3</v>
      </c>
      <c r="EF18" s="11">
        <f>EE18+預測IC!EF18</f>
        <v>-5.0289323535594635E-2</v>
      </c>
    </row>
    <row r="19" spans="1:136">
      <c r="A19" s="2"/>
      <c r="B19" s="2" t="s">
        <v>196</v>
      </c>
      <c r="C19" s="11">
        <v>0.19659983333333331</v>
      </c>
      <c r="D19" s="11">
        <f>C19+預測IC!D19</f>
        <v>0.60412116666666671</v>
      </c>
      <c r="E19" s="11">
        <f>D19+預測IC!E19</f>
        <v>0.66993366666666665</v>
      </c>
      <c r="F19" s="11">
        <f>E19+預測IC!F19</f>
        <v>0.90610449999999998</v>
      </c>
      <c r="G19" s="11">
        <f>F19+預測IC!G19</f>
        <v>1.0589696666666666</v>
      </c>
      <c r="H19" s="11">
        <f>G19+預測IC!H19</f>
        <v>1.2365798333333333</v>
      </c>
      <c r="I19" s="11">
        <f>H19+預測IC!I19</f>
        <v>1.2840431666666667</v>
      </c>
      <c r="J19" s="11">
        <f>I19+預測IC!J19</f>
        <v>1.1278140000000001</v>
      </c>
      <c r="K19" s="11">
        <f>J19+預測IC!K19</f>
        <v>1.1843535000000001</v>
      </c>
      <c r="L19" s="11">
        <f>K19+預測IC!L19</f>
        <v>1.2147146666666668</v>
      </c>
      <c r="M19" s="11">
        <f>L19+預測IC!M19</f>
        <v>1.1710244305103596</v>
      </c>
      <c r="N19" s="11">
        <f>M19+預測IC!N19</f>
        <v>1.0191808493623795</v>
      </c>
      <c r="O19" s="11">
        <f>N19+預測IC!O19</f>
        <v>1.0507427238512954</v>
      </c>
      <c r="P19" s="11">
        <f>O19+預測IC!P19</f>
        <v>1.0735280571846286</v>
      </c>
      <c r="Q19" s="11">
        <f>P19+預測IC!Q19</f>
        <v>1.243992390517962</v>
      </c>
      <c r="R19" s="11">
        <f>Q19+預測IC!R19</f>
        <v>1.285935390517962</v>
      </c>
      <c r="S19" s="11">
        <f>R19+預測IC!S19</f>
        <v>1.2072392238512952</v>
      </c>
      <c r="T19" s="11">
        <f>S19+預測IC!T19</f>
        <v>1.097712390517962</v>
      </c>
      <c r="U19" s="11">
        <f>T19+預測IC!U19</f>
        <v>1.1649623921364449</v>
      </c>
      <c r="V19" s="11">
        <f>U19+預測IC!V19</f>
        <v>1.0722740724111317</v>
      </c>
      <c r="W19" s="11">
        <f>V19+預測IC!W19</f>
        <v>0.89753930910890023</v>
      </c>
      <c r="X19" s="11">
        <f>W19+預測IC!X19</f>
        <v>1.020462975775567</v>
      </c>
      <c r="Y19" s="11">
        <f>X19+預測IC!Y19</f>
        <v>0.99483433824741052</v>
      </c>
      <c r="Z19" s="11">
        <f>Y19+預測IC!Z19</f>
        <v>0.90321522767138696</v>
      </c>
      <c r="AA19" s="11">
        <f>Z19+預測IC!AA19</f>
        <v>0.95051689433805364</v>
      </c>
      <c r="AB19" s="11">
        <f>AA19+預測IC!AB19</f>
        <v>0.84826328845411092</v>
      </c>
      <c r="AC19" s="11">
        <f>AB19+預測IC!AC19</f>
        <v>0.81981045381241957</v>
      </c>
      <c r="AD19" s="11">
        <f>AC19+預測IC!AD19</f>
        <v>0.91580328714575288</v>
      </c>
      <c r="AE19" s="11">
        <f>AD19+預測IC!AE19</f>
        <v>1.0852193481435426</v>
      </c>
      <c r="AF19" s="11">
        <f>AE19+預測IC!AF19</f>
        <v>1.0464336813346429</v>
      </c>
      <c r="AG19" s="11">
        <f>AF19+預測IC!AG19</f>
        <v>1.0242974622620951</v>
      </c>
      <c r="AH19" s="11">
        <f>AG19+預測IC!AH19</f>
        <v>1.0808551774837987</v>
      </c>
      <c r="AI19" s="11">
        <f>AH19+預測IC!AI19</f>
        <v>0.99908505269430214</v>
      </c>
      <c r="AJ19" s="11">
        <f>AI19+預測IC!AJ19</f>
        <v>1.0506303430215644</v>
      </c>
      <c r="AK19" s="11">
        <f>AJ19+預測IC!AK19</f>
        <v>1.0430783005156117</v>
      </c>
      <c r="AL19" s="11">
        <f>AK19+預測IC!AL19</f>
        <v>0.97280735484480618</v>
      </c>
      <c r="AM19" s="11">
        <f>AL19+預測IC!AM19</f>
        <v>0.92970134303340124</v>
      </c>
      <c r="AN19" s="11">
        <f>AM19+預測IC!AN19</f>
        <v>0.84613304866771921</v>
      </c>
      <c r="AO19" s="11">
        <f>AN19+預測IC!AO19</f>
        <v>0.82024014562230485</v>
      </c>
      <c r="AP19" s="11">
        <f>AO19+預測IC!AP19</f>
        <v>0.9078142658951569</v>
      </c>
      <c r="AQ19" s="11">
        <f>AP19+預測IC!AQ19</f>
        <v>0.99606702295580751</v>
      </c>
      <c r="AR19" s="11">
        <f>AQ19+預測IC!AR19</f>
        <v>0.84254946064295011</v>
      </c>
      <c r="AS19" s="11">
        <f>AR19+預測IC!AS19</f>
        <v>0.74475250537463566</v>
      </c>
      <c r="AT19" s="11">
        <f>AS19+預測IC!AT19</f>
        <v>0.69545752360893431</v>
      </c>
      <c r="AU19" s="11">
        <f>AT19+預測IC!AU19</f>
        <v>0.61902880789528014</v>
      </c>
      <c r="AV19" s="11">
        <f>AU19+預測IC!AV19</f>
        <v>0.66906182859225805</v>
      </c>
      <c r="AW19" s="11">
        <f>AV19+預測IC!AW19</f>
        <v>0.64670566043812161</v>
      </c>
      <c r="AX19" s="11">
        <f>AW19+預測IC!AX19</f>
        <v>0.56649924612770874</v>
      </c>
      <c r="AY19" s="11">
        <f>AX19+預測IC!AY19</f>
        <v>0.53697027573432887</v>
      </c>
      <c r="AZ19" s="11">
        <f>AY19+預測IC!AZ19</f>
        <v>0.72384989390250321</v>
      </c>
      <c r="BA19" s="11">
        <f>AZ19+預測IC!BA19</f>
        <v>0.91084689390250317</v>
      </c>
      <c r="BB19" s="11">
        <f>BA19+預測IC!BB19</f>
        <v>0.75110069483007158</v>
      </c>
      <c r="BC19" s="11">
        <f>BB19+預測IC!BC19</f>
        <v>0.68704520848388584</v>
      </c>
      <c r="BD19" s="11">
        <f>BC19+預測IC!BD19</f>
        <v>0.69027960111395403</v>
      </c>
      <c r="BE19" s="11">
        <f>BD19+預測IC!BE19</f>
        <v>0.63914772715028745</v>
      </c>
      <c r="BF19" s="11">
        <f>BE19+預測IC!BF19</f>
        <v>0.62557675300114879</v>
      </c>
      <c r="BG19" s="11">
        <f>BF19+預測IC!BG19</f>
        <v>0.47226800183136053</v>
      </c>
      <c r="BH19" s="11">
        <f>BG19+預測IC!BH19</f>
        <v>0.33177109587778719</v>
      </c>
      <c r="BI19" s="11">
        <f>BH19+預測IC!BI19</f>
        <v>0.4330553258370034</v>
      </c>
      <c r="BJ19" s="11">
        <f>BI19+預測IC!BJ19</f>
        <v>0.3741431086645477</v>
      </c>
      <c r="BK19" s="11">
        <f>BJ19+預測IC!BK19</f>
        <v>0.304624072035106</v>
      </c>
      <c r="BL19" s="11">
        <f>BK19+預測IC!BL19</f>
        <v>0.33061990536843933</v>
      </c>
      <c r="BM19" s="11">
        <f>BL19+預測IC!BM19</f>
        <v>0.21636930510974361</v>
      </c>
      <c r="BN19" s="11">
        <f>BM19+預測IC!BN19</f>
        <v>0.14911665764247184</v>
      </c>
      <c r="BO19" s="11">
        <f>BN19+預測IC!BO19</f>
        <v>0.12338769637735646</v>
      </c>
      <c r="BP19" s="11">
        <f>BO19+預測IC!BP19</f>
        <v>6.0568888843224311E-2</v>
      </c>
      <c r="BQ19" s="11">
        <f>BP19+預測IC!BQ19</f>
        <v>5.0634844388901243E-2</v>
      </c>
      <c r="BR19" s="11">
        <f>BQ19+預測IC!BR19</f>
        <v>4.3959598365381235E-2</v>
      </c>
      <c r="BS19" s="11">
        <f>BR19+預測IC!BS19</f>
        <v>4.0459666425742329E-2</v>
      </c>
      <c r="BT19" s="11">
        <f>BS19+預測IC!BT19</f>
        <v>5.3654499759075651E-2</v>
      </c>
      <c r="BU19" s="11">
        <f>BT19+預測IC!BU19</f>
        <v>-7.7016333574257634E-2</v>
      </c>
      <c r="BV19" s="11">
        <f>BU19+預測IC!BV19</f>
        <v>2.306899975907567E-2</v>
      </c>
      <c r="BW19" s="11">
        <f>BV19+預測IC!BW19</f>
        <v>0.31904483309240905</v>
      </c>
      <c r="BX19" s="11">
        <f>BW19+預測IC!BX19</f>
        <v>0.28495704782055081</v>
      </c>
      <c r="BY19" s="11">
        <f>BX19+預測IC!BY19</f>
        <v>0.25727888115388414</v>
      </c>
      <c r="BZ19" s="11">
        <f>BY19+預測IC!BZ19</f>
        <v>0.40202154782055077</v>
      </c>
      <c r="CA19" s="11">
        <f>BZ19+預測IC!CA19</f>
        <v>0.43763171448721744</v>
      </c>
      <c r="CB19" s="11">
        <f>CA19+預測IC!CB19</f>
        <v>0.35865490686869189</v>
      </c>
      <c r="CC19" s="11">
        <f>CB19+預測IC!CC19</f>
        <v>0.46407166388741611</v>
      </c>
      <c r="CD19" s="11">
        <f>CC19+預測IC!CD19</f>
        <v>0.31533975059900887</v>
      </c>
      <c r="CE19" s="11">
        <f>CD19+預測IC!CE19</f>
        <v>0.20092539108587557</v>
      </c>
      <c r="CF19" s="11">
        <f>CE19+預測IC!CF19</f>
        <v>8.9226724419208869E-2</v>
      </c>
      <c r="CG19" s="11">
        <f>CF19+預測IC!CG19</f>
        <v>3.2109099552251719E-2</v>
      </c>
      <c r="CH19" s="11">
        <f>CG19+預測IC!CH19</f>
        <v>-1.0605944190482441E-2</v>
      </c>
      <c r="CI19" s="11">
        <f>CH19+預測IC!CI19</f>
        <v>-0.12134015194418685</v>
      </c>
      <c r="CJ19" s="11">
        <f>CI19+預測IC!CJ19</f>
        <v>-0.13315207470618107</v>
      </c>
      <c r="CK19" s="11">
        <f>CJ19+預測IC!CK19</f>
        <v>-1.4354811748846563E-2</v>
      </c>
      <c r="CL19" s="11">
        <f>CK19+預測IC!CL19</f>
        <v>0.10099296988989094</v>
      </c>
      <c r="CM19" s="11">
        <f>CL19+預測IC!CM19</f>
        <v>-7.4354671691824067E-2</v>
      </c>
      <c r="CN19" s="11">
        <f>CM19+預測IC!CN19</f>
        <v>2.5779829754793981E-3</v>
      </c>
      <c r="CO19" s="11">
        <f>CN19+預測IC!CO19</f>
        <v>0.27503238760398591</v>
      </c>
      <c r="CP19" s="11">
        <f>CO19+預測IC!CP19</f>
        <v>0.11599978862165319</v>
      </c>
      <c r="CQ19" s="11">
        <f>CP19+預測IC!CQ19</f>
        <v>0.11872969677621513</v>
      </c>
      <c r="CR19" s="11">
        <f>CQ19+預測IC!CR19</f>
        <v>6.9035507223812478E-2</v>
      </c>
      <c r="CS19" s="11">
        <f>CR19+預測IC!CS19</f>
        <v>8.334656325274345E-3</v>
      </c>
      <c r="CT19" s="11">
        <f>CS19+預測IC!CT19</f>
        <v>-0.11428577030475645</v>
      </c>
      <c r="CU19" s="11">
        <f>CT19+預測IC!CU19</f>
        <v>-3.0849373190863477E-2</v>
      </c>
      <c r="CV19" s="11">
        <f>CU19+預測IC!CV19</f>
        <v>-0.1328292347072671</v>
      </c>
      <c r="CW19" s="11">
        <f>CV19+預測IC!CW19</f>
        <v>-0.1109274269253685</v>
      </c>
      <c r="CX19" s="11">
        <f>CW19+預測IC!CX19</f>
        <v>-0.16856215329355345</v>
      </c>
      <c r="CY19" s="11">
        <f>CX19+預測IC!CY19</f>
        <v>-9.7640283729183902E-2</v>
      </c>
      <c r="CZ19" s="11">
        <f>CY19+預測IC!CZ19</f>
        <v>-0.21049211237064791</v>
      </c>
      <c r="DA19" s="11">
        <f>CZ19+預測IC!DA19</f>
        <v>-0.15226823566741116</v>
      </c>
      <c r="DB19" s="11">
        <f>DA19+預測IC!DB19</f>
        <v>-0.11654733664219549</v>
      </c>
      <c r="DC19" s="11">
        <f>DB19+預測IC!DC19</f>
        <v>-8.1367936740101426E-2</v>
      </c>
      <c r="DD19" s="11">
        <f>DC19+預測IC!DD19</f>
        <v>2.4889399214699279E-2</v>
      </c>
      <c r="DE19" s="11">
        <f>DD19+預測IC!DE19</f>
        <v>-2.9135556167910234E-2</v>
      </c>
      <c r="DF19" s="11">
        <f>DE19+預測IC!DF19</f>
        <v>4.0557490725112416E-2</v>
      </c>
      <c r="DG19" s="11">
        <f>DF19+預測IC!DG19</f>
        <v>5.3303965635761515E-2</v>
      </c>
      <c r="DH19" s="11">
        <f>DG19+預測IC!DH19</f>
        <v>5.3460948765166237E-2</v>
      </c>
      <c r="DI19" s="11">
        <f>DH19+預測IC!DI19</f>
        <v>4.9794524322745067E-2</v>
      </c>
      <c r="DJ19" s="11">
        <f>DI19+預測IC!DJ19</f>
        <v>9.8308875045721666E-2</v>
      </c>
      <c r="DK19" s="11">
        <f>DJ19+預測IC!DK19</f>
        <v>-2.5835712738485936E-2</v>
      </c>
      <c r="DL19" s="11">
        <f>DK19+預測IC!DL19</f>
        <v>-9.6003120538355427E-2</v>
      </c>
      <c r="DM19" s="11">
        <f>DL19+預測IC!DM19</f>
        <v>-1.4050865504361049E-2</v>
      </c>
      <c r="DN19" s="11">
        <f>DM19+預測IC!DN19</f>
        <v>-1.6525988601999549E-2</v>
      </c>
      <c r="DO19" s="11">
        <f>DN19+預測IC!DO19</f>
        <v>-7.1652552001943398E-2</v>
      </c>
      <c r="DP19" s="11">
        <f>DO19+預測IC!DP19</f>
        <v>-9.9490566484937121E-2</v>
      </c>
      <c r="DQ19" s="11">
        <f>DP19+預測IC!DQ19</f>
        <v>-1.9116394646862073E-2</v>
      </c>
      <c r="DR19" s="11">
        <f>DQ19+預測IC!DR19</f>
        <v>1.4064660598344096E-2</v>
      </c>
      <c r="DS19" s="11">
        <f>DR19+預測IC!DS19</f>
        <v>0.1920602075523144</v>
      </c>
      <c r="DT19" s="11">
        <f>DS19+預測IC!DT19</f>
        <v>0.32518870817166379</v>
      </c>
      <c r="DU19" s="11">
        <f>DT19+預測IC!DU19</f>
        <v>0.46801940622610405</v>
      </c>
      <c r="DV19" s="11">
        <f>DU19+預測IC!DV19</f>
        <v>0.35649469978549952</v>
      </c>
      <c r="DW19" s="11">
        <f>DV19+預測IC!DW19</f>
        <v>0.29588556044481523</v>
      </c>
      <c r="DX19" s="11">
        <f>DW19+預測IC!DX19</f>
        <v>0.43425069468299293</v>
      </c>
      <c r="DY19" s="11">
        <f>DX19+預測IC!DY19</f>
        <v>0.36414111699506979</v>
      </c>
      <c r="DZ19" s="11">
        <f>DY19+預測IC!DZ19</f>
        <v>0.47606194585906292</v>
      </c>
      <c r="EA19" s="11">
        <f>DZ19+預測IC!EA19</f>
        <v>0.50898167305407815</v>
      </c>
      <c r="EB19" s="11">
        <f>EA19+預測IC!EB19</f>
        <v>0.61773518269233063</v>
      </c>
      <c r="EC19" s="11">
        <f>EB19+預測IC!EC19</f>
        <v>0.47396097986732155</v>
      </c>
      <c r="ED19" s="11">
        <f>EC19+預測IC!ED19</f>
        <v>0.39367572159094644</v>
      </c>
      <c r="EE19" s="11">
        <f>ED19+預測IC!EE19</f>
        <v>0.4164916074348593</v>
      </c>
      <c r="EF19" s="11">
        <f>EE19+預測IC!EF19</f>
        <v>0.39951365256009014</v>
      </c>
    </row>
    <row r="20" spans="1:136">
      <c r="A20" s="2"/>
      <c r="B20" s="2" t="s">
        <v>197</v>
      </c>
      <c r="C20" s="11">
        <v>0.20155100000000001</v>
      </c>
      <c r="D20" s="11">
        <f>C20+預測IC!D20</f>
        <v>0.58357680000000001</v>
      </c>
      <c r="E20" s="11">
        <f>D20+預測IC!E20</f>
        <v>0.64091200000000004</v>
      </c>
      <c r="F20" s="11">
        <f>E20+預測IC!F20</f>
        <v>0.82333120000000004</v>
      </c>
      <c r="G20" s="11">
        <f>F20+預測IC!G20</f>
        <v>0.9813594000000001</v>
      </c>
      <c r="H20" s="11">
        <f>G20+預測IC!H20</f>
        <v>1.1252916000000002</v>
      </c>
      <c r="I20" s="11">
        <f>H20+預測IC!I20</f>
        <v>1.1532278000000002</v>
      </c>
      <c r="J20" s="11">
        <f>I20+預測IC!J20</f>
        <v>1.0200216000000002</v>
      </c>
      <c r="K20" s="11">
        <f>J20+預測IC!K20</f>
        <v>1.0574252000000002</v>
      </c>
      <c r="L20" s="11">
        <f>K20+預測IC!L20</f>
        <v>1.0881188000000002</v>
      </c>
      <c r="M20" s="11">
        <f>L20+預測IC!M20</f>
        <v>1.0104005717087268</v>
      </c>
      <c r="N20" s="11">
        <f>M20+預測IC!N20</f>
        <v>0.84225698351918288</v>
      </c>
      <c r="O20" s="11">
        <f>N20+預測IC!O20</f>
        <v>0.89212186958845696</v>
      </c>
      <c r="P20" s="11">
        <f>O20+預測IC!P20</f>
        <v>0.93215086958845694</v>
      </c>
      <c r="Q20" s="11">
        <f>P20+預測IC!Q20</f>
        <v>1.1569774695884569</v>
      </c>
      <c r="R20" s="11">
        <f>Q20+預測IC!R20</f>
        <v>1.2234470695884569</v>
      </c>
      <c r="S20" s="11">
        <f>R20+預測IC!S20</f>
        <v>1.1661056695884569</v>
      </c>
      <c r="T20" s="11">
        <f>S20+預測IC!T20</f>
        <v>1.0652598695884568</v>
      </c>
      <c r="U20" s="11">
        <f>T20+預測IC!U20</f>
        <v>1.0789802342956341</v>
      </c>
      <c r="V20" s="11">
        <f>U20+預測IC!V20</f>
        <v>0.97546263109101661</v>
      </c>
      <c r="W20" s="11">
        <f>V20+預測IC!W20</f>
        <v>0.74901896900791509</v>
      </c>
      <c r="X20" s="11">
        <f>W20+預測IC!X20</f>
        <v>0.89906196900791513</v>
      </c>
      <c r="Y20" s="11">
        <f>X20+預測IC!Y20</f>
        <v>0.85699447946931784</v>
      </c>
      <c r="Z20" s="11">
        <f>Y20+預測IC!Z20</f>
        <v>0.75137751898565852</v>
      </c>
      <c r="AA20" s="11">
        <f>Z20+預測IC!AA20</f>
        <v>0.81834151898565854</v>
      </c>
      <c r="AB20" s="11">
        <f>AA20+預測IC!AB20</f>
        <v>0.73358167825948528</v>
      </c>
      <c r="AC20" s="11">
        <f>AB20+預測IC!AC20</f>
        <v>0.67713833261896572</v>
      </c>
      <c r="AD20" s="11">
        <f>AC20+預測IC!AD20</f>
        <v>0.80698093261896575</v>
      </c>
      <c r="AE20" s="11">
        <f>AD20+預測IC!AE20</f>
        <v>1.0062737969580637</v>
      </c>
      <c r="AF20" s="11">
        <f>AE20+預測IC!AF20</f>
        <v>0.96722911857048377</v>
      </c>
      <c r="AG20" s="11">
        <f>AF20+預測IC!AG20</f>
        <v>0.93956990003059149</v>
      </c>
      <c r="AH20" s="11">
        <f>AG20+預測IC!AH20</f>
        <v>1.0297481007453742</v>
      </c>
      <c r="AI20" s="11">
        <f>AH20+預測IC!AI20</f>
        <v>0.95159355582420568</v>
      </c>
      <c r="AJ20" s="11">
        <f>AI20+預測IC!AJ20</f>
        <v>1.0135835903717534</v>
      </c>
      <c r="AK20" s="11">
        <f>AJ20+預測IC!AK20</f>
        <v>1.0271787058677562</v>
      </c>
      <c r="AL20" s="11">
        <f>AK20+預測IC!AL20</f>
        <v>0.95428525383077922</v>
      </c>
      <c r="AM20" s="11">
        <f>AL20+預測IC!AM20</f>
        <v>0.92118927308197662</v>
      </c>
      <c r="AN20" s="11">
        <f>AM20+預測IC!AN20</f>
        <v>0.84571907956297832</v>
      </c>
      <c r="AO20" s="11">
        <f>AN20+預測IC!AO20</f>
        <v>0.80043399759828993</v>
      </c>
      <c r="AP20" s="11">
        <f>AO20+預測IC!AP20</f>
        <v>0.93216445885367771</v>
      </c>
      <c r="AQ20" s="11">
        <f>AP20+預測IC!AQ20</f>
        <v>0.90471197352072663</v>
      </c>
      <c r="AR20" s="11">
        <f>AQ20+預測IC!AR20</f>
        <v>0.73466296884180249</v>
      </c>
      <c r="AS20" s="11">
        <f>AR20+預測IC!AS20</f>
        <v>0.62256715915898553</v>
      </c>
      <c r="AT20" s="11">
        <f>AS20+預測IC!AT20</f>
        <v>0.61670838539877981</v>
      </c>
      <c r="AU20" s="11">
        <f>AT20+預測IC!AU20</f>
        <v>0.54101599850365401</v>
      </c>
      <c r="AV20" s="11">
        <f>AU20+預測IC!AV20</f>
        <v>0.59564171228613216</v>
      </c>
      <c r="AW20" s="11">
        <f>AV20+預測IC!AW20</f>
        <v>0.58877644410698116</v>
      </c>
      <c r="AX20" s="11">
        <f>AW20+預測IC!AX20</f>
        <v>0.47804389610827958</v>
      </c>
      <c r="AY20" s="11">
        <f>AX20+預測IC!AY20</f>
        <v>0.43936919766537014</v>
      </c>
      <c r="AZ20" s="11">
        <f>AY20+預測IC!AZ20</f>
        <v>0.65317162884245883</v>
      </c>
      <c r="BA20" s="11">
        <f>AZ20+預測IC!BA20</f>
        <v>0.8045096288424588</v>
      </c>
      <c r="BB20" s="11">
        <f>BA20+預測IC!BB20</f>
        <v>0.63685420546588944</v>
      </c>
      <c r="BC20" s="11">
        <f>BB20+預測IC!BC20</f>
        <v>0.56624863778814927</v>
      </c>
      <c r="BD20" s="11">
        <f>BC20+預測IC!BD20</f>
        <v>0.61967845100974661</v>
      </c>
      <c r="BE20" s="11">
        <f>BD20+預測IC!BE20</f>
        <v>0.625625248149007</v>
      </c>
      <c r="BF20" s="11">
        <f>BE20+預測IC!BF20</f>
        <v>0.61993666581767826</v>
      </c>
      <c r="BG20" s="11">
        <f>BF20+預測IC!BG20</f>
        <v>0.52587461020933801</v>
      </c>
      <c r="BH20" s="11">
        <f>BG20+預測IC!BH20</f>
        <v>0.37581730964588361</v>
      </c>
      <c r="BI20" s="11">
        <f>BH20+預測IC!BI20</f>
        <v>0.49007297538040712</v>
      </c>
      <c r="BJ20" s="11">
        <f>BI20+預測IC!BJ20</f>
        <v>0.44093319156913313</v>
      </c>
      <c r="BK20" s="11">
        <f>BJ20+預測IC!BK20</f>
        <v>0.33833490741468775</v>
      </c>
      <c r="BL20" s="11">
        <f>BK20+預測IC!BL20</f>
        <v>0.35811830741468775</v>
      </c>
      <c r="BM20" s="11">
        <f>BL20+預測IC!BM20</f>
        <v>0.22120064608624945</v>
      </c>
      <c r="BN20" s="11">
        <f>BM20+預測IC!BN20</f>
        <v>0.10264340464087805</v>
      </c>
      <c r="BO20" s="11">
        <f>BN20+預測IC!BO20</f>
        <v>0.14110512215685725</v>
      </c>
      <c r="BP20" s="11">
        <f>BO20+預測IC!BP20</f>
        <v>8.0697601393902266E-2</v>
      </c>
      <c r="BQ20" s="11">
        <f>BP20+預測IC!BQ20</f>
        <v>6.524589443305924E-2</v>
      </c>
      <c r="BR20" s="11">
        <f>BQ20+預測IC!BR20</f>
        <v>5.3172262702586653E-2</v>
      </c>
      <c r="BS20" s="11">
        <f>BR20+預測IC!BS20</f>
        <v>2.063606497773051E-2</v>
      </c>
      <c r="BT20" s="11">
        <f>BS20+預測IC!BT20</f>
        <v>7.3104664977730494E-2</v>
      </c>
      <c r="BU20" s="11">
        <f>BT20+預測IC!BU20</f>
        <v>-7.6336335022269497E-2</v>
      </c>
      <c r="BV20" s="11">
        <f>BU20+預測IC!BV20</f>
        <v>5.7373464977730493E-2</v>
      </c>
      <c r="BW20" s="11">
        <f>BV20+預測IC!BW20</f>
        <v>0.39941566497773051</v>
      </c>
      <c r="BX20" s="11">
        <f>BW20+預測IC!BX20</f>
        <v>0.36872202829448625</v>
      </c>
      <c r="BY20" s="11">
        <f>BX20+預測IC!BY20</f>
        <v>0.32553422829448625</v>
      </c>
      <c r="BZ20" s="11">
        <f>BY20+預測IC!BZ20</f>
        <v>0.51026002829448625</v>
      </c>
      <c r="CA20" s="11">
        <f>BZ20+預測IC!CA20</f>
        <v>0.56047622829448629</v>
      </c>
      <c r="CB20" s="11">
        <f>CA20+預測IC!CB20</f>
        <v>0.56058398339551463</v>
      </c>
      <c r="CC20" s="11">
        <f>CB20+預測IC!CC20</f>
        <v>0.6620133643605085</v>
      </c>
      <c r="CD20" s="11">
        <f>CC20+預測IC!CD20</f>
        <v>0.47315385181711278</v>
      </c>
      <c r="CE20" s="11">
        <f>CD20+預測IC!CE20</f>
        <v>0.3593853781974875</v>
      </c>
      <c r="CF20" s="11">
        <f>CE20+預測IC!CF20</f>
        <v>0.2281769781974875</v>
      </c>
      <c r="CG20" s="11">
        <f>CF20+預測IC!CG20</f>
        <v>0.15220673745437943</v>
      </c>
      <c r="CH20" s="11">
        <f>CG20+預測IC!CH20</f>
        <v>0.13001150843024656</v>
      </c>
      <c r="CI20" s="11">
        <f>CH20+預測IC!CI20</f>
        <v>4.4803305995171169E-2</v>
      </c>
      <c r="CJ20" s="11">
        <f>CI20+預測IC!CJ20</f>
        <v>3.2933212112424767E-3</v>
      </c>
      <c r="CK20" s="11">
        <f>CJ20+預測IC!CK20</f>
        <v>8.3882945151864036E-2</v>
      </c>
      <c r="CL20" s="11">
        <f>CK20+預測IC!CL20</f>
        <v>0.23319609578211573</v>
      </c>
      <c r="CM20" s="11">
        <f>CL20+預測IC!CM20</f>
        <v>4.414493061149502E-2</v>
      </c>
      <c r="CN20" s="11">
        <f>CM20+預測IC!CN20</f>
        <v>2.198551924101037E-2</v>
      </c>
      <c r="CO20" s="11">
        <f>CN20+預測IC!CO20</f>
        <v>0.4379568544100228</v>
      </c>
      <c r="CP20" s="11">
        <f>CO20+預測IC!CP20</f>
        <v>0.2459256493009955</v>
      </c>
      <c r="CQ20" s="11">
        <f>CP20+預測IC!CQ20</f>
        <v>0.23981429137193327</v>
      </c>
      <c r="CR20" s="11">
        <f>CQ20+預測IC!CR20</f>
        <v>0.16669804686608289</v>
      </c>
      <c r="CS20" s="11">
        <f>CR20+預測IC!CS20</f>
        <v>7.8333769853821428E-2</v>
      </c>
      <c r="CT20" s="11">
        <f>CS20+預測IC!CT20</f>
        <v>-1.2140267560444853E-2</v>
      </c>
      <c r="CU20" s="11">
        <f>CT20+預測IC!CU20</f>
        <v>8.272739070606755E-2</v>
      </c>
      <c r="CV20" s="11">
        <f>CU20+預測IC!CV20</f>
        <v>-9.7836849893585681E-3</v>
      </c>
      <c r="CW20" s="11">
        <f>CV20+預測IC!CW20</f>
        <v>-1.9736747910641207E-2</v>
      </c>
      <c r="CX20" s="11">
        <f>CW20+預測IC!CX20</f>
        <v>-0.11003529877840568</v>
      </c>
      <c r="CY20" s="11">
        <f>CX20+預測IC!CY20</f>
        <v>-9.7555566110108793E-2</v>
      </c>
      <c r="CZ20" s="11">
        <f>CY20+預測IC!CZ20</f>
        <v>-0.25271721125930713</v>
      </c>
      <c r="DA20" s="11">
        <f>CZ20+預測IC!DA20</f>
        <v>-0.20524531810412955</v>
      </c>
      <c r="DB20" s="11">
        <f>DA20+預測IC!DB20</f>
        <v>-0.14834260834699542</v>
      </c>
      <c r="DC20" s="11">
        <f>DB20+預測IC!DC20</f>
        <v>-9.872953911143964E-2</v>
      </c>
      <c r="DD20" s="11">
        <f>DC20+預測IC!DD20</f>
        <v>4.9379275227382946E-2</v>
      </c>
      <c r="DE20" s="11">
        <f>DD20+預測IC!DE20</f>
        <v>7.6129139148311487E-2</v>
      </c>
      <c r="DF20" s="11">
        <f>DE20+預測IC!DF20</f>
        <v>7.5270017615890861E-2</v>
      </c>
      <c r="DG20" s="11">
        <f>DF20+預測IC!DG20</f>
        <v>7.9472228236261558E-2</v>
      </c>
      <c r="DH20" s="11">
        <f>DG20+預測IC!DH20</f>
        <v>9.0447639978788616E-2</v>
      </c>
      <c r="DI20" s="11">
        <f>DH20+預測IC!DI20</f>
        <v>0.11332437176384108</v>
      </c>
      <c r="DJ20" s="11">
        <f>DI20+預測IC!DJ20</f>
        <v>0.15278431803272891</v>
      </c>
      <c r="DK20" s="11">
        <f>DJ20+預測IC!DK20</f>
        <v>6.7830336586674006E-2</v>
      </c>
      <c r="DL20" s="11">
        <f>DK20+預測IC!DL20</f>
        <v>-7.9962995918685248E-3</v>
      </c>
      <c r="DM20" s="11">
        <f>DL20+預測IC!DM20</f>
        <v>-1.72799498713056E-2</v>
      </c>
      <c r="DN20" s="11">
        <f>DM20+預測IC!DN20</f>
        <v>-7.5299156525504771E-2</v>
      </c>
      <c r="DO20" s="11">
        <f>DN20+預測IC!DO20</f>
        <v>-0.14111495836347515</v>
      </c>
      <c r="DP20" s="11">
        <f>DO20+預測IC!DP20</f>
        <v>-0.15094548975436245</v>
      </c>
      <c r="DQ20" s="11">
        <f>DP20+預測IC!DQ20</f>
        <v>-9.3485308129662367E-2</v>
      </c>
      <c r="DR20" s="11">
        <f>DQ20+預測IC!DR20</f>
        <v>-5.2764243007897421E-3</v>
      </c>
      <c r="DS20" s="11">
        <f>DR20+預測IC!DS20</f>
        <v>0.20080467327756496</v>
      </c>
      <c r="DT20" s="11">
        <f>DS20+預測IC!DT20</f>
        <v>0.33424065789970325</v>
      </c>
      <c r="DU20" s="11">
        <f>DT20+預測IC!DU20</f>
        <v>0.50630976510557268</v>
      </c>
      <c r="DV20" s="11">
        <f>DU20+預測IC!DV20</f>
        <v>0.37696429326671399</v>
      </c>
      <c r="DW20" s="11">
        <f>DV20+預測IC!DW20</f>
        <v>0.30790408930867441</v>
      </c>
      <c r="DX20" s="11">
        <f>DW20+預測IC!DX20</f>
        <v>0.4617704189149891</v>
      </c>
      <c r="DY20" s="11">
        <f>DX20+預測IC!DY20</f>
        <v>0.40815180956334035</v>
      </c>
      <c r="DZ20" s="11">
        <f>DY20+預測IC!DZ20</f>
        <v>0.49262638787303248</v>
      </c>
      <c r="EA20" s="11">
        <f>DZ20+預測IC!EA20</f>
        <v>0.48670078859969818</v>
      </c>
      <c r="EB20" s="11">
        <f>EA20+預測IC!EB20</f>
        <v>0.56910793104411783</v>
      </c>
      <c r="EC20" s="11">
        <f>EB20+預測IC!EC20</f>
        <v>0.43810178528205035</v>
      </c>
      <c r="ED20" s="11">
        <f>EC20+預測IC!ED20</f>
        <v>0.3802742210818516</v>
      </c>
      <c r="EE20" s="11">
        <f>ED20+預測IC!EE20</f>
        <v>0.40029180837887041</v>
      </c>
      <c r="EF20" s="11">
        <f>EE20+預測IC!EF20</f>
        <v>0.38001039176296314</v>
      </c>
    </row>
    <row r="21" spans="1:136">
      <c r="A21" s="2"/>
      <c r="B21" s="2" t="s">
        <v>198</v>
      </c>
      <c r="C21" s="11">
        <v>0.2146305</v>
      </c>
      <c r="D21" s="11">
        <f>C21+預測IC!D21</f>
        <v>0.34101950000000003</v>
      </c>
      <c r="E21" s="11">
        <f>D21+預測IC!E21</f>
        <v>0.32732800000000001</v>
      </c>
      <c r="F21" s="11">
        <f>E21+預測IC!F21</f>
        <v>0.53074100000000002</v>
      </c>
      <c r="G21" s="11">
        <f>F21+預測IC!G21</f>
        <v>0.67607300000000004</v>
      </c>
      <c r="H21" s="11">
        <f>G21+預測IC!H21</f>
        <v>0.83823700000000001</v>
      </c>
      <c r="I21" s="11">
        <f>H21+預測IC!I21</f>
        <v>0.85234900000000002</v>
      </c>
      <c r="J21" s="11">
        <f>I21+預測IC!J21</f>
        <v>0.71560750000000006</v>
      </c>
      <c r="K21" s="11">
        <f>J21+預測IC!K21</f>
        <v>0.71707750000000003</v>
      </c>
      <c r="L21" s="11">
        <f>K21+預測IC!L21</f>
        <v>0.71204650000000003</v>
      </c>
      <c r="M21" s="11">
        <f>L21+預測IC!M21</f>
        <v>0.6123619065917888</v>
      </c>
      <c r="N21" s="11">
        <f>M21+預測IC!N21</f>
        <v>0.47331123073098902</v>
      </c>
      <c r="O21" s="11">
        <f>N21+預測IC!O21</f>
        <v>0.50766322019167964</v>
      </c>
      <c r="P21" s="11">
        <f>O21+預測IC!P21</f>
        <v>0.55309097019167963</v>
      </c>
      <c r="Q21" s="11">
        <f>P21+預測IC!Q21</f>
        <v>0.82717672019167965</v>
      </c>
      <c r="R21" s="11">
        <f>Q21+預測IC!R21</f>
        <v>0.91208197019167969</v>
      </c>
      <c r="S21" s="11">
        <f>R21+預測IC!S21</f>
        <v>0.87552022019167974</v>
      </c>
      <c r="T21" s="11">
        <f>S21+預測IC!T21</f>
        <v>0.74440022019167973</v>
      </c>
      <c r="U21" s="11">
        <f>T21+預測IC!U21</f>
        <v>0.66418448438522071</v>
      </c>
      <c r="V21" s="11">
        <f>U21+預測IC!V21</f>
        <v>0.5588137139958661</v>
      </c>
      <c r="W21" s="11">
        <f>V21+預測IC!W21</f>
        <v>0.23589316530767918</v>
      </c>
      <c r="X21" s="11">
        <f>W21+預測IC!X21</f>
        <v>0.44369416530767919</v>
      </c>
      <c r="Y21" s="11">
        <f>X21+預測IC!Y21</f>
        <v>0.42286108241524434</v>
      </c>
      <c r="Z21" s="11">
        <f>Y21+預測IC!Z21</f>
        <v>0.30865709519251983</v>
      </c>
      <c r="AA21" s="11">
        <f>Z21+預測IC!AA21</f>
        <v>0.33669259519251982</v>
      </c>
      <c r="AB21" s="11">
        <f>AA21+預測IC!AB21</f>
        <v>0.20685301279545001</v>
      </c>
      <c r="AC21" s="11">
        <f>AB21+預測IC!AC21</f>
        <v>0.13255188300342763</v>
      </c>
      <c r="AD21" s="11">
        <f>AC21+預測IC!AD21</f>
        <v>0.26137638300342764</v>
      </c>
      <c r="AE21" s="11">
        <f>AD21+預測IC!AE21</f>
        <v>0.5018324934966143</v>
      </c>
      <c r="AF21" s="11">
        <f>AE21+預測IC!AF21</f>
        <v>0.44870688361005129</v>
      </c>
      <c r="AG21" s="11">
        <f>AF21+預測IC!AG21</f>
        <v>0.40440410582025721</v>
      </c>
      <c r="AH21" s="11">
        <f>AG21+預測IC!AH21</f>
        <v>0.51198546838505554</v>
      </c>
      <c r="AI21" s="11">
        <f>AH21+預測IC!AI21</f>
        <v>0.43239125905176445</v>
      </c>
      <c r="AJ21" s="11">
        <f>AI21+預測IC!AJ21</f>
        <v>0.5027966009982332</v>
      </c>
      <c r="AK21" s="11">
        <f>AJ21+預測IC!AK21</f>
        <v>0.53859976861634329</v>
      </c>
      <c r="AL21" s="11">
        <f>AK21+預測IC!AL21</f>
        <v>0.47321994588323268</v>
      </c>
      <c r="AM21" s="11">
        <f>AL21+預測IC!AM21</f>
        <v>0.40468413843560214</v>
      </c>
      <c r="AN21" s="11">
        <f>AM21+預測IC!AN21</f>
        <v>0.2927280823725078</v>
      </c>
      <c r="AO21" s="11">
        <f>AN21+預測IC!AO21</f>
        <v>0.24500168672878114</v>
      </c>
      <c r="AP21" s="11">
        <f>AO21+預測IC!AP21</f>
        <v>0.31753683029880031</v>
      </c>
      <c r="AQ21" s="11">
        <f>AP21+預測IC!AQ21</f>
        <v>0.24067132328825269</v>
      </c>
      <c r="AR21" s="11">
        <f>AQ21+預測IC!AR21</f>
        <v>3.5489045057771479E-2</v>
      </c>
      <c r="AS21" s="11">
        <f>AR21+預測IC!AS21</f>
        <v>-2.8966823588857882E-2</v>
      </c>
      <c r="AT21" s="11">
        <f>AS21+預測IC!AT21</f>
        <v>-2.6473912311702819E-2</v>
      </c>
      <c r="AU21" s="11">
        <f>AT21+預測IC!AU21</f>
        <v>-7.4283543820659853E-2</v>
      </c>
      <c r="AV21" s="11">
        <f>AU21+預測IC!AV21</f>
        <v>-1.8762763758526133E-2</v>
      </c>
      <c r="AW21" s="11">
        <f>AV21+預測IC!AW21</f>
        <v>-2.8553793712623534E-2</v>
      </c>
      <c r="AX21" s="11">
        <f>AW21+預測IC!AX21</f>
        <v>-0.17170148118238024</v>
      </c>
      <c r="AY21" s="11">
        <f>AX21+預測IC!AY21</f>
        <v>-0.21872277216041824</v>
      </c>
      <c r="AZ21" s="11">
        <f>AY21+預測IC!AZ21</f>
        <v>3.6188497736718173E-2</v>
      </c>
      <c r="BA21" s="11">
        <f>AZ21+預測IC!BA21</f>
        <v>0.17578099773671818</v>
      </c>
      <c r="BB21" s="11">
        <f>BA21+預測IC!BB21</f>
        <v>-4.9565137301620016E-2</v>
      </c>
      <c r="BC21" s="11">
        <f>BB21+預測IC!BC21</f>
        <v>-8.7886285026813879E-2</v>
      </c>
      <c r="BD21" s="11">
        <f>BC21+預測IC!BD21</f>
        <v>-6.6135421656185966E-2</v>
      </c>
      <c r="BE21" s="11">
        <f>BD21+預測IC!BE21</f>
        <v>-7.2485955053587445E-2</v>
      </c>
      <c r="BF21" s="11">
        <f>BE21+預測IC!BF21</f>
        <v>-7.6063055234022126E-2</v>
      </c>
      <c r="BG21" s="11">
        <f>BF21+預測IC!BG21</f>
        <v>-0.16834862674127576</v>
      </c>
      <c r="BH21" s="11">
        <f>BG21+預測IC!BH21</f>
        <v>-0.27519073637870595</v>
      </c>
      <c r="BI21" s="11">
        <f>BH21+預測IC!BI21</f>
        <v>-0.12131609028644924</v>
      </c>
      <c r="BJ21" s="11">
        <f>BI21+預測IC!BJ21</f>
        <v>-0.1532986046974413</v>
      </c>
      <c r="BK21" s="11">
        <f>BJ21+預測IC!BK21</f>
        <v>-0.23627176658750715</v>
      </c>
      <c r="BL21" s="11">
        <f>BK21+預測IC!BL21</f>
        <v>-0.23251876658750714</v>
      </c>
      <c r="BM21" s="11">
        <f>BL21+預測IC!BM21</f>
        <v>-0.38763877050860696</v>
      </c>
      <c r="BN21" s="11">
        <f>BM21+預測IC!BN21</f>
        <v>-0.451286718500855</v>
      </c>
      <c r="BO21" s="11">
        <f>BN21+預測IC!BO21</f>
        <v>-0.38742948208717476</v>
      </c>
      <c r="BP21" s="11">
        <f>BO21+預測IC!BP21</f>
        <v>-0.49193861150658907</v>
      </c>
      <c r="BQ21" s="11">
        <f>BP21+預測IC!BQ21</f>
        <v>-0.54648084234109395</v>
      </c>
      <c r="BR21" s="11">
        <f>BQ21+預測IC!BR21</f>
        <v>-0.55880470452495834</v>
      </c>
      <c r="BS21" s="11">
        <f>BR21+預測IC!BS21</f>
        <v>-0.62454652548530576</v>
      </c>
      <c r="BT21" s="11">
        <f>BS21+預測IC!BT21</f>
        <v>-0.56372452548530583</v>
      </c>
      <c r="BU21" s="11">
        <f>BT21+預測IC!BU21</f>
        <v>-0.73446252548530588</v>
      </c>
      <c r="BV21" s="11">
        <f>BU21+預測IC!BV21</f>
        <v>-0.71522227548530593</v>
      </c>
      <c r="BW21" s="11">
        <f>BV21+預測IC!BW21</f>
        <v>-0.3130920254853059</v>
      </c>
      <c r="BX21" s="11">
        <f>BW21+預測IC!BX21</f>
        <v>-0.31010120620089199</v>
      </c>
      <c r="BY21" s="11">
        <f>BX21+預測IC!BY21</f>
        <v>-0.325020956200892</v>
      </c>
      <c r="BZ21" s="11">
        <f>BY21+預測IC!BZ21</f>
        <v>-7.3618456200892024E-2</v>
      </c>
      <c r="CA21" s="11">
        <f>BZ21+預測IC!CA21</f>
        <v>2.1441543799107982E-2</v>
      </c>
      <c r="CB21" s="11">
        <f>CA21+預測IC!CB21</f>
        <v>-5.2024555605821171E-2</v>
      </c>
      <c r="CC21" s="11">
        <f>CB21+預測IC!CC21</f>
        <v>1.2830223336329077E-3</v>
      </c>
      <c r="CD21" s="11">
        <f>CC21+預測IC!CD21</f>
        <v>-0.14950536786864776</v>
      </c>
      <c r="CE21" s="11">
        <f>CD21+預測IC!CE21</f>
        <v>-0.29488032831263589</v>
      </c>
      <c r="CF21" s="11">
        <f>CE21+預測IC!CF21</f>
        <v>-0.42204832831263589</v>
      </c>
      <c r="CG21" s="11">
        <f>CF21+預測IC!CG21</f>
        <v>-0.50713366378676694</v>
      </c>
      <c r="CH21" s="11">
        <f>CG21+預測IC!CH21</f>
        <v>-0.66376010441373556</v>
      </c>
      <c r="CI21" s="11">
        <f>CH21+預測IC!CI21</f>
        <v>-0.7369428314887343</v>
      </c>
      <c r="CJ21" s="11">
        <f>CI21+預測IC!CJ21</f>
        <v>-0.79208368004989138</v>
      </c>
      <c r="CK21" s="11">
        <f>CJ21+預測IC!CK21</f>
        <v>-0.7249240497530357</v>
      </c>
      <c r="CL21" s="11">
        <f>CK21+預測IC!CL21</f>
        <v>-0.53749092821230882</v>
      </c>
      <c r="CM21" s="11">
        <f>CL21+預測IC!CM21</f>
        <v>-0.76299391661568006</v>
      </c>
      <c r="CN21" s="11">
        <f>CM21+預測IC!CN21</f>
        <v>-0.7935328068194557</v>
      </c>
      <c r="CO21" s="11">
        <f>CN21+預測IC!CO21</f>
        <v>-0.27866755822186307</v>
      </c>
      <c r="CP21" s="11">
        <f>CO21+預測IC!CP21</f>
        <v>-0.50136761909977579</v>
      </c>
      <c r="CQ21" s="11">
        <f>CP21+預測IC!CQ21</f>
        <v>-0.5046557108248666</v>
      </c>
      <c r="CR21" s="11">
        <f>CQ21+預測IC!CR21</f>
        <v>-0.59547998880454633</v>
      </c>
      <c r="CS21" s="11">
        <f>CR21+預測IC!CS21</f>
        <v>-0.66512638495131804</v>
      </c>
      <c r="CT21" s="11">
        <f>CS21+預測IC!CT21</f>
        <v>-0.74741925780565699</v>
      </c>
      <c r="CU21" s="11">
        <f>CT21+預測IC!CU21</f>
        <v>-0.68474569763616566</v>
      </c>
      <c r="CV21" s="11">
        <f>CU21+預測IC!CV21</f>
        <v>-0.78297132965755256</v>
      </c>
      <c r="CW21" s="11">
        <f>CV21+預測IC!CW21</f>
        <v>-0.84797674693854119</v>
      </c>
      <c r="CX21" s="11">
        <f>CW21+預測IC!CX21</f>
        <v>-0.9500989225959483</v>
      </c>
      <c r="CY21" s="11">
        <f>CX21+預測IC!CY21</f>
        <v>-0.94161700619203381</v>
      </c>
      <c r="CZ21" s="11">
        <f>CY21+預測IC!CZ21</f>
        <v>-1.179068377017864</v>
      </c>
      <c r="DA21" s="11">
        <f>CZ21+預測IC!DA21</f>
        <v>-1.1802606334745958</v>
      </c>
      <c r="DB21" s="11">
        <f>DA21+預測IC!DB21</f>
        <v>-1.1286361997984411</v>
      </c>
      <c r="DC21" s="11">
        <f>DB21+預測IC!DC21</f>
        <v>-1.0835886405751505</v>
      </c>
      <c r="DD21" s="11">
        <f>DC21+預測IC!DD21</f>
        <v>-1.2049113294437994</v>
      </c>
      <c r="DE21" s="11">
        <f>DD21+預測IC!DE21</f>
        <v>-1.2171494380321184</v>
      </c>
      <c r="DF21" s="11">
        <f>DE21+預測IC!DF21</f>
        <v>-1.2387103187299933</v>
      </c>
      <c r="DG21" s="11">
        <f>DF21+預測IC!DG21</f>
        <v>-1.2465566968585267</v>
      </c>
      <c r="DH21" s="11">
        <f>DG21+預測IC!DH21</f>
        <v>-1.2606335170709813</v>
      </c>
      <c r="DI21" s="11">
        <f>DH21+預測IC!DI21</f>
        <v>-1.2950409953511608</v>
      </c>
      <c r="DJ21" s="11">
        <f>DI21+預測IC!DJ21</f>
        <v>-1.2571296821606006</v>
      </c>
      <c r="DK21" s="11">
        <f>DJ21+預測IC!DK21</f>
        <v>-1.3966323889795051</v>
      </c>
      <c r="DL21" s="11">
        <f>DK21+預測IC!DL21</f>
        <v>-1.4949973278188817</v>
      </c>
      <c r="DM21" s="11">
        <f>DL21+預測IC!DM21</f>
        <v>-1.4651632081766415</v>
      </c>
      <c r="DN21" s="11">
        <f>DM21+預測IC!DN21</f>
        <v>-1.5363608206706345</v>
      </c>
      <c r="DO21" s="11">
        <f>DN21+預測IC!DO21</f>
        <v>-1.6188066130013143</v>
      </c>
      <c r="DP21" s="11">
        <f>DO21+預測IC!DP21</f>
        <v>-1.6430727680948805</v>
      </c>
      <c r="DQ21" s="11">
        <f>DP21+預測IC!DQ21</f>
        <v>-1.5726500692866971</v>
      </c>
      <c r="DR21" s="11">
        <f>DQ21+預測IC!DR21</f>
        <v>-1.4562525549938463</v>
      </c>
      <c r="DS21" s="11">
        <f>DR21+預測IC!DS21</f>
        <v>-1.2554130811565507</v>
      </c>
      <c r="DT21" s="11">
        <f>DS21+預測IC!DT21</f>
        <v>-1.0848422784710898</v>
      </c>
      <c r="DU21" s="11">
        <f>DT21+預測IC!DU21</f>
        <v>-1.0567519844747111</v>
      </c>
      <c r="DV21" s="11">
        <f>DU21+預測IC!DV21</f>
        <v>-1.1970279613445891</v>
      </c>
      <c r="DW21" s="11">
        <f>DV21+預測IC!DW21</f>
        <v>-1.3252758300087102</v>
      </c>
      <c r="DX21" s="11">
        <f>DW21+預測IC!DX21</f>
        <v>-1.1393096159775267</v>
      </c>
      <c r="DY21" s="11">
        <f>DX21+預測IC!DY21</f>
        <v>-1.1639056115155426</v>
      </c>
      <c r="DZ21" s="11">
        <f>DY21+預測IC!DZ21</f>
        <v>-1.1110615449552537</v>
      </c>
      <c r="EA21" s="11">
        <f>DZ21+預測IC!EA21</f>
        <v>-1.1461280021404903</v>
      </c>
      <c r="EB21" s="11">
        <f>EA21+預測IC!EB21</f>
        <v>-1.1198258081419563</v>
      </c>
      <c r="EC21" s="11">
        <f>EB21+預測IC!EC21</f>
        <v>-1.2599198260941822</v>
      </c>
      <c r="ED21" s="11">
        <f>EC21+預測IC!ED21</f>
        <v>-1.1307646227569959</v>
      </c>
      <c r="EE21" s="11">
        <f>ED21+預測IC!EE21</f>
        <v>-1.1417205681638702</v>
      </c>
      <c r="EF21" s="11">
        <f>EE21+預測IC!EF21</f>
        <v>-1.1229493041217511</v>
      </c>
    </row>
    <row r="22" spans="1:136">
      <c r="A22" s="2"/>
      <c r="B22" s="2" t="s">
        <v>199</v>
      </c>
      <c r="C22" s="11">
        <v>0.20528266666666661</v>
      </c>
      <c r="D22" s="11">
        <f>C22+預測IC!D22</f>
        <v>0.34771199999999991</v>
      </c>
      <c r="E22" s="11">
        <f>D22+預測IC!E22</f>
        <v>0.33035533333333322</v>
      </c>
      <c r="F22" s="11">
        <f>E22+預測IC!F22</f>
        <v>0.19048733333333323</v>
      </c>
      <c r="G22" s="11">
        <f>F22+預測IC!G22</f>
        <v>0.42343266666666662</v>
      </c>
      <c r="H22" s="11">
        <f>G22+預測IC!H22</f>
        <v>0.54761066666666658</v>
      </c>
      <c r="I22" s="11">
        <f>H22+預測IC!I22</f>
        <v>0.56504999999999994</v>
      </c>
      <c r="J22" s="11">
        <f>I22+預測IC!J22</f>
        <v>0.46079799999999993</v>
      </c>
      <c r="K22" s="11">
        <f>J22+預測IC!K22</f>
        <v>0.48945466666666659</v>
      </c>
      <c r="L22" s="11">
        <f>K22+預測IC!L22</f>
        <v>0.50372666666666666</v>
      </c>
      <c r="M22" s="11">
        <f>L22+預測IC!M22</f>
        <v>0.42962660789609408</v>
      </c>
      <c r="N22" s="11">
        <f>M22+預測IC!N22</f>
        <v>0.33159574708846129</v>
      </c>
      <c r="O22" s="11">
        <f>N22+預測IC!O22</f>
        <v>0.32487986877709379</v>
      </c>
      <c r="P22" s="11">
        <f>O22+預測IC!P22</f>
        <v>0.41551020211042711</v>
      </c>
      <c r="Q22" s="11">
        <f>P22+預測IC!Q22</f>
        <v>0.54278486877709375</v>
      </c>
      <c r="R22" s="11">
        <f>Q22+預測IC!R22</f>
        <v>0.60948253544376041</v>
      </c>
      <c r="S22" s="11">
        <f>R22+預測IC!S22</f>
        <v>0.5702502021104271</v>
      </c>
      <c r="T22" s="11">
        <f>S22+預測IC!T22</f>
        <v>0.4654022021104271</v>
      </c>
      <c r="U22" s="11">
        <f>T22+預測IC!U22</f>
        <v>0.31337301933588368</v>
      </c>
      <c r="V22" s="11">
        <f>U22+預測IC!V22</f>
        <v>0.256348884701594</v>
      </c>
      <c r="W22" s="11">
        <f>V22+預測IC!W22</f>
        <v>-8.9844600597654589E-2</v>
      </c>
      <c r="X22" s="11">
        <f>W22+預測IC!X22</f>
        <v>0.1673573994023454</v>
      </c>
      <c r="Y22" s="11">
        <f>X22+預測IC!Y22</f>
        <v>0.15162519098882435</v>
      </c>
      <c r="Z22" s="11">
        <f>Y22+預測IC!Z22</f>
        <v>7.6076921842978304E-2</v>
      </c>
      <c r="AA22" s="11">
        <f>Z22+預測IC!AA22</f>
        <v>0.194199588509645</v>
      </c>
      <c r="AB22" s="11">
        <f>AA22+預測IC!AB22</f>
        <v>5.976337579631949E-2</v>
      </c>
      <c r="AC22" s="11">
        <f>AB22+預測IC!AC22</f>
        <v>-1.4657005044107899E-2</v>
      </c>
      <c r="AD22" s="11">
        <f>AC22+預測IC!AD22</f>
        <v>-1.0856717107745693E-3</v>
      </c>
      <c r="AE22" s="11">
        <f>AD22+預測IC!AE22</f>
        <v>0.22753543989559963</v>
      </c>
      <c r="AF22" s="11">
        <f>AE22+預測IC!AF22</f>
        <v>0.1803531237375755</v>
      </c>
      <c r="AG22" s="11">
        <f>AF22+預測IC!AG22</f>
        <v>0.12751158356184161</v>
      </c>
      <c r="AH22" s="11">
        <f>AG22+預測IC!AH22</f>
        <v>0.23337754298231431</v>
      </c>
      <c r="AI22" s="11">
        <f>AH22+預測IC!AI22</f>
        <v>0.13923628232492827</v>
      </c>
      <c r="AJ22" s="11">
        <f>AI22+預測IC!AJ22</f>
        <v>0.17093613165133653</v>
      </c>
      <c r="AK22" s="11">
        <f>AJ22+預測IC!AK22</f>
        <v>6.9647570910940829E-2</v>
      </c>
      <c r="AL22" s="11">
        <f>AK22+預測IC!AL22</f>
        <v>2.9306604104040422E-2</v>
      </c>
      <c r="AM22" s="11">
        <f>AL22+預測IC!AM22</f>
        <v>-5.4782299363663141E-2</v>
      </c>
      <c r="AN22" s="11">
        <f>AM22+預測IC!AN22</f>
        <v>-0.16591510902722245</v>
      </c>
      <c r="AO22" s="11">
        <f>AN22+預測IC!AO22</f>
        <v>-0.24063248242092805</v>
      </c>
      <c r="AP22" s="11">
        <f>AO22+預測IC!AP22</f>
        <v>-0.17809612853293535</v>
      </c>
      <c r="AQ22" s="11">
        <f>AP22+預測IC!AQ22</f>
        <v>-0.25752224601152851</v>
      </c>
      <c r="AR22" s="11">
        <f>AQ22+預測IC!AR22</f>
        <v>-0.50805492416991094</v>
      </c>
      <c r="AS22" s="11">
        <f>AR22+預測IC!AS22</f>
        <v>-0.59086536306846094</v>
      </c>
      <c r="AT22" s="11">
        <f>AS22+預測IC!AT22</f>
        <v>-0.56572900122843461</v>
      </c>
      <c r="AU22" s="11">
        <f>AT22+預測IC!AU22</f>
        <v>-0.59922945313930454</v>
      </c>
      <c r="AV22" s="11">
        <f>AU22+預測IC!AV22</f>
        <v>-0.5394162764634246</v>
      </c>
      <c r="AW22" s="11">
        <f>AV22+預測IC!AW22</f>
        <v>-0.50926688725641567</v>
      </c>
      <c r="AX22" s="11">
        <f>AW22+預測IC!AX22</f>
        <v>-0.68303028723643988</v>
      </c>
      <c r="AY22" s="11">
        <f>AX22+預測IC!AY22</f>
        <v>-0.75476367257067045</v>
      </c>
      <c r="AZ22" s="11">
        <f>AY22+預測IC!AZ22</f>
        <v>-0.59985989424951836</v>
      </c>
      <c r="BA22" s="11">
        <f>AZ22+預測IC!BA22</f>
        <v>-0.55008522758285172</v>
      </c>
      <c r="BB22" s="11">
        <f>BA22+預測IC!BB22</f>
        <v>-0.85201517212327471</v>
      </c>
      <c r="BC22" s="11">
        <f>BB22+預測IC!BC22</f>
        <v>-0.72117823400031955</v>
      </c>
      <c r="BD22" s="11">
        <f>BC22+預測IC!BD22</f>
        <v>-0.69900405253449138</v>
      </c>
      <c r="BE22" s="11">
        <f>BD22+預測IC!BE22</f>
        <v>-0.72122023592897189</v>
      </c>
      <c r="BF22" s="11">
        <f>BE22+預測IC!BF22</f>
        <v>-0.73485905326729151</v>
      </c>
      <c r="BG22" s="11">
        <f>BF22+預測IC!BG22</f>
        <v>-0.69362758411451109</v>
      </c>
      <c r="BH22" s="11">
        <f>BG22+預測IC!BH22</f>
        <v>-0.8213345935109273</v>
      </c>
      <c r="BI22" s="11">
        <f>BH22+預測IC!BI22</f>
        <v>-0.73401653433375158</v>
      </c>
      <c r="BJ22" s="11">
        <f>BI22+預測IC!BJ22</f>
        <v>-0.72378255888464804</v>
      </c>
      <c r="BK22" s="11">
        <f>BJ22+預測IC!BK22</f>
        <v>-0.74463731421441459</v>
      </c>
      <c r="BL22" s="11">
        <f>BK22+預測IC!BL22</f>
        <v>-0.7267733142144146</v>
      </c>
      <c r="BM22" s="11">
        <f>BL22+預測IC!BM22</f>
        <v>-0.91857035367046169</v>
      </c>
      <c r="BN22" s="11">
        <f>BM22+預測IC!BN22</f>
        <v>-0.90324280164741944</v>
      </c>
      <c r="BO22" s="11">
        <f>BN22+預測IC!BO22</f>
        <v>-0.85275837253466902</v>
      </c>
      <c r="BP22" s="11">
        <f>BO22+預測IC!BP22</f>
        <v>-0.92759392268977536</v>
      </c>
      <c r="BQ22" s="11">
        <f>BP22+預測IC!BQ22</f>
        <v>-0.95542402008808791</v>
      </c>
      <c r="BR22" s="11">
        <f>BQ22+預測IC!BR22</f>
        <v>-0.97623762955454085</v>
      </c>
      <c r="BS22" s="11">
        <f>BR22+預測IC!BS22</f>
        <v>-1.0732852192590858</v>
      </c>
      <c r="BT22" s="11">
        <f>BS22+預測IC!BT22</f>
        <v>-1.1620095525924192</v>
      </c>
      <c r="BU22" s="11">
        <f>BT22+預測IC!BU22</f>
        <v>-1.2663605525924193</v>
      </c>
      <c r="BV22" s="11">
        <f>BU22+預測IC!BV22</f>
        <v>-1.2656798859257525</v>
      </c>
      <c r="BW22" s="11">
        <f>BV22+預測IC!BW22</f>
        <v>-0.83796455259241931</v>
      </c>
      <c r="BX22" s="11">
        <f>BW22+預測IC!BX22</f>
        <v>-0.87460199828439167</v>
      </c>
      <c r="BY22" s="11">
        <f>BX22+預測IC!BY22</f>
        <v>-0.8422516649510583</v>
      </c>
      <c r="BZ22" s="11">
        <f>BY22+預測IC!BZ22</f>
        <v>-0.56262166495105825</v>
      </c>
      <c r="CA22" s="11">
        <f>BZ22+預測IC!CA22</f>
        <v>-0.41854133161772494</v>
      </c>
      <c r="CB22" s="11">
        <f>CA22+預測IC!CB22</f>
        <v>-0.48214560115741378</v>
      </c>
      <c r="CC22" s="11">
        <f>CB22+預測IC!CC22</f>
        <v>-0.50457706691039916</v>
      </c>
      <c r="CD22" s="11">
        <f>CC22+預測IC!CD22</f>
        <v>-0.82034872711324813</v>
      </c>
      <c r="CE22" s="11">
        <f>CD22+預測IC!CE22</f>
        <v>-0.95429115816443977</v>
      </c>
      <c r="CF22" s="11">
        <f>CE22+預測IC!CF22</f>
        <v>-1.1098618248311063</v>
      </c>
      <c r="CG22" s="11">
        <f>CF22+預測IC!CG22</f>
        <v>-1.3169471574646192</v>
      </c>
      <c r="CH22" s="11">
        <f>CG22+預測IC!CH22</f>
        <v>-1.4705534422741624</v>
      </c>
      <c r="CI22" s="11">
        <f>CH22+預測IC!CI22</f>
        <v>-1.5351707650845365</v>
      </c>
      <c r="CJ22" s="11">
        <f>CI22+預測IC!CJ22</f>
        <v>-1.6614961243631239</v>
      </c>
      <c r="CK22" s="11">
        <f>CJ22+預測IC!CK22</f>
        <v>-1.5505725840763418</v>
      </c>
      <c r="CL22" s="11">
        <f>CK22+預測IC!CL22</f>
        <v>-1.4555755720527963</v>
      </c>
      <c r="CM22" s="11">
        <f>CL22+預測IC!CM22</f>
        <v>-1.7760075757106217</v>
      </c>
      <c r="CN22" s="11">
        <f>CM22+預測IC!CN22</f>
        <v>-1.7674608038897144</v>
      </c>
      <c r="CO22" s="11">
        <f>CN22+預測IC!CO22</f>
        <v>-1.1175043356405587</v>
      </c>
      <c r="CP22" s="11">
        <f>CO22+預測IC!CP22</f>
        <v>-1.3769128926099612</v>
      </c>
      <c r="CQ22" s="11">
        <f>CP22+預測IC!CQ22</f>
        <v>-1.3645791132842966</v>
      </c>
      <c r="CR22" s="11">
        <f>CQ22+預測IC!CR22</f>
        <v>-1.5264295345856886</v>
      </c>
      <c r="CS22" s="11">
        <f>CR22+預測IC!CS22</f>
        <v>-1.5112273510642658</v>
      </c>
      <c r="CT22" s="11">
        <f>CS22+預測IC!CT22</f>
        <v>-1.5694598724202511</v>
      </c>
      <c r="CU22" s="11">
        <f>CT22+預測IC!CU22</f>
        <v>-1.4492281604561532</v>
      </c>
      <c r="CV22" s="11">
        <f>CU22+預測IC!CV22</f>
        <v>-1.5614618556632074</v>
      </c>
      <c r="CW22" s="11">
        <f>CV22+預測IC!CW22</f>
        <v>-1.5979131089893726</v>
      </c>
      <c r="CX22" s="11">
        <f>CW22+預測IC!CX22</f>
        <v>-1.6016627022572214</v>
      </c>
      <c r="CY22" s="11">
        <f>CX22+預測IC!CY22</f>
        <v>-1.5936738764837122</v>
      </c>
      <c r="CZ22" s="11">
        <f>CY22+預測IC!CZ22</f>
        <v>-1.8565943610829514</v>
      </c>
      <c r="DA22" s="11">
        <f>CZ22+預測IC!DA22</f>
        <v>-1.8526026072010273</v>
      </c>
      <c r="DB22" s="11">
        <f>DA22+預測IC!DB22</f>
        <v>-1.7942191003725352</v>
      </c>
      <c r="DC22" s="11">
        <f>DB22+預測IC!DC22</f>
        <v>-1.7734943159283776</v>
      </c>
      <c r="DD22" s="11">
        <f>DC22+預測IC!DD22</f>
        <v>-1.9213884185011811</v>
      </c>
      <c r="DE22" s="11">
        <f>DD22+預測IC!DE22</f>
        <v>-1.9158966605192309</v>
      </c>
      <c r="DF22" s="11">
        <f>DE22+預測IC!DF22</f>
        <v>-1.9329284357927841</v>
      </c>
      <c r="DG22" s="11">
        <f>DF22+預測IC!DG22</f>
        <v>-1.9649134788736717</v>
      </c>
      <c r="DH22" s="11">
        <f>DG22+預測IC!DH22</f>
        <v>-1.9788588250571757</v>
      </c>
      <c r="DI22" s="11">
        <f>DH22+預測IC!DI22</f>
        <v>-2.0424198243194249</v>
      </c>
      <c r="DJ22" s="11">
        <f>DI22+預測IC!DJ22</f>
        <v>-1.9921738184863291</v>
      </c>
      <c r="DK22" s="11">
        <f>DJ22+預測IC!DK22</f>
        <v>-2.1713085323091694</v>
      </c>
      <c r="DL22" s="11">
        <f>DK22+預測IC!DL22</f>
        <v>-2.2962501800465525</v>
      </c>
      <c r="DM22" s="11">
        <f>DL22+預測IC!DM22</f>
        <v>-2.2327841290085191</v>
      </c>
      <c r="DN22" s="11">
        <f>DM22+預測IC!DN22</f>
        <v>-2.2795474572125265</v>
      </c>
      <c r="DO22" s="11">
        <f>DN22+預測IC!DO22</f>
        <v>-2.4029849585241645</v>
      </c>
      <c r="DP22" s="11">
        <f>DO22+預測IC!DP22</f>
        <v>-2.4132122163770684</v>
      </c>
      <c r="DQ22" s="11">
        <f>DP22+預測IC!DQ22</f>
        <v>-2.2478080498324284</v>
      </c>
      <c r="DR22" s="11">
        <f>DQ22+預測IC!DR22</f>
        <v>-2.1181773367290795</v>
      </c>
      <c r="DS22" s="11">
        <f>DR22+預測IC!DS22</f>
        <v>-1.9211264151667202</v>
      </c>
      <c r="DT22" s="11">
        <f>DS22+預測IC!DT22</f>
        <v>-1.8627694061699549</v>
      </c>
      <c r="DU22" s="11">
        <f>DT22+預測IC!DU22</f>
        <v>-1.8052740153331159</v>
      </c>
      <c r="DV22" s="11">
        <f>DU22+預測IC!DV22</f>
        <v>-1.930979133011294</v>
      </c>
      <c r="DW22" s="11">
        <f>DV22+預測IC!DW22</f>
        <v>-2.0093688567182912</v>
      </c>
      <c r="DX22" s="11">
        <f>DW22+預測IC!DX22</f>
        <v>-1.7869262482699966</v>
      </c>
      <c r="DY22" s="11">
        <f>DX22+預測IC!DY22</f>
        <v>-1.7787791316444566</v>
      </c>
      <c r="DZ22" s="11">
        <f>DY22+預測IC!DZ22</f>
        <v>-1.6750311506988989</v>
      </c>
      <c r="EA22" s="11">
        <f>DZ22+預測IC!EA22</f>
        <v>-1.709222393108772</v>
      </c>
      <c r="EB22" s="11">
        <f>EA22+預測IC!EB22</f>
        <v>-1.5794564428027029</v>
      </c>
      <c r="EC22" s="11">
        <f>EB22+預測IC!EC22</f>
        <v>-1.551027631024652</v>
      </c>
      <c r="ED22" s="11">
        <f>EC22+預測IC!ED22</f>
        <v>-1.3673456445204963</v>
      </c>
      <c r="EE22" s="11">
        <f>ED22+預測IC!EE22</f>
        <v>-1.4032450017165652</v>
      </c>
      <c r="EF22" s="11">
        <f>EE22+預測IC!EF22</f>
        <v>-1.3684547553443929</v>
      </c>
    </row>
    <row r="23" spans="1:136">
      <c r="A23" s="2"/>
      <c r="B23" s="2" t="s">
        <v>200</v>
      </c>
      <c r="C23" s="11">
        <v>0.28298899999999988</v>
      </c>
      <c r="D23" s="11">
        <f>C23+預測IC!D23</f>
        <v>0.53708299999999987</v>
      </c>
      <c r="E23" s="11">
        <f>D23+預測IC!E23</f>
        <v>0.67008799999999991</v>
      </c>
      <c r="F23" s="11">
        <f>E23+預測IC!F23</f>
        <v>0.66634599999999988</v>
      </c>
      <c r="G23" s="11">
        <f>F23+預測IC!G23</f>
        <v>1.0279779999999998</v>
      </c>
      <c r="H23" s="11">
        <f>G23+預測IC!H23</f>
        <v>1.0097894999999999</v>
      </c>
      <c r="I23" s="11">
        <f>H23+預測IC!I23</f>
        <v>0.97340399999999994</v>
      </c>
      <c r="J23" s="11">
        <f>I23+預測IC!J23</f>
        <v>0.85852849999999992</v>
      </c>
      <c r="K23" s="11">
        <f>J23+預測IC!K23</f>
        <v>0.79860999999999993</v>
      </c>
      <c r="L23" s="11">
        <f>K23+預測IC!L23</f>
        <v>0.84938099999999994</v>
      </c>
      <c r="M23" s="11">
        <f>L23+預測IC!M23</f>
        <v>0.59093108364135749</v>
      </c>
      <c r="N23" s="11">
        <f>M23+預測IC!N23</f>
        <v>0.46413106994902897</v>
      </c>
      <c r="O23" s="11">
        <f>N23+預測IC!O23</f>
        <v>0.44472335868225982</v>
      </c>
      <c r="P23" s="11">
        <f>O23+預測IC!P23</f>
        <v>0.49940485868225981</v>
      </c>
      <c r="Q23" s="11">
        <f>P23+預測IC!Q23</f>
        <v>0.79058235868225979</v>
      </c>
      <c r="R23" s="11">
        <f>Q23+預測IC!R23</f>
        <v>0.85340235868225978</v>
      </c>
      <c r="S23" s="11">
        <f>R23+預測IC!S23</f>
        <v>0.78083185868225979</v>
      </c>
      <c r="T23" s="11">
        <f>S23+預測IC!T23</f>
        <v>0.69615485868225979</v>
      </c>
      <c r="U23" s="11">
        <f>T23+預測IC!U23</f>
        <v>0.4831730858142339</v>
      </c>
      <c r="V23" s="11">
        <f>U23+預測IC!V23</f>
        <v>0.5465300967933</v>
      </c>
      <c r="W23" s="11">
        <f>V23+預測IC!W23</f>
        <v>4.2610765607989265E-2</v>
      </c>
      <c r="X23" s="11">
        <f>W23+預測IC!X23</f>
        <v>0.23716676560798927</v>
      </c>
      <c r="Y23" s="11">
        <f>X23+預測IC!Y23</f>
        <v>0.22250696407749901</v>
      </c>
      <c r="Z23" s="11">
        <f>Y23+預測IC!Z23</f>
        <v>0.1894744486336237</v>
      </c>
      <c r="AA23" s="11">
        <f>Z23+預測IC!AA23</f>
        <v>0.34112644863362374</v>
      </c>
      <c r="AB23" s="11">
        <f>AA23+預測IC!AB23</f>
        <v>0.27708666875684024</v>
      </c>
      <c r="AC23" s="11">
        <f>AB23+預測IC!AC23</f>
        <v>0.20074033061000224</v>
      </c>
      <c r="AD23" s="11">
        <f>AC23+預測IC!AD23</f>
        <v>0.27236733061000223</v>
      </c>
      <c r="AE23" s="11">
        <f>AD23+預測IC!AE23</f>
        <v>0.60471157922252772</v>
      </c>
      <c r="AF23" s="11">
        <f>AE23+預測IC!AF23</f>
        <v>0.5378053191327764</v>
      </c>
      <c r="AG23" s="11">
        <f>AF23+預測IC!AG23</f>
        <v>0.44593166148641622</v>
      </c>
      <c r="AH23" s="11">
        <f>AG23+預測IC!AH23</f>
        <v>0.53010324600959946</v>
      </c>
      <c r="AI23" s="11">
        <f>AH23+預測IC!AI23</f>
        <v>0.50687497938711756</v>
      </c>
      <c r="AJ23" s="11">
        <f>AI23+預測IC!AJ23</f>
        <v>0.50123184153896339</v>
      </c>
      <c r="AK23" s="11">
        <f>AJ23+預測IC!AK23</f>
        <v>0.38712074219177239</v>
      </c>
      <c r="AL23" s="11">
        <f>AK23+預測IC!AL23</f>
        <v>0.25568902899923679</v>
      </c>
      <c r="AM23" s="11">
        <f>AL23+預測IC!AM23</f>
        <v>0.24791953999437152</v>
      </c>
      <c r="AN23" s="11">
        <f>AM23+預測IC!AN23</f>
        <v>5.6048406370708126E-3</v>
      </c>
      <c r="AO23" s="11">
        <f>AN23+預測IC!AO23</f>
        <v>1.094179282849491E-2</v>
      </c>
      <c r="AP23" s="11">
        <f>AO23+預測IC!AP23</f>
        <v>7.8206934761892166E-3</v>
      </c>
      <c r="AQ23" s="11">
        <f>AP23+預測IC!AQ23</f>
        <v>-8.1604298783421417E-2</v>
      </c>
      <c r="AR23" s="11">
        <f>AQ23+預測IC!AR23</f>
        <v>-0.41834834262848908</v>
      </c>
      <c r="AS23" s="11">
        <f>AR23+預測IC!AS23</f>
        <v>-0.40364145463111145</v>
      </c>
      <c r="AT23" s="11">
        <f>AS23+預測IC!AT23</f>
        <v>-0.36221373281746183</v>
      </c>
      <c r="AU23" s="11">
        <f>AT23+預測IC!AU23</f>
        <v>-0.39535925894596613</v>
      </c>
      <c r="AV23" s="11">
        <f>AU23+預測IC!AV23</f>
        <v>-0.3677202647485921</v>
      </c>
      <c r="AW23" s="11">
        <f>AV23+預測IC!AW23</f>
        <v>-0.31569335491018935</v>
      </c>
      <c r="AX23" s="11">
        <f>AW23+預測IC!AX23</f>
        <v>-0.38553150873723341</v>
      </c>
      <c r="AY23" s="11">
        <f>AX23+預測IC!AY23</f>
        <v>-0.55576548957781546</v>
      </c>
      <c r="AZ23" s="11">
        <f>AY23+預測IC!AZ23</f>
        <v>-0.49201187217675524</v>
      </c>
      <c r="BA23" s="11">
        <f>AZ23+預測IC!BA23</f>
        <v>-0.43801387217675525</v>
      </c>
      <c r="BB23" s="11">
        <f>BA23+預測IC!BB23</f>
        <v>-0.38696438807387012</v>
      </c>
      <c r="BC23" s="11">
        <f>BB23+預測IC!BC23</f>
        <v>-8.6136138900804349E-2</v>
      </c>
      <c r="BD23" s="11">
        <f>BC23+預測IC!BD23</f>
        <v>-0.1809670202472547</v>
      </c>
      <c r="BE23" s="11">
        <f>BD23+預測IC!BE23</f>
        <v>-0.10953625784995812</v>
      </c>
      <c r="BF23" s="11">
        <f>BE23+預測IC!BF23</f>
        <v>-8.6689267245271859E-2</v>
      </c>
      <c r="BG23" s="11">
        <f>BF23+預測IC!BG23</f>
        <v>-0.12501209466441768</v>
      </c>
      <c r="BH23" s="11">
        <f>BG23+預測IC!BH23</f>
        <v>-0.18837729036765591</v>
      </c>
      <c r="BI23" s="11">
        <f>BH23+預測IC!BI23</f>
        <v>-5.0157735141208803E-2</v>
      </c>
      <c r="BJ23" s="11">
        <f>BI23+預測IC!BJ23</f>
        <v>-0.10817794868585123</v>
      </c>
      <c r="BK23" s="11">
        <f>BJ23+預測IC!BK23</f>
        <v>-0.11318781216038629</v>
      </c>
      <c r="BL23" s="11">
        <f>BK23+預測IC!BL23</f>
        <v>-0.16661981216038629</v>
      </c>
      <c r="BM23" s="11">
        <f>BL23+預測IC!BM23</f>
        <v>-0.35580049894754018</v>
      </c>
      <c r="BN23" s="11">
        <f>BM23+預測IC!BN23</f>
        <v>-0.348853328188727</v>
      </c>
      <c r="BO23" s="11">
        <f>BN23+預測IC!BO23</f>
        <v>-0.38537826993472607</v>
      </c>
      <c r="BP23" s="11">
        <f>BO23+預測IC!BP23</f>
        <v>-0.48364466914618254</v>
      </c>
      <c r="BQ23" s="11">
        <f>BP23+預測IC!BQ23</f>
        <v>-0.55569257058144872</v>
      </c>
      <c r="BR23" s="11">
        <f>BQ23+預測IC!BR23</f>
        <v>-0.57353689204541158</v>
      </c>
      <c r="BS23" s="11">
        <f>BR23+預測IC!BS23</f>
        <v>-0.79410398644780233</v>
      </c>
      <c r="BT23" s="11">
        <f>BS23+預測IC!BT23</f>
        <v>-1.0122894864478023</v>
      </c>
      <c r="BU23" s="11">
        <f>BT23+預測IC!BU23</f>
        <v>-1.1179759864478023</v>
      </c>
      <c r="BV23" s="11">
        <f>BU23+預測IC!BV23</f>
        <v>-1.1349964864478022</v>
      </c>
      <c r="BW23" s="11">
        <f>BV23+預測IC!BW23</f>
        <v>-0.53399848644780212</v>
      </c>
      <c r="BX23" s="11">
        <f>BW23+預測IC!BX23</f>
        <v>-0.52578536672054899</v>
      </c>
      <c r="BY23" s="11">
        <f>BX23+預測IC!BY23</f>
        <v>-0.48584936672054901</v>
      </c>
      <c r="BZ23" s="11">
        <f>BY23+預測IC!BZ23</f>
        <v>-0.133450366720549</v>
      </c>
      <c r="CA23" s="11">
        <f>BZ23+預測IC!CA23</f>
        <v>7.2925133279450993E-2</v>
      </c>
      <c r="CB23" s="11">
        <f>CA23+預測IC!CB23</f>
        <v>0.11459012165803945</v>
      </c>
      <c r="CC23" s="11">
        <f>CB23+預測IC!CC23</f>
        <v>3.1034212619870438E-2</v>
      </c>
      <c r="CD23" s="11">
        <f>CC23+預測IC!CD23</f>
        <v>-0.60971236489668224</v>
      </c>
      <c r="CE23" s="11">
        <f>CD23+預測IC!CE23</f>
        <v>-0.81430308639912696</v>
      </c>
      <c r="CF23" s="11">
        <f>CE23+預測IC!CF23</f>
        <v>-0.99773358639912701</v>
      </c>
      <c r="CG23" s="11">
        <f>CF23+預測IC!CG23</f>
        <v>-1.2143708280263299</v>
      </c>
      <c r="CH23" s="11">
        <f>CG23+預測IC!CH23</f>
        <v>-1.3764934023434006</v>
      </c>
      <c r="CI23" s="11">
        <f>CH23+預測IC!CI23</f>
        <v>-1.5117155989948798</v>
      </c>
      <c r="CJ23" s="11">
        <f>CI23+預測IC!CJ23</f>
        <v>-1.6682314954127806</v>
      </c>
      <c r="CK23" s="11">
        <f>CJ23+預測IC!CK23</f>
        <v>-1.596375104876236</v>
      </c>
      <c r="CL23" s="11">
        <f>CK23+預測IC!CL23</f>
        <v>-1.4323256456973219</v>
      </c>
      <c r="CM23" s="11">
        <f>CL23+預測IC!CM23</f>
        <v>-1.8190585922202314</v>
      </c>
      <c r="CN23" s="11">
        <f>CM23+預測IC!CN23</f>
        <v>-1.766053413850428</v>
      </c>
      <c r="CO23" s="11">
        <f>CN23+預測IC!CO23</f>
        <v>-0.85713012648480824</v>
      </c>
      <c r="CP23" s="11">
        <f>CO23+預測IC!CP23</f>
        <v>-1.1684908696475649</v>
      </c>
      <c r="CQ23" s="11">
        <f>CP23+預測IC!CQ23</f>
        <v>-1.1593071251477589</v>
      </c>
      <c r="CR23" s="11">
        <f>CQ23+預測IC!CR23</f>
        <v>-1.1709049289688376</v>
      </c>
      <c r="CS23" s="11">
        <f>CR23+預測IC!CS23</f>
        <v>-1.1339307099775591</v>
      </c>
      <c r="CT23" s="11">
        <f>CS23+預測IC!CT23</f>
        <v>-1.179593251688813</v>
      </c>
      <c r="CU23" s="11">
        <f>CT23+預測IC!CU23</f>
        <v>-1.1585366559755259</v>
      </c>
      <c r="CV23" s="11">
        <f>CU23+預測IC!CV23</f>
        <v>-1.1362915184867202</v>
      </c>
      <c r="CW23" s="11">
        <f>CV23+預測IC!CW23</f>
        <v>-1.2371928502891387</v>
      </c>
      <c r="CX23" s="11">
        <f>CW23+預測IC!CX23</f>
        <v>-1.1484758561926123</v>
      </c>
      <c r="CY23" s="11">
        <f>CX23+預測IC!CY23</f>
        <v>-1.1705223869459909</v>
      </c>
      <c r="CZ23" s="11">
        <f>CY23+預測IC!CZ23</f>
        <v>-1.3525211808033422</v>
      </c>
      <c r="DA23" s="11">
        <f>CZ23+預測IC!DA23</f>
        <v>-1.3215390445774318</v>
      </c>
      <c r="DB23" s="11">
        <f>DA23+預測IC!DB23</f>
        <v>-1.3055838877104353</v>
      </c>
      <c r="DC23" s="11">
        <f>DB23+預測IC!DC23</f>
        <v>-1.4247743737808496</v>
      </c>
      <c r="DD23" s="11">
        <f>DC23+預測IC!DD23</f>
        <v>-1.6381854181878464</v>
      </c>
      <c r="DE23" s="11">
        <f>DD23+預測IC!DE23</f>
        <v>-1.6287901922362016</v>
      </c>
      <c r="DF23" s="11">
        <f>DE23+預測IC!DF23</f>
        <v>-1.690732319281107</v>
      </c>
      <c r="DG23" s="11">
        <f>DF23+預測IC!DG23</f>
        <v>-1.729002331155824</v>
      </c>
      <c r="DH23" s="11">
        <f>DG23+預測IC!DH23</f>
        <v>-1.7844157784645664</v>
      </c>
      <c r="DI23" s="11">
        <f>DH23+預測IC!DI23</f>
        <v>-1.8378953753805873</v>
      </c>
      <c r="DJ23" s="11">
        <f>DI23+預測IC!DJ23</f>
        <v>-1.7508373672082396</v>
      </c>
      <c r="DK23" s="11">
        <f>DJ23+預測IC!DK23</f>
        <v>-2.0286705837670826</v>
      </c>
      <c r="DL23" s="11">
        <f>DK23+預測IC!DL23</f>
        <v>-2.2447716433073563</v>
      </c>
      <c r="DM23" s="11">
        <f>DL23+預測IC!DM23</f>
        <v>-2.2252743383879903</v>
      </c>
      <c r="DN23" s="11">
        <f>DM23+預測IC!DN23</f>
        <v>-2.2317715344319606</v>
      </c>
      <c r="DO23" s="11">
        <f>DN23+預測IC!DO23</f>
        <v>-2.3958628381657947</v>
      </c>
      <c r="DP23" s="11">
        <f>DO23+預測IC!DP23</f>
        <v>-2.4429510708215174</v>
      </c>
      <c r="DQ23" s="11">
        <f>DP23+預測IC!DQ23</f>
        <v>-2.1970049632627311</v>
      </c>
      <c r="DR23" s="11">
        <f>DQ23+預測IC!DR23</f>
        <v>-2.0730876087334771</v>
      </c>
      <c r="DS23" s="11">
        <f>DR23+預測IC!DS23</f>
        <v>-1.7849910318144309</v>
      </c>
      <c r="DT23" s="11">
        <f>DS23+預測IC!DT23</f>
        <v>-1.661035808618232</v>
      </c>
      <c r="DU23" s="11">
        <f>DT23+預測IC!DU23</f>
        <v>-1.6953229938732295</v>
      </c>
      <c r="DV23" s="11">
        <f>DU23+預測IC!DV23</f>
        <v>-1.9715946022026691</v>
      </c>
      <c r="DW23" s="11">
        <f>DV23+預測IC!DW23</f>
        <v>-2.1128228347855078</v>
      </c>
      <c r="DX23" s="11">
        <f>DW23+預測IC!DX23</f>
        <v>-1.7993296284065416</v>
      </c>
      <c r="DY23" s="11">
        <f>DX23+預測IC!DY23</f>
        <v>-1.9692064570587957</v>
      </c>
      <c r="DZ23" s="11">
        <f>DY23+預測IC!DZ23</f>
        <v>-1.8663334384322832</v>
      </c>
      <c r="EA23" s="11">
        <f>DZ23+預測IC!EA23</f>
        <v>-1.9596955179012521</v>
      </c>
      <c r="EB23" s="11">
        <f>EA23+預測IC!EB23</f>
        <v>-1.7154108597773299</v>
      </c>
      <c r="EC23" s="11">
        <f>EB23+預測IC!EC23</f>
        <v>-1.5922059168216651</v>
      </c>
      <c r="ED23" s="11">
        <f>EC23+預測IC!ED23</f>
        <v>-1.397882638299746</v>
      </c>
      <c r="EE23" s="11">
        <f>ED23+預測IC!EE23</f>
        <v>-1.4674281963947327</v>
      </c>
      <c r="EF23" s="11">
        <f>EE23+預測IC!EF23</f>
        <v>-1.4196459178030729</v>
      </c>
    </row>
    <row r="24" spans="1:136">
      <c r="A24" s="2"/>
      <c r="B24" s="2" t="s">
        <v>201</v>
      </c>
      <c r="C24" s="11">
        <v>9.9113000000000007E-2</v>
      </c>
      <c r="D24" s="11">
        <f>C24+預測IC!D24</f>
        <v>0.19972300000000001</v>
      </c>
      <c r="E24" s="11">
        <f>D24+預測IC!E24</f>
        <v>0.48423499999999997</v>
      </c>
      <c r="F24" s="11">
        <f>E24+預測IC!F24</f>
        <v>0.55956099999999998</v>
      </c>
      <c r="G24" s="11">
        <f>F24+預測IC!G24</f>
        <v>0.78916799999999998</v>
      </c>
      <c r="H24" s="11">
        <f>G24+預測IC!H24</f>
        <v>0.82502399999999998</v>
      </c>
      <c r="I24" s="11">
        <f>H24+預測IC!I24</f>
        <v>0.84195399999999998</v>
      </c>
      <c r="J24" s="11">
        <f>I24+預測IC!J24</f>
        <v>0.72649299999999994</v>
      </c>
      <c r="K24" s="11">
        <f>J24+預測IC!K24</f>
        <v>0.78022599999999998</v>
      </c>
      <c r="L24" s="11">
        <f>K24+預測IC!L24</f>
        <v>0.87402599999999997</v>
      </c>
      <c r="M24" s="11">
        <f>L24+預測IC!M24</f>
        <v>0.72720666110049148</v>
      </c>
      <c r="N24" s="11">
        <f>M24+預測IC!N24</f>
        <v>0.62201495030464604</v>
      </c>
      <c r="O24" s="11">
        <f>N24+預測IC!O24</f>
        <v>0.65866374104418979</v>
      </c>
      <c r="P24" s="11">
        <f>O24+預測IC!P24</f>
        <v>0.66039974104418975</v>
      </c>
      <c r="Q24" s="11">
        <f>P24+預測IC!Q24</f>
        <v>0.65755974104418979</v>
      </c>
      <c r="R24" s="11">
        <f>Q24+預測IC!R24</f>
        <v>0.62973274104418975</v>
      </c>
      <c r="S24" s="11">
        <f>R24+預測IC!S24</f>
        <v>0.61868274104418974</v>
      </c>
      <c r="T24" s="11">
        <f>S24+預測IC!T24</f>
        <v>0.33086274104418972</v>
      </c>
      <c r="U24" s="11">
        <f>T24+預測IC!U24</f>
        <v>-6.2099143804463297E-2</v>
      </c>
      <c r="V24" s="11">
        <f>U24+預測IC!V24</f>
        <v>5.4441172912387509E-2</v>
      </c>
      <c r="W24" s="11">
        <f>V24+預測IC!W24</f>
        <v>-0.58849235569327196</v>
      </c>
      <c r="X24" s="11">
        <f>W24+預測IC!X24</f>
        <v>-0.58939135569327195</v>
      </c>
      <c r="Y24" s="11">
        <f>X24+預測IC!Y24</f>
        <v>-0.59886837061968901</v>
      </c>
      <c r="Z24" s="11">
        <f>Y24+預測IC!Z24</f>
        <v>-0.70471069789849605</v>
      </c>
      <c r="AA24" s="11">
        <f>Z24+預測IC!AA24</f>
        <v>-0.610348697898496</v>
      </c>
      <c r="AB24" s="11">
        <f>AA24+預測IC!AB24</f>
        <v>-0.80568832057373974</v>
      </c>
      <c r="AC24" s="11">
        <f>AB24+預測IC!AC24</f>
        <v>-0.93106870134970476</v>
      </c>
      <c r="AD24" s="11">
        <f>AC24+預測IC!AD24</f>
        <v>-0.82989470134970478</v>
      </c>
      <c r="AE24" s="11">
        <f>AD24+預測IC!AE24</f>
        <v>-0.28863658010342352</v>
      </c>
      <c r="AF24" s="11">
        <f>AE24+預測IC!AF24</f>
        <v>-0.31115859013821401</v>
      </c>
      <c r="AG24" s="11">
        <f>AF24+預測IC!AG24</f>
        <v>-0.44989430776485162</v>
      </c>
      <c r="AH24" s="11">
        <f>AG24+預測IC!AH24</f>
        <v>-0.39319694769706204</v>
      </c>
      <c r="AI24" s="11">
        <f>AH24+預測IC!AI24</f>
        <v>-0.38438861659863477</v>
      </c>
      <c r="AJ24" s="11">
        <f>AI24+預測IC!AJ24</f>
        <v>-0.30349737259925935</v>
      </c>
      <c r="AK24" s="11">
        <f>AJ24+預測IC!AK24</f>
        <v>-0.38838132566745165</v>
      </c>
      <c r="AL24" s="11">
        <f>AK24+預測IC!AL24</f>
        <v>-0.33370439017681625</v>
      </c>
      <c r="AM24" s="11">
        <f>AL24+預測IC!AM24</f>
        <v>-0.31478510875628957</v>
      </c>
      <c r="AN24" s="11">
        <f>AM24+預測IC!AN24</f>
        <v>-0.53597457390172087</v>
      </c>
      <c r="AO24" s="11">
        <f>AN24+預測IC!AO24</f>
        <v>-0.60206468573071092</v>
      </c>
      <c r="AP24" s="11">
        <f>AO24+預測IC!AP24</f>
        <v>-0.57921297024161456</v>
      </c>
      <c r="AQ24" s="11">
        <f>AP24+預測IC!AQ24</f>
        <v>-0.62628994307586017</v>
      </c>
      <c r="AR24" s="11">
        <f>AQ24+預測IC!AR24</f>
        <v>-0.63592919968346717</v>
      </c>
      <c r="AS24" s="11">
        <f>AR24+預測IC!AS24</f>
        <v>-0.60797312241687707</v>
      </c>
      <c r="AT24" s="11">
        <f>AS24+預測IC!AT24</f>
        <v>-0.63843232990158572</v>
      </c>
      <c r="AU24" s="11">
        <f>AT24+預測IC!AU24</f>
        <v>-0.68252764976681002</v>
      </c>
      <c r="AV24" s="11">
        <f>AU24+預測IC!AV24</f>
        <v>-0.59537569757991415</v>
      </c>
      <c r="AW24" s="11">
        <f>AV24+預測IC!AW24</f>
        <v>-0.60036323909095335</v>
      </c>
      <c r="AX24" s="11">
        <f>AW24+預測IC!AX24</f>
        <v>-0.62866942567937789</v>
      </c>
      <c r="AY24" s="11">
        <f>AX24+預測IC!AY24</f>
        <v>-0.79679671956426734</v>
      </c>
      <c r="AZ24" s="11">
        <f>AY24+預測IC!AZ24</f>
        <v>-0.83466379316393258</v>
      </c>
      <c r="BA24" s="11">
        <f>AZ24+預測IC!BA24</f>
        <v>-0.78417279316393262</v>
      </c>
      <c r="BB24" s="11">
        <f>BA24+預測IC!BB24</f>
        <v>-0.69801375976859781</v>
      </c>
      <c r="BC24" s="11">
        <f>BB24+預測IC!BC24</f>
        <v>0.10520225327577959</v>
      </c>
      <c r="BD24" s="11">
        <f>BC24+預測IC!BD24</f>
        <v>-8.0392965970655622E-2</v>
      </c>
      <c r="BE24" s="11">
        <f>BD24+預測IC!BE24</f>
        <v>-3.4328611938968752E-2</v>
      </c>
      <c r="BF24" s="11">
        <f>BE24+預測IC!BF24</f>
        <v>-0.12197994799306106</v>
      </c>
      <c r="BG24" s="11">
        <f>BF24+預測IC!BG24</f>
        <v>-3.0995720285625444E-2</v>
      </c>
      <c r="BH24" s="11">
        <f>BG24+預測IC!BH24</f>
        <v>-0.17866928553734515</v>
      </c>
      <c r="BI24" s="11">
        <f>BH24+預測IC!BI24</f>
        <v>-0.20682091768552335</v>
      </c>
      <c r="BJ24" s="11">
        <f>BI24+預測IC!BJ24</f>
        <v>-0.14625366336306395</v>
      </c>
      <c r="BK24" s="11">
        <f>BJ24+預測IC!BK24</f>
        <v>-0.15627339031213405</v>
      </c>
      <c r="BL24" s="11">
        <f>BK24+預測IC!BL24</f>
        <v>-0.18717239031213406</v>
      </c>
      <c r="BM24" s="11">
        <f>BL24+預測IC!BM24</f>
        <v>-0.19864540942987122</v>
      </c>
      <c r="BN24" s="11">
        <f>BM24+預測IC!BN24</f>
        <v>-0.205494751275446</v>
      </c>
      <c r="BO24" s="11">
        <f>BN24+預測IC!BO24</f>
        <v>-4.4385060179804092E-2</v>
      </c>
      <c r="BP24" s="11">
        <f>BO24+預測IC!BP24</f>
        <v>-0.16773624130912601</v>
      </c>
      <c r="BQ24" s="11">
        <f>BP24+預測IC!BQ24</f>
        <v>-0.10356660797901097</v>
      </c>
      <c r="BR24" s="11">
        <f>BQ24+預測IC!BR24</f>
        <v>-0.14592283128242869</v>
      </c>
      <c r="BS24" s="11">
        <f>BR24+預測IC!BS24</f>
        <v>-0.26754386781203532</v>
      </c>
      <c r="BT24" s="11">
        <f>BS24+預測IC!BT24</f>
        <v>-0.54426186781203534</v>
      </c>
      <c r="BU24" s="11">
        <f>BT24+預測IC!BU24</f>
        <v>-0.55301086781203534</v>
      </c>
      <c r="BV24" s="11">
        <f>BU24+預測IC!BV24</f>
        <v>-0.75631786781203536</v>
      </c>
      <c r="BW24" s="11">
        <f>BV24+預測IC!BW24</f>
        <v>0.35269713218796472</v>
      </c>
      <c r="BX24" s="11">
        <f>BW24+預測IC!BX24</f>
        <v>0.48565718789842249</v>
      </c>
      <c r="BY24" s="11">
        <f>BX24+預測IC!BY24</f>
        <v>0.19531718789842251</v>
      </c>
      <c r="BZ24" s="11">
        <f>BY24+預測IC!BZ24</f>
        <v>1.0092751878984225</v>
      </c>
      <c r="CA24" s="11">
        <f>BZ24+預測IC!CA24</f>
        <v>1.1093031878984225</v>
      </c>
      <c r="CB24" s="11">
        <f>CA24+預測IC!CB24</f>
        <v>1.0451761047423804</v>
      </c>
      <c r="CC24" s="11">
        <f>CB24+預測IC!CC24</f>
        <v>0.8253449115411533</v>
      </c>
      <c r="CD24" s="11">
        <f>CC24+預測IC!CD24</f>
        <v>0.13401294295177035</v>
      </c>
      <c r="CE24" s="11">
        <f>CD24+預測IC!CE24</f>
        <v>-4.5290840914745834E-2</v>
      </c>
      <c r="CF24" s="11">
        <f>CE24+預測IC!CF24</f>
        <v>-0.21042084091474583</v>
      </c>
      <c r="CG24" s="11">
        <f>CF24+預測IC!CG24</f>
        <v>-0.73038980698866784</v>
      </c>
      <c r="CH24" s="11">
        <f>CG24+預測IC!CH24</f>
        <v>-0.9433626910179862</v>
      </c>
      <c r="CI24" s="11">
        <f>CH24+預測IC!CI24</f>
        <v>-1.2369623346676701</v>
      </c>
      <c r="CJ24" s="11">
        <f>CI24+預測IC!CJ24</f>
        <v>-1.5371492282579253</v>
      </c>
      <c r="CK24" s="11">
        <f>CJ24+預測IC!CK24</f>
        <v>-1.2140899629295412</v>
      </c>
      <c r="CL24" s="11">
        <f>CK24+預測IC!CL24</f>
        <v>-1.1984062150401746</v>
      </c>
      <c r="CM24" s="11">
        <f>CL24+預測IC!CM24</f>
        <v>-1.7479933249992747</v>
      </c>
      <c r="CN24" s="11">
        <f>CM24+預測IC!CN24</f>
        <v>-1.6402545585420616</v>
      </c>
      <c r="CO24" s="11">
        <f>CN24+預測IC!CO24</f>
        <v>-0.86360134020583046</v>
      </c>
      <c r="CP24" s="11">
        <f>CO24+預測IC!CP24</f>
        <v>-1.0239455450206725</v>
      </c>
      <c r="CQ24" s="11">
        <f>CP24+預測IC!CQ24</f>
        <v>-1.1386327188839693</v>
      </c>
      <c r="CR24" s="11">
        <f>CQ24+預測IC!CR24</f>
        <v>-1.1997175571235261</v>
      </c>
      <c r="CS24" s="11">
        <f>CR24+預測IC!CS24</f>
        <v>-1.1138223243767202</v>
      </c>
      <c r="CT24" s="11">
        <f>CS24+預測IC!CT24</f>
        <v>-1.2102413325241161</v>
      </c>
      <c r="CU24" s="11">
        <f>CT24+預測IC!CU24</f>
        <v>-1.137489984867406</v>
      </c>
      <c r="CV24" s="11">
        <f>CU24+預測IC!CV24</f>
        <v>-1.1525540324067813</v>
      </c>
      <c r="CW24" s="11">
        <f>CV24+預測IC!CW24</f>
        <v>-1.3276711984787888</v>
      </c>
      <c r="CX24" s="11">
        <f>CW24+預測IC!CX24</f>
        <v>-1.3828783921874759</v>
      </c>
      <c r="CY24" s="11">
        <f>CX24+預測IC!CY24</f>
        <v>-1.3028114875506569</v>
      </c>
      <c r="CZ24" s="11">
        <f>CY24+預測IC!CZ24</f>
        <v>-1.4150181159952242</v>
      </c>
      <c r="DA24" s="11">
        <f>CZ24+預測IC!DA24</f>
        <v>-1.4395293201579791</v>
      </c>
      <c r="DB24" s="11">
        <f>DA24+預測IC!DB24</f>
        <v>-1.2440686476453249</v>
      </c>
      <c r="DC24" s="11">
        <f>DB24+預測IC!DC24</f>
        <v>-1.4352444058158598</v>
      </c>
      <c r="DD24" s="11">
        <f>DC24+預測IC!DD24</f>
        <v>-1.5886257865549658</v>
      </c>
      <c r="DE24" s="11">
        <f>DD24+預測IC!DE24</f>
        <v>-1.4125630290454307</v>
      </c>
      <c r="DF24" s="11">
        <f>DE24+預測IC!DF24</f>
        <v>-1.3078980530248694</v>
      </c>
      <c r="DG24" s="11">
        <f>DF24+預測IC!DG24</f>
        <v>-1.3670038871492134</v>
      </c>
      <c r="DH24" s="11">
        <f>DG24+預測IC!DH24</f>
        <v>-1.3678504122145796</v>
      </c>
      <c r="DI24" s="11">
        <f>DH24+預測IC!DI24</f>
        <v>-1.5097258711528492</v>
      </c>
      <c r="DJ24" s="11">
        <f>DI24+預測IC!DJ24</f>
        <v>-1.3772372606436094</v>
      </c>
      <c r="DK24" s="11">
        <f>DJ24+預測IC!DK24</f>
        <v>-1.7167464712740532</v>
      </c>
      <c r="DL24" s="11">
        <f>DK24+預測IC!DL24</f>
        <v>-1.9298508975599344</v>
      </c>
      <c r="DM24" s="11">
        <f>DL24+預測IC!DM24</f>
        <v>-1.7884113703330595</v>
      </c>
      <c r="DN24" s="11">
        <f>DM24+預測IC!DN24</f>
        <v>-2.0217459411077559</v>
      </c>
      <c r="DO24" s="11">
        <f>DN24+預測IC!DO24</f>
        <v>-2.2071867437404435</v>
      </c>
      <c r="DP24" s="11">
        <f>DO24+預測IC!DP24</f>
        <v>-2.3215601692264576</v>
      </c>
      <c r="DQ24" s="11">
        <f>DP24+預測IC!DQ24</f>
        <v>-1.9624888671298093</v>
      </c>
      <c r="DR24" s="11">
        <f>DQ24+預測IC!DR24</f>
        <v>-1.6152146974757828</v>
      </c>
      <c r="DS24" s="11">
        <f>DR24+預測IC!DS24</f>
        <v>-1.3989531564429372</v>
      </c>
      <c r="DT24" s="11">
        <f>DS24+預測IC!DT24</f>
        <v>-1.3605902902728075</v>
      </c>
      <c r="DU24" s="11">
        <f>DT24+預測IC!DU24</f>
        <v>-1.3129517029990501</v>
      </c>
      <c r="DV24" s="11">
        <f>DU24+預測IC!DV24</f>
        <v>-1.4711764016428643</v>
      </c>
      <c r="DW24" s="11">
        <f>DV24+預測IC!DW24</f>
        <v>-1.5800334915341947</v>
      </c>
      <c r="DX24" s="11">
        <f>DW24+預測IC!DX24</f>
        <v>-1.2684403637416908</v>
      </c>
      <c r="DY24" s="11">
        <f>DX24+預測IC!DY24</f>
        <v>-1.6122446505398993</v>
      </c>
      <c r="DZ24" s="11">
        <f>DY24+預測IC!DZ24</f>
        <v>-1.5617754681367826</v>
      </c>
      <c r="EA24" s="11">
        <f>DZ24+預測IC!EA24</f>
        <v>-1.5849469699834575</v>
      </c>
      <c r="EB24" s="11">
        <f>EA24+預測IC!EB24</f>
        <v>-0.99524905298436706</v>
      </c>
      <c r="EC24" s="11">
        <f>EB24+預測IC!EC24</f>
        <v>-0.73859767302084067</v>
      </c>
      <c r="ED24" s="11">
        <f>EC24+預測IC!ED24</f>
        <v>-0.65405758045357587</v>
      </c>
      <c r="EE24" s="11">
        <f>ED24+預測IC!EE24</f>
        <v>-0.61839359758261114</v>
      </c>
      <c r="EF24" s="11">
        <f>EE24+預測IC!EF24</f>
        <v>-0.68567027462657948</v>
      </c>
    </row>
    <row r="25" spans="1:136">
      <c r="A25" s="2"/>
      <c r="B25" s="2" t="s">
        <v>144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zoomScale="178" workbookViewId="0">
      <selection activeCell="C22" sqref="C22"/>
    </sheetView>
  </sheetViews>
  <sheetFormatPr baseColWidth="10" defaultColWidth="8.83203125" defaultRowHeight="15"/>
  <cols>
    <col min="1" max="1" width="14.1640625" style="10" customWidth="1"/>
  </cols>
  <sheetData>
    <row r="1" spans="1:136">
      <c r="A1" t="s">
        <v>202</v>
      </c>
    </row>
    <row r="2" spans="1:13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</row>
    <row r="3" spans="1:136">
      <c r="B3" t="s">
        <v>135</v>
      </c>
      <c r="C3" s="5">
        <v>7.9040621616132428E-2</v>
      </c>
      <c r="D3" s="5">
        <v>0.17983518543162419</v>
      </c>
      <c r="E3" s="5">
        <v>1.5558542820582799E-2</v>
      </c>
      <c r="F3" s="5">
        <v>-2.1374203652038289E-2</v>
      </c>
      <c r="G3" s="5">
        <v>-8.0895058721012214E-3</v>
      </c>
      <c r="H3" s="5">
        <v>-1.5424142996262571E-2</v>
      </c>
      <c r="I3" s="5">
        <v>-0.1970079222252091</v>
      </c>
      <c r="J3" s="5">
        <v>0.27879379848666003</v>
      </c>
      <c r="K3" s="5">
        <v>-5.8042552738333253E-3</v>
      </c>
      <c r="L3" s="5">
        <v>-4.7625460802946967E-2</v>
      </c>
      <c r="M3" s="5">
        <v>-5.2692769603885914E-3</v>
      </c>
      <c r="N3" s="5">
        <v>-0.1907915725736046</v>
      </c>
      <c r="O3" s="5">
        <v>0.31104453537531868</v>
      </c>
      <c r="P3" s="5">
        <v>0.1137423411079562</v>
      </c>
      <c r="Q3" s="5">
        <v>-0.12249966541698799</v>
      </c>
      <c r="R3" s="5">
        <v>-0.1125772096752599</v>
      </c>
      <c r="S3" s="5">
        <v>0.1047628479068862</v>
      </c>
      <c r="T3" s="5">
        <v>-0.1451144301876503</v>
      </c>
      <c r="U3" s="5">
        <v>-0.26268964672070189</v>
      </c>
      <c r="V3" s="5">
        <v>2.009334481821196E-3</v>
      </c>
      <c r="W3" s="5">
        <v>0.12943264471598109</v>
      </c>
      <c r="X3" s="5">
        <v>-8.859040691762049E-2</v>
      </c>
      <c r="Y3" s="5">
        <v>0.27865156855692891</v>
      </c>
      <c r="Z3" s="5">
        <v>0.1034271724790103</v>
      </c>
      <c r="AA3" s="5">
        <v>0.48570701238273079</v>
      </c>
      <c r="AB3" s="5">
        <v>-0.23509490687265411</v>
      </c>
      <c r="AC3" s="5">
        <v>1.2145875696980829E-2</v>
      </c>
      <c r="AD3" s="5">
        <v>2.4576879822336362E-2</v>
      </c>
      <c r="AE3" s="5">
        <v>-6.1133662722790971E-3</v>
      </c>
      <c r="AF3" s="5">
        <v>-5.6971515948832707E-2</v>
      </c>
      <c r="AG3" s="5">
        <v>0.1202382386574528</v>
      </c>
      <c r="AH3" s="5">
        <v>4.4012260680666333E-2</v>
      </c>
      <c r="AI3" s="5">
        <v>0.16346824092386009</v>
      </c>
      <c r="AJ3" s="5">
        <v>6.8233888505041862E-2</v>
      </c>
      <c r="AK3" s="5">
        <v>8.7340318019473118E-2</v>
      </c>
      <c r="AL3" s="5">
        <v>0.18601906455501879</v>
      </c>
      <c r="AM3" s="5">
        <v>9.6461005928937582E-2</v>
      </c>
      <c r="AN3" s="5">
        <v>0.20788493486511331</v>
      </c>
      <c r="AO3" s="5">
        <v>0.11987464702588579</v>
      </c>
      <c r="AP3" s="5">
        <v>-2.8675104661629199E-2</v>
      </c>
      <c r="AQ3" s="5">
        <v>-0.2120280442754702</v>
      </c>
      <c r="AR3" s="5">
        <v>-3.2704510357730587E-2</v>
      </c>
      <c r="AS3" s="5">
        <v>0.14122641902805161</v>
      </c>
      <c r="AT3" s="5">
        <v>-3.4747272652197507E-2</v>
      </c>
      <c r="AU3" s="5">
        <v>4.5616594078816568E-2</v>
      </c>
      <c r="AV3" s="5">
        <v>2.2144326545282141E-2</v>
      </c>
      <c r="AW3" s="5">
        <v>-0.17266700355485989</v>
      </c>
      <c r="AX3" s="5">
        <v>7.5979339060004814E-2</v>
      </c>
      <c r="AY3" s="5">
        <v>9.1669895598312512E-3</v>
      </c>
      <c r="AZ3" s="5">
        <v>1.5811638424496791E-2</v>
      </c>
      <c r="BA3" s="5">
        <v>0.1596223887210684</v>
      </c>
      <c r="BB3" s="5">
        <v>-0.12355126364150031</v>
      </c>
      <c r="BC3" s="5">
        <v>0.15614706721655541</v>
      </c>
      <c r="BD3" s="5">
        <v>0.16786712695784009</v>
      </c>
      <c r="BE3" s="5">
        <v>-0.1307095148892152</v>
      </c>
      <c r="BF3" s="5">
        <v>1.004111774608712E-2</v>
      </c>
      <c r="BG3" s="5">
        <v>0.31562101483380489</v>
      </c>
      <c r="BH3" s="5">
        <v>0.27021360932664601</v>
      </c>
      <c r="BI3" s="5">
        <v>5.6087308194300967E-2</v>
      </c>
      <c r="BJ3" s="5">
        <v>-2.428144716888792E-3</v>
      </c>
      <c r="BK3" s="5">
        <v>7.9795011400059179E-2</v>
      </c>
      <c r="BL3" s="5">
        <v>-2.3464502785466301E-2</v>
      </c>
      <c r="BM3" s="5">
        <v>9.4115599855399634E-2</v>
      </c>
      <c r="BN3" s="5">
        <v>1.8770326613512078E-2</v>
      </c>
      <c r="BO3" s="5">
        <v>-0.14839887615687969</v>
      </c>
      <c r="BP3" s="5">
        <v>4.107337954030732E-2</v>
      </c>
      <c r="BQ3" s="5">
        <v>-8.3183003971063707E-2</v>
      </c>
      <c r="BR3" s="5">
        <v>0.21369643032545599</v>
      </c>
      <c r="BS3" s="5">
        <v>-6.8149447486198445E-2</v>
      </c>
      <c r="BT3" s="5">
        <v>0.14424087762590629</v>
      </c>
      <c r="BU3" s="5">
        <v>0.11401522994132141</v>
      </c>
      <c r="BV3" s="5">
        <v>4.801166723024719E-3</v>
      </c>
      <c r="BW3" s="5">
        <v>0.11476889041196631</v>
      </c>
      <c r="BX3" s="5">
        <v>-9.0964923920277552E-2</v>
      </c>
      <c r="BY3" s="5">
        <v>0.11808451667450549</v>
      </c>
      <c r="BZ3" s="5">
        <v>-0.1410200400283034</v>
      </c>
      <c r="CA3" s="5">
        <v>7.4952845793382461E-2</v>
      </c>
      <c r="CB3" s="5">
        <v>-0.17068809420813311</v>
      </c>
      <c r="CC3" s="5">
        <v>8.5908462508696548E-2</v>
      </c>
      <c r="CD3" s="5">
        <v>3.0939148675174891E-2</v>
      </c>
      <c r="CE3" s="5">
        <v>0.21825654845162559</v>
      </c>
      <c r="CF3" s="5">
        <v>-0.1410466608471542</v>
      </c>
      <c r="CG3" s="5">
        <v>0.1002648354568221</v>
      </c>
      <c r="CH3" s="5">
        <v>4.561217918655408E-2</v>
      </c>
      <c r="CI3" s="5">
        <v>9.0372406724707033E-2</v>
      </c>
      <c r="CJ3" s="5">
        <v>-0.39056585729995208</v>
      </c>
      <c r="CK3" s="5">
        <v>-0.1094505841467153</v>
      </c>
      <c r="CL3" s="5">
        <v>-4.349854958948618E-2</v>
      </c>
      <c r="CM3" s="5">
        <v>0.1846143777910941</v>
      </c>
      <c r="CN3" s="5">
        <v>-0.39777868940720429</v>
      </c>
      <c r="CO3" s="5">
        <v>-9.7839711643685545E-2</v>
      </c>
      <c r="CP3" s="5">
        <v>-9.426417275536908E-2</v>
      </c>
      <c r="CQ3" s="5">
        <v>0.1719508179227969</v>
      </c>
      <c r="CR3" s="5">
        <v>6.1937752450725032E-2</v>
      </c>
      <c r="CS3" s="5">
        <v>-4.6146612606264681E-2</v>
      </c>
      <c r="CT3" s="5">
        <v>-1.1541379756887181E-2</v>
      </c>
      <c r="CU3" s="5">
        <v>-3.3298799782413353E-2</v>
      </c>
      <c r="CV3" s="5">
        <v>-2.1859147285423371E-2</v>
      </c>
      <c r="CW3" s="5">
        <v>3.9730772293418759E-2</v>
      </c>
      <c r="CX3" s="5">
        <v>-5.4060803392226853E-2</v>
      </c>
      <c r="CY3" s="5">
        <v>2.687080278938447E-2</v>
      </c>
      <c r="CZ3" s="5">
        <v>9.8156222827321893E-2</v>
      </c>
      <c r="DA3" s="5">
        <v>0.31191401999076479</v>
      </c>
      <c r="DB3" s="5">
        <v>-0.1557252615503073</v>
      </c>
      <c r="DC3" s="5">
        <v>-0.1877698733748154</v>
      </c>
      <c r="DD3" s="5">
        <v>-0.16882595651231219</v>
      </c>
      <c r="DE3" s="5">
        <v>0.16874399575438129</v>
      </c>
      <c r="DF3" s="5">
        <v>-9.1094675706205552E-2</v>
      </c>
      <c r="DG3" s="5">
        <v>-7.6287293877835782E-2</v>
      </c>
      <c r="DH3" s="5">
        <v>7.0221693802381413E-3</v>
      </c>
      <c r="DI3" s="5">
        <v>-2.1000382633728498E-3</v>
      </c>
      <c r="DJ3" s="5">
        <v>-6.8286379709951939E-2</v>
      </c>
      <c r="DK3" s="5">
        <v>4.5815090263610248E-2</v>
      </c>
      <c r="DL3" s="5">
        <v>-5.8209946840535542E-2</v>
      </c>
      <c r="DM3" s="5">
        <v>-7.0753845764884304E-2</v>
      </c>
      <c r="DN3" s="5">
        <v>2.8209852005243619E-2</v>
      </c>
      <c r="DO3" s="5">
        <v>-7.0120490357447773E-2</v>
      </c>
      <c r="DP3" s="5">
        <v>0.1609671486675571</v>
      </c>
      <c r="DQ3" s="5">
        <v>0.15477541257526009</v>
      </c>
      <c r="DR3" s="5">
        <v>-0.1084011796207669</v>
      </c>
      <c r="DS3" s="5">
        <v>0.11315866159628871</v>
      </c>
      <c r="DT3" s="5">
        <v>-9.1924478693107325E-2</v>
      </c>
      <c r="DU3" s="5">
        <v>-6.6151009182965181E-2</v>
      </c>
      <c r="DV3" s="5">
        <v>-7.3979125425596259E-2</v>
      </c>
      <c r="DW3" s="5">
        <v>6.6618381751488459E-2</v>
      </c>
      <c r="DX3" s="5">
        <v>6.9180839339883643E-2</v>
      </c>
      <c r="DY3" s="5">
        <v>-0.1020143752545596</v>
      </c>
      <c r="DZ3" s="5">
        <v>0.26467995828442159</v>
      </c>
      <c r="EA3" s="5">
        <v>-8.9146065677995434E-2</v>
      </c>
      <c r="EB3" s="5">
        <v>0.19478075764446831</v>
      </c>
      <c r="EC3" s="5">
        <v>-2.9992963587027192E-2</v>
      </c>
      <c r="ED3" s="5">
        <v>2.8755087358344141E-2</v>
      </c>
      <c r="EE3" s="5">
        <v>-8.7170363159390307E-2</v>
      </c>
      <c r="EF3" s="5">
        <v>-2.107712607482665E-2</v>
      </c>
    </row>
    <row r="4" spans="1:136">
      <c r="B4" t="s">
        <v>136</v>
      </c>
      <c r="C4" s="5">
        <v>-0.2039249712326647</v>
      </c>
      <c r="D4" s="5">
        <v>-0.1964237658858288</v>
      </c>
      <c r="E4" s="5">
        <v>-0.25001562319789628</v>
      </c>
      <c r="F4" s="5">
        <v>4.6225301858132888E-2</v>
      </c>
      <c r="G4" s="5">
        <v>3.2330243247768557E-2</v>
      </c>
      <c r="H4" s="5">
        <v>-5.1603684781703407E-2</v>
      </c>
      <c r="I4" s="5">
        <v>-7.1932762783788462E-4</v>
      </c>
      <c r="J4" s="5">
        <v>4.7735584517047507E-2</v>
      </c>
      <c r="K4" s="5">
        <v>-0.10000933785236479</v>
      </c>
      <c r="L4" s="5">
        <v>-1.5861567150846408E-2</v>
      </c>
      <c r="M4" s="5">
        <v>-5.3940441895917957E-2</v>
      </c>
      <c r="N4" s="5">
        <v>-3.006128637493433E-2</v>
      </c>
      <c r="O4" s="5">
        <v>-0.1863663761089018</v>
      </c>
      <c r="P4" s="5">
        <v>3.0686804370747112E-2</v>
      </c>
      <c r="Q4" s="5">
        <v>9.6560631213524317E-2</v>
      </c>
      <c r="R4" s="5">
        <v>-9.3806844009220569E-2</v>
      </c>
      <c r="S4" s="5">
        <v>2.384641514176522E-2</v>
      </c>
      <c r="T4" s="5">
        <v>7.3443894560089262E-2</v>
      </c>
      <c r="U4" s="5">
        <v>6.8552151821030796E-3</v>
      </c>
      <c r="V4" s="5">
        <v>-2.2154839675355479E-2</v>
      </c>
      <c r="W4" s="5">
        <v>-7.0055171589089582E-3</v>
      </c>
      <c r="X4" s="5">
        <v>-0.1692982319172103</v>
      </c>
      <c r="Y4" s="5">
        <v>-0.23320259238128571</v>
      </c>
      <c r="Z4" s="5">
        <v>-1.0288574917018071E-2</v>
      </c>
      <c r="AA4" s="5">
        <v>-2.5866334724611311E-3</v>
      </c>
      <c r="AB4" s="5">
        <v>-0.1637843756315753</v>
      </c>
      <c r="AC4" s="5">
        <v>-6.4688800973662808E-2</v>
      </c>
      <c r="AD4" s="5">
        <v>-5.3477424616254148E-2</v>
      </c>
      <c r="AE4" s="5">
        <v>4.309073895244353E-2</v>
      </c>
      <c r="AF4" s="5">
        <v>8.0218323830894889E-2</v>
      </c>
      <c r="AG4" s="5">
        <v>-0.1002521131150758</v>
      </c>
      <c r="AH4" s="5">
        <v>0.1185404057803101</v>
      </c>
      <c r="AI4" s="5">
        <v>-8.6514098466683009E-2</v>
      </c>
      <c r="AJ4" s="5">
        <v>-9.6720591922766275E-2</v>
      </c>
      <c r="AK4" s="5">
        <v>7.714821270149308E-2</v>
      </c>
      <c r="AL4" s="5">
        <v>2.0174232134641201E-2</v>
      </c>
      <c r="AM4" s="5">
        <v>-6.7241324666724722E-3</v>
      </c>
      <c r="AN4" s="5">
        <v>1.122578986331213E-2</v>
      </c>
      <c r="AO4" s="5">
        <v>-4.4498439328666713E-2</v>
      </c>
      <c r="AP4" s="5">
        <v>7.9516907835369466E-2</v>
      </c>
      <c r="AQ4" s="5">
        <v>-9.1550116191305264E-2</v>
      </c>
      <c r="AR4" s="5">
        <v>0.1142424157596746</v>
      </c>
      <c r="AS4" s="5">
        <v>8.2448436759978705E-2</v>
      </c>
      <c r="AT4" s="5">
        <v>9.7249827762322383E-3</v>
      </c>
      <c r="AU4" s="5">
        <v>-3.4605903137480347E-2</v>
      </c>
      <c r="AV4" s="5">
        <v>-0.2174533789678712</v>
      </c>
      <c r="AW4" s="5">
        <v>5.2334484190899033E-2</v>
      </c>
      <c r="AX4" s="5">
        <v>1.384542021274626E-2</v>
      </c>
      <c r="AY4" s="5">
        <v>0.106382535700245</v>
      </c>
      <c r="AZ4" s="5">
        <v>1.573201072361563E-2</v>
      </c>
      <c r="BA4" s="5">
        <v>-0.15377072052847751</v>
      </c>
      <c r="BB4" s="5">
        <v>-0.25244423454125631</v>
      </c>
      <c r="BC4" s="5">
        <v>-0.14982873402575869</v>
      </c>
      <c r="BD4" s="5">
        <v>-2.2554321715718469E-2</v>
      </c>
      <c r="BE4" s="5">
        <v>-3.1285268658100662E-2</v>
      </c>
      <c r="BF4" s="5">
        <v>0.1240869826657605</v>
      </c>
      <c r="BG4" s="5">
        <v>-7.4642493295524304E-2</v>
      </c>
      <c r="BH4" s="5">
        <v>-6.4841754756111314E-2</v>
      </c>
      <c r="BI4" s="5">
        <v>1.8201446010561281E-2</v>
      </c>
      <c r="BJ4" s="5">
        <v>-0.15018846614211159</v>
      </c>
      <c r="BK4" s="5">
        <v>-5.9172596101159769E-2</v>
      </c>
      <c r="BL4" s="5">
        <v>-4.7948186331197462E-2</v>
      </c>
      <c r="BM4" s="5">
        <v>2.052177888404572E-2</v>
      </c>
      <c r="BN4" s="5">
        <v>4.0184826284235697E-2</v>
      </c>
      <c r="BO4" s="5">
        <v>4.4253141477314628E-2</v>
      </c>
      <c r="BP4" s="5">
        <v>8.2144881969639982E-2</v>
      </c>
      <c r="BQ4" s="5">
        <v>3.034994243067857E-2</v>
      </c>
      <c r="BR4" s="5">
        <v>-0.1178677152142722</v>
      </c>
      <c r="BS4" s="5">
        <v>-1.7435734218624429E-2</v>
      </c>
      <c r="BT4" s="5">
        <v>-3.4138675888959469E-2</v>
      </c>
      <c r="BU4" s="5">
        <v>-4.6293256972850472E-2</v>
      </c>
      <c r="BV4" s="5">
        <v>0.17074793581774189</v>
      </c>
      <c r="BW4" s="5">
        <v>-0.1002724725514543</v>
      </c>
      <c r="BX4" s="5">
        <v>-7.1039208889066785E-2</v>
      </c>
      <c r="BY4" s="5">
        <v>-0.17569208578460399</v>
      </c>
      <c r="BZ4" s="5">
        <v>8.5263289590539415E-2</v>
      </c>
      <c r="CA4" s="5">
        <v>1.455569009171143E-2</v>
      </c>
      <c r="CB4" s="5">
        <v>0.19268600459385959</v>
      </c>
      <c r="CC4" s="5">
        <v>-0.29881238545137911</v>
      </c>
      <c r="CD4" s="5">
        <v>-0.1349379461871649</v>
      </c>
      <c r="CE4" s="5">
        <v>-5.6657895268028113E-2</v>
      </c>
      <c r="CF4" s="5">
        <v>-0.11375971139280951</v>
      </c>
      <c r="CG4" s="5">
        <v>5.7622067517158371E-2</v>
      </c>
      <c r="CH4" s="5">
        <v>-4.001254466679427E-3</v>
      </c>
      <c r="CI4" s="5">
        <v>7.7424647921532141E-2</v>
      </c>
      <c r="CJ4" s="5">
        <v>2.6114056760381029E-2</v>
      </c>
      <c r="CK4" s="5">
        <v>-2.240001723672691E-2</v>
      </c>
      <c r="CL4" s="5">
        <v>-7.0095624035594994E-2</v>
      </c>
      <c r="CM4" s="5">
        <v>4.3436542483707541E-2</v>
      </c>
      <c r="CN4" s="5">
        <v>0.18690672157174859</v>
      </c>
      <c r="CO4" s="5">
        <v>4.446453202920253E-3</v>
      </c>
      <c r="CP4" s="5">
        <v>2.4151386485087301E-2</v>
      </c>
      <c r="CQ4" s="5">
        <v>-3.1460764321860069E-2</v>
      </c>
      <c r="CR4" s="5">
        <v>-0.29662338596077831</v>
      </c>
      <c r="CS4" s="5">
        <v>-0.27970336465505241</v>
      </c>
      <c r="CT4" s="5">
        <v>7.8684619263164279E-2</v>
      </c>
      <c r="CU4" s="5">
        <v>-0.11218630160750109</v>
      </c>
      <c r="CV4" s="5">
        <v>0.11296132499189331</v>
      </c>
      <c r="CW4" s="5">
        <v>-4.1031038792660013E-2</v>
      </c>
      <c r="CX4" s="5">
        <v>6.6400736315959108E-2</v>
      </c>
      <c r="CY4" s="5">
        <v>-0.17738472354507101</v>
      </c>
      <c r="CZ4" s="5">
        <v>-0.14025649491331291</v>
      </c>
      <c r="DA4" s="5">
        <v>-0.22065215831468171</v>
      </c>
      <c r="DB4" s="5">
        <v>-4.7530422130282801E-2</v>
      </c>
      <c r="DC4" s="5">
        <v>-0.1384211204142467</v>
      </c>
      <c r="DD4" s="5">
        <v>0.10113629887646169</v>
      </c>
      <c r="DE4" s="5">
        <v>4.5885478784697398E-2</v>
      </c>
      <c r="DF4" s="5">
        <v>4.9743559277015237E-2</v>
      </c>
      <c r="DG4" s="5">
        <v>-0.137130303806142</v>
      </c>
      <c r="DH4" s="5">
        <v>0.15813722836365329</v>
      </c>
      <c r="DI4" s="5">
        <v>-5.8844921242510402E-2</v>
      </c>
      <c r="DJ4" s="5">
        <v>-0.1256585188069437</v>
      </c>
      <c r="DK4" s="5">
        <v>-0.17054839142057079</v>
      </c>
      <c r="DL4" s="5">
        <v>8.7111231199973105E-2</v>
      </c>
      <c r="DM4" s="5">
        <v>0.22121757588715951</v>
      </c>
      <c r="DN4" s="5">
        <v>8.2980876911495471E-2</v>
      </c>
      <c r="DO4" s="5">
        <v>-3.4106922891275808E-2</v>
      </c>
      <c r="DP4" s="5">
        <v>-7.2756652210209438E-2</v>
      </c>
      <c r="DQ4" s="5">
        <v>-0.1680556719972266</v>
      </c>
      <c r="DR4" s="5">
        <v>-0.12816572962436371</v>
      </c>
      <c r="DS4" s="5">
        <v>-7.759167425624014E-2</v>
      </c>
      <c r="DT4" s="5">
        <v>-0.20203504768606001</v>
      </c>
      <c r="DU4" s="5">
        <v>-5.5486709118024891E-2</v>
      </c>
      <c r="DV4" s="5">
        <v>8.2663101688531526E-3</v>
      </c>
      <c r="DW4" s="5">
        <v>-1.40933401356591E-2</v>
      </c>
      <c r="DX4" s="5">
        <v>-9.0217886051373597E-2</v>
      </c>
      <c r="DY4" s="5">
        <v>9.7821812382289153E-2</v>
      </c>
      <c r="DZ4" s="5">
        <v>-0.12757008956569391</v>
      </c>
      <c r="EA4" s="5">
        <v>-0.1945089543306722</v>
      </c>
      <c r="EB4" s="5">
        <v>-0.31627292637508481</v>
      </c>
      <c r="EC4" s="5">
        <v>4.5255164501341483E-2</v>
      </c>
      <c r="ED4" s="5">
        <v>5.6017206552507297E-2</v>
      </c>
      <c r="EE4" s="5">
        <v>0.1196917374403057</v>
      </c>
      <c r="EF4" s="5">
        <v>0.24309353172991879</v>
      </c>
    </row>
    <row r="5" spans="1:136">
      <c r="B5" t="s">
        <v>137</v>
      </c>
      <c r="C5" s="5">
        <v>-0.20935361149472831</v>
      </c>
      <c r="D5" s="5">
        <v>-0.1072455023751924</v>
      </c>
      <c r="E5" s="5">
        <v>0.52501530683772435</v>
      </c>
      <c r="F5" s="5">
        <v>4.6823768151851013E-2</v>
      </c>
      <c r="G5" s="5">
        <v>-0.21046493626235849</v>
      </c>
      <c r="H5" s="5">
        <v>0.47449114813492221</v>
      </c>
      <c r="I5" s="5">
        <v>0.14680892480266791</v>
      </c>
      <c r="J5" s="5">
        <v>-5.6142242586696901E-2</v>
      </c>
      <c r="K5" s="5">
        <v>0.27557732059741852</v>
      </c>
      <c r="L5" s="5">
        <v>-0.429803895577967</v>
      </c>
      <c r="M5" s="5">
        <v>0.32349590077241003</v>
      </c>
      <c r="N5" s="5">
        <v>-0.34825072939559049</v>
      </c>
      <c r="O5" s="5">
        <v>-9.75267647927303E-2</v>
      </c>
      <c r="P5" s="5">
        <v>0.39540466236699251</v>
      </c>
      <c r="Q5" s="5">
        <v>4.8478108376362662E-2</v>
      </c>
      <c r="R5" s="5">
        <v>-9.8985600985133329E-2</v>
      </c>
      <c r="S5" s="5">
        <v>0.305793727896155</v>
      </c>
      <c r="T5" s="5">
        <v>7.2165930759538061E-2</v>
      </c>
      <c r="U5" s="5">
        <v>-4.9009230430883954E-4</v>
      </c>
      <c r="V5" s="5">
        <v>-0.13929554545575701</v>
      </c>
      <c r="W5" s="5">
        <v>-0.39469257513977751</v>
      </c>
      <c r="X5" s="5">
        <v>-0.12931156060545229</v>
      </c>
      <c r="Y5" s="5">
        <v>-0.68125891047001907</v>
      </c>
      <c r="Z5" s="5">
        <v>-4.1938156243548769E-3</v>
      </c>
      <c r="AA5" s="5">
        <v>1.8560125119517271E-2</v>
      </c>
      <c r="AB5" s="5">
        <v>0.20113094605220941</v>
      </c>
      <c r="AC5" s="5">
        <v>-8.9483378930757945E-2</v>
      </c>
      <c r="AD5" s="5">
        <v>0.1451410860629446</v>
      </c>
      <c r="AE5" s="5">
        <v>7.4624119096799141E-2</v>
      </c>
      <c r="AF5" s="5">
        <v>0.17580443763613759</v>
      </c>
      <c r="AG5" s="5">
        <v>-0.30331265835277282</v>
      </c>
      <c r="AH5" s="5">
        <v>-0.3483397071352336</v>
      </c>
      <c r="AI5" s="5">
        <v>0.25873608106819568</v>
      </c>
      <c r="AJ5" s="5">
        <v>-0.48879761544229228</v>
      </c>
      <c r="AK5" s="5">
        <v>0.13252874976468179</v>
      </c>
      <c r="AL5" s="5">
        <v>-2.3800153911279789E-2</v>
      </c>
      <c r="AM5" s="5">
        <v>1.173620113508929E-2</v>
      </c>
      <c r="AN5" s="5">
        <v>-7.4812103146932943E-2</v>
      </c>
      <c r="AO5" s="5">
        <v>0.1844777721646908</v>
      </c>
      <c r="AP5" s="5">
        <v>3.2454138263480981E-2</v>
      </c>
      <c r="AQ5" s="5">
        <v>0.15120275047085749</v>
      </c>
      <c r="AR5" s="5">
        <v>-9.5283188802216146E-2</v>
      </c>
      <c r="AS5" s="5">
        <v>-0.1260032609462903</v>
      </c>
      <c r="AT5" s="5">
        <v>0.1516753034210738</v>
      </c>
      <c r="AU5" s="5">
        <v>-0.2007889112295945</v>
      </c>
      <c r="AV5" s="5">
        <v>7.8901861222600136E-2</v>
      </c>
      <c r="AW5" s="5">
        <v>6.6907089587781021E-4</v>
      </c>
      <c r="AX5" s="5">
        <v>0.1123518508204545</v>
      </c>
      <c r="AY5" s="5">
        <v>-0.11800901394968941</v>
      </c>
      <c r="AZ5" s="5">
        <v>0.20623475003072961</v>
      </c>
      <c r="BA5" s="5">
        <v>-3.97937801882461E-2</v>
      </c>
      <c r="BB5" s="5">
        <v>8.3008355637714748E-2</v>
      </c>
      <c r="BC5" s="5">
        <v>-0.13000300529739819</v>
      </c>
      <c r="BD5" s="5">
        <v>-0.1064312900594583</v>
      </c>
      <c r="BE5" s="5">
        <v>0.1158849362838152</v>
      </c>
      <c r="BF5" s="5">
        <v>-0.28526717215295749</v>
      </c>
      <c r="BG5" s="5">
        <v>-0.1509842362786851</v>
      </c>
      <c r="BH5" s="5">
        <v>2.9341057503422599E-3</v>
      </c>
      <c r="BI5" s="5">
        <v>5.8262514508516133E-2</v>
      </c>
      <c r="BJ5" s="5">
        <v>-0.25989264623200092</v>
      </c>
      <c r="BK5" s="5">
        <v>0.18474040199136449</v>
      </c>
      <c r="BL5" s="5">
        <v>-0.26914540554674848</v>
      </c>
      <c r="BM5" s="5">
        <v>0.17150836470177749</v>
      </c>
      <c r="BN5" s="5">
        <v>-0.18088850446581761</v>
      </c>
      <c r="BO5" s="5">
        <v>-6.3206745350197338E-2</v>
      </c>
      <c r="BP5" s="5">
        <v>7.1774957077323495E-2</v>
      </c>
      <c r="BQ5" s="5">
        <v>-0.1686195689897588</v>
      </c>
      <c r="BR5" s="5">
        <v>-2.545873273363362E-2</v>
      </c>
      <c r="BS5" s="5">
        <v>0.1245446019666267</v>
      </c>
      <c r="BT5" s="5">
        <v>0.20782503929497201</v>
      </c>
      <c r="BU5" s="5">
        <v>-6.0037446829220693E-2</v>
      </c>
      <c r="BV5" s="5">
        <v>-5.1905003051803483E-2</v>
      </c>
      <c r="BW5" s="5">
        <v>-0.12680819125864681</v>
      </c>
      <c r="BX5" s="5">
        <v>-0.1052510446788132</v>
      </c>
      <c r="BY5" s="5">
        <v>5.3601773045040088E-2</v>
      </c>
      <c r="BZ5" s="5">
        <v>-3.4388144014312297E-2</v>
      </c>
      <c r="CA5" s="5">
        <v>-2.0069736378605839E-2</v>
      </c>
      <c r="CB5" s="5">
        <v>8.4300430524421641E-2</v>
      </c>
      <c r="CC5" s="5">
        <v>-0.110410835022124</v>
      </c>
      <c r="CD5" s="5">
        <v>0.32740031270766617</v>
      </c>
      <c r="CE5" s="5">
        <v>-1.5012168586274939E-2</v>
      </c>
      <c r="CF5" s="5">
        <v>-0.14937021175902551</v>
      </c>
      <c r="CG5" s="5">
        <v>0.16297301454092969</v>
      </c>
      <c r="CH5" s="5">
        <v>-6.896103144523659E-2</v>
      </c>
      <c r="CI5" s="5">
        <v>-0.11541146458518491</v>
      </c>
      <c r="CJ5" s="5">
        <v>-0.26303527345610228</v>
      </c>
      <c r="CK5" s="5">
        <v>0.37924960384624179</v>
      </c>
      <c r="CL5" s="5">
        <v>-7.6790699983737498E-2</v>
      </c>
      <c r="CM5" s="5">
        <v>4.2652506298582429E-2</v>
      </c>
      <c r="CN5" s="5">
        <v>-0.1516858867131603</v>
      </c>
      <c r="CO5" s="5">
        <v>0.43724307982140581</v>
      </c>
      <c r="CP5" s="5">
        <v>-3.9926150423868351E-3</v>
      </c>
      <c r="CQ5" s="5">
        <v>-0.49916489273431458</v>
      </c>
      <c r="CR5" s="5">
        <v>0.33988683275055442</v>
      </c>
      <c r="CS5" s="5">
        <v>-0.18986441617449731</v>
      </c>
      <c r="CT5" s="5">
        <v>0.2246321236344469</v>
      </c>
      <c r="CU5" s="5">
        <v>-0.25170889936125151</v>
      </c>
      <c r="CV5" s="5">
        <v>-6.0592355965027593E-2</v>
      </c>
      <c r="CW5" s="5">
        <v>0.2109010090070762</v>
      </c>
      <c r="CX5" s="5">
        <v>0.25025019061541082</v>
      </c>
      <c r="CY5" s="5">
        <v>-0.52414963758384503</v>
      </c>
      <c r="CZ5" s="5">
        <v>0.82142749669553927</v>
      </c>
      <c r="DA5" s="5">
        <v>-0.17651348566266811</v>
      </c>
      <c r="DB5" s="5">
        <v>0.13125649202051129</v>
      </c>
      <c r="DC5" s="5">
        <v>0.17576145031796331</v>
      </c>
      <c r="DD5" s="5">
        <v>-0.42086343262939768</v>
      </c>
      <c r="DE5" s="5">
        <v>-0.22795497779214821</v>
      </c>
      <c r="DF5" s="5">
        <v>-0.3368819221783515</v>
      </c>
      <c r="DG5" s="5">
        <v>-0.44413532346609758</v>
      </c>
      <c r="DH5" s="5">
        <v>-4.27982998765781E-2</v>
      </c>
      <c r="DI5" s="5">
        <v>0.30948159020781918</v>
      </c>
      <c r="DJ5" s="5">
        <v>-0.28667223643824391</v>
      </c>
      <c r="DK5" s="5">
        <v>0.84630493967791443</v>
      </c>
      <c r="DL5" s="5">
        <v>-0.1693329876927529</v>
      </c>
      <c r="DM5" s="5">
        <v>-0.4391099461359883</v>
      </c>
      <c r="DN5" s="5">
        <v>0.74761868532509412</v>
      </c>
      <c r="DO5" s="5">
        <v>-0.40009342240963602</v>
      </c>
      <c r="DP5" s="5">
        <v>-4.4799489944027257E-2</v>
      </c>
      <c r="DQ5" s="5">
        <v>-0.58861281581662461</v>
      </c>
      <c r="DR5" s="5">
        <v>-6.4257074862891627E-3</v>
      </c>
      <c r="DS5" s="5">
        <v>-0.19880266564910609</v>
      </c>
      <c r="DT5" s="5">
        <v>0.41307307328401038</v>
      </c>
      <c r="DU5" s="5">
        <v>-0.17063643177968549</v>
      </c>
      <c r="DV5" s="5">
        <v>0.68807702540912619</v>
      </c>
      <c r="DW5" s="5">
        <v>4.0827356191794333E-2</v>
      </c>
      <c r="DX5" s="5">
        <v>-0.1999673354250954</v>
      </c>
      <c r="DY5" s="5">
        <v>0.56631330445582462</v>
      </c>
      <c r="DZ5" s="5">
        <v>0.47368914822135011</v>
      </c>
      <c r="EA5" s="5">
        <v>9.5631863057402539E-2</v>
      </c>
      <c r="EB5" s="5">
        <v>-1.0762939402606311</v>
      </c>
      <c r="EC5" s="5">
        <v>-0.13598026508787489</v>
      </c>
      <c r="ED5" s="5">
        <v>-0.2734944373108647</v>
      </c>
      <c r="EE5" s="5">
        <v>0.6014180383447254</v>
      </c>
      <c r="EF5" s="5">
        <v>6.7940871428030583E-3</v>
      </c>
    </row>
    <row r="7" spans="1:136">
      <c r="A7" t="s">
        <v>203</v>
      </c>
    </row>
    <row r="8" spans="1:136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B8" t="s">
        <v>52</v>
      </c>
      <c r="BC8" t="s">
        <v>53</v>
      </c>
      <c r="BD8" t="s">
        <v>54</v>
      </c>
      <c r="BE8" t="s">
        <v>55</v>
      </c>
      <c r="BF8" t="s">
        <v>56</v>
      </c>
      <c r="BG8" t="s">
        <v>57</v>
      </c>
      <c r="BH8" t="s">
        <v>58</v>
      </c>
      <c r="BI8" t="s">
        <v>59</v>
      </c>
      <c r="BJ8" t="s">
        <v>60</v>
      </c>
      <c r="BK8" t="s">
        <v>61</v>
      </c>
      <c r="BL8" t="s">
        <v>62</v>
      </c>
      <c r="BM8" t="s">
        <v>63</v>
      </c>
      <c r="BN8" t="s">
        <v>64</v>
      </c>
      <c r="BO8" t="s">
        <v>65</v>
      </c>
      <c r="BP8" t="s">
        <v>66</v>
      </c>
      <c r="BQ8" t="s">
        <v>67</v>
      </c>
      <c r="BR8" t="s">
        <v>68</v>
      </c>
      <c r="BS8" t="s">
        <v>69</v>
      </c>
      <c r="BT8" t="s">
        <v>70</v>
      </c>
      <c r="BU8" t="s">
        <v>71</v>
      </c>
      <c r="BV8" t="s">
        <v>72</v>
      </c>
      <c r="BW8" t="s">
        <v>73</v>
      </c>
      <c r="BX8" t="s">
        <v>74</v>
      </c>
      <c r="BY8" t="s">
        <v>75</v>
      </c>
      <c r="BZ8" t="s">
        <v>76</v>
      </c>
      <c r="CA8" t="s">
        <v>77</v>
      </c>
      <c r="CB8" t="s">
        <v>78</v>
      </c>
      <c r="CC8" t="s">
        <v>79</v>
      </c>
      <c r="CD8" t="s">
        <v>80</v>
      </c>
      <c r="CE8" t="s">
        <v>81</v>
      </c>
      <c r="CF8" t="s">
        <v>82</v>
      </c>
      <c r="CG8" t="s">
        <v>83</v>
      </c>
      <c r="CH8" t="s">
        <v>84</v>
      </c>
      <c r="CI8" t="s">
        <v>85</v>
      </c>
      <c r="CJ8" t="s">
        <v>86</v>
      </c>
      <c r="CK8" t="s">
        <v>87</v>
      </c>
      <c r="CL8" t="s">
        <v>88</v>
      </c>
      <c r="CM8" t="s">
        <v>89</v>
      </c>
      <c r="CN8" t="s">
        <v>90</v>
      </c>
      <c r="CO8" t="s">
        <v>91</v>
      </c>
      <c r="CP8" t="s">
        <v>92</v>
      </c>
      <c r="CQ8" t="s">
        <v>93</v>
      </c>
      <c r="CR8" t="s">
        <v>94</v>
      </c>
      <c r="CS8" t="s">
        <v>95</v>
      </c>
      <c r="CT8" t="s">
        <v>96</v>
      </c>
      <c r="CU8" t="s">
        <v>97</v>
      </c>
      <c r="CV8" t="s">
        <v>98</v>
      </c>
      <c r="CW8" t="s">
        <v>99</v>
      </c>
      <c r="CX8" t="s">
        <v>100</v>
      </c>
      <c r="CY8" t="s">
        <v>101</v>
      </c>
      <c r="CZ8" t="s">
        <v>102</v>
      </c>
      <c r="DA8" t="s">
        <v>103</v>
      </c>
      <c r="DB8" t="s">
        <v>104</v>
      </c>
      <c r="DC8" t="s">
        <v>105</v>
      </c>
      <c r="DD8" t="s">
        <v>106</v>
      </c>
      <c r="DE8" t="s">
        <v>107</v>
      </c>
      <c r="DF8" t="s">
        <v>108</v>
      </c>
      <c r="DG8" t="s">
        <v>109</v>
      </c>
      <c r="DH8" t="s">
        <v>110</v>
      </c>
      <c r="DI8" t="s">
        <v>111</v>
      </c>
      <c r="DJ8" t="s">
        <v>112</v>
      </c>
      <c r="DK8" t="s">
        <v>113</v>
      </c>
      <c r="DL8" t="s">
        <v>114</v>
      </c>
      <c r="DM8" t="s">
        <v>115</v>
      </c>
      <c r="DN8" t="s">
        <v>116</v>
      </c>
      <c r="DO8" t="s">
        <v>117</v>
      </c>
      <c r="DP8" t="s">
        <v>118</v>
      </c>
      <c r="DQ8" t="s">
        <v>119</v>
      </c>
      <c r="DR8" t="s">
        <v>120</v>
      </c>
      <c r="DS8" t="s">
        <v>121</v>
      </c>
      <c r="DT8" t="s">
        <v>122</v>
      </c>
      <c r="DU8" t="s">
        <v>123</v>
      </c>
      <c r="DV8" t="s">
        <v>124</v>
      </c>
      <c r="DW8" t="s">
        <v>125</v>
      </c>
      <c r="DX8" t="s">
        <v>126</v>
      </c>
      <c r="DY8" t="s">
        <v>127</v>
      </c>
      <c r="DZ8" t="s">
        <v>128</v>
      </c>
      <c r="EA8" t="s">
        <v>129</v>
      </c>
      <c r="EB8" t="s">
        <v>130</v>
      </c>
      <c r="EC8" t="s">
        <v>131</v>
      </c>
      <c r="ED8" t="s">
        <v>132</v>
      </c>
      <c r="EE8" t="s">
        <v>133</v>
      </c>
      <c r="EF8" t="s">
        <v>134</v>
      </c>
    </row>
    <row r="9" spans="1:136">
      <c r="B9" t="s">
        <v>135</v>
      </c>
      <c r="C9" s="7">
        <v>0.109105830631824</v>
      </c>
      <c r="D9" s="7">
        <v>1.4576582608432649E-2</v>
      </c>
      <c r="E9" s="7">
        <v>-3.6154356576976902E-2</v>
      </c>
      <c r="F9" s="7">
        <v>-4.742600977062153E-3</v>
      </c>
      <c r="G9" s="7">
        <v>-5.7477531385562736E-3</v>
      </c>
      <c r="H9" s="7">
        <v>4.9378023156909527E-2</v>
      </c>
      <c r="I9" s="7">
        <v>0.18325176920476779</v>
      </c>
      <c r="J9" s="7">
        <v>0.1164863088741452</v>
      </c>
      <c r="K9" s="7">
        <v>-3.0594945598924051E-2</v>
      </c>
      <c r="L9" s="7">
        <v>1.9828051430277011E-2</v>
      </c>
      <c r="M9" s="7">
        <v>-2.0999006362740089E-2</v>
      </c>
      <c r="N9" s="7">
        <v>0.1497794247734946</v>
      </c>
      <c r="O9" s="7">
        <v>1.5463406170905081E-2</v>
      </c>
      <c r="P9" s="7">
        <v>-9.1792321477913982E-2</v>
      </c>
      <c r="Q9" s="7">
        <v>-7.7409013100986537E-2</v>
      </c>
      <c r="R9" s="7">
        <v>5.4776596014220982E-2</v>
      </c>
      <c r="S9" s="7">
        <v>-0.12533438670858049</v>
      </c>
      <c r="T9" s="7">
        <v>-0.1190534205538864</v>
      </c>
      <c r="U9" s="7">
        <v>-3.777005083138045E-2</v>
      </c>
      <c r="V9" s="7">
        <v>8.1183823152198617E-2</v>
      </c>
      <c r="W9" s="7">
        <v>8.4008967865119855E-2</v>
      </c>
      <c r="X9" s="7">
        <v>0.14701135657134901</v>
      </c>
      <c r="Y9" s="7">
        <v>-0.12536053701812139</v>
      </c>
      <c r="Z9" s="7">
        <v>0.1919535535452612</v>
      </c>
      <c r="AA9" s="7">
        <v>-8.4370782422902996E-2</v>
      </c>
      <c r="AB9" s="7">
        <v>7.2897613803716274E-2</v>
      </c>
      <c r="AC9" s="7">
        <v>0.10260456025692451</v>
      </c>
      <c r="AD9" s="7">
        <v>1.5770167253116588E-2</v>
      </c>
      <c r="AE9" s="7">
        <v>-0.15200716210156701</v>
      </c>
      <c r="AF9" s="7">
        <v>5.9250251506559243E-2</v>
      </c>
      <c r="AG9" s="7">
        <v>0.13005883770177931</v>
      </c>
      <c r="AH9" s="7">
        <v>0.11525639530312259</v>
      </c>
      <c r="AI9" s="7">
        <v>3.2606621901195412E-2</v>
      </c>
      <c r="AJ9" s="7">
        <v>2.79991148643382E-2</v>
      </c>
      <c r="AK9" s="7">
        <v>0.14657041796408479</v>
      </c>
      <c r="AL9" s="7">
        <v>4.0841921466891577E-2</v>
      </c>
      <c r="AM9" s="7">
        <v>0.13137636706820099</v>
      </c>
      <c r="AN9" s="7">
        <v>0.22143295930140211</v>
      </c>
      <c r="AO9" s="7">
        <v>-2.0941038924054418E-2</v>
      </c>
      <c r="AP9" s="7">
        <v>-0.13715995040864579</v>
      </c>
      <c r="AQ9" s="7">
        <v>-2.4882854865750599E-2</v>
      </c>
      <c r="AR9" s="7">
        <v>1.551397070984222E-2</v>
      </c>
      <c r="AS9" s="7">
        <v>3.4373036510765703E-2</v>
      </c>
      <c r="AT9" s="7">
        <v>6.3095686135752824E-2</v>
      </c>
      <c r="AU9" s="7">
        <v>4.3237695395113553E-2</v>
      </c>
      <c r="AV9" s="7">
        <v>-7.4230367380587331E-2</v>
      </c>
      <c r="AW9" s="7">
        <v>2.7994827208502701E-2</v>
      </c>
      <c r="AX9" s="7">
        <v>0.1198644178103629</v>
      </c>
      <c r="AY9" s="7">
        <v>7.6559571245744709E-2</v>
      </c>
      <c r="AZ9" s="7">
        <v>-2.1730386111293399E-2</v>
      </c>
      <c r="BA9" s="7">
        <v>-1.2464632784982711E-3</v>
      </c>
      <c r="BB9" s="7">
        <v>0.10099582217884891</v>
      </c>
      <c r="BC9" s="7">
        <v>2.9826929857085831E-2</v>
      </c>
      <c r="BD9" s="7">
        <v>8.6757683796749117E-3</v>
      </c>
      <c r="BE9" s="7">
        <v>6.8557206018591665E-2</v>
      </c>
      <c r="BF9" s="7">
        <v>0.15691259652648329</v>
      </c>
      <c r="BG9" s="7">
        <v>0.1592037331379933</v>
      </c>
      <c r="BH9" s="7">
        <v>6.1121667651573217E-2</v>
      </c>
      <c r="BI9" s="7">
        <v>9.6912851275401127E-2</v>
      </c>
      <c r="BJ9" s="7">
        <v>-5.4746248471514068E-2</v>
      </c>
      <c r="BK9" s="7">
        <v>-8.7492963132843785E-2</v>
      </c>
      <c r="BL9" s="7">
        <v>9.4426745861656128E-2</v>
      </c>
      <c r="BM9" s="7">
        <v>-2.2191058729398399E-2</v>
      </c>
      <c r="BN9" s="7">
        <v>1.562861243910833E-2</v>
      </c>
      <c r="BO9" s="7">
        <v>8.1418240100881306E-2</v>
      </c>
      <c r="BP9" s="7">
        <v>-1.8508942424783719E-2</v>
      </c>
      <c r="BQ9" s="7">
        <v>6.8729568027927734E-2</v>
      </c>
      <c r="BR9" s="7">
        <v>3.1023605185006549E-3</v>
      </c>
      <c r="BS9" s="7">
        <v>7.4964417651561921E-2</v>
      </c>
      <c r="BT9" s="7">
        <v>4.5201587698112312E-2</v>
      </c>
      <c r="BU9" s="7">
        <v>2.5677329398223779E-2</v>
      </c>
      <c r="BV9" s="7">
        <v>9.180403106274436E-2</v>
      </c>
      <c r="BW9" s="7">
        <v>-2.6353999034970911E-2</v>
      </c>
      <c r="BX9" s="7">
        <v>1.9394832235212069E-2</v>
      </c>
      <c r="BY9" s="7">
        <v>-7.6838899317359197E-2</v>
      </c>
      <c r="BZ9" s="7">
        <v>0.1133093139289441</v>
      </c>
      <c r="CA9" s="7">
        <v>-0.10735493495839039</v>
      </c>
      <c r="CB9" s="7">
        <v>4.0844788501696747E-2</v>
      </c>
      <c r="CC9" s="7">
        <v>-1.9801708972640539E-2</v>
      </c>
      <c r="CD9" s="7">
        <v>0.1883770899619405</v>
      </c>
      <c r="CE9" s="7">
        <v>5.5574905720929421E-2</v>
      </c>
      <c r="CF9" s="7">
        <v>7.4872074365934668E-2</v>
      </c>
      <c r="CG9" s="7">
        <v>0.1000001919024945</v>
      </c>
      <c r="CH9" s="7">
        <v>0.1360217220005796</v>
      </c>
      <c r="CI9" s="7">
        <v>-9.3741014702459921E-2</v>
      </c>
      <c r="CJ9" s="7">
        <v>3.9305991202356373E-3</v>
      </c>
      <c r="CK9" s="7">
        <v>5.6507776574398372E-2</v>
      </c>
      <c r="CL9" s="7">
        <v>0.26354577822564818</v>
      </c>
      <c r="CM9" s="7">
        <v>-9.5554349157474378E-3</v>
      </c>
      <c r="CN9" s="7">
        <v>-3.1511899508967982E-2</v>
      </c>
      <c r="CO9" s="7">
        <v>-2.2619031528730349E-2</v>
      </c>
      <c r="CP9" s="7">
        <v>0.13265560934539161</v>
      </c>
      <c r="CQ9" s="7">
        <v>0.1330727797426777</v>
      </c>
      <c r="CR9" s="7">
        <v>-1.4956408370414089E-2</v>
      </c>
      <c r="CS9" s="7">
        <v>-3.3419937997587537E-2</v>
      </c>
      <c r="CT9" s="7">
        <v>1.228120855821169E-2</v>
      </c>
      <c r="CU9" s="7">
        <v>0.11681498356736621</v>
      </c>
      <c r="CV9" s="7">
        <v>-3.1589453565969692E-3</v>
      </c>
      <c r="CW9" s="7">
        <v>3.8217758352757383E-2</v>
      </c>
      <c r="CX9" s="7">
        <v>0.13917409482071269</v>
      </c>
      <c r="CY9" s="7">
        <v>-2.3712287606589749E-2</v>
      </c>
      <c r="CZ9" s="7">
        <v>0.21835291106172269</v>
      </c>
      <c r="DA9" s="7">
        <v>-5.796736233046404E-2</v>
      </c>
      <c r="DB9" s="7">
        <v>-1.410421852050941E-2</v>
      </c>
      <c r="DC9" s="7">
        <v>0.11395608079284369</v>
      </c>
      <c r="DD9" s="7">
        <v>7.4472261891957006E-2</v>
      </c>
      <c r="DE9" s="7">
        <v>-8.9969275376677231E-4</v>
      </c>
      <c r="DF9" s="7">
        <v>9.7707180382245536E-4</v>
      </c>
      <c r="DG9" s="7">
        <v>-7.2980095070914866E-2</v>
      </c>
      <c r="DH9" s="7">
        <v>-2.384528684741952E-2</v>
      </c>
      <c r="DI9" s="7">
        <v>-0.101530671996864</v>
      </c>
      <c r="DJ9" s="7">
        <v>2.7692536462605249E-2</v>
      </c>
      <c r="DK9" s="7">
        <v>-4.9335152901351147E-2</v>
      </c>
      <c r="DL9" s="7">
        <v>-5.6993575669654463E-3</v>
      </c>
      <c r="DM9" s="7">
        <v>-3.698176006290884E-2</v>
      </c>
      <c r="DN9" s="7">
        <v>0.1098129862949979</v>
      </c>
      <c r="DO9" s="7">
        <v>4.2036825231170707E-2</v>
      </c>
      <c r="DP9" s="7">
        <v>8.4566668006112469E-2</v>
      </c>
      <c r="DQ9" s="7">
        <v>-0.11027981086457481</v>
      </c>
      <c r="DR9" s="7">
        <v>9.4328709127723676E-2</v>
      </c>
      <c r="DS9" s="7">
        <v>-7.1906912609422696E-2</v>
      </c>
      <c r="DT9" s="7">
        <v>-9.6236429507091506E-2</v>
      </c>
      <c r="DU9" s="7">
        <v>2.3455494098847921E-3</v>
      </c>
      <c r="DV9" s="7">
        <v>0.13401742358239299</v>
      </c>
      <c r="DW9" s="7">
        <v>9.4732519114383587E-2</v>
      </c>
      <c r="DX9" s="7">
        <v>-0.1037731978548066</v>
      </c>
      <c r="DY9" s="7">
        <v>7.5762154171076845E-2</v>
      </c>
      <c r="DZ9" s="7">
        <v>-3.1829720434029513E-2</v>
      </c>
      <c r="EA9" s="7">
        <v>0.16130801932992569</v>
      </c>
      <c r="EB9" s="7">
        <v>1.020353315832318E-2</v>
      </c>
      <c r="EC9" s="7">
        <v>7.3988425168607055E-2</v>
      </c>
      <c r="ED9" s="7">
        <v>-0.15737687498945321</v>
      </c>
      <c r="EE9" s="7">
        <v>7.9137553498671423E-2</v>
      </c>
      <c r="EF9" s="7">
        <v>7.252854687485949E-2</v>
      </c>
    </row>
    <row r="10" spans="1:136">
      <c r="B10" t="s">
        <v>136</v>
      </c>
      <c r="C10" s="7">
        <v>-0.24758870953733739</v>
      </c>
      <c r="D10" s="7">
        <v>-0.27469330301591988</v>
      </c>
      <c r="E10" s="7">
        <v>-8.4648385226775952E-2</v>
      </c>
      <c r="F10" s="7">
        <v>2.264463125499239E-2</v>
      </c>
      <c r="G10" s="7">
        <v>-4.968000079578011E-2</v>
      </c>
      <c r="H10" s="7">
        <v>-0.100759633161552</v>
      </c>
      <c r="I10" s="7">
        <v>-1.2522721374844691E-2</v>
      </c>
      <c r="J10" s="7">
        <v>7.8736550465264579E-2</v>
      </c>
      <c r="K10" s="7">
        <v>-3.418510024326199E-2</v>
      </c>
      <c r="L10" s="7">
        <v>8.8406797789969321E-2</v>
      </c>
      <c r="M10" s="7">
        <v>-3.063454560011507E-3</v>
      </c>
      <c r="N10" s="7">
        <v>-0.21221799304980321</v>
      </c>
      <c r="O10" s="7">
        <v>-3.6805388582279122E-2</v>
      </c>
      <c r="P10" s="7">
        <v>7.1033118877316462E-2</v>
      </c>
      <c r="Q10" s="7">
        <v>-7.1261132998910126E-2</v>
      </c>
      <c r="R10" s="7">
        <v>2.1560446706208151E-2</v>
      </c>
      <c r="S10" s="7">
        <v>0.10111125807516751</v>
      </c>
      <c r="T10" s="7">
        <v>4.3224739792793003E-2</v>
      </c>
      <c r="U10" s="7">
        <v>1.488194958969411E-2</v>
      </c>
      <c r="V10" s="7">
        <v>6.3260243037239986E-3</v>
      </c>
      <c r="W10" s="7">
        <v>-0.1435529784595129</v>
      </c>
      <c r="X10" s="7">
        <v>-6.4282172013507929E-2</v>
      </c>
      <c r="Y10" s="7">
        <v>-1.9034202878042191E-2</v>
      </c>
      <c r="Z10" s="7">
        <v>-2.0644556245472189E-2</v>
      </c>
      <c r="AA10" s="7">
        <v>3.3059540377865217E-2</v>
      </c>
      <c r="AB10" s="7">
        <v>-1.9418226776777941E-2</v>
      </c>
      <c r="AC10" s="7">
        <v>-6.3126838764061721E-2</v>
      </c>
      <c r="AD10" s="7">
        <v>-6.5629712146108229E-2</v>
      </c>
      <c r="AE10" s="7">
        <v>0.1379956892668254</v>
      </c>
      <c r="AF10" s="7">
        <v>-0.1005679184552228</v>
      </c>
      <c r="AG10" s="7">
        <v>-3.7969091150733998E-2</v>
      </c>
      <c r="AH10" s="7">
        <v>-4.5839537807496208E-2</v>
      </c>
      <c r="AI10" s="7">
        <v>-5.1034095516539722E-2</v>
      </c>
      <c r="AJ10" s="7">
        <v>-3.2204408877165632E-3</v>
      </c>
      <c r="AK10" s="7">
        <v>4.8952958975013116E-4</v>
      </c>
      <c r="AL10" s="7">
        <v>-0.1064467536119352</v>
      </c>
      <c r="AM10" s="7">
        <v>-1.3723973583554899E-2</v>
      </c>
      <c r="AN10" s="7">
        <v>-0.1219647076543238</v>
      </c>
      <c r="AO10" s="7">
        <v>-4.858966597382592E-2</v>
      </c>
      <c r="AP10" s="7">
        <v>-1.903150433663008E-3</v>
      </c>
      <c r="AQ10" s="7">
        <v>2.9067484813314101E-2</v>
      </c>
      <c r="AR10" s="7">
        <v>5.2635776863899968E-2</v>
      </c>
      <c r="AS10" s="7">
        <v>-1.289325857571229E-2</v>
      </c>
      <c r="AT10" s="7">
        <v>-2.131134772842519E-3</v>
      </c>
      <c r="AU10" s="7">
        <v>-0.15538438197178719</v>
      </c>
      <c r="AV10" s="7">
        <v>1.268178414302561E-2</v>
      </c>
      <c r="AW10" s="7">
        <v>-1.1942321618877561E-2</v>
      </c>
      <c r="AX10" s="7">
        <v>-4.2537914968475456E-3</v>
      </c>
      <c r="AY10" s="7">
        <v>2.930087158954232E-2</v>
      </c>
      <c r="AZ10" s="7">
        <v>-0.13412750113921701</v>
      </c>
      <c r="BA10" s="7">
        <v>-0.13711152966130111</v>
      </c>
      <c r="BB10" s="7">
        <v>1.7546605068716691E-3</v>
      </c>
      <c r="BC10" s="7">
        <v>2.5117126105990401E-2</v>
      </c>
      <c r="BD10" s="7">
        <v>-0.11960190660895841</v>
      </c>
      <c r="BE10" s="7">
        <v>0.1357616496399312</v>
      </c>
      <c r="BF10" s="7">
        <v>4.7091161676368357E-2</v>
      </c>
      <c r="BG10" s="7">
        <v>-2.605004393557599E-2</v>
      </c>
      <c r="BH10" s="7">
        <v>4.3752773670266483E-2</v>
      </c>
      <c r="BI10" s="7">
        <v>-8.1391827895093402E-2</v>
      </c>
      <c r="BJ10" s="7">
        <v>-0.10060082155953699</v>
      </c>
      <c r="BK10" s="7">
        <v>9.0490079041763594E-2</v>
      </c>
      <c r="BL10" s="7">
        <v>-3.0898458704964389E-2</v>
      </c>
      <c r="BM10" s="7">
        <v>5.8814186622603987E-2</v>
      </c>
      <c r="BN10" s="7">
        <v>8.1345639246770615E-2</v>
      </c>
      <c r="BO10" s="7">
        <v>-7.7164168976593351E-3</v>
      </c>
      <c r="BP10" s="7">
        <v>0.1067348704344353</v>
      </c>
      <c r="BQ10" s="7">
        <v>-2.7156341096342261E-2</v>
      </c>
      <c r="BR10" s="7">
        <v>-5.4431018659150447E-2</v>
      </c>
      <c r="BS10" s="7">
        <v>-6.822927751511014E-2</v>
      </c>
      <c r="BT10" s="7">
        <v>9.8612222991557266E-2</v>
      </c>
      <c r="BU10" s="7">
        <v>0.1283985422991091</v>
      </c>
      <c r="BV10" s="7">
        <v>-7.8402519476778718E-2</v>
      </c>
      <c r="BW10" s="7">
        <v>-0.1191337216524913</v>
      </c>
      <c r="BX10" s="7">
        <v>-4.6890096077604589E-2</v>
      </c>
      <c r="BY10" s="7">
        <v>0.10169834364209621</v>
      </c>
      <c r="BZ10" s="7">
        <v>-2.5680084240218899E-2</v>
      </c>
      <c r="CA10" s="7">
        <v>-8.3301790010408508E-2</v>
      </c>
      <c r="CB10" s="7">
        <v>-0.15782764847875469</v>
      </c>
      <c r="CC10" s="7">
        <v>-7.1052571704280934E-2</v>
      </c>
      <c r="CD10" s="7">
        <v>-7.3875492145199798E-2</v>
      </c>
      <c r="CE10" s="7">
        <v>-0.23678647002516851</v>
      </c>
      <c r="CF10" s="7">
        <v>3.2627706277002622E-2</v>
      </c>
      <c r="CG10" s="7">
        <v>1.3423084626575861E-2</v>
      </c>
      <c r="CH10" s="7">
        <v>-2.7966658799032269E-3</v>
      </c>
      <c r="CI10" s="7">
        <v>4.7925699911805238E-2</v>
      </c>
      <c r="CJ10" s="7">
        <v>-3.2520192681292038E-3</v>
      </c>
      <c r="CK10" s="7">
        <v>-7.570819035307215E-2</v>
      </c>
      <c r="CL10" s="7">
        <v>-4.439725585073561E-2</v>
      </c>
      <c r="CM10" s="7">
        <v>0.17898858319392719</v>
      </c>
      <c r="CN10" s="7">
        <v>5.799426642317386E-2</v>
      </c>
      <c r="CO10" s="7">
        <v>-0.13939018969183081</v>
      </c>
      <c r="CP10" s="7">
        <v>6.4714670503515537E-2</v>
      </c>
      <c r="CQ10" s="7">
        <v>-0.18118788880647541</v>
      </c>
      <c r="CR10" s="7">
        <v>-8.8633532328162568E-2</v>
      </c>
      <c r="CS10" s="7">
        <v>-2.532177470861038E-2</v>
      </c>
      <c r="CT10" s="7">
        <v>-0.11307907407472829</v>
      </c>
      <c r="CU10" s="7">
        <v>8.095957294189474E-3</v>
      </c>
      <c r="CV10" s="7">
        <v>-4.5200208394220349E-2</v>
      </c>
      <c r="CW10" s="7">
        <v>-5.8941225467328592E-2</v>
      </c>
      <c r="CX10" s="7">
        <v>-0.1077283016776811</v>
      </c>
      <c r="CY10" s="7">
        <v>-9.6503499496267492E-2</v>
      </c>
      <c r="CZ10" s="7">
        <v>-0.2103543453191653</v>
      </c>
      <c r="DA10" s="7">
        <v>-0.10996113735654101</v>
      </c>
      <c r="DB10" s="7">
        <v>-0.1908204716293295</v>
      </c>
      <c r="DC10" s="7">
        <v>-2.0727272402408872E-2</v>
      </c>
      <c r="DD10" s="7">
        <v>8.7029095351123936E-2</v>
      </c>
      <c r="DE10" s="7">
        <v>8.2024592921593045E-2</v>
      </c>
      <c r="DF10" s="7">
        <v>-0.166876664789437</v>
      </c>
      <c r="DG10" s="7">
        <v>0.22243808581717431</v>
      </c>
      <c r="DH10" s="7">
        <v>-0.144297746243673</v>
      </c>
      <c r="DI10" s="7">
        <v>-0.1196199522370443</v>
      </c>
      <c r="DJ10" s="7">
        <v>-0.10159274396951661</v>
      </c>
      <c r="DK10" s="7">
        <v>9.2855058740681395E-2</v>
      </c>
      <c r="DL10" s="7">
        <v>-4.2630490096108087E-2</v>
      </c>
      <c r="DM10" s="7">
        <v>8.2732072899953643E-2</v>
      </c>
      <c r="DN10" s="7">
        <v>-3.1049452465540091E-2</v>
      </c>
      <c r="DO10" s="7">
        <v>-9.8141990492640205E-2</v>
      </c>
      <c r="DP10" s="7">
        <v>-0.13058888143944061</v>
      </c>
      <c r="DQ10" s="7">
        <v>4.8655718251279387E-2</v>
      </c>
      <c r="DR10" s="7">
        <v>-3.9251909935401189E-2</v>
      </c>
      <c r="DS10" s="7">
        <v>-0.1610301993932845</v>
      </c>
      <c r="DT10" s="7">
        <v>-7.8883966483063367E-2</v>
      </c>
      <c r="DU10" s="7">
        <v>0.16407715854109439</v>
      </c>
      <c r="DV10" s="7">
        <v>7.5052515397744431E-3</v>
      </c>
      <c r="DW10" s="7">
        <v>-0.1016452501185193</v>
      </c>
      <c r="DX10" s="7">
        <v>-5.6040292492535823E-2</v>
      </c>
      <c r="DY10" s="7">
        <v>-0.1066566396478186</v>
      </c>
      <c r="DZ10" s="7">
        <v>-6.9186575508287662E-2</v>
      </c>
      <c r="EA10" s="7">
        <v>-0.12618865773840809</v>
      </c>
      <c r="EB10" s="7">
        <v>-6.4737118328050736E-2</v>
      </c>
      <c r="EC10" s="7">
        <v>5.142607344157852E-2</v>
      </c>
      <c r="ED10" s="7">
        <v>3.4496728436731378E-2</v>
      </c>
      <c r="EE10" s="7">
        <v>0.15767759835539891</v>
      </c>
      <c r="EF10" s="7">
        <v>-0.12718001699129389</v>
      </c>
    </row>
    <row r="11" spans="1:136">
      <c r="B11" t="s">
        <v>137</v>
      </c>
      <c r="C11" s="7">
        <v>-5.4244781267602057E-2</v>
      </c>
      <c r="D11" s="7">
        <v>4.5377022463556939E-2</v>
      </c>
      <c r="E11" s="7">
        <v>-1.7752272607948309E-2</v>
      </c>
      <c r="F11" s="7">
        <v>-8.7687354470119203E-2</v>
      </c>
      <c r="G11" s="7">
        <v>0.1027592597916023</v>
      </c>
      <c r="H11" s="7">
        <v>2.5113717342445511E-3</v>
      </c>
      <c r="I11" s="7">
        <v>-1.8303552483615069E-2</v>
      </c>
      <c r="J11" s="7">
        <v>2.2110525104917209E-2</v>
      </c>
      <c r="K11" s="7">
        <v>7.7258045731841044E-2</v>
      </c>
      <c r="L11" s="7">
        <v>9.3440783982297517E-3</v>
      </c>
      <c r="M11" s="7">
        <v>5.3602181204841143E-2</v>
      </c>
      <c r="N11" s="7">
        <v>-6.7877357290963961E-2</v>
      </c>
      <c r="O11" s="7">
        <v>6.4929886491987929E-2</v>
      </c>
      <c r="P11" s="7">
        <v>4.8806817542238106E-3</v>
      </c>
      <c r="Q11" s="7">
        <v>1.919781824762783E-2</v>
      </c>
      <c r="R11" s="7">
        <v>-5.4653492448842392E-3</v>
      </c>
      <c r="S11" s="7">
        <v>3.6551467134004201E-2</v>
      </c>
      <c r="T11" s="7">
        <v>0.12918506866843241</v>
      </c>
      <c r="U11" s="7">
        <v>1.369240766293847E-2</v>
      </c>
      <c r="V11" s="7">
        <v>1.529525194063162E-2</v>
      </c>
      <c r="W11" s="7">
        <v>-0.10468571910271469</v>
      </c>
      <c r="X11" s="7">
        <v>-0.29384805056845642</v>
      </c>
      <c r="Y11" s="7">
        <v>5.9212485033458218E-2</v>
      </c>
      <c r="Z11" s="7">
        <v>-0.18494831245363619</v>
      </c>
      <c r="AA11" s="7">
        <v>9.8247438772127521E-2</v>
      </c>
      <c r="AB11" s="7">
        <v>-6.5734107189282197E-4</v>
      </c>
      <c r="AC11" s="7">
        <v>-0.1036861156532312</v>
      </c>
      <c r="AD11" s="7">
        <v>3.5450938075395509E-3</v>
      </c>
      <c r="AE11" s="7">
        <v>0.17560148677061019</v>
      </c>
      <c r="AF11" s="7">
        <v>-0.1550331010885124</v>
      </c>
      <c r="AG11" s="7">
        <v>-2.6328625232284051E-2</v>
      </c>
      <c r="AH11" s="7">
        <v>-4.9988101579694936E-3</v>
      </c>
      <c r="AI11" s="7">
        <v>2.8067714594873169E-2</v>
      </c>
      <c r="AJ11" s="7">
        <v>-2.2384193940381401E-2</v>
      </c>
      <c r="AK11" s="7">
        <v>-4.7020825392250949E-2</v>
      </c>
      <c r="AL11" s="7">
        <v>-0.10156151199043489</v>
      </c>
      <c r="AM11" s="7">
        <v>2.3525148704495701E-2</v>
      </c>
      <c r="AN11" s="7">
        <v>5.2525230105422573E-2</v>
      </c>
      <c r="AO11" s="7">
        <v>5.8502893637957562E-2</v>
      </c>
      <c r="AP11" s="7">
        <v>3.3447356041428761E-2</v>
      </c>
      <c r="AQ11" s="7">
        <v>1.430036545094069E-2</v>
      </c>
      <c r="AR11" s="7">
        <v>3.5903594729592501E-2</v>
      </c>
      <c r="AS11" s="7">
        <v>3.9782285287992311E-2</v>
      </c>
      <c r="AT11" s="7">
        <v>0.1484561956282951</v>
      </c>
      <c r="AU11" s="7">
        <v>-4.078729487218978E-2</v>
      </c>
      <c r="AV11" s="7">
        <v>0.13895895413073689</v>
      </c>
      <c r="AW11" s="7">
        <v>5.9863283397122782E-2</v>
      </c>
      <c r="AX11" s="7">
        <v>-0.1497898129881709</v>
      </c>
      <c r="AY11" s="7">
        <v>6.1595851435820623E-2</v>
      </c>
      <c r="AZ11" s="7">
        <v>-6.1949751488506538E-2</v>
      </c>
      <c r="BA11" s="7">
        <v>-2.389264381020083E-3</v>
      </c>
      <c r="BB11" s="7">
        <v>-0.14887029613688371</v>
      </c>
      <c r="BC11" s="7">
        <v>6.0350517971681748E-2</v>
      </c>
      <c r="BD11" s="7">
        <v>-1.468575255625916E-2</v>
      </c>
      <c r="BE11" s="7">
        <v>-0.14651529968819679</v>
      </c>
      <c r="BF11" s="7">
        <v>-0.2087626486148127</v>
      </c>
      <c r="BG11" s="7">
        <v>-0.20144325578474859</v>
      </c>
      <c r="BH11" s="7">
        <v>-0.11804991677814031</v>
      </c>
      <c r="BI11" s="7">
        <v>-7.7026576071686378E-2</v>
      </c>
      <c r="BJ11" s="7">
        <v>-3.6220317042829728E-2</v>
      </c>
      <c r="BK11" s="7">
        <v>-1.8907268725092598E-2</v>
      </c>
      <c r="BL11" s="7">
        <v>-0.17125563757433929</v>
      </c>
      <c r="BM11" s="7">
        <v>0.13291749710961351</v>
      </c>
      <c r="BN11" s="7">
        <v>-3.5907701607395578E-2</v>
      </c>
      <c r="BO11" s="7">
        <v>2.1344518209370389E-2</v>
      </c>
      <c r="BP11" s="7">
        <v>4.9634822871427897E-2</v>
      </c>
      <c r="BQ11" s="7">
        <v>-1.7211216417584319E-2</v>
      </c>
      <c r="BR11" s="7">
        <v>0.18982724311105359</v>
      </c>
      <c r="BS11" s="7">
        <v>-9.7605037382284945E-2</v>
      </c>
      <c r="BT11" s="7">
        <v>3.7831444138355132E-2</v>
      </c>
      <c r="BU11" s="7">
        <v>5.6008305208474198E-2</v>
      </c>
      <c r="BV11" s="7">
        <v>-0.1167370363031352</v>
      </c>
      <c r="BW11" s="7">
        <v>-0.1413229882478122</v>
      </c>
      <c r="BX11" s="7">
        <v>-3.3770258788579869E-3</v>
      </c>
      <c r="BY11" s="7">
        <v>0.13033606071126891</v>
      </c>
      <c r="BZ11" s="7">
        <v>3.1697731081681189E-2</v>
      </c>
      <c r="CA11" s="7">
        <v>4.0555037474470507E-2</v>
      </c>
      <c r="CB11" s="7">
        <v>-4.2037331365292897E-2</v>
      </c>
      <c r="CC11" s="7">
        <v>5.0013723389441531E-2</v>
      </c>
      <c r="CD11" s="7">
        <v>-6.8456279312897411E-2</v>
      </c>
      <c r="CE11" s="7">
        <v>-8.0832090081974353E-2</v>
      </c>
      <c r="CF11" s="7">
        <v>-1.948310790200239E-3</v>
      </c>
      <c r="CG11" s="7">
        <v>-0.1182090018050031</v>
      </c>
      <c r="CH11" s="7">
        <v>-3.67198859644461E-2</v>
      </c>
      <c r="CI11" s="7">
        <v>-8.3332793120616616E-2</v>
      </c>
      <c r="CJ11" s="7">
        <v>0.23067286701975129</v>
      </c>
      <c r="CK11" s="7">
        <v>0.1327785225954993</v>
      </c>
      <c r="CL11" s="7">
        <v>0.1412873189704931</v>
      </c>
      <c r="CM11" s="7">
        <v>-0.11268938730850959</v>
      </c>
      <c r="CN11" s="7">
        <v>0.22348855763592371</v>
      </c>
      <c r="CO11" s="7">
        <v>-0.10441916957268479</v>
      </c>
      <c r="CP11" s="7">
        <v>-1.442822447791231E-2</v>
      </c>
      <c r="CQ11" s="7">
        <v>-0.20723337326778599</v>
      </c>
      <c r="CR11" s="7">
        <v>-0.1348638695123113</v>
      </c>
      <c r="CS11" s="7">
        <v>7.3007738807373504E-2</v>
      </c>
      <c r="CT11" s="7">
        <v>-3.0218378407130288E-2</v>
      </c>
      <c r="CU11" s="7">
        <v>-0.28688917437274702</v>
      </c>
      <c r="CV11" s="7">
        <v>0.2307305381875536</v>
      </c>
      <c r="CW11" s="7">
        <v>9.1075698514216888E-2</v>
      </c>
      <c r="CX11" s="7">
        <v>-0.1224857321642277</v>
      </c>
      <c r="CY11" s="7">
        <v>7.8381925305362449E-2</v>
      </c>
      <c r="CZ11" s="7">
        <v>-4.5950103566863888E-2</v>
      </c>
      <c r="DA11" s="7">
        <v>8.2670164530151122E-2</v>
      </c>
      <c r="DB11" s="7">
        <v>0.14934927010032351</v>
      </c>
      <c r="DC11" s="7">
        <v>-4.7798705164587528E-2</v>
      </c>
      <c r="DD11" s="7">
        <v>-0.1645134604307108</v>
      </c>
      <c r="DE11" s="7">
        <v>-0.1105683533423189</v>
      </c>
      <c r="DF11" s="7">
        <v>5.7416867202733347E-2</v>
      </c>
      <c r="DG11" s="7">
        <v>-0.21489021548963169</v>
      </c>
      <c r="DH11" s="7">
        <v>6.2997155047871164E-2</v>
      </c>
      <c r="DI11" s="7">
        <v>6.7721109014009601E-2</v>
      </c>
      <c r="DJ11" s="7">
        <v>0.1188020770386063</v>
      </c>
      <c r="DK11" s="7">
        <v>7.2827306455158416E-3</v>
      </c>
      <c r="DL11" s="7">
        <v>7.1320599005857979E-2</v>
      </c>
      <c r="DM11" s="7">
        <v>2.1021900655620821E-2</v>
      </c>
      <c r="DN11" s="7">
        <v>-3.0403223939335849E-2</v>
      </c>
      <c r="DO11" s="7">
        <v>-9.694965661135331E-2</v>
      </c>
      <c r="DP11" s="7">
        <v>-0.23067649178859881</v>
      </c>
      <c r="DQ11" s="7">
        <v>0.238184312236043</v>
      </c>
      <c r="DR11" s="7">
        <v>3.5748752036958448E-3</v>
      </c>
      <c r="DS11" s="7">
        <v>0.13395561672683809</v>
      </c>
      <c r="DT11" s="7">
        <v>0.11510609642796051</v>
      </c>
      <c r="DU11" s="7">
        <v>0.1040797891887878</v>
      </c>
      <c r="DV11" s="7">
        <v>-5.4611063064875308E-2</v>
      </c>
      <c r="DW11" s="7">
        <v>-3.3290193961398547E-2</v>
      </c>
      <c r="DX11" s="7">
        <v>5.5094916778075383E-2</v>
      </c>
      <c r="DY11" s="7">
        <v>6.8793773385234666E-2</v>
      </c>
      <c r="DZ11" s="7">
        <v>1.4480773118257949E-2</v>
      </c>
      <c r="EA11" s="7">
        <v>-0.29313654086030699</v>
      </c>
      <c r="EB11" s="7">
        <v>-0.14097501940218221</v>
      </c>
      <c r="EC11" s="7">
        <v>-1.2209361583162239E-2</v>
      </c>
      <c r="ED11" s="7">
        <v>5.816768758959897E-2</v>
      </c>
      <c r="EE11" s="7">
        <v>-0.14440301349005499</v>
      </c>
      <c r="EF11" s="7">
        <v>-9.7009034240055067E-2</v>
      </c>
    </row>
    <row r="13" spans="1:136">
      <c r="A13" s="8" t="s">
        <v>204</v>
      </c>
      <c r="B13" s="8" t="s">
        <v>135</v>
      </c>
      <c r="C13" s="5">
        <f t="shared" ref="C13:AH13" si="0">(C3-C9)^2</f>
        <v>9.0391679315722159E-4</v>
      </c>
      <c r="D13" s="5">
        <f t="shared" si="0"/>
        <v>2.7310405807073373E-2</v>
      </c>
      <c r="E13" s="5">
        <f t="shared" si="0"/>
        <v>2.6742239641021305E-3</v>
      </c>
      <c r="F13" s="5">
        <f t="shared" si="0"/>
        <v>2.7661020753827335E-4</v>
      </c>
      <c r="G13" s="5">
        <f t="shared" si="0"/>
        <v>5.4838058650652354E-6</v>
      </c>
      <c r="H13" s="5">
        <f t="shared" si="0"/>
        <v>4.1993207381433228E-3</v>
      </c>
      <c r="I13" s="5">
        <f t="shared" si="0"/>
        <v>0.14459743292642124</v>
      </c>
      <c r="J13" s="5">
        <f t="shared" si="0"/>
        <v>2.6343721184316615E-2</v>
      </c>
      <c r="K13" s="5">
        <f t="shared" si="0"/>
        <v>6.1457832679454689E-4</v>
      </c>
      <c r="L13" s="5">
        <f t="shared" si="0"/>
        <v>4.5499763125976967E-3</v>
      </c>
      <c r="M13" s="5">
        <f t="shared" si="0"/>
        <v>2.474243870712012E-4</v>
      </c>
      <c r="N13" s="5">
        <f t="shared" si="0"/>
        <v>0.11598860423399783</v>
      </c>
      <c r="O13" s="5">
        <f t="shared" si="0"/>
        <v>8.7368203941756248E-2</v>
      </c>
      <c r="P13" s="5">
        <f t="shared" si="0"/>
        <v>4.2244497524287494E-2</v>
      </c>
      <c r="Q13" s="5">
        <f t="shared" si="0"/>
        <v>2.0331669262825276E-3</v>
      </c>
      <c r="R13" s="5">
        <f t="shared" si="0"/>
        <v>2.8007296278752526E-2</v>
      </c>
      <c r="S13" s="5">
        <f t="shared" si="0"/>
        <v>5.2944737377685125E-2</v>
      </c>
      <c r="T13" s="5">
        <f t="shared" si="0"/>
        <v>6.7917622313113475E-4</v>
      </c>
      <c r="U13" s="5">
        <f t="shared" si="0"/>
        <v>5.0588824615015654E-2</v>
      </c>
      <c r="V13" s="5">
        <f t="shared" si="0"/>
        <v>6.268599656215723E-3</v>
      </c>
      <c r="W13" s="5">
        <f t="shared" si="0"/>
        <v>2.0633104186514673E-3</v>
      </c>
      <c r="X13" s="5">
        <f t="shared" si="0"/>
        <v>5.5508190959112316E-2</v>
      </c>
      <c r="Y13" s="5">
        <f t="shared" si="0"/>
        <v>0.16322578145118558</v>
      </c>
      <c r="Z13" s="5">
        <f t="shared" si="0"/>
        <v>7.8369201446870651E-3</v>
      </c>
      <c r="AA13" s="5">
        <f t="shared" si="0"/>
        <v>0.32498869213045434</v>
      </c>
      <c r="AB13" s="5">
        <f t="shared" si="0"/>
        <v>9.4859392792584443E-2</v>
      </c>
      <c r="AC13" s="5">
        <f t="shared" si="0"/>
        <v>8.1827736123153919E-3</v>
      </c>
      <c r="AD13" s="5">
        <f t="shared" si="0"/>
        <v>7.7558186276853539E-5</v>
      </c>
      <c r="AE13" s="5">
        <f t="shared" si="0"/>
        <v>2.1284999661477948E-2</v>
      </c>
      <c r="AF13" s="5">
        <f t="shared" si="0"/>
        <v>1.3507499230455203E-2</v>
      </c>
      <c r="AG13" s="5">
        <f t="shared" si="0"/>
        <v>9.6444165589426841E-5</v>
      </c>
      <c r="AH13" s="5">
        <f t="shared" si="0"/>
        <v>5.075726718102672E-3</v>
      </c>
      <c r="AI13" s="5">
        <f t="shared" ref="AI13:BN13" si="1">(AI3-AI9)^2</f>
        <v>1.7124763333233036E-2</v>
      </c>
      <c r="AJ13" s="5">
        <f t="shared" si="1"/>
        <v>1.618837009918662E-3</v>
      </c>
      <c r="AK13" s="5">
        <f t="shared" si="1"/>
        <v>3.5082047394486881E-3</v>
      </c>
      <c r="AL13" s="5">
        <f t="shared" si="1"/>
        <v>2.1076402875230563E-2</v>
      </c>
      <c r="AM13" s="5">
        <f t="shared" si="1"/>
        <v>1.2190824434851857E-3</v>
      </c>
      <c r="AN13" s="5">
        <f t="shared" si="1"/>
        <v>1.8354896612627852E-4</v>
      </c>
      <c r="AO13" s="5">
        <f t="shared" si="1"/>
        <v>1.9829057409552188E-2</v>
      </c>
      <c r="AP13" s="5">
        <f t="shared" si="1"/>
        <v>1.1768961756753982E-2</v>
      </c>
      <c r="AQ13" s="5">
        <f t="shared" si="1"/>
        <v>3.502332191919983E-2</v>
      </c>
      <c r="AR13" s="5">
        <f t="shared" si="1"/>
        <v>2.3250219164638775E-3</v>
      </c>
      <c r="AS13" s="5">
        <f t="shared" si="1"/>
        <v>1.1417645355385421E-2</v>
      </c>
      <c r="AT13" s="5">
        <f t="shared" si="1"/>
        <v>9.5732445843805455E-3</v>
      </c>
      <c r="AU13" s="5">
        <f t="shared" si="1"/>
        <v>5.6591589473239378E-6</v>
      </c>
      <c r="AV13" s="5">
        <f t="shared" si="1"/>
        <v>9.2880816293050231E-3</v>
      </c>
      <c r="AW13" s="5">
        <f t="shared" si="1"/>
        <v>4.0265170325304363E-2</v>
      </c>
      <c r="AX13" s="5">
        <f t="shared" si="1"/>
        <v>1.9259001369251311E-3</v>
      </c>
      <c r="AY13" s="5">
        <f t="shared" si="1"/>
        <v>4.5417600662925181E-3</v>
      </c>
      <c r="AZ13" s="5">
        <f t="shared" si="1"/>
        <v>1.4094036062458726E-3</v>
      </c>
      <c r="BA13" s="5">
        <f t="shared" si="1"/>
        <v>2.587878754365849E-2</v>
      </c>
      <c r="BB13" s="5">
        <f t="shared" si="1"/>
        <v>5.0421393750411277E-2</v>
      </c>
      <c r="BC13" s="5">
        <f t="shared" si="1"/>
        <v>1.5956777102515265E-2</v>
      </c>
      <c r="BD13" s="5">
        <f t="shared" si="1"/>
        <v>2.5341888645961968E-2</v>
      </c>
      <c r="BE13" s="5">
        <f t="shared" si="1"/>
        <v>3.9707226061349792E-2</v>
      </c>
      <c r="BF13" s="5">
        <f t="shared" si="1"/>
        <v>2.157123127914036E-2</v>
      </c>
      <c r="BG13" s="5">
        <f t="shared" si="1"/>
        <v>2.4466366013106877E-2</v>
      </c>
      <c r="BH13" s="5">
        <f t="shared" si="1"/>
        <v>4.3719440073452034E-2</v>
      </c>
      <c r="BI13" s="5">
        <f t="shared" si="1"/>
        <v>1.6667249678667651E-3</v>
      </c>
      <c r="BJ13" s="5">
        <f t="shared" si="1"/>
        <v>2.7371839804797354E-3</v>
      </c>
      <c r="BK13" s="5">
        <f t="shared" si="1"/>
        <v>2.7985266423321185E-2</v>
      </c>
      <c r="BL13" s="5">
        <f t="shared" si="1"/>
        <v>1.3898346507577646E-2</v>
      </c>
      <c r="BM13" s="5">
        <f t="shared" si="1"/>
        <v>1.3527238831160774E-2</v>
      </c>
      <c r="BN13" s="5">
        <f t="shared" si="1"/>
        <v>9.8703679536494291E-6</v>
      </c>
      <c r="BO13" s="5">
        <f t="shared" ref="BO13:CT13" si="2">(BO3-BO9)^2</f>
        <v>5.2815906925033233E-2</v>
      </c>
      <c r="BP13" s="5">
        <f t="shared" si="2"/>
        <v>3.5500530907517703E-3</v>
      </c>
      <c r="BQ13" s="5">
        <f t="shared" si="2"/>
        <v>2.307742953134876E-2</v>
      </c>
      <c r="BR13" s="5">
        <f t="shared" si="2"/>
        <v>4.4349862237856773E-2</v>
      </c>
      <c r="BS13" s="5">
        <f t="shared" si="2"/>
        <v>2.0481578394669062E-2</v>
      </c>
      <c r="BT13" s="5">
        <f t="shared" si="2"/>
        <v>9.808780949401635E-3</v>
      </c>
      <c r="BU13" s="5">
        <f t="shared" si="2"/>
        <v>7.8035846723622064E-3</v>
      </c>
      <c r="BV13" s="5">
        <f t="shared" si="2"/>
        <v>7.5694984033156595E-3</v>
      </c>
      <c r="BW13" s="5">
        <f t="shared" si="2"/>
        <v>1.9915669925852461E-2</v>
      </c>
      <c r="BX13" s="5">
        <f t="shared" si="2"/>
        <v>1.2179275778699129E-2</v>
      </c>
      <c r="BY13" s="5">
        <f t="shared" si="2"/>
        <v>3.7995138101937533E-2</v>
      </c>
      <c r="BZ13" s="5">
        <f t="shared" si="2"/>
        <v>6.4683420284310872E-2</v>
      </c>
      <c r="CA13" s="5">
        <f t="shared" si="2"/>
        <v>3.3236126922636479E-2</v>
      </c>
      <c r="CB13" s="5">
        <f t="shared" si="2"/>
        <v>4.4746160467530625E-2</v>
      </c>
      <c r="CC13" s="5">
        <f t="shared" si="2"/>
        <v>1.1174640354613692E-2</v>
      </c>
      <c r="CD13" s="5">
        <f t="shared" si="2"/>
        <v>2.4786705356615056E-2</v>
      </c>
      <c r="CE13" s="5">
        <f t="shared" si="2"/>
        <v>2.6465316881557874E-2</v>
      </c>
      <c r="CF13" s="5">
        <f t="shared" si="2"/>
        <v>4.662090021601998E-2</v>
      </c>
      <c r="CG13" s="5">
        <f t="shared" si="2"/>
        <v>7.0036210847148845E-8</v>
      </c>
      <c r="CH13" s="5">
        <f t="shared" si="2"/>
        <v>8.1738854318411137E-3</v>
      </c>
      <c r="CI13" s="5">
        <f t="shared" si="2"/>
        <v>3.3897751949617583E-2</v>
      </c>
      <c r="CJ13" s="5">
        <f t="shared" si="2"/>
        <v>0.15562745412808507</v>
      </c>
      <c r="CK13" s="5">
        <f t="shared" si="2"/>
        <v>2.7542177493239284E-2</v>
      </c>
      <c r="CL13" s="5">
        <f t="shared" si="2"/>
        <v>9.4276219243447687E-2</v>
      </c>
      <c r="CM13" s="5">
        <f t="shared" si="2"/>
        <v>3.7701916166609915E-2</v>
      </c>
      <c r="CN13" s="5">
        <f t="shared" si="2"/>
        <v>0.13415136138235878</v>
      </c>
      <c r="CO13" s="5">
        <f t="shared" si="2"/>
        <v>5.6581507169564159E-3</v>
      </c>
      <c r="CP13" s="5">
        <f t="shared" si="2"/>
        <v>5.1492587508656713E-2</v>
      </c>
      <c r="CQ13" s="5">
        <f t="shared" si="2"/>
        <v>1.5115018527348063E-3</v>
      </c>
      <c r="CR13" s="5">
        <f t="shared" si="2"/>
        <v>5.9127119683872065E-3</v>
      </c>
      <c r="CS13" s="5">
        <f t="shared" si="2"/>
        <v>1.6196824659514753E-4</v>
      </c>
      <c r="CT13" s="5">
        <f t="shared" si="2"/>
        <v>5.6751571403068515E-4</v>
      </c>
      <c r="CU13" s="5">
        <f t="shared" ref="CU13:DZ13" si="3">(CU3-CU9)^2</f>
        <v>2.2534147951584559E-2</v>
      </c>
      <c r="CV13" s="5">
        <f t="shared" si="3"/>
        <v>3.4969755217888264E-4</v>
      </c>
      <c r="CW13" s="5">
        <f t="shared" si="3"/>
        <v>2.2892111846356651E-6</v>
      </c>
      <c r="CX13" s="5">
        <f t="shared" si="3"/>
        <v>3.7339725887365109E-2</v>
      </c>
      <c r="CY13" s="5">
        <f t="shared" si="3"/>
        <v>2.5586490340072997E-3</v>
      </c>
      <c r="CZ13" s="5">
        <f t="shared" si="3"/>
        <v>1.4447243862517743E-2</v>
      </c>
      <c r="DA13" s="5">
        <f t="shared" si="3"/>
        <v>0.13681223698786302</v>
      </c>
      <c r="DB13" s="5">
        <f t="shared" si="3"/>
        <v>2.0056519828847864E-2</v>
      </c>
      <c r="DC13" s="5">
        <f t="shared" si="3"/>
        <v>9.1038551418384336E-2</v>
      </c>
      <c r="DD13" s="5">
        <f t="shared" si="3"/>
        <v>5.9194023078691468E-2</v>
      </c>
      <c r="DE13" s="5">
        <f t="shared" si="3"/>
        <v>2.877898105064957E-2</v>
      </c>
      <c r="DF13" s="5">
        <f t="shared" si="3"/>
        <v>8.4772066895503467E-3</v>
      </c>
      <c r="DG13" s="5">
        <f t="shared" si="3"/>
        <v>1.0937563948499131E-5</v>
      </c>
      <c r="DH13" s="5">
        <f t="shared" si="3"/>
        <v>9.5279985396636176E-4</v>
      </c>
      <c r="DI13" s="5">
        <f t="shared" si="3"/>
        <v>9.8864509246436669E-3</v>
      </c>
      <c r="DJ13" s="5">
        <f t="shared" si="3"/>
        <v>9.2119523496587592E-3</v>
      </c>
      <c r="DK13" s="5">
        <f t="shared" si="3"/>
        <v>9.0535687743512842E-3</v>
      </c>
      <c r="DL13" s="5">
        <f t="shared" si="3"/>
        <v>2.7573619858575747E-3</v>
      </c>
      <c r="DM13" s="5">
        <f t="shared" si="3"/>
        <v>1.1405537726615757E-3</v>
      </c>
      <c r="DN13" s="5">
        <f t="shared" si="3"/>
        <v>6.6590715259116718E-3</v>
      </c>
      <c r="DO13" s="5">
        <f t="shared" si="3"/>
        <v>1.2579263440044963E-2</v>
      </c>
      <c r="DP13" s="5">
        <f t="shared" si="3"/>
        <v>5.8370334452997746E-3</v>
      </c>
      <c r="DQ13" s="5">
        <f t="shared" si="3"/>
        <v>7.0254271472740798E-2</v>
      </c>
      <c r="DR13" s="5">
        <f t="shared" si="3"/>
        <v>4.1099407791975365E-2</v>
      </c>
      <c r="DS13" s="5">
        <f t="shared" si="3"/>
        <v>3.424926675608967E-2</v>
      </c>
      <c r="DT13" s="5">
        <f t="shared" si="3"/>
        <v>1.8592919822218837E-5</v>
      </c>
      <c r="DU13" s="5">
        <f t="shared" si="3"/>
        <v>4.69177853906373E-3</v>
      </c>
      <c r="DV13" s="5">
        <f t="shared" si="3"/>
        <v>4.3262564399232872E-2</v>
      </c>
      <c r="DW13" s="5">
        <f t="shared" si="3"/>
        <v>7.9040471965973586E-4</v>
      </c>
      <c r="DX13" s="5">
        <f t="shared" si="3"/>
        <v>2.9913098981942294E-2</v>
      </c>
      <c r="DY13" s="5">
        <f t="shared" si="3"/>
        <v>3.1604494414624179E-2</v>
      </c>
      <c r="DZ13" s="5">
        <f t="shared" si="3"/>
        <v>8.7917989573719116E-2</v>
      </c>
      <c r="EA13" s="5">
        <f t="shared" ref="EA13:EF13" si="4">(EA3-EA9)^2</f>
        <v>6.2727248697154972E-2</v>
      </c>
      <c r="EB13" s="5">
        <f t="shared" si="4"/>
        <v>3.4068751799008819E-2</v>
      </c>
      <c r="EC13" s="5">
        <f t="shared" si="4"/>
        <v>1.081212920755034E-2</v>
      </c>
      <c r="ED13" s="5">
        <f t="shared" si="4"/>
        <v>3.4645107407441852E-2</v>
      </c>
      <c r="EE13" s="5">
        <f t="shared" si="4"/>
        <v>2.76583231431448E-2</v>
      </c>
      <c r="EF13" s="5">
        <f t="shared" si="4"/>
        <v>8.7620220083636027E-3</v>
      </c>
    </row>
    <row r="14" spans="1:136">
      <c r="A14" s="8"/>
      <c r="B14" s="8" t="s">
        <v>136</v>
      </c>
      <c r="C14" s="5">
        <f t="shared" ref="C14:AH14" si="5">(C4-C10)^2</f>
        <v>1.9065220427389405E-3</v>
      </c>
      <c r="D14" s="5">
        <f t="shared" si="5"/>
        <v>6.1261204425587055E-3</v>
      </c>
      <c r="E14" s="5">
        <f t="shared" si="5"/>
        <v>2.7346323394197139E-2</v>
      </c>
      <c r="F14" s="5">
        <f t="shared" si="5"/>
        <v>5.5604802609381446E-4</v>
      </c>
      <c r="G14" s="5">
        <f t="shared" si="5"/>
        <v>6.7256801280824105E-3</v>
      </c>
      <c r="H14" s="5">
        <f t="shared" si="5"/>
        <v>2.4163072611223389E-3</v>
      </c>
      <c r="I14" s="5">
        <f t="shared" si="5"/>
        <v>1.3932010394687936E-4</v>
      </c>
      <c r="J14" s="5">
        <f t="shared" si="5"/>
        <v>9.6105988972251442E-4</v>
      </c>
      <c r="K14" s="5">
        <f t="shared" si="5"/>
        <v>4.3328302568196239E-3</v>
      </c>
      <c r="L14" s="5">
        <f t="shared" si="5"/>
        <v>1.0871891927431132E-2</v>
      </c>
      <c r="M14" s="5">
        <f t="shared" si="5"/>
        <v>2.5884678403779852E-3</v>
      </c>
      <c r="N14" s="5">
        <f t="shared" si="5"/>
        <v>3.3181065786634226E-2</v>
      </c>
      <c r="O14" s="5">
        <f t="shared" si="5"/>
        <v>2.2368488989938581E-2</v>
      </c>
      <c r="P14" s="5">
        <f t="shared" si="5"/>
        <v>1.6278250942630085E-3</v>
      </c>
      <c r="Q14" s="5">
        <f t="shared" si="5"/>
        <v>2.8164144543373942E-2</v>
      </c>
      <c r="R14" s="5">
        <f t="shared" si="5"/>
        <v>1.3309611767018248E-2</v>
      </c>
      <c r="S14" s="5">
        <f t="shared" si="5"/>
        <v>5.969855953523325E-3</v>
      </c>
      <c r="T14" s="5">
        <f t="shared" si="5"/>
        <v>9.1319731484980425E-4</v>
      </c>
      <c r="U14" s="5">
        <f t="shared" si="5"/>
        <v>6.4428465250005744E-5</v>
      </c>
      <c r="V14" s="5">
        <f t="shared" si="5"/>
        <v>8.1115961299482698E-4</v>
      </c>
      <c r="W14" s="5">
        <f t="shared" si="5"/>
        <v>1.8645209187639931E-2</v>
      </c>
      <c r="X14" s="5">
        <f t="shared" si="5"/>
        <v>1.1028372837698005E-2</v>
      </c>
      <c r="Y14" s="5">
        <f t="shared" si="5"/>
        <v>4.5868099062413029E-2</v>
      </c>
      <c r="Z14" s="5">
        <f t="shared" si="5"/>
        <v>1.0724634927529033E-4</v>
      </c>
      <c r="AA14" s="5">
        <f t="shared" si="5"/>
        <v>1.2706497101676898E-3</v>
      </c>
      <c r="AB14" s="5">
        <f t="shared" si="5"/>
        <v>2.0841584935165511E-2</v>
      </c>
      <c r="AC14" s="5">
        <f t="shared" si="5"/>
        <v>2.4397259442219089E-6</v>
      </c>
      <c r="AD14" s="5">
        <f t="shared" si="5"/>
        <v>1.4767809220824702E-4</v>
      </c>
      <c r="AE14" s="5">
        <f t="shared" si="5"/>
        <v>9.0069495941752908E-3</v>
      </c>
      <c r="AF14" s="5">
        <f t="shared" si="5"/>
        <v>3.2683665399934843E-2</v>
      </c>
      <c r="AG14" s="5">
        <f t="shared" si="5"/>
        <v>3.8791748250106835E-3</v>
      </c>
      <c r="AH14" s="5">
        <f t="shared" si="5"/>
        <v>2.7020765853930383E-2</v>
      </c>
      <c r="AI14" s="5">
        <f t="shared" ref="AI14:BN14" si="6">(AI4-AI10)^2</f>
        <v>1.2588306093421764E-3</v>
      </c>
      <c r="AJ14" s="5">
        <f t="shared" si="6"/>
        <v>8.742278243577109E-3</v>
      </c>
      <c r="AK14" s="5">
        <f t="shared" si="6"/>
        <v>5.8765536964266243E-3</v>
      </c>
      <c r="AL14" s="5">
        <f t="shared" si="6"/>
        <v>1.6032874031434705E-2</v>
      </c>
      <c r="AM14" s="5">
        <f t="shared" si="6"/>
        <v>4.8997775661597823E-5</v>
      </c>
      <c r="AN14" s="5">
        <f t="shared" si="6"/>
        <v>1.773970862899538E-2</v>
      </c>
      <c r="AO14" s="5">
        <f t="shared" si="6"/>
        <v>1.6738135462060661E-5</v>
      </c>
      <c r="AP14" s="5">
        <f t="shared" si="6"/>
        <v>6.629225888532644E-3</v>
      </c>
      <c r="AQ14" s="5">
        <f t="shared" si="6"/>
        <v>1.4548605672109555E-2</v>
      </c>
      <c r="AR14" s="5">
        <f t="shared" si="6"/>
        <v>3.7953779560343718E-3</v>
      </c>
      <c r="AS14" s="5">
        <f t="shared" si="6"/>
        <v>9.0900388694837211E-3</v>
      </c>
      <c r="AT14" s="5">
        <f t="shared" si="6"/>
        <v>1.4056752333747844E-4</v>
      </c>
      <c r="AU14" s="5">
        <f t="shared" si="6"/>
        <v>1.4587440949529105E-2</v>
      </c>
      <c r="AV14" s="5">
        <f t="shared" si="6"/>
        <v>5.2962193300079084E-2</v>
      </c>
      <c r="AW14" s="5">
        <f t="shared" si="6"/>
        <v>4.1315077651077311E-3</v>
      </c>
      <c r="AX14" s="5">
        <f t="shared" si="6"/>
        <v>3.2758146450869748E-4</v>
      </c>
      <c r="AY14" s="5">
        <f t="shared" si="6"/>
        <v>5.9415829420751895E-3</v>
      </c>
      <c r="AZ14" s="5">
        <f t="shared" si="6"/>
        <v>2.2457873295766477E-2</v>
      </c>
      <c r="BA14" s="5">
        <f t="shared" si="6"/>
        <v>2.775286403490137E-4</v>
      </c>
      <c r="BB14" s="5">
        <f t="shared" si="6"/>
        <v>6.4617078243689188E-2</v>
      </c>
      <c r="BC14" s="5">
        <f t="shared" si="6"/>
        <v>3.0606053977237518E-2</v>
      </c>
      <c r="BD14" s="5">
        <f t="shared" si="6"/>
        <v>9.4182337336106113E-3</v>
      </c>
      <c r="BE14" s="5">
        <f t="shared" si="6"/>
        <v>2.7904672912869334E-2</v>
      </c>
      <c r="BF14" s="5">
        <f t="shared" si="6"/>
        <v>5.9283564498305201E-3</v>
      </c>
      <c r="BG14" s="5">
        <f t="shared" si="6"/>
        <v>2.3612261347991416E-3</v>
      </c>
      <c r="BH14" s="5">
        <f t="shared" si="6"/>
        <v>1.1792771604147373E-2</v>
      </c>
      <c r="BI14" s="5">
        <f t="shared" si="6"/>
        <v>9.918820207246758E-3</v>
      </c>
      <c r="BJ14" s="5">
        <f t="shared" si="6"/>
        <v>2.4589344952477402E-3</v>
      </c>
      <c r="BK14" s="5">
        <f t="shared" si="6"/>
        <v>2.239891633093621E-2</v>
      </c>
      <c r="BL14" s="5">
        <f t="shared" si="6"/>
        <v>2.9069321212873528E-4</v>
      </c>
      <c r="BM14" s="5">
        <f t="shared" si="6"/>
        <v>1.4663084904159972E-3</v>
      </c>
      <c r="BN14" s="5">
        <f t="shared" si="6"/>
        <v>1.6942125237367825E-3</v>
      </c>
      <c r="BO14" s="5">
        <f t="shared" ref="BO14:CT14" si="7">(BO4-BO10)^2</f>
        <v>2.7008349976898262E-3</v>
      </c>
      <c r="BP14" s="5">
        <f t="shared" si="7"/>
        <v>6.0466753269876696E-4</v>
      </c>
      <c r="BQ14" s="5">
        <f t="shared" si="7"/>
        <v>3.3069726450901077E-3</v>
      </c>
      <c r="BR14" s="5">
        <f t="shared" si="7"/>
        <v>4.0242144698265942E-3</v>
      </c>
      <c r="BS14" s="5">
        <f t="shared" si="7"/>
        <v>2.5799840406119682E-3</v>
      </c>
      <c r="BT14" s="5">
        <f t="shared" si="7"/>
        <v>1.7622801153585176E-2</v>
      </c>
      <c r="BU14" s="5">
        <f t="shared" si="7"/>
        <v>3.0517224732874614E-2</v>
      </c>
      <c r="BV14" s="5">
        <f t="shared" si="7"/>
        <v>6.2075949373466922E-2</v>
      </c>
      <c r="BW14" s="5">
        <f t="shared" si="7"/>
        <v>3.5574671765136882E-4</v>
      </c>
      <c r="BX14" s="5">
        <f t="shared" si="7"/>
        <v>5.8317964958072761E-4</v>
      </c>
      <c r="BY14" s="5">
        <f t="shared" si="7"/>
        <v>7.6945450337529156E-2</v>
      </c>
      <c r="BZ14" s="5">
        <f t="shared" si="7"/>
        <v>1.2308432196951387E-2</v>
      </c>
      <c r="CA14" s="5">
        <f t="shared" si="7"/>
        <v>9.5760864119367982E-3</v>
      </c>
      <c r="CB14" s="5">
        <f t="shared" si="7"/>
        <v>0.12285982099030901</v>
      </c>
      <c r="CC14" s="5">
        <f t="shared" si="7"/>
        <v>5.1874532758112858E-2</v>
      </c>
      <c r="CD14" s="5">
        <f t="shared" si="7"/>
        <v>3.7286232936271E-3</v>
      </c>
      <c r="CE14" s="5">
        <f t="shared" si="7"/>
        <v>3.2446303444038711E-2</v>
      </c>
      <c r="CF14" s="5">
        <f t="shared" si="7"/>
        <v>2.1429276052036018E-2</v>
      </c>
      <c r="CG14" s="5">
        <f t="shared" si="7"/>
        <v>1.9535500885620055E-3</v>
      </c>
      <c r="CH14" s="5">
        <f t="shared" si="7"/>
        <v>1.4510336633914827E-6</v>
      </c>
      <c r="CI14" s="5">
        <f t="shared" si="7"/>
        <v>8.7018793368057081E-4</v>
      </c>
      <c r="CJ14" s="5">
        <f t="shared" si="7"/>
        <v>8.6236642131224338E-4</v>
      </c>
      <c r="CK14" s="5">
        <f t="shared" si="7"/>
        <v>2.8417613210022334E-3</v>
      </c>
      <c r="CL14" s="5">
        <f t="shared" si="7"/>
        <v>6.6040612736459304E-4</v>
      </c>
      <c r="CM14" s="5">
        <f t="shared" si="7"/>
        <v>1.8374355740705044E-2</v>
      </c>
      <c r="CN14" s="5">
        <f t="shared" si="7"/>
        <v>1.6618421092433295E-2</v>
      </c>
      <c r="CO14" s="5">
        <f t="shared" si="7"/>
        <v>2.0688979839232142E-2</v>
      </c>
      <c r="CP14" s="5">
        <f t="shared" si="7"/>
        <v>1.6453800103596755E-3</v>
      </c>
      <c r="CQ14" s="5">
        <f t="shared" si="7"/>
        <v>2.2418211806431498E-2</v>
      </c>
      <c r="CR14" s="5">
        <f t="shared" si="7"/>
        <v>4.3259779214116917E-2</v>
      </c>
      <c r="CS14" s="5">
        <f t="shared" si="7"/>
        <v>6.4709993303679783E-2</v>
      </c>
      <c r="CT14" s="5">
        <f t="shared" si="7"/>
        <v>3.6773314082589298E-2</v>
      </c>
      <c r="CU14" s="5">
        <f t="shared" ref="CU14:DZ14" si="8">(CU4-CU10)^2</f>
        <v>1.4467821806493321E-2</v>
      </c>
      <c r="CV14" s="5">
        <f t="shared" si="8"/>
        <v>2.5015070643046748E-2</v>
      </c>
      <c r="CW14" s="5">
        <f t="shared" si="8"/>
        <v>3.2077478672147596E-4</v>
      </c>
      <c r="CX14" s="5">
        <f t="shared" si="8"/>
        <v>3.0320921872590598E-2</v>
      </c>
      <c r="CY14" s="5">
        <f t="shared" si="8"/>
        <v>6.5417724036327526E-3</v>
      </c>
      <c r="CZ14" s="5">
        <f t="shared" si="8"/>
        <v>4.9137086315212608E-3</v>
      </c>
      <c r="DA14" s="5">
        <f t="shared" si="8"/>
        <v>1.2252502120755545E-2</v>
      </c>
      <c r="DB14" s="5">
        <f t="shared" si="8"/>
        <v>2.0532038285439251E-2</v>
      </c>
      <c r="DC14" s="5">
        <f t="shared" si="8"/>
        <v>1.3851841859833583E-2</v>
      </c>
      <c r="DD14" s="5">
        <f t="shared" si="8"/>
        <v>1.9901319130530206E-4</v>
      </c>
      <c r="DE14" s="5">
        <f t="shared" si="8"/>
        <v>1.3060355705995709E-3</v>
      </c>
      <c r="DF14" s="5">
        <f t="shared" si="8"/>
        <v>4.6924321474599968E-2</v>
      </c>
      <c r="DG14" s="5">
        <f t="shared" si="8"/>
        <v>0.12928942681630498</v>
      </c>
      <c r="DH14" s="5">
        <f t="shared" si="8"/>
        <v>9.1466913865734079E-2</v>
      </c>
      <c r="DI14" s="5">
        <f t="shared" si="8"/>
        <v>3.693604392386556E-3</v>
      </c>
      <c r="DJ14" s="5">
        <f t="shared" si="8"/>
        <v>5.7916151852573929E-4</v>
      </c>
      <c r="DK14" s="5">
        <f t="shared" si="8"/>
        <v>6.9381377556851281E-2</v>
      </c>
      <c r="DL14" s="5">
        <f t="shared" si="8"/>
        <v>1.6832914244870007E-2</v>
      </c>
      <c r="DM14" s="5">
        <f t="shared" si="8"/>
        <v>1.9178234537619403E-2</v>
      </c>
      <c r="DN14" s="5">
        <f t="shared" si="8"/>
        <v>1.3002916017835217E-2</v>
      </c>
      <c r="DO14" s="5">
        <f t="shared" si="8"/>
        <v>4.1004898827113091E-3</v>
      </c>
      <c r="DP14" s="5">
        <f t="shared" si="8"/>
        <v>3.3445667376223406E-3</v>
      </c>
      <c r="DQ14" s="5">
        <f t="shared" si="8"/>
        <v>4.6963826663440261E-2</v>
      </c>
      <c r="DR14" s="5">
        <f t="shared" si="8"/>
        <v>7.9056673316813385E-3</v>
      </c>
      <c r="DS14" s="5">
        <f t="shared" si="8"/>
        <v>6.9619874770451839E-3</v>
      </c>
      <c r="DT14" s="5">
        <f t="shared" si="8"/>
        <v>1.5166188801467074E-2</v>
      </c>
      <c r="DU14" s="5">
        <f t="shared" si="8"/>
        <v>4.8208291981431249E-2</v>
      </c>
      <c r="DV14" s="5">
        <f t="shared" si="8"/>
        <v>5.7921023689516471E-7</v>
      </c>
      <c r="DW14" s="5">
        <f t="shared" si="8"/>
        <v>7.6653369416468543E-3</v>
      </c>
      <c r="DX14" s="5">
        <f t="shared" si="8"/>
        <v>1.1681079014731093E-3</v>
      </c>
      <c r="DY14" s="5">
        <f t="shared" si="8"/>
        <v>4.1811437344629075E-2</v>
      </c>
      <c r="DZ14" s="5">
        <f t="shared" si="8"/>
        <v>3.4086347136913523E-3</v>
      </c>
      <c r="EA14" s="5">
        <f t="shared" ref="EA14:EF14" si="9">(EA4-EA10)^2</f>
        <v>4.667662926454934E-3</v>
      </c>
      <c r="EB14" s="5">
        <f t="shared" si="9"/>
        <v>6.3270262729874363E-2</v>
      </c>
      <c r="EC14" s="5">
        <f t="shared" si="9"/>
        <v>3.8080117148697387E-5</v>
      </c>
      <c r="ED14" s="5">
        <f t="shared" si="9"/>
        <v>4.6313097833159024E-4</v>
      </c>
      <c r="EE14" s="5">
        <f t="shared" si="9"/>
        <v>1.4429256294608056E-3</v>
      </c>
      <c r="EF14" s="5">
        <f t="shared" si="9"/>
        <v>0.13710250088260023</v>
      </c>
    </row>
    <row r="15" spans="1:136">
      <c r="A15" s="8"/>
      <c r="B15" s="8" t="s">
        <v>137</v>
      </c>
      <c r="C15" s="5">
        <f t="shared" ref="C15:AH15" si="10">(C5-C11)^2</f>
        <v>2.405874921442747E-2</v>
      </c>
      <c r="D15" s="5">
        <f t="shared" si="10"/>
        <v>2.3293635088154657E-2</v>
      </c>
      <c r="E15" s="5">
        <f t="shared" si="10"/>
        <v>0.29459664529731461</v>
      </c>
      <c r="F15" s="5">
        <f t="shared" si="10"/>
        <v>1.8093242109022706E-2</v>
      </c>
      <c r="G15" s="5">
        <f t="shared" si="10"/>
        <v>9.8109396993650066E-2</v>
      </c>
      <c r="H15" s="5">
        <f t="shared" si="10"/>
        <v>0.22276490933123369</v>
      </c>
      <c r="I15" s="5">
        <f t="shared" si="10"/>
        <v>2.7262130155613313E-2</v>
      </c>
      <c r="J15" s="5">
        <f t="shared" si="10"/>
        <v>6.1234956513977253E-3</v>
      </c>
      <c r="K15" s="5">
        <f t="shared" si="10"/>
        <v>3.9330534783208478E-2</v>
      </c>
      <c r="L15" s="5">
        <f t="shared" si="10"/>
        <v>0.19285094304739839</v>
      </c>
      <c r="M15" s="5">
        <f t="shared" si="10"/>
        <v>7.2842619862017524E-2</v>
      </c>
      <c r="N15" s="5">
        <f t="shared" si="10"/>
        <v>7.8609227785319369E-2</v>
      </c>
      <c r="O15" s="5">
        <f t="shared" si="10"/>
        <v>2.6392163546644542E-2</v>
      </c>
      <c r="P15" s="5">
        <f t="shared" si="10"/>
        <v>0.15250897943364217</v>
      </c>
      <c r="Q15" s="5">
        <f t="shared" si="10"/>
        <v>8.5733539002288647E-4</v>
      </c>
      <c r="R15" s="5">
        <f t="shared" si="10"/>
        <v>8.7460374855595612E-3</v>
      </c>
      <c r="S15" s="5">
        <f t="shared" si="10"/>
        <v>7.2491394980314011E-2</v>
      </c>
      <c r="T15" s="5">
        <f t="shared" si="10"/>
        <v>3.2511820878735123E-3</v>
      </c>
      <c r="U15" s="5">
        <f t="shared" si="10"/>
        <v>2.0114330532096993E-4</v>
      </c>
      <c r="V15" s="5">
        <f t="shared" si="10"/>
        <v>2.3898314639651273E-2</v>
      </c>
      <c r="W15" s="5">
        <f t="shared" si="10"/>
        <v>8.4103976548501685E-2</v>
      </c>
      <c r="X15" s="5">
        <f t="shared" si="10"/>
        <v>2.7072256529345758E-2</v>
      </c>
      <c r="Y15" s="5">
        <f t="shared" si="10"/>
        <v>0.5482978875588671</v>
      </c>
      <c r="Z15" s="5">
        <f t="shared" si="10"/>
        <v>3.2672188124006664E-2</v>
      </c>
      <c r="AA15" s="5">
        <f t="shared" si="10"/>
        <v>6.3500679571694843E-3</v>
      </c>
      <c r="AB15" s="5">
        <f t="shared" si="10"/>
        <v>4.0718512820479127E-2</v>
      </c>
      <c r="AC15" s="5">
        <f t="shared" si="10"/>
        <v>2.0171773040789036E-4</v>
      </c>
      <c r="AD15" s="5">
        <f t="shared" si="10"/>
        <v>2.0049425022792722E-2</v>
      </c>
      <c r="AE15" s="5">
        <f t="shared" si="10"/>
        <v>1.0196428782332021E-2</v>
      </c>
      <c r="AF15" s="5">
        <f t="shared" si="10"/>
        <v>0.10945347702938428</v>
      </c>
      <c r="AG15" s="5">
        <f t="shared" si="10"/>
        <v>7.6720154603692012E-2</v>
      </c>
      <c r="AH15" s="5">
        <f t="shared" si="10"/>
        <v>0.11788297153715228</v>
      </c>
      <c r="AI15" s="5">
        <f t="shared" ref="AI15:BN15" si="11">(AI5-AI11)^2</f>
        <v>5.3207895291471012E-2</v>
      </c>
      <c r="AJ15" s="5">
        <f t="shared" si="11"/>
        <v>0.21754147975711921</v>
      </c>
      <c r="AK15" s="5">
        <f t="shared" si="11"/>
        <v>3.2238049939035035E-2</v>
      </c>
      <c r="AL15" s="5">
        <f t="shared" si="11"/>
        <v>6.0468288103145808E-3</v>
      </c>
      <c r="AM15" s="5">
        <f t="shared" si="11"/>
        <v>1.3897928479421332E-4</v>
      </c>
      <c r="AN15" s="5">
        <f t="shared" si="11"/>
        <v>1.6214796439821447E-2</v>
      </c>
      <c r="AO15" s="5">
        <f t="shared" si="11"/>
        <v>1.5869670019825192E-2</v>
      </c>
      <c r="AP15" s="5">
        <f t="shared" si="11"/>
        <v>9.8648155443152602E-7</v>
      </c>
      <c r="AQ15" s="5">
        <f t="shared" si="11"/>
        <v>1.8742263024141542E-2</v>
      </c>
      <c r="AR15" s="5">
        <f t="shared" si="11"/>
        <v>1.7209972173421621E-2</v>
      </c>
      <c r="AS15" s="5">
        <f t="shared" si="11"/>
        <v>2.7484847340199452E-2</v>
      </c>
      <c r="AT15" s="5">
        <f t="shared" si="11"/>
        <v>1.0362654981528571E-5</v>
      </c>
      <c r="AU15" s="5">
        <f t="shared" si="11"/>
        <v>2.5600517236982125E-2</v>
      </c>
      <c r="AV15" s="5">
        <f t="shared" si="11"/>
        <v>3.6068544085765698E-3</v>
      </c>
      <c r="AW15" s="5">
        <f t="shared" si="11"/>
        <v>3.5039547936425467E-3</v>
      </c>
      <c r="AX15" s="5">
        <f t="shared" si="11"/>
        <v>6.8718251904354391E-2</v>
      </c>
      <c r="AY15" s="5">
        <f t="shared" si="11"/>
        <v>3.2257907670147176E-2</v>
      </c>
      <c r="AZ15" s="5">
        <f t="shared" si="11"/>
        <v>7.1922926855121166E-2</v>
      </c>
      <c r="BA15" s="5">
        <f t="shared" si="11"/>
        <v>1.3990978027730208E-3</v>
      </c>
      <c r="BB15" s="5">
        <f t="shared" si="11"/>
        <v>5.3767709148805493E-2</v>
      </c>
      <c r="BC15" s="5">
        <f t="shared" si="11"/>
        <v>3.6234463820952162E-2</v>
      </c>
      <c r="BD15" s="5">
        <f t="shared" si="11"/>
        <v>8.4172436517509202E-3</v>
      </c>
      <c r="BE15" s="5">
        <f t="shared" si="11"/>
        <v>6.8853883838167582E-2</v>
      </c>
      <c r="BF15" s="5">
        <f t="shared" si="11"/>
        <v>5.8529421217985511E-3</v>
      </c>
      <c r="BG15" s="5">
        <f t="shared" si="11"/>
        <v>2.5461126495132957E-3</v>
      </c>
      <c r="BH15" s="5">
        <f t="shared" si="11"/>
        <v>1.4637133707172376E-2</v>
      </c>
      <c r="BI15" s="5">
        <f t="shared" si="11"/>
        <v>1.8303138030018238E-2</v>
      </c>
      <c r="BJ15" s="5">
        <f t="shared" si="11"/>
        <v>5.0029310844908956E-2</v>
      </c>
      <c r="BK15" s="5">
        <f t="shared" si="11"/>
        <v>4.1472373788238537E-2</v>
      </c>
      <c r="BL15" s="5">
        <f t="shared" si="11"/>
        <v>9.582406673692109E-3</v>
      </c>
      <c r="BM15" s="5">
        <f t="shared" si="11"/>
        <v>1.4892550615159326E-3</v>
      </c>
      <c r="BN15" s="5">
        <f t="shared" si="11"/>
        <v>2.1019433197472629E-2</v>
      </c>
      <c r="BO15" s="5">
        <f t="shared" ref="BO15:CT15" si="12">(BO5-BO11)^2</f>
        <v>7.1489161695194852E-3</v>
      </c>
      <c r="BP15" s="5">
        <f t="shared" si="12"/>
        <v>4.9018554265506831E-4</v>
      </c>
      <c r="BQ15" s="5">
        <f t="shared" si="12"/>
        <v>2.2924489228619893E-2</v>
      </c>
      <c r="BR15" s="5">
        <f t="shared" si="12"/>
        <v>4.6348051395399242E-2</v>
      </c>
      <c r="BS15" s="5">
        <f t="shared" si="12"/>
        <v>4.9350462262851509E-2</v>
      </c>
      <c r="BT15" s="5">
        <f t="shared" si="12"/>
        <v>2.8897822394271758E-2</v>
      </c>
      <c r="BU15" s="5">
        <f t="shared" si="12"/>
        <v>1.3466616565994167E-2</v>
      </c>
      <c r="BV15" s="5">
        <f t="shared" si="12"/>
        <v>4.2031925355017815E-3</v>
      </c>
      <c r="BW15" s="5">
        <f t="shared" si="12"/>
        <v>2.1067933163668452E-4</v>
      </c>
      <c r="BX15" s="5">
        <f t="shared" si="12"/>
        <v>1.0378315706453627E-2</v>
      </c>
      <c r="BY15" s="5">
        <f t="shared" si="12"/>
        <v>5.8881509036435567E-3</v>
      </c>
      <c r="BZ15" s="5">
        <f t="shared" si="12"/>
        <v>4.3673428872032516E-3</v>
      </c>
      <c r="CA15" s="5">
        <f t="shared" si="12"/>
        <v>3.6753632047366491E-3</v>
      </c>
      <c r="CB15" s="5">
        <f t="shared" si="12"/>
        <v>1.596123007930221E-2</v>
      </c>
      <c r="CC15" s="5">
        <f t="shared" si="12"/>
        <v>2.5736038941545799E-2</v>
      </c>
      <c r="CD15" s="5">
        <f t="shared" si="12"/>
        <v>0.1567024414461349</v>
      </c>
      <c r="CE15" s="5">
        <f t="shared" si="12"/>
        <v>4.3322620657000339E-3</v>
      </c>
      <c r="CF15" s="5">
        <f t="shared" si="12"/>
        <v>2.1733216885262124E-2</v>
      </c>
      <c r="CG15" s="5">
        <f t="shared" si="12"/>
        <v>7.9063326316364396E-2</v>
      </c>
      <c r="CH15" s="5">
        <f t="shared" si="12"/>
        <v>1.0394914619134971E-3</v>
      </c>
      <c r="CI15" s="5">
        <f t="shared" si="12"/>
        <v>1.0290411629317079E-3</v>
      </c>
      <c r="CJ15" s="5">
        <f t="shared" si="12"/>
        <v>0.24374772797212513</v>
      </c>
      <c r="CK15" s="5">
        <f t="shared" si="12"/>
        <v>6.0747993892910107E-2</v>
      </c>
      <c r="CL15" s="5">
        <f t="shared" si="12"/>
        <v>4.7558022351001761E-2</v>
      </c>
      <c r="CM15" s="5">
        <f t="shared" si="12"/>
        <v>2.41311039094371E-2</v>
      </c>
      <c r="CN15" s="5">
        <f t="shared" si="12"/>
        <v>0.14075586369264392</v>
      </c>
      <c r="CO15" s="5">
        <f t="shared" si="12"/>
        <v>0.29339799241866599</v>
      </c>
      <c r="CP15" s="5">
        <f t="shared" si="12"/>
        <v>1.0890194429082833E-4</v>
      </c>
      <c r="CQ15" s="5">
        <f t="shared" si="12"/>
        <v>8.5224012058036175E-2</v>
      </c>
      <c r="CR15" s="5">
        <f t="shared" si="12"/>
        <v>0.2253882292990842</v>
      </c>
      <c r="CS15" s="5">
        <f t="shared" si="12"/>
        <v>6.9101769864812715E-2</v>
      </c>
      <c r="CT15" s="5">
        <f t="shared" si="12"/>
        <v>6.4948778390843925E-2</v>
      </c>
      <c r="CU15" s="5">
        <f t="shared" ref="CU15:DZ15" si="13">(CU5-CU11)^2</f>
        <v>1.2376517498844553E-3</v>
      </c>
      <c r="CV15" s="5">
        <f t="shared" si="13"/>
        <v>8.4869028657436008E-2</v>
      </c>
      <c r="CW15" s="5">
        <f t="shared" si="13"/>
        <v>1.435810503471014E-2</v>
      </c>
      <c r="CX15" s="5">
        <f t="shared" si="13"/>
        <v>0.13893206813038864</v>
      </c>
      <c r="CY15" s="5">
        <f t="shared" si="13"/>
        <v>0.36304428427771102</v>
      </c>
      <c r="CZ15" s="5">
        <f t="shared" si="13"/>
        <v>0.75234390143696528</v>
      </c>
      <c r="DA15" s="5">
        <f t="shared" si="13"/>
        <v>6.7176164527273693E-2</v>
      </c>
      <c r="DB15" s="5">
        <f t="shared" si="13"/>
        <v>3.273486186453334E-4</v>
      </c>
      <c r="DC15" s="5">
        <f t="shared" si="13"/>
        <v>4.9979143119382306E-2</v>
      </c>
      <c r="DD15" s="5">
        <f t="shared" si="13"/>
        <v>6.5715308246267534E-2</v>
      </c>
      <c r="DE15" s="5">
        <f t="shared" si="13"/>
        <v>1.3779619599725264E-2</v>
      </c>
      <c r="DF15" s="5">
        <f t="shared" si="13"/>
        <v>0.15547153530738914</v>
      </c>
      <c r="DG15" s="5">
        <f t="shared" si="13"/>
        <v>5.25533195311415E-2</v>
      </c>
      <c r="DH15" s="5">
        <f t="shared" si="13"/>
        <v>1.1192678282671176E-2</v>
      </c>
      <c r="DI15" s="5">
        <f t="shared" si="13"/>
        <v>5.8448130267062352E-2</v>
      </c>
      <c r="DJ15" s="5">
        <f t="shared" si="13"/>
        <v>0.16440941888952298</v>
      </c>
      <c r="DK15" s="5">
        <f t="shared" si="13"/>
        <v>0.70395826724960586</v>
      </c>
      <c r="DL15" s="5">
        <f t="shared" si="13"/>
        <v>5.7914148790905819E-2</v>
      </c>
      <c r="DM15" s="5">
        <f t="shared" si="13"/>
        <v>0.21172131643185685</v>
      </c>
      <c r="DN15" s="5">
        <f t="shared" si="13"/>
        <v>0.60531809129546887</v>
      </c>
      <c r="DO15" s="5">
        <f t="shared" si="13"/>
        <v>9.1896142742364087E-2</v>
      </c>
      <c r="DP15" s="5">
        <f t="shared" si="13"/>
        <v>3.4550259814726862E-2</v>
      </c>
      <c r="DQ15" s="5">
        <f t="shared" si="13"/>
        <v>0.68359349095613919</v>
      </c>
      <c r="DR15" s="5">
        <f t="shared" si="13"/>
        <v>1.0001165413922777E-4</v>
      </c>
      <c r="DS15" s="5">
        <f t="shared" si="13"/>
        <v>0.11072807448978861</v>
      </c>
      <c r="DT15" s="5">
        <f t="shared" si="13"/>
        <v>8.8784319296733777E-2</v>
      </c>
      <c r="DU15" s="5">
        <f t="shared" si="13"/>
        <v>7.5469002063199023E-2</v>
      </c>
      <c r="DV15" s="5">
        <f t="shared" si="13"/>
        <v>0.55158559676116625</v>
      </c>
      <c r="DW15" s="5">
        <f t="shared" si="13"/>
        <v>5.4934112407110615E-3</v>
      </c>
      <c r="DX15" s="5">
        <f t="shared" si="13"/>
        <v>6.5056752498953915E-2</v>
      </c>
      <c r="DY15" s="5">
        <f t="shared" si="13"/>
        <v>0.2475256837966997</v>
      </c>
      <c r="DZ15" s="5">
        <f t="shared" si="13"/>
        <v>0.21087233176482217</v>
      </c>
      <c r="EA15" s="5">
        <f t="shared" ref="EA15:EF15" si="14">(EA5-EA11)^2</f>
        <v>0.15114087188472333</v>
      </c>
      <c r="EB15" s="5">
        <f t="shared" si="14"/>
        <v>0.87482148371581347</v>
      </c>
      <c r="EC15" s="5">
        <f t="shared" si="14"/>
        <v>1.531923655437289E-2</v>
      </c>
      <c r="ED15" s="5">
        <f t="shared" si="14"/>
        <v>0.10999976509349076</v>
      </c>
      <c r="EE15" s="5">
        <f t="shared" si="14"/>
        <v>0.55624904135993825</v>
      </c>
      <c r="EF15" s="5">
        <f t="shared" si="14"/>
        <v>1.0775088008824379E-2</v>
      </c>
    </row>
    <row r="17" spans="1:136">
      <c r="A17" t="s">
        <v>205</v>
      </c>
      <c r="B17" t="s">
        <v>135</v>
      </c>
      <c r="C17" s="5">
        <f t="shared" ref="C17:AH17" si="15">C9^2</f>
        <v>1.1904082277860264E-2</v>
      </c>
      <c r="D17" s="5">
        <f t="shared" si="15"/>
        <v>2.1247676054046116E-4</v>
      </c>
      <c r="E17" s="5">
        <f t="shared" si="15"/>
        <v>1.3071374994951929E-3</v>
      </c>
      <c r="F17" s="5">
        <f t="shared" si="15"/>
        <v>2.2492264027630889E-5</v>
      </c>
      <c r="G17" s="5">
        <f t="shared" si="15"/>
        <v>3.3036666141783492E-5</v>
      </c>
      <c r="H17" s="5">
        <f t="shared" si="15"/>
        <v>2.4381891708842936E-3</v>
      </c>
      <c r="I17" s="5">
        <f t="shared" si="15"/>
        <v>3.3581210916677484E-2</v>
      </c>
      <c r="J17" s="5">
        <f t="shared" si="15"/>
        <v>1.3569060155122757E-2</v>
      </c>
      <c r="K17" s="5">
        <f t="shared" si="15"/>
        <v>9.3605069620112215E-4</v>
      </c>
      <c r="L17" s="5">
        <f t="shared" si="15"/>
        <v>3.9315162352171023E-4</v>
      </c>
      <c r="M17" s="5">
        <f t="shared" si="15"/>
        <v>4.4095826822239875E-4</v>
      </c>
      <c r="N17" s="5">
        <f t="shared" si="15"/>
        <v>2.2433876085478928E-2</v>
      </c>
      <c r="O17" s="5">
        <f t="shared" si="15"/>
        <v>2.3911693040638534E-4</v>
      </c>
      <c r="P17" s="5">
        <f t="shared" si="15"/>
        <v>8.4258302823047079E-3</v>
      </c>
      <c r="Q17" s="5">
        <f t="shared" si="15"/>
        <v>5.9921553092687051E-3</v>
      </c>
      <c r="R17" s="5">
        <f t="shared" si="15"/>
        <v>3.0004754709051702E-3</v>
      </c>
      <c r="S17" s="5">
        <f t="shared" si="15"/>
        <v>1.5708708491616E-2</v>
      </c>
      <c r="T17" s="5">
        <f t="shared" si="15"/>
        <v>1.4173716945580542E-2</v>
      </c>
      <c r="U17" s="5">
        <f t="shared" si="15"/>
        <v>1.4265767398050631E-3</v>
      </c>
      <c r="V17" s="5">
        <f t="shared" si="15"/>
        <v>6.5908131416074602E-3</v>
      </c>
      <c r="W17" s="5">
        <f t="shared" si="15"/>
        <v>7.0575066817627407E-3</v>
      </c>
      <c r="X17" s="5">
        <f t="shared" si="15"/>
        <v>2.1612338960948319E-2</v>
      </c>
      <c r="Y17" s="5">
        <f t="shared" si="15"/>
        <v>1.5715264241471783E-2</v>
      </c>
      <c r="Z17" s="5">
        <f t="shared" si="15"/>
        <v>3.6846166718653456E-2</v>
      </c>
      <c r="AA17" s="5">
        <f t="shared" si="15"/>
        <v>7.1184289266528374E-3</v>
      </c>
      <c r="AB17" s="5">
        <f t="shared" si="15"/>
        <v>5.3140620982757656E-3</v>
      </c>
      <c r="AC17" s="5">
        <f t="shared" si="15"/>
        <v>1.0527695785516851E-2</v>
      </c>
      <c r="AD17" s="5">
        <f t="shared" si="15"/>
        <v>2.4869817519127077E-4</v>
      </c>
      <c r="AE17" s="5">
        <f t="shared" si="15"/>
        <v>2.3106177330172069E-2</v>
      </c>
      <c r="AF17" s="5">
        <f t="shared" si="15"/>
        <v>3.5105923035905259E-3</v>
      </c>
      <c r="AG17" s="5">
        <f t="shared" si="15"/>
        <v>1.6915301264337771E-2</v>
      </c>
      <c r="AH17" s="5">
        <f t="shared" si="15"/>
        <v>1.328403665826966E-2</v>
      </c>
      <c r="AI17" s="5">
        <f t="shared" ref="AI17:BN17" si="16">AI9^2</f>
        <v>1.0631917918075163E-3</v>
      </c>
      <c r="AJ17" s="5">
        <f t="shared" si="16"/>
        <v>7.8395043318640434E-4</v>
      </c>
      <c r="AK17" s="5">
        <f t="shared" si="16"/>
        <v>2.1482887422166509E-2</v>
      </c>
      <c r="AL17" s="5">
        <f t="shared" si="16"/>
        <v>1.668062549107739E-3</v>
      </c>
      <c r="AM17" s="5">
        <f t="shared" si="16"/>
        <v>1.7259749824038686E-2</v>
      </c>
      <c r="AN17" s="5">
        <f t="shared" si="16"/>
        <v>4.9032555464976403E-2</v>
      </c>
      <c r="AO17" s="5">
        <f t="shared" si="16"/>
        <v>4.3852711121876225E-4</v>
      </c>
      <c r="AP17" s="5">
        <f t="shared" si="16"/>
        <v>1.8812851996102171E-2</v>
      </c>
      <c r="AQ17" s="5">
        <f t="shared" si="16"/>
        <v>6.1915646627000822E-4</v>
      </c>
      <c r="AR17" s="5">
        <f t="shared" si="16"/>
        <v>2.4068328718584233E-4</v>
      </c>
      <c r="AS17" s="5">
        <f t="shared" si="16"/>
        <v>1.1815056389704321E-3</v>
      </c>
      <c r="AT17" s="5">
        <f t="shared" si="16"/>
        <v>3.9810656089414309E-3</v>
      </c>
      <c r="AU17" s="5">
        <f t="shared" si="16"/>
        <v>1.8694983030806238E-3</v>
      </c>
      <c r="AV17" s="5">
        <f t="shared" si="16"/>
        <v>5.5101474414569638E-3</v>
      </c>
      <c r="AW17" s="5">
        <f t="shared" si="16"/>
        <v>7.8371035043392316E-4</v>
      </c>
      <c r="AX17" s="5">
        <f t="shared" si="16"/>
        <v>1.4367478657017244E-2</v>
      </c>
      <c r="AY17" s="5">
        <f t="shared" si="16"/>
        <v>5.8613679493322605E-3</v>
      </c>
      <c r="AZ17" s="5">
        <f t="shared" si="16"/>
        <v>4.7220968054589304E-4</v>
      </c>
      <c r="BA17" s="5">
        <f t="shared" si="16"/>
        <v>1.5536707046446584E-6</v>
      </c>
      <c r="BB17" s="5">
        <f t="shared" si="16"/>
        <v>1.0200156097581669E-2</v>
      </c>
      <c r="BC17" s="5">
        <f t="shared" si="16"/>
        <v>8.8964574469951819E-4</v>
      </c>
      <c r="BD17" s="5">
        <f t="shared" si="16"/>
        <v>7.5268956977767048E-5</v>
      </c>
      <c r="BE17" s="5">
        <f t="shared" si="16"/>
        <v>4.7000904970756216E-3</v>
      </c>
      <c r="BF17" s="5">
        <f t="shared" si="16"/>
        <v>2.4621562948682934E-2</v>
      </c>
      <c r="BG17" s="5">
        <f t="shared" si="16"/>
        <v>2.5345828645073384E-2</v>
      </c>
      <c r="BH17" s="5">
        <f t="shared" si="16"/>
        <v>3.7358582565093718E-3</v>
      </c>
      <c r="BI17" s="5">
        <f t="shared" si="16"/>
        <v>9.3921007423280172E-3</v>
      </c>
      <c r="BJ17" s="5">
        <f t="shared" si="16"/>
        <v>2.9971517217047563E-3</v>
      </c>
      <c r="BK17" s="5">
        <f t="shared" si="16"/>
        <v>7.6550185977651616E-3</v>
      </c>
      <c r="BL17" s="5">
        <f t="shared" si="16"/>
        <v>8.9164103340217925E-3</v>
      </c>
      <c r="BM17" s="5">
        <f t="shared" si="16"/>
        <v>4.9244308753160887E-4</v>
      </c>
      <c r="BN17" s="5">
        <f t="shared" si="16"/>
        <v>2.4425352677185161E-4</v>
      </c>
      <c r="BO17" s="5">
        <f t="shared" ref="BO17:CT17" si="17">BO9^2</f>
        <v>6.6289298211247571E-3</v>
      </c>
      <c r="BP17" s="5">
        <f t="shared" si="17"/>
        <v>3.4258094968395863E-4</v>
      </c>
      <c r="BQ17" s="5">
        <f t="shared" si="17"/>
        <v>4.7237535213055463E-3</v>
      </c>
      <c r="BR17" s="5">
        <f t="shared" si="17"/>
        <v>9.6246407867516525E-6</v>
      </c>
      <c r="BS17" s="5">
        <f t="shared" si="17"/>
        <v>5.6196639138378088E-3</v>
      </c>
      <c r="BT17" s="5">
        <f t="shared" si="17"/>
        <v>2.0431835304301382E-3</v>
      </c>
      <c r="BU17" s="5">
        <f t="shared" si="17"/>
        <v>6.5932524502488709E-4</v>
      </c>
      <c r="BV17" s="5">
        <f t="shared" si="17"/>
        <v>8.427980119369332E-3</v>
      </c>
      <c r="BW17" s="5">
        <f t="shared" si="17"/>
        <v>6.9453326513524774E-4</v>
      </c>
      <c r="BX17" s="5">
        <f t="shared" si="17"/>
        <v>3.7615951743202121E-4</v>
      </c>
      <c r="BY17" s="5">
        <f t="shared" si="17"/>
        <v>5.9042164483032638E-3</v>
      </c>
      <c r="BZ17" s="5">
        <f t="shared" si="17"/>
        <v>1.2839000623048005E-2</v>
      </c>
      <c r="CA17" s="5">
        <f t="shared" si="17"/>
        <v>1.1525082059920233E-2</v>
      </c>
      <c r="CB17" s="5">
        <f t="shared" si="17"/>
        <v>1.6682967477483388E-3</v>
      </c>
      <c r="CC17" s="5">
        <f t="shared" si="17"/>
        <v>3.9210767823715285E-4</v>
      </c>
      <c r="CD17" s="5">
        <f t="shared" si="17"/>
        <v>3.548592802252902E-2</v>
      </c>
      <c r="CE17" s="5">
        <f t="shared" si="17"/>
        <v>3.0885701458901937E-3</v>
      </c>
      <c r="CF17" s="5">
        <f t="shared" si="17"/>
        <v>5.6058275198580514E-3</v>
      </c>
      <c r="CG17" s="5">
        <f t="shared" si="17"/>
        <v>1.0000038380535725E-2</v>
      </c>
      <c r="CH17" s="5">
        <f t="shared" si="17"/>
        <v>1.850190885600296E-2</v>
      </c>
      <c r="CI17" s="5">
        <f t="shared" si="17"/>
        <v>8.7873778374468071E-3</v>
      </c>
      <c r="CJ17" s="5">
        <f t="shared" si="17"/>
        <v>1.5449609443997168E-5</v>
      </c>
      <c r="CK17" s="5">
        <f t="shared" si="17"/>
        <v>3.1931288133821255E-3</v>
      </c>
      <c r="CL17" s="5">
        <f t="shared" si="17"/>
        <v>6.9456377220562526E-2</v>
      </c>
      <c r="CM17" s="5">
        <f t="shared" si="17"/>
        <v>9.1306336429085243E-5</v>
      </c>
      <c r="CN17" s="5">
        <f t="shared" si="17"/>
        <v>9.9299981066329653E-4</v>
      </c>
      <c r="CO17" s="5">
        <f t="shared" si="17"/>
        <v>5.1162058729769763E-4</v>
      </c>
      <c r="CP17" s="5">
        <f t="shared" si="17"/>
        <v>1.7597510690797149E-2</v>
      </c>
      <c r="CQ17" s="5">
        <f t="shared" si="17"/>
        <v>1.7708364708443211E-2</v>
      </c>
      <c r="CR17" s="5">
        <f t="shared" si="17"/>
        <v>2.2369415134259262E-4</v>
      </c>
      <c r="CS17" s="5">
        <f t="shared" si="17"/>
        <v>1.1168922557625953E-3</v>
      </c>
      <c r="CT17" s="5">
        <f t="shared" si="17"/>
        <v>1.5082808365029206E-4</v>
      </c>
      <c r="CU17" s="5">
        <f t="shared" ref="CU17:DZ17" si="18">CU9^2</f>
        <v>1.3645740385844037E-2</v>
      </c>
      <c r="CV17" s="5">
        <f t="shared" si="18"/>
        <v>9.9789357659655527E-6</v>
      </c>
      <c r="CW17" s="5">
        <f t="shared" si="18"/>
        <v>1.4605970535097568E-3</v>
      </c>
      <c r="CX17" s="5">
        <f t="shared" si="18"/>
        <v>1.9369428669164728E-2</v>
      </c>
      <c r="CY17" s="5">
        <f t="shared" si="18"/>
        <v>5.6227258353762984E-4</v>
      </c>
      <c r="CZ17" s="5">
        <f t="shared" si="18"/>
        <v>4.7677993769128582E-2</v>
      </c>
      <c r="DA17" s="5">
        <f t="shared" si="18"/>
        <v>3.3602150955513014E-3</v>
      </c>
      <c r="DB17" s="5">
        <f t="shared" si="18"/>
        <v>1.9892898007428065E-4</v>
      </c>
      <c r="DC17" s="5">
        <f t="shared" si="18"/>
        <v>1.298598834966512E-2</v>
      </c>
      <c r="DD17" s="5">
        <f t="shared" si="18"/>
        <v>5.5461177913042319E-3</v>
      </c>
      <c r="DE17" s="5">
        <f t="shared" si="18"/>
        <v>8.0944705118043796E-7</v>
      </c>
      <c r="DF17" s="5">
        <f t="shared" si="18"/>
        <v>9.5466930982486662E-7</v>
      </c>
      <c r="DG17" s="5">
        <f t="shared" si="18"/>
        <v>5.3260942765597724E-3</v>
      </c>
      <c r="DH17" s="5">
        <f t="shared" si="18"/>
        <v>5.6859770483571833E-4</v>
      </c>
      <c r="DI17" s="5">
        <f t="shared" si="18"/>
        <v>1.0308477356134783E-2</v>
      </c>
      <c r="DJ17" s="5">
        <f t="shared" si="18"/>
        <v>7.6687657573272126E-4</v>
      </c>
      <c r="DK17" s="5">
        <f t="shared" si="18"/>
        <v>2.4339573117996964E-3</v>
      </c>
      <c r="DL17" s="5">
        <f t="shared" si="18"/>
        <v>3.248267667612629E-5</v>
      </c>
      <c r="DM17" s="5">
        <f t="shared" si="18"/>
        <v>1.3676505773505593E-3</v>
      </c>
      <c r="DN17" s="5">
        <f t="shared" si="18"/>
        <v>1.2058891959025398E-2</v>
      </c>
      <c r="DO17" s="5">
        <f t="shared" si="18"/>
        <v>1.7670946755159902E-3</v>
      </c>
      <c r="DP17" s="5">
        <f t="shared" si="18"/>
        <v>7.1515213376560464E-3</v>
      </c>
      <c r="DQ17" s="5">
        <f t="shared" si="18"/>
        <v>1.2161636684326392E-2</v>
      </c>
      <c r="DR17" s="5">
        <f t="shared" si="18"/>
        <v>8.8979053657027001E-3</v>
      </c>
      <c r="DS17" s="5">
        <f t="shared" si="18"/>
        <v>5.1706040810191528E-3</v>
      </c>
      <c r="DT17" s="5">
        <f t="shared" si="18"/>
        <v>9.2614503642733919E-3</v>
      </c>
      <c r="DU17" s="5">
        <f t="shared" si="18"/>
        <v>5.5016020342108963E-6</v>
      </c>
      <c r="DV17" s="5">
        <f t="shared" si="18"/>
        <v>1.7960669823662546E-2</v>
      </c>
      <c r="DW17" s="5">
        <f t="shared" si="18"/>
        <v>8.9742501777570517E-3</v>
      </c>
      <c r="DX17" s="5">
        <f t="shared" si="18"/>
        <v>1.0768876593012837E-2</v>
      </c>
      <c r="DY17" s="5">
        <f t="shared" si="18"/>
        <v>5.7399040046420165E-3</v>
      </c>
      <c r="DZ17" s="5">
        <f t="shared" si="18"/>
        <v>1.0131311029084758E-3</v>
      </c>
      <c r="EA17" s="5">
        <f t="shared" ref="EA17:EF17" si="19">EA9^2</f>
        <v>2.6020277100143683E-2</v>
      </c>
      <c r="EB17" s="5">
        <f t="shared" si="19"/>
        <v>1.0411208891300061E-4</v>
      </c>
      <c r="EC17" s="5">
        <f t="shared" si="19"/>
        <v>5.4742870589305657E-3</v>
      </c>
      <c r="ED17" s="5">
        <f t="shared" si="19"/>
        <v>2.4767480781445986E-2</v>
      </c>
      <c r="EE17" s="5">
        <f t="shared" si="19"/>
        <v>6.2627523737550815E-3</v>
      </c>
      <c r="EF17" s="5">
        <f t="shared" si="19"/>
        <v>5.2603901117786907E-3</v>
      </c>
    </row>
    <row r="18" spans="1:136">
      <c r="B18" t="s">
        <v>136</v>
      </c>
      <c r="C18" s="5">
        <f t="shared" ref="C18:AH18" si="20">C10^2</f>
        <v>6.1300169090364023E-2</v>
      </c>
      <c r="D18" s="5">
        <f t="shared" si="20"/>
        <v>7.5456410721795972E-2</v>
      </c>
      <c r="E18" s="5">
        <f t="shared" si="20"/>
        <v>7.1653491215006608E-3</v>
      </c>
      <c r="F18" s="5">
        <f t="shared" si="20"/>
        <v>5.1277932467457823E-4</v>
      </c>
      <c r="G18" s="5">
        <f t="shared" si="20"/>
        <v>2.4681024790687124E-3</v>
      </c>
      <c r="H18" s="5">
        <f t="shared" si="20"/>
        <v>1.0152503674850528E-2</v>
      </c>
      <c r="I18" s="5">
        <f t="shared" si="20"/>
        <v>1.568185506319921E-4</v>
      </c>
      <c r="J18" s="5">
        <f t="shared" si="20"/>
        <v>6.1994443791691554E-3</v>
      </c>
      <c r="K18" s="5">
        <f t="shared" si="20"/>
        <v>1.1686210786418709E-3</v>
      </c>
      <c r="L18" s="5">
        <f t="shared" si="20"/>
        <v>7.8157618954765237E-3</v>
      </c>
      <c r="M18" s="5">
        <f t="shared" si="20"/>
        <v>9.384753841255295E-6</v>
      </c>
      <c r="N18" s="5">
        <f t="shared" si="20"/>
        <v>4.5036476574086326E-2</v>
      </c>
      <c r="O18" s="5">
        <f t="shared" si="20"/>
        <v>1.3546366286925624E-3</v>
      </c>
      <c r="P18" s="5">
        <f t="shared" si="20"/>
        <v>5.0457039774389721E-3</v>
      </c>
      <c r="Q18" s="5">
        <f t="shared" si="20"/>
        <v>5.0781490762883581E-3</v>
      </c>
      <c r="R18" s="5">
        <f t="shared" si="20"/>
        <v>4.6485286217124193E-4</v>
      </c>
      <c r="S18" s="5">
        <f t="shared" si="20"/>
        <v>1.0223486509543127E-2</v>
      </c>
      <c r="T18" s="5">
        <f t="shared" si="20"/>
        <v>1.8683781301546628E-3</v>
      </c>
      <c r="U18" s="5">
        <f t="shared" si="20"/>
        <v>2.2147242359019667E-4</v>
      </c>
      <c r="V18" s="5">
        <f t="shared" si="20"/>
        <v>4.0018583491306699E-5</v>
      </c>
      <c r="W18" s="5">
        <f t="shared" si="20"/>
        <v>2.0607457624597373E-2</v>
      </c>
      <c r="X18" s="5">
        <f t="shared" si="20"/>
        <v>4.1321976387742217E-3</v>
      </c>
      <c r="Y18" s="5">
        <f t="shared" si="20"/>
        <v>3.6230087920246964E-4</v>
      </c>
      <c r="Z18" s="5">
        <f t="shared" si="20"/>
        <v>4.2619770257246479E-4</v>
      </c>
      <c r="AA18" s="5">
        <f t="shared" si="20"/>
        <v>1.0929332099957007E-3</v>
      </c>
      <c r="AB18" s="5">
        <f t="shared" si="20"/>
        <v>3.7706753115437583E-4</v>
      </c>
      <c r="AC18" s="5">
        <f t="shared" si="20"/>
        <v>3.9849977723438457E-3</v>
      </c>
      <c r="AD18" s="5">
        <f t="shared" si="20"/>
        <v>4.3072591163810263E-3</v>
      </c>
      <c r="AE18" s="5">
        <f t="shared" si="20"/>
        <v>1.9042810256226231E-2</v>
      </c>
      <c r="AF18" s="5">
        <f t="shared" si="20"/>
        <v>1.0113906222416341E-2</v>
      </c>
      <c r="AG18" s="5">
        <f t="shared" si="20"/>
        <v>1.4416518828127469E-3</v>
      </c>
      <c r="AH18" s="5">
        <f t="shared" si="20"/>
        <v>2.1012632264048744E-3</v>
      </c>
      <c r="AI18" s="5">
        <f t="shared" ref="AI18:BN18" si="21">AI10^2</f>
        <v>2.6044789051912999E-3</v>
      </c>
      <c r="AJ18" s="5">
        <f t="shared" si="21"/>
        <v>1.0371239511276646E-5</v>
      </c>
      <c r="AK18" s="5">
        <f t="shared" si="21"/>
        <v>2.3963921924093171E-7</v>
      </c>
      <c r="AL18" s="5">
        <f t="shared" si="21"/>
        <v>1.1330911354520039E-2</v>
      </c>
      <c r="AM18" s="5">
        <f t="shared" si="21"/>
        <v>1.883474509221127E-4</v>
      </c>
      <c r="AN18" s="5">
        <f t="shared" si="21"/>
        <v>1.4875389913204669E-2</v>
      </c>
      <c r="AO18" s="5">
        <f t="shared" si="21"/>
        <v>2.3609556394479764E-3</v>
      </c>
      <c r="AP18" s="5">
        <f t="shared" si="21"/>
        <v>3.6219815731516953E-6</v>
      </c>
      <c r="AQ18" s="5">
        <f t="shared" si="21"/>
        <v>8.4491867337224593E-4</v>
      </c>
      <c r="AR18" s="5">
        <f t="shared" si="21"/>
        <v>2.7705250060662671E-3</v>
      </c>
      <c r="AS18" s="5">
        <f t="shared" si="21"/>
        <v>1.6623611670017849E-4</v>
      </c>
      <c r="AT18" s="5">
        <f t="shared" si="21"/>
        <v>4.541735420018535E-6</v>
      </c>
      <c r="AU18" s="5">
        <f t="shared" si="21"/>
        <v>2.4144306160754265E-2</v>
      </c>
      <c r="AV18" s="5">
        <f t="shared" si="21"/>
        <v>1.6082764905029582E-4</v>
      </c>
      <c r="AW18" s="5">
        <f t="shared" si="21"/>
        <v>1.4261904564871037E-4</v>
      </c>
      <c r="AX18" s="5">
        <f t="shared" si="21"/>
        <v>1.8094742098652484E-5</v>
      </c>
      <c r="AY18" s="5">
        <f t="shared" si="21"/>
        <v>8.5854107590684829E-4</v>
      </c>
      <c r="AZ18" s="5">
        <f t="shared" si="21"/>
        <v>1.7990186561850662E-2</v>
      </c>
      <c r="BA18" s="5">
        <f t="shared" si="21"/>
        <v>1.8799571566061855E-2</v>
      </c>
      <c r="BB18" s="5">
        <f t="shared" si="21"/>
        <v>3.0788334943751427E-6</v>
      </c>
      <c r="BC18" s="5">
        <f t="shared" si="21"/>
        <v>6.3087002382422445E-4</v>
      </c>
      <c r="BD18" s="5">
        <f t="shared" si="21"/>
        <v>1.4304616064498009E-2</v>
      </c>
      <c r="BE18" s="5">
        <f t="shared" si="21"/>
        <v>1.8431225512955431E-2</v>
      </c>
      <c r="BF18" s="5">
        <f t="shared" si="21"/>
        <v>2.2175775080298639E-3</v>
      </c>
      <c r="BG18" s="5">
        <f t="shared" si="21"/>
        <v>6.7860478904543942E-4</v>
      </c>
      <c r="BH18" s="5">
        <f t="shared" si="21"/>
        <v>1.9143052038415641E-3</v>
      </c>
      <c r="BI18" s="5">
        <f t="shared" si="21"/>
        <v>6.6246296481045049E-3</v>
      </c>
      <c r="BJ18" s="5">
        <f t="shared" si="21"/>
        <v>1.0120525298453803E-2</v>
      </c>
      <c r="BK18" s="5">
        <f t="shared" si="21"/>
        <v>8.1884544049846235E-3</v>
      </c>
      <c r="BL18" s="5">
        <f t="shared" si="21"/>
        <v>9.5471475034238963E-4</v>
      </c>
      <c r="BM18" s="5">
        <f t="shared" si="21"/>
        <v>3.4591085480784899E-3</v>
      </c>
      <c r="BN18" s="5">
        <f t="shared" si="21"/>
        <v>6.617113024465748E-3</v>
      </c>
      <c r="BO18" s="5">
        <f t="shared" ref="BO18:CT18" si="22">BO10^2</f>
        <v>5.9543089738482516E-5</v>
      </c>
      <c r="BP18" s="5">
        <f t="shared" si="22"/>
        <v>1.1392332566655691E-2</v>
      </c>
      <c r="BQ18" s="5">
        <f t="shared" si="22"/>
        <v>7.3746686174088762E-4</v>
      </c>
      <c r="BR18" s="5">
        <f t="shared" si="22"/>
        <v>2.962735792272784E-3</v>
      </c>
      <c r="BS18" s="5">
        <f t="shared" si="22"/>
        <v>4.6552343102339144E-3</v>
      </c>
      <c r="BT18" s="5">
        <f t="shared" si="22"/>
        <v>9.7243705233366149E-3</v>
      </c>
      <c r="BU18" s="5">
        <f t="shared" si="22"/>
        <v>1.6486185664536111E-2</v>
      </c>
      <c r="BV18" s="5">
        <f t="shared" si="22"/>
        <v>6.1469550603066659E-3</v>
      </c>
      <c r="BW18" s="5">
        <f t="shared" si="22"/>
        <v>1.4192843634773274E-2</v>
      </c>
      <c r="BX18" s="5">
        <f t="shared" si="22"/>
        <v>2.1986811101669893E-3</v>
      </c>
      <c r="BY18" s="5">
        <f t="shared" si="22"/>
        <v>1.034255309954589E-2</v>
      </c>
      <c r="BZ18" s="5">
        <f t="shared" si="22"/>
        <v>6.5946672658473903E-4</v>
      </c>
      <c r="CA18" s="5">
        <f t="shared" si="22"/>
        <v>6.9391882189381946E-3</v>
      </c>
      <c r="CB18" s="5">
        <f t="shared" si="22"/>
        <v>2.4909566624333357E-2</v>
      </c>
      <c r="CC18" s="5">
        <f t="shared" si="22"/>
        <v>5.0484679457919839E-3</v>
      </c>
      <c r="CD18" s="5">
        <f t="shared" si="22"/>
        <v>5.4575883396954768E-3</v>
      </c>
      <c r="CE18" s="5">
        <f t="shared" si="22"/>
        <v>5.6067832386980022E-2</v>
      </c>
      <c r="CF18" s="5">
        <f t="shared" si="22"/>
        <v>1.0645672168983563E-3</v>
      </c>
      <c r="CG18" s="5">
        <f t="shared" si="22"/>
        <v>1.8017920089221721E-4</v>
      </c>
      <c r="CH18" s="5">
        <f t="shared" si="22"/>
        <v>7.8213400438148902E-6</v>
      </c>
      <c r="CI18" s="5">
        <f t="shared" si="22"/>
        <v>2.2968727120364087E-3</v>
      </c>
      <c r="CJ18" s="5">
        <f t="shared" si="22"/>
        <v>1.0575629320283603E-5</v>
      </c>
      <c r="CK18" s="5">
        <f t="shared" si="22"/>
        <v>5.7317300865370067E-3</v>
      </c>
      <c r="CL18" s="5">
        <f t="shared" si="22"/>
        <v>1.9711163270756775E-3</v>
      </c>
      <c r="CM18" s="5">
        <f t="shared" si="22"/>
        <v>3.2036912913769394E-2</v>
      </c>
      <c r="CN18" s="5">
        <f t="shared" si="22"/>
        <v>3.3633349379620708E-3</v>
      </c>
      <c r="CO18" s="5">
        <f t="shared" si="22"/>
        <v>1.9429624982324575E-2</v>
      </c>
      <c r="CP18" s="5">
        <f t="shared" si="22"/>
        <v>4.1879885783785839E-3</v>
      </c>
      <c r="CQ18" s="5">
        <f t="shared" si="22"/>
        <v>3.2829051050147696E-2</v>
      </c>
      <c r="CR18" s="5">
        <f t="shared" si="22"/>
        <v>7.8559030529674386E-3</v>
      </c>
      <c r="CS18" s="5">
        <f t="shared" si="22"/>
        <v>6.411922743936203E-4</v>
      </c>
      <c r="CT18" s="5">
        <f t="shared" si="22"/>
        <v>1.2786876993597889E-2</v>
      </c>
      <c r="CU18" s="5">
        <f t="shared" ref="CU18:DZ18" si="23">CU10^2</f>
        <v>6.5544524509339751E-5</v>
      </c>
      <c r="CV18" s="5">
        <f t="shared" si="23"/>
        <v>2.0430588388809477E-3</v>
      </c>
      <c r="CW18" s="5">
        <f t="shared" si="23"/>
        <v>3.4740680595904648E-3</v>
      </c>
      <c r="CX18" s="5">
        <f t="shared" si="23"/>
        <v>1.160538698235747E-2</v>
      </c>
      <c r="CY18" s="5">
        <f t="shared" si="23"/>
        <v>9.3129254150261E-3</v>
      </c>
      <c r="CZ18" s="5">
        <f t="shared" si="23"/>
        <v>4.424895059465464E-2</v>
      </c>
      <c r="DA18" s="5">
        <f t="shared" si="23"/>
        <v>1.2091451728744079E-2</v>
      </c>
      <c r="DB18" s="5">
        <f t="shared" si="23"/>
        <v>3.6412452392839745E-2</v>
      </c>
      <c r="DC18" s="5">
        <f t="shared" si="23"/>
        <v>4.2961982124366043E-4</v>
      </c>
      <c r="DD18" s="5">
        <f t="shared" si="23"/>
        <v>7.5740634376350218E-3</v>
      </c>
      <c r="DE18" s="5">
        <f t="shared" si="23"/>
        <v>6.728033843953052E-3</v>
      </c>
      <c r="DF18" s="5">
        <f t="shared" si="23"/>
        <v>2.7847821251246123E-2</v>
      </c>
      <c r="DG18" s="5">
        <f t="shared" si="23"/>
        <v>4.9478702022008603E-2</v>
      </c>
      <c r="DH18" s="5">
        <f t="shared" si="23"/>
        <v>2.0821839571003448E-2</v>
      </c>
      <c r="DI18" s="5">
        <f t="shared" si="23"/>
        <v>1.4308932973192761E-2</v>
      </c>
      <c r="DJ18" s="5">
        <f t="shared" si="23"/>
        <v>1.0321085627255753E-2</v>
      </c>
      <c r="DK18" s="5">
        <f t="shared" si="23"/>
        <v>8.6220619337353931E-3</v>
      </c>
      <c r="DL18" s="5">
        <f t="shared" si="23"/>
        <v>1.8173586858343696E-3</v>
      </c>
      <c r="DM18" s="5">
        <f t="shared" si="23"/>
        <v>6.8445958863232442E-3</v>
      </c>
      <c r="DN18" s="5">
        <f t="shared" si="23"/>
        <v>9.6406849840983359E-4</v>
      </c>
      <c r="DO18" s="5">
        <f t="shared" si="23"/>
        <v>9.6318502978574808E-3</v>
      </c>
      <c r="DP18" s="5">
        <f t="shared" si="23"/>
        <v>1.7053455955604278E-2</v>
      </c>
      <c r="DQ18" s="5">
        <f t="shared" si="23"/>
        <v>2.3673789185478821E-3</v>
      </c>
      <c r="DR18" s="5">
        <f t="shared" si="23"/>
        <v>1.5407124335768466E-3</v>
      </c>
      <c r="DS18" s="5">
        <f t="shared" si="23"/>
        <v>2.5930725116640962E-2</v>
      </c>
      <c r="DT18" s="5">
        <f t="shared" si="23"/>
        <v>6.2226801681010647E-3</v>
      </c>
      <c r="DU18" s="5">
        <f t="shared" si="23"/>
        <v>2.6921313954919424E-2</v>
      </c>
      <c r="DV18" s="5">
        <f t="shared" si="23"/>
        <v>5.6328800675286651E-5</v>
      </c>
      <c r="DW18" s="5">
        <f t="shared" si="23"/>
        <v>1.0331756871656347E-2</v>
      </c>
      <c r="DX18" s="5">
        <f t="shared" si="23"/>
        <v>3.1405143826489668E-3</v>
      </c>
      <c r="DY18" s="5">
        <f t="shared" si="23"/>
        <v>1.137563878096463E-2</v>
      </c>
      <c r="DZ18" s="5">
        <f t="shared" si="23"/>
        <v>4.7867822305639905E-3</v>
      </c>
      <c r="EA18" s="5">
        <f t="shared" ref="EA18:EF18" si="24">EA10^2</f>
        <v>1.59235773418211E-2</v>
      </c>
      <c r="EB18" s="5">
        <f t="shared" si="24"/>
        <v>4.1908944894200424E-3</v>
      </c>
      <c r="EC18" s="5">
        <f t="shared" si="24"/>
        <v>2.6446410296186275E-3</v>
      </c>
      <c r="ED18" s="5">
        <f t="shared" si="24"/>
        <v>1.1900242728375913E-3</v>
      </c>
      <c r="EE18" s="5">
        <f t="shared" si="24"/>
        <v>2.4862225023126495E-2</v>
      </c>
      <c r="EF18" s="5">
        <f t="shared" si="24"/>
        <v>1.6174756721905801E-2</v>
      </c>
    </row>
    <row r="19" spans="1:136">
      <c r="B19" t="s">
        <v>137</v>
      </c>
      <c r="C19" s="5">
        <f t="shared" ref="C19:AH19" si="25">C11^2</f>
        <v>2.9424962947699911E-3</v>
      </c>
      <c r="D19" s="5">
        <f t="shared" si="25"/>
        <v>2.059074167658151E-3</v>
      </c>
      <c r="E19" s="5">
        <f t="shared" si="25"/>
        <v>3.1514318274691188E-4</v>
      </c>
      <c r="F19" s="5">
        <f t="shared" si="25"/>
        <v>7.6890721339683337E-3</v>
      </c>
      <c r="G19" s="5">
        <f t="shared" si="25"/>
        <v>1.0559465472918014E-2</v>
      </c>
      <c r="H19" s="5">
        <f t="shared" si="25"/>
        <v>6.3069879875624846E-6</v>
      </c>
      <c r="I19" s="5">
        <f t="shared" si="25"/>
        <v>3.3502003352045134E-4</v>
      </c>
      <c r="J19" s="5">
        <f t="shared" si="25"/>
        <v>4.8887532041517415E-4</v>
      </c>
      <c r="K19" s="5">
        <f t="shared" si="25"/>
        <v>5.9688056303032417E-3</v>
      </c>
      <c r="L19" s="5">
        <f t="shared" si="25"/>
        <v>8.7311801112263879E-5</v>
      </c>
      <c r="M19" s="5">
        <f t="shared" si="25"/>
        <v>2.873193829916625E-3</v>
      </c>
      <c r="N19" s="5">
        <f t="shared" si="25"/>
        <v>4.6073356328051786E-3</v>
      </c>
      <c r="O19" s="5">
        <f t="shared" si="25"/>
        <v>4.2158901598624366E-3</v>
      </c>
      <c r="P19" s="5">
        <f t="shared" si="25"/>
        <v>2.3821054386013211E-5</v>
      </c>
      <c r="Q19" s="5">
        <f t="shared" si="25"/>
        <v>3.6855622546895207E-4</v>
      </c>
      <c r="R19" s="5">
        <f t="shared" si="25"/>
        <v>2.9870042368556722E-5</v>
      </c>
      <c r="S19" s="5">
        <f t="shared" si="25"/>
        <v>1.3360097496481892E-3</v>
      </c>
      <c r="T19" s="5">
        <f t="shared" si="25"/>
        <v>1.6688781966867596E-2</v>
      </c>
      <c r="U19" s="5">
        <f t="shared" si="25"/>
        <v>1.8748202760809614E-4</v>
      </c>
      <c r="V19" s="5">
        <f t="shared" si="25"/>
        <v>2.3394473192739536E-4</v>
      </c>
      <c r="W19" s="5">
        <f t="shared" si="25"/>
        <v>1.0959099784052484E-2</v>
      </c>
      <c r="X19" s="5">
        <f t="shared" si="25"/>
        <v>8.6346676822882121E-2</v>
      </c>
      <c r="Y19" s="5">
        <f t="shared" si="25"/>
        <v>3.5061183838375133E-3</v>
      </c>
      <c r="Z19" s="5">
        <f t="shared" si="25"/>
        <v>3.4205878279447842E-2</v>
      </c>
      <c r="AA19" s="5">
        <f t="shared" si="25"/>
        <v>9.6525592252829466E-3</v>
      </c>
      <c r="AB19" s="5">
        <f t="shared" si="25"/>
        <v>4.3209728479720412E-7</v>
      </c>
      <c r="AC19" s="5">
        <f t="shared" si="25"/>
        <v>1.0750810579255237E-2</v>
      </c>
      <c r="AD19" s="5">
        <f t="shared" si="25"/>
        <v>1.2567690104255271E-5</v>
      </c>
      <c r="AE19" s="5">
        <f t="shared" si="25"/>
        <v>3.0835882156048783E-2</v>
      </c>
      <c r="AF19" s="5">
        <f t="shared" si="25"/>
        <v>2.4035262433120905E-2</v>
      </c>
      <c r="AG19" s="5">
        <f t="shared" si="25"/>
        <v>6.9319650662206438E-4</v>
      </c>
      <c r="AH19" s="5">
        <f t="shared" si="25"/>
        <v>2.4988102995418992E-5</v>
      </c>
      <c r="AI19" s="5">
        <f t="shared" ref="AI19:BN19" si="26">AI11^2</f>
        <v>7.8779660257925624E-4</v>
      </c>
      <c r="AJ19" s="5">
        <f t="shared" si="26"/>
        <v>5.0105213836060746E-4</v>
      </c>
      <c r="AK19" s="5">
        <f t="shared" si="26"/>
        <v>2.2109580205685515E-3</v>
      </c>
      <c r="AL19" s="5">
        <f t="shared" si="26"/>
        <v>1.0314740717783251E-2</v>
      </c>
      <c r="AM19" s="5">
        <f t="shared" si="26"/>
        <v>5.5343262156863572E-4</v>
      </c>
      <c r="AN19" s="5">
        <f t="shared" si="26"/>
        <v>2.7588997976275898E-3</v>
      </c>
      <c r="AO19" s="5">
        <f t="shared" si="26"/>
        <v>3.4225885640141755E-3</v>
      </c>
      <c r="AP19" s="5">
        <f t="shared" si="26"/>
        <v>1.118725626162101E-3</v>
      </c>
      <c r="AQ19" s="5">
        <f t="shared" si="26"/>
        <v>2.0450045203045813E-4</v>
      </c>
      <c r="AR19" s="5">
        <f t="shared" si="26"/>
        <v>1.2890681145068224E-3</v>
      </c>
      <c r="AS19" s="5">
        <f t="shared" si="26"/>
        <v>1.5826302227352094E-3</v>
      </c>
      <c r="AT19" s="5">
        <f t="shared" si="26"/>
        <v>2.2039242020426623E-2</v>
      </c>
      <c r="AU19" s="5">
        <f t="shared" si="26"/>
        <v>1.6636034229909587E-3</v>
      </c>
      <c r="AV19" s="5">
        <f t="shared" si="26"/>
        <v>1.9309590933108238E-2</v>
      </c>
      <c r="AW19" s="5">
        <f t="shared" si="26"/>
        <v>3.5836126990842362E-3</v>
      </c>
      <c r="AX19" s="5">
        <f t="shared" si="26"/>
        <v>2.2436988075031212E-2</v>
      </c>
      <c r="AY19" s="5">
        <f t="shared" si="26"/>
        <v>3.7940489141036855E-3</v>
      </c>
      <c r="AZ19" s="5">
        <f t="shared" si="26"/>
        <v>3.8377717094877179E-3</v>
      </c>
      <c r="BA19" s="5">
        <f t="shared" si="26"/>
        <v>5.7085842824112805E-6</v>
      </c>
      <c r="BB19" s="5">
        <f t="shared" si="26"/>
        <v>2.2162365071883454E-2</v>
      </c>
      <c r="BC19" s="5">
        <f t="shared" si="26"/>
        <v>3.6421850194502817E-3</v>
      </c>
      <c r="BD19" s="5">
        <f t="shared" si="26"/>
        <v>2.1567132814367246E-4</v>
      </c>
      <c r="BE19" s="5">
        <f t="shared" si="26"/>
        <v>2.1466733042722119E-2</v>
      </c>
      <c r="BF19" s="5">
        <f t="shared" si="26"/>
        <v>4.3581843456671758E-2</v>
      </c>
      <c r="BG19" s="5">
        <f t="shared" si="26"/>
        <v>4.0579385301159648E-2</v>
      </c>
      <c r="BH19" s="5">
        <f t="shared" si="26"/>
        <v>1.3935782851325853E-2</v>
      </c>
      <c r="BI19" s="5">
        <f t="shared" si="26"/>
        <v>5.9330934213272886E-3</v>
      </c>
      <c r="BJ19" s="5">
        <f t="shared" si="26"/>
        <v>1.3119113666831017E-3</v>
      </c>
      <c r="BK19" s="5">
        <f t="shared" si="26"/>
        <v>3.5748481064286472E-4</v>
      </c>
      <c r="BL19" s="5">
        <f t="shared" si="26"/>
        <v>2.9328493400993451E-2</v>
      </c>
      <c r="BM19" s="5">
        <f t="shared" si="26"/>
        <v>1.7667061037884114E-2</v>
      </c>
      <c r="BN19" s="5">
        <f t="shared" si="26"/>
        <v>1.2893630347257589E-3</v>
      </c>
      <c r="BO19" s="5">
        <f t="shared" ref="BO19:CT19" si="27">BO11^2</f>
        <v>4.555884575901441E-4</v>
      </c>
      <c r="BP19" s="5">
        <f t="shared" si="27"/>
        <v>2.4636156414780219E-3</v>
      </c>
      <c r="BQ19" s="5">
        <f t="shared" si="27"/>
        <v>2.9622597057292401E-4</v>
      </c>
      <c r="BR19" s="5">
        <f t="shared" si="27"/>
        <v>3.6034382227143044E-2</v>
      </c>
      <c r="BS19" s="5">
        <f t="shared" si="27"/>
        <v>9.5267433223972416E-3</v>
      </c>
      <c r="BT19" s="5">
        <f t="shared" si="27"/>
        <v>1.4312181655934848E-3</v>
      </c>
      <c r="BU19" s="5">
        <f t="shared" si="27"/>
        <v>3.1369302523255979E-3</v>
      </c>
      <c r="BV19" s="5">
        <f t="shared" si="27"/>
        <v>1.3627535644839506E-2</v>
      </c>
      <c r="BW19" s="5">
        <f t="shared" si="27"/>
        <v>1.9972187007291264E-2</v>
      </c>
      <c r="BX19" s="5">
        <f t="shared" si="27"/>
        <v>1.140430378647656E-5</v>
      </c>
      <c r="BY19" s="5">
        <f t="shared" si="27"/>
        <v>1.6987488721731576E-2</v>
      </c>
      <c r="BZ19" s="5">
        <f t="shared" si="27"/>
        <v>1.0047461557265778E-3</v>
      </c>
      <c r="CA19" s="5">
        <f t="shared" si="27"/>
        <v>1.6447110645557072E-3</v>
      </c>
      <c r="CB19" s="5">
        <f t="shared" si="27"/>
        <v>1.767137228315438E-3</v>
      </c>
      <c r="CC19" s="5">
        <f t="shared" si="27"/>
        <v>2.5013725272755708E-3</v>
      </c>
      <c r="CD19" s="5">
        <f t="shared" si="27"/>
        <v>4.6862621773654262E-3</v>
      </c>
      <c r="CE19" s="5">
        <f t="shared" si="27"/>
        <v>6.5338267870204162E-3</v>
      </c>
      <c r="CF19" s="5">
        <f t="shared" si="27"/>
        <v>3.7959149352106796E-6</v>
      </c>
      <c r="CG19" s="5">
        <f t="shared" si="27"/>
        <v>1.3973368107735227E-2</v>
      </c>
      <c r="CH19" s="5">
        <f t="shared" si="27"/>
        <v>1.3483500252419256E-3</v>
      </c>
      <c r="CI19" s="5">
        <f t="shared" si="27"/>
        <v>6.944354409283488E-3</v>
      </c>
      <c r="CJ19" s="5">
        <f t="shared" si="27"/>
        <v>5.3209971579111864E-2</v>
      </c>
      <c r="CK19" s="5">
        <f t="shared" si="27"/>
        <v>1.7630136062643516E-2</v>
      </c>
      <c r="CL19" s="5">
        <f t="shared" si="27"/>
        <v>1.9962106501869858E-2</v>
      </c>
      <c r="CM19" s="5">
        <f t="shared" si="27"/>
        <v>1.2698898011967283E-2</v>
      </c>
      <c r="CN19" s="5">
        <f t="shared" si="27"/>
        <v>4.9947135394185591E-2</v>
      </c>
      <c r="CO19" s="5">
        <f t="shared" si="27"/>
        <v>1.0903362974249101E-2</v>
      </c>
      <c r="CP19" s="5">
        <f t="shared" si="27"/>
        <v>2.0817366158502797E-4</v>
      </c>
      <c r="CQ19" s="5">
        <f t="shared" si="27"/>
        <v>4.2945670995945519E-2</v>
      </c>
      <c r="CR19" s="5">
        <f t="shared" si="27"/>
        <v>1.818826329983373E-2</v>
      </c>
      <c r="CS19" s="5">
        <f t="shared" si="27"/>
        <v>5.330129925765671E-3</v>
      </c>
      <c r="CT19" s="5">
        <f t="shared" si="27"/>
        <v>9.1315039355651805E-4</v>
      </c>
      <c r="CU19" s="5">
        <f t="shared" ref="CU19:DZ19" si="28">CU11^2</f>
        <v>8.2305398372276448E-2</v>
      </c>
      <c r="CV19" s="5">
        <f t="shared" si="28"/>
        <v>5.323658125231813E-2</v>
      </c>
      <c r="CW19" s="5">
        <f t="shared" si="28"/>
        <v>8.2947828598525283E-3</v>
      </c>
      <c r="CX19" s="5">
        <f t="shared" si="28"/>
        <v>1.5002754583806925E-2</v>
      </c>
      <c r="CY19" s="5">
        <f t="shared" si="28"/>
        <v>6.1437262145754186E-3</v>
      </c>
      <c r="CZ19" s="5">
        <f t="shared" si="28"/>
        <v>2.1114120178055175E-3</v>
      </c>
      <c r="DA19" s="5">
        <f t="shared" si="28"/>
        <v>6.8343561034422563E-3</v>
      </c>
      <c r="DB19" s="5">
        <f t="shared" si="28"/>
        <v>2.2305204479499383E-2</v>
      </c>
      <c r="DC19" s="5">
        <f t="shared" si="28"/>
        <v>2.2847162154111663E-3</v>
      </c>
      <c r="DD19" s="5">
        <f t="shared" si="28"/>
        <v>2.7064678662887049E-2</v>
      </c>
      <c r="DE19" s="5">
        <f t="shared" si="28"/>
        <v>1.2225360760831885E-2</v>
      </c>
      <c r="DF19" s="5">
        <f t="shared" si="28"/>
        <v>3.2966966393763162E-3</v>
      </c>
      <c r="DG19" s="5">
        <f t="shared" si="28"/>
        <v>4.6177804713180344E-2</v>
      </c>
      <c r="DH19" s="5">
        <f t="shared" si="28"/>
        <v>3.9686415441255191E-3</v>
      </c>
      <c r="DI19" s="5">
        <f t="shared" si="28"/>
        <v>4.5861486060873721E-3</v>
      </c>
      <c r="DJ19" s="5">
        <f t="shared" si="28"/>
        <v>1.4113933508686947E-2</v>
      </c>
      <c r="DK19" s="5">
        <f t="shared" si="28"/>
        <v>5.3038165655135587E-5</v>
      </c>
      <c r="DL19" s="5">
        <f t="shared" si="28"/>
        <v>5.0866278425543898E-3</v>
      </c>
      <c r="DM19" s="5">
        <f t="shared" si="28"/>
        <v>4.4192030717479113E-4</v>
      </c>
      <c r="DN19" s="5">
        <f t="shared" si="28"/>
        <v>9.2435602590540443E-4</v>
      </c>
      <c r="DO19" s="5">
        <f t="shared" si="28"/>
        <v>9.3992359170593232E-3</v>
      </c>
      <c r="DP19" s="5">
        <f t="shared" si="28"/>
        <v>5.3211643863895493E-2</v>
      </c>
      <c r="DQ19" s="5">
        <f t="shared" si="28"/>
        <v>5.6731766595356822E-2</v>
      </c>
      <c r="DR19" s="5">
        <f t="shared" si="28"/>
        <v>1.2779732721999408E-5</v>
      </c>
      <c r="DS19" s="5">
        <f t="shared" si="28"/>
        <v>1.7944107252667544E-2</v>
      </c>
      <c r="DT19" s="5">
        <f t="shared" si="28"/>
        <v>1.3249413434882942E-2</v>
      </c>
      <c r="DU19" s="5">
        <f t="shared" si="28"/>
        <v>1.0832602517582508E-2</v>
      </c>
      <c r="DV19" s="5">
        <f t="shared" si="28"/>
        <v>2.9823682090757879E-3</v>
      </c>
      <c r="DW19" s="5">
        <f t="shared" si="28"/>
        <v>1.1082370139875364E-3</v>
      </c>
      <c r="DX19" s="5">
        <f t="shared" si="28"/>
        <v>3.0354498547830525E-3</v>
      </c>
      <c r="DY19" s="5">
        <f t="shared" si="28"/>
        <v>4.7325832565790213E-3</v>
      </c>
      <c r="DZ19" s="5">
        <f t="shared" si="28"/>
        <v>2.0969279010246204E-4</v>
      </c>
      <c r="EA19" s="5">
        <f t="shared" ref="EA19:EF19" si="29">EA11^2</f>
        <v>8.5929031587546431E-2</v>
      </c>
      <c r="EB19" s="5">
        <f t="shared" si="29"/>
        <v>1.987395609544565E-2</v>
      </c>
      <c r="EC19" s="5">
        <f t="shared" si="29"/>
        <v>1.4906851026839793E-4</v>
      </c>
      <c r="ED19" s="5">
        <f t="shared" si="29"/>
        <v>3.3834798795211859E-3</v>
      </c>
      <c r="EE19" s="5">
        <f t="shared" si="29"/>
        <v>2.0852230305009004E-2</v>
      </c>
      <c r="EF19" s="5">
        <f t="shared" si="29"/>
        <v>9.4107527241881761E-3</v>
      </c>
    </row>
    <row r="21" spans="1:136">
      <c r="A21" t="s">
        <v>206</v>
      </c>
      <c r="B21" s="9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tabSelected="1" zoomScale="163" workbookViewId="0">
      <selection activeCell="C3" sqref="C3:EF5"/>
    </sheetView>
  </sheetViews>
  <sheetFormatPr baseColWidth="10" defaultColWidth="8.83203125" defaultRowHeight="15"/>
  <cols>
    <col min="1" max="1" width="13.83203125" style="10" customWidth="1"/>
  </cols>
  <sheetData>
    <row r="1" spans="1:136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>
      <c r="A3" s="1"/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>
      <c r="A4" s="1"/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>
      <c r="A5" s="1"/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7" spans="1:136">
      <c r="A7" t="s">
        <v>203</v>
      </c>
    </row>
    <row r="8" spans="1:136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B8" t="s">
        <v>52</v>
      </c>
      <c r="BC8" t="s">
        <v>53</v>
      </c>
      <c r="BD8" t="s">
        <v>54</v>
      </c>
      <c r="BE8" t="s">
        <v>55</v>
      </c>
      <c r="BF8" t="s">
        <v>56</v>
      </c>
      <c r="BG8" t="s">
        <v>57</v>
      </c>
      <c r="BH8" t="s">
        <v>58</v>
      </c>
      <c r="BI8" t="s">
        <v>59</v>
      </c>
      <c r="BJ8" t="s">
        <v>60</v>
      </c>
      <c r="BK8" t="s">
        <v>61</v>
      </c>
      <c r="BL8" t="s">
        <v>62</v>
      </c>
      <c r="BM8" t="s">
        <v>63</v>
      </c>
      <c r="BN8" t="s">
        <v>64</v>
      </c>
      <c r="BO8" t="s">
        <v>65</v>
      </c>
      <c r="BP8" t="s">
        <v>66</v>
      </c>
      <c r="BQ8" t="s">
        <v>67</v>
      </c>
      <c r="BR8" t="s">
        <v>68</v>
      </c>
      <c r="BS8" t="s">
        <v>69</v>
      </c>
      <c r="BT8" t="s">
        <v>70</v>
      </c>
      <c r="BU8" t="s">
        <v>71</v>
      </c>
      <c r="BV8" t="s">
        <v>72</v>
      </c>
      <c r="BW8" t="s">
        <v>73</v>
      </c>
      <c r="BX8" t="s">
        <v>74</v>
      </c>
      <c r="BY8" t="s">
        <v>75</v>
      </c>
      <c r="BZ8" t="s">
        <v>76</v>
      </c>
      <c r="CA8" t="s">
        <v>77</v>
      </c>
      <c r="CB8" t="s">
        <v>78</v>
      </c>
      <c r="CC8" t="s">
        <v>79</v>
      </c>
      <c r="CD8" t="s">
        <v>80</v>
      </c>
      <c r="CE8" t="s">
        <v>81</v>
      </c>
      <c r="CF8" t="s">
        <v>82</v>
      </c>
      <c r="CG8" t="s">
        <v>83</v>
      </c>
      <c r="CH8" t="s">
        <v>84</v>
      </c>
      <c r="CI8" t="s">
        <v>85</v>
      </c>
      <c r="CJ8" t="s">
        <v>86</v>
      </c>
      <c r="CK8" t="s">
        <v>87</v>
      </c>
      <c r="CL8" t="s">
        <v>88</v>
      </c>
      <c r="CM8" t="s">
        <v>89</v>
      </c>
      <c r="CN8" t="s">
        <v>90</v>
      </c>
      <c r="CO8" t="s">
        <v>91</v>
      </c>
      <c r="CP8" t="s">
        <v>92</v>
      </c>
      <c r="CQ8" t="s">
        <v>93</v>
      </c>
      <c r="CR8" t="s">
        <v>94</v>
      </c>
      <c r="CS8" t="s">
        <v>95</v>
      </c>
      <c r="CT8" t="s">
        <v>96</v>
      </c>
      <c r="CU8" t="s">
        <v>97</v>
      </c>
      <c r="CV8" t="s">
        <v>98</v>
      </c>
      <c r="CW8" t="s">
        <v>99</v>
      </c>
      <c r="CX8" t="s">
        <v>100</v>
      </c>
      <c r="CY8" t="s">
        <v>101</v>
      </c>
      <c r="CZ8" t="s">
        <v>102</v>
      </c>
      <c r="DA8" t="s">
        <v>103</v>
      </c>
      <c r="DB8" t="s">
        <v>104</v>
      </c>
      <c r="DC8" t="s">
        <v>105</v>
      </c>
      <c r="DD8" t="s">
        <v>106</v>
      </c>
      <c r="DE8" t="s">
        <v>107</v>
      </c>
      <c r="DF8" t="s">
        <v>108</v>
      </c>
      <c r="DG8" t="s">
        <v>109</v>
      </c>
      <c r="DH8" t="s">
        <v>110</v>
      </c>
      <c r="DI8" t="s">
        <v>111</v>
      </c>
      <c r="DJ8" t="s">
        <v>112</v>
      </c>
      <c r="DK8" t="s">
        <v>113</v>
      </c>
      <c r="DL8" t="s">
        <v>114</v>
      </c>
      <c r="DM8" t="s">
        <v>115</v>
      </c>
      <c r="DN8" t="s">
        <v>116</v>
      </c>
      <c r="DO8" t="s">
        <v>117</v>
      </c>
      <c r="DP8" t="s">
        <v>118</v>
      </c>
      <c r="DQ8" t="s">
        <v>119</v>
      </c>
      <c r="DR8" t="s">
        <v>120</v>
      </c>
      <c r="DS8" t="s">
        <v>121</v>
      </c>
      <c r="DT8" t="s">
        <v>122</v>
      </c>
      <c r="DU8" t="s">
        <v>123</v>
      </c>
      <c r="DV8" t="s">
        <v>124</v>
      </c>
      <c r="DW8" t="s">
        <v>125</v>
      </c>
      <c r="DX8" t="s">
        <v>126</v>
      </c>
      <c r="DY8" t="s">
        <v>127</v>
      </c>
      <c r="DZ8" t="s">
        <v>128</v>
      </c>
      <c r="EA8" t="s">
        <v>129</v>
      </c>
      <c r="EB8" t="s">
        <v>130</v>
      </c>
      <c r="EC8" t="s">
        <v>131</v>
      </c>
      <c r="ED8" t="s">
        <v>132</v>
      </c>
      <c r="EE8" t="s">
        <v>133</v>
      </c>
      <c r="EF8" t="s">
        <v>134</v>
      </c>
    </row>
    <row r="9" spans="1:136">
      <c r="B9" t="s">
        <v>135</v>
      </c>
      <c r="C9" s="14">
        <v>0.109105830631824</v>
      </c>
      <c r="D9" s="14">
        <v>1.4576582608432649E-2</v>
      </c>
      <c r="E9" s="14">
        <v>-3.6154356576976902E-2</v>
      </c>
      <c r="F9" s="14">
        <v>-4.742600977062153E-3</v>
      </c>
      <c r="G9" s="14">
        <v>-5.7477531385562736E-3</v>
      </c>
      <c r="H9" s="14">
        <v>4.9378023156909527E-2</v>
      </c>
      <c r="I9" s="14">
        <v>0.18325176920476779</v>
      </c>
      <c r="J9" s="14">
        <v>0.1164863088741452</v>
      </c>
      <c r="K9" s="14">
        <v>-3.0594945598924051E-2</v>
      </c>
      <c r="L9" s="14">
        <v>1.9828051430277011E-2</v>
      </c>
      <c r="M9" s="14">
        <v>-2.0999006362740089E-2</v>
      </c>
      <c r="N9" s="14">
        <v>0.1497794247734946</v>
      </c>
      <c r="O9" s="14">
        <v>1.5463406170905081E-2</v>
      </c>
      <c r="P9" s="14">
        <v>-9.1792321477913982E-2</v>
      </c>
      <c r="Q9" s="14">
        <v>-7.7409013100986537E-2</v>
      </c>
      <c r="R9" s="14">
        <v>5.4776596014220982E-2</v>
      </c>
      <c r="S9" s="14">
        <v>-0.12533438670858049</v>
      </c>
      <c r="T9" s="14">
        <v>-0.1190534205538864</v>
      </c>
      <c r="U9" s="14">
        <v>-3.777005083138045E-2</v>
      </c>
      <c r="V9" s="14">
        <v>8.1183823152198617E-2</v>
      </c>
      <c r="W9" s="14">
        <v>8.4008967865119855E-2</v>
      </c>
      <c r="X9" s="14">
        <v>0.14701135657134901</v>
      </c>
      <c r="Y9" s="14">
        <v>-0.12536053701812139</v>
      </c>
      <c r="Z9" s="14">
        <v>0.1919535535452612</v>
      </c>
      <c r="AA9" s="14">
        <v>-8.4370782422902996E-2</v>
      </c>
      <c r="AB9" s="14">
        <v>7.2897613803716274E-2</v>
      </c>
      <c r="AC9" s="14">
        <v>0.10260456025692451</v>
      </c>
      <c r="AD9" s="14">
        <v>1.5770167253116588E-2</v>
      </c>
      <c r="AE9" s="14">
        <v>-0.15200716210156701</v>
      </c>
      <c r="AF9" s="14">
        <v>5.9250251506559243E-2</v>
      </c>
      <c r="AG9" s="14">
        <v>0.13005883770177931</v>
      </c>
      <c r="AH9" s="14">
        <v>0.11525639530312259</v>
      </c>
      <c r="AI9" s="14">
        <v>3.2606621901195412E-2</v>
      </c>
      <c r="AJ9" s="14">
        <v>2.79991148643382E-2</v>
      </c>
      <c r="AK9" s="14">
        <v>0.14657041796408479</v>
      </c>
      <c r="AL9" s="14">
        <v>4.0841921466891577E-2</v>
      </c>
      <c r="AM9" s="14">
        <v>0.13137636706820099</v>
      </c>
      <c r="AN9" s="14">
        <v>0.22143295930140211</v>
      </c>
      <c r="AO9" s="14">
        <v>-2.0941038924054418E-2</v>
      </c>
      <c r="AP9" s="14">
        <v>-0.13715995040864579</v>
      </c>
      <c r="AQ9" s="14">
        <v>-2.4882854865750599E-2</v>
      </c>
      <c r="AR9" s="14">
        <v>1.551397070984222E-2</v>
      </c>
      <c r="AS9" s="14">
        <v>3.4373036510765703E-2</v>
      </c>
      <c r="AT9" s="14">
        <v>6.3095686135752824E-2</v>
      </c>
      <c r="AU9" s="14">
        <v>4.3237695395113553E-2</v>
      </c>
      <c r="AV9" s="14">
        <v>-7.4230367380587331E-2</v>
      </c>
      <c r="AW9" s="14">
        <v>2.7994827208502701E-2</v>
      </c>
      <c r="AX9" s="14">
        <v>0.1198644178103629</v>
      </c>
      <c r="AY9" s="14">
        <v>7.6559571245744709E-2</v>
      </c>
      <c r="AZ9" s="14">
        <v>-2.1730386111293399E-2</v>
      </c>
      <c r="BA9" s="14">
        <v>-1.2464632784982711E-3</v>
      </c>
      <c r="BB9" s="14">
        <v>0.10099582217884891</v>
      </c>
      <c r="BC9" s="14">
        <v>2.9826929857085831E-2</v>
      </c>
      <c r="BD9" s="14">
        <v>8.6757683796749117E-3</v>
      </c>
      <c r="BE9" s="14">
        <v>6.8557206018591665E-2</v>
      </c>
      <c r="BF9" s="14">
        <v>0.15691259652648329</v>
      </c>
      <c r="BG9" s="14">
        <v>0.1592037331379933</v>
      </c>
      <c r="BH9" s="14">
        <v>6.1121667651573217E-2</v>
      </c>
      <c r="BI9" s="14">
        <v>9.6912851275401127E-2</v>
      </c>
      <c r="BJ9" s="14">
        <v>-5.4746248471514068E-2</v>
      </c>
      <c r="BK9" s="14">
        <v>-8.7492963132843785E-2</v>
      </c>
      <c r="BL9" s="14">
        <v>9.4426745861656128E-2</v>
      </c>
      <c r="BM9" s="14">
        <v>-2.2191058729398399E-2</v>
      </c>
      <c r="BN9" s="14">
        <v>1.562861243910833E-2</v>
      </c>
      <c r="BO9" s="14">
        <v>8.1418240100881306E-2</v>
      </c>
      <c r="BP9" s="14">
        <v>-1.8508942424783719E-2</v>
      </c>
      <c r="BQ9" s="14">
        <v>6.8729568027927734E-2</v>
      </c>
      <c r="BR9" s="14">
        <v>3.1023605185006549E-3</v>
      </c>
      <c r="BS9" s="14">
        <v>7.4964417651561921E-2</v>
      </c>
      <c r="BT9" s="14">
        <v>4.5201587698112312E-2</v>
      </c>
      <c r="BU9" s="14">
        <v>2.5677329398223779E-2</v>
      </c>
      <c r="BV9" s="14">
        <v>9.180403106274436E-2</v>
      </c>
      <c r="BW9" s="14">
        <v>-2.6353999034970911E-2</v>
      </c>
      <c r="BX9" s="14">
        <v>1.9394832235212069E-2</v>
      </c>
      <c r="BY9" s="14">
        <v>-7.6838899317359197E-2</v>
      </c>
      <c r="BZ9" s="14">
        <v>0.1133093139289441</v>
      </c>
      <c r="CA9" s="14">
        <v>-0.10735493495839039</v>
      </c>
      <c r="CB9" s="14">
        <v>4.0844788501696747E-2</v>
      </c>
      <c r="CC9" s="14">
        <v>-1.9801708972640539E-2</v>
      </c>
      <c r="CD9" s="14">
        <v>0.1883770899619405</v>
      </c>
      <c r="CE9" s="14">
        <v>5.5574905720929421E-2</v>
      </c>
      <c r="CF9" s="14">
        <v>7.4872074365934668E-2</v>
      </c>
      <c r="CG9" s="14">
        <v>0.1000001919024945</v>
      </c>
      <c r="CH9" s="14">
        <v>0.1360217220005796</v>
      </c>
      <c r="CI9" s="14">
        <v>-9.3741014702459921E-2</v>
      </c>
      <c r="CJ9" s="14">
        <v>3.9305991202356373E-3</v>
      </c>
      <c r="CK9" s="14">
        <v>5.6507776574398372E-2</v>
      </c>
      <c r="CL9" s="14">
        <v>0.26354577822564818</v>
      </c>
      <c r="CM9" s="14">
        <v>-9.5554349157474378E-3</v>
      </c>
      <c r="CN9" s="14">
        <v>-3.1511899508967982E-2</v>
      </c>
      <c r="CO9" s="14">
        <v>-2.2619031528730349E-2</v>
      </c>
      <c r="CP9" s="14">
        <v>0.13265560934539161</v>
      </c>
      <c r="CQ9" s="14">
        <v>0.1330727797426777</v>
      </c>
      <c r="CR9" s="14">
        <v>-1.4956408370414089E-2</v>
      </c>
      <c r="CS9" s="14">
        <v>-3.3419937997587537E-2</v>
      </c>
      <c r="CT9" s="14">
        <v>1.228120855821169E-2</v>
      </c>
      <c r="CU9" s="14">
        <v>0.11681498356736621</v>
      </c>
      <c r="CV9" s="14">
        <v>-3.1589453565969692E-3</v>
      </c>
      <c r="CW9" s="14">
        <v>3.8217758352757383E-2</v>
      </c>
      <c r="CX9" s="14">
        <v>0.13917409482071269</v>
      </c>
      <c r="CY9" s="14">
        <v>-2.3712287606589749E-2</v>
      </c>
      <c r="CZ9" s="14">
        <v>0.21835291106172269</v>
      </c>
      <c r="DA9" s="14">
        <v>-5.796736233046404E-2</v>
      </c>
      <c r="DB9" s="14">
        <v>-1.410421852050941E-2</v>
      </c>
      <c r="DC9" s="14">
        <v>0.11395608079284369</v>
      </c>
      <c r="DD9" s="14">
        <v>7.4472261891957006E-2</v>
      </c>
      <c r="DE9" s="14">
        <v>-8.9969275376677231E-4</v>
      </c>
      <c r="DF9" s="14">
        <v>9.7707180382245536E-4</v>
      </c>
      <c r="DG9" s="14">
        <v>-7.2980095070914866E-2</v>
      </c>
      <c r="DH9" s="14">
        <v>-2.384528684741952E-2</v>
      </c>
      <c r="DI9" s="14">
        <v>-0.101530671996864</v>
      </c>
      <c r="DJ9" s="14">
        <v>2.7692536462605249E-2</v>
      </c>
      <c r="DK9" s="14">
        <v>-4.9335152901351147E-2</v>
      </c>
      <c r="DL9" s="14">
        <v>-5.6993575669654463E-3</v>
      </c>
      <c r="DM9" s="14">
        <v>-3.698176006290884E-2</v>
      </c>
      <c r="DN9" s="14">
        <v>0.1098129862949979</v>
      </c>
      <c r="DO9" s="14">
        <v>4.2036825231170707E-2</v>
      </c>
      <c r="DP9" s="14">
        <v>8.4566668006112469E-2</v>
      </c>
      <c r="DQ9" s="14">
        <v>-0.11027981086457481</v>
      </c>
      <c r="DR9" s="14">
        <v>9.4328709127723676E-2</v>
      </c>
      <c r="DS9" s="14">
        <v>-7.1906912609422696E-2</v>
      </c>
      <c r="DT9" s="14">
        <v>-9.6236429507091506E-2</v>
      </c>
      <c r="DU9" s="14">
        <v>2.3455494098847921E-3</v>
      </c>
      <c r="DV9" s="14">
        <v>0.13401742358239299</v>
      </c>
      <c r="DW9" s="14">
        <v>9.4732519114383587E-2</v>
      </c>
      <c r="DX9" s="14">
        <v>-0.1037731978548066</v>
      </c>
      <c r="DY9" s="14">
        <v>7.5762154171076845E-2</v>
      </c>
      <c r="DZ9" s="14">
        <v>-3.1829720434029513E-2</v>
      </c>
      <c r="EA9" s="14">
        <v>0.16130801932992569</v>
      </c>
      <c r="EB9" s="14">
        <v>1.020353315832318E-2</v>
      </c>
      <c r="EC9" s="14">
        <v>7.3988425168607055E-2</v>
      </c>
      <c r="ED9" s="14">
        <v>-0.15737687498945321</v>
      </c>
      <c r="EE9" s="14">
        <v>7.9137553498671423E-2</v>
      </c>
      <c r="EF9" s="14">
        <v>7.252854687485949E-2</v>
      </c>
    </row>
    <row r="10" spans="1:136">
      <c r="B10" t="s">
        <v>136</v>
      </c>
      <c r="C10" s="14">
        <v>-0.24758870953733739</v>
      </c>
      <c r="D10" s="14">
        <v>-0.27469330301591988</v>
      </c>
      <c r="E10" s="14">
        <v>-8.4648385226775952E-2</v>
      </c>
      <c r="F10" s="14">
        <v>2.264463125499239E-2</v>
      </c>
      <c r="G10" s="14">
        <v>-4.968000079578011E-2</v>
      </c>
      <c r="H10" s="14">
        <v>-0.100759633161552</v>
      </c>
      <c r="I10" s="14">
        <v>-1.2522721374844691E-2</v>
      </c>
      <c r="J10" s="14">
        <v>7.8736550465264579E-2</v>
      </c>
      <c r="K10" s="14">
        <v>-3.418510024326199E-2</v>
      </c>
      <c r="L10" s="14">
        <v>8.8406797789969321E-2</v>
      </c>
      <c r="M10" s="14">
        <v>-3.063454560011507E-3</v>
      </c>
      <c r="N10" s="14">
        <v>-0.21221799304980321</v>
      </c>
      <c r="O10" s="14">
        <v>-3.6805388582279122E-2</v>
      </c>
      <c r="P10" s="14">
        <v>7.1033118877316462E-2</v>
      </c>
      <c r="Q10" s="14">
        <v>-7.1261132998910126E-2</v>
      </c>
      <c r="R10" s="14">
        <v>2.1560446706208151E-2</v>
      </c>
      <c r="S10" s="14">
        <v>0.10111125807516751</v>
      </c>
      <c r="T10" s="14">
        <v>4.3224739792793003E-2</v>
      </c>
      <c r="U10" s="14">
        <v>1.488194958969411E-2</v>
      </c>
      <c r="V10" s="14">
        <v>6.3260243037239986E-3</v>
      </c>
      <c r="W10" s="14">
        <v>-0.1435529784595129</v>
      </c>
      <c r="X10" s="14">
        <v>-6.4282172013507929E-2</v>
      </c>
      <c r="Y10" s="14">
        <v>-1.9034202878042191E-2</v>
      </c>
      <c r="Z10" s="14">
        <v>-2.0644556245472189E-2</v>
      </c>
      <c r="AA10" s="14">
        <v>3.3059540377865217E-2</v>
      </c>
      <c r="AB10" s="14">
        <v>-1.9418226776777941E-2</v>
      </c>
      <c r="AC10" s="14">
        <v>-6.3126838764061721E-2</v>
      </c>
      <c r="AD10" s="14">
        <v>-6.5629712146108229E-2</v>
      </c>
      <c r="AE10" s="14">
        <v>0.1379956892668254</v>
      </c>
      <c r="AF10" s="14">
        <v>-0.1005679184552228</v>
      </c>
      <c r="AG10" s="14">
        <v>-3.7969091150733998E-2</v>
      </c>
      <c r="AH10" s="14">
        <v>-4.5839537807496208E-2</v>
      </c>
      <c r="AI10" s="14">
        <v>-5.1034095516539722E-2</v>
      </c>
      <c r="AJ10" s="14">
        <v>-3.2204408877165632E-3</v>
      </c>
      <c r="AK10" s="14">
        <v>4.8952958975013116E-4</v>
      </c>
      <c r="AL10" s="14">
        <v>-0.1064467536119352</v>
      </c>
      <c r="AM10" s="14">
        <v>-1.3723973583554899E-2</v>
      </c>
      <c r="AN10" s="14">
        <v>-0.1219647076543238</v>
      </c>
      <c r="AO10" s="14">
        <v>-4.858966597382592E-2</v>
      </c>
      <c r="AP10" s="14">
        <v>-1.903150433663008E-3</v>
      </c>
      <c r="AQ10" s="14">
        <v>2.9067484813314101E-2</v>
      </c>
      <c r="AR10" s="14">
        <v>5.2635776863899968E-2</v>
      </c>
      <c r="AS10" s="14">
        <v>-1.289325857571229E-2</v>
      </c>
      <c r="AT10" s="14">
        <v>-2.131134772842519E-3</v>
      </c>
      <c r="AU10" s="14">
        <v>-0.15538438197178719</v>
      </c>
      <c r="AV10" s="14">
        <v>1.268178414302561E-2</v>
      </c>
      <c r="AW10" s="14">
        <v>-1.1942321618877561E-2</v>
      </c>
      <c r="AX10" s="14">
        <v>-4.2537914968475456E-3</v>
      </c>
      <c r="AY10" s="14">
        <v>2.930087158954232E-2</v>
      </c>
      <c r="AZ10" s="14">
        <v>-0.13412750113921701</v>
      </c>
      <c r="BA10" s="14">
        <v>-0.13711152966130111</v>
      </c>
      <c r="BB10" s="14">
        <v>1.7546605068716691E-3</v>
      </c>
      <c r="BC10" s="14">
        <v>2.5117126105990401E-2</v>
      </c>
      <c r="BD10" s="14">
        <v>-0.11960190660895841</v>
      </c>
      <c r="BE10" s="14">
        <v>0.1357616496399312</v>
      </c>
      <c r="BF10" s="14">
        <v>4.7091161676368357E-2</v>
      </c>
      <c r="BG10" s="14">
        <v>-2.605004393557599E-2</v>
      </c>
      <c r="BH10" s="14">
        <v>4.3752773670266483E-2</v>
      </c>
      <c r="BI10" s="14">
        <v>-8.1391827895093402E-2</v>
      </c>
      <c r="BJ10" s="14">
        <v>-0.10060082155953699</v>
      </c>
      <c r="BK10" s="14">
        <v>9.0490079041763594E-2</v>
      </c>
      <c r="BL10" s="14">
        <v>-3.0898458704964389E-2</v>
      </c>
      <c r="BM10" s="14">
        <v>5.8814186622603987E-2</v>
      </c>
      <c r="BN10" s="14">
        <v>8.1345639246770615E-2</v>
      </c>
      <c r="BO10" s="14">
        <v>-7.7164168976593351E-3</v>
      </c>
      <c r="BP10" s="14">
        <v>0.1067348704344353</v>
      </c>
      <c r="BQ10" s="14">
        <v>-2.7156341096342261E-2</v>
      </c>
      <c r="BR10" s="14">
        <v>-5.4431018659150447E-2</v>
      </c>
      <c r="BS10" s="14">
        <v>-6.822927751511014E-2</v>
      </c>
      <c r="BT10" s="14">
        <v>9.8612222991557266E-2</v>
      </c>
      <c r="BU10" s="14">
        <v>0.1283985422991091</v>
      </c>
      <c r="BV10" s="14">
        <v>-7.8402519476778718E-2</v>
      </c>
      <c r="BW10" s="14">
        <v>-0.1191337216524913</v>
      </c>
      <c r="BX10" s="14">
        <v>-4.6890096077604589E-2</v>
      </c>
      <c r="BY10" s="14">
        <v>0.10169834364209621</v>
      </c>
      <c r="BZ10" s="14">
        <v>-2.5680084240218899E-2</v>
      </c>
      <c r="CA10" s="14">
        <v>-8.3301790010408508E-2</v>
      </c>
      <c r="CB10" s="14">
        <v>-0.15782764847875469</v>
      </c>
      <c r="CC10" s="14">
        <v>-7.1052571704280934E-2</v>
      </c>
      <c r="CD10" s="14">
        <v>-7.3875492145199798E-2</v>
      </c>
      <c r="CE10" s="14">
        <v>-0.23678647002516851</v>
      </c>
      <c r="CF10" s="14">
        <v>3.2627706277002622E-2</v>
      </c>
      <c r="CG10" s="14">
        <v>1.3423084626575861E-2</v>
      </c>
      <c r="CH10" s="14">
        <v>-2.7966658799032269E-3</v>
      </c>
      <c r="CI10" s="14">
        <v>4.7925699911805238E-2</v>
      </c>
      <c r="CJ10" s="14">
        <v>-3.2520192681292038E-3</v>
      </c>
      <c r="CK10" s="14">
        <v>-7.570819035307215E-2</v>
      </c>
      <c r="CL10" s="14">
        <v>-4.439725585073561E-2</v>
      </c>
      <c r="CM10" s="14">
        <v>0.17898858319392719</v>
      </c>
      <c r="CN10" s="14">
        <v>5.799426642317386E-2</v>
      </c>
      <c r="CO10" s="14">
        <v>-0.13939018969183081</v>
      </c>
      <c r="CP10" s="14">
        <v>6.4714670503515537E-2</v>
      </c>
      <c r="CQ10" s="14">
        <v>-0.18118788880647541</v>
      </c>
      <c r="CR10" s="14">
        <v>-8.8633532328162568E-2</v>
      </c>
      <c r="CS10" s="14">
        <v>-2.532177470861038E-2</v>
      </c>
      <c r="CT10" s="14">
        <v>-0.11307907407472829</v>
      </c>
      <c r="CU10" s="14">
        <v>8.095957294189474E-3</v>
      </c>
      <c r="CV10" s="14">
        <v>-4.5200208394220349E-2</v>
      </c>
      <c r="CW10" s="14">
        <v>-5.8941225467328592E-2</v>
      </c>
      <c r="CX10" s="14">
        <v>-0.1077283016776811</v>
      </c>
      <c r="CY10" s="14">
        <v>-9.6503499496267492E-2</v>
      </c>
      <c r="CZ10" s="14">
        <v>-0.2103543453191653</v>
      </c>
      <c r="DA10" s="14">
        <v>-0.10996113735654101</v>
      </c>
      <c r="DB10" s="14">
        <v>-0.1908204716293295</v>
      </c>
      <c r="DC10" s="14">
        <v>-2.0727272402408872E-2</v>
      </c>
      <c r="DD10" s="14">
        <v>8.7029095351123936E-2</v>
      </c>
      <c r="DE10" s="14">
        <v>8.2024592921593045E-2</v>
      </c>
      <c r="DF10" s="14">
        <v>-0.166876664789437</v>
      </c>
      <c r="DG10" s="14">
        <v>0.22243808581717431</v>
      </c>
      <c r="DH10" s="14">
        <v>-0.144297746243673</v>
      </c>
      <c r="DI10" s="14">
        <v>-0.1196199522370443</v>
      </c>
      <c r="DJ10" s="14">
        <v>-0.10159274396951661</v>
      </c>
      <c r="DK10" s="14">
        <v>9.2855058740681395E-2</v>
      </c>
      <c r="DL10" s="14">
        <v>-4.2630490096108087E-2</v>
      </c>
      <c r="DM10" s="14">
        <v>8.2732072899953643E-2</v>
      </c>
      <c r="DN10" s="14">
        <v>-3.1049452465540091E-2</v>
      </c>
      <c r="DO10" s="14">
        <v>-9.8141990492640205E-2</v>
      </c>
      <c r="DP10" s="14">
        <v>-0.13058888143944061</v>
      </c>
      <c r="DQ10" s="14">
        <v>4.8655718251279387E-2</v>
      </c>
      <c r="DR10" s="14">
        <v>-3.9251909935401189E-2</v>
      </c>
      <c r="DS10" s="14">
        <v>-0.1610301993932845</v>
      </c>
      <c r="DT10" s="14">
        <v>-7.8883966483063367E-2</v>
      </c>
      <c r="DU10" s="14">
        <v>0.16407715854109439</v>
      </c>
      <c r="DV10" s="14">
        <v>7.5052515397744431E-3</v>
      </c>
      <c r="DW10" s="14">
        <v>-0.1016452501185193</v>
      </c>
      <c r="DX10" s="14">
        <v>-5.6040292492535823E-2</v>
      </c>
      <c r="DY10" s="14">
        <v>-0.1066566396478186</v>
      </c>
      <c r="DZ10" s="14">
        <v>-6.9186575508287662E-2</v>
      </c>
      <c r="EA10" s="14">
        <v>-0.12618865773840809</v>
      </c>
      <c r="EB10" s="14">
        <v>-6.4737118328050736E-2</v>
      </c>
      <c r="EC10" s="14">
        <v>5.142607344157852E-2</v>
      </c>
      <c r="ED10" s="14">
        <v>3.4496728436731378E-2</v>
      </c>
      <c r="EE10" s="14">
        <v>0.15767759835539891</v>
      </c>
      <c r="EF10" s="14">
        <v>-0.12718001699129389</v>
      </c>
    </row>
    <row r="11" spans="1:136">
      <c r="B11" t="s">
        <v>137</v>
      </c>
      <c r="C11" s="14">
        <v>-5.4244781267602057E-2</v>
      </c>
      <c r="D11" s="14">
        <v>4.5377022463556939E-2</v>
      </c>
      <c r="E11" s="14">
        <v>-1.7752272607948309E-2</v>
      </c>
      <c r="F11" s="14">
        <v>-8.7687354470119203E-2</v>
      </c>
      <c r="G11" s="14">
        <v>0.1027592597916023</v>
      </c>
      <c r="H11" s="14">
        <v>2.5113717342445511E-3</v>
      </c>
      <c r="I11" s="14">
        <v>-1.8303552483615069E-2</v>
      </c>
      <c r="J11" s="14">
        <v>2.2110525104917209E-2</v>
      </c>
      <c r="K11" s="14">
        <v>7.7258045731841044E-2</v>
      </c>
      <c r="L11" s="14">
        <v>9.3440783982297517E-3</v>
      </c>
      <c r="M11" s="14">
        <v>5.3602181204841143E-2</v>
      </c>
      <c r="N11" s="14">
        <v>-6.7877357290963961E-2</v>
      </c>
      <c r="O11" s="14">
        <v>6.4929886491987929E-2</v>
      </c>
      <c r="P11" s="14">
        <v>4.8806817542238106E-3</v>
      </c>
      <c r="Q11" s="14">
        <v>1.919781824762783E-2</v>
      </c>
      <c r="R11" s="14">
        <v>-5.4653492448842392E-3</v>
      </c>
      <c r="S11" s="14">
        <v>3.6551467134004201E-2</v>
      </c>
      <c r="T11" s="14">
        <v>0.12918506866843241</v>
      </c>
      <c r="U11" s="14">
        <v>1.369240766293847E-2</v>
      </c>
      <c r="V11" s="14">
        <v>1.529525194063162E-2</v>
      </c>
      <c r="W11" s="14">
        <v>-0.10468571910271469</v>
      </c>
      <c r="X11" s="14">
        <v>-0.29384805056845642</v>
      </c>
      <c r="Y11" s="14">
        <v>5.9212485033458218E-2</v>
      </c>
      <c r="Z11" s="14">
        <v>-0.18494831245363619</v>
      </c>
      <c r="AA11" s="14">
        <v>9.8247438772127521E-2</v>
      </c>
      <c r="AB11" s="14">
        <v>-6.5734107189282197E-4</v>
      </c>
      <c r="AC11" s="14">
        <v>-0.1036861156532312</v>
      </c>
      <c r="AD11" s="14">
        <v>3.5450938075395509E-3</v>
      </c>
      <c r="AE11" s="14">
        <v>0.17560148677061019</v>
      </c>
      <c r="AF11" s="14">
        <v>-0.1550331010885124</v>
      </c>
      <c r="AG11" s="14">
        <v>-2.6328625232284051E-2</v>
      </c>
      <c r="AH11" s="14">
        <v>-4.9988101579694936E-3</v>
      </c>
      <c r="AI11" s="14">
        <v>2.8067714594873169E-2</v>
      </c>
      <c r="AJ11" s="14">
        <v>-2.2384193940381401E-2</v>
      </c>
      <c r="AK11" s="14">
        <v>-4.7020825392250949E-2</v>
      </c>
      <c r="AL11" s="14">
        <v>-0.10156151199043489</v>
      </c>
      <c r="AM11" s="14">
        <v>2.3525148704495701E-2</v>
      </c>
      <c r="AN11" s="14">
        <v>5.2525230105422573E-2</v>
      </c>
      <c r="AO11" s="14">
        <v>5.8502893637957562E-2</v>
      </c>
      <c r="AP11" s="14">
        <v>3.3447356041428761E-2</v>
      </c>
      <c r="AQ11" s="14">
        <v>1.430036545094069E-2</v>
      </c>
      <c r="AR11" s="14">
        <v>3.5903594729592501E-2</v>
      </c>
      <c r="AS11" s="14">
        <v>3.9782285287992311E-2</v>
      </c>
      <c r="AT11" s="14">
        <v>0.1484561956282951</v>
      </c>
      <c r="AU11" s="14">
        <v>-4.078729487218978E-2</v>
      </c>
      <c r="AV11" s="14">
        <v>0.13895895413073689</v>
      </c>
      <c r="AW11" s="14">
        <v>5.9863283397122782E-2</v>
      </c>
      <c r="AX11" s="14">
        <v>-0.1497898129881709</v>
      </c>
      <c r="AY11" s="14">
        <v>6.1595851435820623E-2</v>
      </c>
      <c r="AZ11" s="14">
        <v>-6.1949751488506538E-2</v>
      </c>
      <c r="BA11" s="14">
        <v>-2.389264381020083E-3</v>
      </c>
      <c r="BB11" s="14">
        <v>-0.14887029613688371</v>
      </c>
      <c r="BC11" s="14">
        <v>6.0350517971681748E-2</v>
      </c>
      <c r="BD11" s="14">
        <v>-1.468575255625916E-2</v>
      </c>
      <c r="BE11" s="14">
        <v>-0.14651529968819679</v>
      </c>
      <c r="BF11" s="14">
        <v>-0.2087626486148127</v>
      </c>
      <c r="BG11" s="14">
        <v>-0.20144325578474859</v>
      </c>
      <c r="BH11" s="14">
        <v>-0.11804991677814031</v>
      </c>
      <c r="BI11" s="14">
        <v>-7.7026576071686378E-2</v>
      </c>
      <c r="BJ11" s="14">
        <v>-3.6220317042829728E-2</v>
      </c>
      <c r="BK11" s="14">
        <v>-1.8907268725092598E-2</v>
      </c>
      <c r="BL11" s="14">
        <v>-0.17125563757433929</v>
      </c>
      <c r="BM11" s="14">
        <v>0.13291749710961351</v>
      </c>
      <c r="BN11" s="14">
        <v>-3.5907701607395578E-2</v>
      </c>
      <c r="BO11" s="14">
        <v>2.1344518209370389E-2</v>
      </c>
      <c r="BP11" s="14">
        <v>4.9634822871427897E-2</v>
      </c>
      <c r="BQ11" s="14">
        <v>-1.7211216417584319E-2</v>
      </c>
      <c r="BR11" s="14">
        <v>0.18982724311105359</v>
      </c>
      <c r="BS11" s="14">
        <v>-9.7605037382284945E-2</v>
      </c>
      <c r="BT11" s="14">
        <v>3.7831444138355132E-2</v>
      </c>
      <c r="BU11" s="14">
        <v>5.6008305208474198E-2</v>
      </c>
      <c r="BV11" s="14">
        <v>-0.1167370363031352</v>
      </c>
      <c r="BW11" s="14">
        <v>-0.1413229882478122</v>
      </c>
      <c r="BX11" s="14">
        <v>-3.3770258788579869E-3</v>
      </c>
      <c r="BY11" s="14">
        <v>0.13033606071126891</v>
      </c>
      <c r="BZ11" s="14">
        <v>3.1697731081681189E-2</v>
      </c>
      <c r="CA11" s="14">
        <v>4.0555037474470507E-2</v>
      </c>
      <c r="CB11" s="14">
        <v>-4.2037331365292897E-2</v>
      </c>
      <c r="CC11" s="14">
        <v>5.0013723389441531E-2</v>
      </c>
      <c r="CD11" s="14">
        <v>-6.8456279312897411E-2</v>
      </c>
      <c r="CE11" s="14">
        <v>-8.0832090081974353E-2</v>
      </c>
      <c r="CF11" s="14">
        <v>-1.948310790200239E-3</v>
      </c>
      <c r="CG11" s="14">
        <v>-0.1182090018050031</v>
      </c>
      <c r="CH11" s="14">
        <v>-3.67198859644461E-2</v>
      </c>
      <c r="CI11" s="14">
        <v>-8.3332793120616616E-2</v>
      </c>
      <c r="CJ11" s="14">
        <v>0.23067286701975129</v>
      </c>
      <c r="CK11" s="14">
        <v>0.1327785225954993</v>
      </c>
      <c r="CL11" s="14">
        <v>0.1412873189704931</v>
      </c>
      <c r="CM11" s="14">
        <v>-0.11268938730850959</v>
      </c>
      <c r="CN11" s="14">
        <v>0.22348855763592371</v>
      </c>
      <c r="CO11" s="14">
        <v>-0.10441916957268479</v>
      </c>
      <c r="CP11" s="14">
        <v>-1.442822447791231E-2</v>
      </c>
      <c r="CQ11" s="14">
        <v>-0.20723337326778599</v>
      </c>
      <c r="CR11" s="14">
        <v>-0.1348638695123113</v>
      </c>
      <c r="CS11" s="14">
        <v>7.3007738807373504E-2</v>
      </c>
      <c r="CT11" s="14">
        <v>-3.0218378407130288E-2</v>
      </c>
      <c r="CU11" s="14">
        <v>-0.28688917437274702</v>
      </c>
      <c r="CV11" s="14">
        <v>0.2307305381875536</v>
      </c>
      <c r="CW11" s="14">
        <v>9.1075698514216888E-2</v>
      </c>
      <c r="CX11" s="14">
        <v>-0.1224857321642277</v>
      </c>
      <c r="CY11" s="14">
        <v>7.8381925305362449E-2</v>
      </c>
      <c r="CZ11" s="14">
        <v>-4.5950103566863888E-2</v>
      </c>
      <c r="DA11" s="14">
        <v>8.2670164530151122E-2</v>
      </c>
      <c r="DB11" s="14">
        <v>0.14934927010032351</v>
      </c>
      <c r="DC11" s="14">
        <v>-4.7798705164587528E-2</v>
      </c>
      <c r="DD11" s="14">
        <v>-0.1645134604307108</v>
      </c>
      <c r="DE11" s="14">
        <v>-0.1105683533423189</v>
      </c>
      <c r="DF11" s="14">
        <v>5.7416867202733347E-2</v>
      </c>
      <c r="DG11" s="14">
        <v>-0.21489021548963169</v>
      </c>
      <c r="DH11" s="14">
        <v>6.2997155047871164E-2</v>
      </c>
      <c r="DI11" s="14">
        <v>6.7721109014009601E-2</v>
      </c>
      <c r="DJ11" s="14">
        <v>0.1188020770386063</v>
      </c>
      <c r="DK11" s="14">
        <v>7.2827306455158416E-3</v>
      </c>
      <c r="DL11" s="14">
        <v>7.1320599005857979E-2</v>
      </c>
      <c r="DM11" s="14">
        <v>2.1021900655620821E-2</v>
      </c>
      <c r="DN11" s="14">
        <v>-3.0403223939335849E-2</v>
      </c>
      <c r="DO11" s="14">
        <v>-9.694965661135331E-2</v>
      </c>
      <c r="DP11" s="14">
        <v>-0.23067649178859881</v>
      </c>
      <c r="DQ11" s="14">
        <v>0.238184312236043</v>
      </c>
      <c r="DR11" s="14">
        <v>3.5748752036958448E-3</v>
      </c>
      <c r="DS11" s="14">
        <v>0.13395561672683809</v>
      </c>
      <c r="DT11" s="14">
        <v>0.11510609642796051</v>
      </c>
      <c r="DU11" s="14">
        <v>0.1040797891887878</v>
      </c>
      <c r="DV11" s="14">
        <v>-5.4611063064875308E-2</v>
      </c>
      <c r="DW11" s="14">
        <v>-3.3290193961398547E-2</v>
      </c>
      <c r="DX11" s="14">
        <v>5.5094916778075383E-2</v>
      </c>
      <c r="DY11" s="14">
        <v>6.8793773385234666E-2</v>
      </c>
      <c r="DZ11" s="14">
        <v>1.4480773118257949E-2</v>
      </c>
      <c r="EA11" s="14">
        <v>-0.29313654086030699</v>
      </c>
      <c r="EB11" s="14">
        <v>-0.14097501940218221</v>
      </c>
      <c r="EC11" s="14">
        <v>-1.2209361583162239E-2</v>
      </c>
      <c r="ED11" s="14">
        <v>5.816768758959897E-2</v>
      </c>
      <c r="EE11" s="14">
        <v>-0.14440301349005499</v>
      </c>
      <c r="EF11" s="14">
        <v>-9.7009034240055067E-2</v>
      </c>
    </row>
    <row r="13" spans="1:136">
      <c r="A13" t="s">
        <v>204</v>
      </c>
      <c r="B13" t="s">
        <v>135</v>
      </c>
      <c r="C13" s="13">
        <f t="shared" ref="C13:AH13" si="0">(C3-C9)^2</f>
        <v>2.2272200539616229E-4</v>
      </c>
      <c r="D13" s="13">
        <f t="shared" si="0"/>
        <v>1.0927244807868972E-2</v>
      </c>
      <c r="E13" s="13">
        <f t="shared" si="0"/>
        <v>1.4112247660807891E-2</v>
      </c>
      <c r="F13" s="13">
        <f t="shared" si="0"/>
        <v>7.1785224336717076E-3</v>
      </c>
      <c r="G13" s="13">
        <f t="shared" si="0"/>
        <v>1.4163231590960603E-2</v>
      </c>
      <c r="H13" s="13">
        <f t="shared" si="0"/>
        <v>1.9192637262735706E-3</v>
      </c>
      <c r="I13" s="13">
        <f t="shared" si="0"/>
        <v>8.2733298404228696E-3</v>
      </c>
      <c r="J13" s="13">
        <f t="shared" si="0"/>
        <v>1.0025443960767842E-3</v>
      </c>
      <c r="K13" s="13">
        <f t="shared" si="0"/>
        <v>6.0690090157978372E-3</v>
      </c>
      <c r="L13" s="13">
        <f t="shared" si="0"/>
        <v>5.6327047889354525E-6</v>
      </c>
      <c r="M13" s="13">
        <f t="shared" si="0"/>
        <v>2.0440007837939822E-3</v>
      </c>
      <c r="N13" s="13">
        <f t="shared" si="0"/>
        <v>1.9510382100767824E-2</v>
      </c>
      <c r="O13" s="13">
        <f t="shared" si="0"/>
        <v>4.1288872753341508E-3</v>
      </c>
      <c r="P13" s="13">
        <f t="shared" si="0"/>
        <v>1.8825939415442475E-2</v>
      </c>
      <c r="Q13" s="13">
        <f t="shared" si="0"/>
        <v>9.5549481345746055E-3</v>
      </c>
      <c r="R13" s="13">
        <f t="shared" si="0"/>
        <v>3.9720607956751416E-3</v>
      </c>
      <c r="S13" s="13">
        <f t="shared" si="0"/>
        <v>1.2930364837843778E-2</v>
      </c>
      <c r="T13" s="13">
        <f t="shared" si="0"/>
        <v>3.6853728456749404E-3</v>
      </c>
      <c r="U13" s="13">
        <f t="shared" si="0"/>
        <v>4.6027329386495623E-5</v>
      </c>
      <c r="V13" s="13">
        <f t="shared" si="0"/>
        <v>4.5095498681003945E-2</v>
      </c>
      <c r="W13" s="13">
        <f t="shared" si="0"/>
        <v>4.3095493150525334E-2</v>
      </c>
      <c r="X13" s="13">
        <f t="shared" si="0"/>
        <v>9.2616915387638069E-2</v>
      </c>
      <c r="Y13" s="13">
        <f t="shared" si="0"/>
        <v>1.5586565172896682E-3</v>
      </c>
      <c r="Z13" s="13">
        <f t="shared" si="0"/>
        <v>0.10787987248046559</v>
      </c>
      <c r="AA13" s="13">
        <f t="shared" si="0"/>
        <v>5.7789816505040881E-6</v>
      </c>
      <c r="AB13" s="13">
        <f t="shared" si="0"/>
        <v>5.2638870541585704E-2</v>
      </c>
      <c r="AC13" s="13">
        <f t="shared" si="0"/>
        <v>4.9753411512907478E-2</v>
      </c>
      <c r="AD13" s="13">
        <f t="shared" si="0"/>
        <v>1.775066989042871E-2</v>
      </c>
      <c r="AE13" s="13">
        <f t="shared" si="0"/>
        <v>1.5421461727699907E-3</v>
      </c>
      <c r="AF13" s="13">
        <f t="shared" si="0"/>
        <v>4.6104117171496102E-2</v>
      </c>
      <c r="AG13" s="13">
        <f t="shared" si="0"/>
        <v>9.1434410453195752E-2</v>
      </c>
      <c r="AH13" s="13">
        <f t="shared" si="0"/>
        <v>0.10622352438917697</v>
      </c>
      <c r="AI13" s="13">
        <f t="shared" ref="AI13:BN13" si="1">(AI3-AI9)^2</f>
        <v>3.1565040840649553E-2</v>
      </c>
      <c r="AJ13" s="13">
        <f t="shared" si="1"/>
        <v>2.7539693118979525E-2</v>
      </c>
      <c r="AK13" s="13">
        <f t="shared" si="1"/>
        <v>0.10942918467245076</v>
      </c>
      <c r="AL13" s="13">
        <f t="shared" si="1"/>
        <v>3.1321732086519054E-2</v>
      </c>
      <c r="AM13" s="13">
        <f t="shared" si="1"/>
        <v>8.7185177565421518E-2</v>
      </c>
      <c r="AN13" s="13">
        <f t="shared" si="1"/>
        <v>0.10848725643851675</v>
      </c>
      <c r="AO13" s="13">
        <f t="shared" si="1"/>
        <v>1.4309981457727721E-2</v>
      </c>
      <c r="AP13" s="13">
        <f t="shared" si="1"/>
        <v>1.3520376057457519E-4</v>
      </c>
      <c r="AQ13" s="13">
        <f t="shared" si="1"/>
        <v>1.5310350028574227E-2</v>
      </c>
      <c r="AR13" s="13">
        <f t="shared" si="1"/>
        <v>2.2155758306406783E-2</v>
      </c>
      <c r="AS13" s="13">
        <f t="shared" si="1"/>
        <v>3.2593637972918081E-2</v>
      </c>
      <c r="AT13" s="13">
        <f t="shared" si="1"/>
        <v>3.2948853711992639E-2</v>
      </c>
      <c r="AU13" s="13">
        <f t="shared" si="1"/>
        <v>2.206124003206417E-2</v>
      </c>
      <c r="AV13" s="13">
        <f t="shared" si="1"/>
        <v>3.2734487644161835E-5</v>
      </c>
      <c r="AW13" s="13">
        <f t="shared" si="1"/>
        <v>1.9857840847493664E-2</v>
      </c>
      <c r="AX13" s="13">
        <f t="shared" si="1"/>
        <v>5.8509499419025293E-2</v>
      </c>
      <c r="AY13" s="13">
        <f t="shared" si="1"/>
        <v>3.8471695792325684E-2</v>
      </c>
      <c r="AZ13" s="13">
        <f t="shared" si="1"/>
        <v>1.1759576360459744E-2</v>
      </c>
      <c r="BA13" s="13">
        <f t="shared" si="1"/>
        <v>8.8551628247331635E-3</v>
      </c>
      <c r="BB13" s="13">
        <f t="shared" si="1"/>
        <v>4.8920032779484653E-2</v>
      </c>
      <c r="BC13" s="13">
        <f t="shared" si="1"/>
        <v>2.0526795200572837E-2</v>
      </c>
      <c r="BD13" s="13">
        <f t="shared" si="1"/>
        <v>1.7650795933728831E-2</v>
      </c>
      <c r="BE13" s="13">
        <f t="shared" si="1"/>
        <v>3.1709240680529827E-2</v>
      </c>
      <c r="BF13" s="13">
        <f t="shared" si="1"/>
        <v>5.2797801638551342E-2</v>
      </c>
      <c r="BG13" s="13">
        <f t="shared" si="1"/>
        <v>3.1545639773327895E-2</v>
      </c>
      <c r="BH13" s="13">
        <f t="shared" si="1"/>
        <v>6.5483791536643703E-3</v>
      </c>
      <c r="BI13" s="13">
        <f t="shared" si="1"/>
        <v>2.204137565775002E-2</v>
      </c>
      <c r="BJ13" s="13">
        <f t="shared" si="1"/>
        <v>3.310108015431802E-7</v>
      </c>
      <c r="BK13" s="13">
        <f t="shared" si="1"/>
        <v>6.2259614843366553E-3</v>
      </c>
      <c r="BL13" s="13">
        <f t="shared" si="1"/>
        <v>1.85836514427178E-2</v>
      </c>
      <c r="BM13" s="13">
        <f t="shared" si="1"/>
        <v>2.2629241041576633E-3</v>
      </c>
      <c r="BN13" s="13">
        <f t="shared" si="1"/>
        <v>1.1955814382103847E-2</v>
      </c>
      <c r="BO13" s="13">
        <f t="shared" ref="BO13:CT13" si="2">(BO3-BO9)^2</f>
        <v>2.3711457906607624E-2</v>
      </c>
      <c r="BP13" s="13">
        <f t="shared" si="2"/>
        <v>3.0789930596357975E-3</v>
      </c>
      <c r="BQ13" s="13">
        <f t="shared" si="2"/>
        <v>2.7995433460792859E-2</v>
      </c>
      <c r="BR13" s="13">
        <f t="shared" si="2"/>
        <v>8.0743165870308959E-3</v>
      </c>
      <c r="BS13" s="13">
        <f t="shared" si="2"/>
        <v>9.2584879460094836E-3</v>
      </c>
      <c r="BT13" s="13">
        <f t="shared" si="2"/>
        <v>2.1025816735587123E-3</v>
      </c>
      <c r="BU13" s="13">
        <f t="shared" si="2"/>
        <v>2.7390872744184097E-6</v>
      </c>
      <c r="BV13" s="13">
        <f t="shared" si="2"/>
        <v>1.2086979979461253E-2</v>
      </c>
      <c r="BW13" s="13">
        <f t="shared" si="2"/>
        <v>8.862490584377493E-4</v>
      </c>
      <c r="BX13" s="13">
        <f t="shared" si="2"/>
        <v>5.3688828830821761E-3</v>
      </c>
      <c r="BY13" s="13">
        <f t="shared" si="2"/>
        <v>4.5719528509026129E-3</v>
      </c>
      <c r="BZ13" s="13">
        <f t="shared" si="2"/>
        <v>1.4758593160213688E-2</v>
      </c>
      <c r="CA13" s="13">
        <f t="shared" si="2"/>
        <v>9.9342281647499271E-3</v>
      </c>
      <c r="CB13" s="13">
        <f t="shared" si="2"/>
        <v>4.0685152197335196E-3</v>
      </c>
      <c r="CC13" s="13">
        <f t="shared" si="2"/>
        <v>2.4168283302585733E-5</v>
      </c>
      <c r="CD13" s="13">
        <f t="shared" si="2"/>
        <v>2.9901208314769556E-2</v>
      </c>
      <c r="CE13" s="13">
        <f t="shared" si="2"/>
        <v>1.0576525646931083E-3</v>
      </c>
      <c r="CF13" s="13">
        <f t="shared" si="2"/>
        <v>4.7985533186932971E-3</v>
      </c>
      <c r="CG13" s="13">
        <f t="shared" si="2"/>
        <v>1.1009280040158258E-2</v>
      </c>
      <c r="CH13" s="13">
        <f t="shared" si="2"/>
        <v>1.7997720714202432E-2</v>
      </c>
      <c r="CI13" s="13">
        <f t="shared" si="2"/>
        <v>4.3275851127791221E-3</v>
      </c>
      <c r="CJ13" s="13">
        <f t="shared" si="2"/>
        <v>5.2576229312186595E-3</v>
      </c>
      <c r="CK13" s="13">
        <f t="shared" si="2"/>
        <v>9.0074950564740779E-3</v>
      </c>
      <c r="CL13" s="13">
        <f t="shared" si="2"/>
        <v>0.11529767675584986</v>
      </c>
      <c r="CM13" s="13">
        <f t="shared" si="2"/>
        <v>7.4883945390060245E-3</v>
      </c>
      <c r="CN13" s="13">
        <f t="shared" si="2"/>
        <v>1.2902458881051709E-2</v>
      </c>
      <c r="CO13" s="13">
        <f t="shared" si="2"/>
        <v>1.8028199032588552E-2</v>
      </c>
      <c r="CP13" s="13">
        <f t="shared" si="2"/>
        <v>0.10013794768111595</v>
      </c>
      <c r="CQ13" s="13">
        <f t="shared" si="2"/>
        <v>7.5953982673559531E-2</v>
      </c>
      <c r="CR13" s="13">
        <f t="shared" si="2"/>
        <v>1.7385305742323807E-2</v>
      </c>
      <c r="CS13" s="13">
        <f t="shared" si="2"/>
        <v>1.6437464889500545E-2</v>
      </c>
      <c r="CT13" s="13">
        <f t="shared" si="2"/>
        <v>1.7167943622055544E-2</v>
      </c>
      <c r="CU13" s="13">
        <f t="shared" ref="CU13:DZ13" si="3">(CU3-CU9)^2</f>
        <v>5.0234003179625356E-2</v>
      </c>
      <c r="CV13" s="13">
        <f t="shared" si="3"/>
        <v>8.2716491398223315E-3</v>
      </c>
      <c r="CW13" s="13">
        <f t="shared" si="3"/>
        <v>1.6180030564300781E-2</v>
      </c>
      <c r="CX13" s="13">
        <f t="shared" si="3"/>
        <v>5.9744256095933486E-2</v>
      </c>
      <c r="CY13" s="13">
        <f t="shared" si="3"/>
        <v>4.9661977010655844E-3</v>
      </c>
      <c r="CZ13" s="13">
        <f t="shared" si="3"/>
        <v>9.0999691610657726E-2</v>
      </c>
      <c r="DA13" s="13">
        <f t="shared" si="3"/>
        <v>6.185246482696906E-4</v>
      </c>
      <c r="DB13" s="13">
        <f t="shared" si="3"/>
        <v>2.8661555156360152E-3</v>
      </c>
      <c r="DC13" s="13">
        <f t="shared" si="3"/>
        <v>3.0548911037154049E-2</v>
      </c>
      <c r="DD13" s="13">
        <f t="shared" si="3"/>
        <v>1.3528642624048773E-2</v>
      </c>
      <c r="DE13" s="13">
        <f t="shared" si="3"/>
        <v>1.9467180430011374E-3</v>
      </c>
      <c r="DF13" s="13">
        <f t="shared" si="3"/>
        <v>2.6587865587992909E-3</v>
      </c>
      <c r="DG13" s="13">
        <f t="shared" si="3"/>
        <v>1.0636144433291054E-5</v>
      </c>
      <c r="DH13" s="13">
        <f t="shared" si="3"/>
        <v>3.3540797162603829E-3</v>
      </c>
      <c r="DI13" s="13">
        <f t="shared" si="3"/>
        <v>9.2989419715604335E-4</v>
      </c>
      <c r="DJ13" s="13">
        <f t="shared" si="3"/>
        <v>1.1829472857030947E-2</v>
      </c>
      <c r="DK13" s="13">
        <f t="shared" si="3"/>
        <v>1.2376677772733624E-3</v>
      </c>
      <c r="DL13" s="13">
        <f t="shared" si="3"/>
        <v>4.1621874931673346E-3</v>
      </c>
      <c r="DM13" s="13">
        <f t="shared" si="3"/>
        <v>6.3181290514653166E-4</v>
      </c>
      <c r="DN13" s="13">
        <f t="shared" si="3"/>
        <v>2.914715342725498E-2</v>
      </c>
      <c r="DO13" s="13">
        <f t="shared" si="3"/>
        <v>1.1004912909331333E-2</v>
      </c>
      <c r="DP13" s="13">
        <f t="shared" si="3"/>
        <v>2.0696250229025701E-2</v>
      </c>
      <c r="DQ13" s="13">
        <f t="shared" si="3"/>
        <v>3.6339804447508323E-3</v>
      </c>
      <c r="DR13" s="13">
        <f t="shared" si="3"/>
        <v>2.1154378594620087E-2</v>
      </c>
      <c r="DS13" s="13">
        <f t="shared" si="3"/>
        <v>1.0001393192090413E-3</v>
      </c>
      <c r="DT13" s="13">
        <f t="shared" si="3"/>
        <v>1.2410057557710877E-3</v>
      </c>
      <c r="DU13" s="13">
        <f t="shared" si="3"/>
        <v>1.8116724718987274E-3</v>
      </c>
      <c r="DV13" s="13">
        <f t="shared" si="3"/>
        <v>3.5409917521962313E-2</v>
      </c>
      <c r="DW13" s="13">
        <f t="shared" si="3"/>
        <v>1.5594432176248436E-2</v>
      </c>
      <c r="DX13" s="13">
        <f t="shared" si="3"/>
        <v>2.2777848403738271E-3</v>
      </c>
      <c r="DY13" s="13">
        <f t="shared" si="3"/>
        <v>1.5559499295827865E-2</v>
      </c>
      <c r="DZ13" s="13">
        <f t="shared" si="3"/>
        <v>1.7876610866065951E-4</v>
      </c>
      <c r="EA13" s="13">
        <f t="shared" ref="EA13:EF13" si="4">(EA3-EA9)^2</f>
        <v>3.2283450257715125E-2</v>
      </c>
      <c r="EB13" s="13">
        <f t="shared" si="4"/>
        <v>1.0981598736170935E-4</v>
      </c>
      <c r="EC13" s="13">
        <f t="shared" si="4"/>
        <v>6.1175903346060495E-3</v>
      </c>
      <c r="ED13" s="13">
        <f t="shared" si="4"/>
        <v>2.654094662184113E-2</v>
      </c>
      <c r="EE13" s="13">
        <f t="shared" si="4"/>
        <v>6.0339873966794412E-3</v>
      </c>
      <c r="EF13" s="13">
        <f t="shared" si="4"/>
        <v>1.2970867709654483E-2</v>
      </c>
    </row>
    <row r="14" spans="1:136">
      <c r="B14" t="s">
        <v>136</v>
      </c>
      <c r="C14" s="13">
        <f t="shared" ref="C14:AH14" si="5">(C4-C10)^2</f>
        <v>1.3906795444428976E-3</v>
      </c>
      <c r="D14" s="13">
        <f t="shared" si="5"/>
        <v>3.7238855072259051E-3</v>
      </c>
      <c r="E14" s="13">
        <f t="shared" si="5"/>
        <v>1.6067039715093219E-2</v>
      </c>
      <c r="F14" s="13">
        <f t="shared" si="5"/>
        <v>6.1452833662109525E-2</v>
      </c>
      <c r="G14" s="13">
        <f t="shared" si="5"/>
        <v>1.3880499080119433E-2</v>
      </c>
      <c r="H14" s="13">
        <f t="shared" si="5"/>
        <v>9.3456200490607891E-3</v>
      </c>
      <c r="I14" s="13">
        <f t="shared" si="5"/>
        <v>2.2381653761164778E-2</v>
      </c>
      <c r="J14" s="13">
        <f t="shared" si="5"/>
        <v>4.9498363866940412E-2</v>
      </c>
      <c r="K14" s="13">
        <f t="shared" si="5"/>
        <v>1.2582798212991761E-2</v>
      </c>
      <c r="L14" s="13">
        <f t="shared" si="5"/>
        <v>3.3060288261257426E-2</v>
      </c>
      <c r="M14" s="13">
        <f t="shared" si="5"/>
        <v>4.2583516707532165E-3</v>
      </c>
      <c r="N14" s="13">
        <f t="shared" si="5"/>
        <v>2.7398088512442603E-2</v>
      </c>
      <c r="O14" s="13">
        <f t="shared" si="5"/>
        <v>2.6654428792257665E-3</v>
      </c>
      <c r="P14" s="13">
        <f t="shared" si="5"/>
        <v>2.3047976653977908E-2</v>
      </c>
      <c r="Q14" s="13">
        <f t="shared" si="5"/>
        <v>2.7748159886399394E-3</v>
      </c>
      <c r="R14" s="13">
        <f t="shared" si="5"/>
        <v>1.6156931579233185E-2</v>
      </c>
      <c r="S14" s="13">
        <f t="shared" si="5"/>
        <v>5.0161883222893458E-2</v>
      </c>
      <c r="T14" s="13">
        <f t="shared" si="5"/>
        <v>2.0013707801558794E-2</v>
      </c>
      <c r="U14" s="13">
        <f t="shared" si="5"/>
        <v>1.3720154408414469E-2</v>
      </c>
      <c r="V14" s="13">
        <f t="shared" si="5"/>
        <v>1.0721453922657165E-2</v>
      </c>
      <c r="W14" s="13">
        <f t="shared" si="5"/>
        <v>1.0217186301376888E-3</v>
      </c>
      <c r="X14" s="13">
        <f t="shared" si="5"/>
        <v>9.0362973598941253E-3</v>
      </c>
      <c r="Y14" s="13">
        <f t="shared" si="5"/>
        <v>6.14763560151926E-3</v>
      </c>
      <c r="Z14" s="13">
        <f t="shared" si="5"/>
        <v>7.9911087672693351E-3</v>
      </c>
      <c r="AA14" s="13">
        <f t="shared" si="5"/>
        <v>1.7465496776717361E-2</v>
      </c>
      <c r="AB14" s="13">
        <f t="shared" si="5"/>
        <v>5.6004295446684602E-4</v>
      </c>
      <c r="AC14" s="13">
        <f t="shared" si="5"/>
        <v>2.8984043604451241E-3</v>
      </c>
      <c r="AD14" s="13">
        <f t="shared" si="5"/>
        <v>3.3001817258655431E-3</v>
      </c>
      <c r="AE14" s="13">
        <f t="shared" si="5"/>
        <v>5.7808789936695998E-2</v>
      </c>
      <c r="AF14" s="13">
        <f t="shared" si="5"/>
        <v>5.6654266047128407E-4</v>
      </c>
      <c r="AG14" s="13">
        <f t="shared" si="5"/>
        <v>1.17863583483272E-3</v>
      </c>
      <c r="AH14" s="13">
        <f t="shared" si="5"/>
        <v>1.0636650521736982E-4</v>
      </c>
      <c r="AI14" s="13">
        <f t="shared" ref="AI14:BN14" si="6">(AI4-AI10)^2</f>
        <v>2.1251772574837428E-4</v>
      </c>
      <c r="AJ14" s="13">
        <f t="shared" si="6"/>
        <v>5.7727605874070423E-3</v>
      </c>
      <c r="AK14" s="13">
        <f t="shared" si="6"/>
        <v>6.3407509354870047E-3</v>
      </c>
      <c r="AL14" s="13">
        <f t="shared" si="6"/>
        <v>1.8617498885821629E-3</v>
      </c>
      <c r="AM14" s="13">
        <f t="shared" si="6"/>
        <v>3.2986403369987833E-3</v>
      </c>
      <c r="AN14" s="13">
        <f t="shared" si="6"/>
        <v>3.4380638317023262E-4</v>
      </c>
      <c r="AO14" s="13">
        <f t="shared" si="6"/>
        <v>6.3763456845293749E-4</v>
      </c>
      <c r="AP14" s="13">
        <f t="shared" si="6"/>
        <v>3.8962451420449869E-3</v>
      </c>
      <c r="AQ14" s="13">
        <f t="shared" si="6"/>
        <v>7.1271877077320484E-3</v>
      </c>
      <c r="AR14" s="13">
        <f t="shared" si="6"/>
        <v>1.9408255205739213E-2</v>
      </c>
      <c r="AS14" s="13">
        <f t="shared" si="6"/>
        <v>3.2962712236168433E-3</v>
      </c>
      <c r="AT14" s="13">
        <f t="shared" si="6"/>
        <v>2.6696393446612827E-3</v>
      </c>
      <c r="AU14" s="13">
        <f t="shared" si="6"/>
        <v>1.1094067742929413E-2</v>
      </c>
      <c r="AV14" s="13">
        <f t="shared" si="6"/>
        <v>6.8433025533432166E-3</v>
      </c>
      <c r="AW14" s="13">
        <f t="shared" si="6"/>
        <v>8.4668506408232681E-4</v>
      </c>
      <c r="AX14" s="13">
        <f t="shared" si="6"/>
        <v>5.0106695767307191E-4</v>
      </c>
      <c r="AY14" s="13">
        <f t="shared" si="6"/>
        <v>7.0848883892160311E-3</v>
      </c>
      <c r="AZ14" s="13">
        <f t="shared" si="6"/>
        <v>2.3259349694348614E-3</v>
      </c>
      <c r="BA14" s="13">
        <f t="shared" si="6"/>
        <v>9.7518400751318005E-5</v>
      </c>
      <c r="BB14" s="13">
        <f t="shared" si="6"/>
        <v>9.1611569276422652E-3</v>
      </c>
      <c r="BC14" s="13">
        <f t="shared" si="6"/>
        <v>6.5504553270635301E-3</v>
      </c>
      <c r="BD14" s="13">
        <f t="shared" si="6"/>
        <v>4.5468224455407734E-3</v>
      </c>
      <c r="BE14" s="13">
        <f t="shared" si="6"/>
        <v>4.2259289577211458E-2</v>
      </c>
      <c r="BF14" s="13">
        <f t="shared" si="6"/>
        <v>1.0354110280175041E-2</v>
      </c>
      <c r="BG14" s="13">
        <f t="shared" si="6"/>
        <v>9.018053881773282E-7</v>
      </c>
      <c r="BH14" s="13">
        <f t="shared" si="6"/>
        <v>7.3843443513452725E-3</v>
      </c>
      <c r="BI14" s="13">
        <f t="shared" si="6"/>
        <v>4.8352878007705295E-3</v>
      </c>
      <c r="BJ14" s="13">
        <f t="shared" si="6"/>
        <v>6.637674496114721E-3</v>
      </c>
      <c r="BK14" s="13">
        <f t="shared" si="6"/>
        <v>1.8062775640916597E-2</v>
      </c>
      <c r="BL14" s="13">
        <f t="shared" si="6"/>
        <v>1.5569852357227517E-4</v>
      </c>
      <c r="BM14" s="13">
        <f t="shared" si="6"/>
        <v>6.5760924662008431E-3</v>
      </c>
      <c r="BN14" s="13">
        <f t="shared" si="6"/>
        <v>1.1948140909565721E-2</v>
      </c>
      <c r="BO14" s="13">
        <f t="shared" ref="BO14:CT14" si="7">(BO4-BO10)^2</f>
        <v>3.1253805323310164E-4</v>
      </c>
      <c r="BP14" s="13">
        <f t="shared" si="7"/>
        <v>1.235507639756959E-2</v>
      </c>
      <c r="BQ14" s="13">
        <f t="shared" si="7"/>
        <v>1.2312038732332899E-3</v>
      </c>
      <c r="BR14" s="13">
        <f t="shared" si="7"/>
        <v>3.081152781192243E-3</v>
      </c>
      <c r="BS14" s="13">
        <f t="shared" si="7"/>
        <v>5.1047266387484191E-3</v>
      </c>
      <c r="BT14" s="13">
        <f t="shared" si="7"/>
        <v>1.9482046618724883E-2</v>
      </c>
      <c r="BU14" s="13">
        <f t="shared" si="7"/>
        <v>3.2174704717344911E-2</v>
      </c>
      <c r="BV14" s="13">
        <f t="shared" si="7"/>
        <v>1.2168675370689084E-3</v>
      </c>
      <c r="BW14" s="13">
        <f t="shared" si="7"/>
        <v>4.608077000030208E-3</v>
      </c>
      <c r="BX14" s="13">
        <f t="shared" si="7"/>
        <v>2.0218878006653339E-5</v>
      </c>
      <c r="BY14" s="13">
        <f t="shared" si="7"/>
        <v>1.7558086316355723E-2</v>
      </c>
      <c r="BZ14" s="13">
        <f t="shared" si="7"/>
        <v>8.4614595879202914E-5</v>
      </c>
      <c r="CA14" s="13">
        <f t="shared" si="7"/>
        <v>7.9392608428740987E-4</v>
      </c>
      <c r="CB14" s="13">
        <f t="shared" si="7"/>
        <v>1.807424071625786E-2</v>
      </c>
      <c r="CC14" s="13">
        <f t="shared" si="7"/>
        <v>1.0456267011678402E-3</v>
      </c>
      <c r="CD14" s="13">
        <f t="shared" si="7"/>
        <v>4.7262153653121464E-4</v>
      </c>
      <c r="CE14" s="13">
        <f t="shared" si="7"/>
        <v>3.4398665574566251E-2</v>
      </c>
      <c r="CF14" s="13">
        <f t="shared" si="7"/>
        <v>8.5799321708273368E-3</v>
      </c>
      <c r="CG14" s="13">
        <f t="shared" si="7"/>
        <v>3.0484398958493387E-3</v>
      </c>
      <c r="CH14" s="13">
        <f t="shared" si="7"/>
        <v>1.5702462350322027E-3</v>
      </c>
      <c r="CI14" s="13">
        <f t="shared" si="7"/>
        <v>1.0007740580289909E-2</v>
      </c>
      <c r="CJ14" s="13">
        <f t="shared" si="7"/>
        <v>6.4391382371198564E-4</v>
      </c>
      <c r="CK14" s="13">
        <f t="shared" si="7"/>
        <v>3.9145093984251241E-4</v>
      </c>
      <c r="CL14" s="13">
        <f t="shared" si="7"/>
        <v>1.1370082284051461E-5</v>
      </c>
      <c r="CM14" s="13">
        <f t="shared" si="7"/>
        <v>4.7461309638387628E-2</v>
      </c>
      <c r="CN14" s="13">
        <f t="shared" si="7"/>
        <v>3.7863989631856409E-3</v>
      </c>
      <c r="CO14" s="13">
        <f t="shared" si="7"/>
        <v>2.040970950092336E-2</v>
      </c>
      <c r="CP14" s="13">
        <f t="shared" si="7"/>
        <v>2.6597242674173947E-3</v>
      </c>
      <c r="CQ14" s="13">
        <f t="shared" si="7"/>
        <v>3.7368187260031001E-2</v>
      </c>
      <c r="CR14" s="13">
        <f t="shared" si="7"/>
        <v>3.9713866361653248E-3</v>
      </c>
      <c r="CS14" s="13">
        <f t="shared" si="7"/>
        <v>3.2099076698865399E-7</v>
      </c>
      <c r="CT14" s="13">
        <f t="shared" si="7"/>
        <v>9.1016140204829184E-3</v>
      </c>
      <c r="CU14" s="13">
        <f t="shared" ref="CU14:DZ14" si="8">(CU4-CU10)^2</f>
        <v>1.1810645155422826E-4</v>
      </c>
      <c r="CV14" s="13">
        <f t="shared" si="8"/>
        <v>2.3881646033500621E-3</v>
      </c>
      <c r="CW14" s="13">
        <f t="shared" si="8"/>
        <v>1.0009648670880522E-3</v>
      </c>
      <c r="CX14" s="13">
        <f t="shared" si="8"/>
        <v>4.5132053364922587E-3</v>
      </c>
      <c r="CY14" s="13">
        <f t="shared" si="8"/>
        <v>3.4110245239872485E-3</v>
      </c>
      <c r="CZ14" s="13">
        <f t="shared" si="8"/>
        <v>3.1209978917272271E-2</v>
      </c>
      <c r="DA14" s="13">
        <f t="shared" si="8"/>
        <v>4.0113940577282195E-3</v>
      </c>
      <c r="DB14" s="13">
        <f t="shared" si="8"/>
        <v>3.0022515716561931E-2</v>
      </c>
      <c r="DC14" s="13">
        <f t="shared" si="8"/>
        <v>2.2238425334657295E-4</v>
      </c>
      <c r="DD14" s="13">
        <f t="shared" si="8"/>
        <v>7.5442493464746938E-3</v>
      </c>
      <c r="DE14" s="13">
        <f t="shared" si="8"/>
        <v>5.4834299896908958E-3</v>
      </c>
      <c r="DF14" s="13">
        <f t="shared" si="8"/>
        <v>2.5070921498279771E-2</v>
      </c>
      <c r="DG14" s="13">
        <f t="shared" si="8"/>
        <v>5.576086974668093E-2</v>
      </c>
      <c r="DH14" s="13">
        <f t="shared" si="8"/>
        <v>2.403443320661788E-2</v>
      </c>
      <c r="DI14" s="13">
        <f t="shared" si="8"/>
        <v>1.5481808081856152E-2</v>
      </c>
      <c r="DJ14" s="13">
        <f t="shared" si="8"/>
        <v>1.2949329283899212E-2</v>
      </c>
      <c r="DK14" s="13">
        <f t="shared" si="8"/>
        <v>3.8996605366413621E-3</v>
      </c>
      <c r="DL14" s="13">
        <f t="shared" si="8"/>
        <v>4.6397989133305645E-3</v>
      </c>
      <c r="DM14" s="13">
        <f t="shared" si="8"/>
        <v>2.2364230141056502E-3</v>
      </c>
      <c r="DN14" s="13">
        <f t="shared" si="8"/>
        <v>3.0195241730106332E-3</v>
      </c>
      <c r="DO14" s="13">
        <f t="shared" si="8"/>
        <v>1.2287061439417598E-2</v>
      </c>
      <c r="DP14" s="13">
        <f t="shared" si="8"/>
        <v>1.6006705616768566E-2</v>
      </c>
      <c r="DQ14" s="13">
        <f t="shared" si="8"/>
        <v>1.3408110538815452E-3</v>
      </c>
      <c r="DR14" s="13">
        <f t="shared" si="8"/>
        <v>5.0636093408170839E-3</v>
      </c>
      <c r="DS14" s="13">
        <f t="shared" si="8"/>
        <v>3.0368122669795744E-2</v>
      </c>
      <c r="DT14" s="13">
        <f t="shared" si="8"/>
        <v>4.6051027019611401E-3</v>
      </c>
      <c r="DU14" s="13">
        <f t="shared" si="8"/>
        <v>2.8247485597397027E-2</v>
      </c>
      <c r="DV14" s="13">
        <f t="shared" si="8"/>
        <v>1.8997665631452498E-4</v>
      </c>
      <c r="DW14" s="13">
        <f t="shared" si="8"/>
        <v>1.354984310424201E-2</v>
      </c>
      <c r="DX14" s="13">
        <f t="shared" si="8"/>
        <v>2.9604854751600612E-3</v>
      </c>
      <c r="DY14" s="13">
        <f t="shared" si="8"/>
        <v>5.8855885069433057E-3</v>
      </c>
      <c r="DZ14" s="13">
        <f t="shared" si="8"/>
        <v>2.8018532790477528E-3</v>
      </c>
      <c r="EA14" s="13">
        <f t="shared" ref="EA14:EF14" si="9">(EA4-EA10)^2</f>
        <v>1.3631459240408931E-2</v>
      </c>
      <c r="EB14" s="13">
        <f t="shared" si="9"/>
        <v>1.1479516824505966E-3</v>
      </c>
      <c r="EC14" s="13">
        <f t="shared" si="9"/>
        <v>2.9664578472491997E-3</v>
      </c>
      <c r="ED14" s="13">
        <f t="shared" si="9"/>
        <v>7.9898165270155159E-4</v>
      </c>
      <c r="EE14" s="13">
        <f t="shared" si="9"/>
        <v>2.3154914127016663E-2</v>
      </c>
      <c r="EF14" s="13">
        <f t="shared" si="9"/>
        <v>2.008203224559937E-2</v>
      </c>
    </row>
    <row r="15" spans="1:136">
      <c r="B15" t="s">
        <v>137</v>
      </c>
      <c r="C15" s="13">
        <f t="shared" ref="C15:AH15" si="10">(C5-C11)^2</f>
        <v>1.6451531593786841E-2</v>
      </c>
      <c r="D15" s="13">
        <f t="shared" si="10"/>
        <v>1.1239003664558307E-3</v>
      </c>
      <c r="E15" s="13">
        <f t="shared" si="10"/>
        <v>9.8746357851432869E-3</v>
      </c>
      <c r="F15" s="13">
        <f t="shared" si="10"/>
        <v>3.1943545284156633E-2</v>
      </c>
      <c r="G15" s="13">
        <f t="shared" si="10"/>
        <v>8.3487223715657222E-4</v>
      </c>
      <c r="H15" s="13">
        <f t="shared" si="10"/>
        <v>8.9839463145026128E-3</v>
      </c>
      <c r="I15" s="13">
        <f t="shared" si="10"/>
        <v>7.7419882306035076E-3</v>
      </c>
      <c r="J15" s="13">
        <f t="shared" si="10"/>
        <v>2.6548956693604828E-4</v>
      </c>
      <c r="K15" s="13">
        <f t="shared" si="10"/>
        <v>3.5559670165411498E-4</v>
      </c>
      <c r="L15" s="13">
        <f t="shared" si="10"/>
        <v>1.6913884927368692E-3</v>
      </c>
      <c r="M15" s="13">
        <f t="shared" si="10"/>
        <v>5.7574899399471017E-4</v>
      </c>
      <c r="N15" s="13">
        <f t="shared" si="10"/>
        <v>2.2252459203912882E-2</v>
      </c>
      <c r="O15" s="13">
        <f t="shared" si="10"/>
        <v>2.3268263531938719E-3</v>
      </c>
      <c r="P15" s="13">
        <f t="shared" si="10"/>
        <v>9.1591053496360686E-4</v>
      </c>
      <c r="Q15" s="13">
        <f t="shared" si="10"/>
        <v>1.6138618868813046E-3</v>
      </c>
      <c r="R15" s="13">
        <f t="shared" si="10"/>
        <v>3.2370996180658869E-3</v>
      </c>
      <c r="S15" s="13">
        <f t="shared" si="10"/>
        <v>3.8170508631860016E-3</v>
      </c>
      <c r="T15" s="13">
        <f t="shared" si="10"/>
        <v>1.2652417959984419E-3</v>
      </c>
      <c r="U15" s="13">
        <f t="shared" si="10"/>
        <v>9.9861774120710949E-3</v>
      </c>
      <c r="V15" s="13">
        <f t="shared" si="10"/>
        <v>1.9030290478157574E-2</v>
      </c>
      <c r="W15" s="13">
        <f t="shared" si="10"/>
        <v>7.8492672786479631E-2</v>
      </c>
      <c r="X15" s="13">
        <f t="shared" si="10"/>
        <v>0.19048364080172195</v>
      </c>
      <c r="Y15" s="13">
        <f t="shared" si="10"/>
        <v>9.5056470440628739E-3</v>
      </c>
      <c r="Z15" s="13">
        <f t="shared" si="10"/>
        <v>8.0096184448053692E-2</v>
      </c>
      <c r="AA15" s="13">
        <f t="shared" si="10"/>
        <v>8.6172910622501955E-4</v>
      </c>
      <c r="AB15" s="13">
        <f t="shared" si="10"/>
        <v>2.4397271274243559E-4</v>
      </c>
      <c r="AC15" s="13">
        <f t="shared" si="10"/>
        <v>6.6655058478623779E-3</v>
      </c>
      <c r="AD15" s="13">
        <f t="shared" si="10"/>
        <v>8.7240846038297586E-4</v>
      </c>
      <c r="AE15" s="13">
        <f t="shared" si="10"/>
        <v>2.7043455896270396E-2</v>
      </c>
      <c r="AF15" s="13">
        <f t="shared" si="10"/>
        <v>2.2137603174629317E-2</v>
      </c>
      <c r="AG15" s="13">
        <f t="shared" si="10"/>
        <v>1.7449871258070114E-3</v>
      </c>
      <c r="AH15" s="13">
        <f t="shared" si="10"/>
        <v>1.7458392114113157E-3</v>
      </c>
      <c r="AI15" s="13">
        <f t="shared" ref="AI15:BN15" si="11">(AI5-AI11)^2</f>
        <v>4.9650978997098855E-3</v>
      </c>
      <c r="AJ15" s="13">
        <f t="shared" si="11"/>
        <v>1.7095368841335465E-3</v>
      </c>
      <c r="AK15" s="13">
        <f t="shared" si="11"/>
        <v>1.2980888980664769E-4</v>
      </c>
      <c r="AL15" s="13">
        <f t="shared" si="11"/>
        <v>4.4866736126573511E-3</v>
      </c>
      <c r="AM15" s="13">
        <f t="shared" si="11"/>
        <v>2.5864563573945176E-3</v>
      </c>
      <c r="AN15" s="13">
        <f t="shared" si="11"/>
        <v>8.386491926130767E-3</v>
      </c>
      <c r="AO15" s="13">
        <f t="shared" si="11"/>
        <v>1.069795229640735E-2</v>
      </c>
      <c r="AP15" s="13">
        <f t="shared" si="11"/>
        <v>3.5946094873699476E-4</v>
      </c>
      <c r="AQ15" s="13">
        <f t="shared" si="11"/>
        <v>9.260309727895761E-4</v>
      </c>
      <c r="AR15" s="13">
        <f t="shared" si="11"/>
        <v>6.6166387639589048E-4</v>
      </c>
      <c r="AS15" s="13">
        <f t="shared" si="11"/>
        <v>2.2892305431676278E-3</v>
      </c>
      <c r="AT15" s="13">
        <f t="shared" si="11"/>
        <v>2.3861468235835685E-2</v>
      </c>
      <c r="AU15" s="13">
        <f t="shared" si="11"/>
        <v>5.5956975557865237E-3</v>
      </c>
      <c r="AV15" s="13">
        <f t="shared" si="11"/>
        <v>1.0163313546068305E-2</v>
      </c>
      <c r="AW15" s="13">
        <f t="shared" si="11"/>
        <v>8.5497331350813729E-4</v>
      </c>
      <c r="AX15" s="13">
        <f t="shared" si="11"/>
        <v>3.4428206646190208E-2</v>
      </c>
      <c r="AY15" s="13">
        <f t="shared" si="11"/>
        <v>1.579901991579216E-3</v>
      </c>
      <c r="AZ15" s="13">
        <f t="shared" si="11"/>
        <v>1.1933000600155688E-2</v>
      </c>
      <c r="BA15" s="13">
        <f t="shared" si="11"/>
        <v>1.9189481649551092E-3</v>
      </c>
      <c r="BB15" s="13">
        <f t="shared" si="11"/>
        <v>2.5387004544922719E-2</v>
      </c>
      <c r="BC15" s="13">
        <f t="shared" si="11"/>
        <v>2.574710701211727E-4</v>
      </c>
      <c r="BD15" s="13">
        <f t="shared" si="11"/>
        <v>3.5091014440042341E-3</v>
      </c>
      <c r="BE15" s="13">
        <f t="shared" si="11"/>
        <v>3.4488554168176574E-2</v>
      </c>
      <c r="BF15" s="13">
        <f t="shared" si="11"/>
        <v>5.4715374297558662E-2</v>
      </c>
      <c r="BG15" s="13">
        <f t="shared" si="11"/>
        <v>5.6386431373882807E-2</v>
      </c>
      <c r="BH15" s="13">
        <f t="shared" si="11"/>
        <v>2.8223022583593493E-2</v>
      </c>
      <c r="BI15" s="13">
        <f t="shared" si="11"/>
        <v>2.5999544303143451E-2</v>
      </c>
      <c r="BJ15" s="13">
        <f t="shared" si="11"/>
        <v>1.5579690972348348E-2</v>
      </c>
      <c r="BK15" s="13">
        <f t="shared" si="11"/>
        <v>6.0488499339918459E-3</v>
      </c>
      <c r="BL15" s="13">
        <f t="shared" si="11"/>
        <v>3.6130338547997215E-2</v>
      </c>
      <c r="BM15" s="13">
        <f t="shared" si="11"/>
        <v>1.763948154181802E-2</v>
      </c>
      <c r="BN15" s="13">
        <f t="shared" si="11"/>
        <v>2.4032675035367376E-3</v>
      </c>
      <c r="BO15" s="13">
        <f t="shared" ref="BO15:CT15" si="12">(BO5-BO11)^2</f>
        <v>1.0421493871610719E-5</v>
      </c>
      <c r="BP15" s="13">
        <f t="shared" si="12"/>
        <v>2.1331654915122092E-3</v>
      </c>
      <c r="BQ15" s="13">
        <f t="shared" si="12"/>
        <v>4.1634454142979821E-4</v>
      </c>
      <c r="BR15" s="13">
        <f t="shared" si="12"/>
        <v>5.1030145954517804E-2</v>
      </c>
      <c r="BS15" s="13">
        <f t="shared" si="12"/>
        <v>5.4369813155766243E-3</v>
      </c>
      <c r="BT15" s="13">
        <f t="shared" si="12"/>
        <v>3.4265158449265764E-3</v>
      </c>
      <c r="BU15" s="13">
        <f t="shared" si="12"/>
        <v>6.0274736972323302E-3</v>
      </c>
      <c r="BV15" s="13">
        <f t="shared" si="12"/>
        <v>1.2641652733066383E-2</v>
      </c>
      <c r="BW15" s="13">
        <f t="shared" si="12"/>
        <v>2.9454175547672594E-2</v>
      </c>
      <c r="BX15" s="13">
        <f t="shared" si="12"/>
        <v>2.542641574736573E-3</v>
      </c>
      <c r="BY15" s="13">
        <f t="shared" si="12"/>
        <v>1.1836120856464228E-2</v>
      </c>
      <c r="BZ15" s="13">
        <f t="shared" si="12"/>
        <v>8.3649855120673122E-5</v>
      </c>
      <c r="CA15" s="13">
        <f t="shared" si="12"/>
        <v>1.1397646966293777E-4</v>
      </c>
      <c r="CB15" s="13">
        <f t="shared" si="12"/>
        <v>7.5375459688868792E-3</v>
      </c>
      <c r="CC15" s="13">
        <f t="shared" si="12"/>
        <v>1.5165065873812807E-3</v>
      </c>
      <c r="CD15" s="13">
        <f t="shared" si="12"/>
        <v>2.4552765672655796E-2</v>
      </c>
      <c r="CE15" s="13">
        <f t="shared" si="12"/>
        <v>1.8332946178629975E-2</v>
      </c>
      <c r="CF15" s="13">
        <f t="shared" si="12"/>
        <v>2.4259170767487897E-3</v>
      </c>
      <c r="CG15" s="13">
        <f t="shared" si="12"/>
        <v>4.1207204962610502E-2</v>
      </c>
      <c r="CH15" s="13">
        <f t="shared" si="12"/>
        <v>2.1508892447751352E-2</v>
      </c>
      <c r="CI15" s="13">
        <f t="shared" si="12"/>
        <v>4.2079365860078016E-2</v>
      </c>
      <c r="CJ15" s="13">
        <f t="shared" si="12"/>
        <v>1.3217729957672252E-2</v>
      </c>
      <c r="CK15" s="13">
        <f t="shared" si="12"/>
        <v>1.5732685364070186E-4</v>
      </c>
      <c r="CL15" s="13">
        <f t="shared" si="12"/>
        <v>7.815686965512447E-4</v>
      </c>
      <c r="CM15" s="13">
        <f t="shared" si="12"/>
        <v>3.6724110815945184E-2</v>
      </c>
      <c r="CN15" s="13">
        <f t="shared" si="12"/>
        <v>2.4060405079645918E-2</v>
      </c>
      <c r="CO15" s="13">
        <f t="shared" si="12"/>
        <v>3.0438507827560385E-2</v>
      </c>
      <c r="CP15" s="13">
        <f t="shared" si="12"/>
        <v>1.3899864043206516E-2</v>
      </c>
      <c r="CQ15" s="13">
        <f t="shared" si="12"/>
        <v>7.6919411729812343E-2</v>
      </c>
      <c r="CR15" s="13">
        <f t="shared" si="12"/>
        <v>2.7405703726437247E-2</v>
      </c>
      <c r="CS15" s="13">
        <f t="shared" si="12"/>
        <v>3.3973451363725647E-3</v>
      </c>
      <c r="CT15" s="13">
        <f t="shared" si="12"/>
        <v>2.7508480927450787E-3</v>
      </c>
      <c r="CU15" s="13">
        <f t="shared" ref="CU15:DZ15" si="13">(CU5-CU11)^2</f>
        <v>0.11306700935917996</v>
      </c>
      <c r="CV15" s="13">
        <f t="shared" si="13"/>
        <v>3.0164241124706365E-2</v>
      </c>
      <c r="CW15" s="13">
        <f t="shared" si="13"/>
        <v>6.451092156574377E-4</v>
      </c>
      <c r="CX15" s="13">
        <f t="shared" si="13"/>
        <v>3.9325513894659062E-2</v>
      </c>
      <c r="CY15" s="13">
        <f t="shared" si="13"/>
        <v>1.5263567227331123E-3</v>
      </c>
      <c r="CZ15" s="13">
        <f t="shared" si="13"/>
        <v>4.0344571619053849E-3</v>
      </c>
      <c r="DA15" s="13">
        <f t="shared" si="13"/>
        <v>1.1391355335503901E-2</v>
      </c>
      <c r="DB15" s="13">
        <f t="shared" si="13"/>
        <v>1.6471884330724697E-2</v>
      </c>
      <c r="DC15" s="13">
        <f t="shared" si="13"/>
        <v>6.0264189581685874E-3</v>
      </c>
      <c r="DD15" s="13">
        <f t="shared" si="13"/>
        <v>3.7493791538561513E-2</v>
      </c>
      <c r="DE15" s="13">
        <f t="shared" si="13"/>
        <v>1.5197514192384062E-2</v>
      </c>
      <c r="DF15" s="13">
        <f t="shared" si="13"/>
        <v>4.8023423135581216E-3</v>
      </c>
      <c r="DG15" s="13">
        <f t="shared" si="13"/>
        <v>4.3616525402565255E-2</v>
      </c>
      <c r="DH15" s="13">
        <f t="shared" si="13"/>
        <v>5.4750196023791615E-3</v>
      </c>
      <c r="DI15" s="13">
        <f t="shared" si="13"/>
        <v>7.6370256326397049E-3</v>
      </c>
      <c r="DJ15" s="13">
        <f t="shared" si="13"/>
        <v>1.1252129056648187E-2</v>
      </c>
      <c r="DK15" s="13">
        <f t="shared" si="13"/>
        <v>5.4161168780663771E-4</v>
      </c>
      <c r="DL15" s="13">
        <f t="shared" si="13"/>
        <v>2.0556608218086775E-3</v>
      </c>
      <c r="DM15" s="13">
        <f t="shared" si="13"/>
        <v>3.7351657660558208E-4</v>
      </c>
      <c r="DN15" s="13">
        <f t="shared" si="13"/>
        <v>3.617963859989309E-4</v>
      </c>
      <c r="DO15" s="13">
        <f t="shared" si="13"/>
        <v>1.3608032890955508E-2</v>
      </c>
      <c r="DP15" s="13">
        <f t="shared" si="13"/>
        <v>7.0782400033244708E-2</v>
      </c>
      <c r="DQ15" s="13">
        <f t="shared" si="13"/>
        <v>2.5396068288858466E-2</v>
      </c>
      <c r="DR15" s="13">
        <f t="shared" si="13"/>
        <v>2.9072267322035475E-3</v>
      </c>
      <c r="DS15" s="13">
        <f t="shared" si="13"/>
        <v>9.0519745295493462E-3</v>
      </c>
      <c r="DT15" s="13">
        <f t="shared" si="13"/>
        <v>7.5222034644036014E-3</v>
      </c>
      <c r="DU15" s="13">
        <f t="shared" si="13"/>
        <v>7.4346257376407309E-3</v>
      </c>
      <c r="DV15" s="13">
        <f t="shared" si="13"/>
        <v>3.6446963896786502E-3</v>
      </c>
      <c r="DW15" s="13">
        <f t="shared" si="13"/>
        <v>2.9308742281683132E-3</v>
      </c>
      <c r="DX15" s="13">
        <f t="shared" si="13"/>
        <v>1.9845087887418239E-3</v>
      </c>
      <c r="DY15" s="13">
        <f t="shared" si="13"/>
        <v>6.7831214275802798E-3</v>
      </c>
      <c r="DZ15" s="13">
        <f t="shared" si="13"/>
        <v>1.0657574523134598E-3</v>
      </c>
      <c r="EA15" s="13">
        <f t="shared" ref="EA15:EF15" si="14">(EA5-EA11)^2</f>
        <v>6.0768477390656099E-2</v>
      </c>
      <c r="EB15" s="13">
        <f t="shared" si="14"/>
        <v>5.0257131877433601E-3</v>
      </c>
      <c r="EC15" s="13">
        <f t="shared" si="14"/>
        <v>2.9586065665505872E-3</v>
      </c>
      <c r="ED15" s="13">
        <f t="shared" si="14"/>
        <v>1.0341192983702391E-2</v>
      </c>
      <c r="EE15" s="13">
        <f t="shared" si="14"/>
        <v>1.6356275216609609E-2</v>
      </c>
      <c r="EF15" s="13">
        <f t="shared" si="14"/>
        <v>1.5333943328056472E-2</v>
      </c>
    </row>
    <row r="17" spans="1:136">
      <c r="A17" t="s">
        <v>205</v>
      </c>
      <c r="B17" t="s">
        <v>135</v>
      </c>
      <c r="C17" s="13">
        <f t="shared" ref="C17:AH17" si="15">C9^2</f>
        <v>1.1904082277860264E-2</v>
      </c>
      <c r="D17" s="13">
        <f t="shared" si="15"/>
        <v>2.1247676054046116E-4</v>
      </c>
      <c r="E17" s="13">
        <f t="shared" si="15"/>
        <v>1.3071374994951929E-3</v>
      </c>
      <c r="F17" s="13">
        <f t="shared" si="15"/>
        <v>2.2492264027630889E-5</v>
      </c>
      <c r="G17" s="13">
        <f t="shared" si="15"/>
        <v>3.3036666141783492E-5</v>
      </c>
      <c r="H17" s="13">
        <f t="shared" si="15"/>
        <v>2.4381891708842936E-3</v>
      </c>
      <c r="I17" s="13">
        <f t="shared" si="15"/>
        <v>3.3581210916677484E-2</v>
      </c>
      <c r="J17" s="13">
        <f t="shared" si="15"/>
        <v>1.3569060155122757E-2</v>
      </c>
      <c r="K17" s="13">
        <f t="shared" si="15"/>
        <v>9.3605069620112215E-4</v>
      </c>
      <c r="L17" s="13">
        <f t="shared" si="15"/>
        <v>3.9315162352171023E-4</v>
      </c>
      <c r="M17" s="13">
        <f t="shared" si="15"/>
        <v>4.4095826822239875E-4</v>
      </c>
      <c r="N17" s="13">
        <f t="shared" si="15"/>
        <v>2.2433876085478928E-2</v>
      </c>
      <c r="O17" s="13">
        <f t="shared" si="15"/>
        <v>2.3911693040638534E-4</v>
      </c>
      <c r="P17" s="13">
        <f t="shared" si="15"/>
        <v>8.4258302823047079E-3</v>
      </c>
      <c r="Q17" s="13">
        <f t="shared" si="15"/>
        <v>5.9921553092687051E-3</v>
      </c>
      <c r="R17" s="13">
        <f t="shared" si="15"/>
        <v>3.0004754709051702E-3</v>
      </c>
      <c r="S17" s="13">
        <f t="shared" si="15"/>
        <v>1.5708708491616E-2</v>
      </c>
      <c r="T17" s="13">
        <f t="shared" si="15"/>
        <v>1.4173716945580542E-2</v>
      </c>
      <c r="U17" s="13">
        <f t="shared" si="15"/>
        <v>1.4265767398050631E-3</v>
      </c>
      <c r="V17" s="13">
        <f t="shared" si="15"/>
        <v>6.5908131416074602E-3</v>
      </c>
      <c r="W17" s="13">
        <f t="shared" si="15"/>
        <v>7.0575066817627407E-3</v>
      </c>
      <c r="X17" s="13">
        <f t="shared" si="15"/>
        <v>2.1612338960948319E-2</v>
      </c>
      <c r="Y17" s="13">
        <f t="shared" si="15"/>
        <v>1.5715264241471783E-2</v>
      </c>
      <c r="Z17" s="13">
        <f t="shared" si="15"/>
        <v>3.6846166718653456E-2</v>
      </c>
      <c r="AA17" s="13">
        <f t="shared" si="15"/>
        <v>7.1184289266528374E-3</v>
      </c>
      <c r="AB17" s="13">
        <f t="shared" si="15"/>
        <v>5.3140620982757656E-3</v>
      </c>
      <c r="AC17" s="13">
        <f t="shared" si="15"/>
        <v>1.0527695785516851E-2</v>
      </c>
      <c r="AD17" s="13">
        <f t="shared" si="15"/>
        <v>2.4869817519127077E-4</v>
      </c>
      <c r="AE17" s="13">
        <f t="shared" si="15"/>
        <v>2.3106177330172069E-2</v>
      </c>
      <c r="AF17" s="13">
        <f t="shared" si="15"/>
        <v>3.5105923035905259E-3</v>
      </c>
      <c r="AG17" s="13">
        <f t="shared" si="15"/>
        <v>1.6915301264337771E-2</v>
      </c>
      <c r="AH17" s="13">
        <f t="shared" si="15"/>
        <v>1.328403665826966E-2</v>
      </c>
      <c r="AI17" s="13">
        <f t="shared" ref="AI17:BN17" si="16">AI9^2</f>
        <v>1.0631917918075163E-3</v>
      </c>
      <c r="AJ17" s="13">
        <f t="shared" si="16"/>
        <v>7.8395043318640434E-4</v>
      </c>
      <c r="AK17" s="13">
        <f t="shared" si="16"/>
        <v>2.1482887422166509E-2</v>
      </c>
      <c r="AL17" s="13">
        <f t="shared" si="16"/>
        <v>1.668062549107739E-3</v>
      </c>
      <c r="AM17" s="13">
        <f t="shared" si="16"/>
        <v>1.7259749824038686E-2</v>
      </c>
      <c r="AN17" s="13">
        <f t="shared" si="16"/>
        <v>4.9032555464976403E-2</v>
      </c>
      <c r="AO17" s="13">
        <f t="shared" si="16"/>
        <v>4.3852711121876225E-4</v>
      </c>
      <c r="AP17" s="13">
        <f t="shared" si="16"/>
        <v>1.8812851996102171E-2</v>
      </c>
      <c r="AQ17" s="13">
        <f t="shared" si="16"/>
        <v>6.1915646627000822E-4</v>
      </c>
      <c r="AR17" s="13">
        <f t="shared" si="16"/>
        <v>2.4068328718584233E-4</v>
      </c>
      <c r="AS17" s="13">
        <f t="shared" si="16"/>
        <v>1.1815056389704321E-3</v>
      </c>
      <c r="AT17" s="13">
        <f t="shared" si="16"/>
        <v>3.9810656089414309E-3</v>
      </c>
      <c r="AU17" s="13">
        <f t="shared" si="16"/>
        <v>1.8694983030806238E-3</v>
      </c>
      <c r="AV17" s="13">
        <f t="shared" si="16"/>
        <v>5.5101474414569638E-3</v>
      </c>
      <c r="AW17" s="13">
        <f t="shared" si="16"/>
        <v>7.8371035043392316E-4</v>
      </c>
      <c r="AX17" s="13">
        <f t="shared" si="16"/>
        <v>1.4367478657017244E-2</v>
      </c>
      <c r="AY17" s="13">
        <f t="shared" si="16"/>
        <v>5.8613679493322605E-3</v>
      </c>
      <c r="AZ17" s="13">
        <f t="shared" si="16"/>
        <v>4.7220968054589304E-4</v>
      </c>
      <c r="BA17" s="13">
        <f t="shared" si="16"/>
        <v>1.5536707046446584E-6</v>
      </c>
      <c r="BB17" s="13">
        <f t="shared" si="16"/>
        <v>1.0200156097581669E-2</v>
      </c>
      <c r="BC17" s="13">
        <f t="shared" si="16"/>
        <v>8.8964574469951819E-4</v>
      </c>
      <c r="BD17" s="13">
        <f t="shared" si="16"/>
        <v>7.5268956977767048E-5</v>
      </c>
      <c r="BE17" s="13">
        <f t="shared" si="16"/>
        <v>4.7000904970756216E-3</v>
      </c>
      <c r="BF17" s="13">
        <f t="shared" si="16"/>
        <v>2.4621562948682934E-2</v>
      </c>
      <c r="BG17" s="13">
        <f t="shared" si="16"/>
        <v>2.5345828645073384E-2</v>
      </c>
      <c r="BH17" s="13">
        <f t="shared" si="16"/>
        <v>3.7358582565093718E-3</v>
      </c>
      <c r="BI17" s="13">
        <f t="shared" si="16"/>
        <v>9.3921007423280172E-3</v>
      </c>
      <c r="BJ17" s="13">
        <f t="shared" si="16"/>
        <v>2.9971517217047563E-3</v>
      </c>
      <c r="BK17" s="13">
        <f t="shared" si="16"/>
        <v>7.6550185977651616E-3</v>
      </c>
      <c r="BL17" s="13">
        <f t="shared" si="16"/>
        <v>8.9164103340217925E-3</v>
      </c>
      <c r="BM17" s="13">
        <f t="shared" si="16"/>
        <v>4.9244308753160887E-4</v>
      </c>
      <c r="BN17" s="13">
        <f t="shared" si="16"/>
        <v>2.4425352677185161E-4</v>
      </c>
      <c r="BO17" s="13">
        <f t="shared" ref="BO17:CT17" si="17">BO9^2</f>
        <v>6.6289298211247571E-3</v>
      </c>
      <c r="BP17" s="13">
        <f t="shared" si="17"/>
        <v>3.4258094968395863E-4</v>
      </c>
      <c r="BQ17" s="13">
        <f t="shared" si="17"/>
        <v>4.7237535213055463E-3</v>
      </c>
      <c r="BR17" s="13">
        <f t="shared" si="17"/>
        <v>9.6246407867516525E-6</v>
      </c>
      <c r="BS17" s="13">
        <f t="shared" si="17"/>
        <v>5.6196639138378088E-3</v>
      </c>
      <c r="BT17" s="13">
        <f t="shared" si="17"/>
        <v>2.0431835304301382E-3</v>
      </c>
      <c r="BU17" s="13">
        <f t="shared" si="17"/>
        <v>6.5932524502488709E-4</v>
      </c>
      <c r="BV17" s="13">
        <f t="shared" si="17"/>
        <v>8.427980119369332E-3</v>
      </c>
      <c r="BW17" s="13">
        <f t="shared" si="17"/>
        <v>6.9453326513524774E-4</v>
      </c>
      <c r="BX17" s="13">
        <f t="shared" si="17"/>
        <v>3.7615951743202121E-4</v>
      </c>
      <c r="BY17" s="13">
        <f t="shared" si="17"/>
        <v>5.9042164483032638E-3</v>
      </c>
      <c r="BZ17" s="13">
        <f t="shared" si="17"/>
        <v>1.2839000623048005E-2</v>
      </c>
      <c r="CA17" s="13">
        <f t="shared" si="17"/>
        <v>1.1525082059920233E-2</v>
      </c>
      <c r="CB17" s="13">
        <f t="shared" si="17"/>
        <v>1.6682967477483388E-3</v>
      </c>
      <c r="CC17" s="13">
        <f t="shared" si="17"/>
        <v>3.9210767823715285E-4</v>
      </c>
      <c r="CD17" s="13">
        <f t="shared" si="17"/>
        <v>3.548592802252902E-2</v>
      </c>
      <c r="CE17" s="13">
        <f t="shared" si="17"/>
        <v>3.0885701458901937E-3</v>
      </c>
      <c r="CF17" s="13">
        <f t="shared" si="17"/>
        <v>5.6058275198580514E-3</v>
      </c>
      <c r="CG17" s="13">
        <f t="shared" si="17"/>
        <v>1.0000038380535725E-2</v>
      </c>
      <c r="CH17" s="13">
        <f t="shared" si="17"/>
        <v>1.850190885600296E-2</v>
      </c>
      <c r="CI17" s="13">
        <f t="shared" si="17"/>
        <v>8.7873778374468071E-3</v>
      </c>
      <c r="CJ17" s="13">
        <f t="shared" si="17"/>
        <v>1.5449609443997168E-5</v>
      </c>
      <c r="CK17" s="13">
        <f t="shared" si="17"/>
        <v>3.1931288133821255E-3</v>
      </c>
      <c r="CL17" s="13">
        <f t="shared" si="17"/>
        <v>6.9456377220562526E-2</v>
      </c>
      <c r="CM17" s="13">
        <f t="shared" si="17"/>
        <v>9.1306336429085243E-5</v>
      </c>
      <c r="CN17" s="13">
        <f t="shared" si="17"/>
        <v>9.9299981066329653E-4</v>
      </c>
      <c r="CO17" s="13">
        <f t="shared" si="17"/>
        <v>5.1162058729769763E-4</v>
      </c>
      <c r="CP17" s="13">
        <f t="shared" si="17"/>
        <v>1.7597510690797149E-2</v>
      </c>
      <c r="CQ17" s="13">
        <f t="shared" si="17"/>
        <v>1.7708364708443211E-2</v>
      </c>
      <c r="CR17" s="13">
        <f t="shared" si="17"/>
        <v>2.2369415134259262E-4</v>
      </c>
      <c r="CS17" s="13">
        <f t="shared" si="17"/>
        <v>1.1168922557625953E-3</v>
      </c>
      <c r="CT17" s="13">
        <f t="shared" si="17"/>
        <v>1.5082808365029206E-4</v>
      </c>
      <c r="CU17" s="13">
        <f t="shared" ref="CU17:DZ17" si="18">CU9^2</f>
        <v>1.3645740385844037E-2</v>
      </c>
      <c r="CV17" s="13">
        <f t="shared" si="18"/>
        <v>9.9789357659655527E-6</v>
      </c>
      <c r="CW17" s="13">
        <f t="shared" si="18"/>
        <v>1.4605970535097568E-3</v>
      </c>
      <c r="CX17" s="13">
        <f t="shared" si="18"/>
        <v>1.9369428669164728E-2</v>
      </c>
      <c r="CY17" s="13">
        <f t="shared" si="18"/>
        <v>5.6227258353762984E-4</v>
      </c>
      <c r="CZ17" s="13">
        <f t="shared" si="18"/>
        <v>4.7677993769128582E-2</v>
      </c>
      <c r="DA17" s="13">
        <f t="shared" si="18"/>
        <v>3.3602150955513014E-3</v>
      </c>
      <c r="DB17" s="13">
        <f t="shared" si="18"/>
        <v>1.9892898007428065E-4</v>
      </c>
      <c r="DC17" s="13">
        <f t="shared" si="18"/>
        <v>1.298598834966512E-2</v>
      </c>
      <c r="DD17" s="13">
        <f t="shared" si="18"/>
        <v>5.5461177913042319E-3</v>
      </c>
      <c r="DE17" s="13">
        <f t="shared" si="18"/>
        <v>8.0944705118043796E-7</v>
      </c>
      <c r="DF17" s="13">
        <f t="shared" si="18"/>
        <v>9.5466930982486662E-7</v>
      </c>
      <c r="DG17" s="13">
        <f t="shared" si="18"/>
        <v>5.3260942765597724E-3</v>
      </c>
      <c r="DH17" s="13">
        <f t="shared" si="18"/>
        <v>5.6859770483571833E-4</v>
      </c>
      <c r="DI17" s="13">
        <f t="shared" si="18"/>
        <v>1.0308477356134783E-2</v>
      </c>
      <c r="DJ17" s="13">
        <f t="shared" si="18"/>
        <v>7.6687657573272126E-4</v>
      </c>
      <c r="DK17" s="13">
        <f t="shared" si="18"/>
        <v>2.4339573117996964E-3</v>
      </c>
      <c r="DL17" s="13">
        <f t="shared" si="18"/>
        <v>3.248267667612629E-5</v>
      </c>
      <c r="DM17" s="13">
        <f t="shared" si="18"/>
        <v>1.3676505773505593E-3</v>
      </c>
      <c r="DN17" s="13">
        <f t="shared" si="18"/>
        <v>1.2058891959025398E-2</v>
      </c>
      <c r="DO17" s="13">
        <f t="shared" si="18"/>
        <v>1.7670946755159902E-3</v>
      </c>
      <c r="DP17" s="13">
        <f t="shared" si="18"/>
        <v>7.1515213376560464E-3</v>
      </c>
      <c r="DQ17" s="13">
        <f t="shared" si="18"/>
        <v>1.2161636684326392E-2</v>
      </c>
      <c r="DR17" s="13">
        <f t="shared" si="18"/>
        <v>8.8979053657027001E-3</v>
      </c>
      <c r="DS17" s="13">
        <f t="shared" si="18"/>
        <v>5.1706040810191528E-3</v>
      </c>
      <c r="DT17" s="13">
        <f t="shared" si="18"/>
        <v>9.2614503642733919E-3</v>
      </c>
      <c r="DU17" s="13">
        <f t="shared" si="18"/>
        <v>5.5016020342108963E-6</v>
      </c>
      <c r="DV17" s="13">
        <f t="shared" si="18"/>
        <v>1.7960669823662546E-2</v>
      </c>
      <c r="DW17" s="13">
        <f t="shared" si="18"/>
        <v>8.9742501777570517E-3</v>
      </c>
      <c r="DX17" s="13">
        <f t="shared" si="18"/>
        <v>1.0768876593012837E-2</v>
      </c>
      <c r="DY17" s="13">
        <f t="shared" si="18"/>
        <v>5.7399040046420165E-3</v>
      </c>
      <c r="DZ17" s="13">
        <f t="shared" si="18"/>
        <v>1.0131311029084758E-3</v>
      </c>
      <c r="EA17" s="13">
        <f t="shared" ref="EA17:EF17" si="19">EA9^2</f>
        <v>2.6020277100143683E-2</v>
      </c>
      <c r="EB17" s="13">
        <f t="shared" si="19"/>
        <v>1.0411208891300061E-4</v>
      </c>
      <c r="EC17" s="13">
        <f t="shared" si="19"/>
        <v>5.4742870589305657E-3</v>
      </c>
      <c r="ED17" s="13">
        <f t="shared" si="19"/>
        <v>2.4767480781445986E-2</v>
      </c>
      <c r="EE17" s="13">
        <f t="shared" si="19"/>
        <v>6.2627523737550815E-3</v>
      </c>
      <c r="EF17" s="13">
        <f t="shared" si="19"/>
        <v>5.2603901117786907E-3</v>
      </c>
    </row>
    <row r="18" spans="1:136">
      <c r="B18" t="s">
        <v>136</v>
      </c>
      <c r="C18" s="13">
        <f t="shared" ref="C18:AH18" si="20">C10^2</f>
        <v>6.1300169090364023E-2</v>
      </c>
      <c r="D18" s="13">
        <f t="shared" si="20"/>
        <v>7.5456410721795972E-2</v>
      </c>
      <c r="E18" s="13">
        <f t="shared" si="20"/>
        <v>7.1653491215006608E-3</v>
      </c>
      <c r="F18" s="13">
        <f t="shared" si="20"/>
        <v>5.1277932467457823E-4</v>
      </c>
      <c r="G18" s="13">
        <f t="shared" si="20"/>
        <v>2.4681024790687124E-3</v>
      </c>
      <c r="H18" s="13">
        <f t="shared" si="20"/>
        <v>1.0152503674850528E-2</v>
      </c>
      <c r="I18" s="13">
        <f t="shared" si="20"/>
        <v>1.568185506319921E-4</v>
      </c>
      <c r="J18" s="13">
        <f t="shared" si="20"/>
        <v>6.1994443791691554E-3</v>
      </c>
      <c r="K18" s="13">
        <f t="shared" si="20"/>
        <v>1.1686210786418709E-3</v>
      </c>
      <c r="L18" s="13">
        <f t="shared" si="20"/>
        <v>7.8157618954765237E-3</v>
      </c>
      <c r="M18" s="13">
        <f t="shared" si="20"/>
        <v>9.384753841255295E-6</v>
      </c>
      <c r="N18" s="13">
        <f t="shared" si="20"/>
        <v>4.5036476574086326E-2</v>
      </c>
      <c r="O18" s="13">
        <f t="shared" si="20"/>
        <v>1.3546366286925624E-3</v>
      </c>
      <c r="P18" s="13">
        <f t="shared" si="20"/>
        <v>5.0457039774389721E-3</v>
      </c>
      <c r="Q18" s="13">
        <f t="shared" si="20"/>
        <v>5.0781490762883581E-3</v>
      </c>
      <c r="R18" s="13">
        <f t="shared" si="20"/>
        <v>4.6485286217124193E-4</v>
      </c>
      <c r="S18" s="13">
        <f t="shared" si="20"/>
        <v>1.0223486509543127E-2</v>
      </c>
      <c r="T18" s="13">
        <f t="shared" si="20"/>
        <v>1.8683781301546628E-3</v>
      </c>
      <c r="U18" s="13">
        <f t="shared" si="20"/>
        <v>2.2147242359019667E-4</v>
      </c>
      <c r="V18" s="13">
        <f t="shared" si="20"/>
        <v>4.0018583491306699E-5</v>
      </c>
      <c r="W18" s="13">
        <f t="shared" si="20"/>
        <v>2.0607457624597373E-2</v>
      </c>
      <c r="X18" s="13">
        <f t="shared" si="20"/>
        <v>4.1321976387742217E-3</v>
      </c>
      <c r="Y18" s="13">
        <f t="shared" si="20"/>
        <v>3.6230087920246964E-4</v>
      </c>
      <c r="Z18" s="13">
        <f t="shared" si="20"/>
        <v>4.2619770257246479E-4</v>
      </c>
      <c r="AA18" s="13">
        <f t="shared" si="20"/>
        <v>1.0929332099957007E-3</v>
      </c>
      <c r="AB18" s="13">
        <f t="shared" si="20"/>
        <v>3.7706753115437583E-4</v>
      </c>
      <c r="AC18" s="13">
        <f t="shared" si="20"/>
        <v>3.9849977723438457E-3</v>
      </c>
      <c r="AD18" s="13">
        <f t="shared" si="20"/>
        <v>4.3072591163810263E-3</v>
      </c>
      <c r="AE18" s="13">
        <f t="shared" si="20"/>
        <v>1.9042810256226231E-2</v>
      </c>
      <c r="AF18" s="13">
        <f t="shared" si="20"/>
        <v>1.0113906222416341E-2</v>
      </c>
      <c r="AG18" s="13">
        <f t="shared" si="20"/>
        <v>1.4416518828127469E-3</v>
      </c>
      <c r="AH18" s="13">
        <f t="shared" si="20"/>
        <v>2.1012632264048744E-3</v>
      </c>
      <c r="AI18" s="13">
        <f t="shared" ref="AI18:BN18" si="21">AI10^2</f>
        <v>2.6044789051912999E-3</v>
      </c>
      <c r="AJ18" s="13">
        <f t="shared" si="21"/>
        <v>1.0371239511276646E-5</v>
      </c>
      <c r="AK18" s="13">
        <f t="shared" si="21"/>
        <v>2.3963921924093171E-7</v>
      </c>
      <c r="AL18" s="13">
        <f t="shared" si="21"/>
        <v>1.1330911354520039E-2</v>
      </c>
      <c r="AM18" s="13">
        <f t="shared" si="21"/>
        <v>1.883474509221127E-4</v>
      </c>
      <c r="AN18" s="13">
        <f t="shared" si="21"/>
        <v>1.4875389913204669E-2</v>
      </c>
      <c r="AO18" s="13">
        <f t="shared" si="21"/>
        <v>2.3609556394479764E-3</v>
      </c>
      <c r="AP18" s="13">
        <f t="shared" si="21"/>
        <v>3.6219815731516953E-6</v>
      </c>
      <c r="AQ18" s="13">
        <f t="shared" si="21"/>
        <v>8.4491867337224593E-4</v>
      </c>
      <c r="AR18" s="13">
        <f t="shared" si="21"/>
        <v>2.7705250060662671E-3</v>
      </c>
      <c r="AS18" s="13">
        <f t="shared" si="21"/>
        <v>1.6623611670017849E-4</v>
      </c>
      <c r="AT18" s="13">
        <f t="shared" si="21"/>
        <v>4.541735420018535E-6</v>
      </c>
      <c r="AU18" s="13">
        <f t="shared" si="21"/>
        <v>2.4144306160754265E-2</v>
      </c>
      <c r="AV18" s="13">
        <f t="shared" si="21"/>
        <v>1.6082764905029582E-4</v>
      </c>
      <c r="AW18" s="13">
        <f t="shared" si="21"/>
        <v>1.4261904564871037E-4</v>
      </c>
      <c r="AX18" s="13">
        <f t="shared" si="21"/>
        <v>1.8094742098652484E-5</v>
      </c>
      <c r="AY18" s="13">
        <f t="shared" si="21"/>
        <v>8.5854107590684829E-4</v>
      </c>
      <c r="AZ18" s="13">
        <f t="shared" si="21"/>
        <v>1.7990186561850662E-2</v>
      </c>
      <c r="BA18" s="13">
        <f t="shared" si="21"/>
        <v>1.8799571566061855E-2</v>
      </c>
      <c r="BB18" s="13">
        <f t="shared" si="21"/>
        <v>3.0788334943751427E-6</v>
      </c>
      <c r="BC18" s="13">
        <f t="shared" si="21"/>
        <v>6.3087002382422445E-4</v>
      </c>
      <c r="BD18" s="13">
        <f t="shared" si="21"/>
        <v>1.4304616064498009E-2</v>
      </c>
      <c r="BE18" s="13">
        <f t="shared" si="21"/>
        <v>1.8431225512955431E-2</v>
      </c>
      <c r="BF18" s="13">
        <f t="shared" si="21"/>
        <v>2.2175775080298639E-3</v>
      </c>
      <c r="BG18" s="13">
        <f t="shared" si="21"/>
        <v>6.7860478904543942E-4</v>
      </c>
      <c r="BH18" s="13">
        <f t="shared" si="21"/>
        <v>1.9143052038415641E-3</v>
      </c>
      <c r="BI18" s="13">
        <f t="shared" si="21"/>
        <v>6.6246296481045049E-3</v>
      </c>
      <c r="BJ18" s="13">
        <f t="shared" si="21"/>
        <v>1.0120525298453803E-2</v>
      </c>
      <c r="BK18" s="13">
        <f t="shared" si="21"/>
        <v>8.1884544049846235E-3</v>
      </c>
      <c r="BL18" s="13">
        <f t="shared" si="21"/>
        <v>9.5471475034238963E-4</v>
      </c>
      <c r="BM18" s="13">
        <f t="shared" si="21"/>
        <v>3.4591085480784899E-3</v>
      </c>
      <c r="BN18" s="13">
        <f t="shared" si="21"/>
        <v>6.617113024465748E-3</v>
      </c>
      <c r="BO18" s="13">
        <f t="shared" ref="BO18:CT18" si="22">BO10^2</f>
        <v>5.9543089738482516E-5</v>
      </c>
      <c r="BP18" s="13">
        <f t="shared" si="22"/>
        <v>1.1392332566655691E-2</v>
      </c>
      <c r="BQ18" s="13">
        <f t="shared" si="22"/>
        <v>7.3746686174088762E-4</v>
      </c>
      <c r="BR18" s="13">
        <f t="shared" si="22"/>
        <v>2.962735792272784E-3</v>
      </c>
      <c r="BS18" s="13">
        <f t="shared" si="22"/>
        <v>4.6552343102339144E-3</v>
      </c>
      <c r="BT18" s="13">
        <f t="shared" si="22"/>
        <v>9.7243705233366149E-3</v>
      </c>
      <c r="BU18" s="13">
        <f t="shared" si="22"/>
        <v>1.6486185664536111E-2</v>
      </c>
      <c r="BV18" s="13">
        <f t="shared" si="22"/>
        <v>6.1469550603066659E-3</v>
      </c>
      <c r="BW18" s="13">
        <f t="shared" si="22"/>
        <v>1.4192843634773274E-2</v>
      </c>
      <c r="BX18" s="13">
        <f t="shared" si="22"/>
        <v>2.1986811101669893E-3</v>
      </c>
      <c r="BY18" s="13">
        <f t="shared" si="22"/>
        <v>1.034255309954589E-2</v>
      </c>
      <c r="BZ18" s="13">
        <f t="shared" si="22"/>
        <v>6.5946672658473903E-4</v>
      </c>
      <c r="CA18" s="13">
        <f t="shared" si="22"/>
        <v>6.9391882189381946E-3</v>
      </c>
      <c r="CB18" s="13">
        <f t="shared" si="22"/>
        <v>2.4909566624333357E-2</v>
      </c>
      <c r="CC18" s="13">
        <f t="shared" si="22"/>
        <v>5.0484679457919839E-3</v>
      </c>
      <c r="CD18" s="13">
        <f t="shared" si="22"/>
        <v>5.4575883396954768E-3</v>
      </c>
      <c r="CE18" s="13">
        <f t="shared" si="22"/>
        <v>5.6067832386980022E-2</v>
      </c>
      <c r="CF18" s="13">
        <f t="shared" si="22"/>
        <v>1.0645672168983563E-3</v>
      </c>
      <c r="CG18" s="13">
        <f t="shared" si="22"/>
        <v>1.8017920089221721E-4</v>
      </c>
      <c r="CH18" s="13">
        <f t="shared" si="22"/>
        <v>7.8213400438148902E-6</v>
      </c>
      <c r="CI18" s="13">
        <f t="shared" si="22"/>
        <v>2.2968727120364087E-3</v>
      </c>
      <c r="CJ18" s="13">
        <f t="shared" si="22"/>
        <v>1.0575629320283603E-5</v>
      </c>
      <c r="CK18" s="13">
        <f t="shared" si="22"/>
        <v>5.7317300865370067E-3</v>
      </c>
      <c r="CL18" s="13">
        <f t="shared" si="22"/>
        <v>1.9711163270756775E-3</v>
      </c>
      <c r="CM18" s="13">
        <f t="shared" si="22"/>
        <v>3.2036912913769394E-2</v>
      </c>
      <c r="CN18" s="13">
        <f t="shared" si="22"/>
        <v>3.3633349379620708E-3</v>
      </c>
      <c r="CO18" s="13">
        <f t="shared" si="22"/>
        <v>1.9429624982324575E-2</v>
      </c>
      <c r="CP18" s="13">
        <f t="shared" si="22"/>
        <v>4.1879885783785839E-3</v>
      </c>
      <c r="CQ18" s="13">
        <f t="shared" si="22"/>
        <v>3.2829051050147696E-2</v>
      </c>
      <c r="CR18" s="13">
        <f t="shared" si="22"/>
        <v>7.8559030529674386E-3</v>
      </c>
      <c r="CS18" s="13">
        <f t="shared" si="22"/>
        <v>6.411922743936203E-4</v>
      </c>
      <c r="CT18" s="13">
        <f t="shared" si="22"/>
        <v>1.2786876993597889E-2</v>
      </c>
      <c r="CU18" s="13">
        <f t="shared" ref="CU18:DZ18" si="23">CU10^2</f>
        <v>6.5544524509339751E-5</v>
      </c>
      <c r="CV18" s="13">
        <f t="shared" si="23"/>
        <v>2.0430588388809477E-3</v>
      </c>
      <c r="CW18" s="13">
        <f t="shared" si="23"/>
        <v>3.4740680595904648E-3</v>
      </c>
      <c r="CX18" s="13">
        <f t="shared" si="23"/>
        <v>1.160538698235747E-2</v>
      </c>
      <c r="CY18" s="13">
        <f t="shared" si="23"/>
        <v>9.3129254150261E-3</v>
      </c>
      <c r="CZ18" s="13">
        <f t="shared" si="23"/>
        <v>4.424895059465464E-2</v>
      </c>
      <c r="DA18" s="13">
        <f t="shared" si="23"/>
        <v>1.2091451728744079E-2</v>
      </c>
      <c r="DB18" s="13">
        <f t="shared" si="23"/>
        <v>3.6412452392839745E-2</v>
      </c>
      <c r="DC18" s="13">
        <f t="shared" si="23"/>
        <v>4.2961982124366043E-4</v>
      </c>
      <c r="DD18" s="13">
        <f t="shared" si="23"/>
        <v>7.5740634376350218E-3</v>
      </c>
      <c r="DE18" s="13">
        <f t="shared" si="23"/>
        <v>6.728033843953052E-3</v>
      </c>
      <c r="DF18" s="13">
        <f t="shared" si="23"/>
        <v>2.7847821251246123E-2</v>
      </c>
      <c r="DG18" s="13">
        <f t="shared" si="23"/>
        <v>4.9478702022008603E-2</v>
      </c>
      <c r="DH18" s="13">
        <f t="shared" si="23"/>
        <v>2.0821839571003448E-2</v>
      </c>
      <c r="DI18" s="13">
        <f t="shared" si="23"/>
        <v>1.4308932973192761E-2</v>
      </c>
      <c r="DJ18" s="13">
        <f t="shared" si="23"/>
        <v>1.0321085627255753E-2</v>
      </c>
      <c r="DK18" s="13">
        <f t="shared" si="23"/>
        <v>8.6220619337353931E-3</v>
      </c>
      <c r="DL18" s="13">
        <f t="shared" si="23"/>
        <v>1.8173586858343696E-3</v>
      </c>
      <c r="DM18" s="13">
        <f t="shared" si="23"/>
        <v>6.8445958863232442E-3</v>
      </c>
      <c r="DN18" s="13">
        <f t="shared" si="23"/>
        <v>9.6406849840983359E-4</v>
      </c>
      <c r="DO18" s="13">
        <f t="shared" si="23"/>
        <v>9.6318502978574808E-3</v>
      </c>
      <c r="DP18" s="13">
        <f t="shared" si="23"/>
        <v>1.7053455955604278E-2</v>
      </c>
      <c r="DQ18" s="13">
        <f t="shared" si="23"/>
        <v>2.3673789185478821E-3</v>
      </c>
      <c r="DR18" s="13">
        <f t="shared" si="23"/>
        <v>1.5407124335768466E-3</v>
      </c>
      <c r="DS18" s="13">
        <f t="shared" si="23"/>
        <v>2.5930725116640962E-2</v>
      </c>
      <c r="DT18" s="13">
        <f t="shared" si="23"/>
        <v>6.2226801681010647E-3</v>
      </c>
      <c r="DU18" s="13">
        <f t="shared" si="23"/>
        <v>2.6921313954919424E-2</v>
      </c>
      <c r="DV18" s="13">
        <f t="shared" si="23"/>
        <v>5.6328800675286651E-5</v>
      </c>
      <c r="DW18" s="13">
        <f t="shared" si="23"/>
        <v>1.0331756871656347E-2</v>
      </c>
      <c r="DX18" s="13">
        <f t="shared" si="23"/>
        <v>3.1405143826489668E-3</v>
      </c>
      <c r="DY18" s="13">
        <f t="shared" si="23"/>
        <v>1.137563878096463E-2</v>
      </c>
      <c r="DZ18" s="13">
        <f t="shared" si="23"/>
        <v>4.7867822305639905E-3</v>
      </c>
      <c r="EA18" s="13">
        <f t="shared" ref="EA18:EF18" si="24">EA10^2</f>
        <v>1.59235773418211E-2</v>
      </c>
      <c r="EB18" s="13">
        <f t="shared" si="24"/>
        <v>4.1908944894200424E-3</v>
      </c>
      <c r="EC18" s="13">
        <f t="shared" si="24"/>
        <v>2.6446410296186275E-3</v>
      </c>
      <c r="ED18" s="13">
        <f t="shared" si="24"/>
        <v>1.1900242728375913E-3</v>
      </c>
      <c r="EE18" s="13">
        <f t="shared" si="24"/>
        <v>2.4862225023126495E-2</v>
      </c>
      <c r="EF18" s="13">
        <f t="shared" si="24"/>
        <v>1.6174756721905801E-2</v>
      </c>
    </row>
    <row r="19" spans="1:136">
      <c r="B19" t="s">
        <v>137</v>
      </c>
      <c r="C19" s="13">
        <f t="shared" ref="C19:AH19" si="25">C11^2</f>
        <v>2.9424962947699911E-3</v>
      </c>
      <c r="D19" s="13">
        <f t="shared" si="25"/>
        <v>2.059074167658151E-3</v>
      </c>
      <c r="E19" s="13">
        <f t="shared" si="25"/>
        <v>3.1514318274691188E-4</v>
      </c>
      <c r="F19" s="13">
        <f t="shared" si="25"/>
        <v>7.6890721339683337E-3</v>
      </c>
      <c r="G19" s="13">
        <f t="shared" si="25"/>
        <v>1.0559465472918014E-2</v>
      </c>
      <c r="H19" s="13">
        <f t="shared" si="25"/>
        <v>6.3069879875624846E-6</v>
      </c>
      <c r="I19" s="13">
        <f t="shared" si="25"/>
        <v>3.3502003352045134E-4</v>
      </c>
      <c r="J19" s="13">
        <f t="shared" si="25"/>
        <v>4.8887532041517415E-4</v>
      </c>
      <c r="K19" s="13">
        <f t="shared" si="25"/>
        <v>5.9688056303032417E-3</v>
      </c>
      <c r="L19" s="13">
        <f t="shared" si="25"/>
        <v>8.7311801112263879E-5</v>
      </c>
      <c r="M19" s="13">
        <f t="shared" si="25"/>
        <v>2.873193829916625E-3</v>
      </c>
      <c r="N19" s="13">
        <f t="shared" si="25"/>
        <v>4.6073356328051786E-3</v>
      </c>
      <c r="O19" s="13">
        <f t="shared" si="25"/>
        <v>4.2158901598624366E-3</v>
      </c>
      <c r="P19" s="13">
        <f t="shared" si="25"/>
        <v>2.3821054386013211E-5</v>
      </c>
      <c r="Q19" s="13">
        <f t="shared" si="25"/>
        <v>3.6855622546895207E-4</v>
      </c>
      <c r="R19" s="13">
        <f t="shared" si="25"/>
        <v>2.9870042368556722E-5</v>
      </c>
      <c r="S19" s="13">
        <f t="shared" si="25"/>
        <v>1.3360097496481892E-3</v>
      </c>
      <c r="T19" s="13">
        <f t="shared" si="25"/>
        <v>1.6688781966867596E-2</v>
      </c>
      <c r="U19" s="13">
        <f t="shared" si="25"/>
        <v>1.8748202760809614E-4</v>
      </c>
      <c r="V19" s="13">
        <f t="shared" si="25"/>
        <v>2.3394473192739536E-4</v>
      </c>
      <c r="W19" s="13">
        <f t="shared" si="25"/>
        <v>1.0959099784052484E-2</v>
      </c>
      <c r="X19" s="13">
        <f t="shared" si="25"/>
        <v>8.6346676822882121E-2</v>
      </c>
      <c r="Y19" s="13">
        <f t="shared" si="25"/>
        <v>3.5061183838375133E-3</v>
      </c>
      <c r="Z19" s="13">
        <f t="shared" si="25"/>
        <v>3.4205878279447842E-2</v>
      </c>
      <c r="AA19" s="13">
        <f t="shared" si="25"/>
        <v>9.6525592252829466E-3</v>
      </c>
      <c r="AB19" s="13">
        <f t="shared" si="25"/>
        <v>4.3209728479720412E-7</v>
      </c>
      <c r="AC19" s="13">
        <f t="shared" si="25"/>
        <v>1.0750810579255237E-2</v>
      </c>
      <c r="AD19" s="13">
        <f t="shared" si="25"/>
        <v>1.2567690104255271E-5</v>
      </c>
      <c r="AE19" s="13">
        <f t="shared" si="25"/>
        <v>3.0835882156048783E-2</v>
      </c>
      <c r="AF19" s="13">
        <f t="shared" si="25"/>
        <v>2.4035262433120905E-2</v>
      </c>
      <c r="AG19" s="13">
        <f t="shared" si="25"/>
        <v>6.9319650662206438E-4</v>
      </c>
      <c r="AH19" s="13">
        <f t="shared" si="25"/>
        <v>2.4988102995418992E-5</v>
      </c>
      <c r="AI19" s="13">
        <f t="shared" ref="AI19:BN19" si="26">AI11^2</f>
        <v>7.8779660257925624E-4</v>
      </c>
      <c r="AJ19" s="13">
        <f t="shared" si="26"/>
        <v>5.0105213836060746E-4</v>
      </c>
      <c r="AK19" s="13">
        <f t="shared" si="26"/>
        <v>2.2109580205685515E-3</v>
      </c>
      <c r="AL19" s="13">
        <f t="shared" si="26"/>
        <v>1.0314740717783251E-2</v>
      </c>
      <c r="AM19" s="13">
        <f t="shared" si="26"/>
        <v>5.5343262156863572E-4</v>
      </c>
      <c r="AN19" s="13">
        <f t="shared" si="26"/>
        <v>2.7588997976275898E-3</v>
      </c>
      <c r="AO19" s="13">
        <f t="shared" si="26"/>
        <v>3.4225885640141755E-3</v>
      </c>
      <c r="AP19" s="13">
        <f t="shared" si="26"/>
        <v>1.118725626162101E-3</v>
      </c>
      <c r="AQ19" s="13">
        <f t="shared" si="26"/>
        <v>2.0450045203045813E-4</v>
      </c>
      <c r="AR19" s="13">
        <f t="shared" si="26"/>
        <v>1.2890681145068224E-3</v>
      </c>
      <c r="AS19" s="13">
        <f t="shared" si="26"/>
        <v>1.5826302227352094E-3</v>
      </c>
      <c r="AT19" s="13">
        <f t="shared" si="26"/>
        <v>2.2039242020426623E-2</v>
      </c>
      <c r="AU19" s="13">
        <f t="shared" si="26"/>
        <v>1.6636034229909587E-3</v>
      </c>
      <c r="AV19" s="13">
        <f t="shared" si="26"/>
        <v>1.9309590933108238E-2</v>
      </c>
      <c r="AW19" s="13">
        <f t="shared" si="26"/>
        <v>3.5836126990842362E-3</v>
      </c>
      <c r="AX19" s="13">
        <f t="shared" si="26"/>
        <v>2.2436988075031212E-2</v>
      </c>
      <c r="AY19" s="13">
        <f t="shared" si="26"/>
        <v>3.7940489141036855E-3</v>
      </c>
      <c r="AZ19" s="13">
        <f t="shared" si="26"/>
        <v>3.8377717094877179E-3</v>
      </c>
      <c r="BA19" s="13">
        <f t="shared" si="26"/>
        <v>5.7085842824112805E-6</v>
      </c>
      <c r="BB19" s="13">
        <f t="shared" si="26"/>
        <v>2.2162365071883454E-2</v>
      </c>
      <c r="BC19" s="13">
        <f t="shared" si="26"/>
        <v>3.6421850194502817E-3</v>
      </c>
      <c r="BD19" s="13">
        <f t="shared" si="26"/>
        <v>2.1567132814367246E-4</v>
      </c>
      <c r="BE19" s="13">
        <f t="shared" si="26"/>
        <v>2.1466733042722119E-2</v>
      </c>
      <c r="BF19" s="13">
        <f t="shared" si="26"/>
        <v>4.3581843456671758E-2</v>
      </c>
      <c r="BG19" s="13">
        <f t="shared" si="26"/>
        <v>4.0579385301159648E-2</v>
      </c>
      <c r="BH19" s="13">
        <f t="shared" si="26"/>
        <v>1.3935782851325853E-2</v>
      </c>
      <c r="BI19" s="13">
        <f t="shared" si="26"/>
        <v>5.9330934213272886E-3</v>
      </c>
      <c r="BJ19" s="13">
        <f t="shared" si="26"/>
        <v>1.3119113666831017E-3</v>
      </c>
      <c r="BK19" s="13">
        <f t="shared" si="26"/>
        <v>3.5748481064286472E-4</v>
      </c>
      <c r="BL19" s="13">
        <f t="shared" si="26"/>
        <v>2.9328493400993451E-2</v>
      </c>
      <c r="BM19" s="13">
        <f t="shared" si="26"/>
        <v>1.7667061037884114E-2</v>
      </c>
      <c r="BN19" s="13">
        <f t="shared" si="26"/>
        <v>1.2893630347257589E-3</v>
      </c>
      <c r="BO19" s="13">
        <f t="shared" ref="BO19:CT19" si="27">BO11^2</f>
        <v>4.555884575901441E-4</v>
      </c>
      <c r="BP19" s="13">
        <f t="shared" si="27"/>
        <v>2.4636156414780219E-3</v>
      </c>
      <c r="BQ19" s="13">
        <f t="shared" si="27"/>
        <v>2.9622597057292401E-4</v>
      </c>
      <c r="BR19" s="13">
        <f t="shared" si="27"/>
        <v>3.6034382227143044E-2</v>
      </c>
      <c r="BS19" s="13">
        <f t="shared" si="27"/>
        <v>9.5267433223972416E-3</v>
      </c>
      <c r="BT19" s="13">
        <f t="shared" si="27"/>
        <v>1.4312181655934848E-3</v>
      </c>
      <c r="BU19" s="13">
        <f t="shared" si="27"/>
        <v>3.1369302523255979E-3</v>
      </c>
      <c r="BV19" s="13">
        <f t="shared" si="27"/>
        <v>1.3627535644839506E-2</v>
      </c>
      <c r="BW19" s="13">
        <f t="shared" si="27"/>
        <v>1.9972187007291264E-2</v>
      </c>
      <c r="BX19" s="13">
        <f t="shared" si="27"/>
        <v>1.140430378647656E-5</v>
      </c>
      <c r="BY19" s="13">
        <f t="shared" si="27"/>
        <v>1.6987488721731576E-2</v>
      </c>
      <c r="BZ19" s="13">
        <f t="shared" si="27"/>
        <v>1.0047461557265778E-3</v>
      </c>
      <c r="CA19" s="13">
        <f t="shared" si="27"/>
        <v>1.6447110645557072E-3</v>
      </c>
      <c r="CB19" s="13">
        <f t="shared" si="27"/>
        <v>1.767137228315438E-3</v>
      </c>
      <c r="CC19" s="13">
        <f t="shared" si="27"/>
        <v>2.5013725272755708E-3</v>
      </c>
      <c r="CD19" s="13">
        <f t="shared" si="27"/>
        <v>4.6862621773654262E-3</v>
      </c>
      <c r="CE19" s="13">
        <f t="shared" si="27"/>
        <v>6.5338267870204162E-3</v>
      </c>
      <c r="CF19" s="13">
        <f t="shared" si="27"/>
        <v>3.7959149352106796E-6</v>
      </c>
      <c r="CG19" s="13">
        <f t="shared" si="27"/>
        <v>1.3973368107735227E-2</v>
      </c>
      <c r="CH19" s="13">
        <f t="shared" si="27"/>
        <v>1.3483500252419256E-3</v>
      </c>
      <c r="CI19" s="13">
        <f t="shared" si="27"/>
        <v>6.944354409283488E-3</v>
      </c>
      <c r="CJ19" s="13">
        <f t="shared" si="27"/>
        <v>5.3209971579111864E-2</v>
      </c>
      <c r="CK19" s="13">
        <f t="shared" si="27"/>
        <v>1.7630136062643516E-2</v>
      </c>
      <c r="CL19" s="13">
        <f t="shared" si="27"/>
        <v>1.9962106501869858E-2</v>
      </c>
      <c r="CM19" s="13">
        <f t="shared" si="27"/>
        <v>1.2698898011967283E-2</v>
      </c>
      <c r="CN19" s="13">
        <f t="shared" si="27"/>
        <v>4.9947135394185591E-2</v>
      </c>
      <c r="CO19" s="13">
        <f t="shared" si="27"/>
        <v>1.0903362974249101E-2</v>
      </c>
      <c r="CP19" s="13">
        <f t="shared" si="27"/>
        <v>2.0817366158502797E-4</v>
      </c>
      <c r="CQ19" s="13">
        <f t="shared" si="27"/>
        <v>4.2945670995945519E-2</v>
      </c>
      <c r="CR19" s="13">
        <f t="shared" si="27"/>
        <v>1.818826329983373E-2</v>
      </c>
      <c r="CS19" s="13">
        <f t="shared" si="27"/>
        <v>5.330129925765671E-3</v>
      </c>
      <c r="CT19" s="13">
        <f t="shared" si="27"/>
        <v>9.1315039355651805E-4</v>
      </c>
      <c r="CU19" s="13">
        <f t="shared" ref="CU19:DZ19" si="28">CU11^2</f>
        <v>8.2305398372276448E-2</v>
      </c>
      <c r="CV19" s="13">
        <f t="shared" si="28"/>
        <v>5.323658125231813E-2</v>
      </c>
      <c r="CW19" s="13">
        <f t="shared" si="28"/>
        <v>8.2947828598525283E-3</v>
      </c>
      <c r="CX19" s="13">
        <f t="shared" si="28"/>
        <v>1.5002754583806925E-2</v>
      </c>
      <c r="CY19" s="13">
        <f t="shared" si="28"/>
        <v>6.1437262145754186E-3</v>
      </c>
      <c r="CZ19" s="13">
        <f t="shared" si="28"/>
        <v>2.1114120178055175E-3</v>
      </c>
      <c r="DA19" s="13">
        <f t="shared" si="28"/>
        <v>6.8343561034422563E-3</v>
      </c>
      <c r="DB19" s="13">
        <f t="shared" si="28"/>
        <v>2.2305204479499383E-2</v>
      </c>
      <c r="DC19" s="13">
        <f t="shared" si="28"/>
        <v>2.2847162154111663E-3</v>
      </c>
      <c r="DD19" s="13">
        <f t="shared" si="28"/>
        <v>2.7064678662887049E-2</v>
      </c>
      <c r="DE19" s="13">
        <f t="shared" si="28"/>
        <v>1.2225360760831885E-2</v>
      </c>
      <c r="DF19" s="13">
        <f t="shared" si="28"/>
        <v>3.2966966393763162E-3</v>
      </c>
      <c r="DG19" s="13">
        <f t="shared" si="28"/>
        <v>4.6177804713180344E-2</v>
      </c>
      <c r="DH19" s="13">
        <f t="shared" si="28"/>
        <v>3.9686415441255191E-3</v>
      </c>
      <c r="DI19" s="13">
        <f t="shared" si="28"/>
        <v>4.5861486060873721E-3</v>
      </c>
      <c r="DJ19" s="13">
        <f t="shared" si="28"/>
        <v>1.4113933508686947E-2</v>
      </c>
      <c r="DK19" s="13">
        <f t="shared" si="28"/>
        <v>5.3038165655135587E-5</v>
      </c>
      <c r="DL19" s="13">
        <f t="shared" si="28"/>
        <v>5.0866278425543898E-3</v>
      </c>
      <c r="DM19" s="13">
        <f t="shared" si="28"/>
        <v>4.4192030717479113E-4</v>
      </c>
      <c r="DN19" s="13">
        <f t="shared" si="28"/>
        <v>9.2435602590540443E-4</v>
      </c>
      <c r="DO19" s="13">
        <f t="shared" si="28"/>
        <v>9.3992359170593232E-3</v>
      </c>
      <c r="DP19" s="13">
        <f t="shared" si="28"/>
        <v>5.3211643863895493E-2</v>
      </c>
      <c r="DQ19" s="13">
        <f t="shared" si="28"/>
        <v>5.6731766595356822E-2</v>
      </c>
      <c r="DR19" s="13">
        <f t="shared" si="28"/>
        <v>1.2779732721999408E-5</v>
      </c>
      <c r="DS19" s="13">
        <f t="shared" si="28"/>
        <v>1.7944107252667544E-2</v>
      </c>
      <c r="DT19" s="13">
        <f t="shared" si="28"/>
        <v>1.3249413434882942E-2</v>
      </c>
      <c r="DU19" s="13">
        <f t="shared" si="28"/>
        <v>1.0832602517582508E-2</v>
      </c>
      <c r="DV19" s="13">
        <f t="shared" si="28"/>
        <v>2.9823682090757879E-3</v>
      </c>
      <c r="DW19" s="13">
        <f t="shared" si="28"/>
        <v>1.1082370139875364E-3</v>
      </c>
      <c r="DX19" s="13">
        <f t="shared" si="28"/>
        <v>3.0354498547830525E-3</v>
      </c>
      <c r="DY19" s="13">
        <f t="shared" si="28"/>
        <v>4.7325832565790213E-3</v>
      </c>
      <c r="DZ19" s="13">
        <f t="shared" si="28"/>
        <v>2.0969279010246204E-4</v>
      </c>
      <c r="EA19" s="13">
        <f t="shared" ref="EA19:EF19" si="29">EA11^2</f>
        <v>8.5929031587546431E-2</v>
      </c>
      <c r="EB19" s="13">
        <f t="shared" si="29"/>
        <v>1.987395609544565E-2</v>
      </c>
      <c r="EC19" s="13">
        <f t="shared" si="29"/>
        <v>1.4906851026839793E-4</v>
      </c>
      <c r="ED19" s="13">
        <f t="shared" si="29"/>
        <v>3.3834798795211859E-3</v>
      </c>
      <c r="EE19" s="13">
        <f t="shared" si="29"/>
        <v>2.0852230305009004E-2</v>
      </c>
      <c r="EF19" s="13">
        <f t="shared" si="29"/>
        <v>9.4107527241881761E-3</v>
      </c>
    </row>
    <row r="21" spans="1:136">
      <c r="A21" t="s">
        <v>206</v>
      </c>
      <c r="B21" s="9">
        <f>1-SUM(C13:EF15)/SUM(C17:EF19)</f>
        <v>-0.64252647288535525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zoomScale="93" zoomScaleNormal="50" workbookViewId="0">
      <selection activeCell="F34" sqref="F34"/>
    </sheetView>
  </sheetViews>
  <sheetFormatPr baseColWidth="10" defaultRowHeight="15"/>
  <sheetData>
    <row r="1" spans="1:136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>
      <c r="A3" s="1"/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>
      <c r="A4" s="1"/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>
      <c r="A5" s="1"/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>
      <c r="A6" s="2" t="s">
        <v>138</v>
      </c>
      <c r="B6" s="1"/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6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207</v>
      </c>
      <c r="B11" s="2" t="s">
        <v>141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96</v>
      </c>
      <c r="B12" s="2" t="s">
        <v>189</v>
      </c>
      <c r="C12" s="11">
        <f t="array" ref="C12">PRODUCT(1+預測IC!$C12:C12)-1</f>
        <v>8.4653541666666721E-2</v>
      </c>
      <c r="D12" s="11">
        <f t="array" ref="D12">PRODUCT(1+預測IC!$C12:D12)-1</f>
        <v>0.20905084067857849</v>
      </c>
      <c r="E12" s="11">
        <f t="array" ref="E12">PRODUCT(1+預測IC!$C12:E12)-1</f>
        <v>0.26711705639855698</v>
      </c>
      <c r="F12" s="11">
        <f t="array" ref="F12">PRODUCT(1+預測IC!$C12:F12)-1</f>
        <v>0.28412354917878613</v>
      </c>
      <c r="G12" s="11">
        <f t="array" ref="G12">PRODUCT(1+預測IC!$C12:G12)-1</f>
        <v>0.29917985766404653</v>
      </c>
      <c r="H12" s="11">
        <f t="array" ref="H12">PRODUCT(1+預測IC!$C12:H12)-1</f>
        <v>0.34923819136536483</v>
      </c>
      <c r="I12" s="11">
        <f t="array" ref="I12">PRODUCT(1+預測IC!$C12:I12)-1</f>
        <v>0.36652186232393258</v>
      </c>
      <c r="J12" s="11">
        <f t="array" ref="J12">PRODUCT(1+預測IC!$C12:J12)-1</f>
        <v>0.32633545785416218</v>
      </c>
      <c r="K12" s="11">
        <f t="array" ref="K12">PRODUCT(1+預測IC!$C12:K12)-1</f>
        <v>0.35123631461182026</v>
      </c>
      <c r="L12" s="11">
        <f t="array" ref="L12">PRODUCT(1+預測IC!$C12:L12)-1</f>
        <v>0.29463216679465609</v>
      </c>
      <c r="M12" s="11">
        <f t="array" ref="M12">PRODUCT(1+預測IC!$C12:M12)-1</f>
        <v>0.32944375617765886</v>
      </c>
      <c r="N12" s="11">
        <f t="array" ref="N12">PRODUCT(1+預測IC!$C12:N12)-1</f>
        <v>0.28330759856026577</v>
      </c>
      <c r="O12" s="11">
        <f t="array" ref="O12">PRODUCT(1+預測IC!$C12:O12)-1</f>
        <v>0.31913082098323442</v>
      </c>
      <c r="P12" s="11">
        <f t="array" ref="P12">PRODUCT(1+預測IC!$C12:P12)-1</f>
        <v>0.31943466078233418</v>
      </c>
      <c r="Q12" s="11">
        <f t="array" ref="Q12">PRODUCT(1+預測IC!$C12:Q12)-1</f>
        <v>0.36597173975312436</v>
      </c>
      <c r="R12" s="11">
        <f t="array" ref="R12">PRODUCT(1+預測IC!$C12:R12)-1</f>
        <v>0.3750733232860779</v>
      </c>
      <c r="S12" s="11">
        <f t="array" ref="S12">PRODUCT(1+預測IC!$C12:S12)-1</f>
        <v>0.35242280038393958</v>
      </c>
      <c r="T12" s="11">
        <f t="array" ref="T12">PRODUCT(1+預測IC!$C12:T12)-1</f>
        <v>0.34195452666268022</v>
      </c>
      <c r="U12" s="11">
        <f t="array" ref="U12">PRODUCT(1+預測IC!$C12:U12)-1</f>
        <v>0.34013413436987783</v>
      </c>
      <c r="V12" s="11">
        <f t="array" ref="V12">PRODUCT(1+預測IC!$C12:V12)-1</f>
        <v>0.35288008801154169</v>
      </c>
      <c r="W12" s="11">
        <f t="array" ref="W12">PRODUCT(1+預測IC!$C12:W12)-1</f>
        <v>0.3144343977829076</v>
      </c>
      <c r="X12" s="11">
        <f t="array" ref="X12">PRODUCT(1+預測IC!$C12:X12)-1</f>
        <v>0.35002105236785774</v>
      </c>
      <c r="Y12" s="11">
        <f t="array" ref="Y12">PRODUCT(1+預測IC!$C12:Y12)-1</f>
        <v>0.37268571509290305</v>
      </c>
      <c r="Z12" s="11">
        <f t="array" ref="Z12">PRODUCT(1+預測IC!$C12:Z12)-1</f>
        <v>0.28535039386402006</v>
      </c>
      <c r="AA12" s="11">
        <f t="array" ref="AA12">PRODUCT(1+預測IC!$C12:AA12)-1</f>
        <v>0.27055271712026085</v>
      </c>
      <c r="AB12" s="11">
        <f t="array" ref="AB12">PRODUCT(1+預測IC!$C12:AB12)-1</f>
        <v>0.22647837345459521</v>
      </c>
      <c r="AC12" s="11">
        <f t="array" ref="AC12">PRODUCT(1+預測IC!$C12:AC12)-1</f>
        <v>0.18341087474157214</v>
      </c>
      <c r="AD12" s="11">
        <f t="array" ref="AD12">PRODUCT(1+預測IC!$C12:AD12)-1</f>
        <v>0.19452544502275182</v>
      </c>
      <c r="AE12" s="11">
        <f t="array" ref="AE12">PRODUCT(1+預測IC!$C12:AE12)-1</f>
        <v>0.23979512063789432</v>
      </c>
      <c r="AF12" s="11">
        <f t="array" ref="AF12">PRODUCT(1+預測IC!$C12:AF12)-1</f>
        <v>0.21446343914722754</v>
      </c>
      <c r="AG12" s="11">
        <f t="array" ref="AG12">PRODUCT(1+預測IC!$C12:AG12)-1</f>
        <v>0.17805122029922038</v>
      </c>
      <c r="AH12" s="11">
        <f t="array" ref="AH12">PRODUCT(1+預測IC!$C12:AH12)-1</f>
        <v>0.16225849577262696</v>
      </c>
      <c r="AI12" s="11">
        <f t="array" ref="AI12">PRODUCT(1+預測IC!$C12:AI12)-1</f>
        <v>0.13958742206948016</v>
      </c>
      <c r="AJ12" s="11">
        <f t="array" ref="AJ12">PRODUCT(1+預測IC!$C12:AJ12)-1</f>
        <v>0.12479130667467087</v>
      </c>
      <c r="AK12" s="11">
        <f t="array" ref="AK12">PRODUCT(1+預測IC!$C12:AK12)-1</f>
        <v>7.0662182599366297E-2</v>
      </c>
      <c r="AL12" s="11">
        <f t="array" ref="AL12">PRODUCT(1+預測IC!$C12:AL12)-1</f>
        <v>5.1541223444866446E-2</v>
      </c>
      <c r="AM12" s="11">
        <f t="array" ref="AM12">PRODUCT(1+預測IC!$C12:AM12)-1</f>
        <v>1.990443262489161E-2</v>
      </c>
      <c r="AN12" s="11">
        <f t="array" ref="AN12">PRODUCT(1+預測IC!$C12:AN12)-1</f>
        <v>-5.0706849936331899E-2</v>
      </c>
      <c r="AO12" s="11">
        <f t="array" ref="AO12">PRODUCT(1+預測IC!$C12:AO12)-1</f>
        <v>-5.2822627901803143E-2</v>
      </c>
      <c r="AP12" s="11">
        <f t="array" ref="AP12">PRODUCT(1+預測IC!$C12:AP12)-1</f>
        <v>-2.0885374699830317E-2</v>
      </c>
      <c r="AQ12" s="11">
        <f t="array" ref="AQ12">PRODUCT(1+預測IC!$C12:AQ12)-1</f>
        <v>-1.342262530866023E-2</v>
      </c>
      <c r="AR12" s="11">
        <f t="array" ref="AR12">PRODUCT(1+預測IC!$C12:AR12)-1</f>
        <v>-2.6767326846202089E-2</v>
      </c>
      <c r="AS12" s="11">
        <f t="array" ref="AS12">PRODUCT(1+預測IC!$C12:AS12)-1</f>
        <v>-4.5355796894355316E-2</v>
      </c>
      <c r="AT12" s="11">
        <f t="array" ref="AT12">PRODUCT(1+預測IC!$C12:AT12)-1</f>
        <v>-5.8563208474052497E-2</v>
      </c>
      <c r="AU12" s="11">
        <f t="array" ref="AU12">PRODUCT(1+預測IC!$C12:AU12)-1</f>
        <v>-7.8059101659381902E-2</v>
      </c>
      <c r="AV12" s="11">
        <f t="array" ref="AV12">PRODUCT(1+預測IC!$C12:AV12)-1</f>
        <v>-3.9927547974109356E-2</v>
      </c>
      <c r="AW12" s="11">
        <f t="array" ref="AW12">PRODUCT(1+預測IC!$C12:AW12)-1</f>
        <v>-4.0524210938673755E-2</v>
      </c>
      <c r="AX12" s="11">
        <f t="array" ref="AX12">PRODUCT(1+預測IC!$C12:AX12)-1</f>
        <v>-8.2355884708516069E-2</v>
      </c>
      <c r="AY12" s="11">
        <f t="array" ref="AY12">PRODUCT(1+預測IC!$C12:AY12)-1</f>
        <v>-0.10525596253744085</v>
      </c>
      <c r="AZ12" s="11">
        <f t="array" ref="AZ12">PRODUCT(1+預測IC!$C12:AZ12)-1</f>
        <v>-0.10319802792381672</v>
      </c>
      <c r="BA12" s="11">
        <f t="array" ref="BA12">PRODUCT(1+預測IC!$C12:BA12)-1</f>
        <v>-3.9277299653185604E-2</v>
      </c>
      <c r="BB12" s="11">
        <f t="array" ref="BB12">PRODUCT(1+預測IC!$C12:BB12)-1</f>
        <v>-5.3951959658059989E-2</v>
      </c>
      <c r="BC12" s="11">
        <f t="array" ref="BC12">PRODUCT(1+預測IC!$C12:BC12)-1</f>
        <v>-6.556260767744071E-2</v>
      </c>
      <c r="BD12" s="11">
        <f t="array" ref="BD12">PRODUCT(1+預測IC!$C12:BD12)-1</f>
        <v>-7.8299509761902697E-2</v>
      </c>
      <c r="BE12" s="11">
        <f t="array" ref="BE12">PRODUCT(1+預測IC!$C12:BE12)-1</f>
        <v>-9.5451258913611614E-2</v>
      </c>
      <c r="BF12" s="11">
        <f t="array" ref="BF12">PRODUCT(1+預測IC!$C12:BF12)-1</f>
        <v>-0.15677274600757496</v>
      </c>
      <c r="BG12" s="11">
        <f t="array" ref="BG12">PRODUCT(1+預測IC!$C12:BG12)-1</f>
        <v>-0.19620015841574356</v>
      </c>
      <c r="BH12" s="11">
        <f t="array" ref="BH12">PRODUCT(1+預測IC!$C12:BH12)-1</f>
        <v>-0.22439712652083166</v>
      </c>
      <c r="BI12" s="11">
        <f t="array" ref="BI12">PRODUCT(1+預測IC!$C12:BI12)-1</f>
        <v>-0.25833445578597858</v>
      </c>
      <c r="BJ12" s="11">
        <f t="array" ref="BJ12">PRODUCT(1+預測IC!$C12:BJ12)-1</f>
        <v>-0.27662624668266755</v>
      </c>
      <c r="BK12" s="11">
        <f t="array" ref="BK12">PRODUCT(1+預測IC!$C12:BK12)-1</f>
        <v>-0.2771017806488395</v>
      </c>
      <c r="BL12" s="11">
        <f t="array" ref="BL12">PRODUCT(1+預測IC!$C12:BL12)-1</f>
        <v>-0.26910644351072799</v>
      </c>
      <c r="BM12" s="11">
        <f t="array" ref="BM12">PRODUCT(1+預測IC!$C12:BM12)-1</f>
        <v>-0.26532838750701904</v>
      </c>
      <c r="BN12" s="11">
        <f t="array" ref="BN12">PRODUCT(1+預測IC!$C12:BN12)-1</f>
        <v>-0.27378925922202368</v>
      </c>
      <c r="BO12" s="11">
        <f t="array" ref="BO12">PRODUCT(1+預測IC!$C12:BO12)-1</f>
        <v>-0.29139719015433818</v>
      </c>
      <c r="BP12" s="11">
        <f t="array" ref="BP12">PRODUCT(1+預測IC!$C12:BP12)-1</f>
        <v>-0.2839504936383801</v>
      </c>
      <c r="BQ12" s="11">
        <f t="array" ref="BQ12">PRODUCT(1+預測IC!$C12:BQ12)-1</f>
        <v>-0.2939012543429147</v>
      </c>
      <c r="BR12" s="11">
        <f t="array" ref="BR12">PRODUCT(1+預測IC!$C12:BR12)-1</f>
        <v>-0.29230475911004983</v>
      </c>
      <c r="BS12" s="11">
        <f t="array" ref="BS12">PRODUCT(1+預測IC!$C12:BS12)-1</f>
        <v>-0.269203566056473</v>
      </c>
      <c r="BT12" s="11">
        <f t="array" ref="BT12">PRODUCT(1+預測IC!$C12:BT12)-1</f>
        <v>-0.28476088995413129</v>
      </c>
      <c r="BU12" s="11">
        <f t="array" ref="BU12">PRODUCT(1+預測IC!$C12:BU12)-1</f>
        <v>-0.31915187364020736</v>
      </c>
      <c r="BV12" s="11">
        <f t="array" ref="BV12">PRODUCT(1+預測IC!$C12:BV12)-1</f>
        <v>-0.29732843588095748</v>
      </c>
      <c r="BW12" s="11">
        <f t="array" ref="BW12">PRODUCT(1+預測IC!$C12:BW12)-1</f>
        <v>-0.25833891086942484</v>
      </c>
      <c r="BX12" s="11">
        <f t="array" ref="BX12">PRODUCT(1+預測IC!$C12:BX12)-1</f>
        <v>-0.26685107534140251</v>
      </c>
      <c r="BY12" s="11">
        <f t="array" ref="BY12">PRODUCT(1+預測IC!$C12:BY12)-1</f>
        <v>-0.30044172907461353</v>
      </c>
      <c r="BZ12" s="11">
        <f t="array" ref="BZ12">PRODUCT(1+預測IC!$C12:BZ12)-1</f>
        <v>-0.29779922786391133</v>
      </c>
      <c r="CA12" s="11">
        <f t="array" ref="CA12">PRODUCT(1+預測IC!$C12:CA12)-1</f>
        <v>-0.28756073098905011</v>
      </c>
      <c r="CB12" s="11">
        <f t="array" ref="CB12">PRODUCT(1+預測IC!$C12:CB12)-1</f>
        <v>-0.30692045793352141</v>
      </c>
      <c r="CC12" s="11">
        <f t="array" ref="CC12">PRODUCT(1+預測IC!$C12:CC12)-1</f>
        <v>-0.29574719739148925</v>
      </c>
      <c r="CD12" s="11">
        <f t="array" ref="CD12">PRODUCT(1+預測IC!$C12:CD12)-1</f>
        <v>-0.32698451592087296</v>
      </c>
      <c r="CE12" s="11">
        <f t="array" ref="CE12">PRODUCT(1+預測IC!$C12:CE12)-1</f>
        <v>-0.3611848335347132</v>
      </c>
      <c r="CF12" s="11">
        <f t="array" ref="CF12">PRODUCT(1+預測IC!$C12:CF12)-1</f>
        <v>-0.35857971866856919</v>
      </c>
      <c r="CG12" s="11">
        <f t="array" ref="CG12">PRODUCT(1+預測IC!$C12:CG12)-1</f>
        <v>-0.39018760161152732</v>
      </c>
      <c r="CH12" s="11">
        <f t="array" ref="CH12">PRODUCT(1+預測IC!$C12:CH12)-1</f>
        <v>-0.40022701165617369</v>
      </c>
      <c r="CI12" s="11">
        <f t="array" ref="CI12">PRODUCT(1+預測IC!$C12:CI12)-1</f>
        <v>-0.42157774902888578</v>
      </c>
      <c r="CJ12" s="11">
        <f t="array" ref="CJ12">PRODUCT(1+預測IC!$C12:CJ12)-1</f>
        <v>-0.39027349810166978</v>
      </c>
      <c r="CK12" s="11">
        <f t="array" ref="CK12">PRODUCT(1+預測IC!$C12:CK12)-1</f>
        <v>-0.35606696294403584</v>
      </c>
      <c r="CL12" s="11">
        <f t="array" ref="CL12">PRODUCT(1+預測IC!$C12:CL12)-1</f>
        <v>-0.30555667503193729</v>
      </c>
      <c r="CM12" s="11">
        <f t="array" ref="CM12">PRODUCT(1+預測IC!$C12:CM12)-1</f>
        <v>-0.29498743778718572</v>
      </c>
      <c r="CN12" s="11">
        <f t="array" ref="CN12">PRODUCT(1+預測IC!$C12:CN12)-1</f>
        <v>-0.27589308819970293</v>
      </c>
      <c r="CO12" s="11">
        <f t="array" ref="CO12">PRODUCT(1+預測IC!$C12:CO12)-1</f>
        <v>-0.25614949726779446</v>
      </c>
      <c r="CP12" s="11">
        <f t="array" ref="CP12">PRODUCT(1+預測IC!$C12:CP12)-1</f>
        <v>-0.28984519715966661</v>
      </c>
      <c r="CQ12" s="11">
        <f t="array" ref="CQ12">PRODUCT(1+預測IC!$C12:CQ12)-1</f>
        <v>-0.31581711702536874</v>
      </c>
      <c r="CR12" s="11">
        <f t="array" ref="CR12">PRODUCT(1+預測IC!$C12:CR12)-1</f>
        <v>-0.31726613319584229</v>
      </c>
      <c r="CS12" s="11">
        <f t="array" ref="CS12">PRODUCT(1+預測IC!$C12:CS12)-1</f>
        <v>-0.30688745348867119</v>
      </c>
      <c r="CT12" s="11">
        <f t="array" ref="CT12">PRODUCT(1+預測IC!$C12:CT12)-1</f>
        <v>-0.3063163037819846</v>
      </c>
      <c r="CU12" s="11">
        <f t="array" ref="CU12">PRODUCT(1+預測IC!$C12:CU12)-1</f>
        <v>-0.33102789453555581</v>
      </c>
      <c r="CV12" s="11">
        <f t="array" ref="CV12">PRODUCT(1+預測IC!$C12:CV12)-1</f>
        <v>-0.33645501528284516</v>
      </c>
      <c r="CW12" s="11">
        <f t="array" ref="CW12">PRODUCT(1+預測IC!$C12:CW12)-1</f>
        <v>-0.34013631292266777</v>
      </c>
      <c r="CX12" s="11">
        <f t="array" ref="CX12">PRODUCT(1+預測IC!$C12:CX12)-1</f>
        <v>-0.38038132168794059</v>
      </c>
      <c r="CY12" s="11">
        <f t="array" ref="CY12">PRODUCT(1+預測IC!$C12:CY12)-1</f>
        <v>-0.37667417894243937</v>
      </c>
      <c r="CZ12" s="11">
        <f t="array" ref="CZ12">PRODUCT(1+預測IC!$C12:CZ12)-1</f>
        <v>-0.42516414525331214</v>
      </c>
      <c r="DA12" s="11">
        <f t="array" ref="DA12">PRODUCT(1+預測IC!$C12:DA12)-1</f>
        <v>-0.42838540125921376</v>
      </c>
      <c r="DB12" s="11">
        <f t="array" ref="DB12">PRODUCT(1+預測IC!$C12:DB12)-1</f>
        <v>-0.41524862545738483</v>
      </c>
      <c r="DC12" s="11">
        <f t="array" ref="DC12">PRODUCT(1+預測IC!$C12:DC12)-1</f>
        <v>-0.43511450253602446</v>
      </c>
      <c r="DD12" s="11">
        <f t="array" ref="DD12">PRODUCT(1+預測IC!$C12:DD12)-1</f>
        <v>-0.44917392528725875</v>
      </c>
      <c r="DE12" s="11">
        <f t="array" ref="DE12">PRODUCT(1+預測IC!$C12:DE12)-1</f>
        <v>-0.44983387462396718</v>
      </c>
      <c r="DF12" s="11">
        <f t="array" ref="DF12">PRODUCT(1+預測IC!$C12:DF12)-1</f>
        <v>-0.44607375008098704</v>
      </c>
      <c r="DG12" s="11">
        <f t="array" ref="DG12">PRODUCT(1+預測IC!$C12:DG12)-1</f>
        <v>-0.44554878922221652</v>
      </c>
      <c r="DH12" s="11">
        <f t="array" ref="DH12">PRODUCT(1+預測IC!$C12:DH12)-1</f>
        <v>-0.44342929857473734</v>
      </c>
      <c r="DI12" s="11">
        <f t="array" ref="DI12">PRODUCT(1+預測IC!$C12:DI12)-1</f>
        <v>-0.41312782359468925</v>
      </c>
      <c r="DJ12" s="11">
        <f t="array" ref="DJ12">PRODUCT(1+預測IC!$C12:DJ12)-1</f>
        <v>-0.41785953817994803</v>
      </c>
      <c r="DK12" s="11">
        <f t="array" ref="DK12">PRODUCT(1+預測IC!$C12:DK12)-1</f>
        <v>-0.40857675366242585</v>
      </c>
      <c r="DL12" s="11">
        <f t="array" ref="DL12">PRODUCT(1+預測IC!$C12:DL12)-1</f>
        <v>-0.4083669900177157</v>
      </c>
      <c r="DM12" s="11">
        <f t="array" ref="DM12">PRODUCT(1+預測IC!$C12:DM12)-1</f>
        <v>-0.40550327962448363</v>
      </c>
      <c r="DN12" s="11">
        <f t="array" ref="DN12">PRODUCT(1+預測IC!$C12:DN12)-1</f>
        <v>-0.43071610275642647</v>
      </c>
      <c r="DO12" s="11">
        <f t="array" ref="DO12">PRODUCT(1+預測IC!$C12:DO12)-1</f>
        <v>-0.44358176722263076</v>
      </c>
      <c r="DP12" s="11">
        <f t="array" ref="DP12">PRODUCT(1+預測IC!$C12:DP12)-1</f>
        <v>-0.46171234908525138</v>
      </c>
      <c r="DQ12" s="11">
        <f t="array" ref="DQ12">PRODUCT(1+預測IC!$C12:DQ12)-1</f>
        <v>-0.42158803905532327</v>
      </c>
      <c r="DR12" s="11">
        <f t="array" ref="DR12">PRODUCT(1+預測IC!$C12:DR12)-1</f>
        <v>-0.42786499250983445</v>
      </c>
      <c r="DS12" s="11">
        <f t="array" ref="DS12">PRODUCT(1+預測IC!$C12:DS12)-1</f>
        <v>-0.40742480829288241</v>
      </c>
      <c r="DT12" s="11">
        <f t="array" ref="DT12">PRODUCT(1+預測IC!$C12:DT12)-1</f>
        <v>-0.38058240635651897</v>
      </c>
      <c r="DU12" s="11">
        <f t="array" ref="DU12">PRODUCT(1+預測IC!$C12:DU12)-1</f>
        <v>-0.38910103854041156</v>
      </c>
      <c r="DV12" s="11">
        <f t="array" ref="DV12">PRODUCT(1+預測IC!$C12:DV12)-1</f>
        <v>-0.41876068679174183</v>
      </c>
      <c r="DW12" s="11">
        <f t="array" ref="DW12">PRODUCT(1+預測IC!$C12:DW12)-1</f>
        <v>-0.4441757037086399</v>
      </c>
      <c r="DX12" s="11">
        <f t="array" ref="DX12">PRODUCT(1+預測IC!$C12:DX12)-1</f>
        <v>-0.41629995883363424</v>
      </c>
      <c r="DY12" s="11">
        <f t="array" ref="DY12">PRODUCT(1+預測IC!$C12:DY12)-1</f>
        <v>-0.42526399803400272</v>
      </c>
      <c r="DZ12" s="11">
        <f t="array" ref="DZ12">PRODUCT(1+預測IC!$C12:DZ12)-1</f>
        <v>-0.42288704770629659</v>
      </c>
      <c r="EA12" s="11">
        <f t="array" ref="EA12">PRODUCT(1+預測IC!$C12:EA12)-1</f>
        <v>-0.35759996665819904</v>
      </c>
      <c r="EB12" s="11">
        <f t="array" ref="EB12">PRODUCT(1+預測IC!$C12:EB12)-1</f>
        <v>-0.33799020661263313</v>
      </c>
      <c r="EC12" s="11">
        <f t="array" ref="EC12">PRODUCT(1+預測IC!$C12:EC12)-1</f>
        <v>-0.34784350617835058</v>
      </c>
      <c r="ED12" s="11">
        <f t="array" ref="ED12">PRODUCT(1+預測IC!$C12:ED12)-1</f>
        <v>-0.36313303816792497</v>
      </c>
      <c r="EE12" s="11">
        <f t="array" ref="EE12">PRODUCT(1+預測IC!$C12:EE12)-1</f>
        <v>-0.34516302147956668</v>
      </c>
      <c r="EF12" s="11">
        <f t="array" ref="EF12">PRODUCT(1+預測IC!$C12:EF12)-1</f>
        <v>-0.37085446856653215</v>
      </c>
    </row>
    <row r="13" spans="1:136">
      <c r="A13" s="2">
        <v>48</v>
      </c>
      <c r="B13" s="2" t="s">
        <v>190</v>
      </c>
      <c r="C13" s="11">
        <f t="array" ref="C13">PRODUCT(1+預測IC!$C13:C13)-1</f>
        <v>0.10411314583333331</v>
      </c>
      <c r="D13" s="11">
        <f t="array" ref="D13">PRODUCT(1+預測IC!$C13:D13)-1</f>
        <v>0.2407417420762652</v>
      </c>
      <c r="E13" s="11">
        <f t="array" ref="E13">PRODUCT(1+預測IC!$C13:E13)-1</f>
        <v>0.32742156280246348</v>
      </c>
      <c r="F13" s="11">
        <f t="array" ref="F13">PRODUCT(1+預測IC!$C13:F13)-1</f>
        <v>0.31221619769210429</v>
      </c>
      <c r="G13" s="11">
        <f t="array" ref="G13">PRODUCT(1+預測IC!$C13:G13)-1</f>
        <v>0.33287685035990444</v>
      </c>
      <c r="H13" s="11">
        <f t="array" ref="H13">PRODUCT(1+預測IC!$C13:H13)-1</f>
        <v>0.37285029916274914</v>
      </c>
      <c r="I13" s="11">
        <f t="array" ref="I13">PRODUCT(1+預測IC!$C13:I13)-1</f>
        <v>0.4128421720046056</v>
      </c>
      <c r="J13" s="11">
        <f t="array" ref="J13">PRODUCT(1+預測IC!$C13:J13)-1</f>
        <v>0.35082007840368257</v>
      </c>
      <c r="K13" s="11">
        <f t="array" ref="K13">PRODUCT(1+預測IC!$C13:K13)-1</f>
        <v>0.34897286008855044</v>
      </c>
      <c r="L13" s="11">
        <f t="array" ref="L13">PRODUCT(1+預測IC!$C13:L13)-1</f>
        <v>0.34084515808851057</v>
      </c>
      <c r="M13" s="11">
        <f t="array" ref="M13">PRODUCT(1+預測IC!$C13:M13)-1</f>
        <v>0.34524280602554991</v>
      </c>
      <c r="N13" s="11">
        <f t="array" ref="N13">PRODUCT(1+預測IC!$C13:N13)-1</f>
        <v>0.28686946859376383</v>
      </c>
      <c r="O13" s="11">
        <f t="array" ref="O13">PRODUCT(1+預測IC!$C13:O13)-1</f>
        <v>0.30929020775408023</v>
      </c>
      <c r="P13" s="11">
        <f t="array" ref="P13">PRODUCT(1+預測IC!$C13:P13)-1</f>
        <v>0.33127599986084211</v>
      </c>
      <c r="Q13" s="11">
        <f t="array" ref="Q13">PRODUCT(1+預測IC!$C13:Q13)-1</f>
        <v>0.42875871268556898</v>
      </c>
      <c r="R13" s="11">
        <f t="array" ref="R13">PRODUCT(1+預測IC!$C13:R13)-1</f>
        <v>0.44898969793074439</v>
      </c>
      <c r="S13" s="11">
        <f t="array" ref="S13">PRODUCT(1+預測IC!$C13:S13)-1</f>
        <v>0.43124926424969767</v>
      </c>
      <c r="T13" s="11">
        <f t="array" ref="T13">PRODUCT(1+預測IC!$C13:T13)-1</f>
        <v>0.39961224470578327</v>
      </c>
      <c r="U13" s="11">
        <f t="array" ref="U13">PRODUCT(1+預測IC!$C13:U13)-1</f>
        <v>0.43986695517435415</v>
      </c>
      <c r="V13" s="11">
        <f t="array" ref="V13">PRODUCT(1+預測IC!$C13:V13)-1</f>
        <v>0.44305862172228228</v>
      </c>
      <c r="W13" s="11">
        <f t="array" ref="W13">PRODUCT(1+預測IC!$C13:W13)-1</f>
        <v>0.39836867769663864</v>
      </c>
      <c r="X13" s="11">
        <f t="array" ref="X13">PRODUCT(1+預測IC!$C13:X13)-1</f>
        <v>0.47286880828858213</v>
      </c>
      <c r="Y13" s="11">
        <f t="array" ref="Y13">PRODUCT(1+預測IC!$C13:Y13)-1</f>
        <v>0.5118584193760638</v>
      </c>
      <c r="Z13" s="11">
        <f t="array" ref="Z13">PRODUCT(1+預測IC!$C13:Z13)-1</f>
        <v>0.39329177733103782</v>
      </c>
      <c r="AA13" s="11">
        <f t="array" ref="AA13">PRODUCT(1+預測IC!$C13:AA13)-1</f>
        <v>0.37038600245789155</v>
      </c>
      <c r="AB13" s="11">
        <f t="array" ref="AB13">PRODUCT(1+預測IC!$C13:AB13)-1</f>
        <v>0.30641882298390799</v>
      </c>
      <c r="AC13" s="11">
        <f t="array" ref="AC13">PRODUCT(1+預測IC!$C13:AC13)-1</f>
        <v>0.27784541032673471</v>
      </c>
      <c r="AD13" s="11">
        <f t="array" ref="AD13">PRODUCT(1+預測IC!$C13:AD13)-1</f>
        <v>0.3053741404885213</v>
      </c>
      <c r="AE13" s="11">
        <f t="array" ref="AE13">PRODUCT(1+預測IC!$C13:AE13)-1</f>
        <v>0.36087500884859347</v>
      </c>
      <c r="AF13" s="11">
        <f t="array" ref="AF13">PRODUCT(1+預測IC!$C13:AF13)-1</f>
        <v>0.31740802984546046</v>
      </c>
      <c r="AG13" s="11">
        <f t="array" ref="AG13">PRODUCT(1+預測IC!$C13:AG13)-1</f>
        <v>0.27567019444897789</v>
      </c>
      <c r="AH13" s="11">
        <f t="array" ref="AH13">PRODUCT(1+預測IC!$C13:AH13)-1</f>
        <v>0.26337102534655554</v>
      </c>
      <c r="AI13" s="11">
        <f t="array" ref="AI13">PRODUCT(1+預測IC!$C13:AI13)-1</f>
        <v>0.24812523223605321</v>
      </c>
      <c r="AJ13" s="11">
        <f t="array" ref="AJ13">PRODUCT(1+預測IC!$C13:AJ13)-1</f>
        <v>0.26844529762108182</v>
      </c>
      <c r="AK13" s="11">
        <f t="array" ref="AK13">PRODUCT(1+預測IC!$C13:AK13)-1</f>
        <v>0.18474323991657537</v>
      </c>
      <c r="AL13" s="11">
        <f t="array" ref="AL13">PRODUCT(1+預測IC!$C13:AL13)-1</f>
        <v>0.15731474139403523</v>
      </c>
      <c r="AM13" s="11">
        <f t="array" ref="AM13">PRODUCT(1+預測IC!$C13:AM13)-1</f>
        <v>0.10375138722112598</v>
      </c>
      <c r="AN13" s="11">
        <f t="array" ref="AN13">PRODUCT(1+預測IC!$C13:AN13)-1</f>
        <v>-1.2507009237853306E-2</v>
      </c>
      <c r="AO13" s="11">
        <f t="array" ref="AO13">PRODUCT(1+預測IC!$C13:AO13)-1</f>
        <v>-2.1701742024194948E-2</v>
      </c>
      <c r="AP13" s="11">
        <f t="array" ref="AP13">PRODUCT(1+預測IC!$C13:AP13)-1</f>
        <v>3.6556741362942624E-2</v>
      </c>
      <c r="AQ13" s="11">
        <f t="array" ref="AQ13">PRODUCT(1+預測IC!$C13:AQ13)-1</f>
        <v>4.2827172416796788E-2</v>
      </c>
      <c r="AR13" s="11">
        <f t="array" ref="AR13">PRODUCT(1+預測IC!$C13:AR13)-1</f>
        <v>3.1680199288918409E-2</v>
      </c>
      <c r="AS13" s="11">
        <f t="array" ref="AS13">PRODUCT(1+預測IC!$C13:AS13)-1</f>
        <v>-1.0941727022142911E-2</v>
      </c>
      <c r="AT13" s="11">
        <f t="array" ref="AT13">PRODUCT(1+預測IC!$C13:AT13)-1</f>
        <v>-5.0962078814806411E-2</v>
      </c>
      <c r="AU13" s="11">
        <f t="array" ref="AU13">PRODUCT(1+預測IC!$C13:AU13)-1</f>
        <v>-8.9849976703790913E-2</v>
      </c>
      <c r="AV13" s="11">
        <f t="array" ref="AV13">PRODUCT(1+預測IC!$C13:AV13)-1</f>
        <v>-8.1225875060158992E-2</v>
      </c>
      <c r="AW13" s="11">
        <f t="array" ref="AW13">PRODUCT(1+預測IC!$C13:AW13)-1</f>
        <v>-8.4974485969680713E-2</v>
      </c>
      <c r="AX13" s="11">
        <f t="array" ref="AX13">PRODUCT(1+預測IC!$C13:AX13)-1</f>
        <v>-0.14642191515500425</v>
      </c>
      <c r="AY13" s="11">
        <f t="array" ref="AY13">PRODUCT(1+預測IC!$C13:AY13)-1</f>
        <v>-0.1614144562728177</v>
      </c>
      <c r="AZ13" s="11">
        <f t="array" ref="AZ13">PRODUCT(1+預測IC!$C13:AZ13)-1</f>
        <v>-0.15461900559883213</v>
      </c>
      <c r="BA13" s="11">
        <f t="array" ref="BA13">PRODUCT(1+預測IC!$C13:BA13)-1</f>
        <v>-8.7132857239428763E-2</v>
      </c>
      <c r="BB13" s="11">
        <f t="array" ref="BB13">PRODUCT(1+預測IC!$C13:BB13)-1</f>
        <v>-0.126272377851122</v>
      </c>
      <c r="BC13" s="11">
        <f t="array" ref="BC13">PRODUCT(1+預測IC!$C13:BC13)-1</f>
        <v>-0.13613131685847235</v>
      </c>
      <c r="BD13" s="11">
        <f t="array" ref="BD13">PRODUCT(1+預測IC!$C13:BD13)-1</f>
        <v>-0.13902046380214428</v>
      </c>
      <c r="BE13" s="11">
        <f t="array" ref="BE13">PRODUCT(1+預測IC!$C13:BE13)-1</f>
        <v>-0.16260424849079702</v>
      </c>
      <c r="BF13" s="11">
        <f t="array" ref="BF13">PRODUCT(1+預測IC!$C13:BF13)-1</f>
        <v>-0.23288638429594632</v>
      </c>
      <c r="BG13" s="11">
        <f t="array" ref="BG13">PRODUCT(1+預測IC!$C13:BG13)-1</f>
        <v>-0.30069734531715353</v>
      </c>
      <c r="BH13" s="11">
        <f t="array" ref="BH13">PRODUCT(1+預測IC!$C13:BH13)-1</f>
        <v>-0.3293852969971498</v>
      </c>
      <c r="BI13" s="11">
        <f t="array" ref="BI13">PRODUCT(1+預測IC!$C13:BI13)-1</f>
        <v>-0.34387162013936168</v>
      </c>
      <c r="BJ13" s="11">
        <f t="array" ref="BJ13">PRODUCT(1+預測IC!$C13:BJ13)-1</f>
        <v>-0.3597932888905071</v>
      </c>
      <c r="BK13" s="11">
        <f t="array" ref="BK13">PRODUCT(1+預測IC!$C13:BK13)-1</f>
        <v>-0.3654772975398759</v>
      </c>
      <c r="BL13" s="11">
        <f t="array" ref="BL13">PRODUCT(1+預測IC!$C13:BL13)-1</f>
        <v>-0.35683575929351741</v>
      </c>
      <c r="BM13" s="11">
        <f t="array" ref="BM13">PRODUCT(1+預測IC!$C13:BM13)-1</f>
        <v>-0.36771720786184026</v>
      </c>
      <c r="BN13" s="11">
        <f t="array" ref="BN13">PRODUCT(1+預測IC!$C13:BN13)-1</f>
        <v>-0.37470553989896382</v>
      </c>
      <c r="BO13" s="11">
        <f t="array" ref="BO13">PRODUCT(1+預測IC!$C13:BO13)-1</f>
        <v>-0.39401383009478719</v>
      </c>
      <c r="BP13" s="11">
        <f t="array" ref="BP13">PRODUCT(1+預測IC!$C13:BP13)-1</f>
        <v>-0.39972991323067042</v>
      </c>
      <c r="BQ13" s="11">
        <f t="array" ref="BQ13">PRODUCT(1+預測IC!$C13:BQ13)-1</f>
        <v>-0.42473300144575743</v>
      </c>
      <c r="BR13" s="11">
        <f t="array" ref="BR13">PRODUCT(1+預測IC!$C13:BR13)-1</f>
        <v>-0.42088940246390349</v>
      </c>
      <c r="BS13" s="11">
        <f t="array" ref="BS13">PRODUCT(1+預測IC!$C13:BS13)-1</f>
        <v>-0.3976204407827556</v>
      </c>
      <c r="BT13" s="11">
        <f t="array" ref="BT13">PRODUCT(1+預測IC!$C13:BT13)-1</f>
        <v>-0.41790129303461099</v>
      </c>
      <c r="BU13" s="11">
        <f t="array" ref="BU13">PRODUCT(1+預測IC!$C13:BU13)-1</f>
        <v>-0.4613597153156842</v>
      </c>
      <c r="BV13" s="11">
        <f t="array" ref="BV13">PRODUCT(1+預測IC!$C13:BV13)-1</f>
        <v>-0.44442474132681076</v>
      </c>
      <c r="BW13" s="11">
        <f t="array" ref="BW13">PRODUCT(1+預測IC!$C13:BW13)-1</f>
        <v>-0.39651730157966869</v>
      </c>
      <c r="BX13" s="11">
        <f t="array" ref="BX13">PRODUCT(1+預測IC!$C13:BX13)-1</f>
        <v>-0.4092375506465542</v>
      </c>
      <c r="BY13" s="11">
        <f t="array" ref="BY13">PRODUCT(1+預測IC!$C13:BY13)-1</f>
        <v>-0.42744992004665106</v>
      </c>
      <c r="BZ13" s="11">
        <f t="array" ref="BZ13">PRODUCT(1+預測IC!$C13:BZ13)-1</f>
        <v>-0.43532746960295587</v>
      </c>
      <c r="CA13" s="11">
        <f t="array" ref="CA13">PRODUCT(1+預測IC!$C13:CA13)-1</f>
        <v>-0.42176844692696269</v>
      </c>
      <c r="CB13" s="11">
        <f t="array" ref="CB13">PRODUCT(1+預測IC!$C13:CB13)-1</f>
        <v>-0.43681251669526122</v>
      </c>
      <c r="CC13" s="11">
        <f t="array" ref="CC13">PRODUCT(1+預測IC!$C13:CC13)-1</f>
        <v>-0.44144462638609994</v>
      </c>
      <c r="CD13" s="11">
        <f t="array" ref="CD13">PRODUCT(1+預測IC!$C13:CD13)-1</f>
        <v>-0.45328831489349497</v>
      </c>
      <c r="CE13" s="11">
        <f t="array" ref="CE13">PRODUCT(1+預測IC!$C13:CE13)-1</f>
        <v>-0.49671792654612756</v>
      </c>
      <c r="CF13" s="11">
        <f t="array" ref="CF13">PRODUCT(1+預測IC!$C13:CF13)-1</f>
        <v>-0.48754352423383462</v>
      </c>
      <c r="CG13" s="11">
        <f t="array" ref="CG13">PRODUCT(1+預測IC!$C13:CG13)-1</f>
        <v>-0.51727367017802006</v>
      </c>
      <c r="CH13" s="11">
        <f t="array" ref="CH13">PRODUCT(1+預測IC!$C13:CH13)-1</f>
        <v>-0.51921881884849541</v>
      </c>
      <c r="CI13" s="11">
        <f t="array" ref="CI13">PRODUCT(1+預測IC!$C13:CI13)-1</f>
        <v>-0.52620615754302458</v>
      </c>
      <c r="CJ13" s="11">
        <f t="array" ref="CJ13">PRODUCT(1+預測IC!$C13:CJ13)-1</f>
        <v>-0.50023743143343591</v>
      </c>
      <c r="CK13" s="11">
        <f t="array" ref="CK13">PRODUCT(1+預測IC!$C13:CK13)-1</f>
        <v>-0.46740946448858511</v>
      </c>
      <c r="CL13" s="11">
        <f t="array" ref="CL13">PRODUCT(1+預測IC!$C13:CL13)-1</f>
        <v>-0.42867725709910653</v>
      </c>
      <c r="CM13" s="11">
        <f t="array" ref="CM13">PRODUCT(1+預測IC!$C13:CM13)-1</f>
        <v>-0.42279445893389067</v>
      </c>
      <c r="CN13" s="11">
        <f t="array" ref="CN13">PRODUCT(1+預測IC!$C13:CN13)-1</f>
        <v>-0.40727480685357242</v>
      </c>
      <c r="CO13" s="11">
        <f t="array" ref="CO13">PRODUCT(1+預測IC!$C13:CO13)-1</f>
        <v>-0.39929823212742344</v>
      </c>
      <c r="CP13" s="11">
        <f t="array" ref="CP13">PRODUCT(1+預測IC!$C13:CP13)-1</f>
        <v>-0.44118308813989682</v>
      </c>
      <c r="CQ13" s="11">
        <f t="array" ref="CQ13">PRODUCT(1+預測IC!$C13:CQ13)-1</f>
        <v>-0.46252148408804661</v>
      </c>
      <c r="CR13" s="11">
        <f t="array" ref="CR13">PRODUCT(1+預測IC!$C13:CR13)-1</f>
        <v>-0.46697168849073867</v>
      </c>
      <c r="CS13" s="11">
        <f t="array" ref="CS13">PRODUCT(1+預測IC!$C13:CS13)-1</f>
        <v>-0.472746011435207</v>
      </c>
      <c r="CT13" s="11">
        <f t="array" ref="CT13">PRODUCT(1+預測IC!$C13:CT13)-1</f>
        <v>-0.47700137256567365</v>
      </c>
      <c r="CU13" s="11">
        <f t="array" ref="CU13">PRODUCT(1+預測IC!$C13:CU13)-1</f>
        <v>-0.49643673495285723</v>
      </c>
      <c r="CV13" s="11">
        <f t="array" ref="CV13">PRODUCT(1+預測IC!$C13:CV13)-1</f>
        <v>-0.49494955543218799</v>
      </c>
      <c r="CW13" s="11">
        <f t="array" ref="CW13">PRODUCT(1+預測IC!$C13:CW13)-1</f>
        <v>-0.49796825752333063</v>
      </c>
      <c r="CX13" s="11">
        <f t="array" ref="CX13">PRODUCT(1+預測IC!$C13:CX13)-1</f>
        <v>-0.52810685725804107</v>
      </c>
      <c r="CY13" s="11">
        <f t="array" ref="CY13">PRODUCT(1+預測IC!$C13:CY13)-1</f>
        <v>-0.52191621375635278</v>
      </c>
      <c r="CZ13" s="11">
        <f t="array" ref="CZ13">PRODUCT(1+預測IC!$C13:CZ13)-1</f>
        <v>-0.54927418568778774</v>
      </c>
      <c r="DA13" s="11">
        <f t="array" ref="DA13">PRODUCT(1+預測IC!$C13:DA13)-1</f>
        <v>-0.54675747835854061</v>
      </c>
      <c r="DB13" s="11">
        <f t="array" ref="DB13">PRODUCT(1+預測IC!$C13:DB13)-1</f>
        <v>-0.52782935919239948</v>
      </c>
      <c r="DC13" s="11">
        <f t="array" ref="DC13">PRODUCT(1+預測IC!$C13:DC13)-1</f>
        <v>-0.54188850721356197</v>
      </c>
      <c r="DD13" s="11">
        <f t="array" ref="DD13">PRODUCT(1+預測IC!$C13:DD13)-1</f>
        <v>-0.54678920099399819</v>
      </c>
      <c r="DE13" s="11">
        <f t="array" ref="DE13">PRODUCT(1+預測IC!$C13:DE13)-1</f>
        <v>-0.549476268390379</v>
      </c>
      <c r="DF13" s="11">
        <f t="array" ref="DF13">PRODUCT(1+預測IC!$C13:DF13)-1</f>
        <v>-0.53662787363789421</v>
      </c>
      <c r="DG13" s="11">
        <f t="array" ref="DG13">PRODUCT(1+預測IC!$C13:DG13)-1</f>
        <v>-0.53587227255632452</v>
      </c>
      <c r="DH13" s="11">
        <f t="array" ref="DH13">PRODUCT(1+預測IC!$C13:DH13)-1</f>
        <v>-0.54111495163308909</v>
      </c>
      <c r="DI13" s="11">
        <f t="array" ref="DI13">PRODUCT(1+預測IC!$C13:DI13)-1</f>
        <v>-0.5200167822487517</v>
      </c>
      <c r="DJ13" s="11">
        <f t="array" ref="DJ13">PRODUCT(1+預測IC!$C13:DJ13)-1</f>
        <v>-0.51841759519694752</v>
      </c>
      <c r="DK13" s="11">
        <f t="array" ref="DK13">PRODUCT(1+預測IC!$C13:DK13)-1</f>
        <v>-0.52439358700053385</v>
      </c>
      <c r="DL13" s="11">
        <f t="array" ref="DL13">PRODUCT(1+預測IC!$C13:DL13)-1</f>
        <v>-0.51664108523579255</v>
      </c>
      <c r="DM13" s="11">
        <f t="array" ref="DM13">PRODUCT(1+預測IC!$C13:DM13)-1</f>
        <v>-0.51342246151897974</v>
      </c>
      <c r="DN13" s="11">
        <f t="array" ref="DN13">PRODUCT(1+預測IC!$C13:DN13)-1</f>
        <v>-0.51901789783808683</v>
      </c>
      <c r="DO13" s="11">
        <f t="array" ref="DO13">PRODUCT(1+預測IC!$C13:DO13)-1</f>
        <v>-0.54157182794187175</v>
      </c>
      <c r="DP13" s="11">
        <f t="array" ref="DP13">PRODUCT(1+預測IC!$C13:DP13)-1</f>
        <v>-0.56393699623832683</v>
      </c>
      <c r="DQ13" s="11">
        <f t="array" ref="DQ13">PRODUCT(1+預測IC!$C13:DQ13)-1</f>
        <v>-0.52594325781569751</v>
      </c>
      <c r="DR13" s="11">
        <f t="array" ref="DR13">PRODUCT(1+預測IC!$C13:DR13)-1</f>
        <v>-0.53280141843987905</v>
      </c>
      <c r="DS13" s="11">
        <f t="array" ref="DS13">PRODUCT(1+預測IC!$C13:DS13)-1</f>
        <v>-0.51463317387294749</v>
      </c>
      <c r="DT13" s="11">
        <f t="array" ref="DT13">PRODUCT(1+預測IC!$C13:DT13)-1</f>
        <v>-0.49743842257202087</v>
      </c>
      <c r="DU13" s="11">
        <f t="array" ref="DU13">PRODUCT(1+預測IC!$C13:DU13)-1</f>
        <v>-0.5068389191155529</v>
      </c>
      <c r="DV13" s="11">
        <f t="array" ref="DV13">PRODUCT(1+預測IC!$C13:DV13)-1</f>
        <v>-0.54610447540269713</v>
      </c>
      <c r="DW13" s="11">
        <f t="array" ref="DW13">PRODUCT(1+預測IC!$C13:DW13)-1</f>
        <v>-0.56626551132569425</v>
      </c>
      <c r="DX13" s="11">
        <f t="array" ref="DX13">PRODUCT(1+預測IC!$C13:DX13)-1</f>
        <v>-0.53827949627667704</v>
      </c>
      <c r="DY13" s="11">
        <f t="array" ref="DY13">PRODUCT(1+預測IC!$C13:DY13)-1</f>
        <v>-0.55461795863902097</v>
      </c>
      <c r="DZ13" s="11">
        <f t="array" ref="DZ13">PRODUCT(1+預測IC!$C13:DZ13)-1</f>
        <v>-0.54811145502083991</v>
      </c>
      <c r="EA13" s="11">
        <f t="array" ref="EA13">PRODUCT(1+預測IC!$C13:EA13)-1</f>
        <v>-0.49186535862778413</v>
      </c>
      <c r="EB13" s="11">
        <f t="array" ref="EB13">PRODUCT(1+預測IC!$C13:EB13)-1</f>
        <v>-0.46279736771248881</v>
      </c>
      <c r="EC13" s="11">
        <f t="array" ref="EC13">PRODUCT(1+預測IC!$C13:EC13)-1</f>
        <v>-0.47460768836287648</v>
      </c>
      <c r="ED13" s="11">
        <f t="array" ref="ED13">PRODUCT(1+預測IC!$C13:ED13)-1</f>
        <v>-0.50296732487348494</v>
      </c>
      <c r="EE13" s="11">
        <f t="array" ref="EE13">PRODUCT(1+預測IC!$C13:EE13)-1</f>
        <v>-0.48514001538833385</v>
      </c>
      <c r="EF13" s="11">
        <f t="array" ref="EF13">PRODUCT(1+預測IC!$C13:EF13)-1</f>
        <v>-0.51941795946590197</v>
      </c>
    </row>
    <row r="14" spans="1:136">
      <c r="A14" s="2">
        <v>19</v>
      </c>
      <c r="B14" s="2" t="s">
        <v>191</v>
      </c>
      <c r="C14" s="11">
        <f t="array" ref="C14">PRODUCT(1+預測IC!$C14:C14)-1</f>
        <v>0.11994163157894744</v>
      </c>
      <c r="D14" s="11">
        <f t="array" ref="D14">PRODUCT(1+預測IC!$C14:D14)-1</f>
        <v>0.36891449997644599</v>
      </c>
      <c r="E14" s="11">
        <f t="array" ref="E14">PRODUCT(1+預測IC!$C14:E14)-1</f>
        <v>0.5041196634545142</v>
      </c>
      <c r="F14" s="11">
        <f t="array" ref="F14">PRODUCT(1+預測IC!$C14:F14)-1</f>
        <v>0.5560767856459945</v>
      </c>
      <c r="G14" s="11">
        <f t="array" ref="G14">PRODUCT(1+預測IC!$C14:G14)-1</f>
        <v>0.68857549546207819</v>
      </c>
      <c r="H14" s="11">
        <f t="array" ref="H14">PRODUCT(1+預測IC!$C14:H14)-1</f>
        <v>0.78919593178877334</v>
      </c>
      <c r="I14" s="11">
        <f t="array" ref="I14">PRODUCT(1+預測IC!$C14:I14)-1</f>
        <v>0.92716977606866458</v>
      </c>
      <c r="J14" s="11">
        <f t="array" ref="J14">PRODUCT(1+預測IC!$C14:J14)-1</f>
        <v>0.72463660706241018</v>
      </c>
      <c r="K14" s="11">
        <f t="array" ref="K14">PRODUCT(1+預測IC!$C14:K14)-1</f>
        <v>0.74611087439007395</v>
      </c>
      <c r="L14" s="11">
        <f t="array" ref="L14">PRODUCT(1+預測IC!$C14:L14)-1</f>
        <v>0.73130348657295685</v>
      </c>
      <c r="M14" s="11">
        <f t="array" ref="M14">PRODUCT(1+預測IC!$C14:M14)-1</f>
        <v>0.69837112599913476</v>
      </c>
      <c r="N14" s="11">
        <f t="array" ref="N14">PRODUCT(1+預測IC!$C14:N14)-1</f>
        <v>0.60093654824972353</v>
      </c>
      <c r="O14" s="11">
        <f t="array" ref="O14">PRODUCT(1+預測IC!$C14:O14)-1</f>
        <v>0.60332900053654059</v>
      </c>
      <c r="P14" s="11">
        <f t="array" ref="P14">PRODUCT(1+預測IC!$C14:P14)-1</f>
        <v>0.67993597579643961</v>
      </c>
      <c r="Q14" s="11">
        <f t="array" ref="Q14">PRODUCT(1+預測IC!$C14:Q14)-1</f>
        <v>0.77777385550853162</v>
      </c>
      <c r="R14" s="11">
        <f t="array" ref="R14">PRODUCT(1+預測IC!$C14:R14)-1</f>
        <v>0.75261536130764517</v>
      </c>
      <c r="S14" s="11">
        <f t="array" ref="S14">PRODUCT(1+預測IC!$C14:S14)-1</f>
        <v>0.82015285547020422</v>
      </c>
      <c r="T14" s="11">
        <f t="array" ref="T14">PRODUCT(1+預測IC!$C14:T14)-1</f>
        <v>0.78855184058112404</v>
      </c>
      <c r="U14" s="11">
        <f t="array" ref="U14">PRODUCT(1+預測IC!$C14:U14)-1</f>
        <v>0.84320313347812048</v>
      </c>
      <c r="V14" s="11">
        <f t="array" ref="V14">PRODUCT(1+預測IC!$C14:V14)-1</f>
        <v>0.74658002876426632</v>
      </c>
      <c r="W14" s="11">
        <f t="array" ref="W14">PRODUCT(1+預測IC!$C14:W14)-1</f>
        <v>0.66310223151516667</v>
      </c>
      <c r="X14" s="11">
        <f t="array" ref="X14">PRODUCT(1+預測IC!$C14:X14)-1</f>
        <v>0.75221422515742686</v>
      </c>
      <c r="Y14" s="11">
        <f t="array" ref="Y14">PRODUCT(1+預測IC!$C14:Y14)-1</f>
        <v>0.76136056367725558</v>
      </c>
      <c r="Z14" s="11">
        <f t="array" ref="Z14">PRODUCT(1+預測IC!$C14:Z14)-1</f>
        <v>0.69352717549587606</v>
      </c>
      <c r="AA14" s="11">
        <f t="array" ref="AA14">PRODUCT(1+預測IC!$C14:AA14)-1</f>
        <v>0.68908050793107933</v>
      </c>
      <c r="AB14" s="11">
        <f t="array" ref="AB14">PRODUCT(1+預測IC!$C14:AB14)-1</f>
        <v>0.56954533209545355</v>
      </c>
      <c r="AC14" s="11">
        <f t="array" ref="AC14">PRODUCT(1+預測IC!$C14:AC14)-1</f>
        <v>0.59076129824865586</v>
      </c>
      <c r="AD14" s="11">
        <f t="array" ref="AD14">PRODUCT(1+預測IC!$C14:AD14)-1</f>
        <v>0.65332267486190032</v>
      </c>
      <c r="AE14" s="11">
        <f t="array" ref="AE14">PRODUCT(1+預測IC!$C14:AE14)-1</f>
        <v>0.82925616678802849</v>
      </c>
      <c r="AF14" s="11">
        <f t="array" ref="AF14">PRODUCT(1+預測IC!$C14:AF14)-1</f>
        <v>0.75531634739644038</v>
      </c>
      <c r="AG14" s="11">
        <f t="array" ref="AG14">PRODUCT(1+預測IC!$C14:AG14)-1</f>
        <v>0.71929568556012913</v>
      </c>
      <c r="AH14" s="11">
        <f t="array" ref="AH14">PRODUCT(1+預測IC!$C14:AH14)-1</f>
        <v>0.71026890536621856</v>
      </c>
      <c r="AI14" s="11">
        <f t="array" ref="AI14">PRODUCT(1+預測IC!$C14:AI14)-1</f>
        <v>0.58700477847757848</v>
      </c>
      <c r="AJ14" s="11">
        <f t="array" ref="AJ14">PRODUCT(1+預測IC!$C14:AJ14)-1</f>
        <v>0.56310601625435153</v>
      </c>
      <c r="AK14" s="11">
        <f t="array" ref="AK14">PRODUCT(1+預測IC!$C14:AK14)-1</f>
        <v>0.44288529596100901</v>
      </c>
      <c r="AL14" s="11">
        <f t="array" ref="AL14">PRODUCT(1+預測IC!$C14:AL14)-1</f>
        <v>0.38810011041091652</v>
      </c>
      <c r="AM14" s="11">
        <f t="array" ref="AM14">PRODUCT(1+預測IC!$C14:AM14)-1</f>
        <v>0.30308985249894316</v>
      </c>
      <c r="AN14" s="11">
        <f t="array" ref="AN14">PRODUCT(1+預測IC!$C14:AN14)-1</f>
        <v>0.17461214272103587</v>
      </c>
      <c r="AO14" s="11">
        <f t="array" ref="AO14">PRODUCT(1+預測IC!$C14:AO14)-1</f>
        <v>0.10307156152037433</v>
      </c>
      <c r="AP14" s="11">
        <f t="array" ref="AP14">PRODUCT(1+預測IC!$C14:AP14)-1</f>
        <v>0.18026067638965371</v>
      </c>
      <c r="AQ14" s="11">
        <f t="array" ref="AQ14">PRODUCT(1+預測IC!$C14:AQ14)-1</f>
        <v>0.18069497424071179</v>
      </c>
      <c r="AR14" s="11">
        <f t="array" ref="AR14">PRODUCT(1+預測IC!$C14:AR14)-1</f>
        <v>0.13624672043233677</v>
      </c>
      <c r="AS14" s="11">
        <f t="array" ref="AS14">PRODUCT(1+預測IC!$C14:AS14)-1</f>
        <v>3.9237400142789758E-2</v>
      </c>
      <c r="AT14" s="11">
        <f t="array" ref="AT14">PRODUCT(1+預測IC!$C14:AT14)-1</f>
        <v>3.3768719829803118E-3</v>
      </c>
      <c r="AU14" s="11">
        <f t="array" ref="AU14">PRODUCT(1+預測IC!$C14:AU14)-1</f>
        <v>-3.6749823699396056E-2</v>
      </c>
      <c r="AV14" s="11">
        <f t="array" ref="AV14">PRODUCT(1+預測IC!$C14:AV14)-1</f>
        <v>-1.8753531011660329E-2</v>
      </c>
      <c r="AW14" s="11">
        <f t="array" ref="AW14">PRODUCT(1+預測IC!$C14:AW14)-1</f>
        <v>-7.3496931116479036E-4</v>
      </c>
      <c r="AX14" s="11">
        <f t="array" ref="AX14">PRODUCT(1+預測IC!$C14:AX14)-1</f>
        <v>-0.13758534280262857</v>
      </c>
      <c r="AY14" s="11">
        <f t="array" ref="AY14">PRODUCT(1+預測IC!$C14:AY14)-1</f>
        <v>-0.15058030928778654</v>
      </c>
      <c r="AZ14" s="11">
        <f t="array" ref="AZ14">PRODUCT(1+預測IC!$C14:AZ14)-1</f>
        <v>-0.10526498416163466</v>
      </c>
      <c r="BA14" s="11">
        <f t="array" ref="BA14">PRODUCT(1+預測IC!$C14:BA14)-1</f>
        <v>-1.9068520210281048E-2</v>
      </c>
      <c r="BB14" s="11">
        <f t="array" ref="BB14">PRODUCT(1+預測IC!$C14:BB14)-1</f>
        <v>-7.9625620807939779E-2</v>
      </c>
      <c r="BC14" s="11">
        <f t="array" ref="BC14">PRODUCT(1+預測IC!$C14:BC14)-1</f>
        <v>-7.0586624991430535E-2</v>
      </c>
      <c r="BD14" s="11">
        <f t="array" ref="BD14">PRODUCT(1+預測IC!$C14:BD14)-1</f>
        <v>-0.11085604478256816</v>
      </c>
      <c r="BE14" s="11">
        <f t="array" ref="BE14">PRODUCT(1+預測IC!$C14:BE14)-1</f>
        <v>-0.14978904675272409</v>
      </c>
      <c r="BF14" s="11">
        <f t="array" ref="BF14">PRODUCT(1+預測IC!$C14:BF14)-1</f>
        <v>-0.1844525907404736</v>
      </c>
      <c r="BG14" s="11">
        <f t="array" ref="BG14">PRODUCT(1+預測IC!$C14:BG14)-1</f>
        <v>-0.2866450087737521</v>
      </c>
      <c r="BH14" s="11">
        <f t="array" ref="BH14">PRODUCT(1+預測IC!$C14:BH14)-1</f>
        <v>-0.33901486986885498</v>
      </c>
      <c r="BI14" s="11">
        <f t="array" ref="BI14">PRODUCT(1+預測IC!$C14:BI14)-1</f>
        <v>-0.31189394409158777</v>
      </c>
      <c r="BJ14" s="11">
        <f t="array" ref="BJ14">PRODUCT(1+預測IC!$C14:BJ14)-1</f>
        <v>-0.35910090654625748</v>
      </c>
      <c r="BK14" s="11">
        <f t="array" ref="BK14">PRODUCT(1+預測IC!$C14:BK14)-1</f>
        <v>-0.38069370699860239</v>
      </c>
      <c r="BL14" s="11">
        <f t="array" ref="BL14">PRODUCT(1+預測IC!$C14:BL14)-1</f>
        <v>-0.37414666162953603</v>
      </c>
      <c r="BM14" s="11">
        <f t="array" ref="BM14">PRODUCT(1+預測IC!$C14:BM14)-1</f>
        <v>-0.39871592082160623</v>
      </c>
      <c r="BN14" s="11">
        <f t="array" ref="BN14">PRODUCT(1+預測IC!$C14:BN14)-1</f>
        <v>-0.41130472783774363</v>
      </c>
      <c r="BO14" s="11">
        <f t="array" ref="BO14">PRODUCT(1+預測IC!$C14:BO14)-1</f>
        <v>-0.43109021412983461</v>
      </c>
      <c r="BP14" s="11">
        <f t="array" ref="BP14">PRODUCT(1+預測IC!$C14:BP14)-1</f>
        <v>-0.44000715449509997</v>
      </c>
      <c r="BQ14" s="11">
        <f t="array" ref="BQ14">PRODUCT(1+預測IC!$C14:BQ14)-1</f>
        <v>-0.44887941450985858</v>
      </c>
      <c r="BR14" s="11">
        <f t="array" ref="BR14">PRODUCT(1+預測IC!$C14:BR14)-1</f>
        <v>-0.43348693095343649</v>
      </c>
      <c r="BS14" s="11">
        <f t="array" ref="BS14">PRODUCT(1+預測IC!$C14:BS14)-1</f>
        <v>-0.41630304639514881</v>
      </c>
      <c r="BT14" s="11">
        <f t="array" ref="BT14">PRODUCT(1+預測IC!$C14:BT14)-1</f>
        <v>-0.40737930304308412</v>
      </c>
      <c r="BU14" s="11">
        <f t="array" ref="BU14">PRODUCT(1+預測IC!$C14:BU14)-1</f>
        <v>-0.47325508209794087</v>
      </c>
      <c r="BV14" s="11">
        <f t="array" ref="BV14">PRODUCT(1+預測IC!$C14:BV14)-1</f>
        <v>-0.45150988750344112</v>
      </c>
      <c r="BW14" s="11">
        <f t="array" ref="BW14">PRODUCT(1+預測IC!$C14:BW14)-1</f>
        <v>-0.38656415479134598</v>
      </c>
      <c r="BX14" s="11">
        <f t="array" ref="BX14">PRODUCT(1+預測IC!$C14:BX14)-1</f>
        <v>-0.42028518948851845</v>
      </c>
      <c r="BY14" s="11">
        <f t="array" ref="BY14">PRODUCT(1+預測IC!$C14:BY14)-1</f>
        <v>-0.46689483996845216</v>
      </c>
      <c r="BZ14" s="11">
        <f t="array" ref="BZ14">PRODUCT(1+預測IC!$C14:BZ14)-1</f>
        <v>-0.43971405251174889</v>
      </c>
      <c r="CA14" s="11">
        <f t="array" ref="CA14">PRODUCT(1+預測IC!$C14:CA14)-1</f>
        <v>-0.42096989255966799</v>
      </c>
      <c r="CB14" s="11">
        <f t="array" ref="CB14">PRODUCT(1+預測IC!$C14:CB14)-1</f>
        <v>-0.45540890117167143</v>
      </c>
      <c r="CC14" s="11">
        <f t="array" ref="CC14">PRODUCT(1+預測IC!$C14:CC14)-1</f>
        <v>-0.47118879939163261</v>
      </c>
      <c r="CD14" s="11">
        <f t="array" ref="CD14">PRODUCT(1+預測IC!$C14:CD14)-1</f>
        <v>-0.45377695696391096</v>
      </c>
      <c r="CE14" s="11">
        <f t="array" ref="CE14">PRODUCT(1+預測IC!$C14:CE14)-1</f>
        <v>-0.51623925993883901</v>
      </c>
      <c r="CF14" s="11">
        <f t="array" ref="CF14">PRODUCT(1+預測IC!$C14:CF14)-1</f>
        <v>-0.52606459333603084</v>
      </c>
      <c r="CG14" s="11">
        <f t="array" ref="CG14">PRODUCT(1+預測IC!$C14:CG14)-1</f>
        <v>-0.55323088538168796</v>
      </c>
      <c r="CH14" s="11">
        <f t="array" ref="CH14">PRODUCT(1+預測IC!$C14:CH14)-1</f>
        <v>-0.5750688124741794</v>
      </c>
      <c r="CI14" s="11">
        <f t="array" ref="CI14">PRODUCT(1+預測IC!$C14:CI14)-1</f>
        <v>-0.58131598592474565</v>
      </c>
      <c r="CJ14" s="11">
        <f t="array" ref="CJ14">PRODUCT(1+預測IC!$C14:CJ14)-1</f>
        <v>-0.57386503649673681</v>
      </c>
      <c r="CK14" s="11">
        <f t="array" ref="CK14">PRODUCT(1+預測IC!$C14:CK14)-1</f>
        <v>-0.55094234767333206</v>
      </c>
      <c r="CL14" s="11">
        <f t="array" ref="CL14">PRODUCT(1+預測IC!$C14:CL14)-1</f>
        <v>-0.48926716636333245</v>
      </c>
      <c r="CM14" s="11">
        <f t="array" ref="CM14">PRODUCT(1+預測IC!$C14:CM14)-1</f>
        <v>-0.5056310516484912</v>
      </c>
      <c r="CN14" s="11">
        <f t="array" ref="CN14">PRODUCT(1+預測IC!$C14:CN14)-1</f>
        <v>-0.49424737178622791</v>
      </c>
      <c r="CO14" s="11">
        <f t="array" ref="CO14">PRODUCT(1+預測IC!$C14:CO14)-1</f>
        <v>-0.45703018897229852</v>
      </c>
      <c r="CP14" s="11">
        <f t="array" ref="CP14">PRODUCT(1+預測IC!$C14:CP14)-1</f>
        <v>-0.51122364282574706</v>
      </c>
      <c r="CQ14" s="11">
        <f t="array" ref="CQ14">PRODUCT(1+預測IC!$C14:CQ14)-1</f>
        <v>-0.537232228563707</v>
      </c>
      <c r="CR14" s="11">
        <f t="array" ref="CR14">PRODUCT(1+預測IC!$C14:CR14)-1</f>
        <v>-0.56310517558512241</v>
      </c>
      <c r="CS14" s="11">
        <f t="array" ref="CS14">PRODUCT(1+預測IC!$C14:CS14)-1</f>
        <v>-0.58889381892842807</v>
      </c>
      <c r="CT14" s="11">
        <f t="array" ref="CT14">PRODUCT(1+預測IC!$C14:CT14)-1</f>
        <v>-0.59674618401044532</v>
      </c>
      <c r="CU14" s="11">
        <f t="array" ref="CU14">PRODUCT(1+預測IC!$C14:CU14)-1</f>
        <v>-0.57903644476058846</v>
      </c>
      <c r="CV14" s="11">
        <f t="array" ref="CV14">PRODUCT(1+預測IC!$C14:CV14)-1</f>
        <v>-0.5886115618716512</v>
      </c>
      <c r="CW14" s="11">
        <f t="array" ref="CW14">PRODUCT(1+預測IC!$C14:CW14)-1</f>
        <v>-0.58721350661784122</v>
      </c>
      <c r="CX14" s="11">
        <f t="array" ref="CX14">PRODUCT(1+預測IC!$C14:CX14)-1</f>
        <v>-0.60219741232466273</v>
      </c>
      <c r="CY14" s="11">
        <f t="array" ref="CY14">PRODUCT(1+預測IC!$C14:CY14)-1</f>
        <v>-0.59075695985344789</v>
      </c>
      <c r="CZ14" s="11">
        <f t="array" ref="CZ14">PRODUCT(1+預測IC!$C14:CZ14)-1</f>
        <v>-0.61697452728157998</v>
      </c>
      <c r="DA14" s="11">
        <f t="array" ref="DA14">PRODUCT(1+預測IC!$C14:DA14)-1</f>
        <v>-0.6076653654329317</v>
      </c>
      <c r="DB14" s="11">
        <f t="array" ref="DB14">PRODUCT(1+預測IC!$C14:DB14)-1</f>
        <v>-0.59842154039363493</v>
      </c>
      <c r="DC14" s="11">
        <f t="array" ref="DC14">PRODUCT(1+預測IC!$C14:DC14)-1</f>
        <v>-0.60791188719459677</v>
      </c>
      <c r="DD14" s="11">
        <f t="array" ref="DD14">PRODUCT(1+預測IC!$C14:DD14)-1</f>
        <v>-0.60134105903313284</v>
      </c>
      <c r="DE14" s="11">
        <f t="array" ref="DE14">PRODUCT(1+預測IC!$C14:DE14)-1</f>
        <v>-0.60348755821261257</v>
      </c>
      <c r="DF14" s="11">
        <f t="array" ref="DF14">PRODUCT(1+預測IC!$C14:DF14)-1</f>
        <v>-0.58926995807616356</v>
      </c>
      <c r="DG14" s="11">
        <f t="array" ref="DG14">PRODUCT(1+預測IC!$C14:DG14)-1</f>
        <v>-0.59397140266347426</v>
      </c>
      <c r="DH14" s="11">
        <f t="array" ref="DH14">PRODUCT(1+預測IC!$C14:DH14)-1</f>
        <v>-0.59591012313172387</v>
      </c>
      <c r="DI14" s="11">
        <f t="array" ref="DI14">PRODUCT(1+預測IC!$C14:DI14)-1</f>
        <v>-0.57223133738079812</v>
      </c>
      <c r="DJ14" s="11">
        <f t="array" ref="DJ14">PRODUCT(1+預測IC!$C14:DJ14)-1</f>
        <v>-0.57266925454151085</v>
      </c>
      <c r="DK14" s="11">
        <f t="array" ref="DK14">PRODUCT(1+預測IC!$C14:DK14)-1</f>
        <v>-0.58081890616026466</v>
      </c>
      <c r="DL14" s="11">
        <f t="array" ref="DL14">PRODUCT(1+預測IC!$C14:DL14)-1</f>
        <v>-0.57446195715143022</v>
      </c>
      <c r="DM14" s="11">
        <f t="array" ref="DM14">PRODUCT(1+預測IC!$C14:DM14)-1</f>
        <v>-0.57680423304885409</v>
      </c>
      <c r="DN14" s="11">
        <f t="array" ref="DN14">PRODUCT(1+預測IC!$C14:DN14)-1</f>
        <v>-0.5948588207184542</v>
      </c>
      <c r="DO14" s="11">
        <f t="array" ref="DO14">PRODUCT(1+預測IC!$C14:DO14)-1</f>
        <v>-0.61162179839324471</v>
      </c>
      <c r="DP14" s="11">
        <f t="array" ref="DP14">PRODUCT(1+預測IC!$C14:DP14)-1</f>
        <v>-0.62853167513069774</v>
      </c>
      <c r="DQ14" s="11">
        <f t="array" ref="DQ14">PRODUCT(1+預測IC!$C14:DQ14)-1</f>
        <v>-0.60209332178909203</v>
      </c>
      <c r="DR14" s="11">
        <f t="array" ref="DR14">PRODUCT(1+預測IC!$C14:DR14)-1</f>
        <v>-0.60427548030914746</v>
      </c>
      <c r="DS14" s="11">
        <f t="array" ref="DS14">PRODUCT(1+預測IC!$C14:DS14)-1</f>
        <v>-0.59040735160747804</v>
      </c>
      <c r="DT14" s="11">
        <f t="array" ref="DT14">PRODUCT(1+預測IC!$C14:DT14)-1</f>
        <v>-0.57217353468512933</v>
      </c>
      <c r="DU14" s="11">
        <f t="array" ref="DU14">PRODUCT(1+預測IC!$C14:DU14)-1</f>
        <v>-0.5529577309776712</v>
      </c>
      <c r="DV14" s="11">
        <f t="array" ref="DV14">PRODUCT(1+預測IC!$C14:DV14)-1</f>
        <v>-0.6013555795965102</v>
      </c>
      <c r="DW14" s="11">
        <f t="array" ref="DW14">PRODUCT(1+預測IC!$C14:DW14)-1</f>
        <v>-0.64056001278626029</v>
      </c>
      <c r="DX14" s="11">
        <f t="array" ref="DX14">PRODUCT(1+預測IC!$C14:DX14)-1</f>
        <v>-0.60392175373382084</v>
      </c>
      <c r="DY14" s="11">
        <f t="array" ref="DY14">PRODUCT(1+預測IC!$C14:DY14)-1</f>
        <v>-0.61897157052240448</v>
      </c>
      <c r="DZ14" s="11">
        <f t="array" ref="DZ14">PRODUCT(1+預測IC!$C14:DZ14)-1</f>
        <v>-0.61063406900637185</v>
      </c>
      <c r="EA14" s="11">
        <f t="array" ref="EA14">PRODUCT(1+預測IC!$C14:EA14)-1</f>
        <v>-0.5861380130063979</v>
      </c>
      <c r="EB14" s="11">
        <f t="array" ref="EB14">PRODUCT(1+預測IC!$C14:EB14)-1</f>
        <v>-0.55378235292996347</v>
      </c>
      <c r="EC14" s="11">
        <f t="array" ref="EC14">PRODUCT(1+預測IC!$C14:EC14)-1</f>
        <v>-0.57308573616409975</v>
      </c>
      <c r="ED14" s="11">
        <f t="array" ref="ED14">PRODUCT(1+預測IC!$C14:ED14)-1</f>
        <v>-0.60655550030186578</v>
      </c>
      <c r="EE14" s="11">
        <f t="array" ref="EE14">PRODUCT(1+預測IC!$C14:EE14)-1</f>
        <v>-0.58983185096814361</v>
      </c>
      <c r="EF14" s="11">
        <f t="array" ref="EF14">PRODUCT(1+預測IC!$C14:EF14)-1</f>
        <v>-0.61852574647693137</v>
      </c>
    </row>
    <row r="15" spans="1:136">
      <c r="A15" s="2">
        <v>10</v>
      </c>
      <c r="B15" s="2" t="s">
        <v>192</v>
      </c>
      <c r="C15" s="11">
        <f t="array" ref="C15">PRODUCT(1+預測IC!$C15:C15)-1</f>
        <v>0.22764509999999993</v>
      </c>
      <c r="D15" s="11">
        <f t="array" ref="D15">PRODUCT(1+預測IC!$C15:D15)-1</f>
        <v>0.68520033692747018</v>
      </c>
      <c r="E15" s="11">
        <f t="array" ref="E15">PRODUCT(1+預測IC!$C15:E15)-1</f>
        <v>0.78975791775200044</v>
      </c>
      <c r="F15" s="11">
        <f t="array" ref="F15">PRODUCT(1+預測IC!$C15:F15)-1</f>
        <v>0.95138129061142784</v>
      </c>
      <c r="G15" s="11">
        <f t="array" ref="G15">PRODUCT(1+預測IC!$C15:G15)-1</f>
        <v>1.1398968218484939</v>
      </c>
      <c r="H15" s="11">
        <f t="array" ref="H15">PRODUCT(1+預測IC!$C15:H15)-1</f>
        <v>1.3942115757029852</v>
      </c>
      <c r="I15" s="11">
        <f t="array" ref="I15">PRODUCT(1+預測IC!$C15:I15)-1</f>
        <v>1.6976273750590911</v>
      </c>
      <c r="J15" s="11">
        <f t="array" ref="J15">PRODUCT(1+預測IC!$C15:J15)-1</f>
        <v>1.5235651267853032</v>
      </c>
      <c r="K15" s="11">
        <f t="array" ref="K15">PRODUCT(1+預測IC!$C15:K15)-1</f>
        <v>1.5129383940364103</v>
      </c>
      <c r="L15" s="11">
        <f t="array" ref="L15">PRODUCT(1+預測IC!$C15:L15)-1</f>
        <v>1.5455234148980415</v>
      </c>
      <c r="M15" s="11">
        <f t="array" ref="M15">PRODUCT(1+預測IC!$C15:M15)-1</f>
        <v>1.5400937716151089</v>
      </c>
      <c r="N15" s="11">
        <f t="array" ref="N15">PRODUCT(1+預測IC!$C15:N15)-1</f>
        <v>1.2612011420087854</v>
      </c>
      <c r="O15" s="11">
        <f t="array" ref="O15">PRODUCT(1+預測IC!$C15:O15)-1</f>
        <v>1.2334544046248328</v>
      </c>
      <c r="P15" s="11">
        <f t="array" ref="P15">PRODUCT(1+預測IC!$C15:P15)-1</f>
        <v>1.3517904127268321</v>
      </c>
      <c r="Q15" s="11">
        <f t="array" ref="Q15">PRODUCT(1+預測IC!$C15:Q15)-1</f>
        <v>1.5878556086270308</v>
      </c>
      <c r="R15" s="11">
        <f t="array" ref="R15">PRODUCT(1+預測IC!$C15:R15)-1</f>
        <v>1.6312156469206984</v>
      </c>
      <c r="S15" s="11">
        <f t="array" ref="S15">PRODUCT(1+預測IC!$C15:S15)-1</f>
        <v>1.517984965257372</v>
      </c>
      <c r="T15" s="11">
        <f t="array" ref="T15">PRODUCT(1+預測IC!$C15:T15)-1</f>
        <v>1.3937483424670627</v>
      </c>
      <c r="U15" s="11">
        <f t="array" ref="U15">PRODUCT(1+預測IC!$C15:U15)-1</f>
        <v>1.580938003709512</v>
      </c>
      <c r="V15" s="11">
        <f t="array" ref="V15">PRODUCT(1+預測IC!$C15:V15)-1</f>
        <v>1.2967070278354993</v>
      </c>
      <c r="W15" s="11">
        <f t="array" ref="W15">PRODUCT(1+預測IC!$C15:W15)-1</f>
        <v>1.1803296116615951</v>
      </c>
      <c r="X15" s="11">
        <f t="array" ref="X15">PRODUCT(1+預測IC!$C15:X15)-1</f>
        <v>1.3513470352466896</v>
      </c>
      <c r="Y15" s="11">
        <f t="array" ref="Y15">PRODUCT(1+預測IC!$C15:Y15)-1</f>
        <v>1.3028388061844041</v>
      </c>
      <c r="Z15" s="11">
        <f t="array" ref="Z15">PRODUCT(1+預測IC!$C15:Z15)-1</f>
        <v>1.1952502415160788</v>
      </c>
      <c r="AA15" s="11">
        <f t="array" ref="AA15">PRODUCT(1+預測IC!$C15:AA15)-1</f>
        <v>1.2975245354930469</v>
      </c>
      <c r="AB15" s="11">
        <f t="array" ref="AB15">PRODUCT(1+預測IC!$C15:AB15)-1</f>
        <v>1.1052213355129257</v>
      </c>
      <c r="AC15" s="11">
        <f t="array" ref="AC15">PRODUCT(1+預測IC!$C15:AC15)-1</f>
        <v>1.0705252538215806</v>
      </c>
      <c r="AD15" s="11">
        <f t="array" ref="AD15">PRODUCT(1+預測IC!$C15:AD15)-1</f>
        <v>1.1527052293558606</v>
      </c>
      <c r="AE15" s="11">
        <f t="array" ref="AE15">PRODUCT(1+預測IC!$C15:AE15)-1</f>
        <v>1.3632348151408218</v>
      </c>
      <c r="AF15" s="11">
        <f t="array" ref="AF15">PRODUCT(1+預測IC!$C15:AF15)-1</f>
        <v>1.2076876153687395</v>
      </c>
      <c r="AG15" s="11">
        <f t="array" ref="AG15">PRODUCT(1+預測IC!$C15:AG15)-1</f>
        <v>1.1853381377860277</v>
      </c>
      <c r="AH15" s="11">
        <f t="array" ref="AH15">PRODUCT(1+預測IC!$C15:AH15)-1</f>
        <v>1.258775056480959</v>
      </c>
      <c r="AI15" s="11">
        <f t="array" ref="AI15">PRODUCT(1+預測IC!$C15:AI15)-1</f>
        <v>1.0658076530982621</v>
      </c>
      <c r="AJ15" s="11">
        <f t="array" ref="AJ15">PRODUCT(1+預測IC!$C15:AJ15)-1</f>
        <v>1.0462550729419475</v>
      </c>
      <c r="AK15" s="11">
        <f t="array" ref="AK15">PRODUCT(1+預測IC!$C15:AK15)-1</f>
        <v>0.91987913791288944</v>
      </c>
      <c r="AL15" s="11">
        <f t="array" ref="AL15">PRODUCT(1+預測IC!$C15:AL15)-1</f>
        <v>0.83457571602438851</v>
      </c>
      <c r="AM15" s="11">
        <f t="array" ref="AM15">PRODUCT(1+預測IC!$C15:AM15)-1</f>
        <v>0.73344909205261311</v>
      </c>
      <c r="AN15" s="11">
        <f t="array" ref="AN15">PRODUCT(1+預測IC!$C15:AN15)-1</f>
        <v>0.55717689711678675</v>
      </c>
      <c r="AO15" s="11">
        <f t="array" ref="AO15">PRODUCT(1+預測IC!$C15:AO15)-1</f>
        <v>0.45849888917405246</v>
      </c>
      <c r="AP15" s="11">
        <f t="array" ref="AP15">PRODUCT(1+預測IC!$C15:AP15)-1</f>
        <v>0.57267848675485444</v>
      </c>
      <c r="AQ15" s="11">
        <f t="array" ref="AQ15">PRODUCT(1+預測IC!$C15:AQ15)-1</f>
        <v>0.63144496317895604</v>
      </c>
      <c r="AR15" s="11">
        <f t="array" ref="AR15">PRODUCT(1+預測IC!$C15:AR15)-1</f>
        <v>0.48413550745676304</v>
      </c>
      <c r="AS15" s="11">
        <f t="array" ref="AS15">PRODUCT(1+預測IC!$C15:AS15)-1</f>
        <v>0.4042575845945946</v>
      </c>
      <c r="AT15" s="11">
        <f t="array" ref="AT15">PRODUCT(1+預測IC!$C15:AT15)-1</f>
        <v>0.31262276903827235</v>
      </c>
      <c r="AU15" s="11">
        <f t="array" ref="AU15">PRODUCT(1+預測IC!$C15:AU15)-1</f>
        <v>0.26019233506259831</v>
      </c>
      <c r="AV15" s="11">
        <f t="array" ref="AV15">PRODUCT(1+預測IC!$C15:AV15)-1</f>
        <v>0.31970720952823073</v>
      </c>
      <c r="AW15" s="11">
        <f t="array" ref="AW15">PRODUCT(1+預測IC!$C15:AW15)-1</f>
        <v>0.29904067479318597</v>
      </c>
      <c r="AX15" s="11">
        <f t="array" ref="AX15">PRODUCT(1+預測IC!$C15:AX15)-1</f>
        <v>0.13635664457708363</v>
      </c>
      <c r="AY15" s="11">
        <f t="array" ref="AY15">PRODUCT(1+預測IC!$C15:AY15)-1</f>
        <v>0.10451926761410557</v>
      </c>
      <c r="AZ15" s="11">
        <f t="array" ref="AZ15">PRODUCT(1+預測IC!$C15:AZ15)-1</f>
        <v>0.20538759003148699</v>
      </c>
      <c r="BA15" s="11">
        <f t="array" ref="BA15">PRODUCT(1+預測IC!$C15:BA15)-1</f>
        <v>0.39546310994464906</v>
      </c>
      <c r="BB15" s="11">
        <f t="array" ref="BB15">PRODUCT(1+預測IC!$C15:BB15)-1</f>
        <v>0.23815971775821443</v>
      </c>
      <c r="BC15" s="11">
        <f t="array" ref="BC15">PRODUCT(1+預測IC!$C15:BC15)-1</f>
        <v>0.16120172261723242</v>
      </c>
      <c r="BD15" s="11">
        <f t="array" ref="BD15">PRODUCT(1+預測IC!$C15:BD15)-1</f>
        <v>9.9607781585725697E-2</v>
      </c>
      <c r="BE15" s="11">
        <f t="array" ref="BE15">PRODUCT(1+預測IC!$C15:BE15)-1</f>
        <v>4.633978859351684E-2</v>
      </c>
      <c r="BF15" s="11">
        <f t="array" ref="BF15">PRODUCT(1+預測IC!$C15:BF15)-1</f>
        <v>-3.5318832549983137E-3</v>
      </c>
      <c r="BG15" s="11">
        <f t="array" ref="BG15">PRODUCT(1+預測IC!$C15:BG15)-1</f>
        <v>-0.16899662521222358</v>
      </c>
      <c r="BH15" s="11">
        <f t="array" ref="BH15">PRODUCT(1+預測IC!$C15:BH15)-1</f>
        <v>-0.25097431569555517</v>
      </c>
      <c r="BI15" s="11">
        <f t="array" ref="BI15">PRODUCT(1+預測IC!$C15:BI15)-1</f>
        <v>-0.23512559554777102</v>
      </c>
      <c r="BJ15" s="11">
        <f t="array" ref="BJ15">PRODUCT(1+預測IC!$C15:BJ15)-1</f>
        <v>-0.33464359938168875</v>
      </c>
      <c r="BK15" s="11">
        <f t="array" ref="BK15">PRODUCT(1+預測IC!$C15:BK15)-1</f>
        <v>-0.3043000657758439</v>
      </c>
      <c r="BL15" s="11">
        <f t="array" ref="BL15">PRODUCT(1+預測IC!$C15:BL15)-1</f>
        <v>-0.30424600989095463</v>
      </c>
      <c r="BM15" s="11">
        <f t="array" ref="BM15">PRODUCT(1+預測IC!$C15:BM15)-1</f>
        <v>-0.35073964599518059</v>
      </c>
      <c r="BN15" s="11">
        <f t="array" ref="BN15">PRODUCT(1+預測IC!$C15:BN15)-1</f>
        <v>-0.37680262503081463</v>
      </c>
      <c r="BO15" s="11">
        <f t="array" ref="BO15">PRODUCT(1+預測IC!$C15:BO15)-1</f>
        <v>-0.39408667764207361</v>
      </c>
      <c r="BP15" s="11">
        <f t="array" ref="BP15">PRODUCT(1+預測IC!$C15:BP15)-1</f>
        <v>-0.40268108593619767</v>
      </c>
      <c r="BQ15" s="11">
        <f t="array" ref="BQ15">PRODUCT(1+預測IC!$C15:BQ15)-1</f>
        <v>-0.41032851895136968</v>
      </c>
      <c r="BR15" s="11">
        <f t="array" ref="BR15">PRODUCT(1+預測IC!$C15:BR15)-1</f>
        <v>-0.38075211343537307</v>
      </c>
      <c r="BS15" s="11">
        <f t="array" ref="BS15">PRODUCT(1+預測IC!$C15:BS15)-1</f>
        <v>-0.37340417318305119</v>
      </c>
      <c r="BT15" s="11">
        <f t="array" ref="BT15">PRODUCT(1+預測IC!$C15:BT15)-1</f>
        <v>-0.3963580074685058</v>
      </c>
      <c r="BU15" s="11">
        <f t="array" ref="BU15">PRODUCT(1+預測IC!$C15:BU15)-1</f>
        <v>-0.44799746718260125</v>
      </c>
      <c r="BV15" s="11">
        <f t="array" ref="BV15">PRODUCT(1+預測IC!$C15:BV15)-1</f>
        <v>-0.40042583370414453</v>
      </c>
      <c r="BW15" s="11">
        <f t="array" ref="BW15">PRODUCT(1+預測IC!$C15:BW15)-1</f>
        <v>-0.27802546573859388</v>
      </c>
      <c r="BX15" s="11">
        <f t="array" ref="BX15">PRODUCT(1+預測IC!$C15:BX15)-1</f>
        <v>-0.29869985274183386</v>
      </c>
      <c r="BY15" s="11">
        <f t="array" ref="BY15">PRODUCT(1+預測IC!$C15:BY15)-1</f>
        <v>-0.36415843705674911</v>
      </c>
      <c r="BZ15" s="11">
        <f t="array" ref="BZ15">PRODUCT(1+預測IC!$C15:BZ15)-1</f>
        <v>-0.32132802220857914</v>
      </c>
      <c r="CA15" s="11">
        <f t="array" ref="CA15">PRODUCT(1+預測IC!$C15:CA15)-1</f>
        <v>-0.30099304160521267</v>
      </c>
      <c r="CB15" s="11">
        <f t="array" ref="CB15">PRODUCT(1+預測IC!$C15:CB15)-1</f>
        <v>-0.36577987629855235</v>
      </c>
      <c r="CC15" s="11">
        <f t="array" ref="CC15">PRODUCT(1+預測IC!$C15:CC15)-1</f>
        <v>-0.34335477667377579</v>
      </c>
      <c r="CD15" s="11">
        <f t="array" ref="CD15">PRODUCT(1+預測IC!$C15:CD15)-1</f>
        <v>-0.37429226712002506</v>
      </c>
      <c r="CE15" s="11">
        <f t="array" ref="CE15">PRODUCT(1+預測IC!$C15:CE15)-1</f>
        <v>-0.43529298024175445</v>
      </c>
      <c r="CF15" s="11">
        <f t="array" ref="CF15">PRODUCT(1+預測IC!$C15:CF15)-1</f>
        <v>-0.43734083377820576</v>
      </c>
      <c r="CG15" s="11">
        <f t="array" ref="CG15">PRODUCT(1+預測IC!$C15:CG15)-1</f>
        <v>-0.48566539104247475</v>
      </c>
      <c r="CH15" s="11">
        <f t="array" ref="CH15">PRODUCT(1+預測IC!$C15:CH15)-1</f>
        <v>-0.52750270951116518</v>
      </c>
      <c r="CI15" s="11">
        <f t="array" ref="CI15">PRODUCT(1+預測IC!$C15:CI15)-1</f>
        <v>-0.52631629774087485</v>
      </c>
      <c r="CJ15" s="11">
        <f t="array" ref="CJ15">PRODUCT(1+預測IC!$C15:CJ15)-1</f>
        <v>-0.50705076828015572</v>
      </c>
      <c r="CK15" s="11">
        <f t="array" ref="CK15">PRODUCT(1+預測IC!$C15:CK15)-1</f>
        <v>-0.45990473494730943</v>
      </c>
      <c r="CL15" s="11">
        <f t="array" ref="CL15">PRODUCT(1+預測IC!$C15:CL15)-1</f>
        <v>-0.37259591948210191</v>
      </c>
      <c r="CM15" s="11">
        <f t="array" ref="CM15">PRODUCT(1+預測IC!$C15:CM15)-1</f>
        <v>-0.41941978627469889</v>
      </c>
      <c r="CN15" s="11">
        <f t="array" ref="CN15">PRODUCT(1+預測IC!$C15:CN15)-1</f>
        <v>-0.39466726221203319</v>
      </c>
      <c r="CO15" s="11">
        <f t="array" ref="CO15">PRODUCT(1+預測IC!$C15:CO15)-1</f>
        <v>-0.31630752957620434</v>
      </c>
      <c r="CP15" s="11">
        <f t="array" ref="CP15">PRODUCT(1+預測IC!$C15:CP15)-1</f>
        <v>-0.4035028199709203</v>
      </c>
      <c r="CQ15" s="11">
        <f t="array" ref="CQ15">PRODUCT(1+預測IC!$C15:CQ15)-1</f>
        <v>-0.42579869798741632</v>
      </c>
      <c r="CR15" s="11">
        <f t="array" ref="CR15">PRODUCT(1+預測IC!$C15:CR15)-1</f>
        <v>-0.4534964865521528</v>
      </c>
      <c r="CS15" s="11">
        <f t="array" ref="CS15">PRODUCT(1+預測IC!$C15:CS15)-1</f>
        <v>-0.48638789476097188</v>
      </c>
      <c r="CT15" s="11">
        <f t="array" ref="CT15">PRODUCT(1+預測IC!$C15:CT15)-1</f>
        <v>-0.49018583798146309</v>
      </c>
      <c r="CU15" s="11">
        <f t="array" ref="CU15">PRODUCT(1+預測IC!$C15:CU15)-1</f>
        <v>-0.45797646241955903</v>
      </c>
      <c r="CV15" s="11">
        <f t="array" ref="CV15">PRODUCT(1+預測IC!$C15:CV15)-1</f>
        <v>-0.45464743683293707</v>
      </c>
      <c r="CW15" s="11">
        <f t="array" ref="CW15">PRODUCT(1+預測IC!$C15:CW15)-1</f>
        <v>-0.44783889540326416</v>
      </c>
      <c r="CX15" s="11">
        <f t="array" ref="CX15">PRODUCT(1+預測IC!$C15:CX15)-1</f>
        <v>-0.46111263138790282</v>
      </c>
      <c r="CY15" s="11">
        <f t="array" ref="CY15">PRODUCT(1+預測IC!$C15:CY15)-1</f>
        <v>-0.43822572212984279</v>
      </c>
      <c r="CZ15" s="11">
        <f t="array" ref="CZ15">PRODUCT(1+預測IC!$C15:CZ15)-1</f>
        <v>-0.48310415462252654</v>
      </c>
      <c r="DA15" s="11">
        <f t="array" ref="DA15">PRODUCT(1+預測IC!$C15:DA15)-1</f>
        <v>-0.46947059486426057</v>
      </c>
      <c r="DB15" s="11">
        <f t="array" ref="DB15">PRODUCT(1+預測IC!$C15:DB15)-1</f>
        <v>-0.45343448508385642</v>
      </c>
      <c r="DC15" s="11">
        <f t="array" ref="DC15">PRODUCT(1+預測IC!$C15:DC15)-1</f>
        <v>-0.47260535249047486</v>
      </c>
      <c r="DD15" s="11">
        <f t="array" ref="DD15">PRODUCT(1+預測IC!$C15:DD15)-1</f>
        <v>-0.44655538450009358</v>
      </c>
      <c r="DE15" s="11">
        <f t="array" ref="DE15">PRODUCT(1+預測IC!$C15:DE15)-1</f>
        <v>-0.46036311633938076</v>
      </c>
      <c r="DF15" s="11">
        <f t="array" ref="DF15">PRODUCT(1+預測IC!$C15:DF15)-1</f>
        <v>-0.43748720385970885</v>
      </c>
      <c r="DG15" s="11">
        <f t="array" ref="DG15">PRODUCT(1+預測IC!$C15:DG15)-1</f>
        <v>-0.44659807265061957</v>
      </c>
      <c r="DH15" s="11">
        <f t="array" ref="DH15">PRODUCT(1+預測IC!$C15:DH15)-1</f>
        <v>-0.43624446988012888</v>
      </c>
      <c r="DI15" s="11">
        <f t="array" ref="DI15">PRODUCT(1+預測IC!$C15:DI15)-1</f>
        <v>-0.42963812944661939</v>
      </c>
      <c r="DJ15" s="11">
        <f t="array" ref="DJ15">PRODUCT(1+預測IC!$C15:DJ15)-1</f>
        <v>-0.40006266880029329</v>
      </c>
      <c r="DK15" s="11">
        <f t="array" ref="DK15">PRODUCT(1+預測IC!$C15:DK15)-1</f>
        <v>-0.46112119112442407</v>
      </c>
      <c r="DL15" s="11">
        <f t="array" ref="DL15">PRODUCT(1+預測IC!$C15:DL15)-1</f>
        <v>-0.49487413157213467</v>
      </c>
      <c r="DM15" s="11">
        <f t="array" ref="DM15">PRODUCT(1+預測IC!$C15:DM15)-1</f>
        <v>-0.48284781865959792</v>
      </c>
      <c r="DN15" s="11">
        <f t="array" ref="DN15">PRODUCT(1+預測IC!$C15:DN15)-1</f>
        <v>-0.50560070327356021</v>
      </c>
      <c r="DO15" s="11">
        <f t="array" ref="DO15">PRODUCT(1+預測IC!$C15:DO15)-1</f>
        <v>-0.52848977265868724</v>
      </c>
      <c r="DP15" s="11">
        <f t="array" ref="DP15">PRODUCT(1+預測IC!$C15:DP15)-1</f>
        <v>-0.53968135175704002</v>
      </c>
      <c r="DQ15" s="11">
        <f t="array" ref="DQ15">PRODUCT(1+預測IC!$C15:DQ15)-1</f>
        <v>-0.52263175252587302</v>
      </c>
      <c r="DR15" s="11">
        <f t="array" ref="DR15">PRODUCT(1+預測IC!$C15:DR15)-1</f>
        <v>-0.50808508153682697</v>
      </c>
      <c r="DS15" s="11">
        <f t="array" ref="DS15">PRODUCT(1+預測IC!$C15:DS15)-1</f>
        <v>-0.47058054937696114</v>
      </c>
      <c r="DT15" s="11">
        <f t="array" ref="DT15">PRODUCT(1+預測IC!$C15:DT15)-1</f>
        <v>-0.43237571911776795</v>
      </c>
      <c r="DU15" s="11">
        <f t="array" ref="DU15">PRODUCT(1+預測IC!$C15:DU15)-1</f>
        <v>-0.40639514201111471</v>
      </c>
      <c r="DV15" s="11">
        <f t="array" ref="DV15">PRODUCT(1+預測IC!$C15:DV15)-1</f>
        <v>-0.48936231768434046</v>
      </c>
      <c r="DW15" s="11">
        <f t="array" ref="DW15">PRODUCT(1+預測IC!$C15:DW15)-1</f>
        <v>-0.50240330306012282</v>
      </c>
      <c r="DX15" s="11">
        <f t="array" ref="DX15">PRODUCT(1+預測IC!$C15:DX15)-1</f>
        <v>-0.44338024853329705</v>
      </c>
      <c r="DY15" s="11">
        <f t="array" ref="DY15">PRODUCT(1+預測IC!$C15:DY15)-1</f>
        <v>-0.50268205296822066</v>
      </c>
      <c r="DZ15" s="11">
        <f t="array" ref="DZ15">PRODUCT(1+預測IC!$C15:DZ15)-1</f>
        <v>-0.49327267603029423</v>
      </c>
      <c r="EA15" s="11">
        <f t="array" ref="EA15">PRODUCT(1+預測IC!$C15:EA15)-1</f>
        <v>-0.47125475545442685</v>
      </c>
      <c r="EB15" s="11">
        <f t="array" ref="EB15">PRODUCT(1+預測IC!$C15:EB15)-1</f>
        <v>-0.42467893541274271</v>
      </c>
      <c r="EC15" s="11">
        <f t="array" ref="EC15">PRODUCT(1+預測IC!$C15:EC15)-1</f>
        <v>-0.46849370591122752</v>
      </c>
      <c r="ED15" s="11">
        <f t="array" ref="ED15">PRODUCT(1+預測IC!$C15:ED15)-1</f>
        <v>-0.5273102107457972</v>
      </c>
      <c r="EE15" s="11">
        <f t="array" ref="EE15">PRODUCT(1+預測IC!$C15:EE15)-1</f>
        <v>-0.50398572072896175</v>
      </c>
      <c r="EF15" s="11">
        <f t="array" ref="EF15">PRODUCT(1+預測IC!$C15:EF15)-1</f>
        <v>-0.53657435049608737</v>
      </c>
    </row>
    <row r="16" spans="1:136">
      <c r="A16" s="2">
        <v>9</v>
      </c>
      <c r="B16" s="2" t="s">
        <v>193</v>
      </c>
      <c r="C16" s="11">
        <f t="array" ref="C16">PRODUCT(1+預測IC!$C16:C16)-1</f>
        <v>0.20787511111111101</v>
      </c>
      <c r="D16" s="11">
        <f t="array" ref="D16">PRODUCT(1+預測IC!$C16:D16)-1</f>
        <v>0.70092422892449369</v>
      </c>
      <c r="E16" s="11">
        <f t="array" ref="E16">PRODUCT(1+預測IC!$C16:E16)-1</f>
        <v>0.81149261943414963</v>
      </c>
      <c r="F16" s="11">
        <f t="array" ref="F16">PRODUCT(1+預測IC!$C16:F16)-1</f>
        <v>1.0365898999867835</v>
      </c>
      <c r="G16" s="11">
        <f t="array" ref="G16">PRODUCT(1+預測IC!$C16:G16)-1</f>
        <v>1.2586058061928762</v>
      </c>
      <c r="H16" s="11">
        <f t="array" ref="H16">PRODUCT(1+預測IC!$C16:H16)-1</f>
        <v>1.4231424786558198</v>
      </c>
      <c r="I16" s="11">
        <f t="array" ref="I16">PRODUCT(1+預測IC!$C16:I16)-1</f>
        <v>1.6940304226297109</v>
      </c>
      <c r="J16" s="11">
        <f t="array" ref="J16">PRODUCT(1+預測IC!$C16:J16)-1</f>
        <v>1.5089681934611536</v>
      </c>
      <c r="K16" s="11">
        <f t="array" ref="K16">PRODUCT(1+預測IC!$C16:K16)-1</f>
        <v>1.5539400544577262</v>
      </c>
      <c r="L16" s="11">
        <f t="array" ref="L16">PRODUCT(1+預測IC!$C16:L16)-1</f>
        <v>1.6331800174429176</v>
      </c>
      <c r="M16" s="11">
        <f t="array" ref="M16">PRODUCT(1+預測IC!$C16:M16)-1</f>
        <v>1.5963485808360529</v>
      </c>
      <c r="N16" s="11">
        <f t="array" ref="N16">PRODUCT(1+預測IC!$C16:N16)-1</f>
        <v>1.2841571410726789</v>
      </c>
      <c r="O16" s="11">
        <f t="array" ref="O16">PRODUCT(1+預測IC!$C16:O16)-1</f>
        <v>1.2188597652771649</v>
      </c>
      <c r="P16" s="11">
        <f t="array" ref="P16">PRODUCT(1+預測IC!$C16:P16)-1</f>
        <v>1.3563842004490958</v>
      </c>
      <c r="Q16" s="11">
        <f t="array" ref="Q16">PRODUCT(1+預測IC!$C16:Q16)-1</f>
        <v>1.5840577800760207</v>
      </c>
      <c r="R16" s="11">
        <f t="array" ref="R16">PRODUCT(1+預測IC!$C16:R16)-1</f>
        <v>1.6336263248835632</v>
      </c>
      <c r="S16" s="11">
        <f t="array" ref="S16">PRODUCT(1+預測IC!$C16:S16)-1</f>
        <v>1.5219207716884799</v>
      </c>
      <c r="T16" s="11">
        <f t="array" ref="T16">PRODUCT(1+預測IC!$C16:T16)-1</f>
        <v>1.4633429970707952</v>
      </c>
      <c r="U16" s="11">
        <f t="array" ref="U16">PRODUCT(1+預測IC!$C16:U16)-1</f>
        <v>1.6886697474602821</v>
      </c>
      <c r="V16" s="11">
        <f t="array" ref="V16">PRODUCT(1+預測IC!$C16:V16)-1</f>
        <v>1.485482978988649</v>
      </c>
      <c r="W16" s="11">
        <f t="array" ref="W16">PRODUCT(1+預測IC!$C16:W16)-1</f>
        <v>1.2328799707075957</v>
      </c>
      <c r="X16" s="11">
        <f t="array" ref="X16">PRODUCT(1+預測IC!$C16:X16)-1</f>
        <v>1.3973948454827134</v>
      </c>
      <c r="Y16" s="11">
        <f t="array" ref="Y16">PRODUCT(1+預測IC!$C16:Y16)-1</f>
        <v>1.3490140068266712</v>
      </c>
      <c r="Z16" s="11">
        <f t="array" ref="Z16">PRODUCT(1+預測IC!$C16:Z16)-1</f>
        <v>1.2478703240746829</v>
      </c>
      <c r="AA16" s="11">
        <f t="array" ref="AA16">PRODUCT(1+預測IC!$C16:AA16)-1</f>
        <v>1.3607756054221984</v>
      </c>
      <c r="AB16" s="11">
        <f t="array" ref="AB16">PRODUCT(1+預測IC!$C16:AB16)-1</f>
        <v>1.1837527483516865</v>
      </c>
      <c r="AC16" s="11">
        <f t="array" ref="AC16">PRODUCT(1+預測IC!$C16:AC16)-1</f>
        <v>1.0806223252500393</v>
      </c>
      <c r="AD16" s="11">
        <f t="array" ref="AD16">PRODUCT(1+預測IC!$C16:AD16)-1</f>
        <v>1.1530508690143182</v>
      </c>
      <c r="AE16" s="11">
        <f t="array" ref="AE16">PRODUCT(1+預測IC!$C16:AE16)-1</f>
        <v>1.3608253601262437</v>
      </c>
      <c r="AF16" s="11">
        <f t="array" ref="AF16">PRODUCT(1+預測IC!$C16:AF16)-1</f>
        <v>1.2104742078786201</v>
      </c>
      <c r="AG16" s="11">
        <f t="array" ref="AG16">PRODUCT(1+預測IC!$C16:AG16)-1</f>
        <v>1.1810953410880742</v>
      </c>
      <c r="AH16" s="11">
        <f t="array" ref="AH16">PRODUCT(1+預測IC!$C16:AH16)-1</f>
        <v>1.2503787080161461</v>
      </c>
      <c r="AI16" s="11">
        <f t="array" ref="AI16">PRODUCT(1+預測IC!$C16:AI16)-1</f>
        <v>1.1399345246205002</v>
      </c>
      <c r="AJ16" s="11">
        <f t="array" ref="AJ16">PRODUCT(1+預測IC!$C16:AJ16)-1</f>
        <v>1.1549696319865199</v>
      </c>
      <c r="AK16" s="11">
        <f t="array" ref="AK16">PRODUCT(1+預測IC!$C16:AK16)-1</f>
        <v>1.0161434695427269</v>
      </c>
      <c r="AL16" s="11">
        <f t="array" ref="AL16">PRODUCT(1+預測IC!$C16:AL16)-1</f>
        <v>0.91797959502503956</v>
      </c>
      <c r="AM16" s="11">
        <f t="array" ref="AM16">PRODUCT(1+預測IC!$C16:AM16)-1</f>
        <v>0.79124577402482443</v>
      </c>
      <c r="AN16" s="11">
        <f t="array" ref="AN16">PRODUCT(1+預測IC!$C16:AN16)-1</f>
        <v>0.60055655549545195</v>
      </c>
      <c r="AO16" s="11">
        <f t="array" ref="AO16">PRODUCT(1+預測IC!$C16:AO16)-1</f>
        <v>0.5022428943353312</v>
      </c>
      <c r="AP16" s="11">
        <f t="array" ref="AP16">PRODUCT(1+預測IC!$C16:AP16)-1</f>
        <v>0.61911494007292567</v>
      </c>
      <c r="AQ16" s="11">
        <f t="array" ref="AQ16">PRODUCT(1+預測IC!$C16:AQ16)-1</f>
        <v>0.68139613941726096</v>
      </c>
      <c r="AR16" s="11">
        <f t="array" ref="AR16">PRODUCT(1+預測IC!$C16:AR16)-1</f>
        <v>0.50772274970909193</v>
      </c>
      <c r="AS16" s="11">
        <f t="array" ref="AS16">PRODUCT(1+預測IC!$C16:AS16)-1</f>
        <v>0.40961790587878766</v>
      </c>
      <c r="AT16" s="11">
        <f t="array" ref="AT16">PRODUCT(1+預測IC!$C16:AT16)-1</f>
        <v>0.33977534855665592</v>
      </c>
      <c r="AU16" s="11">
        <f t="array" ref="AU16">PRODUCT(1+預測IC!$C16:AU16)-1</f>
        <v>0.28373678175468098</v>
      </c>
      <c r="AV16" s="11">
        <f t="array" ref="AV16">PRODUCT(1+預測IC!$C16:AV16)-1</f>
        <v>0.29538349241090978</v>
      </c>
      <c r="AW16" s="11">
        <f t="array" ref="AW16">PRODUCT(1+預測IC!$C16:AW16)-1</f>
        <v>0.2445358947634475</v>
      </c>
      <c r="AX16" s="11">
        <f t="array" ref="AX16">PRODUCT(1+預測IC!$C16:AX16)-1</f>
        <v>0.11904962270046426</v>
      </c>
      <c r="AY16" s="11">
        <f t="array" ref="AY16">PRODUCT(1+預測IC!$C16:AY16)-1</f>
        <v>8.1211656792623321E-2</v>
      </c>
      <c r="AZ16" s="11">
        <f t="array" ref="AZ16">PRODUCT(1+預測IC!$C16:AZ16)-1</f>
        <v>0.19464117725770835</v>
      </c>
      <c r="BA16" s="11">
        <f t="array" ref="BA16">PRODUCT(1+預測IC!$C16:BA16)-1</f>
        <v>0.38577314658625506</v>
      </c>
      <c r="BB16" s="11">
        <f t="array" ref="BB16">PRODUCT(1+預測IC!$C16:BB16)-1</f>
        <v>0.23605570670932141</v>
      </c>
      <c r="BC16" s="11">
        <f t="array" ref="BC16">PRODUCT(1+預測IC!$C16:BC16)-1</f>
        <v>0.15308983548421251</v>
      </c>
      <c r="BD16" s="11">
        <f t="array" ref="BD16">PRODUCT(1+預測IC!$C16:BD16)-1</f>
        <v>0.11165157867990239</v>
      </c>
      <c r="BE16" s="11">
        <f t="array" ref="BE16">PRODUCT(1+預測IC!$C16:BE16)-1</f>
        <v>5.4500465599780723E-2</v>
      </c>
      <c r="BF16" s="11">
        <f t="array" ref="BF16">PRODUCT(1+預測IC!$C16:BF16)-1</f>
        <v>-1.327022760355423E-2</v>
      </c>
      <c r="BG16" s="11">
        <f t="array" ref="BG16">PRODUCT(1+預測IC!$C16:BG16)-1</f>
        <v>-0.17236024410309747</v>
      </c>
      <c r="BH16" s="11">
        <f t="array" ref="BH16">PRODUCT(1+預測IC!$C16:BH16)-1</f>
        <v>-0.25194776686962761</v>
      </c>
      <c r="BI16" s="11">
        <f t="array" ref="BI16">PRODUCT(1+預測IC!$C16:BI16)-1</f>
        <v>-0.21530073252786452</v>
      </c>
      <c r="BJ16" s="11">
        <f t="array" ref="BJ16">PRODUCT(1+預測IC!$C16:BJ16)-1</f>
        <v>-0.29107663251647986</v>
      </c>
      <c r="BK16" s="11">
        <f t="array" ref="BK16">PRODUCT(1+預測IC!$C16:BK16)-1</f>
        <v>-0.25465808746440088</v>
      </c>
      <c r="BL16" s="11">
        <f t="array" ref="BL16">PRODUCT(1+預測IC!$C16:BL16)-1</f>
        <v>-0.26092980839531577</v>
      </c>
      <c r="BM16" s="11">
        <f t="array" ref="BM16">PRODUCT(1+預測IC!$C16:BM16)-1</f>
        <v>-0.32118167434293732</v>
      </c>
      <c r="BN16" s="11">
        <f t="array" ref="BN16">PRODUCT(1+預測IC!$C16:BN16)-1</f>
        <v>-0.35370103142041065</v>
      </c>
      <c r="BO16" s="11">
        <f t="array" ref="BO16">PRODUCT(1+預測IC!$C16:BO16)-1</f>
        <v>-0.36784874848029558</v>
      </c>
      <c r="BP16" s="11">
        <f t="array" ref="BP16">PRODUCT(1+預測IC!$C16:BP16)-1</f>
        <v>-0.38102479304555359</v>
      </c>
      <c r="BQ16" s="11">
        <f t="array" ref="BQ16">PRODUCT(1+預測IC!$C16:BQ16)-1</f>
        <v>-0.39122427656714676</v>
      </c>
      <c r="BR16" s="11">
        <f t="array" ref="BR16">PRODUCT(1+預測IC!$C16:BR16)-1</f>
        <v>-0.37521539388888814</v>
      </c>
      <c r="BS16" s="11">
        <f t="array" ref="BS16">PRODUCT(1+預測IC!$C16:BS16)-1</f>
        <v>-0.35521792100277916</v>
      </c>
      <c r="BT16" s="11">
        <f t="array" ref="BT16">PRODUCT(1+預測IC!$C16:BT16)-1</f>
        <v>-0.37976176576716802</v>
      </c>
      <c r="BU16" s="11">
        <f t="array" ref="BU16">PRODUCT(1+預測IC!$C16:BU16)-1</f>
        <v>-0.44273903318718577</v>
      </c>
      <c r="BV16" s="11">
        <f t="array" ref="BV16">PRODUCT(1+預測IC!$C16:BV16)-1</f>
        <v>-0.39007205154216584</v>
      </c>
      <c r="BW16" s="11">
        <f t="array" ref="BW16">PRODUCT(1+預測IC!$C16:BW16)-1</f>
        <v>-0.25348173712477617</v>
      </c>
      <c r="BX16" s="11">
        <f t="array" ref="BX16">PRODUCT(1+預測IC!$C16:BX16)-1</f>
        <v>-0.27704128429671748</v>
      </c>
      <c r="BY16" s="11">
        <f t="array" ref="BY16">PRODUCT(1+預測IC!$C16:BY16)-1</f>
        <v>-0.36307007798681445</v>
      </c>
      <c r="BZ16" s="11">
        <f t="array" ref="BZ16">PRODUCT(1+預測IC!$C16:BZ16)-1</f>
        <v>-0.30407154239069834</v>
      </c>
      <c r="CA16" s="11">
        <f t="array" ref="CA16">PRODUCT(1+預測IC!$C16:CA16)-1</f>
        <v>-0.2849815288700176</v>
      </c>
      <c r="CB16" s="11">
        <f t="array" ref="CB16">PRODUCT(1+預測IC!$C16:CB16)-1</f>
        <v>-0.36782753656487954</v>
      </c>
      <c r="CC16" s="11">
        <f t="array" ref="CC16">PRODUCT(1+預測IC!$C16:CC16)-1</f>
        <v>-0.35475221191278683</v>
      </c>
      <c r="CD16" s="11">
        <f t="array" ref="CD16">PRODUCT(1+預測IC!$C16:CD16)-1</f>
        <v>-0.39410492333151081</v>
      </c>
      <c r="CE16" s="11">
        <f t="array" ref="CE16">PRODUCT(1+預測IC!$C16:CE16)-1</f>
        <v>-0.46760630556037763</v>
      </c>
      <c r="CF16" s="11">
        <f t="array" ref="CF16">PRODUCT(1+預測IC!$C16:CF16)-1</f>
        <v>-0.47543036329386235</v>
      </c>
      <c r="CG16" s="11">
        <f t="array" ref="CG16">PRODUCT(1+預測IC!$C16:CG16)-1</f>
        <v>-0.5078109339079</v>
      </c>
      <c r="CH16" s="11">
        <f t="array" ref="CH16">PRODUCT(1+預測IC!$C16:CH16)-1</f>
        <v>-0.53264124460549722</v>
      </c>
      <c r="CI16" s="11">
        <f t="array" ref="CI16">PRODUCT(1+預測IC!$C16:CI16)-1</f>
        <v>-0.53065933123456133</v>
      </c>
      <c r="CJ16" s="11">
        <f t="array" ref="CJ16">PRODUCT(1+預測IC!$C16:CJ16)-1</f>
        <v>-0.5167183244223208</v>
      </c>
      <c r="CK16" s="11">
        <f t="array" ref="CK16">PRODUCT(1+預測IC!$C16:CK16)-1</f>
        <v>-0.47398525874558006</v>
      </c>
      <c r="CL16" s="11">
        <f t="array" ref="CL16">PRODUCT(1+預測IC!$C16:CL16)-1</f>
        <v>-0.37049688807298009</v>
      </c>
      <c r="CM16" s="11">
        <f t="array" ref="CM16">PRODUCT(1+預測IC!$C16:CM16)-1</f>
        <v>-0.4265155064192141</v>
      </c>
      <c r="CN16" s="11">
        <f t="array" ref="CN16">PRODUCT(1+預測IC!$C16:CN16)-1</f>
        <v>-0.40755753408956719</v>
      </c>
      <c r="CO16" s="11">
        <f t="array" ref="CO16">PRODUCT(1+預測IC!$C16:CO16)-1</f>
        <v>-0.29946524823181253</v>
      </c>
      <c r="CP16" s="11">
        <f t="array" ref="CP16">PRODUCT(1+預測IC!$C16:CP16)-1</f>
        <v>-0.3951804949068175</v>
      </c>
      <c r="CQ16" s="11">
        <f t="array" ref="CQ16">PRODUCT(1+預測IC!$C16:CQ16)-1</f>
        <v>-0.42024155741497837</v>
      </c>
      <c r="CR16" s="11">
        <f t="array" ref="CR16">PRODUCT(1+預測IC!$C16:CR16)-1</f>
        <v>-0.44824375492451796</v>
      </c>
      <c r="CS16" s="11">
        <f t="array" ref="CS16">PRODUCT(1+預測IC!$C16:CS16)-1</f>
        <v>-0.48496818705201561</v>
      </c>
      <c r="CT16" s="11">
        <f t="array" ref="CT16">PRODUCT(1+預測IC!$C16:CT16)-1</f>
        <v>-0.48757806260908809</v>
      </c>
      <c r="CU16" s="11">
        <f t="array" ref="CU16">PRODUCT(1+預測IC!$C16:CU16)-1</f>
        <v>-0.45507275412473935</v>
      </c>
      <c r="CV16" s="11">
        <f t="array" ref="CV16">PRODUCT(1+預測IC!$C16:CV16)-1</f>
        <v>-0.44594463201120726</v>
      </c>
      <c r="CW16" s="11">
        <f t="array" ref="CW16">PRODUCT(1+預測IC!$C16:CW16)-1</f>
        <v>-0.44085055856801292</v>
      </c>
      <c r="CX16" s="11">
        <f t="array" ref="CX16">PRODUCT(1+預測IC!$C16:CX16)-1</f>
        <v>-0.4476947069513203</v>
      </c>
      <c r="CY16" s="11">
        <f t="array" ref="CY16">PRODUCT(1+預測IC!$C16:CY16)-1</f>
        <v>-0.42056710074527603</v>
      </c>
      <c r="CZ16" s="11">
        <f t="array" ref="CZ16">PRODUCT(1+預測IC!$C16:CZ16)-1</f>
        <v>-0.4800361876708229</v>
      </c>
      <c r="DA16" s="11">
        <f t="array" ref="DA16">PRODUCT(1+預測IC!$C16:DA16)-1</f>
        <v>-0.46453877337393346</v>
      </c>
      <c r="DB16" s="11">
        <f t="array" ref="DB16">PRODUCT(1+預測IC!$C16:DB16)-1</f>
        <v>-0.44166806255155289</v>
      </c>
      <c r="DC16" s="11">
        <f t="array" ref="DC16">PRODUCT(1+預測IC!$C16:DC16)-1</f>
        <v>-0.46564415490457101</v>
      </c>
      <c r="DD16" s="11">
        <f t="array" ref="DD16">PRODUCT(1+預測IC!$C16:DD16)-1</f>
        <v>-0.42820134118536979</v>
      </c>
      <c r="DE16" s="11">
        <f t="array" ref="DE16">PRODUCT(1+預測IC!$C16:DE16)-1</f>
        <v>-0.44789658709379609</v>
      </c>
      <c r="DF16" s="11">
        <f t="array" ref="DF16">PRODUCT(1+預測IC!$C16:DF16)-1</f>
        <v>-0.4351173623133594</v>
      </c>
      <c r="DG16" s="11">
        <f t="array" ref="DG16">PRODUCT(1+預測IC!$C16:DG16)-1</f>
        <v>-0.44328158149375341</v>
      </c>
      <c r="DH16" s="11">
        <f t="array" ref="DH16">PRODUCT(1+預測IC!$C16:DH16)-1</f>
        <v>-0.43263192367903769</v>
      </c>
      <c r="DI16" s="11">
        <f t="array" ref="DI16">PRODUCT(1+預測IC!$C16:DI16)-1</f>
        <v>-0.42512370038938763</v>
      </c>
      <c r="DJ16" s="11">
        <f t="array" ref="DJ16">PRODUCT(1+預測IC!$C16:DJ16)-1</f>
        <v>-0.40837099669630506</v>
      </c>
      <c r="DK16" s="11">
        <f t="array" ref="DK16">PRODUCT(1+預測IC!$C16:DK16)-1</f>
        <v>-0.48740929275369571</v>
      </c>
      <c r="DL16" s="11">
        <f t="array" ref="DL16">PRODUCT(1+預測IC!$C16:DL16)-1</f>
        <v>-0.52078562999383204</v>
      </c>
      <c r="DM16" s="11">
        <f t="array" ref="DM16">PRODUCT(1+預測IC!$C16:DM16)-1</f>
        <v>-0.50625060301369984</v>
      </c>
      <c r="DN16" s="11">
        <f t="array" ref="DN16">PRODUCT(1+預測IC!$C16:DN16)-1</f>
        <v>-0.52720426751930005</v>
      </c>
      <c r="DO16" s="11">
        <f t="array" ref="DO16">PRODUCT(1+預測IC!$C16:DO16)-1</f>
        <v>-0.5523673582863271</v>
      </c>
      <c r="DP16" s="11">
        <f t="array" ref="DP16">PRODUCT(1+預測IC!$C16:DP16)-1</f>
        <v>-0.5612492621455929</v>
      </c>
      <c r="DQ16" s="11">
        <f t="array" ref="DQ16">PRODUCT(1+預測IC!$C16:DQ16)-1</f>
        <v>-0.54059719646768256</v>
      </c>
      <c r="DR16" s="11">
        <f t="array" ref="DR16">PRODUCT(1+預測IC!$C16:DR16)-1</f>
        <v>-0.50921751268172977</v>
      </c>
      <c r="DS16" s="11">
        <f t="array" ref="DS16">PRODUCT(1+預測IC!$C16:DS16)-1</f>
        <v>-0.46320564103483397</v>
      </c>
      <c r="DT16" s="11">
        <f t="array" ref="DT16">PRODUCT(1+預測IC!$C16:DT16)-1</f>
        <v>-0.40923948833517787</v>
      </c>
      <c r="DU16" s="11">
        <f t="array" ref="DU16">PRODUCT(1+預測IC!$C16:DU16)-1</f>
        <v>-0.37115095238454365</v>
      </c>
      <c r="DV16" s="11">
        <f t="array" ref="DV16">PRODUCT(1+預測IC!$C16:DV16)-1</f>
        <v>-0.45727417633131551</v>
      </c>
      <c r="DW16" s="11">
        <f t="array" ref="DW16">PRODUCT(1+預測IC!$C16:DW16)-1</f>
        <v>-0.47948128488523278</v>
      </c>
      <c r="DX16" s="11">
        <f t="array" ref="DX16">PRODUCT(1+預測IC!$C16:DX16)-1</f>
        <v>-0.41426825052594507</v>
      </c>
      <c r="DY16" s="11">
        <f t="array" ref="DY16">PRODUCT(1+預測IC!$C16:DY16)-1</f>
        <v>-0.48242067867187044</v>
      </c>
      <c r="DZ16" s="11">
        <f t="array" ref="DZ16">PRODUCT(1+預測IC!$C16:DZ16)-1</f>
        <v>-0.46623230892308865</v>
      </c>
      <c r="EA16" s="11">
        <f t="array" ref="EA16">PRODUCT(1+預測IC!$C16:EA16)-1</f>
        <v>-0.46600785147424106</v>
      </c>
      <c r="EB16" s="11">
        <f t="array" ref="EB16">PRODUCT(1+預測IC!$C16:EB16)-1</f>
        <v>-0.41224600219198093</v>
      </c>
      <c r="EC16" s="11">
        <f t="array" ref="EC16">PRODUCT(1+預測IC!$C16:EC16)-1</f>
        <v>-0.45250802125149658</v>
      </c>
      <c r="ED16" s="11">
        <f t="array" ref="ED16">PRODUCT(1+預測IC!$C16:ED16)-1</f>
        <v>-0.51530492835354713</v>
      </c>
      <c r="EE16" s="11">
        <f t="array" ref="EE16">PRODUCT(1+預測IC!$C16:EE16)-1</f>
        <v>-0.48659110923535454</v>
      </c>
      <c r="EF16" s="11">
        <f t="array" ref="EF16">PRODUCT(1+預測IC!$C16:EF16)-1</f>
        <v>-0.50839784459223369</v>
      </c>
    </row>
    <row r="17" spans="1:136">
      <c r="A17" s="2">
        <v>8</v>
      </c>
      <c r="B17" s="2" t="s">
        <v>194</v>
      </c>
      <c r="C17" s="11">
        <f t="array" ref="C17">PRODUCT(1+預測IC!$C17:C17)-1</f>
        <v>0.20609237499999988</v>
      </c>
      <c r="D17" s="11">
        <f t="array" ref="D17">PRODUCT(1+預測IC!$C17:D17)-1</f>
        <v>0.73627656222614046</v>
      </c>
      <c r="E17" s="11">
        <f t="array" ref="E17">PRODUCT(1+預測IC!$C17:E17)-1</f>
        <v>0.87446334126059444</v>
      </c>
      <c r="F17" s="11">
        <f t="array" ref="F17">PRODUCT(1+預測IC!$C17:F17)-1</f>
        <v>1.1495820747840941</v>
      </c>
      <c r="G17" s="11">
        <f t="array" ref="G17">PRODUCT(1+預測IC!$C17:G17)-1</f>
        <v>1.4013682658565014</v>
      </c>
      <c r="H17" s="11">
        <f t="array" ref="H17">PRODUCT(1+預測IC!$C17:H17)-1</f>
        <v>1.653499326588038</v>
      </c>
      <c r="I17" s="11">
        <f t="array" ref="I17">PRODUCT(1+預測IC!$C17:I17)-1</f>
        <v>1.8325820060149698</v>
      </c>
      <c r="J17" s="11">
        <f t="array" ref="J17">PRODUCT(1+預測IC!$C17:J17)-1</f>
        <v>1.5059899036672038</v>
      </c>
      <c r="K17" s="11">
        <f t="array" ref="K17">PRODUCT(1+預測IC!$C17:K17)-1</f>
        <v>1.604835542929977</v>
      </c>
      <c r="L17" s="11">
        <f t="array" ref="L17">PRODUCT(1+預測IC!$C17:L17)-1</f>
        <v>1.6928135377879943</v>
      </c>
      <c r="M17" s="11">
        <f t="array" ref="M17">PRODUCT(1+預測IC!$C17:M17)-1</f>
        <v>1.7322878740610808</v>
      </c>
      <c r="N17" s="11">
        <f t="array" ref="N17">PRODUCT(1+預測IC!$C17:N17)-1</f>
        <v>1.4337093929102558</v>
      </c>
      <c r="O17" s="11">
        <f t="array" ref="O17">PRODUCT(1+預測IC!$C17:O17)-1</f>
        <v>1.4061922291703834</v>
      </c>
      <c r="P17" s="11">
        <f t="array" ref="P17">PRODUCT(1+預測IC!$C17:P17)-1</f>
        <v>1.591266008347167</v>
      </c>
      <c r="Q17" s="11">
        <f t="array" ref="Q17">PRODUCT(1+預測IC!$C17:Q17)-1</f>
        <v>1.8670606038723259</v>
      </c>
      <c r="R17" s="11">
        <f t="array" ref="R17">PRODUCT(1+預測IC!$C17:R17)-1</f>
        <v>1.872723048564974</v>
      </c>
      <c r="S17" s="11">
        <f t="array" ref="S17">PRODUCT(1+預測IC!$C17:S17)-1</f>
        <v>1.7143447996322521</v>
      </c>
      <c r="T17" s="11">
        <f t="array" ref="T17">PRODUCT(1+預測IC!$C17:T17)-1</f>
        <v>1.6505349642031972</v>
      </c>
      <c r="U17" s="11">
        <f t="array" ref="U17">PRODUCT(1+預測IC!$C17:U17)-1</f>
        <v>1.8159439886314019</v>
      </c>
      <c r="V17" s="11">
        <f t="array" ref="V17">PRODUCT(1+預測IC!$C17:V17)-1</f>
        <v>1.5420662453969052</v>
      </c>
      <c r="W17" s="11">
        <f t="array" ref="W17">PRODUCT(1+預測IC!$C17:W17)-1</f>
        <v>1.2149855612063782</v>
      </c>
      <c r="X17" s="11">
        <f t="array" ref="X17">PRODUCT(1+預測IC!$C17:X17)-1</f>
        <v>1.4368969352609859</v>
      </c>
      <c r="Y17" s="11">
        <f t="array" ref="Y17">PRODUCT(1+預測IC!$C17:Y17)-1</f>
        <v>1.3810237353707722</v>
      </c>
      <c r="Z17" s="11">
        <f t="array" ref="Z17">PRODUCT(1+預測IC!$C17:Z17)-1</f>
        <v>1.2527615837806545</v>
      </c>
      <c r="AA17" s="11">
        <f t="array" ref="AA17">PRODUCT(1+預測IC!$C17:AA17)-1</f>
        <v>1.3930097905357011</v>
      </c>
      <c r="AB17" s="11">
        <f t="array" ref="AB17">PRODUCT(1+預測IC!$C17:AB17)-1</f>
        <v>1.1899579733210834</v>
      </c>
      <c r="AC17" s="11">
        <f t="array" ref="AC17">PRODUCT(1+預測IC!$C17:AC17)-1</f>
        <v>1.0613446097567123</v>
      </c>
      <c r="AD17" s="11">
        <f t="array" ref="AD17">PRODUCT(1+預測IC!$C17:AD17)-1</f>
        <v>1.2027938192101417</v>
      </c>
      <c r="AE17" s="11">
        <f t="array" ref="AE17">PRODUCT(1+預測IC!$C17:AE17)-1</f>
        <v>1.4828976062374011</v>
      </c>
      <c r="AF17" s="11">
        <f t="array" ref="AF17">PRODUCT(1+預測IC!$C17:AF17)-1</f>
        <v>1.3303749191828209</v>
      </c>
      <c r="AG17" s="11">
        <f t="array" ref="AG17">PRODUCT(1+預測IC!$C17:AG17)-1</f>
        <v>1.2773799079173362</v>
      </c>
      <c r="AH17" s="11">
        <f t="array" ref="AH17">PRODUCT(1+預測IC!$C17:AH17)-1</f>
        <v>1.3581645381028769</v>
      </c>
      <c r="AI17" s="11">
        <f t="array" ref="AI17">PRODUCT(1+預測IC!$C17:AI17)-1</f>
        <v>1.2860336882826364</v>
      </c>
      <c r="AJ17" s="11">
        <f t="array" ref="AJ17">PRODUCT(1+預測IC!$C17:AJ17)-1</f>
        <v>1.3834247368584296</v>
      </c>
      <c r="AK17" s="11">
        <f t="array" ref="AK17">PRODUCT(1+預測IC!$C17:AK17)-1</f>
        <v>1.207727544136358</v>
      </c>
      <c r="AL17" s="11">
        <f t="array" ref="AL17">PRODUCT(1+預測IC!$C17:AL17)-1</f>
        <v>1.0957418764053211</v>
      </c>
      <c r="AM17" s="11">
        <f t="array" ref="AM17">PRODUCT(1+預測IC!$C17:AM17)-1</f>
        <v>0.93778713655368229</v>
      </c>
      <c r="AN17" s="11">
        <f t="array" ref="AN17">PRODUCT(1+預測IC!$C17:AN17)-1</f>
        <v>0.71826081201015413</v>
      </c>
      <c r="AO17" s="11">
        <f t="array" ref="AO17">PRODUCT(1+預測IC!$C17:AO17)-1</f>
        <v>0.69655516651012106</v>
      </c>
      <c r="AP17" s="11">
        <f t="array" ref="AP17">PRODUCT(1+預測IC!$C17:AP17)-1</f>
        <v>0.82760186238945144</v>
      </c>
      <c r="AQ17" s="11">
        <f t="array" ref="AQ17">PRODUCT(1+預測IC!$C17:AQ17)-1</f>
        <v>0.93822137142953332</v>
      </c>
      <c r="AR17" s="11">
        <f t="array" ref="AR17">PRODUCT(1+預測IC!$C17:AR17)-1</f>
        <v>0.71739843464926034</v>
      </c>
      <c r="AS17" s="11">
        <f t="array" ref="AS17">PRODUCT(1+預測IC!$C17:AS17)-1</f>
        <v>0.6206684373773812</v>
      </c>
      <c r="AT17" s="11">
        <f t="array" ref="AT17">PRODUCT(1+預測IC!$C17:AT17)-1</f>
        <v>0.53595965317336658</v>
      </c>
      <c r="AU17" s="11">
        <f t="array" ref="AU17">PRODUCT(1+預測IC!$C17:AU17)-1</f>
        <v>0.45216459512260854</v>
      </c>
      <c r="AV17" s="11">
        <f t="array" ref="AV17">PRODUCT(1+預測IC!$C17:AV17)-1</f>
        <v>0.48295905635063074</v>
      </c>
      <c r="AW17" s="11">
        <f t="array" ref="AW17">PRODUCT(1+預測IC!$C17:AW17)-1</f>
        <v>0.47046974120741791</v>
      </c>
      <c r="AX17" s="11">
        <f t="array" ref="AX17">PRODUCT(1+預測IC!$C17:AX17)-1</f>
        <v>0.32895091204332694</v>
      </c>
      <c r="AY17" s="11">
        <f t="array" ref="AY17">PRODUCT(1+預測IC!$C17:AY17)-1</f>
        <v>0.29250616531475337</v>
      </c>
      <c r="AZ17" s="11">
        <f t="array" ref="AZ17">PRODUCT(1+預測IC!$C17:AZ17)-1</f>
        <v>0.45427313787206192</v>
      </c>
      <c r="BA17" s="11">
        <f t="array" ref="BA17">PRODUCT(1+預測IC!$C17:BA17)-1</f>
        <v>0.69103825749302983</v>
      </c>
      <c r="BB17" s="11">
        <f t="array" ref="BB17">PRODUCT(1+預測IC!$C17:BB17)-1</f>
        <v>0.48174849186473701</v>
      </c>
      <c r="BC17" s="11">
        <f t="array" ref="BC17">PRODUCT(1+預測IC!$C17:BC17)-1</f>
        <v>0.35748432888705373</v>
      </c>
      <c r="BD17" s="11">
        <f t="array" ref="BD17">PRODUCT(1+預測IC!$C17:BD17)-1</f>
        <v>0.32713575458878918</v>
      </c>
      <c r="BE17" s="11">
        <f t="array" ref="BE17">PRODUCT(1+預測IC!$C17:BE17)-1</f>
        <v>0.22448148248855526</v>
      </c>
      <c r="BF17" s="11">
        <f t="array" ref="BF17">PRODUCT(1+預測IC!$C17:BF17)-1</f>
        <v>0.15689317001116665</v>
      </c>
      <c r="BG17" s="11">
        <f t="array" ref="BG17">PRODUCT(1+預測IC!$C17:BG17)-1</f>
        <v>-5.8001562047245159E-2</v>
      </c>
      <c r="BH17" s="11">
        <f t="array" ref="BH17">PRODUCT(1+預測IC!$C17:BH17)-1</f>
        <v>-0.18346738274889351</v>
      </c>
      <c r="BI17" s="11">
        <f t="array" ref="BI17">PRODUCT(1+預測IC!$C17:BI17)-1</f>
        <v>-0.11754184604484719</v>
      </c>
      <c r="BJ17" s="11">
        <f t="array" ref="BJ17">PRODUCT(1+預測IC!$C17:BJ17)-1</f>
        <v>-0.20390647630103842</v>
      </c>
      <c r="BK17" s="11">
        <f t="array" ref="BK17">PRODUCT(1+預測IC!$C17:BK17)-1</f>
        <v>-0.19057085356169512</v>
      </c>
      <c r="BL17" s="11">
        <f t="array" ref="BL17">PRODUCT(1+預測IC!$C17:BL17)-1</f>
        <v>-0.1844408442784311</v>
      </c>
      <c r="BM17" s="11">
        <f t="array" ref="BM17">PRODUCT(1+預測IC!$C17:BM17)-1</f>
        <v>-0.24642152177997823</v>
      </c>
      <c r="BN17" s="11">
        <f t="array" ref="BN17">PRODUCT(1+預測IC!$C17:BN17)-1</f>
        <v>-0.28177605216190527</v>
      </c>
      <c r="BO17" s="11">
        <f t="array" ref="BO17">PRODUCT(1+預測IC!$C17:BO17)-1</f>
        <v>-0.30704289442993038</v>
      </c>
      <c r="BP17" s="11">
        <f t="array" ref="BP17">PRODUCT(1+預測IC!$C17:BP17)-1</f>
        <v>-0.33198656430345852</v>
      </c>
      <c r="BQ17" s="11">
        <f t="array" ref="BQ17">PRODUCT(1+預測IC!$C17:BQ17)-1</f>
        <v>-0.33958622613303024</v>
      </c>
      <c r="BR17" s="11">
        <f t="array" ref="BR17">PRODUCT(1+預測IC!$C17:BR17)-1</f>
        <v>-0.33321562713275765</v>
      </c>
      <c r="BS17" s="11">
        <f t="array" ref="BS17">PRODUCT(1+預測IC!$C17:BS17)-1</f>
        <v>-0.31927582088898754</v>
      </c>
      <c r="BT17" s="11">
        <f t="array" ref="BT17">PRODUCT(1+預測IC!$C17:BT17)-1</f>
        <v>-0.34218031752458056</v>
      </c>
      <c r="BU17" s="11">
        <f t="array" ref="BU17">PRODUCT(1+預測IC!$C17:BU17)-1</f>
        <v>-0.41093850869802218</v>
      </c>
      <c r="BV17" s="11">
        <f t="array" ref="BV17">PRODUCT(1+預測IC!$C17:BV17)-1</f>
        <v>-0.34811870865230043</v>
      </c>
      <c r="BW17" s="11">
        <f t="array" ref="BW17">PRODUCT(1+預測IC!$C17:BW17)-1</f>
        <v>-0.19998887083871297</v>
      </c>
      <c r="BX17" s="11">
        <f t="array" ref="BX17">PRODUCT(1+預測IC!$C17:BX17)-1</f>
        <v>-0.22304756330987319</v>
      </c>
      <c r="BY17" s="11">
        <f t="array" ref="BY17">PRODUCT(1+預測IC!$C17:BY17)-1</f>
        <v>-0.29752806915302588</v>
      </c>
      <c r="BZ17" s="11">
        <f t="array" ref="BZ17">PRODUCT(1+預測IC!$C17:BZ17)-1</f>
        <v>-0.22239729120508034</v>
      </c>
      <c r="CA17" s="11">
        <f t="array" ref="CA17">PRODUCT(1+預測IC!$C17:CA17)-1</f>
        <v>-0.20124951073635522</v>
      </c>
      <c r="CB17" s="11">
        <f t="array" ref="CB17">PRODUCT(1+預測IC!$C17:CB17)-1</f>
        <v>-0.28844577646754976</v>
      </c>
      <c r="CC17" s="11">
        <f t="array" ref="CC17">PRODUCT(1+預測IC!$C17:CC17)-1</f>
        <v>-0.20684413553046599</v>
      </c>
      <c r="CD17" s="11">
        <f t="array" ref="CD17">PRODUCT(1+預測IC!$C17:CD17)-1</f>
        <v>-0.26742943767256233</v>
      </c>
      <c r="CE17" s="11">
        <f t="array" ref="CE17">PRODUCT(1+預測IC!$C17:CE17)-1</f>
        <v>-0.34983966367663388</v>
      </c>
      <c r="CF17" s="11">
        <f t="array" ref="CF17">PRODUCT(1+預測IC!$C17:CF17)-1</f>
        <v>-0.41168535296897368</v>
      </c>
      <c r="CG17" s="11">
        <f t="array" ref="CG17">PRODUCT(1+預測IC!$C17:CG17)-1</f>
        <v>-0.45564127513201269</v>
      </c>
      <c r="CH17" s="11">
        <f t="array" ref="CH17">PRODUCT(1+預測IC!$C17:CH17)-1</f>
        <v>-0.47358827721880115</v>
      </c>
      <c r="CI17" s="11">
        <f t="array" ref="CI17">PRODUCT(1+預測IC!$C17:CI17)-1</f>
        <v>-0.47163961505506546</v>
      </c>
      <c r="CJ17" s="11">
        <f t="array" ref="CJ17">PRODUCT(1+預測IC!$C17:CJ17)-1</f>
        <v>-0.46057002778210532</v>
      </c>
      <c r="CK17" s="11">
        <f t="array" ref="CK17">PRODUCT(1+預測IC!$C17:CK17)-1</f>
        <v>-0.4152817268878829</v>
      </c>
      <c r="CL17" s="11">
        <f t="array" ref="CL17">PRODUCT(1+預測IC!$C17:CL17)-1</f>
        <v>-0.33526940524700388</v>
      </c>
      <c r="CM17" s="11">
        <f t="array" ref="CM17">PRODUCT(1+預測IC!$C17:CM17)-1</f>
        <v>-0.42472176560652508</v>
      </c>
      <c r="CN17" s="11">
        <f t="array" ref="CN17">PRODUCT(1+預測IC!$C17:CN17)-1</f>
        <v>-0.4093514465611684</v>
      </c>
      <c r="CO17" s="11">
        <f t="array" ref="CO17">PRODUCT(1+預測IC!$C17:CO17)-1</f>
        <v>-0.28972229935279703</v>
      </c>
      <c r="CP17" s="11">
        <f t="array" ref="CP17">PRODUCT(1+預測IC!$C17:CP17)-1</f>
        <v>-0.39495652440785622</v>
      </c>
      <c r="CQ17" s="11">
        <f t="array" ref="CQ17">PRODUCT(1+預測IC!$C17:CQ17)-1</f>
        <v>-0.41981651030604039</v>
      </c>
      <c r="CR17" s="11">
        <f t="array" ref="CR17">PRODUCT(1+預測IC!$C17:CR17)-1</f>
        <v>-0.4492181735270997</v>
      </c>
      <c r="CS17" s="11">
        <f t="array" ref="CS17">PRODUCT(1+預測IC!$C17:CS17)-1</f>
        <v>-0.50255678409289195</v>
      </c>
      <c r="CT17" s="11">
        <f t="array" ref="CT17">PRODUCT(1+預測IC!$C17:CT17)-1</f>
        <v>-0.5270608649588977</v>
      </c>
      <c r="CU17" s="11">
        <f t="array" ref="CU17">PRODUCT(1+預測IC!$C17:CU17)-1</f>
        <v>-0.49187026433060121</v>
      </c>
      <c r="CV17" s="11">
        <f t="array" ref="CV17">PRODUCT(1+預測IC!$C17:CV17)-1</f>
        <v>-0.49384160848761749</v>
      </c>
      <c r="CW17" s="11">
        <f t="array" ref="CW17">PRODUCT(1+預測IC!$C17:CW17)-1</f>
        <v>-0.48383898029955674</v>
      </c>
      <c r="CX17" s="11">
        <f t="array" ref="CX17">PRODUCT(1+預測IC!$C17:CX17)-1</f>
        <v>-0.4893992704416531</v>
      </c>
      <c r="CY17" s="11">
        <f t="array" ref="CY17">PRODUCT(1+預測IC!$C17:CY17)-1</f>
        <v>-0.46418412208921978</v>
      </c>
      <c r="CZ17" s="11">
        <f t="array" ref="CZ17">PRODUCT(1+預測IC!$C17:CZ17)-1</f>
        <v>-0.53075862221993675</v>
      </c>
      <c r="DA17" s="11">
        <f t="array" ref="DA17">PRODUCT(1+預測IC!$C17:DA17)-1</f>
        <v>-0.51016086879583433</v>
      </c>
      <c r="DB17" s="11">
        <f t="array" ref="DB17">PRODUCT(1+預測IC!$C17:DB17)-1</f>
        <v>-0.49307380509546628</v>
      </c>
      <c r="DC17" s="11">
        <f t="array" ref="DC17">PRODUCT(1+預測IC!$C17:DC17)-1</f>
        <v>-0.51505588342209085</v>
      </c>
      <c r="DD17" s="11">
        <f t="array" ref="DD17">PRODUCT(1+預測IC!$C17:DD17)-1</f>
        <v>-0.47377068345179296</v>
      </c>
      <c r="DE17" s="11">
        <f t="array" ref="DE17">PRODUCT(1+預測IC!$C17:DE17)-1</f>
        <v>-0.49677922665659369</v>
      </c>
      <c r="DF17" s="11">
        <f t="array" ref="DF17">PRODUCT(1+預測IC!$C17:DF17)-1</f>
        <v>-0.49112736779510602</v>
      </c>
      <c r="DG17" s="11">
        <f t="array" ref="DG17">PRODUCT(1+預測IC!$C17:DG17)-1</f>
        <v>-0.49019140755857549</v>
      </c>
      <c r="DH17" s="11">
        <f t="array" ref="DH17">PRODUCT(1+預測IC!$C17:DH17)-1</f>
        <v>-0.47044822815389686</v>
      </c>
      <c r="DI17" s="11">
        <f t="array" ref="DI17">PRODUCT(1+預測IC!$C17:DI17)-1</f>
        <v>-0.46764518124342347</v>
      </c>
      <c r="DJ17" s="11">
        <f t="array" ref="DJ17">PRODUCT(1+預測IC!$C17:DJ17)-1</f>
        <v>-0.44351025931266064</v>
      </c>
      <c r="DK17" s="11">
        <f t="array" ref="DK17">PRODUCT(1+預測IC!$C17:DK17)-1</f>
        <v>-0.53034293073301608</v>
      </c>
      <c r="DL17" s="11">
        <f t="array" ref="DL17">PRODUCT(1+預測IC!$C17:DL17)-1</f>
        <v>-0.56487005241456889</v>
      </c>
      <c r="DM17" s="11">
        <f t="array" ref="DM17">PRODUCT(1+預測IC!$C17:DM17)-1</f>
        <v>-0.54213324617169967</v>
      </c>
      <c r="DN17" s="11">
        <f t="array" ref="DN17">PRODUCT(1+預測IC!$C17:DN17)-1</f>
        <v>-0.5583824943771204</v>
      </c>
      <c r="DO17" s="11">
        <f t="array" ref="DO17">PRODUCT(1+預測IC!$C17:DO17)-1</f>
        <v>-0.58198755521875334</v>
      </c>
      <c r="DP17" s="11">
        <f t="array" ref="DP17">PRODUCT(1+預測IC!$C17:DP17)-1</f>
        <v>-0.57508261319826293</v>
      </c>
      <c r="DQ17" s="11">
        <f t="array" ref="DQ17">PRODUCT(1+預測IC!$C17:DQ17)-1</f>
        <v>-0.54421066320793077</v>
      </c>
      <c r="DR17" s="11">
        <f t="array" ref="DR17">PRODUCT(1+預測IC!$C17:DR17)-1</f>
        <v>-0.52350357766075906</v>
      </c>
      <c r="DS17" s="11">
        <f t="array" ref="DS17">PRODUCT(1+預測IC!$C17:DS17)-1</f>
        <v>-0.46426737227481329</v>
      </c>
      <c r="DT17" s="11">
        <f t="array" ref="DT17">PRODUCT(1+預測IC!$C17:DT17)-1</f>
        <v>-0.41436979801642304</v>
      </c>
      <c r="DU17" s="11">
        <f t="array" ref="DU17">PRODUCT(1+預測IC!$C17:DU17)-1</f>
        <v>-0.37236213014364106</v>
      </c>
      <c r="DV17" s="11">
        <f t="array" ref="DV17">PRODUCT(1+預測IC!$C17:DV17)-1</f>
        <v>-0.44627615375678653</v>
      </c>
      <c r="DW17" s="11">
        <f t="array" ref="DW17">PRODUCT(1+預測IC!$C17:DW17)-1</f>
        <v>-0.4732322519936949</v>
      </c>
      <c r="DX17" s="11">
        <f t="array" ref="DX17">PRODUCT(1+預測IC!$C17:DX17)-1</f>
        <v>-0.40499529385232225</v>
      </c>
      <c r="DY17" s="11">
        <f t="array" ref="DY17">PRODUCT(1+預測IC!$C17:DY17)-1</f>
        <v>-0.47171820220206495</v>
      </c>
      <c r="DZ17" s="11">
        <f t="array" ref="DZ17">PRODUCT(1+預測IC!$C17:DZ17)-1</f>
        <v>-0.45490395796042693</v>
      </c>
      <c r="EA17" s="11">
        <f t="array" ref="EA17">PRODUCT(1+預測IC!$C17:EA17)-1</f>
        <v>-0.45742912857561602</v>
      </c>
      <c r="EB17" s="11">
        <f t="array" ref="EB17">PRODUCT(1+預測IC!$C17:EB17)-1</f>
        <v>-0.39921923534778003</v>
      </c>
      <c r="EC17" s="11">
        <f t="array" ref="EC17">PRODUCT(1+預測IC!$C17:EC17)-1</f>
        <v>-0.47222131799649669</v>
      </c>
      <c r="ED17" s="11">
        <f t="array" ref="ED17">PRODUCT(1+預測IC!$C17:ED17)-1</f>
        <v>-0.52673593375023553</v>
      </c>
      <c r="EE17" s="11">
        <f t="array" ref="EE17">PRODUCT(1+預測IC!$C17:EE17)-1</f>
        <v>-0.49631513482971046</v>
      </c>
      <c r="EF17" s="11">
        <f t="array" ref="EF17">PRODUCT(1+預測IC!$C17:EF17)-1</f>
        <v>-0.52034582239337368</v>
      </c>
    </row>
    <row r="18" spans="1:136">
      <c r="A18" s="2">
        <v>7</v>
      </c>
      <c r="B18" s="2" t="s">
        <v>195</v>
      </c>
      <c r="C18" s="11">
        <f t="array" ref="C18">PRODUCT(1+預測IC!$C18:C18)-1</f>
        <v>0.18975114285714278</v>
      </c>
      <c r="D18" s="11">
        <f t="array" ref="D18">PRODUCT(1+預測IC!$C18:D18)-1</f>
        <v>0.66789309115314288</v>
      </c>
      <c r="E18" s="11">
        <f t="array" ref="E18">PRODUCT(1+預測IC!$C18:E18)-1</f>
        <v>0.7570217238877428</v>
      </c>
      <c r="F18" s="11">
        <f t="array" ref="F18">PRODUCT(1+預測IC!$C18:F18)-1</f>
        <v>1.1296699673257145</v>
      </c>
      <c r="G18" s="11">
        <f t="array" ref="G18">PRODUCT(1+預測IC!$C18:G18)-1</f>
        <v>1.413041115030973</v>
      </c>
      <c r="H18" s="11">
        <f t="array" ref="H18">PRODUCT(1+預測IC!$C18:H18)-1</f>
        <v>1.7232134199570543</v>
      </c>
      <c r="I18" s="11">
        <f t="array" ref="I18">PRODUCT(1+預測IC!$C18:I18)-1</f>
        <v>1.8728609999324886</v>
      </c>
      <c r="J18" s="11">
        <f t="array" ref="J18">PRODUCT(1+預測IC!$C18:J18)-1</f>
        <v>1.5132912547286526</v>
      </c>
      <c r="K18" s="11">
        <f t="array" ref="K18">PRODUCT(1+預測IC!$C18:K18)-1</f>
        <v>1.5926742770924727</v>
      </c>
      <c r="L18" s="11">
        <f t="array" ref="L18">PRODUCT(1+預測IC!$C18:L18)-1</f>
        <v>1.7136784598068138</v>
      </c>
      <c r="M18" s="11">
        <f t="array" ref="M18">PRODUCT(1+預測IC!$C18:M18)-1</f>
        <v>1.7925147929110508</v>
      </c>
      <c r="N18" s="11">
        <f t="array" ref="N18">PRODUCT(1+預測IC!$C18:N18)-1</f>
        <v>1.3981907924153267</v>
      </c>
      <c r="O18" s="11">
        <f t="array" ref="O18">PRODUCT(1+預測IC!$C18:O18)-1</f>
        <v>1.4743044305255673</v>
      </c>
      <c r="P18" s="11">
        <f t="array" ref="P18">PRODUCT(1+預測IC!$C18:P18)-1</f>
        <v>1.6093265163552242</v>
      </c>
      <c r="Q18" s="11">
        <f t="array" ref="Q18">PRODUCT(1+預測IC!$C18:Q18)-1</f>
        <v>1.926982571607931</v>
      </c>
      <c r="R18" s="11">
        <f t="array" ref="R18">PRODUCT(1+預測IC!$C18:R18)-1</f>
        <v>1.9835511093482956</v>
      </c>
      <c r="S18" s="11">
        <f t="array" ref="S18">PRODUCT(1+預測IC!$C18:S18)-1</f>
        <v>1.7776464441956672</v>
      </c>
      <c r="T18" s="11">
        <f t="array" ref="T18">PRODUCT(1+預測IC!$C18:T18)-1</f>
        <v>1.7636760730012675</v>
      </c>
      <c r="U18" s="11">
        <f t="array" ref="U18">PRODUCT(1+預測IC!$C18:U18)-1</f>
        <v>1.9160937565106888</v>
      </c>
      <c r="V18" s="11">
        <f t="array" ref="V18">PRODUCT(1+預測IC!$C18:V18)-1</f>
        <v>1.5621048737528387</v>
      </c>
      <c r="W18" s="11">
        <f t="array" ref="W18">PRODUCT(1+預測IC!$C18:W18)-1</f>
        <v>1.1364500179818715</v>
      </c>
      <c r="X18" s="11">
        <f t="array" ref="X18">PRODUCT(1+預測IC!$C18:X18)-1</f>
        <v>1.4080425640320717</v>
      </c>
      <c r="Y18" s="11">
        <f t="array" ref="Y18">PRODUCT(1+預測IC!$C18:Y18)-1</f>
        <v>1.3617302842936705</v>
      </c>
      <c r="Z18" s="11">
        <f t="array" ref="Z18">PRODUCT(1+預測IC!$C18:Z18)-1</f>
        <v>1.1509827857565198</v>
      </c>
      <c r="AA18" s="11">
        <f t="array" ref="AA18">PRODUCT(1+預測IC!$C18:AA18)-1</f>
        <v>1.2688686264629263</v>
      </c>
      <c r="AB18" s="11">
        <f t="array" ref="AB18">PRODUCT(1+預測IC!$C18:AB18)-1</f>
        <v>1.0766993114896777</v>
      </c>
      <c r="AC18" s="11">
        <f t="array" ref="AC18">PRODUCT(1+預測IC!$C18:AC18)-1</f>
        <v>0.95661830050345253</v>
      </c>
      <c r="AD18" s="11">
        <f t="array" ref="AD18">PRODUCT(1+預測IC!$C18:AD18)-1</f>
        <v>1.1450129706688279</v>
      </c>
      <c r="AE18" s="11">
        <f t="array" ref="AE18">PRODUCT(1+預測IC!$C18:AE18)-1</f>
        <v>1.4528850552044505</v>
      </c>
      <c r="AF18" s="11">
        <f t="array" ref="AF18">PRODUCT(1+預測IC!$C18:AF18)-1</f>
        <v>1.3747032241399699</v>
      </c>
      <c r="AG18" s="11">
        <f t="array" ref="AG18">PRODUCT(1+預測IC!$C18:AG18)-1</f>
        <v>1.2975417165799894</v>
      </c>
      <c r="AH18" s="11">
        <f t="array" ref="AH18">PRODUCT(1+預測IC!$C18:AH18)-1</f>
        <v>1.3898970600557479</v>
      </c>
      <c r="AI18" s="11">
        <f t="array" ref="AI18">PRODUCT(1+預測IC!$C18:AI18)-1</f>
        <v>1.2779171395270859</v>
      </c>
      <c r="AJ18" s="11">
        <f t="array" ref="AJ18">PRODUCT(1+預測IC!$C18:AJ18)-1</f>
        <v>1.3858761890052076</v>
      </c>
      <c r="AK18" s="11">
        <f t="array" ref="AK18">PRODUCT(1+預測IC!$C18:AK18)-1</f>
        <v>1.3139361035078903</v>
      </c>
      <c r="AL18" s="11">
        <f t="array" ref="AL18">PRODUCT(1+預測IC!$C18:AL18)-1</f>
        <v>1.20395989532022</v>
      </c>
      <c r="AM18" s="11">
        <f t="array" ref="AM18">PRODUCT(1+預測IC!$C18:AM18)-1</f>
        <v>1.0570805024764582</v>
      </c>
      <c r="AN18" s="11">
        <f t="array" ref="AN18">PRODUCT(1+預測IC!$C18:AN18)-1</f>
        <v>0.89396504467372195</v>
      </c>
      <c r="AO18" s="11">
        <f t="array" ref="AO18">PRODUCT(1+預測IC!$C18:AO18)-1</f>
        <v>0.88368548316616757</v>
      </c>
      <c r="AP18" s="11">
        <f t="array" ref="AP18">PRODUCT(1+預測IC!$C18:AP18)-1</f>
        <v>1.0311377304345681</v>
      </c>
      <c r="AQ18" s="11">
        <f t="array" ref="AQ18">PRODUCT(1+預測IC!$C18:AQ18)-1</f>
        <v>1.1859730766000425</v>
      </c>
      <c r="AR18" s="11">
        <f t="array" ref="AR18">PRODUCT(1+預測IC!$C18:AR18)-1</f>
        <v>0.91371995287912733</v>
      </c>
      <c r="AS18" s="11">
        <f t="array" ref="AS18">PRODUCT(1+預測IC!$C18:AS18)-1</f>
        <v>0.74947196868348764</v>
      </c>
      <c r="AT18" s="11">
        <f t="array" ref="AT18">PRODUCT(1+預測IC!$C18:AT18)-1</f>
        <v>0.67367495879738826</v>
      </c>
      <c r="AU18" s="11">
        <f t="array" ref="AU18">PRODUCT(1+預測IC!$C18:AU18)-1</f>
        <v>0.5655963203531631</v>
      </c>
      <c r="AV18" s="11">
        <f t="array" ref="AV18">PRODUCT(1+預測IC!$C18:AV18)-1</f>
        <v>0.61063657870271792</v>
      </c>
      <c r="AW18" s="11">
        <f t="array" ref="AW18">PRODUCT(1+預測IC!$C18:AW18)-1</f>
        <v>0.57111472318453038</v>
      </c>
      <c r="AX18" s="11">
        <f t="array" ref="AX18">PRODUCT(1+預測IC!$C18:AX18)-1</f>
        <v>0.40212425942927466</v>
      </c>
      <c r="AY18" s="11">
        <f t="array" ref="AY18">PRODUCT(1+預測IC!$C18:AY18)-1</f>
        <v>0.35335378062403278</v>
      </c>
      <c r="AZ18" s="11">
        <f t="array" ref="AZ18">PRODUCT(1+預測IC!$C18:AZ18)-1</f>
        <v>0.55420377335399285</v>
      </c>
      <c r="BA18" s="11">
        <f t="array" ref="BA18">PRODUCT(1+預測IC!$C18:BA18)-1</f>
        <v>0.83470624833981111</v>
      </c>
      <c r="BB18" s="11">
        <f t="array" ref="BB18">PRODUCT(1+預測IC!$C18:BB18)-1</f>
        <v>0.58214784767201633</v>
      </c>
      <c r="BC18" s="11">
        <f t="array" ref="BC18">PRODUCT(1+預測IC!$C18:BC18)-1</f>
        <v>0.45051065867056717</v>
      </c>
      <c r="BD18" s="11">
        <f t="array" ref="BD18">PRODUCT(1+預測IC!$C18:BD18)-1</f>
        <v>0.48534651673452456</v>
      </c>
      <c r="BE18" s="11">
        <f t="array" ref="BE18">PRODUCT(1+預測IC!$C18:BE18)-1</f>
        <v>0.38380642677147336</v>
      </c>
      <c r="BF18" s="11">
        <f t="array" ref="BF18">PRODUCT(1+預測IC!$C18:BF18)-1</f>
        <v>0.32031111055068728</v>
      </c>
      <c r="BG18" s="11">
        <f t="array" ref="BG18">PRODUCT(1+預測IC!$C18:BG18)-1</f>
        <v>0.12660301951184394</v>
      </c>
      <c r="BH18" s="11">
        <f t="array" ref="BH18">PRODUCT(1+預測IC!$C18:BH18)-1</f>
        <v>-2.8753582391751409E-2</v>
      </c>
      <c r="BI18" s="11">
        <f t="array" ref="BI18">PRODUCT(1+預測IC!$C18:BI18)-1</f>
        <v>4.505249517380161E-2</v>
      </c>
      <c r="BJ18" s="11">
        <f t="array" ref="BJ18">PRODUCT(1+預測IC!$C18:BJ18)-1</f>
        <v>-5.7920557614396184E-2</v>
      </c>
      <c r="BK18" s="11">
        <f t="array" ref="BK18">PRODUCT(1+預測IC!$C18:BK18)-1</f>
        <v>-5.6996298638014253E-2</v>
      </c>
      <c r="BL18" s="11">
        <f t="array" ref="BL18">PRODUCT(1+預測IC!$C18:BL18)-1</f>
        <v>-3.2145995670094241E-2</v>
      </c>
      <c r="BM18" s="11">
        <f t="array" ref="BM18">PRODUCT(1+預測IC!$C18:BM18)-1</f>
        <v>-0.13161616413340194</v>
      </c>
      <c r="BN18" s="11">
        <f t="array" ref="BN18">PRODUCT(1+預測IC!$C18:BN18)-1</f>
        <v>-0.17744459103046195</v>
      </c>
      <c r="BO18" s="11">
        <f t="array" ref="BO18">PRODUCT(1+預測IC!$C18:BO18)-1</f>
        <v>-0.19408282736267068</v>
      </c>
      <c r="BP18" s="11">
        <f t="array" ref="BP18">PRODUCT(1+預測IC!$C18:BP18)-1</f>
        <v>-0.23184612378593727</v>
      </c>
      <c r="BQ18" s="11">
        <f t="array" ref="BQ18">PRODUCT(1+預測IC!$C18:BQ18)-1</f>
        <v>-0.23331850892978323</v>
      </c>
      <c r="BR18" s="11">
        <f t="array" ref="BR18">PRODUCT(1+預測IC!$C18:BR18)-1</f>
        <v>-0.22891147530187661</v>
      </c>
      <c r="BS18" s="11">
        <f t="array" ref="BS18">PRODUCT(1+預測IC!$C18:BS18)-1</f>
        <v>-0.20356328438664129</v>
      </c>
      <c r="BT18" s="11">
        <f t="array" ref="BT18">PRODUCT(1+預測IC!$C18:BT18)-1</f>
        <v>-0.2141549824909097</v>
      </c>
      <c r="BU18" s="11">
        <f t="array" ref="BU18">PRODUCT(1+預測IC!$C18:BU18)-1</f>
        <v>-0.30174695209608182</v>
      </c>
      <c r="BV18" s="11">
        <f t="array" ref="BV18">PRODUCT(1+預測IC!$C18:BV18)-1</f>
        <v>-0.22109483479619818</v>
      </c>
      <c r="BW18" s="11">
        <f t="array" ref="BW18">PRODUCT(1+預測IC!$C18:BW18)-1</f>
        <v>-1.7769986832229967E-2</v>
      </c>
      <c r="BX18" s="11">
        <f t="array" ref="BX18">PRODUCT(1+預測IC!$C18:BX18)-1</f>
        <v>-3.6450503502992615E-2</v>
      </c>
      <c r="BY18" s="11">
        <f t="array" ref="BY18">PRODUCT(1+預測IC!$C18:BY18)-1</f>
        <v>-9.6853907289181307E-2</v>
      </c>
      <c r="BZ18" s="11">
        <f t="array" ref="BZ18">PRODUCT(1+預測IC!$C18:BZ18)-1</f>
        <v>2.3252099027275541E-3</v>
      </c>
      <c r="CA18" s="11">
        <f t="array" ref="CA18">PRODUCT(1+預測IC!$C18:CA18)-1</f>
        <v>3.5688463650234148E-2</v>
      </c>
      <c r="CB18" s="11">
        <f t="array" ref="CB18">PRODUCT(1+預測IC!$C18:CB18)-1</f>
        <v>-6.5174421837780772E-2</v>
      </c>
      <c r="CC18" s="11">
        <f t="array" ref="CC18">PRODUCT(1+預測IC!$C18:CC18)-1</f>
        <v>3.3541348193412812E-2</v>
      </c>
      <c r="CD18" s="11">
        <f t="array" ref="CD18">PRODUCT(1+預測IC!$C18:CD18)-1</f>
        <v>-9.2132342694310698E-2</v>
      </c>
      <c r="CE18" s="11">
        <f t="array" ref="CE18">PRODUCT(1+預測IC!$C18:CE18)-1</f>
        <v>-0.21022375988130648</v>
      </c>
      <c r="CF18" s="11">
        <f t="array" ref="CF18">PRODUCT(1+預測IC!$C18:CF18)-1</f>
        <v>-0.29066957792355652</v>
      </c>
      <c r="CG18" s="11">
        <f t="array" ref="CG18">PRODUCT(1+預測IC!$C18:CG18)-1</f>
        <v>-0.35565080983882014</v>
      </c>
      <c r="CH18" s="11">
        <f t="array" ref="CH18">PRODUCT(1+預測IC!$C18:CH18)-1</f>
        <v>-0.38488212900679042</v>
      </c>
      <c r="CI18" s="11">
        <f t="array" ref="CI18">PRODUCT(1+預測IC!$C18:CI18)-1</f>
        <v>-0.45565716730967831</v>
      </c>
      <c r="CJ18" s="11">
        <f t="array" ref="CJ18">PRODUCT(1+預測IC!$C18:CJ18)-1</f>
        <v>-0.45771062797645079</v>
      </c>
      <c r="CK18" s="11">
        <f t="array" ref="CK18">PRODUCT(1+預測IC!$C18:CK18)-1</f>
        <v>-0.40561937830673611</v>
      </c>
      <c r="CL18" s="11">
        <f t="array" ref="CL18">PRODUCT(1+預測IC!$C18:CL18)-1</f>
        <v>-0.31473029331968549</v>
      </c>
      <c r="CM18" s="11">
        <f t="array" ref="CM18">PRODUCT(1+預測IC!$C18:CM18)-1</f>
        <v>-0.4131682883590041</v>
      </c>
      <c r="CN18" s="11">
        <f t="array" ref="CN18">PRODUCT(1+預測IC!$C18:CN18)-1</f>
        <v>-0.39257856188191997</v>
      </c>
      <c r="CO18" s="11">
        <f t="array" ref="CO18">PRODUCT(1+預測IC!$C18:CO18)-1</f>
        <v>-0.25191562354284402</v>
      </c>
      <c r="CP18" s="11">
        <f t="array" ref="CP18">PRODUCT(1+預測IC!$C18:CP18)-1</f>
        <v>-0.37373301682305549</v>
      </c>
      <c r="CQ18" s="11">
        <f t="array" ref="CQ18">PRODUCT(1+預測IC!$C18:CQ18)-1</f>
        <v>-0.40377913754273997</v>
      </c>
      <c r="CR18" s="11">
        <f t="array" ref="CR18">PRODUCT(1+預測IC!$C18:CR18)-1</f>
        <v>-0.43666437217595011</v>
      </c>
      <c r="CS18" s="11">
        <f t="array" ref="CS18">PRODUCT(1+預測IC!$C18:CS18)-1</f>
        <v>-0.48061990020108714</v>
      </c>
      <c r="CT18" s="11">
        <f t="array" ref="CT18">PRODUCT(1+預測IC!$C18:CT18)-1</f>
        <v>-0.5276318127496169</v>
      </c>
      <c r="CU18" s="11">
        <f t="array" ref="CU18">PRODUCT(1+預測IC!$C18:CU18)-1</f>
        <v>-0.49378725036619653</v>
      </c>
      <c r="CV18" s="11">
        <f t="array" ref="CV18">PRODUCT(1+預測IC!$C18:CV18)-1</f>
        <v>-0.5398730019614284</v>
      </c>
      <c r="CW18" s="11">
        <f t="array" ref="CW18">PRODUCT(1+預測IC!$C18:CW18)-1</f>
        <v>-0.53598212869546602</v>
      </c>
      <c r="CX18" s="11">
        <f t="array" ref="CX18">PRODUCT(1+預測IC!$C18:CX18)-1</f>
        <v>-0.56454715508316722</v>
      </c>
      <c r="CY18" s="11">
        <f t="array" ref="CY18">PRODUCT(1+預測IC!$C18:CY18)-1</f>
        <v>-0.54218342314736734</v>
      </c>
      <c r="CZ18" s="11">
        <f t="array" ref="CZ18">PRODUCT(1+預測IC!$C18:CZ18)-1</f>
        <v>-0.60300108808348662</v>
      </c>
      <c r="DA18" s="11">
        <f t="array" ref="DA18">PRODUCT(1+預測IC!$C18:DA18)-1</f>
        <v>-0.5841909066489831</v>
      </c>
      <c r="DB18" s="11">
        <f t="array" ref="DB18">PRODUCT(1+預測IC!$C18:DB18)-1</f>
        <v>-0.56517379099404863</v>
      </c>
      <c r="DC18" s="11">
        <f t="array" ref="DC18">PRODUCT(1+預測IC!$C18:DC18)-1</f>
        <v>-0.58100528342626556</v>
      </c>
      <c r="DD18" s="11">
        <f t="array" ref="DD18">PRODUCT(1+預測IC!$C18:DD18)-1</f>
        <v>-0.5464539929954515</v>
      </c>
      <c r="DE18" s="11">
        <f t="array" ref="DE18">PRODUCT(1+預測IC!$C18:DE18)-1</f>
        <v>-0.5687564125767135</v>
      </c>
      <c r="DF18" s="11">
        <f t="array" ref="DF18">PRODUCT(1+預測IC!$C18:DF18)-1</f>
        <v>-0.55364443894132354</v>
      </c>
      <c r="DG18" s="11">
        <f t="array" ref="DG18">PRODUCT(1+預測IC!$C18:DG18)-1</f>
        <v>-0.55024344472507902</v>
      </c>
      <c r="DH18" s="11">
        <f t="array" ref="DH18">PRODUCT(1+預測IC!$C18:DH18)-1</f>
        <v>-0.53763316446961396</v>
      </c>
      <c r="DI18" s="11">
        <f t="array" ref="DI18">PRODUCT(1+預測IC!$C18:DI18)-1</f>
        <v>-0.53018229434308217</v>
      </c>
      <c r="DJ18" s="11">
        <f t="array" ref="DJ18">PRODUCT(1+預測IC!$C18:DJ18)-1</f>
        <v>-0.50894463608473339</v>
      </c>
      <c r="DK18" s="11">
        <f t="array" ref="DK18">PRODUCT(1+預測IC!$C18:DK18)-1</f>
        <v>-0.58678360292213427</v>
      </c>
      <c r="DL18" s="11">
        <f t="array" ref="DL18">PRODUCT(1+預測IC!$C18:DL18)-1</f>
        <v>-0.62041848498025376</v>
      </c>
      <c r="DM18" s="11">
        <f t="array" ref="DM18">PRODUCT(1+預測IC!$C18:DM18)-1</f>
        <v>-0.59517322416004026</v>
      </c>
      <c r="DN18" s="11">
        <f t="array" ref="DN18">PRODUCT(1+預測IC!$C18:DN18)-1</f>
        <v>-0.58840368487394568</v>
      </c>
      <c r="DO18" s="11">
        <f t="array" ref="DO18">PRODUCT(1+預測IC!$C18:DO18)-1</f>
        <v>-0.60573390967050833</v>
      </c>
      <c r="DP18" s="11">
        <f t="array" ref="DP18">PRODUCT(1+預測IC!$C18:DP18)-1</f>
        <v>-0.59761018049475223</v>
      </c>
      <c r="DQ18" s="11">
        <f t="array" ref="DQ18">PRODUCT(1+預測IC!$C18:DQ18)-1</f>
        <v>-0.57115326788356535</v>
      </c>
      <c r="DR18" s="11">
        <f t="array" ref="DR18">PRODUCT(1+預測IC!$C18:DR18)-1</f>
        <v>-0.54865551201028473</v>
      </c>
      <c r="DS18" s="11">
        <f t="array" ref="DS18">PRODUCT(1+預測IC!$C18:DS18)-1</f>
        <v>-0.48198200225427001</v>
      </c>
      <c r="DT18" s="11">
        <f t="array" ref="DT18">PRODUCT(1+預測IC!$C18:DT18)-1</f>
        <v>-0.42188290612529644</v>
      </c>
      <c r="DU18" s="11">
        <f t="array" ref="DU18">PRODUCT(1+預測IC!$C18:DU18)-1</f>
        <v>-0.36586614274006768</v>
      </c>
      <c r="DV18" s="11">
        <f t="array" ref="DV18">PRODUCT(1+預測IC!$C18:DV18)-1</f>
        <v>-0.43285642948173841</v>
      </c>
      <c r="DW18" s="11">
        <f t="array" ref="DW18">PRODUCT(1+預測IC!$C18:DW18)-1</f>
        <v>-0.47931041768037941</v>
      </c>
      <c r="DX18" s="11">
        <f t="array" ref="DX18">PRODUCT(1+預測IC!$C18:DX18)-1</f>
        <v>-0.39933094750238962</v>
      </c>
      <c r="DY18" s="11">
        <f t="array" ref="DY18">PRODUCT(1+預測IC!$C18:DY18)-1</f>
        <v>-0.45785295415943539</v>
      </c>
      <c r="DZ18" s="11">
        <f t="array" ref="DZ18">PRODUCT(1+預測IC!$C18:DZ18)-1</f>
        <v>-0.41691198305427613</v>
      </c>
      <c r="EA18" s="11">
        <f t="array" ref="EA18">PRODUCT(1+預測IC!$C18:EA18)-1</f>
        <v>-0.41967482739462358</v>
      </c>
      <c r="EB18" s="11">
        <f t="array" ref="EB18">PRODUCT(1+預測IC!$C18:EB18)-1</f>
        <v>-0.35585974441787516</v>
      </c>
      <c r="EC18" s="11">
        <f t="array" ref="EC18">PRODUCT(1+預測IC!$C18:EC18)-1</f>
        <v>-0.44799771511043807</v>
      </c>
      <c r="ED18" s="11">
        <f t="array" ref="ED18">PRODUCT(1+預測IC!$C18:ED18)-1</f>
        <v>-0.49368092817233378</v>
      </c>
      <c r="EE18" s="11">
        <f t="array" ref="EE18">PRODUCT(1+預測IC!$C18:EE18)-1</f>
        <v>-0.46683840216695227</v>
      </c>
      <c r="EF18" s="11">
        <f t="array" ref="EF18">PRODUCT(1+預測IC!$C18:EF18)-1</f>
        <v>-0.49293933731148609</v>
      </c>
    </row>
    <row r="19" spans="1:136">
      <c r="A19" s="2">
        <v>6</v>
      </c>
      <c r="B19" s="2" t="s">
        <v>196</v>
      </c>
      <c r="C19" s="11">
        <f t="array" ref="C19">PRODUCT(1+預測IC!$C19:C19)-1</f>
        <v>0.19659983333333342</v>
      </c>
      <c r="D19" s="11">
        <f t="array" ref="D19">PRODUCT(1+預測IC!$C19:D19)-1</f>
        <v>0.68423979287977788</v>
      </c>
      <c r="E19" s="11">
        <f t="array" ref="E19">PRODUCT(1+預測IC!$C19:E19)-1</f>
        <v>0.79508382424867841</v>
      </c>
      <c r="F19" s="11">
        <f t="array" ref="F19">PRODUCT(1+預測IC!$C19:F19)-1</f>
        <v>1.2190302669246753</v>
      </c>
      <c r="G19" s="11">
        <f t="array" ref="G19">PRODUCT(1+預測IC!$C19:G19)-1</f>
        <v>1.5582426985164939</v>
      </c>
      <c r="H19" s="11">
        <f t="array" ref="H19">PRODUCT(1+預測IC!$C19:H19)-1</f>
        <v>2.0126126105737918</v>
      </c>
      <c r="I19" s="11">
        <f t="array" ref="I19">PRODUCT(1+預測IC!$C19:I19)-1</f>
        <v>2.1556012471136596</v>
      </c>
      <c r="J19" s="11">
        <f t="array" ref="J19">PRODUCT(1+預測IC!$C19:J19)-1</f>
        <v>1.6626042939447987</v>
      </c>
      <c r="K19" s="11">
        <f t="array" ref="K19">PRODUCT(1+預測IC!$C19:K19)-1</f>
        <v>1.8131466094222906</v>
      </c>
      <c r="L19" s="11">
        <f t="array" ref="L19">PRODUCT(1+預測IC!$C19:L19)-1</f>
        <v>1.8985570224887294</v>
      </c>
      <c r="M19" s="11">
        <f t="array" ref="M19">PRODUCT(1+預測IC!$C19:M19)-1</f>
        <v>1.7719183816636739</v>
      </c>
      <c r="N19" s="11">
        <f t="array" ref="N19">PRODUCT(1+預測IC!$C19:N19)-1</f>
        <v>1.3510203679419481</v>
      </c>
      <c r="O19" s="11">
        <f t="array" ref="O19">PRODUCT(1+預測IC!$C19:O19)-1</f>
        <v>1.425222977715817</v>
      </c>
      <c r="P19" s="11">
        <f t="array" ref="P19">PRODUCT(1+預測IC!$C19:P19)-1</f>
        <v>1.4804824916707306</v>
      </c>
      <c r="Q19" s="11">
        <f t="array" ref="Q19">PRODUCT(1+預測IC!$C19:Q19)-1</f>
        <v>1.9033162859583874</v>
      </c>
      <c r="R19" s="11">
        <f t="array" ref="R19">PRODUCT(1+預測IC!$C19:R19)-1</f>
        <v>2.0250900809403403</v>
      </c>
      <c r="S19" s="11">
        <f t="array" ref="S19">PRODUCT(1+預測IC!$C19:S19)-1</f>
        <v>1.7870270877489789</v>
      </c>
      <c r="T19" s="11">
        <f t="array" ref="T19">PRODUCT(1+預測IC!$C19:T19)-1</f>
        <v>1.4817728364136116</v>
      </c>
      <c r="U19" s="11">
        <f t="array" ref="U19">PRODUCT(1+預測IC!$C19:U19)-1</f>
        <v>1.6486720636791339</v>
      </c>
      <c r="V19" s="11">
        <f t="array" ref="V19">PRODUCT(1+預測IC!$C19:V19)-1</f>
        <v>1.4031711005933376</v>
      </c>
      <c r="W19" s="11">
        <f t="array" ref="W19">PRODUCT(1+預測IC!$C19:W19)-1</f>
        <v>0.98325356715639756</v>
      </c>
      <c r="X19" s="11">
        <f t="array" ref="X19">PRODUCT(1+預測IC!$C19:X19)-1</f>
        <v>1.2270423675610083</v>
      </c>
      <c r="Y19" s="11">
        <f t="array" ref="Y19">PRODUCT(1+預測IC!$C19:Y19)-1</f>
        <v>1.1699663059629399</v>
      </c>
      <c r="Z19" s="11">
        <f t="array" ref="Z19">PRODUCT(1+預測IC!$C19:Z19)-1</f>
        <v>0.97115592303067588</v>
      </c>
      <c r="AA19" s="11">
        <f t="array" ref="AA19">PRODUCT(1+預測IC!$C19:AA19)-1</f>
        <v>1.0643948834498982</v>
      </c>
      <c r="AB19" s="11">
        <f t="array" ref="AB19">PRODUCT(1+預測IC!$C19:AB19)-1</f>
        <v>0.85330306264878453</v>
      </c>
      <c r="AC19" s="11">
        <f t="array" ref="AC19">PRODUCT(1+預測IC!$C19:AC19)-1</f>
        <v>0.80057133706629857</v>
      </c>
      <c r="AD19" s="11">
        <f t="array" ref="AD19">PRODUCT(1+預測IC!$C19:AD19)-1</f>
        <v>0.97341328133008087</v>
      </c>
      <c r="AE19" s="11">
        <f t="array" ref="AE19">PRODUCT(1+預測IC!$C19:AE19)-1</f>
        <v>1.3077411861737462</v>
      </c>
      <c r="AF19" s="11">
        <f t="array" ref="AF19">PRODUCT(1+預測IC!$C19:AF19)-1</f>
        <v>1.2182339054456364</v>
      </c>
      <c r="AG19" s="11">
        <f t="array" ref="AG19">PRODUCT(1+預測IC!$C19:AG19)-1</f>
        <v>1.1691305937605385</v>
      </c>
      <c r="AH19" s="11">
        <f t="array" ref="AH19">PRODUCT(1+預測IC!$C19:AH19)-1</f>
        <v>1.2918116641611319</v>
      </c>
      <c r="AI19" s="11">
        <f t="array" ref="AI19">PRODUCT(1+預測IC!$C19:AI19)-1</f>
        <v>1.1044099383886525</v>
      </c>
      <c r="AJ19" s="11">
        <f t="array" ref="AJ19">PRODUCT(1+預測IC!$C19:AJ19)-1</f>
        <v>1.2128823596304716</v>
      </c>
      <c r="AK19" s="11">
        <f t="array" ref="AK19">PRODUCT(1+預測IC!$C19:AK19)-1</f>
        <v>1.1961705779898693</v>
      </c>
      <c r="AL19" s="11">
        <f t="array" ref="AL19">PRODUCT(1+預測IC!$C19:AL19)-1</f>
        <v>1.0418435946201217</v>
      </c>
      <c r="AM19" s="11">
        <f t="array" ref="AM19">PRODUCT(1+預測IC!$C19:AM19)-1</f>
        <v>0.9538278605133852</v>
      </c>
      <c r="AN19" s="11">
        <f t="array" ref="AN19">PRODUCT(1+預測IC!$C19:AN19)-1</f>
        <v>0.79054979872613163</v>
      </c>
      <c r="AO19" s="11">
        <f t="array" ref="AO19">PRODUCT(1+預測IC!$C19:AO19)-1</f>
        <v>0.74418726638972976</v>
      </c>
      <c r="AP19" s="11">
        <f t="array" ref="AP19">PRODUCT(1+預測IC!$C19:AP19)-1</f>
        <v>0.89693293183492129</v>
      </c>
      <c r="AQ19" s="11">
        <f t="array" ref="AQ19">PRODUCT(1+預測IC!$C19:AQ19)-1</f>
        <v>1.0643424930284962</v>
      </c>
      <c r="AR19" s="11">
        <f t="array" ref="AR19">PRODUCT(1+預測IC!$C19:AR19)-1</f>
        <v>0.74742966571991465</v>
      </c>
      <c r="AS19" s="11">
        <f t="array" ref="AS19">PRODUCT(1+預測IC!$C19:AS19)-1</f>
        <v>0.57653636486697857</v>
      </c>
      <c r="AT19" s="11">
        <f t="array" ref="AT19">PRODUCT(1+預測IC!$C19:AT19)-1</f>
        <v>0.49882103350789575</v>
      </c>
      <c r="AU19" s="11">
        <f t="array" ref="AU19">PRODUCT(1+預測IC!$C19:AU19)-1</f>
        <v>0.38426806683227555</v>
      </c>
      <c r="AV19" s="11">
        <f t="array" ref="AV19">PRODUCT(1+預測IC!$C19:AV19)-1</f>
        <v>0.45352717967026046</v>
      </c>
      <c r="AW19" s="11">
        <f t="array" ref="AW19">PRODUCT(1+預測IC!$C19:AW19)-1</f>
        <v>0.42103188162494454</v>
      </c>
      <c r="AX19" s="11">
        <f t="array" ref="AX19">PRODUCT(1+預測IC!$C19:AX19)-1</f>
        <v>0.30705600977902869</v>
      </c>
      <c r="AY19" s="11">
        <f t="array" ref="AY19">PRODUCT(1+預測IC!$C19:AY19)-1</f>
        <v>0.26845999156377442</v>
      </c>
      <c r="AZ19" s="11">
        <f t="array" ref="AZ19">PRODUCT(1+預測IC!$C19:AZ19)-1</f>
        <v>0.50550931044881819</v>
      </c>
      <c r="BA19" s="11">
        <f t="array" ref="BA19">PRODUCT(1+預測IC!$C19:BA19)-1</f>
        <v>0.78703503497481586</v>
      </c>
      <c r="BB19" s="11">
        <f t="array" ref="BB19">PRODUCT(1+預測IC!$C19:BB19)-1</f>
        <v>0.50156298052831927</v>
      </c>
      <c r="BC19" s="11">
        <f t="array" ref="BC19">PRODUCT(1+預測IC!$C19:BC19)-1</f>
        <v>0.40537963353114947</v>
      </c>
      <c r="BD19" s="11">
        <f t="array" ref="BD19">PRODUCT(1+預測IC!$C19:BD19)-1</f>
        <v>0.40992518306029058</v>
      </c>
      <c r="BE19" s="11">
        <f t="array" ref="BE19">PRODUCT(1+預測IC!$C19:BE19)-1</f>
        <v>0.33783306630185228</v>
      </c>
      <c r="BF19" s="11">
        <f t="array" ref="BF19">PRODUCT(1+預測IC!$C19:BF19)-1</f>
        <v>0.31967736834320704</v>
      </c>
      <c r="BG19" s="11">
        <f t="array" ref="BG19">PRODUCT(1+預測IC!$C19:BG19)-1</f>
        <v>0.11735927905547738</v>
      </c>
      <c r="BH19" s="11">
        <f t="array" ref="BH19">PRODUCT(1+預測IC!$C19:BH19)-1</f>
        <v>-3.9626242490332531E-2</v>
      </c>
      <c r="BI19" s="11">
        <f t="array" ref="BI19">PRODUCT(1+預測IC!$C19:BI19)-1</f>
        <v>5.7644474012073177E-2</v>
      </c>
      <c r="BJ19" s="11">
        <f t="array" ref="BJ19">PRODUCT(1+預測IC!$C19:BJ19)-1</f>
        <v>-4.6637069321737723E-3</v>
      </c>
      <c r="BK19" s="11">
        <f t="array" ref="BK19">PRODUCT(1+預測IC!$C19:BK19)-1</f>
        <v>-7.3858527148568665E-2</v>
      </c>
      <c r="BL19" s="11">
        <f t="array" ref="BL19">PRODUCT(1+預測IC!$C19:BL19)-1</f>
        <v>-4.9782707777234925E-2</v>
      </c>
      <c r="BM19" s="11">
        <f t="array" ref="BM19">PRODUCT(1+預測IC!$C19:BM19)-1</f>
        <v>-0.15834560378987828</v>
      </c>
      <c r="BN19" s="11">
        <f t="array" ref="BN19">PRODUCT(1+預測IC!$C19:BN19)-1</f>
        <v>-0.2149490901874771</v>
      </c>
      <c r="BO19" s="11">
        <f t="array" ref="BO19">PRODUCT(1+預測IC!$C19:BO19)-1</f>
        <v>-0.23514763463718713</v>
      </c>
      <c r="BP19" s="11">
        <f t="array" ref="BP19">PRODUCT(1+預測IC!$C19:BP19)-1</f>
        <v>-0.28319474816893941</v>
      </c>
      <c r="BQ19" s="11">
        <f t="array" ref="BQ19">PRODUCT(1+預測IC!$C19:BQ19)-1</f>
        <v>-0.29031552340572142</v>
      </c>
      <c r="BR19" s="11">
        <f t="array" ref="BR19">PRODUCT(1+預測IC!$C19:BR19)-1</f>
        <v>-0.29505284188606129</v>
      </c>
      <c r="BS19" s="11">
        <f t="array" ref="BS19">PRODUCT(1+預測IC!$C19:BS19)-1</f>
        <v>-0.29752010896050196</v>
      </c>
      <c r="BT19" s="11">
        <f t="array" ref="BT19">PRODUCT(1+預測IC!$C19:BT19)-1</f>
        <v>-0.28825100387821756</v>
      </c>
      <c r="BU19" s="11">
        <f t="array" ref="BU19">PRODUCT(1+預測IC!$C19:BU19)-1</f>
        <v>-0.38125583832561427</v>
      </c>
      <c r="BV19" s="11">
        <f t="array" ref="BV19">PRODUCT(1+預測IC!$C19:BV19)-1</f>
        <v>-0.31932862265637951</v>
      </c>
      <c r="BW19" s="11">
        <f t="array" ref="BW19">PRODUCT(1+預測IC!$C19:BW19)-1</f>
        <v>-0.11786634452095368</v>
      </c>
      <c r="BX19" s="11">
        <f t="array" ref="BX19">PRODUCT(1+預測IC!$C19:BX19)-1</f>
        <v>-0.14793632715000282</v>
      </c>
      <c r="BY19" s="11">
        <f t="array" ref="BY19">PRODUCT(1+預測IC!$C19:BY19)-1</f>
        <v>-0.17151988749775715</v>
      </c>
      <c r="BZ19" s="11">
        <f t="array" ref="BZ19">PRODUCT(1+預測IC!$C19:BZ19)-1</f>
        <v>-5.1603466733882497E-2</v>
      </c>
      <c r="CA19" s="11">
        <f t="array" ref="CA19">PRODUCT(1+預測IC!$C19:CA19)-1</f>
        <v>-1.7830908118187216E-2</v>
      </c>
      <c r="CB19" s="11">
        <f t="array" ref="CB19">PRODUCT(1+預測IC!$C19:CB19)-1</f>
        <v>-9.5399487536599104E-2</v>
      </c>
      <c r="CC19" s="11">
        <f t="array" ref="CC19">PRODUCT(1+預測IC!$C19:CC19)-1</f>
        <v>-3.9435115231412077E-5</v>
      </c>
      <c r="CD19" s="11">
        <f t="array" ref="CD19">PRODUCT(1+預測IC!$C19:CD19)-1</f>
        <v>-0.14876548314349947</v>
      </c>
      <c r="CE19" s="11">
        <f t="array" ref="CE19">PRODUCT(1+預測IC!$C19:CE19)-1</f>
        <v>-0.24615893518510745</v>
      </c>
      <c r="CF19" s="11">
        <f t="array" ref="CF19">PRODUCT(1+預測IC!$C19:CF19)-1</f>
        <v>-0.33036197700351122</v>
      </c>
      <c r="CG19" s="11">
        <f t="array" ref="CG19">PRODUCT(1+預測IC!$C19:CG19)-1</f>
        <v>-0.36861011039767544</v>
      </c>
      <c r="CH19" s="11">
        <f t="array" ref="CH19">PRODUCT(1+預測IC!$C19:CH19)-1</f>
        <v>-0.39557995715075878</v>
      </c>
      <c r="CI19" s="11">
        <f t="array" ref="CI19">PRODUCT(1+預測IC!$C19:CI19)-1</f>
        <v>-0.46250993174612953</v>
      </c>
      <c r="CJ19" s="11">
        <f t="array" ref="CJ19">PRODUCT(1+預測IC!$C19:CJ19)-1</f>
        <v>-0.46885872291768327</v>
      </c>
      <c r="CK19" s="11">
        <f t="array" ref="CK19">PRODUCT(1+預測IC!$C19:CK19)-1</f>
        <v>-0.40576059295664091</v>
      </c>
      <c r="CL19" s="11">
        <f t="array" ref="CL19">PRODUCT(1+預測IC!$C19:CL19)-1</f>
        <v>-0.33721639559187067</v>
      </c>
      <c r="CM19" s="11">
        <f t="array" ref="CM19">PRODUCT(1+預測IC!$C19:CM19)-1</f>
        <v>-0.45343393750386451</v>
      </c>
      <c r="CN19" s="11">
        <f t="array" ref="CN19">PRODUCT(1+預測IC!$C19:CN19)-1</f>
        <v>-0.41138515936498155</v>
      </c>
      <c r="CO19" s="11">
        <f t="array" ref="CO19">PRODUCT(1+預測IC!$C19:CO19)-1</f>
        <v>-0.25101445340426443</v>
      </c>
      <c r="CP19" s="11">
        <f t="array" ref="CP19">PRODUCT(1+預測IC!$C19:CP19)-1</f>
        <v>-0.3701275714795873</v>
      </c>
      <c r="CQ19" s="11">
        <f t="array" ref="CQ19">PRODUCT(1+預測IC!$C19:CQ19)-1</f>
        <v>-0.36840807760063565</v>
      </c>
      <c r="CR19" s="11">
        <f t="array" ref="CR19">PRODUCT(1+預測IC!$C19:CR19)-1</f>
        <v>-0.39979452631211609</v>
      </c>
      <c r="CS19" s="11">
        <f t="array" ref="CS19">PRODUCT(1+預測IC!$C19:CS19)-1</f>
        <v>-0.43622750927893084</v>
      </c>
      <c r="CT19" s="11">
        <f t="array" ref="CT19">PRODUCT(1+預測IC!$C19:CT19)-1</f>
        <v>-0.50535753261342342</v>
      </c>
      <c r="CU19" s="11">
        <f t="array" ref="CU19">PRODUCT(1+預測IC!$C19:CU19)-1</f>
        <v>-0.46408634727516118</v>
      </c>
      <c r="CV19" s="11">
        <f t="array" ref="CV19">PRODUCT(1+預測IC!$C19:CV19)-1</f>
        <v>-0.5187387473647902</v>
      </c>
      <c r="CW19" s="11">
        <f t="array" ref="CW19">PRODUCT(1+預測IC!$C19:CW19)-1</f>
        <v>-0.5081982559166982</v>
      </c>
      <c r="CX19" s="11">
        <f t="array" ref="CX19">PRODUCT(1+預測IC!$C19:CX19)-1</f>
        <v>-0.53654311486433537</v>
      </c>
      <c r="CY19" s="11">
        <f t="array" ref="CY19">PRODUCT(1+預測IC!$C19:CY19)-1</f>
        <v>-0.50367388610803476</v>
      </c>
      <c r="CZ19" s="11">
        <f t="array" ref="CZ19">PRODUCT(1+預測IC!$C19:CZ19)-1</f>
        <v>-0.55968519566325448</v>
      </c>
      <c r="DA19" s="11">
        <f t="array" ref="DA19">PRODUCT(1+預測IC!$C19:DA19)-1</f>
        <v>-0.534048360784942</v>
      </c>
      <c r="DB19" s="11">
        <f t="array" ref="DB19">PRODUCT(1+預測IC!$C19:DB19)-1</f>
        <v>-0.5174041493299073</v>
      </c>
      <c r="DC19" s="11">
        <f t="array" ref="DC19">PRODUCT(1+預測IC!$C19:DC19)-1</f>
        <v>-0.50042671690809271</v>
      </c>
      <c r="DD19" s="11">
        <f t="array" ref="DD19">PRODUCT(1+預測IC!$C19:DD19)-1</f>
        <v>-0.44734339073255314</v>
      </c>
      <c r="DE19" s="11">
        <f t="array" ref="DE19">PRODUCT(1+預測IC!$C19:DE19)-1</f>
        <v>-0.47720063939013124</v>
      </c>
      <c r="DF19" s="11">
        <f t="array" ref="DF19">PRODUCT(1+預測IC!$C19:DF19)-1</f>
        <v>-0.44076515903550539</v>
      </c>
      <c r="DG19" s="11">
        <f t="array" ref="DG19">PRODUCT(1+預測IC!$C19:DG19)-1</f>
        <v>-0.43363688616599061</v>
      </c>
      <c r="DH19" s="11">
        <f t="array" ref="DH19">PRODUCT(1+預測IC!$C19:DH19)-1</f>
        <v>-0.43354797671200151</v>
      </c>
      <c r="DI19" s="11">
        <f t="array" ref="DI19">PRODUCT(1+預測IC!$C19:DI19)-1</f>
        <v>-0.43562483025564358</v>
      </c>
      <c r="DJ19" s="11">
        <f t="array" ref="DJ19">PRODUCT(1+預測IC!$C19:DJ19)-1</f>
        <v>-0.40824453533132643</v>
      </c>
      <c r="DK19" s="11">
        <f t="array" ref="DK19">PRODUCT(1+預測IC!$C19:DK19)-1</f>
        <v>-0.48170777356167116</v>
      </c>
      <c r="DL19" s="11">
        <f t="array" ref="DL19">PRODUCT(1+預測IC!$C19:DL19)-1</f>
        <v>-0.51807499557367165</v>
      </c>
      <c r="DM19" s="11">
        <f t="array" ref="DM19">PRODUCT(1+預測IC!$C19:DM19)-1</f>
        <v>-0.47858015470366633</v>
      </c>
      <c r="DN19" s="11">
        <f t="array" ref="DN19">PRODUCT(1+預測IC!$C19:DN19)-1</f>
        <v>-0.47987073300632643</v>
      </c>
      <c r="DO19" s="11">
        <f t="array" ref="DO19">PRODUCT(1+預測IC!$C19:DO19)-1</f>
        <v>-0.50854367201941941</v>
      </c>
      <c r="DP19" s="11">
        <f t="array" ref="DP19">PRODUCT(1+預測IC!$C19:DP19)-1</f>
        <v>-0.52222484039550177</v>
      </c>
      <c r="DQ19" s="11">
        <f t="array" ref="DQ19">PRODUCT(1+預測IC!$C19:DQ19)-1</f>
        <v>-0.48382405761748615</v>
      </c>
      <c r="DR19" s="11">
        <f t="array" ref="DR19">PRODUCT(1+預測IC!$C19:DR19)-1</f>
        <v>-0.46669679515704565</v>
      </c>
      <c r="DS19" s="11">
        <f t="array" ref="DS19">PRODUCT(1+預測IC!$C19:DS19)-1</f>
        <v>-0.37177119951871873</v>
      </c>
      <c r="DT19" s="11">
        <f t="array" ref="DT19">PRODUCT(1+預測IC!$C19:DT19)-1</f>
        <v>-0.28813604126475334</v>
      </c>
      <c r="DU19" s="11">
        <f t="array" ref="DU19">PRODUCT(1+預測IC!$C19:DU19)-1</f>
        <v>-0.18646001511880084</v>
      </c>
      <c r="DV19" s="11">
        <f t="array" ref="DV19">PRODUCT(1+預測IC!$C19:DV19)-1</f>
        <v>-0.27718982311037044</v>
      </c>
      <c r="DW19" s="11">
        <f t="array" ref="DW19">PRODUCT(1+預測IC!$C19:DW19)-1</f>
        <v>-0.32099872583833866</v>
      </c>
      <c r="DX19" s="11">
        <f t="array" ref="DX19">PRODUCT(1+預測IC!$C19:DX19)-1</f>
        <v>-0.22704862339106668</v>
      </c>
      <c r="DY19" s="11">
        <f t="array" ref="DY19">PRODUCT(1+預測IC!$C19:DY19)-1</f>
        <v>-0.28123991797841785</v>
      </c>
      <c r="DZ19" s="11">
        <f t="array" ref="DZ19">PRODUCT(1+預測IC!$C19:DZ19)-1</f>
        <v>-0.20079569384421081</v>
      </c>
      <c r="EA19" s="11">
        <f t="array" ref="EA19">PRODUCT(1+預測IC!$C19:EA19)-1</f>
        <v>-0.17448610611248083</v>
      </c>
      <c r="EB19" s="11">
        <f t="array" ref="EB19">PRODUCT(1+預測IC!$C19:EB19)-1</f>
        <v>-8.470857289707312E-2</v>
      </c>
      <c r="EC19" s="11">
        <f t="array" ref="EC19">PRODUCT(1+預測IC!$C19:EC19)-1</f>
        <v>-0.21630386818136138</v>
      </c>
      <c r="ED19" s="11">
        <f t="array" ref="ED19">PRODUCT(1+預測IC!$C19:ED19)-1</f>
        <v>-0.2792231145346169</v>
      </c>
      <c r="EE19" s="11">
        <f t="array" ref="EE19">PRODUCT(1+預測IC!$C19:EE19)-1</f>
        <v>-0.26277795139690763</v>
      </c>
      <c r="EF19" s="11">
        <f t="array" ref="EF19">PRODUCT(1+預測IC!$C19:EF19)-1</f>
        <v>-0.27529447407077579</v>
      </c>
    </row>
    <row r="20" spans="1:136">
      <c r="A20" s="2">
        <v>5</v>
      </c>
      <c r="B20" s="2" t="s">
        <v>197</v>
      </c>
      <c r="C20" s="11">
        <f t="array" ref="C20">PRODUCT(1+預測IC!$C20:C20)-1</f>
        <v>0.20155100000000004</v>
      </c>
      <c r="D20" s="11">
        <f t="array" ref="D20">PRODUCT(1+預測IC!$C20:D20)-1</f>
        <v>0.66057448201580016</v>
      </c>
      <c r="E20" s="11">
        <f t="array" ref="E20">PRODUCT(1+預測IC!$C20:E20)-1</f>
        <v>0.75578385205707255</v>
      </c>
      <c r="F20" s="11">
        <f t="array" ref="F20">PRODUCT(1+預測IC!$C20:F20)-1</f>
        <v>1.0760725377222422</v>
      </c>
      <c r="G20" s="11">
        <f t="array" ref="G20">PRODUCT(1+預測IC!$C20:G20)-1</f>
        <v>1.40415054392792</v>
      </c>
      <c r="H20" s="11">
        <f t="array" ref="H20">PRODUCT(1+預測IC!$C20:H20)-1</f>
        <v>1.7501852208466624</v>
      </c>
      <c r="I20" s="11">
        <f t="array" ref="I20">PRODUCT(1+預測IC!$C20:I20)-1</f>
        <v>1.8270149452132793</v>
      </c>
      <c r="J20" s="11">
        <f t="array" ref="J20">PRODUCT(1+預測IC!$C20:J20)-1</f>
        <v>1.4504390270182101</v>
      </c>
      <c r="K20" s="11">
        <f t="array" ref="K20">PRODUCT(1+預測IC!$C20:K20)-1</f>
        <v>1.5420942682091883</v>
      </c>
      <c r="L20" s="11">
        <f t="array" ref="L20">PRODUCT(1+預測IC!$C20:L20)-1</f>
        <v>1.6201202928398937</v>
      </c>
      <c r="M20" s="11">
        <f t="array" ref="M20">PRODUCT(1+預測IC!$C20:M20)-1</f>
        <v>1.4164891857703643</v>
      </c>
      <c r="N20" s="11">
        <f t="array" ref="N20">PRODUCT(1+預測IC!$C20:N20)-1</f>
        <v>1.0101720232537059</v>
      </c>
      <c r="O20" s="11">
        <f t="array" ref="O20">PRODUCT(1+預測IC!$C20:O20)-1</f>
        <v>1.1104090221728939</v>
      </c>
      <c r="P20" s="11">
        <f t="array" ref="P20">PRODUCT(1+預測IC!$C20:P20)-1</f>
        <v>1.1948865849214529</v>
      </c>
      <c r="Q20" s="11">
        <f t="array" ref="Q20">PRODUCT(1+預測IC!$C20:Q20)-1</f>
        <v>1.6883554731949548</v>
      </c>
      <c r="R20" s="11">
        <f t="array" ref="R20">PRODUCT(1+預測IC!$C20:R20)-1</f>
        <v>1.8670493861560344</v>
      </c>
      <c r="S20" s="11">
        <f t="array" ref="S20">PRODUCT(1+預測IC!$C20:S20)-1</f>
        <v>1.7026487604847067</v>
      </c>
      <c r="T20" s="11">
        <f t="array" ref="T20">PRODUCT(1+預測IC!$C20:T20)-1</f>
        <v>1.4300979841146182</v>
      </c>
      <c r="U20" s="11">
        <f t="array" ref="U20">PRODUCT(1+預測IC!$C20:U20)-1</f>
        <v>1.4634398147308469</v>
      </c>
      <c r="V20" s="11">
        <f t="array" ref="V20">PRODUCT(1+預測IC!$C20:V20)-1</f>
        <v>1.2084304294710826</v>
      </c>
      <c r="W20" s="11">
        <f t="array" ref="W20">PRODUCT(1+預測IC!$C20:W20)-1</f>
        <v>0.70834535556589406</v>
      </c>
      <c r="X20" s="11">
        <f t="array" ref="X20">PRODUCT(1+預測IC!$C20:X20)-1</f>
        <v>0.96467061775106733</v>
      </c>
      <c r="Y20" s="11">
        <f t="array" ref="Y20">PRODUCT(1+預測IC!$C20:Y20)-1</f>
        <v>0.88202185709203484</v>
      </c>
      <c r="Z20" s="11">
        <f t="array" ref="Z20">PRODUCT(1+預測IC!$C20:Z20)-1</f>
        <v>0.68324842898216231</v>
      </c>
      <c r="AA20" s="11">
        <f t="array" ref="AA20">PRODUCT(1+預測IC!$C20:AA20)-1</f>
        <v>0.79596547678052376</v>
      </c>
      <c r="AB20" s="11">
        <f t="array" ref="AB20">PRODUCT(1+預測IC!$C20:AB20)-1</f>
        <v>0.64373972901890086</v>
      </c>
      <c r="AC20" s="11">
        <f t="array" ref="AC20">PRODUCT(1+預測IC!$C20:AC20)-1</f>
        <v>0.55096155935083302</v>
      </c>
      <c r="AD20" s="11">
        <f t="array" ref="AD20">PRODUCT(1+預測IC!$C20:AD20)-1</f>
        <v>0.75234244071699941</v>
      </c>
      <c r="AE20" s="11">
        <f t="array" ref="AE20">PRODUCT(1+預測IC!$C20:AE20)-1</f>
        <v>1.1015717850304561</v>
      </c>
      <c r="AF20" s="11">
        <f t="array" ref="AF20">PRODUCT(1+預測IC!$C20:AF20)-1</f>
        <v>1.0195165905755297</v>
      </c>
      <c r="AG20" s="11">
        <f t="array" ref="AG20">PRODUCT(1+預測IC!$C20:AG20)-1</f>
        <v>0.963658339851863</v>
      </c>
      <c r="AH20" s="11">
        <f t="array" ref="AH20">PRODUCT(1+預測IC!$C20:AH20)-1</f>
        <v>1.1407375157582811</v>
      </c>
      <c r="AI20" s="11">
        <f t="array" ref="AI20">PRODUCT(1+預測IC!$C20:AI20)-1</f>
        <v>0.97342914941851988</v>
      </c>
      <c r="AJ20" s="11">
        <f t="array" ref="AJ20">PRODUCT(1+預測IC!$C20:AJ20)-1</f>
        <v>1.0957620905681118</v>
      </c>
      <c r="AK20" s="11">
        <f t="array" ref="AK20">PRODUCT(1+預測IC!$C20:AK20)-1</f>
        <v>1.1242542182415294</v>
      </c>
      <c r="AL20" s="11">
        <f t="array" ref="AL20">PRODUCT(1+預測IC!$C20:AL20)-1</f>
        <v>0.96940999526979454</v>
      </c>
      <c r="AM20" s="11">
        <f t="array" ref="AM20">PRODUCT(1+預測IC!$C20:AM20)-1</f>
        <v>0.90423043997984598</v>
      </c>
      <c r="AN20" s="11">
        <f t="array" ref="AN20">PRODUCT(1+預測IC!$C20:AN20)-1</f>
        <v>0.76051780016979964</v>
      </c>
      <c r="AO20" s="11">
        <f t="array" ref="AO20">PRODUCT(1+預測IC!$C20:AO20)-1</f>
        <v>0.6807926072888173</v>
      </c>
      <c r="AP20" s="11">
        <f t="array" ref="AP20">PRODUCT(1+預測IC!$C20:AP20)-1</f>
        <v>0.90220419272161911</v>
      </c>
      <c r="AQ20" s="11">
        <f t="array" ref="AQ20">PRODUCT(1+預測IC!$C20:AQ20)-1</f>
        <v>0.84998396002065091</v>
      </c>
      <c r="AR20" s="11">
        <f t="array" ref="AR20">PRODUCT(1+預測IC!$C20:AR20)-1</f>
        <v>0.53539602894716443</v>
      </c>
      <c r="AS20" s="11">
        <f t="array" ref="AS20">PRODUCT(1+預測IC!$C20:AS20)-1</f>
        <v>0.36328456789855013</v>
      </c>
      <c r="AT20" s="11">
        <f t="array" ref="AT20">PRODUCT(1+預測IC!$C20:AT20)-1</f>
        <v>0.35529739204445265</v>
      </c>
      <c r="AU20" s="11">
        <f t="array" ref="AU20">PRODUCT(1+預測IC!$C20:AU20)-1</f>
        <v>0.25271169748786892</v>
      </c>
      <c r="AV20" s="11">
        <f t="array" ref="AV20">PRODUCT(1+預測IC!$C20:AV20)-1</f>
        <v>0.32114196812680351</v>
      </c>
      <c r="AW20" s="11">
        <f t="array" ref="AW20">PRODUCT(1+預測IC!$C20:AW20)-1</f>
        <v>0.31207197421288169</v>
      </c>
      <c r="AX20" s="11">
        <f t="array" ref="AX20">PRODUCT(1+預測IC!$C20:AX20)-1</f>
        <v>0.16678290135060259</v>
      </c>
      <c r="AY20" s="11">
        <f t="array" ref="AY20">PRODUCT(1+預測IC!$C20:AY20)-1</f>
        <v>0.1216579244925251</v>
      </c>
      <c r="AZ20" s="11">
        <f t="array" ref="AZ20">PRODUCT(1+預測IC!$C20:AZ20)-1</f>
        <v>0.36147111569807433</v>
      </c>
      <c r="BA20" s="11">
        <f t="array" ref="BA20">PRODUCT(1+預測IC!$C20:BA20)-1</f>
        <v>0.56751343140558941</v>
      </c>
      <c r="BB20" s="11">
        <f t="array" ref="BB20">PRODUCT(1+預測IC!$C20:BB20)-1</f>
        <v>0.30471130341482655</v>
      </c>
      <c r="BC20" s="11">
        <f t="array" ref="BC20">PRODUCT(1+預測IC!$C20:BC20)-1</f>
        <v>0.21259142118165841</v>
      </c>
      <c r="BD20" s="11">
        <f t="array" ref="BD20">PRODUCT(1+預測IC!$C20:BD20)-1</f>
        <v>0.27737995432950568</v>
      </c>
      <c r="BE20" s="11">
        <f t="array" ref="BE20">PRODUCT(1+預測IC!$C20:BE20)-1</f>
        <v>0.28497627378766088</v>
      </c>
      <c r="BF20" s="11">
        <f t="array" ref="BF20">PRODUCT(1+預測IC!$C20:BF20)-1</f>
        <v>0.2776665804604157</v>
      </c>
      <c r="BG20" s="11">
        <f t="array" ref="BG20">PRODUCT(1+預測IC!$C20:BG20)-1</f>
        <v>0.15748663552023023</v>
      </c>
      <c r="BH20" s="11">
        <f t="array" ref="BH20">PRODUCT(1+預測IC!$C20:BH20)-1</f>
        <v>-1.620268444421058E-2</v>
      </c>
      <c r="BI20" s="11">
        <f t="array" ref="BI20">PRODUCT(1+預測IC!$C20:BI20)-1</f>
        <v>9.6201732792453143E-2</v>
      </c>
      <c r="BJ20" s="11">
        <f t="array" ref="BJ20">PRODUCT(1+預測IC!$C20:BJ20)-1</f>
        <v>4.2334616629488009E-2</v>
      </c>
      <c r="BK20" s="11">
        <f t="array" ref="BK20">PRODUCT(1+預測IC!$C20:BK20)-1</f>
        <v>-6.4607126551479044E-2</v>
      </c>
      <c r="BL20" s="11">
        <f t="array" ref="BL20">PRODUCT(1+預測IC!$C20:BL20)-1</f>
        <v>-4.6101875178897411E-2</v>
      </c>
      <c r="BM20" s="11">
        <f t="array" ref="BM20">PRODUCT(1+預測IC!$C20:BM20)-1</f>
        <v>-0.1767073755749855</v>
      </c>
      <c r="BN20" s="11">
        <f t="array" ref="BN20">PRODUCT(1+預測IC!$C20:BN20)-1</f>
        <v>-0.27431467802913545</v>
      </c>
      <c r="BO20" s="11">
        <f t="array" ref="BO20">PRODUCT(1+預測IC!$C20:BO20)-1</f>
        <v>-0.2464035741699997</v>
      </c>
      <c r="BP20" s="11">
        <f t="array" ref="BP20">PRODUCT(1+預測IC!$C20:BP20)-1</f>
        <v>-0.29192646591021409</v>
      </c>
      <c r="BQ20" s="11">
        <f t="array" ref="BQ20">PRODUCT(1+預測IC!$C20:BQ20)-1</f>
        <v>-0.30286741066569789</v>
      </c>
      <c r="BR20" s="11">
        <f t="array" ref="BR20">PRODUCT(1+預測IC!$C20:BR20)-1</f>
        <v>-0.31128433281663104</v>
      </c>
      <c r="BS20" s="11">
        <f t="array" ref="BS20">PRODUCT(1+預測IC!$C20:BS20)-1</f>
        <v>-0.3336925219403154</v>
      </c>
      <c r="BT20" s="11">
        <f t="array" ref="BT20">PRODUCT(1+預測IC!$C20:BT20)-1</f>
        <v>-0.29873230139699303</v>
      </c>
      <c r="BU20" s="11">
        <f t="array" ref="BU20">PRODUCT(1+預測IC!$C20:BU20)-1</f>
        <v>-0.40353044754392497</v>
      </c>
      <c r="BV20" s="11">
        <f t="array" ref="BV20">PRODUCT(1+預測IC!$C20:BV20)-1</f>
        <v>-0.32377662297893361</v>
      </c>
      <c r="BW20" s="11">
        <f t="array" ref="BW20">PRODUCT(1+預測IC!$C20:BW20)-1</f>
        <v>-9.247969141121859E-2</v>
      </c>
      <c r="BX20" s="11">
        <f t="array" ref="BX20">PRODUCT(1+預測IC!$C20:BX20)-1</f>
        <v>-0.12033479004570835</v>
      </c>
      <c r="BY20" s="11">
        <f t="array" ref="BY20">PRODUCT(1+預測IC!$C20:BY20)-1</f>
        <v>-0.15832559520017231</v>
      </c>
      <c r="BZ20" s="11">
        <f t="array" ref="BZ20">PRODUCT(1+預測IC!$C20:BZ20)-1</f>
        <v>-2.8466174340002759E-3</v>
      </c>
      <c r="CA20" s="11">
        <f t="array" ref="CA20">PRODUCT(1+預測IC!$C20:CA20)-1</f>
        <v>4.722663625561041E-2</v>
      </c>
      <c r="CB20" s="11">
        <f t="array" ref="CB20">PRODUCT(1+預測IC!$C20:CB20)-1</f>
        <v>4.733948026759971E-2</v>
      </c>
      <c r="CC20" s="11">
        <f t="array" ref="CC20">PRODUCT(1+預測IC!$C20:CC20)-1</f>
        <v>0.15357047541134095</v>
      </c>
      <c r="CD20" s="11">
        <f t="array" ref="CD20">PRODUCT(1+預測IC!$C20:CD20)-1</f>
        <v>-6.4292282259298172E-2</v>
      </c>
      <c r="CE20" s="11">
        <f t="array" ref="CE20">PRODUCT(1+預測IC!$C20:CE20)-1</f>
        <v>-0.17074632106076093</v>
      </c>
      <c r="CF20" s="11">
        <f t="array" ref="CF20">PRODUCT(1+預測IC!$C20:CF20)-1</f>
        <v>-0.27955136946849224</v>
      </c>
      <c r="CG20" s="11">
        <f t="array" ref="CG20">PRODUCT(1+預測IC!$C20:CG20)-1</f>
        <v>-0.33428402537301338</v>
      </c>
      <c r="CH20" s="11">
        <f t="array" ref="CH20">PRODUCT(1+預測IC!$C20:CH20)-1</f>
        <v>-0.34905974389488315</v>
      </c>
      <c r="CI20" s="11">
        <f t="array" ref="CI20">PRODUCT(1+預測IC!$C20:CI20)-1</f>
        <v>-0.40452519301022782</v>
      </c>
      <c r="CJ20" s="11">
        <f t="array" ref="CJ20">PRODUCT(1+預測IC!$C20:CJ20)-1</f>
        <v>-0.42924334318758617</v>
      </c>
      <c r="CK20" s="11">
        <f t="array" ref="CK20">PRODUCT(1+預測IC!$C20:CK20)-1</f>
        <v>-0.38324627885346729</v>
      </c>
      <c r="CL20" s="11">
        <f t="array" ref="CL20">PRODUCT(1+預測IC!$C20:CL20)-1</f>
        <v>-0.29115683758614685</v>
      </c>
      <c r="CM20" s="11">
        <f t="array" ref="CM20">PRODUCT(1+預測IC!$C20:CM20)-1</f>
        <v>-0.42516446336371327</v>
      </c>
      <c r="CN20" s="11">
        <f t="array" ref="CN20">PRODUCT(1+預測IC!$C20:CN20)-1</f>
        <v>-0.43790248049041003</v>
      </c>
      <c r="CO20" s="11">
        <f t="array" ref="CO20">PRODUCT(1+預測IC!$C20:CO20)-1</f>
        <v>-0.20408602480481586</v>
      </c>
      <c r="CP20" s="11">
        <f t="array" ref="CP20">PRODUCT(1+預測IC!$C20:CP20)-1</f>
        <v>-0.35692634462466355</v>
      </c>
      <c r="CQ20" s="11">
        <f t="array" ref="CQ20">PRODUCT(1+預測IC!$C20:CQ20)-1</f>
        <v>-0.36085639790741264</v>
      </c>
      <c r="CR20" s="11">
        <f t="array" ref="CR20">PRODUCT(1+預測IC!$C20:CR20)-1</f>
        <v>-0.40758817779236423</v>
      </c>
      <c r="CS20" s="11">
        <f t="array" ref="CS20">PRODUCT(1+預測IC!$C20:CS20)-1</f>
        <v>-0.45993622015525837</v>
      </c>
      <c r="CT20" s="11">
        <f t="array" ref="CT20">PRODUCT(1+預測IC!$C20:CT20)-1</f>
        <v>-0.50879797077902156</v>
      </c>
      <c r="CU20" s="11">
        <f t="array" ref="CU20">PRODUCT(1+預測IC!$C20:CU20)-1</f>
        <v>-0.46219878453106833</v>
      </c>
      <c r="CV20" s="11">
        <f t="array" ref="CV20">PRODUCT(1+預測IC!$C20:CV20)-1</f>
        <v>-0.5119513534844069</v>
      </c>
      <c r="CW20" s="11">
        <f t="array" ref="CW20">PRODUCT(1+預測IC!$C20:CW20)-1</f>
        <v>-0.51680893237182335</v>
      </c>
      <c r="CX20" s="11">
        <f t="array" ref="CX20">PRODUCT(1+預測IC!$C20:CX20)-1</f>
        <v>-0.5604403855708957</v>
      </c>
      <c r="CY20" s="11">
        <f t="array" ref="CY20">PRODUCT(1+預測IC!$C20:CY20)-1</f>
        <v>-0.55495479909104084</v>
      </c>
      <c r="CZ20" s="11">
        <f t="array" ref="CZ20">PRODUCT(1+預測IC!$C20:CZ20)-1</f>
        <v>-0.62400874462983036</v>
      </c>
      <c r="DA20" s="11">
        <f t="array" ref="DA20">PRODUCT(1+預測IC!$C20:DA20)-1</f>
        <v>-0.60615972792761663</v>
      </c>
      <c r="DB20" s="11">
        <f t="array" ref="DB20">PRODUCT(1+預測IC!$C20:DB20)-1</f>
        <v>-0.58374914923521104</v>
      </c>
      <c r="DC20" s="11">
        <f t="array" ref="DC20">PRODUCT(1+預測IC!$C20:DC20)-1</f>
        <v>-0.56309766695685859</v>
      </c>
      <c r="DD20" s="11">
        <f t="array" ref="DD20">PRODUCT(1+預測IC!$C20:DD20)-1</f>
        <v>-0.49838858042797352</v>
      </c>
      <c r="DE20" s="11">
        <f t="array" ref="DE20">PRODUCT(1+預測IC!$C20:DE20)-1</f>
        <v>-0.48497054321323807</v>
      </c>
      <c r="DF20" s="11">
        <f t="array" ref="DF20">PRODUCT(1+預測IC!$C20:DF20)-1</f>
        <v>-0.48541301610939447</v>
      </c>
      <c r="DG20" s="11">
        <f t="array" ref="DG20">PRODUCT(1+預測IC!$C20:DG20)-1</f>
        <v>-0.48325061322058482</v>
      </c>
      <c r="DH20" s="11">
        <f t="array" ref="DH20">PRODUCT(1+預測IC!$C20:DH20)-1</f>
        <v>-0.47757907593298232</v>
      </c>
      <c r="DI20" s="11">
        <f t="array" ref="DI20">PRODUCT(1+預測IC!$C20:DI20)-1</f>
        <v>-0.46562779257420195</v>
      </c>
      <c r="DJ20" s="11">
        <f t="array" ref="DJ20">PRODUCT(1+預測IC!$C20:DJ20)-1</f>
        <v>-0.44454149398159293</v>
      </c>
      <c r="DK20" s="11">
        <f t="array" ref="DK20">PRODUCT(1+預測IC!$C20:DK20)-1</f>
        <v>-0.4917299055959341</v>
      </c>
      <c r="DL20" s="11">
        <f t="array" ref="DL20">PRODUCT(1+預測IC!$C20:DL20)-1</f>
        <v>-0.53027031712474471</v>
      </c>
      <c r="DM20" s="11">
        <f t="array" ref="DM20">PRODUCT(1+預測IC!$C20:DM20)-1</f>
        <v>-0.53463112322642947</v>
      </c>
      <c r="DN20" s="11">
        <f t="array" ref="DN20">PRODUCT(1+預測IC!$C20:DN20)-1</f>
        <v>-0.56163145625838773</v>
      </c>
      <c r="DO20" s="11">
        <f t="array" ref="DO20">PRODUCT(1+預測IC!$C20:DO20)-1</f>
        <v>-0.59048303346528541</v>
      </c>
      <c r="DP20" s="11">
        <f t="array" ref="DP20">PRODUCT(1+預測IC!$C20:DP20)-1</f>
        <v>-0.59450880285990593</v>
      </c>
      <c r="DQ20" s="11">
        <f t="array" ref="DQ20">PRODUCT(1+預測IC!$C20:DQ20)-1</f>
        <v>-0.57120920502501904</v>
      </c>
      <c r="DR20" s="11">
        <f t="array" ref="DR20">PRODUCT(1+預測IC!$C20:DR20)-1</f>
        <v>-0.53338604760418096</v>
      </c>
      <c r="DS20" s="11">
        <f t="array" ref="DS20">PRODUCT(1+預測IC!$C20:DS20)-1</f>
        <v>-0.43722573214907645</v>
      </c>
      <c r="DT20" s="11">
        <f t="array" ref="DT20">PRODUCT(1+預測IC!$C20:DT20)-1</f>
        <v>-0.36213139359838553</v>
      </c>
      <c r="DU20" s="11">
        <f t="array" ref="DU20">PRODUCT(1+預測IC!$C20:DU20)-1</f>
        <v>-0.25237391198020764</v>
      </c>
      <c r="DV20" s="11">
        <f t="array" ref="DV20">PRODUCT(1+預測IC!$C20:DV20)-1</f>
        <v>-0.34907596109416783</v>
      </c>
      <c r="DW20" s="11">
        <f t="array" ref="DW20">PRODUCT(1+預測IC!$C20:DW20)-1</f>
        <v>-0.39402890798219548</v>
      </c>
      <c r="DX20" s="11">
        <f t="array" ref="DX20">PRODUCT(1+預測IC!$C20:DX20)-1</f>
        <v>-0.30079036020588545</v>
      </c>
      <c r="DY20" s="11">
        <f t="array" ref="DY20">PRODUCT(1+預測IC!$C20:DY20)-1</f>
        <v>-0.33828100873691314</v>
      </c>
      <c r="DZ20" s="11">
        <f t="array" ref="DZ20">PRODUCT(1+預測IC!$C20:DZ20)-1</f>
        <v>-0.28238257599044903</v>
      </c>
      <c r="EA20" s="11">
        <f t="array" ref="EA20">PRODUCT(1+預測IC!$C20:EA20)-1</f>
        <v>-0.28663488927669201</v>
      </c>
      <c r="EB20" s="11">
        <f t="array" ref="EB20">PRODUCT(1+預測IC!$C20:EB20)-1</f>
        <v>-0.22784850898243714</v>
      </c>
      <c r="EC20" s="11">
        <f t="array" ref="EC20">PRODUCT(1+預測IC!$C20:EC20)-1</f>
        <v>-0.32900509976508174</v>
      </c>
      <c r="ED20" s="11">
        <f t="array" ref="ED20">PRODUCT(1+預測IC!$C20:ED20)-1</f>
        <v>-0.3678071004364224</v>
      </c>
      <c r="EE20" s="11">
        <f t="array" ref="EE20">PRODUCT(1+預測IC!$C20:EE20)-1</f>
        <v>-0.35515212388085304</v>
      </c>
      <c r="EF20" s="11">
        <f t="array" ref="EF20">PRODUCT(1+預測IC!$C20:EF20)-1</f>
        <v>-0.36823055231030843</v>
      </c>
    </row>
    <row r="21" spans="1:136">
      <c r="A21" s="2">
        <v>4</v>
      </c>
      <c r="B21" s="2" t="s">
        <v>198</v>
      </c>
      <c r="C21" s="11">
        <f t="array" ref="C21">PRODUCT(1+預測IC!$C21:C21)-1</f>
        <v>0.21463049999999995</v>
      </c>
      <c r="D21" s="11">
        <f t="array" ref="D21">PRODUCT(1+預測IC!$C21:D21)-1</f>
        <v>0.3681464342645</v>
      </c>
      <c r="E21" s="11">
        <f t="array" ref="E21">PRODUCT(1+預測IC!$C21:E21)-1</f>
        <v>0.34941445735976773</v>
      </c>
      <c r="F21" s="11">
        <f t="array" ref="F21">PRODUCT(1+預測IC!$C21:F21)-1</f>
        <v>0.62390290037469032</v>
      </c>
      <c r="G21" s="11">
        <f t="array" ref="G21">PRODUCT(1+預測IC!$C21:G21)-1</f>
        <v>0.85990795669194475</v>
      </c>
      <c r="H21" s="11">
        <f t="array" ref="H21">PRODUCT(1+預測IC!$C21:H21)-1</f>
        <v>1.1615180705809371</v>
      </c>
      <c r="I21" s="11">
        <f t="array" ref="I21">PRODUCT(1+預測IC!$C21:I21)-1</f>
        <v>1.192021413592975</v>
      </c>
      <c r="J21" s="11">
        <f t="array" ref="J21">PRODUCT(1+預測IC!$C21:J21)-1</f>
        <v>0.89228111746615135</v>
      </c>
      <c r="K21" s="11">
        <f t="array" ref="K21">PRODUCT(1+預測IC!$C21:K21)-1</f>
        <v>0.89506277070882678</v>
      </c>
      <c r="L21" s="11">
        <f t="array" ref="L21">PRODUCT(1+預測IC!$C21:L21)-1</f>
        <v>0.8855287099093907</v>
      </c>
      <c r="M21" s="11">
        <f t="array" ref="M21">PRODUCT(1+預測IC!$C21:M21)-1</f>
        <v>0.69757054710256394</v>
      </c>
      <c r="N21" s="11">
        <f t="array" ref="N21">PRODUCT(1+預測IC!$C21:N21)-1</f>
        <v>0.46152221520656478</v>
      </c>
      <c r="O21" s="11">
        <f t="array" ref="O21">PRODUCT(1+預測IC!$C21:O21)-1</f>
        <v>0.51172841093990606</v>
      </c>
      <c r="P21" s="11">
        <f t="array" ref="P21">PRODUCT(1+預測IC!$C21:P21)-1</f>
        <v>0.58040283125998138</v>
      </c>
      <c r="Q21" s="11">
        <f t="array" ref="Q21">PRODUCT(1+預測IC!$C21:Q21)-1</f>
        <v>1.0135687265679967</v>
      </c>
      <c r="R21" s="11">
        <f t="array" ref="R21">PRODUCT(1+預測IC!$C21:R21)-1</f>
        <v>1.1845312826894343</v>
      </c>
      <c r="S21" s="11">
        <f t="array" ref="S21">PRODUCT(1+預測IC!$C21:S21)-1</f>
        <v>1.1046609960645641</v>
      </c>
      <c r="T21" s="11">
        <f t="array" ref="T21">PRODUCT(1+預測IC!$C21:T21)-1</f>
        <v>0.82869784626057852</v>
      </c>
      <c r="U21" s="11">
        <f t="array" ref="U21">PRODUCT(1+預測IC!$C21:U21)-1</f>
        <v>0.68200750295509938</v>
      </c>
      <c r="V21" s="11">
        <f t="array" ref="V21">PRODUCT(1+預測IC!$C21:V21)-1</f>
        <v>0.50477307656804582</v>
      </c>
      <c r="W21" s="11">
        <f t="array" ref="W21">PRODUCT(1+預測IC!$C21:W21)-1</f>
        <v>1.8850929031481334E-2</v>
      </c>
      <c r="X21" s="11">
        <f t="array" ref="X21">PRODUCT(1+預測IC!$C21:X21)-1</f>
        <v>0.23056917093515206</v>
      </c>
      <c r="Y21" s="11">
        <f t="array" ref="Y21">PRODUCT(1+預測IC!$C21:Y21)-1</f>
        <v>0.20493262139218538</v>
      </c>
      <c r="Z21" s="11">
        <f t="array" ref="Z21">PRODUCT(1+預測IC!$C21:Z21)-1</f>
        <v>6.7324511694468292E-2</v>
      </c>
      <c r="AA21" s="11">
        <f t="array" ref="AA21">PRODUCT(1+預測IC!$C21:AA21)-1</f>
        <v>9.7247488042078611E-2</v>
      </c>
      <c r="AB21" s="11">
        <f t="array" ref="AB21">PRODUCT(1+預測IC!$C21:AB21)-1</f>
        <v>-4.5218667591538697E-2</v>
      </c>
      <c r="AC21" s="11">
        <f t="array" ref="AC21">PRODUCT(1+預測IC!$C21:AC21)-1</f>
        <v>-0.11615999929381993</v>
      </c>
      <c r="AD21" s="11">
        <f t="array" ref="AD21">PRODUCT(1+預測IC!$C21:AD21)-1</f>
        <v>-2.2997531228466928E-3</v>
      </c>
      <c r="AE21" s="11">
        <f t="array" ref="AE21">PRODUCT(1+預測IC!$C21:AE21)-1</f>
        <v>0.23760336767932566</v>
      </c>
      <c r="AF21" s="11">
        <f t="array" ref="AF21">PRODUCT(1+預測IC!$C21:AF21)-1</f>
        <v>0.17185493397369722</v>
      </c>
      <c r="AG21" s="11">
        <f t="array" ref="AG21">PRODUCT(1+預測IC!$C21:AG21)-1</f>
        <v>0.11993850523198679</v>
      </c>
      <c r="AH21" s="11">
        <f t="array" ref="AH21">PRODUCT(1+預測IC!$C21:AH21)-1</f>
        <v>0.24042301561362756</v>
      </c>
      <c r="AI21" s="11">
        <f t="array" ref="AI21">PRODUCT(1+預測IC!$C21:AI21)-1</f>
        <v>0.14169252644704433</v>
      </c>
      <c r="AJ21" s="11">
        <f t="array" ref="AJ21">PRODUCT(1+預測IC!$C21:AJ21)-1</f>
        <v>0.2220737791692764</v>
      </c>
      <c r="AK21" s="11">
        <f t="array" ref="AK21">PRODUCT(1+預測IC!$C21:AK21)-1</f>
        <v>0.26582789152657127</v>
      </c>
      <c r="AL21" s="11">
        <f t="array" ref="AL21">PRODUCT(1+預測IC!$C21:AL21)-1</f>
        <v>0.18306828836793687</v>
      </c>
      <c r="AM21" s="11">
        <f t="array" ref="AM21">PRODUCT(1+預測IC!$C21:AM21)-1</f>
        <v>0.1019857479589541</v>
      </c>
      <c r="AN21" s="11">
        <f t="array" ref="AN21">PRODUCT(1+預測IC!$C21:AN21)-1</f>
        <v>-2.1388230220269477E-2</v>
      </c>
      <c r="AO21" s="11">
        <f t="array" ref="AO21">PRODUCT(1+預測IC!$C21:AO21)-1</f>
        <v>-6.8093842726384413E-2</v>
      </c>
      <c r="AP21" s="11">
        <f t="array" ref="AP21">PRODUCT(1+預測IC!$C21:AP21)-1</f>
        <v>-4.9789581475778721E-4</v>
      </c>
      <c r="AQ21" s="11">
        <f t="array" ref="AQ21">PRODUCT(1+預測IC!$C21:AQ21)-1</f>
        <v>-7.7325131811065595E-2</v>
      </c>
      <c r="AR21" s="11">
        <f t="array" ref="AR21">PRODUCT(1+預測IC!$C21:AR21)-1</f>
        <v>-0.26664166333208006</v>
      </c>
      <c r="AS21" s="11">
        <f t="array" ref="AS21">PRODUCT(1+預測IC!$C21:AS21)-1</f>
        <v>-0.31391091195125809</v>
      </c>
      <c r="AT21" s="11">
        <f t="array" ref="AT21">PRODUCT(1+預測IC!$C21:AT21)-1</f>
        <v>-0.31220055272652836</v>
      </c>
      <c r="AU21" s="11">
        <f t="array" ref="AU21">PRODUCT(1+預測IC!$C21:AU21)-1</f>
        <v>-0.34508399085273733</v>
      </c>
      <c r="AV21" s="11">
        <f t="array" ref="AV21">PRODUCT(1+預測IC!$C21:AV21)-1</f>
        <v>-0.30872254314970171</v>
      </c>
      <c r="AW21" s="11">
        <f t="array" ref="AW21">PRODUCT(1+預測IC!$C21:AW21)-1</f>
        <v>-0.31549086143631522</v>
      </c>
      <c r="AX21" s="11">
        <f t="array" ref="AX21">PRODUCT(1+預測IC!$C21:AX21)-1</f>
        <v>-0.41347676167362191</v>
      </c>
      <c r="AY21" s="11">
        <f t="array" ref="AY21">PRODUCT(1+預測IC!$C21:AY21)-1</f>
        <v>-0.44105584152834765</v>
      </c>
      <c r="AZ21" s="11">
        <f t="array" ref="AZ21">PRODUCT(1+預測IC!$C21:AZ21)-1</f>
        <v>-0.29857467629075241</v>
      </c>
      <c r="BA21" s="11">
        <f t="array" ref="BA21">PRODUCT(1+預測IC!$C21:BA21)-1</f>
        <v>-0.20066096179086923</v>
      </c>
      <c r="BB21" s="11">
        <f t="array" ref="BB21">PRODUCT(1+預測IC!$C21:BB21)-1</f>
        <v>-0.38078892463655944</v>
      </c>
      <c r="BC21" s="11">
        <f t="array" ref="BC21">PRODUCT(1+預測IC!$C21:BC21)-1</f>
        <v>-0.40451780372863799</v>
      </c>
      <c r="BD21" s="11">
        <f t="array" ref="BD21">PRODUCT(1+預測IC!$C21:BD21)-1</f>
        <v>-0.39156555183789821</v>
      </c>
      <c r="BE21" s="11">
        <f t="array" ref="BE21">PRODUCT(1+預測IC!$C21:BE21)-1</f>
        <v>-0.3954294351210812</v>
      </c>
      <c r="BF21" s="11">
        <f t="array" ref="BF21">PRODUCT(1+預測IC!$C21:BF21)-1</f>
        <v>-0.39759204459779507</v>
      </c>
      <c r="BG21" s="11">
        <f t="array" ref="BG21">PRODUCT(1+預測IC!$C21:BG21)-1</f>
        <v>-0.4531856070426038</v>
      </c>
      <c r="BH21" s="11">
        <f t="array" ref="BH21">PRODUCT(1+預測IC!$C21:BH21)-1</f>
        <v>-0.5116084103662828</v>
      </c>
      <c r="BI21" s="11">
        <f t="array" ref="BI21">PRODUCT(1+預測IC!$C21:BI21)-1</f>
        <v>-0.43645732735695997</v>
      </c>
      <c r="BJ21" s="11">
        <f t="array" ref="BJ21">PRODUCT(1+預測IC!$C21:BJ21)-1</f>
        <v>-0.45448083900597502</v>
      </c>
      <c r="BK21" s="11">
        <f t="array" ref="BK21">PRODUCT(1+預測IC!$C21:BK21)-1</f>
        <v>-0.49974428866526521</v>
      </c>
      <c r="BL21" s="11">
        <f t="array" ref="BL21">PRODUCT(1+預測IC!$C21:BL21)-1</f>
        <v>-0.49786682898062595</v>
      </c>
      <c r="BM21" s="11">
        <f t="array" ref="BM21">PRODUCT(1+預測IC!$C21:BM21)-1</f>
        <v>-0.5757577284380655</v>
      </c>
      <c r="BN21" s="11">
        <f t="array" ref="BN21">PRODUCT(1+預測IC!$C21:BN21)-1</f>
        <v>-0.6027598784745527</v>
      </c>
      <c r="BO21" s="11">
        <f t="array" ref="BO21">PRODUCT(1+預測IC!$C21:BO21)-1</f>
        <v>-0.57739322212130317</v>
      </c>
      <c r="BP21" s="11">
        <f t="array" ref="BP21">PRODUCT(1+預測IC!$C21:BP21)-1</f>
        <v>-0.62155948856414955</v>
      </c>
      <c r="BQ21" s="11">
        <f t="array" ref="BQ21">PRODUCT(1+預測IC!$C21:BQ21)-1</f>
        <v>-0.64220047829601179</v>
      </c>
      <c r="BR21" s="11">
        <f t="array" ref="BR21">PRODUCT(1+預測IC!$C21:BR21)-1</f>
        <v>-0.64660995029094426</v>
      </c>
      <c r="BS21" s="11">
        <f t="array" ref="BS21">PRODUCT(1+預測IC!$C21:BS21)-1</f>
        <v>-0.66984245566808531</v>
      </c>
      <c r="BT21" s="11">
        <f t="array" ref="BT21">PRODUCT(1+預測IC!$C21:BT21)-1</f>
        <v>-0.64976161350672956</v>
      </c>
      <c r="BU21" s="11">
        <f t="array" ref="BU21">PRODUCT(1+預測IC!$C21:BU21)-1</f>
        <v>-0.70956061513981761</v>
      </c>
      <c r="BV21" s="11">
        <f t="array" ref="BV21">PRODUCT(1+預測IC!$C21:BV21)-1</f>
        <v>-0.70397248876526142</v>
      </c>
      <c r="BW21" s="11">
        <f t="array" ref="BW21">PRODUCT(1+預測IC!$C21:BW21)-1</f>
        <v>-0.58493087166555835</v>
      </c>
      <c r="BX21" s="11">
        <f t="array" ref="BX21">PRODUCT(1+預測IC!$C21:BX21)-1</f>
        <v>-0.58368947491217082</v>
      </c>
      <c r="BY21" s="11">
        <f t="array" ref="BY21">PRODUCT(1+預測IC!$C21:BY21)-1</f>
        <v>-0.58990072386884984</v>
      </c>
      <c r="BZ21" s="11">
        <f t="array" ref="BZ21">PRODUCT(1+預測IC!$C21:BZ21)-1</f>
        <v>-0.48680074060128842</v>
      </c>
      <c r="CA21" s="11">
        <f t="array" ref="CA21">PRODUCT(1+預測IC!$C21:CA21)-1</f>
        <v>-0.43801601900284692</v>
      </c>
      <c r="CB21" s="11">
        <f t="array" ref="CB21">PRODUCT(1+預測IC!$C21:CB21)-1</f>
        <v>-0.47930279001476161</v>
      </c>
      <c r="CC21" s="11">
        <f t="array" ref="CC21">PRODUCT(1+預測IC!$C21:CC21)-1</f>
        <v>-0.45154568291061725</v>
      </c>
      <c r="CD21" s="11">
        <f t="array" ref="CD21">PRODUCT(1+預測IC!$C21:CD21)-1</f>
        <v>-0.53424622648401643</v>
      </c>
      <c r="CE21" s="11">
        <f t="array" ref="CE21">PRODUCT(1+預測IC!$C21:CE21)-1</f>
        <v>-0.60195516288554074</v>
      </c>
      <c r="CF21" s="11">
        <f t="array" ref="CF21">PRODUCT(1+預測IC!$C21:CF21)-1</f>
        <v>-0.65257372873171227</v>
      </c>
      <c r="CG21" s="11">
        <f t="array" ref="CG21">PRODUCT(1+預測IC!$C21:CG21)-1</f>
        <v>-0.68213460957510108</v>
      </c>
      <c r="CH21" s="11">
        <f t="array" ref="CH21">PRODUCT(1+預測IC!$C21:CH21)-1</f>
        <v>-0.73192073427585469</v>
      </c>
      <c r="CI21" s="11">
        <f t="array" ref="CI21">PRODUCT(1+預測IC!$C21:CI21)-1</f>
        <v>-0.75153950601381081</v>
      </c>
      <c r="CJ21" s="11">
        <f t="array" ref="CJ21">PRODUCT(1+預測IC!$C21:CJ21)-1</f>
        <v>-0.76523982848613359</v>
      </c>
      <c r="CK21" s="11">
        <f t="array" ref="CK21">PRODUCT(1+預測IC!$C21:CK21)-1</f>
        <v>-0.74947342215883594</v>
      </c>
      <c r="CL21" s="11">
        <f t="array" ref="CL21">PRODUCT(1+預測IC!$C21:CL21)-1</f>
        <v>-0.70251644364515065</v>
      </c>
      <c r="CM21" s="11">
        <f t="array" ref="CM21">PRODUCT(1+預測IC!$C21:CM21)-1</f>
        <v>-0.7695998746040319</v>
      </c>
      <c r="CN21" s="11">
        <f t="array" ref="CN21">PRODUCT(1+預測IC!$C21:CN21)-1</f>
        <v>-0.7766360387364355</v>
      </c>
      <c r="CO21" s="11">
        <f t="array" ref="CO21">PRODUCT(1+預測IC!$C21:CO21)-1</f>
        <v>-0.66163369729272725</v>
      </c>
      <c r="CP21" s="11">
        <f t="array" ref="CP21">PRODUCT(1+預測IC!$C21:CP21)-1</f>
        <v>-0.7369878935046712</v>
      </c>
      <c r="CQ21" s="11">
        <f t="array" ref="CQ21">PRODUCT(1+預測IC!$C21:CQ21)-1</f>
        <v>-0.73785270143563708</v>
      </c>
      <c r="CR21" s="11">
        <f t="array" ref="CR21">PRODUCT(1+預測IC!$C21:CR21)-1</f>
        <v>-0.76166204055206888</v>
      </c>
      <c r="CS21" s="11">
        <f t="array" ref="CS21">PRODUCT(1+預測IC!$C21:CS21)-1</f>
        <v>-0.77826142049259273</v>
      </c>
      <c r="CT21" s="11">
        <f t="array" ref="CT21">PRODUCT(1+預測IC!$C21:CT21)-1</f>
        <v>-0.79650892522289751</v>
      </c>
      <c r="CU21" s="11">
        <f t="array" ref="CU21">PRODUCT(1+預測IC!$C21:CU21)-1</f>
        <v>-0.78375541510390034</v>
      </c>
      <c r="CV21" s="11">
        <f t="array" ref="CV21">PRODUCT(1+預測IC!$C21:CV21)-1</f>
        <v>-0.80499617612652219</v>
      </c>
      <c r="CW21" s="11">
        <f t="array" ref="CW21">PRODUCT(1+預測IC!$C21:CW21)-1</f>
        <v>-0.81767248106880608</v>
      </c>
      <c r="CX21" s="11">
        <f t="array" ref="CX21">PRODUCT(1+預測IC!$C21:CX21)-1</f>
        <v>-0.83629216398427664</v>
      </c>
      <c r="CY21" s="11">
        <f t="array" ref="CY21">PRODUCT(1+預測IC!$C21:CY21)-1</f>
        <v>-0.83490360780452555</v>
      </c>
      <c r="CZ21" s="11">
        <f t="array" ref="CZ21">PRODUCT(1+預測IC!$C21:CZ21)-1</f>
        <v>-0.87410597244973987</v>
      </c>
      <c r="DA21" s="11">
        <f t="array" ref="DA21">PRODUCT(1+預測IC!$C21:DA21)-1</f>
        <v>-0.87425607041695064</v>
      </c>
      <c r="DB21" s="11">
        <f t="array" ref="DB21">PRODUCT(1+預測IC!$C21:DB21)-1</f>
        <v>-0.86776461126401139</v>
      </c>
      <c r="DC21" s="11">
        <f t="array" ref="DC21">PRODUCT(1+預測IC!$C21:DC21)-1</f>
        <v>-0.86180772975851205</v>
      </c>
      <c r="DD21" s="11">
        <f t="array" ref="DD21">PRODUCT(1+預測IC!$C21:DD21)-1</f>
        <v>-0.87857358756507242</v>
      </c>
      <c r="DE21" s="11">
        <f t="array" ref="DE21">PRODUCT(1+預測IC!$C21:DE21)-1</f>
        <v>-0.88005961718594106</v>
      </c>
      <c r="DF21" s="11">
        <f t="array" ref="DF21">PRODUCT(1+預測IC!$C21:DF21)-1</f>
        <v>-0.88264563747065239</v>
      </c>
      <c r="DG21" s="11">
        <f t="array" ref="DG21">PRODUCT(1+預測IC!$C21:DG21)-1</f>
        <v>-0.88356644417409069</v>
      </c>
      <c r="DH21" s="11">
        <f t="array" ref="DH21">PRODUCT(1+預測IC!$C21:DH21)-1</f>
        <v>-0.88520545840614873</v>
      </c>
      <c r="DI21" s="11">
        <f t="array" ref="DI21">PRODUCT(1+預測IC!$C21:DI21)-1</f>
        <v>-0.88915524910272237</v>
      </c>
      <c r="DJ21" s="11">
        <f t="array" ref="DJ21">PRODUCT(1+預測IC!$C21:DJ21)-1</f>
        <v>-0.88495297903592607</v>
      </c>
      <c r="DK21" s="11">
        <f t="array" ref="DK21">PRODUCT(1+預測IC!$C21:DK21)-1</f>
        <v>-0.90100234987186556</v>
      </c>
      <c r="DL21" s="11">
        <f t="array" ref="DL21">PRODUCT(1+預測IC!$C21:DL21)-1</f>
        <v>-0.91074024767196149</v>
      </c>
      <c r="DM21" s="11">
        <f t="array" ref="DM21">PRODUCT(1+預測IC!$C21:DM21)-1</f>
        <v>-0.90807726154177004</v>
      </c>
      <c r="DN21" s="11">
        <f t="array" ref="DN21">PRODUCT(1+預測IC!$C21:DN21)-1</f>
        <v>-0.91462194105390582</v>
      </c>
      <c r="DO21" s="11">
        <f t="array" ref="DO21">PRODUCT(1+預測IC!$C21:DO21)-1</f>
        <v>-0.92166100277137208</v>
      </c>
      <c r="DP21" s="11">
        <f t="array" ref="DP21">PRODUCT(1+預測IC!$C21:DP21)-1</f>
        <v>-0.92356198902799636</v>
      </c>
      <c r="DQ21" s="11">
        <f t="array" ref="DQ21">PRODUCT(1+預測IC!$C21:DQ21)-1</f>
        <v>-0.91817901800381829</v>
      </c>
      <c r="DR21" s="11">
        <f t="array" ref="DR21">PRODUCT(1+預測IC!$C21:DR21)-1</f>
        <v>-0.9086552590824627</v>
      </c>
      <c r="DS21" s="11">
        <f t="array" ref="DS21">PRODUCT(1+預測IC!$C21:DS21)-1</f>
        <v>-0.89030962937878044</v>
      </c>
      <c r="DT21" s="11">
        <f t="array" ref="DT21">PRODUCT(1+預測IC!$C21:DT21)-1</f>
        <v>-0.8715996548150533</v>
      </c>
      <c r="DU21" s="11">
        <f t="array" ref="DU21">PRODUCT(1+預測IC!$C21:DU21)-1</f>
        <v>-0.86799285136957161</v>
      </c>
      <c r="DV21" s="11">
        <f t="array" ref="DV21">PRODUCT(1+預測IC!$C21:DV21)-1</f>
        <v>-0.88651028309751212</v>
      </c>
      <c r="DW21" s="11">
        <f t="array" ref="DW21">PRODUCT(1+預測IC!$C21:DW21)-1</f>
        <v>-0.90106509740555074</v>
      </c>
      <c r="DX21" s="11">
        <f t="array" ref="DX21">PRODUCT(1+預測IC!$C21:DX21)-1</f>
        <v>-0.88266654813451706</v>
      </c>
      <c r="DY21" s="11">
        <f t="array" ref="DY21">PRODUCT(1+預測IC!$C21:DY21)-1</f>
        <v>-0.88555248119306051</v>
      </c>
      <c r="DZ21" s="11">
        <f t="array" ref="DZ21">PRODUCT(1+預測IC!$C21:DZ21)-1</f>
        <v>-0.87950460889156667</v>
      </c>
      <c r="EA21" s="11">
        <f t="array" ref="EA21">PRODUCT(1+預測IC!$C21:EA21)-1</f>
        <v>-0.88372995536488885</v>
      </c>
      <c r="EB21" s="11">
        <f t="array" ref="EB21">PRODUCT(1+預測IC!$C21:EB21)-1</f>
        <v>-0.88067179809467799</v>
      </c>
      <c r="EC21" s="11">
        <f t="array" ref="EC21">PRODUCT(1+預測IC!$C21:EC21)-1</f>
        <v>-0.89738896535460899</v>
      </c>
      <c r="ED21" s="11">
        <f t="array" ref="ED21">PRODUCT(1+預測IC!$C21:ED21)-1</f>
        <v>-0.88413621631034445</v>
      </c>
      <c r="EE21" s="11">
        <f t="array" ref="EE21">PRODUCT(1+預測IC!$C21:EE21)-1</f>
        <v>-0.88540561359908221</v>
      </c>
      <c r="EF21" s="11">
        <f t="array" ref="EF21">PRODUCT(1+預測IC!$C21:EF21)-1</f>
        <v>-0.88325453211420601</v>
      </c>
    </row>
    <row r="22" spans="1:136">
      <c r="A22" s="2">
        <v>3</v>
      </c>
      <c r="B22" s="2" t="s">
        <v>199</v>
      </c>
      <c r="C22" s="11">
        <f t="array" ref="C22">PRODUCT(1+預測IC!$C22:C22)-1</f>
        <v>0.20528266666666672</v>
      </c>
      <c r="D22" s="11">
        <f t="array" ref="D22">PRODUCT(1+預測IC!$C22:D22)-1</f>
        <v>0.37695027335822218</v>
      </c>
      <c r="E22" s="11">
        <f t="array" ref="E22">PRODUCT(1+預測IC!$C22:E22)-1</f>
        <v>0.35305100644696785</v>
      </c>
      <c r="F22" s="11">
        <f t="array" ref="F22">PRODUCT(1+預測IC!$C22:F22)-1</f>
        <v>0.16380246827724343</v>
      </c>
      <c r="G22" s="11">
        <f t="array" ref="G22">PRODUCT(1+預測IC!$C22:G22)-1</f>
        <v>0.43490482218424198</v>
      </c>
      <c r="H22" s="11">
        <f t="array" ref="H22">PRODUCT(1+預測IC!$C22:H22)-1</f>
        <v>0.61308843319343653</v>
      </c>
      <c r="I22" s="11">
        <f t="array" ref="I22">PRODUCT(1+預測IC!$C22:I22)-1</f>
        <v>0.64121962007604139</v>
      </c>
      <c r="J22" s="11">
        <f t="array" ref="J22">PRODUCT(1+預測IC!$C22:J22)-1</f>
        <v>0.47011919224387388</v>
      </c>
      <c r="K22" s="11">
        <f t="array" ref="K22">PRODUCT(1+預測IC!$C22:K22)-1</f>
        <v>0.51224790789627561</v>
      </c>
      <c r="L22" s="11">
        <f t="array" ref="L22">PRODUCT(1+預測IC!$C22:L22)-1</f>
        <v>0.53383071003777127</v>
      </c>
      <c r="M22" s="11">
        <f t="array" ref="M22">PRODUCT(1+預測IC!$C22:M22)-1</f>
        <v>0.4201737642798633</v>
      </c>
      <c r="N22" s="11">
        <f t="array" ref="N22">PRODUCT(1+預測IC!$C22:N22)-1</f>
        <v>0.28095290767109216</v>
      </c>
      <c r="O22" s="11">
        <f t="array" ref="O22">PRODUCT(1+預測IC!$C22:O22)-1</f>
        <v>0.27235018382058085</v>
      </c>
      <c r="P22" s="11">
        <f t="array" ref="P22">PRODUCT(1+預測IC!$C22:P22)-1</f>
        <v>0.38766370509696801</v>
      </c>
      <c r="Q22" s="11">
        <f t="array" ref="Q22">PRODUCT(1+預測IC!$C22:Q22)-1</f>
        <v>0.56427814060861614</v>
      </c>
      <c r="R22" s="11">
        <f t="array" ref="R22">PRODUCT(1+預測IC!$C22:R22)-1</f>
        <v>0.66861184260488282</v>
      </c>
      <c r="S22" s="11">
        <f t="array" ref="S22">PRODUCT(1+預測IC!$C22:S22)-1</f>
        <v>0.60314830659186058</v>
      </c>
      <c r="T22" s="11">
        <f t="array" ref="T22">PRODUCT(1+預測IC!$C22:T22)-1</f>
        <v>0.43506141294231715</v>
      </c>
      <c r="U22" s="11">
        <f t="array" ref="U22">PRODUCT(1+預測IC!$C22:U22)-1</f>
        <v>0.21689019910141516</v>
      </c>
      <c r="V22" s="11">
        <f t="array" ref="V22">PRODUCT(1+預測IC!$C22:V22)-1</f>
        <v>0.14749808855270841</v>
      </c>
      <c r="W22" s="11">
        <f t="array" ref="W22">PRODUCT(1+預測IC!$C22:W22)-1</f>
        <v>-0.24975827409757945</v>
      </c>
      <c r="X22" s="11">
        <f t="array" ref="X22">PRODUCT(1+預測IC!$C22:X22)-1</f>
        <v>-5.6794601712025106E-2</v>
      </c>
      <c r="Y22" s="11">
        <f t="array" ref="Y22">PRODUCT(1+預測IC!$C22:Y22)-1</f>
        <v>-7.1633305614649645E-2</v>
      </c>
      <c r="Z22" s="11">
        <f t="array" ref="Z22">PRODUCT(1+預測IC!$C22:Z22)-1</f>
        <v>-0.14176980250811344</v>
      </c>
      <c r="AA22" s="11">
        <f t="array" ref="AA22">PRODUCT(1+預測IC!$C22:AA22)-1</f>
        <v>-4.0393362966511859E-2</v>
      </c>
      <c r="AB22" s="11">
        <f t="array" ref="AB22">PRODUCT(1+預測IC!$C22:AB22)-1</f>
        <v>-0.16939924494386482</v>
      </c>
      <c r="AC22" s="11">
        <f t="array" ref="AC22">PRODUCT(1+預測IC!$C22:AC22)-1</f>
        <v>-0.23121286946148889</v>
      </c>
      <c r="AD22" s="11">
        <f t="array" ref="AD22">PRODUCT(1+預測IC!$C22:AD22)-1</f>
        <v>-0.22077940305057386</v>
      </c>
      <c r="AE22" s="11">
        <f t="array" ref="AE22">PRODUCT(1+預測IC!$C22:AE22)-1</f>
        <v>-4.2633123989413657E-2</v>
      </c>
      <c r="AF22" s="11">
        <f t="array" ref="AF22">PRODUCT(1+預測IC!$C22:AF22)-1</f>
        <v>-8.7803910612565095E-2</v>
      </c>
      <c r="AG22" s="11">
        <f t="array" ref="AG22">PRODUCT(1+預測IC!$C22:AG22)-1</f>
        <v>-0.13600575691807848</v>
      </c>
      <c r="AH22" s="11">
        <f t="array" ref="AH22">PRODUCT(1+預測IC!$C22:AH22)-1</f>
        <v>-4.4538177440445748E-2</v>
      </c>
      <c r="AI22" s="11">
        <f t="array" ref="AI22">PRODUCT(1+預測IC!$C22:AI22)-1</f>
        <v>-0.1344865579262059</v>
      </c>
      <c r="AJ22" s="11">
        <f t="array" ref="AJ22">PRODUCT(1+預測IC!$C22:AJ22)-1</f>
        <v>-0.10704991222248561</v>
      </c>
      <c r="AK22" s="11">
        <f t="array" ref="AK22">PRODUCT(1+預測IC!$C22:AK22)-1</f>
        <v>-0.19749554142648007</v>
      </c>
      <c r="AL22" s="11">
        <f t="array" ref="AL22">PRODUCT(1+預測IC!$C22:AL22)-1</f>
        <v>-0.22986934715218399</v>
      </c>
      <c r="AM22" s="11">
        <f t="array" ref="AM22">PRODUCT(1+預測IC!$C22:AM22)-1</f>
        <v>-0.29462878927702352</v>
      </c>
      <c r="AN22" s="11">
        <f t="array" ref="AN22">PRODUCT(1+預測IC!$C22:AN22)-1</f>
        <v>-0.3730186737804545</v>
      </c>
      <c r="AO22" s="11">
        <f t="array" ref="AO22">PRODUCT(1+預測IC!$C22:AO22)-1</f>
        <v>-0.4198650716424811</v>
      </c>
      <c r="AP22" s="11">
        <f t="array" ref="AP22">PRODUCT(1+預測IC!$C22:AP22)-1</f>
        <v>-0.38358554845993009</v>
      </c>
      <c r="AQ22" s="11">
        <f t="array" ref="AQ22">PRODUCT(1+預測IC!$C22:AQ22)-1</f>
        <v>-0.43254495510345425</v>
      </c>
      <c r="AR22" s="11">
        <f t="array" ref="AR22">PRODUCT(1+預測IC!$C22:AR22)-1</f>
        <v>-0.574710987235871</v>
      </c>
      <c r="AS22" s="11">
        <f t="array" ref="AS22">PRODUCT(1+預測IC!$C22:AS22)-1</f>
        <v>-0.60992935704159956</v>
      </c>
      <c r="AT22" s="11">
        <f t="array" ref="AT22">PRODUCT(1+預測IC!$C22:AT22)-1</f>
        <v>-0.6001244002170254</v>
      </c>
      <c r="AU22" s="11">
        <f t="array" ref="AU22">PRODUCT(1+預測IC!$C22:AU22)-1</f>
        <v>-0.61352041351788533</v>
      </c>
      <c r="AV22" s="11">
        <f t="array" ref="AV22">PRODUCT(1+預測IC!$C22:AV22)-1</f>
        <v>-0.59040384173000948</v>
      </c>
      <c r="AW22" s="11">
        <f t="array" ref="AW22">PRODUCT(1+預測IC!$C22:AW22)-1</f>
        <v>-0.57805476773663189</v>
      </c>
      <c r="AX22" s="11">
        <f t="array" ref="AX22">PRODUCT(1+預測IC!$C22:AX22)-1</f>
        <v>-0.65137340590007575</v>
      </c>
      <c r="AY22" s="11">
        <f t="array" ref="AY22">PRODUCT(1+預測IC!$C22:AY22)-1</f>
        <v>-0.67638157171240598</v>
      </c>
      <c r="AZ22" s="11">
        <f t="array" ref="AZ22">PRODUCT(1+預測IC!$C22:AZ22)-1</f>
        <v>-0.62625185443630493</v>
      </c>
      <c r="BA22" s="11">
        <f t="array" ref="BA22">PRODUCT(1+預測IC!$C22:BA22)-1</f>
        <v>-0.60764866507358706</v>
      </c>
      <c r="BB22" s="11">
        <f t="array" ref="BB22">PRODUCT(1+預測IC!$C22:BB22)-1</f>
        <v>-0.72611128186827989</v>
      </c>
      <c r="BC22" s="11">
        <f t="array" ref="BC22">PRODUCT(1+預測IC!$C22:BC22)-1</f>
        <v>-0.69027652060150446</v>
      </c>
      <c r="BD22" s="11">
        <f t="array" ref="BD22">PRODUCT(1+預測IC!$C22:BD22)-1</f>
        <v>-0.68340865596509448</v>
      </c>
      <c r="BE22" s="11">
        <f t="array" ref="BE22">PRODUCT(1+預測IC!$C22:BE22)-1</f>
        <v>-0.690442107325279</v>
      </c>
      <c r="BF22" s="11">
        <f t="array" ref="BF22">PRODUCT(1+預測IC!$C22:BF22)-1</f>
        <v>-0.69466411087910473</v>
      </c>
      <c r="BG22" s="11">
        <f t="array" ref="BG22">PRODUCT(1+預測IC!$C22:BG22)-1</f>
        <v>-0.68207466358557967</v>
      </c>
      <c r="BH22" s="11">
        <f t="array" ref="BH22">PRODUCT(1+預測IC!$C22:BH22)-1</f>
        <v>-0.72267595751041491</v>
      </c>
      <c r="BI22" s="11">
        <f t="array" ref="BI22">PRODUCT(1+預測IC!$C22:BI22)-1</f>
        <v>-0.69846056035705573</v>
      </c>
      <c r="BJ22" s="11">
        <f t="array" ref="BJ22">PRODUCT(1+預測IC!$C22:BJ22)-1</f>
        <v>-0.6953746131348133</v>
      </c>
      <c r="BK22" s="11">
        <f t="array" ref="BK22">PRODUCT(1+預測IC!$C22:BK22)-1</f>
        <v>-0.70172750104512227</v>
      </c>
      <c r="BL22" s="11">
        <f t="array" ref="BL22">PRODUCT(1+預測IC!$C22:BL22)-1</f>
        <v>-0.6963991611237923</v>
      </c>
      <c r="BM22" s="11">
        <f t="array" ref="BM22">PRODUCT(1+預測IC!$C22:BM22)-1</f>
        <v>-0.75462890319662135</v>
      </c>
      <c r="BN22" s="11">
        <f t="array" ref="BN22">PRODUCT(1+預測IC!$C22:BN22)-1</f>
        <v>-0.75086796494541663</v>
      </c>
      <c r="BO22" s="11">
        <f t="array" ref="BO22">PRODUCT(1+預測IC!$C22:BO22)-1</f>
        <v>-0.7382906763819882</v>
      </c>
      <c r="BP22" s="11">
        <f t="array" ref="BP22">PRODUCT(1+預測IC!$C22:BP22)-1</f>
        <v>-0.7578758375956629</v>
      </c>
      <c r="BQ22" s="11">
        <f t="array" ref="BQ22">PRODUCT(1+預測IC!$C22:BQ22)-1</f>
        <v>-0.76461417661786046</v>
      </c>
      <c r="BR22" s="11">
        <f t="array" ref="BR22">PRODUCT(1+預測IC!$C22:BR22)-1</f>
        <v>-0.76951340521967571</v>
      </c>
      <c r="BS22" s="11">
        <f t="array" ref="BS22">PRODUCT(1+預測IC!$C22:BS22)-1</f>
        <v>-0.79188157370231438</v>
      </c>
      <c r="BT22" s="11">
        <f t="array" ref="BT22">PRODUCT(1+預測IC!$C22:BT22)-1</f>
        <v>-0.81034674232995907</v>
      </c>
      <c r="BU22" s="11">
        <f t="array" ref="BU22">PRODUCT(1+預測IC!$C22:BU22)-1</f>
        <v>-0.83013724942108547</v>
      </c>
      <c r="BV22" s="11">
        <f t="array" ref="BV22">PRODUCT(1+預測IC!$C22:BV22)-1</f>
        <v>-0.83002162950885805</v>
      </c>
      <c r="BW22" s="11">
        <f t="array" ref="BW22">PRODUCT(1+預測IC!$C22:BW22)-1</f>
        <v>-0.7573192741147825</v>
      </c>
      <c r="BX22" s="11">
        <f t="array" ref="BX22">PRODUCT(1+預測IC!$C22:BX22)-1</f>
        <v>-0.76621047602989056</v>
      </c>
      <c r="BY22" s="11">
        <f t="array" ref="BY22">PRODUCT(1+預測IC!$C22:BY22)-1</f>
        <v>-0.75864730699961624</v>
      </c>
      <c r="BZ22" s="11">
        <f t="array" ref="BZ22">PRODUCT(1+預測IC!$C22:BZ22)-1</f>
        <v>-0.69115785345591885</v>
      </c>
      <c r="CA22" s="11">
        <f t="array" ref="CA22">PRODUCT(1+預測IC!$C22:CA22)-1</f>
        <v>-0.64665977403446551</v>
      </c>
      <c r="CB22" s="11">
        <f t="array" ref="CB22">PRODUCT(1+預測IC!$C22:CB22)-1</f>
        <v>-0.66913372100599189</v>
      </c>
      <c r="CC22" s="11">
        <f t="array" ref="CC22">PRODUCT(1+預測IC!$C22:CC22)-1</f>
        <v>-0.67655553661206369</v>
      </c>
      <c r="CD22" s="11">
        <f t="array" ref="CD22">PRODUCT(1+預測IC!$C22:CD22)-1</f>
        <v>-0.77869013179949198</v>
      </c>
      <c r="CE22" s="11">
        <f t="array" ref="CE22">PRODUCT(1+預測IC!$C22:CE22)-1</f>
        <v>-0.80833291356188686</v>
      </c>
      <c r="CF22" s="11">
        <f t="array" ref="CF22">PRODUCT(1+預測IC!$C22:CF22)-1</f>
        <v>-0.83815068997712172</v>
      </c>
      <c r="CG22" s="11">
        <f t="array" ref="CG22">PRODUCT(1+預測IC!$C22:CG22)-1</f>
        <v>-0.87166730817971405</v>
      </c>
      <c r="CH22" s="11">
        <f t="array" ref="CH22">PRODUCT(1+預測IC!$C22:CH22)-1</f>
        <v>-0.8913800161898362</v>
      </c>
      <c r="CI22" s="11">
        <f t="array" ref="CI22">PRODUCT(1+預測IC!$C22:CI22)-1</f>
        <v>-0.89839874874735526</v>
      </c>
      <c r="CJ22" s="11">
        <f t="array" ref="CJ22">PRODUCT(1+預測IC!$C22:CJ22)-1</f>
        <v>-0.91123356331499961</v>
      </c>
      <c r="CK22" s="11">
        <f t="array" ref="CK22">PRODUCT(1+預測IC!$C22:CK22)-1</f>
        <v>-0.90138727589925682</v>
      </c>
      <c r="CL22" s="11">
        <f t="array" ref="CL22">PRODUCT(1+預測IC!$C22:CL22)-1</f>
        <v>-0.89201936176218399</v>
      </c>
      <c r="CM22" s="11">
        <f t="array" ref="CM22">PRODUCT(1+預測IC!$C22:CM22)-1</f>
        <v>-0.92661981402897819</v>
      </c>
      <c r="CN22" s="11">
        <f t="array" ref="CN22">PRODUCT(1+預測IC!$C22:CN22)-1</f>
        <v>-0.92599265032330813</v>
      </c>
      <c r="CO22" s="11">
        <f t="array" ref="CO22">PRODUCT(1+預測IC!$C22:CO22)-1</f>
        <v>-0.87789109470296511</v>
      </c>
      <c r="CP22" s="11">
        <f t="array" ref="CP22">PRODUCT(1+預測IC!$C22:CP22)-1</f>
        <v>-0.90956718961918237</v>
      </c>
      <c r="CQ22" s="11">
        <f t="array" ref="CQ22">PRODUCT(1+預測IC!$C22:CQ22)-1</f>
        <v>-0.90845181129214569</v>
      </c>
      <c r="CR22" s="11">
        <f t="array" ref="CR22">PRODUCT(1+預測IC!$C22:CR22)-1</f>
        <v>-0.92326892420389128</v>
      </c>
      <c r="CS22" s="11">
        <f t="array" ref="CS22">PRODUCT(1+預測IC!$C22:CS22)-1</f>
        <v>-0.92210244430784261</v>
      </c>
      <c r="CT22" s="11">
        <f t="array" ref="CT22">PRODUCT(1+預測IC!$C22:CT22)-1</f>
        <v>-0.9266386153832652</v>
      </c>
      <c r="CU22" s="11">
        <f t="array" ref="CU22">PRODUCT(1+預測IC!$C22:CU22)-1</f>
        <v>-0.91781825051873855</v>
      </c>
      <c r="CV22" s="11">
        <f t="array" ref="CV22">PRODUCT(1+預測IC!$C22:CV22)-1</f>
        <v>-0.92704181194160096</v>
      </c>
      <c r="CW22" s="11">
        <f t="array" ref="CW22">PRODUCT(1+預測IC!$C22:CW22)-1</f>
        <v>-0.92970122933673571</v>
      </c>
      <c r="CX22" s="11">
        <f t="array" ref="CX22">PRODUCT(1+預測IC!$C22:CX22)-1</f>
        <v>-0.92996482113395273</v>
      </c>
      <c r="CY22" s="11">
        <f t="array" ref="CY22">PRODUCT(1+預測IC!$C22:CY22)-1</f>
        <v>-0.92940532229197526</v>
      </c>
      <c r="CZ22" s="11">
        <f t="array" ref="CZ22">PRODUCT(1+預測IC!$C22:CZ22)-1</f>
        <v>-0.94796610916509627</v>
      </c>
      <c r="DA22" s="11">
        <f t="array" ref="DA22">PRODUCT(1+預測IC!$C22:DA22)-1</f>
        <v>-0.9477584026793644</v>
      </c>
      <c r="DB22" s="11">
        <f t="array" ref="DB22">PRODUCT(1+預測IC!$C22:DB22)-1</f>
        <v>-0.9447083550254638</v>
      </c>
      <c r="DC22" s="11">
        <f t="array" ref="DC22">PRODUCT(1+預測IC!$C22:DC22)-1</f>
        <v>-0.94356244760180363</v>
      </c>
      <c r="DD22" s="11">
        <f t="array" ref="DD22">PRODUCT(1+預測IC!$C22:DD22)-1</f>
        <v>-0.95190922876514039</v>
      </c>
      <c r="DE22" s="11">
        <f t="array" ref="DE22">PRODUCT(1+預測IC!$C22:DE22)-1</f>
        <v>-0.95164512588835326</v>
      </c>
      <c r="DF22" s="11">
        <f t="array" ref="DF22">PRODUCT(1+預測IC!$C22:DF22)-1</f>
        <v>-0.9524686952376038</v>
      </c>
      <c r="DG22" s="11">
        <f t="array" ref="DG22">PRODUCT(1+預測IC!$C22:DG22)-1</f>
        <v>-0.95398898606811977</v>
      </c>
      <c r="DH22" s="11">
        <f t="array" ref="DH22">PRODUCT(1+預測IC!$C22:DH22)-1</f>
        <v>-0.95463062558565392</v>
      </c>
      <c r="DI22" s="11">
        <f t="array" ref="DI22">PRODUCT(1+預測IC!$C22:DI22)-1</f>
        <v>-0.95751434835933291</v>
      </c>
      <c r="DJ22" s="11">
        <f t="array" ref="DJ22">PRODUCT(1+預測IC!$C22:DJ22)-1</f>
        <v>-0.95537961405917304</v>
      </c>
      <c r="DK22" s="11">
        <f t="array" ref="DK22">PRODUCT(1+預測IC!$C22:DK22)-1</f>
        <v>-0.96337267412534777</v>
      </c>
      <c r="DL22" s="11">
        <f t="array" ref="DL22">PRODUCT(1+預測IC!$C22:DL22)-1</f>
        <v>-0.96794895257234093</v>
      </c>
      <c r="DM22" s="11">
        <f t="array" ref="DM22">PRODUCT(1+預測IC!$C22:DM22)-1</f>
        <v>-0.96591479916047462</v>
      </c>
      <c r="DN22" s="11">
        <f t="array" ref="DN22">PRODUCT(1+預測IC!$C22:DN22)-1</f>
        <v>-0.96750873659423287</v>
      </c>
      <c r="DO22" s="11">
        <f t="array" ref="DO22">PRODUCT(1+預測IC!$C22:DO22)-1</f>
        <v>-0.97151937696349899</v>
      </c>
      <c r="DP22" s="11">
        <f t="array" ref="DP22">PRODUCT(1+預測IC!$C22:DP22)-1</f>
        <v>-0.97181065563910474</v>
      </c>
      <c r="DQ22" s="11">
        <f t="array" ref="DQ22">PRODUCT(1+預測IC!$C22:DQ22)-1</f>
        <v>-0.967148020629651</v>
      </c>
      <c r="DR22" s="11">
        <f t="array" ref="DR22">PRODUCT(1+預測IC!$C22:DR22)-1</f>
        <v>-0.9628893951170161</v>
      </c>
      <c r="DS22" s="11">
        <f t="array" ref="DS22">PRODUCT(1+預測IC!$C22:DS22)-1</f>
        <v>-0.95557671622508755</v>
      </c>
      <c r="DT22" s="11">
        <f t="array" ref="DT22">PRODUCT(1+預測IC!$C22:DT22)-1</f>
        <v>-0.95298430625416908</v>
      </c>
      <c r="DU22" s="11">
        <f t="array" ref="DU22">PRODUCT(1+預測IC!$C22:DU22)-1</f>
        <v>-0.95028112056678748</v>
      </c>
      <c r="DV22" s="11">
        <f t="array" ref="DV22">PRODUCT(1+預測IC!$C22:DV22)-1</f>
        <v>-0.95653103815676654</v>
      </c>
      <c r="DW22" s="11">
        <f t="array" ref="DW22">PRODUCT(1+預測IC!$C22:DW22)-1</f>
        <v>-0.95993855806548767</v>
      </c>
      <c r="DX22" s="11">
        <f t="array" ref="DX22">PRODUCT(1+預測IC!$C22:DX22)-1</f>
        <v>-0.9510271864233748</v>
      </c>
      <c r="DY22" s="11">
        <f t="array" ref="DY22">PRODUCT(1+預測IC!$C22:DY22)-1</f>
        <v>-0.95062819919968522</v>
      </c>
      <c r="DZ22" s="11">
        <f t="array" ref="DZ22">PRODUCT(1+預測IC!$C22:DZ22)-1</f>
        <v>-0.94550597455100627</v>
      </c>
      <c r="EA22" s="11">
        <f t="array" ref="EA22">PRODUCT(1+預測IC!$C22:EA22)-1</f>
        <v>-0.94736919298502265</v>
      </c>
      <c r="EB22" s="11">
        <f t="array" ref="EB22">PRODUCT(1+預測IC!$C22:EB22)-1</f>
        <v>-0.94053950629734873</v>
      </c>
      <c r="EC22" s="11">
        <f t="array" ref="EC22">PRODUCT(1+預測IC!$C22:EC22)-1</f>
        <v>-0.9388491151136461</v>
      </c>
      <c r="ED22" s="11">
        <f t="array" ref="ED22">PRODUCT(1+預測IC!$C22:ED22)-1</f>
        <v>-0.92761679910123362</v>
      </c>
      <c r="EE22" s="11">
        <f t="array" ref="EE22">PRODUCT(1+預測IC!$C22:EE22)-1</f>
        <v>-0.9302153094852933</v>
      </c>
      <c r="EF22" s="11">
        <f t="array" ref="EF22">PRODUCT(1+預測IC!$C22:EF22)-1</f>
        <v>-0.92778748290928093</v>
      </c>
    </row>
    <row r="23" spans="1:136">
      <c r="A23" s="2">
        <v>2</v>
      </c>
      <c r="B23" s="2" t="s">
        <v>200</v>
      </c>
      <c r="C23" s="11">
        <f t="array" ref="C23">PRODUCT(1+預測IC!$C23:C23)-1</f>
        <v>0.28298899999999994</v>
      </c>
      <c r="D23" s="11">
        <f t="array" ref="D23">PRODUCT(1+預測IC!$C23:D23)-1</f>
        <v>0.60898880696599988</v>
      </c>
      <c r="E23" s="11">
        <f t="array" ref="E23">PRODUCT(1+預測IC!$C23:E23)-1</f>
        <v>0.82299236323651281</v>
      </c>
      <c r="F23" s="11">
        <f t="array" ref="F23">PRODUCT(1+預測IC!$C23:F23)-1</f>
        <v>0.81617072581328176</v>
      </c>
      <c r="G23" s="11">
        <f t="array" ref="G23">PRODUCT(1+預測IC!$C23:G23)-1</f>
        <v>1.4729561777305902</v>
      </c>
      <c r="H23" s="11">
        <f t="array" ref="H23">PRODUCT(1+預測IC!$C23:H23)-1</f>
        <v>1.4279768142919371</v>
      </c>
      <c r="I23" s="11">
        <f t="array" ref="I23">PRODUCT(1+預測IC!$C23:I23)-1</f>
        <v>1.3396336639155177</v>
      </c>
      <c r="J23" s="11">
        <f t="array" ref="J23">PRODUCT(1+預測IC!$C23:J23)-1</f>
        <v>1.0708670769563908</v>
      </c>
      <c r="K23" s="11">
        <f t="array" ref="K23">PRODUCT(1+預測IC!$C23:K23)-1</f>
        <v>0.94678382800577943</v>
      </c>
      <c r="L23" s="11">
        <f t="array" ref="L23">PRODUCT(1+預測IC!$C23:L23)-1</f>
        <v>1.0456239897374608</v>
      </c>
      <c r="M23" s="11">
        <f t="array" ref="M23">PRODUCT(1+預測IC!$C23:M23)-1</f>
        <v>0.51693264068858169</v>
      </c>
      <c r="N23" s="11">
        <f t="array" ref="N23">PRODUCT(1+預測IC!$C23:N23)-1</f>
        <v>0.32458556107892944</v>
      </c>
      <c r="O23" s="11">
        <f t="array" ref="O23">PRODUCT(1+預測IC!$C23:O23)-1</f>
        <v>0.29887838696137825</v>
      </c>
      <c r="P23" s="11">
        <f t="array" ref="P23">PRODUCT(1+預測IC!$C23:P23)-1</f>
        <v>0.36990300547800703</v>
      </c>
      <c r="Q23" s="11">
        <f t="array" ref="Q23">PRODUCT(1+預測IC!$C23:Q23)-1</f>
        <v>0.76878793785557931</v>
      </c>
      <c r="R23" s="11">
        <f t="array" ref="R23">PRODUCT(1+預測IC!$C23:R23)-1</f>
        <v>0.87990319611166701</v>
      </c>
      <c r="S23" s="11">
        <f t="array" ref="S23">PRODUCT(1+預測IC!$C23:S23)-1</f>
        <v>0.74347768121824531</v>
      </c>
      <c r="T23" s="11">
        <f t="array" ref="T23">PRODUCT(1+預測IC!$C23:T23)-1</f>
        <v>0.59584522160572795</v>
      </c>
      <c r="U23" s="11">
        <f t="array" ref="U23">PRODUCT(1+預測IC!$C23:U23)-1</f>
        <v>0.25595927708517241</v>
      </c>
      <c r="V23" s="11">
        <f t="array" ref="V23">PRODUCT(1+預測IC!$C23:V23)-1</f>
        <v>0.33553310279271753</v>
      </c>
      <c r="W23" s="11">
        <f t="array" ref="W23">PRODUCT(1+預測IC!$C23:W23)-1</f>
        <v>-0.33746784514243156</v>
      </c>
      <c r="X23" s="11">
        <f t="array" ref="X23">PRODUCT(1+預測IC!$C23:X23)-1</f>
        <v>-0.20856823922196255</v>
      </c>
      <c r="Y23" s="11">
        <f t="array" ref="Y23">PRODUCT(1+預測IC!$C23:Y23)-1</f>
        <v>-0.22017047175989501</v>
      </c>
      <c r="Z23" s="11">
        <f t="array" ref="Z23">PRODUCT(1+預測IC!$C23:Z23)-1</f>
        <v>-0.24593020269507626</v>
      </c>
      <c r="AA23" s="11">
        <f t="array" ref="AA23">PRODUCT(1+預測IC!$C23:AA23)-1</f>
        <v>-0.13157400979419009</v>
      </c>
      <c r="AB23" s="11">
        <f t="array" ref="AB23">PRODUCT(1+預測IC!$C23:AB23)-1</f>
        <v>-0.18718781904624793</v>
      </c>
      <c r="AC23" s="11">
        <f t="array" ref="AC23">PRODUCT(1+預測IC!$C23:AC23)-1</f>
        <v>-0.24924305266321201</v>
      </c>
      <c r="AD23" s="11">
        <f t="array" ref="AD23">PRODUCT(1+預測IC!$C23:AD23)-1</f>
        <v>-0.19546858479632001</v>
      </c>
      <c r="AE23" s="11">
        <f t="array" ref="AE23">PRODUCT(1+預測IC!$C23:AE23)-1</f>
        <v>7.1912803874718767E-2</v>
      </c>
      <c r="AF23" s="11">
        <f t="array" ref="AF23">PRODUCT(1+預測IC!$C23:AF23)-1</f>
        <v>1.9512702514234981E-4</v>
      </c>
      <c r="AG23" s="11">
        <f t="array" ref="AG23">PRODUCT(1+預測IC!$C23:AG23)-1</f>
        <v>-9.169645765472334E-2</v>
      </c>
      <c r="AH23" s="11">
        <f t="array" ref="AH23">PRODUCT(1+預測IC!$C23:AH23)-1</f>
        <v>-1.5243109267501165E-2</v>
      </c>
      <c r="AI23" s="11">
        <f t="array" ref="AI23">PRODUCT(1+預測IC!$C23:AI23)-1</f>
        <v>-3.8117304883761971E-2</v>
      </c>
      <c r="AJ23" s="11">
        <f t="array" ref="AJ23">PRODUCT(1+預測IC!$C23:AJ23)-1</f>
        <v>-4.3545341526056935E-2</v>
      </c>
      <c r="AK23" s="11">
        <f t="array" ref="AK23">PRODUCT(1+預測IC!$C23:AK23)-1</f>
        <v>-0.15268743408026064</v>
      </c>
      <c r="AL23" s="11">
        <f t="array" ref="AL23">PRODUCT(1+預測IC!$C23:AL23)-1</f>
        <v>-0.26405117622865515</v>
      </c>
      <c r="AM23" s="11">
        <f t="array" ref="AM23">PRODUCT(1+預測IC!$C23:AM23)-1</f>
        <v>-0.26976912252309015</v>
      </c>
      <c r="AN23" s="11">
        <f t="array" ref="AN23">PRODUCT(1+預測IC!$C23:AN23)-1</f>
        <v>-0.44671479806032544</v>
      </c>
      <c r="AO23" s="11">
        <f t="array" ref="AO23">PRODUCT(1+預測IC!$C23:AO23)-1</f>
        <v>-0.44376194138935088</v>
      </c>
      <c r="AP23" s="11">
        <f t="array" ref="AP23">PRODUCT(1+預測IC!$C23:AP23)-1</f>
        <v>-0.44549801563380831</v>
      </c>
      <c r="AQ23" s="11">
        <f t="array" ref="AQ23">PRODUCT(1+預測IC!$C23:AQ23)-1</f>
        <v>-0.49508435129369377</v>
      </c>
      <c r="AR23" s="11">
        <f t="array" ref="AR23">PRODUCT(1+預測IC!$C23:AR23)-1</f>
        <v>-0.66511168863971104</v>
      </c>
      <c r="AS23" s="11">
        <f t="array" ref="AS23">PRODUCT(1+預測IC!$C23:AS23)-1</f>
        <v>-0.66018652375290432</v>
      </c>
      <c r="AT23" s="11">
        <f t="array" ref="AT23">PRODUCT(1+預測IC!$C23:AT23)-1</f>
        <v>-0.64610882559041038</v>
      </c>
      <c r="AU23" s="11">
        <f t="array" ref="AU23">PRODUCT(1+預測IC!$C23:AU23)-1</f>
        <v>-0.65783873475845045</v>
      </c>
      <c r="AV23" s="11">
        <f t="array" ref="AV23">PRODUCT(1+預測IC!$C23:AV23)-1</f>
        <v>-0.64838174153387318</v>
      </c>
      <c r="AW23" s="11">
        <f t="array" ref="AW23">PRODUCT(1+預測IC!$C23:AW23)-1</f>
        <v>-0.63008813010311981</v>
      </c>
      <c r="AX23" s="11">
        <f t="array" ref="AX23">PRODUCT(1+預測IC!$C23:AX23)-1</f>
        <v>-0.65592209217542763</v>
      </c>
      <c r="AY23" s="11">
        <f t="array" ref="AY23">PRODUCT(1+預測IC!$C23:AY23)-1</f>
        <v>-0.71449584414370348</v>
      </c>
      <c r="AZ23" s="11">
        <f t="array" ref="AZ23">PRODUCT(1+預測IC!$C23:AZ23)-1</f>
        <v>-0.69629392142482849</v>
      </c>
      <c r="BA23" s="11">
        <f t="array" ref="BA23">PRODUCT(1+預測IC!$C23:BA23)-1</f>
        <v>-0.67989440059392636</v>
      </c>
      <c r="BB23" s="11">
        <f t="array" ref="BB23">PRODUCT(1+預測IC!$C23:BB23)-1</f>
        <v>-0.66355317488580146</v>
      </c>
      <c r="BC23" s="11">
        <f t="array" ref="BC23">PRODUCT(1+預測IC!$C23:BC23)-1</f>
        <v>-0.56234046554686046</v>
      </c>
      <c r="BD23" s="11">
        <f t="array" ref="BD23">PRODUCT(1+預測IC!$C23:BD23)-1</f>
        <v>-0.60384410492872886</v>
      </c>
      <c r="BE23" s="11">
        <f t="array" ref="BE23">PRODUCT(1+預測IC!$C23:BE23)-1</f>
        <v>-0.57554638731560459</v>
      </c>
      <c r="BF23" s="11">
        <f t="array" ref="BF23">PRODUCT(1+預測IC!$C23:BF23)-1</f>
        <v>-0.56584889961447904</v>
      </c>
      <c r="BG23" s="11">
        <f t="array" ref="BG23">PRODUCT(1+預測IC!$C23:BG23)-1</f>
        <v>-0.5824867973083856</v>
      </c>
      <c r="BH23" s="11">
        <f t="array" ref="BH23">PRODUCT(1+預測IC!$C23:BH23)-1</f>
        <v>-0.60894260310562554</v>
      </c>
      <c r="BI23" s="11">
        <f t="array" ref="BI23">PRODUCT(1+預測IC!$C23:BI23)-1</f>
        <v>-0.55489082363887277</v>
      </c>
      <c r="BJ23" s="11">
        <f t="array" ref="BJ23">PRODUCT(1+預測IC!$C23:BJ23)-1</f>
        <v>-0.58071615310202529</v>
      </c>
      <c r="BK23" s="11">
        <f t="array" ref="BK23">PRODUCT(1+預測IC!$C23:BK23)-1</f>
        <v>-0.58281670793206197</v>
      </c>
      <c r="BL23" s="11">
        <f t="array" ref="BL23">PRODUCT(1+預測IC!$C23:BL23)-1</f>
        <v>-0.60510764559383601</v>
      </c>
      <c r="BM23" s="11">
        <f t="array" ref="BM23">PRODUCT(1+預測IC!$C23:BM23)-1</f>
        <v>-0.67981365240739033</v>
      </c>
      <c r="BN23" s="11">
        <f t="array" ref="BN23">PRODUCT(1+預測IC!$C23:BN23)-1</f>
        <v>-0.67758926317602386</v>
      </c>
      <c r="BO23" s="11">
        <f t="array" ref="BO23">PRODUCT(1+預測IC!$C23:BO23)-1</f>
        <v>-0.68936529655680423</v>
      </c>
      <c r="BP23" s="11">
        <f t="array" ref="BP23">PRODUCT(1+預測IC!$C23:BP23)-1</f>
        <v>-0.71989025033428566</v>
      </c>
      <c r="BQ23" s="11">
        <f t="array" ref="BQ23">PRODUCT(1+預測IC!$C23:BQ23)-1</f>
        <v>-0.74007156996925816</v>
      </c>
      <c r="BR23" s="11">
        <f t="array" ref="BR23">PRODUCT(1+預測IC!$C23:BR23)-1</f>
        <v>-0.74470981643234979</v>
      </c>
      <c r="BS23" s="11">
        <f t="array" ref="BS23">PRODUCT(1+預測IC!$C23:BS23)-1</f>
        <v>-0.80101843045131937</v>
      </c>
      <c r="BT23" s="11">
        <f t="array" ref="BT23">PRODUCT(1+預測IC!$C23:BT23)-1</f>
        <v>-0.84443332369408308</v>
      </c>
      <c r="BU23" s="11">
        <f t="array" ref="BU23">PRODUCT(1+預測IC!$C23:BU23)-1</f>
        <v>-0.86087462122948832</v>
      </c>
      <c r="BV23" s="11">
        <f t="array" ref="BV23">PRODUCT(1+預測IC!$C23:BV23)-1</f>
        <v>-0.86324260473885184</v>
      </c>
      <c r="BW23" s="11">
        <f t="array" ref="BW23">PRODUCT(1+預測IC!$C23:BW23)-1</f>
        <v>-0.78105168370169231</v>
      </c>
      <c r="BX23" s="11">
        <f t="array" ref="BX23">PRODUCT(1+預測IC!$C23:BX23)-1</f>
        <v>-0.77925343496585375</v>
      </c>
      <c r="BY23" s="11">
        <f t="array" ref="BY23">PRODUCT(1+預測IC!$C23:BY23)-1</f>
        <v>-0.77043770014465007</v>
      </c>
      <c r="BZ23" s="11">
        <f t="array" ref="BZ23">PRODUCT(1+預測IC!$C23:BZ23)-1</f>
        <v>-0.68954017523792466</v>
      </c>
      <c r="CA23" s="11">
        <f t="array" ref="CA23">PRODUCT(1+預測IC!$C23:CA23)-1</f>
        <v>-0.62546887367273896</v>
      </c>
      <c r="CB23" s="11">
        <f t="array" ref="CB23">PRODUCT(1+預測IC!$C23:CB23)-1</f>
        <v>-0.60986403864689398</v>
      </c>
      <c r="CC23" s="11">
        <f t="array" ref="CC23">PRODUCT(1+預測IC!$C23:CC23)-1</f>
        <v>-0.64246220354623274</v>
      </c>
      <c r="CD23" s="11">
        <f t="array" ref="CD23">PRODUCT(1+預測IC!$C23:CD23)-1</f>
        <v>-0.871553322956794</v>
      </c>
      <c r="CE23" s="11">
        <f t="array" ref="CE23">PRODUCT(1+預測IC!$C23:CE23)-1</f>
        <v>-0.897832321287655</v>
      </c>
      <c r="CF23" s="11">
        <f t="array" ref="CF23">PRODUCT(1+預測IC!$C23:CF23)-1</f>
        <v>-0.91657298967769973</v>
      </c>
      <c r="CG23" s="11">
        <f t="array" ref="CG23">PRODUCT(1+預測IC!$C23:CG23)-1</f>
        <v>-0.93464638707112713</v>
      </c>
      <c r="CH23" s="11">
        <f t="array" ref="CH23">PRODUCT(1+預測IC!$C23:CH23)-1</f>
        <v>-0.94524168304007739</v>
      </c>
      <c r="CI23" s="11">
        <f t="array" ref="CI23">PRODUCT(1+預測IC!$C23:CI23)-1</f>
        <v>-0.95264622294433599</v>
      </c>
      <c r="CJ23" s="11">
        <f t="array" ref="CJ23">PRODUCT(1+預測IC!$C23:CJ23)-1</f>
        <v>-0.96005784180897669</v>
      </c>
      <c r="CK23" s="11">
        <f t="array" ref="CK23">PRODUCT(1+預測IC!$C23:CK23)-1</f>
        <v>-0.95718774249113014</v>
      </c>
      <c r="CL23" s="11">
        <f t="array" ref="CL23">PRODUCT(1+預測IC!$C23:CL23)-1</f>
        <v>-0.95016441480057157</v>
      </c>
      <c r="CM23" s="11">
        <f t="array" ref="CM23">PRODUCT(1+預測IC!$C23:CM23)-1</f>
        <v>-0.96943747750644005</v>
      </c>
      <c r="CN23" s="11">
        <f t="array" ref="CN23">PRODUCT(1+預測IC!$C23:CN23)-1</f>
        <v>-0.96781750555023771</v>
      </c>
      <c r="CO23" s="11">
        <f t="array" ref="CO23">PRODUCT(1+預測IC!$C23:CO23)-1</f>
        <v>-0.93856608689933407</v>
      </c>
      <c r="CP23" s="11">
        <f t="array" ref="CP23">PRODUCT(1+預測IC!$C23:CP23)-1</f>
        <v>-0.95769419573775361</v>
      </c>
      <c r="CQ23" s="11">
        <f t="array" ref="CQ23">PRODUCT(1+預測IC!$C23:CQ23)-1</f>
        <v>-0.95730567004055034</v>
      </c>
      <c r="CR23" s="11">
        <f t="array" ref="CR23">PRODUCT(1+預測IC!$C23:CR23)-1</f>
        <v>-0.95780083050369247</v>
      </c>
      <c r="CS23" s="11">
        <f t="array" ref="CS23">PRODUCT(1+預測IC!$C23:CS23)-1</f>
        <v>-0.95624054916948587</v>
      </c>
      <c r="CT23" s="11">
        <f t="array" ref="CT23">PRODUCT(1+預測IC!$C23:CT23)-1</f>
        <v>-0.95823871691829576</v>
      </c>
      <c r="CU23" s="11">
        <f t="array" ref="CU23">PRODUCT(1+預測IC!$C23:CU23)-1</f>
        <v>-0.95735936646397624</v>
      </c>
      <c r="CV23" s="11">
        <f t="array" ref="CV23">PRODUCT(1+預測IC!$C23:CV23)-1</f>
        <v>-0.95641081970835762</v>
      </c>
      <c r="CW23" s="11">
        <f t="array" ref="CW23">PRODUCT(1+預測IC!$C23:CW23)-1</f>
        <v>-0.96080902605196006</v>
      </c>
      <c r="CX23" s="11">
        <f t="array" ref="CX23">PRODUCT(1+預測IC!$C23:CX23)-1</f>
        <v>-0.95733212064757467</v>
      </c>
      <c r="CY23" s="11">
        <f t="array" ref="CY23">PRODUCT(1+預測IC!$C23:CY23)-1</f>
        <v>-0.95827279936189935</v>
      </c>
      <c r="CZ23" s="11">
        <f t="array" ref="CZ23">PRODUCT(1+預測IC!$C23:CZ23)-1</f>
        <v>-0.96586709954907735</v>
      </c>
      <c r="DA23" s="11">
        <f t="array" ref="DA23">PRODUCT(1+預測IC!$C23:DA23)-1</f>
        <v>-0.96480958937752148</v>
      </c>
      <c r="DB23" s="11">
        <f t="array" ref="DB23">PRODUCT(1+預測IC!$C23:DB23)-1</f>
        <v>-0.96424812085582579</v>
      </c>
      <c r="DC23" s="11">
        <f t="array" ref="DC23">PRODUCT(1+預測IC!$C23:DC23)-1</f>
        <v>-0.96850940470895064</v>
      </c>
      <c r="DD23" s="11">
        <f t="array" ref="DD23">PRODUCT(1+預測IC!$C23:DD23)-1</f>
        <v>-0.97522984553901149</v>
      </c>
      <c r="DE23" s="11">
        <f t="array" ref="DE23">PRODUCT(1+預測IC!$C23:DE23)-1</f>
        <v>-0.97499712434099339</v>
      </c>
      <c r="DF23" s="11">
        <f t="array" ref="DF23">PRODUCT(1+預測IC!$C23:DF23)-1</f>
        <v>-0.9765458556415515</v>
      </c>
      <c r="DG23" s="11">
        <f t="array" ref="DG23">PRODUCT(1+預測IC!$C23:DG23)-1</f>
        <v>-0.97744344602466071</v>
      </c>
      <c r="DH23" s="11">
        <f t="array" ref="DH23">PRODUCT(1+預測IC!$C23:DH23)-1</f>
        <v>-0.97869338243983994</v>
      </c>
      <c r="DI23" s="11">
        <f t="array" ref="DI23">PRODUCT(1+預測IC!$C23:DI23)-1</f>
        <v>-0.97983285175860113</v>
      </c>
      <c r="DJ23" s="11">
        <f t="array" ref="DJ23">PRODUCT(1+預測IC!$C23:DJ23)-1</f>
        <v>-0.97807714000218848</v>
      </c>
      <c r="DK23" s="11">
        <f t="array" ref="DK23">PRODUCT(1+預測IC!$C23:DK23)-1</f>
        <v>-0.98416803871154968</v>
      </c>
      <c r="DL23" s="11">
        <f t="array" ref="DL23">PRODUCT(1+預測IC!$C23:DL23)-1</f>
        <v>-0.98758934232058437</v>
      </c>
      <c r="DM23" s="11">
        <f t="array" ref="DM23">PRODUCT(1+預測IC!$C23:DM23)-1</f>
        <v>-0.98734736794355893</v>
      </c>
      <c r="DN23" s="11">
        <f t="array" ref="DN23">PRODUCT(1+預測IC!$C23:DN23)-1</f>
        <v>-0.98742957457450187</v>
      </c>
      <c r="DO23" s="11">
        <f t="array" ref="DO23">PRODUCT(1+預測IC!$C23:DO23)-1</f>
        <v>-0.98949227207106072</v>
      </c>
      <c r="DP23" s="11">
        <f t="array" ref="DP23">PRODUCT(1+預測IC!$C23:DP23)-1</f>
        <v>-0.98998706240846168</v>
      </c>
      <c r="DQ23" s="11">
        <f t="array" ref="DQ23">PRODUCT(1+預測IC!$C23:DQ23)-1</f>
        <v>-0.98752441938259383</v>
      </c>
      <c r="DR23" s="11">
        <f t="array" ref="DR23">PRODUCT(1+預測IC!$C23:DR23)-1</f>
        <v>-0.9859784784362684</v>
      </c>
      <c r="DS23" s="11">
        <f t="array" ref="DS23">PRODUCT(1+預測IC!$C23:DS23)-1</f>
        <v>-0.98193892607056077</v>
      </c>
      <c r="DT23" s="11">
        <f t="array" ref="DT23">PRODUCT(1+預測IC!$C23:DT23)-1</f>
        <v>-0.97970016162047402</v>
      </c>
      <c r="DU23" s="11">
        <f t="array" ref="DU23">PRODUCT(1+預測IC!$C23:DU23)-1</f>
        <v>-0.98039618593963929</v>
      </c>
      <c r="DV23" s="11">
        <f t="array" ref="DV23">PRODUCT(1+預測IC!$C23:DV23)-1</f>
        <v>-0.9858121631794865</v>
      </c>
      <c r="DW23" s="11">
        <f t="array" ref="DW23">PRODUCT(1+預測IC!$C23:DW23)-1</f>
        <v>-0.98781588629782136</v>
      </c>
      <c r="DX23" s="11">
        <f t="array" ref="DX23">PRODUCT(1+預測IC!$C23:DX23)-1</f>
        <v>-0.98399624942643937</v>
      </c>
      <c r="DY23" s="11">
        <f t="array" ref="DY23">PRODUCT(1+預測IC!$C23:DY23)-1</f>
        <v>-0.98671491582041759</v>
      </c>
      <c r="DZ23" s="11">
        <f t="array" ref="DZ23">PRODUCT(1+預測IC!$C23:DZ23)-1</f>
        <v>-0.98534823910815661</v>
      </c>
      <c r="EA23" s="11">
        <f t="array" ref="EA23">PRODUCT(1+預測IC!$C23:EA23)-1</f>
        <v>-0.98671615797290124</v>
      </c>
      <c r="EB23" s="11">
        <f t="array" ref="EB23">PRODUCT(1+預測IC!$C23:EB23)-1</f>
        <v>-0.98347111916473917</v>
      </c>
      <c r="EC23" s="11">
        <f t="array" ref="EC23">PRODUCT(1+預測IC!$C23:EC23)-1</f>
        <v>-0.98143467934430995</v>
      </c>
      <c r="ED23" s="11">
        <f t="array" ref="ED23">PRODUCT(1+預測IC!$C23:ED23)-1</f>
        <v>-0.97782700536768552</v>
      </c>
      <c r="EE23" s="11">
        <f t="array" ref="EE23">PRODUCT(1+預測IC!$C23:EE23)-1</f>
        <v>-0.97936903865402702</v>
      </c>
      <c r="EF23" s="11">
        <f t="array" ref="EF23">PRODUCT(1+預測IC!$C23:EF23)-1</f>
        <v>-0.97838324431137991</v>
      </c>
    </row>
    <row r="24" spans="1:136">
      <c r="A24" s="2">
        <v>1</v>
      </c>
      <c r="B24" s="2" t="s">
        <v>201</v>
      </c>
      <c r="C24" s="11">
        <f t="array" ref="C24">PRODUCT(1+預測IC!$C24:C24)-1</f>
        <v>9.9113000000000007E-2</v>
      </c>
      <c r="D24" s="11">
        <f t="array" ref="D24">PRODUCT(1+預測IC!$C24:D24)-1</f>
        <v>0.20969475893</v>
      </c>
      <c r="E24" s="11">
        <f t="array" ref="E24">PRODUCT(1+預測IC!$C24:E24)-1</f>
        <v>0.55386743418269191</v>
      </c>
      <c r="F24" s="11">
        <f t="array" ref="F24">PRODUCT(1+預測IC!$C24:F24)-1</f>
        <v>0.6709140525299373</v>
      </c>
      <c r="G24" s="11">
        <f t="array" ref="G24">PRODUCT(1+預測IC!$C24:G24)-1</f>
        <v>1.0545676153891788</v>
      </c>
      <c r="H24" s="11">
        <f t="array" ref="H24">PRODUCT(1+預測IC!$C24:H24)-1</f>
        <v>1.1282361918065735</v>
      </c>
      <c r="I24" s="11">
        <f t="array" ref="I24">PRODUCT(1+預測IC!$C24:I24)-1</f>
        <v>1.1642672305338584</v>
      </c>
      <c r="J24" s="11">
        <f t="array" ref="J24">PRODUCT(1+預測IC!$C24:J24)-1</f>
        <v>0.91437877182918847</v>
      </c>
      <c r="K24" s="11">
        <f t="array" ref="K24">PRODUCT(1+預測IC!$C24:K24)-1</f>
        <v>1.0172440863758863</v>
      </c>
      <c r="L24" s="11">
        <f t="array" ref="L24">PRODUCT(1+預測IC!$C24:L24)-1</f>
        <v>1.2064615816779445</v>
      </c>
      <c r="M24" s="11">
        <f t="array" ref="M24">PRODUCT(1+預測IC!$C24:M24)-1</f>
        <v>0.8825103509488248</v>
      </c>
      <c r="N24" s="11">
        <f t="array" ref="N24">PRODUCT(1+預測IC!$C24:N24)-1</f>
        <v>0.68448586654163046</v>
      </c>
      <c r="O24" s="11">
        <f t="array" ref="O24">PRODUCT(1+預測IC!$C24:O24)-1</f>
        <v>0.74622023656823355</v>
      </c>
      <c r="P24" s="11">
        <f t="array" ref="P24">PRODUCT(1+預測IC!$C24:P24)-1</f>
        <v>0.74925167489891598</v>
      </c>
      <c r="Q24" s="11">
        <f t="array" ref="Q24">PRODUCT(1+預測IC!$C24:Q24)-1</f>
        <v>0.74428380014220319</v>
      </c>
      <c r="R24" s="11">
        <f t="array" ref="R24">PRODUCT(1+預測IC!$C24:R24)-1</f>
        <v>0.69574561483564601</v>
      </c>
      <c r="S24" s="11">
        <f t="array" ref="S24">PRODUCT(1+預測IC!$C24:S24)-1</f>
        <v>0.67700762579171214</v>
      </c>
      <c r="T24" s="11">
        <f t="array" ref="T24">PRODUCT(1+預測IC!$C24:T24)-1</f>
        <v>0.19433129093634172</v>
      </c>
      <c r="U24" s="11">
        <f t="array" ref="U24">PRODUCT(1+預測IC!$C24:U24)-1</f>
        <v>-0.27499538428372805</v>
      </c>
      <c r="V24" s="11">
        <f t="array" ref="V24">PRODUCT(1+預測IC!$C24:V24)-1</f>
        <v>-0.19050311674697495</v>
      </c>
      <c r="W24" s="11">
        <f t="array" ref="W24">PRODUCT(1+預測IC!$C24:W24)-1</f>
        <v>-0.7109558042921259</v>
      </c>
      <c r="X24" s="11">
        <f t="array" ref="X24">PRODUCT(1+預測IC!$C24:X24)-1</f>
        <v>-0.71121565502406725</v>
      </c>
      <c r="Y24" s="11">
        <f t="array" ref="Y24">PRODUCT(1+預測IC!$C24:Y24)-1</f>
        <v>-0.71395246857191974</v>
      </c>
      <c r="Z24" s="11">
        <f t="array" ref="Z24">PRODUCT(1+預測IC!$C24:Z24)-1</f>
        <v>-0.74422840501062548</v>
      </c>
      <c r="AA24" s="11">
        <f t="array" ref="AA24">PRODUCT(1+預測IC!$C24:AA24)-1</f>
        <v>-0.72009328576423814</v>
      </c>
      <c r="AB24" s="11">
        <f t="array" ref="AB24">PRODUCT(1+預測IC!$C24:AB24)-1</f>
        <v>-0.77477015770731916</v>
      </c>
      <c r="AC24" s="11">
        <f t="array" ref="AC24">PRODUCT(1+預測IC!$C24:AC24)-1</f>
        <v>-0.80300956109608601</v>
      </c>
      <c r="AD24" s="11">
        <f t="array" ref="AD24">PRODUCT(1+預測IC!$C24:AD24)-1</f>
        <v>-0.78307925043042137</v>
      </c>
      <c r="AE24" s="11">
        <f t="array" ref="AE24">PRODUCT(1+預測IC!$C24:AE24)-1</f>
        <v>-0.66566913305905617</v>
      </c>
      <c r="AF24" s="11">
        <f t="array" ref="AF24">PRODUCT(1+預測IC!$C24:AF24)-1</f>
        <v>-0.67319893619924032</v>
      </c>
      <c r="AG24" s="11">
        <f t="array" ref="AG24">PRODUCT(1+預測IC!$C24:AG24)-1</f>
        <v>-0.71853791630678732</v>
      </c>
      <c r="AH24" s="11">
        <f t="array" ref="AH24">PRODUCT(1+預測IC!$C24:AH24)-1</f>
        <v>-0.70257975920220295</v>
      </c>
      <c r="AI24" s="11">
        <f t="array" ref="AI24">PRODUCT(1+預測IC!$C24:AI24)-1</f>
        <v>-0.69995998324588193</v>
      </c>
      <c r="AJ24" s="11">
        <f t="array" ref="AJ24">PRODUCT(1+預測IC!$C24:AJ24)-1</f>
        <v>-0.67568937304104781</v>
      </c>
      <c r="AK24" s="11">
        <f t="array" ref="AK24">PRODUCT(1+預測IC!$C24:AK24)-1</f>
        <v>-0.70321814107934766</v>
      </c>
      <c r="AL24" s="11">
        <f t="array" ref="AL24">PRODUCT(1+預測IC!$C24:AL24)-1</f>
        <v>-0.68699101852435218</v>
      </c>
      <c r="AM24" s="11">
        <f t="array" ref="AM24">PRODUCT(1+預測IC!$C24:AM24)-1</f>
        <v>-0.68106911351666199</v>
      </c>
      <c r="AN24" s="11">
        <f t="array" ref="AN24">PRODUCT(1+預測IC!$C24:AN24)-1</f>
        <v>-0.75161326571626985</v>
      </c>
      <c r="AO24" s="11">
        <f t="array" ref="AO24">PRODUCT(1+預測IC!$C24:AO24)-1</f>
        <v>-0.76802917276191918</v>
      </c>
      <c r="AP24" s="11">
        <f t="array" ref="AP24">PRODUCT(1+預測IC!$C24:AP24)-1</f>
        <v>-0.76272824141610429</v>
      </c>
      <c r="AQ24" s="11">
        <f t="array" ref="AQ24">PRODUCT(1+預測IC!$C24:AQ24)-1</f>
        <v>-0.77389827754929197</v>
      </c>
      <c r="AR24" s="11">
        <f t="array" ref="AR24">PRODUCT(1+預測IC!$C24:AR24)-1</f>
        <v>-0.77607773007141634</v>
      </c>
      <c r="AS24" s="11">
        <f t="array" ref="AS24">PRODUCT(1+預測IC!$C24:AS24)-1</f>
        <v>-0.76981774179158258</v>
      </c>
      <c r="AT24" s="11">
        <f t="array" ref="AT24">PRODUCT(1+預測IC!$C24:AT24)-1</f>
        <v>-0.77682891095365159</v>
      </c>
      <c r="AU24" s="11">
        <f t="array" ref="AU24">PRODUCT(1+預測IC!$C24:AU24)-1</f>
        <v>-0.78666971150982068</v>
      </c>
      <c r="AV24" s="11">
        <f t="array" ref="AV24">PRODUCT(1+預測IC!$C24:AV24)-1</f>
        <v>-0.7680775604073079</v>
      </c>
      <c r="AW24" s="11">
        <f t="array" ref="AW24">PRODUCT(1+預測IC!$C24:AW24)-1</f>
        <v>-0.76923428320211795</v>
      </c>
      <c r="AX24" s="11">
        <f t="array" ref="AX24">PRODUCT(1+預測IC!$C24:AX24)-1</f>
        <v>-0.77576638064001036</v>
      </c>
      <c r="AY24" s="11">
        <f t="array" ref="AY24">PRODUCT(1+預測IC!$C24:AY24)-1</f>
        <v>-0.81346617226101969</v>
      </c>
      <c r="AZ24" s="11">
        <f t="array" ref="AZ24">PRODUCT(1+預測IC!$C24:AZ24)-1</f>
        <v>-0.82052966244483894</v>
      </c>
      <c r="BA24" s="11">
        <f t="array" ref="BA24">PRODUCT(1+預測IC!$C24:BA24)-1</f>
        <v>-0.81146802563134135</v>
      </c>
      <c r="BB24" s="11">
        <f t="array" ref="BB24">PRODUCT(1+預測IC!$C24:BB24)-1</f>
        <v>-0.79522429295562369</v>
      </c>
      <c r="BC24" s="11">
        <f t="array" ref="BC24">PRODUCT(1+預測IC!$C24:BC24)-1</f>
        <v>-0.63074516597509622</v>
      </c>
      <c r="BD24" s="11">
        <f t="array" ref="BD24">PRODUCT(1+預測IC!$C24:BD24)-1</f>
        <v>-0.69927709785375436</v>
      </c>
      <c r="BE24" s="11">
        <f t="array" ref="BE24">PRODUCT(1+預測IC!$C24:BE24)-1</f>
        <v>-0.68542449162385322</v>
      </c>
      <c r="BF24" s="11">
        <f t="array" ref="BF24">PRODUCT(1+預測IC!$C24:BF24)-1</f>
        <v>-0.7129974552229178</v>
      </c>
      <c r="BG24" s="11">
        <f t="array" ref="BG24">PRODUCT(1+預測IC!$C24:BG24)-1</f>
        <v>-0.68688475033630625</v>
      </c>
      <c r="BH24" s="11">
        <f t="array" ref="BH24">PRODUCT(1+預測IC!$C24:BH24)-1</f>
        <v>-0.73312359558882623</v>
      </c>
      <c r="BI24" s="11">
        <f t="array" ref="BI24">PRODUCT(1+預測IC!$C24:BI24)-1</f>
        <v>-0.74063660195483805</v>
      </c>
      <c r="BJ24" s="11">
        <f t="array" ref="BJ24">PRODUCT(1+預測IC!$C24:BJ24)-1</f>
        <v>-0.72492767306349948</v>
      </c>
      <c r="BK24" s="11">
        <f t="array" ref="BK24">PRODUCT(1+預測IC!$C24:BK24)-1</f>
        <v>-0.72768382267064857</v>
      </c>
      <c r="BL24" s="11">
        <f t="array" ref="BL24">PRODUCT(1+預測IC!$C24:BL24)-1</f>
        <v>-0.73609812023394827</v>
      </c>
      <c r="BM24" s="11">
        <f t="array" ref="BM24">PRODUCT(1+預測IC!$C24:BM24)-1</f>
        <v>-0.73912587154571097</v>
      </c>
      <c r="BN24" s="11">
        <f t="array" ref="BN24">PRODUCT(1+預測IC!$C24:BN24)-1</f>
        <v>-0.74091268763016072</v>
      </c>
      <c r="BO24" s="11">
        <f t="array" ref="BO24">PRODUCT(1+預測IC!$C24:BO24)-1</f>
        <v>-0.69917121076745581</v>
      </c>
      <c r="BP24" s="11">
        <f t="array" ref="BP24">PRODUCT(1+預測IC!$C24:BP24)-1</f>
        <v>-0.73627879723699396</v>
      </c>
      <c r="BQ24" s="11">
        <f t="array" ref="BQ24">PRODUCT(1+預測IC!$C24:BQ24)-1</f>
        <v>-0.71935590435431496</v>
      </c>
      <c r="BR24" s="11">
        <f t="array" ref="BR24">PRODUCT(1+預測IC!$C24:BR24)-1</f>
        <v>-0.73124292833826932</v>
      </c>
      <c r="BS24" s="11">
        <f t="array" ref="BS24">PRODUCT(1+預測IC!$C24:BS24)-1</f>
        <v>-0.76392944196843082</v>
      </c>
      <c r="BT24" s="11">
        <f t="array" ref="BT24">PRODUCT(1+預測IC!$C24:BT24)-1</f>
        <v>-0.82925441464581051</v>
      </c>
      <c r="BU24" s="11">
        <f t="array" ref="BU24">PRODUCT(1+預測IC!$C24:BU24)-1</f>
        <v>-0.83074826777207433</v>
      </c>
      <c r="BV24" s="11">
        <f t="array" ref="BV24">PRODUCT(1+預測IC!$C24:BV24)-1</f>
        <v>-0.86515832969613715</v>
      </c>
      <c r="BW24" s="11">
        <f t="array" ref="BW24">PRODUCT(1+預測IC!$C24:BW24)-1</f>
        <v>-0.71561689470409884</v>
      </c>
      <c r="BX24" s="11">
        <f t="array" ref="BX24">PRODUCT(1+預測IC!$C24:BX24)-1</f>
        <v>-0.6778053011808427</v>
      </c>
      <c r="BY24" s="11">
        <f t="array" ref="BY24">PRODUCT(1+預測IC!$C24:BY24)-1</f>
        <v>-0.77135131003599688</v>
      </c>
      <c r="BZ24" s="11">
        <f t="array" ref="BZ24">PRODUCT(1+預測IC!$C24:BZ24)-1</f>
        <v>-0.58524087965027682</v>
      </c>
      <c r="CA24" s="11">
        <f t="array" ref="CA24">PRODUCT(1+預測IC!$C24:CA24)-1</f>
        <v>-0.54375335435993466</v>
      </c>
      <c r="CB24" s="11">
        <f t="array" ref="CB24">PRODUCT(1+預測IC!$C24:CB24)-1</f>
        <v>-0.57301112094456053</v>
      </c>
      <c r="CC24" s="11">
        <f t="array" ref="CC24">PRODUCT(1+預測IC!$C24:CC24)-1</f>
        <v>-0.66687659571097213</v>
      </c>
      <c r="CD24" s="11">
        <f t="array" ref="CD24">PRODUCT(1+預測IC!$C24:CD24)-1</f>
        <v>-0.89717545458130266</v>
      </c>
      <c r="CE24" s="11">
        <f t="array" ref="CE24">PRODUCT(1+預測IC!$C24:CE24)-1</f>
        <v>-0.91561228464922961</v>
      </c>
      <c r="CF24" s="11">
        <f t="array" ref="CF24">PRODUCT(1+預測IC!$C24:CF24)-1</f>
        <v>-0.92954722808510226</v>
      </c>
      <c r="CG24" s="11">
        <f t="array" ref="CG24">PRODUCT(1+預測IC!$C24:CG24)-1</f>
        <v>-0.96618048305473347</v>
      </c>
      <c r="CH24" s="11">
        <f t="array" ref="CH24">PRODUCT(1+預測IC!$C24:CH24)-1</f>
        <v>-0.97338312311504527</v>
      </c>
      <c r="CI24" s="11">
        <f t="array" ref="CI24">PRODUCT(1+預測IC!$C24:CI24)-1</f>
        <v>-0.98119782868353556</v>
      </c>
      <c r="CJ24" s="11">
        <f t="array" ref="CJ24">PRODUCT(1+預測IC!$C24:CJ24)-1</f>
        <v>-0.98684199408377682</v>
      </c>
      <c r="CK24" s="11">
        <f t="array" ref="CK24">PRODUCT(1+預測IC!$C24:CK24)-1</f>
        <v>-0.98259117835929521</v>
      </c>
      <c r="CL24" s="11">
        <f t="array" ref="CL24">PRODUCT(1+預測IC!$C24:CL24)-1</f>
        <v>-0.98231814278963148</v>
      </c>
      <c r="CM24" s="11">
        <f t="array" ref="CM24">PRODUCT(1+預測IC!$C24:CM24)-1</f>
        <v>-0.99203586359258733</v>
      </c>
      <c r="CN24" s="11">
        <f t="array" ref="CN24">PRODUCT(1+預測IC!$C24:CN24)-1</f>
        <v>-0.99117781736015576</v>
      </c>
      <c r="CO24" s="11">
        <f t="array" ref="CO24">PRODUCT(1+預測IC!$C24:CO24)-1</f>
        <v>-0.98432604082017072</v>
      </c>
      <c r="CP24" s="11">
        <f t="array" ref="CP24">PRODUCT(1+預測IC!$C24:CP24)-1</f>
        <v>-0.98683926934116073</v>
      </c>
      <c r="CQ24" s="11">
        <f t="array" ref="CQ24">PRODUCT(1+預測IC!$C24:CQ24)-1</f>
        <v>-0.98834863634639902</v>
      </c>
      <c r="CR24" s="11">
        <f t="array" ref="CR24">PRODUCT(1+預測IC!$C24:CR24)-1</f>
        <v>-0.98906035801044945</v>
      </c>
      <c r="CS24" s="11">
        <f t="array" ref="CS24">PRODUCT(1+預測IC!$C24:CS24)-1</f>
        <v>-0.98812069491559029</v>
      </c>
      <c r="CT24" s="11">
        <f t="array" ref="CT24">PRODUCT(1+預測IC!$C24:CT24)-1</f>
        <v>-0.98926608572930941</v>
      </c>
      <c r="CU24" s="11">
        <f t="array" ref="CU24">PRODUCT(1+預測IC!$C24:CU24)-1</f>
        <v>-0.98848517900048505</v>
      </c>
      <c r="CV24" s="11">
        <f t="array" ref="CV24">PRODUCT(1+預測IC!$C24:CV24)-1</f>
        <v>-0.98865863881142924</v>
      </c>
      <c r="CW24" s="11">
        <f t="array" ref="CW24">PRODUCT(1+預測IC!$C24:CW24)-1</f>
        <v>-0.99064470584217079</v>
      </c>
      <c r="CX24" s="11">
        <f t="array" ref="CX24">PRODUCT(1+預測IC!$C24:CX24)-1</f>
        <v>-0.99116118537894382</v>
      </c>
      <c r="CY24" s="11">
        <f t="array" ref="CY24">PRODUCT(1+預測IC!$C24:CY24)-1</f>
        <v>-0.99045348885157714</v>
      </c>
      <c r="CZ24" s="11">
        <f t="array" ref="CZ24">PRODUCT(1+預測IC!$C24:CZ24)-1</f>
        <v>-0.99152467068095018</v>
      </c>
      <c r="DA24" s="11">
        <f t="array" ref="DA24">PRODUCT(1+預測IC!$C24:DA24)-1</f>
        <v>-0.99173241120823596</v>
      </c>
      <c r="DB24" s="11">
        <f t="array" ref="DB24">PRODUCT(1+預測IC!$C24:DB24)-1</f>
        <v>-0.99011642274293965</v>
      </c>
      <c r="DC24" s="11">
        <f t="array" ref="DC24">PRODUCT(1+預測IC!$C24:DC24)-1</f>
        <v>-0.99200592311849523</v>
      </c>
      <c r="DD24" s="11">
        <f t="array" ref="DD24">PRODUCT(1+預測IC!$C24:DD24)-1</f>
        <v>-0.99323206566831501</v>
      </c>
      <c r="DE24" s="11">
        <f t="array" ref="DE24">PRODUCT(1+預測IC!$C24:DE24)-1</f>
        <v>-0.99204048448723514</v>
      </c>
      <c r="DF24" s="11">
        <f t="array" ref="DF24">PRODUCT(1+預測IC!$C24:DF24)-1</f>
        <v>-0.99120740198695623</v>
      </c>
      <c r="DG24" s="11">
        <f t="array" ref="DG24">PRODUCT(1+預測IC!$C24:DG24)-1</f>
        <v>-0.99172709582663732</v>
      </c>
      <c r="DH24" s="11">
        <f t="array" ref="DH24">PRODUCT(1+預測IC!$C24:DH24)-1</f>
        <v>-0.99173409904738341</v>
      </c>
      <c r="DI24" s="11">
        <f t="array" ref="DI24">PRODUCT(1+預測IC!$C24:DI24)-1</f>
        <v>-0.99290682753857418</v>
      </c>
      <c r="DJ24" s="11">
        <f t="array" ref="DJ24">PRODUCT(1+預測IC!$C24:DJ24)-1</f>
        <v>-0.99196706297505743</v>
      </c>
      <c r="DK24" s="11">
        <f t="array" ref="DK24">PRODUCT(1+預測IC!$C24:DK24)-1</f>
        <v>-0.99469431908343975</v>
      </c>
      <c r="DL24" s="11">
        <f t="array" ref="DL24">PRODUCT(1+預測IC!$C24:DL24)-1</f>
        <v>-0.99582498317121926</v>
      </c>
      <c r="DM24" s="11">
        <f t="array" ref="DM24">PRODUCT(1+預測IC!$C24:DM24)-1</f>
        <v>-0.99523447076479232</v>
      </c>
      <c r="DN24" s="11">
        <f t="array" ref="DN24">PRODUCT(1+預測IC!$C24:DN24)-1</f>
        <v>-0.99634643348340379</v>
      </c>
      <c r="DO24" s="11">
        <f t="array" ref="DO24">PRODUCT(1+預測IC!$C24:DO24)-1</f>
        <v>-0.99702395379071329</v>
      </c>
      <c r="DP24" s="11">
        <f t="array" ref="DP24">PRODUCT(1+預測IC!$C24:DP24)-1</f>
        <v>-0.9973643343900741</v>
      </c>
      <c r="DQ24" s="11">
        <f t="array" ref="DQ24">PRODUCT(1+預測IC!$C24:DQ24)-1</f>
        <v>-0.99641794250762661</v>
      </c>
      <c r="DR24" s="11">
        <f t="array" ref="DR24">PRODUCT(1+預測IC!$C24:DR24)-1</f>
        <v>-0.99517398646630961</v>
      </c>
      <c r="DS24" s="11">
        <f t="array" ref="DS24">PRODUCT(1+預測IC!$C24:DS24)-1</f>
        <v>-0.99413030534246838</v>
      </c>
      <c r="DT24" s="11">
        <f t="array" ref="DT24">PRODUCT(1+預測IC!$C24:DT24)-1</f>
        <v>-0.99390512703186196</v>
      </c>
      <c r="DU24" s="11">
        <f t="array" ref="DU24">PRODUCT(1+預測IC!$C24:DU24)-1</f>
        <v>-0.9936147758940469</v>
      </c>
      <c r="DV24" s="11">
        <f t="array" ref="DV24">PRODUCT(1+預測IC!$C24:DV24)-1</f>
        <v>-0.99462507605398454</v>
      </c>
      <c r="DW24" s="11">
        <f t="array" ref="DW24">PRODUCT(1+預測IC!$C24:DW24)-1</f>
        <v>-0.99521017463313499</v>
      </c>
      <c r="DX24" s="11">
        <f t="array" ref="DX24">PRODUCT(1+預測IC!$C24:DX24)-1</f>
        <v>-0.9937176979654937</v>
      </c>
      <c r="DY24" s="11">
        <f t="array" ref="DY24">PRODUCT(1+預測IC!$C24:DY24)-1</f>
        <v>-0.995877580335918</v>
      </c>
      <c r="DZ24" s="11">
        <f t="array" ref="DZ24">PRODUCT(1+預測IC!$C24:DZ24)-1</f>
        <v>-0.99566952518594931</v>
      </c>
      <c r="EA24" s="11">
        <f t="array" ref="EA24">PRODUCT(1+預測IC!$C24:EA24)-1</f>
        <v>-0.99576986879110008</v>
      </c>
      <c r="EB24" s="11">
        <f t="array" ref="EB24">PRODUCT(1+預測IC!$C24:EB24)-1</f>
        <v>-0.99327536922857895</v>
      </c>
      <c r="EC24" s="11">
        <f t="array" ref="EC24">PRODUCT(1+預測IC!$C24:EC24)-1</f>
        <v>-0.99154948346134852</v>
      </c>
      <c r="ED24" s="11">
        <f t="array" ref="ED24">PRODUCT(1+預測IC!$C24:ED24)-1</f>
        <v>-0.99083507601092968</v>
      </c>
      <c r="EE24" s="11">
        <f t="array" ref="EE24">PRODUCT(1+預測IC!$C24:EE24)-1</f>
        <v>-0.99050821831876978</v>
      </c>
      <c r="EF24" s="11">
        <f t="array" ref="EF24">PRODUCT(1+預測IC!$C24:EF24)-1</f>
        <v>-0.99114679384950977</v>
      </c>
    </row>
    <row r="25" spans="1:136">
      <c r="A25" s="2" t="s">
        <v>144</v>
      </c>
      <c r="B25" s="2" t="s">
        <v>145</v>
      </c>
      <c r="C25" s="11">
        <f t="array" ref="C25">PRODUCT(1+預測IC!$C26:C26)-1</f>
        <v>-1.7446770539390366E-2</v>
      </c>
      <c r="D25" s="11">
        <f t="array" ref="D25">PRODUCT(1+預測IC!$C26:D26)-1</f>
        <v>2.893123339404724E-3</v>
      </c>
      <c r="E25" s="11">
        <f t="array" ref="E25">PRODUCT(1+預測IC!$C26:E26)-1</f>
        <v>2.6944635852046872E-2</v>
      </c>
      <c r="F25" s="11">
        <f t="array" ref="F25">PRODUCT(1+預測IC!$C26:F26)-1</f>
        <v>2.0210365301730038E-2</v>
      </c>
      <c r="G25" s="11">
        <f t="array" ref="G25">PRODUCT(1+預測IC!$C26:G26)-1</f>
        <v>5.269909680859941E-2</v>
      </c>
      <c r="H25" s="11">
        <f t="array" ref="H25">PRODUCT(1+預測IC!$C26:H26)-1</f>
        <v>8.8857766197530053E-2</v>
      </c>
      <c r="I25" s="11">
        <f t="array" ref="I25">PRODUCT(1+預測IC!$C26:I26)-1</f>
        <v>7.9869318529145472E-2</v>
      </c>
      <c r="J25" s="11">
        <f t="array" ref="J25">PRODUCT(1+預測IC!$C26:J26)-1</f>
        <v>9.3738646464063713E-2</v>
      </c>
      <c r="K25" s="11">
        <f t="array" ref="K25">PRODUCT(1+預測IC!$C26:K26)-1</f>
        <v>3.7937714394164157E-2</v>
      </c>
      <c r="L25" s="11">
        <f t="array" ref="L25">PRODUCT(1+預測IC!$C26:L26)-1</f>
        <v>3.8844812525307137E-2</v>
      </c>
      <c r="M25" s="11">
        <f t="array" ref="M25">PRODUCT(1+預測IC!$C26:M26)-1</f>
        <v>6.3142951706360639E-2</v>
      </c>
      <c r="N25" s="11">
        <f t="array" ref="N25">PRODUCT(1+預測IC!$C26:N26)-1</f>
        <v>7.6952085951054405E-2</v>
      </c>
      <c r="O25" s="11">
        <f t="array" ref="O25">PRODUCT(1+預測IC!$C26:O26)-1</f>
        <v>8.3257197491512391E-2</v>
      </c>
      <c r="P25" s="11">
        <f t="array" ref="P25">PRODUCT(1+預測IC!$C26:P26)-1</f>
        <v>0.11295275081672607</v>
      </c>
      <c r="Q25" s="11">
        <f t="array" ref="Q25">PRODUCT(1+預測IC!$C26:Q26)-1</f>
        <v>0.10882042835093308</v>
      </c>
      <c r="R25" s="11">
        <f t="array" ref="R25">PRODUCT(1+預測IC!$C26:R26)-1</f>
        <v>0.13551706985268064</v>
      </c>
      <c r="S25" s="11">
        <f t="array" ref="S25">PRODUCT(1+預測IC!$C26:S26)-1</f>
        <v>0.12167508804368476</v>
      </c>
      <c r="T25" s="11">
        <f t="array" ref="T25">PRODUCT(1+預測IC!$C26:T26)-1</f>
        <v>7.7088976461827885E-2</v>
      </c>
      <c r="U25" s="11">
        <f t="array" ref="U25">PRODUCT(1+預測IC!$C26:U26)-1</f>
        <v>-1.7059521199481731E-3</v>
      </c>
      <c r="V25" s="11">
        <f t="array" ref="V25">PRODUCT(1+預測IC!$C26:V26)-1</f>
        <v>-5.9866792867339091E-2</v>
      </c>
      <c r="W25" s="11">
        <f t="array" ref="W25">PRODUCT(1+預測IC!$C26:W26)-1</f>
        <v>-5.9140260213613516E-2</v>
      </c>
      <c r="X25" s="11">
        <f t="array" ref="X25">PRODUCT(1+預測IC!$C26:X26)-1</f>
        <v>-1.7185893241652206E-2</v>
      </c>
      <c r="Y25" s="11">
        <f t="array" ref="Y25">PRODUCT(1+預測IC!$C26:Y26)-1</f>
        <v>-4.4409529547694393E-2</v>
      </c>
      <c r="Z25" s="11">
        <f t="array" ref="Z25">PRODUCT(1+預測IC!$C26:Z26)-1</f>
        <v>-4.2407561826578566E-2</v>
      </c>
      <c r="AA25" s="11">
        <f t="array" ref="AA25">PRODUCT(1+預測IC!$C26:AA26)-1</f>
        <v>-6.481575250614946E-2</v>
      </c>
      <c r="AB25" s="11">
        <f t="array" ref="AB25">PRODUCT(1+預測IC!$C26:AB26)-1</f>
        <v>-3.4768870774049443E-2</v>
      </c>
      <c r="AC25" s="11">
        <f t="array" ref="AC25">PRODUCT(1+預測IC!$C26:AC26)-1</f>
        <v>2.7817794451217015E-3</v>
      </c>
      <c r="AD25" s="11">
        <f t="array" ref="AD25">PRODUCT(1+預測IC!$C26:AD26)-1</f>
        <v>-4.0202844765013457E-2</v>
      </c>
      <c r="AE25" s="11">
        <f t="array" ref="AE25">PRODUCT(1+預測IC!$C26:AE26)-1</f>
        <v>-2.2305320482664204E-2</v>
      </c>
      <c r="AF25" s="11">
        <f t="array" ref="AF25">PRODUCT(1+預測IC!$C26:AF26)-1</f>
        <v>-7.4152570234460313E-3</v>
      </c>
      <c r="AG25" s="11">
        <f t="array" ref="AG25">PRODUCT(1+預測IC!$C26:AG26)-1</f>
        <v>2.8334274381314417E-2</v>
      </c>
      <c r="AH25" s="11">
        <f t="array" ref="AH25">PRODUCT(1+預測IC!$C26:AH26)-1</f>
        <v>3.7953941892352683E-2</v>
      </c>
      <c r="AI25" s="11">
        <f t="array" ref="AI25">PRODUCT(1+預測IC!$C26:AI26)-1</f>
        <v>4.9110131735873752E-2</v>
      </c>
      <c r="AJ25" s="11">
        <f t="array" ref="AJ25">PRODUCT(1+預測IC!$C26:AJ26)-1</f>
        <v>6.3123886850196875E-2</v>
      </c>
      <c r="AK25" s="11">
        <f t="array" ref="AK25">PRODUCT(1+預測IC!$C26:AK26)-1</f>
        <v>5.7454515782098925E-2</v>
      </c>
      <c r="AL25" s="11">
        <f t="array" ref="AL25">PRODUCT(1+預測IC!$C26:AL26)-1</f>
        <v>5.8917118987427575E-2</v>
      </c>
      <c r="AM25" s="11">
        <f t="array" ref="AM25">PRODUCT(1+預測IC!$C26:AM26)-1</f>
        <v>8.0938283596681648E-2</v>
      </c>
      <c r="AN25" s="11">
        <f t="array" ref="AN25">PRODUCT(1+預測IC!$C26:AN26)-1</f>
        <v>0.11500697453770203</v>
      </c>
      <c r="AO25" s="11">
        <f t="array" ref="AO25">PRODUCT(1+預測IC!$C26:AO26)-1</f>
        <v>0.12196653200545171</v>
      </c>
      <c r="AP25" s="11">
        <f t="array" ref="AP25">PRODUCT(1+預測IC!$C26:AP26)-1</f>
        <v>0.12886130991117528</v>
      </c>
      <c r="AQ25" s="11">
        <f t="array" ref="AQ25">PRODUCT(1+預測IC!$C26:AQ26)-1</f>
        <v>0.14799139743631429</v>
      </c>
      <c r="AR25" s="11">
        <f t="array" ref="AR25">PRODUCT(1+預測IC!$C26:AR26)-1</f>
        <v>0.18780698843660248</v>
      </c>
      <c r="AS25" s="11">
        <f t="array" ref="AS25">PRODUCT(1+預測IC!$C26:AS26)-1</f>
        <v>0.19148751365039929</v>
      </c>
      <c r="AT25" s="11">
        <f t="array" ref="AT25">PRODUCT(1+預測IC!$C26:AT26)-1</f>
        <v>0.20945675046088996</v>
      </c>
      <c r="AU25" s="11">
        <f t="array" ref="AU25">PRODUCT(1+預測IC!$C26:AU26)-1</f>
        <v>0.18617324550329584</v>
      </c>
      <c r="AV25" s="11">
        <f t="array" ref="AV25">PRODUCT(1+預測IC!$C26:AV26)-1</f>
        <v>0.23209180697664689</v>
      </c>
      <c r="AW25" s="11">
        <f t="array" ref="AW25">PRODUCT(1+預測IC!$C26:AW26)-1</f>
        <v>0.20516203655681697</v>
      </c>
      <c r="AX25" s="11">
        <f t="array" ref="AX25">PRODUCT(1+預測IC!$C26:AX26)-1</f>
        <v>0.21453132863303215</v>
      </c>
      <c r="AY25" s="11">
        <f t="array" ref="AY25">PRODUCT(1+預測IC!$C26:AY26)-1</f>
        <v>0.2660241129922889</v>
      </c>
      <c r="AZ25" s="11">
        <f t="array" ref="AZ25">PRODUCT(1+預測IC!$C26:AZ26)-1</f>
        <v>0.23271631642995261</v>
      </c>
      <c r="BA25" s="11">
        <f t="array" ref="BA25">PRODUCT(1+預測IC!$C26:BA26)-1</f>
        <v>0.24451556797958407</v>
      </c>
      <c r="BB25" s="11">
        <f t="array" ref="BB25">PRODUCT(1+預測IC!$C26:BB26)-1</f>
        <v>0.21433638745422812</v>
      </c>
      <c r="BC25" s="11">
        <f t="array" ref="BC25">PRODUCT(1+預測IC!$C26:BC26)-1</f>
        <v>0.23882150637103883</v>
      </c>
      <c r="BD25" s="11">
        <f t="array" ref="BD25">PRODUCT(1+預測IC!$C26:BD26)-1</f>
        <v>0.23447943849994912</v>
      </c>
      <c r="BE25" s="11">
        <f t="array" ref="BE25">PRODUCT(1+預測IC!$C26:BE26)-1</f>
        <v>0.25935658802508499</v>
      </c>
      <c r="BF25" s="11">
        <f t="array" ref="BF25">PRODUCT(1+預測IC!$C26:BF26)-1</f>
        <v>0.26008869763716325</v>
      </c>
      <c r="BG25" s="11">
        <f t="array" ref="BG25">PRODUCT(1+預測IC!$C26:BG26)-1</f>
        <v>0.2535114114609236</v>
      </c>
      <c r="BH25" s="11">
        <f t="array" ref="BH25">PRODUCT(1+預測IC!$C26:BH26)-1</f>
        <v>0.10826483627727623</v>
      </c>
      <c r="BI25" s="11">
        <f t="array" ref="BI25">PRODUCT(1+預測IC!$C26:BI26)-1</f>
        <v>0.11793469710078752</v>
      </c>
      <c r="BJ25" s="11">
        <f t="array" ref="BJ25">PRODUCT(1+預測IC!$C26:BJ26)-1</f>
        <v>9.9625988810205346E-2</v>
      </c>
      <c r="BK25" s="11">
        <f t="array" ref="BK25">PRODUCT(1+預測IC!$C26:BK26)-1</f>
        <v>0.12254260303831388</v>
      </c>
      <c r="BL25" s="11">
        <f t="array" ref="BL25">PRODUCT(1+預測IC!$C26:BL26)-1</f>
        <v>0.17302993558173996</v>
      </c>
      <c r="BM25" s="11">
        <f t="array" ref="BM25">PRODUCT(1+預測IC!$C26:BM26)-1</f>
        <v>0.20112905370185397</v>
      </c>
      <c r="BN25" s="11">
        <f t="array" ref="BN25">PRODUCT(1+預測IC!$C26:BN26)-1</f>
        <v>0.23745011694095197</v>
      </c>
      <c r="BO25" s="11">
        <f t="array" ref="BO25">PRODUCT(1+預測IC!$C26:BO26)-1</f>
        <v>0.18334151222801376</v>
      </c>
      <c r="BP25" s="11">
        <f t="array" ref="BP25">PRODUCT(1+預測IC!$C26:BP26)-1</f>
        <v>0.20924423024871497</v>
      </c>
      <c r="BQ25" s="11">
        <f t="array" ref="BQ25">PRODUCT(1+預測IC!$C26:BQ26)-1</f>
        <v>0.21967690051673561</v>
      </c>
      <c r="BR25" s="11">
        <f t="array" ref="BR25">PRODUCT(1+預測IC!$C26:BR26)-1</f>
        <v>0.1962676978767699</v>
      </c>
      <c r="BS25" s="11">
        <f t="array" ref="BS25">PRODUCT(1+預測IC!$C26:BS26)-1</f>
        <v>0.21987619627534571</v>
      </c>
      <c r="BT25" s="11">
        <f t="array" ref="BT25">PRODUCT(1+預測IC!$C26:BT26)-1</f>
        <v>0.27805738326883356</v>
      </c>
      <c r="BU25" s="11">
        <f t="array" ref="BU25">PRODUCT(1+預測IC!$C26:BU26)-1</f>
        <v>0.29269729646247922</v>
      </c>
      <c r="BV25" s="11">
        <f t="array" ref="BV25">PRODUCT(1+預測IC!$C26:BV26)-1</f>
        <v>0.34857881761669129</v>
      </c>
      <c r="BW25" s="11">
        <f t="array" ref="BW25">PRODUCT(1+預測IC!$C26:BW26)-1</f>
        <v>0.2909305384219143</v>
      </c>
      <c r="BX25" s="11">
        <f t="array" ref="BX25">PRODUCT(1+預測IC!$C26:BX26)-1</f>
        <v>0.26793739709811137</v>
      </c>
      <c r="BY25" s="11">
        <f t="array" ref="BY25">PRODUCT(1+預測IC!$C26:BY26)-1</f>
        <v>7.628473289061688E-2</v>
      </c>
      <c r="BZ25" s="11">
        <f t="array" ref="BZ25">PRODUCT(1+預測IC!$C26:BZ26)-1</f>
        <v>0.20998513144491437</v>
      </c>
      <c r="CA25" s="11">
        <f t="array" ref="CA25">PRODUCT(1+預測IC!$C26:CA26)-1</f>
        <v>0.20447092205281336</v>
      </c>
      <c r="CB25" s="11">
        <f t="array" ref="CB25">PRODUCT(1+預測IC!$C26:CB26)-1</f>
        <v>0.27699361006036605</v>
      </c>
      <c r="CC25" s="11">
        <f t="array" ref="CC25">PRODUCT(1+預測IC!$C26:CC26)-1</f>
        <v>0.38680488733361829</v>
      </c>
      <c r="CD25" s="11">
        <f t="array" ref="CD25">PRODUCT(1+預測IC!$C26:CD26)-1</f>
        <v>0.37874965946081551</v>
      </c>
      <c r="CE25" s="11">
        <f t="array" ref="CE25">PRODUCT(1+預測IC!$C26:CE26)-1</f>
        <v>0.37042015435709108</v>
      </c>
      <c r="CF25" s="11">
        <f t="array" ref="CF25">PRODUCT(1+預測IC!$C26:CF26)-1</f>
        <v>0.37378086910184649</v>
      </c>
      <c r="CG25" s="11">
        <f t="array" ref="CG25">PRODUCT(1+預測IC!$C26:CG26)-1</f>
        <v>0.49692143719092186</v>
      </c>
      <c r="CH25" s="11">
        <f t="array" ref="CH25">PRODUCT(1+預測IC!$C26:CH26)-1</f>
        <v>0.603191980394987</v>
      </c>
      <c r="CI25" s="11">
        <f t="array" ref="CI25">PRODUCT(1+預測IC!$C26:CI26)-1</f>
        <v>0.64675173719730239</v>
      </c>
      <c r="CJ25" s="11">
        <f t="array" ref="CJ25">PRODUCT(1+預測IC!$C26:CJ26)-1</f>
        <v>0.73315421285472704</v>
      </c>
      <c r="CK25" s="11">
        <f t="array" ref="CK25">PRODUCT(1+預測IC!$C26:CK26)-1</f>
        <v>0.7842487445659152</v>
      </c>
      <c r="CL25" s="11">
        <f t="array" ref="CL25">PRODUCT(1+預測IC!$C26:CL26)-1</f>
        <v>0.90348131155309508</v>
      </c>
      <c r="CM25" s="11">
        <f t="array" ref="CM25">PRODUCT(1+預測IC!$C26:CM26)-1</f>
        <v>0.8487139113221478</v>
      </c>
      <c r="CN25" s="11">
        <f t="array" ref="CN25">PRODUCT(1+預測IC!$C26:CN26)-1</f>
        <v>0.92166881344527685</v>
      </c>
      <c r="CO25" s="11">
        <f t="array" ref="CO25">PRODUCT(1+預測IC!$C26:CO26)-1</f>
        <v>0.86588067898046694</v>
      </c>
      <c r="CP25" s="11">
        <f t="array" ref="CP25">PRODUCT(1+預測IC!$C26:CP26)-1</f>
        <v>0.89197293519067467</v>
      </c>
      <c r="CQ25" s="11">
        <f t="array" ref="CQ25">PRODUCT(1+預測IC!$C26:CQ26)-1</f>
        <v>0.83090579105751727</v>
      </c>
      <c r="CR25" s="11">
        <f t="array" ref="CR25">PRODUCT(1+預測IC!$C26:CR26)-1</f>
        <v>0.83658814745105547</v>
      </c>
      <c r="CS25" s="11">
        <f t="array" ref="CS25">PRODUCT(1+預測IC!$C26:CS26)-1</f>
        <v>0.88358984642415717</v>
      </c>
      <c r="CT25" s="11">
        <f t="array" ref="CT25">PRODUCT(1+預測IC!$C26:CT26)-1</f>
        <v>0.9672059526983301</v>
      </c>
      <c r="CU25" s="11">
        <f t="array" ref="CU25">PRODUCT(1+預測IC!$C26:CU26)-1</f>
        <v>0.90752297284093331</v>
      </c>
      <c r="CV25" s="11">
        <f t="array" ref="CV25">PRODUCT(1+預測IC!$C26:CV26)-1</f>
        <v>0.90512335385454468</v>
      </c>
      <c r="CW25" s="11">
        <f t="array" ref="CW25">PRODUCT(1+預測IC!$C26:CW26)-1</f>
        <v>0.90957440110152876</v>
      </c>
      <c r="CX25" s="11">
        <f t="array" ref="CX25">PRODUCT(1+預測IC!$C26:CX26)-1</f>
        <v>0.78685723504233995</v>
      </c>
      <c r="CY25" s="11">
        <f t="array" ref="CY25">PRODUCT(1+預測IC!$C26:CY26)-1</f>
        <v>0.80992516787144164</v>
      </c>
      <c r="CZ25" s="11">
        <f t="array" ref="CZ25">PRODUCT(1+預測IC!$C26:CZ26)-1</f>
        <v>0.58282101623526672</v>
      </c>
      <c r="DA25" s="11">
        <f t="array" ref="DA25">PRODUCT(1+預測IC!$C26:DA26)-1</f>
        <v>0.60132527488651344</v>
      </c>
      <c r="DB25" s="11">
        <f t="array" ref="DB25">PRODUCT(1+預測IC!$C26:DB26)-1</f>
        <v>0.61147422419279152</v>
      </c>
      <c r="DC25" s="11">
        <f t="array" ref="DC25">PRODUCT(1+預測IC!$C26:DC26)-1</f>
        <v>0.42243966588262949</v>
      </c>
      <c r="DD25" s="11">
        <f t="array" ref="DD25">PRODUCT(1+預測IC!$C26:DD26)-1</f>
        <v>0.37121637307647259</v>
      </c>
      <c r="DE25" s="11">
        <f t="array" ref="DE25">PRODUCT(1+預測IC!$C26:DE26)-1</f>
        <v>0.5616938276257708</v>
      </c>
      <c r="DF25" s="11">
        <f t="array" ref="DF25">PRODUCT(1+預測IC!$C26:DF26)-1</f>
        <v>0.48182332962932128</v>
      </c>
      <c r="DG25" s="11">
        <f t="array" ref="DG25">PRODUCT(1+預測IC!$C26:DG26)-1</f>
        <v>0.59552577817978314</v>
      </c>
      <c r="DH25" s="11">
        <f t="array" ref="DH25">PRODUCT(1+預測IC!$C26:DH26)-1</f>
        <v>0.62027043996328524</v>
      </c>
      <c r="DI25" s="11">
        <f t="array" ref="DI25">PRODUCT(1+預測IC!$C26:DI26)-1</f>
        <v>0.65789923395288952</v>
      </c>
      <c r="DJ25" s="11">
        <f t="array" ref="DJ25">PRODUCT(1+預測IC!$C26:DJ26)-1</f>
        <v>0.62743885630809859</v>
      </c>
      <c r="DK25" s="11">
        <f t="array" ref="DK25">PRODUCT(1+預測IC!$C26:DK26)-1</f>
        <v>0.72866394865424411</v>
      </c>
      <c r="DL25" s="11">
        <f t="array" ref="DL25">PRODUCT(1+預測IC!$C26:DL26)-1</f>
        <v>0.76340716304992284</v>
      </c>
      <c r="DM25" s="11">
        <f t="array" ref="DM25">PRODUCT(1+預測IC!$C26:DM26)-1</f>
        <v>0.78721129009524526</v>
      </c>
      <c r="DN25" s="11">
        <f t="array" ref="DN25">PRODUCT(1+預測IC!$C26:DN26)-1</f>
        <v>0.73314419395664854</v>
      </c>
      <c r="DO25" s="11">
        <f t="array" ref="DO25">PRODUCT(1+預測IC!$C26:DO26)-1</f>
        <v>0.7036411650845571</v>
      </c>
      <c r="DP25" s="11">
        <f t="array" ref="DP25">PRODUCT(1+預測IC!$C26:DP26)-1</f>
        <v>0.666521339911188</v>
      </c>
      <c r="DQ25" s="11">
        <f t="array" ref="DQ25">PRODUCT(1+預測IC!$C26:DQ26)-1</f>
        <v>0.80941825308633253</v>
      </c>
      <c r="DR25" s="11">
        <f t="array" ref="DR25">PRODUCT(1+預測IC!$C26:DR26)-1</f>
        <v>0.86027510799998974</v>
      </c>
      <c r="DS25" s="11">
        <f t="array" ref="DS25">PRODUCT(1+預測IC!$C26:DS26)-1</f>
        <v>0.85599059714061299</v>
      </c>
      <c r="DT25" s="11">
        <f t="array" ref="DT25">PRODUCT(1+預測IC!$C26:DT26)-1</f>
        <v>0.9645125910761998</v>
      </c>
      <c r="DU25" s="11">
        <f t="array" ref="DU25">PRODUCT(1+預測IC!$C26:DU26)-1</f>
        <v>1.0974294483812512</v>
      </c>
      <c r="DV25" s="11">
        <f t="array" ref="DV25">PRODUCT(1+預測IC!$C26:DV26)-1</f>
        <v>1.1079601605760616</v>
      </c>
      <c r="DW25" s="11">
        <f t="array" ref="DW25">PRODUCT(1+預測IC!$C26:DW26)-1</f>
        <v>1.1868319851241949</v>
      </c>
      <c r="DX25" s="11">
        <f t="array" ref="DX25">PRODUCT(1+預測IC!$C26:DX26)-1</f>
        <v>1.3707686184169408</v>
      </c>
      <c r="DY25" s="11">
        <f t="array" ref="DY25">PRODUCT(1+預測IC!$C26:DY26)-1</f>
        <v>1.2834475238077694</v>
      </c>
      <c r="DZ25" s="11">
        <f t="array" ref="DZ25">PRODUCT(1+預測IC!$C26:DZ26)-1</f>
        <v>1.2905072649494538</v>
      </c>
      <c r="EA25" s="11">
        <f t="array" ref="EA25">PRODUCT(1+預測IC!$C26:EA26)-1</f>
        <v>1.2860233033025419</v>
      </c>
      <c r="EB25" s="11">
        <f t="array" ref="EB25">PRODUCT(1+預測IC!$C26:EB26)-1</f>
        <v>1.3465094307246845</v>
      </c>
      <c r="EC25" s="11">
        <f t="array" ref="EC25">PRODUCT(1+預測IC!$C26:EC26)-1</f>
        <v>1.2884273650883467</v>
      </c>
      <c r="ED25" s="11">
        <f t="array" ref="ED25">PRODUCT(1+預測IC!$C26:ED26)-1</f>
        <v>1.3664981882262612</v>
      </c>
      <c r="EE25" s="11">
        <f t="array" ref="EE25">PRODUCT(1+預測IC!$C26:EE26)-1</f>
        <v>1.4163413115117764</v>
      </c>
      <c r="EF25" s="11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NN5樣本外R2</vt:lpstr>
      <vt:lpstr>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2025-06-05T15:26:18Z</dcterms:modified>
</cp:coreProperties>
</file>