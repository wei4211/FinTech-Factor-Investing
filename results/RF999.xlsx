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eixiang/Desktop/金融/"/>
    </mc:Choice>
  </mc:AlternateContent>
  <xr:revisionPtr revIDLastSave="0" documentId="13_ncr:1_{23A217E7-A993-BC49-A8AC-9604D86EC15B}" xr6:coauthVersionLast="47" xr6:coauthVersionMax="47" xr10:uidLastSave="{00000000-0000-0000-0000-000000000000}"/>
  <bookViews>
    <workbookView xWindow="0" yWindow="760" windowWidth="30240" windowHeight="17940" activeTab="5" xr2:uid="{00000000-000D-0000-FFFF-FFFF00000000}"/>
  </bookViews>
  <sheets>
    <sheet name="預測IC" sheetId="1" r:id="rId1"/>
    <sheet name="RF勝率" sheetId="3" r:id="rId2"/>
    <sheet name="RF累積報酬" sheetId="5" r:id="rId3"/>
    <sheet name="RF累積畫圖" sheetId="7" r:id="rId4"/>
    <sheet name="RF再投資累積報酬 " sheetId="12" r:id="rId5"/>
    <sheet name="RF夏普比率" sheetId="9" r:id="rId6"/>
    <sheet name="RF樣本外R2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G13" i="9" l="1"/>
  <c r="EF25" i="12" a="1"/>
  <c r="EF25" i="12" s="1"/>
  <c r="EE25" i="12" a="1"/>
  <c r="EE25" i="12" s="1"/>
  <c r="ED25" i="12" a="1"/>
  <c r="ED25" i="12" s="1"/>
  <c r="EC25" i="12" a="1"/>
  <c r="EC25" i="12" s="1"/>
  <c r="EB25" i="12" a="1"/>
  <c r="EB25" i="12" s="1"/>
  <c r="EA25" i="12" a="1"/>
  <c r="EA25" i="12" s="1"/>
  <c r="DZ25" i="12" a="1"/>
  <c r="DZ25" i="12" s="1"/>
  <c r="DY25" i="12" a="1"/>
  <c r="DY25" i="12" s="1"/>
  <c r="DX25" i="12" a="1"/>
  <c r="DX25" i="12" s="1"/>
  <c r="DW25" i="12" a="1"/>
  <c r="DW25" i="12" s="1"/>
  <c r="DV25" i="12" a="1"/>
  <c r="DV25" i="12" s="1"/>
  <c r="DU25" i="12" a="1"/>
  <c r="DU25" i="12" s="1"/>
  <c r="DT25" i="12" a="1"/>
  <c r="DT25" i="12" s="1"/>
  <c r="DS25" i="12" a="1"/>
  <c r="DS25" i="12" s="1"/>
  <c r="DR25" i="12" a="1"/>
  <c r="DR25" i="12" s="1"/>
  <c r="DQ25" i="12" a="1"/>
  <c r="DQ25" i="12" s="1"/>
  <c r="DP25" i="12" a="1"/>
  <c r="DP25" i="12" s="1"/>
  <c r="DO25" i="12" a="1"/>
  <c r="DO25" i="12" s="1"/>
  <c r="DN25" i="12" a="1"/>
  <c r="DN25" i="12" s="1"/>
  <c r="DM25" i="12" a="1"/>
  <c r="DM25" i="12" s="1"/>
  <c r="DL25" i="12" a="1"/>
  <c r="DL25" i="12" s="1"/>
  <c r="DK25" i="12" a="1"/>
  <c r="DK25" i="12" s="1"/>
  <c r="DJ25" i="12" a="1"/>
  <c r="DJ25" i="12" s="1"/>
  <c r="DI25" i="12" a="1"/>
  <c r="DI25" i="12" s="1"/>
  <c r="DH25" i="12" a="1"/>
  <c r="DH25" i="12" s="1"/>
  <c r="DG25" i="12" a="1"/>
  <c r="DG25" i="12" s="1"/>
  <c r="DF25" i="12" a="1"/>
  <c r="DF25" i="12" s="1"/>
  <c r="DE25" i="12" a="1"/>
  <c r="DE25" i="12" s="1"/>
  <c r="DD25" i="12" a="1"/>
  <c r="DD25" i="12" s="1"/>
  <c r="DC25" i="12" a="1"/>
  <c r="DC25" i="12" s="1"/>
  <c r="DB25" i="12" a="1"/>
  <c r="DB25" i="12" s="1"/>
  <c r="DA25" i="12" a="1"/>
  <c r="DA25" i="12" s="1"/>
  <c r="CZ25" i="12" a="1"/>
  <c r="CZ25" i="12" s="1"/>
  <c r="CY25" i="12" a="1"/>
  <c r="CY25" i="12" s="1"/>
  <c r="CX25" i="12" a="1"/>
  <c r="CX25" i="12" s="1"/>
  <c r="CW25" i="12" a="1"/>
  <c r="CW25" i="12" s="1"/>
  <c r="CV25" i="12" a="1"/>
  <c r="CV25" i="12" s="1"/>
  <c r="CU25" i="12" a="1"/>
  <c r="CU25" i="12" s="1"/>
  <c r="CT25" i="12" a="1"/>
  <c r="CT25" i="12" s="1"/>
  <c r="CS25" i="12" a="1"/>
  <c r="CS25" i="12" s="1"/>
  <c r="CR25" i="12" a="1"/>
  <c r="CR25" i="12" s="1"/>
  <c r="CQ25" i="12" a="1"/>
  <c r="CQ25" i="12" s="1"/>
  <c r="CP25" i="12" a="1"/>
  <c r="CP25" i="12" s="1"/>
  <c r="CO25" i="12" a="1"/>
  <c r="CO25" i="12" s="1"/>
  <c r="CN25" i="12" a="1"/>
  <c r="CN25" i="12" s="1"/>
  <c r="CM25" i="12" a="1"/>
  <c r="CM25" i="12" s="1"/>
  <c r="CL25" i="12" a="1"/>
  <c r="CL25" i="12" s="1"/>
  <c r="CK25" i="12" a="1"/>
  <c r="CK25" i="12" s="1"/>
  <c r="CJ25" i="12" a="1"/>
  <c r="CJ25" i="12" s="1"/>
  <c r="CI25" i="12" a="1"/>
  <c r="CI25" i="12" s="1"/>
  <c r="CH25" i="12" a="1"/>
  <c r="CH25" i="12" s="1"/>
  <c r="CG25" i="12" a="1"/>
  <c r="CG25" i="12" s="1"/>
  <c r="CF25" i="12" a="1"/>
  <c r="CF25" i="12" s="1"/>
  <c r="CE25" i="12" a="1"/>
  <c r="CE25" i="12" s="1"/>
  <c r="CD25" i="12" a="1"/>
  <c r="CD25" i="12" s="1"/>
  <c r="CC25" i="12" a="1"/>
  <c r="CC25" i="12" s="1"/>
  <c r="CB25" i="12" a="1"/>
  <c r="CB25" i="12" s="1"/>
  <c r="CA25" i="12" a="1"/>
  <c r="CA25" i="12" s="1"/>
  <c r="BZ25" i="12" a="1"/>
  <c r="BZ25" i="12" s="1"/>
  <c r="BY25" i="12" a="1"/>
  <c r="BY25" i="12" s="1"/>
  <c r="BX25" i="12" a="1"/>
  <c r="BX25" i="12" s="1"/>
  <c r="BW25" i="12" a="1"/>
  <c r="BW25" i="12" s="1"/>
  <c r="BV25" i="12" a="1"/>
  <c r="BV25" i="12" s="1"/>
  <c r="BU25" i="12" a="1"/>
  <c r="BU25" i="12" s="1"/>
  <c r="BT25" i="12" a="1"/>
  <c r="BT25" i="12" s="1"/>
  <c r="BS25" i="12" a="1"/>
  <c r="BS25" i="12" s="1"/>
  <c r="BR25" i="12" a="1"/>
  <c r="BR25" i="12" s="1"/>
  <c r="BQ25" i="12" a="1"/>
  <c r="BQ25" i="12" s="1"/>
  <c r="BP25" i="12" a="1"/>
  <c r="BP25" i="12" s="1"/>
  <c r="BO25" i="12" a="1"/>
  <c r="BO25" i="12" s="1"/>
  <c r="BN25" i="12" a="1"/>
  <c r="BN25" i="12" s="1"/>
  <c r="BM25" i="12" a="1"/>
  <c r="BM25" i="12" s="1"/>
  <c r="BL25" i="12" a="1"/>
  <c r="BL25" i="12" s="1"/>
  <c r="BK25" i="12" a="1"/>
  <c r="BK25" i="12" s="1"/>
  <c r="BJ25" i="12" a="1"/>
  <c r="BJ25" i="12" s="1"/>
  <c r="BI25" i="12" a="1"/>
  <c r="BI25" i="12" s="1"/>
  <c r="BH25" i="12" a="1"/>
  <c r="BH25" i="12" s="1"/>
  <c r="BG25" i="12" a="1"/>
  <c r="BG25" i="12" s="1"/>
  <c r="BF25" i="12" a="1"/>
  <c r="BF25" i="12" s="1"/>
  <c r="BE25" i="12" a="1"/>
  <c r="BE25" i="12" s="1"/>
  <c r="BD25" i="12" a="1"/>
  <c r="BD25" i="12" s="1"/>
  <c r="BC25" i="12" a="1"/>
  <c r="BC25" i="12" s="1"/>
  <c r="BB25" i="12" a="1"/>
  <c r="BB25" i="12" s="1"/>
  <c r="BA25" i="12" a="1"/>
  <c r="BA25" i="12" s="1"/>
  <c r="AZ25" i="12" a="1"/>
  <c r="AZ25" i="12" s="1"/>
  <c r="AY25" i="12" a="1"/>
  <c r="AY25" i="12" s="1"/>
  <c r="AX25" i="12" a="1"/>
  <c r="AX25" i="12" s="1"/>
  <c r="AW25" i="12" a="1"/>
  <c r="AW25" i="12" s="1"/>
  <c r="AV25" i="12" a="1"/>
  <c r="AV25" i="12" s="1"/>
  <c r="AU25" i="12" a="1"/>
  <c r="AU25" i="12" s="1"/>
  <c r="AT25" i="12" a="1"/>
  <c r="AT25" i="12" s="1"/>
  <c r="AS25" i="12" a="1"/>
  <c r="AS25" i="12" s="1"/>
  <c r="AR25" i="12" a="1"/>
  <c r="AR25" i="12" s="1"/>
  <c r="AQ25" i="12" a="1"/>
  <c r="AQ25" i="12" s="1"/>
  <c r="AP25" i="12" a="1"/>
  <c r="AP25" i="12" s="1"/>
  <c r="AO25" i="12" a="1"/>
  <c r="AO25" i="12" s="1"/>
  <c r="AN25" i="12" a="1"/>
  <c r="AN25" i="12" s="1"/>
  <c r="AM25" i="12" a="1"/>
  <c r="AM25" i="12" s="1"/>
  <c r="AL25" i="12" a="1"/>
  <c r="AL25" i="12" s="1"/>
  <c r="AK25" i="12" a="1"/>
  <c r="AK25" i="12" s="1"/>
  <c r="AJ25" i="12" a="1"/>
  <c r="AJ25" i="12" s="1"/>
  <c r="AI25" i="12" a="1"/>
  <c r="AI25" i="12" s="1"/>
  <c r="AH25" i="12" a="1"/>
  <c r="AH25" i="12" s="1"/>
  <c r="AG25" i="12" a="1"/>
  <c r="AG25" i="12" s="1"/>
  <c r="AF25" i="12" a="1"/>
  <c r="AF25" i="12" s="1"/>
  <c r="AE25" i="12" a="1"/>
  <c r="AE25" i="12" s="1"/>
  <c r="AD25" i="12" a="1"/>
  <c r="AD25" i="12" s="1"/>
  <c r="AC25" i="12" a="1"/>
  <c r="AC25" i="12" s="1"/>
  <c r="AB25" i="12" a="1"/>
  <c r="AB25" i="12" s="1"/>
  <c r="AA25" i="12" a="1"/>
  <c r="AA25" i="12" s="1"/>
  <c r="Z25" i="12" a="1"/>
  <c r="Z25" i="12" s="1"/>
  <c r="Y25" i="12" a="1"/>
  <c r="Y25" i="12" s="1"/>
  <c r="X25" i="12" a="1"/>
  <c r="X25" i="12" s="1"/>
  <c r="W25" i="12" a="1"/>
  <c r="W25" i="12" s="1"/>
  <c r="V25" i="12" a="1"/>
  <c r="V25" i="12" s="1"/>
  <c r="U25" i="12" a="1"/>
  <c r="U25" i="12" s="1"/>
  <c r="T25" i="12" a="1"/>
  <c r="T25" i="12" s="1"/>
  <c r="S25" i="12" a="1"/>
  <c r="S25" i="12" s="1"/>
  <c r="R25" i="12" a="1"/>
  <c r="R25" i="12" s="1"/>
  <c r="Q25" i="12" a="1"/>
  <c r="Q25" i="12" s="1"/>
  <c r="P25" i="12" a="1"/>
  <c r="P25" i="12" s="1"/>
  <c r="O25" i="12" a="1"/>
  <c r="O25" i="12" s="1"/>
  <c r="N25" i="12" a="1"/>
  <c r="N25" i="12" s="1"/>
  <c r="M25" i="12" a="1"/>
  <c r="M25" i="12" s="1"/>
  <c r="L25" i="12" a="1"/>
  <c r="L25" i="12" s="1"/>
  <c r="K25" i="12" a="1"/>
  <c r="K25" i="12" s="1"/>
  <c r="J25" i="12" a="1"/>
  <c r="J25" i="12" s="1"/>
  <c r="I25" i="12" a="1"/>
  <c r="I25" i="12" s="1"/>
  <c r="H25" i="12" a="1"/>
  <c r="H25" i="12" s="1"/>
  <c r="G25" i="12" a="1"/>
  <c r="G25" i="12" s="1"/>
  <c r="F25" i="12" a="1"/>
  <c r="F25" i="12" s="1"/>
  <c r="E25" i="12" a="1"/>
  <c r="E25" i="12" s="1"/>
  <c r="D25" i="12" a="1"/>
  <c r="D25" i="12" s="1"/>
  <c r="C25" i="12" a="1"/>
  <c r="C25" i="12"/>
  <c r="EF24" i="12" a="1"/>
  <c r="EF24" i="12" s="1"/>
  <c r="EE24" i="12" a="1"/>
  <c r="EE24" i="12" s="1"/>
  <c r="ED24" i="12" a="1"/>
  <c r="ED24" i="12" s="1"/>
  <c r="EC24" i="12" a="1"/>
  <c r="EC24" i="12" s="1"/>
  <c r="EB24" i="12" a="1"/>
  <c r="EB24" i="12" s="1"/>
  <c r="EA24" i="12" a="1"/>
  <c r="EA24" i="12" s="1"/>
  <c r="DZ24" i="12" a="1"/>
  <c r="DZ24" i="12" s="1"/>
  <c r="DY24" i="12" a="1"/>
  <c r="DY24" i="12" s="1"/>
  <c r="DX24" i="12" a="1"/>
  <c r="DX24" i="12" s="1"/>
  <c r="DW24" i="12" a="1"/>
  <c r="DW24" i="12" s="1"/>
  <c r="DV24" i="12" a="1"/>
  <c r="DV24" i="12" s="1"/>
  <c r="DU24" i="12" a="1"/>
  <c r="DU24" i="12" s="1"/>
  <c r="DT24" i="12" a="1"/>
  <c r="DT24" i="12" s="1"/>
  <c r="DS24" i="12" a="1"/>
  <c r="DS24" i="12" s="1"/>
  <c r="DR24" i="12" a="1"/>
  <c r="DR24" i="12" s="1"/>
  <c r="DQ24" i="12" a="1"/>
  <c r="DQ24" i="12" s="1"/>
  <c r="DP24" i="12" a="1"/>
  <c r="DP24" i="12" s="1"/>
  <c r="DO24" i="12" a="1"/>
  <c r="DO24" i="12" s="1"/>
  <c r="DN24" i="12" a="1"/>
  <c r="DN24" i="12" s="1"/>
  <c r="DM24" i="12" a="1"/>
  <c r="DM24" i="12" s="1"/>
  <c r="DL24" i="12" a="1"/>
  <c r="DL24" i="12" s="1"/>
  <c r="DK24" i="12" a="1"/>
  <c r="DK24" i="12" s="1"/>
  <c r="DJ24" i="12" a="1"/>
  <c r="DJ24" i="12" s="1"/>
  <c r="DI24" i="12" a="1"/>
  <c r="DI24" i="12" s="1"/>
  <c r="DH24" i="12" a="1"/>
  <c r="DH24" i="12" s="1"/>
  <c r="DG24" i="12" a="1"/>
  <c r="DG24" i="12" s="1"/>
  <c r="DF24" i="12" a="1"/>
  <c r="DF24" i="12" s="1"/>
  <c r="DE24" i="12" a="1"/>
  <c r="DE24" i="12" s="1"/>
  <c r="DD24" i="12" a="1"/>
  <c r="DD24" i="12" s="1"/>
  <c r="DC24" i="12" a="1"/>
  <c r="DC24" i="12" s="1"/>
  <c r="DB24" i="12" a="1"/>
  <c r="DB24" i="12" s="1"/>
  <c r="DA24" i="12" a="1"/>
  <c r="DA24" i="12" s="1"/>
  <c r="CZ24" i="12" a="1"/>
  <c r="CZ24" i="12" s="1"/>
  <c r="CY24" i="12" a="1"/>
  <c r="CY24" i="12" s="1"/>
  <c r="CX24" i="12" a="1"/>
  <c r="CX24" i="12" s="1"/>
  <c r="CW24" i="12" a="1"/>
  <c r="CW24" i="12" s="1"/>
  <c r="CV24" i="12" a="1"/>
  <c r="CV24" i="12" s="1"/>
  <c r="CU24" i="12" a="1"/>
  <c r="CU24" i="12" s="1"/>
  <c r="CT24" i="12" a="1"/>
  <c r="CT24" i="12" s="1"/>
  <c r="CS24" i="12" a="1"/>
  <c r="CS24" i="12" s="1"/>
  <c r="CR24" i="12" a="1"/>
  <c r="CR24" i="12" s="1"/>
  <c r="CQ24" i="12" a="1"/>
  <c r="CQ24" i="12" s="1"/>
  <c r="CP24" i="12"/>
  <c r="CP24" i="12" a="1"/>
  <c r="CO24" i="12" a="1"/>
  <c r="CO24" i="12" s="1"/>
  <c r="CN24" i="12" a="1"/>
  <c r="CN24" i="12" s="1"/>
  <c r="CM24" i="12" a="1"/>
  <c r="CM24" i="12" s="1"/>
  <c r="CL24" i="12" a="1"/>
  <c r="CL24" i="12" s="1"/>
  <c r="CK24" i="12" a="1"/>
  <c r="CK24" i="12" s="1"/>
  <c r="CJ24" i="12" a="1"/>
  <c r="CJ24" i="12" s="1"/>
  <c r="CI24" i="12" a="1"/>
  <c r="CI24" i="12" s="1"/>
  <c r="CH24" i="12"/>
  <c r="CH24" i="12" a="1"/>
  <c r="CG24" i="12" a="1"/>
  <c r="CG24" i="12" s="1"/>
  <c r="CF24" i="12" a="1"/>
  <c r="CF24" i="12" s="1"/>
  <c r="CE24" i="12" a="1"/>
  <c r="CE24" i="12" s="1"/>
  <c r="CD24" i="12" a="1"/>
  <c r="CD24" i="12" s="1"/>
  <c r="CC24" i="12" a="1"/>
  <c r="CC24" i="12" s="1"/>
  <c r="CB24" i="12" a="1"/>
  <c r="CB24" i="12" s="1"/>
  <c r="CA24" i="12" a="1"/>
  <c r="CA24" i="12" s="1"/>
  <c r="BZ24" i="12"/>
  <c r="BZ24" i="12" a="1"/>
  <c r="BY24" i="12" a="1"/>
  <c r="BY24" i="12" s="1"/>
  <c r="BX24" i="12" a="1"/>
  <c r="BX24" i="12" s="1"/>
  <c r="BW24" i="12" a="1"/>
  <c r="BW24" i="12" s="1"/>
  <c r="BV24" i="12" a="1"/>
  <c r="BV24" i="12" s="1"/>
  <c r="BU24" i="12" a="1"/>
  <c r="BU24" i="12" s="1"/>
  <c r="BT24" i="12" a="1"/>
  <c r="BT24" i="12" s="1"/>
  <c r="BS24" i="12" a="1"/>
  <c r="BS24" i="12" s="1"/>
  <c r="BR24" i="12"/>
  <c r="BR24" i="12" a="1"/>
  <c r="BQ24" i="12" a="1"/>
  <c r="BQ24" i="12" s="1"/>
  <c r="BP24" i="12" a="1"/>
  <c r="BP24" i="12" s="1"/>
  <c r="BO24" i="12" a="1"/>
  <c r="BO24" i="12" s="1"/>
  <c r="BN24" i="12" a="1"/>
  <c r="BN24" i="12" s="1"/>
  <c r="BM24" i="12" a="1"/>
  <c r="BM24" i="12" s="1"/>
  <c r="BL24" i="12" a="1"/>
  <c r="BL24" i="12" s="1"/>
  <c r="BK24" i="12" a="1"/>
  <c r="BK24" i="12" s="1"/>
  <c r="BJ24" i="12"/>
  <c r="BJ24" i="12" a="1"/>
  <c r="BI24" i="12" a="1"/>
  <c r="BI24" i="12" s="1"/>
  <c r="BH24" i="12" a="1"/>
  <c r="BH24" i="12" s="1"/>
  <c r="BG24" i="12" a="1"/>
  <c r="BG24" i="12" s="1"/>
  <c r="BF24" i="12" a="1"/>
  <c r="BF24" i="12" s="1"/>
  <c r="BE24" i="12" a="1"/>
  <c r="BE24" i="12" s="1"/>
  <c r="BD24" i="12" a="1"/>
  <c r="BD24" i="12" s="1"/>
  <c r="BC24" i="12" a="1"/>
  <c r="BC24" i="12" s="1"/>
  <c r="BB24" i="12"/>
  <c r="BB24" i="12" a="1"/>
  <c r="BA24" i="12" a="1"/>
  <c r="BA24" i="12" s="1"/>
  <c r="AZ24" i="12" a="1"/>
  <c r="AZ24" i="12" s="1"/>
  <c r="AY24" i="12" a="1"/>
  <c r="AY24" i="12" s="1"/>
  <c r="AX24" i="12" a="1"/>
  <c r="AX24" i="12" s="1"/>
  <c r="AW24" i="12" a="1"/>
  <c r="AW24" i="12" s="1"/>
  <c r="AV24" i="12" a="1"/>
  <c r="AV24" i="12" s="1"/>
  <c r="AU24" i="12" a="1"/>
  <c r="AU24" i="12" s="1"/>
  <c r="AT24" i="12"/>
  <c r="AT24" i="12" a="1"/>
  <c r="AS24" i="12" a="1"/>
  <c r="AS24" i="12" s="1"/>
  <c r="AR24" i="12" a="1"/>
  <c r="AR24" i="12" s="1"/>
  <c r="AQ24" i="12" a="1"/>
  <c r="AQ24" i="12" s="1"/>
  <c r="AP24" i="12" a="1"/>
  <c r="AP24" i="12" s="1"/>
  <c r="AO24" i="12" a="1"/>
  <c r="AO24" i="12" s="1"/>
  <c r="AN24" i="12" a="1"/>
  <c r="AN24" i="12" s="1"/>
  <c r="AM24" i="12" a="1"/>
  <c r="AM24" i="12" s="1"/>
  <c r="AL24" i="12"/>
  <c r="AL24" i="12" a="1"/>
  <c r="AK24" i="12" a="1"/>
  <c r="AK24" i="12" s="1"/>
  <c r="AJ24" i="12" a="1"/>
  <c r="AJ24" i="12" s="1"/>
  <c r="AI24" i="12" a="1"/>
  <c r="AI24" i="12" s="1"/>
  <c r="AH24" i="12" a="1"/>
  <c r="AH24" i="12" s="1"/>
  <c r="AG24" i="12" a="1"/>
  <c r="AG24" i="12" s="1"/>
  <c r="AF24" i="12" a="1"/>
  <c r="AF24" i="12" s="1"/>
  <c r="AE24" i="12" a="1"/>
  <c r="AE24" i="12" s="1"/>
  <c r="AD24" i="12"/>
  <c r="AD24" i="12" a="1"/>
  <c r="AC24" i="12" a="1"/>
  <c r="AC24" i="12" s="1"/>
  <c r="AB24" i="12" a="1"/>
  <c r="AB24" i="12" s="1"/>
  <c r="AA24" i="12" a="1"/>
  <c r="AA24" i="12" s="1"/>
  <c r="Z24" i="12" a="1"/>
  <c r="Z24" i="12" s="1"/>
  <c r="Y24" i="12" a="1"/>
  <c r="Y24" i="12" s="1"/>
  <c r="X24" i="12" a="1"/>
  <c r="X24" i="12" s="1"/>
  <c r="W24" i="12" a="1"/>
  <c r="W24" i="12" s="1"/>
  <c r="V24" i="12"/>
  <c r="V24" i="12" a="1"/>
  <c r="U24" i="12" a="1"/>
  <c r="U24" i="12" s="1"/>
  <c r="T24" i="12" a="1"/>
  <c r="T24" i="12" s="1"/>
  <c r="S24" i="12" a="1"/>
  <c r="S24" i="12" s="1"/>
  <c r="R24" i="12" a="1"/>
  <c r="R24" i="12" s="1"/>
  <c r="Q24" i="12" a="1"/>
  <c r="Q24" i="12" s="1"/>
  <c r="P24" i="12" a="1"/>
  <c r="P24" i="12" s="1"/>
  <c r="O24" i="12" a="1"/>
  <c r="O24" i="12" s="1"/>
  <c r="N24" i="12"/>
  <c r="N24" i="12" a="1"/>
  <c r="M24" i="12" a="1"/>
  <c r="M24" i="12" s="1"/>
  <c r="L24" i="12" a="1"/>
  <c r="L24" i="12" s="1"/>
  <c r="K24" i="12" a="1"/>
  <c r="K24" i="12" s="1"/>
  <c r="J24" i="12" a="1"/>
  <c r="J24" i="12" s="1"/>
  <c r="I24" i="12" a="1"/>
  <c r="I24" i="12" s="1"/>
  <c r="H24" i="12" a="1"/>
  <c r="H24" i="12" s="1"/>
  <c r="G24" i="12" a="1"/>
  <c r="G24" i="12" s="1"/>
  <c r="F24" i="12"/>
  <c r="F24" i="12" a="1"/>
  <c r="E24" i="12" a="1"/>
  <c r="E24" i="12" s="1"/>
  <c r="D24" i="12" a="1"/>
  <c r="D24" i="12" s="1"/>
  <c r="C24" i="12" a="1"/>
  <c r="C24" i="12" s="1"/>
  <c r="EF23" i="12" a="1"/>
  <c r="EF23" i="12" s="1"/>
  <c r="EE23" i="12" a="1"/>
  <c r="EE23" i="12" s="1"/>
  <c r="ED23" i="12" a="1"/>
  <c r="ED23" i="12" s="1"/>
  <c r="EC23" i="12" a="1"/>
  <c r="EC23" i="12" s="1"/>
  <c r="EB23" i="12"/>
  <c r="EB23" i="12" a="1"/>
  <c r="EA23" i="12" a="1"/>
  <c r="EA23" i="12" s="1"/>
  <c r="DZ23" i="12" a="1"/>
  <c r="DZ23" i="12" s="1"/>
  <c r="DY23" i="12" a="1"/>
  <c r="DY23" i="12" s="1"/>
  <c r="DX23" i="12" a="1"/>
  <c r="DX23" i="12" s="1"/>
  <c r="DW23" i="12" a="1"/>
  <c r="DW23" i="12" s="1"/>
  <c r="DV23" i="12" a="1"/>
  <c r="DV23" i="12" s="1"/>
  <c r="DU23" i="12" a="1"/>
  <c r="DU23" i="12" s="1"/>
  <c r="DT23" i="12"/>
  <c r="DT23" i="12" a="1"/>
  <c r="DS23" i="12" a="1"/>
  <c r="DS23" i="12" s="1"/>
  <c r="DR23" i="12" a="1"/>
  <c r="DR23" i="12" s="1"/>
  <c r="DQ23" i="12" a="1"/>
  <c r="DQ23" i="12" s="1"/>
  <c r="DP23" i="12" a="1"/>
  <c r="DP23" i="12" s="1"/>
  <c r="DO23" i="12" a="1"/>
  <c r="DO23" i="12" s="1"/>
  <c r="DN23" i="12" a="1"/>
  <c r="DN23" i="12" s="1"/>
  <c r="DM23" i="12" a="1"/>
  <c r="DM23" i="12" s="1"/>
  <c r="DL23" i="12"/>
  <c r="DL23" i="12" a="1"/>
  <c r="DK23" i="12" a="1"/>
  <c r="DK23" i="12" s="1"/>
  <c r="DJ23" i="12" a="1"/>
  <c r="DJ23" i="12" s="1"/>
  <c r="DI23" i="12" a="1"/>
  <c r="DI23" i="12" s="1"/>
  <c r="DH23" i="12" a="1"/>
  <c r="DH23" i="12" s="1"/>
  <c r="DG23" i="12" a="1"/>
  <c r="DG23" i="12" s="1"/>
  <c r="DF23" i="12" a="1"/>
  <c r="DF23" i="12" s="1"/>
  <c r="DE23" i="12" a="1"/>
  <c r="DE23" i="12" s="1"/>
  <c r="DD23" i="12"/>
  <c r="DD23" i="12" a="1"/>
  <c r="DC23" i="12" a="1"/>
  <c r="DC23" i="12" s="1"/>
  <c r="DB23" i="12" a="1"/>
  <c r="DB23" i="12" s="1"/>
  <c r="DA23" i="12" a="1"/>
  <c r="DA23" i="12" s="1"/>
  <c r="CZ23" i="12" a="1"/>
  <c r="CZ23" i="12" s="1"/>
  <c r="CY23" i="12" a="1"/>
  <c r="CY23" i="12" s="1"/>
  <c r="CX23" i="12" a="1"/>
  <c r="CX23" i="12" s="1"/>
  <c r="CW23" i="12" a="1"/>
  <c r="CW23" i="12" s="1"/>
  <c r="CV23" i="12"/>
  <c r="CV23" i="12" a="1"/>
  <c r="CU23" i="12" a="1"/>
  <c r="CU23" i="12" s="1"/>
  <c r="CT23" i="12" a="1"/>
  <c r="CT23" i="12" s="1"/>
  <c r="CS23" i="12" a="1"/>
  <c r="CS23" i="12" s="1"/>
  <c r="CR23" i="12" a="1"/>
  <c r="CR23" i="12" s="1"/>
  <c r="CQ23" i="12" a="1"/>
  <c r="CQ23" i="12" s="1"/>
  <c r="CP23" i="12" a="1"/>
  <c r="CP23" i="12" s="1"/>
  <c r="CO23" i="12" a="1"/>
  <c r="CO23" i="12" s="1"/>
  <c r="CN23" i="12"/>
  <c r="CN23" i="12" a="1"/>
  <c r="CM23" i="12" a="1"/>
  <c r="CM23" i="12" s="1"/>
  <c r="CL23" i="12" a="1"/>
  <c r="CL23" i="12" s="1"/>
  <c r="CK23" i="12" a="1"/>
  <c r="CK23" i="12" s="1"/>
  <c r="CJ23" i="12" a="1"/>
  <c r="CJ23" i="12" s="1"/>
  <c r="CI23" i="12" a="1"/>
  <c r="CI23" i="12" s="1"/>
  <c r="CH23" i="12" a="1"/>
  <c r="CH23" i="12" s="1"/>
  <c r="CG23" i="12" a="1"/>
  <c r="CG23" i="12" s="1"/>
  <c r="CF23" i="12"/>
  <c r="CF23" i="12" a="1"/>
  <c r="CE23" i="12" a="1"/>
  <c r="CE23" i="12" s="1"/>
  <c r="CD23" i="12" a="1"/>
  <c r="CD23" i="12" s="1"/>
  <c r="CC23" i="12" a="1"/>
  <c r="CC23" i="12" s="1"/>
  <c r="CB23" i="12" a="1"/>
  <c r="CB23" i="12" s="1"/>
  <c r="CA23" i="12" a="1"/>
  <c r="CA23" i="12" s="1"/>
  <c r="BZ23" i="12" a="1"/>
  <c r="BZ23" i="12" s="1"/>
  <c r="BY23" i="12" a="1"/>
  <c r="BY23" i="12" s="1"/>
  <c r="BX23" i="12"/>
  <c r="BX23" i="12" a="1"/>
  <c r="BW23" i="12" a="1"/>
  <c r="BW23" i="12" s="1"/>
  <c r="BV23" i="12" a="1"/>
  <c r="BV23" i="12" s="1"/>
  <c r="BU23" i="12" a="1"/>
  <c r="BU23" i="12" s="1"/>
  <c r="BT23" i="12" a="1"/>
  <c r="BT23" i="12" s="1"/>
  <c r="BS23" i="12" a="1"/>
  <c r="BS23" i="12" s="1"/>
  <c r="BR23" i="12" a="1"/>
  <c r="BR23" i="12" s="1"/>
  <c r="BQ23" i="12" a="1"/>
  <c r="BQ23" i="12" s="1"/>
  <c r="BP23" i="12"/>
  <c r="BP23" i="12" a="1"/>
  <c r="BO23" i="12" a="1"/>
  <c r="BO23" i="12" s="1"/>
  <c r="BN23" i="12" a="1"/>
  <c r="BN23" i="12" s="1"/>
  <c r="BM23" i="12" a="1"/>
  <c r="BM23" i="12" s="1"/>
  <c r="BL23" i="12" a="1"/>
  <c r="BL23" i="12" s="1"/>
  <c r="BK23" i="12" a="1"/>
  <c r="BK23" i="12" s="1"/>
  <c r="BJ23" i="12" a="1"/>
  <c r="BJ23" i="12" s="1"/>
  <c r="BI23" i="12" a="1"/>
  <c r="BI23" i="12" s="1"/>
  <c r="BH23" i="12"/>
  <c r="BH23" i="12" a="1"/>
  <c r="BG23" i="12" a="1"/>
  <c r="BG23" i="12" s="1"/>
  <c r="BF23" i="12" a="1"/>
  <c r="BF23" i="12" s="1"/>
  <c r="BE23" i="12" a="1"/>
  <c r="BE23" i="12" s="1"/>
  <c r="BD23" i="12" a="1"/>
  <c r="BD23" i="12" s="1"/>
  <c r="BC23" i="12" a="1"/>
  <c r="BC23" i="12" s="1"/>
  <c r="BB23" i="12" a="1"/>
  <c r="BB23" i="12" s="1"/>
  <c r="BA23" i="12" a="1"/>
  <c r="BA23" i="12" s="1"/>
  <c r="AZ23" i="12"/>
  <c r="AZ23" i="12" a="1"/>
  <c r="AY23" i="12" a="1"/>
  <c r="AY23" i="12" s="1"/>
  <c r="AX23" i="12" a="1"/>
  <c r="AX23" i="12" s="1"/>
  <c r="AW23" i="12" a="1"/>
  <c r="AW23" i="12" s="1"/>
  <c r="AV23" i="12" a="1"/>
  <c r="AV23" i="12" s="1"/>
  <c r="AU23" i="12" a="1"/>
  <c r="AU23" i="12" s="1"/>
  <c r="AT23" i="12" a="1"/>
  <c r="AT23" i="12" s="1"/>
  <c r="AS23" i="12" a="1"/>
  <c r="AS23" i="12" s="1"/>
  <c r="AR23" i="12"/>
  <c r="AR23" i="12" a="1"/>
  <c r="AQ23" i="12" a="1"/>
  <c r="AQ23" i="12" s="1"/>
  <c r="AP23" i="12" a="1"/>
  <c r="AP23" i="12" s="1"/>
  <c r="AO23" i="12" a="1"/>
  <c r="AO23" i="12" s="1"/>
  <c r="AN23" i="12" a="1"/>
  <c r="AN23" i="12" s="1"/>
  <c r="AM23" i="12" a="1"/>
  <c r="AM23" i="12" s="1"/>
  <c r="AL23" i="12" a="1"/>
  <c r="AL23" i="12" s="1"/>
  <c r="AK23" i="12" a="1"/>
  <c r="AK23" i="12" s="1"/>
  <c r="AJ23" i="12"/>
  <c r="AJ23" i="12" a="1"/>
  <c r="AI23" i="12" a="1"/>
  <c r="AI23" i="12" s="1"/>
  <c r="AH23" i="12" a="1"/>
  <c r="AH23" i="12" s="1"/>
  <c r="AG23" i="12" a="1"/>
  <c r="AG23" i="12" s="1"/>
  <c r="AF23" i="12" a="1"/>
  <c r="AF23" i="12" s="1"/>
  <c r="AE23" i="12" a="1"/>
  <c r="AE23" i="12" s="1"/>
  <c r="AD23" i="12" a="1"/>
  <c r="AD23" i="12" s="1"/>
  <c r="AC23" i="12" a="1"/>
  <c r="AC23" i="12" s="1"/>
  <c r="AB23" i="12"/>
  <c r="AB23" i="12" a="1"/>
  <c r="AA23" i="12" a="1"/>
  <c r="AA23" i="12" s="1"/>
  <c r="Z23" i="12" a="1"/>
  <c r="Z23" i="12" s="1"/>
  <c r="Y23" i="12" a="1"/>
  <c r="Y23" i="12" s="1"/>
  <c r="X23" i="12" a="1"/>
  <c r="X23" i="12" s="1"/>
  <c r="W23" i="12" a="1"/>
  <c r="W23" i="12" s="1"/>
  <c r="V23" i="12" a="1"/>
  <c r="V23" i="12" s="1"/>
  <c r="U23" i="12" a="1"/>
  <c r="U23" i="12" s="1"/>
  <c r="T23" i="12"/>
  <c r="T23" i="12" a="1"/>
  <c r="S23" i="12" a="1"/>
  <c r="S23" i="12" s="1"/>
  <c r="R23" i="12" a="1"/>
  <c r="R23" i="12" s="1"/>
  <c r="Q23" i="12" a="1"/>
  <c r="Q23" i="12" s="1"/>
  <c r="P23" i="12" a="1"/>
  <c r="P23" i="12" s="1"/>
  <c r="O23" i="12" a="1"/>
  <c r="O23" i="12" s="1"/>
  <c r="N23" i="12" a="1"/>
  <c r="N23" i="12" s="1"/>
  <c r="M23" i="12" a="1"/>
  <c r="M23" i="12" s="1"/>
  <c r="L23" i="12"/>
  <c r="L23" i="12" a="1"/>
  <c r="K23" i="12" a="1"/>
  <c r="K23" i="12" s="1"/>
  <c r="J23" i="12" a="1"/>
  <c r="J23" i="12" s="1"/>
  <c r="I23" i="12" a="1"/>
  <c r="I23" i="12" s="1"/>
  <c r="H23" i="12" a="1"/>
  <c r="H23" i="12" s="1"/>
  <c r="G23" i="12" a="1"/>
  <c r="G23" i="12" s="1"/>
  <c r="F23" i="12" a="1"/>
  <c r="F23" i="12" s="1"/>
  <c r="E23" i="12" a="1"/>
  <c r="E23" i="12" s="1"/>
  <c r="D23" i="12"/>
  <c r="D23" i="12" a="1"/>
  <c r="C23" i="12" a="1"/>
  <c r="C23" i="12" s="1"/>
  <c r="EF22" i="12" a="1"/>
  <c r="EF22" i="12" s="1"/>
  <c r="EE22" i="12" a="1"/>
  <c r="EE22" i="12" s="1"/>
  <c r="ED22" i="12" a="1"/>
  <c r="ED22" i="12" s="1"/>
  <c r="EC22" i="12" a="1"/>
  <c r="EC22" i="12" s="1"/>
  <c r="EB22" i="12" a="1"/>
  <c r="EB22" i="12" s="1"/>
  <c r="EA22" i="12" a="1"/>
  <c r="EA22" i="12" s="1"/>
  <c r="DZ22" i="12"/>
  <c r="DZ22" i="12" a="1"/>
  <c r="DY22" i="12" a="1"/>
  <c r="DY22" i="12" s="1"/>
  <c r="DX22" i="12" a="1"/>
  <c r="DX22" i="12" s="1"/>
  <c r="DW22" i="12" a="1"/>
  <c r="DW22" i="12" s="1"/>
  <c r="DV22" i="12" a="1"/>
  <c r="DV22" i="12" s="1"/>
  <c r="DU22" i="12" a="1"/>
  <c r="DU22" i="12" s="1"/>
  <c r="DT22" i="12" a="1"/>
  <c r="DT22" i="12" s="1"/>
  <c r="DS22" i="12" a="1"/>
  <c r="DS22" i="12" s="1"/>
  <c r="DR22" i="12"/>
  <c r="DR22" i="12" a="1"/>
  <c r="DQ22" i="12" a="1"/>
  <c r="DQ22" i="12" s="1"/>
  <c r="DP22" i="12" a="1"/>
  <c r="DP22" i="12" s="1"/>
  <c r="DO22" i="12" a="1"/>
  <c r="DO22" i="12" s="1"/>
  <c r="DN22" i="12" a="1"/>
  <c r="DN22" i="12" s="1"/>
  <c r="DM22" i="12" a="1"/>
  <c r="DM22" i="12" s="1"/>
  <c r="DL22" i="12" a="1"/>
  <c r="DL22" i="12" s="1"/>
  <c r="DK22" i="12" a="1"/>
  <c r="DK22" i="12" s="1"/>
  <c r="DJ22" i="12"/>
  <c r="DJ22" i="12" a="1"/>
  <c r="DI22" i="12" a="1"/>
  <c r="DI22" i="12" s="1"/>
  <c r="DH22" i="12" a="1"/>
  <c r="DH22" i="12" s="1"/>
  <c r="DG22" i="12" a="1"/>
  <c r="DG22" i="12" s="1"/>
  <c r="DF22" i="12" a="1"/>
  <c r="DF22" i="12" s="1"/>
  <c r="DE22" i="12" a="1"/>
  <c r="DE22" i="12" s="1"/>
  <c r="DD22" i="12" a="1"/>
  <c r="DD22" i="12" s="1"/>
  <c r="DC22" i="12" a="1"/>
  <c r="DC22" i="12" s="1"/>
  <c r="DB22" i="12"/>
  <c r="DB22" i="12" a="1"/>
  <c r="DA22" i="12" a="1"/>
  <c r="DA22" i="12" s="1"/>
  <c r="CZ22" i="12" a="1"/>
  <c r="CZ22" i="12" s="1"/>
  <c r="CY22" i="12" a="1"/>
  <c r="CY22" i="12" s="1"/>
  <c r="CX22" i="12"/>
  <c r="CX22" i="12" a="1"/>
  <c r="CW22" i="12" a="1"/>
  <c r="CW22" i="12" s="1"/>
  <c r="CV22" i="12" a="1"/>
  <c r="CV22" i="12" s="1"/>
  <c r="CU22" i="12" a="1"/>
  <c r="CU22" i="12" s="1"/>
  <c r="CT22" i="12"/>
  <c r="CT22" i="12" a="1"/>
  <c r="CS22" i="12" a="1"/>
  <c r="CS22" i="12" s="1"/>
  <c r="CR22" i="12"/>
  <c r="CR22" i="12" a="1"/>
  <c r="CQ22" i="12" a="1"/>
  <c r="CQ22" i="12" s="1"/>
  <c r="CP22" i="12" a="1"/>
  <c r="CP22" i="12" s="1"/>
  <c r="CO22" i="12" a="1"/>
  <c r="CO22" i="12" s="1"/>
  <c r="CN22" i="12" a="1"/>
  <c r="CN22" i="12" s="1"/>
  <c r="CM22" i="12" a="1"/>
  <c r="CM22" i="12" s="1"/>
  <c r="CL22" i="12"/>
  <c r="CL22" i="12" a="1"/>
  <c r="CK22" i="12" a="1"/>
  <c r="CK22" i="12" s="1"/>
  <c r="CJ22" i="12" a="1"/>
  <c r="CJ22" i="12" s="1"/>
  <c r="CI22" i="12" a="1"/>
  <c r="CI22" i="12" s="1"/>
  <c r="CH22" i="12" a="1"/>
  <c r="CH22" i="12" s="1"/>
  <c r="CG22" i="12" a="1"/>
  <c r="CG22" i="12" s="1"/>
  <c r="CF22" i="12" a="1"/>
  <c r="CF22" i="12" s="1"/>
  <c r="CE22" i="12" a="1"/>
  <c r="CE22" i="12" s="1"/>
  <c r="CD22" i="12"/>
  <c r="CD22" i="12" a="1"/>
  <c r="CC22" i="12" a="1"/>
  <c r="CC22" i="12" s="1"/>
  <c r="CB22" i="12" a="1"/>
  <c r="CB22" i="12" s="1"/>
  <c r="CA22" i="12" a="1"/>
  <c r="CA22" i="12" s="1"/>
  <c r="BZ22" i="12" a="1"/>
  <c r="BZ22" i="12" s="1"/>
  <c r="BY22" i="12" a="1"/>
  <c r="BY22" i="12" s="1"/>
  <c r="BX22" i="12" a="1"/>
  <c r="BX22" i="12" s="1"/>
  <c r="BW22" i="12" a="1"/>
  <c r="BW22" i="12" s="1"/>
  <c r="BV22" i="12"/>
  <c r="BV22" i="12" a="1"/>
  <c r="BU22" i="12" a="1"/>
  <c r="BU22" i="12" s="1"/>
  <c r="BT22" i="12" a="1"/>
  <c r="BT22" i="12" s="1"/>
  <c r="BS22" i="12" a="1"/>
  <c r="BS22" i="12" s="1"/>
  <c r="BR22" i="12"/>
  <c r="BR22" i="12" a="1"/>
  <c r="BQ22" i="12" a="1"/>
  <c r="BQ22" i="12" s="1"/>
  <c r="BP22" i="12" a="1"/>
  <c r="BP22" i="12" s="1"/>
  <c r="BO22" i="12" a="1"/>
  <c r="BO22" i="12" s="1"/>
  <c r="BN22" i="12"/>
  <c r="BN22" i="12" a="1"/>
  <c r="BM22" i="12" a="1"/>
  <c r="BM22" i="12" s="1"/>
  <c r="BL22" i="12"/>
  <c r="BL22" i="12" a="1"/>
  <c r="BK22" i="12" a="1"/>
  <c r="BK22" i="12" s="1"/>
  <c r="BJ22" i="12" a="1"/>
  <c r="BJ22" i="12" s="1"/>
  <c r="BI22" i="12" a="1"/>
  <c r="BI22" i="12" s="1"/>
  <c r="BH22" i="12" a="1"/>
  <c r="BH22" i="12" s="1"/>
  <c r="BG22" i="12" a="1"/>
  <c r="BG22" i="12" s="1"/>
  <c r="BF22" i="12"/>
  <c r="BF22" i="12" a="1"/>
  <c r="BE22" i="12" a="1"/>
  <c r="BE22" i="12" s="1"/>
  <c r="BD22" i="12" a="1"/>
  <c r="BD22" i="12" s="1"/>
  <c r="BC22" i="12" a="1"/>
  <c r="BC22" i="12" s="1"/>
  <c r="BB22" i="12" a="1"/>
  <c r="BB22" i="12" s="1"/>
  <c r="BA22" i="12" a="1"/>
  <c r="BA22" i="12" s="1"/>
  <c r="AZ22" i="12" a="1"/>
  <c r="AZ22" i="12" s="1"/>
  <c r="AY22" i="12" a="1"/>
  <c r="AY22" i="12" s="1"/>
  <c r="AX22" i="12"/>
  <c r="AX22" i="12" a="1"/>
  <c r="AW22" i="12" a="1"/>
  <c r="AW22" i="12" s="1"/>
  <c r="AV22" i="12" a="1"/>
  <c r="AV22" i="12" s="1"/>
  <c r="AU22" i="12" a="1"/>
  <c r="AU22" i="12" s="1"/>
  <c r="AT22" i="12"/>
  <c r="AT22" i="12" a="1"/>
  <c r="AS22" i="12" a="1"/>
  <c r="AS22" i="12" s="1"/>
  <c r="AR22" i="12" a="1"/>
  <c r="AR22" i="12" s="1"/>
  <c r="AQ22" i="12" a="1"/>
  <c r="AQ22" i="12" s="1"/>
  <c r="AP22" i="12"/>
  <c r="AP22" i="12" a="1"/>
  <c r="AO22" i="12" a="1"/>
  <c r="AO22" i="12" s="1"/>
  <c r="AN22" i="12"/>
  <c r="AN22" i="12" a="1"/>
  <c r="AM22" i="12" a="1"/>
  <c r="AM22" i="12" s="1"/>
  <c r="AL22" i="12"/>
  <c r="AL22" i="12" a="1"/>
  <c r="AK22" i="12" a="1"/>
  <c r="AK22" i="12" s="1"/>
  <c r="AJ22" i="12" a="1"/>
  <c r="AJ22" i="12" s="1"/>
  <c r="AI22" i="12" a="1"/>
  <c r="AI22" i="12" s="1"/>
  <c r="AH22" i="12"/>
  <c r="AH22" i="12" a="1"/>
  <c r="AG22" i="12" a="1"/>
  <c r="AG22" i="12" s="1"/>
  <c r="AF22" i="12"/>
  <c r="AF22" i="12" a="1"/>
  <c r="AE22" i="12" a="1"/>
  <c r="AE22" i="12" s="1"/>
  <c r="AD22" i="12" a="1"/>
  <c r="AD22" i="12" s="1"/>
  <c r="AC22" i="12" a="1"/>
  <c r="AC22" i="12" s="1"/>
  <c r="AB22" i="12" a="1"/>
  <c r="AB22" i="12" s="1"/>
  <c r="AA22" i="12" a="1"/>
  <c r="AA22" i="12" s="1"/>
  <c r="Z22" i="12" a="1"/>
  <c r="Z22" i="12" s="1"/>
  <c r="Y22" i="12" a="1"/>
  <c r="Y22" i="12" s="1"/>
  <c r="X22" i="12" a="1"/>
  <c r="X22" i="12" s="1"/>
  <c r="W22" i="12"/>
  <c r="W22" i="12" a="1"/>
  <c r="V22" i="12" a="1"/>
  <c r="V22" i="12" s="1"/>
  <c r="U22" i="12"/>
  <c r="U22" i="12" a="1"/>
  <c r="T22" i="12" a="1"/>
  <c r="T22" i="12" s="1"/>
  <c r="S22" i="12" a="1"/>
  <c r="S22" i="12" s="1"/>
  <c r="R22" i="12" a="1"/>
  <c r="R22" i="12" s="1"/>
  <c r="Q22" i="12" a="1"/>
  <c r="Q22" i="12" s="1"/>
  <c r="P22" i="12" a="1"/>
  <c r="P22" i="12" s="1"/>
  <c r="O22" i="12"/>
  <c r="O22" i="12" a="1"/>
  <c r="N22" i="12" a="1"/>
  <c r="N22" i="12" s="1"/>
  <c r="M22" i="12"/>
  <c r="M22" i="12" a="1"/>
  <c r="L22" i="12" a="1"/>
  <c r="L22" i="12" s="1"/>
  <c r="K22" i="12" a="1"/>
  <c r="K22" i="12" s="1"/>
  <c r="J22" i="12" a="1"/>
  <c r="J22" i="12" s="1"/>
  <c r="I22" i="12" a="1"/>
  <c r="I22" i="12" s="1"/>
  <c r="H22" i="12" a="1"/>
  <c r="H22" i="12" s="1"/>
  <c r="G22" i="12"/>
  <c r="G22" i="12" a="1"/>
  <c r="F22" i="12" a="1"/>
  <c r="F22" i="12" s="1"/>
  <c r="E22" i="12"/>
  <c r="E22" i="12" a="1"/>
  <c r="D22" i="12" a="1"/>
  <c r="D22" i="12" s="1"/>
  <c r="C22" i="12" a="1"/>
  <c r="C22" i="12" s="1"/>
  <c r="EF21" i="12" a="1"/>
  <c r="EF21" i="12" s="1"/>
  <c r="EE21" i="12" a="1"/>
  <c r="EE21" i="12" s="1"/>
  <c r="ED21" i="12" a="1"/>
  <c r="ED21" i="12" s="1"/>
  <c r="EC21" i="12"/>
  <c r="EC21" i="12" a="1"/>
  <c r="EB21" i="12" a="1"/>
  <c r="EB21" i="12" s="1"/>
  <c r="EA21" i="12"/>
  <c r="EA21" i="12" a="1"/>
  <c r="DZ21" i="12" a="1"/>
  <c r="DZ21" i="12" s="1"/>
  <c r="DY21" i="12" a="1"/>
  <c r="DY21" i="12" s="1"/>
  <c r="DX21" i="12" a="1"/>
  <c r="DX21" i="12" s="1"/>
  <c r="DW21" i="12" a="1"/>
  <c r="DW21" i="12" s="1"/>
  <c r="DV21" i="12" a="1"/>
  <c r="DV21" i="12" s="1"/>
  <c r="DU21" i="12"/>
  <c r="DU21" i="12" a="1"/>
  <c r="DT21" i="12" a="1"/>
  <c r="DT21" i="12" s="1"/>
  <c r="DS21" i="12"/>
  <c r="DS21" i="12" a="1"/>
  <c r="DR21" i="12" a="1"/>
  <c r="DR21" i="12" s="1"/>
  <c r="DQ21" i="12" a="1"/>
  <c r="DQ21" i="12" s="1"/>
  <c r="DP21" i="12" a="1"/>
  <c r="DP21" i="12" s="1"/>
  <c r="DO21" i="12" a="1"/>
  <c r="DO21" i="12" s="1"/>
  <c r="DN21" i="12" a="1"/>
  <c r="DN21" i="12" s="1"/>
  <c r="DM21" i="12"/>
  <c r="DM21" i="12" a="1"/>
  <c r="DL21" i="12" a="1"/>
  <c r="DL21" i="12" s="1"/>
  <c r="DK21" i="12"/>
  <c r="DK21" i="12" a="1"/>
  <c r="DJ21" i="12" a="1"/>
  <c r="DJ21" i="12" s="1"/>
  <c r="DI21" i="12" a="1"/>
  <c r="DI21" i="12" s="1"/>
  <c r="DH21" i="12" a="1"/>
  <c r="DH21" i="12" s="1"/>
  <c r="DG21" i="12" a="1"/>
  <c r="DG21" i="12" s="1"/>
  <c r="DF21" i="12" a="1"/>
  <c r="DF21" i="12" s="1"/>
  <c r="DE21" i="12"/>
  <c r="DE21" i="12" a="1"/>
  <c r="DD21" i="12" a="1"/>
  <c r="DD21" i="12" s="1"/>
  <c r="DC21" i="12"/>
  <c r="DC21" i="12" a="1"/>
  <c r="DB21" i="12" a="1"/>
  <c r="DB21" i="12" s="1"/>
  <c r="DA21" i="12" a="1"/>
  <c r="DA21" i="12" s="1"/>
  <c r="CZ21" i="12" a="1"/>
  <c r="CZ21" i="12" s="1"/>
  <c r="CY21" i="12" a="1"/>
  <c r="CY21" i="12" s="1"/>
  <c r="CX21" i="12" a="1"/>
  <c r="CX21" i="12" s="1"/>
  <c r="CW21" i="12"/>
  <c r="CW21" i="12" a="1"/>
  <c r="CV21" i="12" a="1"/>
  <c r="CV21" i="12" s="1"/>
  <c r="CU21" i="12"/>
  <c r="CU21" i="12" a="1"/>
  <c r="CT21" i="12" a="1"/>
  <c r="CT21" i="12" s="1"/>
  <c r="CS21" i="12" a="1"/>
  <c r="CS21" i="12" s="1"/>
  <c r="CR21" i="12" a="1"/>
  <c r="CR21" i="12" s="1"/>
  <c r="CQ21" i="12" a="1"/>
  <c r="CQ21" i="12" s="1"/>
  <c r="CP21" i="12" a="1"/>
  <c r="CP21" i="12" s="1"/>
  <c r="CO21" i="12"/>
  <c r="CO21" i="12" a="1"/>
  <c r="CN21" i="12" a="1"/>
  <c r="CN21" i="12" s="1"/>
  <c r="CM21" i="12"/>
  <c r="CM21" i="12" a="1"/>
  <c r="CL21" i="12" a="1"/>
  <c r="CL21" i="12" s="1"/>
  <c r="CK21" i="12" a="1"/>
  <c r="CK21" i="12" s="1"/>
  <c r="CJ21" i="12" a="1"/>
  <c r="CJ21" i="12" s="1"/>
  <c r="CI21" i="12" a="1"/>
  <c r="CI21" i="12" s="1"/>
  <c r="CH21" i="12" a="1"/>
  <c r="CH21" i="12" s="1"/>
  <c r="CG21" i="12"/>
  <c r="CG21" i="12" a="1"/>
  <c r="CF21" i="12" a="1"/>
  <c r="CF21" i="12" s="1"/>
  <c r="CE21" i="12"/>
  <c r="CE21" i="12" a="1"/>
  <c r="CD21" i="12" a="1"/>
  <c r="CD21" i="12" s="1"/>
  <c r="CC21" i="12" a="1"/>
  <c r="CC21" i="12" s="1"/>
  <c r="CB21" i="12" a="1"/>
  <c r="CB21" i="12" s="1"/>
  <c r="CA21" i="12" a="1"/>
  <c r="CA21" i="12" s="1"/>
  <c r="BZ21" i="12" a="1"/>
  <c r="BZ21" i="12" s="1"/>
  <c r="BY21" i="12"/>
  <c r="BY21" i="12" a="1"/>
  <c r="BX21" i="12" a="1"/>
  <c r="BX21" i="12" s="1"/>
  <c r="BW21" i="12"/>
  <c r="BW21" i="12" a="1"/>
  <c r="BV21" i="12" a="1"/>
  <c r="BV21" i="12" s="1"/>
  <c r="BU21" i="12" a="1"/>
  <c r="BU21" i="12" s="1"/>
  <c r="BT21" i="12" a="1"/>
  <c r="BT21" i="12" s="1"/>
  <c r="BS21" i="12" a="1"/>
  <c r="BS21" i="12" s="1"/>
  <c r="BR21" i="12" a="1"/>
  <c r="BR21" i="12" s="1"/>
  <c r="BQ21" i="12"/>
  <c r="BQ21" i="12" a="1"/>
  <c r="BP21" i="12" a="1"/>
  <c r="BP21" i="12" s="1"/>
  <c r="BO21" i="12"/>
  <c r="BO21" i="12" a="1"/>
  <c r="BN21" i="12" a="1"/>
  <c r="BN21" i="12" s="1"/>
  <c r="BM21" i="12" a="1"/>
  <c r="BM21" i="12" s="1"/>
  <c r="BL21" i="12" a="1"/>
  <c r="BL21" i="12" s="1"/>
  <c r="BK21" i="12" a="1"/>
  <c r="BK21" i="12" s="1"/>
  <c r="BJ21" i="12" a="1"/>
  <c r="BJ21" i="12" s="1"/>
  <c r="BI21" i="12"/>
  <c r="BI21" i="12" a="1"/>
  <c r="BH21" i="12" a="1"/>
  <c r="BH21" i="12" s="1"/>
  <c r="BG21" i="12"/>
  <c r="BG21" i="12" a="1"/>
  <c r="BF21" i="12" a="1"/>
  <c r="BF21" i="12" s="1"/>
  <c r="BE21" i="12" a="1"/>
  <c r="BE21" i="12" s="1"/>
  <c r="BD21" i="12" a="1"/>
  <c r="BD21" i="12" s="1"/>
  <c r="BC21" i="12" a="1"/>
  <c r="BC21" i="12" s="1"/>
  <c r="BB21" i="12" a="1"/>
  <c r="BB21" i="12" s="1"/>
  <c r="BA21" i="12"/>
  <c r="BA21" i="12" a="1"/>
  <c r="AZ21" i="12" a="1"/>
  <c r="AZ21" i="12" s="1"/>
  <c r="AY21" i="12"/>
  <c r="AY21" i="12" a="1"/>
  <c r="AX21" i="12" a="1"/>
  <c r="AX21" i="12" s="1"/>
  <c r="AW21" i="12" a="1"/>
  <c r="AW21" i="12" s="1"/>
  <c r="AV21" i="12" a="1"/>
  <c r="AV21" i="12" s="1"/>
  <c r="AU21" i="12" a="1"/>
  <c r="AU21" i="12" s="1"/>
  <c r="AT21" i="12" a="1"/>
  <c r="AT21" i="12" s="1"/>
  <c r="AS21" i="12"/>
  <c r="AS21" i="12" a="1"/>
  <c r="AR21" i="12" a="1"/>
  <c r="AR21" i="12" s="1"/>
  <c r="AQ21" i="12"/>
  <c r="AQ21" i="12" a="1"/>
  <c r="AP21" i="12" a="1"/>
  <c r="AP21" i="12" s="1"/>
  <c r="AO21" i="12" a="1"/>
  <c r="AO21" i="12" s="1"/>
  <c r="AN21" i="12" a="1"/>
  <c r="AN21" i="12" s="1"/>
  <c r="AM21" i="12" a="1"/>
  <c r="AM21" i="12" s="1"/>
  <c r="AL21" i="12" a="1"/>
  <c r="AL21" i="12" s="1"/>
  <c r="AK21" i="12"/>
  <c r="AK21" i="12" a="1"/>
  <c r="AJ21" i="12" a="1"/>
  <c r="AJ21" i="12" s="1"/>
  <c r="AI21" i="12"/>
  <c r="AI21" i="12" a="1"/>
  <c r="AH21" i="12" a="1"/>
  <c r="AH21" i="12" s="1"/>
  <c r="AG21" i="12" a="1"/>
  <c r="AG21" i="12" s="1"/>
  <c r="AF21" i="12" a="1"/>
  <c r="AF21" i="12" s="1"/>
  <c r="AE21" i="12" a="1"/>
  <c r="AE21" i="12" s="1"/>
  <c r="AD21" i="12" a="1"/>
  <c r="AD21" i="12" s="1"/>
  <c r="AC21" i="12"/>
  <c r="AC21" i="12" a="1"/>
  <c r="AB21" i="12" a="1"/>
  <c r="AB21" i="12" s="1"/>
  <c r="AA21" i="12"/>
  <c r="AA21" i="12" a="1"/>
  <c r="Z21" i="12" a="1"/>
  <c r="Z21" i="12" s="1"/>
  <c r="Y21" i="12" a="1"/>
  <c r="Y21" i="12" s="1"/>
  <c r="X21" i="12" a="1"/>
  <c r="X21" i="12" s="1"/>
  <c r="W21" i="12" a="1"/>
  <c r="W21" i="12" s="1"/>
  <c r="V21" i="12" a="1"/>
  <c r="V21" i="12" s="1"/>
  <c r="U21" i="12"/>
  <c r="U21" i="12" a="1"/>
  <c r="T21" i="12" a="1"/>
  <c r="T21" i="12" s="1"/>
  <c r="S21" i="12"/>
  <c r="S21" i="12" a="1"/>
  <c r="R21" i="12" a="1"/>
  <c r="R21" i="12" s="1"/>
  <c r="Q21" i="12" a="1"/>
  <c r="Q21" i="12" s="1"/>
  <c r="P21" i="12" a="1"/>
  <c r="P21" i="12" s="1"/>
  <c r="O21" i="12" a="1"/>
  <c r="O21" i="12" s="1"/>
  <c r="N21" i="12" a="1"/>
  <c r="N21" i="12" s="1"/>
  <c r="M21" i="12"/>
  <c r="M21" i="12" a="1"/>
  <c r="L21" i="12" a="1"/>
  <c r="L21" i="12" s="1"/>
  <c r="K21" i="12"/>
  <c r="K21" i="12" a="1"/>
  <c r="J21" i="12" a="1"/>
  <c r="J21" i="12" s="1"/>
  <c r="I21" i="12" a="1"/>
  <c r="I21" i="12" s="1"/>
  <c r="H21" i="12" a="1"/>
  <c r="H21" i="12" s="1"/>
  <c r="G21" i="12" a="1"/>
  <c r="G21" i="12" s="1"/>
  <c r="F21" i="12" a="1"/>
  <c r="F21" i="12" s="1"/>
  <c r="E21" i="12"/>
  <c r="E21" i="12" a="1"/>
  <c r="D21" i="12" a="1"/>
  <c r="D21" i="12" s="1"/>
  <c r="C21" i="12"/>
  <c r="C21" i="12" a="1"/>
  <c r="EF20" i="12" a="1"/>
  <c r="EF20" i="12" s="1"/>
  <c r="EE20" i="12" a="1"/>
  <c r="EE20" i="12" s="1"/>
  <c r="ED20" i="12" a="1"/>
  <c r="ED20" i="12" s="1"/>
  <c r="EC20" i="12" a="1"/>
  <c r="EC20" i="12" s="1"/>
  <c r="EB20" i="12" a="1"/>
  <c r="EB20" i="12" s="1"/>
  <c r="EA20" i="12"/>
  <c r="EA20" i="12" a="1"/>
  <c r="DZ20" i="12" a="1"/>
  <c r="DZ20" i="12" s="1"/>
  <c r="DY20" i="12"/>
  <c r="DY20" i="12" a="1"/>
  <c r="DX20" i="12" a="1"/>
  <c r="DX20" i="12" s="1"/>
  <c r="DW20" i="12" a="1"/>
  <c r="DW20" i="12" s="1"/>
  <c r="DV20" i="12" a="1"/>
  <c r="DV20" i="12" s="1"/>
  <c r="DU20" i="12" a="1"/>
  <c r="DU20" i="12" s="1"/>
  <c r="DT20" i="12" a="1"/>
  <c r="DT20" i="12" s="1"/>
  <c r="DS20" i="12"/>
  <c r="DS20" i="12" a="1"/>
  <c r="DR20" i="12" a="1"/>
  <c r="DR20" i="12" s="1"/>
  <c r="DQ20" i="12"/>
  <c r="DQ20" i="12" a="1"/>
  <c r="DP20" i="12" a="1"/>
  <c r="DP20" i="12" s="1"/>
  <c r="DO20" i="12" a="1"/>
  <c r="DO20" i="12" s="1"/>
  <c r="DN20" i="12" a="1"/>
  <c r="DN20" i="12" s="1"/>
  <c r="DM20" i="12" a="1"/>
  <c r="DM20" i="12" s="1"/>
  <c r="DL20" i="12" a="1"/>
  <c r="DL20" i="12" s="1"/>
  <c r="DK20" i="12"/>
  <c r="DK20" i="12" a="1"/>
  <c r="DJ20" i="12" a="1"/>
  <c r="DJ20" i="12" s="1"/>
  <c r="DI20" i="12"/>
  <c r="DI20" i="12" a="1"/>
  <c r="DH20" i="12" a="1"/>
  <c r="DH20" i="12" s="1"/>
  <c r="DG20" i="12" a="1"/>
  <c r="DG20" i="12" s="1"/>
  <c r="DF20" i="12" a="1"/>
  <c r="DF20" i="12" s="1"/>
  <c r="DE20" i="12" a="1"/>
  <c r="DE20" i="12" s="1"/>
  <c r="DD20" i="12" a="1"/>
  <c r="DD20" i="12" s="1"/>
  <c r="DC20" i="12"/>
  <c r="DC20" i="12" a="1"/>
  <c r="DB20" i="12" a="1"/>
  <c r="DB20" i="12" s="1"/>
  <c r="DA20" i="12"/>
  <c r="DA20" i="12" a="1"/>
  <c r="CZ20" i="12" a="1"/>
  <c r="CZ20" i="12" s="1"/>
  <c r="CY20" i="12" a="1"/>
  <c r="CY20" i="12" s="1"/>
  <c r="CX20" i="12" a="1"/>
  <c r="CX20" i="12" s="1"/>
  <c r="CW20" i="12" a="1"/>
  <c r="CW20" i="12" s="1"/>
  <c r="CV20" i="12" a="1"/>
  <c r="CV20" i="12" s="1"/>
  <c r="CU20" i="12"/>
  <c r="CU20" i="12" a="1"/>
  <c r="CT20" i="12" a="1"/>
  <c r="CT20" i="12" s="1"/>
  <c r="CS20" i="12"/>
  <c r="CS20" i="12" a="1"/>
  <c r="CR20" i="12" a="1"/>
  <c r="CR20" i="12" s="1"/>
  <c r="CQ20" i="12" a="1"/>
  <c r="CQ20" i="12" s="1"/>
  <c r="CP20" i="12" a="1"/>
  <c r="CP20" i="12" s="1"/>
  <c r="CO20" i="12" a="1"/>
  <c r="CO20" i="12" s="1"/>
  <c r="CN20" i="12" a="1"/>
  <c r="CN20" i="12" s="1"/>
  <c r="CM20" i="12"/>
  <c r="CM20" i="12" a="1"/>
  <c r="CL20" i="12" a="1"/>
  <c r="CL20" i="12" s="1"/>
  <c r="CK20" i="12"/>
  <c r="CK20" i="12" a="1"/>
  <c r="CJ20" i="12" a="1"/>
  <c r="CJ20" i="12" s="1"/>
  <c r="CI20" i="12" a="1"/>
  <c r="CI20" i="12" s="1"/>
  <c r="CH20" i="12" a="1"/>
  <c r="CH20" i="12" s="1"/>
  <c r="CG20" i="12" a="1"/>
  <c r="CG20" i="12" s="1"/>
  <c r="CF20" i="12" a="1"/>
  <c r="CF20" i="12" s="1"/>
  <c r="CE20" i="12"/>
  <c r="CE20" i="12" a="1"/>
  <c r="CD20" i="12" a="1"/>
  <c r="CD20" i="12" s="1"/>
  <c r="CC20" i="12"/>
  <c r="CC20" i="12" a="1"/>
  <c r="CB20" i="12" a="1"/>
  <c r="CB20" i="12" s="1"/>
  <c r="CA20" i="12" a="1"/>
  <c r="CA20" i="12" s="1"/>
  <c r="BZ20" i="12" a="1"/>
  <c r="BZ20" i="12" s="1"/>
  <c r="BY20" i="12" a="1"/>
  <c r="BY20" i="12" s="1"/>
  <c r="BX20" i="12" a="1"/>
  <c r="BX20" i="12" s="1"/>
  <c r="BW20" i="12"/>
  <c r="BW20" i="12" a="1"/>
  <c r="BV20" i="12" a="1"/>
  <c r="BV20" i="12" s="1"/>
  <c r="BU20" i="12"/>
  <c r="BU20" i="12" a="1"/>
  <c r="BT20" i="12" a="1"/>
  <c r="BT20" i="12" s="1"/>
  <c r="BS20" i="12" a="1"/>
  <c r="BS20" i="12" s="1"/>
  <c r="BR20" i="12" a="1"/>
  <c r="BR20" i="12" s="1"/>
  <c r="BQ20" i="12" a="1"/>
  <c r="BQ20" i="12" s="1"/>
  <c r="BP20" i="12" a="1"/>
  <c r="BP20" i="12" s="1"/>
  <c r="BO20" i="12"/>
  <c r="BO20" i="12" a="1"/>
  <c r="BN20" i="12" a="1"/>
  <c r="BN20" i="12" s="1"/>
  <c r="BM20" i="12"/>
  <c r="BM20" i="12" a="1"/>
  <c r="BL20" i="12" a="1"/>
  <c r="BL20" i="12" s="1"/>
  <c r="BK20" i="12" a="1"/>
  <c r="BK20" i="12" s="1"/>
  <c r="BJ20" i="12" a="1"/>
  <c r="BJ20" i="12" s="1"/>
  <c r="BI20" i="12" a="1"/>
  <c r="BI20" i="12" s="1"/>
  <c r="BH20" i="12" a="1"/>
  <c r="BH20" i="12" s="1"/>
  <c r="BG20" i="12"/>
  <c r="BG20" i="12" a="1"/>
  <c r="BF20" i="12" a="1"/>
  <c r="BF20" i="12" s="1"/>
  <c r="BE20" i="12"/>
  <c r="BE20" i="12" a="1"/>
  <c r="BD20" i="12" a="1"/>
  <c r="BD20" i="12" s="1"/>
  <c r="BC20" i="12" a="1"/>
  <c r="BC20" i="12" s="1"/>
  <c r="BB20" i="12" a="1"/>
  <c r="BB20" i="12" s="1"/>
  <c r="BA20" i="12" a="1"/>
  <c r="BA20" i="12" s="1"/>
  <c r="AZ20" i="12" a="1"/>
  <c r="AZ20" i="12" s="1"/>
  <c r="AY20" i="12"/>
  <c r="AY20" i="12" a="1"/>
  <c r="AX20" i="12" a="1"/>
  <c r="AX20" i="12" s="1"/>
  <c r="AW20" i="12"/>
  <c r="AW20" i="12" a="1"/>
  <c r="AV20" i="12" a="1"/>
  <c r="AV20" i="12" s="1"/>
  <c r="AU20" i="12" a="1"/>
  <c r="AU20" i="12" s="1"/>
  <c r="AT20" i="12" a="1"/>
  <c r="AT20" i="12" s="1"/>
  <c r="AS20" i="12" a="1"/>
  <c r="AS20" i="12" s="1"/>
  <c r="AR20" i="12" a="1"/>
  <c r="AR20" i="12" s="1"/>
  <c r="AQ20" i="12"/>
  <c r="AQ20" i="12" a="1"/>
  <c r="AP20" i="12" a="1"/>
  <c r="AP20" i="12" s="1"/>
  <c r="AO20" i="12"/>
  <c r="AO20" i="12" a="1"/>
  <c r="AN20" i="12" a="1"/>
  <c r="AN20" i="12" s="1"/>
  <c r="AM20" i="12" a="1"/>
  <c r="AM20" i="12" s="1"/>
  <c r="AL20" i="12" a="1"/>
  <c r="AL20" i="12" s="1"/>
  <c r="AK20" i="12" a="1"/>
  <c r="AK20" i="12" s="1"/>
  <c r="AJ20" i="12" a="1"/>
  <c r="AJ20" i="12" s="1"/>
  <c r="AI20" i="12"/>
  <c r="AI20" i="12" a="1"/>
  <c r="AH20" i="12" a="1"/>
  <c r="AH20" i="12" s="1"/>
  <c r="AG20" i="12"/>
  <c r="AG20" i="12" a="1"/>
  <c r="AF20" i="12" a="1"/>
  <c r="AF20" i="12" s="1"/>
  <c r="AE20" i="12" a="1"/>
  <c r="AE20" i="12" s="1"/>
  <c r="AD20" i="12" a="1"/>
  <c r="AD20" i="12" s="1"/>
  <c r="AC20" i="12" a="1"/>
  <c r="AC20" i="12" s="1"/>
  <c r="AB20" i="12" a="1"/>
  <c r="AB20" i="12" s="1"/>
  <c r="AA20" i="12"/>
  <c r="AA20" i="12" a="1"/>
  <c r="Z20" i="12" a="1"/>
  <c r="Z20" i="12" s="1"/>
  <c r="Y20" i="12"/>
  <c r="Y20" i="12" a="1"/>
  <c r="X20" i="12" a="1"/>
  <c r="X20" i="12" s="1"/>
  <c r="W20" i="12" a="1"/>
  <c r="W20" i="12" s="1"/>
  <c r="V20" i="12" a="1"/>
  <c r="V20" i="12" s="1"/>
  <c r="U20" i="12" a="1"/>
  <c r="U20" i="12" s="1"/>
  <c r="T20" i="12" a="1"/>
  <c r="T20" i="12" s="1"/>
  <c r="S20" i="12"/>
  <c r="S20" i="12" a="1"/>
  <c r="R20" i="12" a="1"/>
  <c r="R20" i="12" s="1"/>
  <c r="Q20" i="12"/>
  <c r="Q20" i="12" a="1"/>
  <c r="P20" i="12" a="1"/>
  <c r="P20" i="12" s="1"/>
  <c r="O20" i="12" a="1"/>
  <c r="O20" i="12" s="1"/>
  <c r="N20" i="12" a="1"/>
  <c r="N20" i="12" s="1"/>
  <c r="M20" i="12" a="1"/>
  <c r="M20" i="12" s="1"/>
  <c r="L20" i="12" a="1"/>
  <c r="L20" i="12" s="1"/>
  <c r="K20" i="12"/>
  <c r="K20" i="12" a="1"/>
  <c r="J20" i="12" a="1"/>
  <c r="J20" i="12" s="1"/>
  <c r="I20" i="12"/>
  <c r="I20" i="12" a="1"/>
  <c r="H20" i="12" a="1"/>
  <c r="H20" i="12" s="1"/>
  <c r="G20" i="12" a="1"/>
  <c r="G20" i="12" s="1"/>
  <c r="F20" i="12" a="1"/>
  <c r="F20" i="12" s="1"/>
  <c r="E20" i="12" a="1"/>
  <c r="E20" i="12" s="1"/>
  <c r="D20" i="12" a="1"/>
  <c r="D20" i="12" s="1"/>
  <c r="C20" i="12"/>
  <c r="C20" i="12" a="1"/>
  <c r="EF19" i="12" a="1"/>
  <c r="EF19" i="12" s="1"/>
  <c r="EE19" i="12"/>
  <c r="EE19" i="12" a="1"/>
  <c r="ED19" i="12" a="1"/>
  <c r="ED19" i="12" s="1"/>
  <c r="EC19" i="12" a="1"/>
  <c r="EC19" i="12" s="1"/>
  <c r="EB19" i="12" a="1"/>
  <c r="EB19" i="12" s="1"/>
  <c r="EA19" i="12" a="1"/>
  <c r="EA19" i="12" s="1"/>
  <c r="DZ19" i="12" a="1"/>
  <c r="DZ19" i="12" s="1"/>
  <c r="DY19" i="12"/>
  <c r="DY19" i="12" a="1"/>
  <c r="DX19" i="12" a="1"/>
  <c r="DX19" i="12" s="1"/>
  <c r="DW19" i="12"/>
  <c r="DW19" i="12" a="1"/>
  <c r="DV19" i="12" a="1"/>
  <c r="DV19" i="12" s="1"/>
  <c r="DU19" i="12" a="1"/>
  <c r="DU19" i="12" s="1"/>
  <c r="DT19" i="12" a="1"/>
  <c r="DT19" i="12" s="1"/>
  <c r="DS19" i="12" a="1"/>
  <c r="DS19" i="12" s="1"/>
  <c r="DR19" i="12" a="1"/>
  <c r="DR19" i="12" s="1"/>
  <c r="DQ19" i="12"/>
  <c r="DQ19" i="12" a="1"/>
  <c r="DP19" i="12" a="1"/>
  <c r="DP19" i="12" s="1"/>
  <c r="DO19" i="12"/>
  <c r="DO19" i="12" a="1"/>
  <c r="DN19" i="12" a="1"/>
  <c r="DN19" i="12" s="1"/>
  <c r="DM19" i="12" a="1"/>
  <c r="DM19" i="12" s="1"/>
  <c r="DL19" i="12" a="1"/>
  <c r="DL19" i="12" s="1"/>
  <c r="DK19" i="12" a="1"/>
  <c r="DK19" i="12" s="1"/>
  <c r="DJ19" i="12" a="1"/>
  <c r="DJ19" i="12" s="1"/>
  <c r="DI19" i="12"/>
  <c r="DI19" i="12" a="1"/>
  <c r="DH19" i="12" a="1"/>
  <c r="DH19" i="12" s="1"/>
  <c r="DG19" i="12"/>
  <c r="DG19" i="12" a="1"/>
  <c r="DF19" i="12" a="1"/>
  <c r="DF19" i="12" s="1"/>
  <c r="DE19" i="12" a="1"/>
  <c r="DE19" i="12" s="1"/>
  <c r="DD19" i="12" a="1"/>
  <c r="DD19" i="12" s="1"/>
  <c r="DC19" i="12" a="1"/>
  <c r="DC19" i="12" s="1"/>
  <c r="DB19" i="12" a="1"/>
  <c r="DB19" i="12" s="1"/>
  <c r="DA19" i="12"/>
  <c r="DA19" i="12" a="1"/>
  <c r="CZ19" i="12" a="1"/>
  <c r="CZ19" i="12" s="1"/>
  <c r="CY19" i="12"/>
  <c r="CY19" i="12" a="1"/>
  <c r="CX19" i="12" a="1"/>
  <c r="CX19" i="12" s="1"/>
  <c r="CW19" i="12" a="1"/>
  <c r="CW19" i="12" s="1"/>
  <c r="CV19" i="12" a="1"/>
  <c r="CV19" i="12" s="1"/>
  <c r="CU19" i="12" a="1"/>
  <c r="CU19" i="12" s="1"/>
  <c r="CT19" i="12" a="1"/>
  <c r="CT19" i="12" s="1"/>
  <c r="CS19" i="12"/>
  <c r="CS19" i="12" a="1"/>
  <c r="CR19" i="12" a="1"/>
  <c r="CR19" i="12" s="1"/>
  <c r="CQ19" i="12"/>
  <c r="CQ19" i="12" a="1"/>
  <c r="CP19" i="12" a="1"/>
  <c r="CP19" i="12" s="1"/>
  <c r="CO19" i="12" a="1"/>
  <c r="CO19" i="12" s="1"/>
  <c r="CN19" i="12" a="1"/>
  <c r="CN19" i="12" s="1"/>
  <c r="CM19" i="12" a="1"/>
  <c r="CM19" i="12" s="1"/>
  <c r="CL19" i="12" a="1"/>
  <c r="CL19" i="12" s="1"/>
  <c r="CK19" i="12"/>
  <c r="CK19" i="12" a="1"/>
  <c r="CJ19" i="12" a="1"/>
  <c r="CJ19" i="12" s="1"/>
  <c r="CI19" i="12"/>
  <c r="CI19" i="12" a="1"/>
  <c r="CH19" i="12" a="1"/>
  <c r="CH19" i="12" s="1"/>
  <c r="CG19" i="12" a="1"/>
  <c r="CG19" i="12" s="1"/>
  <c r="CF19" i="12" a="1"/>
  <c r="CF19" i="12" s="1"/>
  <c r="CE19" i="12" a="1"/>
  <c r="CE19" i="12" s="1"/>
  <c r="CD19" i="12" a="1"/>
  <c r="CD19" i="12" s="1"/>
  <c r="CC19" i="12"/>
  <c r="CC19" i="12" a="1"/>
  <c r="CB19" i="12" a="1"/>
  <c r="CB19" i="12" s="1"/>
  <c r="CA19" i="12"/>
  <c r="CA19" i="12" a="1"/>
  <c r="BZ19" i="12" a="1"/>
  <c r="BZ19" i="12" s="1"/>
  <c r="BY19" i="12" a="1"/>
  <c r="BY19" i="12" s="1"/>
  <c r="BX19" i="12" a="1"/>
  <c r="BX19" i="12" s="1"/>
  <c r="BW19" i="12" a="1"/>
  <c r="BW19" i="12" s="1"/>
  <c r="BV19" i="12" a="1"/>
  <c r="BV19" i="12" s="1"/>
  <c r="BU19" i="12"/>
  <c r="BU19" i="12" a="1"/>
  <c r="BT19" i="12" a="1"/>
  <c r="BT19" i="12" s="1"/>
  <c r="BS19" i="12"/>
  <c r="BS19" i="12" a="1"/>
  <c r="BR19" i="12" a="1"/>
  <c r="BR19" i="12" s="1"/>
  <c r="BQ19" i="12" a="1"/>
  <c r="BQ19" i="12" s="1"/>
  <c r="BP19" i="12" a="1"/>
  <c r="BP19" i="12" s="1"/>
  <c r="BO19" i="12" a="1"/>
  <c r="BO19" i="12" s="1"/>
  <c r="BN19" i="12" a="1"/>
  <c r="BN19" i="12" s="1"/>
  <c r="BM19" i="12"/>
  <c r="BM19" i="12" a="1"/>
  <c r="BL19" i="12" a="1"/>
  <c r="BL19" i="12" s="1"/>
  <c r="BK19" i="12"/>
  <c r="BK19" i="12" a="1"/>
  <c r="BJ19" i="12" a="1"/>
  <c r="BJ19" i="12" s="1"/>
  <c r="BI19" i="12" a="1"/>
  <c r="BI19" i="12" s="1"/>
  <c r="BH19" i="12" a="1"/>
  <c r="BH19" i="12" s="1"/>
  <c r="BG19" i="12" a="1"/>
  <c r="BG19" i="12" s="1"/>
  <c r="BF19" i="12" a="1"/>
  <c r="BF19" i="12" s="1"/>
  <c r="BE19" i="12"/>
  <c r="BE19" i="12" a="1"/>
  <c r="BD19" i="12" a="1"/>
  <c r="BD19" i="12" s="1"/>
  <c r="BC19" i="12"/>
  <c r="BC19" i="12" a="1"/>
  <c r="BB19" i="12" a="1"/>
  <c r="BB19" i="12" s="1"/>
  <c r="BA19" i="12" a="1"/>
  <c r="BA19" i="12" s="1"/>
  <c r="AZ19" i="12" a="1"/>
  <c r="AZ19" i="12" s="1"/>
  <c r="AY19" i="12" a="1"/>
  <c r="AY19" i="12" s="1"/>
  <c r="AX19" i="12" a="1"/>
  <c r="AX19" i="12" s="1"/>
  <c r="AW19" i="12"/>
  <c r="AW19" i="12" a="1"/>
  <c r="AV19" i="12" a="1"/>
  <c r="AV19" i="12" s="1"/>
  <c r="AU19" i="12"/>
  <c r="AU19" i="12" a="1"/>
  <c r="AT19" i="12" a="1"/>
  <c r="AT19" i="12" s="1"/>
  <c r="AS19" i="12" a="1"/>
  <c r="AS19" i="12" s="1"/>
  <c r="AR19" i="12" a="1"/>
  <c r="AR19" i="12" s="1"/>
  <c r="AQ19" i="12" a="1"/>
  <c r="AQ19" i="12" s="1"/>
  <c r="AP19" i="12" a="1"/>
  <c r="AP19" i="12" s="1"/>
  <c r="AO19" i="12"/>
  <c r="AO19" i="12" a="1"/>
  <c r="AN19" i="12" a="1"/>
  <c r="AN19" i="12" s="1"/>
  <c r="AM19" i="12"/>
  <c r="AM19" i="12" a="1"/>
  <c r="AL19" i="12" a="1"/>
  <c r="AL19" i="12" s="1"/>
  <c r="AK19" i="12" a="1"/>
  <c r="AK19" i="12" s="1"/>
  <c r="AJ19" i="12" a="1"/>
  <c r="AJ19" i="12" s="1"/>
  <c r="AI19" i="12" a="1"/>
  <c r="AI19" i="12" s="1"/>
  <c r="AH19" i="12" a="1"/>
  <c r="AH19" i="12" s="1"/>
  <c r="AG19" i="12"/>
  <c r="AG19" i="12" a="1"/>
  <c r="AF19" i="12" a="1"/>
  <c r="AF19" i="12" s="1"/>
  <c r="AE19" i="12"/>
  <c r="AE19" i="12" a="1"/>
  <c r="AD19" i="12" a="1"/>
  <c r="AD19" i="12" s="1"/>
  <c r="AC19" i="12" a="1"/>
  <c r="AC19" i="12" s="1"/>
  <c r="AB19" i="12" a="1"/>
  <c r="AB19" i="12" s="1"/>
  <c r="AA19" i="12" a="1"/>
  <c r="AA19" i="12" s="1"/>
  <c r="Z19" i="12" a="1"/>
  <c r="Z19" i="12" s="1"/>
  <c r="Y19" i="12"/>
  <c r="Y19" i="12" a="1"/>
  <c r="X19" i="12" a="1"/>
  <c r="X19" i="12" s="1"/>
  <c r="W19" i="12"/>
  <c r="W19" i="12" a="1"/>
  <c r="V19" i="12" a="1"/>
  <c r="V19" i="12" s="1"/>
  <c r="U19" i="12" a="1"/>
  <c r="U19" i="12" s="1"/>
  <c r="T19" i="12" a="1"/>
  <c r="T19" i="12" s="1"/>
  <c r="S19" i="12" a="1"/>
  <c r="S19" i="12" s="1"/>
  <c r="R19" i="12" a="1"/>
  <c r="R19" i="12" s="1"/>
  <c r="Q19" i="12"/>
  <c r="Q19" i="12" a="1"/>
  <c r="P19" i="12" a="1"/>
  <c r="P19" i="12" s="1"/>
  <c r="O19" i="12"/>
  <c r="O19" i="12" a="1"/>
  <c r="N19" i="12" a="1"/>
  <c r="N19" i="12" s="1"/>
  <c r="M19" i="12" a="1"/>
  <c r="M19" i="12" s="1"/>
  <c r="L19" i="12" a="1"/>
  <c r="L19" i="12" s="1"/>
  <c r="K19" i="12" a="1"/>
  <c r="K19" i="12" s="1"/>
  <c r="J19" i="12" a="1"/>
  <c r="J19" i="12" s="1"/>
  <c r="I19" i="12"/>
  <c r="I19" i="12" a="1"/>
  <c r="H19" i="12" a="1"/>
  <c r="H19" i="12" s="1"/>
  <c r="G19" i="12"/>
  <c r="G19" i="12" a="1"/>
  <c r="F19" i="12" a="1"/>
  <c r="F19" i="12" s="1"/>
  <c r="E19" i="12" a="1"/>
  <c r="E19" i="12" s="1"/>
  <c r="D19" i="12" a="1"/>
  <c r="D19" i="12" s="1"/>
  <c r="C19" i="12" a="1"/>
  <c r="C19" i="12" s="1"/>
  <c r="EF18" i="12" a="1"/>
  <c r="EF18" i="12" s="1"/>
  <c r="EE18" i="12"/>
  <c r="EE18" i="12" a="1"/>
  <c r="ED18" i="12" a="1"/>
  <c r="ED18" i="12" s="1"/>
  <c r="EC18" i="12"/>
  <c r="EC18" i="12" a="1"/>
  <c r="EB18" i="12" a="1"/>
  <c r="EB18" i="12" s="1"/>
  <c r="EA18" i="12" a="1"/>
  <c r="EA18" i="12" s="1"/>
  <c r="DZ18" i="12" a="1"/>
  <c r="DZ18" i="12" s="1"/>
  <c r="DY18" i="12" a="1"/>
  <c r="DY18" i="12" s="1"/>
  <c r="DX18" i="12" a="1"/>
  <c r="DX18" i="12" s="1"/>
  <c r="DW18" i="12"/>
  <c r="DW18" i="12" a="1"/>
  <c r="DV18" i="12" a="1"/>
  <c r="DV18" i="12" s="1"/>
  <c r="DU18" i="12"/>
  <c r="DU18" i="12" a="1"/>
  <c r="DT18" i="12" a="1"/>
  <c r="DT18" i="12" s="1"/>
  <c r="DS18" i="12" a="1"/>
  <c r="DS18" i="12" s="1"/>
  <c r="DR18" i="12" a="1"/>
  <c r="DR18" i="12" s="1"/>
  <c r="DQ18" i="12" a="1"/>
  <c r="DQ18" i="12" s="1"/>
  <c r="DP18" i="12" a="1"/>
  <c r="DP18" i="12" s="1"/>
  <c r="DO18" i="12"/>
  <c r="DO18" i="12" a="1"/>
  <c r="DN18" i="12" a="1"/>
  <c r="DN18" i="12" s="1"/>
  <c r="DM18" i="12"/>
  <c r="DM18" i="12" a="1"/>
  <c r="DL18" i="12" a="1"/>
  <c r="DL18" i="12" s="1"/>
  <c r="DK18" i="12" a="1"/>
  <c r="DK18" i="12" s="1"/>
  <c r="DJ18" i="12" a="1"/>
  <c r="DJ18" i="12" s="1"/>
  <c r="DI18" i="12" a="1"/>
  <c r="DI18" i="12" s="1"/>
  <c r="DH18" i="12" a="1"/>
  <c r="DH18" i="12" s="1"/>
  <c r="DG18" i="12"/>
  <c r="DG18" i="12" a="1"/>
  <c r="DF18" i="12" a="1"/>
  <c r="DF18" i="12" s="1"/>
  <c r="DE18" i="12"/>
  <c r="DE18" i="12" a="1"/>
  <c r="DD18" i="12" a="1"/>
  <c r="DD18" i="12" s="1"/>
  <c r="DC18" i="12" a="1"/>
  <c r="DC18" i="12" s="1"/>
  <c r="DB18" i="12" a="1"/>
  <c r="DB18" i="12" s="1"/>
  <c r="DA18" i="12" a="1"/>
  <c r="DA18" i="12" s="1"/>
  <c r="CZ18" i="12" a="1"/>
  <c r="CZ18" i="12" s="1"/>
  <c r="CY18" i="12"/>
  <c r="CY18" i="12" a="1"/>
  <c r="CX18" i="12" a="1"/>
  <c r="CX18" i="12" s="1"/>
  <c r="CW18" i="12"/>
  <c r="CW18" i="12" a="1"/>
  <c r="CV18" i="12" a="1"/>
  <c r="CV18" i="12" s="1"/>
  <c r="CU18" i="12" a="1"/>
  <c r="CU18" i="12" s="1"/>
  <c r="CT18" i="12" a="1"/>
  <c r="CT18" i="12" s="1"/>
  <c r="CS18" i="12" a="1"/>
  <c r="CS18" i="12" s="1"/>
  <c r="CR18" i="12" a="1"/>
  <c r="CR18" i="12" s="1"/>
  <c r="CQ18" i="12"/>
  <c r="CQ18" i="12" a="1"/>
  <c r="CP18" i="12" a="1"/>
  <c r="CP18" i="12" s="1"/>
  <c r="CO18" i="12"/>
  <c r="CO18" i="12" a="1"/>
  <c r="CN18" i="12" a="1"/>
  <c r="CN18" i="12" s="1"/>
  <c r="CM18" i="12" a="1"/>
  <c r="CM18" i="12" s="1"/>
  <c r="CL18" i="12" a="1"/>
  <c r="CL18" i="12" s="1"/>
  <c r="CK18" i="12" a="1"/>
  <c r="CK18" i="12" s="1"/>
  <c r="CJ18" i="12" a="1"/>
  <c r="CJ18" i="12" s="1"/>
  <c r="CI18" i="12"/>
  <c r="CI18" i="12" a="1"/>
  <c r="CH18" i="12" a="1"/>
  <c r="CH18" i="12" s="1"/>
  <c r="CG18" i="12"/>
  <c r="CG18" i="12" a="1"/>
  <c r="CF18" i="12" a="1"/>
  <c r="CF18" i="12" s="1"/>
  <c r="CE18" i="12" a="1"/>
  <c r="CE18" i="12" s="1"/>
  <c r="CD18" i="12" a="1"/>
  <c r="CD18" i="12" s="1"/>
  <c r="CC18" i="12" a="1"/>
  <c r="CC18" i="12" s="1"/>
  <c r="CB18" i="12" a="1"/>
  <c r="CB18" i="12" s="1"/>
  <c r="CA18" i="12"/>
  <c r="CA18" i="12" a="1"/>
  <c r="BZ18" i="12" a="1"/>
  <c r="BZ18" i="12" s="1"/>
  <c r="BY18" i="12"/>
  <c r="BY18" i="12" a="1"/>
  <c r="BX18" i="12" a="1"/>
  <c r="BX18" i="12" s="1"/>
  <c r="BW18" i="12" a="1"/>
  <c r="BW18" i="12" s="1"/>
  <c r="BV18" i="12" a="1"/>
  <c r="BV18" i="12" s="1"/>
  <c r="BU18" i="12" a="1"/>
  <c r="BU18" i="12" s="1"/>
  <c r="BT18" i="12" a="1"/>
  <c r="BT18" i="12" s="1"/>
  <c r="BS18" i="12"/>
  <c r="BS18" i="12" a="1"/>
  <c r="BR18" i="12" a="1"/>
  <c r="BR18" i="12" s="1"/>
  <c r="BQ18" i="12"/>
  <c r="BQ18" i="12" a="1"/>
  <c r="BP18" i="12" a="1"/>
  <c r="BP18" i="12" s="1"/>
  <c r="BO18" i="12" a="1"/>
  <c r="BO18" i="12" s="1"/>
  <c r="BN18" i="12" a="1"/>
  <c r="BN18" i="12" s="1"/>
  <c r="BM18" i="12" a="1"/>
  <c r="BM18" i="12" s="1"/>
  <c r="BL18" i="12" a="1"/>
  <c r="BL18" i="12" s="1"/>
  <c r="BK18" i="12"/>
  <c r="BK18" i="12" a="1"/>
  <c r="BJ18" i="12" a="1"/>
  <c r="BJ18" i="12" s="1"/>
  <c r="BI18" i="12"/>
  <c r="BI18" i="12" a="1"/>
  <c r="BH18" i="12" a="1"/>
  <c r="BH18" i="12" s="1"/>
  <c r="BG18" i="12" a="1"/>
  <c r="BG18" i="12" s="1"/>
  <c r="BF18" i="12" a="1"/>
  <c r="BF18" i="12" s="1"/>
  <c r="BE18" i="12" a="1"/>
  <c r="BE18" i="12" s="1"/>
  <c r="BD18" i="12" a="1"/>
  <c r="BD18" i="12" s="1"/>
  <c r="BC18" i="12"/>
  <c r="BC18" i="12" a="1"/>
  <c r="BB18" i="12" a="1"/>
  <c r="BB18" i="12" s="1"/>
  <c r="BA18" i="12"/>
  <c r="BA18" i="12" a="1"/>
  <c r="AZ18" i="12" a="1"/>
  <c r="AZ18" i="12" s="1"/>
  <c r="AY18" i="12" a="1"/>
  <c r="AY18" i="12" s="1"/>
  <c r="AX18" i="12" a="1"/>
  <c r="AX18" i="12" s="1"/>
  <c r="AW18" i="12" a="1"/>
  <c r="AW18" i="12" s="1"/>
  <c r="AV18" i="12" a="1"/>
  <c r="AV18" i="12" s="1"/>
  <c r="AU18" i="12"/>
  <c r="AU18" i="12" a="1"/>
  <c r="AT18" i="12" a="1"/>
  <c r="AT18" i="12" s="1"/>
  <c r="AS18" i="12"/>
  <c r="AS18" i="12" a="1"/>
  <c r="AR18" i="12" a="1"/>
  <c r="AR18" i="12" s="1"/>
  <c r="AQ18" i="12" a="1"/>
  <c r="AQ18" i="12" s="1"/>
  <c r="AP18" i="12" a="1"/>
  <c r="AP18" i="12" s="1"/>
  <c r="AO18" i="12" a="1"/>
  <c r="AO18" i="12" s="1"/>
  <c r="AN18" i="12" a="1"/>
  <c r="AN18" i="12" s="1"/>
  <c r="AM18" i="12"/>
  <c r="AM18" i="12" a="1"/>
  <c r="AL18" i="12" a="1"/>
  <c r="AL18" i="12" s="1"/>
  <c r="AK18" i="12"/>
  <c r="AK18" i="12" a="1"/>
  <c r="AJ18" i="12" a="1"/>
  <c r="AJ18" i="12" s="1"/>
  <c r="AI18" i="12" a="1"/>
  <c r="AI18" i="12" s="1"/>
  <c r="AH18" i="12" a="1"/>
  <c r="AH18" i="12" s="1"/>
  <c r="AG18" i="12" a="1"/>
  <c r="AG18" i="12" s="1"/>
  <c r="AF18" i="12" a="1"/>
  <c r="AF18" i="12" s="1"/>
  <c r="AE18" i="12"/>
  <c r="AE18" i="12" a="1"/>
  <c r="AD18" i="12" a="1"/>
  <c r="AD18" i="12" s="1"/>
  <c r="AC18" i="12"/>
  <c r="AC18" i="12" a="1"/>
  <c r="AB18" i="12" a="1"/>
  <c r="AB18" i="12" s="1"/>
  <c r="AA18" i="12" a="1"/>
  <c r="AA18" i="12" s="1"/>
  <c r="Z18" i="12" a="1"/>
  <c r="Z18" i="12" s="1"/>
  <c r="Y18" i="12" a="1"/>
  <c r="Y18" i="12" s="1"/>
  <c r="X18" i="12" a="1"/>
  <c r="X18" i="12" s="1"/>
  <c r="W18" i="12"/>
  <c r="W18" i="12" a="1"/>
  <c r="V18" i="12" a="1"/>
  <c r="V18" i="12" s="1"/>
  <c r="U18" i="12"/>
  <c r="U18" i="12" a="1"/>
  <c r="T18" i="12" a="1"/>
  <c r="T18" i="12" s="1"/>
  <c r="S18" i="12" a="1"/>
  <c r="S18" i="12" s="1"/>
  <c r="R18" i="12" a="1"/>
  <c r="R18" i="12" s="1"/>
  <c r="Q18" i="12" a="1"/>
  <c r="Q18" i="12" s="1"/>
  <c r="P18" i="12" a="1"/>
  <c r="P18" i="12" s="1"/>
  <c r="O18" i="12"/>
  <c r="O18" i="12" a="1"/>
  <c r="N18" i="12" a="1"/>
  <c r="N18" i="12" s="1"/>
  <c r="M18" i="12"/>
  <c r="M18" i="12" a="1"/>
  <c r="L18" i="12" a="1"/>
  <c r="L18" i="12" s="1"/>
  <c r="K18" i="12" a="1"/>
  <c r="K18" i="12" s="1"/>
  <c r="J18" i="12" a="1"/>
  <c r="J18" i="12" s="1"/>
  <c r="I18" i="12" a="1"/>
  <c r="I18" i="12" s="1"/>
  <c r="H18" i="12" a="1"/>
  <c r="H18" i="12" s="1"/>
  <c r="G18" i="12"/>
  <c r="G18" i="12" a="1"/>
  <c r="F18" i="12" a="1"/>
  <c r="F18" i="12" s="1"/>
  <c r="E18" i="12"/>
  <c r="E18" i="12" a="1"/>
  <c r="D18" i="12" a="1"/>
  <c r="D18" i="12" s="1"/>
  <c r="C18" i="12" a="1"/>
  <c r="C18" i="12" s="1"/>
  <c r="EF17" i="12" a="1"/>
  <c r="EF17" i="12" s="1"/>
  <c r="EE17" i="12" a="1"/>
  <c r="EE17" i="12" s="1"/>
  <c r="ED17" i="12" a="1"/>
  <c r="ED17" i="12" s="1"/>
  <c r="EC17" i="12"/>
  <c r="EC17" i="12" a="1"/>
  <c r="EB17" i="12" a="1"/>
  <c r="EB17" i="12" s="1"/>
  <c r="EA17" i="12"/>
  <c r="EA17" i="12" a="1"/>
  <c r="DZ17" i="12" a="1"/>
  <c r="DZ17" i="12" s="1"/>
  <c r="DY17" i="12" a="1"/>
  <c r="DY17" i="12" s="1"/>
  <c r="DX17" i="12" a="1"/>
  <c r="DX17" i="12" s="1"/>
  <c r="DW17" i="12" a="1"/>
  <c r="DW17" i="12" s="1"/>
  <c r="DV17" i="12" a="1"/>
  <c r="DV17" i="12" s="1"/>
  <c r="DU17" i="12"/>
  <c r="DU17" i="12" a="1"/>
  <c r="DT17" i="12" a="1"/>
  <c r="DT17" i="12" s="1"/>
  <c r="DS17" i="12"/>
  <c r="DS17" i="12" a="1"/>
  <c r="DR17" i="12" a="1"/>
  <c r="DR17" i="12" s="1"/>
  <c r="DQ17" i="12" a="1"/>
  <c r="DQ17" i="12" s="1"/>
  <c r="DP17" i="12" a="1"/>
  <c r="DP17" i="12" s="1"/>
  <c r="DO17" i="12" a="1"/>
  <c r="DO17" i="12" s="1"/>
  <c r="DN17" i="12" a="1"/>
  <c r="DN17" i="12" s="1"/>
  <c r="DM17" i="12"/>
  <c r="DM17" i="12" a="1"/>
  <c r="DL17" i="12" a="1"/>
  <c r="DL17" i="12" s="1"/>
  <c r="DK17" i="12"/>
  <c r="DK17" i="12" a="1"/>
  <c r="DJ17" i="12" a="1"/>
  <c r="DJ17" i="12" s="1"/>
  <c r="DI17" i="12" a="1"/>
  <c r="DI17" i="12" s="1"/>
  <c r="DH17" i="12" a="1"/>
  <c r="DH17" i="12" s="1"/>
  <c r="DG17" i="12" a="1"/>
  <c r="DG17" i="12" s="1"/>
  <c r="DF17" i="12" a="1"/>
  <c r="DF17" i="12" s="1"/>
  <c r="DE17" i="12"/>
  <c r="DE17" i="12" a="1"/>
  <c r="DD17" i="12" a="1"/>
  <c r="DD17" i="12" s="1"/>
  <c r="DC17" i="12"/>
  <c r="DC17" i="12" a="1"/>
  <c r="DB17" i="12" a="1"/>
  <c r="DB17" i="12" s="1"/>
  <c r="DA17" i="12" a="1"/>
  <c r="DA17" i="12" s="1"/>
  <c r="CZ17" i="12" a="1"/>
  <c r="CZ17" i="12" s="1"/>
  <c r="CY17" i="12" a="1"/>
  <c r="CY17" i="12" s="1"/>
  <c r="CX17" i="12" a="1"/>
  <c r="CX17" i="12" s="1"/>
  <c r="CW17" i="12"/>
  <c r="CW17" i="12" a="1"/>
  <c r="CV17" i="12" a="1"/>
  <c r="CV17" i="12" s="1"/>
  <c r="CU17" i="12"/>
  <c r="CU17" i="12" a="1"/>
  <c r="CT17" i="12" a="1"/>
  <c r="CT17" i="12" s="1"/>
  <c r="CS17" i="12"/>
  <c r="CS17" i="12" a="1"/>
  <c r="CR17" i="12" a="1"/>
  <c r="CR17" i="12" s="1"/>
  <c r="CQ17" i="12"/>
  <c r="CQ17" i="12" a="1"/>
  <c r="CP17" i="12" a="1"/>
  <c r="CP17" i="12" s="1"/>
  <c r="CO17" i="12"/>
  <c r="CO17" i="12" a="1"/>
  <c r="CN17" i="12" a="1"/>
  <c r="CN17" i="12" s="1"/>
  <c r="CM17" i="12"/>
  <c r="CM17" i="12" a="1"/>
  <c r="CL17" i="12" a="1"/>
  <c r="CL17" i="12" s="1"/>
  <c r="CK17" i="12"/>
  <c r="CK17" i="12" a="1"/>
  <c r="CJ17" i="12" a="1"/>
  <c r="CJ17" i="12" s="1"/>
  <c r="CI17" i="12" a="1"/>
  <c r="CI17" i="12" s="1"/>
  <c r="CH17" i="12" a="1"/>
  <c r="CH17" i="12" s="1"/>
  <c r="CG17" i="12" a="1"/>
  <c r="CG17" i="12" s="1"/>
  <c r="CF17" i="12" a="1"/>
  <c r="CF17" i="12" s="1"/>
  <c r="CE17" i="12" a="1"/>
  <c r="CE17" i="12" s="1"/>
  <c r="CD17" i="12" a="1"/>
  <c r="CD17" i="12" s="1"/>
  <c r="CC17" i="12" a="1"/>
  <c r="CC17" i="12" s="1"/>
  <c r="CB17" i="12" a="1"/>
  <c r="CB17" i="12" s="1"/>
  <c r="CA17" i="12" a="1"/>
  <c r="CA17" i="12" s="1"/>
  <c r="BZ17" i="12" a="1"/>
  <c r="BZ17" i="12" s="1"/>
  <c r="BY17" i="12" a="1"/>
  <c r="BY17" i="12" s="1"/>
  <c r="BX17" i="12" a="1"/>
  <c r="BX17" i="12" s="1"/>
  <c r="BW17" i="12" a="1"/>
  <c r="BW17" i="12" s="1"/>
  <c r="BV17" i="12" a="1"/>
  <c r="BV17" i="12" s="1"/>
  <c r="BU17" i="12" a="1"/>
  <c r="BU17" i="12" s="1"/>
  <c r="BT17" i="12" a="1"/>
  <c r="BT17" i="12" s="1"/>
  <c r="BS17" i="12" a="1"/>
  <c r="BS17" i="12" s="1"/>
  <c r="BR17" i="12" a="1"/>
  <c r="BR17" i="12" s="1"/>
  <c r="BQ17" i="12" a="1"/>
  <c r="BQ17" i="12" s="1"/>
  <c r="BP17" i="12" a="1"/>
  <c r="BP17" i="12" s="1"/>
  <c r="BO17" i="12" a="1"/>
  <c r="BO17" i="12" s="1"/>
  <c r="BN17" i="12" a="1"/>
  <c r="BN17" i="12" s="1"/>
  <c r="BM17" i="12" a="1"/>
  <c r="BM17" i="12" s="1"/>
  <c r="BL17" i="12" a="1"/>
  <c r="BL17" i="12" s="1"/>
  <c r="BK17" i="12" a="1"/>
  <c r="BK17" i="12" s="1"/>
  <c r="BJ17" i="12" a="1"/>
  <c r="BJ17" i="12" s="1"/>
  <c r="BI17" i="12" a="1"/>
  <c r="BI17" i="12" s="1"/>
  <c r="BH17" i="12" a="1"/>
  <c r="BH17" i="12" s="1"/>
  <c r="BG17" i="12" a="1"/>
  <c r="BG17" i="12" s="1"/>
  <c r="BF17" i="12" a="1"/>
  <c r="BF17" i="12" s="1"/>
  <c r="BE17" i="12" a="1"/>
  <c r="BE17" i="12" s="1"/>
  <c r="BD17" i="12" a="1"/>
  <c r="BD17" i="12" s="1"/>
  <c r="BC17" i="12" a="1"/>
  <c r="BC17" i="12" s="1"/>
  <c r="BB17" i="12" a="1"/>
  <c r="BB17" i="12" s="1"/>
  <c r="BA17" i="12" a="1"/>
  <c r="BA17" i="12" s="1"/>
  <c r="AZ17" i="12" a="1"/>
  <c r="AZ17" i="12" s="1"/>
  <c r="AY17" i="12" a="1"/>
  <c r="AY17" i="12" s="1"/>
  <c r="AX17" i="12" a="1"/>
  <c r="AX17" i="12" s="1"/>
  <c r="AW17" i="12" a="1"/>
  <c r="AW17" i="12" s="1"/>
  <c r="AV17" i="12" a="1"/>
  <c r="AV17" i="12" s="1"/>
  <c r="AU17" i="12" a="1"/>
  <c r="AU17" i="12" s="1"/>
  <c r="AT17" i="12" a="1"/>
  <c r="AT17" i="12" s="1"/>
  <c r="AS17" i="12" a="1"/>
  <c r="AS17" i="12" s="1"/>
  <c r="AR17" i="12" a="1"/>
  <c r="AR17" i="12" s="1"/>
  <c r="AQ17" i="12" a="1"/>
  <c r="AQ17" i="12" s="1"/>
  <c r="AP17" i="12" a="1"/>
  <c r="AP17" i="12" s="1"/>
  <c r="AO17" i="12" a="1"/>
  <c r="AO17" i="12" s="1"/>
  <c r="AN17" i="12" a="1"/>
  <c r="AN17" i="12" s="1"/>
  <c r="AM17" i="12" a="1"/>
  <c r="AM17" i="12" s="1"/>
  <c r="AL17" i="12" a="1"/>
  <c r="AL17" i="12" s="1"/>
  <c r="AK17" i="12" a="1"/>
  <c r="AK17" i="12" s="1"/>
  <c r="AJ17" i="12" a="1"/>
  <c r="AJ17" i="12" s="1"/>
  <c r="AI17" i="12" a="1"/>
  <c r="AI17" i="12" s="1"/>
  <c r="AH17" i="12" a="1"/>
  <c r="AH17" i="12" s="1"/>
  <c r="AG17" i="12" a="1"/>
  <c r="AG17" i="12" s="1"/>
  <c r="AF17" i="12" a="1"/>
  <c r="AF17" i="12" s="1"/>
  <c r="AE17" i="12" a="1"/>
  <c r="AE17" i="12" s="1"/>
  <c r="AD17" i="12" a="1"/>
  <c r="AD17" i="12" s="1"/>
  <c r="AC17" i="12" a="1"/>
  <c r="AC17" i="12" s="1"/>
  <c r="AB17" i="12" a="1"/>
  <c r="AB17" i="12" s="1"/>
  <c r="AA17" i="12" a="1"/>
  <c r="AA17" i="12" s="1"/>
  <c r="Z17" i="12" a="1"/>
  <c r="Z17" i="12" s="1"/>
  <c r="Y17" i="12" a="1"/>
  <c r="Y17" i="12" s="1"/>
  <c r="X17" i="12" a="1"/>
  <c r="X17" i="12" s="1"/>
  <c r="W17" i="12" a="1"/>
  <c r="W17" i="12" s="1"/>
  <c r="V17" i="12" a="1"/>
  <c r="V17" i="12" s="1"/>
  <c r="U17" i="12" a="1"/>
  <c r="U17" i="12" s="1"/>
  <c r="T17" i="12" a="1"/>
  <c r="T17" i="12" s="1"/>
  <c r="S17" i="12" a="1"/>
  <c r="S17" i="12" s="1"/>
  <c r="R17" i="12" a="1"/>
  <c r="R17" i="12" s="1"/>
  <c r="Q17" i="12" a="1"/>
  <c r="Q17" i="12" s="1"/>
  <c r="P17" i="12" a="1"/>
  <c r="P17" i="12" s="1"/>
  <c r="O17" i="12" a="1"/>
  <c r="O17" i="12" s="1"/>
  <c r="N17" i="12" a="1"/>
  <c r="N17" i="12" s="1"/>
  <c r="M17" i="12" a="1"/>
  <c r="M17" i="12" s="1"/>
  <c r="L17" i="12" a="1"/>
  <c r="L17" i="12" s="1"/>
  <c r="K17" i="12" a="1"/>
  <c r="K17" i="12" s="1"/>
  <c r="J17" i="12" a="1"/>
  <c r="J17" i="12" s="1"/>
  <c r="I17" i="12" a="1"/>
  <c r="I17" i="12" s="1"/>
  <c r="H17" i="12" a="1"/>
  <c r="H17" i="12" s="1"/>
  <c r="G17" i="12" a="1"/>
  <c r="G17" i="12" s="1"/>
  <c r="F17" i="12" a="1"/>
  <c r="F17" i="12" s="1"/>
  <c r="E17" i="12" a="1"/>
  <c r="E17" i="12" s="1"/>
  <c r="D17" i="12" a="1"/>
  <c r="D17" i="12" s="1"/>
  <c r="C17" i="12" a="1"/>
  <c r="C17" i="12" s="1"/>
  <c r="EF16" i="12" a="1"/>
  <c r="EF16" i="12" s="1"/>
  <c r="EE16" i="12" a="1"/>
  <c r="EE16" i="12" s="1"/>
  <c r="ED16" i="12" a="1"/>
  <c r="ED16" i="12" s="1"/>
  <c r="EC16" i="12" a="1"/>
  <c r="EC16" i="12" s="1"/>
  <c r="EB16" i="12" a="1"/>
  <c r="EB16" i="12" s="1"/>
  <c r="EA16" i="12" a="1"/>
  <c r="EA16" i="12" s="1"/>
  <c r="DZ16" i="12" a="1"/>
  <c r="DZ16" i="12" s="1"/>
  <c r="DY16" i="12" a="1"/>
  <c r="DY16" i="12" s="1"/>
  <c r="DX16" i="12" a="1"/>
  <c r="DX16" i="12" s="1"/>
  <c r="DW16" i="12" a="1"/>
  <c r="DW16" i="12" s="1"/>
  <c r="DV16" i="12" a="1"/>
  <c r="DV16" i="12" s="1"/>
  <c r="DU16" i="12" a="1"/>
  <c r="DU16" i="12" s="1"/>
  <c r="DT16" i="12" a="1"/>
  <c r="DT16" i="12" s="1"/>
  <c r="DS16" i="12" a="1"/>
  <c r="DS16" i="12" s="1"/>
  <c r="DR16" i="12" a="1"/>
  <c r="DR16" i="12" s="1"/>
  <c r="DQ16" i="12" a="1"/>
  <c r="DQ16" i="12" s="1"/>
  <c r="DP16" i="12" a="1"/>
  <c r="DP16" i="12" s="1"/>
  <c r="DO16" i="12" a="1"/>
  <c r="DO16" i="12" s="1"/>
  <c r="DN16" i="12" a="1"/>
  <c r="DN16" i="12" s="1"/>
  <c r="DM16" i="12" a="1"/>
  <c r="DM16" i="12" s="1"/>
  <c r="DL16" i="12" a="1"/>
  <c r="DL16" i="12" s="1"/>
  <c r="DK16" i="12" a="1"/>
  <c r="DK16" i="12" s="1"/>
  <c r="DJ16" i="12" a="1"/>
  <c r="DJ16" i="12" s="1"/>
  <c r="DI16" i="12" a="1"/>
  <c r="DI16" i="12" s="1"/>
  <c r="DH16" i="12" a="1"/>
  <c r="DH16" i="12" s="1"/>
  <c r="DG16" i="12" a="1"/>
  <c r="DG16" i="12" s="1"/>
  <c r="DF16" i="12" a="1"/>
  <c r="DF16" i="12" s="1"/>
  <c r="DE16" i="12" a="1"/>
  <c r="DE16" i="12" s="1"/>
  <c r="DD16" i="12" a="1"/>
  <c r="DD16" i="12" s="1"/>
  <c r="DC16" i="12" a="1"/>
  <c r="DC16" i="12" s="1"/>
  <c r="DB16" i="12" a="1"/>
  <c r="DB16" i="12" s="1"/>
  <c r="DA16" i="12" a="1"/>
  <c r="DA16" i="12" s="1"/>
  <c r="CZ16" i="12" a="1"/>
  <c r="CZ16" i="12" s="1"/>
  <c r="CY16" i="12" a="1"/>
  <c r="CY16" i="12" s="1"/>
  <c r="CX16" i="12" a="1"/>
  <c r="CX16" i="12" s="1"/>
  <c r="CW16" i="12" a="1"/>
  <c r="CW16" i="12" s="1"/>
  <c r="CV16" i="12" a="1"/>
  <c r="CV16" i="12" s="1"/>
  <c r="CU16" i="12" a="1"/>
  <c r="CU16" i="12" s="1"/>
  <c r="CT16" i="12" a="1"/>
  <c r="CT16" i="12" s="1"/>
  <c r="CS16" i="12" a="1"/>
  <c r="CS16" i="12" s="1"/>
  <c r="CR16" i="12" a="1"/>
  <c r="CR16" i="12" s="1"/>
  <c r="CQ16" i="12" a="1"/>
  <c r="CQ16" i="12" s="1"/>
  <c r="CP16" i="12" a="1"/>
  <c r="CP16" i="12" s="1"/>
  <c r="CO16" i="12" a="1"/>
  <c r="CO16" i="12" s="1"/>
  <c r="CN16" i="12" a="1"/>
  <c r="CN16" i="12" s="1"/>
  <c r="CM16" i="12" a="1"/>
  <c r="CM16" i="12" s="1"/>
  <c r="CL16" i="12" a="1"/>
  <c r="CL16" i="12" s="1"/>
  <c r="CK16" i="12" a="1"/>
  <c r="CK16" i="12" s="1"/>
  <c r="CJ16" i="12" a="1"/>
  <c r="CJ16" i="12" s="1"/>
  <c r="CI16" i="12" a="1"/>
  <c r="CI16" i="12" s="1"/>
  <c r="CH16" i="12" a="1"/>
  <c r="CH16" i="12" s="1"/>
  <c r="CG16" i="12" a="1"/>
  <c r="CG16" i="12" s="1"/>
  <c r="CF16" i="12" a="1"/>
  <c r="CF16" i="12" s="1"/>
  <c r="CE16" i="12" a="1"/>
  <c r="CE16" i="12" s="1"/>
  <c r="CD16" i="12" a="1"/>
  <c r="CD16" i="12" s="1"/>
  <c r="CC16" i="12" a="1"/>
  <c r="CC16" i="12" s="1"/>
  <c r="CB16" i="12" a="1"/>
  <c r="CB16" i="12" s="1"/>
  <c r="CA16" i="12" a="1"/>
  <c r="CA16" i="12" s="1"/>
  <c r="BZ16" i="12" a="1"/>
  <c r="BZ16" i="12" s="1"/>
  <c r="BY16" i="12" a="1"/>
  <c r="BY16" i="12" s="1"/>
  <c r="BX16" i="12" a="1"/>
  <c r="BX16" i="12" s="1"/>
  <c r="BW16" i="12" a="1"/>
  <c r="BW16" i="12" s="1"/>
  <c r="BV16" i="12" a="1"/>
  <c r="BV16" i="12" s="1"/>
  <c r="BU16" i="12" a="1"/>
  <c r="BU16" i="12" s="1"/>
  <c r="BT16" i="12" a="1"/>
  <c r="BT16" i="12" s="1"/>
  <c r="BS16" i="12" a="1"/>
  <c r="BS16" i="12" s="1"/>
  <c r="BR16" i="12" a="1"/>
  <c r="BR16" i="12" s="1"/>
  <c r="BQ16" i="12" a="1"/>
  <c r="BQ16" i="12" s="1"/>
  <c r="BP16" i="12"/>
  <c r="BP16" i="12" a="1"/>
  <c r="BO16" i="12" a="1"/>
  <c r="BO16" i="12" s="1"/>
  <c r="BN16" i="12" a="1"/>
  <c r="BN16" i="12" s="1"/>
  <c r="BM16" i="12" a="1"/>
  <c r="BM16" i="12" s="1"/>
  <c r="BL16" i="12" a="1"/>
  <c r="BL16" i="12" s="1"/>
  <c r="BK16" i="12" a="1"/>
  <c r="BK16" i="12" s="1"/>
  <c r="BJ16" i="12"/>
  <c r="BJ16" i="12" a="1"/>
  <c r="BI16" i="12" a="1"/>
  <c r="BI16" i="12" s="1"/>
  <c r="BH16" i="12"/>
  <c r="BH16" i="12" a="1"/>
  <c r="BG16" i="12" a="1"/>
  <c r="BG16" i="12" s="1"/>
  <c r="BF16" i="12" a="1"/>
  <c r="BF16" i="12" s="1"/>
  <c r="BE16" i="12" a="1"/>
  <c r="BE16" i="12" s="1"/>
  <c r="BD16" i="12" a="1"/>
  <c r="BD16" i="12" s="1"/>
  <c r="BC16" i="12" a="1"/>
  <c r="BC16" i="12" s="1"/>
  <c r="BB16" i="12"/>
  <c r="BB16" i="12" a="1"/>
  <c r="BA16" i="12" a="1"/>
  <c r="BA16" i="12" s="1"/>
  <c r="AZ16" i="12"/>
  <c r="AZ16" i="12" a="1"/>
  <c r="AY16" i="12" a="1"/>
  <c r="AY16" i="12" s="1"/>
  <c r="AX16" i="12" a="1"/>
  <c r="AX16" i="12" s="1"/>
  <c r="AW16" i="12" a="1"/>
  <c r="AW16" i="12" s="1"/>
  <c r="AV16" i="12" a="1"/>
  <c r="AV16" i="12" s="1"/>
  <c r="AU16" i="12" a="1"/>
  <c r="AU16" i="12" s="1"/>
  <c r="AT16" i="12"/>
  <c r="AT16" i="12" a="1"/>
  <c r="AS16" i="12" a="1"/>
  <c r="AS16" i="12" s="1"/>
  <c r="AR16" i="12"/>
  <c r="AR16" i="12" a="1"/>
  <c r="AQ16" i="12" a="1"/>
  <c r="AQ16" i="12" s="1"/>
  <c r="AP16" i="12" a="1"/>
  <c r="AP16" i="12" s="1"/>
  <c r="AO16" i="12" a="1"/>
  <c r="AO16" i="12" s="1"/>
  <c r="AN16" i="12" a="1"/>
  <c r="AN16" i="12" s="1"/>
  <c r="AM16" i="12" a="1"/>
  <c r="AM16" i="12" s="1"/>
  <c r="AL16" i="12"/>
  <c r="AL16" i="12" a="1"/>
  <c r="AK16" i="12" a="1"/>
  <c r="AK16" i="12" s="1"/>
  <c r="AJ16" i="12"/>
  <c r="AJ16" i="12" a="1"/>
  <c r="AI16" i="12" a="1"/>
  <c r="AI16" i="12" s="1"/>
  <c r="AH16" i="12" a="1"/>
  <c r="AH16" i="12" s="1"/>
  <c r="AG16" i="12" a="1"/>
  <c r="AG16" i="12" s="1"/>
  <c r="AF16" i="12" a="1"/>
  <c r="AF16" i="12" s="1"/>
  <c r="AE16" i="12" a="1"/>
  <c r="AE16" i="12" s="1"/>
  <c r="AD16" i="12"/>
  <c r="AD16" i="12" a="1"/>
  <c r="AC16" i="12" a="1"/>
  <c r="AC16" i="12" s="1"/>
  <c r="AB16" i="12"/>
  <c r="AB16" i="12" a="1"/>
  <c r="AA16" i="12" a="1"/>
  <c r="AA16" i="12" s="1"/>
  <c r="Z16" i="12" a="1"/>
  <c r="Z16" i="12" s="1"/>
  <c r="Y16" i="12" a="1"/>
  <c r="Y16" i="12" s="1"/>
  <c r="X16" i="12" a="1"/>
  <c r="X16" i="12" s="1"/>
  <c r="W16" i="12" a="1"/>
  <c r="W16" i="12" s="1"/>
  <c r="V16" i="12"/>
  <c r="V16" i="12" a="1"/>
  <c r="U16" i="12" a="1"/>
  <c r="U16" i="12" s="1"/>
  <c r="T16" i="12"/>
  <c r="T16" i="12" a="1"/>
  <c r="S16" i="12" a="1"/>
  <c r="S16" i="12" s="1"/>
  <c r="R16" i="12" a="1"/>
  <c r="R16" i="12" s="1"/>
  <c r="Q16" i="12" a="1"/>
  <c r="Q16" i="12" s="1"/>
  <c r="P16" i="12" a="1"/>
  <c r="P16" i="12" s="1"/>
  <c r="O16" i="12" a="1"/>
  <c r="O16" i="12" s="1"/>
  <c r="N16" i="12"/>
  <c r="N16" i="12" a="1"/>
  <c r="M16" i="12" a="1"/>
  <c r="M16" i="12" s="1"/>
  <c r="L16" i="12"/>
  <c r="L16" i="12" a="1"/>
  <c r="K16" i="12" a="1"/>
  <c r="K16" i="12" s="1"/>
  <c r="J16" i="12" a="1"/>
  <c r="J16" i="12" s="1"/>
  <c r="I16" i="12" a="1"/>
  <c r="I16" i="12" s="1"/>
  <c r="H16" i="12" a="1"/>
  <c r="H16" i="12" s="1"/>
  <c r="G16" i="12" a="1"/>
  <c r="G16" i="12" s="1"/>
  <c r="F16" i="12"/>
  <c r="F16" i="12" a="1"/>
  <c r="E16" i="12" a="1"/>
  <c r="E16" i="12" s="1"/>
  <c r="D16" i="12"/>
  <c r="D16" i="12" a="1"/>
  <c r="C16" i="12" a="1"/>
  <c r="C16" i="12" s="1"/>
  <c r="EF15" i="12" a="1"/>
  <c r="EF15" i="12" s="1"/>
  <c r="EE15" i="12" a="1"/>
  <c r="EE15" i="12" s="1"/>
  <c r="ED15" i="12" a="1"/>
  <c r="ED15" i="12" s="1"/>
  <c r="EC15" i="12" a="1"/>
  <c r="EC15" i="12" s="1"/>
  <c r="EB15" i="12"/>
  <c r="EB15" i="12" a="1"/>
  <c r="EA15" i="12" a="1"/>
  <c r="EA15" i="12" s="1"/>
  <c r="DZ15" i="12"/>
  <c r="DZ15" i="12" a="1"/>
  <c r="DY15" i="12" a="1"/>
  <c r="DY15" i="12" s="1"/>
  <c r="DX15" i="12" a="1"/>
  <c r="DX15" i="12" s="1"/>
  <c r="DW15" i="12" a="1"/>
  <c r="DW15" i="12" s="1"/>
  <c r="DV15" i="12" a="1"/>
  <c r="DV15" i="12" s="1"/>
  <c r="DU15" i="12" a="1"/>
  <c r="DU15" i="12" s="1"/>
  <c r="DT15" i="12"/>
  <c r="DT15" i="12" a="1"/>
  <c r="DS15" i="12" a="1"/>
  <c r="DS15" i="12" s="1"/>
  <c r="DR15" i="12"/>
  <c r="DR15" i="12" a="1"/>
  <c r="DQ15" i="12" a="1"/>
  <c r="DQ15" i="12" s="1"/>
  <c r="DP15" i="12" a="1"/>
  <c r="DP15" i="12" s="1"/>
  <c r="DO15" i="12" a="1"/>
  <c r="DO15" i="12" s="1"/>
  <c r="DN15" i="12" a="1"/>
  <c r="DN15" i="12" s="1"/>
  <c r="DM15" i="12" a="1"/>
  <c r="DM15" i="12" s="1"/>
  <c r="DL15" i="12"/>
  <c r="DL15" i="12" a="1"/>
  <c r="DK15" i="12" a="1"/>
  <c r="DK15" i="12" s="1"/>
  <c r="DJ15" i="12"/>
  <c r="DJ15" i="12" a="1"/>
  <c r="DI15" i="12" a="1"/>
  <c r="DI15" i="12" s="1"/>
  <c r="DH15" i="12" a="1"/>
  <c r="DH15" i="12" s="1"/>
  <c r="DG15" i="12" a="1"/>
  <c r="DG15" i="12" s="1"/>
  <c r="DF15" i="12" a="1"/>
  <c r="DF15" i="12" s="1"/>
  <c r="DE15" i="12" a="1"/>
  <c r="DE15" i="12" s="1"/>
  <c r="DD15" i="12"/>
  <c r="DD15" i="12" a="1"/>
  <c r="DC15" i="12" a="1"/>
  <c r="DC15" i="12" s="1"/>
  <c r="DB15" i="12"/>
  <c r="DB15" i="12" a="1"/>
  <c r="DA15" i="12" a="1"/>
  <c r="DA15" i="12" s="1"/>
  <c r="CZ15" i="12" a="1"/>
  <c r="CZ15" i="12" s="1"/>
  <c r="CY15" i="12" a="1"/>
  <c r="CY15" i="12" s="1"/>
  <c r="CX15" i="12" a="1"/>
  <c r="CX15" i="12" s="1"/>
  <c r="CW15" i="12" a="1"/>
  <c r="CW15" i="12" s="1"/>
  <c r="CV15" i="12"/>
  <c r="CV15" i="12" a="1"/>
  <c r="CU15" i="12" a="1"/>
  <c r="CU15" i="12" s="1"/>
  <c r="CT15" i="12"/>
  <c r="CT15" i="12" a="1"/>
  <c r="CS15" i="12" a="1"/>
  <c r="CS15" i="12" s="1"/>
  <c r="CR15" i="12" a="1"/>
  <c r="CR15" i="12" s="1"/>
  <c r="CQ15" i="12" a="1"/>
  <c r="CQ15" i="12" s="1"/>
  <c r="CP15" i="12" a="1"/>
  <c r="CP15" i="12" s="1"/>
  <c r="CO15" i="12" a="1"/>
  <c r="CO15" i="12" s="1"/>
  <c r="CN15" i="12"/>
  <c r="CN15" i="12" a="1"/>
  <c r="CM15" i="12" a="1"/>
  <c r="CM15" i="12" s="1"/>
  <c r="CL15" i="12"/>
  <c r="CL15" i="12" a="1"/>
  <c r="CK15" i="12" a="1"/>
  <c r="CK15" i="12" s="1"/>
  <c r="CJ15" i="12" a="1"/>
  <c r="CJ15" i="12" s="1"/>
  <c r="CI15" i="12" a="1"/>
  <c r="CI15" i="12" s="1"/>
  <c r="CH15" i="12" a="1"/>
  <c r="CH15" i="12" s="1"/>
  <c r="CG15" i="12" a="1"/>
  <c r="CG15" i="12" s="1"/>
  <c r="CF15" i="12"/>
  <c r="CF15" i="12" a="1"/>
  <c r="CE15" i="12" a="1"/>
  <c r="CE15" i="12" s="1"/>
  <c r="CD15" i="12"/>
  <c r="CD15" i="12" a="1"/>
  <c r="CC15" i="12" a="1"/>
  <c r="CC15" i="12" s="1"/>
  <c r="CB15" i="12" a="1"/>
  <c r="CB15" i="12" s="1"/>
  <c r="CA15" i="12" a="1"/>
  <c r="CA15" i="12" s="1"/>
  <c r="BZ15" i="12" a="1"/>
  <c r="BZ15" i="12" s="1"/>
  <c r="BY15" i="12" a="1"/>
  <c r="BY15" i="12" s="1"/>
  <c r="BX15" i="12"/>
  <c r="BX15" i="12" a="1"/>
  <c r="BW15" i="12" a="1"/>
  <c r="BW15" i="12" s="1"/>
  <c r="BV15" i="12"/>
  <c r="BV15" i="12" a="1"/>
  <c r="BU15" i="12" a="1"/>
  <c r="BU15" i="12" s="1"/>
  <c r="BT15" i="12" a="1"/>
  <c r="BT15" i="12" s="1"/>
  <c r="BS15" i="12" a="1"/>
  <c r="BS15" i="12" s="1"/>
  <c r="BR15" i="12" a="1"/>
  <c r="BR15" i="12" s="1"/>
  <c r="BQ15" i="12" a="1"/>
  <c r="BQ15" i="12" s="1"/>
  <c r="BP15" i="12"/>
  <c r="BP15" i="12" a="1"/>
  <c r="BO15" i="12" a="1"/>
  <c r="BO15" i="12" s="1"/>
  <c r="BN15" i="12"/>
  <c r="BN15" i="12" a="1"/>
  <c r="BM15" i="12" a="1"/>
  <c r="BM15" i="12" s="1"/>
  <c r="BL15" i="12" a="1"/>
  <c r="BL15" i="12" s="1"/>
  <c r="BK15" i="12" a="1"/>
  <c r="BK15" i="12" s="1"/>
  <c r="BJ15" i="12" a="1"/>
  <c r="BJ15" i="12" s="1"/>
  <c r="BI15" i="12" a="1"/>
  <c r="BI15" i="12" s="1"/>
  <c r="BH15" i="12"/>
  <c r="BH15" i="12" a="1"/>
  <c r="BG15" i="12" a="1"/>
  <c r="BG15" i="12" s="1"/>
  <c r="BF15" i="12"/>
  <c r="BF15" i="12" a="1"/>
  <c r="BE15" i="12" a="1"/>
  <c r="BE15" i="12" s="1"/>
  <c r="BD15" i="12" a="1"/>
  <c r="BD15" i="12" s="1"/>
  <c r="BC15" i="12" a="1"/>
  <c r="BC15" i="12" s="1"/>
  <c r="BB15" i="12" a="1"/>
  <c r="BB15" i="12" s="1"/>
  <c r="BA15" i="12" a="1"/>
  <c r="BA15" i="12" s="1"/>
  <c r="AZ15" i="12"/>
  <c r="AZ15" i="12" a="1"/>
  <c r="AY15" i="12" a="1"/>
  <c r="AY15" i="12" s="1"/>
  <c r="AX15" i="12"/>
  <c r="AX15" i="12" a="1"/>
  <c r="AW15" i="12" a="1"/>
  <c r="AW15" i="12" s="1"/>
  <c r="AV15" i="12" a="1"/>
  <c r="AV15" i="12" s="1"/>
  <c r="AU15" i="12" a="1"/>
  <c r="AU15" i="12" s="1"/>
  <c r="AT15" i="12" a="1"/>
  <c r="AT15" i="12" s="1"/>
  <c r="AS15" i="12" a="1"/>
  <c r="AS15" i="12" s="1"/>
  <c r="AR15" i="12"/>
  <c r="AR15" i="12" a="1"/>
  <c r="AQ15" i="12" a="1"/>
  <c r="AQ15" i="12" s="1"/>
  <c r="AP15" i="12"/>
  <c r="AP15" i="12" a="1"/>
  <c r="AO15" i="12" a="1"/>
  <c r="AO15" i="12" s="1"/>
  <c r="AN15" i="12"/>
  <c r="AN15" i="12" a="1"/>
  <c r="AM15" i="12" a="1"/>
  <c r="AM15" i="12" s="1"/>
  <c r="AL15" i="12" a="1"/>
  <c r="AL15" i="12" s="1"/>
  <c r="AK15" i="12" a="1"/>
  <c r="AK15" i="12" s="1"/>
  <c r="AJ15" i="12"/>
  <c r="AJ15" i="12" a="1"/>
  <c r="AI15" i="12" a="1"/>
  <c r="AI15" i="12" s="1"/>
  <c r="AH15" i="12"/>
  <c r="AH15" i="12" a="1"/>
  <c r="AG15" i="12" a="1"/>
  <c r="AG15" i="12" s="1"/>
  <c r="AF15" i="12" a="1"/>
  <c r="AF15" i="12" s="1"/>
  <c r="AE15" i="12" a="1"/>
  <c r="AE15" i="12" s="1"/>
  <c r="AD15" i="12" a="1"/>
  <c r="AD15" i="12" s="1"/>
  <c r="AC15" i="12" a="1"/>
  <c r="AC15" i="12" s="1"/>
  <c r="AB15" i="12"/>
  <c r="AB15" i="12" a="1"/>
  <c r="AA15" i="12" a="1"/>
  <c r="AA15" i="12" s="1"/>
  <c r="Z15" i="12"/>
  <c r="Z15" i="12" a="1"/>
  <c r="Y15" i="12" a="1"/>
  <c r="Y15" i="12" s="1"/>
  <c r="X15" i="12" a="1"/>
  <c r="X15" i="12" s="1"/>
  <c r="W15" i="12" a="1"/>
  <c r="W15" i="12" s="1"/>
  <c r="V15" i="12" a="1"/>
  <c r="V15" i="12" s="1"/>
  <c r="U15" i="12" a="1"/>
  <c r="U15" i="12" s="1"/>
  <c r="T15" i="12"/>
  <c r="T15" i="12" a="1"/>
  <c r="S15" i="12" a="1"/>
  <c r="S15" i="12" s="1"/>
  <c r="R15" i="12"/>
  <c r="R15" i="12" a="1"/>
  <c r="Q15" i="12" a="1"/>
  <c r="Q15" i="12" s="1"/>
  <c r="P15" i="12" a="1"/>
  <c r="P15" i="12" s="1"/>
  <c r="O15" i="12" a="1"/>
  <c r="O15" i="12" s="1"/>
  <c r="N15" i="12" a="1"/>
  <c r="N15" i="12" s="1"/>
  <c r="M15" i="12" a="1"/>
  <c r="M15" i="12" s="1"/>
  <c r="L15" i="12"/>
  <c r="L15" i="12" a="1"/>
  <c r="K15" i="12" a="1"/>
  <c r="K15" i="12" s="1"/>
  <c r="J15" i="12"/>
  <c r="J15" i="12" a="1"/>
  <c r="I15" i="12" a="1"/>
  <c r="I15" i="12" s="1"/>
  <c r="H15" i="12"/>
  <c r="H15" i="12" a="1"/>
  <c r="G15" i="12" a="1"/>
  <c r="G15" i="12" s="1"/>
  <c r="F15" i="12" a="1"/>
  <c r="F15" i="12" s="1"/>
  <c r="E15" i="12" a="1"/>
  <c r="E15" i="12" s="1"/>
  <c r="D15" i="12"/>
  <c r="D15" i="12" a="1"/>
  <c r="C15" i="12" a="1"/>
  <c r="C15" i="12" s="1"/>
  <c r="EF14" i="12"/>
  <c r="EF14" i="12" a="1"/>
  <c r="EE14" i="12" a="1"/>
  <c r="EE14" i="12" s="1"/>
  <c r="ED14" i="12" a="1"/>
  <c r="ED14" i="12" s="1"/>
  <c r="EC14" i="12" a="1"/>
  <c r="EC14" i="12" s="1"/>
  <c r="EB14" i="12" a="1"/>
  <c r="EB14" i="12" s="1"/>
  <c r="EA14" i="12" a="1"/>
  <c r="EA14" i="12" s="1"/>
  <c r="DZ14" i="12"/>
  <c r="DZ14" i="12" a="1"/>
  <c r="DY14" i="12" a="1"/>
  <c r="DY14" i="12" s="1"/>
  <c r="DX14" i="12"/>
  <c r="DX14" i="12" a="1"/>
  <c r="DW14" i="12" a="1"/>
  <c r="DW14" i="12" s="1"/>
  <c r="DV14" i="12" a="1"/>
  <c r="DV14" i="12" s="1"/>
  <c r="DU14" i="12" a="1"/>
  <c r="DU14" i="12" s="1"/>
  <c r="DT14" i="12" a="1"/>
  <c r="DT14" i="12" s="1"/>
  <c r="DS14" i="12" a="1"/>
  <c r="DS14" i="12" s="1"/>
  <c r="DR14" i="12"/>
  <c r="DR14" i="12" a="1"/>
  <c r="DQ14" i="12" a="1"/>
  <c r="DQ14" i="12" s="1"/>
  <c r="DP14" i="12"/>
  <c r="DP14" i="12" a="1"/>
  <c r="DO14" i="12" a="1"/>
  <c r="DO14" i="12" s="1"/>
  <c r="DN14" i="12" a="1"/>
  <c r="DN14" i="12" s="1"/>
  <c r="DM14" i="12" a="1"/>
  <c r="DM14" i="12" s="1"/>
  <c r="DL14" i="12" a="1"/>
  <c r="DL14" i="12" s="1"/>
  <c r="DK14" i="12" a="1"/>
  <c r="DK14" i="12" s="1"/>
  <c r="DJ14" i="12"/>
  <c r="DJ14" i="12" a="1"/>
  <c r="DI14" i="12" a="1"/>
  <c r="DI14" i="12" s="1"/>
  <c r="DH14" i="12"/>
  <c r="DH14" i="12" a="1"/>
  <c r="DG14" i="12" a="1"/>
  <c r="DG14" i="12" s="1"/>
  <c r="DF14" i="12"/>
  <c r="DF14" i="12" a="1"/>
  <c r="DE14" i="12" a="1"/>
  <c r="DE14" i="12" s="1"/>
  <c r="DD14" i="12" a="1"/>
  <c r="DD14" i="12" s="1"/>
  <c r="DC14" i="12" a="1"/>
  <c r="DC14" i="12" s="1"/>
  <c r="DB14" i="12"/>
  <c r="DB14" i="12" a="1"/>
  <c r="DA14" i="12" a="1"/>
  <c r="DA14" i="12" s="1"/>
  <c r="CZ14" i="12"/>
  <c r="CZ14" i="12" a="1"/>
  <c r="CY14" i="12" a="1"/>
  <c r="CY14" i="12" s="1"/>
  <c r="CX14" i="12" a="1"/>
  <c r="CX14" i="12" s="1"/>
  <c r="CW14" i="12" a="1"/>
  <c r="CW14" i="12" s="1"/>
  <c r="CV14" i="12" a="1"/>
  <c r="CV14" i="12" s="1"/>
  <c r="CU14" i="12" a="1"/>
  <c r="CU14" i="12" s="1"/>
  <c r="CT14" i="12"/>
  <c r="CT14" i="12" a="1"/>
  <c r="CS14" i="12" a="1"/>
  <c r="CS14" i="12" s="1"/>
  <c r="CR14" i="12"/>
  <c r="CR14" i="12" a="1"/>
  <c r="CQ14" i="12" a="1"/>
  <c r="CQ14" i="12" s="1"/>
  <c r="CP14" i="12" a="1"/>
  <c r="CP14" i="12" s="1"/>
  <c r="CO14" i="12" a="1"/>
  <c r="CO14" i="12" s="1"/>
  <c r="CN14" i="12" a="1"/>
  <c r="CN14" i="12" s="1"/>
  <c r="CM14" i="12" a="1"/>
  <c r="CM14" i="12" s="1"/>
  <c r="CL14" i="12"/>
  <c r="CL14" i="12" a="1"/>
  <c r="CK14" i="12" a="1"/>
  <c r="CK14" i="12" s="1"/>
  <c r="CJ14" i="12"/>
  <c r="CJ14" i="12" a="1"/>
  <c r="CI14" i="12" a="1"/>
  <c r="CI14" i="12" s="1"/>
  <c r="CH14" i="12" a="1"/>
  <c r="CH14" i="12" s="1"/>
  <c r="CG14" i="12" a="1"/>
  <c r="CG14" i="12" s="1"/>
  <c r="CF14" i="12" a="1"/>
  <c r="CF14" i="12" s="1"/>
  <c r="CE14" i="12" a="1"/>
  <c r="CE14" i="12" s="1"/>
  <c r="CD14" i="12"/>
  <c r="CD14" i="12" a="1"/>
  <c r="CC14" i="12" a="1"/>
  <c r="CC14" i="12" s="1"/>
  <c r="CB14" i="12"/>
  <c r="CB14" i="12" a="1"/>
  <c r="CA14" i="12" a="1"/>
  <c r="CA14" i="12" s="1"/>
  <c r="BZ14" i="12"/>
  <c r="BZ14" i="12" a="1"/>
  <c r="BY14" i="12" a="1"/>
  <c r="BY14" i="12" s="1"/>
  <c r="BX14" i="12" a="1"/>
  <c r="BX14" i="12" s="1"/>
  <c r="BW14" i="12" a="1"/>
  <c r="BW14" i="12" s="1"/>
  <c r="BV14" i="12"/>
  <c r="BV14" i="12" a="1"/>
  <c r="BU14" i="12" a="1"/>
  <c r="BU14" i="12" s="1"/>
  <c r="BT14" i="12"/>
  <c r="BT14" i="12" a="1"/>
  <c r="BS14" i="12" a="1"/>
  <c r="BS14" i="12" s="1"/>
  <c r="BR14" i="12" a="1"/>
  <c r="BR14" i="12" s="1"/>
  <c r="BQ14" i="12" a="1"/>
  <c r="BQ14" i="12" s="1"/>
  <c r="BP14" i="12" a="1"/>
  <c r="BP14" i="12" s="1"/>
  <c r="BO14" i="12" a="1"/>
  <c r="BO14" i="12" s="1"/>
  <c r="BN14" i="12"/>
  <c r="BN14" i="12" a="1"/>
  <c r="BM14" i="12" a="1"/>
  <c r="BM14" i="12" s="1"/>
  <c r="BL14" i="12"/>
  <c r="BL14" i="12" a="1"/>
  <c r="BK14" i="12" a="1"/>
  <c r="BK14" i="12" s="1"/>
  <c r="BJ14" i="12" a="1"/>
  <c r="BJ14" i="12" s="1"/>
  <c r="BI14" i="12" a="1"/>
  <c r="BI14" i="12" s="1"/>
  <c r="BH14" i="12" a="1"/>
  <c r="BH14" i="12" s="1"/>
  <c r="BG14" i="12" a="1"/>
  <c r="BG14" i="12" s="1"/>
  <c r="BF14" i="12"/>
  <c r="BF14" i="12" a="1"/>
  <c r="BE14" i="12" a="1"/>
  <c r="BE14" i="12" s="1"/>
  <c r="BD14" i="12"/>
  <c r="BD14" i="12" a="1"/>
  <c r="BC14" i="12" a="1"/>
  <c r="BC14" i="12" s="1"/>
  <c r="BB14" i="12" a="1"/>
  <c r="BB14" i="12" s="1"/>
  <c r="BA14" i="12" a="1"/>
  <c r="BA14" i="12" s="1"/>
  <c r="AZ14" i="12" a="1"/>
  <c r="AZ14" i="12" s="1"/>
  <c r="AY14" i="12" a="1"/>
  <c r="AY14" i="12" s="1"/>
  <c r="AX14" i="12"/>
  <c r="AX14" i="12" a="1"/>
  <c r="AW14" i="12" a="1"/>
  <c r="AW14" i="12" s="1"/>
  <c r="AV14" i="12"/>
  <c r="AV14" i="12" a="1"/>
  <c r="AU14" i="12" a="1"/>
  <c r="AU14" i="12" s="1"/>
  <c r="AT14" i="12"/>
  <c r="AT14" i="12" a="1"/>
  <c r="AS14" i="12" a="1"/>
  <c r="AS14" i="12" s="1"/>
  <c r="AR14" i="12" a="1"/>
  <c r="AR14" i="12" s="1"/>
  <c r="AQ14" i="12" a="1"/>
  <c r="AQ14" i="12" s="1"/>
  <c r="AP14" i="12"/>
  <c r="AP14" i="12" a="1"/>
  <c r="AO14" i="12" a="1"/>
  <c r="AO14" i="12" s="1"/>
  <c r="AN14" i="12"/>
  <c r="AN14" i="12" a="1"/>
  <c r="AM14" i="12" a="1"/>
  <c r="AM14" i="12" s="1"/>
  <c r="AL14" i="12" a="1"/>
  <c r="AL14" i="12" s="1"/>
  <c r="AK14" i="12" a="1"/>
  <c r="AK14" i="12" s="1"/>
  <c r="AJ14" i="12" a="1"/>
  <c r="AJ14" i="12" s="1"/>
  <c r="AI14" i="12" a="1"/>
  <c r="AI14" i="12" s="1"/>
  <c r="AH14" i="12"/>
  <c r="AH14" i="12" a="1"/>
  <c r="AG14" i="12" a="1"/>
  <c r="AG14" i="12" s="1"/>
  <c r="AF14" i="12"/>
  <c r="AF14" i="12" a="1"/>
  <c r="AE14" i="12" a="1"/>
  <c r="AE14" i="12" s="1"/>
  <c r="AD14" i="12" a="1"/>
  <c r="AD14" i="12" s="1"/>
  <c r="AC14" i="12" a="1"/>
  <c r="AC14" i="12" s="1"/>
  <c r="AB14" i="12" a="1"/>
  <c r="AB14" i="12" s="1"/>
  <c r="AA14" i="12" a="1"/>
  <c r="AA14" i="12" s="1"/>
  <c r="Z14" i="12"/>
  <c r="Z14" i="12" a="1"/>
  <c r="Y14" i="12" a="1"/>
  <c r="Y14" i="12" s="1"/>
  <c r="X14" i="12"/>
  <c r="X14" i="12" a="1"/>
  <c r="W14" i="12" a="1"/>
  <c r="W14" i="12" s="1"/>
  <c r="V14" i="12" a="1"/>
  <c r="V14" i="12" s="1"/>
  <c r="U14" i="12" a="1"/>
  <c r="U14" i="12" s="1"/>
  <c r="T14" i="12" a="1"/>
  <c r="T14" i="12" s="1"/>
  <c r="S14" i="12" a="1"/>
  <c r="S14" i="12" s="1"/>
  <c r="R14" i="12"/>
  <c r="R14" i="12" a="1"/>
  <c r="Q14" i="12" a="1"/>
  <c r="Q14" i="12" s="1"/>
  <c r="P14" i="12"/>
  <c r="P14" i="12" a="1"/>
  <c r="O14" i="12" a="1"/>
  <c r="O14" i="12" s="1"/>
  <c r="N14" i="12"/>
  <c r="N14" i="12" a="1"/>
  <c r="M14" i="12" a="1"/>
  <c r="M14" i="12" s="1"/>
  <c r="L14" i="12" a="1"/>
  <c r="L14" i="12" s="1"/>
  <c r="K14" i="12" a="1"/>
  <c r="K14" i="12" s="1"/>
  <c r="J14" i="12"/>
  <c r="J14" i="12" a="1"/>
  <c r="I14" i="12" a="1"/>
  <c r="I14" i="12" s="1"/>
  <c r="H14" i="12"/>
  <c r="H14" i="12" a="1"/>
  <c r="G14" i="12" a="1"/>
  <c r="G14" i="12" s="1"/>
  <c r="F14" i="12" a="1"/>
  <c r="F14" i="12" s="1"/>
  <c r="E14" i="12" a="1"/>
  <c r="E14" i="12" s="1"/>
  <c r="D14" i="12" a="1"/>
  <c r="D14" i="12" s="1"/>
  <c r="C14" i="12" a="1"/>
  <c r="C14" i="12" s="1"/>
  <c r="EF13" i="12"/>
  <c r="EF13" i="12" a="1"/>
  <c r="EE13" i="12" a="1"/>
  <c r="EE13" i="12" s="1"/>
  <c r="ED13" i="12"/>
  <c r="ED13" i="12" a="1"/>
  <c r="EC13" i="12" a="1"/>
  <c r="EC13" i="12" s="1"/>
  <c r="EB13" i="12" a="1"/>
  <c r="EB13" i="12" s="1"/>
  <c r="EA13" i="12" a="1"/>
  <c r="EA13" i="12" s="1"/>
  <c r="DZ13" i="12" a="1"/>
  <c r="DZ13" i="12" s="1"/>
  <c r="DY13" i="12" a="1"/>
  <c r="DY13" i="12" s="1"/>
  <c r="DX13" i="12"/>
  <c r="DX13" i="12" a="1"/>
  <c r="DW13" i="12" a="1"/>
  <c r="DW13" i="12" s="1"/>
  <c r="DV13" i="12"/>
  <c r="DV13" i="12" a="1"/>
  <c r="DU13" i="12" a="1"/>
  <c r="DU13" i="12" s="1"/>
  <c r="DT13" i="12" a="1"/>
  <c r="DT13" i="12" s="1"/>
  <c r="DS13" i="12" a="1"/>
  <c r="DS13" i="12" s="1"/>
  <c r="DR13" i="12" a="1"/>
  <c r="DR13" i="12" s="1"/>
  <c r="DQ13" i="12" a="1"/>
  <c r="DQ13" i="12" s="1"/>
  <c r="DP13" i="12"/>
  <c r="DP13" i="12" a="1"/>
  <c r="DO13" i="12" a="1"/>
  <c r="DO13" i="12" s="1"/>
  <c r="DN13" i="12"/>
  <c r="DN13" i="12" a="1"/>
  <c r="DM13" i="12" a="1"/>
  <c r="DM13" i="12" s="1"/>
  <c r="DL13" i="12"/>
  <c r="DL13" i="12" a="1"/>
  <c r="DK13" i="12" a="1"/>
  <c r="DK13" i="12" s="1"/>
  <c r="DJ13" i="12" a="1"/>
  <c r="DJ13" i="12" s="1"/>
  <c r="DI13" i="12" a="1"/>
  <c r="DI13" i="12" s="1"/>
  <c r="DH13" i="12"/>
  <c r="DH13" i="12" a="1"/>
  <c r="DG13" i="12" a="1"/>
  <c r="DG13" i="12" s="1"/>
  <c r="DF13" i="12"/>
  <c r="DF13" i="12" a="1"/>
  <c r="DE13" i="12" a="1"/>
  <c r="DE13" i="12" s="1"/>
  <c r="DD13" i="12" a="1"/>
  <c r="DD13" i="12" s="1"/>
  <c r="DC13" i="12" a="1"/>
  <c r="DC13" i="12" s="1"/>
  <c r="DB13" i="12" a="1"/>
  <c r="DB13" i="12" s="1"/>
  <c r="DA13" i="12" a="1"/>
  <c r="DA13" i="12" s="1"/>
  <c r="CZ13" i="12"/>
  <c r="CZ13" i="12" a="1"/>
  <c r="CY13" i="12" a="1"/>
  <c r="CY13" i="12" s="1"/>
  <c r="CX13" i="12"/>
  <c r="CX13" i="12" a="1"/>
  <c r="CW13" i="12" a="1"/>
  <c r="CW13" i="12" s="1"/>
  <c r="CV13" i="12" a="1"/>
  <c r="CV13" i="12" s="1"/>
  <c r="CU13" i="12" a="1"/>
  <c r="CU13" i="12" s="1"/>
  <c r="CT13" i="12" a="1"/>
  <c r="CT13" i="12" s="1"/>
  <c r="CS13" i="12" a="1"/>
  <c r="CS13" i="12" s="1"/>
  <c r="CR13" i="12"/>
  <c r="CR13" i="12" a="1"/>
  <c r="CQ13" i="12" a="1"/>
  <c r="CQ13" i="12" s="1"/>
  <c r="CP13" i="12"/>
  <c r="CP13" i="12" a="1"/>
  <c r="CO13" i="12" a="1"/>
  <c r="CO13" i="12" s="1"/>
  <c r="CN13" i="12" a="1"/>
  <c r="CN13" i="12" s="1"/>
  <c r="CM13" i="12" a="1"/>
  <c r="CM13" i="12" s="1"/>
  <c r="CL13" i="12" a="1"/>
  <c r="CL13" i="12" s="1"/>
  <c r="CK13" i="12" a="1"/>
  <c r="CK13" i="12" s="1"/>
  <c r="CJ13" i="12"/>
  <c r="CJ13" i="12" a="1"/>
  <c r="CI13" i="12" a="1"/>
  <c r="CI13" i="12" s="1"/>
  <c r="CH13" i="12"/>
  <c r="CH13" i="12" a="1"/>
  <c r="CG13" i="12" a="1"/>
  <c r="CG13" i="12" s="1"/>
  <c r="CF13" i="12"/>
  <c r="CF13" i="12" a="1"/>
  <c r="CE13" i="12" a="1"/>
  <c r="CE13" i="12" s="1"/>
  <c r="CD13" i="12" a="1"/>
  <c r="CD13" i="12" s="1"/>
  <c r="CC13" i="12" a="1"/>
  <c r="CC13" i="12" s="1"/>
  <c r="CB13" i="12"/>
  <c r="CB13" i="12" a="1"/>
  <c r="CA13" i="12" a="1"/>
  <c r="CA13" i="12" s="1"/>
  <c r="BZ13" i="12"/>
  <c r="BZ13" i="12" a="1"/>
  <c r="BY13" i="12" a="1"/>
  <c r="BY13" i="12" s="1"/>
  <c r="BX13" i="12" a="1"/>
  <c r="BX13" i="12" s="1"/>
  <c r="BW13" i="12" a="1"/>
  <c r="BW13" i="12" s="1"/>
  <c r="BV13" i="12" a="1"/>
  <c r="BV13" i="12" s="1"/>
  <c r="BU13" i="12" a="1"/>
  <c r="BU13" i="12" s="1"/>
  <c r="BT13" i="12"/>
  <c r="BT13" i="12" a="1"/>
  <c r="BS13" i="12" a="1"/>
  <c r="BS13" i="12" s="1"/>
  <c r="BR13" i="12"/>
  <c r="BR13" i="12" a="1"/>
  <c r="BQ13" i="12" a="1"/>
  <c r="BQ13" i="12" s="1"/>
  <c r="BP13" i="12" a="1"/>
  <c r="BP13" i="12" s="1"/>
  <c r="BO13" i="12" a="1"/>
  <c r="BO13" i="12" s="1"/>
  <c r="BN13" i="12" a="1"/>
  <c r="BN13" i="12" s="1"/>
  <c r="BM13" i="12" a="1"/>
  <c r="BM13" i="12" s="1"/>
  <c r="BL13" i="12"/>
  <c r="BL13" i="12" a="1"/>
  <c r="BK13" i="12" a="1"/>
  <c r="BK13" i="12" s="1"/>
  <c r="BJ13" i="12"/>
  <c r="BJ13" i="12" a="1"/>
  <c r="BI13" i="12" a="1"/>
  <c r="BI13" i="12" s="1"/>
  <c r="BH13" i="12" a="1"/>
  <c r="BH13" i="12" s="1"/>
  <c r="BG13" i="12" a="1"/>
  <c r="BG13" i="12" s="1"/>
  <c r="BF13" i="12" a="1"/>
  <c r="BF13" i="12" s="1"/>
  <c r="BE13" i="12" a="1"/>
  <c r="BE13" i="12" s="1"/>
  <c r="BD13" i="12"/>
  <c r="BD13" i="12" a="1"/>
  <c r="BC13" i="12" a="1"/>
  <c r="BC13" i="12" s="1"/>
  <c r="BB13" i="12"/>
  <c r="BB13" i="12" a="1"/>
  <c r="BA13" i="12" a="1"/>
  <c r="BA13" i="12" s="1"/>
  <c r="AZ13" i="12"/>
  <c r="AZ13" i="12" a="1"/>
  <c r="AY13" i="12" a="1"/>
  <c r="AY13" i="12" s="1"/>
  <c r="AX13" i="12" a="1"/>
  <c r="AX13" i="12" s="1"/>
  <c r="AW13" i="12" a="1"/>
  <c r="AW13" i="12" s="1"/>
  <c r="AV13" i="12"/>
  <c r="AV13" i="12" a="1"/>
  <c r="AU13" i="12" a="1"/>
  <c r="AU13" i="12" s="1"/>
  <c r="AT13" i="12"/>
  <c r="AT13" i="12" a="1"/>
  <c r="AS13" i="12" a="1"/>
  <c r="AS13" i="12" s="1"/>
  <c r="AR13" i="12" a="1"/>
  <c r="AR13" i="12" s="1"/>
  <c r="AQ13" i="12" a="1"/>
  <c r="AQ13" i="12" s="1"/>
  <c r="AP13" i="12" a="1"/>
  <c r="AP13" i="12" s="1"/>
  <c r="AO13" i="12" a="1"/>
  <c r="AO13" i="12" s="1"/>
  <c r="AN13" i="12"/>
  <c r="AN13" i="12" a="1"/>
  <c r="AM13" i="12" a="1"/>
  <c r="AM13" i="12" s="1"/>
  <c r="AL13" i="12"/>
  <c r="AL13" i="12" a="1"/>
  <c r="AK13" i="12" a="1"/>
  <c r="AK13" i="12" s="1"/>
  <c r="AJ13" i="12" a="1"/>
  <c r="AJ13" i="12" s="1"/>
  <c r="AI13" i="12" a="1"/>
  <c r="AI13" i="12" s="1"/>
  <c r="AH13" i="12" a="1"/>
  <c r="AH13" i="12" s="1"/>
  <c r="AG13" i="12" a="1"/>
  <c r="AG13" i="12" s="1"/>
  <c r="AF13" i="12"/>
  <c r="AF13" i="12" a="1"/>
  <c r="AE13" i="12" a="1"/>
  <c r="AE13" i="12" s="1"/>
  <c r="AD13" i="12"/>
  <c r="AD13" i="12" a="1"/>
  <c r="AC13" i="12" a="1"/>
  <c r="AC13" i="12" s="1"/>
  <c r="AB13" i="12" a="1"/>
  <c r="AB13" i="12" s="1"/>
  <c r="AA13" i="12" a="1"/>
  <c r="AA13" i="12" s="1"/>
  <c r="Z13" i="12" a="1"/>
  <c r="Z13" i="12" s="1"/>
  <c r="Y13" i="12" a="1"/>
  <c r="Y13" i="12" s="1"/>
  <c r="X13" i="12"/>
  <c r="X13" i="12" a="1"/>
  <c r="W13" i="12" a="1"/>
  <c r="W13" i="12" s="1"/>
  <c r="V13" i="12"/>
  <c r="V13" i="12" a="1"/>
  <c r="U13" i="12" a="1"/>
  <c r="U13" i="12" s="1"/>
  <c r="T13" i="12"/>
  <c r="T13" i="12" a="1"/>
  <c r="S13" i="12" a="1"/>
  <c r="S13" i="12" s="1"/>
  <c r="R13" i="12" a="1"/>
  <c r="R13" i="12" s="1"/>
  <c r="Q13" i="12" a="1"/>
  <c r="Q13" i="12" s="1"/>
  <c r="P13" i="12"/>
  <c r="P13" i="12" a="1"/>
  <c r="O13" i="12" a="1"/>
  <c r="O13" i="12" s="1"/>
  <c r="N13" i="12"/>
  <c r="N13" i="12" a="1"/>
  <c r="M13" i="12" a="1"/>
  <c r="M13" i="12" s="1"/>
  <c r="L13" i="12" a="1"/>
  <c r="L13" i="12" s="1"/>
  <c r="K13" i="12" a="1"/>
  <c r="K13" i="12" s="1"/>
  <c r="J13" i="12" a="1"/>
  <c r="J13" i="12" s="1"/>
  <c r="I13" i="12" a="1"/>
  <c r="I13" i="12" s="1"/>
  <c r="H13" i="12"/>
  <c r="H13" i="12" a="1"/>
  <c r="G13" i="12" a="1"/>
  <c r="G13" i="12" s="1"/>
  <c r="F13" i="12"/>
  <c r="F13" i="12" a="1"/>
  <c r="E13" i="12" a="1"/>
  <c r="E13" i="12" s="1"/>
  <c r="D13" i="12" a="1"/>
  <c r="D13" i="12" s="1"/>
  <c r="C13" i="12" a="1"/>
  <c r="C13" i="12" s="1"/>
  <c r="EF12" i="12" a="1"/>
  <c r="EF12" i="12" s="1"/>
  <c r="EE12" i="12" a="1"/>
  <c r="EE12" i="12" s="1"/>
  <c r="ED12" i="12"/>
  <c r="ED12" i="12" a="1"/>
  <c r="EC12" i="12" a="1"/>
  <c r="EC12" i="12" s="1"/>
  <c r="EB12" i="12"/>
  <c r="EB12" i="12" a="1"/>
  <c r="EA12" i="12" a="1"/>
  <c r="EA12" i="12" s="1"/>
  <c r="DZ12" i="12" a="1"/>
  <c r="DZ12" i="12" s="1"/>
  <c r="DY12" i="12" a="1"/>
  <c r="DY12" i="12" s="1"/>
  <c r="DX12" i="12" a="1"/>
  <c r="DX12" i="12" s="1"/>
  <c r="DW12" i="12" a="1"/>
  <c r="DW12" i="12" s="1"/>
  <c r="DV12" i="12"/>
  <c r="DV12" i="12" a="1"/>
  <c r="DU12" i="12" a="1"/>
  <c r="DU12" i="12" s="1"/>
  <c r="DT12" i="12"/>
  <c r="DT12" i="12" a="1"/>
  <c r="DS12" i="12" a="1"/>
  <c r="DS12" i="12" s="1"/>
  <c r="DR12" i="12"/>
  <c r="DR12" i="12" a="1"/>
  <c r="DQ12" i="12" a="1"/>
  <c r="DQ12" i="12" s="1"/>
  <c r="DP12" i="12" a="1"/>
  <c r="DP12" i="12" s="1"/>
  <c r="DO12" i="12" a="1"/>
  <c r="DO12" i="12" s="1"/>
  <c r="DN12" i="12"/>
  <c r="DN12" i="12" a="1"/>
  <c r="DM12" i="12" a="1"/>
  <c r="DM12" i="12" s="1"/>
  <c r="DL12" i="12"/>
  <c r="DL12" i="12" a="1"/>
  <c r="DK12" i="12" a="1"/>
  <c r="DK12" i="12" s="1"/>
  <c r="DJ12" i="12" a="1"/>
  <c r="DJ12" i="12" s="1"/>
  <c r="DI12" i="12" a="1"/>
  <c r="DI12" i="12" s="1"/>
  <c r="DH12" i="12" a="1"/>
  <c r="DH12" i="12" s="1"/>
  <c r="DG12" i="12" a="1"/>
  <c r="DG12" i="12" s="1"/>
  <c r="DF12" i="12"/>
  <c r="DF12" i="12" a="1"/>
  <c r="DE12" i="12" a="1"/>
  <c r="DE12" i="12" s="1"/>
  <c r="DD12" i="12"/>
  <c r="DD12" i="12" a="1"/>
  <c r="DC12" i="12" a="1"/>
  <c r="DC12" i="12" s="1"/>
  <c r="DB12" i="12" a="1"/>
  <c r="DB12" i="12" s="1"/>
  <c r="DA12" i="12" a="1"/>
  <c r="DA12" i="12" s="1"/>
  <c r="CZ12" i="12" a="1"/>
  <c r="CZ12" i="12" s="1"/>
  <c r="CY12" i="12" a="1"/>
  <c r="CY12" i="12" s="1"/>
  <c r="CX12" i="12"/>
  <c r="CX12" i="12" a="1"/>
  <c r="CW12" i="12" a="1"/>
  <c r="CW12" i="12" s="1"/>
  <c r="CV12" i="12"/>
  <c r="CV12" i="12" a="1"/>
  <c r="CU12" i="12" a="1"/>
  <c r="CU12" i="12" s="1"/>
  <c r="CT12" i="12" a="1"/>
  <c r="CT12" i="12" s="1"/>
  <c r="CS12" i="12" a="1"/>
  <c r="CS12" i="12" s="1"/>
  <c r="CR12" i="12" a="1"/>
  <c r="CR12" i="12" s="1"/>
  <c r="CQ12" i="12" a="1"/>
  <c r="CQ12" i="12" s="1"/>
  <c r="CP12" i="12"/>
  <c r="CP12" i="12" a="1"/>
  <c r="CO12" i="12" a="1"/>
  <c r="CO12" i="12" s="1"/>
  <c r="CN12" i="12"/>
  <c r="CN12" i="12" a="1"/>
  <c r="CM12" i="12" a="1"/>
  <c r="CM12" i="12" s="1"/>
  <c r="CL12" i="12"/>
  <c r="CL12" i="12" a="1"/>
  <c r="CK12" i="12" a="1"/>
  <c r="CK12" i="12" s="1"/>
  <c r="CJ12" i="12" a="1"/>
  <c r="CJ12" i="12" s="1"/>
  <c r="CI12" i="12" a="1"/>
  <c r="CI12" i="12" s="1"/>
  <c r="CH12" i="12"/>
  <c r="CH12" i="12" a="1"/>
  <c r="CG12" i="12" a="1"/>
  <c r="CG12" i="12" s="1"/>
  <c r="CF12" i="12"/>
  <c r="CF12" i="12" a="1"/>
  <c r="CE12" i="12" a="1"/>
  <c r="CE12" i="12" s="1"/>
  <c r="CD12" i="12" a="1"/>
  <c r="CD12" i="12" s="1"/>
  <c r="CC12" i="12" a="1"/>
  <c r="CC12" i="12" s="1"/>
  <c r="CB12" i="12" a="1"/>
  <c r="CB12" i="12" s="1"/>
  <c r="CA12" i="12" a="1"/>
  <c r="CA12" i="12" s="1"/>
  <c r="BZ12" i="12"/>
  <c r="BZ12" i="12" a="1"/>
  <c r="BY12" i="12" a="1"/>
  <c r="BY12" i="12" s="1"/>
  <c r="BX12" i="12"/>
  <c r="BX12" i="12" a="1"/>
  <c r="BW12" i="12" a="1"/>
  <c r="BW12" i="12" s="1"/>
  <c r="BV12" i="12" a="1"/>
  <c r="BV12" i="12" s="1"/>
  <c r="BU12" i="12" a="1"/>
  <c r="BU12" i="12" s="1"/>
  <c r="BT12" i="12" a="1"/>
  <c r="BT12" i="12" s="1"/>
  <c r="BS12" i="12" a="1"/>
  <c r="BS12" i="12" s="1"/>
  <c r="BR12" i="12"/>
  <c r="BR12" i="12" a="1"/>
  <c r="BQ12" i="12" a="1"/>
  <c r="BQ12" i="12" s="1"/>
  <c r="BP12" i="12"/>
  <c r="BP12" i="12" a="1"/>
  <c r="BO12" i="12" a="1"/>
  <c r="BO12" i="12" s="1"/>
  <c r="BN12" i="12" a="1"/>
  <c r="BN12" i="12" s="1"/>
  <c r="BM12" i="12" a="1"/>
  <c r="BM12" i="12" s="1"/>
  <c r="BL12" i="12" a="1"/>
  <c r="BL12" i="12" s="1"/>
  <c r="BK12" i="12" a="1"/>
  <c r="BK12" i="12" s="1"/>
  <c r="BJ12" i="12"/>
  <c r="BJ12" i="12" a="1"/>
  <c r="BI12" i="12" a="1"/>
  <c r="BI12" i="12" s="1"/>
  <c r="BH12" i="12"/>
  <c r="BH12" i="12" a="1"/>
  <c r="BG12" i="12" a="1"/>
  <c r="BG12" i="12" s="1"/>
  <c r="BF12" i="12"/>
  <c r="BF12" i="12" a="1"/>
  <c r="BE12" i="12" a="1"/>
  <c r="BE12" i="12" s="1"/>
  <c r="BD12" i="12" a="1"/>
  <c r="BD12" i="12" s="1"/>
  <c r="BC12" i="12" a="1"/>
  <c r="BC12" i="12" s="1"/>
  <c r="BB12" i="12"/>
  <c r="BB12" i="12" a="1"/>
  <c r="BA12" i="12" a="1"/>
  <c r="BA12" i="12" s="1"/>
  <c r="AZ12" i="12"/>
  <c r="AZ12" i="12" a="1"/>
  <c r="AY12" i="12" a="1"/>
  <c r="AY12" i="12" s="1"/>
  <c r="AX12" i="12" a="1"/>
  <c r="AX12" i="12" s="1"/>
  <c r="AW12" i="12" a="1"/>
  <c r="AW12" i="12" s="1"/>
  <c r="AV12" i="12" a="1"/>
  <c r="AV12" i="12" s="1"/>
  <c r="AU12" i="12" a="1"/>
  <c r="AU12" i="12" s="1"/>
  <c r="AT12" i="12"/>
  <c r="AT12" i="12" a="1"/>
  <c r="AS12" i="12" a="1"/>
  <c r="AS12" i="12" s="1"/>
  <c r="AR12" i="12"/>
  <c r="AR12" i="12" a="1"/>
  <c r="AQ12" i="12" a="1"/>
  <c r="AQ12" i="12" s="1"/>
  <c r="AP12" i="12" a="1"/>
  <c r="AP12" i="12" s="1"/>
  <c r="AO12" i="12" a="1"/>
  <c r="AO12" i="12" s="1"/>
  <c r="AN12" i="12" a="1"/>
  <c r="AN12" i="12" s="1"/>
  <c r="AM12" i="12" a="1"/>
  <c r="AM12" i="12" s="1"/>
  <c r="AL12" i="12"/>
  <c r="AL12" i="12" a="1"/>
  <c r="AK12" i="12" a="1"/>
  <c r="AK12" i="12" s="1"/>
  <c r="AJ12" i="12"/>
  <c r="AJ12" i="12" a="1"/>
  <c r="AI12" i="12" a="1"/>
  <c r="AI12" i="12" s="1"/>
  <c r="AH12" i="12" a="1"/>
  <c r="AH12" i="12" s="1"/>
  <c r="AG12" i="12" a="1"/>
  <c r="AG12" i="12" s="1"/>
  <c r="AF12" i="12" a="1"/>
  <c r="AF12" i="12" s="1"/>
  <c r="AE12" i="12" a="1"/>
  <c r="AE12" i="12" s="1"/>
  <c r="AD12" i="12"/>
  <c r="AD12" i="12" a="1"/>
  <c r="AC12" i="12" a="1"/>
  <c r="AC12" i="12" s="1"/>
  <c r="AB12" i="12" a="1"/>
  <c r="AB12" i="12" s="1"/>
  <c r="AA12" i="12" a="1"/>
  <c r="AA12" i="12" s="1"/>
  <c r="Z12" i="12"/>
  <c r="Z12" i="12" a="1"/>
  <c r="Y12" i="12" a="1"/>
  <c r="Y12" i="12" s="1"/>
  <c r="X12" i="12" a="1"/>
  <c r="X12" i="12" s="1"/>
  <c r="W12" i="12" a="1"/>
  <c r="W12" i="12" s="1"/>
  <c r="V12" i="12"/>
  <c r="V12" i="12" a="1"/>
  <c r="U12" i="12" a="1"/>
  <c r="U12" i="12" s="1"/>
  <c r="T12" i="12"/>
  <c r="T12" i="12" a="1"/>
  <c r="S12" i="12" a="1"/>
  <c r="S12" i="12" s="1"/>
  <c r="R12" i="12" a="1"/>
  <c r="R12" i="12" s="1"/>
  <c r="Q12" i="12" a="1"/>
  <c r="Q12" i="12" s="1"/>
  <c r="P12" i="12" a="1"/>
  <c r="P12" i="12" s="1"/>
  <c r="O12" i="12" a="1"/>
  <c r="O12" i="12" s="1"/>
  <c r="N12" i="12"/>
  <c r="N12" i="12" a="1"/>
  <c r="M12" i="12" a="1"/>
  <c r="M12" i="12" s="1"/>
  <c r="L12" i="12" a="1"/>
  <c r="L12" i="12" s="1"/>
  <c r="K12" i="12" a="1"/>
  <c r="K12" i="12" s="1"/>
  <c r="J12" i="12" a="1"/>
  <c r="J12" i="12" s="1"/>
  <c r="I12" i="12" a="1"/>
  <c r="I12" i="12" s="1"/>
  <c r="H12" i="12" a="1"/>
  <c r="H12" i="12" s="1"/>
  <c r="G12" i="12" a="1"/>
  <c r="G12" i="12" s="1"/>
  <c r="F12" i="12"/>
  <c r="F12" i="12" a="1"/>
  <c r="E12" i="12" a="1"/>
  <c r="E12" i="12" s="1"/>
  <c r="D12" i="12" a="1"/>
  <c r="D12" i="12" s="1"/>
  <c r="C12" i="12" a="1"/>
  <c r="C12" i="12"/>
  <c r="AU8" i="12"/>
  <c r="BA7" i="12"/>
  <c r="DE6" i="12" a="1"/>
  <c r="DE6" i="12" s="1"/>
  <c r="DE8" i="12" s="1"/>
  <c r="BY6" i="12" a="1"/>
  <c r="BY6" i="12" s="1"/>
  <c r="BY8" i="12" s="1"/>
  <c r="EF5" i="12"/>
  <c r="EE5" i="12"/>
  <c r="ED5" i="12"/>
  <c r="EC5" i="12"/>
  <c r="EB5" i="12"/>
  <c r="EA5" i="12"/>
  <c r="DZ5" i="12"/>
  <c r="DY5" i="12"/>
  <c r="DX5" i="12"/>
  <c r="DW5" i="12"/>
  <c r="DV5" i="12"/>
  <c r="DU5" i="12"/>
  <c r="DT5" i="12"/>
  <c r="DS5" i="12"/>
  <c r="DR5" i="12"/>
  <c r="DQ5" i="12"/>
  <c r="DP5" i="12"/>
  <c r="DO5" i="12"/>
  <c r="DN5" i="12"/>
  <c r="DM5" i="12"/>
  <c r="DL5" i="12"/>
  <c r="DK5" i="12"/>
  <c r="DJ5" i="12"/>
  <c r="DI5" i="12"/>
  <c r="DH5" i="12"/>
  <c r="DG5" i="12"/>
  <c r="DF5" i="12"/>
  <c r="DE5" i="12"/>
  <c r="DD5" i="12"/>
  <c r="DC5" i="12"/>
  <c r="DB5" i="12"/>
  <c r="DA5" i="12"/>
  <c r="CZ5" i="12"/>
  <c r="CY5" i="12"/>
  <c r="CX5" i="12"/>
  <c r="CW5" i="12"/>
  <c r="CV5" i="12"/>
  <c r="CU5" i="12"/>
  <c r="CT5" i="12"/>
  <c r="CS5" i="12"/>
  <c r="CR5" i="12"/>
  <c r="CQ5" i="12"/>
  <c r="CP5" i="12"/>
  <c r="CO5" i="12"/>
  <c r="CN5" i="12"/>
  <c r="CM5" i="12"/>
  <c r="CL5" i="12"/>
  <c r="CK5" i="12"/>
  <c r="CJ5" i="12"/>
  <c r="CI5" i="12"/>
  <c r="CH5" i="12"/>
  <c r="CG5" i="12"/>
  <c r="CF5" i="12"/>
  <c r="CE5" i="12"/>
  <c r="CD5" i="12"/>
  <c r="CC5" i="12"/>
  <c r="CB5" i="12"/>
  <c r="CA5" i="12"/>
  <c r="BZ5" i="12"/>
  <c r="BY5" i="12"/>
  <c r="BX5" i="12"/>
  <c r="BW5" i="12"/>
  <c r="BV5" i="12"/>
  <c r="BU5" i="12"/>
  <c r="BT5" i="12"/>
  <c r="BS5" i="12"/>
  <c r="BR5" i="12"/>
  <c r="BQ5" i="12"/>
  <c r="BP5" i="12"/>
  <c r="BO5" i="12"/>
  <c r="BN5" i="12"/>
  <c r="BM5" i="12"/>
  <c r="BL5" i="12"/>
  <c r="BK5" i="12"/>
  <c r="BJ5" i="12"/>
  <c r="BI5" i="12"/>
  <c r="BH5" i="12"/>
  <c r="BG5" i="12"/>
  <c r="BF5" i="12"/>
  <c r="BE5" i="12"/>
  <c r="BD5" i="12"/>
  <c r="BC5" i="12"/>
  <c r="BB5" i="12"/>
  <c r="BA5" i="12"/>
  <c r="AZ5" i="12"/>
  <c r="AY5" i="12"/>
  <c r="AX5" i="12"/>
  <c r="AW5" i="12"/>
  <c r="AV5" i="12"/>
  <c r="AU5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EF4" i="12"/>
  <c r="EE4" i="12"/>
  <c r="ED4" i="12"/>
  <c r="ED6" i="12" s="1" a="1"/>
  <c r="ED6" i="12" s="1"/>
  <c r="EC4" i="12"/>
  <c r="EB4" i="12"/>
  <c r="EA4" i="12"/>
  <c r="EA6" i="12" s="1" a="1"/>
  <c r="EA6" i="12" s="1"/>
  <c r="DZ4" i="12"/>
  <c r="DY4" i="12"/>
  <c r="DX4" i="12"/>
  <c r="DW4" i="12"/>
  <c r="DV4" i="12"/>
  <c r="DV6" i="12" s="1" a="1"/>
  <c r="DV6" i="12" s="1"/>
  <c r="DU4" i="12"/>
  <c r="DT4" i="12"/>
  <c r="DS4" i="12"/>
  <c r="DS6" i="12" s="1" a="1"/>
  <c r="DS6" i="12" s="1"/>
  <c r="DR4" i="12"/>
  <c r="DQ4" i="12"/>
  <c r="DP4" i="12"/>
  <c r="DO4" i="12"/>
  <c r="DN4" i="12"/>
  <c r="DN6" i="12" s="1" a="1"/>
  <c r="DN6" i="12" s="1"/>
  <c r="DM4" i="12"/>
  <c r="DL4" i="12"/>
  <c r="DK4" i="12"/>
  <c r="DK6" i="12" s="1" a="1"/>
  <c r="DK6" i="12" s="1"/>
  <c r="DJ4" i="12"/>
  <c r="DI4" i="12"/>
  <c r="DH4" i="12"/>
  <c r="DG4" i="12"/>
  <c r="DF4" i="12"/>
  <c r="DF6" i="12" s="1" a="1"/>
  <c r="DF6" i="12" s="1"/>
  <c r="DE4" i="12"/>
  <c r="DD4" i="12"/>
  <c r="DC4" i="12"/>
  <c r="DC6" i="12" s="1" a="1"/>
  <c r="DC6" i="12" s="1"/>
  <c r="DB4" i="12"/>
  <c r="DA4" i="12"/>
  <c r="CZ4" i="12"/>
  <c r="CY4" i="12"/>
  <c r="CX4" i="12"/>
  <c r="CX6" i="12" s="1" a="1"/>
  <c r="CX6" i="12" s="1"/>
  <c r="CW4" i="12"/>
  <c r="CV4" i="12"/>
  <c r="CU4" i="12"/>
  <c r="CU6" i="12" s="1" a="1"/>
  <c r="CU6" i="12" s="1"/>
  <c r="CT4" i="12"/>
  <c r="CS4" i="12"/>
  <c r="CR4" i="12"/>
  <c r="CQ4" i="12"/>
  <c r="CP4" i="12"/>
  <c r="CP6" i="12" s="1" a="1"/>
  <c r="CP6" i="12" s="1"/>
  <c r="CO4" i="12"/>
  <c r="CN4" i="12"/>
  <c r="CM4" i="12"/>
  <c r="CM6" i="12" s="1" a="1"/>
  <c r="CM6" i="12" s="1"/>
  <c r="CL4" i="12"/>
  <c r="CK4" i="12"/>
  <c r="CJ4" i="12"/>
  <c r="CI4" i="12"/>
  <c r="CH4" i="12"/>
  <c r="CH6" i="12" s="1" a="1"/>
  <c r="CH6" i="12" s="1"/>
  <c r="CG4" i="12"/>
  <c r="CF4" i="12"/>
  <c r="CE4" i="12"/>
  <c r="CE6" i="12" s="1" a="1"/>
  <c r="CE6" i="12" s="1"/>
  <c r="CD4" i="12"/>
  <c r="CC4" i="12"/>
  <c r="CB4" i="12"/>
  <c r="CA4" i="12"/>
  <c r="BZ4" i="12"/>
  <c r="BZ6" i="12" s="1" a="1"/>
  <c r="BZ6" i="12" s="1"/>
  <c r="BY4" i="12"/>
  <c r="BX4" i="12"/>
  <c r="BW4" i="12"/>
  <c r="BW6" i="12" s="1" a="1"/>
  <c r="BW6" i="12" s="1"/>
  <c r="BV4" i="12"/>
  <c r="BU4" i="12"/>
  <c r="BT4" i="12"/>
  <c r="BS4" i="12"/>
  <c r="BR4" i="12"/>
  <c r="BR6" i="12" s="1" a="1"/>
  <c r="BR6" i="12" s="1"/>
  <c r="BQ4" i="12"/>
  <c r="BP4" i="12"/>
  <c r="BO4" i="12"/>
  <c r="BO6" i="12" s="1" a="1"/>
  <c r="BO6" i="12" s="1"/>
  <c r="BN4" i="12"/>
  <c r="BM4" i="12"/>
  <c r="BL4" i="12"/>
  <c r="BK4" i="12"/>
  <c r="BK6" i="12" s="1" a="1"/>
  <c r="BK6" i="12" s="1"/>
  <c r="BK7" i="12" s="1"/>
  <c r="BJ4" i="12"/>
  <c r="BI4" i="12"/>
  <c r="BH4" i="12"/>
  <c r="BG4" i="12"/>
  <c r="BG6" i="12" s="1" a="1"/>
  <c r="BG6" i="12" s="1"/>
  <c r="BF4" i="12"/>
  <c r="BE4" i="12"/>
  <c r="BD4" i="12"/>
  <c r="BC4" i="12"/>
  <c r="BC6" i="12" s="1" a="1"/>
  <c r="BC6" i="12" s="1"/>
  <c r="BC7" i="12" s="1"/>
  <c r="BB4" i="12"/>
  <c r="BA4" i="12"/>
  <c r="AZ4" i="12"/>
  <c r="AY4" i="12"/>
  <c r="AY6" i="12" s="1" a="1"/>
  <c r="AY6" i="12" s="1"/>
  <c r="AX4" i="12"/>
  <c r="AW4" i="12"/>
  <c r="AV4" i="12"/>
  <c r="AU4" i="12"/>
  <c r="AU6" i="12" s="1" a="1"/>
  <c r="AU6" i="12" s="1"/>
  <c r="AU7" i="12" s="1"/>
  <c r="AT4" i="12"/>
  <c r="AS4" i="12"/>
  <c r="AR4" i="12"/>
  <c r="AQ4" i="12"/>
  <c r="AQ6" i="12" s="1" a="1"/>
  <c r="AQ6" i="12" s="1"/>
  <c r="AP4" i="12"/>
  <c r="AP6" i="12" s="1" a="1"/>
  <c r="AP6" i="12" s="1"/>
  <c r="AO4" i="12"/>
  <c r="AN4" i="12"/>
  <c r="AM4" i="12"/>
  <c r="AM6" i="12" s="1" a="1"/>
  <c r="AM6" i="12" s="1"/>
  <c r="AM7" i="12" s="1"/>
  <c r="AL4" i="12"/>
  <c r="AL6" i="12" s="1" a="1"/>
  <c r="AL6" i="12" s="1"/>
  <c r="AK4" i="12"/>
  <c r="AJ4" i="12"/>
  <c r="AI4" i="12"/>
  <c r="AI6" i="12" s="1" a="1"/>
  <c r="AI6" i="12" s="1"/>
  <c r="AH4" i="12"/>
  <c r="AH6" i="12" s="1" a="1"/>
  <c r="AH6" i="12" s="1"/>
  <c r="AG4" i="12"/>
  <c r="AF4" i="12"/>
  <c r="AE4" i="12"/>
  <c r="AE6" i="12" s="1" a="1"/>
  <c r="AE6" i="12" s="1"/>
  <c r="AD4" i="12"/>
  <c r="AD6" i="12" s="1" a="1"/>
  <c r="AD6" i="12" s="1"/>
  <c r="AC4" i="12"/>
  <c r="AB4" i="12"/>
  <c r="AA4" i="12"/>
  <c r="AA6" i="12" s="1" a="1"/>
  <c r="AA6" i="12" s="1"/>
  <c r="Z4" i="12"/>
  <c r="Z6" i="12" s="1" a="1"/>
  <c r="Z6" i="12" s="1"/>
  <c r="Y4" i="12"/>
  <c r="X4" i="12"/>
  <c r="W4" i="12"/>
  <c r="W6" i="12" s="1" a="1"/>
  <c r="W6" i="12" s="1"/>
  <c r="V4" i="12"/>
  <c r="V6" i="12" s="1" a="1"/>
  <c r="V6" i="12" s="1"/>
  <c r="U4" i="12"/>
  <c r="T4" i="12"/>
  <c r="S4" i="12"/>
  <c r="S6" i="12" s="1" a="1"/>
  <c r="S6" i="12" s="1"/>
  <c r="R4" i="12"/>
  <c r="R6" i="12" s="1" a="1"/>
  <c r="R6" i="12" s="1"/>
  <c r="Q4" i="12"/>
  <c r="P4" i="12"/>
  <c r="O4" i="12"/>
  <c r="O6" i="12" s="1" a="1"/>
  <c r="O6" i="12" s="1"/>
  <c r="N4" i="12"/>
  <c r="N6" i="12" s="1" a="1"/>
  <c r="N6" i="12" s="1"/>
  <c r="M4" i="12"/>
  <c r="L4" i="12"/>
  <c r="K4" i="12"/>
  <c r="K6" i="12" s="1" a="1"/>
  <c r="K6" i="12" s="1"/>
  <c r="J4" i="12"/>
  <c r="J6" i="12" s="1" a="1"/>
  <c r="J6" i="12" s="1"/>
  <c r="I4" i="12"/>
  <c r="H4" i="12"/>
  <c r="G4" i="12"/>
  <c r="G6" i="12" s="1" a="1"/>
  <c r="G6" i="12" s="1"/>
  <c r="F4" i="12"/>
  <c r="F6" i="12" s="1" a="1"/>
  <c r="F6" i="12" s="1"/>
  <c r="E4" i="12"/>
  <c r="D4" i="12"/>
  <c r="C4" i="12"/>
  <c r="C6" i="12" s="1" a="1"/>
  <c r="C6" i="12" s="1"/>
  <c r="EF3" i="12"/>
  <c r="EF6" i="12" s="1" a="1"/>
  <c r="EF6" i="12" s="1"/>
  <c r="EE3" i="12"/>
  <c r="ED3" i="12"/>
  <c r="EC3" i="12"/>
  <c r="EC6" i="12" s="1" a="1"/>
  <c r="EC6" i="12" s="1"/>
  <c r="EC8" i="12" s="1"/>
  <c r="EB3" i="12"/>
  <c r="EB6" i="12" s="1" a="1"/>
  <c r="EB6" i="12" s="1"/>
  <c r="EA3" i="12"/>
  <c r="DZ3" i="12"/>
  <c r="DY3" i="12"/>
  <c r="DY6" i="12" s="1" a="1"/>
  <c r="DY6" i="12" s="1"/>
  <c r="DX3" i="12"/>
  <c r="DX6" i="12" s="1" a="1"/>
  <c r="DX6" i="12" s="1"/>
  <c r="DW3" i="12"/>
  <c r="DV3" i="12"/>
  <c r="DU3" i="12"/>
  <c r="DU6" i="12" s="1" a="1"/>
  <c r="DU6" i="12" s="1"/>
  <c r="DT3" i="12"/>
  <c r="DT6" i="12" s="1" a="1"/>
  <c r="DT6" i="12" s="1"/>
  <c r="DS3" i="12"/>
  <c r="DR3" i="12"/>
  <c r="DQ3" i="12"/>
  <c r="DQ6" i="12" s="1" a="1"/>
  <c r="DQ6" i="12" s="1"/>
  <c r="DP3" i="12"/>
  <c r="DP6" i="12" s="1" a="1"/>
  <c r="DP6" i="12" s="1"/>
  <c r="DO3" i="12"/>
  <c r="DN3" i="12"/>
  <c r="DM3" i="12"/>
  <c r="DM6" i="12" s="1" a="1"/>
  <c r="DM6" i="12" s="1"/>
  <c r="DL3" i="12"/>
  <c r="DL6" i="12" s="1" a="1"/>
  <c r="DL6" i="12" s="1"/>
  <c r="DK3" i="12"/>
  <c r="DJ3" i="12"/>
  <c r="DI3" i="12"/>
  <c r="DI6" i="12" s="1" a="1"/>
  <c r="DI6" i="12" s="1"/>
  <c r="DH3" i="12"/>
  <c r="DH6" i="12" s="1" a="1"/>
  <c r="DH6" i="12" s="1"/>
  <c r="DG3" i="12"/>
  <c r="DF3" i="12"/>
  <c r="DE3" i="12"/>
  <c r="DD3" i="12"/>
  <c r="DD6" i="12" s="1" a="1"/>
  <c r="DD6" i="12" s="1"/>
  <c r="DC3" i="12"/>
  <c r="DB3" i="12"/>
  <c r="DA3" i="12"/>
  <c r="DA6" i="12" s="1" a="1"/>
  <c r="DA6" i="12" s="1"/>
  <c r="CZ3" i="12"/>
  <c r="CZ6" i="12" s="1" a="1"/>
  <c r="CZ6" i="12" s="1"/>
  <c r="CY3" i="12"/>
  <c r="CX3" i="12"/>
  <c r="CW3" i="12"/>
  <c r="CW6" i="12" s="1" a="1"/>
  <c r="CW6" i="12" s="1"/>
  <c r="CV3" i="12"/>
  <c r="CV6" i="12" s="1" a="1"/>
  <c r="CV6" i="12" s="1"/>
  <c r="CU3" i="12"/>
  <c r="CT3" i="12"/>
  <c r="CS3" i="12"/>
  <c r="CS6" i="12" s="1" a="1"/>
  <c r="CS6" i="12" s="1"/>
  <c r="CR3" i="12"/>
  <c r="CR6" i="12" s="1" a="1"/>
  <c r="CR6" i="12" s="1"/>
  <c r="CQ3" i="12"/>
  <c r="CP3" i="12"/>
  <c r="CO3" i="12"/>
  <c r="CO6" i="12" s="1" a="1"/>
  <c r="CO6" i="12" s="1"/>
  <c r="CN3" i="12"/>
  <c r="CN6" i="12" s="1" a="1"/>
  <c r="CN6" i="12" s="1"/>
  <c r="CM3" i="12"/>
  <c r="CL3" i="12"/>
  <c r="CK3" i="12"/>
  <c r="CK6" i="12" s="1" a="1"/>
  <c r="CK6" i="12" s="1"/>
  <c r="CJ3" i="12"/>
  <c r="CJ6" i="12" s="1" a="1"/>
  <c r="CJ6" i="12" s="1"/>
  <c r="CI3" i="12"/>
  <c r="CH3" i="12"/>
  <c r="CG3" i="12"/>
  <c r="CG6" i="12" s="1" a="1"/>
  <c r="CG6" i="12" s="1"/>
  <c r="CF3" i="12"/>
  <c r="CF6" i="12" s="1" a="1"/>
  <c r="CF6" i="12" s="1"/>
  <c r="CE3" i="12"/>
  <c r="CD3" i="12"/>
  <c r="CC3" i="12"/>
  <c r="CC6" i="12" s="1" a="1"/>
  <c r="CC6" i="12" s="1"/>
  <c r="CB3" i="12"/>
  <c r="CB6" i="12" s="1" a="1"/>
  <c r="CB6" i="12" s="1"/>
  <c r="CA3" i="12"/>
  <c r="BZ3" i="12"/>
  <c r="BY3" i="12"/>
  <c r="BX3" i="12"/>
  <c r="BX6" i="12" s="1" a="1"/>
  <c r="BX6" i="12" s="1"/>
  <c r="BW3" i="12"/>
  <c r="BV3" i="12"/>
  <c r="BU3" i="12"/>
  <c r="BU6" i="12" s="1" a="1"/>
  <c r="BU6" i="12" s="1"/>
  <c r="BT3" i="12"/>
  <c r="BT6" i="12" s="1" a="1"/>
  <c r="BT6" i="12" s="1"/>
  <c r="BS3" i="12"/>
  <c r="BR3" i="12"/>
  <c r="BQ3" i="12"/>
  <c r="BQ6" i="12" s="1" a="1"/>
  <c r="BQ6" i="12" s="1"/>
  <c r="BP3" i="12"/>
  <c r="BP6" i="12" s="1" a="1"/>
  <c r="BP6" i="12" s="1"/>
  <c r="BO3" i="12"/>
  <c r="BN3" i="12"/>
  <c r="BM3" i="12"/>
  <c r="BM6" i="12" s="1" a="1"/>
  <c r="BM6" i="12" s="1"/>
  <c r="BL3" i="12"/>
  <c r="BL6" i="12" s="1" a="1"/>
  <c r="BL6" i="12" s="1"/>
  <c r="BK3" i="12"/>
  <c r="BJ3" i="12"/>
  <c r="BI3" i="12"/>
  <c r="BI6" i="12" s="1" a="1"/>
  <c r="BI6" i="12" s="1"/>
  <c r="BI8" i="12" s="1"/>
  <c r="BH3" i="12"/>
  <c r="BH6" i="12" s="1" a="1"/>
  <c r="BH6" i="12" s="1"/>
  <c r="BG3" i="12"/>
  <c r="BF3" i="12"/>
  <c r="BE3" i="12"/>
  <c r="BE6" i="12" s="1" a="1"/>
  <c r="BE6" i="12" s="1"/>
  <c r="BD3" i="12"/>
  <c r="BD6" i="12" s="1" a="1"/>
  <c r="BD6" i="12" s="1"/>
  <c r="BC3" i="12"/>
  <c r="BB3" i="12"/>
  <c r="BA3" i="12"/>
  <c r="BA6" i="12" s="1" a="1"/>
  <c r="BA6" i="12" s="1"/>
  <c r="BA8" i="12" s="1"/>
  <c r="AZ3" i="12"/>
  <c r="AZ6" i="12" s="1" a="1"/>
  <c r="AZ6" i="12" s="1"/>
  <c r="AY3" i="12"/>
  <c r="AX3" i="12"/>
  <c r="AW3" i="12"/>
  <c r="AW6" i="12" s="1" a="1"/>
  <c r="AW6" i="12" s="1"/>
  <c r="AV3" i="12"/>
  <c r="AV6" i="12" s="1" a="1"/>
  <c r="AV6" i="12" s="1"/>
  <c r="AU3" i="12"/>
  <c r="AT3" i="12"/>
  <c r="AS3" i="12"/>
  <c r="AS6" i="12" s="1" a="1"/>
  <c r="AS6" i="12" s="1"/>
  <c r="AS8" i="12" s="1"/>
  <c r="AR3" i="12"/>
  <c r="AR6" i="12" s="1" a="1"/>
  <c r="AR6" i="12" s="1"/>
  <c r="AQ3" i="12"/>
  <c r="AP3" i="12"/>
  <c r="AO3" i="12"/>
  <c r="AO6" i="12" s="1" a="1"/>
  <c r="AO6" i="12" s="1"/>
  <c r="AN3" i="12"/>
  <c r="AN6" i="12" s="1" a="1"/>
  <c r="AN6" i="12" s="1"/>
  <c r="AM3" i="12"/>
  <c r="AL3" i="12"/>
  <c r="AK3" i="12"/>
  <c r="AK6" i="12" s="1" a="1"/>
  <c r="AK6" i="12" s="1"/>
  <c r="AK8" i="12" s="1"/>
  <c r="AJ3" i="12"/>
  <c r="AJ6" i="12" s="1" a="1"/>
  <c r="AJ6" i="12" s="1"/>
  <c r="AI3" i="12"/>
  <c r="AH3" i="12"/>
  <c r="AG3" i="12"/>
  <c r="AG6" i="12" s="1" a="1"/>
  <c r="AG6" i="12" s="1"/>
  <c r="AF3" i="12"/>
  <c r="AF6" i="12" s="1" a="1"/>
  <c r="AF6" i="12" s="1"/>
  <c r="AE3" i="12"/>
  <c r="AD3" i="12"/>
  <c r="AC3" i="12"/>
  <c r="AC6" i="12" s="1" a="1"/>
  <c r="AC6" i="12" s="1"/>
  <c r="AB3" i="12"/>
  <c r="AB6" i="12" s="1" a="1"/>
  <c r="AB6" i="12" s="1"/>
  <c r="AA3" i="12"/>
  <c r="Z3" i="12"/>
  <c r="Y3" i="12"/>
  <c r="Y6" i="12" s="1" a="1"/>
  <c r="Y6" i="12" s="1"/>
  <c r="X3" i="12"/>
  <c r="X6" i="12" s="1" a="1"/>
  <c r="X6" i="12" s="1"/>
  <c r="W3" i="12"/>
  <c r="V3" i="12"/>
  <c r="U3" i="12"/>
  <c r="U6" i="12" s="1" a="1"/>
  <c r="U6" i="12" s="1"/>
  <c r="T3" i="12"/>
  <c r="T6" i="12" s="1" a="1"/>
  <c r="T6" i="12" s="1"/>
  <c r="S3" i="12"/>
  <c r="R3" i="12"/>
  <c r="Q3" i="12"/>
  <c r="Q6" i="12" s="1" a="1"/>
  <c r="Q6" i="12" s="1"/>
  <c r="P3" i="12"/>
  <c r="P6" i="12" s="1" a="1"/>
  <c r="P6" i="12" s="1"/>
  <c r="O3" i="12"/>
  <c r="N3" i="12"/>
  <c r="M3" i="12"/>
  <c r="M6" i="12" s="1" a="1"/>
  <c r="M6" i="12" s="1"/>
  <c r="L3" i="12"/>
  <c r="L6" i="12" s="1" a="1"/>
  <c r="L6" i="12" s="1"/>
  <c r="K3" i="12"/>
  <c r="J3" i="12"/>
  <c r="I3" i="12"/>
  <c r="I6" i="12" s="1" a="1"/>
  <c r="I6" i="12" s="1"/>
  <c r="H3" i="12"/>
  <c r="H6" i="12" s="1" a="1"/>
  <c r="H6" i="12" s="1"/>
  <c r="G3" i="12"/>
  <c r="F3" i="12"/>
  <c r="E3" i="12"/>
  <c r="E6" i="12" s="1" a="1"/>
  <c r="E6" i="12" s="1"/>
  <c r="D3" i="12"/>
  <c r="D6" i="12" s="1" a="1"/>
  <c r="D6" i="12" s="1"/>
  <c r="C3" i="12"/>
  <c r="A1" i="12"/>
  <c r="EF5" i="11"/>
  <c r="EE5" i="11"/>
  <c r="ED5" i="11"/>
  <c r="ED15" i="11" s="1"/>
  <c r="EC5" i="11"/>
  <c r="EC15" i="11" s="1"/>
  <c r="EB5" i="11"/>
  <c r="EA5" i="11"/>
  <c r="DZ5" i="11"/>
  <c r="DZ15" i="11" s="1"/>
  <c r="DY5" i="11"/>
  <c r="DX5" i="11"/>
  <c r="DW5" i="11"/>
  <c r="DV5" i="11"/>
  <c r="DV15" i="11" s="1"/>
  <c r="DU5" i="11"/>
  <c r="DT5" i="11"/>
  <c r="DS5" i="11"/>
  <c r="DR5" i="11"/>
  <c r="DR15" i="11" s="1"/>
  <c r="DQ5" i="11"/>
  <c r="DQ15" i="11" s="1"/>
  <c r="DP5" i="11"/>
  <c r="DO5" i="11"/>
  <c r="DN5" i="11"/>
  <c r="DN15" i="11" s="1"/>
  <c r="DM5" i="11"/>
  <c r="DM15" i="11" s="1"/>
  <c r="DL5" i="11"/>
  <c r="DK5" i="11"/>
  <c r="DJ5" i="11"/>
  <c r="DJ15" i="11" s="1"/>
  <c r="DI5" i="11"/>
  <c r="DH5" i="11"/>
  <c r="DG5" i="11"/>
  <c r="DF5" i="11"/>
  <c r="DF15" i="11" s="1"/>
  <c r="DE5" i="11"/>
  <c r="DD5" i="11"/>
  <c r="DC5" i="11"/>
  <c r="DB5" i="11"/>
  <c r="DB15" i="11" s="1"/>
  <c r="DA5" i="11"/>
  <c r="DA15" i="11" s="1"/>
  <c r="CZ5" i="11"/>
  <c r="CY5" i="11"/>
  <c r="CX5" i="11"/>
  <c r="CX15" i="11" s="1"/>
  <c r="CW5" i="11"/>
  <c r="CW15" i="11" s="1"/>
  <c r="CV5" i="11"/>
  <c r="CU5" i="11"/>
  <c r="CT5" i="11"/>
  <c r="CT15" i="11" s="1"/>
  <c r="CS5" i="11"/>
  <c r="CR5" i="11"/>
  <c r="CQ5" i="11"/>
  <c r="CP5" i="11"/>
  <c r="CP15" i="11" s="1"/>
  <c r="CO5" i="11"/>
  <c r="CN5" i="11"/>
  <c r="CM5" i="11"/>
  <c r="CL5" i="11"/>
  <c r="CL15" i="11" s="1"/>
  <c r="CK5" i="11"/>
  <c r="CK15" i="11" s="1"/>
  <c r="CJ5" i="11"/>
  <c r="CI5" i="11"/>
  <c r="CH5" i="11"/>
  <c r="CH15" i="11" s="1"/>
  <c r="CG5" i="11"/>
  <c r="CG15" i="11" s="1"/>
  <c r="CF5" i="11"/>
  <c r="CE5" i="11"/>
  <c r="CD5" i="11"/>
  <c r="CD15" i="11" s="1"/>
  <c r="CC5" i="11"/>
  <c r="CB5" i="11"/>
  <c r="CA5" i="11"/>
  <c r="BZ5" i="11"/>
  <c r="BZ15" i="11" s="1"/>
  <c r="BY5" i="11"/>
  <c r="BX5" i="11"/>
  <c r="BW5" i="11"/>
  <c r="BV5" i="11"/>
  <c r="BV15" i="11" s="1"/>
  <c r="BU5" i="11"/>
  <c r="BU15" i="11" s="1"/>
  <c r="BT5" i="11"/>
  <c r="BS5" i="11"/>
  <c r="BR5" i="11"/>
  <c r="BR15" i="11" s="1"/>
  <c r="BQ5" i="11"/>
  <c r="BQ15" i="11" s="1"/>
  <c r="BP5" i="11"/>
  <c r="BO5" i="11"/>
  <c r="BN5" i="11"/>
  <c r="BN15" i="11" s="1"/>
  <c r="BM5" i="11"/>
  <c r="BL5" i="11"/>
  <c r="BK5" i="11"/>
  <c r="BJ5" i="11"/>
  <c r="BJ15" i="11" s="1"/>
  <c r="BI5" i="11"/>
  <c r="BH5" i="11"/>
  <c r="BG5" i="11"/>
  <c r="BF5" i="11"/>
  <c r="BF15" i="11" s="1"/>
  <c r="BE5" i="11"/>
  <c r="BE15" i="11" s="1"/>
  <c r="BD5" i="11"/>
  <c r="BC5" i="11"/>
  <c r="BB5" i="11"/>
  <c r="BB15" i="11" s="1"/>
  <c r="BA5" i="11"/>
  <c r="BA15" i="11" s="1"/>
  <c r="AZ5" i="11"/>
  <c r="AY5" i="11"/>
  <c r="AX5" i="11"/>
  <c r="AX15" i="11" s="1"/>
  <c r="AW5" i="11"/>
  <c r="AV5" i="11"/>
  <c r="AU5" i="11"/>
  <c r="AT5" i="11"/>
  <c r="AT15" i="11" s="1"/>
  <c r="AS5" i="11"/>
  <c r="AR5" i="11"/>
  <c r="AQ5" i="11"/>
  <c r="AP5" i="11"/>
  <c r="AP15" i="11" s="1"/>
  <c r="AO5" i="11"/>
  <c r="AO15" i="11" s="1"/>
  <c r="AN5" i="11"/>
  <c r="AM5" i="11"/>
  <c r="AL5" i="11"/>
  <c r="AL15" i="11" s="1"/>
  <c r="AK5" i="11"/>
  <c r="AK15" i="11" s="1"/>
  <c r="AJ5" i="11"/>
  <c r="AI5" i="11"/>
  <c r="AH5" i="11"/>
  <c r="AH15" i="11" s="1"/>
  <c r="AG5" i="11"/>
  <c r="AF5" i="11"/>
  <c r="AE5" i="11"/>
  <c r="AD5" i="11"/>
  <c r="AD15" i="11" s="1"/>
  <c r="AC5" i="11"/>
  <c r="AB5" i="11"/>
  <c r="AA5" i="11"/>
  <c r="Z5" i="11"/>
  <c r="Z15" i="11" s="1"/>
  <c r="Y5" i="11"/>
  <c r="Y15" i="11" s="1"/>
  <c r="X5" i="11"/>
  <c r="W5" i="11"/>
  <c r="V5" i="11"/>
  <c r="V15" i="11" s="1"/>
  <c r="U5" i="11"/>
  <c r="U15" i="11" s="1"/>
  <c r="T5" i="11"/>
  <c r="S5" i="11"/>
  <c r="R5" i="11"/>
  <c r="R15" i="11" s="1"/>
  <c r="Q5" i="11"/>
  <c r="P5" i="11"/>
  <c r="O5" i="11"/>
  <c r="N5" i="11"/>
  <c r="N15" i="11" s="1"/>
  <c r="M5" i="11"/>
  <c r="L5" i="11"/>
  <c r="K5" i="11"/>
  <c r="J5" i="11"/>
  <c r="J15" i="11" s="1"/>
  <c r="I5" i="11"/>
  <c r="I15" i="11" s="1"/>
  <c r="H5" i="11"/>
  <c r="G5" i="11"/>
  <c r="F5" i="11"/>
  <c r="F15" i="11" s="1"/>
  <c r="E5" i="11"/>
  <c r="E15" i="11" s="1"/>
  <c r="D5" i="11"/>
  <c r="C5" i="11"/>
  <c r="EF4" i="11"/>
  <c r="EF14" i="11" s="1"/>
  <c r="EE4" i="11"/>
  <c r="ED4" i="11"/>
  <c r="EC4" i="11"/>
  <c r="EB4" i="11"/>
  <c r="EB14" i="11" s="1"/>
  <c r="EA4" i="11"/>
  <c r="DZ4" i="11"/>
  <c r="DY4" i="11"/>
  <c r="DX4" i="11"/>
  <c r="DX14" i="11" s="1"/>
  <c r="DW4" i="11"/>
  <c r="DW14" i="11" s="1"/>
  <c r="DV4" i="11"/>
  <c r="DU4" i="11"/>
  <c r="DT4" i="11"/>
  <c r="DT14" i="11" s="1"/>
  <c r="DS4" i="11"/>
  <c r="DS14" i="11" s="1"/>
  <c r="DR4" i="11"/>
  <c r="DQ4" i="11"/>
  <c r="DP4" i="11"/>
  <c r="DP14" i="11" s="1"/>
  <c r="DO4" i="11"/>
  <c r="DN4" i="11"/>
  <c r="DM4" i="11"/>
  <c r="DL4" i="11"/>
  <c r="DL14" i="11" s="1"/>
  <c r="DK4" i="11"/>
  <c r="DJ4" i="11"/>
  <c r="DI4" i="11"/>
  <c r="DH4" i="11"/>
  <c r="DH14" i="11" s="1"/>
  <c r="DG4" i="11"/>
  <c r="DG14" i="11" s="1"/>
  <c r="DF4" i="11"/>
  <c r="DE4" i="11"/>
  <c r="DD4" i="11"/>
  <c r="DD14" i="11" s="1"/>
  <c r="DC4" i="11"/>
  <c r="DC14" i="11" s="1"/>
  <c r="DB4" i="11"/>
  <c r="DA4" i="11"/>
  <c r="CZ4" i="11"/>
  <c r="CZ14" i="11" s="1"/>
  <c r="CY4" i="11"/>
  <c r="CX4" i="11"/>
  <c r="CW4" i="11"/>
  <c r="CV4" i="11"/>
  <c r="CV14" i="11" s="1"/>
  <c r="CU4" i="11"/>
  <c r="CT4" i="11"/>
  <c r="CS4" i="11"/>
  <c r="CR4" i="11"/>
  <c r="CR14" i="11" s="1"/>
  <c r="CQ4" i="11"/>
  <c r="CQ14" i="11" s="1"/>
  <c r="CP4" i="11"/>
  <c r="CO4" i="11"/>
  <c r="CN4" i="11"/>
  <c r="CN14" i="11" s="1"/>
  <c r="CM4" i="11"/>
  <c r="CM14" i="11" s="1"/>
  <c r="CL4" i="11"/>
  <c r="CK4" i="11"/>
  <c r="CJ4" i="11"/>
  <c r="CJ14" i="11" s="1"/>
  <c r="CI4" i="11"/>
  <c r="CH4" i="11"/>
  <c r="CG4" i="11"/>
  <c r="CF4" i="11"/>
  <c r="CF14" i="11" s="1"/>
  <c r="CE4" i="11"/>
  <c r="CD4" i="11"/>
  <c r="CC4" i="11"/>
  <c r="CB4" i="11"/>
  <c r="CB14" i="11" s="1"/>
  <c r="CA4" i="11"/>
  <c r="CA14" i="11" s="1"/>
  <c r="BZ4" i="11"/>
  <c r="BY4" i="11"/>
  <c r="BX4" i="11"/>
  <c r="BX14" i="11" s="1"/>
  <c r="BW4" i="11"/>
  <c r="BW14" i="11" s="1"/>
  <c r="BV4" i="11"/>
  <c r="BU4" i="11"/>
  <c r="BT4" i="11"/>
  <c r="BT14" i="11" s="1"/>
  <c r="BS4" i="11"/>
  <c r="BR4" i="11"/>
  <c r="BQ4" i="11"/>
  <c r="BP4" i="11"/>
  <c r="BP14" i="11" s="1"/>
  <c r="BO4" i="11"/>
  <c r="BN4" i="11"/>
  <c r="BM4" i="11"/>
  <c r="BL4" i="11"/>
  <c r="BL14" i="11" s="1"/>
  <c r="BK4" i="11"/>
  <c r="BK14" i="11" s="1"/>
  <c r="BJ4" i="11"/>
  <c r="BI4" i="11"/>
  <c r="BH4" i="11"/>
  <c r="BH14" i="11" s="1"/>
  <c r="BG4" i="11"/>
  <c r="BG14" i="11" s="1"/>
  <c r="BF4" i="11"/>
  <c r="BE4" i="11"/>
  <c r="BD4" i="11"/>
  <c r="BD14" i="11" s="1"/>
  <c r="BC4" i="11"/>
  <c r="BB4" i="11"/>
  <c r="BA4" i="11"/>
  <c r="AZ4" i="11"/>
  <c r="AZ14" i="11" s="1"/>
  <c r="AY4" i="11"/>
  <c r="AX4" i="11"/>
  <c r="AW4" i="11"/>
  <c r="AV4" i="11"/>
  <c r="AV14" i="11" s="1"/>
  <c r="AU4" i="11"/>
  <c r="AU14" i="11" s="1"/>
  <c r="AT4" i="11"/>
  <c r="AS4" i="11"/>
  <c r="AR4" i="11"/>
  <c r="AR14" i="11" s="1"/>
  <c r="AQ4" i="11"/>
  <c r="AQ14" i="11" s="1"/>
  <c r="AP4" i="11"/>
  <c r="AO4" i="11"/>
  <c r="AN4" i="11"/>
  <c r="AN14" i="11" s="1"/>
  <c r="AM4" i="11"/>
  <c r="AL4" i="11"/>
  <c r="AK4" i="11"/>
  <c r="AJ4" i="11"/>
  <c r="AJ14" i="11" s="1"/>
  <c r="AI4" i="11"/>
  <c r="AH4" i="11"/>
  <c r="AG4" i="11"/>
  <c r="AF4" i="11"/>
  <c r="AF14" i="11" s="1"/>
  <c r="AE4" i="11"/>
  <c r="AE14" i="11" s="1"/>
  <c r="AD4" i="11"/>
  <c r="AC4" i="11"/>
  <c r="AB4" i="11"/>
  <c r="AB14" i="11" s="1"/>
  <c r="AA4" i="11"/>
  <c r="AA14" i="11" s="1"/>
  <c r="Z4" i="11"/>
  <c r="Y4" i="11"/>
  <c r="X4" i="11"/>
  <c r="X14" i="11" s="1"/>
  <c r="W4" i="11"/>
  <c r="V4" i="11"/>
  <c r="U4" i="11"/>
  <c r="T4" i="11"/>
  <c r="T14" i="11" s="1"/>
  <c r="S4" i="11"/>
  <c r="R4" i="11"/>
  <c r="Q4" i="11"/>
  <c r="P4" i="11"/>
  <c r="P14" i="11" s="1"/>
  <c r="O4" i="11"/>
  <c r="O14" i="11" s="1"/>
  <c r="N4" i="11"/>
  <c r="M4" i="11"/>
  <c r="L4" i="11"/>
  <c r="L14" i="11" s="1"/>
  <c r="K4" i="11"/>
  <c r="K14" i="11" s="1"/>
  <c r="J4" i="11"/>
  <c r="I4" i="11"/>
  <c r="H4" i="11"/>
  <c r="H14" i="11" s="1"/>
  <c r="G4" i="11"/>
  <c r="F4" i="11"/>
  <c r="E4" i="11"/>
  <c r="D4" i="11"/>
  <c r="D14" i="11" s="1"/>
  <c r="C4" i="11"/>
  <c r="EF3" i="11"/>
  <c r="EE3" i="11"/>
  <c r="ED3" i="11"/>
  <c r="ED13" i="11" s="1"/>
  <c r="EC3" i="11"/>
  <c r="EC13" i="11" s="1"/>
  <c r="EB3" i="11"/>
  <c r="EA3" i="11"/>
  <c r="DZ3" i="11"/>
  <c r="DZ13" i="11" s="1"/>
  <c r="DY3" i="11"/>
  <c r="DY13" i="11" s="1"/>
  <c r="DX3" i="11"/>
  <c r="DW3" i="11"/>
  <c r="DV3" i="11"/>
  <c r="DV13" i="11" s="1"/>
  <c r="DU3" i="11"/>
  <c r="DT3" i="11"/>
  <c r="DS3" i="11"/>
  <c r="DR3" i="11"/>
  <c r="DR13" i="11" s="1"/>
  <c r="DQ3" i="11"/>
  <c r="DP3" i="11"/>
  <c r="DO3" i="11"/>
  <c r="DN3" i="11"/>
  <c r="DN13" i="11" s="1"/>
  <c r="DM3" i="11"/>
  <c r="DM13" i="11" s="1"/>
  <c r="DL3" i="11"/>
  <c r="DK3" i="11"/>
  <c r="DJ3" i="11"/>
  <c r="DJ13" i="11" s="1"/>
  <c r="DI3" i="11"/>
  <c r="DI13" i="11" s="1"/>
  <c r="DH3" i="11"/>
  <c r="DG3" i="11"/>
  <c r="DF3" i="11"/>
  <c r="DF13" i="11" s="1"/>
  <c r="DE3" i="11"/>
  <c r="DD3" i="11"/>
  <c r="DC3" i="11"/>
  <c r="DB3" i="11"/>
  <c r="DB13" i="11" s="1"/>
  <c r="DA3" i="11"/>
  <c r="CZ3" i="11"/>
  <c r="CY3" i="11"/>
  <c r="CX3" i="11"/>
  <c r="CX13" i="11" s="1"/>
  <c r="CW3" i="11"/>
  <c r="CW13" i="11" s="1"/>
  <c r="CV3" i="11"/>
  <c r="CU3" i="11"/>
  <c r="CT3" i="11"/>
  <c r="CT13" i="11" s="1"/>
  <c r="CS3" i="11"/>
  <c r="CS13" i="11" s="1"/>
  <c r="CR3" i="11"/>
  <c r="CQ3" i="11"/>
  <c r="CP3" i="11"/>
  <c r="CP13" i="11" s="1"/>
  <c r="CO3" i="11"/>
  <c r="CN3" i="11"/>
  <c r="CM3" i="11"/>
  <c r="CL3" i="11"/>
  <c r="CL13" i="11" s="1"/>
  <c r="CK3" i="11"/>
  <c r="CJ3" i="11"/>
  <c r="CI3" i="11"/>
  <c r="CH3" i="11"/>
  <c r="CH13" i="11" s="1"/>
  <c r="CG3" i="11"/>
  <c r="CG13" i="11" s="1"/>
  <c r="CF3" i="11"/>
  <c r="CE3" i="11"/>
  <c r="CD3" i="11"/>
  <c r="CD13" i="11" s="1"/>
  <c r="CC3" i="11"/>
  <c r="CC13" i="11" s="1"/>
  <c r="CB3" i="11"/>
  <c r="CA3" i="11"/>
  <c r="BZ3" i="11"/>
  <c r="BZ13" i="11" s="1"/>
  <c r="BY3" i="11"/>
  <c r="BX3" i="11"/>
  <c r="BW3" i="11"/>
  <c r="BV3" i="11"/>
  <c r="BV13" i="11" s="1"/>
  <c r="BU3" i="11"/>
  <c r="BT3" i="11"/>
  <c r="BS3" i="11"/>
  <c r="BR3" i="11"/>
  <c r="BR13" i="11" s="1"/>
  <c r="BQ3" i="11"/>
  <c r="BQ13" i="11" s="1"/>
  <c r="BP3" i="11"/>
  <c r="BO3" i="11"/>
  <c r="BN3" i="11"/>
  <c r="BN13" i="11" s="1"/>
  <c r="BM3" i="11"/>
  <c r="BM13" i="11" s="1"/>
  <c r="BL3" i="11"/>
  <c r="BK3" i="11"/>
  <c r="BJ3" i="11"/>
  <c r="BI3" i="11"/>
  <c r="BI13" i="11" s="1"/>
  <c r="BH3" i="11"/>
  <c r="BG3" i="11"/>
  <c r="BF3" i="11"/>
  <c r="BE3" i="11"/>
  <c r="BE13" i="11" s="1"/>
  <c r="BD3" i="11"/>
  <c r="BC3" i="11"/>
  <c r="BB3" i="11"/>
  <c r="BA3" i="11"/>
  <c r="BA13" i="11" s="1"/>
  <c r="AZ3" i="11"/>
  <c r="AY3" i="11"/>
  <c r="AX3" i="11"/>
  <c r="AW3" i="11"/>
  <c r="AW13" i="11" s="1"/>
  <c r="AV3" i="11"/>
  <c r="AU3" i="11"/>
  <c r="AT3" i="11"/>
  <c r="AS3" i="11"/>
  <c r="AS13" i="11" s="1"/>
  <c r="AR3" i="11"/>
  <c r="AQ3" i="11"/>
  <c r="AP3" i="11"/>
  <c r="AO3" i="11"/>
  <c r="AO13" i="11" s="1"/>
  <c r="AN3" i="11"/>
  <c r="AM3" i="11"/>
  <c r="AL3" i="11"/>
  <c r="AK3" i="11"/>
  <c r="AK13" i="11" s="1"/>
  <c r="AJ3" i="11"/>
  <c r="AI3" i="11"/>
  <c r="AH3" i="11"/>
  <c r="AG3" i="11"/>
  <c r="AG13" i="11" s="1"/>
  <c r="AF3" i="11"/>
  <c r="AE3" i="11"/>
  <c r="AD3" i="11"/>
  <c r="AC3" i="11"/>
  <c r="AC13" i="11" s="1"/>
  <c r="AB3" i="11"/>
  <c r="AA3" i="11"/>
  <c r="Z3" i="11"/>
  <c r="Y3" i="11"/>
  <c r="Y13" i="11" s="1"/>
  <c r="X3" i="11"/>
  <c r="W3" i="11"/>
  <c r="V3" i="11"/>
  <c r="U3" i="11"/>
  <c r="U13" i="11" s="1"/>
  <c r="T3" i="11"/>
  <c r="S3" i="11"/>
  <c r="R3" i="11"/>
  <c r="Q3" i="11"/>
  <c r="Q13" i="11" s="1"/>
  <c r="P3" i="11"/>
  <c r="O3" i="11"/>
  <c r="N3" i="11"/>
  <c r="M3" i="11"/>
  <c r="M13" i="11" s="1"/>
  <c r="L3" i="11"/>
  <c r="K3" i="11"/>
  <c r="J3" i="11"/>
  <c r="I3" i="11"/>
  <c r="I13" i="11" s="1"/>
  <c r="H3" i="11"/>
  <c r="G3" i="11"/>
  <c r="F3" i="11"/>
  <c r="E3" i="11"/>
  <c r="E13" i="11" s="1"/>
  <c r="D3" i="11"/>
  <c r="C3" i="11"/>
  <c r="A1" i="11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EF5" i="5"/>
  <c r="EE5" i="5"/>
  <c r="ED5" i="5"/>
  <c r="EC5" i="5"/>
  <c r="EB5" i="5"/>
  <c r="EA5" i="5"/>
  <c r="DZ5" i="5"/>
  <c r="DY5" i="5"/>
  <c r="DX5" i="5"/>
  <c r="DW5" i="5"/>
  <c r="DV5" i="5"/>
  <c r="DU5" i="5"/>
  <c r="DT5" i="5"/>
  <c r="DS5" i="5"/>
  <c r="DR5" i="5"/>
  <c r="DQ5" i="5"/>
  <c r="DP5" i="5"/>
  <c r="DO5" i="5"/>
  <c r="DN5" i="5"/>
  <c r="DM5" i="5"/>
  <c r="DL5" i="5"/>
  <c r="DK5" i="5"/>
  <c r="DJ5" i="5"/>
  <c r="DI5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K5" i="5"/>
  <c r="CJ5" i="5"/>
  <c r="CI5" i="5"/>
  <c r="CH5" i="5"/>
  <c r="CG5" i="5"/>
  <c r="CF5" i="5"/>
  <c r="CE5" i="5"/>
  <c r="CD5" i="5"/>
  <c r="CC5" i="5"/>
  <c r="CB5" i="5"/>
  <c r="CA5" i="5"/>
  <c r="BZ5" i="5"/>
  <c r="BY5" i="5"/>
  <c r="BX5" i="5"/>
  <c r="BW5" i="5"/>
  <c r="BV5" i="5"/>
  <c r="BU5" i="5"/>
  <c r="BT5" i="5"/>
  <c r="BS5" i="5"/>
  <c r="BR5" i="5"/>
  <c r="BQ5" i="5"/>
  <c r="BP5" i="5"/>
  <c r="BO5" i="5"/>
  <c r="BN5" i="5"/>
  <c r="BM5" i="5"/>
  <c r="BL5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EF4" i="5"/>
  <c r="EE4" i="5"/>
  <c r="ED4" i="5"/>
  <c r="EC4" i="5"/>
  <c r="EB4" i="5"/>
  <c r="EA4" i="5"/>
  <c r="DZ4" i="5"/>
  <c r="DY4" i="5"/>
  <c r="DX4" i="5"/>
  <c r="DW4" i="5"/>
  <c r="DV4" i="5"/>
  <c r="DU4" i="5"/>
  <c r="DT4" i="5"/>
  <c r="DS4" i="5"/>
  <c r="DR4" i="5"/>
  <c r="DQ4" i="5"/>
  <c r="DP4" i="5"/>
  <c r="DO4" i="5"/>
  <c r="DN4" i="5"/>
  <c r="DM4" i="5"/>
  <c r="DL4" i="5"/>
  <c r="DK4" i="5"/>
  <c r="DJ4" i="5"/>
  <c r="DI4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EF3" i="5"/>
  <c r="EE3" i="5"/>
  <c r="ED3" i="5"/>
  <c r="EC3" i="5"/>
  <c r="EB3" i="5"/>
  <c r="EA3" i="5"/>
  <c r="DZ3" i="5"/>
  <c r="DY3" i="5"/>
  <c r="DX3" i="5"/>
  <c r="DW3" i="5"/>
  <c r="DV3" i="5"/>
  <c r="DU3" i="5"/>
  <c r="DT3" i="5"/>
  <c r="DS3" i="5"/>
  <c r="DR3" i="5"/>
  <c r="DQ3" i="5"/>
  <c r="DP3" i="5"/>
  <c r="DO3" i="5"/>
  <c r="DN3" i="5"/>
  <c r="DM3" i="5"/>
  <c r="DL3" i="5"/>
  <c r="DK3" i="5"/>
  <c r="DJ3" i="5"/>
  <c r="DI3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K3" i="5"/>
  <c r="CJ3" i="5"/>
  <c r="CI3" i="5"/>
  <c r="CH3" i="5"/>
  <c r="CG3" i="5"/>
  <c r="CF3" i="5"/>
  <c r="CE3" i="5"/>
  <c r="CD3" i="5"/>
  <c r="CC3" i="5"/>
  <c r="CB3" i="5"/>
  <c r="CA3" i="5"/>
  <c r="BZ3" i="5"/>
  <c r="BY3" i="5"/>
  <c r="BX3" i="5"/>
  <c r="BW3" i="5"/>
  <c r="BV3" i="5"/>
  <c r="BU3" i="5"/>
  <c r="BT3" i="5"/>
  <c r="BS3" i="5"/>
  <c r="BR3" i="5"/>
  <c r="BQ3" i="5"/>
  <c r="BP3" i="5"/>
  <c r="BO3" i="5"/>
  <c r="BN3" i="5"/>
  <c r="BM3" i="5"/>
  <c r="BL3" i="5"/>
  <c r="BK3" i="5"/>
  <c r="BJ3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A1" i="5"/>
  <c r="EF5" i="7"/>
  <c r="EE5" i="7"/>
  <c r="ED5" i="7"/>
  <c r="EC5" i="7"/>
  <c r="EB5" i="7"/>
  <c r="EA5" i="7"/>
  <c r="DZ5" i="7"/>
  <c r="DY5" i="7"/>
  <c r="DX5" i="7"/>
  <c r="DW5" i="7"/>
  <c r="DV5" i="7"/>
  <c r="DU5" i="7"/>
  <c r="DT5" i="7"/>
  <c r="DS5" i="7"/>
  <c r="DR5" i="7"/>
  <c r="DQ5" i="7"/>
  <c r="DP5" i="7"/>
  <c r="DO5" i="7"/>
  <c r="DN5" i="7"/>
  <c r="DM5" i="7"/>
  <c r="DL5" i="7"/>
  <c r="DK5" i="7"/>
  <c r="DJ5" i="7"/>
  <c r="DI5" i="7"/>
  <c r="DH5" i="7"/>
  <c r="DG5" i="7"/>
  <c r="DF5" i="7"/>
  <c r="DE5" i="7"/>
  <c r="DD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EF4" i="7"/>
  <c r="EE4" i="7"/>
  <c r="ED4" i="7"/>
  <c r="EC4" i="7"/>
  <c r="EB4" i="7"/>
  <c r="EA4" i="7"/>
  <c r="DZ4" i="7"/>
  <c r="DY4" i="7"/>
  <c r="DX4" i="7"/>
  <c r="DW4" i="7"/>
  <c r="DV4" i="7"/>
  <c r="DU4" i="7"/>
  <c r="DT4" i="7"/>
  <c r="DS4" i="7"/>
  <c r="DR4" i="7"/>
  <c r="DQ4" i="7"/>
  <c r="DP4" i="7"/>
  <c r="DO4" i="7"/>
  <c r="DN4" i="7"/>
  <c r="DM4" i="7"/>
  <c r="DL4" i="7"/>
  <c r="DK4" i="7"/>
  <c r="DJ4" i="7"/>
  <c r="DI4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EF3" i="7"/>
  <c r="EE3" i="7"/>
  <c r="ED3" i="7"/>
  <c r="EC3" i="7"/>
  <c r="EB3" i="7"/>
  <c r="EA3" i="7"/>
  <c r="DZ3" i="7"/>
  <c r="DY3" i="7"/>
  <c r="DX3" i="7"/>
  <c r="DW3" i="7"/>
  <c r="DV3" i="7"/>
  <c r="DU3" i="7"/>
  <c r="DT3" i="7"/>
  <c r="DS3" i="7"/>
  <c r="DR3" i="7"/>
  <c r="DQ3" i="7"/>
  <c r="DP3" i="7"/>
  <c r="DO3" i="7"/>
  <c r="DN3" i="7"/>
  <c r="DM3" i="7"/>
  <c r="DL3" i="7"/>
  <c r="DK3" i="7"/>
  <c r="DJ3" i="7"/>
  <c r="DI3" i="7"/>
  <c r="DH3" i="7"/>
  <c r="DG3" i="7"/>
  <c r="DF3" i="7"/>
  <c r="DE3" i="7"/>
  <c r="DD3" i="7"/>
  <c r="DC3" i="7"/>
  <c r="DB3" i="7"/>
  <c r="DA3" i="7"/>
  <c r="CZ3" i="7"/>
  <c r="CY3" i="7"/>
  <c r="CX3" i="7"/>
  <c r="CW3" i="7"/>
  <c r="CV3" i="7"/>
  <c r="CU3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A1" i="7"/>
  <c r="EF24" i="9"/>
  <c r="EE24" i="9"/>
  <c r="ED24" i="9"/>
  <c r="EC24" i="9"/>
  <c r="EB24" i="9"/>
  <c r="EA24" i="9"/>
  <c r="DZ24" i="9"/>
  <c r="DY24" i="9"/>
  <c r="DX24" i="9"/>
  <c r="DW24" i="9"/>
  <c r="DV24" i="9"/>
  <c r="DU24" i="9"/>
  <c r="DT24" i="9"/>
  <c r="DS24" i="9"/>
  <c r="DR24" i="9"/>
  <c r="DQ24" i="9"/>
  <c r="DP24" i="9"/>
  <c r="DO24" i="9"/>
  <c r="DN24" i="9"/>
  <c r="DM24" i="9"/>
  <c r="DL24" i="9"/>
  <c r="DK24" i="9"/>
  <c r="DJ24" i="9"/>
  <c r="DI24" i="9"/>
  <c r="DH24" i="9"/>
  <c r="DG24" i="9"/>
  <c r="DF24" i="9"/>
  <c r="DE24" i="9"/>
  <c r="DD24" i="9"/>
  <c r="DC24" i="9"/>
  <c r="DB24" i="9"/>
  <c r="DA24" i="9"/>
  <c r="CZ24" i="9"/>
  <c r="CY24" i="9"/>
  <c r="CX24" i="9"/>
  <c r="CW24" i="9"/>
  <c r="CV24" i="9"/>
  <c r="CU24" i="9"/>
  <c r="CT24" i="9"/>
  <c r="CS24" i="9"/>
  <c r="CR24" i="9"/>
  <c r="CQ24" i="9"/>
  <c r="CP24" i="9"/>
  <c r="CO24" i="9"/>
  <c r="CN24" i="9"/>
  <c r="CM24" i="9"/>
  <c r="CL24" i="9"/>
  <c r="CK24" i="9"/>
  <c r="CJ24" i="9"/>
  <c r="CI24" i="9"/>
  <c r="CH24" i="9"/>
  <c r="CG24" i="9"/>
  <c r="CF24" i="9"/>
  <c r="CE24" i="9"/>
  <c r="CD24" i="9"/>
  <c r="CC24" i="9"/>
  <c r="CB24" i="9"/>
  <c r="CA24" i="9"/>
  <c r="BZ24" i="9"/>
  <c r="BY24" i="9"/>
  <c r="BX24" i="9"/>
  <c r="BW24" i="9"/>
  <c r="BV24" i="9"/>
  <c r="BU24" i="9"/>
  <c r="BT24" i="9"/>
  <c r="BS24" i="9"/>
  <c r="BR24" i="9"/>
  <c r="BQ24" i="9"/>
  <c r="BP24" i="9"/>
  <c r="BO24" i="9"/>
  <c r="BN24" i="9"/>
  <c r="BM24" i="9"/>
  <c r="BL24" i="9"/>
  <c r="BK24" i="9"/>
  <c r="BJ24" i="9"/>
  <c r="BI24" i="9"/>
  <c r="BH24" i="9"/>
  <c r="BG24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EF23" i="9"/>
  <c r="EE23" i="9"/>
  <c r="ED23" i="9"/>
  <c r="EC23" i="9"/>
  <c r="EB23" i="9"/>
  <c r="EA23" i="9"/>
  <c r="DZ23" i="9"/>
  <c r="DY23" i="9"/>
  <c r="DX23" i="9"/>
  <c r="DW23" i="9"/>
  <c r="DV23" i="9"/>
  <c r="DU23" i="9"/>
  <c r="DT23" i="9"/>
  <c r="DS23" i="9"/>
  <c r="DR23" i="9"/>
  <c r="DQ23" i="9"/>
  <c r="DP23" i="9"/>
  <c r="DO23" i="9"/>
  <c r="DN23" i="9"/>
  <c r="DM23" i="9"/>
  <c r="DL23" i="9"/>
  <c r="DK23" i="9"/>
  <c r="DJ23" i="9"/>
  <c r="DI23" i="9"/>
  <c r="DH23" i="9"/>
  <c r="DG23" i="9"/>
  <c r="DF23" i="9"/>
  <c r="DE23" i="9"/>
  <c r="DD23" i="9"/>
  <c r="DC23" i="9"/>
  <c r="DB23" i="9"/>
  <c r="DA23" i="9"/>
  <c r="CZ23" i="9"/>
  <c r="CY23" i="9"/>
  <c r="CX23" i="9"/>
  <c r="CW23" i="9"/>
  <c r="CV23" i="9"/>
  <c r="CU23" i="9"/>
  <c r="CT23" i="9"/>
  <c r="CS23" i="9"/>
  <c r="CR23" i="9"/>
  <c r="CQ23" i="9"/>
  <c r="CP23" i="9"/>
  <c r="CO23" i="9"/>
  <c r="CN23" i="9"/>
  <c r="CM23" i="9"/>
  <c r="CL23" i="9"/>
  <c r="CK23" i="9"/>
  <c r="CJ23" i="9"/>
  <c r="CI23" i="9"/>
  <c r="CH23" i="9"/>
  <c r="CG23" i="9"/>
  <c r="CF23" i="9"/>
  <c r="CE23" i="9"/>
  <c r="CD23" i="9"/>
  <c r="CC23" i="9"/>
  <c r="CB23" i="9"/>
  <c r="CA23" i="9"/>
  <c r="BZ23" i="9"/>
  <c r="BY23" i="9"/>
  <c r="BX23" i="9"/>
  <c r="BW23" i="9"/>
  <c r="BV23" i="9"/>
  <c r="BU23" i="9"/>
  <c r="BT23" i="9"/>
  <c r="BS23" i="9"/>
  <c r="BR23" i="9"/>
  <c r="BQ23" i="9"/>
  <c r="BP23" i="9"/>
  <c r="BO23" i="9"/>
  <c r="BN23" i="9"/>
  <c r="BM23" i="9"/>
  <c r="BL23" i="9"/>
  <c r="BK23" i="9"/>
  <c r="BJ23" i="9"/>
  <c r="BI23" i="9"/>
  <c r="BH23" i="9"/>
  <c r="BG23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EF22" i="9"/>
  <c r="EE22" i="9"/>
  <c r="ED22" i="9"/>
  <c r="EC22" i="9"/>
  <c r="EB22" i="9"/>
  <c r="EA22" i="9"/>
  <c r="DZ22" i="9"/>
  <c r="DY22" i="9"/>
  <c r="DX22" i="9"/>
  <c r="DW22" i="9"/>
  <c r="DV22" i="9"/>
  <c r="DU22" i="9"/>
  <c r="DT22" i="9"/>
  <c r="DS22" i="9"/>
  <c r="DR22" i="9"/>
  <c r="DQ22" i="9"/>
  <c r="DP22" i="9"/>
  <c r="DO22" i="9"/>
  <c r="DN22" i="9"/>
  <c r="DM22" i="9"/>
  <c r="DL22" i="9"/>
  <c r="DK22" i="9"/>
  <c r="DJ22" i="9"/>
  <c r="DI22" i="9"/>
  <c r="DH22" i="9"/>
  <c r="DG22" i="9"/>
  <c r="DF22" i="9"/>
  <c r="DE22" i="9"/>
  <c r="DD22" i="9"/>
  <c r="DC22" i="9"/>
  <c r="DB22" i="9"/>
  <c r="DA22" i="9"/>
  <c r="CZ22" i="9"/>
  <c r="CY22" i="9"/>
  <c r="CX22" i="9"/>
  <c r="CW22" i="9"/>
  <c r="CV22" i="9"/>
  <c r="CU22" i="9"/>
  <c r="CT22" i="9"/>
  <c r="CS22" i="9"/>
  <c r="CR22" i="9"/>
  <c r="CQ22" i="9"/>
  <c r="CP22" i="9"/>
  <c r="CO22" i="9"/>
  <c r="CN22" i="9"/>
  <c r="CM22" i="9"/>
  <c r="CL22" i="9"/>
  <c r="CK22" i="9"/>
  <c r="CJ22" i="9"/>
  <c r="CI22" i="9"/>
  <c r="CH22" i="9"/>
  <c r="CG22" i="9"/>
  <c r="CF22" i="9"/>
  <c r="CE22" i="9"/>
  <c r="CD22" i="9"/>
  <c r="CC22" i="9"/>
  <c r="CB22" i="9"/>
  <c r="CA22" i="9"/>
  <c r="BZ22" i="9"/>
  <c r="BY22" i="9"/>
  <c r="BX22" i="9"/>
  <c r="BW22" i="9"/>
  <c r="BV22" i="9"/>
  <c r="BU22" i="9"/>
  <c r="BT22" i="9"/>
  <c r="BS22" i="9"/>
  <c r="BR22" i="9"/>
  <c r="BQ22" i="9"/>
  <c r="BP22" i="9"/>
  <c r="BO22" i="9"/>
  <c r="BN22" i="9"/>
  <c r="BM22" i="9"/>
  <c r="BL22" i="9"/>
  <c r="BK22" i="9"/>
  <c r="BJ22" i="9"/>
  <c r="BI22" i="9"/>
  <c r="BH22" i="9"/>
  <c r="BG22" i="9"/>
  <c r="BF22" i="9"/>
  <c r="BE22" i="9"/>
  <c r="BD22" i="9"/>
  <c r="BC22" i="9"/>
  <c r="BB22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EF21" i="9"/>
  <c r="EE21" i="9"/>
  <c r="ED21" i="9"/>
  <c r="EC21" i="9"/>
  <c r="EB21" i="9"/>
  <c r="EA21" i="9"/>
  <c r="DZ21" i="9"/>
  <c r="DY21" i="9"/>
  <c r="DX21" i="9"/>
  <c r="DW21" i="9"/>
  <c r="DV21" i="9"/>
  <c r="DU21" i="9"/>
  <c r="DT21" i="9"/>
  <c r="DS21" i="9"/>
  <c r="DR21" i="9"/>
  <c r="DQ21" i="9"/>
  <c r="DP21" i="9"/>
  <c r="DO21" i="9"/>
  <c r="DN21" i="9"/>
  <c r="DM21" i="9"/>
  <c r="DL21" i="9"/>
  <c r="DK21" i="9"/>
  <c r="DJ21" i="9"/>
  <c r="DI21" i="9"/>
  <c r="DH21" i="9"/>
  <c r="DG21" i="9"/>
  <c r="DF21" i="9"/>
  <c r="DE21" i="9"/>
  <c r="DD21" i="9"/>
  <c r="DC21" i="9"/>
  <c r="DB21" i="9"/>
  <c r="DA21" i="9"/>
  <c r="CZ21" i="9"/>
  <c r="CY21" i="9"/>
  <c r="CX21" i="9"/>
  <c r="CW21" i="9"/>
  <c r="CV21" i="9"/>
  <c r="CU21" i="9"/>
  <c r="CT21" i="9"/>
  <c r="CS21" i="9"/>
  <c r="CR21" i="9"/>
  <c r="CQ21" i="9"/>
  <c r="CP21" i="9"/>
  <c r="CO21" i="9"/>
  <c r="CN21" i="9"/>
  <c r="CM21" i="9"/>
  <c r="CL21" i="9"/>
  <c r="CK21" i="9"/>
  <c r="CJ21" i="9"/>
  <c r="CI21" i="9"/>
  <c r="CH21" i="9"/>
  <c r="CG21" i="9"/>
  <c r="CF21" i="9"/>
  <c r="CE21" i="9"/>
  <c r="CD21" i="9"/>
  <c r="CC21" i="9"/>
  <c r="CB21" i="9"/>
  <c r="CA21" i="9"/>
  <c r="BZ21" i="9"/>
  <c r="BY21" i="9"/>
  <c r="BX21" i="9"/>
  <c r="BW21" i="9"/>
  <c r="BV21" i="9"/>
  <c r="BU21" i="9"/>
  <c r="BT21" i="9"/>
  <c r="BS21" i="9"/>
  <c r="BR21" i="9"/>
  <c r="BQ21" i="9"/>
  <c r="BP21" i="9"/>
  <c r="BO21" i="9"/>
  <c r="BN21" i="9"/>
  <c r="BM21" i="9"/>
  <c r="BL21" i="9"/>
  <c r="BK21" i="9"/>
  <c r="BJ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EF20" i="9"/>
  <c r="EE20" i="9"/>
  <c r="ED20" i="9"/>
  <c r="EC20" i="9"/>
  <c r="EB20" i="9"/>
  <c r="EA20" i="9"/>
  <c r="DZ20" i="9"/>
  <c r="DY20" i="9"/>
  <c r="DX20" i="9"/>
  <c r="DW20" i="9"/>
  <c r="DV20" i="9"/>
  <c r="DU20" i="9"/>
  <c r="DT20" i="9"/>
  <c r="DS20" i="9"/>
  <c r="DR20" i="9"/>
  <c r="DQ20" i="9"/>
  <c r="DP20" i="9"/>
  <c r="DO20" i="9"/>
  <c r="DN20" i="9"/>
  <c r="DM20" i="9"/>
  <c r="DL20" i="9"/>
  <c r="DK20" i="9"/>
  <c r="DJ20" i="9"/>
  <c r="DI20" i="9"/>
  <c r="DH20" i="9"/>
  <c r="DG20" i="9"/>
  <c r="DF20" i="9"/>
  <c r="DE20" i="9"/>
  <c r="DD20" i="9"/>
  <c r="DC20" i="9"/>
  <c r="DB20" i="9"/>
  <c r="DA20" i="9"/>
  <c r="CZ20" i="9"/>
  <c r="CY20" i="9"/>
  <c r="CX20" i="9"/>
  <c r="CW20" i="9"/>
  <c r="CV20" i="9"/>
  <c r="CU20" i="9"/>
  <c r="CT20" i="9"/>
  <c r="CS20" i="9"/>
  <c r="CR20" i="9"/>
  <c r="CQ20" i="9"/>
  <c r="CP20" i="9"/>
  <c r="CO20" i="9"/>
  <c r="CN20" i="9"/>
  <c r="CM20" i="9"/>
  <c r="CL20" i="9"/>
  <c r="CK20" i="9"/>
  <c r="CJ20" i="9"/>
  <c r="CI20" i="9"/>
  <c r="CH20" i="9"/>
  <c r="CG20" i="9"/>
  <c r="CF20" i="9"/>
  <c r="CE20" i="9"/>
  <c r="CD20" i="9"/>
  <c r="CC20" i="9"/>
  <c r="CB20" i="9"/>
  <c r="CA20" i="9"/>
  <c r="BZ20" i="9"/>
  <c r="BY20" i="9"/>
  <c r="BX20" i="9"/>
  <c r="BW20" i="9"/>
  <c r="BV20" i="9"/>
  <c r="BU20" i="9"/>
  <c r="BT20" i="9"/>
  <c r="BS20" i="9"/>
  <c r="BR20" i="9"/>
  <c r="BQ20" i="9"/>
  <c r="BP20" i="9"/>
  <c r="BO20" i="9"/>
  <c r="BN20" i="9"/>
  <c r="BM20" i="9"/>
  <c r="BL20" i="9"/>
  <c r="BK20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EF19" i="9"/>
  <c r="EE19" i="9"/>
  <c r="ED19" i="9"/>
  <c r="EC19" i="9"/>
  <c r="EB19" i="9"/>
  <c r="EA19" i="9"/>
  <c r="DZ19" i="9"/>
  <c r="DY19" i="9"/>
  <c r="DX19" i="9"/>
  <c r="DW19" i="9"/>
  <c r="DV19" i="9"/>
  <c r="DU19" i="9"/>
  <c r="DT19" i="9"/>
  <c r="DS19" i="9"/>
  <c r="DR19" i="9"/>
  <c r="DQ19" i="9"/>
  <c r="DP19" i="9"/>
  <c r="DO19" i="9"/>
  <c r="DN19" i="9"/>
  <c r="DM19" i="9"/>
  <c r="DL19" i="9"/>
  <c r="DK19" i="9"/>
  <c r="DJ19" i="9"/>
  <c r="DI19" i="9"/>
  <c r="DH19" i="9"/>
  <c r="DG19" i="9"/>
  <c r="DF19" i="9"/>
  <c r="DE19" i="9"/>
  <c r="DD19" i="9"/>
  <c r="DC19" i="9"/>
  <c r="DB19" i="9"/>
  <c r="DA19" i="9"/>
  <c r="CZ19" i="9"/>
  <c r="CY19" i="9"/>
  <c r="CX19" i="9"/>
  <c r="CW19" i="9"/>
  <c r="CV19" i="9"/>
  <c r="CU19" i="9"/>
  <c r="CT19" i="9"/>
  <c r="CS19" i="9"/>
  <c r="CR19" i="9"/>
  <c r="CQ19" i="9"/>
  <c r="CP19" i="9"/>
  <c r="CO19" i="9"/>
  <c r="CN19" i="9"/>
  <c r="CM19" i="9"/>
  <c r="CL19" i="9"/>
  <c r="CK19" i="9"/>
  <c r="CJ19" i="9"/>
  <c r="CI19" i="9"/>
  <c r="CH19" i="9"/>
  <c r="CG19" i="9"/>
  <c r="CF19" i="9"/>
  <c r="CE19" i="9"/>
  <c r="CD19" i="9"/>
  <c r="CC19" i="9"/>
  <c r="CB19" i="9"/>
  <c r="CA19" i="9"/>
  <c r="BZ19" i="9"/>
  <c r="BY19" i="9"/>
  <c r="BX19" i="9"/>
  <c r="BW19" i="9"/>
  <c r="BV19" i="9"/>
  <c r="BU19" i="9"/>
  <c r="BT19" i="9"/>
  <c r="BS19" i="9"/>
  <c r="BR19" i="9"/>
  <c r="BQ19" i="9"/>
  <c r="BP19" i="9"/>
  <c r="BO19" i="9"/>
  <c r="BN19" i="9"/>
  <c r="BM19" i="9"/>
  <c r="BL19" i="9"/>
  <c r="BK19" i="9"/>
  <c r="BJ19" i="9"/>
  <c r="BI19" i="9"/>
  <c r="BH19" i="9"/>
  <c r="BG19" i="9"/>
  <c r="BF19" i="9"/>
  <c r="BE19" i="9"/>
  <c r="BD19" i="9"/>
  <c r="BC19" i="9"/>
  <c r="BB19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EF18" i="9"/>
  <c r="EE18" i="9"/>
  <c r="ED18" i="9"/>
  <c r="EC18" i="9"/>
  <c r="EB18" i="9"/>
  <c r="EA18" i="9"/>
  <c r="DZ18" i="9"/>
  <c r="DY18" i="9"/>
  <c r="DX18" i="9"/>
  <c r="DW18" i="9"/>
  <c r="DV18" i="9"/>
  <c r="DU18" i="9"/>
  <c r="DT18" i="9"/>
  <c r="DS18" i="9"/>
  <c r="DR18" i="9"/>
  <c r="DQ18" i="9"/>
  <c r="DP18" i="9"/>
  <c r="DO18" i="9"/>
  <c r="DN18" i="9"/>
  <c r="DM18" i="9"/>
  <c r="DL18" i="9"/>
  <c r="DK18" i="9"/>
  <c r="DJ18" i="9"/>
  <c r="DI18" i="9"/>
  <c r="DH18" i="9"/>
  <c r="DG18" i="9"/>
  <c r="DF18" i="9"/>
  <c r="DE18" i="9"/>
  <c r="DD18" i="9"/>
  <c r="DC18" i="9"/>
  <c r="DB18" i="9"/>
  <c r="DA18" i="9"/>
  <c r="CZ18" i="9"/>
  <c r="CY18" i="9"/>
  <c r="CX18" i="9"/>
  <c r="CW18" i="9"/>
  <c r="CV18" i="9"/>
  <c r="CU18" i="9"/>
  <c r="CT18" i="9"/>
  <c r="CS18" i="9"/>
  <c r="CR18" i="9"/>
  <c r="CQ18" i="9"/>
  <c r="CP18" i="9"/>
  <c r="CO18" i="9"/>
  <c r="CN18" i="9"/>
  <c r="CM18" i="9"/>
  <c r="CL18" i="9"/>
  <c r="CK18" i="9"/>
  <c r="CJ18" i="9"/>
  <c r="CI18" i="9"/>
  <c r="CH18" i="9"/>
  <c r="CG18" i="9"/>
  <c r="CF18" i="9"/>
  <c r="CE18" i="9"/>
  <c r="CD18" i="9"/>
  <c r="CC18" i="9"/>
  <c r="CB18" i="9"/>
  <c r="CA18" i="9"/>
  <c r="BZ18" i="9"/>
  <c r="BY18" i="9"/>
  <c r="BX18" i="9"/>
  <c r="BW18" i="9"/>
  <c r="BV18" i="9"/>
  <c r="BU18" i="9"/>
  <c r="BT18" i="9"/>
  <c r="BS18" i="9"/>
  <c r="BR18" i="9"/>
  <c r="BQ18" i="9"/>
  <c r="BP18" i="9"/>
  <c r="BO18" i="9"/>
  <c r="BN18" i="9"/>
  <c r="BM18" i="9"/>
  <c r="BL18" i="9"/>
  <c r="BK18" i="9"/>
  <c r="BJ18" i="9"/>
  <c r="BI18" i="9"/>
  <c r="BH18" i="9"/>
  <c r="BG18" i="9"/>
  <c r="BF18" i="9"/>
  <c r="BE18" i="9"/>
  <c r="BD18" i="9"/>
  <c r="BC18" i="9"/>
  <c r="BB18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18" i="9"/>
  <c r="EF17" i="9"/>
  <c r="EE17" i="9"/>
  <c r="ED17" i="9"/>
  <c r="EC17" i="9"/>
  <c r="EB17" i="9"/>
  <c r="EA17" i="9"/>
  <c r="DZ17" i="9"/>
  <c r="DY17" i="9"/>
  <c r="DX17" i="9"/>
  <c r="DW17" i="9"/>
  <c r="DV17" i="9"/>
  <c r="DU17" i="9"/>
  <c r="DT17" i="9"/>
  <c r="DS17" i="9"/>
  <c r="DR17" i="9"/>
  <c r="DQ17" i="9"/>
  <c r="DP17" i="9"/>
  <c r="DO17" i="9"/>
  <c r="DN17" i="9"/>
  <c r="DM17" i="9"/>
  <c r="DL17" i="9"/>
  <c r="DK17" i="9"/>
  <c r="DJ17" i="9"/>
  <c r="DI17" i="9"/>
  <c r="DH17" i="9"/>
  <c r="DG17" i="9"/>
  <c r="DF17" i="9"/>
  <c r="DE17" i="9"/>
  <c r="DD17" i="9"/>
  <c r="DC17" i="9"/>
  <c r="DB17" i="9"/>
  <c r="DA17" i="9"/>
  <c r="CZ17" i="9"/>
  <c r="CY17" i="9"/>
  <c r="CX17" i="9"/>
  <c r="CW17" i="9"/>
  <c r="CV17" i="9"/>
  <c r="CU17" i="9"/>
  <c r="CT17" i="9"/>
  <c r="CS17" i="9"/>
  <c r="CR17" i="9"/>
  <c r="CQ17" i="9"/>
  <c r="CP17" i="9"/>
  <c r="CO17" i="9"/>
  <c r="CN17" i="9"/>
  <c r="CM17" i="9"/>
  <c r="CL17" i="9"/>
  <c r="CK17" i="9"/>
  <c r="CJ17" i="9"/>
  <c r="CI17" i="9"/>
  <c r="CH17" i="9"/>
  <c r="CG17" i="9"/>
  <c r="CF17" i="9"/>
  <c r="CE17" i="9"/>
  <c r="CD17" i="9"/>
  <c r="CC17" i="9"/>
  <c r="CB17" i="9"/>
  <c r="CA17" i="9"/>
  <c r="BZ17" i="9"/>
  <c r="BY17" i="9"/>
  <c r="BX17" i="9"/>
  <c r="BW17" i="9"/>
  <c r="BV17" i="9"/>
  <c r="BU17" i="9"/>
  <c r="BT17" i="9"/>
  <c r="BS17" i="9"/>
  <c r="BR17" i="9"/>
  <c r="BQ17" i="9"/>
  <c r="BP17" i="9"/>
  <c r="BO17" i="9"/>
  <c r="BN17" i="9"/>
  <c r="BM17" i="9"/>
  <c r="BL17" i="9"/>
  <c r="BK17" i="9"/>
  <c r="BJ17" i="9"/>
  <c r="BI17" i="9"/>
  <c r="BH17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EF16" i="9"/>
  <c r="EE16" i="9"/>
  <c r="ED16" i="9"/>
  <c r="EC16" i="9"/>
  <c r="EB16" i="9"/>
  <c r="EA16" i="9"/>
  <c r="DZ16" i="9"/>
  <c r="DY16" i="9"/>
  <c r="DX16" i="9"/>
  <c r="DW16" i="9"/>
  <c r="DV16" i="9"/>
  <c r="DU16" i="9"/>
  <c r="DT16" i="9"/>
  <c r="DS16" i="9"/>
  <c r="DR16" i="9"/>
  <c r="DQ16" i="9"/>
  <c r="DP16" i="9"/>
  <c r="DO16" i="9"/>
  <c r="DN16" i="9"/>
  <c r="DM16" i="9"/>
  <c r="DL16" i="9"/>
  <c r="DK16" i="9"/>
  <c r="DJ16" i="9"/>
  <c r="DI16" i="9"/>
  <c r="DH16" i="9"/>
  <c r="DG16" i="9"/>
  <c r="DF16" i="9"/>
  <c r="DE16" i="9"/>
  <c r="DD16" i="9"/>
  <c r="DC16" i="9"/>
  <c r="DB16" i="9"/>
  <c r="DA16" i="9"/>
  <c r="CZ16" i="9"/>
  <c r="CY16" i="9"/>
  <c r="CX16" i="9"/>
  <c r="CW16" i="9"/>
  <c r="CV16" i="9"/>
  <c r="CU16" i="9"/>
  <c r="CT16" i="9"/>
  <c r="CS16" i="9"/>
  <c r="CR16" i="9"/>
  <c r="CQ16" i="9"/>
  <c r="CP16" i="9"/>
  <c r="CO16" i="9"/>
  <c r="CN16" i="9"/>
  <c r="CM16" i="9"/>
  <c r="CL16" i="9"/>
  <c r="CK16" i="9"/>
  <c r="CJ16" i="9"/>
  <c r="CI16" i="9"/>
  <c r="CH16" i="9"/>
  <c r="CG16" i="9"/>
  <c r="CF16" i="9"/>
  <c r="CE16" i="9"/>
  <c r="CD16" i="9"/>
  <c r="CC16" i="9"/>
  <c r="CB16" i="9"/>
  <c r="CA16" i="9"/>
  <c r="BZ16" i="9"/>
  <c r="BY16" i="9"/>
  <c r="BX16" i="9"/>
  <c r="BW16" i="9"/>
  <c r="BV16" i="9"/>
  <c r="BU16" i="9"/>
  <c r="BT16" i="9"/>
  <c r="BS16" i="9"/>
  <c r="BR16" i="9"/>
  <c r="BQ16" i="9"/>
  <c r="BP16" i="9"/>
  <c r="BO16" i="9"/>
  <c r="BN16" i="9"/>
  <c r="BM16" i="9"/>
  <c r="BL16" i="9"/>
  <c r="BK16" i="9"/>
  <c r="BJ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EF15" i="9"/>
  <c r="EE15" i="9"/>
  <c r="ED15" i="9"/>
  <c r="EC15" i="9"/>
  <c r="EB15" i="9"/>
  <c r="EA15" i="9"/>
  <c r="DZ15" i="9"/>
  <c r="DY15" i="9"/>
  <c r="DX15" i="9"/>
  <c r="DW15" i="9"/>
  <c r="DV15" i="9"/>
  <c r="DU15" i="9"/>
  <c r="DT15" i="9"/>
  <c r="DS15" i="9"/>
  <c r="DR15" i="9"/>
  <c r="DQ15" i="9"/>
  <c r="DP15" i="9"/>
  <c r="DO15" i="9"/>
  <c r="DN15" i="9"/>
  <c r="DM15" i="9"/>
  <c r="DL15" i="9"/>
  <c r="DK15" i="9"/>
  <c r="DJ15" i="9"/>
  <c r="DI15" i="9"/>
  <c r="DH15" i="9"/>
  <c r="DG15" i="9"/>
  <c r="DF15" i="9"/>
  <c r="DE15" i="9"/>
  <c r="DD15" i="9"/>
  <c r="DC15" i="9"/>
  <c r="DB15" i="9"/>
  <c r="DA15" i="9"/>
  <c r="CZ15" i="9"/>
  <c r="CY15" i="9"/>
  <c r="CX15" i="9"/>
  <c r="CW15" i="9"/>
  <c r="CV15" i="9"/>
  <c r="CU15" i="9"/>
  <c r="CT15" i="9"/>
  <c r="CS15" i="9"/>
  <c r="CR15" i="9"/>
  <c r="CQ15" i="9"/>
  <c r="CP15" i="9"/>
  <c r="CO15" i="9"/>
  <c r="CN15" i="9"/>
  <c r="CM15" i="9"/>
  <c r="CL15" i="9"/>
  <c r="CK15" i="9"/>
  <c r="CJ15" i="9"/>
  <c r="CI15" i="9"/>
  <c r="CH15" i="9"/>
  <c r="CG15" i="9"/>
  <c r="CF15" i="9"/>
  <c r="CE15" i="9"/>
  <c r="CD15" i="9"/>
  <c r="CC15" i="9"/>
  <c r="CB15" i="9"/>
  <c r="CA15" i="9"/>
  <c r="BZ15" i="9"/>
  <c r="BY15" i="9"/>
  <c r="BX15" i="9"/>
  <c r="BW15" i="9"/>
  <c r="BV15" i="9"/>
  <c r="BU15" i="9"/>
  <c r="BT15" i="9"/>
  <c r="BS15" i="9"/>
  <c r="BR15" i="9"/>
  <c r="BQ15" i="9"/>
  <c r="BP15" i="9"/>
  <c r="BO15" i="9"/>
  <c r="BN15" i="9"/>
  <c r="BM15" i="9"/>
  <c r="BL15" i="9"/>
  <c r="BK15" i="9"/>
  <c r="BJ15" i="9"/>
  <c r="BI15" i="9"/>
  <c r="BH15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EF14" i="9"/>
  <c r="EE14" i="9"/>
  <c r="ED14" i="9"/>
  <c r="EC14" i="9"/>
  <c r="EB14" i="9"/>
  <c r="EA14" i="9"/>
  <c r="DZ14" i="9"/>
  <c r="DY14" i="9"/>
  <c r="DX14" i="9"/>
  <c r="DW14" i="9"/>
  <c r="DV14" i="9"/>
  <c r="DU14" i="9"/>
  <c r="DT14" i="9"/>
  <c r="DS14" i="9"/>
  <c r="DR14" i="9"/>
  <c r="DQ14" i="9"/>
  <c r="DP14" i="9"/>
  <c r="DO14" i="9"/>
  <c r="DN14" i="9"/>
  <c r="DM14" i="9"/>
  <c r="DL14" i="9"/>
  <c r="DK14" i="9"/>
  <c r="DJ14" i="9"/>
  <c r="DI14" i="9"/>
  <c r="DH14" i="9"/>
  <c r="DG14" i="9"/>
  <c r="DF14" i="9"/>
  <c r="DE14" i="9"/>
  <c r="DD14" i="9"/>
  <c r="DC14" i="9"/>
  <c r="DB14" i="9"/>
  <c r="DA14" i="9"/>
  <c r="CZ14" i="9"/>
  <c r="CY14" i="9"/>
  <c r="CX14" i="9"/>
  <c r="CW14" i="9"/>
  <c r="CV14" i="9"/>
  <c r="CU14" i="9"/>
  <c r="CT14" i="9"/>
  <c r="CS14" i="9"/>
  <c r="CR14" i="9"/>
  <c r="CQ14" i="9"/>
  <c r="CP14" i="9"/>
  <c r="CO14" i="9"/>
  <c r="CN14" i="9"/>
  <c r="CM14" i="9"/>
  <c r="CL14" i="9"/>
  <c r="CK14" i="9"/>
  <c r="CJ14" i="9"/>
  <c r="CI14" i="9"/>
  <c r="CH14" i="9"/>
  <c r="CG14" i="9"/>
  <c r="CF14" i="9"/>
  <c r="CE14" i="9"/>
  <c r="CD14" i="9"/>
  <c r="CC14" i="9"/>
  <c r="CB14" i="9"/>
  <c r="CA14" i="9"/>
  <c r="BZ14" i="9"/>
  <c r="BY14" i="9"/>
  <c r="BX14" i="9"/>
  <c r="BW14" i="9"/>
  <c r="BV14" i="9"/>
  <c r="BU14" i="9"/>
  <c r="BT14" i="9"/>
  <c r="BS14" i="9"/>
  <c r="BR14" i="9"/>
  <c r="BQ14" i="9"/>
  <c r="BP14" i="9"/>
  <c r="BO14" i="9"/>
  <c r="BN14" i="9"/>
  <c r="BM14" i="9"/>
  <c r="BL14" i="9"/>
  <c r="BK14" i="9"/>
  <c r="BJ14" i="9"/>
  <c r="BI14" i="9"/>
  <c r="BH14" i="9"/>
  <c r="BG14" i="9"/>
  <c r="BF14" i="9"/>
  <c r="BE14" i="9"/>
  <c r="BD14" i="9"/>
  <c r="BC14" i="9"/>
  <c r="BB14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EF13" i="9"/>
  <c r="EE13" i="9"/>
  <c r="ED13" i="9"/>
  <c r="EC13" i="9"/>
  <c r="EB13" i="9"/>
  <c r="EA13" i="9"/>
  <c r="DZ13" i="9"/>
  <c r="DY13" i="9"/>
  <c r="DX13" i="9"/>
  <c r="DW13" i="9"/>
  <c r="DV13" i="9"/>
  <c r="DU13" i="9"/>
  <c r="DT13" i="9"/>
  <c r="DS13" i="9"/>
  <c r="DR13" i="9"/>
  <c r="DQ13" i="9"/>
  <c r="DP13" i="9"/>
  <c r="DO13" i="9"/>
  <c r="DN13" i="9"/>
  <c r="DM13" i="9"/>
  <c r="DL13" i="9"/>
  <c r="DK13" i="9"/>
  <c r="DJ13" i="9"/>
  <c r="DI13" i="9"/>
  <c r="DH13" i="9"/>
  <c r="DG13" i="9"/>
  <c r="DF13" i="9"/>
  <c r="DE13" i="9"/>
  <c r="DD13" i="9"/>
  <c r="DC13" i="9"/>
  <c r="DB13" i="9"/>
  <c r="DA13" i="9"/>
  <c r="CZ13" i="9"/>
  <c r="CY13" i="9"/>
  <c r="CX13" i="9"/>
  <c r="CW13" i="9"/>
  <c r="CV13" i="9"/>
  <c r="CU13" i="9"/>
  <c r="CT13" i="9"/>
  <c r="CS13" i="9"/>
  <c r="CR13" i="9"/>
  <c r="CQ13" i="9"/>
  <c r="CP13" i="9"/>
  <c r="CO13" i="9"/>
  <c r="CN13" i="9"/>
  <c r="CM13" i="9"/>
  <c r="CL13" i="9"/>
  <c r="CK13" i="9"/>
  <c r="CJ13" i="9"/>
  <c r="CI13" i="9"/>
  <c r="CH13" i="9"/>
  <c r="CG13" i="9"/>
  <c r="CF13" i="9"/>
  <c r="CE13" i="9"/>
  <c r="CD13" i="9"/>
  <c r="CC13" i="9"/>
  <c r="CB13" i="9"/>
  <c r="CA13" i="9"/>
  <c r="BZ13" i="9"/>
  <c r="BY13" i="9"/>
  <c r="BX13" i="9"/>
  <c r="BW13" i="9"/>
  <c r="BV13" i="9"/>
  <c r="BU13" i="9"/>
  <c r="BT13" i="9"/>
  <c r="BS13" i="9"/>
  <c r="BR13" i="9"/>
  <c r="BQ13" i="9"/>
  <c r="BP13" i="9"/>
  <c r="BO13" i="9"/>
  <c r="BN13" i="9"/>
  <c r="BM13" i="9"/>
  <c r="BL13" i="9"/>
  <c r="BK13" i="9"/>
  <c r="BJ13" i="9"/>
  <c r="BI13" i="9"/>
  <c r="BH13" i="9"/>
  <c r="BG13" i="9"/>
  <c r="BF13" i="9"/>
  <c r="BE13" i="9"/>
  <c r="BD13" i="9"/>
  <c r="BC13" i="9"/>
  <c r="BB13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EF12" i="9"/>
  <c r="EE12" i="9"/>
  <c r="ED12" i="9"/>
  <c r="EC12" i="9"/>
  <c r="EB12" i="9"/>
  <c r="EA12" i="9"/>
  <c r="DZ12" i="9"/>
  <c r="DY12" i="9"/>
  <c r="DX12" i="9"/>
  <c r="DW12" i="9"/>
  <c r="DV12" i="9"/>
  <c r="DU12" i="9"/>
  <c r="DT12" i="9"/>
  <c r="DS12" i="9"/>
  <c r="DR12" i="9"/>
  <c r="DQ12" i="9"/>
  <c r="DP12" i="9"/>
  <c r="DO12" i="9"/>
  <c r="DN12" i="9"/>
  <c r="DM12" i="9"/>
  <c r="DL12" i="9"/>
  <c r="DK12" i="9"/>
  <c r="DJ12" i="9"/>
  <c r="DI12" i="9"/>
  <c r="DH12" i="9"/>
  <c r="DG12" i="9"/>
  <c r="DF12" i="9"/>
  <c r="DE12" i="9"/>
  <c r="DD12" i="9"/>
  <c r="DC12" i="9"/>
  <c r="DB12" i="9"/>
  <c r="DA12" i="9"/>
  <c r="CZ12" i="9"/>
  <c r="CY12" i="9"/>
  <c r="CX12" i="9"/>
  <c r="CW12" i="9"/>
  <c r="CV12" i="9"/>
  <c r="CU12" i="9"/>
  <c r="CT12" i="9"/>
  <c r="CS12" i="9"/>
  <c r="CR12" i="9"/>
  <c r="CQ12" i="9"/>
  <c r="CP12" i="9"/>
  <c r="CO12" i="9"/>
  <c r="CN12" i="9"/>
  <c r="CM12" i="9"/>
  <c r="CL12" i="9"/>
  <c r="CK12" i="9"/>
  <c r="CJ12" i="9"/>
  <c r="CI12" i="9"/>
  <c r="CH12" i="9"/>
  <c r="CG12" i="9"/>
  <c r="CF12" i="9"/>
  <c r="CE12" i="9"/>
  <c r="CD12" i="9"/>
  <c r="CC12" i="9"/>
  <c r="CB12" i="9"/>
  <c r="CA12" i="9"/>
  <c r="BZ12" i="9"/>
  <c r="BY12" i="9"/>
  <c r="BX12" i="9"/>
  <c r="BW12" i="9"/>
  <c r="BV12" i="9"/>
  <c r="BU12" i="9"/>
  <c r="BT12" i="9"/>
  <c r="BS12" i="9"/>
  <c r="BR12" i="9"/>
  <c r="BQ12" i="9"/>
  <c r="BP12" i="9"/>
  <c r="BO12" i="9"/>
  <c r="BN12" i="9"/>
  <c r="BM12" i="9"/>
  <c r="BL12" i="9"/>
  <c r="BK12" i="9"/>
  <c r="BJ12" i="9"/>
  <c r="BI12" i="9"/>
  <c r="BH12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EF5" i="9"/>
  <c r="EE5" i="9"/>
  <c r="ED5" i="9"/>
  <c r="EC5" i="9"/>
  <c r="EB5" i="9"/>
  <c r="EA5" i="9"/>
  <c r="DZ5" i="9"/>
  <c r="DY5" i="9"/>
  <c r="DX5" i="9"/>
  <c r="DW5" i="9"/>
  <c r="DV5" i="9"/>
  <c r="DU5" i="9"/>
  <c r="DT5" i="9"/>
  <c r="DS5" i="9"/>
  <c r="DR5" i="9"/>
  <c r="DQ5" i="9"/>
  <c r="DP5" i="9"/>
  <c r="DO5" i="9"/>
  <c r="DN5" i="9"/>
  <c r="DM5" i="9"/>
  <c r="DL5" i="9"/>
  <c r="DK5" i="9"/>
  <c r="DJ5" i="9"/>
  <c r="DI5" i="9"/>
  <c r="DH5" i="9"/>
  <c r="DG5" i="9"/>
  <c r="DF5" i="9"/>
  <c r="DE5" i="9"/>
  <c r="DD5" i="9"/>
  <c r="DC5" i="9"/>
  <c r="DB5" i="9"/>
  <c r="DA5" i="9"/>
  <c r="CZ5" i="9"/>
  <c r="CY5" i="9"/>
  <c r="CX5" i="9"/>
  <c r="CW5" i="9"/>
  <c r="CV5" i="9"/>
  <c r="CU5" i="9"/>
  <c r="CT5" i="9"/>
  <c r="CS5" i="9"/>
  <c r="CR5" i="9"/>
  <c r="CQ5" i="9"/>
  <c r="CP5" i="9"/>
  <c r="CO5" i="9"/>
  <c r="CN5" i="9"/>
  <c r="CM5" i="9"/>
  <c r="CL5" i="9"/>
  <c r="CK5" i="9"/>
  <c r="CJ5" i="9"/>
  <c r="CI5" i="9"/>
  <c r="CH5" i="9"/>
  <c r="CG5" i="9"/>
  <c r="CF5" i="9"/>
  <c r="CE5" i="9"/>
  <c r="CD5" i="9"/>
  <c r="CC5" i="9"/>
  <c r="CB5" i="9"/>
  <c r="CA5" i="9"/>
  <c r="BZ5" i="9"/>
  <c r="BY5" i="9"/>
  <c r="BX5" i="9"/>
  <c r="BW5" i="9"/>
  <c r="BV5" i="9"/>
  <c r="BU5" i="9"/>
  <c r="BT5" i="9"/>
  <c r="BS5" i="9"/>
  <c r="BR5" i="9"/>
  <c r="BQ5" i="9"/>
  <c r="BP5" i="9"/>
  <c r="BO5" i="9"/>
  <c r="BN5" i="9"/>
  <c r="BM5" i="9"/>
  <c r="BL5" i="9"/>
  <c r="BK5" i="9"/>
  <c r="BJ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EF4" i="9"/>
  <c r="EE4" i="9"/>
  <c r="ED4" i="9"/>
  <c r="EC4" i="9"/>
  <c r="EB4" i="9"/>
  <c r="EA4" i="9"/>
  <c r="DZ4" i="9"/>
  <c r="DY4" i="9"/>
  <c r="DX4" i="9"/>
  <c r="DW4" i="9"/>
  <c r="DV4" i="9"/>
  <c r="DU4" i="9"/>
  <c r="DT4" i="9"/>
  <c r="DS4" i="9"/>
  <c r="DR4" i="9"/>
  <c r="DQ4" i="9"/>
  <c r="DP4" i="9"/>
  <c r="DO4" i="9"/>
  <c r="DN4" i="9"/>
  <c r="DM4" i="9"/>
  <c r="DL4" i="9"/>
  <c r="DK4" i="9"/>
  <c r="DJ4" i="9"/>
  <c r="DI4" i="9"/>
  <c r="DH4" i="9"/>
  <c r="DG4" i="9"/>
  <c r="DF4" i="9"/>
  <c r="DE4" i="9"/>
  <c r="DD4" i="9"/>
  <c r="DC4" i="9"/>
  <c r="DB4" i="9"/>
  <c r="DA4" i="9"/>
  <c r="CZ4" i="9"/>
  <c r="CY4" i="9"/>
  <c r="CX4" i="9"/>
  <c r="CW4" i="9"/>
  <c r="CV4" i="9"/>
  <c r="CU4" i="9"/>
  <c r="CT4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BP4" i="9"/>
  <c r="BO4" i="9"/>
  <c r="BN4" i="9"/>
  <c r="BM4" i="9"/>
  <c r="BL4" i="9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EF3" i="9"/>
  <c r="EE3" i="9"/>
  <c r="ED3" i="9"/>
  <c r="EC3" i="9"/>
  <c r="EB3" i="9"/>
  <c r="EA3" i="9"/>
  <c r="DZ3" i="9"/>
  <c r="DY3" i="9"/>
  <c r="DX3" i="9"/>
  <c r="DW3" i="9"/>
  <c r="DV3" i="9"/>
  <c r="DU3" i="9"/>
  <c r="DT3" i="9"/>
  <c r="DS3" i="9"/>
  <c r="DR3" i="9"/>
  <c r="DQ3" i="9"/>
  <c r="DP3" i="9"/>
  <c r="DO3" i="9"/>
  <c r="DN3" i="9"/>
  <c r="DM3" i="9"/>
  <c r="DL3" i="9"/>
  <c r="DK3" i="9"/>
  <c r="DJ3" i="9"/>
  <c r="DI3" i="9"/>
  <c r="DH3" i="9"/>
  <c r="DG3" i="9"/>
  <c r="DF3" i="9"/>
  <c r="DE3" i="9"/>
  <c r="DD3" i="9"/>
  <c r="DC3" i="9"/>
  <c r="DB3" i="9"/>
  <c r="DA3" i="9"/>
  <c r="CZ3" i="9"/>
  <c r="CY3" i="9"/>
  <c r="CX3" i="9"/>
  <c r="CW3" i="9"/>
  <c r="CV3" i="9"/>
  <c r="CU3" i="9"/>
  <c r="CT3" i="9"/>
  <c r="CS3" i="9"/>
  <c r="CR3" i="9"/>
  <c r="CQ3" i="9"/>
  <c r="CP3" i="9"/>
  <c r="CO3" i="9"/>
  <c r="CN3" i="9"/>
  <c r="CM3" i="9"/>
  <c r="CL3" i="9"/>
  <c r="CK3" i="9"/>
  <c r="CJ3" i="9"/>
  <c r="CI3" i="9"/>
  <c r="CH3" i="9"/>
  <c r="CG3" i="9"/>
  <c r="CF3" i="9"/>
  <c r="CE3" i="9"/>
  <c r="CD3" i="9"/>
  <c r="CC3" i="9"/>
  <c r="CB3" i="9"/>
  <c r="CA3" i="9"/>
  <c r="BZ3" i="9"/>
  <c r="BY3" i="9"/>
  <c r="BX3" i="9"/>
  <c r="BW3" i="9"/>
  <c r="BV3" i="9"/>
  <c r="BU3" i="9"/>
  <c r="BT3" i="9"/>
  <c r="BS3" i="9"/>
  <c r="BR3" i="9"/>
  <c r="BQ3" i="9"/>
  <c r="BP3" i="9"/>
  <c r="BO3" i="9"/>
  <c r="BN3" i="9"/>
  <c r="BM3" i="9"/>
  <c r="BL3" i="9"/>
  <c r="BK3" i="9"/>
  <c r="BJ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1" i="9"/>
  <c r="EF5" i="3"/>
  <c r="EE5" i="3"/>
  <c r="ED5" i="3"/>
  <c r="EC5" i="3"/>
  <c r="EB5" i="3"/>
  <c r="EA5" i="3"/>
  <c r="DZ5" i="3"/>
  <c r="DY5" i="3"/>
  <c r="DX5" i="3"/>
  <c r="DW5" i="3"/>
  <c r="DV5" i="3"/>
  <c r="DU5" i="3"/>
  <c r="DT5" i="3"/>
  <c r="DS5" i="3"/>
  <c r="DR5" i="3"/>
  <c r="DQ5" i="3"/>
  <c r="DP5" i="3"/>
  <c r="DO5" i="3"/>
  <c r="DN5" i="3"/>
  <c r="DM5" i="3"/>
  <c r="DL5" i="3"/>
  <c r="DK5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EF4" i="3"/>
  <c r="EE4" i="3"/>
  <c r="ED4" i="3"/>
  <c r="EC4" i="3"/>
  <c r="EB4" i="3"/>
  <c r="EA4" i="3"/>
  <c r="DZ4" i="3"/>
  <c r="DY4" i="3"/>
  <c r="DX4" i="3"/>
  <c r="DW4" i="3"/>
  <c r="DV4" i="3"/>
  <c r="DU4" i="3"/>
  <c r="DT4" i="3"/>
  <c r="DS4" i="3"/>
  <c r="DR4" i="3"/>
  <c r="DQ4" i="3"/>
  <c r="DP4" i="3"/>
  <c r="DO4" i="3"/>
  <c r="DN4" i="3"/>
  <c r="DM4" i="3"/>
  <c r="DL4" i="3"/>
  <c r="DK4" i="3"/>
  <c r="DJ4" i="3"/>
  <c r="DI4" i="3"/>
  <c r="DH4" i="3"/>
  <c r="DG4" i="3"/>
  <c r="DF4" i="3"/>
  <c r="DE4" i="3"/>
  <c r="DD4" i="3"/>
  <c r="DC4" i="3"/>
  <c r="DB4" i="3"/>
  <c r="DA4" i="3"/>
  <c r="CZ4" i="3"/>
  <c r="CY4" i="3"/>
  <c r="CX4" i="3"/>
  <c r="CW4" i="3"/>
  <c r="CV4" i="3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EF3" i="3"/>
  <c r="EE3" i="3"/>
  <c r="ED3" i="3"/>
  <c r="EC3" i="3"/>
  <c r="EB3" i="3"/>
  <c r="EA3" i="3"/>
  <c r="DZ3" i="3"/>
  <c r="DY3" i="3"/>
  <c r="DX3" i="3"/>
  <c r="DW3" i="3"/>
  <c r="DV3" i="3"/>
  <c r="DU3" i="3"/>
  <c r="DT3" i="3"/>
  <c r="DS3" i="3"/>
  <c r="DR3" i="3"/>
  <c r="DQ3" i="3"/>
  <c r="DP3" i="3"/>
  <c r="DO3" i="3"/>
  <c r="DN3" i="3"/>
  <c r="DM3" i="3"/>
  <c r="DL3" i="3"/>
  <c r="DK3" i="3"/>
  <c r="DJ3" i="3"/>
  <c r="DI3" i="3"/>
  <c r="DH3" i="3"/>
  <c r="DG3" i="3"/>
  <c r="DF3" i="3"/>
  <c r="DE3" i="3"/>
  <c r="DD3" i="3"/>
  <c r="DC3" i="3"/>
  <c r="DB3" i="3"/>
  <c r="DA3" i="3"/>
  <c r="CZ3" i="3"/>
  <c r="CY3" i="3"/>
  <c r="CX3" i="3"/>
  <c r="CW3" i="3"/>
  <c r="CV3" i="3"/>
  <c r="CU3" i="3"/>
  <c r="CT3" i="3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A1" i="3"/>
  <c r="EF19" i="11"/>
  <c r="EE19" i="11"/>
  <c r="ED19" i="11"/>
  <c r="EC19" i="11"/>
  <c r="EB19" i="11"/>
  <c r="EA19" i="11"/>
  <c r="DZ19" i="11"/>
  <c r="DY19" i="11"/>
  <c r="DX19" i="11"/>
  <c r="DW19" i="11"/>
  <c r="DV19" i="11"/>
  <c r="DU19" i="11"/>
  <c r="DT19" i="11"/>
  <c r="DS19" i="11"/>
  <c r="DR19" i="11"/>
  <c r="DQ19" i="11"/>
  <c r="DP19" i="11"/>
  <c r="DO19" i="11"/>
  <c r="DN19" i="11"/>
  <c r="DM19" i="11"/>
  <c r="DL19" i="11"/>
  <c r="DK19" i="11"/>
  <c r="DJ19" i="11"/>
  <c r="DI19" i="11"/>
  <c r="DH19" i="11"/>
  <c r="DG19" i="11"/>
  <c r="DF19" i="11"/>
  <c r="DE19" i="11"/>
  <c r="DD19" i="11"/>
  <c r="DC19" i="11"/>
  <c r="DB19" i="11"/>
  <c r="DA19" i="11"/>
  <c r="CZ19" i="11"/>
  <c r="CY19" i="11"/>
  <c r="CX19" i="11"/>
  <c r="CW19" i="11"/>
  <c r="CV19" i="11"/>
  <c r="CU19" i="11"/>
  <c r="CT19" i="11"/>
  <c r="CS19" i="11"/>
  <c r="CR19" i="11"/>
  <c r="CQ19" i="11"/>
  <c r="CP19" i="11"/>
  <c r="CO19" i="11"/>
  <c r="CN19" i="11"/>
  <c r="CM19" i="11"/>
  <c r="CL19" i="11"/>
  <c r="CK19" i="11"/>
  <c r="CJ19" i="11"/>
  <c r="CI19" i="11"/>
  <c r="CH19" i="11"/>
  <c r="CG19" i="11"/>
  <c r="CF19" i="11"/>
  <c r="CE19" i="11"/>
  <c r="CD19" i="11"/>
  <c r="CC19" i="11"/>
  <c r="CB19" i="11"/>
  <c r="CA19" i="11"/>
  <c r="BZ19" i="11"/>
  <c r="BY19" i="11"/>
  <c r="BX19" i="11"/>
  <c r="BW19" i="11"/>
  <c r="BV19" i="11"/>
  <c r="BU19" i="11"/>
  <c r="BT19" i="11"/>
  <c r="BS19" i="11"/>
  <c r="BR19" i="11"/>
  <c r="BQ19" i="11"/>
  <c r="BP19" i="11"/>
  <c r="BO19" i="11"/>
  <c r="BN19" i="11"/>
  <c r="BM19" i="11"/>
  <c r="BL19" i="11"/>
  <c r="BK19" i="11"/>
  <c r="BJ19" i="11"/>
  <c r="BI19" i="11"/>
  <c r="BH19" i="11"/>
  <c r="BG19" i="11"/>
  <c r="BF19" i="11"/>
  <c r="BE19" i="11"/>
  <c r="BD19" i="11"/>
  <c r="BC19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EF18" i="11"/>
  <c r="EE18" i="11"/>
  <c r="ED18" i="11"/>
  <c r="EC18" i="11"/>
  <c r="EB18" i="11"/>
  <c r="EA18" i="11"/>
  <c r="DZ18" i="11"/>
  <c r="DY18" i="11"/>
  <c r="DX18" i="11"/>
  <c r="DW18" i="11"/>
  <c r="DV18" i="11"/>
  <c r="DU18" i="11"/>
  <c r="DT18" i="11"/>
  <c r="DS18" i="11"/>
  <c r="DR18" i="11"/>
  <c r="DQ18" i="11"/>
  <c r="DP18" i="11"/>
  <c r="DO18" i="11"/>
  <c r="DN18" i="11"/>
  <c r="DM18" i="11"/>
  <c r="DL18" i="11"/>
  <c r="DK18" i="11"/>
  <c r="DJ18" i="11"/>
  <c r="DI18" i="11"/>
  <c r="DH18" i="11"/>
  <c r="DG18" i="11"/>
  <c r="DF18" i="11"/>
  <c r="DE18" i="11"/>
  <c r="DD18" i="11"/>
  <c r="DC18" i="11"/>
  <c r="DB18" i="11"/>
  <c r="DA18" i="11"/>
  <c r="CZ18" i="11"/>
  <c r="CY18" i="11"/>
  <c r="CX18" i="11"/>
  <c r="CW18" i="11"/>
  <c r="CV18" i="11"/>
  <c r="CU18" i="11"/>
  <c r="CT18" i="11"/>
  <c r="CS18" i="11"/>
  <c r="CR18" i="11"/>
  <c r="CQ18" i="11"/>
  <c r="CP18" i="11"/>
  <c r="CO18" i="11"/>
  <c r="CN18" i="11"/>
  <c r="CM18" i="11"/>
  <c r="CL18" i="11"/>
  <c r="CK18" i="11"/>
  <c r="CJ18" i="11"/>
  <c r="CI18" i="11"/>
  <c r="CH18" i="11"/>
  <c r="CG18" i="11"/>
  <c r="CF18" i="11"/>
  <c r="CE18" i="11"/>
  <c r="CD18" i="11"/>
  <c r="CC18" i="11"/>
  <c r="CB18" i="11"/>
  <c r="CA18" i="11"/>
  <c r="BZ18" i="11"/>
  <c r="BY18" i="11"/>
  <c r="BX18" i="11"/>
  <c r="BW18" i="11"/>
  <c r="BV18" i="11"/>
  <c r="BU18" i="11"/>
  <c r="BT18" i="11"/>
  <c r="BS18" i="11"/>
  <c r="BR18" i="11"/>
  <c r="BQ18" i="11"/>
  <c r="BP18" i="11"/>
  <c r="BO18" i="11"/>
  <c r="BN18" i="11"/>
  <c r="BM18" i="11"/>
  <c r="BL18" i="11"/>
  <c r="BK18" i="11"/>
  <c r="BJ18" i="11"/>
  <c r="BI18" i="11"/>
  <c r="BH18" i="11"/>
  <c r="BG18" i="11"/>
  <c r="BF18" i="11"/>
  <c r="BE18" i="11"/>
  <c r="BD18" i="11"/>
  <c r="BC18" i="11"/>
  <c r="BB18" i="11"/>
  <c r="BA18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EF17" i="11"/>
  <c r="EE17" i="11"/>
  <c r="ED17" i="11"/>
  <c r="EC17" i="11"/>
  <c r="EB17" i="11"/>
  <c r="EA17" i="11"/>
  <c r="DZ17" i="11"/>
  <c r="DY17" i="11"/>
  <c r="DX17" i="11"/>
  <c r="DW17" i="11"/>
  <c r="DV17" i="11"/>
  <c r="DU17" i="11"/>
  <c r="DT17" i="11"/>
  <c r="DS17" i="11"/>
  <c r="DR17" i="11"/>
  <c r="DQ17" i="11"/>
  <c r="DP17" i="11"/>
  <c r="DO17" i="11"/>
  <c r="DN17" i="11"/>
  <c r="DM17" i="11"/>
  <c r="DL17" i="11"/>
  <c r="DK17" i="11"/>
  <c r="DJ17" i="11"/>
  <c r="DI17" i="11"/>
  <c r="DH17" i="11"/>
  <c r="DG17" i="11"/>
  <c r="DF17" i="11"/>
  <c r="DE17" i="11"/>
  <c r="DD17" i="11"/>
  <c r="DC17" i="11"/>
  <c r="DB17" i="11"/>
  <c r="DA17" i="11"/>
  <c r="CZ17" i="11"/>
  <c r="CY17" i="11"/>
  <c r="CX17" i="11"/>
  <c r="CW17" i="11"/>
  <c r="CV17" i="11"/>
  <c r="CU17" i="11"/>
  <c r="CT17" i="11"/>
  <c r="CS17" i="11"/>
  <c r="CR17" i="11"/>
  <c r="CQ17" i="11"/>
  <c r="CP17" i="11"/>
  <c r="CO17" i="11"/>
  <c r="CN17" i="11"/>
  <c r="CM17" i="11"/>
  <c r="CL17" i="11"/>
  <c r="CK17" i="11"/>
  <c r="CJ17" i="11"/>
  <c r="CI17" i="11"/>
  <c r="CH17" i="11"/>
  <c r="CG17" i="11"/>
  <c r="CF17" i="11"/>
  <c r="CE17" i="11"/>
  <c r="CD17" i="11"/>
  <c r="CC17" i="11"/>
  <c r="CB17" i="11"/>
  <c r="CA17" i="11"/>
  <c r="BZ17" i="11"/>
  <c r="BY17" i="11"/>
  <c r="BX17" i="11"/>
  <c r="BW17" i="11"/>
  <c r="BV17" i="11"/>
  <c r="BU17" i="11"/>
  <c r="BT17" i="11"/>
  <c r="BS17" i="11"/>
  <c r="BR17" i="11"/>
  <c r="BQ17" i="11"/>
  <c r="BP17" i="11"/>
  <c r="BO17" i="11"/>
  <c r="BN17" i="11"/>
  <c r="BM17" i="11"/>
  <c r="BL17" i="11"/>
  <c r="BK17" i="11"/>
  <c r="BJ17" i="11"/>
  <c r="BI17" i="11"/>
  <c r="BH17" i="11"/>
  <c r="BG17" i="11"/>
  <c r="BF17" i="11"/>
  <c r="BE17" i="11"/>
  <c r="BD17" i="11"/>
  <c r="BC17" i="11"/>
  <c r="BB17" i="1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EF15" i="11"/>
  <c r="EE15" i="11"/>
  <c r="EB15" i="11"/>
  <c r="EA15" i="11"/>
  <c r="DY15" i="11"/>
  <c r="DX15" i="11"/>
  <c r="DW15" i="11"/>
  <c r="DU15" i="11"/>
  <c r="DT15" i="11"/>
  <c r="DS15" i="11"/>
  <c r="DP15" i="11"/>
  <c r="DO15" i="11"/>
  <c r="DL15" i="11"/>
  <c r="DK15" i="11"/>
  <c r="DI15" i="11"/>
  <c r="DH15" i="11"/>
  <c r="DG15" i="11"/>
  <c r="DE15" i="11"/>
  <c r="DD15" i="11"/>
  <c r="DC15" i="11"/>
  <c r="CZ15" i="11"/>
  <c r="CY15" i="11"/>
  <c r="CV15" i="11"/>
  <c r="CU15" i="11"/>
  <c r="CS15" i="11"/>
  <c r="CR15" i="11"/>
  <c r="CQ15" i="11"/>
  <c r="CO15" i="11"/>
  <c r="CN15" i="11"/>
  <c r="CM15" i="11"/>
  <c r="CJ15" i="11"/>
  <c r="CI15" i="11"/>
  <c r="CF15" i="11"/>
  <c r="CE15" i="11"/>
  <c r="CC15" i="11"/>
  <c r="CB15" i="11"/>
  <c r="CA15" i="11"/>
  <c r="BY15" i="11"/>
  <c r="BX15" i="11"/>
  <c r="BW15" i="11"/>
  <c r="BT15" i="11"/>
  <c r="BS15" i="11"/>
  <c r="BP15" i="11"/>
  <c r="BO15" i="11"/>
  <c r="BM15" i="11"/>
  <c r="BL15" i="11"/>
  <c r="BK15" i="11"/>
  <c r="BI15" i="11"/>
  <c r="BH15" i="11"/>
  <c r="BG15" i="11"/>
  <c r="BD15" i="11"/>
  <c r="BC15" i="11"/>
  <c r="AZ15" i="11"/>
  <c r="AY15" i="11"/>
  <c r="AW15" i="11"/>
  <c r="AV15" i="11"/>
  <c r="AU15" i="11"/>
  <c r="AS15" i="11"/>
  <c r="AR15" i="11"/>
  <c r="AQ15" i="11"/>
  <c r="AN15" i="11"/>
  <c r="AM15" i="11"/>
  <c r="AJ15" i="11"/>
  <c r="AI15" i="11"/>
  <c r="AG15" i="11"/>
  <c r="AF15" i="11"/>
  <c r="AE15" i="11"/>
  <c r="AC15" i="11"/>
  <c r="AB15" i="11"/>
  <c r="AA15" i="11"/>
  <c r="X15" i="11"/>
  <c r="W15" i="11"/>
  <c r="T15" i="11"/>
  <c r="S15" i="11"/>
  <c r="Q15" i="11"/>
  <c r="P15" i="11"/>
  <c r="O15" i="11"/>
  <c r="M15" i="11"/>
  <c r="L15" i="11"/>
  <c r="K15" i="11"/>
  <c r="H15" i="11"/>
  <c r="G15" i="11"/>
  <c r="D15" i="11"/>
  <c r="C15" i="11"/>
  <c r="EE14" i="11"/>
  <c r="ED14" i="11"/>
  <c r="EC14" i="11"/>
  <c r="EA14" i="11"/>
  <c r="DZ14" i="11"/>
  <c r="DY14" i="11"/>
  <c r="DV14" i="11"/>
  <c r="DU14" i="11"/>
  <c r="DR14" i="11"/>
  <c r="DQ14" i="11"/>
  <c r="DO14" i="11"/>
  <c r="DN14" i="11"/>
  <c r="DM14" i="11"/>
  <c r="DK14" i="11"/>
  <c r="DJ14" i="11"/>
  <c r="DI14" i="11"/>
  <c r="DF14" i="11"/>
  <c r="DE14" i="11"/>
  <c r="DB14" i="11"/>
  <c r="DA14" i="11"/>
  <c r="CY14" i="11"/>
  <c r="CX14" i="11"/>
  <c r="CW14" i="11"/>
  <c r="CU14" i="11"/>
  <c r="CT14" i="11"/>
  <c r="CS14" i="11"/>
  <c r="CP14" i="11"/>
  <c r="CO14" i="11"/>
  <c r="CL14" i="11"/>
  <c r="CK14" i="11"/>
  <c r="CI14" i="11"/>
  <c r="CH14" i="11"/>
  <c r="CG14" i="11"/>
  <c r="CE14" i="11"/>
  <c r="CD14" i="11"/>
  <c r="CC14" i="11"/>
  <c r="BZ14" i="11"/>
  <c r="BY14" i="11"/>
  <c r="BV14" i="11"/>
  <c r="BU14" i="11"/>
  <c r="BS14" i="11"/>
  <c r="BR14" i="11"/>
  <c r="BQ14" i="11"/>
  <c r="BO14" i="11"/>
  <c r="BN14" i="11"/>
  <c r="BM14" i="11"/>
  <c r="BJ14" i="11"/>
  <c r="BI14" i="11"/>
  <c r="BF14" i="11"/>
  <c r="BE14" i="11"/>
  <c r="BC14" i="11"/>
  <c r="BB14" i="11"/>
  <c r="BA14" i="11"/>
  <c r="AY14" i="11"/>
  <c r="AX14" i="11"/>
  <c r="AW14" i="11"/>
  <c r="AT14" i="11"/>
  <c r="AS14" i="11"/>
  <c r="AP14" i="11"/>
  <c r="AO14" i="11"/>
  <c r="AM14" i="11"/>
  <c r="AL14" i="11"/>
  <c r="AK14" i="11"/>
  <c r="AI14" i="11"/>
  <c r="AH14" i="11"/>
  <c r="AG14" i="11"/>
  <c r="AD14" i="11"/>
  <c r="AC14" i="11"/>
  <c r="Z14" i="11"/>
  <c r="Y14" i="11"/>
  <c r="W14" i="11"/>
  <c r="V14" i="11"/>
  <c r="U14" i="11"/>
  <c r="S14" i="11"/>
  <c r="R14" i="11"/>
  <c r="Q14" i="11"/>
  <c r="N14" i="11"/>
  <c r="M14" i="11"/>
  <c r="J14" i="11"/>
  <c r="I14" i="11"/>
  <c r="G14" i="11"/>
  <c r="F14" i="11"/>
  <c r="E14" i="11"/>
  <c r="C14" i="11"/>
  <c r="EF13" i="11"/>
  <c r="EE13" i="11"/>
  <c r="EB13" i="11"/>
  <c r="EA13" i="11"/>
  <c r="DX13" i="11"/>
  <c r="DW13" i="11"/>
  <c r="DU13" i="11"/>
  <c r="DT13" i="11"/>
  <c r="DS13" i="11"/>
  <c r="DQ13" i="11"/>
  <c r="DP13" i="11"/>
  <c r="DO13" i="11"/>
  <c r="DL13" i="11"/>
  <c r="DK13" i="11"/>
  <c r="DH13" i="11"/>
  <c r="DG13" i="11"/>
  <c r="DE13" i="11"/>
  <c r="DD13" i="11"/>
  <c r="DC13" i="11"/>
  <c r="DA13" i="11"/>
  <c r="CZ13" i="11"/>
  <c r="CY13" i="11"/>
  <c r="CV13" i="11"/>
  <c r="CU13" i="11"/>
  <c r="CR13" i="11"/>
  <c r="CQ13" i="11"/>
  <c r="CO13" i="11"/>
  <c r="CN13" i="11"/>
  <c r="CM13" i="11"/>
  <c r="CK13" i="11"/>
  <c r="CJ13" i="11"/>
  <c r="CI13" i="11"/>
  <c r="CF13" i="11"/>
  <c r="CE13" i="11"/>
  <c r="CB13" i="11"/>
  <c r="CA13" i="11"/>
  <c r="BY13" i="11"/>
  <c r="BX13" i="11"/>
  <c r="BW13" i="11"/>
  <c r="BU13" i="11"/>
  <c r="BT13" i="11"/>
  <c r="BS13" i="11"/>
  <c r="BP13" i="11"/>
  <c r="BO13" i="11"/>
  <c r="BL13" i="11"/>
  <c r="BK13" i="11"/>
  <c r="BJ13" i="11"/>
  <c r="BH13" i="11"/>
  <c r="BG13" i="11"/>
  <c r="BF13" i="11"/>
  <c r="BD13" i="11"/>
  <c r="BC13" i="11"/>
  <c r="BB13" i="11"/>
  <c r="AZ13" i="11"/>
  <c r="AY13" i="11"/>
  <c r="AX13" i="11"/>
  <c r="AV13" i="11"/>
  <c r="AU13" i="11"/>
  <c r="AT13" i="11"/>
  <c r="AR13" i="11"/>
  <c r="AQ13" i="11"/>
  <c r="AP13" i="11"/>
  <c r="AN13" i="11"/>
  <c r="AM13" i="11"/>
  <c r="AL13" i="11"/>
  <c r="AJ13" i="11"/>
  <c r="AI13" i="11"/>
  <c r="AH13" i="11"/>
  <c r="AF13" i="11"/>
  <c r="AE13" i="11"/>
  <c r="AD13" i="11"/>
  <c r="AB13" i="11"/>
  <c r="AA13" i="11"/>
  <c r="Z13" i="11"/>
  <c r="X13" i="11"/>
  <c r="W13" i="11"/>
  <c r="V13" i="11"/>
  <c r="T13" i="11"/>
  <c r="S13" i="11"/>
  <c r="R13" i="11"/>
  <c r="P13" i="11"/>
  <c r="O13" i="11"/>
  <c r="N13" i="11"/>
  <c r="L13" i="11"/>
  <c r="K13" i="11"/>
  <c r="J13" i="11"/>
  <c r="H13" i="11"/>
  <c r="G13" i="11"/>
  <c r="F13" i="11"/>
  <c r="D13" i="11"/>
  <c r="C13" i="11"/>
  <c r="E8" i="12" l="1"/>
  <c r="E7" i="12"/>
  <c r="M8" i="12"/>
  <c r="M7" i="12"/>
  <c r="U8" i="12"/>
  <c r="U7" i="12"/>
  <c r="Y8" i="12"/>
  <c r="Y7" i="12"/>
  <c r="AG8" i="12"/>
  <c r="AG7" i="12"/>
  <c r="CG8" i="12"/>
  <c r="CG7" i="12"/>
  <c r="CW8" i="12"/>
  <c r="CW7" i="12"/>
  <c r="DU8" i="12"/>
  <c r="DU7" i="12"/>
  <c r="G7" i="12"/>
  <c r="G8" i="12"/>
  <c r="S7" i="12"/>
  <c r="S8" i="12"/>
  <c r="AE7" i="12"/>
  <c r="AE8" i="12"/>
  <c r="I8" i="12"/>
  <c r="I7" i="12"/>
  <c r="Q8" i="12"/>
  <c r="Q7" i="12"/>
  <c r="AC8" i="12"/>
  <c r="AC7" i="12"/>
  <c r="BQ8" i="12"/>
  <c r="BQ7" i="12"/>
  <c r="CO8" i="12"/>
  <c r="CO7" i="12"/>
  <c r="DM8" i="12"/>
  <c r="DM7" i="12"/>
  <c r="C7" i="12"/>
  <c r="C8" i="12"/>
  <c r="K7" i="12"/>
  <c r="K8" i="12"/>
  <c r="O7" i="12"/>
  <c r="O8" i="12"/>
  <c r="W7" i="12"/>
  <c r="W8" i="12"/>
  <c r="AA7" i="12"/>
  <c r="AA8" i="12"/>
  <c r="D7" i="12"/>
  <c r="D8" i="12"/>
  <c r="H7" i="12"/>
  <c r="H8" i="12"/>
  <c r="L7" i="12"/>
  <c r="L8" i="12"/>
  <c r="P7" i="12"/>
  <c r="P8" i="12"/>
  <c r="T7" i="12"/>
  <c r="T8" i="12"/>
  <c r="X7" i="12"/>
  <c r="X8" i="12"/>
  <c r="AB7" i="12"/>
  <c r="AB8" i="12"/>
  <c r="AF7" i="12"/>
  <c r="AF8" i="12"/>
  <c r="AJ7" i="12"/>
  <c r="AJ8" i="12"/>
  <c r="AN7" i="12"/>
  <c r="AN8" i="12"/>
  <c r="AR7" i="12"/>
  <c r="AR8" i="12"/>
  <c r="AV7" i="12"/>
  <c r="AV8" i="12"/>
  <c r="AZ7" i="12"/>
  <c r="AZ8" i="12"/>
  <c r="BD7" i="12"/>
  <c r="BD8" i="12"/>
  <c r="BH7" i="12"/>
  <c r="BH8" i="12"/>
  <c r="BL7" i="12"/>
  <c r="BL8" i="12"/>
  <c r="BT7" i="12"/>
  <c r="BT8" i="12"/>
  <c r="CB7" i="12"/>
  <c r="CB8" i="12"/>
  <c r="CJ7" i="12"/>
  <c r="CJ8" i="12"/>
  <c r="CR7" i="12"/>
  <c r="CR8" i="12"/>
  <c r="CZ7" i="12"/>
  <c r="CZ8" i="12"/>
  <c r="DH7" i="12"/>
  <c r="DH8" i="12"/>
  <c r="DP7" i="12"/>
  <c r="DP8" i="12"/>
  <c r="DX7" i="12"/>
  <c r="DX8" i="12"/>
  <c r="F8" i="12"/>
  <c r="F7" i="12"/>
  <c r="J8" i="12"/>
  <c r="J7" i="12"/>
  <c r="N8" i="12"/>
  <c r="N7" i="12"/>
  <c r="R8" i="12"/>
  <c r="R7" i="12"/>
  <c r="V8" i="12"/>
  <c r="V7" i="12"/>
  <c r="Z8" i="12"/>
  <c r="Z7" i="12"/>
  <c r="AD8" i="12"/>
  <c r="AD7" i="12"/>
  <c r="AH8" i="12"/>
  <c r="AH7" i="12"/>
  <c r="AL8" i="12"/>
  <c r="AL7" i="12"/>
  <c r="AP8" i="12"/>
  <c r="AP7" i="12"/>
  <c r="ED8" i="12"/>
  <c r="ED7" i="12"/>
  <c r="BP7" i="12"/>
  <c r="BP8" i="12"/>
  <c r="CF7" i="12"/>
  <c r="CF8" i="12"/>
  <c r="CV7" i="12"/>
  <c r="CV8" i="12"/>
  <c r="DD7" i="12"/>
  <c r="DD8" i="12"/>
  <c r="EB7" i="12"/>
  <c r="EB8" i="12"/>
  <c r="BR8" i="12"/>
  <c r="BR7" i="12"/>
  <c r="BZ8" i="12"/>
  <c r="BZ7" i="12"/>
  <c r="CP8" i="12"/>
  <c r="CP7" i="12"/>
  <c r="DF8" i="12"/>
  <c r="DF7" i="12"/>
  <c r="DV8" i="12"/>
  <c r="DV7" i="12"/>
  <c r="AW8" i="12"/>
  <c r="AW7" i="12"/>
  <c r="BE8" i="12"/>
  <c r="BE7" i="12"/>
  <c r="BM8" i="12"/>
  <c r="BM7" i="12"/>
  <c r="BU8" i="12"/>
  <c r="BU7" i="12"/>
  <c r="CC8" i="12"/>
  <c r="CC7" i="12"/>
  <c r="CK8" i="12"/>
  <c r="CK7" i="12"/>
  <c r="DA8" i="12"/>
  <c r="DA7" i="12"/>
  <c r="DI8" i="12"/>
  <c r="DI7" i="12"/>
  <c r="DQ8" i="12"/>
  <c r="DQ7" i="12"/>
  <c r="DY8" i="12"/>
  <c r="DY7" i="12"/>
  <c r="AI7" i="12"/>
  <c r="AI8" i="12"/>
  <c r="AQ7" i="12"/>
  <c r="AQ8" i="12"/>
  <c r="AY7" i="12"/>
  <c r="AY8" i="12"/>
  <c r="BG7" i="12"/>
  <c r="BG8" i="12"/>
  <c r="BO7" i="12"/>
  <c r="BO8" i="12"/>
  <c r="BW7" i="12"/>
  <c r="BW8" i="12"/>
  <c r="CE7" i="12"/>
  <c r="CE8" i="12"/>
  <c r="CM7" i="12"/>
  <c r="CM8" i="12"/>
  <c r="CU7" i="12"/>
  <c r="CU8" i="12"/>
  <c r="DC7" i="12"/>
  <c r="DC8" i="12"/>
  <c r="DK7" i="12"/>
  <c r="DK8" i="12"/>
  <c r="DS7" i="12"/>
  <c r="DS8" i="12"/>
  <c r="EA7" i="12"/>
  <c r="EA8" i="12"/>
  <c r="BI7" i="12"/>
  <c r="BC8" i="12"/>
  <c r="AT6" i="12" a="1"/>
  <c r="AT6" i="12" s="1"/>
  <c r="AX6" i="12" a="1"/>
  <c r="AX6" i="12" s="1"/>
  <c r="BB6" i="12" a="1"/>
  <c r="BB6" i="12" s="1"/>
  <c r="BF6" i="12" a="1"/>
  <c r="BF6" i="12" s="1"/>
  <c r="BJ6" i="12" a="1"/>
  <c r="BJ6" i="12" s="1"/>
  <c r="BN6" i="12" a="1"/>
  <c r="BN6" i="12" s="1"/>
  <c r="BV6" i="12" a="1"/>
  <c r="BV6" i="12" s="1"/>
  <c r="CD6" i="12" a="1"/>
  <c r="CD6" i="12" s="1"/>
  <c r="CL6" i="12" a="1"/>
  <c r="CL6" i="12" s="1"/>
  <c r="CT6" i="12" a="1"/>
  <c r="CT6" i="12" s="1"/>
  <c r="DB6" i="12" a="1"/>
  <c r="DB6" i="12" s="1"/>
  <c r="DJ6" i="12" a="1"/>
  <c r="DJ6" i="12" s="1"/>
  <c r="DR6" i="12" a="1"/>
  <c r="DR6" i="12" s="1"/>
  <c r="DZ6" i="12" a="1"/>
  <c r="DZ6" i="12" s="1"/>
  <c r="AK7" i="12"/>
  <c r="EC7" i="12"/>
  <c r="BK8" i="12"/>
  <c r="BX7" i="12"/>
  <c r="BX8" i="12"/>
  <c r="CN7" i="12"/>
  <c r="CN8" i="12"/>
  <c r="DL7" i="12"/>
  <c r="DL8" i="12"/>
  <c r="DT7" i="12"/>
  <c r="DT8" i="12"/>
  <c r="EF7" i="12"/>
  <c r="EF8" i="12"/>
  <c r="CH8" i="12"/>
  <c r="CH7" i="12"/>
  <c r="CX8" i="12"/>
  <c r="CX7" i="12"/>
  <c r="DN8" i="12"/>
  <c r="DN7" i="12"/>
  <c r="AO8" i="12"/>
  <c r="AO7" i="12"/>
  <c r="CS8" i="12"/>
  <c r="CS7" i="12"/>
  <c r="BS6" i="12" a="1"/>
  <c r="BS6" i="12" s="1"/>
  <c r="CA6" i="12" a="1"/>
  <c r="CA6" i="12" s="1"/>
  <c r="CI6" i="12" a="1"/>
  <c r="CI6" i="12" s="1"/>
  <c r="CQ6" i="12" a="1"/>
  <c r="CQ6" i="12" s="1"/>
  <c r="CY6" i="12" a="1"/>
  <c r="CY6" i="12" s="1"/>
  <c r="DG6" i="12" a="1"/>
  <c r="DG6" i="12" s="1"/>
  <c r="DO6" i="12" a="1"/>
  <c r="DO6" i="12" s="1"/>
  <c r="DW6" i="12" a="1"/>
  <c r="DW6" i="12" s="1"/>
  <c r="AS7" i="12"/>
  <c r="BY7" i="12"/>
  <c r="DE7" i="12"/>
  <c r="AM8" i="12"/>
  <c r="EE6" i="12" a="1"/>
  <c r="EE6" i="12" s="1"/>
  <c r="B21" i="11"/>
  <c r="EI26" i="9"/>
  <c r="EH26" i="9"/>
  <c r="EH24" i="9"/>
  <c r="EG26" i="9"/>
  <c r="EI21" i="9"/>
  <c r="EI17" i="9"/>
  <c r="EI13" i="9"/>
  <c r="EH13" i="9"/>
  <c r="EH14" i="9"/>
  <c r="EH15" i="9"/>
  <c r="EH16" i="9"/>
  <c r="EH17" i="9"/>
  <c r="EH18" i="9"/>
  <c r="EH19" i="9"/>
  <c r="EH20" i="9"/>
  <c r="EH21" i="9"/>
  <c r="EH22" i="9"/>
  <c r="EH23" i="9"/>
  <c r="EH12" i="9"/>
  <c r="EG14" i="9"/>
  <c r="EI14" i="9" s="1"/>
  <c r="EG15" i="9"/>
  <c r="EI15" i="9" s="1"/>
  <c r="EG16" i="9"/>
  <c r="EI16" i="9" s="1"/>
  <c r="EG17" i="9"/>
  <c r="EG18" i="9"/>
  <c r="EI18" i="9" s="1"/>
  <c r="EG19" i="9"/>
  <c r="EI19" i="9" s="1"/>
  <c r="EG20" i="9"/>
  <c r="EI20" i="9" s="1"/>
  <c r="EG21" i="9"/>
  <c r="EG22" i="9"/>
  <c r="EI22" i="9" s="1"/>
  <c r="EG23" i="9"/>
  <c r="EI23" i="9" s="1"/>
  <c r="EG24" i="9"/>
  <c r="EI24" i="9" s="1"/>
  <c r="EG12" i="9"/>
  <c r="EI12" i="9" s="1"/>
  <c r="DA8" i="9"/>
  <c r="EF6" i="9" a="1"/>
  <c r="EF6" i="9" s="1"/>
  <c r="EF8" i="9" s="1"/>
  <c r="EE6" i="9" a="1"/>
  <c r="EE6" i="9" s="1"/>
  <c r="EE8" i="9" s="1"/>
  <c r="ED6" i="9" a="1"/>
  <c r="ED6" i="9" s="1"/>
  <c r="ED7" i="9" s="1"/>
  <c r="EC6" i="9" a="1"/>
  <c r="EC6" i="9" s="1"/>
  <c r="EB6" i="9" a="1"/>
  <c r="EB6" i="9" s="1"/>
  <c r="EB8" i="9" s="1"/>
  <c r="EA6" i="9" a="1"/>
  <c r="EA6" i="9" s="1"/>
  <c r="DZ6" i="9" a="1"/>
  <c r="DZ6" i="9" s="1"/>
  <c r="DY6" i="9" a="1"/>
  <c r="DY6" i="9" s="1"/>
  <c r="DY7" i="9" s="1"/>
  <c r="DX6" i="9" a="1"/>
  <c r="DX6" i="9" s="1"/>
  <c r="DX8" i="9" s="1"/>
  <c r="DW6" i="9" a="1"/>
  <c r="DW6" i="9" s="1"/>
  <c r="DW8" i="9" s="1"/>
  <c r="DV6" i="9" a="1"/>
  <c r="DV6" i="9" s="1"/>
  <c r="DV7" i="9" s="1"/>
  <c r="DU6" i="9" a="1"/>
  <c r="DU6" i="9" s="1"/>
  <c r="DT6" i="9" a="1"/>
  <c r="DT6" i="9" s="1"/>
  <c r="DT8" i="9" s="1"/>
  <c r="DS6" i="9" a="1"/>
  <c r="DS6" i="9" s="1"/>
  <c r="DR6" i="9" a="1"/>
  <c r="DR6" i="9" s="1"/>
  <c r="DQ6" i="9" a="1"/>
  <c r="DQ6" i="9" s="1"/>
  <c r="DQ7" i="9" s="1"/>
  <c r="DP6" i="9" a="1"/>
  <c r="DP6" i="9" s="1"/>
  <c r="DP8" i="9" s="1"/>
  <c r="DO6" i="9" a="1"/>
  <c r="DO6" i="9" s="1"/>
  <c r="DN6" i="9" a="1"/>
  <c r="DN6" i="9" s="1"/>
  <c r="DN7" i="9" s="1"/>
  <c r="DM6" i="9" a="1"/>
  <c r="DM6" i="9" s="1"/>
  <c r="DL6" i="9" a="1"/>
  <c r="DL6" i="9" s="1"/>
  <c r="DL8" i="9" s="1"/>
  <c r="DK6" i="9" a="1"/>
  <c r="DK6" i="9" s="1"/>
  <c r="DJ6" i="9" a="1"/>
  <c r="DJ6" i="9" s="1"/>
  <c r="DI6" i="9" a="1"/>
  <c r="DI6" i="9" s="1"/>
  <c r="DI7" i="9" s="1"/>
  <c r="DH6" i="9" a="1"/>
  <c r="DH6" i="9" s="1"/>
  <c r="DH8" i="9" s="1"/>
  <c r="DG6" i="9" a="1"/>
  <c r="DG6" i="9" s="1"/>
  <c r="DF6" i="9" a="1"/>
  <c r="DF6" i="9" s="1"/>
  <c r="DF7" i="9" s="1"/>
  <c r="DE6" i="9" a="1"/>
  <c r="DE6" i="9" s="1"/>
  <c r="DD6" i="9" a="1"/>
  <c r="DD6" i="9" s="1"/>
  <c r="DD8" i="9" s="1"/>
  <c r="DC6" i="9" a="1"/>
  <c r="DC6" i="9" s="1"/>
  <c r="DB6" i="9" a="1"/>
  <c r="DB6" i="9" s="1"/>
  <c r="DA6" i="9" a="1"/>
  <c r="DA6" i="9" s="1"/>
  <c r="DA7" i="9" s="1"/>
  <c r="CZ6" i="9" a="1"/>
  <c r="CZ6" i="9" s="1"/>
  <c r="CZ8" i="9" s="1"/>
  <c r="CY6" i="9" a="1"/>
  <c r="CY6" i="9" s="1"/>
  <c r="CY8" i="9" s="1"/>
  <c r="CX6" i="9" a="1"/>
  <c r="CX6" i="9" s="1"/>
  <c r="CX7" i="9" s="1"/>
  <c r="CW6" i="9" a="1"/>
  <c r="CW6" i="9" s="1"/>
  <c r="CV6" i="9" a="1"/>
  <c r="CV6" i="9" s="1"/>
  <c r="CU6" i="9" a="1"/>
  <c r="CU6" i="9" s="1"/>
  <c r="CT6" i="9" a="1"/>
  <c r="CT6" i="9" s="1"/>
  <c r="CS6" i="9" a="1"/>
  <c r="CS6" i="9" s="1"/>
  <c r="CS7" i="9" s="1"/>
  <c r="CR6" i="9" a="1"/>
  <c r="CR6" i="9" s="1"/>
  <c r="CQ6" i="9" a="1"/>
  <c r="CQ6" i="9" s="1"/>
  <c r="CQ8" i="9" s="1"/>
  <c r="CP6" i="9" a="1"/>
  <c r="CP6" i="9" s="1"/>
  <c r="CO6" i="9" a="1"/>
  <c r="CO6" i="9" s="1"/>
  <c r="CN6" i="9" a="1"/>
  <c r="CN6" i="9" s="1"/>
  <c r="CM6" i="9" a="1"/>
  <c r="CM6" i="9" s="1"/>
  <c r="CL6" i="9" a="1"/>
  <c r="CL6" i="9" s="1"/>
  <c r="CK6" i="9" a="1"/>
  <c r="CK6" i="9" s="1"/>
  <c r="CK7" i="9" s="1"/>
  <c r="CJ6" i="9" a="1"/>
  <c r="CJ6" i="9" s="1"/>
  <c r="CI6" i="9" a="1"/>
  <c r="CI6" i="9" s="1"/>
  <c r="CI8" i="9" s="1"/>
  <c r="CH6" i="9" a="1"/>
  <c r="CH6" i="9" s="1"/>
  <c r="CG6" i="9" a="1"/>
  <c r="CG6" i="9" s="1"/>
  <c r="CF6" i="9" a="1"/>
  <c r="CF6" i="9" s="1"/>
  <c r="CE6" i="9" a="1"/>
  <c r="CE6" i="9" s="1"/>
  <c r="CD6" i="9" a="1"/>
  <c r="CD6" i="9" s="1"/>
  <c r="CC6" i="9" a="1"/>
  <c r="CC6" i="9" s="1"/>
  <c r="CC7" i="9" s="1"/>
  <c r="CB6" i="9" a="1"/>
  <c r="CB6" i="9" s="1"/>
  <c r="CA6" i="9" a="1"/>
  <c r="CA6" i="9" s="1"/>
  <c r="CA8" i="9" s="1"/>
  <c r="BZ6" i="9" a="1"/>
  <c r="BZ6" i="9" s="1"/>
  <c r="BY6" i="9" a="1"/>
  <c r="BY6" i="9" s="1"/>
  <c r="BX6" i="9" a="1"/>
  <c r="BX6" i="9" s="1"/>
  <c r="BW6" i="9" a="1"/>
  <c r="BW6" i="9" s="1"/>
  <c r="BV6" i="9" a="1"/>
  <c r="BV6" i="9" s="1"/>
  <c r="BU6" i="9" a="1"/>
  <c r="BU6" i="9" s="1"/>
  <c r="BU7" i="9" s="1"/>
  <c r="BT6" i="9" a="1"/>
  <c r="BT6" i="9" s="1"/>
  <c r="BS6" i="9" a="1"/>
  <c r="BS6" i="9" s="1"/>
  <c r="BS8" i="9" s="1"/>
  <c r="BR6" i="9" a="1"/>
  <c r="BR6" i="9" s="1"/>
  <c r="BQ6" i="9" a="1"/>
  <c r="BQ6" i="9" s="1"/>
  <c r="BP6" i="9" a="1"/>
  <c r="BP6" i="9" s="1"/>
  <c r="BO6" i="9" a="1"/>
  <c r="BO6" i="9" s="1"/>
  <c r="BN6" i="9" a="1"/>
  <c r="BN6" i="9" s="1"/>
  <c r="BM6" i="9" a="1"/>
  <c r="BM6" i="9" s="1"/>
  <c r="BM7" i="9" s="1"/>
  <c r="BL6" i="9" a="1"/>
  <c r="BL6" i="9" s="1"/>
  <c r="BK6" i="9" a="1"/>
  <c r="BK6" i="9" s="1"/>
  <c r="BK8" i="9" s="1"/>
  <c r="BJ6" i="9" a="1"/>
  <c r="BJ6" i="9" s="1"/>
  <c r="BI6" i="9" a="1"/>
  <c r="BI6" i="9" s="1"/>
  <c r="BH6" i="9" a="1"/>
  <c r="BH6" i="9" s="1"/>
  <c r="BG6" i="9" a="1"/>
  <c r="BG6" i="9" s="1"/>
  <c r="BF6" i="9" a="1"/>
  <c r="BF6" i="9" s="1"/>
  <c r="BE6" i="9" a="1"/>
  <c r="BE6" i="9" s="1"/>
  <c r="BE7" i="9" s="1"/>
  <c r="BD6" i="9" a="1"/>
  <c r="BD6" i="9" s="1"/>
  <c r="BC6" i="9" a="1"/>
  <c r="BC6" i="9" s="1"/>
  <c r="BC8" i="9" s="1"/>
  <c r="BB6" i="9" a="1"/>
  <c r="BB6" i="9" s="1"/>
  <c r="BA6" i="9" a="1"/>
  <c r="BA6" i="9" s="1"/>
  <c r="AZ6" i="9" a="1"/>
  <c r="AZ6" i="9" s="1"/>
  <c r="AY6" i="9" a="1"/>
  <c r="AY6" i="9" s="1"/>
  <c r="AX6" i="9" a="1"/>
  <c r="AX6" i="9" s="1"/>
  <c r="AW6" i="9" a="1"/>
  <c r="AW6" i="9" s="1"/>
  <c r="AW7" i="9" s="1"/>
  <c r="AV6" i="9" a="1"/>
  <c r="AV6" i="9" s="1"/>
  <c r="AU6" i="9" a="1"/>
  <c r="AU6" i="9" s="1"/>
  <c r="AU8" i="9" s="1"/>
  <c r="AT6" i="9" a="1"/>
  <c r="AT6" i="9" s="1"/>
  <c r="AS6" i="9" a="1"/>
  <c r="AS6" i="9" s="1"/>
  <c r="AR6" i="9" a="1"/>
  <c r="AR6" i="9" s="1"/>
  <c r="AQ6" i="9" a="1"/>
  <c r="AQ6" i="9" s="1"/>
  <c r="AP6" i="9" a="1"/>
  <c r="AP6" i="9" s="1"/>
  <c r="AO6" i="9" a="1"/>
  <c r="AO6" i="9" s="1"/>
  <c r="AO7" i="9" s="1"/>
  <c r="AN6" i="9" a="1"/>
  <c r="AN6" i="9" s="1"/>
  <c r="AM6" i="9" a="1"/>
  <c r="AM6" i="9" s="1"/>
  <c r="AL6" i="9" a="1"/>
  <c r="AL6" i="9" s="1"/>
  <c r="AK6" i="9" a="1"/>
  <c r="AK6" i="9" s="1"/>
  <c r="AJ6" i="9" a="1"/>
  <c r="AJ6" i="9" s="1"/>
  <c r="AI6" i="9" a="1"/>
  <c r="AI6" i="9" s="1"/>
  <c r="AH6" i="9" a="1"/>
  <c r="AH6" i="9" s="1"/>
  <c r="AG6" i="9" a="1"/>
  <c r="AG6" i="9" s="1"/>
  <c r="AG7" i="9" s="1"/>
  <c r="AF6" i="9" a="1"/>
  <c r="AF6" i="9" s="1"/>
  <c r="AE6" i="9" a="1"/>
  <c r="AE6" i="9" s="1"/>
  <c r="AD6" i="9" a="1"/>
  <c r="AD6" i="9" s="1"/>
  <c r="AC6" i="9" a="1"/>
  <c r="AC6" i="9" s="1"/>
  <c r="AB6" i="9" a="1"/>
  <c r="AB6" i="9" s="1"/>
  <c r="AA6" i="9" a="1"/>
  <c r="AA6" i="9" s="1"/>
  <c r="Z6" i="9" a="1"/>
  <c r="Z6" i="9" s="1"/>
  <c r="Y6" i="9" a="1"/>
  <c r="Y6" i="9" s="1"/>
  <c r="Y7" i="9" s="1"/>
  <c r="X6" i="9" a="1"/>
  <c r="X6" i="9" s="1"/>
  <c r="W6" i="9" a="1"/>
  <c r="W6" i="9" s="1"/>
  <c r="V6" i="9" a="1"/>
  <c r="V6" i="9" s="1"/>
  <c r="U6" i="9" a="1"/>
  <c r="U6" i="9" s="1"/>
  <c r="T6" i="9" a="1"/>
  <c r="T6" i="9" s="1"/>
  <c r="S6" i="9" a="1"/>
  <c r="S6" i="9" s="1"/>
  <c r="R6" i="9" a="1"/>
  <c r="R6" i="9" s="1"/>
  <c r="Q6" i="9" a="1"/>
  <c r="Q6" i="9" s="1"/>
  <c r="Q7" i="9" s="1"/>
  <c r="P6" i="9" a="1"/>
  <c r="P6" i="9" s="1"/>
  <c r="O6" i="9" a="1"/>
  <c r="O6" i="9" s="1"/>
  <c r="N6" i="9" a="1"/>
  <c r="N6" i="9" s="1"/>
  <c r="M6" i="9" a="1"/>
  <c r="M6" i="9" s="1"/>
  <c r="L6" i="9" a="1"/>
  <c r="L6" i="9" s="1"/>
  <c r="K6" i="9" a="1"/>
  <c r="K6" i="9" s="1"/>
  <c r="J6" i="9" a="1"/>
  <c r="J6" i="9" s="1"/>
  <c r="I6" i="9" a="1"/>
  <c r="I6" i="9" s="1"/>
  <c r="I7" i="9" s="1"/>
  <c r="H6" i="9" a="1"/>
  <c r="H6" i="9" s="1"/>
  <c r="G6" i="9" a="1"/>
  <c r="G6" i="9" s="1"/>
  <c r="F6" i="9" a="1"/>
  <c r="F6" i="9" s="1"/>
  <c r="E6" i="9" a="1"/>
  <c r="E6" i="9" s="1"/>
  <c r="D6" i="9" a="1"/>
  <c r="D6" i="9" s="1"/>
  <c r="C6" i="9" a="1"/>
  <c r="C6" i="9" s="1"/>
  <c r="CQ7" i="12" l="1"/>
  <c r="CQ8" i="12"/>
  <c r="DR8" i="12"/>
  <c r="DR7" i="12"/>
  <c r="BJ8" i="12"/>
  <c r="BJ7" i="12"/>
  <c r="DO7" i="12"/>
  <c r="DO8" i="12"/>
  <c r="CI7" i="12"/>
  <c r="CI8" i="12"/>
  <c r="DJ8" i="12"/>
  <c r="DJ7" i="12"/>
  <c r="CD8" i="12"/>
  <c r="CD7" i="12"/>
  <c r="BF8" i="12"/>
  <c r="BF7" i="12"/>
  <c r="EE7" i="12"/>
  <c r="EE8" i="12"/>
  <c r="CY7" i="12"/>
  <c r="CY8" i="12"/>
  <c r="BS7" i="12"/>
  <c r="BS8" i="12"/>
  <c r="DZ8" i="12"/>
  <c r="DZ7" i="12"/>
  <c r="CT8" i="12"/>
  <c r="CT7" i="12"/>
  <c r="BN8" i="12"/>
  <c r="BN7" i="12"/>
  <c r="AX8" i="12"/>
  <c r="AX7" i="12"/>
  <c r="DW7" i="12"/>
  <c r="DW8" i="12"/>
  <c r="CL8" i="12"/>
  <c r="CL7" i="12"/>
  <c r="AT8" i="12"/>
  <c r="AT7" i="12"/>
  <c r="DG7" i="12"/>
  <c r="DG8" i="12"/>
  <c r="CA7" i="12"/>
  <c r="CA8" i="12"/>
  <c r="DB8" i="12"/>
  <c r="DB7" i="12"/>
  <c r="BV8" i="12"/>
  <c r="BV7" i="12"/>
  <c r="BB8" i="12"/>
  <c r="BB7" i="12"/>
  <c r="DI8" i="9"/>
  <c r="CA7" i="9"/>
  <c r="DO8" i="9"/>
  <c r="DO7" i="9"/>
  <c r="DG8" i="9"/>
  <c r="DG7" i="9"/>
  <c r="AU7" i="9"/>
  <c r="BU8" i="9"/>
  <c r="AC7" i="9"/>
  <c r="AC8" i="9"/>
  <c r="AM8" i="9"/>
  <c r="AM7" i="9"/>
  <c r="G8" i="9"/>
  <c r="G7" i="9"/>
  <c r="M7" i="9"/>
  <c r="M8" i="9"/>
  <c r="W8" i="9"/>
  <c r="W7" i="9"/>
  <c r="E7" i="9"/>
  <c r="E8" i="9"/>
  <c r="O8" i="9"/>
  <c r="O7" i="9"/>
  <c r="U7" i="9"/>
  <c r="U8" i="9"/>
  <c r="AE8" i="9"/>
  <c r="AE7" i="9"/>
  <c r="AK7" i="9"/>
  <c r="AK8" i="9"/>
  <c r="AS7" i="9"/>
  <c r="AS8" i="9"/>
  <c r="T8" i="9"/>
  <c r="T7" i="9"/>
  <c r="AB8" i="9"/>
  <c r="AB7" i="9"/>
  <c r="AZ8" i="9"/>
  <c r="AZ7" i="9"/>
  <c r="DJ7" i="9"/>
  <c r="DJ8" i="9"/>
  <c r="DM7" i="9"/>
  <c r="DM8" i="9"/>
  <c r="EA8" i="9"/>
  <c r="EA7" i="9"/>
  <c r="I8" i="9"/>
  <c r="R7" i="9"/>
  <c r="R8" i="9"/>
  <c r="AH7" i="9"/>
  <c r="AH8" i="9"/>
  <c r="BI7" i="9"/>
  <c r="BI8" i="9"/>
  <c r="BQ7" i="9"/>
  <c r="BQ8" i="9"/>
  <c r="CW7" i="9"/>
  <c r="CW8" i="9"/>
  <c r="DK8" i="9"/>
  <c r="DK7" i="9"/>
  <c r="DU7" i="9"/>
  <c r="DU8" i="9"/>
  <c r="BC7" i="9"/>
  <c r="CI7" i="9"/>
  <c r="Q8" i="9"/>
  <c r="AW8" i="9"/>
  <c r="CC8" i="9"/>
  <c r="D8" i="9"/>
  <c r="D7" i="9"/>
  <c r="AV8" i="9"/>
  <c r="AV7" i="9"/>
  <c r="BD8" i="9"/>
  <c r="BD7" i="9"/>
  <c r="BH8" i="9"/>
  <c r="BH7" i="9"/>
  <c r="BL8" i="9"/>
  <c r="BL7" i="9"/>
  <c r="BP8" i="9"/>
  <c r="BP7" i="9"/>
  <c r="BT8" i="9"/>
  <c r="BT7" i="9"/>
  <c r="BX8" i="9"/>
  <c r="BX7" i="9"/>
  <c r="CB8" i="9"/>
  <c r="CB7" i="9"/>
  <c r="CF8" i="9"/>
  <c r="CF7" i="9"/>
  <c r="CJ8" i="9"/>
  <c r="CJ7" i="9"/>
  <c r="CN8" i="9"/>
  <c r="CN7" i="9"/>
  <c r="CR8" i="9"/>
  <c r="CR7" i="9"/>
  <c r="CV8" i="9"/>
  <c r="CV7" i="9"/>
  <c r="DC8" i="9"/>
  <c r="DC7" i="9"/>
  <c r="AO8" i="9"/>
  <c r="J7" i="9"/>
  <c r="J8" i="9"/>
  <c r="Z7" i="9"/>
  <c r="Z8" i="9"/>
  <c r="AP7" i="9"/>
  <c r="AP8" i="9"/>
  <c r="BA7" i="9"/>
  <c r="BA8" i="9"/>
  <c r="BY7" i="9"/>
  <c r="BY8" i="9"/>
  <c r="CG7" i="9"/>
  <c r="CG8" i="9"/>
  <c r="CO7" i="9"/>
  <c r="CO8" i="9"/>
  <c r="H8" i="9"/>
  <c r="H7" i="9"/>
  <c r="P8" i="9"/>
  <c r="P7" i="9"/>
  <c r="X8" i="9"/>
  <c r="X7" i="9"/>
  <c r="AF8" i="9"/>
  <c r="AF7" i="9"/>
  <c r="AN8" i="9"/>
  <c r="AN7" i="9"/>
  <c r="AQ8" i="9"/>
  <c r="AQ7" i="9"/>
  <c r="AT7" i="9"/>
  <c r="AT8" i="9"/>
  <c r="AX7" i="9"/>
  <c r="AX8" i="9"/>
  <c r="BB7" i="9"/>
  <c r="BB8" i="9"/>
  <c r="BF7" i="9"/>
  <c r="BF8" i="9"/>
  <c r="BJ7" i="9"/>
  <c r="BJ8" i="9"/>
  <c r="BN7" i="9"/>
  <c r="BN8" i="9"/>
  <c r="BR7" i="9"/>
  <c r="BR8" i="9"/>
  <c r="BV7" i="9"/>
  <c r="BV8" i="9"/>
  <c r="BZ7" i="9"/>
  <c r="BZ8" i="9"/>
  <c r="CD7" i="9"/>
  <c r="CD8" i="9"/>
  <c r="CH7" i="9"/>
  <c r="CH8" i="9"/>
  <c r="CL7" i="9"/>
  <c r="CL8" i="9"/>
  <c r="CP7" i="9"/>
  <c r="CP8" i="9"/>
  <c r="CT7" i="9"/>
  <c r="CT8" i="9"/>
  <c r="DE7" i="9"/>
  <c r="DE8" i="9"/>
  <c r="DR7" i="9"/>
  <c r="DR8" i="9"/>
  <c r="EC7" i="9"/>
  <c r="EC8" i="9"/>
  <c r="BK7" i="9"/>
  <c r="CQ7" i="9"/>
  <c r="DW7" i="9"/>
  <c r="Y8" i="9"/>
  <c r="BE8" i="9"/>
  <c r="CK8" i="9"/>
  <c r="DQ8" i="9"/>
  <c r="L8" i="9"/>
  <c r="L7" i="9"/>
  <c r="AJ8" i="9"/>
  <c r="AJ7" i="9"/>
  <c r="C8" i="9"/>
  <c r="C7" i="9"/>
  <c r="F7" i="9"/>
  <c r="F8" i="9"/>
  <c r="K8" i="9"/>
  <c r="K7" i="9"/>
  <c r="N7" i="9"/>
  <c r="N8" i="9"/>
  <c r="S8" i="9"/>
  <c r="S7" i="9"/>
  <c r="V7" i="9"/>
  <c r="V8" i="9"/>
  <c r="AA8" i="9"/>
  <c r="AA7" i="9"/>
  <c r="AD7" i="9"/>
  <c r="AD8" i="9"/>
  <c r="AI8" i="9"/>
  <c r="AI7" i="9"/>
  <c r="AL7" i="9"/>
  <c r="AL8" i="9"/>
  <c r="AR8" i="9"/>
  <c r="AR7" i="9"/>
  <c r="AY8" i="9"/>
  <c r="AY7" i="9"/>
  <c r="BG8" i="9"/>
  <c r="BG7" i="9"/>
  <c r="BO8" i="9"/>
  <c r="BO7" i="9"/>
  <c r="BW8" i="9"/>
  <c r="BW7" i="9"/>
  <c r="CE8" i="9"/>
  <c r="CE7" i="9"/>
  <c r="CM8" i="9"/>
  <c r="CM7" i="9"/>
  <c r="CU8" i="9"/>
  <c r="CU7" i="9"/>
  <c r="DB7" i="9"/>
  <c r="DB8" i="9"/>
  <c r="DS8" i="9"/>
  <c r="DS7" i="9"/>
  <c r="DZ7" i="9"/>
  <c r="DZ8" i="9"/>
  <c r="BS7" i="9"/>
  <c r="CY7" i="9"/>
  <c r="EE7" i="9"/>
  <c r="AG8" i="9"/>
  <c r="BM8" i="9"/>
  <c r="CS8" i="9"/>
  <c r="DY8" i="9"/>
  <c r="CZ7" i="9"/>
  <c r="DP7" i="9"/>
  <c r="EF7" i="9"/>
  <c r="DH7" i="9"/>
  <c r="DX7" i="9"/>
  <c r="DD7" i="9"/>
  <c r="DL7" i="9"/>
  <c r="DT7" i="9"/>
  <c r="EB7" i="9"/>
  <c r="CX8" i="9"/>
  <c r="DF8" i="9"/>
  <c r="DN8" i="9"/>
  <c r="DV8" i="9"/>
  <c r="ED8" i="9"/>
  <c r="D25" i="7" l="1"/>
  <c r="E25" i="7" s="1"/>
  <c r="F25" i="7" s="1"/>
  <c r="G25" i="7" s="1"/>
  <c r="H25" i="7" s="1"/>
  <c r="I25" i="7" s="1"/>
  <c r="J25" i="7" s="1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X25" i="7" s="1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AJ25" i="7" s="1"/>
  <c r="AK25" i="7" s="1"/>
  <c r="AL25" i="7" s="1"/>
  <c r="AM25" i="7" s="1"/>
  <c r="AN25" i="7" s="1"/>
  <c r="AO25" i="7" s="1"/>
  <c r="AP25" i="7" s="1"/>
  <c r="AQ25" i="7" s="1"/>
  <c r="AR25" i="7" s="1"/>
  <c r="AS25" i="7" s="1"/>
  <c r="AT25" i="7" s="1"/>
  <c r="AU25" i="7" s="1"/>
  <c r="AV25" i="7" s="1"/>
  <c r="AW25" i="7" s="1"/>
  <c r="AX25" i="7" s="1"/>
  <c r="AY25" i="7" s="1"/>
  <c r="AZ25" i="7" s="1"/>
  <c r="BA25" i="7" s="1"/>
  <c r="BB25" i="7" s="1"/>
  <c r="BC25" i="7" s="1"/>
  <c r="BD25" i="7" s="1"/>
  <c r="BE25" i="7" s="1"/>
  <c r="BF25" i="7" s="1"/>
  <c r="BG25" i="7" s="1"/>
  <c r="BH25" i="7" s="1"/>
  <c r="BI25" i="7" s="1"/>
  <c r="BJ25" i="7" s="1"/>
  <c r="BK25" i="7" s="1"/>
  <c r="BL25" i="7" s="1"/>
  <c r="BM25" i="7" s="1"/>
  <c r="BN25" i="7" s="1"/>
  <c r="BO25" i="7" s="1"/>
  <c r="BP25" i="7" s="1"/>
  <c r="BQ25" i="7" s="1"/>
  <c r="BR25" i="7" s="1"/>
  <c r="BS25" i="7" s="1"/>
  <c r="BT25" i="7" s="1"/>
  <c r="BU25" i="7" s="1"/>
  <c r="BV25" i="7" s="1"/>
  <c r="BW25" i="7" s="1"/>
  <c r="BX25" i="7" s="1"/>
  <c r="BY25" i="7" s="1"/>
  <c r="BZ25" i="7" s="1"/>
  <c r="CA25" i="7" s="1"/>
  <c r="CB25" i="7" s="1"/>
  <c r="CC25" i="7" s="1"/>
  <c r="CD25" i="7" s="1"/>
  <c r="CE25" i="7" s="1"/>
  <c r="CF25" i="7" s="1"/>
  <c r="CG25" i="7" s="1"/>
  <c r="CH25" i="7" s="1"/>
  <c r="CI25" i="7" s="1"/>
  <c r="CJ25" i="7" s="1"/>
  <c r="CK25" i="7" s="1"/>
  <c r="CL25" i="7" s="1"/>
  <c r="CM25" i="7" s="1"/>
  <c r="CN25" i="7" s="1"/>
  <c r="CO25" i="7" s="1"/>
  <c r="CP25" i="7" s="1"/>
  <c r="CQ25" i="7" s="1"/>
  <c r="CR25" i="7" s="1"/>
  <c r="CS25" i="7" s="1"/>
  <c r="CT25" i="7" s="1"/>
  <c r="CU25" i="7" s="1"/>
  <c r="CV25" i="7" s="1"/>
  <c r="CW25" i="7" s="1"/>
  <c r="CX25" i="7" s="1"/>
  <c r="CY25" i="7" s="1"/>
  <c r="CZ25" i="7" s="1"/>
  <c r="DA25" i="7" s="1"/>
  <c r="DB25" i="7" s="1"/>
  <c r="DC25" i="7" s="1"/>
  <c r="DD25" i="7" s="1"/>
  <c r="DE25" i="7" s="1"/>
  <c r="DF25" i="7" s="1"/>
  <c r="DG25" i="7" s="1"/>
  <c r="DH25" i="7" s="1"/>
  <c r="DI25" i="7" s="1"/>
  <c r="DJ25" i="7" s="1"/>
  <c r="DK25" i="7" s="1"/>
  <c r="DL25" i="7" s="1"/>
  <c r="DM25" i="7" s="1"/>
  <c r="DN25" i="7" s="1"/>
  <c r="DO25" i="7" s="1"/>
  <c r="DP25" i="7" s="1"/>
  <c r="DQ25" i="7" s="1"/>
  <c r="DR25" i="7" s="1"/>
  <c r="DS25" i="7" s="1"/>
  <c r="DT25" i="7" s="1"/>
  <c r="DU25" i="7" s="1"/>
  <c r="DV25" i="7" s="1"/>
  <c r="DW25" i="7" s="1"/>
  <c r="DX25" i="7" s="1"/>
  <c r="DY25" i="7" s="1"/>
  <c r="DZ25" i="7" s="1"/>
  <c r="EA25" i="7" s="1"/>
  <c r="EB25" i="7" s="1"/>
  <c r="EC25" i="7" s="1"/>
  <c r="ED25" i="7" s="1"/>
  <c r="EE25" i="7" s="1"/>
  <c r="EF25" i="7" s="1"/>
  <c r="D24" i="7"/>
  <c r="E24" i="7" s="1"/>
  <c r="F24" i="7" s="1"/>
  <c r="G24" i="7" s="1"/>
  <c r="H24" i="7" s="1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AI24" i="7" s="1"/>
  <c r="AJ24" i="7" s="1"/>
  <c r="AK24" i="7" s="1"/>
  <c r="AL24" i="7" s="1"/>
  <c r="AM24" i="7" s="1"/>
  <c r="AN24" i="7" s="1"/>
  <c r="AO24" i="7" s="1"/>
  <c r="AP24" i="7" s="1"/>
  <c r="AQ24" i="7" s="1"/>
  <c r="AR24" i="7" s="1"/>
  <c r="AS24" i="7" s="1"/>
  <c r="AT24" i="7" s="1"/>
  <c r="AU24" i="7" s="1"/>
  <c r="AV24" i="7" s="1"/>
  <c r="AW24" i="7" s="1"/>
  <c r="AX24" i="7" s="1"/>
  <c r="AY24" i="7" s="1"/>
  <c r="AZ24" i="7" s="1"/>
  <c r="BA24" i="7" s="1"/>
  <c r="BB24" i="7" s="1"/>
  <c r="BC24" i="7" s="1"/>
  <c r="BD24" i="7" s="1"/>
  <c r="BE24" i="7" s="1"/>
  <c r="BF24" i="7" s="1"/>
  <c r="BG24" i="7" s="1"/>
  <c r="BH24" i="7" s="1"/>
  <c r="BI24" i="7" s="1"/>
  <c r="BJ24" i="7" s="1"/>
  <c r="BK24" i="7" s="1"/>
  <c r="BL24" i="7" s="1"/>
  <c r="BM24" i="7" s="1"/>
  <c r="BN24" i="7" s="1"/>
  <c r="BO24" i="7" s="1"/>
  <c r="BP24" i="7" s="1"/>
  <c r="BQ24" i="7" s="1"/>
  <c r="BR24" i="7" s="1"/>
  <c r="BS24" i="7" s="1"/>
  <c r="BT24" i="7" s="1"/>
  <c r="BU24" i="7" s="1"/>
  <c r="BV24" i="7" s="1"/>
  <c r="BW24" i="7" s="1"/>
  <c r="BX24" i="7" s="1"/>
  <c r="BY24" i="7" s="1"/>
  <c r="BZ24" i="7" s="1"/>
  <c r="CA24" i="7" s="1"/>
  <c r="CB24" i="7" s="1"/>
  <c r="CC24" i="7" s="1"/>
  <c r="CD24" i="7" s="1"/>
  <c r="CE24" i="7" s="1"/>
  <c r="CF24" i="7" s="1"/>
  <c r="CG24" i="7" s="1"/>
  <c r="CH24" i="7" s="1"/>
  <c r="CI24" i="7" s="1"/>
  <c r="CJ24" i="7" s="1"/>
  <c r="CK24" i="7" s="1"/>
  <c r="CL24" i="7" s="1"/>
  <c r="CM24" i="7" s="1"/>
  <c r="CN24" i="7" s="1"/>
  <c r="CO24" i="7" s="1"/>
  <c r="CP24" i="7" s="1"/>
  <c r="CQ24" i="7" s="1"/>
  <c r="CR24" i="7" s="1"/>
  <c r="CS24" i="7" s="1"/>
  <c r="CT24" i="7" s="1"/>
  <c r="CU24" i="7" s="1"/>
  <c r="CV24" i="7" s="1"/>
  <c r="CW24" i="7" s="1"/>
  <c r="CX24" i="7" s="1"/>
  <c r="CY24" i="7" s="1"/>
  <c r="CZ24" i="7" s="1"/>
  <c r="DA24" i="7" s="1"/>
  <c r="DB24" i="7" s="1"/>
  <c r="DC24" i="7" s="1"/>
  <c r="DD24" i="7" s="1"/>
  <c r="DE24" i="7" s="1"/>
  <c r="DF24" i="7" s="1"/>
  <c r="DG24" i="7" s="1"/>
  <c r="DH24" i="7" s="1"/>
  <c r="DI24" i="7" s="1"/>
  <c r="DJ24" i="7" s="1"/>
  <c r="DK24" i="7" s="1"/>
  <c r="DL24" i="7" s="1"/>
  <c r="DM24" i="7" s="1"/>
  <c r="DN24" i="7" s="1"/>
  <c r="DO24" i="7" s="1"/>
  <c r="DP24" i="7" s="1"/>
  <c r="DQ24" i="7" s="1"/>
  <c r="DR24" i="7" s="1"/>
  <c r="DS24" i="7" s="1"/>
  <c r="DT24" i="7" s="1"/>
  <c r="DU24" i="7" s="1"/>
  <c r="DV24" i="7" s="1"/>
  <c r="DW24" i="7" s="1"/>
  <c r="DX24" i="7" s="1"/>
  <c r="DY24" i="7" s="1"/>
  <c r="DZ24" i="7" s="1"/>
  <c r="EA24" i="7" s="1"/>
  <c r="EB24" i="7" s="1"/>
  <c r="EC24" i="7" s="1"/>
  <c r="ED24" i="7" s="1"/>
  <c r="EE24" i="7" s="1"/>
  <c r="EF24" i="7" s="1"/>
  <c r="D23" i="7"/>
  <c r="E23" i="7" s="1"/>
  <c r="F23" i="7" s="1"/>
  <c r="G23" i="7" s="1"/>
  <c r="H23" i="7" s="1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AI23" i="7" s="1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BC23" i="7" s="1"/>
  <c r="BD23" i="7" s="1"/>
  <c r="BE23" i="7" s="1"/>
  <c r="BF23" i="7" s="1"/>
  <c r="BG23" i="7" s="1"/>
  <c r="BH23" i="7" s="1"/>
  <c r="BI23" i="7" s="1"/>
  <c r="BJ23" i="7" s="1"/>
  <c r="BK23" i="7" s="1"/>
  <c r="BL23" i="7" s="1"/>
  <c r="BM23" i="7" s="1"/>
  <c r="BN23" i="7" s="1"/>
  <c r="BO23" i="7" s="1"/>
  <c r="BP23" i="7" s="1"/>
  <c r="BQ23" i="7" s="1"/>
  <c r="BR23" i="7" s="1"/>
  <c r="BS23" i="7" s="1"/>
  <c r="BT23" i="7" s="1"/>
  <c r="BU23" i="7" s="1"/>
  <c r="BV23" i="7" s="1"/>
  <c r="BW23" i="7" s="1"/>
  <c r="BX23" i="7" s="1"/>
  <c r="BY23" i="7" s="1"/>
  <c r="BZ23" i="7" s="1"/>
  <c r="CA23" i="7" s="1"/>
  <c r="CB23" i="7" s="1"/>
  <c r="CC23" i="7" s="1"/>
  <c r="CD23" i="7" s="1"/>
  <c r="CE23" i="7" s="1"/>
  <c r="CF23" i="7" s="1"/>
  <c r="CG23" i="7" s="1"/>
  <c r="CH23" i="7" s="1"/>
  <c r="CI23" i="7" s="1"/>
  <c r="CJ23" i="7" s="1"/>
  <c r="CK23" i="7" s="1"/>
  <c r="CL23" i="7" s="1"/>
  <c r="CM23" i="7" s="1"/>
  <c r="CN23" i="7" s="1"/>
  <c r="CO23" i="7" s="1"/>
  <c r="CP23" i="7" s="1"/>
  <c r="CQ23" i="7" s="1"/>
  <c r="CR23" i="7" s="1"/>
  <c r="CS23" i="7" s="1"/>
  <c r="CT23" i="7" s="1"/>
  <c r="CU23" i="7" s="1"/>
  <c r="CV23" i="7" s="1"/>
  <c r="CW23" i="7" s="1"/>
  <c r="CX23" i="7" s="1"/>
  <c r="CY23" i="7" s="1"/>
  <c r="CZ23" i="7" s="1"/>
  <c r="DA23" i="7" s="1"/>
  <c r="DB23" i="7" s="1"/>
  <c r="DC23" i="7" s="1"/>
  <c r="DD23" i="7" s="1"/>
  <c r="DE23" i="7" s="1"/>
  <c r="DF23" i="7" s="1"/>
  <c r="DG23" i="7" s="1"/>
  <c r="DH23" i="7" s="1"/>
  <c r="DI23" i="7" s="1"/>
  <c r="DJ23" i="7" s="1"/>
  <c r="DK23" i="7" s="1"/>
  <c r="DL23" i="7" s="1"/>
  <c r="DM23" i="7" s="1"/>
  <c r="DN23" i="7" s="1"/>
  <c r="DO23" i="7" s="1"/>
  <c r="DP23" i="7" s="1"/>
  <c r="DQ23" i="7" s="1"/>
  <c r="DR23" i="7" s="1"/>
  <c r="DS23" i="7" s="1"/>
  <c r="DT23" i="7" s="1"/>
  <c r="DU23" i="7" s="1"/>
  <c r="DV23" i="7" s="1"/>
  <c r="DW23" i="7" s="1"/>
  <c r="DX23" i="7" s="1"/>
  <c r="DY23" i="7" s="1"/>
  <c r="DZ23" i="7" s="1"/>
  <c r="EA23" i="7" s="1"/>
  <c r="EB23" i="7" s="1"/>
  <c r="EC23" i="7" s="1"/>
  <c r="ED23" i="7" s="1"/>
  <c r="EE23" i="7" s="1"/>
  <c r="EF23" i="7" s="1"/>
  <c r="D22" i="7"/>
  <c r="E22" i="7" s="1"/>
  <c r="F22" i="7" s="1"/>
  <c r="G22" i="7" s="1"/>
  <c r="H22" i="7" s="1"/>
  <c r="I22" i="7" s="1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AG22" i="7" s="1"/>
  <c r="AH22" i="7" s="1"/>
  <c r="AI22" i="7" s="1"/>
  <c r="AJ22" i="7" s="1"/>
  <c r="AK22" i="7" s="1"/>
  <c r="AL22" i="7" s="1"/>
  <c r="AM22" i="7" s="1"/>
  <c r="AN22" i="7" s="1"/>
  <c r="AO22" i="7" s="1"/>
  <c r="AP22" i="7" s="1"/>
  <c r="AQ22" i="7" s="1"/>
  <c r="AR22" i="7" s="1"/>
  <c r="AS22" i="7" s="1"/>
  <c r="AT22" i="7" s="1"/>
  <c r="AU22" i="7" s="1"/>
  <c r="AV22" i="7" s="1"/>
  <c r="AW22" i="7" s="1"/>
  <c r="AX22" i="7" s="1"/>
  <c r="AY22" i="7" s="1"/>
  <c r="AZ22" i="7" s="1"/>
  <c r="BA22" i="7" s="1"/>
  <c r="BB22" i="7" s="1"/>
  <c r="BC22" i="7" s="1"/>
  <c r="BD22" i="7" s="1"/>
  <c r="BE22" i="7" s="1"/>
  <c r="BF22" i="7" s="1"/>
  <c r="BG22" i="7" s="1"/>
  <c r="BH22" i="7" s="1"/>
  <c r="BI22" i="7" s="1"/>
  <c r="BJ22" i="7" s="1"/>
  <c r="BK22" i="7" s="1"/>
  <c r="BL22" i="7" s="1"/>
  <c r="BM22" i="7" s="1"/>
  <c r="BN22" i="7" s="1"/>
  <c r="BO22" i="7" s="1"/>
  <c r="BP22" i="7" s="1"/>
  <c r="BQ22" i="7" s="1"/>
  <c r="BR22" i="7" s="1"/>
  <c r="BS22" i="7" s="1"/>
  <c r="BT22" i="7" s="1"/>
  <c r="BU22" i="7" s="1"/>
  <c r="BV22" i="7" s="1"/>
  <c r="BW22" i="7" s="1"/>
  <c r="BX22" i="7" s="1"/>
  <c r="BY22" i="7" s="1"/>
  <c r="BZ22" i="7" s="1"/>
  <c r="CA22" i="7" s="1"/>
  <c r="CB22" i="7" s="1"/>
  <c r="CC22" i="7" s="1"/>
  <c r="CD22" i="7" s="1"/>
  <c r="CE22" i="7" s="1"/>
  <c r="CF22" i="7" s="1"/>
  <c r="CG22" i="7" s="1"/>
  <c r="CH22" i="7" s="1"/>
  <c r="CI22" i="7" s="1"/>
  <c r="CJ22" i="7" s="1"/>
  <c r="CK22" i="7" s="1"/>
  <c r="CL22" i="7" s="1"/>
  <c r="CM22" i="7" s="1"/>
  <c r="CN22" i="7" s="1"/>
  <c r="CO22" i="7" s="1"/>
  <c r="CP22" i="7" s="1"/>
  <c r="CQ22" i="7" s="1"/>
  <c r="CR22" i="7" s="1"/>
  <c r="CS22" i="7" s="1"/>
  <c r="CT22" i="7" s="1"/>
  <c r="CU22" i="7" s="1"/>
  <c r="CV22" i="7" s="1"/>
  <c r="CW22" i="7" s="1"/>
  <c r="CX22" i="7" s="1"/>
  <c r="CY22" i="7" s="1"/>
  <c r="CZ22" i="7" s="1"/>
  <c r="DA22" i="7" s="1"/>
  <c r="DB22" i="7" s="1"/>
  <c r="DC22" i="7" s="1"/>
  <c r="DD22" i="7" s="1"/>
  <c r="DE22" i="7" s="1"/>
  <c r="DF22" i="7" s="1"/>
  <c r="DG22" i="7" s="1"/>
  <c r="DH22" i="7" s="1"/>
  <c r="DI22" i="7" s="1"/>
  <c r="DJ22" i="7" s="1"/>
  <c r="DK22" i="7" s="1"/>
  <c r="DL22" i="7" s="1"/>
  <c r="DM22" i="7" s="1"/>
  <c r="DN22" i="7" s="1"/>
  <c r="DO22" i="7" s="1"/>
  <c r="DP22" i="7" s="1"/>
  <c r="DQ22" i="7" s="1"/>
  <c r="DR22" i="7" s="1"/>
  <c r="DS22" i="7" s="1"/>
  <c r="DT22" i="7" s="1"/>
  <c r="DU22" i="7" s="1"/>
  <c r="DV22" i="7" s="1"/>
  <c r="DW22" i="7" s="1"/>
  <c r="DX22" i="7" s="1"/>
  <c r="DY22" i="7" s="1"/>
  <c r="DZ22" i="7" s="1"/>
  <c r="EA22" i="7" s="1"/>
  <c r="EB22" i="7" s="1"/>
  <c r="EC22" i="7" s="1"/>
  <c r="ED22" i="7" s="1"/>
  <c r="EE22" i="7" s="1"/>
  <c r="EF22" i="7" s="1"/>
  <c r="D21" i="7"/>
  <c r="E21" i="7" s="1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S21" i="7" s="1"/>
  <c r="T21" i="7" s="1"/>
  <c r="U21" i="7" s="1"/>
  <c r="V21" i="7" s="1"/>
  <c r="W21" i="7" s="1"/>
  <c r="X21" i="7" s="1"/>
  <c r="Y21" i="7" s="1"/>
  <c r="Z21" i="7" s="1"/>
  <c r="AA21" i="7" s="1"/>
  <c r="AB21" i="7" s="1"/>
  <c r="AC21" i="7" s="1"/>
  <c r="AD21" i="7" s="1"/>
  <c r="AE21" i="7" s="1"/>
  <c r="AF21" i="7" s="1"/>
  <c r="AG21" i="7" s="1"/>
  <c r="AH21" i="7" s="1"/>
  <c r="AI21" i="7" s="1"/>
  <c r="AJ21" i="7" s="1"/>
  <c r="AK21" i="7" s="1"/>
  <c r="AL21" i="7" s="1"/>
  <c r="AM21" i="7" s="1"/>
  <c r="AN21" i="7" s="1"/>
  <c r="AO21" i="7" s="1"/>
  <c r="AP21" i="7" s="1"/>
  <c r="AQ21" i="7" s="1"/>
  <c r="AR21" i="7" s="1"/>
  <c r="AS21" i="7" s="1"/>
  <c r="AT21" i="7" s="1"/>
  <c r="AU21" i="7" s="1"/>
  <c r="AV21" i="7" s="1"/>
  <c r="AW21" i="7" s="1"/>
  <c r="AX21" i="7" s="1"/>
  <c r="AY21" i="7" s="1"/>
  <c r="AZ21" i="7" s="1"/>
  <c r="BA21" i="7" s="1"/>
  <c r="BB21" i="7" s="1"/>
  <c r="BC21" i="7" s="1"/>
  <c r="BD21" i="7" s="1"/>
  <c r="BE21" i="7" s="1"/>
  <c r="BF21" i="7" s="1"/>
  <c r="BG21" i="7" s="1"/>
  <c r="BH21" i="7" s="1"/>
  <c r="BI21" i="7" s="1"/>
  <c r="BJ21" i="7" s="1"/>
  <c r="BK21" i="7" s="1"/>
  <c r="BL21" i="7" s="1"/>
  <c r="BM21" i="7" s="1"/>
  <c r="BN21" i="7" s="1"/>
  <c r="BO21" i="7" s="1"/>
  <c r="BP21" i="7" s="1"/>
  <c r="BQ21" i="7" s="1"/>
  <c r="BR21" i="7" s="1"/>
  <c r="BS21" i="7" s="1"/>
  <c r="BT21" i="7" s="1"/>
  <c r="BU21" i="7" s="1"/>
  <c r="BV21" i="7" s="1"/>
  <c r="BW21" i="7" s="1"/>
  <c r="BX21" i="7" s="1"/>
  <c r="BY21" i="7" s="1"/>
  <c r="BZ21" i="7" s="1"/>
  <c r="CA21" i="7" s="1"/>
  <c r="CB21" i="7" s="1"/>
  <c r="CC21" i="7" s="1"/>
  <c r="CD21" i="7" s="1"/>
  <c r="CE21" i="7" s="1"/>
  <c r="CF21" i="7" s="1"/>
  <c r="CG21" i="7" s="1"/>
  <c r="CH21" i="7" s="1"/>
  <c r="CI21" i="7" s="1"/>
  <c r="CJ21" i="7" s="1"/>
  <c r="CK21" i="7" s="1"/>
  <c r="CL21" i="7" s="1"/>
  <c r="CM21" i="7" s="1"/>
  <c r="CN21" i="7" s="1"/>
  <c r="CO21" i="7" s="1"/>
  <c r="CP21" i="7" s="1"/>
  <c r="CQ21" i="7" s="1"/>
  <c r="CR21" i="7" s="1"/>
  <c r="CS21" i="7" s="1"/>
  <c r="CT21" i="7" s="1"/>
  <c r="CU21" i="7" s="1"/>
  <c r="CV21" i="7" s="1"/>
  <c r="CW21" i="7" s="1"/>
  <c r="CX21" i="7" s="1"/>
  <c r="CY21" i="7" s="1"/>
  <c r="CZ21" i="7" s="1"/>
  <c r="DA21" i="7" s="1"/>
  <c r="DB21" i="7" s="1"/>
  <c r="DC21" i="7" s="1"/>
  <c r="DD21" i="7" s="1"/>
  <c r="DE21" i="7" s="1"/>
  <c r="DF21" i="7" s="1"/>
  <c r="DG21" i="7" s="1"/>
  <c r="DH21" i="7" s="1"/>
  <c r="DI21" i="7" s="1"/>
  <c r="DJ21" i="7" s="1"/>
  <c r="DK21" i="7" s="1"/>
  <c r="DL21" i="7" s="1"/>
  <c r="DM21" i="7" s="1"/>
  <c r="DN21" i="7" s="1"/>
  <c r="DO21" i="7" s="1"/>
  <c r="DP21" i="7" s="1"/>
  <c r="DQ21" i="7" s="1"/>
  <c r="DR21" i="7" s="1"/>
  <c r="DS21" i="7" s="1"/>
  <c r="DT21" i="7" s="1"/>
  <c r="DU21" i="7" s="1"/>
  <c r="DV21" i="7" s="1"/>
  <c r="DW21" i="7" s="1"/>
  <c r="DX21" i="7" s="1"/>
  <c r="DY21" i="7" s="1"/>
  <c r="DZ21" i="7" s="1"/>
  <c r="EA21" i="7" s="1"/>
  <c r="EB21" i="7" s="1"/>
  <c r="EC21" i="7" s="1"/>
  <c r="ED21" i="7" s="1"/>
  <c r="EE21" i="7" s="1"/>
  <c r="EF21" i="7" s="1"/>
  <c r="D20" i="7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AC20" i="7" s="1"/>
  <c r="AD20" i="7" s="1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AP20" i="7" s="1"/>
  <c r="AQ20" i="7" s="1"/>
  <c r="AR20" i="7" s="1"/>
  <c r="AS20" i="7" s="1"/>
  <c r="AT20" i="7" s="1"/>
  <c r="AU20" i="7" s="1"/>
  <c r="AV20" i="7" s="1"/>
  <c r="AW20" i="7" s="1"/>
  <c r="AX20" i="7" s="1"/>
  <c r="AY20" i="7" s="1"/>
  <c r="AZ20" i="7" s="1"/>
  <c r="BA20" i="7" s="1"/>
  <c r="BB20" i="7" s="1"/>
  <c r="BC20" i="7" s="1"/>
  <c r="BD20" i="7" s="1"/>
  <c r="BE20" i="7" s="1"/>
  <c r="BF20" i="7" s="1"/>
  <c r="BG20" i="7" s="1"/>
  <c r="BH20" i="7" s="1"/>
  <c r="BI20" i="7" s="1"/>
  <c r="BJ20" i="7" s="1"/>
  <c r="BK20" i="7" s="1"/>
  <c r="BL20" i="7" s="1"/>
  <c r="BM20" i="7" s="1"/>
  <c r="BN20" i="7" s="1"/>
  <c r="BO20" i="7" s="1"/>
  <c r="BP20" i="7" s="1"/>
  <c r="BQ20" i="7" s="1"/>
  <c r="BR20" i="7" s="1"/>
  <c r="BS20" i="7" s="1"/>
  <c r="BT20" i="7" s="1"/>
  <c r="BU20" i="7" s="1"/>
  <c r="BV20" i="7" s="1"/>
  <c r="BW20" i="7" s="1"/>
  <c r="BX20" i="7" s="1"/>
  <c r="BY20" i="7" s="1"/>
  <c r="BZ20" i="7" s="1"/>
  <c r="CA20" i="7" s="1"/>
  <c r="CB20" i="7" s="1"/>
  <c r="CC20" i="7" s="1"/>
  <c r="CD20" i="7" s="1"/>
  <c r="CE20" i="7" s="1"/>
  <c r="CF20" i="7" s="1"/>
  <c r="CG20" i="7" s="1"/>
  <c r="CH20" i="7" s="1"/>
  <c r="CI20" i="7" s="1"/>
  <c r="CJ20" i="7" s="1"/>
  <c r="CK20" i="7" s="1"/>
  <c r="CL20" i="7" s="1"/>
  <c r="CM20" i="7" s="1"/>
  <c r="CN20" i="7" s="1"/>
  <c r="CO20" i="7" s="1"/>
  <c r="CP20" i="7" s="1"/>
  <c r="CQ20" i="7" s="1"/>
  <c r="CR20" i="7" s="1"/>
  <c r="CS20" i="7" s="1"/>
  <c r="CT20" i="7" s="1"/>
  <c r="CU20" i="7" s="1"/>
  <c r="CV20" i="7" s="1"/>
  <c r="CW20" i="7" s="1"/>
  <c r="CX20" i="7" s="1"/>
  <c r="CY20" i="7" s="1"/>
  <c r="CZ20" i="7" s="1"/>
  <c r="DA20" i="7" s="1"/>
  <c r="DB20" i="7" s="1"/>
  <c r="DC20" i="7" s="1"/>
  <c r="DD20" i="7" s="1"/>
  <c r="DE20" i="7" s="1"/>
  <c r="DF20" i="7" s="1"/>
  <c r="DG20" i="7" s="1"/>
  <c r="DH20" i="7" s="1"/>
  <c r="DI20" i="7" s="1"/>
  <c r="DJ20" i="7" s="1"/>
  <c r="DK20" i="7" s="1"/>
  <c r="DL20" i="7" s="1"/>
  <c r="DM20" i="7" s="1"/>
  <c r="DN20" i="7" s="1"/>
  <c r="DO20" i="7" s="1"/>
  <c r="DP20" i="7" s="1"/>
  <c r="DQ20" i="7" s="1"/>
  <c r="DR20" i="7" s="1"/>
  <c r="DS20" i="7" s="1"/>
  <c r="DT20" i="7" s="1"/>
  <c r="DU20" i="7" s="1"/>
  <c r="DV20" i="7" s="1"/>
  <c r="DW20" i="7" s="1"/>
  <c r="DX20" i="7" s="1"/>
  <c r="DY20" i="7" s="1"/>
  <c r="DZ20" i="7" s="1"/>
  <c r="EA20" i="7" s="1"/>
  <c r="EB20" i="7" s="1"/>
  <c r="EC20" i="7" s="1"/>
  <c r="ED20" i="7" s="1"/>
  <c r="EE20" i="7" s="1"/>
  <c r="EF20" i="7" s="1"/>
  <c r="D19" i="7"/>
  <c r="E19" i="7" s="1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BC19" i="7" s="1"/>
  <c r="BD19" i="7" s="1"/>
  <c r="BE19" i="7" s="1"/>
  <c r="BF19" i="7" s="1"/>
  <c r="BG19" i="7" s="1"/>
  <c r="BH19" i="7" s="1"/>
  <c r="BI19" i="7" s="1"/>
  <c r="BJ19" i="7" s="1"/>
  <c r="BK19" i="7" s="1"/>
  <c r="BL19" i="7" s="1"/>
  <c r="BM19" i="7" s="1"/>
  <c r="BN19" i="7" s="1"/>
  <c r="BO19" i="7" s="1"/>
  <c r="BP19" i="7" s="1"/>
  <c r="BQ19" i="7" s="1"/>
  <c r="BR19" i="7" s="1"/>
  <c r="BS19" i="7" s="1"/>
  <c r="BT19" i="7" s="1"/>
  <c r="BU19" i="7" s="1"/>
  <c r="BV19" i="7" s="1"/>
  <c r="BW19" i="7" s="1"/>
  <c r="BX19" i="7" s="1"/>
  <c r="BY19" i="7" s="1"/>
  <c r="BZ19" i="7" s="1"/>
  <c r="CA19" i="7" s="1"/>
  <c r="CB19" i="7" s="1"/>
  <c r="CC19" i="7" s="1"/>
  <c r="CD19" i="7" s="1"/>
  <c r="CE19" i="7" s="1"/>
  <c r="CF19" i="7" s="1"/>
  <c r="CG19" i="7" s="1"/>
  <c r="CH19" i="7" s="1"/>
  <c r="CI19" i="7" s="1"/>
  <c r="CJ19" i="7" s="1"/>
  <c r="CK19" i="7" s="1"/>
  <c r="CL19" i="7" s="1"/>
  <c r="CM19" i="7" s="1"/>
  <c r="CN19" i="7" s="1"/>
  <c r="CO19" i="7" s="1"/>
  <c r="CP19" i="7" s="1"/>
  <c r="CQ19" i="7" s="1"/>
  <c r="CR19" i="7" s="1"/>
  <c r="CS19" i="7" s="1"/>
  <c r="CT19" i="7" s="1"/>
  <c r="CU19" i="7" s="1"/>
  <c r="CV19" i="7" s="1"/>
  <c r="CW19" i="7" s="1"/>
  <c r="CX19" i="7" s="1"/>
  <c r="CY19" i="7" s="1"/>
  <c r="CZ19" i="7" s="1"/>
  <c r="DA19" i="7" s="1"/>
  <c r="DB19" i="7" s="1"/>
  <c r="DC19" i="7" s="1"/>
  <c r="DD19" i="7" s="1"/>
  <c r="DE19" i="7" s="1"/>
  <c r="DF19" i="7" s="1"/>
  <c r="DG19" i="7" s="1"/>
  <c r="DH19" i="7" s="1"/>
  <c r="DI19" i="7" s="1"/>
  <c r="DJ19" i="7" s="1"/>
  <c r="DK19" i="7" s="1"/>
  <c r="DL19" i="7" s="1"/>
  <c r="DM19" i="7" s="1"/>
  <c r="DN19" i="7" s="1"/>
  <c r="DO19" i="7" s="1"/>
  <c r="DP19" i="7" s="1"/>
  <c r="DQ19" i="7" s="1"/>
  <c r="DR19" i="7" s="1"/>
  <c r="DS19" i="7" s="1"/>
  <c r="DT19" i="7" s="1"/>
  <c r="DU19" i="7" s="1"/>
  <c r="DV19" i="7" s="1"/>
  <c r="DW19" i="7" s="1"/>
  <c r="DX19" i="7" s="1"/>
  <c r="DY19" i="7" s="1"/>
  <c r="DZ19" i="7" s="1"/>
  <c r="EA19" i="7" s="1"/>
  <c r="EB19" i="7" s="1"/>
  <c r="EC19" i="7" s="1"/>
  <c r="ED19" i="7" s="1"/>
  <c r="EE19" i="7" s="1"/>
  <c r="EF19" i="7" s="1"/>
  <c r="E18" i="7"/>
  <c r="F18" i="7" s="1"/>
  <c r="G18" i="7" s="1"/>
  <c r="H18" i="7" s="1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8" i="7" s="1"/>
  <c r="AM18" i="7" s="1"/>
  <c r="AN18" i="7" s="1"/>
  <c r="AO18" i="7" s="1"/>
  <c r="AP18" i="7" s="1"/>
  <c r="AQ18" i="7" s="1"/>
  <c r="AR18" i="7" s="1"/>
  <c r="AS18" i="7" s="1"/>
  <c r="AT18" i="7" s="1"/>
  <c r="AU18" i="7" s="1"/>
  <c r="AV18" i="7" s="1"/>
  <c r="AW18" i="7" s="1"/>
  <c r="AX18" i="7" s="1"/>
  <c r="AY18" i="7" s="1"/>
  <c r="AZ18" i="7" s="1"/>
  <c r="BA18" i="7" s="1"/>
  <c r="BB18" i="7" s="1"/>
  <c r="BC18" i="7" s="1"/>
  <c r="BD18" i="7" s="1"/>
  <c r="BE18" i="7" s="1"/>
  <c r="BF18" i="7" s="1"/>
  <c r="BG18" i="7" s="1"/>
  <c r="BH18" i="7" s="1"/>
  <c r="BI18" i="7" s="1"/>
  <c r="BJ18" i="7" s="1"/>
  <c r="BK18" i="7" s="1"/>
  <c r="BL18" i="7" s="1"/>
  <c r="BM18" i="7" s="1"/>
  <c r="BN18" i="7" s="1"/>
  <c r="BO18" i="7" s="1"/>
  <c r="BP18" i="7" s="1"/>
  <c r="BQ18" i="7" s="1"/>
  <c r="BR18" i="7" s="1"/>
  <c r="BS18" i="7" s="1"/>
  <c r="BT18" i="7" s="1"/>
  <c r="BU18" i="7" s="1"/>
  <c r="BV18" i="7" s="1"/>
  <c r="BW18" i="7" s="1"/>
  <c r="BX18" i="7" s="1"/>
  <c r="BY18" i="7" s="1"/>
  <c r="BZ18" i="7" s="1"/>
  <c r="CA18" i="7" s="1"/>
  <c r="CB18" i="7" s="1"/>
  <c r="CC18" i="7" s="1"/>
  <c r="CD18" i="7" s="1"/>
  <c r="CE18" i="7" s="1"/>
  <c r="CF18" i="7" s="1"/>
  <c r="CG18" i="7" s="1"/>
  <c r="CH18" i="7" s="1"/>
  <c r="CI18" i="7" s="1"/>
  <c r="CJ18" i="7" s="1"/>
  <c r="CK18" i="7" s="1"/>
  <c r="CL18" i="7" s="1"/>
  <c r="CM18" i="7" s="1"/>
  <c r="CN18" i="7" s="1"/>
  <c r="CO18" i="7" s="1"/>
  <c r="CP18" i="7" s="1"/>
  <c r="CQ18" i="7" s="1"/>
  <c r="CR18" i="7" s="1"/>
  <c r="CS18" i="7" s="1"/>
  <c r="CT18" i="7" s="1"/>
  <c r="CU18" i="7" s="1"/>
  <c r="CV18" i="7" s="1"/>
  <c r="CW18" i="7" s="1"/>
  <c r="CX18" i="7" s="1"/>
  <c r="CY18" i="7" s="1"/>
  <c r="CZ18" i="7" s="1"/>
  <c r="DA18" i="7" s="1"/>
  <c r="DB18" i="7" s="1"/>
  <c r="DC18" i="7" s="1"/>
  <c r="DD18" i="7" s="1"/>
  <c r="DE18" i="7" s="1"/>
  <c r="DF18" i="7" s="1"/>
  <c r="DG18" i="7" s="1"/>
  <c r="DH18" i="7" s="1"/>
  <c r="DI18" i="7" s="1"/>
  <c r="DJ18" i="7" s="1"/>
  <c r="DK18" i="7" s="1"/>
  <c r="DL18" i="7" s="1"/>
  <c r="DM18" i="7" s="1"/>
  <c r="DN18" i="7" s="1"/>
  <c r="DO18" i="7" s="1"/>
  <c r="DP18" i="7" s="1"/>
  <c r="DQ18" i="7" s="1"/>
  <c r="DR18" i="7" s="1"/>
  <c r="DS18" i="7" s="1"/>
  <c r="DT18" i="7" s="1"/>
  <c r="DU18" i="7" s="1"/>
  <c r="DV18" i="7" s="1"/>
  <c r="DW18" i="7" s="1"/>
  <c r="DX18" i="7" s="1"/>
  <c r="DY18" i="7" s="1"/>
  <c r="DZ18" i="7" s="1"/>
  <c r="EA18" i="7" s="1"/>
  <c r="EB18" i="7" s="1"/>
  <c r="EC18" i="7" s="1"/>
  <c r="ED18" i="7" s="1"/>
  <c r="EE18" i="7" s="1"/>
  <c r="EF18" i="7" s="1"/>
  <c r="D18" i="7"/>
  <c r="D17" i="7"/>
  <c r="E17" i="7" s="1"/>
  <c r="F17" i="7" s="1"/>
  <c r="G17" i="7" s="1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AH17" i="7" s="1"/>
  <c r="AI17" i="7" s="1"/>
  <c r="AJ17" i="7" s="1"/>
  <c r="AK17" i="7" s="1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BD17" i="7" s="1"/>
  <c r="BE17" i="7" s="1"/>
  <c r="BF17" i="7" s="1"/>
  <c r="BG17" i="7" s="1"/>
  <c r="BH17" i="7" s="1"/>
  <c r="BI17" i="7" s="1"/>
  <c r="BJ17" i="7" s="1"/>
  <c r="BK17" i="7" s="1"/>
  <c r="BL17" i="7" s="1"/>
  <c r="BM17" i="7" s="1"/>
  <c r="BN17" i="7" s="1"/>
  <c r="BO17" i="7" s="1"/>
  <c r="BP17" i="7" s="1"/>
  <c r="BQ17" i="7" s="1"/>
  <c r="BR17" i="7" s="1"/>
  <c r="BS17" i="7" s="1"/>
  <c r="BT17" i="7" s="1"/>
  <c r="BU17" i="7" s="1"/>
  <c r="BV17" i="7" s="1"/>
  <c r="BW17" i="7" s="1"/>
  <c r="BX17" i="7" s="1"/>
  <c r="BY17" i="7" s="1"/>
  <c r="BZ17" i="7" s="1"/>
  <c r="CA17" i="7" s="1"/>
  <c r="CB17" i="7" s="1"/>
  <c r="CC17" i="7" s="1"/>
  <c r="CD17" i="7" s="1"/>
  <c r="CE17" i="7" s="1"/>
  <c r="CF17" i="7" s="1"/>
  <c r="CG17" i="7" s="1"/>
  <c r="CH17" i="7" s="1"/>
  <c r="CI17" i="7" s="1"/>
  <c r="CJ17" i="7" s="1"/>
  <c r="CK17" i="7" s="1"/>
  <c r="CL17" i="7" s="1"/>
  <c r="CM17" i="7" s="1"/>
  <c r="CN17" i="7" s="1"/>
  <c r="CO17" i="7" s="1"/>
  <c r="CP17" i="7" s="1"/>
  <c r="CQ17" i="7" s="1"/>
  <c r="CR17" i="7" s="1"/>
  <c r="CS17" i="7" s="1"/>
  <c r="CT17" i="7" s="1"/>
  <c r="CU17" i="7" s="1"/>
  <c r="CV17" i="7" s="1"/>
  <c r="CW17" i="7" s="1"/>
  <c r="CX17" i="7" s="1"/>
  <c r="CY17" i="7" s="1"/>
  <c r="CZ17" i="7" s="1"/>
  <c r="DA17" i="7" s="1"/>
  <c r="DB17" i="7" s="1"/>
  <c r="DC17" i="7" s="1"/>
  <c r="DD17" i="7" s="1"/>
  <c r="DE17" i="7" s="1"/>
  <c r="DF17" i="7" s="1"/>
  <c r="DG17" i="7" s="1"/>
  <c r="DH17" i="7" s="1"/>
  <c r="DI17" i="7" s="1"/>
  <c r="DJ17" i="7" s="1"/>
  <c r="DK17" i="7" s="1"/>
  <c r="DL17" i="7" s="1"/>
  <c r="DM17" i="7" s="1"/>
  <c r="DN17" i="7" s="1"/>
  <c r="DO17" i="7" s="1"/>
  <c r="DP17" i="7" s="1"/>
  <c r="DQ17" i="7" s="1"/>
  <c r="DR17" i="7" s="1"/>
  <c r="DS17" i="7" s="1"/>
  <c r="DT17" i="7" s="1"/>
  <c r="DU17" i="7" s="1"/>
  <c r="DV17" i="7" s="1"/>
  <c r="DW17" i="7" s="1"/>
  <c r="DX17" i="7" s="1"/>
  <c r="DY17" i="7" s="1"/>
  <c r="DZ17" i="7" s="1"/>
  <c r="EA17" i="7" s="1"/>
  <c r="EB17" i="7" s="1"/>
  <c r="EC17" i="7" s="1"/>
  <c r="ED17" i="7" s="1"/>
  <c r="EE17" i="7" s="1"/>
  <c r="EF17" i="7" s="1"/>
  <c r="D16" i="7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AZ16" i="7" s="1"/>
  <c r="BA16" i="7" s="1"/>
  <c r="BB16" i="7" s="1"/>
  <c r="BC16" i="7" s="1"/>
  <c r="BD16" i="7" s="1"/>
  <c r="BE16" i="7" s="1"/>
  <c r="BF16" i="7" s="1"/>
  <c r="BG16" i="7" s="1"/>
  <c r="BH16" i="7" s="1"/>
  <c r="BI16" i="7" s="1"/>
  <c r="BJ16" i="7" s="1"/>
  <c r="BK16" i="7" s="1"/>
  <c r="BL16" i="7" s="1"/>
  <c r="BM16" i="7" s="1"/>
  <c r="BN16" i="7" s="1"/>
  <c r="BO16" i="7" s="1"/>
  <c r="BP16" i="7" s="1"/>
  <c r="BQ16" i="7" s="1"/>
  <c r="BR16" i="7" s="1"/>
  <c r="BS16" i="7" s="1"/>
  <c r="BT16" i="7" s="1"/>
  <c r="BU16" i="7" s="1"/>
  <c r="BV16" i="7" s="1"/>
  <c r="BW16" i="7" s="1"/>
  <c r="BX16" i="7" s="1"/>
  <c r="BY16" i="7" s="1"/>
  <c r="BZ16" i="7" s="1"/>
  <c r="CA16" i="7" s="1"/>
  <c r="CB16" i="7" s="1"/>
  <c r="CC16" i="7" s="1"/>
  <c r="CD16" i="7" s="1"/>
  <c r="CE16" i="7" s="1"/>
  <c r="CF16" i="7" s="1"/>
  <c r="CG16" i="7" s="1"/>
  <c r="CH16" i="7" s="1"/>
  <c r="CI16" i="7" s="1"/>
  <c r="CJ16" i="7" s="1"/>
  <c r="CK16" i="7" s="1"/>
  <c r="CL16" i="7" s="1"/>
  <c r="CM16" i="7" s="1"/>
  <c r="CN16" i="7" s="1"/>
  <c r="CO16" i="7" s="1"/>
  <c r="CP16" i="7" s="1"/>
  <c r="CQ16" i="7" s="1"/>
  <c r="CR16" i="7" s="1"/>
  <c r="CS16" i="7" s="1"/>
  <c r="CT16" i="7" s="1"/>
  <c r="CU16" i="7" s="1"/>
  <c r="CV16" i="7" s="1"/>
  <c r="CW16" i="7" s="1"/>
  <c r="CX16" i="7" s="1"/>
  <c r="CY16" i="7" s="1"/>
  <c r="CZ16" i="7" s="1"/>
  <c r="DA16" i="7" s="1"/>
  <c r="DB16" i="7" s="1"/>
  <c r="DC16" i="7" s="1"/>
  <c r="DD16" i="7" s="1"/>
  <c r="DE16" i="7" s="1"/>
  <c r="DF16" i="7" s="1"/>
  <c r="DG16" i="7" s="1"/>
  <c r="DH16" i="7" s="1"/>
  <c r="DI16" i="7" s="1"/>
  <c r="DJ16" i="7" s="1"/>
  <c r="DK16" i="7" s="1"/>
  <c r="DL16" i="7" s="1"/>
  <c r="DM16" i="7" s="1"/>
  <c r="DN16" i="7" s="1"/>
  <c r="DO16" i="7" s="1"/>
  <c r="DP16" i="7" s="1"/>
  <c r="DQ16" i="7" s="1"/>
  <c r="DR16" i="7" s="1"/>
  <c r="DS16" i="7" s="1"/>
  <c r="DT16" i="7" s="1"/>
  <c r="DU16" i="7" s="1"/>
  <c r="DV16" i="7" s="1"/>
  <c r="DW16" i="7" s="1"/>
  <c r="DX16" i="7" s="1"/>
  <c r="DY16" i="7" s="1"/>
  <c r="DZ16" i="7" s="1"/>
  <c r="EA16" i="7" s="1"/>
  <c r="EB16" i="7" s="1"/>
  <c r="EC16" i="7" s="1"/>
  <c r="ED16" i="7" s="1"/>
  <c r="EE16" i="7" s="1"/>
  <c r="EF16" i="7" s="1"/>
  <c r="D15" i="7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AF15" i="7" s="1"/>
  <c r="AG15" i="7" s="1"/>
  <c r="AH15" i="7" s="1"/>
  <c r="AI15" i="7" s="1"/>
  <c r="AJ15" i="7" s="1"/>
  <c r="AK15" i="7" s="1"/>
  <c r="AL15" i="7" s="1"/>
  <c r="AM15" i="7" s="1"/>
  <c r="AN15" i="7" s="1"/>
  <c r="AO15" i="7" s="1"/>
  <c r="AP15" i="7" s="1"/>
  <c r="AQ15" i="7" s="1"/>
  <c r="AR15" i="7" s="1"/>
  <c r="AS15" i="7" s="1"/>
  <c r="AT15" i="7" s="1"/>
  <c r="AU15" i="7" s="1"/>
  <c r="AV15" i="7" s="1"/>
  <c r="AW15" i="7" s="1"/>
  <c r="AX15" i="7" s="1"/>
  <c r="AY15" i="7" s="1"/>
  <c r="AZ15" i="7" s="1"/>
  <c r="BA15" i="7" s="1"/>
  <c r="BB15" i="7" s="1"/>
  <c r="BC15" i="7" s="1"/>
  <c r="BD15" i="7" s="1"/>
  <c r="BE15" i="7" s="1"/>
  <c r="BF15" i="7" s="1"/>
  <c r="BG15" i="7" s="1"/>
  <c r="BH15" i="7" s="1"/>
  <c r="BI15" i="7" s="1"/>
  <c r="BJ15" i="7" s="1"/>
  <c r="BK15" i="7" s="1"/>
  <c r="BL15" i="7" s="1"/>
  <c r="BM15" i="7" s="1"/>
  <c r="BN15" i="7" s="1"/>
  <c r="BO15" i="7" s="1"/>
  <c r="BP15" i="7" s="1"/>
  <c r="BQ15" i="7" s="1"/>
  <c r="BR15" i="7" s="1"/>
  <c r="BS15" i="7" s="1"/>
  <c r="BT15" i="7" s="1"/>
  <c r="BU15" i="7" s="1"/>
  <c r="BV15" i="7" s="1"/>
  <c r="BW15" i="7" s="1"/>
  <c r="BX15" i="7" s="1"/>
  <c r="BY15" i="7" s="1"/>
  <c r="BZ15" i="7" s="1"/>
  <c r="CA15" i="7" s="1"/>
  <c r="CB15" i="7" s="1"/>
  <c r="CC15" i="7" s="1"/>
  <c r="CD15" i="7" s="1"/>
  <c r="CE15" i="7" s="1"/>
  <c r="CF15" i="7" s="1"/>
  <c r="CG15" i="7" s="1"/>
  <c r="CH15" i="7" s="1"/>
  <c r="CI15" i="7" s="1"/>
  <c r="CJ15" i="7" s="1"/>
  <c r="CK15" i="7" s="1"/>
  <c r="CL15" i="7" s="1"/>
  <c r="CM15" i="7" s="1"/>
  <c r="CN15" i="7" s="1"/>
  <c r="CO15" i="7" s="1"/>
  <c r="CP15" i="7" s="1"/>
  <c r="CQ15" i="7" s="1"/>
  <c r="CR15" i="7" s="1"/>
  <c r="CS15" i="7" s="1"/>
  <c r="CT15" i="7" s="1"/>
  <c r="CU15" i="7" s="1"/>
  <c r="CV15" i="7" s="1"/>
  <c r="CW15" i="7" s="1"/>
  <c r="CX15" i="7" s="1"/>
  <c r="CY15" i="7" s="1"/>
  <c r="CZ15" i="7" s="1"/>
  <c r="DA15" i="7" s="1"/>
  <c r="DB15" i="7" s="1"/>
  <c r="DC15" i="7" s="1"/>
  <c r="DD15" i="7" s="1"/>
  <c r="DE15" i="7" s="1"/>
  <c r="DF15" i="7" s="1"/>
  <c r="DG15" i="7" s="1"/>
  <c r="DH15" i="7" s="1"/>
  <c r="DI15" i="7" s="1"/>
  <c r="DJ15" i="7" s="1"/>
  <c r="DK15" i="7" s="1"/>
  <c r="DL15" i="7" s="1"/>
  <c r="DM15" i="7" s="1"/>
  <c r="DN15" i="7" s="1"/>
  <c r="DO15" i="7" s="1"/>
  <c r="DP15" i="7" s="1"/>
  <c r="DQ15" i="7" s="1"/>
  <c r="DR15" i="7" s="1"/>
  <c r="DS15" i="7" s="1"/>
  <c r="DT15" i="7" s="1"/>
  <c r="DU15" i="7" s="1"/>
  <c r="DV15" i="7" s="1"/>
  <c r="DW15" i="7" s="1"/>
  <c r="DX15" i="7" s="1"/>
  <c r="DY15" i="7" s="1"/>
  <c r="DZ15" i="7" s="1"/>
  <c r="EA15" i="7" s="1"/>
  <c r="EB15" i="7" s="1"/>
  <c r="EC15" i="7" s="1"/>
  <c r="ED15" i="7" s="1"/>
  <c r="EE15" i="7" s="1"/>
  <c r="EF15" i="7" s="1"/>
  <c r="D14" i="7"/>
  <c r="E14" i="7" s="1"/>
  <c r="F14" i="7" s="1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AP14" i="7" s="1"/>
  <c r="AQ14" i="7" s="1"/>
  <c r="AR14" i="7" s="1"/>
  <c r="AS14" i="7" s="1"/>
  <c r="AT14" i="7" s="1"/>
  <c r="AU14" i="7" s="1"/>
  <c r="AV14" i="7" s="1"/>
  <c r="AW14" i="7" s="1"/>
  <c r="AX14" i="7" s="1"/>
  <c r="AY14" i="7" s="1"/>
  <c r="AZ14" i="7" s="1"/>
  <c r="BA14" i="7" s="1"/>
  <c r="BB14" i="7" s="1"/>
  <c r="BC14" i="7" s="1"/>
  <c r="BD14" i="7" s="1"/>
  <c r="BE14" i="7" s="1"/>
  <c r="BF14" i="7" s="1"/>
  <c r="BG14" i="7" s="1"/>
  <c r="BH14" i="7" s="1"/>
  <c r="BI14" i="7" s="1"/>
  <c r="BJ14" i="7" s="1"/>
  <c r="BK14" i="7" s="1"/>
  <c r="BL14" i="7" s="1"/>
  <c r="BM14" i="7" s="1"/>
  <c r="BN14" i="7" s="1"/>
  <c r="BO14" i="7" s="1"/>
  <c r="BP14" i="7" s="1"/>
  <c r="BQ14" i="7" s="1"/>
  <c r="BR14" i="7" s="1"/>
  <c r="BS14" i="7" s="1"/>
  <c r="BT14" i="7" s="1"/>
  <c r="BU14" i="7" s="1"/>
  <c r="BV14" i="7" s="1"/>
  <c r="BW14" i="7" s="1"/>
  <c r="BX14" i="7" s="1"/>
  <c r="BY14" i="7" s="1"/>
  <c r="BZ14" i="7" s="1"/>
  <c r="CA14" i="7" s="1"/>
  <c r="CB14" i="7" s="1"/>
  <c r="CC14" i="7" s="1"/>
  <c r="CD14" i="7" s="1"/>
  <c r="CE14" i="7" s="1"/>
  <c r="CF14" i="7" s="1"/>
  <c r="CG14" i="7" s="1"/>
  <c r="CH14" i="7" s="1"/>
  <c r="CI14" i="7" s="1"/>
  <c r="CJ14" i="7" s="1"/>
  <c r="CK14" i="7" s="1"/>
  <c r="CL14" i="7" s="1"/>
  <c r="CM14" i="7" s="1"/>
  <c r="CN14" i="7" s="1"/>
  <c r="CO14" i="7" s="1"/>
  <c r="CP14" i="7" s="1"/>
  <c r="CQ14" i="7" s="1"/>
  <c r="CR14" i="7" s="1"/>
  <c r="CS14" i="7" s="1"/>
  <c r="CT14" i="7" s="1"/>
  <c r="CU14" i="7" s="1"/>
  <c r="CV14" i="7" s="1"/>
  <c r="CW14" i="7" s="1"/>
  <c r="CX14" i="7" s="1"/>
  <c r="CY14" i="7" s="1"/>
  <c r="CZ14" i="7" s="1"/>
  <c r="DA14" i="7" s="1"/>
  <c r="DB14" i="7" s="1"/>
  <c r="DC14" i="7" s="1"/>
  <c r="DD14" i="7" s="1"/>
  <c r="DE14" i="7" s="1"/>
  <c r="DF14" i="7" s="1"/>
  <c r="DG14" i="7" s="1"/>
  <c r="DH14" i="7" s="1"/>
  <c r="DI14" i="7" s="1"/>
  <c r="DJ14" i="7" s="1"/>
  <c r="DK14" i="7" s="1"/>
  <c r="DL14" i="7" s="1"/>
  <c r="DM14" i="7" s="1"/>
  <c r="DN14" i="7" s="1"/>
  <c r="DO14" i="7" s="1"/>
  <c r="DP14" i="7" s="1"/>
  <c r="DQ14" i="7" s="1"/>
  <c r="DR14" i="7" s="1"/>
  <c r="DS14" i="7" s="1"/>
  <c r="DT14" i="7" s="1"/>
  <c r="DU14" i="7" s="1"/>
  <c r="DV14" i="7" s="1"/>
  <c r="DW14" i="7" s="1"/>
  <c r="DX14" i="7" s="1"/>
  <c r="DY14" i="7" s="1"/>
  <c r="DZ14" i="7" s="1"/>
  <c r="EA14" i="7" s="1"/>
  <c r="EB14" i="7" s="1"/>
  <c r="EC14" i="7" s="1"/>
  <c r="ED14" i="7" s="1"/>
  <c r="EE14" i="7" s="1"/>
  <c r="EF14" i="7" s="1"/>
  <c r="D13" i="7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BC13" i="7" s="1"/>
  <c r="BD13" i="7" s="1"/>
  <c r="BE13" i="7" s="1"/>
  <c r="BF13" i="7" s="1"/>
  <c r="BG13" i="7" s="1"/>
  <c r="BH13" i="7" s="1"/>
  <c r="BI13" i="7" s="1"/>
  <c r="BJ13" i="7" s="1"/>
  <c r="BK13" i="7" s="1"/>
  <c r="BL13" i="7" s="1"/>
  <c r="BM13" i="7" s="1"/>
  <c r="BN13" i="7" s="1"/>
  <c r="BO13" i="7" s="1"/>
  <c r="BP13" i="7" s="1"/>
  <c r="BQ13" i="7" s="1"/>
  <c r="BR13" i="7" s="1"/>
  <c r="BS13" i="7" s="1"/>
  <c r="BT13" i="7" s="1"/>
  <c r="BU13" i="7" s="1"/>
  <c r="BV13" i="7" s="1"/>
  <c r="BW13" i="7" s="1"/>
  <c r="BX13" i="7" s="1"/>
  <c r="BY13" i="7" s="1"/>
  <c r="BZ13" i="7" s="1"/>
  <c r="CA13" i="7" s="1"/>
  <c r="CB13" i="7" s="1"/>
  <c r="CC13" i="7" s="1"/>
  <c r="CD13" i="7" s="1"/>
  <c r="CE13" i="7" s="1"/>
  <c r="CF13" i="7" s="1"/>
  <c r="CG13" i="7" s="1"/>
  <c r="CH13" i="7" s="1"/>
  <c r="CI13" i="7" s="1"/>
  <c r="CJ13" i="7" s="1"/>
  <c r="CK13" i="7" s="1"/>
  <c r="CL13" i="7" s="1"/>
  <c r="CM13" i="7" s="1"/>
  <c r="CN13" i="7" s="1"/>
  <c r="CO13" i="7" s="1"/>
  <c r="CP13" i="7" s="1"/>
  <c r="CQ13" i="7" s="1"/>
  <c r="CR13" i="7" s="1"/>
  <c r="CS13" i="7" s="1"/>
  <c r="CT13" i="7" s="1"/>
  <c r="CU13" i="7" s="1"/>
  <c r="CV13" i="7" s="1"/>
  <c r="CW13" i="7" s="1"/>
  <c r="CX13" i="7" s="1"/>
  <c r="CY13" i="7" s="1"/>
  <c r="CZ13" i="7" s="1"/>
  <c r="DA13" i="7" s="1"/>
  <c r="DB13" i="7" s="1"/>
  <c r="DC13" i="7" s="1"/>
  <c r="DD13" i="7" s="1"/>
  <c r="DE13" i="7" s="1"/>
  <c r="DF13" i="7" s="1"/>
  <c r="DG13" i="7" s="1"/>
  <c r="DH13" i="7" s="1"/>
  <c r="DI13" i="7" s="1"/>
  <c r="DJ13" i="7" s="1"/>
  <c r="DK13" i="7" s="1"/>
  <c r="DL13" i="7" s="1"/>
  <c r="DM13" i="7" s="1"/>
  <c r="DN13" i="7" s="1"/>
  <c r="DO13" i="7" s="1"/>
  <c r="DP13" i="7" s="1"/>
  <c r="DQ13" i="7" s="1"/>
  <c r="DR13" i="7" s="1"/>
  <c r="DS13" i="7" s="1"/>
  <c r="DT13" i="7" s="1"/>
  <c r="DU13" i="7" s="1"/>
  <c r="DV13" i="7" s="1"/>
  <c r="DW13" i="7" s="1"/>
  <c r="DX13" i="7" s="1"/>
  <c r="DY13" i="7" s="1"/>
  <c r="DZ13" i="7" s="1"/>
  <c r="EA13" i="7" s="1"/>
  <c r="EB13" i="7" s="1"/>
  <c r="EC13" i="7" s="1"/>
  <c r="ED13" i="7" s="1"/>
  <c r="EE13" i="7" s="1"/>
  <c r="EF13" i="7" s="1"/>
  <c r="D12" i="7"/>
  <c r="E12" i="7" s="1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W12" i="7" s="1"/>
  <c r="AX12" i="7" s="1"/>
  <c r="AY12" i="7" s="1"/>
  <c r="AZ12" i="7" s="1"/>
  <c r="BA12" i="7" s="1"/>
  <c r="BB12" i="7" s="1"/>
  <c r="BC12" i="7" s="1"/>
  <c r="BD12" i="7" s="1"/>
  <c r="BE12" i="7" s="1"/>
  <c r="BF12" i="7" s="1"/>
  <c r="BG12" i="7" s="1"/>
  <c r="BH12" i="7" s="1"/>
  <c r="BI12" i="7" s="1"/>
  <c r="BJ12" i="7" s="1"/>
  <c r="BK12" i="7" s="1"/>
  <c r="BL12" i="7" s="1"/>
  <c r="BM12" i="7" s="1"/>
  <c r="BN12" i="7" s="1"/>
  <c r="BO12" i="7" s="1"/>
  <c r="BP12" i="7" s="1"/>
  <c r="BQ12" i="7" s="1"/>
  <c r="BR12" i="7" s="1"/>
  <c r="BS12" i="7" s="1"/>
  <c r="BT12" i="7" s="1"/>
  <c r="BU12" i="7" s="1"/>
  <c r="BV12" i="7" s="1"/>
  <c r="BW12" i="7" s="1"/>
  <c r="BX12" i="7" s="1"/>
  <c r="BY12" i="7" s="1"/>
  <c r="BZ12" i="7" s="1"/>
  <c r="CA12" i="7" s="1"/>
  <c r="CB12" i="7" s="1"/>
  <c r="CC12" i="7" s="1"/>
  <c r="CD12" i="7" s="1"/>
  <c r="CE12" i="7" s="1"/>
  <c r="CF12" i="7" s="1"/>
  <c r="CG12" i="7" s="1"/>
  <c r="CH12" i="7" s="1"/>
  <c r="CI12" i="7" s="1"/>
  <c r="CJ12" i="7" s="1"/>
  <c r="CK12" i="7" s="1"/>
  <c r="CL12" i="7" s="1"/>
  <c r="CM12" i="7" s="1"/>
  <c r="CN12" i="7" s="1"/>
  <c r="CO12" i="7" s="1"/>
  <c r="CP12" i="7" s="1"/>
  <c r="CQ12" i="7" s="1"/>
  <c r="CR12" i="7" s="1"/>
  <c r="CS12" i="7" s="1"/>
  <c r="CT12" i="7" s="1"/>
  <c r="CU12" i="7" s="1"/>
  <c r="CV12" i="7" s="1"/>
  <c r="CW12" i="7" s="1"/>
  <c r="CX12" i="7" s="1"/>
  <c r="CY12" i="7" s="1"/>
  <c r="CZ12" i="7" s="1"/>
  <c r="DA12" i="7" s="1"/>
  <c r="DB12" i="7" s="1"/>
  <c r="DC12" i="7" s="1"/>
  <c r="DD12" i="7" s="1"/>
  <c r="DE12" i="7" s="1"/>
  <c r="DF12" i="7" s="1"/>
  <c r="DG12" i="7" s="1"/>
  <c r="DH12" i="7" s="1"/>
  <c r="DI12" i="7" s="1"/>
  <c r="DJ12" i="7" s="1"/>
  <c r="DK12" i="7" s="1"/>
  <c r="DL12" i="7" s="1"/>
  <c r="DM12" i="7" s="1"/>
  <c r="DN12" i="7" s="1"/>
  <c r="DO12" i="7" s="1"/>
  <c r="DP12" i="7" s="1"/>
  <c r="DQ12" i="7" s="1"/>
  <c r="DR12" i="7" s="1"/>
  <c r="DS12" i="7" s="1"/>
  <c r="DT12" i="7" s="1"/>
  <c r="DU12" i="7" s="1"/>
  <c r="DV12" i="7" s="1"/>
  <c r="DW12" i="7" s="1"/>
  <c r="DX12" i="7" s="1"/>
  <c r="DY12" i="7" s="1"/>
  <c r="DZ12" i="7" s="1"/>
  <c r="EA12" i="7" s="1"/>
  <c r="EB12" i="7" s="1"/>
  <c r="EC12" i="7" s="1"/>
  <c r="ED12" i="7" s="1"/>
  <c r="EE12" i="7" s="1"/>
  <c r="EF12" i="7" s="1"/>
  <c r="ED8" i="1"/>
  <c r="DZ8" i="1"/>
  <c r="DV8" i="1"/>
  <c r="DR8" i="1"/>
  <c r="DN8" i="1"/>
  <c r="DJ8" i="1"/>
  <c r="DF8" i="1"/>
  <c r="DB8" i="1"/>
  <c r="CX8" i="1"/>
  <c r="CU8" i="1"/>
  <c r="CQ8" i="1"/>
  <c r="CH8" i="1"/>
  <c r="CG8" i="1"/>
  <c r="CC8" i="1"/>
  <c r="BZ8" i="1"/>
  <c r="BY8" i="1"/>
  <c r="BV8" i="1"/>
  <c r="BR8" i="1"/>
  <c r="BO8" i="1"/>
  <c r="BK8" i="1"/>
  <c r="BA8" i="1"/>
  <c r="AX8" i="1"/>
  <c r="AW8" i="1"/>
  <c r="AP8" i="1"/>
  <c r="AL8" i="1"/>
  <c r="AI8" i="1"/>
  <c r="AE8" i="1"/>
  <c r="AA8" i="1"/>
  <c r="Z8" i="1"/>
  <c r="Q8" i="1"/>
  <c r="O8" i="1"/>
  <c r="M8" i="1"/>
  <c r="J8" i="1"/>
  <c r="F8" i="1"/>
  <c r="ED7" i="1"/>
  <c r="EB7" i="1"/>
  <c r="DZ7" i="1"/>
  <c r="DX7" i="1"/>
  <c r="DW7" i="1"/>
  <c r="DV7" i="1"/>
  <c r="DT7" i="1"/>
  <c r="DS7" i="1"/>
  <c r="DR7" i="1"/>
  <c r="DN7" i="1"/>
  <c r="DL7" i="1"/>
  <c r="DJ7" i="1"/>
  <c r="DH7" i="1"/>
  <c r="DG7" i="1"/>
  <c r="DF7" i="1"/>
  <c r="DD7" i="1"/>
  <c r="DC7" i="1"/>
  <c r="DB7" i="1"/>
  <c r="CX7" i="1"/>
  <c r="CV7" i="1"/>
  <c r="CU7" i="1"/>
  <c r="CR7" i="1"/>
  <c r="CQ7" i="1"/>
  <c r="CN7" i="1"/>
  <c r="CL7" i="1"/>
  <c r="CJ7" i="1"/>
  <c r="CH7" i="1"/>
  <c r="CA7" i="1"/>
  <c r="BW7" i="1"/>
  <c r="BV7" i="1"/>
  <c r="BS7" i="1"/>
  <c r="BR7" i="1"/>
  <c r="BP7" i="1"/>
  <c r="BO7" i="1"/>
  <c r="BL7" i="1"/>
  <c r="BK7" i="1"/>
  <c r="BH7" i="1"/>
  <c r="BD7" i="1"/>
  <c r="AZ7" i="1"/>
  <c r="AX7" i="1"/>
  <c r="AP7" i="1"/>
  <c r="AL7" i="1"/>
  <c r="AI7" i="1"/>
  <c r="AE7" i="1"/>
  <c r="AB7" i="1"/>
  <c r="AA7" i="1"/>
  <c r="Z7" i="1"/>
  <c r="X7" i="1"/>
  <c r="T7" i="1"/>
  <c r="P7" i="1"/>
  <c r="O7" i="1"/>
  <c r="J7" i="1"/>
  <c r="F7" i="1"/>
  <c r="D7" i="1"/>
  <c r="EF6" i="1" a="1"/>
  <c r="EF6" i="1" s="1"/>
  <c r="EF8" i="1" s="1"/>
  <c r="EE6" i="1" a="1"/>
  <c r="EE6" i="1" s="1"/>
  <c r="EE8" i="1" s="1"/>
  <c r="ED6" i="1" a="1"/>
  <c r="ED6" i="1" s="1"/>
  <c r="EC6" i="1" a="1"/>
  <c r="EC6" i="1" s="1"/>
  <c r="EC7" i="1" s="1"/>
  <c r="EB6" i="1" a="1"/>
  <c r="EB6" i="1" s="1"/>
  <c r="EB8" i="1" s="1"/>
  <c r="EA6" i="1" a="1"/>
  <c r="EA6" i="1" s="1"/>
  <c r="EA8" i="1" s="1"/>
  <c r="DZ6" i="1" a="1"/>
  <c r="DZ6" i="1" s="1"/>
  <c r="DY6" i="1" a="1"/>
  <c r="DY6" i="1" s="1"/>
  <c r="DY7" i="1" s="1"/>
  <c r="DX6" i="1" a="1"/>
  <c r="DX6" i="1" s="1"/>
  <c r="DX8" i="1" s="1"/>
  <c r="DW6" i="1" a="1"/>
  <c r="DW6" i="1" s="1"/>
  <c r="DW8" i="1" s="1"/>
  <c r="DV6" i="1" a="1"/>
  <c r="DV6" i="1" s="1"/>
  <c r="DU6" i="1" a="1"/>
  <c r="DU6" i="1" s="1"/>
  <c r="DU7" i="1" s="1"/>
  <c r="DT6" i="1" a="1"/>
  <c r="DT6" i="1" s="1"/>
  <c r="DT8" i="1" s="1"/>
  <c r="DS6" i="1" a="1"/>
  <c r="DS6" i="1" s="1"/>
  <c r="DS8" i="1" s="1"/>
  <c r="DR6" i="1" a="1"/>
  <c r="DR6" i="1" s="1"/>
  <c r="DQ6" i="1" a="1"/>
  <c r="DQ6" i="1" s="1"/>
  <c r="DQ7" i="1" s="1"/>
  <c r="DP6" i="1" a="1"/>
  <c r="DP6" i="1" s="1"/>
  <c r="DP8" i="1" s="1"/>
  <c r="DO6" i="1" a="1"/>
  <c r="DO6" i="1" s="1"/>
  <c r="DO8" i="1" s="1"/>
  <c r="DN6" i="1" a="1"/>
  <c r="DN6" i="1" s="1"/>
  <c r="DM6" i="1" a="1"/>
  <c r="DM6" i="1" s="1"/>
  <c r="DM7" i="1" s="1"/>
  <c r="DL6" i="1" a="1"/>
  <c r="DL6" i="1" s="1"/>
  <c r="DL8" i="1" s="1"/>
  <c r="DK6" i="1" a="1"/>
  <c r="DK6" i="1" s="1"/>
  <c r="DK8" i="1" s="1"/>
  <c r="DJ6" i="1" a="1"/>
  <c r="DJ6" i="1" s="1"/>
  <c r="DI6" i="1" a="1"/>
  <c r="DI6" i="1" s="1"/>
  <c r="DI7" i="1" s="1"/>
  <c r="DH6" i="1" a="1"/>
  <c r="DH6" i="1" s="1"/>
  <c r="DH8" i="1" s="1"/>
  <c r="DG6" i="1" a="1"/>
  <c r="DG6" i="1" s="1"/>
  <c r="DG8" i="1" s="1"/>
  <c r="DF6" i="1" a="1"/>
  <c r="DF6" i="1" s="1"/>
  <c r="DE6" i="1" a="1"/>
  <c r="DE6" i="1" s="1"/>
  <c r="DE7" i="1" s="1"/>
  <c r="DD6" i="1" a="1"/>
  <c r="DD6" i="1" s="1"/>
  <c r="DD8" i="1" s="1"/>
  <c r="DC6" i="1" a="1"/>
  <c r="DC6" i="1" s="1"/>
  <c r="DC8" i="1" s="1"/>
  <c r="DB6" i="1" a="1"/>
  <c r="DB6" i="1" s="1"/>
  <c r="DA6" i="1" a="1"/>
  <c r="DA6" i="1" s="1"/>
  <c r="DA7" i="1" s="1"/>
  <c r="CZ6" i="1" a="1"/>
  <c r="CZ6" i="1" s="1"/>
  <c r="CZ8" i="1" s="1"/>
  <c r="CY6" i="1" a="1"/>
  <c r="CY6" i="1" s="1"/>
  <c r="CY8" i="1" s="1"/>
  <c r="CX6" i="1" a="1"/>
  <c r="CX6" i="1" s="1"/>
  <c r="CW6" i="1"/>
  <c r="CW7" i="1" s="1"/>
  <c r="CW6" i="1" a="1"/>
  <c r="CV6" i="1" a="1"/>
  <c r="CV6" i="1" s="1"/>
  <c r="CV8" i="1" s="1"/>
  <c r="CU6" i="1" a="1"/>
  <c r="CU6" i="1" s="1"/>
  <c r="CT6" i="1" a="1"/>
  <c r="CT6" i="1" s="1"/>
  <c r="CT7" i="1" s="1"/>
  <c r="CS6" i="1" a="1"/>
  <c r="CS6" i="1" s="1"/>
  <c r="CS7" i="1" s="1"/>
  <c r="CR6" i="1" a="1"/>
  <c r="CR6" i="1" s="1"/>
  <c r="CR8" i="1" s="1"/>
  <c r="CQ6" i="1" a="1"/>
  <c r="CQ6" i="1" s="1"/>
  <c r="CP6" i="1" a="1"/>
  <c r="CP6" i="1" s="1"/>
  <c r="CP7" i="1" s="1"/>
  <c r="CO6" i="1" a="1"/>
  <c r="CO6" i="1" s="1"/>
  <c r="CN6" i="1" a="1"/>
  <c r="CN6" i="1" s="1"/>
  <c r="CN8" i="1" s="1"/>
  <c r="CM6" i="1" a="1"/>
  <c r="CM6" i="1" s="1"/>
  <c r="CM8" i="1" s="1"/>
  <c r="CL6" i="1" a="1"/>
  <c r="CL6" i="1" s="1"/>
  <c r="CL8" i="1" s="1"/>
  <c r="CK6" i="1" a="1"/>
  <c r="CK6" i="1" s="1"/>
  <c r="CK7" i="1" s="1"/>
  <c r="CJ6" i="1" a="1"/>
  <c r="CJ6" i="1" s="1"/>
  <c r="CJ8" i="1" s="1"/>
  <c r="CI6" i="1" a="1"/>
  <c r="CI6" i="1" s="1"/>
  <c r="CI8" i="1" s="1"/>
  <c r="CH6" i="1" a="1"/>
  <c r="CH6" i="1" s="1"/>
  <c r="CG6" i="1"/>
  <c r="CG7" i="1" s="1"/>
  <c r="CG6" i="1" a="1"/>
  <c r="CF6" i="1" a="1"/>
  <c r="CF6" i="1" s="1"/>
  <c r="CF8" i="1" s="1"/>
  <c r="CE6" i="1" a="1"/>
  <c r="CE6" i="1" s="1"/>
  <c r="CE8" i="1" s="1"/>
  <c r="CD6" i="1" a="1"/>
  <c r="CD6" i="1" s="1"/>
  <c r="CD8" i="1" s="1"/>
  <c r="CC6" i="1" a="1"/>
  <c r="CC6" i="1" s="1"/>
  <c r="CC7" i="1" s="1"/>
  <c r="CB6" i="1" a="1"/>
  <c r="CB6" i="1" s="1"/>
  <c r="CB8" i="1" s="1"/>
  <c r="CA6" i="1" a="1"/>
  <c r="CA6" i="1" s="1"/>
  <c r="CA8" i="1" s="1"/>
  <c r="BZ6" i="1" a="1"/>
  <c r="BZ6" i="1" s="1"/>
  <c r="BZ7" i="1" s="1"/>
  <c r="BY6" i="1" a="1"/>
  <c r="BY6" i="1" s="1"/>
  <c r="BY7" i="1" s="1"/>
  <c r="BX6" i="1" a="1"/>
  <c r="BX6" i="1" s="1"/>
  <c r="BX8" i="1" s="1"/>
  <c r="BW6" i="1" a="1"/>
  <c r="BW6" i="1" s="1"/>
  <c r="BW8" i="1" s="1"/>
  <c r="BV6" i="1" a="1"/>
  <c r="BV6" i="1" s="1"/>
  <c r="BU6" i="1" a="1"/>
  <c r="BU6" i="1" s="1"/>
  <c r="BU7" i="1" s="1"/>
  <c r="BT6" i="1" a="1"/>
  <c r="BT6" i="1" s="1"/>
  <c r="BT8" i="1" s="1"/>
  <c r="BS6" i="1" a="1"/>
  <c r="BS6" i="1" s="1"/>
  <c r="BS8" i="1" s="1"/>
  <c r="BR6" i="1" a="1"/>
  <c r="BR6" i="1" s="1"/>
  <c r="BQ6" i="1" a="1"/>
  <c r="BQ6" i="1" s="1"/>
  <c r="BP6" i="1" a="1"/>
  <c r="BP6" i="1" s="1"/>
  <c r="BP8" i="1" s="1"/>
  <c r="BO6" i="1" a="1"/>
  <c r="BO6" i="1" s="1"/>
  <c r="BN6" i="1" a="1"/>
  <c r="BN6" i="1" s="1"/>
  <c r="BN8" i="1" s="1"/>
  <c r="BM6" i="1" a="1"/>
  <c r="BM6" i="1" s="1"/>
  <c r="BM7" i="1" s="1"/>
  <c r="BL6" i="1" a="1"/>
  <c r="BL6" i="1" s="1"/>
  <c r="BL8" i="1" s="1"/>
  <c r="BK6" i="1" a="1"/>
  <c r="BK6" i="1" s="1"/>
  <c r="BJ6" i="1" a="1"/>
  <c r="BJ6" i="1" s="1"/>
  <c r="BJ8" i="1" s="1"/>
  <c r="BI6" i="1"/>
  <c r="BI7" i="1" s="1"/>
  <c r="BI6" i="1" a="1"/>
  <c r="BH6" i="1" a="1"/>
  <c r="BH6" i="1" s="1"/>
  <c r="BH8" i="1" s="1"/>
  <c r="BG6" i="1" a="1"/>
  <c r="BG6" i="1" s="1"/>
  <c r="BG8" i="1" s="1"/>
  <c r="BF6" i="1" a="1"/>
  <c r="BF6" i="1" s="1"/>
  <c r="BF8" i="1" s="1"/>
  <c r="BE6" i="1" a="1"/>
  <c r="BE6" i="1" s="1"/>
  <c r="BE7" i="1" s="1"/>
  <c r="BD6" i="1" a="1"/>
  <c r="BD6" i="1" s="1"/>
  <c r="BD8" i="1" s="1"/>
  <c r="BC6" i="1" a="1"/>
  <c r="BC6" i="1" s="1"/>
  <c r="BC8" i="1" s="1"/>
  <c r="BB6" i="1" a="1"/>
  <c r="BB6" i="1" s="1"/>
  <c r="BB8" i="1" s="1"/>
  <c r="BA6" i="1"/>
  <c r="BA7" i="1" s="1"/>
  <c r="BA6" i="1" a="1"/>
  <c r="AZ6" i="1" a="1"/>
  <c r="AZ6" i="1" s="1"/>
  <c r="AZ8" i="1" s="1"/>
  <c r="AY6" i="1" a="1"/>
  <c r="AY6" i="1" s="1"/>
  <c r="AY8" i="1" s="1"/>
  <c r="AX6" i="1" a="1"/>
  <c r="AX6" i="1" s="1"/>
  <c r="AW6" i="1" a="1"/>
  <c r="AW6" i="1" s="1"/>
  <c r="AW7" i="1" s="1"/>
  <c r="AV6" i="1" a="1"/>
  <c r="AV6" i="1" s="1"/>
  <c r="AV8" i="1" s="1"/>
  <c r="AU6" i="1" a="1"/>
  <c r="AU6" i="1" s="1"/>
  <c r="AU8" i="1" s="1"/>
  <c r="AT6" i="1" a="1"/>
  <c r="AT6" i="1" s="1"/>
  <c r="AT8" i="1" s="1"/>
  <c r="AS6" i="1" a="1"/>
  <c r="AS6" i="1" s="1"/>
  <c r="AS7" i="1" s="1"/>
  <c r="AR6" i="1" a="1"/>
  <c r="AR6" i="1" s="1"/>
  <c r="AR8" i="1" s="1"/>
  <c r="AQ6" i="1" a="1"/>
  <c r="AQ6" i="1" s="1"/>
  <c r="AQ8" i="1" s="1"/>
  <c r="AP6" i="1" a="1"/>
  <c r="AP6" i="1" s="1"/>
  <c r="AO6" i="1" a="1"/>
  <c r="AO6" i="1" s="1"/>
  <c r="AO7" i="1" s="1"/>
  <c r="AN6" i="1" a="1"/>
  <c r="AN6" i="1" s="1"/>
  <c r="AN8" i="1" s="1"/>
  <c r="AM6" i="1" a="1"/>
  <c r="AM6" i="1" s="1"/>
  <c r="AM8" i="1" s="1"/>
  <c r="AL6" i="1" a="1"/>
  <c r="AL6" i="1" s="1"/>
  <c r="AK6" i="1" a="1"/>
  <c r="AK6" i="1" s="1"/>
  <c r="AJ6" i="1" a="1"/>
  <c r="AJ6" i="1" s="1"/>
  <c r="AJ8" i="1" s="1"/>
  <c r="AI6" i="1" a="1"/>
  <c r="AI6" i="1" s="1"/>
  <c r="AH6" i="1" a="1"/>
  <c r="AH6" i="1" s="1"/>
  <c r="AH8" i="1" s="1"/>
  <c r="AG6" i="1" a="1"/>
  <c r="AG6" i="1" s="1"/>
  <c r="AG7" i="1" s="1"/>
  <c r="AF6" i="1" a="1"/>
  <c r="AF6" i="1" s="1"/>
  <c r="AF8" i="1" s="1"/>
  <c r="AE6" i="1" a="1"/>
  <c r="AE6" i="1" s="1"/>
  <c r="AD6" i="1" a="1"/>
  <c r="AD6" i="1" s="1"/>
  <c r="AD8" i="1" s="1"/>
  <c r="AC6" i="1" a="1"/>
  <c r="AC6" i="1" s="1"/>
  <c r="AB6" i="1" a="1"/>
  <c r="AB6" i="1" s="1"/>
  <c r="AB8" i="1" s="1"/>
  <c r="AA6" i="1" a="1"/>
  <c r="AA6" i="1" s="1"/>
  <c r="Z6" i="1" a="1"/>
  <c r="Z6" i="1" s="1"/>
  <c r="Y6" i="1" a="1"/>
  <c r="Y6" i="1" s="1"/>
  <c r="Y7" i="1" s="1"/>
  <c r="X6" i="1" a="1"/>
  <c r="X6" i="1" s="1"/>
  <c r="X8" i="1" s="1"/>
  <c r="W6" i="1" a="1"/>
  <c r="W6" i="1" s="1"/>
  <c r="W8" i="1" s="1"/>
  <c r="V6" i="1" a="1"/>
  <c r="V6" i="1" s="1"/>
  <c r="V8" i="1" s="1"/>
  <c r="U6" i="1"/>
  <c r="U7" i="1" s="1"/>
  <c r="U6" i="1" a="1"/>
  <c r="T6" i="1" a="1"/>
  <c r="T6" i="1" s="1"/>
  <c r="T8" i="1" s="1"/>
  <c r="S6" i="1" a="1"/>
  <c r="S6" i="1" s="1"/>
  <c r="S8" i="1" s="1"/>
  <c r="R6" i="1" a="1"/>
  <c r="R6" i="1" s="1"/>
  <c r="R8" i="1" s="1"/>
  <c r="Q6" i="1" a="1"/>
  <c r="Q6" i="1" s="1"/>
  <c r="Q7" i="1" s="1"/>
  <c r="P6" i="1" a="1"/>
  <c r="P6" i="1" s="1"/>
  <c r="P8" i="1" s="1"/>
  <c r="O6" i="1" a="1"/>
  <c r="O6" i="1" s="1"/>
  <c r="N6" i="1" a="1"/>
  <c r="N6" i="1" s="1"/>
  <c r="N8" i="1" s="1"/>
  <c r="M6" i="1" a="1"/>
  <c r="M6" i="1" s="1"/>
  <c r="M7" i="1" s="1"/>
  <c r="L6" i="1" a="1"/>
  <c r="L6" i="1" s="1"/>
  <c r="L8" i="1" s="1"/>
  <c r="K6" i="1" a="1"/>
  <c r="K6" i="1" s="1"/>
  <c r="K8" i="1" s="1"/>
  <c r="J6" i="1" a="1"/>
  <c r="J6" i="1" s="1"/>
  <c r="I6" i="1" a="1"/>
  <c r="I6" i="1" s="1"/>
  <c r="I7" i="1" s="1"/>
  <c r="H6" i="1" a="1"/>
  <c r="H6" i="1" s="1"/>
  <c r="H8" i="1" s="1"/>
  <c r="G6" i="1" a="1"/>
  <c r="G6" i="1" s="1"/>
  <c r="G8" i="1" s="1"/>
  <c r="F6" i="1" a="1"/>
  <c r="F6" i="1" s="1"/>
  <c r="E6" i="1" a="1"/>
  <c r="E6" i="1" s="1"/>
  <c r="D6" i="1" a="1"/>
  <c r="D6" i="1" s="1"/>
  <c r="D8" i="1" s="1"/>
  <c r="C6" i="1" a="1"/>
  <c r="C6" i="1" s="1"/>
  <c r="BS8" i="7"/>
  <c r="W8" i="7"/>
  <c r="EF6" i="7" a="1"/>
  <c r="EF6" i="7" s="1"/>
  <c r="EE6" i="7" a="1"/>
  <c r="EE6" i="7" s="1"/>
  <c r="EE7" i="7" s="1"/>
  <c r="ED6" i="7" a="1"/>
  <c r="ED6" i="7"/>
  <c r="EC6" i="7" a="1"/>
  <c r="EC6" i="7" s="1"/>
  <c r="EC8" i="7" s="1"/>
  <c r="EB6" i="7" a="1"/>
  <c r="EB6" i="7" s="1"/>
  <c r="EB7" i="7" s="1"/>
  <c r="EA6" i="7" a="1"/>
  <c r="EA6" i="7" s="1"/>
  <c r="DZ6" i="7" a="1"/>
  <c r="DZ6" i="7" s="1"/>
  <c r="DZ8" i="7" s="1"/>
  <c r="DY6" i="7" a="1"/>
  <c r="DY6" i="7" s="1"/>
  <c r="DX6" i="7" a="1"/>
  <c r="DX6" i="7" s="1"/>
  <c r="DW6" i="7" a="1"/>
  <c r="DW6" i="7" s="1"/>
  <c r="DW7" i="7" s="1"/>
  <c r="DV6" i="7" a="1"/>
  <c r="DV6" i="7" s="1"/>
  <c r="DU6" i="7" a="1"/>
  <c r="DU6" i="7" s="1"/>
  <c r="DU8" i="7" s="1"/>
  <c r="DT6" i="7" a="1"/>
  <c r="DT6" i="7"/>
  <c r="DT7" i="7" s="1"/>
  <c r="DS6" i="7" a="1"/>
  <c r="DS6" i="7" s="1"/>
  <c r="DR6" i="7" a="1"/>
  <c r="DR6" i="7" s="1"/>
  <c r="DR8" i="7" s="1"/>
  <c r="DQ6" i="7" a="1"/>
  <c r="DQ6" i="7" s="1"/>
  <c r="DP6" i="7" a="1"/>
  <c r="DP6" i="7" s="1"/>
  <c r="DO6" i="7" a="1"/>
  <c r="DO6" i="7" s="1"/>
  <c r="DO7" i="7" s="1"/>
  <c r="DN6" i="7" a="1"/>
  <c r="DN6" i="7" s="1"/>
  <c r="DM6" i="7" a="1"/>
  <c r="DM6" i="7" s="1"/>
  <c r="DM8" i="7" s="1"/>
  <c r="DL6" i="7" a="1"/>
  <c r="DL6" i="7" s="1"/>
  <c r="DL7" i="7" s="1"/>
  <c r="DK6" i="7" a="1"/>
  <c r="DK6" i="7" s="1"/>
  <c r="DJ6" i="7" a="1"/>
  <c r="DJ6" i="7" s="1"/>
  <c r="DJ8" i="7" s="1"/>
  <c r="DI6" i="7" a="1"/>
  <c r="DI6" i="7" s="1"/>
  <c r="DH6" i="7" a="1"/>
  <c r="DH6" i="7" s="1"/>
  <c r="DG6" i="7" a="1"/>
  <c r="DG6" i="7" s="1"/>
  <c r="DG7" i="7" s="1"/>
  <c r="DF6" i="7" a="1"/>
  <c r="DF6" i="7" s="1"/>
  <c r="DE6" i="7" a="1"/>
  <c r="DE6" i="7" s="1"/>
  <c r="DE8" i="7" s="1"/>
  <c r="DD6" i="7" a="1"/>
  <c r="DD6" i="7" s="1"/>
  <c r="DD7" i="7" s="1"/>
  <c r="DC6" i="7" a="1"/>
  <c r="DC6" i="7" s="1"/>
  <c r="DB6" i="7" a="1"/>
  <c r="DB6" i="7" s="1"/>
  <c r="DB8" i="7" s="1"/>
  <c r="DA6" i="7" a="1"/>
  <c r="DA6" i="7" s="1"/>
  <c r="CZ6" i="7" a="1"/>
  <c r="CZ6" i="7" s="1"/>
  <c r="CY6" i="7" a="1"/>
  <c r="CY6" i="7" s="1"/>
  <c r="CY7" i="7" s="1"/>
  <c r="CX6" i="7" a="1"/>
  <c r="CX6" i="7" s="1"/>
  <c r="CW6" i="7" a="1"/>
  <c r="CW6" i="7" s="1"/>
  <c r="CW8" i="7" s="1"/>
  <c r="CV6" i="7" a="1"/>
  <c r="CV6" i="7"/>
  <c r="CV7" i="7" s="1"/>
  <c r="CU6" i="7" a="1"/>
  <c r="CU6" i="7" s="1"/>
  <c r="CT6" i="7" a="1"/>
  <c r="CT6" i="7" s="1"/>
  <c r="CT8" i="7" s="1"/>
  <c r="CS6" i="7" a="1"/>
  <c r="CS6" i="7" s="1"/>
  <c r="CR6" i="7" a="1"/>
  <c r="CR6" i="7" s="1"/>
  <c r="CQ6" i="7" a="1"/>
  <c r="CQ6" i="7" s="1"/>
  <c r="CQ7" i="7" s="1"/>
  <c r="CP6" i="7" a="1"/>
  <c r="CP6" i="7" s="1"/>
  <c r="CO6" i="7" a="1"/>
  <c r="CO6" i="7" s="1"/>
  <c r="CO8" i="7" s="1"/>
  <c r="CN6" i="7" a="1"/>
  <c r="CN6" i="7" s="1"/>
  <c r="CM6" i="7" a="1"/>
  <c r="CM6" i="7" s="1"/>
  <c r="CL6" i="7" a="1"/>
  <c r="CL6" i="7" s="1"/>
  <c r="CL8" i="7" s="1"/>
  <c r="CK6" i="7" a="1"/>
  <c r="CK6" i="7" s="1"/>
  <c r="CJ6" i="7" a="1"/>
  <c r="CJ6" i="7" s="1"/>
  <c r="CI6" i="7" a="1"/>
  <c r="CI6" i="7" s="1"/>
  <c r="CI7" i="7" s="1"/>
  <c r="CH6" i="7" a="1"/>
  <c r="CH6" i="7"/>
  <c r="CG6" i="7" a="1"/>
  <c r="CG6" i="7" s="1"/>
  <c r="CG8" i="7" s="1"/>
  <c r="CF6" i="7" a="1"/>
  <c r="CF6" i="7"/>
  <c r="CF7" i="7" s="1"/>
  <c r="CE6" i="7" a="1"/>
  <c r="CE6" i="7" s="1"/>
  <c r="CD6" i="7" a="1"/>
  <c r="CD6" i="7" s="1"/>
  <c r="CD8" i="7" s="1"/>
  <c r="CC6" i="7" a="1"/>
  <c r="CC6" i="7" s="1"/>
  <c r="CB6" i="7" a="1"/>
  <c r="CB6" i="7" s="1"/>
  <c r="CA6" i="7" a="1"/>
  <c r="CA6" i="7" s="1"/>
  <c r="CA7" i="7" s="1"/>
  <c r="BZ6" i="7" a="1"/>
  <c r="BZ6" i="7" s="1"/>
  <c r="BY6" i="7" a="1"/>
  <c r="BY6" i="7" s="1"/>
  <c r="BY8" i="7" s="1"/>
  <c r="BX6" i="7" a="1"/>
  <c r="BX6" i="7"/>
  <c r="BX7" i="7" s="1"/>
  <c r="BW6" i="7" a="1"/>
  <c r="BW6" i="7" s="1"/>
  <c r="BV6" i="7" a="1"/>
  <c r="BV6" i="7" s="1"/>
  <c r="BV8" i="7" s="1"/>
  <c r="BU6" i="7" a="1"/>
  <c r="BU6" i="7" s="1"/>
  <c r="BT6" i="7" a="1"/>
  <c r="BT6" i="7" s="1"/>
  <c r="BS6" i="7" a="1"/>
  <c r="BS6" i="7" s="1"/>
  <c r="BS7" i="7" s="1"/>
  <c r="BR6" i="7" a="1"/>
  <c r="BR6" i="7"/>
  <c r="BQ6" i="7" a="1"/>
  <c r="BQ6" i="7" s="1"/>
  <c r="BQ8" i="7" s="1"/>
  <c r="BP6" i="7" a="1"/>
  <c r="BP6" i="7" s="1"/>
  <c r="BP7" i="7" s="1"/>
  <c r="BO6" i="7" a="1"/>
  <c r="BO6" i="7" s="1"/>
  <c r="BN6" i="7" a="1"/>
  <c r="BN6" i="7" s="1"/>
  <c r="BN8" i="7" s="1"/>
  <c r="BM6" i="7" a="1"/>
  <c r="BM6" i="7" s="1"/>
  <c r="BL6" i="7" a="1"/>
  <c r="BL6" i="7" s="1"/>
  <c r="BK6" i="7" a="1"/>
  <c r="BK6" i="7" s="1"/>
  <c r="BK7" i="7" s="1"/>
  <c r="BJ6" i="7" a="1"/>
  <c r="BJ6" i="7" s="1"/>
  <c r="BI6" i="7" a="1"/>
  <c r="BI6" i="7" s="1"/>
  <c r="BI8" i="7" s="1"/>
  <c r="BH6" i="7" a="1"/>
  <c r="BH6" i="7"/>
  <c r="BH7" i="7" s="1"/>
  <c r="BG6" i="7" a="1"/>
  <c r="BG6" i="7" s="1"/>
  <c r="BF6" i="7" a="1"/>
  <c r="BF6" i="7" s="1"/>
  <c r="BF8" i="7" s="1"/>
  <c r="BE6" i="7" a="1"/>
  <c r="BE6" i="7" s="1"/>
  <c r="BD6" i="7" a="1"/>
  <c r="BD6" i="7" s="1"/>
  <c r="BC6" i="7" a="1"/>
  <c r="BC6" i="7" s="1"/>
  <c r="BC7" i="7" s="1"/>
  <c r="BB6" i="7" a="1"/>
  <c r="BB6" i="7" s="1"/>
  <c r="BA6" i="7" a="1"/>
  <c r="BA6" i="7" s="1"/>
  <c r="BA8" i="7" s="1"/>
  <c r="AZ6" i="7" a="1"/>
  <c r="AZ6" i="7" s="1"/>
  <c r="AZ7" i="7" s="1"/>
  <c r="AY6" i="7" a="1"/>
  <c r="AY6" i="7" s="1"/>
  <c r="AX6" i="7" a="1"/>
  <c r="AX6" i="7" s="1"/>
  <c r="AX8" i="7" s="1"/>
  <c r="AW6" i="7" a="1"/>
  <c r="AW6" i="7" s="1"/>
  <c r="AV6" i="7" a="1"/>
  <c r="AV6" i="7" s="1"/>
  <c r="AU6" i="7" a="1"/>
  <c r="AU6" i="7" s="1"/>
  <c r="AU7" i="7" s="1"/>
  <c r="AT6" i="7" a="1"/>
  <c r="AT6" i="7" s="1"/>
  <c r="AS6" i="7" a="1"/>
  <c r="AS6" i="7" s="1"/>
  <c r="AS8" i="7" s="1"/>
  <c r="AR6" i="7" a="1"/>
  <c r="AR6" i="7" s="1"/>
  <c r="AR7" i="7" s="1"/>
  <c r="AQ6" i="7" a="1"/>
  <c r="AQ6" i="7" s="1"/>
  <c r="AP6" i="7" a="1"/>
  <c r="AP6" i="7" s="1"/>
  <c r="AP8" i="7" s="1"/>
  <c r="AO6" i="7" a="1"/>
  <c r="AO6" i="7" s="1"/>
  <c r="AN6" i="7" a="1"/>
  <c r="AN6" i="7" s="1"/>
  <c r="AM6" i="7" a="1"/>
  <c r="AM6" i="7" s="1"/>
  <c r="AM7" i="7" s="1"/>
  <c r="AL6" i="7" a="1"/>
  <c r="AL6" i="7" s="1"/>
  <c r="AK6" i="7" a="1"/>
  <c r="AK6" i="7" s="1"/>
  <c r="AK8" i="7" s="1"/>
  <c r="AJ6" i="7" a="1"/>
  <c r="AJ6" i="7"/>
  <c r="AJ7" i="7" s="1"/>
  <c r="AI6" i="7" a="1"/>
  <c r="AI6" i="7" s="1"/>
  <c r="AH6" i="7" a="1"/>
  <c r="AH6" i="7" s="1"/>
  <c r="AH8" i="7" s="1"/>
  <c r="AG6" i="7" a="1"/>
  <c r="AG6" i="7" s="1"/>
  <c r="AF6" i="7" a="1"/>
  <c r="AF6" i="7" s="1"/>
  <c r="AE6" i="7" a="1"/>
  <c r="AE6" i="7" s="1"/>
  <c r="AE7" i="7" s="1"/>
  <c r="AD6" i="7" a="1"/>
  <c r="AD6" i="7" s="1"/>
  <c r="AC6" i="7" a="1"/>
  <c r="AC6" i="7" s="1"/>
  <c r="AC8" i="7" s="1"/>
  <c r="AB6" i="7" a="1"/>
  <c r="AB6" i="7" s="1"/>
  <c r="AA6" i="7" a="1"/>
  <c r="AA6" i="7" s="1"/>
  <c r="Z6" i="7" a="1"/>
  <c r="Z6" i="7" s="1"/>
  <c r="Z8" i="7" s="1"/>
  <c r="Y6" i="7" a="1"/>
  <c r="Y6" i="7" s="1"/>
  <c r="X6" i="7" a="1"/>
  <c r="X6" i="7" s="1"/>
  <c r="W6" i="7" a="1"/>
  <c r="W6" i="7" s="1"/>
  <c r="W7" i="7" s="1"/>
  <c r="V6" i="7" a="1"/>
  <c r="V6" i="7"/>
  <c r="U6" i="7" a="1"/>
  <c r="U6" i="7" s="1"/>
  <c r="U8" i="7" s="1"/>
  <c r="T6" i="7" a="1"/>
  <c r="T6" i="7"/>
  <c r="T7" i="7" s="1"/>
  <c r="S6" i="7" a="1"/>
  <c r="S6" i="7" s="1"/>
  <c r="R6" i="7" a="1"/>
  <c r="R6" i="7" s="1"/>
  <c r="R8" i="7" s="1"/>
  <c r="Q6" i="7" a="1"/>
  <c r="Q6" i="7" s="1"/>
  <c r="P6" i="7" a="1"/>
  <c r="P6" i="7" s="1"/>
  <c r="O6" i="7" a="1"/>
  <c r="O6" i="7" s="1"/>
  <c r="O7" i="7" s="1"/>
  <c r="N6" i="7" a="1"/>
  <c r="N6" i="7" s="1"/>
  <c r="M6" i="7" a="1"/>
  <c r="M6" i="7" s="1"/>
  <c r="M8" i="7" s="1"/>
  <c r="L6" i="7" a="1"/>
  <c r="L6" i="7"/>
  <c r="L7" i="7" s="1"/>
  <c r="K6" i="7" a="1"/>
  <c r="K6" i="7" s="1"/>
  <c r="J6" i="7" a="1"/>
  <c r="J6" i="7" s="1"/>
  <c r="J8" i="7" s="1"/>
  <c r="I6" i="7" a="1"/>
  <c r="I6" i="7" s="1"/>
  <c r="H6" i="7" a="1"/>
  <c r="H6" i="7" s="1"/>
  <c r="G6" i="7" a="1"/>
  <c r="G6" i="7" s="1"/>
  <c r="G7" i="7" s="1"/>
  <c r="F6" i="7" a="1"/>
  <c r="F6" i="7"/>
  <c r="E6" i="7" a="1"/>
  <c r="E6" i="7" s="1"/>
  <c r="E8" i="7" s="1"/>
  <c r="D6" i="7" a="1"/>
  <c r="D6" i="7" s="1"/>
  <c r="D7" i="7" s="1"/>
  <c r="C6" i="7" a="1"/>
  <c r="C6" i="7" s="1"/>
  <c r="V25" i="5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CI25" i="5" s="1"/>
  <c r="CJ25" i="5" s="1"/>
  <c r="CK25" i="5" s="1"/>
  <c r="CL25" i="5" s="1"/>
  <c r="CM25" i="5" s="1"/>
  <c r="CN25" i="5" s="1"/>
  <c r="CO25" i="5" s="1"/>
  <c r="CP25" i="5" s="1"/>
  <c r="CQ25" i="5" s="1"/>
  <c r="CR25" i="5" s="1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DD25" i="5" s="1"/>
  <c r="DE25" i="5" s="1"/>
  <c r="DF25" i="5" s="1"/>
  <c r="DG25" i="5" s="1"/>
  <c r="DH25" i="5" s="1"/>
  <c r="DI25" i="5" s="1"/>
  <c r="DJ25" i="5" s="1"/>
  <c r="DK25" i="5" s="1"/>
  <c r="DL25" i="5" s="1"/>
  <c r="DM25" i="5" s="1"/>
  <c r="DN25" i="5" s="1"/>
  <c r="DO25" i="5" s="1"/>
  <c r="DP25" i="5" s="1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EC25" i="5" s="1"/>
  <c r="ED25" i="5" s="1"/>
  <c r="EE25" i="5" s="1"/>
  <c r="EF25" i="5" s="1"/>
  <c r="N25" i="5"/>
  <c r="O25" i="5" s="1"/>
  <c r="P25" i="5" s="1"/>
  <c r="Q25" i="5" s="1"/>
  <c r="R25" i="5" s="1"/>
  <c r="S25" i="5" s="1"/>
  <c r="T25" i="5" s="1"/>
  <c r="U25" i="5" s="1"/>
  <c r="F25" i="5"/>
  <c r="G25" i="5" s="1"/>
  <c r="H25" i="5" s="1"/>
  <c r="I25" i="5" s="1"/>
  <c r="J25" i="5" s="1"/>
  <c r="K25" i="5" s="1"/>
  <c r="L25" i="5" s="1"/>
  <c r="M25" i="5" s="1"/>
  <c r="E25" i="5"/>
  <c r="D25" i="5"/>
  <c r="D24" i="5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BQ24" i="5" s="1"/>
  <c r="BR24" i="5" s="1"/>
  <c r="BS24" i="5" s="1"/>
  <c r="BT24" i="5" s="1"/>
  <c r="BU24" i="5" s="1"/>
  <c r="BV24" i="5" s="1"/>
  <c r="BW24" i="5" s="1"/>
  <c r="BX24" i="5" s="1"/>
  <c r="BY24" i="5" s="1"/>
  <c r="BZ24" i="5" s="1"/>
  <c r="CA24" i="5" s="1"/>
  <c r="CB24" i="5" s="1"/>
  <c r="CC24" i="5" s="1"/>
  <c r="CD24" i="5" s="1"/>
  <c r="CE24" i="5" s="1"/>
  <c r="CF24" i="5" s="1"/>
  <c r="CG24" i="5" s="1"/>
  <c r="CH24" i="5" s="1"/>
  <c r="CI24" i="5" s="1"/>
  <c r="CJ24" i="5" s="1"/>
  <c r="CK24" i="5" s="1"/>
  <c r="CL24" i="5" s="1"/>
  <c r="CM24" i="5" s="1"/>
  <c r="CN24" i="5" s="1"/>
  <c r="CO24" i="5" s="1"/>
  <c r="CP24" i="5" s="1"/>
  <c r="CQ24" i="5" s="1"/>
  <c r="CR24" i="5" s="1"/>
  <c r="CS24" i="5" s="1"/>
  <c r="CT24" i="5" s="1"/>
  <c r="CU24" i="5" s="1"/>
  <c r="CV24" i="5" s="1"/>
  <c r="CW24" i="5" s="1"/>
  <c r="CX24" i="5" s="1"/>
  <c r="CY24" i="5" s="1"/>
  <c r="CZ24" i="5" s="1"/>
  <c r="DA24" i="5" s="1"/>
  <c r="DB24" i="5" s="1"/>
  <c r="DC24" i="5" s="1"/>
  <c r="DD24" i="5" s="1"/>
  <c r="DE24" i="5" s="1"/>
  <c r="DF24" i="5" s="1"/>
  <c r="DG24" i="5" s="1"/>
  <c r="DH24" i="5" s="1"/>
  <c r="DI24" i="5" s="1"/>
  <c r="DJ24" i="5" s="1"/>
  <c r="DK24" i="5" s="1"/>
  <c r="DL24" i="5" s="1"/>
  <c r="DM24" i="5" s="1"/>
  <c r="DN24" i="5" s="1"/>
  <c r="DO24" i="5" s="1"/>
  <c r="DP24" i="5" s="1"/>
  <c r="DQ24" i="5" s="1"/>
  <c r="DR24" i="5" s="1"/>
  <c r="DS24" i="5" s="1"/>
  <c r="DT24" i="5" s="1"/>
  <c r="DU24" i="5" s="1"/>
  <c r="DV24" i="5" s="1"/>
  <c r="DW24" i="5" s="1"/>
  <c r="DX24" i="5" s="1"/>
  <c r="DY24" i="5" s="1"/>
  <c r="DZ24" i="5" s="1"/>
  <c r="EA24" i="5" s="1"/>
  <c r="EB24" i="5" s="1"/>
  <c r="EC24" i="5" s="1"/>
  <c r="ED24" i="5" s="1"/>
  <c r="EE24" i="5" s="1"/>
  <c r="EF24" i="5" s="1"/>
  <c r="D23" i="5"/>
  <c r="E23" i="5" s="1"/>
  <c r="F23" i="5" s="1"/>
  <c r="G23" i="5" s="1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BX23" i="5" s="1"/>
  <c r="BY23" i="5" s="1"/>
  <c r="BZ23" i="5" s="1"/>
  <c r="CA23" i="5" s="1"/>
  <c r="CB23" i="5" s="1"/>
  <c r="CC23" i="5" s="1"/>
  <c r="CD23" i="5" s="1"/>
  <c r="CE23" i="5" s="1"/>
  <c r="CF23" i="5" s="1"/>
  <c r="CG23" i="5" s="1"/>
  <c r="CH23" i="5" s="1"/>
  <c r="CI23" i="5" s="1"/>
  <c r="CJ23" i="5" s="1"/>
  <c r="CK23" i="5" s="1"/>
  <c r="CL23" i="5" s="1"/>
  <c r="CM23" i="5" s="1"/>
  <c r="CN23" i="5" s="1"/>
  <c r="CO23" i="5" s="1"/>
  <c r="CP23" i="5" s="1"/>
  <c r="CQ23" i="5" s="1"/>
  <c r="CR23" i="5" s="1"/>
  <c r="CS23" i="5" s="1"/>
  <c r="CT23" i="5" s="1"/>
  <c r="CU23" i="5" s="1"/>
  <c r="CV23" i="5" s="1"/>
  <c r="CW23" i="5" s="1"/>
  <c r="CX23" i="5" s="1"/>
  <c r="CY23" i="5" s="1"/>
  <c r="CZ23" i="5" s="1"/>
  <c r="DA23" i="5" s="1"/>
  <c r="DB23" i="5" s="1"/>
  <c r="DC23" i="5" s="1"/>
  <c r="DD23" i="5" s="1"/>
  <c r="DE23" i="5" s="1"/>
  <c r="DF23" i="5" s="1"/>
  <c r="DG23" i="5" s="1"/>
  <c r="DH23" i="5" s="1"/>
  <c r="DI23" i="5" s="1"/>
  <c r="DJ23" i="5" s="1"/>
  <c r="DK23" i="5" s="1"/>
  <c r="DL23" i="5" s="1"/>
  <c r="DM23" i="5" s="1"/>
  <c r="DN23" i="5" s="1"/>
  <c r="DO23" i="5" s="1"/>
  <c r="DP23" i="5" s="1"/>
  <c r="DQ23" i="5" s="1"/>
  <c r="DR23" i="5" s="1"/>
  <c r="DS23" i="5" s="1"/>
  <c r="DT23" i="5" s="1"/>
  <c r="DU23" i="5" s="1"/>
  <c r="DV23" i="5" s="1"/>
  <c r="DW23" i="5" s="1"/>
  <c r="DX23" i="5" s="1"/>
  <c r="DY23" i="5" s="1"/>
  <c r="DZ23" i="5" s="1"/>
  <c r="EA23" i="5" s="1"/>
  <c r="EB23" i="5" s="1"/>
  <c r="EC23" i="5" s="1"/>
  <c r="ED23" i="5" s="1"/>
  <c r="EE23" i="5" s="1"/>
  <c r="EF23" i="5" s="1"/>
  <c r="H22" i="5"/>
  <c r="I22" i="5" s="1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AU22" i="5" s="1"/>
  <c r="AV22" i="5" s="1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BI22" i="5" s="1"/>
  <c r="BJ22" i="5" s="1"/>
  <c r="BK22" i="5" s="1"/>
  <c r="BL22" i="5" s="1"/>
  <c r="BM22" i="5" s="1"/>
  <c r="BN22" i="5" s="1"/>
  <c r="BO22" i="5" s="1"/>
  <c r="BP22" i="5" s="1"/>
  <c r="BQ22" i="5" s="1"/>
  <c r="BR22" i="5" s="1"/>
  <c r="BS22" i="5" s="1"/>
  <c r="BT22" i="5" s="1"/>
  <c r="BU22" i="5" s="1"/>
  <c r="BV22" i="5" s="1"/>
  <c r="BW22" i="5" s="1"/>
  <c r="BX22" i="5" s="1"/>
  <c r="BY22" i="5" s="1"/>
  <c r="BZ22" i="5" s="1"/>
  <c r="CA22" i="5" s="1"/>
  <c r="CB22" i="5" s="1"/>
  <c r="CC22" i="5" s="1"/>
  <c r="CD22" i="5" s="1"/>
  <c r="CE22" i="5" s="1"/>
  <c r="CF22" i="5" s="1"/>
  <c r="CG22" i="5" s="1"/>
  <c r="CH22" i="5" s="1"/>
  <c r="CI22" i="5" s="1"/>
  <c r="CJ22" i="5" s="1"/>
  <c r="CK22" i="5" s="1"/>
  <c r="CL22" i="5" s="1"/>
  <c r="CM22" i="5" s="1"/>
  <c r="CN22" i="5" s="1"/>
  <c r="CO22" i="5" s="1"/>
  <c r="CP22" i="5" s="1"/>
  <c r="CQ22" i="5" s="1"/>
  <c r="CR22" i="5" s="1"/>
  <c r="CS22" i="5" s="1"/>
  <c r="CT22" i="5" s="1"/>
  <c r="CU22" i="5" s="1"/>
  <c r="CV22" i="5" s="1"/>
  <c r="CW22" i="5" s="1"/>
  <c r="CX22" i="5" s="1"/>
  <c r="CY22" i="5" s="1"/>
  <c r="CZ22" i="5" s="1"/>
  <c r="DA22" i="5" s="1"/>
  <c r="DB22" i="5" s="1"/>
  <c r="DC22" i="5" s="1"/>
  <c r="DD22" i="5" s="1"/>
  <c r="DE22" i="5" s="1"/>
  <c r="DF22" i="5" s="1"/>
  <c r="DG22" i="5" s="1"/>
  <c r="DH22" i="5" s="1"/>
  <c r="DI22" i="5" s="1"/>
  <c r="DJ22" i="5" s="1"/>
  <c r="DK22" i="5" s="1"/>
  <c r="DL22" i="5" s="1"/>
  <c r="DM22" i="5" s="1"/>
  <c r="DN22" i="5" s="1"/>
  <c r="DO22" i="5" s="1"/>
  <c r="DP22" i="5" s="1"/>
  <c r="DQ22" i="5" s="1"/>
  <c r="DR22" i="5" s="1"/>
  <c r="DS22" i="5" s="1"/>
  <c r="DT22" i="5" s="1"/>
  <c r="DU22" i="5" s="1"/>
  <c r="DV22" i="5" s="1"/>
  <c r="DW22" i="5" s="1"/>
  <c r="DX22" i="5" s="1"/>
  <c r="DY22" i="5" s="1"/>
  <c r="DZ22" i="5" s="1"/>
  <c r="EA22" i="5" s="1"/>
  <c r="EB22" i="5" s="1"/>
  <c r="EC22" i="5" s="1"/>
  <c r="ED22" i="5" s="1"/>
  <c r="EE22" i="5" s="1"/>
  <c r="EF22" i="5" s="1"/>
  <c r="D22" i="5"/>
  <c r="E22" i="5" s="1"/>
  <c r="F22" i="5" s="1"/>
  <c r="G22" i="5" s="1"/>
  <c r="D21" i="5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AR21" i="5" s="1"/>
  <c r="AS21" i="5" s="1"/>
  <c r="AT21" i="5" s="1"/>
  <c r="AU21" i="5" s="1"/>
  <c r="AV21" i="5" s="1"/>
  <c r="AW21" i="5" s="1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CJ21" i="5" s="1"/>
  <c r="CK21" i="5" s="1"/>
  <c r="CL21" i="5" s="1"/>
  <c r="CM21" i="5" s="1"/>
  <c r="CN21" i="5" s="1"/>
  <c r="CO21" i="5" s="1"/>
  <c r="CP21" i="5" s="1"/>
  <c r="CQ21" i="5" s="1"/>
  <c r="CR21" i="5" s="1"/>
  <c r="CS21" i="5" s="1"/>
  <c r="CT21" i="5" s="1"/>
  <c r="CU21" i="5" s="1"/>
  <c r="CV21" i="5" s="1"/>
  <c r="CW21" i="5" s="1"/>
  <c r="CX21" i="5" s="1"/>
  <c r="CY21" i="5" s="1"/>
  <c r="CZ21" i="5" s="1"/>
  <c r="DA21" i="5" s="1"/>
  <c r="DB21" i="5" s="1"/>
  <c r="DC21" i="5" s="1"/>
  <c r="DD21" i="5" s="1"/>
  <c r="DE21" i="5" s="1"/>
  <c r="DF21" i="5" s="1"/>
  <c r="DG21" i="5" s="1"/>
  <c r="DH21" i="5" s="1"/>
  <c r="DI21" i="5" s="1"/>
  <c r="DJ21" i="5" s="1"/>
  <c r="DK21" i="5" s="1"/>
  <c r="DL21" i="5" s="1"/>
  <c r="DM21" i="5" s="1"/>
  <c r="DN21" i="5" s="1"/>
  <c r="DO21" i="5" s="1"/>
  <c r="DP21" i="5" s="1"/>
  <c r="DQ21" i="5" s="1"/>
  <c r="DR21" i="5" s="1"/>
  <c r="DS21" i="5" s="1"/>
  <c r="DT21" i="5" s="1"/>
  <c r="DU21" i="5" s="1"/>
  <c r="DV21" i="5" s="1"/>
  <c r="DW21" i="5" s="1"/>
  <c r="DX21" i="5" s="1"/>
  <c r="DY21" i="5" s="1"/>
  <c r="DZ21" i="5" s="1"/>
  <c r="EA21" i="5" s="1"/>
  <c r="EB21" i="5" s="1"/>
  <c r="EC21" i="5" s="1"/>
  <c r="ED21" i="5" s="1"/>
  <c r="EE21" i="5" s="1"/>
  <c r="EF21" i="5" s="1"/>
  <c r="D20" i="5"/>
  <c r="E20" i="5" s="1"/>
  <c r="F20" i="5" s="1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AR20" i="5" s="1"/>
  <c r="AS20" i="5" s="1"/>
  <c r="AT20" i="5" s="1"/>
  <c r="AU20" i="5" s="1"/>
  <c r="AV20" i="5" s="1"/>
  <c r="AW20" i="5" s="1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BI20" i="5" s="1"/>
  <c r="BJ20" i="5" s="1"/>
  <c r="BK20" i="5" s="1"/>
  <c r="BL20" i="5" s="1"/>
  <c r="BM20" i="5" s="1"/>
  <c r="BN20" i="5" s="1"/>
  <c r="BO20" i="5" s="1"/>
  <c r="BP20" i="5" s="1"/>
  <c r="BQ20" i="5" s="1"/>
  <c r="BR20" i="5" s="1"/>
  <c r="BS20" i="5" s="1"/>
  <c r="BT20" i="5" s="1"/>
  <c r="BU20" i="5" s="1"/>
  <c r="BV20" i="5" s="1"/>
  <c r="BW20" i="5" s="1"/>
  <c r="BX20" i="5" s="1"/>
  <c r="BY20" i="5" s="1"/>
  <c r="BZ20" i="5" s="1"/>
  <c r="CA20" i="5" s="1"/>
  <c r="CB20" i="5" s="1"/>
  <c r="CC20" i="5" s="1"/>
  <c r="CD20" i="5" s="1"/>
  <c r="CE20" i="5" s="1"/>
  <c r="CF20" i="5" s="1"/>
  <c r="CG20" i="5" s="1"/>
  <c r="CH20" i="5" s="1"/>
  <c r="CI20" i="5" s="1"/>
  <c r="CJ20" i="5" s="1"/>
  <c r="CK20" i="5" s="1"/>
  <c r="CL20" i="5" s="1"/>
  <c r="CM20" i="5" s="1"/>
  <c r="CN20" i="5" s="1"/>
  <c r="CO20" i="5" s="1"/>
  <c r="CP20" i="5" s="1"/>
  <c r="CQ20" i="5" s="1"/>
  <c r="CR20" i="5" s="1"/>
  <c r="CS20" i="5" s="1"/>
  <c r="CT20" i="5" s="1"/>
  <c r="CU20" i="5" s="1"/>
  <c r="CV20" i="5" s="1"/>
  <c r="CW20" i="5" s="1"/>
  <c r="CX20" i="5" s="1"/>
  <c r="CY20" i="5" s="1"/>
  <c r="CZ20" i="5" s="1"/>
  <c r="DA20" i="5" s="1"/>
  <c r="DB20" i="5" s="1"/>
  <c r="DC20" i="5" s="1"/>
  <c r="DD20" i="5" s="1"/>
  <c r="DE20" i="5" s="1"/>
  <c r="DF20" i="5" s="1"/>
  <c r="DG20" i="5" s="1"/>
  <c r="DH20" i="5" s="1"/>
  <c r="DI20" i="5" s="1"/>
  <c r="DJ20" i="5" s="1"/>
  <c r="DK20" i="5" s="1"/>
  <c r="DL20" i="5" s="1"/>
  <c r="DM20" i="5" s="1"/>
  <c r="DN20" i="5" s="1"/>
  <c r="DO20" i="5" s="1"/>
  <c r="DP20" i="5" s="1"/>
  <c r="DQ20" i="5" s="1"/>
  <c r="DR20" i="5" s="1"/>
  <c r="DS20" i="5" s="1"/>
  <c r="DT20" i="5" s="1"/>
  <c r="DU20" i="5" s="1"/>
  <c r="DV20" i="5" s="1"/>
  <c r="DW20" i="5" s="1"/>
  <c r="DX20" i="5" s="1"/>
  <c r="DY20" i="5" s="1"/>
  <c r="DZ20" i="5" s="1"/>
  <c r="EA20" i="5" s="1"/>
  <c r="EB20" i="5" s="1"/>
  <c r="EC20" i="5" s="1"/>
  <c r="ED20" i="5" s="1"/>
  <c r="EE20" i="5" s="1"/>
  <c r="EF20" i="5" s="1"/>
  <c r="D19" i="5"/>
  <c r="E19" i="5" s="1"/>
  <c r="F19" i="5" s="1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AZ19" i="5" s="1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CR19" i="5" s="1"/>
  <c r="CS19" i="5" s="1"/>
  <c r="CT19" i="5" s="1"/>
  <c r="CU19" i="5" s="1"/>
  <c r="CV19" i="5" s="1"/>
  <c r="CW19" i="5" s="1"/>
  <c r="CX19" i="5" s="1"/>
  <c r="CY19" i="5" s="1"/>
  <c r="CZ19" i="5" s="1"/>
  <c r="DA19" i="5" s="1"/>
  <c r="DB19" i="5" s="1"/>
  <c r="DC19" i="5" s="1"/>
  <c r="DD19" i="5" s="1"/>
  <c r="DE19" i="5" s="1"/>
  <c r="DF19" i="5" s="1"/>
  <c r="DG19" i="5" s="1"/>
  <c r="DH19" i="5" s="1"/>
  <c r="DI19" i="5" s="1"/>
  <c r="DJ19" i="5" s="1"/>
  <c r="DK19" i="5" s="1"/>
  <c r="DL19" i="5" s="1"/>
  <c r="DM19" i="5" s="1"/>
  <c r="DN19" i="5" s="1"/>
  <c r="DO19" i="5" s="1"/>
  <c r="DP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EC19" i="5" s="1"/>
  <c r="ED19" i="5" s="1"/>
  <c r="EE19" i="5" s="1"/>
  <c r="EF19" i="5" s="1"/>
  <c r="D18" i="5"/>
  <c r="E18" i="5" s="1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DF18" i="5" s="1"/>
  <c r="DG18" i="5" s="1"/>
  <c r="DH18" i="5" s="1"/>
  <c r="DI18" i="5" s="1"/>
  <c r="DJ18" i="5" s="1"/>
  <c r="DK18" i="5" s="1"/>
  <c r="DL18" i="5" s="1"/>
  <c r="DM18" i="5" s="1"/>
  <c r="DN18" i="5" s="1"/>
  <c r="DO18" i="5" s="1"/>
  <c r="DP18" i="5" s="1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EC18" i="5" s="1"/>
  <c r="ED18" i="5" s="1"/>
  <c r="EE18" i="5" s="1"/>
  <c r="EF18" i="5" s="1"/>
  <c r="H17" i="5"/>
  <c r="I17" i="5" s="1"/>
  <c r="J17" i="5" s="1"/>
  <c r="K17" i="5" s="1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D17" i="5"/>
  <c r="E17" i="5" s="1"/>
  <c r="F17" i="5" s="1"/>
  <c r="G17" i="5" s="1"/>
  <c r="E16" i="5"/>
  <c r="F16" i="5" s="1"/>
  <c r="G16" i="5" s="1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D16" i="5"/>
  <c r="D15" i="5"/>
  <c r="E15" i="5" s="1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CZ15" i="5" s="1"/>
  <c r="DA15" i="5" s="1"/>
  <c r="DB15" i="5" s="1"/>
  <c r="DC15" i="5" s="1"/>
  <c r="DD15" i="5" s="1"/>
  <c r="DE15" i="5" s="1"/>
  <c r="DF15" i="5" s="1"/>
  <c r="DG15" i="5" s="1"/>
  <c r="DH15" i="5" s="1"/>
  <c r="DI15" i="5" s="1"/>
  <c r="DJ15" i="5" s="1"/>
  <c r="DK15" i="5" s="1"/>
  <c r="DL15" i="5" s="1"/>
  <c r="DM15" i="5" s="1"/>
  <c r="DN15" i="5" s="1"/>
  <c r="DO15" i="5" s="1"/>
  <c r="DP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EC15" i="5" s="1"/>
  <c r="ED15" i="5" s="1"/>
  <c r="EE15" i="5" s="1"/>
  <c r="EF15" i="5" s="1"/>
  <c r="D14" i="5"/>
  <c r="E14" i="5" s="1"/>
  <c r="F14" i="5" s="1"/>
  <c r="G14" i="5" s="1"/>
  <c r="H14" i="5" s="1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DW14" i="5" s="1"/>
  <c r="DX14" i="5" s="1"/>
  <c r="DY14" i="5" s="1"/>
  <c r="DZ14" i="5" s="1"/>
  <c r="EA14" i="5" s="1"/>
  <c r="EB14" i="5" s="1"/>
  <c r="EC14" i="5" s="1"/>
  <c r="ED14" i="5" s="1"/>
  <c r="EE14" i="5" s="1"/>
  <c r="EF14" i="5" s="1"/>
  <c r="D13" i="5"/>
  <c r="E13" i="5" s="1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BM13" i="5" s="1"/>
  <c r="BN13" i="5" s="1"/>
  <c r="BO13" i="5" s="1"/>
  <c r="BP13" i="5" s="1"/>
  <c r="BQ13" i="5" s="1"/>
  <c r="BR13" i="5" s="1"/>
  <c r="BS13" i="5" s="1"/>
  <c r="BT13" i="5" s="1"/>
  <c r="BU13" i="5" s="1"/>
  <c r="BV13" i="5" s="1"/>
  <c r="BW13" i="5" s="1"/>
  <c r="BX13" i="5" s="1"/>
  <c r="BY13" i="5" s="1"/>
  <c r="BZ13" i="5" s="1"/>
  <c r="CA13" i="5" s="1"/>
  <c r="CB13" i="5" s="1"/>
  <c r="CC13" i="5" s="1"/>
  <c r="CD13" i="5" s="1"/>
  <c r="CE13" i="5" s="1"/>
  <c r="CF13" i="5" s="1"/>
  <c r="CG13" i="5" s="1"/>
  <c r="CH13" i="5" s="1"/>
  <c r="CI13" i="5" s="1"/>
  <c r="CJ13" i="5" s="1"/>
  <c r="CK13" i="5" s="1"/>
  <c r="CL13" i="5" s="1"/>
  <c r="CM13" i="5" s="1"/>
  <c r="CN13" i="5" s="1"/>
  <c r="CO13" i="5" s="1"/>
  <c r="CP13" i="5" s="1"/>
  <c r="CQ13" i="5" s="1"/>
  <c r="CR13" i="5" s="1"/>
  <c r="CS13" i="5" s="1"/>
  <c r="CT13" i="5" s="1"/>
  <c r="CU13" i="5" s="1"/>
  <c r="CV13" i="5" s="1"/>
  <c r="CW13" i="5" s="1"/>
  <c r="CX13" i="5" s="1"/>
  <c r="CY13" i="5" s="1"/>
  <c r="CZ13" i="5" s="1"/>
  <c r="DA13" i="5" s="1"/>
  <c r="DB13" i="5" s="1"/>
  <c r="DC13" i="5" s="1"/>
  <c r="DD13" i="5" s="1"/>
  <c r="DE13" i="5" s="1"/>
  <c r="DF13" i="5" s="1"/>
  <c r="DG13" i="5" s="1"/>
  <c r="DH13" i="5" s="1"/>
  <c r="DI13" i="5" s="1"/>
  <c r="DJ13" i="5" s="1"/>
  <c r="DK13" i="5" s="1"/>
  <c r="DL13" i="5" s="1"/>
  <c r="DM13" i="5" s="1"/>
  <c r="DN13" i="5" s="1"/>
  <c r="DO13" i="5" s="1"/>
  <c r="DP13" i="5" s="1"/>
  <c r="DQ13" i="5" s="1"/>
  <c r="DR13" i="5" s="1"/>
  <c r="DS13" i="5" s="1"/>
  <c r="DT13" i="5" s="1"/>
  <c r="DU13" i="5" s="1"/>
  <c r="DV13" i="5" s="1"/>
  <c r="DW13" i="5" s="1"/>
  <c r="DX13" i="5" s="1"/>
  <c r="DY13" i="5" s="1"/>
  <c r="DZ13" i="5" s="1"/>
  <c r="EA13" i="5" s="1"/>
  <c r="EB13" i="5" s="1"/>
  <c r="EC13" i="5" s="1"/>
  <c r="ED13" i="5" s="1"/>
  <c r="EE13" i="5" s="1"/>
  <c r="EF13" i="5" s="1"/>
  <c r="D12" i="5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AM12" i="5" s="1"/>
  <c r="AN12" i="5" s="1"/>
  <c r="AO12" i="5" s="1"/>
  <c r="AP12" i="5" s="1"/>
  <c r="AQ12" i="5" s="1"/>
  <c r="AR12" i="5" s="1"/>
  <c r="AS12" i="5" s="1"/>
  <c r="AT12" i="5" s="1"/>
  <c r="AU12" i="5" s="1"/>
  <c r="AV12" i="5" s="1"/>
  <c r="AW12" i="5" s="1"/>
  <c r="AX12" i="5" s="1"/>
  <c r="AY12" i="5" s="1"/>
  <c r="AZ12" i="5" s="1"/>
  <c r="BA12" i="5" s="1"/>
  <c r="BB12" i="5" s="1"/>
  <c r="BC12" i="5" s="1"/>
  <c r="BD12" i="5" s="1"/>
  <c r="BE12" i="5" s="1"/>
  <c r="BF12" i="5" s="1"/>
  <c r="BG12" i="5" s="1"/>
  <c r="BH12" i="5" s="1"/>
  <c r="BI12" i="5" s="1"/>
  <c r="BJ12" i="5" s="1"/>
  <c r="BK12" i="5" s="1"/>
  <c r="BL12" i="5" s="1"/>
  <c r="BM12" i="5" s="1"/>
  <c r="BN12" i="5" s="1"/>
  <c r="BO12" i="5" s="1"/>
  <c r="BP12" i="5" s="1"/>
  <c r="BQ12" i="5" s="1"/>
  <c r="BR12" i="5" s="1"/>
  <c r="BS12" i="5" s="1"/>
  <c r="BT12" i="5" s="1"/>
  <c r="BU12" i="5" s="1"/>
  <c r="BV12" i="5" s="1"/>
  <c r="BW12" i="5" s="1"/>
  <c r="BX12" i="5" s="1"/>
  <c r="BY12" i="5" s="1"/>
  <c r="BZ12" i="5" s="1"/>
  <c r="CA12" i="5" s="1"/>
  <c r="CB12" i="5" s="1"/>
  <c r="CC12" i="5" s="1"/>
  <c r="CD12" i="5" s="1"/>
  <c r="CE12" i="5" s="1"/>
  <c r="CF12" i="5" s="1"/>
  <c r="CG12" i="5" s="1"/>
  <c r="CH12" i="5" s="1"/>
  <c r="CI12" i="5" s="1"/>
  <c r="CJ12" i="5" s="1"/>
  <c r="CK12" i="5" s="1"/>
  <c r="CL12" i="5" s="1"/>
  <c r="CM12" i="5" s="1"/>
  <c r="CN12" i="5" s="1"/>
  <c r="CO12" i="5" s="1"/>
  <c r="CP12" i="5" s="1"/>
  <c r="CQ12" i="5" s="1"/>
  <c r="CR12" i="5" s="1"/>
  <c r="CS12" i="5" s="1"/>
  <c r="CT12" i="5" s="1"/>
  <c r="CU12" i="5" s="1"/>
  <c r="CV12" i="5" s="1"/>
  <c r="CW12" i="5" s="1"/>
  <c r="CX12" i="5" s="1"/>
  <c r="CY12" i="5" s="1"/>
  <c r="CZ12" i="5" s="1"/>
  <c r="DA12" i="5" s="1"/>
  <c r="DB12" i="5" s="1"/>
  <c r="DC12" i="5" s="1"/>
  <c r="DD12" i="5" s="1"/>
  <c r="DE12" i="5" s="1"/>
  <c r="DF12" i="5" s="1"/>
  <c r="DG12" i="5" s="1"/>
  <c r="DH12" i="5" s="1"/>
  <c r="DI12" i="5" s="1"/>
  <c r="DJ12" i="5" s="1"/>
  <c r="DK12" i="5" s="1"/>
  <c r="DL12" i="5" s="1"/>
  <c r="DM12" i="5" s="1"/>
  <c r="DN12" i="5" s="1"/>
  <c r="DO12" i="5" s="1"/>
  <c r="DP12" i="5" s="1"/>
  <c r="DQ12" i="5" s="1"/>
  <c r="DR12" i="5" s="1"/>
  <c r="DS12" i="5" s="1"/>
  <c r="DT12" i="5" s="1"/>
  <c r="DU12" i="5" s="1"/>
  <c r="DV12" i="5" s="1"/>
  <c r="DW12" i="5" s="1"/>
  <c r="DX12" i="5" s="1"/>
  <c r="DY12" i="5" s="1"/>
  <c r="DZ12" i="5" s="1"/>
  <c r="EA12" i="5" s="1"/>
  <c r="EB12" i="5" s="1"/>
  <c r="EC12" i="5" s="1"/>
  <c r="ED12" i="5" s="1"/>
  <c r="EE12" i="5" s="1"/>
  <c r="EF12" i="5" s="1"/>
  <c r="AN8" i="5"/>
  <c r="H8" i="5"/>
  <c r="DX7" i="5"/>
  <c r="DA7" i="5"/>
  <c r="CP7" i="5"/>
  <c r="BL7" i="5"/>
  <c r="AO7" i="5"/>
  <c r="AD7" i="5"/>
  <c r="EF6" i="5" a="1"/>
  <c r="EF6" i="5"/>
  <c r="EF7" i="5" s="1"/>
  <c r="EE6" i="5" a="1"/>
  <c r="EE6" i="5" s="1"/>
  <c r="ED6" i="5" a="1"/>
  <c r="ED6" i="5" s="1"/>
  <c r="EC6" i="5" a="1"/>
  <c r="EC6" i="5" s="1"/>
  <c r="EC8" i="5" s="1"/>
  <c r="EB6" i="5" a="1"/>
  <c r="EB6" i="5" s="1"/>
  <c r="EA6" i="5" a="1"/>
  <c r="EA6" i="5" s="1"/>
  <c r="EA7" i="5" s="1"/>
  <c r="DZ6" i="5" a="1"/>
  <c r="DZ6" i="5"/>
  <c r="DY6" i="5" a="1"/>
  <c r="DY6" i="5" s="1"/>
  <c r="DX6" i="5" a="1"/>
  <c r="DX6" i="5"/>
  <c r="DX8" i="5" s="1"/>
  <c r="DW6" i="5" a="1"/>
  <c r="DW6" i="5" s="1"/>
  <c r="DW7" i="5" s="1"/>
  <c r="DV6" i="5" a="1"/>
  <c r="DV6" i="5" s="1"/>
  <c r="DV8" i="5" s="1"/>
  <c r="DU6" i="5" a="1"/>
  <c r="DU6" i="5" s="1"/>
  <c r="DU8" i="5" s="1"/>
  <c r="DT6" i="5" a="1"/>
  <c r="DT6" i="5"/>
  <c r="DS6" i="5" a="1"/>
  <c r="DS6" i="5" s="1"/>
  <c r="DS7" i="5" s="1"/>
  <c r="DR6" i="5" a="1"/>
  <c r="DR6" i="5"/>
  <c r="DR7" i="5" s="1"/>
  <c r="DQ6" i="5" a="1"/>
  <c r="DQ6" i="5" s="1"/>
  <c r="DQ8" i="5" s="1"/>
  <c r="DP6" i="5" a="1"/>
  <c r="DP6" i="5"/>
  <c r="DP7" i="5" s="1"/>
  <c r="DO6" i="5" a="1"/>
  <c r="DO6" i="5" s="1"/>
  <c r="DN6" i="5" a="1"/>
  <c r="DN6" i="5" s="1"/>
  <c r="DM6" i="5" a="1"/>
  <c r="DM6" i="5" s="1"/>
  <c r="DM8" i="5" s="1"/>
  <c r="DL6" i="5" a="1"/>
  <c r="DL6" i="5"/>
  <c r="DL8" i="5" s="1"/>
  <c r="DK6" i="5" a="1"/>
  <c r="DK6" i="5" s="1"/>
  <c r="DK7" i="5" s="1"/>
  <c r="DJ6" i="5" a="1"/>
  <c r="DJ6" i="5"/>
  <c r="DI6" i="5" a="1"/>
  <c r="DI6" i="5" s="1"/>
  <c r="DH6" i="5" a="1"/>
  <c r="DH6" i="5"/>
  <c r="DH8" i="5" s="1"/>
  <c r="DG6" i="5" a="1"/>
  <c r="DG6" i="5" s="1"/>
  <c r="DG7" i="5" s="1"/>
  <c r="DF6" i="5" a="1"/>
  <c r="DF6" i="5" s="1"/>
  <c r="DF8" i="5" s="1"/>
  <c r="DE6" i="5" a="1"/>
  <c r="DE6" i="5" s="1"/>
  <c r="DE8" i="5" s="1"/>
  <c r="DD6" i="5" a="1"/>
  <c r="DD6" i="5" s="1"/>
  <c r="DC6" i="5" a="1"/>
  <c r="DC6" i="5" s="1"/>
  <c r="DC7" i="5" s="1"/>
  <c r="DB6" i="5" a="1"/>
  <c r="DB6" i="5"/>
  <c r="DB7" i="5" s="1"/>
  <c r="DA6" i="5" a="1"/>
  <c r="DA6" i="5" s="1"/>
  <c r="DA8" i="5" s="1"/>
  <c r="CZ6" i="5" a="1"/>
  <c r="CZ6" i="5"/>
  <c r="CZ7" i="5" s="1"/>
  <c r="CY6" i="5" a="1"/>
  <c r="CY6" i="5" s="1"/>
  <c r="CX6" i="5" a="1"/>
  <c r="CX6" i="5" s="1"/>
  <c r="CW6" i="5" a="1"/>
  <c r="CW6" i="5" s="1"/>
  <c r="CW8" i="5" s="1"/>
  <c r="CV6" i="5" a="1"/>
  <c r="CV6" i="5" s="1"/>
  <c r="CU6" i="5" a="1"/>
  <c r="CU6" i="5" s="1"/>
  <c r="CU7" i="5" s="1"/>
  <c r="CT6" i="5" a="1"/>
  <c r="CT6" i="5"/>
  <c r="CS6" i="5" a="1"/>
  <c r="CS6" i="5" s="1"/>
  <c r="CR6" i="5" a="1"/>
  <c r="CR6" i="5"/>
  <c r="CR8" i="5" s="1"/>
  <c r="CQ6" i="5" a="1"/>
  <c r="CQ6" i="5" s="1"/>
  <c r="CQ7" i="5" s="1"/>
  <c r="CP6" i="5" a="1"/>
  <c r="CP6" i="5" s="1"/>
  <c r="CP8" i="5" s="1"/>
  <c r="CO6" i="5" a="1"/>
  <c r="CO6" i="5" s="1"/>
  <c r="CO8" i="5" s="1"/>
  <c r="CN6" i="5" a="1"/>
  <c r="CN6" i="5"/>
  <c r="CM6" i="5" a="1"/>
  <c r="CM6" i="5" s="1"/>
  <c r="CM7" i="5" s="1"/>
  <c r="CL6" i="5" a="1"/>
  <c r="CL6" i="5"/>
  <c r="CL7" i="5" s="1"/>
  <c r="CK6" i="5" a="1"/>
  <c r="CK6" i="5" s="1"/>
  <c r="CK8" i="5" s="1"/>
  <c r="CJ6" i="5" a="1"/>
  <c r="CJ6" i="5"/>
  <c r="CJ7" i="5" s="1"/>
  <c r="CI6" i="5" a="1"/>
  <c r="CI6" i="5" s="1"/>
  <c r="CH6" i="5" a="1"/>
  <c r="CH6" i="5" s="1"/>
  <c r="CG6" i="5" a="1"/>
  <c r="CG6" i="5" s="1"/>
  <c r="CG8" i="5" s="1"/>
  <c r="CF6" i="5" a="1"/>
  <c r="CF6" i="5"/>
  <c r="CF8" i="5" s="1"/>
  <c r="CE6" i="5" a="1"/>
  <c r="CE6" i="5" s="1"/>
  <c r="CE7" i="5" s="1"/>
  <c r="CD6" i="5" a="1"/>
  <c r="CD6" i="5"/>
  <c r="CC6" i="5" a="1"/>
  <c r="CC6" i="5" s="1"/>
  <c r="CB6" i="5" a="1"/>
  <c r="CB6" i="5"/>
  <c r="CB8" i="5" s="1"/>
  <c r="CA6" i="5" a="1"/>
  <c r="CA6" i="5" s="1"/>
  <c r="CA7" i="5" s="1"/>
  <c r="BZ6" i="5" a="1"/>
  <c r="BZ6" i="5" s="1"/>
  <c r="BZ7" i="5" s="1"/>
  <c r="BY6" i="5" a="1"/>
  <c r="BY6" i="5" s="1"/>
  <c r="BY8" i="5" s="1"/>
  <c r="BX6" i="5" a="1"/>
  <c r="BX6" i="5" s="1"/>
  <c r="BW6" i="5" a="1"/>
  <c r="BW6" i="5" s="1"/>
  <c r="BW7" i="5" s="1"/>
  <c r="BV6" i="5" a="1"/>
  <c r="BV6" i="5"/>
  <c r="BV8" i="5" s="1"/>
  <c r="BU6" i="5" a="1"/>
  <c r="BU6" i="5" s="1"/>
  <c r="BU8" i="5" s="1"/>
  <c r="BT6" i="5" a="1"/>
  <c r="BT6" i="5"/>
  <c r="BT7" i="5" s="1"/>
  <c r="BS6" i="5" a="1"/>
  <c r="BS6" i="5" s="1"/>
  <c r="BR6" i="5" a="1"/>
  <c r="BR6" i="5" s="1"/>
  <c r="BQ6" i="5" a="1"/>
  <c r="BQ6" i="5" s="1"/>
  <c r="BQ8" i="5" s="1"/>
  <c r="BP6" i="5" a="1"/>
  <c r="BP6" i="5" s="1"/>
  <c r="BO6" i="5" a="1"/>
  <c r="BO6" i="5" s="1"/>
  <c r="BO7" i="5" s="1"/>
  <c r="BN6" i="5" a="1"/>
  <c r="BN6" i="5"/>
  <c r="BM6" i="5" a="1"/>
  <c r="BM6" i="5" s="1"/>
  <c r="BL6" i="5" a="1"/>
  <c r="BL6" i="5"/>
  <c r="BL8" i="5" s="1"/>
  <c r="BK6" i="5" a="1"/>
  <c r="BK6" i="5" s="1"/>
  <c r="BK7" i="5" s="1"/>
  <c r="BJ6" i="5" a="1"/>
  <c r="BJ6" i="5" s="1"/>
  <c r="BJ8" i="5" s="1"/>
  <c r="BI6" i="5" a="1"/>
  <c r="BI6" i="5" s="1"/>
  <c r="BI8" i="5" s="1"/>
  <c r="BH6" i="5" a="1"/>
  <c r="BH6" i="5"/>
  <c r="BG6" i="5" a="1"/>
  <c r="BG6" i="5" s="1"/>
  <c r="BG7" i="5" s="1"/>
  <c r="BF6" i="5" a="1"/>
  <c r="BF6" i="5"/>
  <c r="BF7" i="5" s="1"/>
  <c r="BE6" i="5" a="1"/>
  <c r="BE6" i="5" s="1"/>
  <c r="BE8" i="5" s="1"/>
  <c r="BD6" i="5" a="1"/>
  <c r="BD6" i="5"/>
  <c r="BD7" i="5" s="1"/>
  <c r="BC6" i="5" a="1"/>
  <c r="BC6" i="5" s="1"/>
  <c r="BB6" i="5" a="1"/>
  <c r="BB6" i="5" s="1"/>
  <c r="BA6" i="5" a="1"/>
  <c r="BA6" i="5" s="1"/>
  <c r="BA8" i="5" s="1"/>
  <c r="AZ6" i="5" a="1"/>
  <c r="AZ6" i="5"/>
  <c r="AZ8" i="5" s="1"/>
  <c r="AY6" i="5" a="1"/>
  <c r="AY6" i="5" s="1"/>
  <c r="AY7" i="5" s="1"/>
  <c r="AX6" i="5" a="1"/>
  <c r="AX6" i="5"/>
  <c r="AW6" i="5" a="1"/>
  <c r="AW6" i="5" s="1"/>
  <c r="AV6" i="5" a="1"/>
  <c r="AV6" i="5"/>
  <c r="AV8" i="5" s="1"/>
  <c r="AU6" i="5" a="1"/>
  <c r="AU6" i="5" s="1"/>
  <c r="AU7" i="5" s="1"/>
  <c r="AT6" i="5" a="1"/>
  <c r="AT6" i="5" s="1"/>
  <c r="AT7" i="5" s="1"/>
  <c r="AS6" i="5" a="1"/>
  <c r="AS6" i="5" s="1"/>
  <c r="AS8" i="5" s="1"/>
  <c r="AR6" i="5" a="1"/>
  <c r="AR6" i="5" s="1"/>
  <c r="AQ6" i="5" a="1"/>
  <c r="AQ6" i="5" s="1"/>
  <c r="AQ7" i="5" s="1"/>
  <c r="AP6" i="5" a="1"/>
  <c r="AP6" i="5"/>
  <c r="AP8" i="5" s="1"/>
  <c r="AO6" i="5" a="1"/>
  <c r="AO6" i="5" s="1"/>
  <c r="AO8" i="5" s="1"/>
  <c r="AN6" i="5" a="1"/>
  <c r="AN6" i="5"/>
  <c r="AN7" i="5" s="1"/>
  <c r="AM6" i="5" a="1"/>
  <c r="AM6" i="5" s="1"/>
  <c r="AL6" i="5" a="1"/>
  <c r="AL6" i="5" s="1"/>
  <c r="AK6" i="5" a="1"/>
  <c r="AK6" i="5" s="1"/>
  <c r="AK8" i="5" s="1"/>
  <c r="AJ6" i="5" a="1"/>
  <c r="AJ6" i="5" s="1"/>
  <c r="AI6" i="5" a="1"/>
  <c r="AI6" i="5" s="1"/>
  <c r="AI7" i="5" s="1"/>
  <c r="AH6" i="5" a="1"/>
  <c r="AH6" i="5"/>
  <c r="AG6" i="5" a="1"/>
  <c r="AG6" i="5" s="1"/>
  <c r="AF6" i="5" a="1"/>
  <c r="AF6" i="5"/>
  <c r="AF8" i="5" s="1"/>
  <c r="AE6" i="5" a="1"/>
  <c r="AE6" i="5" s="1"/>
  <c r="AE7" i="5" s="1"/>
  <c r="AD6" i="5" a="1"/>
  <c r="AD6" i="5" s="1"/>
  <c r="AD8" i="5" s="1"/>
  <c r="AC6" i="5" a="1"/>
  <c r="AC6" i="5" s="1"/>
  <c r="AC8" i="5" s="1"/>
  <c r="AB6" i="5" a="1"/>
  <c r="AB6" i="5"/>
  <c r="AA6" i="5" a="1"/>
  <c r="AA6" i="5" s="1"/>
  <c r="AA7" i="5" s="1"/>
  <c r="Z6" i="5" a="1"/>
  <c r="Z6" i="5"/>
  <c r="Z7" i="5" s="1"/>
  <c r="Y6" i="5" a="1"/>
  <c r="Y6" i="5" s="1"/>
  <c r="Y8" i="5" s="1"/>
  <c r="X6" i="5" a="1"/>
  <c r="X6" i="5"/>
  <c r="X7" i="5" s="1"/>
  <c r="W6" i="5" a="1"/>
  <c r="W6" i="5" s="1"/>
  <c r="V6" i="5" a="1"/>
  <c r="V6" i="5" s="1"/>
  <c r="U6" i="5" a="1"/>
  <c r="U6" i="5" s="1"/>
  <c r="U8" i="5" s="1"/>
  <c r="T6" i="5" a="1"/>
  <c r="T6" i="5"/>
  <c r="T8" i="5" s="1"/>
  <c r="S6" i="5" a="1"/>
  <c r="S6" i="5" s="1"/>
  <c r="S7" i="5" s="1"/>
  <c r="R6" i="5" a="1"/>
  <c r="R6" i="5"/>
  <c r="Q6" i="5" a="1"/>
  <c r="Q6" i="5" s="1"/>
  <c r="P6" i="5" a="1"/>
  <c r="P6" i="5"/>
  <c r="P8" i="5" s="1"/>
  <c r="O6" i="5" a="1"/>
  <c r="O6" i="5" s="1"/>
  <c r="O7" i="5" s="1"/>
  <c r="N6" i="5" a="1"/>
  <c r="N6" i="5" s="1"/>
  <c r="N7" i="5" s="1"/>
  <c r="M6" i="5" a="1"/>
  <c r="M6" i="5" s="1"/>
  <c r="M8" i="5" s="1"/>
  <c r="L6" i="5" a="1"/>
  <c r="L6" i="5" s="1"/>
  <c r="K6" i="5" a="1"/>
  <c r="K6" i="5" s="1"/>
  <c r="K7" i="5" s="1"/>
  <c r="J6" i="5" a="1"/>
  <c r="J6" i="5"/>
  <c r="J8" i="5" s="1"/>
  <c r="I6" i="5" a="1"/>
  <c r="I6" i="5" s="1"/>
  <c r="I8" i="5" s="1"/>
  <c r="H6" i="5" a="1"/>
  <c r="H6" i="5"/>
  <c r="H7" i="5" s="1"/>
  <c r="G6" i="5" a="1"/>
  <c r="G6" i="5" s="1"/>
  <c r="F6" i="5" a="1"/>
  <c r="F6" i="5" s="1"/>
  <c r="E6" i="5" a="1"/>
  <c r="E6" i="5" s="1"/>
  <c r="E8" i="5" s="1"/>
  <c r="D6" i="5" a="1"/>
  <c r="D6" i="5" s="1"/>
  <c r="C6" i="5" a="1"/>
  <c r="C6" i="5" s="1"/>
  <c r="C7" i="5" s="1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EG23" i="3" s="1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EH21" i="3" s="1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EG19" i="3" s="1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EH17" i="3" s="1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EG15" i="3" s="1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EH13" i="3" s="1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EF6" i="3" a="1"/>
  <c r="EF6" i="3"/>
  <c r="EF8" i="3" s="1"/>
  <c r="EE6" i="3" a="1"/>
  <c r="EE6" i="3" s="1"/>
  <c r="EE7" i="3" s="1"/>
  <c r="ED6" i="3" a="1"/>
  <c r="ED6" i="3"/>
  <c r="ED7" i="3" s="1"/>
  <c r="EC6" i="3" a="1"/>
  <c r="EC6" i="3" s="1"/>
  <c r="EC8" i="3" s="1"/>
  <c r="EB6" i="3" a="1"/>
  <c r="EB6" i="3"/>
  <c r="EB8" i="3" s="1"/>
  <c r="EA6" i="3" a="1"/>
  <c r="EA6" i="3" s="1"/>
  <c r="EA7" i="3" s="1"/>
  <c r="DZ6" i="3" a="1"/>
  <c r="DZ6" i="3"/>
  <c r="DZ7" i="3" s="1"/>
  <c r="DY6" i="3" a="1"/>
  <c r="DY6" i="3" s="1"/>
  <c r="DY8" i="3" s="1"/>
  <c r="DX6" i="3" a="1"/>
  <c r="DX6" i="3"/>
  <c r="DX8" i="3" s="1"/>
  <c r="DW6" i="3" a="1"/>
  <c r="DW6" i="3" s="1"/>
  <c r="DW7" i="3" s="1"/>
  <c r="DV6" i="3" a="1"/>
  <c r="DV6" i="3"/>
  <c r="DV7" i="3" s="1"/>
  <c r="DU6" i="3" a="1"/>
  <c r="DU6" i="3" s="1"/>
  <c r="DU8" i="3" s="1"/>
  <c r="DT6" i="3" a="1"/>
  <c r="DT6" i="3"/>
  <c r="DT8" i="3" s="1"/>
  <c r="DS6" i="3" a="1"/>
  <c r="DS6" i="3" s="1"/>
  <c r="DS7" i="3" s="1"/>
  <c r="DR6" i="3" a="1"/>
  <c r="DR6" i="3"/>
  <c r="DR7" i="3" s="1"/>
  <c r="DQ6" i="3" a="1"/>
  <c r="DQ6" i="3" s="1"/>
  <c r="DQ8" i="3" s="1"/>
  <c r="DP6" i="3" a="1"/>
  <c r="DP6" i="3"/>
  <c r="DP8" i="3" s="1"/>
  <c r="DO6" i="3" a="1"/>
  <c r="DO6" i="3" s="1"/>
  <c r="DO7" i="3" s="1"/>
  <c r="DN6" i="3" a="1"/>
  <c r="DN6" i="3"/>
  <c r="DN7" i="3" s="1"/>
  <c r="DM6" i="3" a="1"/>
  <c r="DM6" i="3" s="1"/>
  <c r="DM8" i="3" s="1"/>
  <c r="DL6" i="3" a="1"/>
  <c r="DL6" i="3"/>
  <c r="DL8" i="3" s="1"/>
  <c r="DK6" i="3" a="1"/>
  <c r="DK6" i="3" s="1"/>
  <c r="DK7" i="3" s="1"/>
  <c r="DJ6" i="3" a="1"/>
  <c r="DJ6" i="3"/>
  <c r="DJ7" i="3" s="1"/>
  <c r="DI6" i="3" a="1"/>
  <c r="DI6" i="3" s="1"/>
  <c r="DI8" i="3" s="1"/>
  <c r="DH6" i="3" a="1"/>
  <c r="DH6" i="3"/>
  <c r="DH8" i="3" s="1"/>
  <c r="DG6" i="3" a="1"/>
  <c r="DG6" i="3" s="1"/>
  <c r="DG7" i="3" s="1"/>
  <c r="DF6" i="3" a="1"/>
  <c r="DF6" i="3"/>
  <c r="DF7" i="3" s="1"/>
  <c r="DE6" i="3" a="1"/>
  <c r="DE6" i="3" s="1"/>
  <c r="DE8" i="3" s="1"/>
  <c r="DD6" i="3" a="1"/>
  <c r="DD6" i="3"/>
  <c r="DD8" i="3" s="1"/>
  <c r="DC6" i="3" a="1"/>
  <c r="DC6" i="3" s="1"/>
  <c r="DC7" i="3" s="1"/>
  <c r="DB6" i="3" a="1"/>
  <c r="DB6" i="3"/>
  <c r="DB7" i="3" s="1"/>
  <c r="DA6" i="3" a="1"/>
  <c r="DA6" i="3" s="1"/>
  <c r="DA8" i="3" s="1"/>
  <c r="CZ6" i="3" a="1"/>
  <c r="CZ6" i="3"/>
  <c r="CZ8" i="3" s="1"/>
  <c r="CY6" i="3" a="1"/>
  <c r="CY6" i="3" s="1"/>
  <c r="CY7" i="3" s="1"/>
  <c r="CX6" i="3" a="1"/>
  <c r="CX6" i="3"/>
  <c r="CX7" i="3" s="1"/>
  <c r="CW6" i="3" a="1"/>
  <c r="CW6" i="3" s="1"/>
  <c r="CW8" i="3" s="1"/>
  <c r="CV6" i="3" a="1"/>
  <c r="CV6" i="3"/>
  <c r="CV8" i="3" s="1"/>
  <c r="CU6" i="3" a="1"/>
  <c r="CU6" i="3" s="1"/>
  <c r="CU7" i="3" s="1"/>
  <c r="CT6" i="3" a="1"/>
  <c r="CT6" i="3"/>
  <c r="CT7" i="3" s="1"/>
  <c r="CS6" i="3" a="1"/>
  <c r="CS6" i="3" s="1"/>
  <c r="CS8" i="3" s="1"/>
  <c r="CR6" i="3" a="1"/>
  <c r="CR6" i="3"/>
  <c r="CR8" i="3" s="1"/>
  <c r="CQ6" i="3" a="1"/>
  <c r="CQ6" i="3" s="1"/>
  <c r="CQ7" i="3" s="1"/>
  <c r="CP6" i="3" a="1"/>
  <c r="CP6" i="3"/>
  <c r="CP7" i="3" s="1"/>
  <c r="CO6" i="3" a="1"/>
  <c r="CO6" i="3" s="1"/>
  <c r="CO8" i="3" s="1"/>
  <c r="CN6" i="3" a="1"/>
  <c r="CN6" i="3"/>
  <c r="CN8" i="3" s="1"/>
  <c r="CM6" i="3" a="1"/>
  <c r="CM6" i="3" s="1"/>
  <c r="CM7" i="3" s="1"/>
  <c r="CL6" i="3" a="1"/>
  <c r="CL6" i="3"/>
  <c r="CL7" i="3" s="1"/>
  <c r="CK6" i="3" a="1"/>
  <c r="CK6" i="3" s="1"/>
  <c r="CK8" i="3" s="1"/>
  <c r="CJ6" i="3" a="1"/>
  <c r="CJ6" i="3"/>
  <c r="CJ8" i="3" s="1"/>
  <c r="CI6" i="3" a="1"/>
  <c r="CI6" i="3" s="1"/>
  <c r="CI7" i="3" s="1"/>
  <c r="CH6" i="3" a="1"/>
  <c r="CH6" i="3"/>
  <c r="CH7" i="3" s="1"/>
  <c r="CG6" i="3" a="1"/>
  <c r="CG6" i="3" s="1"/>
  <c r="CG8" i="3" s="1"/>
  <c r="CF6" i="3" a="1"/>
  <c r="CF6" i="3"/>
  <c r="CF8" i="3" s="1"/>
  <c r="CE6" i="3" a="1"/>
  <c r="CE6" i="3" s="1"/>
  <c r="CE7" i="3" s="1"/>
  <c r="CD6" i="3" a="1"/>
  <c r="CD6" i="3"/>
  <c r="CD7" i="3" s="1"/>
  <c r="CC6" i="3" a="1"/>
  <c r="CC6" i="3" s="1"/>
  <c r="CC8" i="3" s="1"/>
  <c r="CB6" i="3" a="1"/>
  <c r="CB6" i="3"/>
  <c r="CB8" i="3" s="1"/>
  <c r="CA6" i="3" a="1"/>
  <c r="CA6" i="3" s="1"/>
  <c r="CA7" i="3" s="1"/>
  <c r="BZ6" i="3" a="1"/>
  <c r="BZ6" i="3"/>
  <c r="BZ7" i="3" s="1"/>
  <c r="BY6" i="3" a="1"/>
  <c r="BY6" i="3" s="1"/>
  <c r="BY8" i="3" s="1"/>
  <c r="BX6" i="3" a="1"/>
  <c r="BX6" i="3"/>
  <c r="BX8" i="3" s="1"/>
  <c r="BW6" i="3" a="1"/>
  <c r="BW6" i="3" s="1"/>
  <c r="BW7" i="3" s="1"/>
  <c r="BV6" i="3" a="1"/>
  <c r="BV6" i="3"/>
  <c r="BV7" i="3" s="1"/>
  <c r="BU6" i="3" a="1"/>
  <c r="BU6" i="3" s="1"/>
  <c r="BU8" i="3" s="1"/>
  <c r="BT6" i="3" a="1"/>
  <c r="BT6" i="3"/>
  <c r="BT8" i="3" s="1"/>
  <c r="BS6" i="3" a="1"/>
  <c r="BS6" i="3" s="1"/>
  <c r="BS7" i="3" s="1"/>
  <c r="BR6" i="3" a="1"/>
  <c r="BR6" i="3"/>
  <c r="BR7" i="3" s="1"/>
  <c r="BQ6" i="3" a="1"/>
  <c r="BQ6" i="3" s="1"/>
  <c r="BQ8" i="3" s="1"/>
  <c r="BP6" i="3" a="1"/>
  <c r="BP6" i="3"/>
  <c r="BP8" i="3" s="1"/>
  <c r="BO6" i="3" a="1"/>
  <c r="BO6" i="3" s="1"/>
  <c r="BO7" i="3" s="1"/>
  <c r="BN6" i="3" a="1"/>
  <c r="BN6" i="3"/>
  <c r="BN7" i="3" s="1"/>
  <c r="BM6" i="3" a="1"/>
  <c r="BM6" i="3" s="1"/>
  <c r="BM8" i="3" s="1"/>
  <c r="BL6" i="3" a="1"/>
  <c r="BL6" i="3"/>
  <c r="BL8" i="3" s="1"/>
  <c r="BK6" i="3" a="1"/>
  <c r="BK6" i="3" s="1"/>
  <c r="BK7" i="3" s="1"/>
  <c r="BJ6" i="3" a="1"/>
  <c r="BJ6" i="3"/>
  <c r="BJ7" i="3" s="1"/>
  <c r="BI6" i="3" a="1"/>
  <c r="BI6" i="3" s="1"/>
  <c r="BI8" i="3" s="1"/>
  <c r="BH6" i="3" a="1"/>
  <c r="BH6" i="3"/>
  <c r="BH8" i="3" s="1"/>
  <c r="BG6" i="3" a="1"/>
  <c r="BG6" i="3" s="1"/>
  <c r="BG7" i="3" s="1"/>
  <c r="BF6" i="3" a="1"/>
  <c r="BF6" i="3"/>
  <c r="BF7" i="3" s="1"/>
  <c r="BE6" i="3" a="1"/>
  <c r="BE6" i="3" s="1"/>
  <c r="BE8" i="3" s="1"/>
  <c r="BD6" i="3" a="1"/>
  <c r="BD6" i="3"/>
  <c r="BD8" i="3" s="1"/>
  <c r="BC6" i="3" a="1"/>
  <c r="BC6" i="3" s="1"/>
  <c r="BC7" i="3" s="1"/>
  <c r="BB6" i="3" a="1"/>
  <c r="BB6" i="3"/>
  <c r="BB7" i="3" s="1"/>
  <c r="BA6" i="3" a="1"/>
  <c r="BA6" i="3" s="1"/>
  <c r="BA8" i="3" s="1"/>
  <c r="AZ6" i="3" a="1"/>
  <c r="AZ6" i="3"/>
  <c r="AZ8" i="3" s="1"/>
  <c r="AY6" i="3" a="1"/>
  <c r="AY6" i="3" s="1"/>
  <c r="AY7" i="3" s="1"/>
  <c r="AX6" i="3" a="1"/>
  <c r="AX6" i="3"/>
  <c r="AX7" i="3" s="1"/>
  <c r="AW6" i="3" a="1"/>
  <c r="AW6" i="3" s="1"/>
  <c r="AW8" i="3" s="1"/>
  <c r="AV6" i="3" a="1"/>
  <c r="AV6" i="3"/>
  <c r="AV8" i="3" s="1"/>
  <c r="AU6" i="3" a="1"/>
  <c r="AU6" i="3" s="1"/>
  <c r="AU7" i="3" s="1"/>
  <c r="AT6" i="3" a="1"/>
  <c r="AT6" i="3"/>
  <c r="AT7" i="3" s="1"/>
  <c r="AS6" i="3" a="1"/>
  <c r="AS6" i="3" s="1"/>
  <c r="AS8" i="3" s="1"/>
  <c r="AR6" i="3" a="1"/>
  <c r="AR6" i="3"/>
  <c r="AR8" i="3" s="1"/>
  <c r="AQ6" i="3" a="1"/>
  <c r="AQ6" i="3" s="1"/>
  <c r="AQ7" i="3" s="1"/>
  <c r="AP6" i="3" a="1"/>
  <c r="AP6" i="3"/>
  <c r="AP7" i="3" s="1"/>
  <c r="AO6" i="3" a="1"/>
  <c r="AO6" i="3" s="1"/>
  <c r="AO8" i="3" s="1"/>
  <c r="AN6" i="3" a="1"/>
  <c r="AN6" i="3"/>
  <c r="AN8" i="3" s="1"/>
  <c r="AM6" i="3" a="1"/>
  <c r="AM6" i="3" s="1"/>
  <c r="AM7" i="3" s="1"/>
  <c r="AL6" i="3" a="1"/>
  <c r="AL6" i="3"/>
  <c r="AL7" i="3" s="1"/>
  <c r="AK6" i="3" a="1"/>
  <c r="AK6" i="3" s="1"/>
  <c r="AK8" i="3" s="1"/>
  <c r="AJ6" i="3" a="1"/>
  <c r="AJ6" i="3"/>
  <c r="AJ8" i="3" s="1"/>
  <c r="AI6" i="3" a="1"/>
  <c r="AI6" i="3" s="1"/>
  <c r="AI7" i="3" s="1"/>
  <c r="AH6" i="3" a="1"/>
  <c r="AH6" i="3"/>
  <c r="AH7" i="3" s="1"/>
  <c r="AG6" i="3" a="1"/>
  <c r="AG6" i="3" s="1"/>
  <c r="AG8" i="3" s="1"/>
  <c r="AF6" i="3" a="1"/>
  <c r="AF6" i="3"/>
  <c r="AF8" i="3" s="1"/>
  <c r="AE6" i="3" a="1"/>
  <c r="AE6" i="3" s="1"/>
  <c r="AE7" i="3" s="1"/>
  <c r="AD6" i="3" a="1"/>
  <c r="AD6" i="3"/>
  <c r="AD7" i="3" s="1"/>
  <c r="AC6" i="3" a="1"/>
  <c r="AC6" i="3" s="1"/>
  <c r="AC8" i="3" s="1"/>
  <c r="AB6" i="3" a="1"/>
  <c r="AB6" i="3"/>
  <c r="AB8" i="3" s="1"/>
  <c r="AA6" i="3" a="1"/>
  <c r="AA6" i="3" s="1"/>
  <c r="AA7" i="3" s="1"/>
  <c r="Z6" i="3" a="1"/>
  <c r="Z6" i="3"/>
  <c r="Z7" i="3" s="1"/>
  <c r="Y6" i="3" a="1"/>
  <c r="Y6" i="3" s="1"/>
  <c r="Y8" i="3" s="1"/>
  <c r="X6" i="3" a="1"/>
  <c r="X6" i="3"/>
  <c r="X8" i="3" s="1"/>
  <c r="W6" i="3" a="1"/>
  <c r="W6" i="3" s="1"/>
  <c r="W7" i="3" s="1"/>
  <c r="V6" i="3" a="1"/>
  <c r="V6" i="3"/>
  <c r="V7" i="3" s="1"/>
  <c r="U6" i="3" a="1"/>
  <c r="U6" i="3" s="1"/>
  <c r="U8" i="3" s="1"/>
  <c r="T6" i="3" a="1"/>
  <c r="T6" i="3"/>
  <c r="T8" i="3" s="1"/>
  <c r="S6" i="3" a="1"/>
  <c r="S6" i="3" s="1"/>
  <c r="S7" i="3" s="1"/>
  <c r="R6" i="3" a="1"/>
  <c r="R6" i="3"/>
  <c r="R7" i="3" s="1"/>
  <c r="Q6" i="3" a="1"/>
  <c r="Q6" i="3" s="1"/>
  <c r="Q8" i="3" s="1"/>
  <c r="P6" i="3" a="1"/>
  <c r="P6" i="3"/>
  <c r="P8" i="3" s="1"/>
  <c r="O6" i="3" a="1"/>
  <c r="O6" i="3" s="1"/>
  <c r="O7" i="3" s="1"/>
  <c r="N6" i="3" a="1"/>
  <c r="N6" i="3"/>
  <c r="N7" i="3" s="1"/>
  <c r="M6" i="3" a="1"/>
  <c r="M6" i="3" s="1"/>
  <c r="M8" i="3" s="1"/>
  <c r="L6" i="3" a="1"/>
  <c r="L6" i="3"/>
  <c r="L8" i="3" s="1"/>
  <c r="K6" i="3" a="1"/>
  <c r="K6" i="3" s="1"/>
  <c r="K7" i="3" s="1"/>
  <c r="J6" i="3" a="1"/>
  <c r="J6" i="3"/>
  <c r="J7" i="3" s="1"/>
  <c r="I6" i="3" a="1"/>
  <c r="I6" i="3" s="1"/>
  <c r="I8" i="3" s="1"/>
  <c r="H6" i="3" a="1"/>
  <c r="H6" i="3"/>
  <c r="H8" i="3" s="1"/>
  <c r="G6" i="3" a="1"/>
  <c r="G6" i="3" s="1"/>
  <c r="G7" i="3" s="1"/>
  <c r="F6" i="3" a="1"/>
  <c r="F6" i="3"/>
  <c r="F7" i="3" s="1"/>
  <c r="E6" i="3" a="1"/>
  <c r="E6" i="3" s="1"/>
  <c r="E8" i="3" s="1"/>
  <c r="D6" i="3" a="1"/>
  <c r="D6" i="3"/>
  <c r="D8" i="3" s="1"/>
  <c r="C6" i="3" a="1"/>
  <c r="C6" i="3" s="1"/>
  <c r="C7" i="3" s="1"/>
  <c r="DB8" i="5" l="1"/>
  <c r="AY8" i="5"/>
  <c r="DK8" i="5"/>
  <c r="P7" i="5"/>
  <c r="AP7" i="5"/>
  <c r="CB7" i="5"/>
  <c r="X8" i="5"/>
  <c r="BT8" i="5"/>
  <c r="DR8" i="5"/>
  <c r="CJ8" i="5"/>
  <c r="I7" i="5"/>
  <c r="BU7" i="5"/>
  <c r="CM8" i="5"/>
  <c r="U7" i="5"/>
  <c r="BA7" i="5"/>
  <c r="CG7" i="5"/>
  <c r="DM7" i="5"/>
  <c r="AI8" i="5"/>
  <c r="BW8" i="5"/>
  <c r="CZ8" i="5"/>
  <c r="CO7" i="7"/>
  <c r="CW7" i="7"/>
  <c r="M7" i="3"/>
  <c r="BY7" i="3"/>
  <c r="EH14" i="3"/>
  <c r="EH18" i="3"/>
  <c r="EH22" i="3"/>
  <c r="EG12" i="3"/>
  <c r="EG16" i="3"/>
  <c r="EG20" i="3"/>
  <c r="EG24" i="3"/>
  <c r="ED8" i="3"/>
  <c r="F8" i="3"/>
  <c r="BR8" i="3"/>
  <c r="AK7" i="3"/>
  <c r="CW7" i="3"/>
  <c r="AD8" i="3"/>
  <c r="CP8" i="3"/>
  <c r="AS7" i="3"/>
  <c r="DE7" i="3"/>
  <c r="AL8" i="3"/>
  <c r="CX8" i="3"/>
  <c r="E7" i="3"/>
  <c r="BQ7" i="3"/>
  <c r="EC7" i="3"/>
  <c r="BJ8" i="3"/>
  <c r="DV8" i="3"/>
  <c r="AB7" i="7"/>
  <c r="AB8" i="7"/>
  <c r="CN7" i="7"/>
  <c r="CN8" i="7"/>
  <c r="AK7" i="7"/>
  <c r="DU7" i="7"/>
  <c r="AM8" i="7"/>
  <c r="CQ8" i="7"/>
  <c r="AC7" i="7"/>
  <c r="BI7" i="7"/>
  <c r="G8" i="7"/>
  <c r="AU8" i="7"/>
  <c r="EE8" i="7"/>
  <c r="O8" i="7"/>
  <c r="DO8" i="7"/>
  <c r="E7" i="7"/>
  <c r="BQ7" i="7"/>
  <c r="EC7" i="7"/>
  <c r="BX8" i="7"/>
  <c r="DW8" i="7"/>
  <c r="M7" i="7"/>
  <c r="AS7" i="7"/>
  <c r="BY7" i="7"/>
  <c r="DE7" i="7"/>
  <c r="BC8" i="7"/>
  <c r="CA8" i="7"/>
  <c r="CY8" i="7"/>
  <c r="U7" i="7"/>
  <c r="BA7" i="7"/>
  <c r="CG7" i="7"/>
  <c r="DM7" i="7"/>
  <c r="L8" i="7"/>
  <c r="AE8" i="7"/>
  <c r="BK8" i="7"/>
  <c r="CI8" i="7"/>
  <c r="DG8" i="7"/>
  <c r="AU8" i="5"/>
  <c r="EA8" i="5"/>
  <c r="J7" i="5"/>
  <c r="BJ7" i="5"/>
  <c r="BV7" i="5"/>
  <c r="DV7" i="5"/>
  <c r="N8" i="5"/>
  <c r="DP8" i="5"/>
  <c r="EF8" i="5"/>
  <c r="AF7" i="5"/>
  <c r="AV7" i="5"/>
  <c r="CR7" i="5"/>
  <c r="DH7" i="5"/>
  <c r="O8" i="5"/>
  <c r="BD8" i="5"/>
  <c r="CE8" i="5"/>
  <c r="DC8" i="5"/>
  <c r="E7" i="5"/>
  <c r="T7" i="5"/>
  <c r="AK7" i="5"/>
  <c r="AZ7" i="5"/>
  <c r="BQ7" i="5"/>
  <c r="CF7" i="5"/>
  <c r="CW7" i="5"/>
  <c r="DL7" i="5"/>
  <c r="EC7" i="5"/>
  <c r="S8" i="5"/>
  <c r="AT8" i="5"/>
  <c r="BO8" i="5"/>
  <c r="CU8" i="5"/>
  <c r="DG8" i="5"/>
  <c r="DS8" i="5"/>
  <c r="C8" i="5"/>
  <c r="U7" i="3"/>
  <c r="BA7" i="3"/>
  <c r="CG7" i="3"/>
  <c r="DM7" i="3"/>
  <c r="N8" i="3"/>
  <c r="AT8" i="3"/>
  <c r="BZ8" i="3"/>
  <c r="DF8" i="3"/>
  <c r="AC7" i="3"/>
  <c r="BI7" i="3"/>
  <c r="CO7" i="3"/>
  <c r="DU7" i="3"/>
  <c r="V8" i="3"/>
  <c r="BB8" i="3"/>
  <c r="CH8" i="3"/>
  <c r="DN8" i="3"/>
  <c r="AC7" i="1"/>
  <c r="AC8" i="1"/>
  <c r="AK7" i="1"/>
  <c r="AK8" i="1"/>
  <c r="BQ7" i="1"/>
  <c r="BQ8" i="1"/>
  <c r="E7" i="1"/>
  <c r="E8" i="1"/>
  <c r="CO7" i="1"/>
  <c r="CO8" i="1"/>
  <c r="AJ7" i="1"/>
  <c r="AU7" i="1"/>
  <c r="BF7" i="1"/>
  <c r="CF7" i="1"/>
  <c r="U8" i="1"/>
  <c r="CT8" i="1"/>
  <c r="DA8" i="1"/>
  <c r="DI8" i="1"/>
  <c r="DQ8" i="1"/>
  <c r="DY8" i="1"/>
  <c r="K7" i="1"/>
  <c r="V7" i="1"/>
  <c r="AF7" i="1"/>
  <c r="AQ7" i="1"/>
  <c r="AV7" i="1"/>
  <c r="BB7" i="1"/>
  <c r="BG7" i="1"/>
  <c r="CB7" i="1"/>
  <c r="CM7" i="1"/>
  <c r="AG8" i="1"/>
  <c r="BM8" i="1"/>
  <c r="CP8" i="1"/>
  <c r="G7" i="1"/>
  <c r="L7" i="1"/>
  <c r="R7" i="1"/>
  <c r="W7" i="1"/>
  <c r="AH7" i="1"/>
  <c r="AM7" i="1"/>
  <c r="AR7" i="1"/>
  <c r="BC7" i="1"/>
  <c r="BN7" i="1"/>
  <c r="BX7" i="1"/>
  <c r="CD7" i="1"/>
  <c r="CI7" i="1"/>
  <c r="CY7" i="1"/>
  <c r="DO7" i="1"/>
  <c r="EE7" i="1"/>
  <c r="AS8" i="1"/>
  <c r="BI8" i="1"/>
  <c r="BU8" i="1"/>
  <c r="CK8" i="1"/>
  <c r="CW8" i="1"/>
  <c r="DE8" i="1"/>
  <c r="DM8" i="1"/>
  <c r="DU8" i="1"/>
  <c r="EC8" i="1"/>
  <c r="H7" i="1"/>
  <c r="N7" i="1"/>
  <c r="S7" i="1"/>
  <c r="AD7" i="1"/>
  <c r="AN7" i="1"/>
  <c r="AT7" i="1"/>
  <c r="AY7" i="1"/>
  <c r="BJ7" i="1"/>
  <c r="BT7" i="1"/>
  <c r="CE7" i="1"/>
  <c r="CZ7" i="1"/>
  <c r="DK7" i="1"/>
  <c r="DP7" i="1"/>
  <c r="EA7" i="1"/>
  <c r="EF7" i="1"/>
  <c r="I8" i="1"/>
  <c r="Y8" i="1"/>
  <c r="AO8" i="1"/>
  <c r="BE8" i="1"/>
  <c r="CS8" i="1"/>
  <c r="C7" i="1"/>
  <c r="C8" i="1"/>
  <c r="AJ7" i="5"/>
  <c r="AJ8" i="5"/>
  <c r="L8" i="5"/>
  <c r="L7" i="5"/>
  <c r="BX8" i="5"/>
  <c r="BX7" i="5"/>
  <c r="CV8" i="5"/>
  <c r="CV7" i="5"/>
  <c r="D8" i="5"/>
  <c r="D7" i="5"/>
  <c r="AR8" i="5"/>
  <c r="AR7" i="5"/>
  <c r="BP8" i="5"/>
  <c r="BP7" i="5"/>
  <c r="DD8" i="5"/>
  <c r="DD7" i="5"/>
  <c r="EB7" i="5"/>
  <c r="EB8" i="5"/>
  <c r="G8" i="3"/>
  <c r="W8" i="3"/>
  <c r="AM8" i="3"/>
  <c r="BC8" i="3"/>
  <c r="BS8" i="3"/>
  <c r="CI8" i="3"/>
  <c r="DO8" i="3"/>
  <c r="V8" i="5"/>
  <c r="V7" i="5"/>
  <c r="AH8" i="5"/>
  <c r="AH7" i="5"/>
  <c r="BH8" i="5"/>
  <c r="BH7" i="5"/>
  <c r="CH8" i="5"/>
  <c r="CH7" i="5"/>
  <c r="CT8" i="5"/>
  <c r="CT7" i="5"/>
  <c r="DT8" i="5"/>
  <c r="DT7" i="5"/>
  <c r="AD8" i="7"/>
  <c r="AD7" i="7"/>
  <c r="CZ7" i="7"/>
  <c r="CZ8" i="7"/>
  <c r="CT7" i="7"/>
  <c r="H7" i="3"/>
  <c r="X7" i="3"/>
  <c r="AN7" i="3"/>
  <c r="BD7" i="3"/>
  <c r="BT7" i="3"/>
  <c r="CJ7" i="3"/>
  <c r="CZ7" i="3"/>
  <c r="DP7" i="3"/>
  <c r="EF7" i="3"/>
  <c r="R8" i="3"/>
  <c r="AH8" i="3"/>
  <c r="AX8" i="3"/>
  <c r="BN8" i="3"/>
  <c r="CD8" i="3"/>
  <c r="CL8" i="3"/>
  <c r="CT8" i="3"/>
  <c r="DJ8" i="3"/>
  <c r="DR8" i="3"/>
  <c r="DZ8" i="3"/>
  <c r="EG14" i="3"/>
  <c r="EG18" i="3"/>
  <c r="EG22" i="3"/>
  <c r="Q8" i="5"/>
  <c r="Q7" i="5"/>
  <c r="CI7" i="5"/>
  <c r="CI8" i="5"/>
  <c r="Z8" i="5"/>
  <c r="BF8" i="5"/>
  <c r="BZ8" i="5"/>
  <c r="CQ8" i="5"/>
  <c r="N8" i="7"/>
  <c r="N7" i="7"/>
  <c r="CJ7" i="7"/>
  <c r="CJ8" i="7"/>
  <c r="R7" i="7"/>
  <c r="CD7" i="7"/>
  <c r="I7" i="3"/>
  <c r="Q7" i="3"/>
  <c r="Y7" i="3"/>
  <c r="AG7" i="3"/>
  <c r="AO7" i="3"/>
  <c r="AW7" i="3"/>
  <c r="BE7" i="3"/>
  <c r="BM7" i="3"/>
  <c r="BU7" i="3"/>
  <c r="CC7" i="3"/>
  <c r="CK7" i="3"/>
  <c r="CS7" i="3"/>
  <c r="DA7" i="3"/>
  <c r="DI7" i="3"/>
  <c r="DQ7" i="3"/>
  <c r="DY7" i="3"/>
  <c r="C8" i="3"/>
  <c r="K8" i="3"/>
  <c r="S8" i="3"/>
  <c r="AA8" i="3"/>
  <c r="AI8" i="3"/>
  <c r="AQ8" i="3"/>
  <c r="AY8" i="3"/>
  <c r="BG8" i="3"/>
  <c r="BO8" i="3"/>
  <c r="BW8" i="3"/>
  <c r="CE8" i="3"/>
  <c r="CM8" i="3"/>
  <c r="CU8" i="3"/>
  <c r="DC8" i="3"/>
  <c r="DK8" i="3"/>
  <c r="DS8" i="3"/>
  <c r="EA8" i="3"/>
  <c r="EH12" i="3"/>
  <c r="EG13" i="3"/>
  <c r="EH16" i="3"/>
  <c r="EG17" i="3"/>
  <c r="EH20" i="3"/>
  <c r="EG21" i="3"/>
  <c r="EH24" i="3"/>
  <c r="F8" i="5"/>
  <c r="F7" i="5"/>
  <c r="R8" i="5"/>
  <c r="R7" i="5"/>
  <c r="AL8" i="5"/>
  <c r="AL7" i="5"/>
  <c r="AX8" i="5"/>
  <c r="AX7" i="5"/>
  <c r="BR8" i="5"/>
  <c r="BR7" i="5"/>
  <c r="CD8" i="5"/>
  <c r="CD7" i="5"/>
  <c r="CX8" i="5"/>
  <c r="CX7" i="5"/>
  <c r="DJ8" i="5"/>
  <c r="DJ7" i="5"/>
  <c r="ED8" i="5"/>
  <c r="ED7" i="5"/>
  <c r="Y7" i="5"/>
  <c r="BE7" i="5"/>
  <c r="CK7" i="5"/>
  <c r="DF7" i="5"/>
  <c r="DQ7" i="5"/>
  <c r="CA8" i="5"/>
  <c r="CL8" i="5"/>
  <c r="H7" i="7"/>
  <c r="H8" i="7"/>
  <c r="BJ8" i="7"/>
  <c r="BJ7" i="7"/>
  <c r="BT7" i="7"/>
  <c r="BT8" i="7"/>
  <c r="DV8" i="7"/>
  <c r="DV7" i="7"/>
  <c r="EF7" i="7"/>
  <c r="EF8" i="7"/>
  <c r="BN7" i="7"/>
  <c r="DZ7" i="7"/>
  <c r="BH8" i="7"/>
  <c r="DT8" i="7"/>
  <c r="O8" i="3"/>
  <c r="AE8" i="3"/>
  <c r="AU8" i="3"/>
  <c r="BK8" i="3"/>
  <c r="CA8" i="3"/>
  <c r="CQ8" i="3"/>
  <c r="CY8" i="3"/>
  <c r="DG8" i="3"/>
  <c r="DW8" i="3"/>
  <c r="EE8" i="3"/>
  <c r="AB8" i="5"/>
  <c r="AB7" i="5"/>
  <c r="BB8" i="5"/>
  <c r="BB7" i="5"/>
  <c r="BN8" i="5"/>
  <c r="BN7" i="5"/>
  <c r="CN8" i="5"/>
  <c r="CN7" i="5"/>
  <c r="DN8" i="5"/>
  <c r="DN7" i="5"/>
  <c r="DZ8" i="5"/>
  <c r="DZ7" i="5"/>
  <c r="AN7" i="7"/>
  <c r="AN8" i="7"/>
  <c r="CP8" i="7"/>
  <c r="CP7" i="7"/>
  <c r="AH7" i="7"/>
  <c r="P7" i="3"/>
  <c r="AF7" i="3"/>
  <c r="AV7" i="3"/>
  <c r="BL7" i="3"/>
  <c r="CB7" i="3"/>
  <c r="CR7" i="3"/>
  <c r="DH7" i="3"/>
  <c r="DX7" i="3"/>
  <c r="J8" i="3"/>
  <c r="Z8" i="3"/>
  <c r="AP8" i="3"/>
  <c r="BF8" i="3"/>
  <c r="BV8" i="3"/>
  <c r="DB8" i="3"/>
  <c r="W7" i="5"/>
  <c r="W8" i="5"/>
  <c r="AW8" i="5"/>
  <c r="AW7" i="5"/>
  <c r="BC7" i="5"/>
  <c r="BC8" i="5"/>
  <c r="CC8" i="5"/>
  <c r="CC7" i="5"/>
  <c r="DI8" i="5"/>
  <c r="DI7" i="5"/>
  <c r="DO7" i="5"/>
  <c r="DO8" i="5"/>
  <c r="X7" i="7"/>
  <c r="X8" i="7"/>
  <c r="BZ8" i="7"/>
  <c r="BZ7" i="7"/>
  <c r="D7" i="3"/>
  <c r="L7" i="3"/>
  <c r="T7" i="3"/>
  <c r="AB7" i="3"/>
  <c r="AJ7" i="3"/>
  <c r="AR7" i="3"/>
  <c r="AZ7" i="3"/>
  <c r="BH7" i="3"/>
  <c r="BP7" i="3"/>
  <c r="BX7" i="3"/>
  <c r="CF7" i="3"/>
  <c r="CN7" i="3"/>
  <c r="CV7" i="3"/>
  <c r="DD7" i="3"/>
  <c r="DL7" i="3"/>
  <c r="DT7" i="3"/>
  <c r="EB7" i="3"/>
  <c r="EH15" i="3"/>
  <c r="EH19" i="3"/>
  <c r="EH23" i="3"/>
  <c r="G7" i="5"/>
  <c r="G8" i="5"/>
  <c r="AG8" i="5"/>
  <c r="AG7" i="5"/>
  <c r="AM7" i="5"/>
  <c r="AM8" i="5"/>
  <c r="BM8" i="5"/>
  <c r="BM7" i="5"/>
  <c r="BS7" i="5"/>
  <c r="BS8" i="5"/>
  <c r="CS8" i="5"/>
  <c r="CS7" i="5"/>
  <c r="CY7" i="5"/>
  <c r="CY8" i="5"/>
  <c r="DY8" i="5"/>
  <c r="DY7" i="5"/>
  <c r="EE7" i="5"/>
  <c r="EE8" i="5"/>
  <c r="AE8" i="5"/>
  <c r="BK8" i="5"/>
  <c r="DW8" i="5"/>
  <c r="AT8" i="7"/>
  <c r="AT7" i="7"/>
  <c r="BD7" i="7"/>
  <c r="BD8" i="7"/>
  <c r="DF8" i="7"/>
  <c r="DF7" i="7"/>
  <c r="DP7" i="7"/>
  <c r="DP8" i="7"/>
  <c r="AX7" i="7"/>
  <c r="DJ7" i="7"/>
  <c r="AR8" i="7"/>
  <c r="DD8" i="7"/>
  <c r="I8" i="7"/>
  <c r="I7" i="7"/>
  <c r="Y8" i="7"/>
  <c r="Y7" i="7"/>
  <c r="AO8" i="7"/>
  <c r="AO7" i="7"/>
  <c r="BE8" i="7"/>
  <c r="BE7" i="7"/>
  <c r="BO7" i="7"/>
  <c r="BO8" i="7"/>
  <c r="BR8" i="7"/>
  <c r="BR7" i="7"/>
  <c r="CH8" i="7"/>
  <c r="CH7" i="7"/>
  <c r="CU7" i="7"/>
  <c r="CU8" i="7"/>
  <c r="CX8" i="7"/>
  <c r="CX7" i="7"/>
  <c r="DK7" i="7"/>
  <c r="DK8" i="7"/>
  <c r="DN8" i="7"/>
  <c r="DN7" i="7"/>
  <c r="DQ8" i="7"/>
  <c r="DQ7" i="7"/>
  <c r="EA7" i="7"/>
  <c r="EA8" i="7"/>
  <c r="ED8" i="7"/>
  <c r="ED7" i="7"/>
  <c r="K8" i="5"/>
  <c r="AA8" i="5"/>
  <c r="AQ8" i="5"/>
  <c r="BG8" i="5"/>
  <c r="P7" i="7"/>
  <c r="P8" i="7"/>
  <c r="AF7" i="7"/>
  <c r="AF8" i="7"/>
  <c r="AV7" i="7"/>
  <c r="AV8" i="7"/>
  <c r="BL7" i="7"/>
  <c r="BL8" i="7"/>
  <c r="CB7" i="7"/>
  <c r="CB8" i="7"/>
  <c r="CR7" i="7"/>
  <c r="CR8" i="7"/>
  <c r="DH7" i="7"/>
  <c r="DH8" i="7"/>
  <c r="DX7" i="7"/>
  <c r="DX8" i="7"/>
  <c r="J7" i="7"/>
  <c r="Z7" i="7"/>
  <c r="AP7" i="7"/>
  <c r="BF7" i="7"/>
  <c r="BV7" i="7"/>
  <c r="CL7" i="7"/>
  <c r="DB7" i="7"/>
  <c r="DR7" i="7"/>
  <c r="D8" i="7"/>
  <c r="T8" i="7"/>
  <c r="AJ8" i="7"/>
  <c r="AZ8" i="7"/>
  <c r="BP8" i="7"/>
  <c r="CF8" i="7"/>
  <c r="CV8" i="7"/>
  <c r="DL8" i="7"/>
  <c r="EB8" i="7"/>
  <c r="C7" i="7"/>
  <c r="C8" i="7"/>
  <c r="F8" i="7"/>
  <c r="F7" i="7"/>
  <c r="S7" i="7"/>
  <c r="S8" i="7"/>
  <c r="V8" i="7"/>
  <c r="V7" i="7"/>
  <c r="AI7" i="7"/>
  <c r="AI8" i="7"/>
  <c r="AL8" i="7"/>
  <c r="AL7" i="7"/>
  <c r="AY7" i="7"/>
  <c r="AY8" i="7"/>
  <c r="BB8" i="7"/>
  <c r="BB7" i="7"/>
  <c r="BU8" i="7"/>
  <c r="BU7" i="7"/>
  <c r="CE7" i="7"/>
  <c r="CE8" i="7"/>
  <c r="CK8" i="7"/>
  <c r="CK7" i="7"/>
  <c r="DA8" i="7"/>
  <c r="DA7" i="7"/>
  <c r="M7" i="5"/>
  <c r="AC7" i="5"/>
  <c r="AS7" i="5"/>
  <c r="BI7" i="5"/>
  <c r="BY7" i="5"/>
  <c r="CO7" i="5"/>
  <c r="DE7" i="5"/>
  <c r="DU7" i="5"/>
  <c r="K7" i="7"/>
  <c r="K8" i="7"/>
  <c r="Q8" i="7"/>
  <c r="Q7" i="7"/>
  <c r="AA7" i="7"/>
  <c r="AA8" i="7"/>
  <c r="AG8" i="7"/>
  <c r="AG7" i="7"/>
  <c r="AQ7" i="7"/>
  <c r="AQ8" i="7"/>
  <c r="AW8" i="7"/>
  <c r="AW7" i="7"/>
  <c r="BG7" i="7"/>
  <c r="BG8" i="7"/>
  <c r="BM8" i="7"/>
  <c r="BM7" i="7"/>
  <c r="BW7" i="7"/>
  <c r="BW8" i="7"/>
  <c r="CC8" i="7"/>
  <c r="CC7" i="7"/>
  <c r="CM7" i="7"/>
  <c r="CM8" i="7"/>
  <c r="CS8" i="7"/>
  <c r="CS7" i="7"/>
  <c r="DC7" i="7"/>
  <c r="DC8" i="7"/>
  <c r="DI8" i="7"/>
  <c r="DI7" i="7"/>
  <c r="DS7" i="7"/>
  <c r="DS8" i="7"/>
  <c r="DY8" i="7"/>
  <c r="DY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<sst xmlns="http://schemas.openxmlformats.org/spreadsheetml/2006/main" count="2243" uniqueCount="199">
  <si>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</si>
  <si>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</si>
  <si>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</si>
  <si>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</si>
  <si>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</si>
  <si>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</si>
  <si>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</si>
  <si>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</si>
  <si>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</si>
  <si>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</si>
  <si>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</si>
  <si>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</si>
  <si>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</si>
  <si>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</si>
  <si>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</si>
  <si>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</si>
  <si>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</si>
  <si>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</si>
  <si>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</si>
  <si>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</si>
  <si>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</si>
  <si>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</si>
  <si>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</si>
  <si>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</si>
  <si>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</si>
  <si>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</si>
  <si>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</si>
  <si>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</si>
  <si>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</si>
  <si>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</si>
  <si>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</si>
  <si>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</si>
  <si>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</si>
  <si>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</si>
  <si>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</si>
  <si>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</si>
  <si>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</si>
  <si>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</si>
  <si>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</si>
  <si>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</si>
  <si>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</si>
  <si>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</si>
  <si>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</si>
  <si>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</si>
  <si>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</si>
  <si>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</si>
  <si>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</si>
  <si>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</si>
  <si>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</si>
  <si>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</si>
  <si>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</si>
  <si>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</si>
  <si>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</si>
  <si>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</si>
  <si>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</si>
  <si>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</si>
  <si>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</si>
  <si>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</si>
  <si>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</si>
  <si>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</si>
  <si>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</si>
  <si>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</si>
  <si>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</si>
  <si>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</si>
  <si>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</si>
  <si>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</si>
  <si>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</si>
  <si>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</si>
  <si>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</si>
  <si>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</si>
  <si>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</si>
  <si>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</si>
  <si>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</si>
  <si>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</si>
  <si>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</si>
  <si>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</si>
  <si>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</si>
  <si>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</si>
  <si>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</si>
  <si>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</si>
  <si>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</si>
  <si>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</si>
  <si>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</si>
  <si>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</si>
  <si>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</si>
  <si>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</si>
  <si>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</si>
  <si>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</si>
  <si>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</si>
  <si>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</si>
  <si>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</si>
  <si>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</si>
  <si>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</si>
  <si>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</si>
  <si>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</si>
  <si>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</si>
  <si>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</si>
  <si>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</si>
  <si>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</si>
  <si>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</si>
  <si>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</si>
  <si>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</si>
  <si>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</si>
  <si>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</si>
  <si>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</si>
  <si>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</si>
  <si>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</si>
  <si>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</si>
  <si>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</si>
  <si>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</si>
  <si>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</si>
  <si>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</si>
  <si>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</si>
  <si>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</si>
  <si>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</si>
  <si>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</si>
  <si>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</si>
  <si>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</si>
  <si>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</si>
  <si>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</si>
  <si>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</si>
  <si>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</si>
  <si>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</si>
  <si>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</si>
  <si>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</si>
  <si>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</si>
  <si>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</si>
  <si>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</si>
  <si>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</si>
  <si>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</si>
  <si>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</si>
  <si>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</si>
  <si>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</si>
  <si>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</si>
  <si>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</si>
  <si>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</si>
  <si>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bm</t>
  </si>
  <si>
    <t>size</t>
  </si>
  <si>
    <t>mom</t>
  </si>
  <si>
    <t>選絕對值最大</t>
  </si>
  <si>
    <t>投資組合</t>
  </si>
  <si>
    <t>公司數</t>
  </si>
  <si>
    <t>等分</t>
  </si>
  <si>
    <t>分數</t>
  </si>
  <si>
    <t>大盤</t>
  </si>
  <si>
    <t>TWⅡ</t>
  </si>
  <si>
    <t>REAL</t>
  </si>
  <si>
    <t>sum</t>
  </si>
  <si>
    <t>勝率</t>
  </si>
  <si>
    <t>平均值</t>
    <phoneticPr fontId="1" type="noConversion"/>
  </si>
  <si>
    <t>標準差</t>
    <phoneticPr fontId="1" type="noConversion"/>
  </si>
  <si>
    <t>夏普比率</t>
    <phoneticPr fontId="1" type="noConversion"/>
  </si>
  <si>
    <t>(預測-真實)^2</t>
    <phoneticPr fontId="1" type="noConversion"/>
  </si>
  <si>
    <t>真實^2</t>
    <phoneticPr fontId="1" type="noConversion"/>
  </si>
  <si>
    <t>R平方</t>
    <phoneticPr fontId="1" type="noConversion"/>
  </si>
  <si>
    <t>RF</t>
    <phoneticPr fontId="1" type="noConversion"/>
  </si>
  <si>
    <t>昇益</t>
  </si>
  <si>
    <t>常珵</t>
  </si>
  <si>
    <t>沛亨</t>
  </si>
  <si>
    <t>洛碁</t>
  </si>
  <si>
    <t>飛寶企業</t>
  </si>
  <si>
    <t>全譜</t>
  </si>
  <si>
    <t>欣巴巴</t>
  </si>
  <si>
    <t>天瀚</t>
  </si>
  <si>
    <t>科風</t>
  </si>
  <si>
    <t>信立</t>
  </si>
  <si>
    <t>印鉐</t>
  </si>
  <si>
    <t>中茂</t>
  </si>
  <si>
    <t>麗升能源</t>
  </si>
  <si>
    <t>勝昱</t>
  </si>
  <si>
    <t>元隆</t>
  </si>
  <si>
    <t>恒大</t>
  </si>
  <si>
    <t>華冠</t>
  </si>
  <si>
    <t>世紀</t>
  </si>
  <si>
    <t>泰偉</t>
  </si>
  <si>
    <t>志旭</t>
  </si>
  <si>
    <t>巨虹</t>
  </si>
  <si>
    <t>華城</t>
  </si>
  <si>
    <t>皇家美食</t>
  </si>
  <si>
    <t>天揚</t>
  </si>
  <si>
    <t>東訊</t>
  </si>
  <si>
    <t>台積電</t>
  </si>
  <si>
    <t>中環</t>
  </si>
  <si>
    <t>健信</t>
  </si>
  <si>
    <t>海灣</t>
  </si>
  <si>
    <t>寶隆</t>
  </si>
  <si>
    <t>福華</t>
  </si>
  <si>
    <t>樂事綠能</t>
  </si>
  <si>
    <t>友達</t>
  </si>
  <si>
    <t>閎暉</t>
  </si>
  <si>
    <t>四維航</t>
  </si>
  <si>
    <t>中石化</t>
  </si>
  <si>
    <t>德宏</t>
  </si>
  <si>
    <t>藍天</t>
  </si>
  <si>
    <t>長榮</t>
  </si>
  <si>
    <t>國喬</t>
  </si>
  <si>
    <t>低</t>
    <phoneticPr fontId="1" type="noConversion"/>
  </si>
  <si>
    <t>公司名稱</t>
    <phoneticPr fontId="1" type="noConversion"/>
  </si>
  <si>
    <t>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</si>
</sst>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rgb="FFC00000"/>
      <name val="新細明體"/>
      <family val="2"/>
      <scheme val="minor"/>
    </font>
    <font>
      <sz val="11"/>
      <color rgb="FFFF0000"/>
      <name val="新細明體"/>
      <family val="2"/>
      <scheme val="minor"/>
    </font>
    <font>
      <b/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rgb="FFC00000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0" fillId="2" borderId="1" xfId="0" applyFill="1" applyBorder="1"/>
    <xf numFmtId="0" fontId="5" fillId="3" borderId="1" xfId="0" applyFont="1" applyFill="1" applyBorder="1" applyAlignment="1">
      <alignment horizontal="center"/>
    </xf>
    <xf numFmtId="0" fontId="3" fillId="0" borderId="5" xfId="0" applyFont="1" applyBorder="1"/>
    <xf numFmtId="0" fontId="6" fillId="5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Border="1"/>
    <xf numFmtId="0" fontId="0" fillId="2" borderId="1" xfId="0" applyFill="1" applyBorder="1" applyAlignment="1">
      <alignment horizontal="center"/>
    </xf>
    <xf numFmtId="0" fontId="8" fillId="5" borderId="1" xfId="0" applyFont="1" applyFill="1" applyBorder="1"/>
    <xf numFmtId="0" fontId="7" fillId="6" borderId="1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CCCC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RF999</a:t>
            </a:r>
            <a:r>
              <a:rPr lang="zh-TW" altLang="en-US"/>
              <a:t>累積報酬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RF累積畫圖!$B$12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RF累積畫圖!$C$11:$EF$11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RF累積畫圖!$C$12:$EF$12</c:f>
              <c:numCache>
                <c:formatCode>General</c:formatCode>
                <c:ptCount val="134"/>
                <c:pt idx="0">
                  <c:v>8.4653541666666707E-2</c:v>
                </c:pt>
                <c:pt idx="1">
                  <c:v>0.19934205208333339</c:v>
                </c:pt>
                <c:pt idx="2">
                  <c:v>0.24736833333333338</c:v>
                </c:pt>
                <c:pt idx="3">
                  <c:v>0.2607897395833334</c:v>
                </c:pt>
                <c:pt idx="4">
                  <c:v>0.27251470833333341</c:v>
                </c:pt>
                <c:pt idx="5">
                  <c:v>0.31104542708333344</c:v>
                </c:pt>
                <c:pt idx="6">
                  <c:v>0.32385537500000011</c:v>
                </c:pt>
                <c:pt idx="7">
                  <c:v>0.29444757291666679</c:v>
                </c:pt>
                <c:pt idx="8">
                  <c:v>0.31322175000000013</c:v>
                </c:pt>
                <c:pt idx="9">
                  <c:v>0.27133111458333348</c:v>
                </c:pt>
                <c:pt idx="10">
                  <c:v>0.25577931038317236</c:v>
                </c:pt>
                <c:pt idx="11">
                  <c:v>0.32510606038317236</c:v>
                </c:pt>
                <c:pt idx="12">
                  <c:v>0.34234690413317237</c:v>
                </c:pt>
                <c:pt idx="13">
                  <c:v>0.34198119579983904</c:v>
                </c:pt>
                <c:pt idx="14">
                  <c:v>0.37725166454983905</c:v>
                </c:pt>
                <c:pt idx="15">
                  <c:v>0.38391474788317237</c:v>
                </c:pt>
                <c:pt idx="16">
                  <c:v>0.36744251871650568</c:v>
                </c:pt>
                <c:pt idx="17">
                  <c:v>0.32477922800845538</c:v>
                </c:pt>
                <c:pt idx="18">
                  <c:v>0.30860043634178869</c:v>
                </c:pt>
                <c:pt idx="19">
                  <c:v>0.31480523842512198</c:v>
                </c:pt>
                <c:pt idx="20">
                  <c:v>0.33408318464873205</c:v>
                </c:pt>
                <c:pt idx="21">
                  <c:v>0.35983264298206541</c:v>
                </c:pt>
                <c:pt idx="22">
                  <c:v>0.3752727471487321</c:v>
                </c:pt>
                <c:pt idx="23">
                  <c:v>0.38043878881539878</c:v>
                </c:pt>
                <c:pt idx="24">
                  <c:v>0.36852195548206546</c:v>
                </c:pt>
                <c:pt idx="25">
                  <c:v>0.3577886258779267</c:v>
                </c:pt>
                <c:pt idx="26">
                  <c:v>0.36295607379459338</c:v>
                </c:pt>
                <c:pt idx="27">
                  <c:v>0.36548650362581692</c:v>
                </c:pt>
                <c:pt idx="28">
                  <c:v>0.30716949320915027</c:v>
                </c:pt>
                <c:pt idx="29">
                  <c:v>0.32765287112704067</c:v>
                </c:pt>
                <c:pt idx="30">
                  <c:v>0.3397320586270407</c:v>
                </c:pt>
                <c:pt idx="31">
                  <c:v>0.35282891856316007</c:v>
                </c:pt>
                <c:pt idx="32">
                  <c:v>0.37183338373349939</c:v>
                </c:pt>
                <c:pt idx="33">
                  <c:v>0.37932360044658447</c:v>
                </c:pt>
                <c:pt idx="34">
                  <c:v>0.42667826198229802</c:v>
                </c:pt>
                <c:pt idx="35">
                  <c:v>0.44453726500422008</c:v>
                </c:pt>
                <c:pt idx="36">
                  <c:v>0.47674161876331406</c:v>
                </c:pt>
                <c:pt idx="37">
                  <c:v>0.54711248523704592</c:v>
                </c:pt>
                <c:pt idx="38">
                  <c:v>0.54925109012314488</c:v>
                </c:pt>
                <c:pt idx="39">
                  <c:v>0.51552209435195606</c:v>
                </c:pt>
                <c:pt idx="40">
                  <c:v>0.50834607811376886</c:v>
                </c:pt>
                <c:pt idx="41">
                  <c:v>0.52119689154990068</c:v>
                </c:pt>
                <c:pt idx="42">
                  <c:v>0.54092302294410832</c:v>
                </c:pt>
                <c:pt idx="43">
                  <c:v>0.55399194945104924</c:v>
                </c:pt>
                <c:pt idx="44">
                  <c:v>0.57396659914045411</c:v>
                </c:pt>
                <c:pt idx="45">
                  <c:v>0.53284052814868499</c:v>
                </c:pt>
                <c:pt idx="46">
                  <c:v>0.53377007569204382</c:v>
                </c:pt>
                <c:pt idx="47">
                  <c:v>0.57679053580361606</c:v>
                </c:pt>
                <c:pt idx="48">
                  <c:v>0.60127388974782836</c:v>
                </c:pt>
                <c:pt idx="49">
                  <c:v>0.59821567488732175</c:v>
                </c:pt>
                <c:pt idx="50">
                  <c:v>0.6694919769706551</c:v>
                </c:pt>
                <c:pt idx="51">
                  <c:v>0.67527704988732173</c:v>
                </c:pt>
                <c:pt idx="52">
                  <c:v>0.6882626262747672</c:v>
                </c:pt>
                <c:pt idx="53">
                  <c:v>0.6996940502684631</c:v>
                </c:pt>
                <c:pt idx="54">
                  <c:v>0.72372454126458297</c:v>
                </c:pt>
                <c:pt idx="55">
                  <c:v>0.79245435027971844</c:v>
                </c:pt>
                <c:pt idx="56">
                  <c:v>0.83084248031643393</c:v>
                </c:pt>
                <c:pt idx="57">
                  <c:v>0.84199139592943795</c:v>
                </c:pt>
                <c:pt idx="58">
                  <c:v>0.89343132331640829</c:v>
                </c:pt>
                <c:pt idx="59">
                  <c:v>0.89263532999649042</c:v>
                </c:pt>
                <c:pt idx="60">
                  <c:v>0.87093885559204287</c:v>
                </c:pt>
                <c:pt idx="61">
                  <c:v>0.89564810142219153</c:v>
                </c:pt>
                <c:pt idx="62">
                  <c:v>0.84534241689886702</c:v>
                </c:pt>
                <c:pt idx="63">
                  <c:v>0.85668072872356293</c:v>
                </c:pt>
                <c:pt idx="64">
                  <c:v>0.88092703897979985</c:v>
                </c:pt>
                <c:pt idx="65">
                  <c:v>0.87035022248550287</c:v>
                </c:pt>
                <c:pt idx="66">
                  <c:v>0.8855568027568208</c:v>
                </c:pt>
                <c:pt idx="67">
                  <c:v>0.88405013834312984</c:v>
                </c:pt>
                <c:pt idx="68">
                  <c:v>0.90174704490154722</c:v>
                </c:pt>
                <c:pt idx="69">
                  <c:v>0.92354489526280859</c:v>
                </c:pt>
                <c:pt idx="70">
                  <c:v>0.9337543959754232</c:v>
                </c:pt>
                <c:pt idx="71">
                  <c:v>0.9639782091931397</c:v>
                </c:pt>
                <c:pt idx="72">
                  <c:v>0.93516133483574493</c:v>
                </c:pt>
                <c:pt idx="73">
                  <c:v>0.94487444035998025</c:v>
                </c:pt>
                <c:pt idx="74">
                  <c:v>0.91182303079724625</c:v>
                </c:pt>
                <c:pt idx="75">
                  <c:v>0.95682705898123721</c:v>
                </c:pt>
                <c:pt idx="76">
                  <c:v>0.92637928547879744</c:v>
                </c:pt>
                <c:pt idx="77">
                  <c:v>0.92804417309329934</c:v>
                </c:pt>
                <c:pt idx="78">
                  <c:v>0.99361021475996603</c:v>
                </c:pt>
                <c:pt idx="79">
                  <c:v>1.0378687355932994</c:v>
                </c:pt>
                <c:pt idx="80">
                  <c:v>1.1918758918432995</c:v>
                </c:pt>
                <c:pt idx="81">
                  <c:v>1.195953933509966</c:v>
                </c:pt>
                <c:pt idx="82">
                  <c:v>1.1962627355932993</c:v>
                </c:pt>
                <c:pt idx="83">
                  <c:v>1.2606653759950939</c:v>
                </c:pt>
                <c:pt idx="84">
                  <c:v>1.2248579633709455</c:v>
                </c:pt>
                <c:pt idx="85">
                  <c:v>1.2424718129119789</c:v>
                </c:pt>
                <c:pt idx="86">
                  <c:v>1.2544658812898315</c:v>
                </c:pt>
                <c:pt idx="87">
                  <c:v>1.3724814889594419</c:v>
                </c:pt>
                <c:pt idx="88">
                  <c:v>1.3580987983464652</c:v>
                </c:pt>
                <c:pt idx="89">
                  <c:v>1.332511835459596</c:v>
                </c:pt>
                <c:pt idx="90">
                  <c:v>1.3057638901088624</c:v>
                </c:pt>
                <c:pt idx="91">
                  <c:v>1.3508040857144297</c:v>
                </c:pt>
                <c:pt idx="92">
                  <c:v>1.2881197387108549</c:v>
                </c:pt>
                <c:pt idx="93">
                  <c:v>1.3362667178775216</c:v>
                </c:pt>
                <c:pt idx="94">
                  <c:v>1.3217574053775216</c:v>
                </c:pt>
                <c:pt idx="95">
                  <c:v>1.3207957591736192</c:v>
                </c:pt>
                <c:pt idx="96">
                  <c:v>1.3528319379369644</c:v>
                </c:pt>
                <c:pt idx="97">
                  <c:v>1.3610950918657969</c:v>
                </c:pt>
                <c:pt idx="98">
                  <c:v>1.3664763199503676</c:v>
                </c:pt>
                <c:pt idx="99">
                  <c:v>1.4274662024873594</c:v>
                </c:pt>
                <c:pt idx="100">
                  <c:v>1.4212839823485084</c:v>
                </c:pt>
                <c:pt idx="101">
                  <c:v>1.5008912656071127</c:v>
                </c:pt>
                <c:pt idx="102">
                  <c:v>1.5042944736026653</c:v>
                </c:pt>
                <c:pt idx="103">
                  <c:v>1.593276327769332</c:v>
                </c:pt>
                <c:pt idx="104">
                  <c:v>1.6033035465193319</c:v>
                </c:pt>
                <c:pt idx="105">
                  <c:v>1.5642121298526652</c:v>
                </c:pt>
                <c:pt idx="106">
                  <c:v>1.5640273856076337</c:v>
                </c:pt>
                <c:pt idx="107">
                  <c:v>1.5571943694240438</c:v>
                </c:pt>
                <c:pt idx="108">
                  <c:v>1.5564040993512653</c:v>
                </c:pt>
                <c:pt idx="109">
                  <c:v>1.5511419555764623</c:v>
                </c:pt>
                <c:pt idx="110">
                  <c:v>1.4966987825843299</c:v>
                </c:pt>
                <c:pt idx="111">
                  <c:v>1.5118174596676632</c:v>
                </c:pt>
                <c:pt idx="112">
                  <c:v>1.4965530564452785</c:v>
                </c:pt>
                <c:pt idx="113">
                  <c:v>1.4954887912822679</c:v>
                </c:pt>
                <c:pt idx="114">
                  <c:v>1.4897740198864011</c:v>
                </c:pt>
                <c:pt idx="115">
                  <c:v>1.5290023625192408</c:v>
                </c:pt>
                <c:pt idx="116">
                  <c:v>1.5511306126841393</c:v>
                </c:pt>
                <c:pt idx="117">
                  <c:v>1.5837150622844365</c:v>
                </c:pt>
                <c:pt idx="118">
                  <c:v>1.5602666717329419</c:v>
                </c:pt>
                <c:pt idx="119">
                  <c:v>1.5790456150123289</c:v>
                </c:pt>
                <c:pt idx="120">
                  <c:v>1.5417815845730678</c:v>
                </c:pt>
                <c:pt idx="121">
                  <c:v>1.5668994491564012</c:v>
                </c:pt>
                <c:pt idx="122">
                  <c:v>1.5096692199897346</c:v>
                </c:pt>
                <c:pt idx="123">
                  <c:v>1.5618424037992604</c:v>
                </c:pt>
                <c:pt idx="124">
                  <c:v>1.6015367054235283</c:v>
                </c:pt>
                <c:pt idx="125">
                  <c:v>1.5519174986203008</c:v>
                </c:pt>
                <c:pt idx="126">
                  <c:v>1.6050628111203009</c:v>
                </c:pt>
                <c:pt idx="127">
                  <c:v>1.611248092370301</c:v>
                </c:pt>
                <c:pt idx="128">
                  <c:v>1.6623457253703009</c:v>
                </c:pt>
                <c:pt idx="129">
                  <c:v>1.6660151110082189</c:v>
                </c:pt>
                <c:pt idx="130">
                  <c:v>1.6562090693415521</c:v>
                </c:pt>
                <c:pt idx="131">
                  <c:v>1.5995810335341565</c:v>
                </c:pt>
                <c:pt idx="132">
                  <c:v>1.6120394077978617</c:v>
                </c:pt>
                <c:pt idx="133">
                  <c:v>1.6512727558366573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3C-4450-8713-A26249A08719}"/>
            </c:ext>
          </c:extLst>
        </c:ser>
        <c:ser>
          <c:idx val="1"/>
          <c:order val="1"/>
          <c:tx>
            <c:strRef>
              <c:f>RF累積畫圖!$B$13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RF累積畫圖!$C$11:$EF$11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RF累積畫圖!$C$13:$EF$13</c:f>
              <c:numCache>
                <c:formatCode>General</c:formatCode>
                <c:ptCount val="134"/>
                <c:pt idx="0">
                  <c:v>0.10411314583333341</c:v>
                </c:pt>
                <c:pt idx="1">
                  <c:v>0.22785825000000001</c:v>
                </c:pt>
                <c:pt idx="2">
                  <c:v>0.2977195416666667</c:v>
                </c:pt>
                <c:pt idx="3">
                  <c:v>0.28626472916666668</c:v>
                </c:pt>
                <c:pt idx="4">
                  <c:v>0.30200958333333333</c:v>
                </c:pt>
                <c:pt idx="5">
                  <c:v>0.33199993750000001</c:v>
                </c:pt>
                <c:pt idx="6">
                  <c:v>0.36113047916666668</c:v>
                </c:pt>
                <c:pt idx="7">
                  <c:v>0.31723166666666669</c:v>
                </c:pt>
                <c:pt idx="8">
                  <c:v>0.3158641875</c:v>
                </c:pt>
                <c:pt idx="9">
                  <c:v>0.30983908333333332</c:v>
                </c:pt>
                <c:pt idx="10">
                  <c:v>0.3175477395958255</c:v>
                </c:pt>
                <c:pt idx="11">
                  <c:v>0.41735446876249216</c:v>
                </c:pt>
                <c:pt idx="12">
                  <c:v>0.45714384376249217</c:v>
                </c:pt>
                <c:pt idx="13">
                  <c:v>0.4739359895958255</c:v>
                </c:pt>
                <c:pt idx="14">
                  <c:v>0.54716101042915888</c:v>
                </c:pt>
                <c:pt idx="15">
                  <c:v>0.56132084376249225</c:v>
                </c:pt>
                <c:pt idx="16">
                  <c:v>0.54907753126249226</c:v>
                </c:pt>
                <c:pt idx="17">
                  <c:v>0.49882563454377993</c:v>
                </c:pt>
                <c:pt idx="18">
                  <c:v>0.50042194704377996</c:v>
                </c:pt>
                <c:pt idx="19">
                  <c:v>0.48032782204378</c:v>
                </c:pt>
                <c:pt idx="20">
                  <c:v>0.51143090992814988</c:v>
                </c:pt>
                <c:pt idx="21">
                  <c:v>0.56470736826148316</c:v>
                </c:pt>
                <c:pt idx="22">
                  <c:v>0.57862774326148314</c:v>
                </c:pt>
                <c:pt idx="23">
                  <c:v>0.59921165992814984</c:v>
                </c:pt>
                <c:pt idx="24">
                  <c:v>0.58277161826148316</c:v>
                </c:pt>
                <c:pt idx="25">
                  <c:v>0.56777004493250471</c:v>
                </c:pt>
                <c:pt idx="26">
                  <c:v>0.57580131576583804</c:v>
                </c:pt>
                <c:pt idx="27">
                  <c:v>0.59624154413963049</c:v>
                </c:pt>
                <c:pt idx="28">
                  <c:v>0.53052206497296384</c:v>
                </c:pt>
                <c:pt idx="29">
                  <c:v>0.56358849538617661</c:v>
                </c:pt>
                <c:pt idx="30">
                  <c:v>0.56687095371950991</c:v>
                </c:pt>
                <c:pt idx="31">
                  <c:v>0.57821130605735283</c:v>
                </c:pt>
                <c:pt idx="32">
                  <c:v>0.59027885613142561</c:v>
                </c:pt>
                <c:pt idx="33">
                  <c:v>0.57177101259454588</c:v>
                </c:pt>
                <c:pt idx="34">
                  <c:v>0.63775892540520185</c:v>
                </c:pt>
                <c:pt idx="35">
                  <c:v>0.66408792520875137</c:v>
                </c:pt>
                <c:pt idx="36">
                  <c:v>0.70985259976216086</c:v>
                </c:pt>
                <c:pt idx="37">
                  <c:v>0.8151828378981949</c:v>
                </c:pt>
                <c:pt idx="38">
                  <c:v>0.83089726182107948</c:v>
                </c:pt>
                <c:pt idx="39">
                  <c:v>0.77135904164820634</c:v>
                </c:pt>
                <c:pt idx="40">
                  <c:v>0.7678095548415691</c:v>
                </c:pt>
                <c:pt idx="41">
                  <c:v>0.7821806176604198</c:v>
                </c:pt>
                <c:pt idx="42">
                  <c:v>0.82195857065009448</c:v>
                </c:pt>
                <c:pt idx="43">
                  <c:v>0.86242165850453423</c:v>
                </c:pt>
                <c:pt idx="44">
                  <c:v>0.90488264073250568</c:v>
                </c:pt>
                <c:pt idx="45">
                  <c:v>0.89588186271127213</c:v>
                </c:pt>
                <c:pt idx="46">
                  <c:v>0.89915013354932694</c:v>
                </c:pt>
                <c:pt idx="47">
                  <c:v>0.964499155025348</c:v>
                </c:pt>
                <c:pt idx="48">
                  <c:v>0.98026679842842468</c:v>
                </c:pt>
                <c:pt idx="49">
                  <c:v>0.97126903457599734</c:v>
                </c:pt>
                <c:pt idx="50">
                  <c:v>1.0510983054093306</c:v>
                </c:pt>
                <c:pt idx="51">
                  <c:v>1.0771442845759973</c:v>
                </c:pt>
                <c:pt idx="52">
                  <c:v>1.0901708648296449</c:v>
                </c:pt>
                <c:pt idx="53">
                  <c:v>1.0957729469449473</c:v>
                </c:pt>
                <c:pt idx="54">
                  <c:v>1.1241962948999342</c:v>
                </c:pt>
                <c:pt idx="55">
                  <c:v>1.208125710207431</c:v>
                </c:pt>
                <c:pt idx="56">
                  <c:v>1.2546921725461426</c:v>
                </c:pt>
                <c:pt idx="57">
                  <c:v>1.261668444447305</c:v>
                </c:pt>
                <c:pt idx="58">
                  <c:v>1.3144565640142534</c:v>
                </c:pt>
                <c:pt idx="59">
                  <c:v>1.2968024554880908</c:v>
                </c:pt>
                <c:pt idx="60">
                  <c:v>1.2784114306083414</c:v>
                </c:pt>
                <c:pt idx="61">
                  <c:v>1.3153740407852899</c:v>
                </c:pt>
                <c:pt idx="62">
                  <c:v>1.2620022720900992</c:v>
                </c:pt>
                <c:pt idx="63">
                  <c:v>1.2728950110585668</c:v>
                </c:pt>
                <c:pt idx="64">
                  <c:v>1.3046303233904868</c:v>
                </c:pt>
                <c:pt idx="65">
                  <c:v>1.3122822702148043</c:v>
                </c:pt>
                <c:pt idx="66">
                  <c:v>1.3531013669862146</c:v>
                </c:pt>
                <c:pt idx="67">
                  <c:v>1.3460299855095859</c:v>
                </c:pt>
                <c:pt idx="68">
                  <c:v>1.3532882280175194</c:v>
                </c:pt>
                <c:pt idx="69">
                  <c:v>1.3916317336339921</c:v>
                </c:pt>
                <c:pt idx="70">
                  <c:v>1.4081587283788894</c:v>
                </c:pt>
                <c:pt idx="71">
                  <c:v>1.4288026033801882</c:v>
                </c:pt>
                <c:pt idx="72">
                  <c:v>1.4305658411908653</c:v>
                </c:pt>
                <c:pt idx="73">
                  <c:v>1.4523513320834827</c:v>
                </c:pt>
                <c:pt idx="74">
                  <c:v>1.4378389344129923</c:v>
                </c:pt>
                <c:pt idx="75">
                  <c:v>1.5147668051374208</c:v>
                </c:pt>
                <c:pt idx="76">
                  <c:v>1.4812352395370239</c:v>
                </c:pt>
                <c:pt idx="77">
                  <c:v>1.4741033701291897</c:v>
                </c:pt>
                <c:pt idx="78">
                  <c:v>1.5942212867958563</c:v>
                </c:pt>
                <c:pt idx="79">
                  <c:v>1.6494771201291896</c:v>
                </c:pt>
                <c:pt idx="80">
                  <c:v>1.8333048492958564</c:v>
                </c:pt>
                <c:pt idx="81">
                  <c:v>1.8515339951291896</c:v>
                </c:pt>
                <c:pt idx="82">
                  <c:v>1.859094390962523</c:v>
                </c:pt>
                <c:pt idx="83">
                  <c:v>1.9174290027897303</c:v>
                </c:pt>
                <c:pt idx="84">
                  <c:v>1.8655754936554669</c:v>
                </c:pt>
                <c:pt idx="85">
                  <c:v>1.8616988933609742</c:v>
                </c:pt>
                <c:pt idx="86">
                  <c:v>1.8937441625974381</c:v>
                </c:pt>
                <c:pt idx="87">
                  <c:v>1.9780485539119419</c:v>
                </c:pt>
                <c:pt idx="88">
                  <c:v>1.9677517501555468</c:v>
                </c:pt>
                <c:pt idx="89">
                  <c:v>1.9408641841566945</c:v>
                </c:pt>
                <c:pt idx="90">
                  <c:v>1.927406725593467</c:v>
                </c:pt>
                <c:pt idx="91">
                  <c:v>1.9982041980765564</c:v>
                </c:pt>
                <c:pt idx="92">
                  <c:v>1.9270253331081524</c:v>
                </c:pt>
                <c:pt idx="93">
                  <c:v>1.991406187274819</c:v>
                </c:pt>
                <c:pt idx="94">
                  <c:v>1.9953541456081523</c:v>
                </c:pt>
                <c:pt idx="95">
                  <c:v>2.0034249449245309</c:v>
                </c:pt>
                <c:pt idx="96">
                  <c:v>2.0394318604588202</c:v>
                </c:pt>
                <c:pt idx="97">
                  <c:v>2.0372014858148759</c:v>
                </c:pt>
                <c:pt idx="98">
                  <c:v>2.043178516671122</c:v>
                </c:pt>
                <c:pt idx="99">
                  <c:v>2.103822278306442</c:v>
                </c:pt>
                <c:pt idx="100">
                  <c:v>2.0907035381914292</c:v>
                </c:pt>
                <c:pt idx="101">
                  <c:v>2.1479277585449141</c:v>
                </c:pt>
                <c:pt idx="102">
                  <c:v>2.1408312275934738</c:v>
                </c:pt>
                <c:pt idx="103">
                  <c:v>2.2470664775934739</c:v>
                </c:pt>
                <c:pt idx="104">
                  <c:v>2.2706076025934738</c:v>
                </c:pt>
                <c:pt idx="105">
                  <c:v>2.2192013109268074</c:v>
                </c:pt>
                <c:pt idx="106">
                  <c:v>2.2243689638222266</c:v>
                </c:pt>
                <c:pt idx="107">
                  <c:v>2.1958501670285919</c:v>
                </c:pt>
                <c:pt idx="108">
                  <c:v>2.194219509855702</c:v>
                </c:pt>
                <c:pt idx="109">
                  <c:v>2.2072117549014938</c:v>
                </c:pt>
                <c:pt idx="110">
                  <c:v>2.1606502980872602</c:v>
                </c:pt>
                <c:pt idx="111">
                  <c:v>2.166634152253927</c:v>
                </c:pt>
                <c:pt idx="112">
                  <c:v>2.1786609420927712</c:v>
                </c:pt>
                <c:pt idx="113">
                  <c:v>2.163006389652212</c:v>
                </c:pt>
                <c:pt idx="114">
                  <c:v>2.1563475206037683</c:v>
                </c:pt>
                <c:pt idx="115">
                  <c:v>2.1711873183840331</c:v>
                </c:pt>
                <c:pt idx="116">
                  <c:v>2.2197188316069991</c:v>
                </c:pt>
                <c:pt idx="117">
                  <c:v>2.26695698483304</c:v>
                </c:pt>
                <c:pt idx="118">
                  <c:v>2.2405269034159114</c:v>
                </c:pt>
                <c:pt idx="119">
                  <c:v>2.2542981126882236</c:v>
                </c:pt>
                <c:pt idx="120">
                  <c:v>2.2157953377060493</c:v>
                </c:pt>
                <c:pt idx="121">
                  <c:v>2.266626691872716</c:v>
                </c:pt>
                <c:pt idx="122">
                  <c:v>2.2336207335393827</c:v>
                </c:pt>
                <c:pt idx="123">
                  <c:v>2.3132408775635711</c:v>
                </c:pt>
                <c:pt idx="124">
                  <c:v>2.3589278569915781</c:v>
                </c:pt>
                <c:pt idx="125">
                  <c:v>2.2942859375010469</c:v>
                </c:pt>
                <c:pt idx="126">
                  <c:v>2.3512670833343803</c:v>
                </c:pt>
                <c:pt idx="127">
                  <c:v>2.3695690625010468</c:v>
                </c:pt>
                <c:pt idx="128">
                  <c:v>2.4316877395010468</c:v>
                </c:pt>
                <c:pt idx="129">
                  <c:v>2.453060957700433</c:v>
                </c:pt>
                <c:pt idx="130">
                  <c:v>2.4342859368670995</c:v>
                </c:pt>
                <c:pt idx="131">
                  <c:v>2.3686038432078647</c:v>
                </c:pt>
                <c:pt idx="132">
                  <c:v>2.3773418689106243</c:v>
                </c:pt>
                <c:pt idx="133">
                  <c:v>2.4446330256520765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3C-4450-8713-A26249A08719}"/>
            </c:ext>
          </c:extLst>
        </c:ser>
        <c:ser>
          <c:idx val="2"/>
          <c:order val="2"/>
          <c:tx>
            <c:strRef>
              <c:f>RF累積畫圖!$B$14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RF累積畫圖!$C$11:$EF$11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RF累積畫圖!$C$14:$EF$14</c:f>
              <c:numCache>
                <c:formatCode>General</c:formatCode>
                <c:ptCount val="134"/>
                <c:pt idx="0">
                  <c:v>0.1199416315789474</c:v>
                </c:pt>
                <c:pt idx="1">
                  <c:v>0.34225042105263159</c:v>
                </c:pt>
                <c:pt idx="2">
                  <c:v>0.4410185789473684</c:v>
                </c:pt>
                <c:pt idx="3">
                  <c:v>0.47556178947368422</c:v>
                </c:pt>
                <c:pt idx="4">
                  <c:v>0.56071099999999996</c:v>
                </c:pt>
                <c:pt idx="5">
                  <c:v>0.62029994736842098</c:v>
                </c:pt>
                <c:pt idx="6">
                  <c:v>0.69741494736842102</c:v>
                </c:pt>
                <c:pt idx="7">
                  <c:v>0.59232136842105265</c:v>
                </c:pt>
                <c:pt idx="8">
                  <c:v>0.60477284210526316</c:v>
                </c:pt>
                <c:pt idx="9">
                  <c:v>0.59629263157894741</c:v>
                </c:pt>
                <c:pt idx="10">
                  <c:v>0.60198882434257917</c:v>
                </c:pt>
                <c:pt idx="11">
                  <c:v>0.80682150855310542</c:v>
                </c:pt>
                <c:pt idx="12">
                  <c:v>0.84646387697415804</c:v>
                </c:pt>
                <c:pt idx="13">
                  <c:v>0.8942438243425791</c:v>
                </c:pt>
                <c:pt idx="14">
                  <c:v>0.95248287697415801</c:v>
                </c:pt>
                <c:pt idx="15">
                  <c:v>0.93833119276363175</c:v>
                </c:pt>
                <c:pt idx="16">
                  <c:v>0.97686645592152643</c:v>
                </c:pt>
                <c:pt idx="17">
                  <c:v>0.90702497640063062</c:v>
                </c:pt>
                <c:pt idx="18">
                  <c:v>0.94360323955852532</c:v>
                </c:pt>
                <c:pt idx="19">
                  <c:v>0.90522892376905162</c:v>
                </c:pt>
                <c:pt idx="20">
                  <c:v>0.97923708315730462</c:v>
                </c:pt>
                <c:pt idx="21">
                  <c:v>1.0328188726309888</c:v>
                </c:pt>
                <c:pt idx="22">
                  <c:v>1.0160552936836205</c:v>
                </c:pt>
                <c:pt idx="23">
                  <c:v>1.0373072936836205</c:v>
                </c:pt>
                <c:pt idx="24">
                  <c:v>1.0346816094730942</c:v>
                </c:pt>
                <c:pt idx="25">
                  <c:v>1.0073456308675401</c:v>
                </c:pt>
                <c:pt idx="26">
                  <c:v>0.97805299928859279</c:v>
                </c:pt>
                <c:pt idx="27">
                  <c:v>1.0479275910237349</c:v>
                </c:pt>
                <c:pt idx="28">
                  <c:v>1.043908538392156</c:v>
                </c:pt>
                <c:pt idx="29">
                  <c:v>1.0836326768717022</c:v>
                </c:pt>
                <c:pt idx="30">
                  <c:v>1.0900232558190706</c:v>
                </c:pt>
                <c:pt idx="31">
                  <c:v>1.0866769815981607</c:v>
                </c:pt>
                <c:pt idx="32">
                  <c:v>1.1587499325252817</c:v>
                </c:pt>
                <c:pt idx="33">
                  <c:v>1.1738089686084328</c:v>
                </c:pt>
                <c:pt idx="34">
                  <c:v>1.240135714764357</c:v>
                </c:pt>
                <c:pt idx="35">
                  <c:v>1.2781049044868178</c:v>
                </c:pt>
                <c:pt idx="36">
                  <c:v>1.3463881778878257</c:v>
                </c:pt>
                <c:pt idx="37">
                  <c:v>1.4386486670914018</c:v>
                </c:pt>
                <c:pt idx="38">
                  <c:v>1.4995543725568117</c:v>
                </c:pt>
                <c:pt idx="39">
                  <c:v>1.4295778474047274</c:v>
                </c:pt>
                <c:pt idx="40">
                  <c:v>1.4286984613763349</c:v>
                </c:pt>
                <c:pt idx="41">
                  <c:v>1.4663443011385979</c:v>
                </c:pt>
                <c:pt idx="42">
                  <c:v>1.5486772771798096</c:v>
                </c:pt>
                <c:pt idx="43">
                  <c:v>1.5896018428379071</c:v>
                </c:pt>
                <c:pt idx="44">
                  <c:v>1.6366231967465812</c:v>
                </c:pt>
                <c:pt idx="45">
                  <c:v>1.6139384104059442</c:v>
                </c:pt>
                <c:pt idx="46">
                  <c:v>1.5985170322826892</c:v>
                </c:pt>
                <c:pt idx="47">
                  <c:v>1.7354680605770818</c:v>
                </c:pt>
                <c:pt idx="48">
                  <c:v>1.7505361793488434</c:v>
                </c:pt>
                <c:pt idx="49">
                  <c:v>1.6973779316437807</c:v>
                </c:pt>
                <c:pt idx="50">
                  <c:v>1.7937153526964122</c:v>
                </c:pt>
                <c:pt idx="51">
                  <c:v>1.8956133526964123</c:v>
                </c:pt>
                <c:pt idx="52">
                  <c:v>1.8865294291708941</c:v>
                </c:pt>
                <c:pt idx="53">
                  <c:v>1.9298572108382994</c:v>
                </c:pt>
                <c:pt idx="54">
                  <c:v>1.9730334551569282</c:v>
                </c:pt>
                <c:pt idx="55">
                  <c:v>2.0138039767026181</c:v>
                </c:pt>
                <c:pt idx="56">
                  <c:v>2.0551782407765509</c:v>
                </c:pt>
                <c:pt idx="57">
                  <c:v>2.0548947966095352</c:v>
                </c:pt>
                <c:pt idx="58">
                  <c:v>2.1069090322357038</c:v>
                </c:pt>
                <c:pt idx="59">
                  <c:v>2.0936547534216365</c:v>
                </c:pt>
                <c:pt idx="60">
                  <c:v>2.0935674281418835</c:v>
                </c:pt>
                <c:pt idx="61">
                  <c:v>2.1533051949842537</c:v>
                </c:pt>
                <c:pt idx="62">
                  <c:v>2.1070268699812531</c:v>
                </c:pt>
                <c:pt idx="63">
                  <c:v>2.1279634080538044</c:v>
                </c:pt>
                <c:pt idx="64">
                  <c:v>2.1615724537310688</c:v>
                </c:pt>
                <c:pt idx="65">
                  <c:v>2.1743951211214698</c:v>
                </c:pt>
                <c:pt idx="66">
                  <c:v>2.1864445439066058</c:v>
                </c:pt>
                <c:pt idx="67">
                  <c:v>2.158515114373988</c:v>
                </c:pt>
                <c:pt idx="68">
                  <c:v>2.1198859107596837</c:v>
                </c:pt>
                <c:pt idx="69">
                  <c:v>2.1930250393606303</c:v>
                </c:pt>
                <c:pt idx="70">
                  <c:v>2.1841702040025996</c:v>
                </c:pt>
                <c:pt idx="71">
                  <c:v>2.2130616258855556</c:v>
                </c:pt>
                <c:pt idx="72">
                  <c:v>2.2255695741431487</c:v>
                </c:pt>
                <c:pt idx="73">
                  <c:v>2.2794279361777088</c:v>
                </c:pt>
                <c:pt idx="74">
                  <c:v>2.2609060631246596</c:v>
                </c:pt>
                <c:pt idx="75">
                  <c:v>2.3726865836562405</c:v>
                </c:pt>
                <c:pt idx="76">
                  <c:v>2.3482213175413036</c:v>
                </c:pt>
                <c:pt idx="77">
                  <c:v>2.3703489340834785</c:v>
                </c:pt>
                <c:pt idx="78">
                  <c:v>2.4909441446097942</c:v>
                </c:pt>
                <c:pt idx="79">
                  <c:v>2.5388655130308466</c:v>
                </c:pt>
                <c:pt idx="80">
                  <c:v>2.70942035513611</c:v>
                </c:pt>
                <c:pt idx="81">
                  <c:v>2.6891100393466365</c:v>
                </c:pt>
                <c:pt idx="82">
                  <c:v>2.8280369340834786</c:v>
                </c:pt>
                <c:pt idx="83">
                  <c:v>2.8926983263616957</c:v>
                </c:pt>
                <c:pt idx="84">
                  <c:v>2.786813548998337</c:v>
                </c:pt>
                <c:pt idx="85">
                  <c:v>2.7542831423194261</c:v>
                </c:pt>
                <c:pt idx="86">
                  <c:v>2.768299506710072</c:v>
                </c:pt>
                <c:pt idx="87">
                  <c:v>2.8305694615889085</c:v>
                </c:pt>
                <c:pt idx="88">
                  <c:v>2.8626094719572257</c:v>
                </c:pt>
                <c:pt idx="89">
                  <c:v>2.8421300739140198</c:v>
                </c:pt>
                <c:pt idx="90">
                  <c:v>2.768542353875127</c:v>
                </c:pt>
                <c:pt idx="91">
                  <c:v>2.8683516853568798</c:v>
                </c:pt>
                <c:pt idx="92">
                  <c:v>2.8361237854694923</c:v>
                </c:pt>
                <c:pt idx="93">
                  <c:v>2.8987648381010711</c:v>
                </c:pt>
                <c:pt idx="94">
                  <c:v>2.894949732837913</c:v>
                </c:pt>
                <c:pt idx="95">
                  <c:v>2.9140503093885979</c:v>
                </c:pt>
                <c:pt idx="96">
                  <c:v>2.869505867275592</c:v>
                </c:pt>
                <c:pt idx="97">
                  <c:v>2.8922515824138473</c:v>
                </c:pt>
                <c:pt idx="98">
                  <c:v>2.8888531999503764</c:v>
                </c:pt>
                <c:pt idx="99">
                  <c:v>2.9216175290369599</c:v>
                </c:pt>
                <c:pt idx="100">
                  <c:v>2.8928584087454858</c:v>
                </c:pt>
                <c:pt idx="101">
                  <c:v>2.956921972095869</c:v>
                </c:pt>
                <c:pt idx="102">
                  <c:v>2.9326176829252844</c:v>
                </c:pt>
                <c:pt idx="103">
                  <c:v>3.0372257355568633</c:v>
                </c:pt>
                <c:pt idx="104">
                  <c:v>3.0519796302937054</c:v>
                </c:pt>
                <c:pt idx="105">
                  <c:v>2.9980807355568633</c:v>
                </c:pt>
                <c:pt idx="106">
                  <c:v>3.0034650351646279</c:v>
                </c:pt>
                <c:pt idx="107">
                  <c:v>2.9636945747024854</c:v>
                </c:pt>
                <c:pt idx="108">
                  <c:v>2.9751411310958025</c:v>
                </c:pt>
                <c:pt idx="109">
                  <c:v>2.9799159683387142</c:v>
                </c:pt>
                <c:pt idx="110">
                  <c:v>2.9267239710941064</c:v>
                </c:pt>
                <c:pt idx="111">
                  <c:v>2.9426217605677905</c:v>
                </c:pt>
                <c:pt idx="112">
                  <c:v>2.96093913664467</c:v>
                </c:pt>
                <c:pt idx="113">
                  <c:v>2.9457739750897813</c:v>
                </c:pt>
                <c:pt idx="114">
                  <c:v>2.951278244183432</c:v>
                </c:pt>
                <c:pt idx="115">
                  <c:v>2.9911299517499765</c:v>
                </c:pt>
                <c:pt idx="116">
                  <c:v>3.0325055969127739</c:v>
                </c:pt>
                <c:pt idx="117">
                  <c:v>3.0730378244170113</c:v>
                </c:pt>
                <c:pt idx="118">
                  <c:v>2.9836699643761997</c:v>
                </c:pt>
                <c:pt idx="119">
                  <c:v>3.0362924838351995</c:v>
                </c:pt>
                <c:pt idx="120">
                  <c:v>3.0012475775642828</c:v>
                </c:pt>
                <c:pt idx="121">
                  <c:v>3.1189198933537567</c:v>
                </c:pt>
                <c:pt idx="122">
                  <c:v>3.0501236301958619</c:v>
                </c:pt>
                <c:pt idx="123">
                  <c:v>3.1583859847259692</c:v>
                </c:pt>
                <c:pt idx="124">
                  <c:v>3.2501953137818078</c:v>
                </c:pt>
                <c:pt idx="125">
                  <c:v>3.1480340938959688</c:v>
                </c:pt>
                <c:pt idx="126">
                  <c:v>3.2222919360012319</c:v>
                </c:pt>
                <c:pt idx="127">
                  <c:v>3.2573228307380742</c:v>
                </c:pt>
                <c:pt idx="128">
                  <c:v>3.364848313738074</c:v>
                </c:pt>
                <c:pt idx="129">
                  <c:v>3.371865788158773</c:v>
                </c:pt>
                <c:pt idx="130">
                  <c:v>3.3525761565798256</c:v>
                </c:pt>
                <c:pt idx="131">
                  <c:v>3.2499464473936386</c:v>
                </c:pt>
                <c:pt idx="132">
                  <c:v>3.2686343973453944</c:v>
                </c:pt>
                <c:pt idx="133">
                  <c:v>3.3352667440748069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3C-4450-8713-A26249A08719}"/>
            </c:ext>
          </c:extLst>
        </c:ser>
        <c:ser>
          <c:idx val="3"/>
          <c:order val="3"/>
          <c:tx>
            <c:strRef>
              <c:f>RF累積畫圖!$B$15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RF累積畫圖!$C$11:$EF$11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RF累積畫圖!$C$15:$EF$15</c:f>
              <c:numCache>
                <c:formatCode>General</c:formatCode>
                <c:ptCount val="134"/>
                <c:pt idx="0">
                  <c:v>0.22764509999999999</c:v>
                </c:pt>
                <c:pt idx="1">
                  <c:v>0.60035480000000008</c:v>
                </c:pt>
                <c:pt idx="2">
                  <c:v>0.6663922000000001</c:v>
                </c:pt>
                <c:pt idx="3">
                  <c:v>0.75669680000000006</c:v>
                </c:pt>
                <c:pt idx="4">
                  <c:v>0.85330300000000003</c:v>
                </c:pt>
                <c:pt idx="5">
                  <c:v>0.97214739999999999</c:v>
                </c:pt>
                <c:pt idx="6">
                  <c:v>1.0988762999999999</c:v>
                </c:pt>
                <c:pt idx="7">
                  <c:v>1.0343521</c:v>
                </c:pt>
                <c:pt idx="8">
                  <c:v>1.0301411</c:v>
                </c:pt>
                <c:pt idx="9">
                  <c:v>1.0431080000000001</c:v>
                </c:pt>
                <c:pt idx="10">
                  <c:v>1.0686057094794874</c:v>
                </c:pt>
                <c:pt idx="11">
                  <c:v>1.3989153094794875</c:v>
                </c:pt>
                <c:pt idx="12">
                  <c:v>1.4450188094794876</c:v>
                </c:pt>
                <c:pt idx="13">
                  <c:v>1.4980022094794876</c:v>
                </c:pt>
                <c:pt idx="14">
                  <c:v>1.5983790094794876</c:v>
                </c:pt>
                <c:pt idx="15">
                  <c:v>1.6151342094794876</c:v>
                </c:pt>
                <c:pt idx="16">
                  <c:v>1.5721006094794876</c:v>
                </c:pt>
                <c:pt idx="17">
                  <c:v>1.5053004845363755</c:v>
                </c:pt>
                <c:pt idx="18">
                  <c:v>1.5520891845363756</c:v>
                </c:pt>
                <c:pt idx="19">
                  <c:v>1.4664087845363756</c:v>
                </c:pt>
                <c:pt idx="20">
                  <c:v>1.5689523785191186</c:v>
                </c:pt>
                <c:pt idx="21">
                  <c:v>1.6473888785191186</c:v>
                </c:pt>
                <c:pt idx="22">
                  <c:v>1.6231991785191187</c:v>
                </c:pt>
                <c:pt idx="23">
                  <c:v>1.5995429785191186</c:v>
                </c:pt>
                <c:pt idx="24">
                  <c:v>1.6461318785191186</c:v>
                </c:pt>
                <c:pt idx="25">
                  <c:v>1.6239654777781856</c:v>
                </c:pt>
                <c:pt idx="26">
                  <c:v>1.5839106777781855</c:v>
                </c:pt>
                <c:pt idx="27">
                  <c:v>1.6656240526663679</c:v>
                </c:pt>
                <c:pt idx="28">
                  <c:v>1.7129096526663679</c:v>
                </c:pt>
                <c:pt idx="29">
                  <c:v>1.7787292651634077</c:v>
                </c:pt>
                <c:pt idx="30">
                  <c:v>1.7689842651634078</c:v>
                </c:pt>
                <c:pt idx="31">
                  <c:v>1.7353798918057313</c:v>
                </c:pt>
                <c:pt idx="32">
                  <c:v>1.7862343413917563</c:v>
                </c:pt>
                <c:pt idx="33">
                  <c:v>1.7956992013592321</c:v>
                </c:pt>
                <c:pt idx="34">
                  <c:v>1.8531947768490853</c:v>
                </c:pt>
                <c:pt idx="35">
                  <c:v>1.8937504318355201</c:v>
                </c:pt>
                <c:pt idx="36">
                  <c:v>1.9488730539701471</c:v>
                </c:pt>
                <c:pt idx="37">
                  <c:v>2.0417349673878333</c:v>
                </c:pt>
                <c:pt idx="38">
                  <c:v>2.1051047798513003</c:v>
                </c:pt>
                <c:pt idx="39">
                  <c:v>2.0186470133407974</c:v>
                </c:pt>
                <c:pt idx="40">
                  <c:v>1.9860494713344476</c:v>
                </c:pt>
                <c:pt idx="41">
                  <c:v>2.0645667282018891</c:v>
                </c:pt>
                <c:pt idx="42">
                  <c:v>2.1183879072390033</c:v>
                </c:pt>
                <c:pt idx="43">
                  <c:v>2.1836428978914317</c:v>
                </c:pt>
                <c:pt idx="44">
                  <c:v>2.2235861589808978</c:v>
                </c:pt>
                <c:pt idx="45">
                  <c:v>2.1763593406534589</c:v>
                </c:pt>
                <c:pt idx="46">
                  <c:v>2.19201927990804</c:v>
                </c:pt>
                <c:pt idx="47">
                  <c:v>2.3172532570827751</c:v>
                </c:pt>
                <c:pt idx="48">
                  <c:v>2.3453626735455613</c:v>
                </c:pt>
                <c:pt idx="49">
                  <c:v>2.2540393934770577</c:v>
                </c:pt>
                <c:pt idx="50">
                  <c:v>2.411727693477058</c:v>
                </c:pt>
                <c:pt idx="51">
                  <c:v>2.5205161934770581</c:v>
                </c:pt>
                <c:pt idx="52">
                  <c:v>2.5826713371448884</c:v>
                </c:pt>
                <c:pt idx="53">
                  <c:v>2.6256211574968567</c:v>
                </c:pt>
                <c:pt idx="54">
                  <c:v>2.6647676723545248</c:v>
                </c:pt>
                <c:pt idx="55">
                  <c:v>2.7159455596320683</c:v>
                </c:pt>
                <c:pt idx="56">
                  <c:v>2.7187703817134441</c:v>
                </c:pt>
                <c:pt idx="57">
                  <c:v>2.7523269189998212</c:v>
                </c:pt>
                <c:pt idx="58">
                  <c:v>2.8209135781147907</c:v>
                </c:pt>
                <c:pt idx="59">
                  <c:v>2.8052944754427989</c:v>
                </c:pt>
                <c:pt idx="60">
                  <c:v>2.794138107729343</c:v>
                </c:pt>
                <c:pt idx="61">
                  <c:v>2.856886283729533</c:v>
                </c:pt>
                <c:pt idx="62">
                  <c:v>2.808667279241789</c:v>
                </c:pt>
                <c:pt idx="63">
                  <c:v>2.8488098489749789</c:v>
                </c:pt>
                <c:pt idx="64">
                  <c:v>2.8765443249299101</c:v>
                </c:pt>
                <c:pt idx="65">
                  <c:v>2.8907285456377148</c:v>
                </c:pt>
                <c:pt idx="66">
                  <c:v>2.9035314769280425</c:v>
                </c:pt>
                <c:pt idx="67">
                  <c:v>2.8533740478059828</c:v>
                </c:pt>
                <c:pt idx="68">
                  <c:v>2.8365502703556964</c:v>
                </c:pt>
                <c:pt idx="69">
                  <c:v>2.925610476087031</c:v>
                </c:pt>
                <c:pt idx="70">
                  <c:v>2.9450868958828242</c:v>
                </c:pt>
                <c:pt idx="71">
                  <c:v>3.0043158328432726</c:v>
                </c:pt>
                <c:pt idx="72">
                  <c:v>2.9683699427138688</c:v>
                </c:pt>
                <c:pt idx="73">
                  <c:v>2.9890404887574973</c:v>
                </c:pt>
                <c:pt idx="74">
                  <c:v>2.9013853709959445</c:v>
                </c:pt>
                <c:pt idx="75">
                  <c:v>3.0042918399732916</c:v>
                </c:pt>
                <c:pt idx="76">
                  <c:v>2.9856998191768493</c:v>
                </c:pt>
                <c:pt idx="77">
                  <c:v>3.0007567131886739</c:v>
                </c:pt>
                <c:pt idx="78">
                  <c:v>3.1744063131886739</c:v>
                </c:pt>
                <c:pt idx="79">
                  <c:v>3.2634999131886739</c:v>
                </c:pt>
                <c:pt idx="80">
                  <c:v>3.3368673131886739</c:v>
                </c:pt>
                <c:pt idx="81">
                  <c:v>3.333240913188674</c:v>
                </c:pt>
                <c:pt idx="82">
                  <c:v>3.5589726131886739</c:v>
                </c:pt>
                <c:pt idx="83">
                  <c:v>3.6218585714723752</c:v>
                </c:pt>
                <c:pt idx="84">
                  <c:v>3.5940554996313847</c:v>
                </c:pt>
                <c:pt idx="85">
                  <c:v>3.5070111435586666</c:v>
                </c:pt>
                <c:pt idx="86">
                  <c:v>3.5636837893307662</c:v>
                </c:pt>
                <c:pt idx="87">
                  <c:v>3.5951057643240145</c:v>
                </c:pt>
                <c:pt idx="88">
                  <c:v>3.6697368804524682</c:v>
                </c:pt>
                <c:pt idx="89">
                  <c:v>3.6271027646533081</c:v>
                </c:pt>
                <c:pt idx="90">
                  <c:v>3.4976537397712666</c:v>
                </c:pt>
                <c:pt idx="91">
                  <c:v>3.6251895752042165</c:v>
                </c:pt>
                <c:pt idx="92">
                  <c:v>3.6501529356606555</c:v>
                </c:pt>
                <c:pt idx="93">
                  <c:v>3.6745274356606554</c:v>
                </c:pt>
                <c:pt idx="94">
                  <c:v>3.6914398356606553</c:v>
                </c:pt>
                <c:pt idx="95">
                  <c:v>3.6988344106361102</c:v>
                </c:pt>
                <c:pt idx="96">
                  <c:v>3.6356557507213374</c:v>
                </c:pt>
                <c:pt idx="97">
                  <c:v>3.6295139038165285</c:v>
                </c:pt>
                <c:pt idx="98">
                  <c:v>3.6141229794331857</c:v>
                </c:pt>
                <c:pt idx="99">
                  <c:v>3.6381625864865166</c:v>
                </c:pt>
                <c:pt idx="100">
                  <c:v>3.5956919134087544</c:v>
                </c:pt>
                <c:pt idx="101">
                  <c:v>3.6728369873492159</c:v>
                </c:pt>
                <c:pt idx="102">
                  <c:v>3.6464611519073395</c:v>
                </c:pt>
                <c:pt idx="103">
                  <c:v>3.7435088519073396</c:v>
                </c:pt>
                <c:pt idx="104">
                  <c:v>3.8202353519073395</c:v>
                </c:pt>
                <c:pt idx="105">
                  <c:v>3.7527102519073394</c:v>
                </c:pt>
                <c:pt idx="106">
                  <c:v>3.7776589666523823</c:v>
                </c:pt>
                <c:pt idx="107">
                  <c:v>3.7352676602529877</c:v>
                </c:pt>
                <c:pt idx="108">
                  <c:v>3.7514643918712292</c:v>
                </c:pt>
                <c:pt idx="109">
                  <c:v>3.7327553808273373</c:v>
                </c:pt>
                <c:pt idx="110">
                  <c:v>3.7210369318178795</c:v>
                </c:pt>
                <c:pt idx="111">
                  <c:v>3.7686034318178794</c:v>
                </c:pt>
                <c:pt idx="112">
                  <c:v>3.8703782658693475</c:v>
                </c:pt>
                <c:pt idx="113">
                  <c:v>3.9330137599577855</c:v>
                </c:pt>
                <c:pt idx="114">
                  <c:v>3.9092052130901167</c:v>
                </c:pt>
                <c:pt idx="115">
                  <c:v>3.9532017105137363</c:v>
                </c:pt>
                <c:pt idx="116">
                  <c:v>3.9994984377475369</c:v>
                </c:pt>
                <c:pt idx="117">
                  <c:v>4.0232340397544295</c:v>
                </c:pt>
                <c:pt idx="118">
                  <c:v>3.923561824699294</c:v>
                </c:pt>
                <c:pt idx="119">
                  <c:v>3.9633474327543947</c:v>
                </c:pt>
                <c:pt idx="120">
                  <c:v>3.8803025161234252</c:v>
                </c:pt>
                <c:pt idx="121">
                  <c:v>3.9145992161234253</c:v>
                </c:pt>
                <c:pt idx="122">
                  <c:v>3.7974707161234251</c:v>
                </c:pt>
                <c:pt idx="123">
                  <c:v>3.9372390730642963</c:v>
                </c:pt>
                <c:pt idx="124">
                  <c:v>3.9627777002111291</c:v>
                </c:pt>
                <c:pt idx="125">
                  <c:v>3.8441614495611427</c:v>
                </c:pt>
                <c:pt idx="126">
                  <c:v>3.9877710495611427</c:v>
                </c:pt>
                <c:pt idx="127">
                  <c:v>4.0282262495611425</c:v>
                </c:pt>
                <c:pt idx="128">
                  <c:v>4.1374031825611421</c:v>
                </c:pt>
                <c:pt idx="129">
                  <c:v>4.1859217556923873</c:v>
                </c:pt>
                <c:pt idx="130">
                  <c:v>4.1681379556923872</c:v>
                </c:pt>
                <c:pt idx="131">
                  <c:v>4.054780899757076</c:v>
                </c:pt>
                <c:pt idx="132">
                  <c:v>4.0323223597799958</c:v>
                </c:pt>
                <c:pt idx="133">
                  <c:v>4.0945306650190716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3C-4450-8713-A26249A08719}"/>
            </c:ext>
          </c:extLst>
        </c:ser>
        <c:ser>
          <c:idx val="4"/>
          <c:order val="4"/>
          <c:tx>
            <c:strRef>
              <c:f>RF累積畫圖!$B$16</c:f>
              <c:strCache>
                <c:ptCount val="1"/>
                <c:pt idx="0">
                  <c:v>107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RF累積畫圖!$C$11:$EF$11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RF累積畫圖!$C$16:$EF$16</c:f>
              <c:numCache>
                <c:formatCode>General</c:formatCode>
                <c:ptCount val="134"/>
                <c:pt idx="0">
                  <c:v>0.20787511111111109</c:v>
                </c:pt>
                <c:pt idx="1">
                  <c:v>0.61607055555555545</c:v>
                </c:pt>
                <c:pt idx="2">
                  <c:v>0.68107544444444434</c:v>
                </c:pt>
                <c:pt idx="3">
                  <c:v>0.78849499999999995</c:v>
                </c:pt>
                <c:pt idx="4">
                  <c:v>0.89750855555555542</c:v>
                </c:pt>
                <c:pt idx="5">
                  <c:v>0.97035733333333318</c:v>
                </c:pt>
                <c:pt idx="6">
                  <c:v>1.0821493333333332</c:v>
                </c:pt>
                <c:pt idx="7">
                  <c:v>1.0134558888888887</c:v>
                </c:pt>
                <c:pt idx="8">
                  <c:v>1.0313803333333331</c:v>
                </c:pt>
                <c:pt idx="9">
                  <c:v>1.0624068888888887</c:v>
                </c:pt>
                <c:pt idx="10">
                  <c:v>1.1027413436141293</c:v>
                </c:pt>
                <c:pt idx="11">
                  <c:v>1.4697292325030182</c:v>
                </c:pt>
                <c:pt idx="12">
                  <c:v>1.4853503436141293</c:v>
                </c:pt>
                <c:pt idx="13">
                  <c:v>1.5473301213919071</c:v>
                </c:pt>
                <c:pt idx="14">
                  <c:v>1.643950010280796</c:v>
                </c:pt>
                <c:pt idx="15">
                  <c:v>1.6631324547252404</c:v>
                </c:pt>
                <c:pt idx="16">
                  <c:v>1.6207173436141293</c:v>
                </c:pt>
                <c:pt idx="17">
                  <c:v>1.5534982834565281</c:v>
                </c:pt>
                <c:pt idx="18">
                  <c:v>1.6021479501231948</c:v>
                </c:pt>
                <c:pt idx="19">
                  <c:v>1.4978327279009727</c:v>
                </c:pt>
                <c:pt idx="20">
                  <c:v>1.6062574662769737</c:v>
                </c:pt>
                <c:pt idx="21">
                  <c:v>1.679935799610307</c:v>
                </c:pt>
                <c:pt idx="22">
                  <c:v>1.6756472440547514</c:v>
                </c:pt>
                <c:pt idx="23">
                  <c:v>1.6555714662769736</c:v>
                </c:pt>
                <c:pt idx="24">
                  <c:v>1.7057991329436404</c:v>
                </c:pt>
                <c:pt idx="25">
                  <c:v>1.6735037185095727</c:v>
                </c:pt>
                <c:pt idx="26">
                  <c:v>1.6324636073984615</c:v>
                </c:pt>
                <c:pt idx="27">
                  <c:v>1.6855996629463184</c:v>
                </c:pt>
                <c:pt idx="28">
                  <c:v>1.7371336629463183</c:v>
                </c:pt>
                <c:pt idx="29">
                  <c:v>1.7980277680118175</c:v>
                </c:pt>
                <c:pt idx="30">
                  <c:v>1.7897262124562621</c:v>
                </c:pt>
                <c:pt idx="31">
                  <c:v>1.7579608120068215</c:v>
                </c:pt>
                <c:pt idx="32">
                  <c:v>1.8070388551833896</c:v>
                </c:pt>
                <c:pt idx="33">
                  <c:v>1.8000128891115135</c:v>
                </c:pt>
                <c:pt idx="34">
                  <c:v>1.8644342899438855</c:v>
                </c:pt>
                <c:pt idx="35">
                  <c:v>1.9131232230484088</c:v>
                </c:pt>
                <c:pt idx="36">
                  <c:v>1.9791999536502067</c:v>
                </c:pt>
                <c:pt idx="37">
                  <c:v>2.0856561537398823</c:v>
                </c:pt>
                <c:pt idx="38">
                  <c:v>2.1444514060059556</c:v>
                </c:pt>
                <c:pt idx="39">
                  <c:v>2.0666530378603669</c:v>
                </c:pt>
                <c:pt idx="40">
                  <c:v>2.0281868377142982</c:v>
                </c:pt>
                <c:pt idx="41">
                  <c:v>2.1314780167747904</c:v>
                </c:pt>
                <c:pt idx="42">
                  <c:v>2.1965462422487598</c:v>
                </c:pt>
                <c:pt idx="43">
                  <c:v>2.2564133813931542</c:v>
                </c:pt>
                <c:pt idx="44">
                  <c:v>2.2982402196480494</c:v>
                </c:pt>
                <c:pt idx="45">
                  <c:v>2.2891677128680308</c:v>
                </c:pt>
                <c:pt idx="46">
                  <c:v>2.3284206429426813</c:v>
                </c:pt>
                <c:pt idx="47">
                  <c:v>2.4292504161866542</c:v>
                </c:pt>
                <c:pt idx="48">
                  <c:v>2.4630630060310001</c:v>
                </c:pt>
                <c:pt idx="49">
                  <c:v>2.3581533708522882</c:v>
                </c:pt>
                <c:pt idx="50">
                  <c:v>2.5181444819633994</c:v>
                </c:pt>
                <c:pt idx="51">
                  <c:v>2.6506184819633996</c:v>
                </c:pt>
                <c:pt idx="52">
                  <c:v>2.7167207270630884</c:v>
                </c:pt>
                <c:pt idx="53">
                  <c:v>2.7526574386089924</c:v>
                </c:pt>
                <c:pt idx="54">
                  <c:v>2.8040684330034673</c:v>
                </c:pt>
                <c:pt idx="55">
                  <c:v>2.8683364873231856</c:v>
                </c:pt>
                <c:pt idx="56">
                  <c:v>2.8821823064231542</c:v>
                </c:pt>
                <c:pt idx="57">
                  <c:v>2.8767698263561967</c:v>
                </c:pt>
                <c:pt idx="58">
                  <c:v>2.9291055866506612</c:v>
                </c:pt>
                <c:pt idx="59">
                  <c:v>2.9086017703674538</c:v>
                </c:pt>
                <c:pt idx="60">
                  <c:v>2.9064788185549379</c:v>
                </c:pt>
                <c:pt idx="61">
                  <c:v>2.9771023842624613</c:v>
                </c:pt>
                <c:pt idx="62">
                  <c:v>2.9376043987713554</c:v>
                </c:pt>
                <c:pt idx="63">
                  <c:v>2.9855102313753825</c:v>
                </c:pt>
                <c:pt idx="64">
                  <c:v>3.00740059132904</c:v>
                </c:pt>
                <c:pt idx="65">
                  <c:v>3.0191477893123793</c:v>
                </c:pt>
                <c:pt idx="66">
                  <c:v>3.0324602430571952</c:v>
                </c:pt>
                <c:pt idx="67">
                  <c:v>3.0061633950357507</c:v>
                </c:pt>
                <c:pt idx="68">
                  <c:v>2.9929718218882866</c:v>
                </c:pt>
                <c:pt idx="69">
                  <c:v>3.0784550131560864</c:v>
                </c:pt>
                <c:pt idx="70">
                  <c:v>3.1362201233408866</c:v>
                </c:pt>
                <c:pt idx="71">
                  <c:v>3.20000261169004</c:v>
                </c:pt>
                <c:pt idx="72">
                  <c:v>3.1342616842635054</c:v>
                </c:pt>
                <c:pt idx="73">
                  <c:v>3.1658209217846363</c:v>
                </c:pt>
                <c:pt idx="74">
                  <c:v>3.0884661455199462</c:v>
                </c:pt>
                <c:pt idx="75">
                  <c:v>3.1999919940215955</c:v>
                </c:pt>
                <c:pt idx="76">
                  <c:v>3.182875890337824</c:v>
                </c:pt>
                <c:pt idx="77">
                  <c:v>3.1814478453486066</c:v>
                </c:pt>
                <c:pt idx="78">
                  <c:v>3.2258341786819398</c:v>
                </c:pt>
                <c:pt idx="79">
                  <c:v>3.31358417868194</c:v>
                </c:pt>
                <c:pt idx="80">
                  <c:v>3.4071979564597177</c:v>
                </c:pt>
                <c:pt idx="81">
                  <c:v>3.3925019564597179</c:v>
                </c:pt>
                <c:pt idx="82">
                  <c:v>3.5386986231263848</c:v>
                </c:pt>
                <c:pt idx="83">
                  <c:v>3.580396037829412</c:v>
                </c:pt>
                <c:pt idx="84">
                  <c:v>3.5416861560008943</c:v>
                </c:pt>
                <c:pt idx="85">
                  <c:v>3.4961626052132275</c:v>
                </c:pt>
                <c:pt idx="86">
                  <c:v>3.5726355889309178</c:v>
                </c:pt>
                <c:pt idx="87">
                  <c:v>3.592630958409694</c:v>
                </c:pt>
                <c:pt idx="88">
                  <c:v>3.6816195865592056</c:v>
                </c:pt>
                <c:pt idx="89">
                  <c:v>3.6485620714182558</c:v>
                </c:pt>
                <c:pt idx="90">
                  <c:v>3.4776833803110092</c:v>
                </c:pt>
                <c:pt idx="91">
                  <c:v>3.6152971963394216</c:v>
                </c:pt>
                <c:pt idx="92">
                  <c:v>3.6356309761597827</c:v>
                </c:pt>
                <c:pt idx="93">
                  <c:v>3.660860420604227</c:v>
                </c:pt>
                <c:pt idx="94">
                  <c:v>3.682668642826449</c:v>
                </c:pt>
                <c:pt idx="95">
                  <c:v>3.6877360493272899</c:v>
                </c:pt>
                <c:pt idx="96">
                  <c:v>3.6236226802634062</c:v>
                </c:pt>
                <c:pt idx="97">
                  <c:v>3.6057617208452721</c:v>
                </c:pt>
                <c:pt idx="98">
                  <c:v>3.5933383788649809</c:v>
                </c:pt>
                <c:pt idx="99">
                  <c:v>3.6055786636192306</c:v>
                </c:pt>
                <c:pt idx="100">
                  <c:v>3.5564616145026053</c:v>
                </c:pt>
                <c:pt idx="101">
                  <c:v>3.659094873680738</c:v>
                </c:pt>
                <c:pt idx="102">
                  <c:v>3.6292900797135026</c:v>
                </c:pt>
                <c:pt idx="103">
                  <c:v>3.7273067463801692</c:v>
                </c:pt>
                <c:pt idx="104">
                  <c:v>3.7910468574912803</c:v>
                </c:pt>
                <c:pt idx="105">
                  <c:v>3.7166767463801693</c:v>
                </c:pt>
                <c:pt idx="106">
                  <c:v>3.6854836183440365</c:v>
                </c:pt>
                <c:pt idx="107">
                  <c:v>3.6623371851184774</c:v>
                </c:pt>
                <c:pt idx="108">
                  <c:v>3.676790132749916</c:v>
                </c:pt>
                <c:pt idx="109">
                  <c:v>3.6576607893319451</c:v>
                </c:pt>
                <c:pt idx="110">
                  <c:v>3.6444273636194229</c:v>
                </c:pt>
                <c:pt idx="111">
                  <c:v>3.696180474730534</c:v>
                </c:pt>
                <c:pt idx="112">
                  <c:v>3.8297748313561146</c:v>
                </c:pt>
                <c:pt idx="113">
                  <c:v>3.9012692062720791</c:v>
                </c:pt>
                <c:pt idx="114">
                  <c:v>3.870938256513738</c:v>
                </c:pt>
                <c:pt idx="115">
                  <c:v>3.9133761098731452</c:v>
                </c:pt>
                <c:pt idx="116">
                  <c:v>3.965787969288991</c:v>
                </c:pt>
                <c:pt idx="117">
                  <c:v>3.9856299178682169</c:v>
                </c:pt>
                <c:pt idx="118">
                  <c:v>3.9025962597912005</c:v>
                </c:pt>
                <c:pt idx="119">
                  <c:v>3.9577875114407157</c:v>
                </c:pt>
                <c:pt idx="120">
                  <c:v>3.8640354464509614</c:v>
                </c:pt>
                <c:pt idx="121">
                  <c:v>3.8960947797842946</c:v>
                </c:pt>
                <c:pt idx="122">
                  <c:v>3.7733217797842946</c:v>
                </c:pt>
                <c:pt idx="123">
                  <c:v>3.9102755118020882</c:v>
                </c:pt>
                <c:pt idx="124">
                  <c:v>3.951193241501779</c:v>
                </c:pt>
                <c:pt idx="125">
                  <c:v>3.8259085351778017</c:v>
                </c:pt>
                <c:pt idx="126">
                  <c:v>3.9834803129555794</c:v>
                </c:pt>
                <c:pt idx="127">
                  <c:v>4.042290757400024</c:v>
                </c:pt>
                <c:pt idx="128">
                  <c:v>4.1820897764000238</c:v>
                </c:pt>
                <c:pt idx="129">
                  <c:v>4.260067559259971</c:v>
                </c:pt>
                <c:pt idx="130">
                  <c:v>4.2351311148155268</c:v>
                </c:pt>
                <c:pt idx="131">
                  <c:v>4.1197143673166057</c:v>
                </c:pt>
                <c:pt idx="132">
                  <c:v>4.0866560977719777</c:v>
                </c:pt>
                <c:pt idx="133">
                  <c:v>4.1265500044846215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3C-4450-8713-A26249A08719}"/>
            </c:ext>
          </c:extLst>
        </c:ser>
        <c:ser>
          <c:idx val="5"/>
          <c:order val="5"/>
          <c:tx>
            <c:strRef>
              <c:f>RF累積畫圖!$B$17</c:f>
              <c:strCache>
                <c:ptCount val="1"/>
                <c:pt idx="0">
                  <c:v>120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RF累積畫圖!$C$11:$EF$11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RF累積畫圖!$C$17:$EF$17</c:f>
              <c:numCache>
                <c:formatCode>General</c:formatCode>
                <c:ptCount val="134"/>
                <c:pt idx="0">
                  <c:v>0.20609237499999999</c:v>
                </c:pt>
                <c:pt idx="1">
                  <c:v>0.64568074999999991</c:v>
                </c:pt>
                <c:pt idx="2">
                  <c:v>0.72526874999999991</c:v>
                </c:pt>
                <c:pt idx="3">
                  <c:v>0.87204074999999992</c:v>
                </c:pt>
                <c:pt idx="4">
                  <c:v>0.98917337499999991</c:v>
                </c:pt>
                <c:pt idx="5">
                  <c:v>1.0941681249999999</c:v>
                </c:pt>
                <c:pt idx="6">
                  <c:v>1.1616573749999999</c:v>
                </c:pt>
                <c:pt idx="7">
                  <c:v>1.0463589999999998</c:v>
                </c:pt>
                <c:pt idx="8">
                  <c:v>1.0858027499999998</c:v>
                </c:pt>
                <c:pt idx="9">
                  <c:v>1.1195776249999998</c:v>
                </c:pt>
                <c:pt idx="10">
                  <c:v>1.1845096599834859</c:v>
                </c:pt>
                <c:pt idx="11">
                  <c:v>1.589617909983486</c:v>
                </c:pt>
                <c:pt idx="12">
                  <c:v>1.6142500349834858</c:v>
                </c:pt>
                <c:pt idx="13">
                  <c:v>1.6911656599834859</c:v>
                </c:pt>
                <c:pt idx="14">
                  <c:v>1.7975980349834859</c:v>
                </c:pt>
                <c:pt idx="15">
                  <c:v>1.799573034983486</c:v>
                </c:pt>
                <c:pt idx="16">
                  <c:v>1.7444412849834861</c:v>
                </c:pt>
                <c:pt idx="17">
                  <c:v>1.6732392704506789</c:v>
                </c:pt>
                <c:pt idx="18">
                  <c:v>1.7255276454506789</c:v>
                </c:pt>
                <c:pt idx="19">
                  <c:v>1.609172520450679</c:v>
                </c:pt>
                <c:pt idx="20">
                  <c:v>1.7326734209885641</c:v>
                </c:pt>
                <c:pt idx="21">
                  <c:v>1.8328597959885642</c:v>
                </c:pt>
                <c:pt idx="22">
                  <c:v>1.8343589209885642</c:v>
                </c:pt>
                <c:pt idx="23">
                  <c:v>1.8127504209885643</c:v>
                </c:pt>
                <c:pt idx="24">
                  <c:v>1.8750065459885643</c:v>
                </c:pt>
                <c:pt idx="25">
                  <c:v>1.8304682427191246</c:v>
                </c:pt>
                <c:pt idx="26">
                  <c:v>1.7896691177191246</c:v>
                </c:pt>
                <c:pt idx="27">
                  <c:v>1.8394464931798786</c:v>
                </c:pt>
                <c:pt idx="28">
                  <c:v>1.8988897431798786</c:v>
                </c:pt>
                <c:pt idx="29">
                  <c:v>1.9571783485962175</c:v>
                </c:pt>
                <c:pt idx="30">
                  <c:v>1.9558270985962176</c:v>
                </c:pt>
                <c:pt idx="31">
                  <c:v>1.9063895563156767</c:v>
                </c:pt>
                <c:pt idx="32">
                  <c:v>1.9369772649571904</c:v>
                </c:pt>
                <c:pt idx="33">
                  <c:v>1.8943746344382335</c:v>
                </c:pt>
                <c:pt idx="34">
                  <c:v>1.9261871204380534</c:v>
                </c:pt>
                <c:pt idx="35">
                  <c:v>1.9769115261866099</c:v>
                </c:pt>
                <c:pt idx="36">
                  <c:v>2.0522808937742667</c:v>
                </c:pt>
                <c:pt idx="37">
                  <c:v>2.1655680141201845</c:v>
                </c:pt>
                <c:pt idx="38">
                  <c:v>2.1782003487159085</c:v>
                </c:pt>
                <c:pt idx="39">
                  <c:v>2.1009575342963229</c:v>
                </c:pt>
                <c:pt idx="40">
                  <c:v>2.0404303968948239</c:v>
                </c:pt>
                <c:pt idx="41">
                  <c:v>2.1568800435224649</c:v>
                </c:pt>
                <c:pt idx="42">
                  <c:v>2.2132036055569406</c:v>
                </c:pt>
                <c:pt idx="43">
                  <c:v>2.2654714120066628</c:v>
                </c:pt>
                <c:pt idx="44">
                  <c:v>2.318119643249656</c:v>
                </c:pt>
                <c:pt idx="45">
                  <c:v>2.2966112803117502</c:v>
                </c:pt>
                <c:pt idx="46">
                  <c:v>2.3157752540860699</c:v>
                </c:pt>
                <c:pt idx="47">
                  <c:v>2.412015812594869</c:v>
                </c:pt>
                <c:pt idx="48">
                  <c:v>2.4394395092854699</c:v>
                </c:pt>
                <c:pt idx="49">
                  <c:v>2.3143286843781019</c:v>
                </c:pt>
                <c:pt idx="50">
                  <c:v>2.4771351843781018</c:v>
                </c:pt>
                <c:pt idx="51">
                  <c:v>2.6304059343781017</c:v>
                </c:pt>
                <c:pt idx="52">
                  <c:v>2.7131225059219117</c:v>
                </c:pt>
                <c:pt idx="53">
                  <c:v>2.7354789881681167</c:v>
                </c:pt>
                <c:pt idx="54">
                  <c:v>2.8128292304061771</c:v>
                </c:pt>
                <c:pt idx="55">
                  <c:v>2.8680267270151307</c:v>
                </c:pt>
                <c:pt idx="56">
                  <c:v>2.8326324909270935</c:v>
                </c:pt>
                <c:pt idx="57">
                  <c:v>2.8309011061624689</c:v>
                </c:pt>
                <c:pt idx="58">
                  <c:v>2.9302664982000191</c:v>
                </c:pt>
                <c:pt idx="59">
                  <c:v>2.9204084339267826</c:v>
                </c:pt>
                <c:pt idx="60">
                  <c:v>2.906585481856677</c:v>
                </c:pt>
                <c:pt idx="61">
                  <c:v>2.980516787058423</c:v>
                </c:pt>
                <c:pt idx="62">
                  <c:v>2.9514577759060687</c:v>
                </c:pt>
                <c:pt idx="63">
                  <c:v>2.9991873953599177</c:v>
                </c:pt>
                <c:pt idx="64">
                  <c:v>3.0190734760688049</c:v>
                </c:pt>
                <c:pt idx="65">
                  <c:v>3.0459109771472388</c:v>
                </c:pt>
                <c:pt idx="66">
                  <c:v>3.0572874875936904</c:v>
                </c:pt>
                <c:pt idx="67">
                  <c:v>3.0563695421877695</c:v>
                </c:pt>
                <c:pt idx="68">
                  <c:v>3.0522660730771629</c:v>
                </c:pt>
                <c:pt idx="69">
                  <c:v>3.1616824519475863</c:v>
                </c:pt>
                <c:pt idx="70">
                  <c:v>3.2328102706983386</c:v>
                </c:pt>
                <c:pt idx="71">
                  <c:v>3.3072571714970738</c:v>
                </c:pt>
                <c:pt idx="72">
                  <c:v>3.226825458897808</c:v>
                </c:pt>
                <c:pt idx="73">
                  <c:v>3.255648423517481</c:v>
                </c:pt>
                <c:pt idx="74">
                  <c:v>3.1554663533348575</c:v>
                </c:pt>
                <c:pt idx="75">
                  <c:v>3.2760445092159429</c:v>
                </c:pt>
                <c:pt idx="76">
                  <c:v>3.2481096768574536</c:v>
                </c:pt>
                <c:pt idx="77">
                  <c:v>3.2467743665233413</c:v>
                </c:pt>
                <c:pt idx="78">
                  <c:v>3.2885328665233411</c:v>
                </c:pt>
                <c:pt idx="79">
                  <c:v>3.3526374915233412</c:v>
                </c:pt>
                <c:pt idx="80">
                  <c:v>3.4483451165233414</c:v>
                </c:pt>
                <c:pt idx="81">
                  <c:v>3.3532213665233415</c:v>
                </c:pt>
                <c:pt idx="82">
                  <c:v>3.5302567415233415</c:v>
                </c:pt>
                <c:pt idx="83">
                  <c:v>3.5888931881303914</c:v>
                </c:pt>
                <c:pt idx="84">
                  <c:v>3.574362003140803</c:v>
                </c:pt>
                <c:pt idx="85">
                  <c:v>3.5236196816563607</c:v>
                </c:pt>
                <c:pt idx="86">
                  <c:v>3.6153582543142737</c:v>
                </c:pt>
                <c:pt idx="87">
                  <c:v>3.6059319095452422</c:v>
                </c:pt>
                <c:pt idx="88">
                  <c:v>3.7405012539768165</c:v>
                </c:pt>
                <c:pt idx="89">
                  <c:v>3.7137831928258294</c:v>
                </c:pt>
                <c:pt idx="90">
                  <c:v>3.5112445655628397</c:v>
                </c:pt>
                <c:pt idx="91">
                  <c:v>3.6594038347601834</c:v>
                </c:pt>
                <c:pt idx="92">
                  <c:v>3.6074967314184567</c:v>
                </c:pt>
                <c:pt idx="93">
                  <c:v>3.6305036064184568</c:v>
                </c:pt>
                <c:pt idx="94">
                  <c:v>3.6420502314184566</c:v>
                </c:pt>
                <c:pt idx="95">
                  <c:v>3.6913102878076498</c:v>
                </c:pt>
                <c:pt idx="96">
                  <c:v>3.6169019802243958</c:v>
                </c:pt>
                <c:pt idx="97">
                  <c:v>3.6207815881643231</c:v>
                </c:pt>
                <c:pt idx="98">
                  <c:v>3.6010197342549701</c:v>
                </c:pt>
                <c:pt idx="99">
                  <c:v>3.6117921287789181</c:v>
                </c:pt>
                <c:pt idx="100">
                  <c:v>3.5624088300628278</c:v>
                </c:pt>
                <c:pt idx="101">
                  <c:v>3.6866576679104481</c:v>
                </c:pt>
                <c:pt idx="102">
                  <c:v>3.642761808765314</c:v>
                </c:pt>
                <c:pt idx="103">
                  <c:v>3.7470328087653142</c:v>
                </c:pt>
                <c:pt idx="104">
                  <c:v>3.8009203087653143</c:v>
                </c:pt>
                <c:pt idx="105">
                  <c:v>3.7527903087653143</c:v>
                </c:pt>
                <c:pt idx="106">
                  <c:v>3.7196093780980473</c:v>
                </c:pt>
                <c:pt idx="107">
                  <c:v>3.7083780077713882</c:v>
                </c:pt>
                <c:pt idx="108">
                  <c:v>3.7153125841986712</c:v>
                </c:pt>
                <c:pt idx="109">
                  <c:v>3.6765859332606583</c:v>
                </c:pt>
                <c:pt idx="110">
                  <c:v>3.6712926889368758</c:v>
                </c:pt>
                <c:pt idx="111">
                  <c:v>3.7284390639368756</c:v>
                </c:pt>
                <c:pt idx="112">
                  <c:v>3.8844754920534217</c:v>
                </c:pt>
                <c:pt idx="113">
                  <c:v>3.9579910929905928</c:v>
                </c:pt>
                <c:pt idx="114">
                  <c:v>3.9057381824082769</c:v>
                </c:pt>
                <c:pt idx="115">
                  <c:v>3.9412272151226158</c:v>
                </c:pt>
                <c:pt idx="116">
                  <c:v>3.9946785854625193</c:v>
                </c:pt>
                <c:pt idx="117">
                  <c:v>3.9777999761286225</c:v>
                </c:pt>
                <c:pt idx="118">
                  <c:v>3.8700975073319919</c:v>
                </c:pt>
                <c:pt idx="119">
                  <c:v>3.9259823222083203</c:v>
                </c:pt>
                <c:pt idx="120">
                  <c:v>3.8016661624035093</c:v>
                </c:pt>
                <c:pt idx="121">
                  <c:v>3.8184091624035092</c:v>
                </c:pt>
                <c:pt idx="122">
                  <c:v>3.688915162403509</c:v>
                </c:pt>
                <c:pt idx="123">
                  <c:v>3.8066805605144634</c:v>
                </c:pt>
                <c:pt idx="124">
                  <c:v>3.8553620439286136</c:v>
                </c:pt>
                <c:pt idx="125">
                  <c:v>3.7258230613321395</c:v>
                </c:pt>
                <c:pt idx="126">
                  <c:v>3.8331053113321394</c:v>
                </c:pt>
                <c:pt idx="127">
                  <c:v>3.8823173113321392</c:v>
                </c:pt>
                <c:pt idx="128">
                  <c:v>4.0468888343321394</c:v>
                </c:pt>
                <c:pt idx="129">
                  <c:v>4.1339891835268787</c:v>
                </c:pt>
                <c:pt idx="130">
                  <c:v>4.1136298085268788</c:v>
                </c:pt>
                <c:pt idx="131">
                  <c:v>3.9853053645979659</c:v>
                </c:pt>
                <c:pt idx="132">
                  <c:v>3.9598920042879322</c:v>
                </c:pt>
                <c:pt idx="133">
                  <c:v>4.0076017712977841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3C-4450-8713-A26249A08719}"/>
            </c:ext>
          </c:extLst>
        </c:ser>
        <c:ser>
          <c:idx val="6"/>
          <c:order val="6"/>
          <c:tx>
            <c:strRef>
              <c:f>RF累積畫圖!$B$18</c:f>
              <c:strCache>
                <c:ptCount val="1"/>
                <c:pt idx="0">
                  <c:v>137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RF累積畫圖!$C$11:$EF$11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RF累積畫圖!$C$18:$EF$18</c:f>
              <c:numCache>
                <c:formatCode>General</c:formatCode>
                <c:ptCount val="134"/>
                <c:pt idx="0">
                  <c:v>0.1897511428571429</c:v>
                </c:pt>
                <c:pt idx="1">
                  <c:v>0.59163514285714291</c:v>
                </c:pt>
                <c:pt idx="2">
                  <c:v>0.64507300000000001</c:v>
                </c:pt>
                <c:pt idx="3">
                  <c:v>0.85716385714285714</c:v>
                </c:pt>
                <c:pt idx="4">
                  <c:v>0.99022257142857151</c:v>
                </c:pt>
                <c:pt idx="5">
                  <c:v>1.1187625714285714</c:v>
                </c:pt>
                <c:pt idx="6">
                  <c:v>1.1737151428571428</c:v>
                </c:pt>
                <c:pt idx="7">
                  <c:v>1.0485542857142855</c:v>
                </c:pt>
                <c:pt idx="8">
                  <c:v>1.0801395714285713</c:v>
                </c:pt>
                <c:pt idx="9">
                  <c:v>1.1268111428571428</c:v>
                </c:pt>
                <c:pt idx="10">
                  <c:v>1.1966174464176509</c:v>
                </c:pt>
                <c:pt idx="11">
                  <c:v>1.6584378749890796</c:v>
                </c:pt>
                <c:pt idx="12">
                  <c:v>1.6827620178462224</c:v>
                </c:pt>
                <c:pt idx="13">
                  <c:v>1.7373317321319366</c:v>
                </c:pt>
                <c:pt idx="14">
                  <c:v>1.8590704464176508</c:v>
                </c:pt>
                <c:pt idx="15">
                  <c:v>1.8783970178462224</c:v>
                </c:pt>
                <c:pt idx="16">
                  <c:v>1.8093837321319366</c:v>
                </c:pt>
                <c:pt idx="17">
                  <c:v>1.7521773504825333</c:v>
                </c:pt>
                <c:pt idx="18">
                  <c:v>1.7803109219111048</c:v>
                </c:pt>
                <c:pt idx="19">
                  <c:v>1.6490579219111048</c:v>
                </c:pt>
                <c:pt idx="20">
                  <c:v>1.7869751598268109</c:v>
                </c:pt>
                <c:pt idx="21">
                  <c:v>1.9140984455410965</c:v>
                </c:pt>
                <c:pt idx="22">
                  <c:v>1.9383103026839537</c:v>
                </c:pt>
                <c:pt idx="23">
                  <c:v>1.9214047312553821</c:v>
                </c:pt>
                <c:pt idx="24">
                  <c:v>1.9762103026839535</c:v>
                </c:pt>
                <c:pt idx="25">
                  <c:v>1.9135654974212926</c:v>
                </c:pt>
                <c:pt idx="26">
                  <c:v>1.8388456402784354</c:v>
                </c:pt>
                <c:pt idx="27">
                  <c:v>1.9112894293669669</c:v>
                </c:pt>
                <c:pt idx="28">
                  <c:v>1.988490429366967</c:v>
                </c:pt>
                <c:pt idx="29">
                  <c:v>2.0167744707211912</c:v>
                </c:pt>
                <c:pt idx="30">
                  <c:v>2.008156613578334</c:v>
                </c:pt>
                <c:pt idx="31">
                  <c:v>1.9679591526098192</c:v>
                </c:pt>
                <c:pt idx="32">
                  <c:v>2.0148146939635754</c:v>
                </c:pt>
                <c:pt idx="33">
                  <c:v>1.9674209377971263</c:v>
                </c:pt>
                <c:pt idx="34">
                  <c:v>1.9652334568284522</c:v>
                </c:pt>
                <c:pt idx="35">
                  <c:v>2.0110935824233231</c:v>
                </c:pt>
                <c:pt idx="36">
                  <c:v>2.0777369878480942</c:v>
                </c:pt>
                <c:pt idx="37">
                  <c:v>2.1570316278032959</c:v>
                </c:pt>
                <c:pt idx="38">
                  <c:v>2.1624591627709888</c:v>
                </c:pt>
                <c:pt idx="39">
                  <c:v>2.0841805708371819</c:v>
                </c:pt>
                <c:pt idx="40">
                  <c:v>2.0079497255107319</c:v>
                </c:pt>
                <c:pt idx="41">
                  <c:v>2.1461829628483007</c:v>
                </c:pt>
                <c:pt idx="42">
                  <c:v>2.2320095144022698</c:v>
                </c:pt>
                <c:pt idx="43">
                  <c:v>2.2753351642228483</c:v>
                </c:pt>
                <c:pt idx="44">
                  <c:v>2.3436505042795415</c:v>
                </c:pt>
                <c:pt idx="45">
                  <c:v>2.3148817483978243</c:v>
                </c:pt>
                <c:pt idx="46">
                  <c:v>2.3394197826389318</c:v>
                </c:pt>
                <c:pt idx="47">
                  <c:v>2.4469806508947678</c:v>
                </c:pt>
                <c:pt idx="48">
                  <c:v>2.4817639295359157</c:v>
                </c:pt>
                <c:pt idx="49">
                  <c:v>2.3333548471470165</c:v>
                </c:pt>
                <c:pt idx="50">
                  <c:v>2.4974611328613023</c:v>
                </c:pt>
                <c:pt idx="51">
                  <c:v>2.6647184185755881</c:v>
                </c:pt>
                <c:pt idx="52">
                  <c:v>2.7479199911689087</c:v>
                </c:pt>
                <c:pt idx="53">
                  <c:v>2.7239037194816085</c:v>
                </c:pt>
                <c:pt idx="54">
                  <c:v>2.7922649327197715</c:v>
                </c:pt>
                <c:pt idx="55">
                  <c:v>2.8381494690193505</c:v>
                </c:pt>
                <c:pt idx="56">
                  <c:v>2.8037148399687548</c:v>
                </c:pt>
                <c:pt idx="57">
                  <c:v>2.8337308319494761</c:v>
                </c:pt>
                <c:pt idx="58">
                  <c:v>2.9427308388681417</c:v>
                </c:pt>
                <c:pt idx="59">
                  <c:v>2.9486869029186011</c:v>
                </c:pt>
                <c:pt idx="60">
                  <c:v>2.8979418515345396</c:v>
                </c:pt>
                <c:pt idx="61">
                  <c:v>2.9790995253547439</c:v>
                </c:pt>
                <c:pt idx="62">
                  <c:v>2.9510181689816486</c:v>
                </c:pt>
                <c:pt idx="63">
                  <c:v>3.0037925586054786</c:v>
                </c:pt>
                <c:pt idx="64">
                  <c:v>3.024020054711853</c:v>
                </c:pt>
                <c:pt idx="65">
                  <c:v>3.070877595046535</c:v>
                </c:pt>
                <c:pt idx="66">
                  <c:v>3.0727943791563841</c:v>
                </c:pt>
                <c:pt idx="67">
                  <c:v>3.0670461855724294</c:v>
                </c:pt>
                <c:pt idx="68">
                  <c:v>3.0455489841907277</c:v>
                </c:pt>
                <c:pt idx="69">
                  <c:v>3.1884200518589774</c:v>
                </c:pt>
                <c:pt idx="70">
                  <c:v>3.2690974958990182</c:v>
                </c:pt>
                <c:pt idx="71">
                  <c:v>3.3500208911760607</c:v>
                </c:pt>
                <c:pt idx="72">
                  <c:v>3.2647098042428651</c:v>
                </c:pt>
                <c:pt idx="73">
                  <c:v>3.2837282789589008</c:v>
                </c:pt>
                <c:pt idx="74">
                  <c:v>3.1606533031348762</c:v>
                </c:pt>
                <c:pt idx="75">
                  <c:v>3.3139732909374744</c:v>
                </c:pt>
                <c:pt idx="76">
                  <c:v>3.2978967470446134</c:v>
                </c:pt>
                <c:pt idx="77">
                  <c:v>3.2733193904321651</c:v>
                </c:pt>
                <c:pt idx="78">
                  <c:v>3.3779791047178795</c:v>
                </c:pt>
                <c:pt idx="79">
                  <c:v>3.4284241047178794</c:v>
                </c:pt>
                <c:pt idx="80">
                  <c:v>3.5056839618607367</c:v>
                </c:pt>
                <c:pt idx="81">
                  <c:v>3.4038249618607366</c:v>
                </c:pt>
                <c:pt idx="82">
                  <c:v>3.6304671047178796</c:v>
                </c:pt>
                <c:pt idx="83">
                  <c:v>3.7931241514051126</c:v>
                </c:pt>
                <c:pt idx="84">
                  <c:v>3.7485581649574158</c:v>
                </c:pt>
                <c:pt idx="85">
                  <c:v>3.6862444871325062</c:v>
                </c:pt>
                <c:pt idx="86">
                  <c:v>3.77691227142479</c:v>
                </c:pt>
                <c:pt idx="87">
                  <c:v>3.7459227263665968</c:v>
                </c:pt>
                <c:pt idx="88">
                  <c:v>3.9055585241256305</c:v>
                </c:pt>
                <c:pt idx="89">
                  <c:v>3.8675614870312498</c:v>
                </c:pt>
                <c:pt idx="90">
                  <c:v>3.6359876084818206</c:v>
                </c:pt>
                <c:pt idx="91">
                  <c:v>3.7988267174298311</c:v>
                </c:pt>
                <c:pt idx="92">
                  <c:v>3.7605840418348886</c:v>
                </c:pt>
                <c:pt idx="93">
                  <c:v>3.7943287561206027</c:v>
                </c:pt>
                <c:pt idx="94">
                  <c:v>3.8224580418348886</c:v>
                </c:pt>
                <c:pt idx="95">
                  <c:v>3.9174090709003742</c:v>
                </c:pt>
                <c:pt idx="96">
                  <c:v>3.845760379695264</c:v>
                </c:pt>
                <c:pt idx="97">
                  <c:v>3.9368006619255524</c:v>
                </c:pt>
                <c:pt idx="98">
                  <c:v>3.9283445763610265</c:v>
                </c:pt>
                <c:pt idx="99">
                  <c:v>3.9899047621948047</c:v>
                </c:pt>
                <c:pt idx="100">
                  <c:v>3.9385473484200224</c:v>
                </c:pt>
                <c:pt idx="101">
                  <c:v>4.0713902117217939</c:v>
                </c:pt>
                <c:pt idx="102">
                  <c:v>4.0240092722031005</c:v>
                </c:pt>
                <c:pt idx="103">
                  <c:v>4.1421232722031007</c:v>
                </c:pt>
                <c:pt idx="104">
                  <c:v>4.191331843631672</c:v>
                </c:pt>
                <c:pt idx="105">
                  <c:v>4.1202605579173861</c:v>
                </c:pt>
                <c:pt idx="106">
                  <c:v>4.0854592102463956</c:v>
                </c:pt>
                <c:pt idx="107">
                  <c:v>4.0504164314640256</c:v>
                </c:pt>
                <c:pt idx="108">
                  <c:v>4.0427969583063978</c:v>
                </c:pt>
                <c:pt idx="109">
                  <c:v>4.014758945057749</c:v>
                </c:pt>
                <c:pt idx="110">
                  <c:v>3.998644315819722</c:v>
                </c:pt>
                <c:pt idx="111">
                  <c:v>4.0492993158197219</c:v>
                </c:pt>
                <c:pt idx="112">
                  <c:v>4.2078129429121489</c:v>
                </c:pt>
                <c:pt idx="113">
                  <c:v>4.2892106858283903</c:v>
                </c:pt>
                <c:pt idx="114">
                  <c:v>4.222702545096352</c:v>
                </c:pt>
                <c:pt idx="115">
                  <c:v>4.2059804810183303</c:v>
                </c:pt>
                <c:pt idx="116">
                  <c:v>4.2480853885689607</c:v>
                </c:pt>
                <c:pt idx="117">
                  <c:v>4.2274807021020946</c:v>
                </c:pt>
                <c:pt idx="118">
                  <c:v>4.1267534237962629</c:v>
                </c:pt>
                <c:pt idx="119">
                  <c:v>4.2035940785682238</c:v>
                </c:pt>
                <c:pt idx="120">
                  <c:v>4.0558720801164911</c:v>
                </c:pt>
                <c:pt idx="121">
                  <c:v>4.0484643658307773</c:v>
                </c:pt>
                <c:pt idx="122">
                  <c:v>3.8897489372593488</c:v>
                </c:pt>
                <c:pt idx="123">
                  <c:v>3.9953895460594109</c:v>
                </c:pt>
                <c:pt idx="124">
                  <c:v>4.0772982383437837</c:v>
                </c:pt>
                <c:pt idx="125">
                  <c:v>3.9236952608813018</c:v>
                </c:pt>
                <c:pt idx="126">
                  <c:v>4.0605275465955879</c:v>
                </c:pt>
                <c:pt idx="127">
                  <c:v>4.1151572608813023</c:v>
                </c:pt>
                <c:pt idx="128">
                  <c:v>4.3141030088813022</c:v>
                </c:pt>
                <c:pt idx="129">
                  <c:v>4.4139493868596231</c:v>
                </c:pt>
                <c:pt idx="130">
                  <c:v>4.3943505297167658</c:v>
                </c:pt>
                <c:pt idx="131">
                  <c:v>4.2742730974404255</c:v>
                </c:pt>
                <c:pt idx="132">
                  <c:v>4.2604193434659186</c:v>
                </c:pt>
                <c:pt idx="133">
                  <c:v>4.3093743605763351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3C-4450-8713-A26249A08719}"/>
            </c:ext>
          </c:extLst>
        </c:ser>
        <c:ser>
          <c:idx val="7"/>
          <c:order val="7"/>
          <c:tx>
            <c:strRef>
              <c:f>RF累積畫圖!$B$19</c:f>
              <c:strCache>
                <c:ptCount val="1"/>
                <c:pt idx="0">
                  <c:v>160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RF累積畫圖!$C$11:$EF$11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RF累積畫圖!$C$19:$EF$19</c:f>
              <c:numCache>
                <c:formatCode>General</c:formatCode>
                <c:ptCount val="134"/>
                <c:pt idx="0">
                  <c:v>0.19659983333333331</c:v>
                </c:pt>
                <c:pt idx="1">
                  <c:v>0.60412116666666671</c:v>
                </c:pt>
                <c:pt idx="2">
                  <c:v>0.64852383333333341</c:v>
                </c:pt>
                <c:pt idx="3">
                  <c:v>0.88469466666666674</c:v>
                </c:pt>
                <c:pt idx="4">
                  <c:v>1.0375598333333333</c:v>
                </c:pt>
                <c:pt idx="5">
                  <c:v>1.2151700000000001</c:v>
                </c:pt>
                <c:pt idx="6">
                  <c:v>1.2626333333333335</c:v>
                </c:pt>
                <c:pt idx="7">
                  <c:v>1.1064041666666669</c:v>
                </c:pt>
                <c:pt idx="8">
                  <c:v>1.1629436666666668</c:v>
                </c:pt>
                <c:pt idx="9">
                  <c:v>1.1933048333333336</c:v>
                </c:pt>
                <c:pt idx="10">
                  <c:v>1.279098406891011</c:v>
                </c:pt>
                <c:pt idx="11">
                  <c:v>1.8114729068910109</c:v>
                </c:pt>
                <c:pt idx="12">
                  <c:v>1.7916759068910109</c:v>
                </c:pt>
                <c:pt idx="13">
                  <c:v>1.8144612402243441</c:v>
                </c:pt>
                <c:pt idx="14">
                  <c:v>1.9849255735576774</c:v>
                </c:pt>
                <c:pt idx="15">
                  <c:v>2.0268685735576772</c:v>
                </c:pt>
                <c:pt idx="16">
                  <c:v>1.9481724068910107</c:v>
                </c:pt>
                <c:pt idx="17">
                  <c:v>1.9210181289047115</c:v>
                </c:pt>
                <c:pt idx="18">
                  <c:v>1.9652022955713782</c:v>
                </c:pt>
                <c:pt idx="19">
                  <c:v>1.8465187955713782</c:v>
                </c:pt>
                <c:pt idx="20">
                  <c:v>1.9931397862888884</c:v>
                </c:pt>
                <c:pt idx="21">
                  <c:v>2.1160634529555553</c:v>
                </c:pt>
                <c:pt idx="22">
                  <c:v>2.1401256196222218</c:v>
                </c:pt>
                <c:pt idx="23">
                  <c:v>2.1179026196222219</c:v>
                </c:pt>
                <c:pt idx="24">
                  <c:v>2.1652042862888887</c:v>
                </c:pt>
                <c:pt idx="25">
                  <c:v>2.1134855334781313</c:v>
                </c:pt>
                <c:pt idx="26">
                  <c:v>2.029972700144798</c:v>
                </c:pt>
                <c:pt idx="27">
                  <c:v>2.0539701574058586</c:v>
                </c:pt>
                <c:pt idx="28">
                  <c:v>2.1692013240725254</c:v>
                </c:pt>
                <c:pt idx="29">
                  <c:v>2.2079869908814254</c:v>
                </c:pt>
                <c:pt idx="30">
                  <c:v>2.2272854908814255</c:v>
                </c:pt>
                <c:pt idx="31">
                  <c:v>2.184439556812876</c:v>
                </c:pt>
                <c:pt idx="32">
                  <c:v>2.2662096816023727</c:v>
                </c:pt>
                <c:pt idx="33">
                  <c:v>2.2146643912751105</c:v>
                </c:pt>
                <c:pt idx="34">
                  <c:v>2.222216433781063</c:v>
                </c:pt>
                <c:pt idx="35">
                  <c:v>2.2924873794518685</c:v>
                </c:pt>
                <c:pt idx="36">
                  <c:v>2.3237988042968194</c:v>
                </c:pt>
                <c:pt idx="37">
                  <c:v>2.4073670986625015</c:v>
                </c:pt>
                <c:pt idx="38">
                  <c:v>2.4332600017079158</c:v>
                </c:pt>
                <c:pt idx="39">
                  <c:v>2.3456858814350636</c:v>
                </c:pt>
                <c:pt idx="40">
                  <c:v>2.2574331243744128</c:v>
                </c:pt>
                <c:pt idx="41">
                  <c:v>2.4204662558777126</c:v>
                </c:pt>
                <c:pt idx="42">
                  <c:v>2.518263211146027</c:v>
                </c:pt>
                <c:pt idx="43">
                  <c:v>2.5675581929117284</c:v>
                </c:pt>
                <c:pt idx="44">
                  <c:v>2.6439869086253824</c:v>
                </c:pt>
                <c:pt idx="45">
                  <c:v>2.5955238070515358</c:v>
                </c:pt>
                <c:pt idx="46">
                  <c:v>2.6178799752056725</c:v>
                </c:pt>
                <c:pt idx="47">
                  <c:v>2.6980863895160851</c:v>
                </c:pt>
                <c:pt idx="48">
                  <c:v>2.727615359909465</c:v>
                </c:pt>
                <c:pt idx="49">
                  <c:v>2.5407357417412908</c:v>
                </c:pt>
                <c:pt idx="50">
                  <c:v>2.7277327417412907</c:v>
                </c:pt>
                <c:pt idx="51">
                  <c:v>2.9295345750746238</c:v>
                </c:pt>
                <c:pt idx="52">
                  <c:v>2.9935900614208095</c:v>
                </c:pt>
                <c:pt idx="53">
                  <c:v>2.9903556687907416</c:v>
                </c:pt>
                <c:pt idx="54">
                  <c:v>3.0442231664800299</c:v>
                </c:pt>
                <c:pt idx="55">
                  <c:v>3.0577941406291687</c:v>
                </c:pt>
                <c:pt idx="56">
                  <c:v>3.0414504822963266</c:v>
                </c:pt>
                <c:pt idx="57">
                  <c:v>3.0434686839977578</c:v>
                </c:pt>
                <c:pt idx="58">
                  <c:v>3.1712673128169766</c:v>
                </c:pt>
                <c:pt idx="59">
                  <c:v>3.1929746143555557</c:v>
                </c:pt>
                <c:pt idx="60">
                  <c:v>3.1412250882635635</c:v>
                </c:pt>
                <c:pt idx="61">
                  <c:v>3.2211897464100665</c:v>
                </c:pt>
                <c:pt idx="62">
                  <c:v>3.1894034815409213</c:v>
                </c:pt>
                <c:pt idx="63">
                  <c:v>3.256656129008193</c:v>
                </c:pt>
                <c:pt idx="64">
                  <c:v>3.2823850902733085</c:v>
                </c:pt>
                <c:pt idx="65">
                  <c:v>3.319811353149845</c:v>
                </c:pt>
                <c:pt idx="66">
                  <c:v>3.3297453976041682</c:v>
                </c:pt>
                <c:pt idx="67">
                  <c:v>3.3364206436276884</c:v>
                </c:pt>
                <c:pt idx="68">
                  <c:v>3.3121643048832063</c:v>
                </c:pt>
                <c:pt idx="69">
                  <c:v>3.4537969847367798</c:v>
                </c:pt>
                <c:pt idx="70">
                  <c:v>3.5297332359710176</c:v>
                </c:pt>
                <c:pt idx="71">
                  <c:v>3.6233884771243638</c:v>
                </c:pt>
                <c:pt idx="72">
                  <c:v>3.514421515740719</c:v>
                </c:pt>
                <c:pt idx="73">
                  <c:v>3.5485093010125772</c:v>
                </c:pt>
                <c:pt idx="74">
                  <c:v>3.4408595644569289</c:v>
                </c:pt>
                <c:pt idx="75">
                  <c:v>3.5046749582241428</c:v>
                </c:pt>
                <c:pt idx="76">
                  <c:v>3.4831292680929633</c:v>
                </c:pt>
                <c:pt idx="77">
                  <c:v>3.4350880995847186</c:v>
                </c:pt>
                <c:pt idx="78">
                  <c:v>3.4575937662513851</c:v>
                </c:pt>
                <c:pt idx="79">
                  <c:v>3.545257932918052</c:v>
                </c:pt>
                <c:pt idx="80">
                  <c:v>3.6337320995847189</c:v>
                </c:pt>
                <c:pt idx="81">
                  <c:v>3.522033432918052</c:v>
                </c:pt>
                <c:pt idx="82">
                  <c:v>3.7859274329180521</c:v>
                </c:pt>
                <c:pt idx="83">
                  <c:v>3.9388172999679782</c:v>
                </c:pt>
                <c:pt idx="84">
                  <c:v>3.9017503538077829</c:v>
                </c:pt>
                <c:pt idx="85">
                  <c:v>3.8398098538417469</c:v>
                </c:pt>
                <c:pt idx="86">
                  <c:v>3.943777571658845</c:v>
                </c:pt>
                <c:pt idx="87">
                  <c:v>3.9005372916840551</c:v>
                </c:pt>
                <c:pt idx="88">
                  <c:v>4.0758849332657698</c:v>
                </c:pt>
                <c:pt idx="89">
                  <c:v>3.9989522785984666</c:v>
                </c:pt>
                <c:pt idx="90">
                  <c:v>3.7264978739699601</c:v>
                </c:pt>
                <c:pt idx="91">
                  <c:v>3.885530472952293</c:v>
                </c:pt>
                <c:pt idx="92">
                  <c:v>3.8531358654358745</c:v>
                </c:pt>
                <c:pt idx="93">
                  <c:v>3.8774363654358743</c:v>
                </c:pt>
                <c:pt idx="94">
                  <c:v>3.9212120321025408</c:v>
                </c:pt>
                <c:pt idx="95">
                  <c:v>4.0438324587325711</c:v>
                </c:pt>
                <c:pt idx="96">
                  <c:v>3.960396061618678</c:v>
                </c:pt>
                <c:pt idx="97">
                  <c:v>4.0502321523806124</c:v>
                </c:pt>
                <c:pt idx="98">
                  <c:v>4.0283303445987135</c:v>
                </c:pt>
                <c:pt idx="99">
                  <c:v>4.1218800628581356</c:v>
                </c:pt>
                <c:pt idx="100">
                  <c:v>4.0509581932937664</c:v>
                </c:pt>
                <c:pt idx="101">
                  <c:v>4.1514229282692767</c:v>
                </c:pt>
                <c:pt idx="102">
                  <c:v>4.0931990515660397</c:v>
                </c:pt>
                <c:pt idx="103">
                  <c:v>4.2411600515660393</c:v>
                </c:pt>
                <c:pt idx="104">
                  <c:v>4.2714367182327058</c:v>
                </c:pt>
                <c:pt idx="105">
                  <c:v>4.2078893848993726</c:v>
                </c:pt>
                <c:pt idx="106">
                  <c:v>4.1639437489589115</c:v>
                </c:pt>
                <c:pt idx="107">
                  <c:v>4.0942507020658887</c:v>
                </c:pt>
                <c:pt idx="108">
                  <c:v>4.0815042271552393</c:v>
                </c:pt>
                <c:pt idx="109">
                  <c:v>4.0813472440258343</c:v>
                </c:pt>
                <c:pt idx="110">
                  <c:v>4.0850136684682559</c:v>
                </c:pt>
                <c:pt idx="111">
                  <c:v>4.165514001801589</c:v>
                </c:pt>
                <c:pt idx="112">
                  <c:v>4.2896585895857964</c:v>
                </c:pt>
                <c:pt idx="113">
                  <c:v>4.3598259973856655</c:v>
                </c:pt>
                <c:pt idx="114">
                  <c:v>4.2778737423516713</c:v>
                </c:pt>
                <c:pt idx="115">
                  <c:v>4.2736960975484024</c:v>
                </c:pt>
                <c:pt idx="116">
                  <c:v>4.3288226609483464</c:v>
                </c:pt>
                <c:pt idx="117">
                  <c:v>4.3559881034597101</c:v>
                </c:pt>
                <c:pt idx="118">
                  <c:v>4.2354987240990747</c:v>
                </c:pt>
                <c:pt idx="119">
                  <c:v>4.3114610774241227</c:v>
                </c:pt>
                <c:pt idx="120">
                  <c:v>4.1334655304701524</c:v>
                </c:pt>
                <c:pt idx="121">
                  <c:v>4.1303890304701527</c:v>
                </c:pt>
                <c:pt idx="122">
                  <c:v>3.9798065304701526</c:v>
                </c:pt>
                <c:pt idx="123">
                  <c:v>4.0993383748845549</c:v>
                </c:pt>
                <c:pt idx="124">
                  <c:v>4.1599475142252391</c:v>
                </c:pt>
                <c:pt idx="125">
                  <c:v>4.0215823799870618</c:v>
                </c:pt>
                <c:pt idx="126">
                  <c:v>4.1608303799870621</c:v>
                </c:pt>
                <c:pt idx="127">
                  <c:v>4.2393678799870624</c:v>
                </c:pt>
                <c:pt idx="128">
                  <c:v>4.4724137099870624</c:v>
                </c:pt>
                <c:pt idx="129">
                  <c:v>4.4941864799998408</c:v>
                </c:pt>
                <c:pt idx="130">
                  <c:v>4.4628628133331745</c:v>
                </c:pt>
                <c:pt idx="131">
                  <c:v>4.3119274963430172</c:v>
                </c:pt>
                <c:pt idx="132">
                  <c:v>4.3245615392834393</c:v>
                </c:pt>
                <c:pt idx="133">
                  <c:v>4.3415394941582086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13C-4450-8713-A26249A08719}"/>
            </c:ext>
          </c:extLst>
        </c:ser>
        <c:ser>
          <c:idx val="8"/>
          <c:order val="8"/>
          <c:tx>
            <c:strRef>
              <c:f>RF累積畫圖!$B$20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RF累積畫圖!$C$11:$EF$11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RF累積畫圖!$C$20:$EF$20</c:f>
              <c:numCache>
                <c:formatCode>General</c:formatCode>
                <c:ptCount val="134"/>
                <c:pt idx="0">
                  <c:v>0.20155100000000001</c:v>
                </c:pt>
                <c:pt idx="1">
                  <c:v>0.58357680000000001</c:v>
                </c:pt>
                <c:pt idx="2">
                  <c:v>0.64091200000000004</c:v>
                </c:pt>
                <c:pt idx="3">
                  <c:v>0.82333120000000004</c:v>
                </c:pt>
                <c:pt idx="4">
                  <c:v>0.9813594000000001</c:v>
                </c:pt>
                <c:pt idx="5">
                  <c:v>1.1252916000000002</c:v>
                </c:pt>
                <c:pt idx="6">
                  <c:v>1.1532278000000002</c:v>
                </c:pt>
                <c:pt idx="7">
                  <c:v>1.0200216000000002</c:v>
                </c:pt>
                <c:pt idx="8">
                  <c:v>1.0574252000000002</c:v>
                </c:pt>
                <c:pt idx="9">
                  <c:v>1.0881188000000002</c:v>
                </c:pt>
                <c:pt idx="10">
                  <c:v>1.1882522143640861</c:v>
                </c:pt>
                <c:pt idx="11">
                  <c:v>1.688263814364086</c:v>
                </c:pt>
                <c:pt idx="12">
                  <c:v>1.5781500143640861</c:v>
                </c:pt>
                <c:pt idx="13">
                  <c:v>1.6181790143640862</c:v>
                </c:pt>
                <c:pt idx="14">
                  <c:v>1.8430056143640861</c:v>
                </c:pt>
                <c:pt idx="15">
                  <c:v>1.9094752143640861</c:v>
                </c:pt>
                <c:pt idx="16">
                  <c:v>1.852133814364086</c:v>
                </c:pt>
                <c:pt idx="17">
                  <c:v>1.8677967248833454</c:v>
                </c:pt>
                <c:pt idx="18">
                  <c:v>1.9000317248833454</c:v>
                </c:pt>
                <c:pt idx="19">
                  <c:v>1.7637435248833453</c:v>
                </c:pt>
                <c:pt idx="20">
                  <c:v>1.9368289010609261</c:v>
                </c:pt>
                <c:pt idx="21">
                  <c:v>2.0868719010609262</c:v>
                </c:pt>
                <c:pt idx="22">
                  <c:v>2.0820139010609262</c:v>
                </c:pt>
                <c:pt idx="23">
                  <c:v>2.1111723010609262</c:v>
                </c:pt>
                <c:pt idx="24">
                  <c:v>2.1781363010609263</c:v>
                </c:pt>
                <c:pt idx="25">
                  <c:v>2.1452377557407001</c:v>
                </c:pt>
                <c:pt idx="26">
                  <c:v>2.0489295557406999</c:v>
                </c:pt>
                <c:pt idx="27">
                  <c:v>2.0759168593113779</c:v>
                </c:pt>
                <c:pt idx="28">
                  <c:v>2.0932270593113778</c:v>
                </c:pt>
                <c:pt idx="29">
                  <c:v>2.1322717376989577</c:v>
                </c:pt>
                <c:pt idx="30">
                  <c:v>2.1260321376989579</c:v>
                </c:pt>
                <c:pt idx="31">
                  <c:v>2.0358539369841755</c:v>
                </c:pt>
                <c:pt idx="32">
                  <c:v>2.1140084819053442</c:v>
                </c:pt>
                <c:pt idx="33">
                  <c:v>2.0520184473577965</c:v>
                </c:pt>
                <c:pt idx="34">
                  <c:v>2.0384233318617935</c:v>
                </c:pt>
                <c:pt idx="35">
                  <c:v>2.1113167838987703</c:v>
                </c:pt>
                <c:pt idx="36">
                  <c:v>2.1444127646475728</c:v>
                </c:pt>
                <c:pt idx="37">
                  <c:v>2.2198829581665711</c:v>
                </c:pt>
                <c:pt idx="38">
                  <c:v>2.2418702621748192</c:v>
                </c:pt>
                <c:pt idx="39">
                  <c:v>2.1101398009194314</c:v>
                </c:pt>
                <c:pt idx="40">
                  <c:v>2.1375922862523824</c:v>
                </c:pt>
                <c:pt idx="41">
                  <c:v>2.3190599739598374</c:v>
                </c:pt>
                <c:pt idx="42">
                  <c:v>2.4311557836426543</c:v>
                </c:pt>
                <c:pt idx="43">
                  <c:v>2.4370145574028599</c:v>
                </c:pt>
                <c:pt idx="44">
                  <c:v>2.5099143755437794</c:v>
                </c:pt>
                <c:pt idx="45">
                  <c:v>2.4552886617613012</c:v>
                </c:pt>
                <c:pt idx="46">
                  <c:v>2.462153929940452</c:v>
                </c:pt>
                <c:pt idx="47">
                  <c:v>2.5728864779391536</c:v>
                </c:pt>
                <c:pt idx="48">
                  <c:v>2.6115611763820632</c:v>
                </c:pt>
                <c:pt idx="49">
                  <c:v>2.3977587452049747</c:v>
                </c:pt>
                <c:pt idx="50">
                  <c:v>2.5490967452049746</c:v>
                </c:pt>
                <c:pt idx="51">
                  <c:v>2.7803101452049748</c:v>
                </c:pt>
                <c:pt idx="52">
                  <c:v>2.8509157128827152</c:v>
                </c:pt>
                <c:pt idx="53">
                  <c:v>2.797485899661118</c:v>
                </c:pt>
                <c:pt idx="54">
                  <c:v>2.7915391025218579</c:v>
                </c:pt>
                <c:pt idx="55">
                  <c:v>2.7972276848531865</c:v>
                </c:pt>
                <c:pt idx="56">
                  <c:v>2.8197225253139155</c:v>
                </c:pt>
                <c:pt idx="57">
                  <c:v>2.7481160781998044</c:v>
                </c:pt>
                <c:pt idx="58">
                  <c:v>2.8798613452849793</c:v>
                </c:pt>
                <c:pt idx="59">
                  <c:v>2.9014908571181657</c:v>
                </c:pt>
                <c:pt idx="60">
                  <c:v>2.8422576892753382</c:v>
                </c:pt>
                <c:pt idx="61">
                  <c:v>2.9285499204517929</c:v>
                </c:pt>
                <c:pt idx="62">
                  <c:v>2.881081368987604</c:v>
                </c:pt>
                <c:pt idx="63">
                  <c:v>2.965421009764968</c:v>
                </c:pt>
                <c:pt idx="64">
                  <c:v>2.9269592922489887</c:v>
                </c:pt>
                <c:pt idx="65">
                  <c:v>2.9873668130119437</c:v>
                </c:pt>
                <c:pt idx="66">
                  <c:v>3.0028185199727866</c:v>
                </c:pt>
                <c:pt idx="67">
                  <c:v>3.0110186025480021</c:v>
                </c:pt>
                <c:pt idx="68">
                  <c:v>3.0088959189593369</c:v>
                </c:pt>
                <c:pt idx="69">
                  <c:v>3.156698952137984</c:v>
                </c:pt>
                <c:pt idx="70">
                  <c:v>3.2554539015056907</c:v>
                </c:pt>
                <c:pt idx="71">
                  <c:v>3.3713722330687625</c:v>
                </c:pt>
                <c:pt idx="72">
                  <c:v>3.2358689812562864</c:v>
                </c:pt>
                <c:pt idx="73">
                  <c:v>3.2665626179395306</c:v>
                </c:pt>
                <c:pt idx="74">
                  <c:v>3.1613286515702272</c:v>
                </c:pt>
                <c:pt idx="75">
                  <c:v>3.2516000558305107</c:v>
                </c:pt>
                <c:pt idx="76">
                  <c:v>3.2496062336895606</c:v>
                </c:pt>
                <c:pt idx="77">
                  <c:v>3.2113542836786326</c:v>
                </c:pt>
                <c:pt idx="78">
                  <c:v>3.2242690836786325</c:v>
                </c:pt>
                <c:pt idx="79">
                  <c:v>3.3203326836786324</c:v>
                </c:pt>
                <c:pt idx="80">
                  <c:v>3.4061100836786324</c:v>
                </c:pt>
                <c:pt idx="81">
                  <c:v>3.2749016836786327</c:v>
                </c:pt>
                <c:pt idx="82">
                  <c:v>3.5968410836786324</c:v>
                </c:pt>
                <c:pt idx="83">
                  <c:v>3.6687051092757708</c:v>
                </c:pt>
                <c:pt idx="84">
                  <c:v>3.6383104355066886</c:v>
                </c:pt>
                <c:pt idx="85">
                  <c:v>3.5148701156193378</c:v>
                </c:pt>
                <c:pt idx="86">
                  <c:v>3.6058485123694446</c:v>
                </c:pt>
                <c:pt idx="87">
                  <c:v>3.5136635781803154</c:v>
                </c:pt>
                <c:pt idx="88">
                  <c:v>3.7027147433509362</c:v>
                </c:pt>
                <c:pt idx="89">
                  <c:v>3.7248741547214208</c:v>
                </c:pt>
                <c:pt idx="90">
                  <c:v>3.3089028195524084</c:v>
                </c:pt>
                <c:pt idx="91">
                  <c:v>3.5009340246614356</c:v>
                </c:pt>
                <c:pt idx="92">
                  <c:v>3.4778159793611527</c:v>
                </c:pt>
                <c:pt idx="93">
                  <c:v>3.5031801793611526</c:v>
                </c:pt>
                <c:pt idx="94">
                  <c:v>3.5254739793611525</c:v>
                </c:pt>
                <c:pt idx="95">
                  <c:v>3.6159480167754188</c:v>
                </c:pt>
                <c:pt idx="96">
                  <c:v>3.5118471189829927</c:v>
                </c:pt>
                <c:pt idx="97">
                  <c:v>3.6043581946784187</c:v>
                </c:pt>
                <c:pt idx="98">
                  <c:v>3.6143112575997014</c:v>
                </c:pt>
                <c:pt idx="99">
                  <c:v>3.7046098084674659</c:v>
                </c:pt>
                <c:pt idx="100">
                  <c:v>3.6921300757991689</c:v>
                </c:pt>
                <c:pt idx="101">
                  <c:v>3.847291720948367</c:v>
                </c:pt>
                <c:pt idx="102">
                  <c:v>3.7998198277931894</c:v>
                </c:pt>
                <c:pt idx="103">
                  <c:v>3.8767868277931892</c:v>
                </c:pt>
                <c:pt idx="104">
                  <c:v>3.9056888277931892</c:v>
                </c:pt>
                <c:pt idx="105">
                  <c:v>3.8375260277931891</c:v>
                </c:pt>
                <c:pt idx="106">
                  <c:v>3.8107761638722604</c:v>
                </c:pt>
                <c:pt idx="107">
                  <c:v>3.8116352854046811</c:v>
                </c:pt>
                <c:pt idx="108">
                  <c:v>3.8074330747843104</c:v>
                </c:pt>
                <c:pt idx="109">
                  <c:v>3.7964576630417834</c:v>
                </c:pt>
                <c:pt idx="110">
                  <c:v>3.7887000950277909</c:v>
                </c:pt>
                <c:pt idx="111">
                  <c:v>3.8699774950277908</c:v>
                </c:pt>
                <c:pt idx="112">
                  <c:v>3.9549314764738455</c:v>
                </c:pt>
                <c:pt idx="113">
                  <c:v>4.0307581126523884</c:v>
                </c:pt>
                <c:pt idx="114">
                  <c:v>4.0400417629318257</c:v>
                </c:pt>
                <c:pt idx="115">
                  <c:v>4.0980609695860251</c:v>
                </c:pt>
                <c:pt idx="116">
                  <c:v>4.163876771423995</c:v>
                </c:pt>
                <c:pt idx="117">
                  <c:v>4.1737073028148828</c:v>
                </c:pt>
                <c:pt idx="118">
                  <c:v>3.9823777643585996</c:v>
                </c:pt>
                <c:pt idx="119">
                  <c:v>4.0608904243868897</c:v>
                </c:pt>
                <c:pt idx="120">
                  <c:v>3.8548093268085353</c:v>
                </c:pt>
                <c:pt idx="121">
                  <c:v>3.8596381268085351</c:v>
                </c:pt>
                <c:pt idx="122">
                  <c:v>3.6832623268085349</c:v>
                </c:pt>
                <c:pt idx="123">
                  <c:v>3.8126077986473934</c:v>
                </c:pt>
                <c:pt idx="124">
                  <c:v>3.8816680026054331</c:v>
                </c:pt>
                <c:pt idx="125">
                  <c:v>3.7278016729991186</c:v>
                </c:pt>
                <c:pt idx="126">
                  <c:v>3.8493922729991183</c:v>
                </c:pt>
                <c:pt idx="127">
                  <c:v>3.9395916729991183</c:v>
                </c:pt>
                <c:pt idx="128">
                  <c:v>4.2332816569991181</c:v>
                </c:pt>
                <c:pt idx="129">
                  <c:v>4.2606708148531052</c:v>
                </c:pt>
                <c:pt idx="130">
                  <c:v>4.2836484148531051</c:v>
                </c:pt>
                <c:pt idx="131">
                  <c:v>4.1067295537860948</c:v>
                </c:pt>
                <c:pt idx="132">
                  <c:v>4.1090967847134765</c:v>
                </c:pt>
                <c:pt idx="133">
                  <c:v>4.1293782013293834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13C-4450-8713-A26249A08719}"/>
            </c:ext>
          </c:extLst>
        </c:ser>
        <c:ser>
          <c:idx val="9"/>
          <c:order val="9"/>
          <c:tx>
            <c:strRef>
              <c:f>RF累積畫圖!$B$21</c:f>
              <c:strCache>
                <c:ptCount val="1"/>
                <c:pt idx="0">
                  <c:v>241</c:v>
                </c:pt>
              </c:strCache>
            </c:strRef>
          </c:tx>
          <c:marker>
            <c:symbol val="none"/>
          </c:marker>
          <c:cat>
            <c:strRef>
              <c:f>RF累積畫圖!$C$11:$EF$11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RF累積畫圖!$C$21:$EF$21</c:f>
              <c:numCache>
                <c:formatCode>General</c:formatCode>
                <c:ptCount val="134"/>
                <c:pt idx="0">
                  <c:v>0.2146305</c:v>
                </c:pt>
                <c:pt idx="1">
                  <c:v>0.34101950000000003</c:v>
                </c:pt>
                <c:pt idx="2">
                  <c:v>0.32732800000000001</c:v>
                </c:pt>
                <c:pt idx="3">
                  <c:v>0.53074100000000002</c:v>
                </c:pt>
                <c:pt idx="4">
                  <c:v>0.67607300000000004</c:v>
                </c:pt>
                <c:pt idx="5">
                  <c:v>0.83823700000000001</c:v>
                </c:pt>
                <c:pt idx="6">
                  <c:v>0.85234900000000002</c:v>
                </c:pt>
                <c:pt idx="7">
                  <c:v>0.71560750000000006</c:v>
                </c:pt>
                <c:pt idx="8">
                  <c:v>0.71707750000000003</c:v>
                </c:pt>
                <c:pt idx="9">
                  <c:v>0.71204650000000003</c:v>
                </c:pt>
                <c:pt idx="10">
                  <c:v>0.51617599645083789</c:v>
                </c:pt>
                <c:pt idx="11">
                  <c:v>1.1010664964508379</c:v>
                </c:pt>
                <c:pt idx="12">
                  <c:v>0.96178924645083785</c:v>
                </c:pt>
                <c:pt idx="13">
                  <c:v>1.007216996450838</c:v>
                </c:pt>
                <c:pt idx="14">
                  <c:v>1.281302746450838</c:v>
                </c:pt>
                <c:pt idx="15">
                  <c:v>1.366207996450838</c:v>
                </c:pt>
                <c:pt idx="16">
                  <c:v>1.3296462464508381</c:v>
                </c:pt>
                <c:pt idx="17">
                  <c:v>1.3156058821106331</c:v>
                </c:pt>
                <c:pt idx="18">
                  <c:v>1.3057791321106331</c:v>
                </c:pt>
                <c:pt idx="19">
                  <c:v>1.1740288821106331</c:v>
                </c:pt>
                <c:pt idx="20">
                  <c:v>1.3343940378161909</c:v>
                </c:pt>
                <c:pt idx="21">
                  <c:v>1.542195037816191</c:v>
                </c:pt>
                <c:pt idx="22">
                  <c:v>1.5320475378161911</c:v>
                </c:pt>
                <c:pt idx="23">
                  <c:v>1.571506537816191</c:v>
                </c:pt>
                <c:pt idx="24">
                  <c:v>1.5995420378161911</c:v>
                </c:pt>
                <c:pt idx="25">
                  <c:v>1.577586093927057</c:v>
                </c:pt>
                <c:pt idx="26">
                  <c:v>1.418044843927057</c:v>
                </c:pt>
                <c:pt idx="27">
                  <c:v>1.3921115679296221</c:v>
                </c:pt>
                <c:pt idx="28">
                  <c:v>1.402422317929622</c:v>
                </c:pt>
                <c:pt idx="29">
                  <c:v>1.4555479278161849</c:v>
                </c:pt>
                <c:pt idx="30">
                  <c:v>1.444979927816185</c:v>
                </c:pt>
                <c:pt idx="31">
                  <c:v>1.3373985652513867</c:v>
                </c:pt>
                <c:pt idx="32">
                  <c:v>1.4169927745846778</c:v>
                </c:pt>
                <c:pt idx="33">
                  <c:v>1.346587432638209</c:v>
                </c:pt>
                <c:pt idx="34">
                  <c:v>1.3159439989007777</c:v>
                </c:pt>
                <c:pt idx="35">
                  <c:v>1.3813238216338883</c:v>
                </c:pt>
                <c:pt idx="36">
                  <c:v>1.4461807994402442</c:v>
                </c:pt>
                <c:pt idx="37">
                  <c:v>1.5581368555033386</c:v>
                </c:pt>
                <c:pt idx="38">
                  <c:v>1.6058632511470652</c:v>
                </c:pt>
                <c:pt idx="39">
                  <c:v>1.543472697448129</c:v>
                </c:pt>
                <c:pt idx="40">
                  <c:v>1.5680638378712555</c:v>
                </c:pt>
                <c:pt idx="41">
                  <c:v>1.7732461161017368</c:v>
                </c:pt>
                <c:pt idx="42">
                  <c:v>1.8377019847483662</c:v>
                </c:pt>
                <c:pt idx="43">
                  <c:v>1.8352090734712112</c:v>
                </c:pt>
                <c:pt idx="44">
                  <c:v>1.8830187049801683</c:v>
                </c:pt>
                <c:pt idx="45">
                  <c:v>1.8274979249180345</c:v>
                </c:pt>
                <c:pt idx="46">
                  <c:v>1.8372889548721318</c:v>
                </c:pt>
                <c:pt idx="47">
                  <c:v>1.9804366423418887</c:v>
                </c:pt>
                <c:pt idx="48">
                  <c:v>2.0274579333199267</c:v>
                </c:pt>
                <c:pt idx="49">
                  <c:v>1.7725466634227902</c:v>
                </c:pt>
                <c:pt idx="50">
                  <c:v>1.9121391634227902</c:v>
                </c:pt>
                <c:pt idx="51">
                  <c:v>2.2066524134227903</c:v>
                </c:pt>
                <c:pt idx="52">
                  <c:v>2.244973561147984</c:v>
                </c:pt>
                <c:pt idx="53">
                  <c:v>2.2232226977773561</c:v>
                </c:pt>
                <c:pt idx="54">
                  <c:v>2.2295732311747578</c:v>
                </c:pt>
                <c:pt idx="55">
                  <c:v>2.2331503313551924</c:v>
                </c:pt>
                <c:pt idx="56">
                  <c:v>2.2831708717916617</c:v>
                </c:pt>
                <c:pt idx="57">
                  <c:v>2.2068495086529065</c:v>
                </c:pt>
                <c:pt idx="58">
                  <c:v>2.3728191048312981</c:v>
                </c:pt>
                <c:pt idx="59">
                  <c:v>2.3963981310130156</c:v>
                </c:pt>
                <c:pt idx="60">
                  <c:v>2.3279482506334808</c:v>
                </c:pt>
                <c:pt idx="61">
                  <c:v>2.4706693432798303</c:v>
                </c:pt>
                <c:pt idx="62">
                  <c:v>2.4298740572511095</c:v>
                </c:pt>
                <c:pt idx="63">
                  <c:v>2.4935220052433573</c:v>
                </c:pt>
                <c:pt idx="64">
                  <c:v>2.4828536136901675</c:v>
                </c:pt>
                <c:pt idx="65">
                  <c:v>2.587362743109582</c:v>
                </c:pt>
                <c:pt idx="66">
                  <c:v>2.641904973944087</c:v>
                </c:pt>
                <c:pt idx="67">
                  <c:v>2.6558682310837023</c:v>
                </c:pt>
                <c:pt idx="68">
                  <c:v>2.6307883766732054</c:v>
                </c:pt>
                <c:pt idx="69">
                  <c:v>2.7630330706476482</c:v>
                </c:pt>
                <c:pt idx="70">
                  <c:v>2.8838540099978371</c:v>
                </c:pt>
                <c:pt idx="71">
                  <c:v>3.0259970101832905</c:v>
                </c:pt>
                <c:pt idx="72">
                  <c:v>2.8793178132475594</c:v>
                </c:pt>
                <c:pt idx="73">
                  <c:v>2.8639098856812462</c:v>
                </c:pt>
                <c:pt idx="74">
                  <c:v>2.8135300344631298</c:v>
                </c:pt>
                <c:pt idx="75">
                  <c:v>2.9116867449030281</c:v>
                </c:pt>
                <c:pt idx="76">
                  <c:v>2.8871306763502407</c:v>
                </c:pt>
                <c:pt idx="77">
                  <c:v>2.7748870655510824</c:v>
                </c:pt>
                <c:pt idx="78">
                  <c:v>2.7668675655510824</c:v>
                </c:pt>
                <c:pt idx="79">
                  <c:v>2.8512898155510822</c:v>
                </c:pt>
                <c:pt idx="80">
                  <c:v>2.9128043155510821</c:v>
                </c:pt>
                <c:pt idx="81">
                  <c:v>2.7856363155510819</c:v>
                </c:pt>
                <c:pt idx="82">
                  <c:v>3.1058040655510819</c:v>
                </c:pt>
                <c:pt idx="83">
                  <c:v>3.1859043866272936</c:v>
                </c:pt>
                <c:pt idx="84">
                  <c:v>3.1054047702363112</c:v>
                </c:pt>
                <c:pt idx="85">
                  <c:v>3.0336501082802654</c:v>
                </c:pt>
                <c:pt idx="86">
                  <c:v>3.1607006550103995</c:v>
                </c:pt>
                <c:pt idx="87">
                  <c:v>2.9502482791562912</c:v>
                </c:pt>
                <c:pt idx="88">
                  <c:v>3.1757512675596624</c:v>
                </c:pt>
                <c:pt idx="89">
                  <c:v>3.206290157763438</c:v>
                </c:pt>
                <c:pt idx="90">
                  <c:v>2.6914249091658453</c:v>
                </c:pt>
                <c:pt idx="91">
                  <c:v>2.9141249700437579</c:v>
                </c:pt>
                <c:pt idx="92">
                  <c:v>2.8912127758742616</c:v>
                </c:pt>
                <c:pt idx="93">
                  <c:v>2.9028297758742618</c:v>
                </c:pt>
                <c:pt idx="94">
                  <c:v>2.9337370258742617</c:v>
                </c:pt>
                <c:pt idx="95">
                  <c:v>3.0160298987286005</c:v>
                </c:pt>
                <c:pt idx="96">
                  <c:v>2.9533563385591091</c:v>
                </c:pt>
                <c:pt idx="97">
                  <c:v>3.0515819705804961</c:v>
                </c:pt>
                <c:pt idx="98">
                  <c:v>3.1165873878614847</c:v>
                </c:pt>
                <c:pt idx="99">
                  <c:v>3.2187095635188916</c:v>
                </c:pt>
                <c:pt idx="100">
                  <c:v>3.2102276471149773</c:v>
                </c:pt>
                <c:pt idx="101">
                  <c:v>3.4476790179408074</c:v>
                </c:pt>
                <c:pt idx="102">
                  <c:v>3.4488712743975394</c:v>
                </c:pt>
                <c:pt idx="103">
                  <c:v>3.5203307743975394</c:v>
                </c:pt>
                <c:pt idx="104">
                  <c:v>3.5686407743975392</c:v>
                </c:pt>
                <c:pt idx="105">
                  <c:v>3.5016137743975393</c:v>
                </c:pt>
                <c:pt idx="106">
                  <c:v>3.513851882985858</c:v>
                </c:pt>
                <c:pt idx="107">
                  <c:v>3.5215804422574766</c:v>
                </c:pt>
                <c:pt idx="108">
                  <c:v>3.5294268203860097</c:v>
                </c:pt>
                <c:pt idx="109">
                  <c:v>3.5435036405984643</c:v>
                </c:pt>
                <c:pt idx="110">
                  <c:v>3.5779111188786437</c:v>
                </c:pt>
                <c:pt idx="111">
                  <c:v>3.6512143688786436</c:v>
                </c:pt>
                <c:pt idx="112">
                  <c:v>3.7907170756975481</c:v>
                </c:pt>
                <c:pt idx="113">
                  <c:v>3.8890820145369247</c:v>
                </c:pt>
                <c:pt idx="114">
                  <c:v>3.8592478948946844</c:v>
                </c:pt>
                <c:pt idx="115">
                  <c:v>3.9212086763414726</c:v>
                </c:pt>
                <c:pt idx="116">
                  <c:v>4.0036544686721527</c:v>
                </c:pt>
                <c:pt idx="117">
                  <c:v>4.027920623765719</c:v>
                </c:pt>
                <c:pt idx="118">
                  <c:v>3.9001672306670665</c:v>
                </c:pt>
                <c:pt idx="119">
                  <c:v>3.9503380897041471</c:v>
                </c:pt>
                <c:pt idx="120">
                  <c:v>3.7494986158668517</c:v>
                </c:pt>
                <c:pt idx="121">
                  <c:v>3.7397891158668517</c:v>
                </c:pt>
                <c:pt idx="122">
                  <c:v>3.5911743658668516</c:v>
                </c:pt>
                <c:pt idx="123">
                  <c:v>3.7314503427367294</c:v>
                </c:pt>
                <c:pt idx="124">
                  <c:v>3.8507975601107334</c:v>
                </c:pt>
                <c:pt idx="125">
                  <c:v>3.6648313460795499</c:v>
                </c:pt>
                <c:pt idx="126">
                  <c:v>3.8315613460795497</c:v>
                </c:pt>
                <c:pt idx="127">
                  <c:v>3.9304913460795499</c:v>
                </c:pt>
                <c:pt idx="128">
                  <c:v>4.1965481780795502</c:v>
                </c:pt>
                <c:pt idx="129">
                  <c:v>4.2049563242501362</c:v>
                </c:pt>
                <c:pt idx="130">
                  <c:v>4.2321458242501366</c:v>
                </c:pt>
                <c:pt idx="131">
                  <c:v>4.1776469679019561</c:v>
                </c:pt>
                <c:pt idx="132">
                  <c:v>4.1920758200103743</c:v>
                </c:pt>
                <c:pt idx="133">
                  <c:v>4.184084217154342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13C-4450-8713-A26249A08719}"/>
            </c:ext>
          </c:extLst>
        </c:ser>
        <c:ser>
          <c:idx val="10"/>
          <c:order val="10"/>
          <c:tx>
            <c:strRef>
              <c:f>RF累積畫圖!$B$22</c:f>
              <c:strCache>
                <c:ptCount val="1"/>
                <c:pt idx="0">
                  <c:v>321</c:v>
                </c:pt>
              </c:strCache>
            </c:strRef>
          </c:tx>
          <c:marker>
            <c:symbol val="none"/>
          </c:marker>
          <c:cat>
            <c:strRef>
              <c:f>RF累積畫圖!$C$11:$EF$11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RF累積畫圖!$C$22:$EF$22</c:f>
              <c:numCache>
                <c:formatCode>General</c:formatCode>
                <c:ptCount val="134"/>
                <c:pt idx="0">
                  <c:v>0.20528266666666661</c:v>
                </c:pt>
                <c:pt idx="1">
                  <c:v>0.34771199999999991</c:v>
                </c:pt>
                <c:pt idx="2">
                  <c:v>0.33035533333333322</c:v>
                </c:pt>
                <c:pt idx="3">
                  <c:v>0.19048733333333323</c:v>
                </c:pt>
                <c:pt idx="4">
                  <c:v>0.42343266666666662</c:v>
                </c:pt>
                <c:pt idx="5">
                  <c:v>0.54761066666666658</c:v>
                </c:pt>
                <c:pt idx="6">
                  <c:v>0.56504999999999994</c:v>
                </c:pt>
                <c:pt idx="7">
                  <c:v>0.46079799999999993</c:v>
                </c:pt>
                <c:pt idx="8">
                  <c:v>0.48945466666666659</c:v>
                </c:pt>
                <c:pt idx="9">
                  <c:v>0.50372666666666666</c:v>
                </c:pt>
                <c:pt idx="10">
                  <c:v>0.27856806160308495</c:v>
                </c:pt>
                <c:pt idx="11">
                  <c:v>1.0347103949364183</c:v>
                </c:pt>
                <c:pt idx="12">
                  <c:v>0.96826806160308498</c:v>
                </c:pt>
                <c:pt idx="13">
                  <c:v>1.0588983949364184</c:v>
                </c:pt>
                <c:pt idx="14">
                  <c:v>1.186173061603085</c:v>
                </c:pt>
                <c:pt idx="15">
                  <c:v>1.2528707282697518</c:v>
                </c:pt>
                <c:pt idx="16">
                  <c:v>1.2136383949364185</c:v>
                </c:pt>
                <c:pt idx="17">
                  <c:v>1.1419864945467773</c:v>
                </c:pt>
                <c:pt idx="18">
                  <c:v>1.1944708278801106</c:v>
                </c:pt>
                <c:pt idx="19">
                  <c:v>1.018847161213444</c:v>
                </c:pt>
                <c:pt idx="20">
                  <c:v>1.2263274282377414</c:v>
                </c:pt>
                <c:pt idx="21">
                  <c:v>1.4835294282377414</c:v>
                </c:pt>
                <c:pt idx="22">
                  <c:v>1.4136720949044079</c:v>
                </c:pt>
                <c:pt idx="23">
                  <c:v>1.4375400949044079</c:v>
                </c:pt>
                <c:pt idx="24">
                  <c:v>1.5556627615710745</c:v>
                </c:pt>
                <c:pt idx="25">
                  <c:v>1.559527991696414</c:v>
                </c:pt>
                <c:pt idx="26">
                  <c:v>1.3823166583630806</c:v>
                </c:pt>
                <c:pt idx="27">
                  <c:v>1.3637229091484193</c:v>
                </c:pt>
                <c:pt idx="28">
                  <c:v>1.2785739091484194</c:v>
                </c:pt>
                <c:pt idx="29">
                  <c:v>1.3148179660523396</c:v>
                </c:pt>
                <c:pt idx="30">
                  <c:v>1.2688476327190061</c:v>
                </c:pt>
                <c:pt idx="31">
                  <c:v>1.1629816732985334</c:v>
                </c:pt>
                <c:pt idx="32">
                  <c:v>1.2571229339559196</c:v>
                </c:pt>
                <c:pt idx="33">
                  <c:v>1.2254230846295113</c:v>
                </c:pt>
                <c:pt idx="34">
                  <c:v>1.326711645369907</c:v>
                </c:pt>
                <c:pt idx="35">
                  <c:v>1.3670526121768074</c:v>
                </c:pt>
                <c:pt idx="36">
                  <c:v>1.4511415156445109</c:v>
                </c:pt>
                <c:pt idx="37">
                  <c:v>1.5622743253080702</c:v>
                </c:pt>
                <c:pt idx="38">
                  <c:v>1.6369916987017759</c:v>
                </c:pt>
                <c:pt idx="39">
                  <c:v>1.5744553448137832</c:v>
                </c:pt>
                <c:pt idx="40">
                  <c:v>1.5889513286360071</c:v>
                </c:pt>
                <c:pt idx="41">
                  <c:v>1.8268524696632569</c:v>
                </c:pt>
                <c:pt idx="42">
                  <c:v>1.9096629085618069</c:v>
                </c:pt>
                <c:pt idx="43">
                  <c:v>1.9162432989108265</c:v>
                </c:pt>
                <c:pt idx="44">
                  <c:v>1.9693860906112046</c:v>
                </c:pt>
                <c:pt idx="45">
                  <c:v>1.9095729139353246</c:v>
                </c:pt>
                <c:pt idx="46">
                  <c:v>1.8794235247283155</c:v>
                </c:pt>
                <c:pt idx="47">
                  <c:v>2.0531869247083399</c:v>
                </c:pt>
                <c:pt idx="48">
                  <c:v>2.1249203100425706</c:v>
                </c:pt>
                <c:pt idx="49">
                  <c:v>1.9700165317214187</c:v>
                </c:pt>
                <c:pt idx="50">
                  <c:v>2.0197911983880852</c:v>
                </c:pt>
                <c:pt idx="51">
                  <c:v>2.3893425317214185</c:v>
                </c:pt>
                <c:pt idx="52">
                  <c:v>2.2585055935984633</c:v>
                </c:pt>
                <c:pt idx="53">
                  <c:v>2.2714529834410353</c:v>
                </c:pt>
                <c:pt idx="54">
                  <c:v>2.2936691668355156</c:v>
                </c:pt>
                <c:pt idx="55">
                  <c:v>2.3073079841738351</c:v>
                </c:pt>
                <c:pt idx="56">
                  <c:v>2.3535874963422212</c:v>
                </c:pt>
                <c:pt idx="57">
                  <c:v>2.2256269540040892</c:v>
                </c:pt>
                <c:pt idx="58">
                  <c:v>2.336715673413996</c:v>
                </c:pt>
                <c:pt idx="59">
                  <c:v>2.391712088564717</c:v>
                </c:pt>
                <c:pt idx="60">
                  <c:v>2.3498724526310517</c:v>
                </c:pt>
                <c:pt idx="61">
                  <c:v>2.5116527917020872</c:v>
                </c:pt>
                <c:pt idx="62">
                  <c:v>2.5092223084565539</c:v>
                </c:pt>
                <c:pt idx="63">
                  <c:v>2.4938947564335114</c:v>
                </c:pt>
                <c:pt idx="64">
                  <c:v>2.3968818609099056</c:v>
                </c:pt>
                <c:pt idx="65">
                  <c:v>2.4717174110650122</c:v>
                </c:pt>
                <c:pt idx="66">
                  <c:v>2.499547508463325</c:v>
                </c:pt>
                <c:pt idx="67">
                  <c:v>2.5203611179297778</c:v>
                </c:pt>
                <c:pt idx="68">
                  <c:v>2.5039883355529788</c:v>
                </c:pt>
                <c:pt idx="69">
                  <c:v>2.634519038889525</c:v>
                </c:pt>
                <c:pt idx="70">
                  <c:v>2.8474678050275353</c:v>
                </c:pt>
                <c:pt idx="71">
                  <c:v>3.0060117774251442</c:v>
                </c:pt>
                <c:pt idx="72">
                  <c:v>2.8313432794975371</c:v>
                </c:pt>
                <c:pt idx="73">
                  <c:v>2.8679807251895095</c:v>
                </c:pt>
                <c:pt idx="74">
                  <c:v>2.8632339387867747</c:v>
                </c:pt>
                <c:pt idx="75">
                  <c:v>2.9104916746496667</c:v>
                </c:pt>
                <c:pt idx="76">
                  <c:v>2.8830015961693434</c:v>
                </c:pt>
                <c:pt idx="77">
                  <c:v>2.7340083179234167</c:v>
                </c:pt>
                <c:pt idx="78">
                  <c:v>2.6089033179234167</c:v>
                </c:pt>
                <c:pt idx="79">
                  <c:v>2.7044216512567498</c:v>
                </c:pt>
                <c:pt idx="80">
                  <c:v>2.7712616512567498</c:v>
                </c:pt>
                <c:pt idx="81">
                  <c:v>2.6156909845900831</c:v>
                </c:pt>
                <c:pt idx="82">
                  <c:v>3.0594916512567498</c:v>
                </c:pt>
                <c:pt idx="83">
                  <c:v>3.1754104225361979</c:v>
                </c:pt>
                <c:pt idx="84">
                  <c:v>3.0576306762578387</c:v>
                </c:pt>
                <c:pt idx="85">
                  <c:v>2.9542511711682762</c:v>
                </c:pt>
                <c:pt idx="86">
                  <c:v>2.9904145137729587</c:v>
                </c:pt>
                <c:pt idx="87">
                  <c:v>2.7497627151479178</c:v>
                </c:pt>
                <c:pt idx="88">
                  <c:v>3.0515229730573998</c:v>
                </c:pt>
                <c:pt idx="89">
                  <c:v>3.0429762012364923</c:v>
                </c:pt>
                <c:pt idx="90">
                  <c:v>2.3930197329873364</c:v>
                </c:pt>
                <c:pt idx="91">
                  <c:v>2.6524282899567391</c:v>
                </c:pt>
                <c:pt idx="92">
                  <c:v>2.6352686744376155</c:v>
                </c:pt>
                <c:pt idx="93">
                  <c:v>2.6068480077709486</c:v>
                </c:pt>
                <c:pt idx="94">
                  <c:v>2.6312873411042821</c:v>
                </c:pt>
                <c:pt idx="95">
                  <c:v>2.6895198624602674</c:v>
                </c:pt>
                <c:pt idx="96">
                  <c:v>2.5786784428184015</c:v>
                </c:pt>
                <c:pt idx="97">
                  <c:v>2.6909121380254559</c:v>
                </c:pt>
                <c:pt idx="98">
                  <c:v>2.7273633913516213</c:v>
                </c:pt>
                <c:pt idx="99">
                  <c:v>2.7311129846194704</c:v>
                </c:pt>
                <c:pt idx="100">
                  <c:v>2.7231241588459612</c:v>
                </c:pt>
                <c:pt idx="101">
                  <c:v>2.9860446434452004</c:v>
                </c:pt>
                <c:pt idx="102">
                  <c:v>2.9820528895632763</c:v>
                </c:pt>
                <c:pt idx="103">
                  <c:v>3.0360935562299431</c:v>
                </c:pt>
                <c:pt idx="104">
                  <c:v>3.1084368895632766</c:v>
                </c:pt>
                <c:pt idx="105">
                  <c:v>3.092473556229943</c:v>
                </c:pt>
                <c:pt idx="106">
                  <c:v>3.0869817982479928</c:v>
                </c:pt>
                <c:pt idx="107">
                  <c:v>3.1040135735215459</c:v>
                </c:pt>
                <c:pt idx="108">
                  <c:v>3.1359986166024334</c:v>
                </c:pt>
                <c:pt idx="109">
                  <c:v>3.1499439627859376</c:v>
                </c:pt>
                <c:pt idx="110">
                  <c:v>3.2135049620481868</c:v>
                </c:pt>
                <c:pt idx="111">
                  <c:v>3.2562826287148536</c:v>
                </c:pt>
                <c:pt idx="112">
                  <c:v>3.4354173425376939</c:v>
                </c:pt>
                <c:pt idx="113">
                  <c:v>3.560358990275077</c:v>
                </c:pt>
                <c:pt idx="114">
                  <c:v>3.4968929392370436</c:v>
                </c:pt>
                <c:pt idx="115">
                  <c:v>3.543656267441051</c:v>
                </c:pt>
                <c:pt idx="116">
                  <c:v>3.667093768752689</c:v>
                </c:pt>
                <c:pt idx="117">
                  <c:v>3.6692660920917191</c:v>
                </c:pt>
                <c:pt idx="118">
                  <c:v>3.5382350882722791</c:v>
                </c:pt>
                <c:pt idx="119">
                  <c:v>3.5321425356569609</c:v>
                </c:pt>
                <c:pt idx="120">
                  <c:v>3.3350916140946016</c:v>
                </c:pt>
                <c:pt idx="121">
                  <c:v>3.2914092807612683</c:v>
                </c:pt>
                <c:pt idx="122">
                  <c:v>3.1298636140946017</c:v>
                </c:pt>
                <c:pt idx="123">
                  <c:v>3.2555687317727795</c:v>
                </c:pt>
                <c:pt idx="124">
                  <c:v>3.3650717984143439</c:v>
                </c:pt>
                <c:pt idx="125">
                  <c:v>3.142629189966049</c:v>
                </c:pt>
                <c:pt idx="126">
                  <c:v>3.2625855232993821</c:v>
                </c:pt>
                <c:pt idx="127">
                  <c:v>3.3734191899660488</c:v>
                </c:pt>
                <c:pt idx="128">
                  <c:v>3.5137753519660491</c:v>
                </c:pt>
                <c:pt idx="129">
                  <c:v>3.433178624430731</c:v>
                </c:pt>
                <c:pt idx="130">
                  <c:v>3.5212646244307311</c:v>
                </c:pt>
                <c:pt idx="131">
                  <c:v>3.4438510573731236</c:v>
                </c:pt>
                <c:pt idx="132">
                  <c:v>3.4772973611853368</c:v>
                </c:pt>
                <c:pt idx="133">
                  <c:v>3.4425071148131643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13C-4450-8713-A26249A08719}"/>
            </c:ext>
          </c:extLst>
        </c:ser>
        <c:ser>
          <c:idx val="11"/>
          <c:order val="11"/>
          <c:tx>
            <c:strRef>
              <c:f>RF累積畫圖!$B$23</c:f>
              <c:strCache>
                <c:ptCount val="1"/>
                <c:pt idx="0">
                  <c:v>482</c:v>
                </c:pt>
              </c:strCache>
            </c:strRef>
          </c:tx>
          <c:marker>
            <c:symbol val="none"/>
          </c:marker>
          <c:cat>
            <c:strRef>
              <c:f>RF累積畫圖!$C$11:$EF$11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RF累積畫圖!$C$23:$EF$23</c:f>
              <c:numCache>
                <c:formatCode>General</c:formatCode>
                <c:ptCount val="134"/>
                <c:pt idx="0">
                  <c:v>0.28298899999999988</c:v>
                </c:pt>
                <c:pt idx="1">
                  <c:v>0.53708299999999987</c:v>
                </c:pt>
                <c:pt idx="2">
                  <c:v>0.67008799999999991</c:v>
                </c:pt>
                <c:pt idx="3">
                  <c:v>0.66634599999999988</c:v>
                </c:pt>
                <c:pt idx="4">
                  <c:v>1.0279779999999998</c:v>
                </c:pt>
                <c:pt idx="5">
                  <c:v>1.0097894999999999</c:v>
                </c:pt>
                <c:pt idx="6">
                  <c:v>0.97340399999999994</c:v>
                </c:pt>
                <c:pt idx="7">
                  <c:v>0.85852849999999992</c:v>
                </c:pt>
                <c:pt idx="8">
                  <c:v>0.79860999999999993</c:v>
                </c:pt>
                <c:pt idx="9">
                  <c:v>0.84938099999999994</c:v>
                </c:pt>
                <c:pt idx="10">
                  <c:v>0.58201442999002118</c:v>
                </c:pt>
                <c:pt idx="11">
                  <c:v>1.5579154299900213</c:v>
                </c:pt>
                <c:pt idx="12">
                  <c:v>1.4350154299900213</c:v>
                </c:pt>
                <c:pt idx="13">
                  <c:v>1.4896969299900213</c:v>
                </c:pt>
                <c:pt idx="14">
                  <c:v>1.7808744299900212</c:v>
                </c:pt>
                <c:pt idx="15">
                  <c:v>1.8436944299900213</c:v>
                </c:pt>
                <c:pt idx="16">
                  <c:v>1.7711239299900212</c:v>
                </c:pt>
                <c:pt idx="17">
                  <c:v>1.7707505607815426</c:v>
                </c:pt>
                <c:pt idx="18">
                  <c:v>1.8299870607815425</c:v>
                </c:pt>
                <c:pt idx="19">
                  <c:v>1.5975115607815424</c:v>
                </c:pt>
                <c:pt idx="20">
                  <c:v>1.929130711030687</c:v>
                </c:pt>
                <c:pt idx="21">
                  <c:v>2.123686711030687</c:v>
                </c:pt>
                <c:pt idx="22">
                  <c:v>2.055732211030687</c:v>
                </c:pt>
                <c:pt idx="23">
                  <c:v>2.0967842110306871</c:v>
                </c:pt>
                <c:pt idx="24">
                  <c:v>2.248436211030687</c:v>
                </c:pt>
                <c:pt idx="25">
                  <c:v>2.2794275960866792</c:v>
                </c:pt>
                <c:pt idx="26">
                  <c:v>2.0454190960866794</c:v>
                </c:pt>
                <c:pt idx="27">
                  <c:v>2.0424238045161953</c:v>
                </c:pt>
                <c:pt idx="28">
                  <c:v>1.8207068045161954</c:v>
                </c:pt>
                <c:pt idx="29">
                  <c:v>1.8876130646059466</c:v>
                </c:pt>
                <c:pt idx="30">
                  <c:v>1.8855575646059466</c:v>
                </c:pt>
                <c:pt idx="31">
                  <c:v>1.8013859800827634</c:v>
                </c:pt>
                <c:pt idx="32">
                  <c:v>1.8185918973962307</c:v>
                </c:pt>
                <c:pt idx="33">
                  <c:v>1.8667874975863596</c:v>
                </c:pt>
                <c:pt idx="34">
                  <c:v>1.9808985969335506</c:v>
                </c:pt>
                <c:pt idx="35">
                  <c:v>2.1123303101260862</c:v>
                </c:pt>
                <c:pt idx="36">
                  <c:v>2.1200997991309514</c:v>
                </c:pt>
                <c:pt idx="37">
                  <c:v>2.3624144984882522</c:v>
                </c:pt>
                <c:pt idx="38">
                  <c:v>2.3570775462968281</c:v>
                </c:pt>
                <c:pt idx="39">
                  <c:v>2.3601986456491337</c:v>
                </c:pt>
                <c:pt idx="40">
                  <c:v>2.4496236379087444</c:v>
                </c:pt>
                <c:pt idx="41">
                  <c:v>2.7863676817538119</c:v>
                </c:pt>
                <c:pt idx="42">
                  <c:v>2.7716607937564341</c:v>
                </c:pt>
                <c:pt idx="43">
                  <c:v>2.7302330719427843</c:v>
                </c:pt>
                <c:pt idx="44">
                  <c:v>2.7633785980712888</c:v>
                </c:pt>
                <c:pt idx="45">
                  <c:v>2.7357396038739146</c:v>
                </c:pt>
                <c:pt idx="46">
                  <c:v>2.6837126940355116</c:v>
                </c:pt>
                <c:pt idx="47">
                  <c:v>2.7535508478625559</c:v>
                </c:pt>
                <c:pt idx="48">
                  <c:v>2.9237848287031381</c:v>
                </c:pt>
                <c:pt idx="49">
                  <c:v>2.8600312113020778</c:v>
                </c:pt>
                <c:pt idx="50">
                  <c:v>2.9140292113020778</c:v>
                </c:pt>
                <c:pt idx="51">
                  <c:v>3.4808567113020779</c:v>
                </c:pt>
                <c:pt idx="52">
                  <c:v>3.180028462129012</c:v>
                </c:pt>
                <c:pt idx="53">
                  <c:v>3.2748593434754625</c:v>
                </c:pt>
                <c:pt idx="54">
                  <c:v>3.2034285810781657</c:v>
                </c:pt>
                <c:pt idx="55">
                  <c:v>3.1805815904734795</c:v>
                </c:pt>
                <c:pt idx="56">
                  <c:v>3.2553430616702319</c:v>
                </c:pt>
                <c:pt idx="57">
                  <c:v>3.0518590803149448</c:v>
                </c:pt>
                <c:pt idx="58">
                  <c:v>3.2429711596381439</c:v>
                </c:pt>
                <c:pt idx="59">
                  <c:v>3.3469744749060708</c:v>
                </c:pt>
                <c:pt idx="60">
                  <c:v>3.351661452616995</c:v>
                </c:pt>
                <c:pt idx="61">
                  <c:v>3.5011957488672345</c:v>
                </c:pt>
                <c:pt idx="62">
                  <c:v>3.5706912108916851</c:v>
                </c:pt>
                <c:pt idx="63">
                  <c:v>3.5637440401328719</c:v>
                </c:pt>
                <c:pt idx="64">
                  <c:v>3.3974338742401815</c:v>
                </c:pt>
                <c:pt idx="65">
                  <c:v>3.495700273451638</c:v>
                </c:pt>
                <c:pt idx="66">
                  <c:v>3.5453121147396289</c:v>
                </c:pt>
                <c:pt idx="67">
                  <c:v>3.5631564362035917</c:v>
                </c:pt>
                <c:pt idx="68">
                  <c:v>3.4898810475456798</c:v>
                </c:pt>
                <c:pt idx="69">
                  <c:v>3.6335308535716768</c:v>
                </c:pt>
                <c:pt idx="70">
                  <c:v>3.839218589417623</c:v>
                </c:pt>
                <c:pt idx="71">
                  <c:v>3.9526861577778116</c:v>
                </c:pt>
                <c:pt idx="72">
                  <c:v>3.7505338245021203</c:v>
                </c:pt>
                <c:pt idx="73">
                  <c:v>3.7423207047748672</c:v>
                </c:pt>
                <c:pt idx="74">
                  <c:v>3.7321150120805195</c:v>
                </c:pt>
                <c:pt idx="75">
                  <c:v>3.7397847745123642</c:v>
                </c:pt>
                <c:pt idx="76">
                  <c:v>3.6641315747657353</c:v>
                </c:pt>
                <c:pt idx="77">
                  <c:v>3.4465173717732953</c:v>
                </c:pt>
                <c:pt idx="78">
                  <c:v>3.3619723717732954</c:v>
                </c:pt>
                <c:pt idx="79">
                  <c:v>3.5032148717732956</c:v>
                </c:pt>
                <c:pt idx="80">
                  <c:v>3.5628168717732955</c:v>
                </c:pt>
                <c:pt idx="81">
                  <c:v>3.3793863717732955</c:v>
                </c:pt>
                <c:pt idx="82">
                  <c:v>3.6722898717732955</c:v>
                </c:pt>
                <c:pt idx="83">
                  <c:v>3.852486320694724</c:v>
                </c:pt>
                <c:pt idx="84">
                  <c:v>3.5425869035666269</c:v>
                </c:pt>
                <c:pt idx="85">
                  <c:v>3.5227115360162164</c:v>
                </c:pt>
                <c:pt idx="86">
                  <c:v>3.6188285307441781</c:v>
                </c:pt>
                <c:pt idx="87">
                  <c:v>3.2101675180767595</c:v>
                </c:pt>
                <c:pt idx="88">
                  <c:v>3.5969004645996687</c:v>
                </c:pt>
                <c:pt idx="89">
                  <c:v>3.5438952862298656</c:v>
                </c:pt>
                <c:pt idx="90">
                  <c:v>2.6349719988642457</c:v>
                </c:pt>
                <c:pt idx="91">
                  <c:v>2.9463327420270025</c:v>
                </c:pt>
                <c:pt idx="92">
                  <c:v>2.9710350121063835</c:v>
                </c:pt>
                <c:pt idx="93">
                  <c:v>2.9328045121063835</c:v>
                </c:pt>
                <c:pt idx="94">
                  <c:v>3.0018195121063833</c:v>
                </c:pt>
                <c:pt idx="95">
                  <c:v>3.047482053817637</c:v>
                </c:pt>
                <c:pt idx="96">
                  <c:v>3.0264254581043502</c:v>
                </c:pt>
                <c:pt idx="97">
                  <c:v>3.0041803206155446</c:v>
                </c:pt>
                <c:pt idx="98">
                  <c:v>3.1050816524179634</c:v>
                </c:pt>
                <c:pt idx="99">
                  <c:v>3.0163646583214372</c:v>
                </c:pt>
                <c:pt idx="100">
                  <c:v>3.0384111890748158</c:v>
                </c:pt>
                <c:pt idx="101">
                  <c:v>3.2204099829321668</c:v>
                </c:pt>
                <c:pt idx="102">
                  <c:v>3.1894278467062565</c:v>
                </c:pt>
                <c:pt idx="103">
                  <c:v>3.2081758467062564</c:v>
                </c:pt>
                <c:pt idx="104">
                  <c:v>3.2805908467062563</c:v>
                </c:pt>
                <c:pt idx="105">
                  <c:v>3.2621808467062565</c:v>
                </c:pt>
                <c:pt idx="106">
                  <c:v>3.2527856207546115</c:v>
                </c:pt>
                <c:pt idx="107">
                  <c:v>3.314727747799517</c:v>
                </c:pt>
                <c:pt idx="108">
                  <c:v>3.352997759674234</c:v>
                </c:pt>
                <c:pt idx="109">
                  <c:v>3.4084112069829766</c:v>
                </c:pt>
                <c:pt idx="110">
                  <c:v>3.4618908038989975</c:v>
                </c:pt>
                <c:pt idx="111">
                  <c:v>3.4280678038989976</c:v>
                </c:pt>
                <c:pt idx="112">
                  <c:v>3.7059010204578406</c:v>
                </c:pt>
                <c:pt idx="113">
                  <c:v>3.9220020799981143</c:v>
                </c:pt>
                <c:pt idx="114">
                  <c:v>3.9025047750787483</c:v>
                </c:pt>
                <c:pt idx="115">
                  <c:v>3.9090019711227186</c:v>
                </c:pt>
                <c:pt idx="116">
                  <c:v>4.0730932748565527</c:v>
                </c:pt>
                <c:pt idx="117">
                  <c:v>4.1201815075122754</c:v>
                </c:pt>
                <c:pt idx="118">
                  <c:v>3.9499705110087375</c:v>
                </c:pt>
                <c:pt idx="119">
                  <c:v>3.8600845082774309</c:v>
                </c:pt>
                <c:pt idx="120">
                  <c:v>3.5719879313583847</c:v>
                </c:pt>
                <c:pt idx="121">
                  <c:v>3.5177374313583845</c:v>
                </c:pt>
                <c:pt idx="122">
                  <c:v>3.4620994313583844</c:v>
                </c:pt>
                <c:pt idx="123">
                  <c:v>3.738371039687824</c:v>
                </c:pt>
                <c:pt idx="124">
                  <c:v>3.8795992722706627</c:v>
                </c:pt>
                <c:pt idx="125">
                  <c:v>3.5661060658916965</c:v>
                </c:pt>
                <c:pt idx="126">
                  <c:v>3.5121810658916965</c:v>
                </c:pt>
                <c:pt idx="127">
                  <c:v>3.2950060658916964</c:v>
                </c:pt>
                <c:pt idx="128">
                  <c:v>3.2662472858916964</c:v>
                </c:pt>
                <c:pt idx="129">
                  <c:v>3.2034938461810212</c:v>
                </c:pt>
                <c:pt idx="130">
                  <c:v>3.2971373461810209</c:v>
                </c:pt>
                <c:pt idx="131">
                  <c:v>3.20571144156124</c:v>
                </c:pt>
                <c:pt idx="132">
                  <c:v>3.2647621254494803</c:v>
                </c:pt>
                <c:pt idx="133">
                  <c:v>3.2169798468578206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13C-4450-8713-A26249A08719}"/>
            </c:ext>
          </c:extLst>
        </c:ser>
        <c:ser>
          <c:idx val="12"/>
          <c:order val="12"/>
          <c:tx>
            <c:strRef>
              <c:f>RF累積畫圖!$B$24</c:f>
              <c:strCache>
                <c:ptCount val="1"/>
                <c:pt idx="0">
                  <c:v>964</c:v>
                </c:pt>
              </c:strCache>
            </c:strRef>
          </c:tx>
          <c:marker>
            <c:symbol val="none"/>
          </c:marker>
          <c:cat>
            <c:strRef>
              <c:f>RF累積畫圖!$C$11:$EF$11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RF累積畫圖!$C$24:$EF$24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0.19972300000000001</c:v>
                </c:pt>
                <c:pt idx="2">
                  <c:v>0.48423499999999997</c:v>
                </c:pt>
                <c:pt idx="3">
                  <c:v>0.55956099999999998</c:v>
                </c:pt>
                <c:pt idx="4">
                  <c:v>0.78916799999999998</c:v>
                </c:pt>
                <c:pt idx="5">
                  <c:v>0.82502399999999998</c:v>
                </c:pt>
                <c:pt idx="6">
                  <c:v>0.84195399999999998</c:v>
                </c:pt>
                <c:pt idx="7">
                  <c:v>0.72649299999999994</c:v>
                </c:pt>
                <c:pt idx="8">
                  <c:v>0.78022599999999998</c:v>
                </c:pt>
                <c:pt idx="9">
                  <c:v>0.87402599999999997</c:v>
                </c:pt>
                <c:pt idx="10">
                  <c:v>0.4109984557998615</c:v>
                </c:pt>
                <c:pt idx="11">
                  <c:v>2.1800304557998613</c:v>
                </c:pt>
                <c:pt idx="12">
                  <c:v>1.9357504557998613</c:v>
                </c:pt>
                <c:pt idx="13">
                  <c:v>1.9374864557998612</c:v>
                </c:pt>
                <c:pt idx="14">
                  <c:v>1.9346464557998613</c:v>
                </c:pt>
                <c:pt idx="15">
                  <c:v>1.9068194557998612</c:v>
                </c:pt>
                <c:pt idx="16">
                  <c:v>1.8957694557998612</c:v>
                </c:pt>
                <c:pt idx="17">
                  <c:v>2.0194604998916503</c:v>
                </c:pt>
                <c:pt idx="18">
                  <c:v>2.3053134998916502</c:v>
                </c:pt>
                <c:pt idx="19">
                  <c:v>2.2066334998916504</c:v>
                </c:pt>
                <c:pt idx="20">
                  <c:v>2.702345485847593</c:v>
                </c:pt>
                <c:pt idx="21">
                  <c:v>2.7014464858475931</c:v>
                </c:pt>
                <c:pt idx="22">
                  <c:v>2.5811274858475932</c:v>
                </c:pt>
                <c:pt idx="23">
                  <c:v>2.5567324858475931</c:v>
                </c:pt>
                <c:pt idx="24">
                  <c:v>2.6510944858475929</c:v>
                </c:pt>
                <c:pt idx="25">
                  <c:v>2.9514882794045754</c:v>
                </c:pt>
                <c:pt idx="26">
                  <c:v>2.7053182794045751</c:v>
                </c:pt>
                <c:pt idx="27">
                  <c:v>2.6453961325937563</c:v>
                </c:pt>
                <c:pt idx="28">
                  <c:v>2.4701251325937563</c:v>
                </c:pt>
                <c:pt idx="29">
                  <c:v>2.492647142628547</c:v>
                </c:pt>
                <c:pt idx="30">
                  <c:v>2.5985481426285468</c:v>
                </c:pt>
                <c:pt idx="31">
                  <c:v>2.5418507825607572</c:v>
                </c:pt>
                <c:pt idx="32">
                  <c:v>2.5330424514623298</c:v>
                </c:pt>
                <c:pt idx="33">
                  <c:v>2.4521512074629546</c:v>
                </c:pt>
                <c:pt idx="34">
                  <c:v>2.537035160531147</c:v>
                </c:pt>
                <c:pt idx="35">
                  <c:v>2.4823582250405116</c:v>
                </c:pt>
                <c:pt idx="36">
                  <c:v>2.4634389436199848</c:v>
                </c:pt>
                <c:pt idx="37">
                  <c:v>2.6846284087654162</c:v>
                </c:pt>
                <c:pt idx="38">
                  <c:v>2.7507185205944062</c:v>
                </c:pt>
                <c:pt idx="39">
                  <c:v>2.7278668051053097</c:v>
                </c:pt>
                <c:pt idx="40">
                  <c:v>2.7749437779395554</c:v>
                </c:pt>
                <c:pt idx="41">
                  <c:v>2.7845830345471625</c:v>
                </c:pt>
                <c:pt idx="42">
                  <c:v>2.7566269572805724</c:v>
                </c:pt>
                <c:pt idx="43">
                  <c:v>2.7870861647652809</c:v>
                </c:pt>
                <c:pt idx="44">
                  <c:v>2.8311814846305055</c:v>
                </c:pt>
                <c:pt idx="45">
                  <c:v>2.7440295324436095</c:v>
                </c:pt>
                <c:pt idx="46">
                  <c:v>2.7490170739546484</c:v>
                </c:pt>
                <c:pt idx="47">
                  <c:v>2.7773232605430729</c:v>
                </c:pt>
                <c:pt idx="48">
                  <c:v>2.9454505544279623</c:v>
                </c:pt>
                <c:pt idx="49">
                  <c:v>2.9833176280276277</c:v>
                </c:pt>
                <c:pt idx="50">
                  <c:v>3.0338086280276277</c:v>
                </c:pt>
                <c:pt idx="51">
                  <c:v>3.7245846280276278</c:v>
                </c:pt>
                <c:pt idx="52">
                  <c:v>3.1251629870037361</c:v>
                </c:pt>
                <c:pt idx="53">
                  <c:v>3.3107582062501715</c:v>
                </c:pt>
                <c:pt idx="54">
                  <c:v>3.2646938522184845</c:v>
                </c:pt>
                <c:pt idx="55">
                  <c:v>3.3523451882725768</c:v>
                </c:pt>
                <c:pt idx="56">
                  <c:v>3.3791811541388879</c:v>
                </c:pt>
                <c:pt idx="57">
                  <c:v>2.9929258172253528</c:v>
                </c:pt>
                <c:pt idx="58">
                  <c:v>3.2165549232954</c:v>
                </c:pt>
                <c:pt idx="59">
                  <c:v>3.2199032390502844</c:v>
                </c:pt>
                <c:pt idx="60">
                  <c:v>3.2239267859445708</c:v>
                </c:pt>
                <c:pt idx="61">
                  <c:v>3.5410910798692874</c:v>
                </c:pt>
                <c:pt idx="62">
                  <c:v>3.4563081400302993</c:v>
                </c:pt>
                <c:pt idx="63">
                  <c:v>3.4631574818758741</c:v>
                </c:pt>
                <c:pt idx="64">
                  <c:v>3.3020477907802324</c:v>
                </c:pt>
                <c:pt idx="65">
                  <c:v>3.4253989719095541</c:v>
                </c:pt>
                <c:pt idx="66">
                  <c:v>3.361229338579439</c:v>
                </c:pt>
                <c:pt idx="67">
                  <c:v>3.4035855618828568</c:v>
                </c:pt>
                <c:pt idx="68">
                  <c:v>3.4023008443984</c:v>
                </c:pt>
                <c:pt idx="69">
                  <c:v>3.5185715404525872</c:v>
                </c:pt>
                <c:pt idx="70">
                  <c:v>3.7468981720125281</c:v>
                </c:pt>
                <c:pt idx="71">
                  <c:v>3.8546266259005111</c:v>
                </c:pt>
                <c:pt idx="72">
                  <c:v>3.7927907422649181</c:v>
                </c:pt>
                <c:pt idx="73">
                  <c:v>3.6598306865544603</c:v>
                </c:pt>
                <c:pt idx="74">
                  <c:v>3.7695763557218775</c:v>
                </c:pt>
                <c:pt idx="75">
                  <c:v>4.0284692545718741</c:v>
                </c:pt>
                <c:pt idx="76">
                  <c:v>3.9132475737984596</c:v>
                </c:pt>
                <c:pt idx="77">
                  <c:v>4.1220095480863286</c:v>
                </c:pt>
                <c:pt idx="78">
                  <c:v>3.9395395480863287</c:v>
                </c:pt>
                <c:pt idx="79">
                  <c:v>3.9694935480863287</c:v>
                </c:pt>
                <c:pt idx="80">
                  <c:v>4.1350585480863291</c:v>
                </c:pt>
                <c:pt idx="81">
                  <c:v>3.9699285480863291</c:v>
                </c:pt>
                <c:pt idx="82">
                  <c:v>4.2072055480863293</c:v>
                </c:pt>
                <c:pt idx="83">
                  <c:v>4.5614828449288325</c:v>
                </c:pt>
                <c:pt idx="84">
                  <c:v>4.8899346656380969</c:v>
                </c:pt>
                <c:pt idx="85">
                  <c:v>4.9030441510575162</c:v>
                </c:pt>
                <c:pt idx="86">
                  <c:v>4.9965742303732128</c:v>
                </c:pt>
                <c:pt idx="87">
                  <c:v>5.1383295637457538</c:v>
                </c:pt>
                <c:pt idx="88">
                  <c:v>5.6879166737048541</c:v>
                </c:pt>
                <c:pt idx="89">
                  <c:v>5.5801779072476405</c:v>
                </c:pt>
                <c:pt idx="90">
                  <c:v>4.8035246889114092</c:v>
                </c:pt>
                <c:pt idx="91">
                  <c:v>5.0913404601400458</c:v>
                </c:pt>
                <c:pt idx="92">
                  <c:v>5.2515301067675466</c:v>
                </c:pt>
                <c:pt idx="93">
                  <c:v>5.1547161067675464</c:v>
                </c:pt>
                <c:pt idx="94">
                  <c:v>5.1278581067675466</c:v>
                </c:pt>
                <c:pt idx="95">
                  <c:v>5.2242771149149423</c:v>
                </c:pt>
                <c:pt idx="96">
                  <c:v>5.1515257672582324</c:v>
                </c:pt>
                <c:pt idx="97">
                  <c:v>5.1665898147976081</c:v>
                </c:pt>
                <c:pt idx="98">
                  <c:v>5.3417069808696152</c:v>
                </c:pt>
                <c:pt idx="99">
                  <c:v>5.3969141745783018</c:v>
                </c:pt>
                <c:pt idx="100">
                  <c:v>5.3168472699414826</c:v>
                </c:pt>
                <c:pt idx="101">
                  <c:v>5.4290538983860497</c:v>
                </c:pt>
                <c:pt idx="102">
                  <c:v>5.4535651025488043</c:v>
                </c:pt>
                <c:pt idx="103">
                  <c:v>5.4370651025488046</c:v>
                </c:pt>
                <c:pt idx="104">
                  <c:v>5.6166151025488045</c:v>
                </c:pt>
                <c:pt idx="105">
                  <c:v>5.6659151025488041</c:v>
                </c:pt>
                <c:pt idx="106">
                  <c:v>5.4898523450392691</c:v>
                </c:pt>
                <c:pt idx="107">
                  <c:v>5.3851873690187082</c:v>
                </c:pt>
                <c:pt idx="108">
                  <c:v>5.4442932031430527</c:v>
                </c:pt>
                <c:pt idx="109">
                  <c:v>5.5436601836429915</c:v>
                </c:pt>
                <c:pt idx="110">
                  <c:v>5.6855356425812609</c:v>
                </c:pt>
                <c:pt idx="111">
                  <c:v>5.7066156425812613</c:v>
                </c:pt>
                <c:pt idx="112">
                  <c:v>6.0461248532117047</c:v>
                </c:pt>
                <c:pt idx="113">
                  <c:v>6.2592292794975855</c:v>
                </c:pt>
                <c:pt idx="114">
                  <c:v>6.1177897522707108</c:v>
                </c:pt>
                <c:pt idx="115">
                  <c:v>6.3511243230454069</c:v>
                </c:pt>
                <c:pt idx="116">
                  <c:v>6.536565125678095</c:v>
                </c:pt>
                <c:pt idx="117">
                  <c:v>6.650938551164109</c:v>
                </c:pt>
                <c:pt idx="118">
                  <c:v>6.5179611999281395</c:v>
                </c:pt>
                <c:pt idx="119">
                  <c:v>6.4974455697161106</c:v>
                </c:pt>
                <c:pt idx="120">
                  <c:v>6.2811840286832652</c:v>
                </c:pt>
                <c:pt idx="121">
                  <c:v>6.206451028683265</c:v>
                </c:pt>
                <c:pt idx="122">
                  <c:v>6.228233028683265</c:v>
                </c:pt>
                <c:pt idx="123">
                  <c:v>6.3864577273270795</c:v>
                </c:pt>
                <c:pt idx="124">
                  <c:v>6.4953148172184099</c:v>
                </c:pt>
                <c:pt idx="125">
                  <c:v>6.1837216894259059</c:v>
                </c:pt>
                <c:pt idx="126">
                  <c:v>6.180481689425906</c:v>
                </c:pt>
                <c:pt idx="127">
                  <c:v>5.746971689425906</c:v>
                </c:pt>
                <c:pt idx="128">
                  <c:v>5.6920515054259058</c:v>
                </c:pt>
                <c:pt idx="129">
                  <c:v>5.7204232423366426</c:v>
                </c:pt>
                <c:pt idx="130">
                  <c:v>5.8640702423366422</c:v>
                </c:pt>
                <c:pt idx="131">
                  <c:v>5.8078973970382801</c:v>
                </c:pt>
                <c:pt idx="132">
                  <c:v>5.9213268362294986</c:v>
                </c:pt>
                <c:pt idx="133">
                  <c:v>5.9886035132734667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13C-4450-8713-A26249A08719}"/>
            </c:ext>
          </c:extLst>
        </c:ser>
        <c:ser>
          <c:idx val="13"/>
          <c:order val="13"/>
          <c:tx>
            <c:strRef>
              <c:f>RF累積畫圖!$B$25</c:f>
              <c:strCache>
                <c:ptCount val="1"/>
                <c:pt idx="0">
                  <c:v>TWⅡ</c:v>
                </c:pt>
              </c:strCache>
            </c:strRef>
          </c:tx>
          <c:marker>
            <c:symbol val="none"/>
          </c:marker>
          <c:cat>
            <c:strRef>
              <c:f>RF累積畫圖!$C$11:$EF$11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RF累積畫圖!$C$25:$EF$25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13C-4450-8713-A26249A08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405264"/>
        <c:axId val="604407424"/>
      </c:lineChart>
      <c:catAx>
        <c:axId val="60440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04407424"/>
        <c:crosses val="autoZero"/>
        <c:auto val="1"/>
        <c:lblAlgn val="ctr"/>
        <c:lblOffset val="100"/>
        <c:noMultiLvlLbl val="0"/>
      </c:catAx>
      <c:valAx>
        <c:axId val="60440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044052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'RF再投資累積報酬 '!$A$12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'RF再投資累積報酬 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'RF再投資累積報酬 '!$C$12:$EF$12</c:f>
              <c:numCache>
                <c:formatCode>General</c:formatCode>
                <c:ptCount val="134"/>
                <c:pt idx="0">
                  <c:v>8.4653541666666721E-2</c:v>
                </c:pt>
                <c:pt idx="1">
                  <c:v>0.20905084067857849</c:v>
                </c:pt>
                <c:pt idx="2">
                  <c:v>0.26711705639855698</c:v>
                </c:pt>
                <c:pt idx="3">
                  <c:v>0.28412354917878613</c:v>
                </c:pt>
                <c:pt idx="4">
                  <c:v>0.29917985766404653</c:v>
                </c:pt>
                <c:pt idx="5">
                  <c:v>0.34923819136536483</c:v>
                </c:pt>
                <c:pt idx="6">
                  <c:v>0.36652186232393258</c:v>
                </c:pt>
                <c:pt idx="7">
                  <c:v>0.32633545785416218</c:v>
                </c:pt>
                <c:pt idx="8">
                  <c:v>0.35123631461182026</c:v>
                </c:pt>
                <c:pt idx="9">
                  <c:v>0.29463216679465609</c:v>
                </c:pt>
                <c:pt idx="10">
                  <c:v>0.27449830082543536</c:v>
                </c:pt>
                <c:pt idx="11">
                  <c:v>0.36285512590218505</c:v>
                </c:pt>
                <c:pt idx="12">
                  <c:v>0.38635189818175131</c:v>
                </c:pt>
                <c:pt idx="13">
                  <c:v>0.38584489773965358</c:v>
                </c:pt>
                <c:pt idx="14">
                  <c:v>0.43472429689772696</c:v>
                </c:pt>
                <c:pt idx="15">
                  <c:v>0.44428398444831463</c:v>
                </c:pt>
                <c:pt idx="16">
                  <c:v>0.42049340767473553</c:v>
                </c:pt>
                <c:pt idx="17">
                  <c:v>0.35989048447423921</c:v>
                </c:pt>
                <c:pt idx="18">
                  <c:v>0.33788909963644809</c:v>
                </c:pt>
                <c:pt idx="19">
                  <c:v>0.34619043670914129</c:v>
                </c:pt>
                <c:pt idx="20">
                  <c:v>0.37214222355475823</c:v>
                </c:pt>
                <c:pt idx="21">
                  <c:v>0.40747414256758874</c:v>
                </c:pt>
                <c:pt idx="22">
                  <c:v>0.42920568994072217</c:v>
                </c:pt>
                <c:pt idx="23">
                  <c:v>0.43658902608519279</c:v>
                </c:pt>
                <c:pt idx="24">
                  <c:v>0.41946943409283999</c:v>
                </c:pt>
                <c:pt idx="25">
                  <c:v>0.40423380079372118</c:v>
                </c:pt>
                <c:pt idx="26">
                  <c:v>0.4114901058221454</c:v>
                </c:pt>
                <c:pt idx="27">
                  <c:v>0.41506178249239456</c:v>
                </c:pt>
                <c:pt idx="28">
                  <c:v>0.33253960978255859</c:v>
                </c:pt>
                <c:pt idx="29">
                  <c:v>0.35983452220029277</c:v>
                </c:pt>
                <c:pt idx="30">
                  <c:v>0.37626021836292289</c:v>
                </c:pt>
                <c:pt idx="31">
                  <c:v>0.39428490567847518</c:v>
                </c:pt>
                <c:pt idx="32">
                  <c:v>0.42078254460597164</c:v>
                </c:pt>
                <c:pt idx="33">
                  <c:v>0.43142451376723878</c:v>
                </c:pt>
                <c:pt idx="34">
                  <c:v>0.49920913713060955</c:v>
                </c:pt>
                <c:pt idx="35">
                  <c:v>0.52598351764111828</c:v>
                </c:pt>
                <c:pt idx="36">
                  <c:v>0.57512683067377934</c:v>
                </c:pt>
                <c:pt idx="37">
                  <c:v>0.68596987055431646</c:v>
                </c:pt>
                <c:pt idx="38">
                  <c:v>0.68957549395729956</c:v>
                </c:pt>
                <c:pt idx="39">
                  <c:v>0.63258780926650959</c:v>
                </c:pt>
                <c:pt idx="40">
                  <c:v>0.62087233263694674</c:v>
                </c:pt>
                <c:pt idx="41">
                  <c:v>0.64170186058745204</c:v>
                </c:pt>
                <c:pt idx="42">
                  <c:v>0.67408628719951524</c:v>
                </c:pt>
                <c:pt idx="43">
                  <c:v>0.69596479785320309</c:v>
                </c:pt>
                <c:pt idx="44">
                  <c:v>0.72984110057588314</c:v>
                </c:pt>
                <c:pt idx="45">
                  <c:v>0.6586995326691194</c:v>
                </c:pt>
                <c:pt idx="46">
                  <c:v>0.66024137274488237</c:v>
                </c:pt>
                <c:pt idx="47">
                  <c:v>0.73166572049663547</c:v>
                </c:pt>
                <c:pt idx="48">
                  <c:v>0.77406270524461429</c:v>
                </c:pt>
                <c:pt idx="49">
                  <c:v>0.7686372403159647</c:v>
                </c:pt>
                <c:pt idx="50">
                  <c:v>0.89469916253255843</c:v>
                </c:pt>
                <c:pt idx="51">
                  <c:v>0.90566013534295653</c:v>
                </c:pt>
                <c:pt idx="52">
                  <c:v>0.93040623059896199</c:v>
                </c:pt>
                <c:pt idx="53">
                  <c:v>0.95247352270101104</c:v>
                </c:pt>
                <c:pt idx="54">
                  <c:v>0.99939242010844032</c:v>
                </c:pt>
                <c:pt idx="55">
                  <c:v>1.1368102792888033</c:v>
                </c:pt>
                <c:pt idx="56">
                  <c:v>1.2188384301539323</c:v>
                </c:pt>
                <c:pt idx="57">
                  <c:v>1.2435760725706086</c:v>
                </c:pt>
                <c:pt idx="58">
                  <c:v>1.3589854628307849</c:v>
                </c:pt>
                <c:pt idx="59">
                  <c:v>1.3571077261605882</c:v>
                </c:pt>
                <c:pt idx="60">
                  <c:v>1.3059667987114194</c:v>
                </c:pt>
                <c:pt idx="61">
                  <c:v>1.3629454992169405</c:v>
                </c:pt>
                <c:pt idx="62">
                  <c:v>1.2440759083875235</c:v>
                </c:pt>
                <c:pt idx="63">
                  <c:v>1.2695199407951088</c:v>
                </c:pt>
                <c:pt idx="64">
                  <c:v>1.3245474254123435</c:v>
                </c:pt>
                <c:pt idx="65">
                  <c:v>1.2999611138614666</c:v>
                </c:pt>
                <c:pt idx="66">
                  <c:v>1.3349356571603108</c:v>
                </c:pt>
                <c:pt idx="67">
                  <c:v>1.3314176926974093</c:v>
                </c:pt>
                <c:pt idx="68">
                  <c:v>1.3726765737537163</c:v>
                </c:pt>
                <c:pt idx="69">
                  <c:v>1.4243958226640703</c:v>
                </c:pt>
                <c:pt idx="70">
                  <c:v>1.4491476935432188</c:v>
                </c:pt>
                <c:pt idx="71">
                  <c:v>1.5231702759754704</c:v>
                </c:pt>
                <c:pt idx="72">
                  <c:v>1.4504603951503721</c:v>
                </c:pt>
                <c:pt idx="73">
                  <c:v>1.4742619755514266</c:v>
                </c:pt>
                <c:pt idx="74">
                  <c:v>1.3924841296319772</c:v>
                </c:pt>
                <c:pt idx="75">
                  <c:v>1.5001555528316857</c:v>
                </c:pt>
                <c:pt idx="76">
                  <c:v>1.4240313828381996</c:v>
                </c:pt>
                <c:pt idx="77">
                  <c:v>1.4280671226646513</c:v>
                </c:pt>
                <c:pt idx="78">
                  <c:v>1.5872658727987452</c:v>
                </c:pt>
                <c:pt idx="79">
                  <c:v>1.7017744333313805</c:v>
                </c:pt>
                <c:pt idx="80">
                  <c:v>2.1178670306377017</c:v>
                </c:pt>
                <c:pt idx="81">
                  <c:v>2.1305818222997681</c:v>
                </c:pt>
                <c:pt idx="82">
                  <c:v>2.1315485524885398</c:v>
                </c:pt>
                <c:pt idx="83">
                  <c:v>2.3332285478152195</c:v>
                </c:pt>
                <c:pt idx="84">
                  <c:v>2.2138742578330093</c:v>
                </c:pt>
                <c:pt idx="85">
                  <c:v>2.2704829554542805</c:v>
                </c:pt>
                <c:pt idx="86">
                  <c:v>2.3097093516506004</c:v>
                </c:pt>
                <c:pt idx="87">
                  <c:v>2.700306711995438</c:v>
                </c:pt>
                <c:pt idx="88">
                  <c:v>2.6470863453836864</c:v>
                </c:pt>
                <c:pt idx="89">
                  <c:v>2.5537684824191462</c:v>
                </c:pt>
                <c:pt idx="90">
                  <c:v>2.4587124772622402</c:v>
                </c:pt>
                <c:pt idx="91">
                  <c:v>2.6144935637815476</c:v>
                </c:pt>
                <c:pt idx="92">
                  <c:v>2.3879213949872775</c:v>
                </c:pt>
                <c:pt idx="93">
                  <c:v>2.5510395758100342</c:v>
                </c:pt>
                <c:pt idx="94">
                  <c:v>2.499516432904739</c:v>
                </c:pt>
                <c:pt idx="95">
                  <c:v>2.4961511362115418</c:v>
                </c:pt>
                <c:pt idx="96">
                  <c:v>2.6081544589948873</c:v>
                </c:pt>
                <c:pt idx="97">
                  <c:v>2.6379691946885653</c:v>
                </c:pt>
                <c:pt idx="98">
                  <c:v>2.6575459366898264</c:v>
                </c:pt>
                <c:pt idx="99">
                  <c:v>2.8806192337421908</c:v>
                </c:pt>
                <c:pt idx="100">
                  <c:v>2.8566283913641373</c:v>
                </c:pt>
                <c:pt idx="101">
                  <c:v>3.1636441001386375</c:v>
                </c:pt>
                <c:pt idx="102">
                  <c:v>3.1778138470308646</c:v>
                </c:pt>
                <c:pt idx="103">
                  <c:v>3.5495634695028455</c:v>
                </c:pt>
                <c:pt idx="104">
                  <c:v>3.5951829376285591</c:v>
                </c:pt>
                <c:pt idx="105">
                  <c:v>3.4155507267541632</c:v>
                </c:pt>
                <c:pt idx="106">
                  <c:v>3.4147349791687507</c:v>
                </c:pt>
                <c:pt idx="107">
                  <c:v>3.3845690236098305</c:v>
                </c:pt>
                <c:pt idx="108">
                  <c:v>3.3811040299284407</c:v>
                </c:pt>
                <c:pt idx="109">
                  <c:v>3.3580500306305874</c:v>
                </c:pt>
                <c:pt idx="110">
                  <c:v>3.1207839589045987</c:v>
                </c:pt>
                <c:pt idx="111">
                  <c:v>3.1830847609094572</c:v>
                </c:pt>
                <c:pt idx="112">
                  <c:v>3.1192324684055226</c:v>
                </c:pt>
                <c:pt idx="113">
                  <c:v>3.1148485127910561</c:v>
                </c:pt>
                <c:pt idx="114">
                  <c:v>3.0913330942118327</c:v>
                </c:pt>
                <c:pt idx="115">
                  <c:v>3.2518293106566505</c:v>
                </c:pt>
                <c:pt idx="116">
                  <c:v>3.3459148533013092</c:v>
                </c:pt>
                <c:pt idx="117">
                  <c:v>3.4875240968058883</c:v>
                </c:pt>
                <c:pt idx="118">
                  <c:v>3.3822988791747406</c:v>
                </c:pt>
                <c:pt idx="119">
                  <c:v>3.4645938212600846</c:v>
                </c:pt>
                <c:pt idx="120">
                  <c:v>3.298225061205712</c:v>
                </c:pt>
                <c:pt idx="121">
                  <c:v>3.4061872962417672</c:v>
                </c:pt>
                <c:pt idx="122">
                  <c:v>3.1540201875265952</c:v>
                </c:pt>
                <c:pt idx="123">
                  <c:v>3.3707486463189014</c:v>
                </c:pt>
                <c:pt idx="124">
                  <c:v>3.5442424614097447</c:v>
                </c:pt>
                <c:pt idx="125">
                  <c:v>3.3187607549530469</c:v>
                </c:pt>
                <c:pt idx="126">
                  <c:v>3.5482826448877631</c:v>
                </c:pt>
                <c:pt idx="127">
                  <c:v>3.576415052250888</c:v>
                </c:pt>
                <c:pt idx="128">
                  <c:v>3.8102590290464793</c:v>
                </c:pt>
                <c:pt idx="129">
                  <c:v>3.8279097244423275</c:v>
                </c:pt>
                <c:pt idx="130">
                  <c:v>3.7805670405215412</c:v>
                </c:pt>
                <c:pt idx="131">
                  <c:v>3.509852918971232</c:v>
                </c:pt>
                <c:pt idx="132">
                  <c:v>3.5660383545100389</c:v>
                </c:pt>
                <c:pt idx="133">
                  <c:v>3.7451793264310211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20-4C2B-ADEB-C2A5F551AA22}"/>
            </c:ext>
          </c:extLst>
        </c:ser>
        <c:ser>
          <c:idx val="1"/>
          <c:order val="1"/>
          <c:tx>
            <c:strRef>
              <c:f>'RF再投資累積報酬 '!$A$13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'RF再投資累積報酬 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'RF再投資累積報酬 '!$C$13:$EF$13</c:f>
              <c:numCache>
                <c:formatCode>General</c:formatCode>
                <c:ptCount val="134"/>
                <c:pt idx="0">
                  <c:v>0.10411314583333331</c:v>
                </c:pt>
                <c:pt idx="1">
                  <c:v>0.2407417420762652</c:v>
                </c:pt>
                <c:pt idx="2">
                  <c:v>0.32742156280246348</c:v>
                </c:pt>
                <c:pt idx="3">
                  <c:v>0.31221619769210429</c:v>
                </c:pt>
                <c:pt idx="4">
                  <c:v>0.33287685035990444</c:v>
                </c:pt>
                <c:pt idx="5">
                  <c:v>0.37285029916274914</c:v>
                </c:pt>
                <c:pt idx="6">
                  <c:v>0.4128421720046056</c:v>
                </c:pt>
                <c:pt idx="7">
                  <c:v>0.35082007840368257</c:v>
                </c:pt>
                <c:pt idx="8">
                  <c:v>0.34897286008855044</c:v>
                </c:pt>
                <c:pt idx="9">
                  <c:v>0.34084515808851057</c:v>
                </c:pt>
                <c:pt idx="10">
                  <c:v>0.35118127251344178</c:v>
                </c:pt>
                <c:pt idx="11">
                  <c:v>0.48603825583426286</c:v>
                </c:pt>
                <c:pt idx="12">
                  <c:v>0.54516678925999829</c:v>
                </c:pt>
                <c:pt idx="13">
                  <c:v>0.57111345532207558</c:v>
                </c:pt>
                <c:pt idx="14">
                  <c:v>0.68615827081956504</c:v>
                </c:pt>
                <c:pt idx="15">
                  <c:v>0.71003399090799157</c:v>
                </c:pt>
                <c:pt idx="16">
                  <c:v>0.68909751037168299</c:v>
                </c:pt>
                <c:pt idx="17">
                  <c:v>0.60421715673265108</c:v>
                </c:pt>
                <c:pt idx="18">
                  <c:v>0.60677798863265786</c:v>
                </c:pt>
                <c:pt idx="19">
                  <c:v>0.57449119088182465</c:v>
                </c:pt>
                <c:pt idx="20">
                  <c:v>0.62346272876498832</c:v>
                </c:pt>
                <c:pt idx="21">
                  <c:v>0.70995507318975593</c:v>
                </c:pt>
                <c:pt idx="22">
                  <c:v>0.73375828904171003</c:v>
                </c:pt>
                <c:pt idx="23">
                  <c:v>0.76944582518348703</c:v>
                </c:pt>
                <c:pt idx="24">
                  <c:v>0.74035606209056115</c:v>
                </c:pt>
                <c:pt idx="25">
                  <c:v>0.71424798300657732</c:v>
                </c:pt>
                <c:pt idx="26">
                  <c:v>0.72801557283359863</c:v>
                </c:pt>
                <c:pt idx="27">
                  <c:v>0.76333660577578688</c:v>
                </c:pt>
                <c:pt idx="28">
                  <c:v>0.64745104244868434</c:v>
                </c:pt>
                <c:pt idx="29">
                  <c:v>0.70192636770298877</c:v>
                </c:pt>
                <c:pt idx="30">
                  <c:v>0.70751287009137509</c:v>
                </c:pt>
                <c:pt idx="31">
                  <c:v>0.72687666765961256</c:v>
                </c:pt>
                <c:pt idx="32">
                  <c:v>0.74771583831834287</c:v>
                </c:pt>
                <c:pt idx="33">
                  <c:v>0.71536938703582043</c:v>
                </c:pt>
                <c:pt idx="34">
                  <c:v>0.82856303258560859</c:v>
                </c:pt>
                <c:pt idx="35">
                  <c:v>0.87670726831133328</c:v>
                </c:pt>
                <c:pt idx="36">
                  <c:v>0.96259416567761957</c:v>
                </c:pt>
                <c:pt idx="37">
                  <c:v>1.1693146765128346</c:v>
                </c:pt>
                <c:pt idx="38">
                  <c:v>1.2034042069616926</c:v>
                </c:pt>
                <c:pt idx="39">
                  <c:v>1.0722174421577724</c:v>
                </c:pt>
                <c:pt idx="40">
                  <c:v>1.0648621336863497</c:v>
                </c:pt>
                <c:pt idx="41">
                  <c:v>1.0945363971218223</c:v>
                </c:pt>
                <c:pt idx="42">
                  <c:v>1.1778527674616965</c:v>
                </c:pt>
                <c:pt idx="43">
                  <c:v>1.2659754153255336</c:v>
                </c:pt>
                <c:pt idx="44">
                  <c:v>1.3621909571646911</c:v>
                </c:pt>
                <c:pt idx="45">
                  <c:v>1.3409294007154866</c:v>
                </c:pt>
                <c:pt idx="46">
                  <c:v>1.3485801920097904</c:v>
                </c:pt>
                <c:pt idx="47">
                  <c:v>1.502057609415596</c:v>
                </c:pt>
                <c:pt idx="48">
                  <c:v>1.5415091615748158</c:v>
                </c:pt>
                <c:pt idx="49">
                  <c:v>1.5186412623101848</c:v>
                </c:pt>
                <c:pt idx="50">
                  <c:v>1.7197025577711527</c:v>
                </c:pt>
                <c:pt idx="51">
                  <c:v>1.7905398739303902</c:v>
                </c:pt>
                <c:pt idx="52">
                  <c:v>1.8268910655491477</c:v>
                </c:pt>
                <c:pt idx="53">
                  <c:v>1.8427275414293689</c:v>
                </c:pt>
                <c:pt idx="54">
                  <c:v>1.9235273754806403</c:v>
                </c:pt>
                <c:pt idx="55">
                  <c:v>2.168897318740191</c:v>
                </c:pt>
                <c:pt idx="56">
                  <c:v>2.3164616563885505</c:v>
                </c:pt>
                <c:pt idx="57">
                  <c:v>2.3395981946532962</c:v>
                </c:pt>
                <c:pt idx="58">
                  <c:v>2.5158893034582195</c:v>
                </c:pt>
                <c:pt idx="59">
                  <c:v>2.4538194121289938</c:v>
                </c:pt>
                <c:pt idx="60">
                  <c:v>2.390300133390368</c:v>
                </c:pt>
                <c:pt idx="61">
                  <c:v>2.5156144756037326</c:v>
                </c:pt>
                <c:pt idx="62">
                  <c:v>2.327979912990346</c:v>
                </c:pt>
                <c:pt idx="63">
                  <c:v>2.3642307294748535</c:v>
                </c:pt>
                <c:pt idx="64">
                  <c:v>2.4709956424313808</c:v>
                </c:pt>
                <c:pt idx="65">
                  <c:v>2.4975555165147032</c:v>
                </c:pt>
                <c:pt idx="66">
                  <c:v>2.6403225736066971</c:v>
                </c:pt>
                <c:pt idx="67">
                  <c:v>2.6145804639907415</c:v>
                </c:pt>
                <c:pt idx="68">
                  <c:v>2.6408159655628252</c:v>
                </c:pt>
                <c:pt idx="69">
                  <c:v>2.7804176129869278</c:v>
                </c:pt>
                <c:pt idx="70">
                  <c:v>2.84289655501028</c:v>
                </c:pt>
                <c:pt idx="71">
                  <c:v>2.9222288311348339</c:v>
                </c:pt>
                <c:pt idx="72">
                  <c:v>2.9291446533120187</c:v>
                </c:pt>
                <c:pt idx="73">
                  <c:v>3.0147429983725251</c:v>
                </c:pt>
                <c:pt idx="74">
                  <c:v>2.9564794514353254</c:v>
                </c:pt>
                <c:pt idx="75">
                  <c:v>3.2608429911992003</c:v>
                </c:pt>
                <c:pt idx="76">
                  <c:v>3.1179702549268136</c:v>
                </c:pt>
                <c:pt idx="77">
                  <c:v>3.0886014288433303</c:v>
                </c:pt>
                <c:pt idx="78">
                  <c:v>3.5797157145563476</c:v>
                </c:pt>
                <c:pt idx="79">
                  <c:v>3.8327717227939209</c:v>
                </c:pt>
                <c:pt idx="80">
                  <c:v>4.7211691741760076</c:v>
                </c:pt>
                <c:pt idx="81">
                  <c:v>4.8254612013892331</c:v>
                </c:pt>
                <c:pt idx="82">
                  <c:v>4.8695039939834617</c:v>
                </c:pt>
                <c:pt idx="83">
                  <c:v>5.2118992310907295</c:v>
                </c:pt>
                <c:pt idx="84">
                  <c:v>4.8897904575702427</c:v>
                </c:pt>
                <c:pt idx="85">
                  <c:v>4.8669580941479254</c:v>
                </c:pt>
                <c:pt idx="86">
                  <c:v>5.0549663458739467</c:v>
                </c:pt>
                <c:pt idx="87">
                  <c:v>5.5654265980926549</c:v>
                </c:pt>
                <c:pt idx="88">
                  <c:v>5.4978236888350791</c:v>
                </c:pt>
                <c:pt idx="89">
                  <c:v>5.3231130255526198</c:v>
                </c:pt>
                <c:pt idx="90">
                  <c:v>5.2380199940206413</c:v>
                </c:pt>
                <c:pt idx="91">
                  <c:v>5.679656042896279</c:v>
                </c:pt>
                <c:pt idx="92">
                  <c:v>5.2042057073835819</c:v>
                </c:pt>
                <c:pt idx="93">
                  <c:v>5.6036377702506446</c:v>
                </c:pt>
                <c:pt idx="94">
                  <c:v>5.6297086570160202</c:v>
                </c:pt>
                <c:pt idx="95">
                  <c:v>5.6832157051128549</c:v>
                </c:pt>
                <c:pt idx="96">
                  <c:v>5.9238576885042891</c:v>
                </c:pt>
                <c:pt idx="97">
                  <c:v>5.9084148918775723</c:v>
                </c:pt>
                <c:pt idx="98">
                  <c:v>5.9497067008540752</c:v>
                </c:pt>
                <c:pt idx="99">
                  <c:v>6.3711630574560534</c:v>
                </c:pt>
                <c:pt idx="100">
                  <c:v>6.2744626849599054</c:v>
                </c:pt>
                <c:pt idx="101">
                  <c:v>6.6907381405972561</c:v>
                </c:pt>
                <c:pt idx="102">
                  <c:v>6.6361605793430849</c:v>
                </c:pt>
                <c:pt idx="103">
                  <c:v>7.4473900075297426</c:v>
                </c:pt>
                <c:pt idx="104">
                  <c:v>7.6462510716207515</c:v>
                </c:pt>
                <c:pt idx="105">
                  <c:v>7.2017793672097863</c:v>
                </c:pt>
                <c:pt idx="106">
                  <c:v>7.2441633161043377</c:v>
                </c:pt>
                <c:pt idx="107">
                  <c:v>7.0090496977588206</c:v>
                </c:pt>
                <c:pt idx="108">
                  <c:v>6.9959896834211381</c:v>
                </c:pt>
                <c:pt idx="109">
                  <c:v>7.0998755407717695</c:v>
                </c:pt>
                <c:pt idx="110">
                  <c:v>6.7227335355794589</c:v>
                </c:pt>
                <c:pt idx="111">
                  <c:v>6.7689452468243916</c:v>
                </c:pt>
                <c:pt idx="112">
                  <c:v>6.8623807185774348</c:v>
                </c:pt>
                <c:pt idx="113">
                  <c:v>6.7392986673108215</c:v>
                </c:pt>
                <c:pt idx="114">
                  <c:v>6.687763690958402</c:v>
                </c:pt>
                <c:pt idx="115">
                  <c:v>6.801848549514685</c:v>
                </c:pt>
                <c:pt idx="116">
                  <c:v>7.1804840655590354</c:v>
                </c:pt>
                <c:pt idx="117">
                  <c:v>7.5669150253110988</c:v>
                </c:pt>
                <c:pt idx="118">
                  <c:v>7.3404907636985044</c:v>
                </c:pt>
                <c:pt idx="119">
                  <c:v>7.4553494074391811</c:v>
                </c:pt>
                <c:pt idx="120">
                  <c:v>7.1297949918088896</c:v>
                </c:pt>
                <c:pt idx="121">
                  <c:v>7.5430434803399216</c:v>
                </c:pt>
                <c:pt idx="122">
                  <c:v>7.2610721431879668</c:v>
                </c:pt>
                <c:pt idx="123">
                  <c:v>7.9188198970228054</c:v>
                </c:pt>
                <c:pt idx="124">
                  <c:v>8.3262938381801863</c:v>
                </c:pt>
                <c:pt idx="125">
                  <c:v>7.7234243027475067</c:v>
                </c:pt>
                <c:pt idx="126">
                  <c:v>8.2204950151084066</c:v>
                </c:pt>
                <c:pt idx="127">
                  <c:v>8.3892483227812757</c:v>
                </c:pt>
                <c:pt idx="128">
                  <c:v>8.9724960066169164</c:v>
                </c:pt>
                <c:pt idx="129">
                  <c:v>9.1856403397588497</c:v>
                </c:pt>
                <c:pt idx="130">
                  <c:v>8.9944047301790366</c:v>
                </c:pt>
                <c:pt idx="131">
                  <c:v>8.3379513026231162</c:v>
                </c:pt>
                <c:pt idx="132">
                  <c:v>8.4195465611165528</c:v>
                </c:pt>
                <c:pt idx="133">
                  <c:v>9.0533987451940536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20-4C2B-ADEB-C2A5F551AA22}"/>
            </c:ext>
          </c:extLst>
        </c:ser>
        <c:ser>
          <c:idx val="2"/>
          <c:order val="2"/>
          <c:tx>
            <c:strRef>
              <c:f>'RF再投資累積報酬 '!$A$14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'RF再投資累積報酬 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'RF再投資累積報酬 '!$C$14:$EF$14</c:f>
              <c:numCache>
                <c:formatCode>General</c:formatCode>
                <c:ptCount val="134"/>
                <c:pt idx="0">
                  <c:v>0.11994163157894744</c:v>
                </c:pt>
                <c:pt idx="1">
                  <c:v>0.36891449997644599</c:v>
                </c:pt>
                <c:pt idx="2">
                  <c:v>0.5041196634545142</c:v>
                </c:pt>
                <c:pt idx="3">
                  <c:v>0.5560767856459945</c:v>
                </c:pt>
                <c:pt idx="4">
                  <c:v>0.68857549546207819</c:v>
                </c:pt>
                <c:pt idx="5">
                  <c:v>0.78919593178877334</c:v>
                </c:pt>
                <c:pt idx="6">
                  <c:v>0.92716977606866458</c:v>
                </c:pt>
                <c:pt idx="7">
                  <c:v>0.72463660706241018</c:v>
                </c:pt>
                <c:pt idx="8">
                  <c:v>0.74611087439007395</c:v>
                </c:pt>
                <c:pt idx="9">
                  <c:v>0.73130348657295685</c:v>
                </c:pt>
                <c:pt idx="10">
                  <c:v>0.74116532496482446</c:v>
                </c:pt>
                <c:pt idx="11">
                  <c:v>1.097812892131663</c:v>
                </c:pt>
                <c:pt idx="12">
                  <c:v>1.1809751636799803</c:v>
                </c:pt>
                <c:pt idx="13">
                  <c:v>1.2851820422124431</c:v>
                </c:pt>
                <c:pt idx="14">
                  <c:v>1.4182688794415927</c:v>
                </c:pt>
                <c:pt idx="15">
                  <c:v>1.384046301923592</c:v>
                </c:pt>
                <c:pt idx="16">
                  <c:v>1.4759161535488237</c:v>
                </c:pt>
                <c:pt idx="17">
                  <c:v>1.3029945062152879</c:v>
                </c:pt>
                <c:pt idx="18">
                  <c:v>1.3872340453148166</c:v>
                </c:pt>
                <c:pt idx="19">
                  <c:v>1.2956255721965233</c:v>
                </c:pt>
                <c:pt idx="20">
                  <c:v>1.4655205954393931</c:v>
                </c:pt>
                <c:pt idx="21">
                  <c:v>1.5976276009272592</c:v>
                </c:pt>
                <c:pt idx="22">
                  <c:v>1.5540820655632519</c:v>
                </c:pt>
                <c:pt idx="23">
                  <c:v>1.6083614176206025</c:v>
                </c:pt>
                <c:pt idx="24">
                  <c:v>1.6015126842310101</c:v>
                </c:pt>
                <c:pt idx="25">
                  <c:v>1.5303977891527936</c:v>
                </c:pt>
                <c:pt idx="26">
                  <c:v>1.4562757789669578</c:v>
                </c:pt>
                <c:pt idx="27">
                  <c:v>1.6279070462111922</c:v>
                </c:pt>
                <c:pt idx="28">
                  <c:v>1.6173453494815724</c:v>
                </c:pt>
                <c:pt idx="29">
                  <c:v>1.7213171385931743</c:v>
                </c:pt>
                <c:pt idx="30">
                  <c:v>1.7387079306081805</c:v>
                </c:pt>
                <c:pt idx="31">
                  <c:v>1.7295434628613853</c:v>
                </c:pt>
                <c:pt idx="32">
                  <c:v>1.9262697149136376</c:v>
                </c:pt>
                <c:pt idx="33">
                  <c:v>1.9703365161395543</c:v>
                </c:pt>
                <c:pt idx="34">
                  <c:v>2.1673492722432148</c:v>
                </c:pt>
                <c:pt idx="35">
                  <c:v>2.2876109576783157</c:v>
                </c:pt>
                <c:pt idx="36">
                  <c:v>2.5120997955376136</c:v>
                </c:pt>
                <c:pt idx="37">
                  <c:v>2.8361278408056934</c:v>
                </c:pt>
                <c:pt idx="38">
                  <c:v>3.0697699132054632</c:v>
                </c:pt>
                <c:pt idx="39">
                  <c:v>2.7849815565108456</c:v>
                </c:pt>
                <c:pt idx="40">
                  <c:v>2.7816530966123274</c:v>
                </c:pt>
                <c:pt idx="41">
                  <c:v>2.9240166031238606</c:v>
                </c:pt>
                <c:pt idx="42">
                  <c:v>3.2470925680941747</c:v>
                </c:pt>
                <c:pt idx="43">
                  <c:v>3.4209029867531626</c:v>
                </c:pt>
                <c:pt idx="44">
                  <c:v>3.6287798306891972</c:v>
                </c:pt>
                <c:pt idx="45">
                  <c:v>3.5237769492121629</c:v>
                </c:pt>
                <c:pt idx="46">
                  <c:v>3.4540140743330978</c:v>
                </c:pt>
                <c:pt idx="47">
                  <c:v>4.0639958818507127</c:v>
                </c:pt>
                <c:pt idx="48">
                  <c:v>4.1403007732581507</c:v>
                </c:pt>
                <c:pt idx="49">
                  <c:v>3.8670513914747682</c:v>
                </c:pt>
                <c:pt idx="50">
                  <c:v>4.3359305706600688</c:v>
                </c:pt>
                <c:pt idx="51">
                  <c:v>4.8796512239491889</c:v>
                </c:pt>
                <c:pt idx="52">
                  <c:v>4.8262409218741151</c:v>
                </c:pt>
                <c:pt idx="53">
                  <c:v>5.0786790164787794</c:v>
                </c:pt>
                <c:pt idx="54">
                  <c:v>5.3411335468287895</c:v>
                </c:pt>
                <c:pt idx="55">
                  <c:v>5.5996648687238686</c:v>
                </c:pt>
                <c:pt idx="56">
                  <c:v>5.8727211458019069</c:v>
                </c:pt>
                <c:pt idx="57">
                  <c:v>5.8707731130816025</c:v>
                </c:pt>
                <c:pt idx="58">
                  <c:v>6.2281511247193739</c:v>
                </c:pt>
                <c:pt idx="59">
                  <c:v>6.1323471944021302</c:v>
                </c:pt>
                <c:pt idx="60">
                  <c:v>6.131724360188084</c:v>
                </c:pt>
                <c:pt idx="61">
                  <c:v>6.5577576472010533</c:v>
                </c:pt>
                <c:pt idx="62">
                  <c:v>6.2079972825099716</c:v>
                </c:pt>
                <c:pt idx="63">
                  <c:v>6.3589077920420891</c:v>
                </c:pt>
                <c:pt idx="64">
                  <c:v>6.6062336601596083</c:v>
                </c:pt>
                <c:pt idx="65">
                  <c:v>6.7037658644775098</c:v>
                </c:pt>
                <c:pt idx="66">
                  <c:v>6.7965917964162958</c:v>
                </c:pt>
                <c:pt idx="67">
                  <c:v>6.5788374352436998</c:v>
                </c:pt>
                <c:pt idx="68">
                  <c:v>6.286072980797961</c:v>
                </c:pt>
                <c:pt idx="69">
                  <c:v>6.8189700095364252</c:v>
                </c:pt>
                <c:pt idx="70">
                  <c:v>6.7497343174325986</c:v>
                </c:pt>
                <c:pt idx="71">
                  <c:v>6.9736351610783629</c:v>
                </c:pt>
                <c:pt idx="72">
                  <c:v>7.0733689770980579</c:v>
                </c:pt>
                <c:pt idx="73">
                  <c:v>7.5081874063051934</c:v>
                </c:pt>
                <c:pt idx="74">
                  <c:v>7.3505998392540572</c:v>
                </c:pt>
                <c:pt idx="75">
                  <c:v>8.2840342360368115</c:v>
                </c:pt>
                <c:pt idx="76">
                  <c:v>8.0568978678319851</c:v>
                </c:pt>
                <c:pt idx="77">
                  <c:v>8.2573054309130125</c:v>
                </c:pt>
                <c:pt idx="78">
                  <c:v>9.3736921282603731</c:v>
                </c:pt>
                <c:pt idx="79">
                  <c:v>9.8708136506253119</c:v>
                </c:pt>
                <c:pt idx="80">
                  <c:v>11.724883556363451</c:v>
                </c:pt>
                <c:pt idx="81">
                  <c:v>11.466437152949428</c:v>
                </c:pt>
                <c:pt idx="82">
                  <c:v>13.19836055504069</c:v>
                </c:pt>
                <c:pt idx="83">
                  <c:v>14.11644631659774</c:v>
                </c:pt>
                <c:pt idx="84">
                  <c:v>12.515844763839624</c:v>
                </c:pt>
                <c:pt idx="85">
                  <c:v>12.076168837062893</c:v>
                </c:pt>
                <c:pt idx="86">
                  <c:v>12.259449184316777</c:v>
                </c:pt>
                <c:pt idx="87">
                  <c:v>13.085114486742409</c:v>
                </c:pt>
                <c:pt idx="88">
                  <c:v>13.536401700936571</c:v>
                </c:pt>
                <c:pt idx="89">
                  <c:v>13.238704944387159</c:v>
                </c:pt>
                <c:pt idx="90">
                  <c:v>12.190911111223194</c:v>
                </c:pt>
                <c:pt idx="91">
                  <c:v>13.507487130869606</c:v>
                </c:pt>
                <c:pt idx="92">
                  <c:v>13.039941287998374</c:v>
                </c:pt>
                <c:pt idx="93">
                  <c:v>13.919417989164156</c:v>
                </c:pt>
                <c:pt idx="94">
                  <c:v>13.862498839070444</c:v>
                </c:pt>
                <c:pt idx="95">
                  <c:v>14.146381135880574</c:v>
                </c:pt>
                <c:pt idx="96">
                  <c:v>13.471694038151815</c:v>
                </c:pt>
                <c:pt idx="97">
                  <c:v>13.800863068311603</c:v>
                </c:pt>
                <c:pt idx="98">
                  <c:v>13.750564074816021</c:v>
                </c:pt>
                <c:pt idx="99">
                  <c:v>14.233856410376029</c:v>
                </c:pt>
                <c:pt idx="100">
                  <c:v>13.79574410136698</c:v>
                </c:pt>
                <c:pt idx="101">
                  <c:v>14.743612190920965</c:v>
                </c:pt>
                <c:pt idx="102">
                  <c:v>14.360974887643282</c:v>
                </c:pt>
                <c:pt idx="103">
                  <c:v>15.967856557162232</c:v>
                </c:pt>
                <c:pt idx="104">
                  <c:v>16.218198526716442</c:v>
                </c:pt>
                <c:pt idx="105">
                  <c:v>15.290156656766904</c:v>
                </c:pt>
                <c:pt idx="106">
                  <c:v>15.377867740864357</c:v>
                </c:pt>
                <c:pt idx="107">
                  <c:v>14.726512399422115</c:v>
                </c:pt>
                <c:pt idx="108">
                  <c:v>14.906526810472302</c:v>
                </c:pt>
                <c:pt idx="109">
                  <c:v>14.982477887092315</c:v>
                </c:pt>
                <c:pt idx="110">
                  <c:v>14.132337967360096</c:v>
                </c:pt>
                <c:pt idx="111">
                  <c:v>14.372908690609826</c:v>
                </c:pt>
                <c:pt idx="112">
                  <c:v>14.654500040491259</c:v>
                </c:pt>
                <c:pt idx="113">
                  <c:v>14.4170970183162</c:v>
                </c:pt>
                <c:pt idx="114">
                  <c:v>14.501956868947929</c:v>
                </c:pt>
                <c:pt idx="115">
                  <c:v>15.119736320798431</c:v>
                </c:pt>
                <c:pt idx="116">
                  <c:v>15.786700810925645</c:v>
                </c:pt>
                <c:pt idx="117">
                  <c:v>16.467103187239651</c:v>
                </c:pt>
                <c:pt idx="118">
                  <c:v>14.906105554284</c:v>
                </c:pt>
                <c:pt idx="119">
                  <c:v>15.743124903331211</c:v>
                </c:pt>
                <c:pt idx="120">
                  <c:v>15.156363660411714</c:v>
                </c:pt>
                <c:pt idx="121">
                  <c:v>17.057520387069257</c:v>
                </c:pt>
                <c:pt idx="122">
                  <c:v>15.81523046254139</c:v>
                </c:pt>
                <c:pt idx="123">
                  <c:v>17.635686904382506</c:v>
                </c:pt>
                <c:pt idx="124">
                  <c:v>19.346616815568538</c:v>
                </c:pt>
                <c:pt idx="125">
                  <c:v>17.267981621140326</c:v>
                </c:pt>
                <c:pt idx="126">
                  <c:v>18.624522515944811</c:v>
                </c:pt>
                <c:pt idx="127">
                  <c:v>19.31198709846166</c:v>
                </c:pt>
                <c:pt idx="128">
                  <c:v>21.496043321913522</c:v>
                </c:pt>
                <c:pt idx="129">
                  <c:v>21.653908730491988</c:v>
                </c:pt>
                <c:pt idx="130">
                  <c:v>21.216923177257698</c:v>
                </c:pt>
                <c:pt idx="131">
                  <c:v>18.936806812563884</c:v>
                </c:pt>
                <c:pt idx="132">
                  <c:v>19.309384860474907</c:v>
                </c:pt>
                <c:pt idx="133">
                  <c:v>20.662646834359151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20-4C2B-ADEB-C2A5F551AA22}"/>
            </c:ext>
          </c:extLst>
        </c:ser>
        <c:ser>
          <c:idx val="3"/>
          <c:order val="3"/>
          <c:tx>
            <c:strRef>
              <c:f>'RF再投資累積報酬 '!$A$15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'RF再投資累積報酬 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'RF再投資累積報酬 '!$C$15:$EF$15</c:f>
              <c:numCache>
                <c:formatCode>General</c:formatCode>
                <c:ptCount val="134"/>
                <c:pt idx="0">
                  <c:v>0.22764509999999993</c:v>
                </c:pt>
                <c:pt idx="1">
                  <c:v>0.68520033692747018</c:v>
                </c:pt>
                <c:pt idx="2">
                  <c:v>0.79648658565728425</c:v>
                </c:pt>
                <c:pt idx="3">
                  <c:v>0.95871758818043107</c:v>
                </c:pt>
                <c:pt idx="4">
                  <c:v>1.1479418512477078</c:v>
                </c:pt>
                <c:pt idx="5">
                  <c:v>1.4032127117941307</c:v>
                </c:pt>
                <c:pt idx="6">
                  <c:v>1.7077692152258179</c:v>
                </c:pt>
                <c:pt idx="7">
                  <c:v>1.5330525728287441</c:v>
                </c:pt>
                <c:pt idx="8">
                  <c:v>1.5223858884445622</c:v>
                </c:pt>
                <c:pt idx="9">
                  <c:v>1.5550934140214343</c:v>
                </c:pt>
                <c:pt idx="10">
                  <c:v>1.6202424435851039</c:v>
                </c:pt>
                <c:pt idx="11">
                  <c:v>2.4857336770287226</c:v>
                </c:pt>
                <c:pt idx="12">
                  <c:v>2.6464381996076165</c:v>
                </c:pt>
                <c:pt idx="13">
                  <c:v>2.8396388933127068</c:v>
                </c:pt>
                <c:pt idx="14">
                  <c:v>3.225049558578978</c:v>
                </c:pt>
                <c:pt idx="15">
                  <c:v>3.2958411089428807</c:v>
                </c:pt>
                <c:pt idx="16">
                  <c:v>3.1109756009970759</c:v>
                </c:pt>
                <c:pt idx="17">
                  <c:v>2.8363619172123862</c:v>
                </c:pt>
                <c:pt idx="18">
                  <c:v>3.0158603040482612</c:v>
                </c:pt>
                <c:pt idx="19">
                  <c:v>2.6717797868532847</c:v>
                </c:pt>
                <c:pt idx="20">
                  <c:v>3.0482972825104104</c:v>
                </c:pt>
                <c:pt idx="21">
                  <c:v>3.3658315523100386</c:v>
                </c:pt>
                <c:pt idx="22">
                  <c:v>3.260223396809125</c:v>
                </c:pt>
                <c:pt idx="23">
                  <c:v>3.1594427000895289</c:v>
                </c:pt>
                <c:pt idx="24">
                  <c:v>3.3532265600997295</c:v>
                </c:pt>
                <c:pt idx="25">
                  <c:v>3.2567311956524847</c:v>
                </c:pt>
                <c:pt idx="26">
                  <c:v>3.0862286789568634</c:v>
                </c:pt>
                <c:pt idx="27">
                  <c:v>3.4201282148793082</c:v>
                </c:pt>
                <c:pt idx="28">
                  <c:v>3.6291366295968048</c:v>
                </c:pt>
                <c:pt idx="29">
                  <c:v>3.9338246087527198</c:v>
                </c:pt>
                <c:pt idx="30">
                  <c:v>3.8857444879404248</c:v>
                </c:pt>
                <c:pt idx="31">
                  <c:v>3.7215621060374646</c:v>
                </c:pt>
                <c:pt idx="32">
                  <c:v>3.9616745481262328</c:v>
                </c:pt>
                <c:pt idx="33">
                  <c:v>4.0086361029284365</c:v>
                </c:pt>
                <c:pt idx="34">
                  <c:v>4.2966105180855614</c:v>
                </c:pt>
                <c:pt idx="35">
                  <c:v>4.5114180268545612</c:v>
                </c:pt>
                <c:pt idx="36">
                  <c:v>4.8152218401748366</c:v>
                </c:pt>
                <c:pt idx="37">
                  <c:v>5.3552344672017913</c:v>
                </c:pt>
                <c:pt idx="38">
                  <c:v>5.7579644835497312</c:v>
                </c:pt>
                <c:pt idx="39">
                  <c:v>5.173685968144718</c:v>
                </c:pt>
                <c:pt idx="40">
                  <c:v>4.9724389804641076</c:v>
                </c:pt>
                <c:pt idx="41">
                  <c:v>5.4413785060183271</c:v>
                </c:pt>
                <c:pt idx="42">
                  <c:v>5.7880610918365569</c:v>
                </c:pt>
                <c:pt idx="43">
                  <c:v>6.2310159549324649</c:v>
                </c:pt>
                <c:pt idx="44">
                  <c:v>6.5198463131624287</c:v>
                </c:pt>
                <c:pt idx="45">
                  <c:v>6.1647078974804455</c:v>
                </c:pt>
                <c:pt idx="46">
                  <c:v>6.2769067879318055</c:v>
                </c:pt>
                <c:pt idx="47">
                  <c:v>7.1882227665143326</c:v>
                </c:pt>
                <c:pt idx="48">
                  <c:v>7.4183889303483515</c:v>
                </c:pt>
                <c:pt idx="49">
                  <c:v>6.6495940403365594</c:v>
                </c:pt>
                <c:pt idx="50">
                  <c:v>7.8558455202473638</c:v>
                </c:pt>
                <c:pt idx="51">
                  <c:v>8.8192596706267938</c:v>
                </c:pt>
                <c:pt idx="52">
                  <c:v>9.4295771661663341</c:v>
                </c:pt>
                <c:pt idx="53">
                  <c:v>9.8775256318001698</c:v>
                </c:pt>
                <c:pt idx="54">
                  <c:v>10.303342850560105</c:v>
                </c:pt>
                <c:pt idx="55">
                  <c:v>10.881824056825497</c:v>
                </c:pt>
                <c:pt idx="56">
                  <c:v>10.915388095788243</c:v>
                </c:pt>
                <c:pt idx="57">
                  <c:v>11.315227260706216</c:v>
                </c:pt>
                <c:pt idx="58">
                  <c:v>12.159887554759653</c:v>
                </c:pt>
                <c:pt idx="59">
                  <c:v>11.954341919889995</c:v>
                </c:pt>
                <c:pt idx="60">
                  <c:v>11.809818517945866</c:v>
                </c:pt>
                <c:pt idx="61">
                  <c:v>12.613611264840429</c:v>
                </c:pt>
                <c:pt idx="62">
                  <c:v>11.957176482166686</c:v>
                </c:pt>
                <c:pt idx="63">
                  <c:v>12.477310842647309</c:v>
                </c:pt>
                <c:pt idx="64">
                  <c:v>12.851096996149842</c:v>
                </c:pt>
                <c:pt idx="65">
                  <c:v>13.047564012988442</c:v>
                </c:pt>
                <c:pt idx="66">
                  <c:v>13.227414009843214</c:v>
                </c:pt>
                <c:pt idx="67">
                  <c:v>12.513803500054305</c:v>
                </c:pt>
                <c:pt idx="68">
                  <c:v>12.286450277462491</c:v>
                </c:pt>
                <c:pt idx="69">
                  <c:v>13.469744272612445</c:v>
                </c:pt>
                <c:pt idx="70">
                  <c:v>13.751563086403623</c:v>
                </c:pt>
                <c:pt idx="71">
                  <c:v>14.625282486516301</c:v>
                </c:pt>
                <c:pt idx="72">
                  <c:v>14.063617799015089</c:v>
                </c:pt>
                <c:pt idx="73">
                  <c:v>14.374991004313253</c:v>
                </c:pt>
                <c:pt idx="74">
                  <c:v>13.027294357247357</c:v>
                </c:pt>
                <c:pt idx="75">
                  <c:v>14.470793688857551</c:v>
                </c:pt>
                <c:pt idx="76">
                  <c:v>14.183160370856843</c:v>
                </c:pt>
                <c:pt idx="77">
                  <c:v>14.411771607325369</c:v>
                </c:pt>
                <c:pt idx="78">
                  <c:v>17.088019582228778</c:v>
                </c:pt>
                <c:pt idx="79">
                  <c:v>18.699546363680035</c:v>
                </c:pt>
                <c:pt idx="80">
                  <c:v>20.144850861562695</c:v>
                </c:pt>
                <c:pt idx="81">
                  <c:v>20.068171174398323</c:v>
                </c:pt>
                <c:pt idx="82">
                  <c:v>24.823925269486256</c:v>
                </c:pt>
                <c:pt idx="83">
                  <c:v>26.44788755670459</c:v>
                </c:pt>
                <c:pt idx="84">
                  <c:v>25.684751967082107</c:v>
                </c:pt>
                <c:pt idx="85">
                  <c:v>23.361994915147246</c:v>
                </c:pt>
                <c:pt idx="86">
                  <c:v>24.742653623275071</c:v>
                </c:pt>
                <c:pt idx="87">
                  <c:v>25.551538641685472</c:v>
                </c:pt>
                <c:pt idx="88">
                  <c:v>27.533109605442231</c:v>
                </c:pt>
                <c:pt idx="89">
                  <c:v>26.316625706413674</c:v>
                </c:pt>
                <c:pt idx="90">
                  <c:v>22.780515145650718</c:v>
                </c:pt>
                <c:pt idx="91">
                  <c:v>25.813383011777194</c:v>
                </c:pt>
                <c:pt idx="92">
                  <c:v>26.482735156956739</c:v>
                </c:pt>
                <c:pt idx="93">
                  <c:v>27.152613085039981</c:v>
                </c:pt>
                <c:pt idx="94">
                  <c:v>27.628741338579413</c:v>
                </c:pt>
                <c:pt idx="95">
                  <c:v>27.84043871286044</c:v>
                </c:pt>
                <c:pt idx="96">
                  <c:v>26.018338443627783</c:v>
                </c:pt>
                <c:pt idx="97">
                  <c:v>25.852395945284709</c:v>
                </c:pt>
                <c:pt idx="98">
                  <c:v>25.439112749779255</c:v>
                </c:pt>
                <c:pt idx="99">
                  <c:v>26.074698631122658</c:v>
                </c:pt>
                <c:pt idx="100">
                  <c:v>24.924817956881309</c:v>
                </c:pt>
                <c:pt idx="101">
                  <c:v>26.924789955057925</c:v>
                </c:pt>
                <c:pt idx="102">
                  <c:v>26.188250290454352</c:v>
                </c:pt>
                <c:pt idx="103">
                  <c:v>28.82680744816728</c:v>
                </c:pt>
                <c:pt idx="104">
                  <c:v>31.115313989839088</c:v>
                </c:pt>
                <c:pt idx="105">
                  <c:v>28.946724201143805</c:v>
                </c:pt>
                <c:pt idx="106">
                  <c:v>29.693856480786614</c:v>
                </c:pt>
                <c:pt idx="107">
                  <c:v>28.392703806130537</c:v>
                </c:pt>
                <c:pt idx="108">
                  <c:v>28.868769541212892</c:v>
                </c:pt>
                <c:pt idx="109">
                  <c:v>28.309954401998873</c:v>
                </c:pt>
                <c:pt idx="110">
                  <c:v>27.966487195869519</c:v>
                </c:pt>
                <c:pt idx="111">
                  <c:v>29.344321609071848</c:v>
                </c:pt>
                <c:pt idx="112">
                  <c:v>32.432609905239509</c:v>
                </c:pt>
                <c:pt idx="113">
                  <c:v>34.526677945320188</c:v>
                </c:pt>
                <c:pt idx="114">
                  <c:v>33.68083936840646</c:v>
                </c:pt>
                <c:pt idx="115">
                  <c:v>35.206674828327515</c:v>
                </c:pt>
                <c:pt idx="116">
                  <c:v>36.882925376897518</c:v>
                </c:pt>
                <c:pt idx="117">
                  <c:v>37.782099416500373</c:v>
                </c:pt>
                <c:pt idx="118">
                  <c:v>33.916601663169295</c:v>
                </c:pt>
                <c:pt idx="119">
                  <c:v>35.305779891556234</c:v>
                </c:pt>
                <c:pt idx="120">
                  <c:v>32.290769427239624</c:v>
                </c:pt>
                <c:pt idx="121">
                  <c:v>33.432532959054839</c:v>
                </c:pt>
                <c:pt idx="122">
                  <c:v>29.399502022360185</c:v>
                </c:pt>
                <c:pt idx="123">
                  <c:v>33.648390471846163</c:v>
                </c:pt>
                <c:pt idx="124">
                  <c:v>34.533262797344506</c:v>
                </c:pt>
                <c:pt idx="125">
                  <c:v>30.318440390962852</c:v>
                </c:pt>
                <c:pt idx="126">
                  <c:v>34.81606908813287</c:v>
                </c:pt>
                <c:pt idx="127">
                  <c:v>36.265015326307108</c:v>
                </c:pt>
                <c:pt idx="128">
                  <c:v>40.333495407831315</c:v>
                </c:pt>
                <c:pt idx="129">
                  <c:v>42.338937627546159</c:v>
                </c:pt>
                <c:pt idx="130">
                  <c:v>41.568206628565406</c:v>
                </c:pt>
                <c:pt idx="131">
                  <c:v>36.74280004870522</c:v>
                </c:pt>
                <c:pt idx="132">
                  <c:v>35.89515186496444</c:v>
                </c:pt>
                <c:pt idx="133">
                  <c:v>38.190336734022218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20-4C2B-ADEB-C2A5F551AA22}"/>
            </c:ext>
          </c:extLst>
        </c:ser>
        <c:ser>
          <c:idx val="4"/>
          <c:order val="4"/>
          <c:tx>
            <c:strRef>
              <c:f>'RF再投資累積報酬 '!$A$16</c:f>
              <c:strCache>
                <c:ptCount val="1"/>
                <c:pt idx="0">
                  <c:v>107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'RF再投資累積報酬 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'RF再投資累積報酬 '!$C$16:$EF$16</c:f>
              <c:numCache>
                <c:formatCode>General</c:formatCode>
                <c:ptCount val="134"/>
                <c:pt idx="0">
                  <c:v>0.20787511111111101</c:v>
                </c:pt>
                <c:pt idx="1">
                  <c:v>0.70092422892449369</c:v>
                </c:pt>
                <c:pt idx="2">
                  <c:v>0.81149261943414919</c:v>
                </c:pt>
                <c:pt idx="3">
                  <c:v>1.0060823515059347</c:v>
                </c:pt>
                <c:pt idx="4">
                  <c:v>1.2247725213808467</c:v>
                </c:pt>
                <c:pt idx="5">
                  <c:v>1.3868444803970261</c:v>
                </c:pt>
                <c:pt idx="6">
                  <c:v>1.65367459854957</c:v>
                </c:pt>
                <c:pt idx="7">
                  <c:v>1.4713845499404714</c:v>
                </c:pt>
                <c:pt idx="8">
                  <c:v>1.5156827450067376</c:v>
                </c:pt>
                <c:pt idx="9">
                  <c:v>1.5937357154548417</c:v>
                </c:pt>
                <c:pt idx="10">
                  <c:v>1.6983526312390946</c:v>
                </c:pt>
                <c:pt idx="11">
                  <c:v>2.6886153668553083</c:v>
                </c:pt>
                <c:pt idx="12">
                  <c:v>2.7462356373471071</c:v>
                </c:pt>
                <c:pt idx="13">
                  <c:v>2.9784264896530726</c:v>
                </c:pt>
                <c:pt idx="14">
                  <c:v>3.3628216150359647</c:v>
                </c:pt>
                <c:pt idx="15">
                  <c:v>3.4465111982874133</c:v>
                </c:pt>
                <c:pt idx="16">
                  <c:v>3.2579119317552534</c:v>
                </c:pt>
                <c:pt idx="17">
                  <c:v>2.9716990934688288</c:v>
                </c:pt>
                <c:pt idx="18">
                  <c:v>3.1649209304663897</c:v>
                </c:pt>
                <c:pt idx="19">
                  <c:v>2.7304562780668036</c:v>
                </c:pt>
                <c:pt idx="20">
                  <c:v>3.1349300240393072</c:v>
                </c:pt>
                <c:pt idx="21">
                  <c:v>3.4395847766604835</c:v>
                </c:pt>
                <c:pt idx="22">
                  <c:v>3.4205453707021762</c:v>
                </c:pt>
                <c:pt idx="23">
                  <c:v>3.3317994841833753</c:v>
                </c:pt>
                <c:pt idx="24">
                  <c:v>3.5493756647417767</c:v>
                </c:pt>
                <c:pt idx="25">
                  <c:v>3.4024516922326784</c:v>
                </c:pt>
                <c:pt idx="26">
                  <c:v>3.2217745856221498</c:v>
                </c:pt>
                <c:pt idx="27">
                  <c:v>3.4461030345142989</c:v>
                </c:pt>
                <c:pt idx="28">
                  <c:v>3.6752285082949587</c:v>
                </c:pt>
                <c:pt idx="29">
                  <c:v>3.9599223642842887</c:v>
                </c:pt>
                <c:pt idx="30">
                  <c:v>3.9187472932259402</c:v>
                </c:pt>
                <c:pt idx="31">
                  <c:v>3.7625013157470164</c:v>
                </c:pt>
                <c:pt idx="32">
                  <c:v>3.9962355609497102</c:v>
                </c:pt>
                <c:pt idx="33">
                  <c:v>3.9611321794113774</c:v>
                </c:pt>
                <c:pt idx="34">
                  <c:v>4.2807352641236172</c:v>
                </c:pt>
                <c:pt idx="35">
                  <c:v>4.5378486301412293</c:v>
                </c:pt>
                <c:pt idx="36">
                  <c:v>4.9037715621886075</c:v>
                </c:pt>
                <c:pt idx="37">
                  <c:v>5.5322646488966942</c:v>
                </c:pt>
                <c:pt idx="38">
                  <c:v>5.9163307967973298</c:v>
                </c:pt>
                <c:pt idx="39">
                  <c:v>5.3782515472514199</c:v>
                </c:pt>
                <c:pt idx="40">
                  <c:v>5.1329044466528746</c:v>
                </c:pt>
                <c:pt idx="41">
                  <c:v>5.7663793780129868</c:v>
                </c:pt>
                <c:pt idx="42">
                  <c:v>6.2066556770239529</c:v>
                </c:pt>
                <c:pt idx="43">
                  <c:v>6.638097535206084</c:v>
                </c:pt>
                <c:pt idx="44">
                  <c:v>6.9575750053862624</c:v>
                </c:pt>
                <c:pt idx="45">
                  <c:v>6.8853798521973886</c:v>
                </c:pt>
                <c:pt idx="46">
                  <c:v>7.194904116147752</c:v>
                </c:pt>
                <c:pt idx="47">
                  <c:v>8.0211944399350301</c:v>
                </c:pt>
                <c:pt idx="48">
                  <c:v>8.3262243874386481</c:v>
                </c:pt>
                <c:pt idx="49">
                  <c:v>7.3478135893576511</c:v>
                </c:pt>
                <c:pt idx="50">
                  <c:v>8.6833895608674148</c:v>
                </c:pt>
                <c:pt idx="51">
                  <c:v>9.9661869095537643</c:v>
                </c:pt>
                <c:pt idx="52">
                  <c:v>10.691076484458087</c:v>
                </c:pt>
                <c:pt idx="53">
                  <c:v>11.111215327741158</c:v>
                </c:pt>
                <c:pt idx="54">
                  <c:v>11.733864951065938</c:v>
                </c:pt>
                <c:pt idx="55">
                  <c:v>12.552245675441</c:v>
                </c:pt>
                <c:pt idx="56">
                  <c:v>12.739887617461488</c:v>
                </c:pt>
                <c:pt idx="57">
                  <c:v>12.665520749609744</c:v>
                </c:pt>
                <c:pt idx="58">
                  <c:v>13.380716167860353</c:v>
                </c:pt>
                <c:pt idx="59">
                  <c:v>13.085856605533591</c:v>
                </c:pt>
                <c:pt idx="60">
                  <c:v>13.055953010722037</c:v>
                </c:pt>
                <c:pt idx="61">
                  <c:v>14.048634531756623</c:v>
                </c:pt>
                <c:pt idx="62">
                  <c:v>13.45424378336034</c:v>
                </c:pt>
                <c:pt idx="63">
                  <c:v>14.146686366463801</c:v>
                </c:pt>
                <c:pt idx="64">
                  <c:v>14.478252783130854</c:v>
                </c:pt>
                <c:pt idx="65">
                  <c:v>14.660078883010463</c:v>
                </c:pt>
                <c:pt idx="66">
                  <c:v>14.868552958780709</c:v>
                </c:pt>
                <c:pt idx="67">
                  <c:v>14.451260033303411</c:v>
                </c:pt>
                <c:pt idx="68">
                  <c:v>14.247433606353599</c:v>
                </c:pt>
                <c:pt idx="69">
                  <c:v>15.550832889668598</c:v>
                </c:pt>
                <c:pt idx="70">
                  <c:v>16.506893575190524</c:v>
                </c:pt>
                <c:pt idx="71">
                  <c:v>17.62352681067998</c:v>
                </c:pt>
                <c:pt idx="72">
                  <c:v>16.399198886192945</c:v>
                </c:pt>
                <c:pt idx="73">
                  <c:v>16.948304336519705</c:v>
                </c:pt>
                <c:pt idx="74">
                  <c:v>15.559917270237662</c:v>
                </c:pt>
                <c:pt idx="75">
                  <c:v>17.406776094918033</c:v>
                </c:pt>
                <c:pt idx="76">
                  <c:v>17.091723806793453</c:v>
                </c:pt>
                <c:pt idx="77">
                  <c:v>17.065888011264857</c:v>
                </c:pt>
                <c:pt idx="78">
                  <c:v>17.86776653849553</c:v>
                </c:pt>
                <c:pt idx="79">
                  <c:v>19.523413052248515</c:v>
                </c:pt>
                <c:pt idx="80">
                  <c:v>21.444687280963247</c:v>
                </c:pt>
                <c:pt idx="81">
                  <c:v>21.114840156682209</c:v>
                </c:pt>
                <c:pt idx="82">
                  <c:v>24.347956071455293</c:v>
                </c:pt>
                <c:pt idx="83">
                  <c:v>25.404900307640879</c:v>
                </c:pt>
                <c:pt idx="84">
                  <c:v>24.382769737038316</c:v>
                </c:pt>
                <c:pt idx="85">
                  <c:v>23.227255929782608</c:v>
                </c:pt>
                <c:pt idx="86">
                  <c:v>25.079986478025187</c:v>
                </c:pt>
                <c:pt idx="87">
                  <c:v>25.601465443654789</c:v>
                </c:pt>
                <c:pt idx="88">
                  <c:v>27.968693360252267</c:v>
                </c:pt>
                <c:pt idx="89">
                  <c:v>27.011060340882189</c:v>
                </c:pt>
                <c:pt idx="90">
                  <c:v>22.224567013306142</c:v>
                </c:pt>
                <c:pt idx="91">
                  <c:v>25.420588305614782</c:v>
                </c:pt>
                <c:pt idx="92">
                  <c:v>25.957818730945554</c:v>
                </c:pt>
                <c:pt idx="93">
                  <c:v>26.637949520961353</c:v>
                </c:pt>
                <c:pt idx="94">
                  <c:v>27.240684065881037</c:v>
                </c:pt>
                <c:pt idx="95">
                  <c:v>27.383791091904676</c:v>
                </c:pt>
                <c:pt idx="96">
                  <c:v>25.564010618197216</c:v>
                </c:pt>
                <c:pt idx="97">
                  <c:v>25.089551902562715</c:v>
                </c:pt>
                <c:pt idx="98">
                  <c:v>24.765432477164623</c:v>
                </c:pt>
                <c:pt idx="99">
                  <c:v>25.080808707501518</c:v>
                </c:pt>
                <c:pt idx="100">
                  <c:v>23.799796345213853</c:v>
                </c:pt>
                <c:pt idx="101">
                  <c:v>26.345080271077087</c:v>
                </c:pt>
                <c:pt idx="102">
                  <c:v>25.530065787580117</c:v>
                </c:pt>
                <c:pt idx="103">
                  <c:v>28.130454402526095</c:v>
                </c:pt>
                <c:pt idx="104">
                  <c:v>29.987232802860262</c:v>
                </c:pt>
                <c:pt idx="105">
                  <c:v>27.682708856285675</c:v>
                </c:pt>
                <c:pt idx="106">
                  <c:v>26.788005446508436</c:v>
                </c:pt>
                <c:pt idx="107">
                  <c:v>26.144812233969354</c:v>
                </c:pt>
                <c:pt idx="108">
                  <c:v>26.537134783652146</c:v>
                </c:pt>
                <c:pt idx="109">
                  <c:v>26.010367475628705</c:v>
                </c:pt>
                <c:pt idx="110">
                  <c:v>25.652927784172043</c:v>
                </c:pt>
                <c:pt idx="111">
                  <c:v>27.03229971722272</c:v>
                </c:pt>
                <c:pt idx="112">
                  <c:v>30.777256762680533</c:v>
                </c:pt>
                <c:pt idx="113">
                  <c:v>33.049151871472482</c:v>
                </c:pt>
                <c:pt idx="114">
                  <c:v>32.016408756744731</c:v>
                </c:pt>
                <c:pt idx="115">
                  <c:v>33.41755427001771</c:v>
                </c:pt>
                <c:pt idx="116">
                  <c:v>35.221442285855133</c:v>
                </c:pt>
                <c:pt idx="117">
                  <c:v>35.940146281156473</c:v>
                </c:pt>
                <c:pt idx="118">
                  <c:v>32.872870805531953</c:v>
                </c:pt>
                <c:pt idx="119">
                  <c:v>34.742356942251583</c:v>
                </c:pt>
                <c:pt idx="120">
                  <c:v>31.391437171314614</c:v>
                </c:pt>
                <c:pt idx="121">
                  <c:v>32.429885052735507</c:v>
                </c:pt>
                <c:pt idx="122">
                  <c:v>28.325597775156009</c:v>
                </c:pt>
                <c:pt idx="123">
                  <c:v>32.341847834116329</c:v>
                </c:pt>
                <c:pt idx="124">
                  <c:v>33.706120551480922</c:v>
                </c:pt>
                <c:pt idx="125">
                  <c:v>29.357974430544079</c:v>
                </c:pt>
                <c:pt idx="126">
                  <c:v>34.141534431297231</c:v>
                </c:pt>
                <c:pt idx="127">
                  <c:v>36.208223689661565</c:v>
                </c:pt>
                <c:pt idx="128">
                  <c:v>41.409896860208811</c:v>
                </c:pt>
                <c:pt idx="129">
                  <c:v>44.716926588686924</c:v>
                </c:pt>
                <c:pt idx="130">
                  <c:v>43.576908988637385</c:v>
                </c:pt>
                <c:pt idx="131">
                  <c:v>38.43198713961344</c:v>
                </c:pt>
                <c:pt idx="132">
                  <c:v>37.128433880071789</c:v>
                </c:pt>
                <c:pt idx="133">
                  <c:v>38.649526064382577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20-4C2B-ADEB-C2A5F551AA22}"/>
            </c:ext>
          </c:extLst>
        </c:ser>
        <c:ser>
          <c:idx val="5"/>
          <c:order val="5"/>
          <c:tx>
            <c:strRef>
              <c:f>'RF再投資累積報酬 '!$A$17</c:f>
              <c:strCache>
                <c:ptCount val="1"/>
                <c:pt idx="0">
                  <c:v>120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'RF再投資累積報酬 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'RF再投資累積報酬 '!$C$17:$EF$17</c:f>
              <c:numCache>
                <c:formatCode>General</c:formatCode>
                <c:ptCount val="134"/>
                <c:pt idx="0">
                  <c:v>0.20609237499999988</c:v>
                </c:pt>
                <c:pt idx="1">
                  <c:v>0.73627656222614046</c:v>
                </c:pt>
                <c:pt idx="2">
                  <c:v>0.87446334126059444</c:v>
                </c:pt>
                <c:pt idx="3">
                  <c:v>1.1495820747840941</c:v>
                </c:pt>
                <c:pt idx="4">
                  <c:v>1.4013682658565014</c:v>
                </c:pt>
                <c:pt idx="5">
                  <c:v>1.653499326588038</c:v>
                </c:pt>
                <c:pt idx="6">
                  <c:v>1.8325820060149698</c:v>
                </c:pt>
                <c:pt idx="7">
                  <c:v>1.5059899036672038</c:v>
                </c:pt>
                <c:pt idx="8">
                  <c:v>1.604835542929977</c:v>
                </c:pt>
                <c:pt idx="9">
                  <c:v>1.6928135377879943</c:v>
                </c:pt>
                <c:pt idx="10">
                  <c:v>1.8676634006276491</c:v>
                </c:pt>
                <c:pt idx="11">
                  <c:v>3.029377502444965</c:v>
                </c:pt>
                <c:pt idx="12">
                  <c:v>3.1286296327573764</c:v>
                </c:pt>
                <c:pt idx="13">
                  <c:v>3.4461857613544309</c:v>
                </c:pt>
                <c:pt idx="14">
                  <c:v>3.9194038716265664</c:v>
                </c:pt>
                <c:pt idx="15">
                  <c:v>3.9291196942730293</c:v>
                </c:pt>
                <c:pt idx="16">
                  <c:v>3.6573686995682921</c:v>
                </c:pt>
                <c:pt idx="17">
                  <c:v>3.3257546657369899</c:v>
                </c:pt>
                <c:pt idx="18">
                  <c:v>3.5519413478570456</c:v>
                </c:pt>
                <c:pt idx="19">
                  <c:v>3.0222996433344704</c:v>
                </c:pt>
                <c:pt idx="20">
                  <c:v>3.5190572715194914</c:v>
                </c:pt>
                <c:pt idx="21">
                  <c:v>3.9718052379704201</c:v>
                </c:pt>
                <c:pt idx="22">
                  <c:v>3.979258595497793</c:v>
                </c:pt>
                <c:pt idx="23">
                  <c:v>3.871664286136979</c:v>
                </c:pt>
                <c:pt idx="24">
                  <c:v>4.1749552268927586</c:v>
                </c:pt>
                <c:pt idx="25">
                  <c:v>3.9444715015916367</c:v>
                </c:pt>
                <c:pt idx="26">
                  <c:v>3.7427413907392619</c:v>
                </c:pt>
                <c:pt idx="27">
                  <c:v>3.9788226096593489</c:v>
                </c:pt>
                <c:pt idx="28">
                  <c:v>4.2747800067509818</c:v>
                </c:pt>
                <c:pt idx="29">
                  <c:v>4.5822395772224835</c:v>
                </c:pt>
                <c:pt idx="30">
                  <c:v>4.5746965759937614</c:v>
                </c:pt>
                <c:pt idx="31">
                  <c:v>4.299097278316883</c:v>
                </c:pt>
                <c:pt idx="32">
                  <c:v>4.461184521929078</c:v>
                </c:pt>
                <c:pt idx="33">
                  <c:v>4.2285236955454879</c:v>
                </c:pt>
                <c:pt idx="34">
                  <c:v>4.3948560324097556</c:v>
                </c:pt>
                <c:pt idx="35">
                  <c:v>4.6685068987527556</c:v>
                </c:pt>
                <c:pt idx="36">
                  <c:v>5.0957386788780212</c:v>
                </c:pt>
                <c:pt idx="37">
                  <c:v>5.7863073601893413</c:v>
                </c:pt>
                <c:pt idx="38">
                  <c:v>5.8720342654326787</c:v>
                </c:pt>
                <c:pt idx="39">
                  <c:v>5.3412189979828302</c:v>
                </c:pt>
                <c:pt idx="40">
                  <c:v>4.9574031643989276</c:v>
                </c:pt>
                <c:pt idx="41">
                  <c:v>5.6511406577115748</c:v>
                </c:pt>
                <c:pt idx="42">
                  <c:v>6.0257565911462168</c:v>
                </c:pt>
                <c:pt idx="43">
                  <c:v>6.3929774768151066</c:v>
                </c:pt>
                <c:pt idx="44">
                  <c:v>6.7822046645887077</c:v>
                </c:pt>
                <c:pt idx="45">
                  <c:v>6.6148221822056721</c:v>
                </c:pt>
                <c:pt idx="46">
                  <c:v>6.7607524348015708</c:v>
                </c:pt>
                <c:pt idx="47">
                  <c:v>7.507651583575397</c:v>
                </c:pt>
                <c:pt idx="48">
                  <c:v>7.7409628401526795</c:v>
                </c:pt>
                <c:pt idx="49">
                  <c:v>6.647373768736526</c:v>
                </c:pt>
                <c:pt idx="50">
                  <c:v>7.89241592621633</c:v>
                </c:pt>
                <c:pt idx="51">
                  <c:v>9.2553631845394513</c:v>
                </c:pt>
                <c:pt idx="52">
                  <c:v>10.103651667101166</c:v>
                </c:pt>
                <c:pt idx="53">
                  <c:v>10.351890258464756</c:v>
                </c:pt>
                <c:pt idx="54">
                  <c:v>11.229961719816883</c:v>
                </c:pt>
                <c:pt idx="55">
                  <c:v>11.905024990374109</c:v>
                </c:pt>
                <c:pt idx="56">
                  <c:v>11.448261489142787</c:v>
                </c:pt>
                <c:pt idx="57">
                  <c:v>11.426708758854422</c:v>
                </c:pt>
                <c:pt idx="58">
                  <c:v>12.661493546414453</c:v>
                </c:pt>
                <c:pt idx="59">
                  <c:v>12.526817664965495</c:v>
                </c:pt>
                <c:pt idx="60">
                  <c:v>12.33983711272162</c:v>
                </c:pt>
                <c:pt idx="61">
                  <c:v>13.326068681643822</c:v>
                </c:pt>
                <c:pt idx="62">
                  <c:v>12.909767292054541</c:v>
                </c:pt>
                <c:pt idx="63">
                  <c:v>13.573675191595896</c:v>
                </c:pt>
                <c:pt idx="64">
                  <c:v>13.863488472681077</c:v>
                </c:pt>
                <c:pt idx="65">
                  <c:v>14.262387360595948</c:v>
                </c:pt>
                <c:pt idx="66">
                  <c:v>14.436020069841559</c:v>
                </c:pt>
                <c:pt idx="67">
                  <c:v>14.421850646132748</c:v>
                </c:pt>
                <c:pt idx="68">
                  <c:v>14.358567558377954</c:v>
                </c:pt>
                <c:pt idx="69">
                  <c:v>16.039046405252428</c:v>
                </c:pt>
                <c:pt idx="70">
                  <c:v>17.250996609650883</c:v>
                </c:pt>
                <c:pt idx="71">
                  <c:v>18.609726743727613</c:v>
                </c:pt>
                <c:pt idx="72">
                  <c:v>17.032482838125976</c:v>
                </c:pt>
                <c:pt idx="73">
                  <c:v>17.552232452974135</c:v>
                </c:pt>
                <c:pt idx="74">
                  <c:v>15.693631399325938</c:v>
                </c:pt>
                <c:pt idx="75">
                  <c:v>17.70651868841524</c:v>
                </c:pt>
                <c:pt idx="76">
                  <c:v>17.183955224843409</c:v>
                </c:pt>
                <c:pt idx="77">
                  <c:v>17.159674001516645</c:v>
                </c:pt>
                <c:pt idx="78">
                  <c:v>17.917994748308978</c:v>
                </c:pt>
                <c:pt idx="79">
                  <c:v>19.130725707401293</c:v>
                </c:pt>
                <c:pt idx="80">
                  <c:v>21.057389654383115</c:v>
                </c:pt>
                <c:pt idx="81">
                  <c:v>18.959208035246991</c:v>
                </c:pt>
                <c:pt idx="82">
                  <c:v>22.492693914469957</c:v>
                </c:pt>
                <c:pt idx="83">
                  <c:v>23.870222006841541</c:v>
                </c:pt>
                <c:pt idx="84">
                  <c:v>23.508828210127991</c:v>
                </c:pt>
                <c:pt idx="85">
                  <c:v>22.265193369882713</c:v>
                </c:pt>
                <c:pt idx="86">
                  <c:v>24.399509002246091</c:v>
                </c:pt>
                <c:pt idx="87">
                  <c:v>24.160084473426807</c:v>
                </c:pt>
                <c:pt idx="88">
                  <c:v>27.545860546858883</c:v>
                </c:pt>
                <c:pt idx="89">
                  <c:v>26.783170499160359</c:v>
                </c:pt>
                <c:pt idx="90">
                  <c:v>21.156005285246835</c:v>
                </c:pt>
                <c:pt idx="91">
                  <c:v>24.438622836641489</c:v>
                </c:pt>
                <c:pt idx="92">
                  <c:v>23.118177612188735</c:v>
                </c:pt>
                <c:pt idx="93">
                  <c:v>23.673061509740162</c:v>
                </c:pt>
                <c:pt idx="94">
                  <c:v>23.957952098595065</c:v>
                </c:pt>
                <c:pt idx="95">
                  <c:v>25.187382226330641</c:v>
                </c:pt>
                <c:pt idx="96">
                  <c:v>23.238823434833595</c:v>
                </c:pt>
                <c:pt idx="97">
                  <c:v>23.332860566685877</c:v>
                </c:pt>
                <c:pt idx="98">
                  <c:v>22.851998130970376</c:v>
                </c:pt>
                <c:pt idx="99">
                  <c:v>23.108941265021652</c:v>
                </c:pt>
                <c:pt idx="100">
                  <c:v>21.918362216802418</c:v>
                </c:pt>
                <c:pt idx="101">
                  <c:v>24.765942087610934</c:v>
                </c:pt>
                <c:pt idx="102">
                  <c:v>23.634923922991479</c:v>
                </c:pt>
                <c:pt idx="103">
                  <c:v>26.203632075365725</c:v>
                </c:pt>
                <c:pt idx="104">
                  <c:v>27.669567798826996</c:v>
                </c:pt>
                <c:pt idx="105">
                  <c:v>26.289701500669452</c:v>
                </c:pt>
                <c:pt idx="106">
                  <c:v>25.384203807245321</c:v>
                </c:pt>
                <c:pt idx="107">
                  <c:v>25.087873043512094</c:v>
                </c:pt>
                <c:pt idx="108">
                  <c:v>25.268781392957585</c:v>
                </c:pt>
                <c:pt idx="109">
                  <c:v>24.251479465385554</c:v>
                </c:pt>
                <c:pt idx="110">
                  <c:v>24.117817215038293</c:v>
                </c:pt>
                <c:pt idx="111">
                  <c:v>25.553209416790331</c:v>
                </c:pt>
                <c:pt idx="112">
                  <c:v>29.696477369216936</c:v>
                </c:pt>
                <c:pt idx="113">
                  <c:v>31.953147349669194</c:v>
                </c:pt>
                <c:pt idx="114">
                  <c:v>30.231249487801044</c:v>
                </c:pt>
                <c:pt idx="115">
                  <c:v>31.339616322583296</c:v>
                </c:pt>
                <c:pt idx="116">
                  <c:v>33.068213131292076</c:v>
                </c:pt>
                <c:pt idx="117">
                  <c:v>32.493189071145061</c:v>
                </c:pt>
                <c:pt idx="118">
                  <c:v>28.885889920310404</c:v>
                </c:pt>
                <c:pt idx="119">
                  <c:v>30.556057345921275</c:v>
                </c:pt>
                <c:pt idx="120">
                  <c:v>26.633129478095949</c:v>
                </c:pt>
                <c:pt idx="121">
                  <c:v>27.095790964947707</c:v>
                </c:pt>
                <c:pt idx="122">
                  <c:v>23.457554609732767</c:v>
                </c:pt>
                <c:pt idx="123">
                  <c:v>26.337808265168352</c:v>
                </c:pt>
                <c:pt idx="124">
                  <c:v>27.668653324808364</c:v>
                </c:pt>
                <c:pt idx="125">
                  <c:v>23.954945140701668</c:v>
                </c:pt>
                <c:pt idx="126">
                  <c:v>26.632167804022707</c:v>
                </c:pt>
                <c:pt idx="127">
                  <c:v>27.992002045994273</c:v>
                </c:pt>
                <c:pt idx="128">
                  <c:v>32.763259977522665</c:v>
                </c:pt>
                <c:pt idx="129">
                  <c:v>35.704051711517657</c:v>
                </c:pt>
                <c:pt idx="130">
                  <c:v>34.956780158703481</c:v>
                </c:pt>
                <c:pt idx="131">
                  <c:v>30.342646339363693</c:v>
                </c:pt>
                <c:pt idx="132">
                  <c:v>29.546124374871482</c:v>
                </c:pt>
                <c:pt idx="133">
                  <c:v>31.00347285185056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20-4C2B-ADEB-C2A5F551AA22}"/>
            </c:ext>
          </c:extLst>
        </c:ser>
        <c:ser>
          <c:idx val="6"/>
          <c:order val="6"/>
          <c:tx>
            <c:strRef>
              <c:f>'RF再投資累積報酬 '!$A$18</c:f>
              <c:strCache>
                <c:ptCount val="1"/>
                <c:pt idx="0">
                  <c:v>137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'RF再投資累積報酬 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'RF再投資累積報酬 '!$C$18:$EF$18</c:f>
              <c:numCache>
                <c:formatCode>General</c:formatCode>
                <c:ptCount val="134"/>
                <c:pt idx="0">
                  <c:v>0.18975114285714278</c:v>
                </c:pt>
                <c:pt idx="1">
                  <c:v>0.66789309115314288</c:v>
                </c:pt>
                <c:pt idx="2">
                  <c:v>0.7570217238877428</c:v>
                </c:pt>
                <c:pt idx="3">
                  <c:v>1.1296699673257145</c:v>
                </c:pt>
                <c:pt idx="4">
                  <c:v>1.413041115030973</c:v>
                </c:pt>
                <c:pt idx="5">
                  <c:v>1.7232134199570543</c:v>
                </c:pt>
                <c:pt idx="6">
                  <c:v>1.8728609999324886</c:v>
                </c:pt>
                <c:pt idx="7">
                  <c:v>1.5132912547286526</c:v>
                </c:pt>
                <c:pt idx="8">
                  <c:v>1.5926742770924727</c:v>
                </c:pt>
                <c:pt idx="9">
                  <c:v>1.7136784598068138</c:v>
                </c:pt>
                <c:pt idx="10">
                  <c:v>1.9031103221377004</c:v>
                </c:pt>
                <c:pt idx="11">
                  <c:v>3.2438259752974705</c:v>
                </c:pt>
                <c:pt idx="12">
                  <c:v>3.3470534045814597</c:v>
                </c:pt>
                <c:pt idx="13">
                  <c:v>3.5842708668542116</c:v>
                </c:pt>
                <c:pt idx="14">
                  <c:v>4.1423541081225004</c:v>
                </c:pt>
                <c:pt idx="15">
                  <c:v>4.2417381821041378</c:v>
                </c:pt>
                <c:pt idx="16">
                  <c:v>3.8799886073031038</c:v>
                </c:pt>
                <c:pt idx="17">
                  <c:v>3.600822116588982</c:v>
                </c:pt>
                <c:pt idx="18">
                  <c:v>3.7302596742361898</c:v>
                </c:pt>
                <c:pt idx="19">
                  <c:v>3.1093989012136669</c:v>
                </c:pt>
                <c:pt idx="20">
                  <c:v>3.6761558471628932</c:v>
                </c:pt>
                <c:pt idx="21">
                  <c:v>4.2706041429663095</c:v>
                </c:pt>
                <c:pt idx="22">
                  <c:v>4.3982152575323603</c:v>
                </c:pt>
                <c:pt idx="23">
                  <c:v>4.3069553439093431</c:v>
                </c:pt>
                <c:pt idx="24">
                  <c:v>4.5978060640782052</c:v>
                </c:pt>
                <c:pt idx="25">
                  <c:v>4.2471325932958841</c:v>
                </c:pt>
                <c:pt idx="26">
                  <c:v>3.8550675955151865</c:v>
                </c:pt>
                <c:pt idx="27">
                  <c:v>4.2067870884152523</c:v>
                </c:pt>
                <c:pt idx="28">
                  <c:v>4.6087562584279986</c:v>
                </c:pt>
                <c:pt idx="29">
                  <c:v>4.7673945523871391</c:v>
                </c:pt>
                <c:pt idx="30">
                  <c:v>4.7176919700481745</c:v>
                </c:pt>
                <c:pt idx="31">
                  <c:v>4.4878552702521732</c:v>
                </c:pt>
                <c:pt idx="32">
                  <c:v>4.7449916998109023</c:v>
                </c:pt>
                <c:pt idx="33">
                  <c:v>4.4727149640117903</c:v>
                </c:pt>
                <c:pt idx="34">
                  <c:v>4.4607435041810364</c:v>
                </c:pt>
                <c:pt idx="35">
                  <c:v>4.7111738871241542</c:v>
                </c:pt>
                <c:pt idx="36">
                  <c:v>5.0917859639351351</c:v>
                </c:pt>
                <c:pt idx="37">
                  <c:v>5.5748319386295231</c:v>
                </c:pt>
                <c:pt idx="38">
                  <c:v>5.6105170688831389</c:v>
                </c:pt>
                <c:pt idx="39">
                  <c:v>5.0930551007765699</c:v>
                </c:pt>
                <c:pt idx="40">
                  <c:v>4.6285763598237342</c:v>
                </c:pt>
                <c:pt idx="41">
                  <c:v>5.4066326916438783</c:v>
                </c:pt>
                <c:pt idx="42">
                  <c:v>5.9564918826405959</c:v>
                </c:pt>
                <c:pt idx="43">
                  <c:v>6.2578864139275812</c:v>
                </c:pt>
                <c:pt idx="44">
                  <c:v>6.7537113923878973</c:v>
                </c:pt>
                <c:pt idx="45">
                  <c:v>6.5306467621630002</c:v>
                </c:pt>
                <c:pt idx="46">
                  <c:v>6.7154340302706412</c:v>
                </c:pt>
                <c:pt idx="47">
                  <c:v>7.5453128135371745</c:v>
                </c:pt>
                <c:pt idx="48">
                  <c:v>7.8425468102062119</c:v>
                </c:pt>
                <c:pt idx="49">
                  <c:v>6.5302325521226221</c:v>
                </c:pt>
                <c:pt idx="50">
                  <c:v>7.7659910468162714</c:v>
                </c:pt>
                <c:pt idx="51">
                  <c:v>9.2321669159024911</c:v>
                </c:pt>
                <c:pt idx="52">
                  <c:v>10.083499294342925</c:v>
                </c:pt>
                <c:pt idx="53">
                  <c:v>9.8173149640439821</c:v>
                </c:pt>
                <c:pt idx="54">
                  <c:v>10.556799738965362</c:v>
                </c:pt>
                <c:pt idx="55">
                  <c:v>11.087078136094881</c:v>
                </c:pt>
                <c:pt idx="56">
                  <c:v>10.670864084172885</c:v>
                </c:pt>
                <c:pt idx="57">
                  <c:v>11.021176646931506</c:v>
                </c:pt>
                <c:pt idx="58">
                  <c:v>12.331484984617543</c:v>
                </c:pt>
                <c:pt idx="59">
                  <c:v>12.410888163073663</c:v>
                </c:pt>
                <c:pt idx="60">
                  <c:v>11.730351954132589</c:v>
                </c:pt>
                <c:pt idx="61">
                  <c:v>12.763517705642478</c:v>
                </c:pt>
                <c:pt idx="62">
                  <c:v>12.377019460002924</c:v>
                </c:pt>
                <c:pt idx="63">
                  <c:v>13.082983496990677</c:v>
                </c:pt>
                <c:pt idx="64">
                  <c:v>13.367846990842194</c:v>
                </c:pt>
                <c:pt idx="65">
                  <c:v>14.041088960738122</c:v>
                </c:pt>
                <c:pt idx="66">
                  <c:v>14.069919481052892</c:v>
                </c:pt>
                <c:pt idx="67">
                  <c:v>13.983294666581189</c:v>
                </c:pt>
                <c:pt idx="68">
                  <c:v>13.661195763772319</c:v>
                </c:pt>
                <c:pt idx="69">
                  <c:v>15.755856455835687</c:v>
                </c:pt>
                <c:pt idx="70">
                  <c:v>17.107676127394328</c:v>
                </c:pt>
                <c:pt idx="71">
                  <c:v>18.57301076020012</c:v>
                </c:pt>
                <c:pt idx="72">
                  <c:v>16.903215937692316</c:v>
                </c:pt>
                <c:pt idx="73">
                  <c:v>17.243707797339042</c:v>
                </c:pt>
                <c:pt idx="74">
                  <c:v>14.998363901240966</c:v>
                </c:pt>
                <c:pt idx="75">
                  <c:v>17.451232859440758</c:v>
                </c:pt>
                <c:pt idx="76">
                  <c:v>17.154600804498561</c:v>
                </c:pt>
                <c:pt idx="77">
                  <c:v>16.708408706369759</c:v>
                </c:pt>
                <c:pt idx="78">
                  <c:v>18.561765702033075</c:v>
                </c:pt>
                <c:pt idx="79">
                  <c:v>19.548558972872133</c:v>
                </c:pt>
                <c:pt idx="80">
                  <c:v>21.136137703607808</c:v>
                </c:pt>
                <c:pt idx="81">
                  <c:v>18.881372853256021</c:v>
                </c:pt>
                <c:pt idx="82">
                  <c:v>23.387329799659799</c:v>
                </c:pt>
                <c:pt idx="83">
                  <c:v>27.354100841460017</c:v>
                </c:pt>
                <c:pt idx="84">
                  <c:v>26.090472367622876</c:v>
                </c:pt>
                <c:pt idx="85">
                  <c:v>24.402365400382205</c:v>
                </c:pt>
                <c:pt idx="86">
                  <c:v>26.705541587017834</c:v>
                </c:pt>
                <c:pt idx="87">
                  <c:v>25.846959457645301</c:v>
                </c:pt>
                <c:pt idx="88">
                  <c:v>30.132695248070945</c:v>
                </c:pt>
                <c:pt idx="89">
                  <c:v>28.949745071881942</c:v>
                </c:pt>
                <c:pt idx="90">
                  <c:v>22.014166444019587</c:v>
                </c:pt>
                <c:pt idx="91">
                  <c:v>25.761772800944946</c:v>
                </c:pt>
                <c:pt idx="92">
                  <c:v>24.738331005372849</c:v>
                </c:pt>
                <c:pt idx="93">
                  <c:v>25.6068636313403</c:v>
                </c:pt>
                <c:pt idx="94">
                  <c:v>26.355295700387305</c:v>
                </c:pt>
                <c:pt idx="95">
                  <c:v>28.952709177529734</c:v>
                </c:pt>
                <c:pt idx="96">
                  <c:v>26.806636766912444</c:v>
                </c:pt>
                <c:pt idx="97">
                  <c:v>29.338160826047275</c:v>
                </c:pt>
                <c:pt idx="98">
                  <c:v>29.081618742231875</c:v>
                </c:pt>
                <c:pt idx="99">
                  <c:v>30.933448782184527</c:v>
                </c:pt>
                <c:pt idx="100">
                  <c:v>29.293429439822063</c:v>
                </c:pt>
                <c:pt idx="101">
                  <c:v>33.317695345838203</c:v>
                </c:pt>
                <c:pt idx="102">
                  <c:v>31.691690698236087</c:v>
                </c:pt>
                <c:pt idx="103">
                  <c:v>35.553037053367547</c:v>
                </c:pt>
                <c:pt idx="104">
                  <c:v>37.351759788139404</c:v>
                </c:pt>
                <c:pt idx="105">
                  <c:v>34.626050910590898</c:v>
                </c:pt>
                <c:pt idx="106">
                  <c:v>33.386216326707014</c:v>
                </c:pt>
                <c:pt idx="107">
                  <c:v>32.181227754807495</c:v>
                </c:pt>
                <c:pt idx="108">
                  <c:v>31.928404280592609</c:v>
                </c:pt>
                <c:pt idx="109">
                  <c:v>31.005157245116479</c:v>
                </c:pt>
                <c:pt idx="110">
                  <c:v>30.489406002406682</c:v>
                </c:pt>
                <c:pt idx="111">
                  <c:v>32.084501863458591</c:v>
                </c:pt>
                <c:pt idx="112">
                  <c:v>37.328846254381588</c:v>
                </c:pt>
                <c:pt idx="113">
                  <c:v>40.448727828071874</c:v>
                </c:pt>
                <c:pt idx="114">
                  <c:v>37.692050004518521</c:v>
                </c:pt>
                <c:pt idx="115">
                  <c:v>37.04503906503296</c:v>
                </c:pt>
                <c:pt idx="116">
                  <c:v>38.646921917626301</c:v>
                </c:pt>
                <c:pt idx="117">
                  <c:v>37.830009522137303</c:v>
                </c:pt>
                <c:pt idx="118">
                  <c:v>33.91876834638289</c:v>
                </c:pt>
                <c:pt idx="119">
                  <c:v>36.601949369949381</c:v>
                </c:pt>
                <c:pt idx="120">
                  <c:v>31.047314263339587</c:v>
                </c:pt>
                <c:pt idx="121">
                  <c:v>30.80991691565227</c:v>
                </c:pt>
                <c:pt idx="122">
                  <c:v>25.761192319562983</c:v>
                </c:pt>
                <c:pt idx="123">
                  <c:v>28.588260968417156</c:v>
                </c:pt>
                <c:pt idx="124">
                  <c:v>31.011796731308969</c:v>
                </c:pt>
                <c:pt idx="125">
                  <c:v>26.094689439456168</c:v>
                </c:pt>
                <c:pt idx="126">
                  <c:v>29.802117726175673</c:v>
                </c:pt>
                <c:pt idx="127">
                  <c:v>31.484828616951589</c:v>
                </c:pt>
                <c:pt idx="128">
                  <c:v>37.947547144802833</c:v>
                </c:pt>
                <c:pt idx="129">
                  <c:v>41.836318658351274</c:v>
                </c:pt>
                <c:pt idx="130">
                  <c:v>40.996775768440344</c:v>
                </c:pt>
                <c:pt idx="131">
                  <c:v>35.953910770280793</c:v>
                </c:pt>
                <c:pt idx="132">
                  <c:v>35.441960382073439</c:v>
                </c:pt>
                <c:pt idx="133">
                  <c:v>37.225977176114966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20-4C2B-ADEB-C2A5F551AA22}"/>
            </c:ext>
          </c:extLst>
        </c:ser>
        <c:ser>
          <c:idx val="7"/>
          <c:order val="7"/>
          <c:tx>
            <c:strRef>
              <c:f>'RF再投資累積報酬 '!$A$19</c:f>
              <c:strCache>
                <c:ptCount val="1"/>
                <c:pt idx="0">
                  <c:v>160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'RF再投資累積報酬 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'RF再投資累積報酬 '!$C$19:$EF$19</c:f>
              <c:numCache>
                <c:formatCode>General</c:formatCode>
                <c:ptCount val="134"/>
                <c:pt idx="0">
                  <c:v>0.19659983333333342</c:v>
                </c:pt>
                <c:pt idx="1">
                  <c:v>0.68423979287977788</c:v>
                </c:pt>
                <c:pt idx="2">
                  <c:v>0.75902453098975431</c:v>
                </c:pt>
                <c:pt idx="3">
                  <c:v>1.1744548203273801</c:v>
                </c:pt>
                <c:pt idx="4">
                  <c:v>1.5068532188458619</c:v>
                </c:pt>
                <c:pt idx="5">
                  <c:v>1.9520958368539452</c:v>
                </c:pt>
                <c:pt idx="6">
                  <c:v>2.0922121455904898</c:v>
                </c:pt>
                <c:pt idx="7">
                  <c:v>1.6091184189283423</c:v>
                </c:pt>
                <c:pt idx="8">
                  <c:v>1.7566366697753413</c:v>
                </c:pt>
                <c:pt idx="9">
                  <c:v>1.8403313751458357</c:v>
                </c:pt>
                <c:pt idx="10">
                  <c:v>2.0840135539075892</c:v>
                </c:pt>
                <c:pt idx="11">
                  <c:v>3.7258637276623654</c:v>
                </c:pt>
                <c:pt idx="12">
                  <c:v>3.632305803445834</c:v>
                </c:pt>
                <c:pt idx="13">
                  <c:v>3.7378544352792815</c:v>
                </c:pt>
                <c:pt idx="14">
                  <c:v>4.5454896330195407</c:v>
                </c:pt>
                <c:pt idx="15">
                  <c:v>4.77808410469728</c:v>
                </c:pt>
                <c:pt idx="16">
                  <c:v>4.3233710349800054</c:v>
                </c:pt>
                <c:pt idx="17">
                  <c:v>4.1788187380719455</c:v>
                </c:pt>
                <c:pt idx="18">
                  <c:v>4.4076405283313731</c:v>
                </c:pt>
                <c:pt idx="19">
                  <c:v>3.7658428236871568</c:v>
                </c:pt>
                <c:pt idx="20">
                  <c:v>4.4646154201001043</c:v>
                </c:pt>
                <c:pt idx="21">
                  <c:v>5.1363459844620163</c:v>
                </c:pt>
                <c:pt idx="22">
                  <c:v>5.2839997642644727</c:v>
                </c:pt>
                <c:pt idx="23">
                  <c:v>5.1443504375032232</c:v>
                </c:pt>
                <c:pt idx="24">
                  <c:v>5.4349884537811874</c:v>
                </c:pt>
                <c:pt idx="25">
                  <c:v>5.1021788766000009</c:v>
                </c:pt>
                <c:pt idx="26">
                  <c:v>4.5925686291083174</c:v>
                </c:pt>
                <c:pt idx="27">
                  <c:v>4.7267760557648923</c:v>
                </c:pt>
                <c:pt idx="28">
                  <c:v>5.3866791419094122</c:v>
                </c:pt>
                <c:pt idx="29">
                  <c:v>5.6343907511228606</c:v>
                </c:pt>
                <c:pt idx="30">
                  <c:v>5.7624245410334058</c:v>
                </c:pt>
                <c:pt idx="31">
                  <c:v>5.4726821450047485</c:v>
                </c:pt>
                <c:pt idx="32">
                  <c:v>6.0019541717245319</c:v>
                </c:pt>
                <c:pt idx="33">
                  <c:v>5.6410364110848059</c:v>
                </c:pt>
                <c:pt idx="34">
                  <c:v>5.6911898003448984</c:v>
                </c:pt>
                <c:pt idx="35">
                  <c:v>6.1613860352779826</c:v>
                </c:pt>
                <c:pt idx="36">
                  <c:v>6.3856192359072717</c:v>
                </c:pt>
                <c:pt idx="37">
                  <c:v>7.0028228382864146</c:v>
                </c:pt>
                <c:pt idx="38">
                  <c:v>7.2100391541277933</c:v>
                </c:pt>
                <c:pt idx="39">
                  <c:v>6.4910521977993811</c:v>
                </c:pt>
                <c:pt idx="40">
                  <c:v>5.8299461880583392</c:v>
                </c:pt>
                <c:pt idx="41">
                  <c:v>6.9434537030965151</c:v>
                </c:pt>
                <c:pt idx="42">
                  <c:v>7.7202992895741716</c:v>
                </c:pt>
                <c:pt idx="43">
                  <c:v>8.1501662840451896</c:v>
                </c:pt>
                <c:pt idx="44">
                  <c:v>8.8495017417011415</c:v>
                </c:pt>
                <c:pt idx="45">
                  <c:v>8.3721643383412996</c:v>
                </c:pt>
                <c:pt idx="46">
                  <c:v>8.581690020257458</c:v>
                </c:pt>
                <c:pt idx="47">
                  <c:v>9.3502030198161759</c:v>
                </c:pt>
                <c:pt idx="48">
                  <c:v>9.6558338583537981</c:v>
                </c:pt>
                <c:pt idx="49">
                  <c:v>7.6644756956411371</c:v>
                </c:pt>
                <c:pt idx="50">
                  <c:v>9.2847066572989441</c:v>
                </c:pt>
                <c:pt idx="51">
                  <c:v>11.36017931603741</c:v>
                </c:pt>
                <c:pt idx="52">
                  <c:v>12.151916613452252</c:v>
                </c:pt>
                <c:pt idx="53">
                  <c:v>12.109378151286432</c:v>
                </c:pt>
                <c:pt idx="54">
                  <c:v>12.815547548558863</c:v>
                </c:pt>
                <c:pt idx="55">
                  <c:v>13.003037987196549</c:v>
                </c:pt>
                <c:pt idx="56">
                  <c:v>12.774177118711998</c:v>
                </c:pt>
                <c:pt idx="57">
                  <c:v>12.801976186408794</c:v>
                </c:pt>
                <c:pt idx="58">
                  <c:v>14.565849818027347</c:v>
                </c:pt>
                <c:pt idx="59">
                  <c:v>14.903742413731504</c:v>
                </c:pt>
                <c:pt idx="60">
                  <c:v>14.080731280731779</c:v>
                </c:pt>
                <c:pt idx="61">
                  <c:v>15.28665680219477</c:v>
                </c:pt>
                <c:pt idx="62">
                  <c:v>14.76896481524734</c:v>
                </c:pt>
                <c:pt idx="63">
                  <c:v>15.829469446890979</c:v>
                </c:pt>
                <c:pt idx="64">
                  <c:v>16.262474214402481</c:v>
                </c:pt>
                <c:pt idx="65">
                  <c:v>16.908544112250137</c:v>
                </c:pt>
                <c:pt idx="66">
                  <c:v>17.086448385573433</c:v>
                </c:pt>
                <c:pt idx="67">
                  <c:v>17.207179878238833</c:v>
                </c:pt>
                <c:pt idx="68">
                  <c:v>16.765540355530554</c:v>
                </c:pt>
                <c:pt idx="69">
                  <c:v>19.281721445131151</c:v>
                </c:pt>
                <c:pt idx="70">
                  <c:v>20.821839340251465</c:v>
                </c:pt>
                <c:pt idx="71">
                  <c:v>22.865568966072299</c:v>
                </c:pt>
                <c:pt idx="72">
                  <c:v>20.26501043414758</c:v>
                </c:pt>
                <c:pt idx="73">
                  <c:v>20.989887543630626</c:v>
                </c:pt>
                <c:pt idx="74">
                  <c:v>18.622681942670457</c:v>
                </c:pt>
                <c:pt idx="75">
                  <c:v>19.874911117610772</c:v>
                </c:pt>
                <c:pt idx="76">
                  <c:v>19.42514675115482</c:v>
                </c:pt>
                <c:pt idx="77">
                  <c:v>18.443898834276961</c:v>
                </c:pt>
                <c:pt idx="78">
                  <c:v>18.881496740141589</c:v>
                </c:pt>
                <c:pt idx="79">
                  <c:v>20.62439158395215</c:v>
                </c:pt>
                <c:pt idx="80">
                  <c:v>22.537591609015994</c:v>
                </c:pt>
                <c:pt idx="81">
                  <c:v>19.908474009744385</c:v>
                </c:pt>
                <c:pt idx="82">
                  <c:v>25.42609485007187</c:v>
                </c:pt>
                <c:pt idx="83">
                  <c:v>29.466376978348102</c:v>
                </c:pt>
                <c:pt idx="84">
                  <c:v>28.33708142319546</c:v>
                </c:pt>
                <c:pt idx="85">
                  <c:v>26.519927932298422</c:v>
                </c:pt>
                <c:pt idx="86">
                  <c:v>29.381112033910501</c:v>
                </c:pt>
                <c:pt idx="87">
                  <c:v>28.067424243618749</c:v>
                </c:pt>
                <c:pt idx="88">
                  <c:v>33.16432853159246</c:v>
                </c:pt>
                <c:pt idx="89">
                  <c:v>30.535976042731154</c:v>
                </c:pt>
                <c:pt idx="90">
                  <c:v>21.943860465629996</c:v>
                </c:pt>
                <c:pt idx="91">
                  <c:v>25.592682226167128</c:v>
                </c:pt>
                <c:pt idx="92">
                  <c:v>24.731222722641601</c:v>
                </c:pt>
                <c:pt idx="93">
                  <c:v>25.356504300413153</c:v>
                </c:pt>
                <c:pt idx="94">
                  <c:v>26.510277847166606</c:v>
                </c:pt>
                <c:pt idx="95">
                  <c:v>29.883599853496861</c:v>
                </c:pt>
                <c:pt idx="96">
                  <c:v>27.306783551813933</c:v>
                </c:pt>
                <c:pt idx="97">
                  <c:v>29.849754328153129</c:v>
                </c:pt>
                <c:pt idx="98">
                  <c:v>29.174088938739125</c:v>
                </c:pt>
                <c:pt idx="99">
                  <c:v>31.996866457692903</c:v>
                </c:pt>
                <c:pt idx="100">
                  <c:v>29.656666998747486</c:v>
                </c:pt>
                <c:pt idx="101">
                  <c:v>32.736580924009118</c:v>
                </c:pt>
                <c:pt idx="102">
                  <c:v>30.772306395900841</c:v>
                </c:pt>
                <c:pt idx="103">
                  <c:v>35.473368622544726</c:v>
                </c:pt>
                <c:pt idx="104">
                  <c:v>36.577660646539975</c:v>
                </c:pt>
                <c:pt idx="105">
                  <c:v>34.189700519547422</c:v>
                </c:pt>
                <c:pt idx="106">
                  <c:v>32.64326675166155</c:v>
                </c:pt>
                <c:pt idx="107">
                  <c:v>30.298564984303528</c:v>
                </c:pt>
                <c:pt idx="108">
                  <c:v>29.899618610991784</c:v>
                </c:pt>
                <c:pt idx="109">
                  <c:v>29.894767892164818</c:v>
                </c:pt>
                <c:pt idx="110">
                  <c:v>30.008041224307579</c:v>
                </c:pt>
                <c:pt idx="111">
                  <c:v>32.504198878878086</c:v>
                </c:pt>
                <c:pt idx="112">
                  <c:v>36.663563837736511</c:v>
                </c:pt>
                <c:pt idx="113">
                  <c:v>39.306318480735385</c:v>
                </c:pt>
                <c:pt idx="114">
                  <c:v>36.003124789120754</c:v>
                </c:pt>
                <c:pt idx="115">
                  <c:v>35.84853887714079</c:v>
                </c:pt>
                <c:pt idx="116">
                  <c:v>37.879872191746784</c:v>
                </c:pt>
                <c:pt idx="117">
                  <c:v>38.936061124620849</c:v>
                </c:pt>
                <c:pt idx="118">
                  <c:v>34.12418990560689</c:v>
                </c:pt>
                <c:pt idx="119">
                  <c:v>36.792306029472691</c:v>
                </c:pt>
                <c:pt idx="120">
                  <c:v>30.065443847104873</c:v>
                </c:pt>
                <c:pt idx="121">
                  <c:v>29.969871009109255</c:v>
                </c:pt>
                <c:pt idx="122">
                  <c:v>25.306350407880057</c:v>
                </c:pt>
                <c:pt idx="123">
                  <c:v>28.450796991945516</c:v>
                </c:pt>
                <c:pt idx="124">
                  <c:v>30.235784450524548</c:v>
                </c:pt>
                <c:pt idx="125">
                  <c:v>25.913840941992934</c:v>
                </c:pt>
                <c:pt idx="126">
                  <c:v>29.661539465483568</c:v>
                </c:pt>
                <c:pt idx="127">
                  <c:v>32.069620121253983</c:v>
                </c:pt>
                <c:pt idx="128">
                  <c:v>39.776357190196322</c:v>
                </c:pt>
                <c:pt idx="129">
                  <c:v>40.664171437257373</c:v>
                </c:pt>
                <c:pt idx="130">
                  <c:v>39.359096819213867</c:v>
                </c:pt>
                <c:pt idx="131">
                  <c:v>33.26748374736939</c:v>
                </c:pt>
                <c:pt idx="132">
                  <c:v>33.700420608493879</c:v>
                </c:pt>
                <c:pt idx="133">
                  <c:v>34.289562783720392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B20-4C2B-ADEB-C2A5F551AA22}"/>
            </c:ext>
          </c:extLst>
        </c:ser>
        <c:ser>
          <c:idx val="8"/>
          <c:order val="8"/>
          <c:tx>
            <c:strRef>
              <c:f>'RF再投資累積報酬 '!$A$20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'RF再投資累積報酬 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'RF再投資累積報酬 '!$C$20:$EF$20</c:f>
              <c:numCache>
                <c:formatCode>General</c:formatCode>
                <c:ptCount val="134"/>
                <c:pt idx="0">
                  <c:v>0.20155100000000004</c:v>
                </c:pt>
                <c:pt idx="1">
                  <c:v>0.66057448201580016</c:v>
                </c:pt>
                <c:pt idx="2">
                  <c:v>0.75578385205707255</c:v>
                </c:pt>
                <c:pt idx="3">
                  <c:v>1.0760725377222422</c:v>
                </c:pt>
                <c:pt idx="4">
                  <c:v>1.40415054392792</c:v>
                </c:pt>
                <c:pt idx="5">
                  <c:v>1.7501852208466624</c:v>
                </c:pt>
                <c:pt idx="6">
                  <c:v>1.8270149452132793</c:v>
                </c:pt>
                <c:pt idx="7">
                  <c:v>1.4504390270182101</c:v>
                </c:pt>
                <c:pt idx="8">
                  <c:v>1.5420942682091883</c:v>
                </c:pt>
                <c:pt idx="9">
                  <c:v>1.6201202928398937</c:v>
                </c:pt>
                <c:pt idx="10">
                  <c:v>1.8824818838065811</c:v>
                </c:pt>
                <c:pt idx="11">
                  <c:v>3.3237562624997246</c:v>
                </c:pt>
                <c:pt idx="12">
                  <c:v>2.8476510301620821</c:v>
                </c:pt>
                <c:pt idx="13">
                  <c:v>3.0016686532484407</c:v>
                </c:pt>
                <c:pt idx="14">
                  <c:v>3.9013502108848668</c:v>
                </c:pt>
                <c:pt idx="15">
                  <c:v>4.2271409988622999</c:v>
                </c:pt>
                <c:pt idx="16">
                  <c:v>3.9274094159901374</c:v>
                </c:pt>
                <c:pt idx="17">
                  <c:v>4.0045869887645473</c:v>
                </c:pt>
                <c:pt idx="18">
                  <c:v>4.1659098503473722</c:v>
                </c:pt>
                <c:pt idx="19">
                  <c:v>3.4618572954812592</c:v>
                </c:pt>
                <c:pt idx="20">
                  <c:v>4.2341395439203175</c:v>
                </c:pt>
                <c:pt idx="21">
                  <c:v>5.0194855435087531</c:v>
                </c:pt>
                <c:pt idx="22">
                  <c:v>4.9902428827383876</c:v>
                </c:pt>
                <c:pt idx="23">
                  <c:v>5.1649087808104266</c:v>
                </c:pt>
                <c:pt idx="24">
                  <c:v>5.5777357324086161</c:v>
                </c:pt>
                <c:pt idx="25">
                  <c:v>5.3613377953115</c:v>
                </c:pt>
                <c:pt idx="26">
                  <c:v>4.7486888026530814</c:v>
                </c:pt>
                <c:pt idx="27">
                  <c:v>4.9038304125036376</c:v>
                </c:pt>
                <c:pt idx="28">
                  <c:v>5.0060268977101581</c:v>
                </c:pt>
                <c:pt idx="29">
                  <c:v>5.240530286318406</c:v>
                </c:pt>
                <c:pt idx="30">
                  <c:v>5.2015918735438937</c:v>
                </c:pt>
                <c:pt idx="31">
                  <c:v>4.6423434768202876</c:v>
                </c:pt>
                <c:pt idx="32">
                  <c:v>5.0833182635401002</c:v>
                </c:pt>
                <c:pt idx="33">
                  <c:v>4.7062131542195225</c:v>
                </c:pt>
                <c:pt idx="34">
                  <c:v>4.6286365273430974</c:v>
                </c:pt>
                <c:pt idx="35">
                  <c:v>5.0389272740825577</c:v>
                </c:pt>
                <c:pt idx="36">
                  <c:v>5.2387914948890133</c:v>
                </c:pt>
                <c:pt idx="37">
                  <c:v>5.7096342963329683</c:v>
                </c:pt>
                <c:pt idx="38">
                  <c:v>5.8571610653906072</c:v>
                </c:pt>
                <c:pt idx="39">
                  <c:v>4.9538640753442165</c:v>
                </c:pt>
                <c:pt idx="40">
                  <c:v>5.1173124415469875</c:v>
                </c:pt>
                <c:pt idx="41">
                  <c:v>6.2274069852985656</c:v>
                </c:pt>
                <c:pt idx="42">
                  <c:v>7.037569023222856</c:v>
                </c:pt>
                <c:pt idx="43">
                  <c:v>7.0846593217119569</c:v>
                </c:pt>
                <c:pt idx="44">
                  <c:v>7.6740295159960468</c:v>
                </c:pt>
                <c:pt idx="45">
                  <c:v>7.2002044623144794</c:v>
                </c:pt>
                <c:pt idx="46">
                  <c:v>7.2565010650721398</c:v>
                </c:pt>
                <c:pt idx="47">
                  <c:v>8.1707644655615717</c:v>
                </c:pt>
                <c:pt idx="48">
                  <c:v>8.5254410157581137</c:v>
                </c:pt>
                <c:pt idx="49">
                  <c:v>6.4888785685550712</c:v>
                </c:pt>
                <c:pt idx="50">
                  <c:v>7.622230473363059</c:v>
                </c:pt>
                <c:pt idx="51">
                  <c:v>9.6158056966929433</c:v>
                </c:pt>
                <c:pt idx="52">
                  <c:v>10.365340684264536</c:v>
                </c:pt>
                <c:pt idx="53">
                  <c:v>9.7580926543044608</c:v>
                </c:pt>
                <c:pt idx="54">
                  <c:v>9.6941164596839453</c:v>
                </c:pt>
                <c:pt idx="55">
                  <c:v>9.7549508216256733</c:v>
                </c:pt>
                <c:pt idx="56">
                  <c:v>9.9968817245211277</c:v>
                </c:pt>
                <c:pt idx="57">
                  <c:v>9.2094340948940712</c:v>
                </c:pt>
                <c:pt idx="58">
                  <c:v>10.554478716514382</c:v>
                </c:pt>
                <c:pt idx="59">
                  <c:v>10.804396450639532</c:v>
                </c:pt>
                <c:pt idx="60">
                  <c:v>10.105184654395526</c:v>
                </c:pt>
                <c:pt idx="61">
                  <c:v>11.063475815849841</c:v>
                </c:pt>
                <c:pt idx="62">
                  <c:v>10.490840093248176</c:v>
                </c:pt>
                <c:pt idx="63">
                  <c:v>11.459973418942861</c:v>
                </c:pt>
                <c:pt idx="64">
                  <c:v>10.980741441046872</c:v>
                </c:pt>
                <c:pt idx="65">
                  <c:v>11.704468328402507</c:v>
                </c:pt>
                <c:pt idx="66">
                  <c:v>11.900774050106294</c:v>
                </c:pt>
                <c:pt idx="67">
                  <c:v>12.006561462601363</c:v>
                </c:pt>
                <c:pt idx="68">
                  <c:v>11.978952648039737</c:v>
                </c:pt>
                <c:pt idx="69">
                  <c:v>13.897281216902046</c:v>
                </c:pt>
                <c:pt idx="70">
                  <c:v>15.368461469193697</c:v>
                </c:pt>
                <c:pt idx="71">
                  <c:v>17.265866212957061</c:v>
                </c:pt>
                <c:pt idx="72">
                  <c:v>14.790781943929741</c:v>
                </c:pt>
                <c:pt idx="73">
                  <c:v>15.275458467861053</c:v>
                </c:pt>
                <c:pt idx="74">
                  <c:v>13.562727418809169</c:v>
                </c:pt>
                <c:pt idx="75">
                  <c:v>14.877325272764809</c:v>
                </c:pt>
                <c:pt idx="76">
                  <c:v>14.845668710096907</c:v>
                </c:pt>
                <c:pt idx="77">
                  <c:v>14.239540982708556</c:v>
                </c:pt>
                <c:pt idx="78">
                  <c:v>14.436356606592039</c:v>
                </c:pt>
                <c:pt idx="79">
                  <c:v>15.919228593105053</c:v>
                </c:pt>
                <c:pt idx="80">
                  <c:v>17.370516031827265</c:v>
                </c:pt>
                <c:pt idx="81">
                  <c:v>14.960150016116859</c:v>
                </c:pt>
                <c:pt idx="82">
                  <c:v>20.098351136215513</c:v>
                </c:pt>
                <c:pt idx="83">
                  <c:v>21.614563582325918</c:v>
                </c:pt>
                <c:pt idx="84">
                  <c:v>20.92720129981096</c:v>
                </c:pt>
                <c:pt idx="85">
                  <c:v>18.220500557127956</c:v>
                </c:pt>
                <c:pt idx="86">
                  <c:v>19.969150882549986</c:v>
                </c:pt>
                <c:pt idx="87">
                  <c:v>18.036111088440201</c:v>
                </c:pt>
                <c:pt idx="88">
                  <c:v>21.634910070027196</c:v>
                </c:pt>
                <c:pt idx="89">
                  <c:v>22.136486353602852</c:v>
                </c:pt>
                <c:pt idx="90">
                  <c:v>12.512371233975038</c:v>
                </c:pt>
                <c:pt idx="91">
                  <c:v>15.107168165915819</c:v>
                </c:pt>
                <c:pt idx="92">
                  <c:v>14.734801922596901</c:v>
                </c:pt>
                <c:pt idx="93">
                  <c:v>15.133902585522033</c:v>
                </c:pt>
                <c:pt idx="94">
                  <c:v>15.493588582983143</c:v>
                </c:pt>
                <c:pt idx="95">
                  <c:v>16.985830133535476</c:v>
                </c:pt>
                <c:pt idx="96">
                  <c:v>15.11348906909236</c:v>
                </c:pt>
                <c:pt idx="97">
                  <c:v>16.604165276080586</c:v>
                </c:pt>
                <c:pt idx="98">
                  <c:v>16.779380640750077</c:v>
                </c:pt>
                <c:pt idx="99">
                  <c:v>18.384832947936196</c:v>
                </c:pt>
                <c:pt idx="100">
                  <c:v>18.14291541492636</c:v>
                </c:pt>
                <c:pt idx="101">
                  <c:v>21.113161663658286</c:v>
                </c:pt>
                <c:pt idx="102">
                  <c:v>20.063408015837933</c:v>
                </c:pt>
                <c:pt idx="103">
                  <c:v>21.684595340592931</c:v>
                </c:pt>
                <c:pt idx="104">
                  <c:v>22.340225515126747</c:v>
                </c:pt>
                <c:pt idx="105">
                  <c:v>20.749290391384267</c:v>
                </c:pt>
                <c:pt idx="106">
                  <c:v>20.167499833037979</c:v>
                </c:pt>
                <c:pt idx="107">
                  <c:v>20.185685287932049</c:v>
                </c:pt>
                <c:pt idx="108">
                  <c:v>20.096658576215269</c:v>
                </c:pt>
                <c:pt idx="109">
                  <c:v>19.865114061949793</c:v>
                </c:pt>
                <c:pt idx="110">
                  <c:v>19.703251520494504</c:v>
                </c:pt>
                <c:pt idx="111">
                  <c:v>21.385957975626347</c:v>
                </c:pt>
                <c:pt idx="112">
                  <c:v>23.287734234139872</c:v>
                </c:pt>
                <c:pt idx="113">
                  <c:v>25.129391421513127</c:v>
                </c:pt>
                <c:pt idx="114">
                  <c:v>25.371967553484978</c:v>
                </c:pt>
                <c:pt idx="115">
                  <c:v>26.902048188848457</c:v>
                </c:pt>
                <c:pt idx="116">
                  <c:v>28.738443863319208</c:v>
                </c:pt>
                <c:pt idx="117">
                  <c:v>29.030788569233707</c:v>
                </c:pt>
                <c:pt idx="118">
                  <c:v>23.285011652803991</c:v>
                </c:pt>
                <c:pt idx="119">
                  <c:v>25.191692516483666</c:v>
                </c:pt>
                <c:pt idx="120">
                  <c:v>19.794079775251934</c:v>
                </c:pt>
                <c:pt idx="121">
                  <c:v>19.894490227670673</c:v>
                </c:pt>
                <c:pt idx="122">
                  <c:v>16.209207798173075</c:v>
                </c:pt>
                <c:pt idx="123">
                  <c:v>18.435140900800739</c:v>
                </c:pt>
                <c:pt idx="124">
                  <c:v>19.777335695363277</c:v>
                </c:pt>
                <c:pt idx="125">
                  <c:v>16.580403312919461</c:v>
                </c:pt>
                <c:pt idx="126">
                  <c:v>18.718015099979326</c:v>
                </c:pt>
                <c:pt idx="127">
                  <c:v>20.496568231188398</c:v>
                </c:pt>
                <c:pt idx="128">
                  <c:v>26.809895011061027</c:v>
                </c:pt>
                <c:pt idx="129">
                  <c:v>27.571584615421791</c:v>
                </c:pt>
                <c:pt idx="130">
                  <c:v>28.228091058081105</c:v>
                </c:pt>
                <c:pt idx="131">
                  <c:v>23.057090476922529</c:v>
                </c:pt>
                <c:pt idx="132">
                  <c:v>23.114039165522325</c:v>
                </c:pt>
                <c:pt idx="133">
                  <c:v>23.603106040130591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20-4C2B-ADEB-C2A5F551AA22}"/>
            </c:ext>
          </c:extLst>
        </c:ser>
        <c:ser>
          <c:idx val="9"/>
          <c:order val="9"/>
          <c:tx>
            <c:strRef>
              <c:f>'RF再投資累積報酬 '!$A$21</c:f>
              <c:strCache>
                <c:ptCount val="1"/>
                <c:pt idx="0">
                  <c:v>241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'RF再投資累積報酬 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'RF再投資累積報酬 '!$C$21:$EF$21</c:f>
              <c:numCache>
                <c:formatCode>General</c:formatCode>
                <c:ptCount val="134"/>
                <c:pt idx="0">
                  <c:v>0.21463049999999995</c:v>
                </c:pt>
                <c:pt idx="1">
                  <c:v>0.3681464342645</c:v>
                </c:pt>
                <c:pt idx="2">
                  <c:v>0.34941445735976773</c:v>
                </c:pt>
                <c:pt idx="3">
                  <c:v>0.62390290037469032</c:v>
                </c:pt>
                <c:pt idx="4">
                  <c:v>0.85990795669194475</c:v>
                </c:pt>
                <c:pt idx="5">
                  <c:v>1.1615180705809371</c:v>
                </c:pt>
                <c:pt idx="6">
                  <c:v>1.192021413592975</c:v>
                </c:pt>
                <c:pt idx="7">
                  <c:v>0.89228111746615135</c:v>
                </c:pt>
                <c:pt idx="8">
                  <c:v>0.89506277070882678</c:v>
                </c:pt>
                <c:pt idx="9">
                  <c:v>0.8855287099093907</c:v>
                </c:pt>
                <c:pt idx="10">
                  <c:v>0.51620925204303636</c:v>
                </c:pt>
                <c:pt idx="11">
                  <c:v>1.4030256395751137</c:v>
                </c:pt>
                <c:pt idx="12">
                  <c:v>1.0683388368156006</c:v>
                </c:pt>
                <c:pt idx="13">
                  <c:v>1.1622988164097503</c:v>
                </c:pt>
                <c:pt idx="14">
                  <c:v>1.7549541092295291</c:v>
                </c:pt>
                <c:pt idx="15">
                  <c:v>1.9888641766121897</c:v>
                </c:pt>
                <c:pt idx="16">
                  <c:v>1.8795860718029394</c:v>
                </c:pt>
                <c:pt idx="17">
                  <c:v>1.8391556342058464</c:v>
                </c:pt>
                <c:pt idx="18">
                  <c:v>1.8112559615774142</c:v>
                </c:pt>
                <c:pt idx="19">
                  <c:v>1.4408722858255993</c:v>
                </c:pt>
                <c:pt idx="20">
                  <c:v>1.8323031499994027</c:v>
                </c:pt>
                <c:pt idx="21">
                  <c:v>2.4208585768724284</c:v>
                </c:pt>
                <c:pt idx="22">
                  <c:v>2.3861454144636154</c:v>
                </c:pt>
                <c:pt idx="23">
                  <c:v>2.519759326372935</c:v>
                </c:pt>
                <c:pt idx="24">
                  <c:v>2.6184375389674637</c:v>
                </c:pt>
                <c:pt idx="25">
                  <c:v>2.5389913273955576</c:v>
                </c:pt>
                <c:pt idx="26">
                  <c:v>1.9743762272837113</c:v>
                </c:pt>
                <c:pt idx="27">
                  <c:v>1.8972409076613537</c:v>
                </c:pt>
                <c:pt idx="28">
                  <c:v>1.9271136343500226</c:v>
                </c:pt>
                <c:pt idx="29">
                  <c:v>2.0826183313821414</c:v>
                </c:pt>
                <c:pt idx="30">
                  <c:v>2.050041220856095</c:v>
                </c:pt>
                <c:pt idx="31">
                  <c:v>1.7219136304375953</c:v>
                </c:pt>
                <c:pt idx="32">
                  <c:v>1.9385621937257835</c:v>
                </c:pt>
                <c:pt idx="33">
                  <c:v>1.7316717176455545</c:v>
                </c:pt>
                <c:pt idx="34">
                  <c:v>1.6479639163734681</c:v>
                </c:pt>
                <c:pt idx="35">
                  <c:v>1.8210873278296389</c:v>
                </c:pt>
                <c:pt idx="36">
                  <c:v>2.0040545260404778</c:v>
                </c:pt>
                <c:pt idx="37">
                  <c:v>2.3403766229744578</c:v>
                </c:pt>
                <c:pt idx="38">
                  <c:v>2.4998007592815923</c:v>
                </c:pt>
                <c:pt idx="39">
                  <c:v>2.2814462520740566</c:v>
                </c:pt>
                <c:pt idx="40">
                  <c:v>2.362140757649752</c:v>
                </c:pt>
                <c:pt idx="41">
                  <c:v>3.0519924580358841</c:v>
                </c:pt>
                <c:pt idx="42">
                  <c:v>3.3131671516681784</c:v>
                </c:pt>
                <c:pt idx="43">
                  <c:v>3.3024148086355307</c:v>
                </c:pt>
                <c:pt idx="44">
                  <c:v>3.5081116752350754</c:v>
                </c:pt>
                <c:pt idx="45">
                  <c:v>3.2578177984188121</c:v>
                </c:pt>
                <c:pt idx="46">
                  <c:v>3.2995062200222192</c:v>
                </c:pt>
                <c:pt idx="47">
                  <c:v>3.9149705926802341</c:v>
                </c:pt>
                <c:pt idx="48">
                  <c:v>4.1460788550671515</c:v>
                </c:pt>
                <c:pt idx="49">
                  <c:v>2.8342853591311821</c:v>
                </c:pt>
                <c:pt idx="50">
                  <c:v>3.3695228381257012</c:v>
                </c:pt>
                <c:pt idx="51">
                  <c:v>4.656405210131326</c:v>
                </c:pt>
                <c:pt idx="52">
                  <c:v>4.8731651497823254</c:v>
                </c:pt>
                <c:pt idx="53">
                  <c:v>4.7454187370562764</c:v>
                </c:pt>
                <c:pt idx="54">
                  <c:v>4.7819052106280084</c:v>
                </c:pt>
                <c:pt idx="55">
                  <c:v>4.8025876648002024</c:v>
                </c:pt>
                <c:pt idx="56">
                  <c:v>5.0928362357234978</c:v>
                </c:pt>
                <c:pt idx="57">
                  <c:v>4.627822668831878</c:v>
                </c:pt>
                <c:pt idx="58">
                  <c:v>5.5618701245415041</c:v>
                </c:pt>
                <c:pt idx="59">
                  <c:v>5.7165926320090996</c:v>
                </c:pt>
                <c:pt idx="60">
                  <c:v>5.2568426697900117</c:v>
                </c:pt>
                <c:pt idx="61">
                  <c:v>6.1498260921387464</c:v>
                </c:pt>
                <c:pt idx="62">
                  <c:v>5.8581468916543367</c:v>
                </c:pt>
                <c:pt idx="63">
                  <c:v>6.2946538683375497</c:v>
                </c:pt>
                <c:pt idx="64">
                  <c:v>6.2168316446251337</c:v>
                </c:pt>
                <c:pt idx="65">
                  <c:v>6.9710564369713861</c:v>
                </c:pt>
                <c:pt idx="66">
                  <c:v>7.4058156371515462</c:v>
                </c:pt>
                <c:pt idx="67">
                  <c:v>7.5231882023612933</c:v>
                </c:pt>
                <c:pt idx="68">
                  <c:v>7.3094278831328072</c:v>
                </c:pt>
                <c:pt idx="69">
                  <c:v>8.4083056306404078</c:v>
                </c:pt>
                <c:pt idx="70">
                  <c:v>9.5450259546280538</c:v>
                </c:pt>
                <c:pt idx="71">
                  <c:v>11.04392758085236</c:v>
                </c:pt>
                <c:pt idx="72">
                  <c:v>9.2773339553408345</c:v>
                </c:pt>
                <c:pt idx="73">
                  <c:v>9.1189815381821333</c:v>
                </c:pt>
                <c:pt idx="74">
                  <c:v>8.609188753809649</c:v>
                </c:pt>
                <c:pt idx="75">
                  <c:v>9.5523951118796706</c:v>
                </c:pt>
                <c:pt idx="76">
                  <c:v>9.2932697741162542</c:v>
                </c:pt>
                <c:pt idx="77">
                  <c:v>8.1379160077396069</c:v>
                </c:pt>
                <c:pt idx="78">
                  <c:v>8.0646344903155391</c:v>
                </c:pt>
                <c:pt idx="79">
                  <c:v>8.829891329415581</c:v>
                </c:pt>
                <c:pt idx="80">
                  <c:v>9.4345721795989146</c:v>
                </c:pt>
                <c:pt idx="81">
                  <c:v>8.1076285046636798</c:v>
                </c:pt>
                <c:pt idx="82">
                  <c:v>11.023597430837714</c:v>
                </c:pt>
                <c:pt idx="83">
                  <c:v>11.986691445538929</c:v>
                </c:pt>
                <c:pt idx="84">
                  <c:v>10.941267765984993</c:v>
                </c:pt>
                <c:pt idx="85">
                  <c:v>10.084426134110116</c:v>
                </c:pt>
                <c:pt idx="86">
                  <c:v>11.492708534638593</c:v>
                </c:pt>
                <c:pt idx="87">
                  <c:v>8.8635883426710027</c:v>
                </c:pt>
                <c:pt idx="88">
                  <c:v>11.087856990323969</c:v>
                </c:pt>
                <c:pt idx="89">
                  <c:v>11.457006727750413</c:v>
                </c:pt>
                <c:pt idx="90">
                  <c:v>5.043326862085312</c:v>
                </c:pt>
                <c:pt idx="91">
                  <c:v>6.3891761221768357</c:v>
                </c:pt>
                <c:pt idx="92">
                  <c:v>6.2198738841129151</c:v>
                </c:pt>
                <c:pt idx="93">
                  <c:v>6.3037471590246543</c:v>
                </c:pt>
                <c:pt idx="94">
                  <c:v>6.5294858984054196</c:v>
                </c:pt>
                <c:pt idx="95">
                  <c:v>7.1491089241014354</c:v>
                </c:pt>
                <c:pt idx="96">
                  <c:v>6.6383752556190254</c:v>
                </c:pt>
                <c:pt idx="97">
                  <c:v>7.3886594927187286</c:v>
                </c:pt>
                <c:pt idx="98">
                  <c:v>7.9339678034710364</c:v>
                </c:pt>
                <c:pt idx="99">
                  <c:v>8.8463240328147243</c:v>
                </c:pt>
                <c:pt idx="100">
                  <c:v>8.7628083354825357</c:v>
                </c:pt>
                <c:pt idx="101">
                  <c:v>11.081000557852704</c:v>
                </c:pt>
                <c:pt idx="102">
                  <c:v>11.095404208771583</c:v>
                </c:pt>
                <c:pt idx="103">
                  <c:v>11.959735745828297</c:v>
                </c:pt>
                <c:pt idx="104">
                  <c:v>12.585820579709264</c:v>
                </c:pt>
                <c:pt idx="105">
                  <c:v>11.675203783713092</c:v>
                </c:pt>
                <c:pt idx="106">
                  <c:v>11.830324303997244</c:v>
                </c:pt>
                <c:pt idx="107">
                  <c:v>11.929484225854777</c:v>
                </c:pt>
                <c:pt idx="108">
                  <c:v>12.030933848097742</c:v>
                </c:pt>
                <c:pt idx="109">
                  <c:v>12.214367961077803</c:v>
                </c:pt>
                <c:pt idx="110">
                  <c:v>12.669041039684888</c:v>
                </c:pt>
                <c:pt idx="111">
                  <c:v>13.671026172277168</c:v>
                </c:pt>
                <c:pt idx="112">
                  <c:v>15.717674035120826</c:v>
                </c:pt>
                <c:pt idx="113">
                  <c:v>17.362107019122121</c:v>
                </c:pt>
                <c:pt idx="114">
                  <c:v>16.814289721430011</c:v>
                </c:pt>
                <c:pt idx="115">
                  <c:v>17.918077033489304</c:v>
                </c:pt>
                <c:pt idx="116">
                  <c:v>19.477792883888167</c:v>
                </c:pt>
                <c:pt idx="117">
                  <c:v>19.974710181982523</c:v>
                </c:pt>
                <c:pt idx="118">
                  <c:v>17.295119786973402</c:v>
                </c:pt>
                <c:pt idx="119">
                  <c:v>18.213001662872149</c:v>
                </c:pt>
                <c:pt idx="120">
                  <c:v>14.354272518065821</c:v>
                </c:pt>
                <c:pt idx="121">
                  <c:v>14.205190209051661</c:v>
                </c:pt>
                <c:pt idx="122">
                  <c:v>11.945474667431</c:v>
                </c:pt>
                <c:pt idx="123">
                  <c:v>13.761413772449144</c:v>
                </c:pt>
                <c:pt idx="124">
                  <c:v>15.523147430697247</c:v>
                </c:pt>
                <c:pt idx="125">
                  <c:v>12.450400259131404</c:v>
                </c:pt>
                <c:pt idx="126">
                  <c:v>14.692985494336384</c:v>
                </c:pt>
                <c:pt idx="127">
                  <c:v>16.245492549291082</c:v>
                </c:pt>
                <c:pt idx="128">
                  <c:v>20.833773663235075</c:v>
                </c:pt>
                <c:pt idx="129">
                  <c:v>21.017355223651041</c:v>
                </c:pt>
                <c:pt idx="130">
                  <c:v>21.6159961035045</c:v>
                </c:pt>
                <c:pt idx="131">
                  <c:v>20.383450180688595</c:v>
                </c:pt>
                <c:pt idx="132">
                  <c:v>20.691988820913473</c:v>
                </c:pt>
                <c:pt idx="133">
                  <c:v>20.518635061099246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B20-4C2B-ADEB-C2A5F551AA22}"/>
            </c:ext>
          </c:extLst>
        </c:ser>
        <c:ser>
          <c:idx val="10"/>
          <c:order val="10"/>
          <c:tx>
            <c:strRef>
              <c:f>'RF再投資累積報酬 '!$A$22</c:f>
              <c:strCache>
                <c:ptCount val="1"/>
                <c:pt idx="0">
                  <c:v>321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'RF再投資累積報酬 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'RF再投資累積報酬 '!$C$22:$EF$22</c:f>
              <c:numCache>
                <c:formatCode>General</c:formatCode>
                <c:ptCount val="134"/>
                <c:pt idx="0">
                  <c:v>0.20528266666666672</c:v>
                </c:pt>
                <c:pt idx="1">
                  <c:v>0.37695027335822218</c:v>
                </c:pt>
                <c:pt idx="2">
                  <c:v>0.35305100644696785</c:v>
                </c:pt>
                <c:pt idx="3">
                  <c:v>0.16380246827724343</c:v>
                </c:pt>
                <c:pt idx="4">
                  <c:v>0.43490482218424198</c:v>
                </c:pt>
                <c:pt idx="5">
                  <c:v>0.61308843319343653</c:v>
                </c:pt>
                <c:pt idx="6">
                  <c:v>0.64121962007604139</c:v>
                </c:pt>
                <c:pt idx="7">
                  <c:v>0.47011919224387388</c:v>
                </c:pt>
                <c:pt idx="8">
                  <c:v>0.51224790789627561</c:v>
                </c:pt>
                <c:pt idx="9">
                  <c:v>0.53383071003777127</c:v>
                </c:pt>
                <c:pt idx="10">
                  <c:v>0.18847552696198377</c:v>
                </c:pt>
                <c:pt idx="11">
                  <c:v>1.0871321850285809</c:v>
                </c:pt>
                <c:pt idx="12">
                  <c:v>0.94845825268018369</c:v>
                </c:pt>
                <c:pt idx="13">
                  <c:v>1.125047673606673</c:v>
                </c:pt>
                <c:pt idx="14">
                  <c:v>1.3955124079157377</c:v>
                </c:pt>
                <c:pt idx="15">
                  <c:v>1.555287495994766</c:v>
                </c:pt>
                <c:pt idx="16">
                  <c:v>1.4550376051894007</c:v>
                </c:pt>
                <c:pt idx="17">
                  <c:v>1.2791294952495464</c:v>
                </c:pt>
                <c:pt idx="18">
                  <c:v>1.3987480873880553</c:v>
                </c:pt>
                <c:pt idx="19">
                  <c:v>0.97747115287131114</c:v>
                </c:pt>
                <c:pt idx="20">
                  <c:v>1.3877573957018963</c:v>
                </c:pt>
                <c:pt idx="21">
                  <c:v>2.0018933733912152</c:v>
                </c:pt>
                <c:pt idx="22">
                  <c:v>1.7921891073751008</c:v>
                </c:pt>
                <c:pt idx="23">
                  <c:v>1.8588330769899297</c:v>
                </c:pt>
                <c:pt idx="24">
                  <c:v>2.1965260635988519</c:v>
                </c:pt>
                <c:pt idx="25">
                  <c:v>2.208881372436307</c:v>
                </c:pt>
                <c:pt idx="26">
                  <c:v>1.6402312259183724</c:v>
                </c:pt>
                <c:pt idx="27">
                  <c:v>1.5911394286349285</c:v>
                </c:pt>
                <c:pt idx="28">
                  <c:v>1.370506497426093</c:v>
                </c:pt>
                <c:pt idx="29">
                  <c:v>1.4564232698099167</c:v>
                </c:pt>
                <c:pt idx="30">
                  <c:v>1.343500673288998</c:v>
                </c:pt>
                <c:pt idx="31">
                  <c:v>1.0954037261087346</c:v>
                </c:pt>
                <c:pt idx="32">
                  <c:v>1.2926676744707946</c:v>
                </c:pt>
                <c:pt idx="33">
                  <c:v>1.2199904546345435</c:v>
                </c:pt>
                <c:pt idx="34">
                  <c:v>1.444850092641893</c:v>
                </c:pt>
                <c:pt idx="35">
                  <c:v>1.5434777090770071</c:v>
                </c:pt>
                <c:pt idx="36">
                  <c:v>1.7573559606278391</c:v>
                </c:pt>
                <c:pt idx="37">
                  <c:v>2.0637886757749735</c:v>
                </c:pt>
                <c:pt idx="38">
                  <c:v>2.292706918262259</c:v>
                </c:pt>
                <c:pt idx="39">
                  <c:v>2.0867930331723685</c:v>
                </c:pt>
                <c:pt idx="40">
                  <c:v>2.1315391350437882</c:v>
                </c:pt>
                <c:pt idx="41">
                  <c:v>2.8765358684421924</c:v>
                </c:pt>
                <c:pt idx="42">
                  <c:v>3.1975535051138619</c:v>
                </c:pt>
                <c:pt idx="43">
                  <c:v>3.2251750456884061</c:v>
                </c:pt>
                <c:pt idx="44">
                  <c:v>3.449712643039061</c:v>
                </c:pt>
                <c:pt idx="45">
                  <c:v>3.1835611945640689</c:v>
                </c:pt>
                <c:pt idx="46">
                  <c:v>3.0574293798378172</c:v>
                </c:pt>
                <c:pt idx="47">
                  <c:v>3.7624621040572777</c:v>
                </c:pt>
                <c:pt idx="48">
                  <c:v>4.1040896333072885</c:v>
                </c:pt>
                <c:pt idx="49">
                  <c:v>3.3134468642181654</c:v>
                </c:pt>
                <c:pt idx="50">
                  <c:v>3.5281472440690038</c:v>
                </c:pt>
                <c:pt idx="51">
                  <c:v>5.2015300956443626</c:v>
                </c:pt>
                <c:pt idx="52">
                  <c:v>4.3901408862528966</c:v>
                </c:pt>
                <c:pt idx="53">
                  <c:v>4.4599291416136007</c:v>
                </c:pt>
                <c:pt idx="54">
                  <c:v>4.581227928744557</c:v>
                </c:pt>
                <c:pt idx="55">
                  <c:v>4.6573492769882314</c:v>
                </c:pt>
                <c:pt idx="56">
                  <c:v>4.9191686416934184</c:v>
                </c:pt>
                <c:pt idx="57">
                  <c:v>4.1617486121114649</c:v>
                </c:pt>
                <c:pt idx="58">
                  <c:v>4.7351606553467924</c:v>
                </c:pt>
                <c:pt idx="59">
                  <c:v>5.0505739317043252</c:v>
                </c:pt>
                <c:pt idx="60">
                  <c:v>4.7974201212120917</c:v>
                </c:pt>
                <c:pt idx="61">
                  <c:v>5.7353287141590261</c:v>
                </c:pt>
                <c:pt idx="62">
                  <c:v>5.7189586105661041</c:v>
                </c:pt>
                <c:pt idx="63">
                  <c:v>5.615973422921984</c:v>
                </c:pt>
                <c:pt idx="64">
                  <c:v>4.9741386844571007</c:v>
                </c:pt>
                <c:pt idx="65">
                  <c:v>5.4212166396113508</c:v>
                </c:pt>
                <c:pt idx="66">
                  <c:v>5.5999197241073997</c:v>
                </c:pt>
                <c:pt idx="67">
                  <c:v>5.7372878757549106</c:v>
                </c:pt>
                <c:pt idx="68">
                  <c:v>5.6269797275553275</c:v>
                </c:pt>
                <c:pt idx="69">
                  <c:v>6.4920040523901577</c:v>
                </c:pt>
                <c:pt idx="70">
                  <c:v>8.0874170712476143</c:v>
                </c:pt>
                <c:pt idx="71">
                  <c:v>9.5281722725570575</c:v>
                </c:pt>
                <c:pt idx="72">
                  <c:v>7.6892322357864327</c:v>
                </c:pt>
                <c:pt idx="73">
                  <c:v>8.0075835099299955</c:v>
                </c:pt>
                <c:pt idx="74">
                  <c:v>7.9648264350035625</c:v>
                </c:pt>
                <c:pt idx="75">
                  <c:v>8.3884838347256334</c:v>
                </c:pt>
                <c:pt idx="76">
                  <c:v>8.1303936772977767</c:v>
                </c:pt>
                <c:pt idx="77">
                  <c:v>6.7700263916413004</c:v>
                </c:pt>
                <c:pt idx="78">
                  <c:v>5.7979572399150152</c:v>
                </c:pt>
                <c:pt idx="79">
                  <c:v>6.447286785542965</c:v>
                </c:pt>
                <c:pt idx="80">
                  <c:v>6.9450634342886568</c:v>
                </c:pt>
                <c:pt idx="81">
                  <c:v>5.7090446191074147</c:v>
                </c:pt>
                <c:pt idx="82">
                  <c:v>8.6865230937636984</c:v>
                </c:pt>
                <c:pt idx="83">
                  <c:v>9.8093729487627854</c:v>
                </c:pt>
                <c:pt idx="84">
                  <c:v>8.5362477454293444</c:v>
                </c:pt>
                <c:pt idx="85">
                  <c:v>7.5503951730954011</c:v>
                </c:pt>
                <c:pt idx="86">
                  <c:v>7.8596060431454724</c:v>
                </c:pt>
                <c:pt idx="87">
                  <c:v>5.7275259137532331</c:v>
                </c:pt>
                <c:pt idx="88">
                  <c:v>7.7576258685801331</c:v>
                </c:pt>
                <c:pt idx="89">
                  <c:v>7.6827764385885029</c:v>
                </c:pt>
                <c:pt idx="90">
                  <c:v>2.039349729966538</c:v>
                </c:pt>
                <c:pt idx="91">
                  <c:v>2.8277830575425007</c:v>
                </c:pt>
                <c:pt idx="92">
                  <c:v>2.7620997719844551</c:v>
                </c:pt>
                <c:pt idx="93">
                  <c:v>2.6551783883981424</c:v>
                </c:pt>
                <c:pt idx="94">
                  <c:v>2.7445085114250003</c:v>
                </c:pt>
                <c:pt idx="95">
                  <c:v>2.9625606832842255</c:v>
                </c:pt>
                <c:pt idx="96">
                  <c:v>2.5233448317319604</c:v>
                </c:pt>
                <c:pt idx="97">
                  <c:v>2.918782841685915</c:v>
                </c:pt>
                <c:pt idx="98">
                  <c:v>3.0616273877784375</c:v>
                </c:pt>
                <c:pt idx="99">
                  <c:v>3.0768568384881618</c:v>
                </c:pt>
                <c:pt idx="100">
                  <c:v>3.0442875395019406</c:v>
                </c:pt>
                <c:pt idx="101">
                  <c:v>4.1076135792464559</c:v>
                </c:pt>
                <c:pt idx="102">
                  <c:v>4.0872252429141307</c:v>
                </c:pt>
                <c:pt idx="103">
                  <c:v>4.3621422865247057</c:v>
                </c:pt>
                <c:pt idx="104">
                  <c:v>4.7500575333395254</c:v>
                </c:pt>
                <c:pt idx="105">
                  <c:v>4.6582674482489823</c:v>
                </c:pt>
                <c:pt idx="106">
                  <c:v>4.6271936128260522</c:v>
                </c:pt>
                <c:pt idx="107">
                  <c:v>4.723034709860479</c:v>
                </c:pt>
                <c:pt idx="108">
                  <c:v>4.9060862216087822</c:v>
                </c:pt>
                <c:pt idx="109">
                  <c:v>4.9884486385587392</c:v>
                </c:pt>
                <c:pt idx="110">
                  <c:v>5.36908041805619</c:v>
                </c:pt>
                <c:pt idx="111">
                  <c:v>5.6415348171529915</c:v>
                </c:pt>
                <c:pt idx="112">
                  <c:v>6.8312642559681214</c:v>
                </c:pt>
                <c:pt idx="113">
                  <c:v>7.8097153159756498</c:v>
                </c:pt>
                <c:pt idx="114">
                  <c:v>7.2505974741013937</c:v>
                </c:pt>
                <c:pt idx="115">
                  <c:v>7.6364228716619511</c:v>
                </c:pt>
                <c:pt idx="116">
                  <c:v>8.7024813312105849</c:v>
                </c:pt>
                <c:pt idx="117">
                  <c:v>8.7235582578528792</c:v>
                </c:pt>
                <c:pt idx="118">
                  <c:v>7.4494706586296129</c:v>
                </c:pt>
                <c:pt idx="119">
                  <c:v>7.3979918140703251</c:v>
                </c:pt>
                <c:pt idx="120">
                  <c:v>5.7431597878346183</c:v>
                </c:pt>
                <c:pt idx="121">
                  <c:v>5.4486028342624966</c:v>
                </c:pt>
                <c:pt idx="122">
                  <c:v>4.4068589903330055</c:v>
                </c:pt>
                <c:pt idx="123">
                  <c:v>5.086528835982131</c:v>
                </c:pt>
                <c:pt idx="124">
                  <c:v>5.7530224087244859</c:v>
                </c:pt>
                <c:pt idx="125">
                  <c:v>4.2508624892180258</c:v>
                </c:pt>
                <c:pt idx="126">
                  <c:v>4.88073670026216</c:v>
                </c:pt>
                <c:pt idx="127">
                  <c:v>5.5325203114534496</c:v>
                </c:pt>
                <c:pt idx="128">
                  <c:v>6.4493997905561002</c:v>
                </c:pt>
                <c:pt idx="129">
                  <c:v>5.8490025453349954</c:v>
                </c:pt>
                <c:pt idx="130">
                  <c:v>6.452303783543373</c:v>
                </c:pt>
                <c:pt idx="131">
                  <c:v>5.8753943648623759</c:v>
                </c:pt>
                <c:pt idx="132">
                  <c:v>6.1053508936183434</c:v>
                </c:pt>
                <c:pt idx="133">
                  <c:v>5.8581539854686264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B20-4C2B-ADEB-C2A5F551AA22}"/>
            </c:ext>
          </c:extLst>
        </c:ser>
        <c:ser>
          <c:idx val="11"/>
          <c:order val="11"/>
          <c:tx>
            <c:strRef>
              <c:f>'RF再投資累積報酬 '!$A$23</c:f>
              <c:strCache>
                <c:ptCount val="1"/>
                <c:pt idx="0">
                  <c:v>482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'RF再投資累積報酬 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'RF再投資累積報酬 '!$C$23:$EF$23</c:f>
              <c:numCache>
                <c:formatCode>General</c:formatCode>
                <c:ptCount val="134"/>
                <c:pt idx="0">
                  <c:v>0.28298899999999994</c:v>
                </c:pt>
                <c:pt idx="1">
                  <c:v>0.60898880696599988</c:v>
                </c:pt>
                <c:pt idx="2">
                  <c:v>0.82299236323651281</c:v>
                </c:pt>
                <c:pt idx="3">
                  <c:v>0.81617072581328176</c:v>
                </c:pt>
                <c:pt idx="4">
                  <c:v>1.4729561777305902</c:v>
                </c:pt>
                <c:pt idx="5">
                  <c:v>1.4279768142919371</c:v>
                </c:pt>
                <c:pt idx="6">
                  <c:v>1.3396336639155177</c:v>
                </c:pt>
                <c:pt idx="7">
                  <c:v>1.0708670769563908</c:v>
                </c:pt>
                <c:pt idx="8">
                  <c:v>0.94678382800577943</c:v>
                </c:pt>
                <c:pt idx="9">
                  <c:v>1.0456239897374608</c:v>
                </c:pt>
                <c:pt idx="10">
                  <c:v>0.498692520071228</c:v>
                </c:pt>
                <c:pt idx="11">
                  <c:v>1.9612680491012595</c:v>
                </c:pt>
                <c:pt idx="12">
                  <c:v>1.5973282058667149</c:v>
                </c:pt>
                <c:pt idx="13">
                  <c:v>1.7393540081558156</c:v>
                </c:pt>
                <c:pt idx="14">
                  <c:v>2.5369922598656052</c:v>
                </c:pt>
                <c:pt idx="15">
                  <c:v>2.759186113630363</c:v>
                </c:pt>
                <c:pt idx="16">
                  <c:v>2.4863800977711508</c:v>
                </c:pt>
                <c:pt idx="17">
                  <c:v>2.4850783907935901</c:v>
                </c:pt>
                <c:pt idx="18">
                  <c:v>2.6915222368898344</c:v>
                </c:pt>
                <c:pt idx="19">
                  <c:v>1.8333337591077514</c:v>
                </c:pt>
                <c:pt idx="20">
                  <c:v>2.7729214926752785</c:v>
                </c:pt>
                <c:pt idx="21">
                  <c:v>3.5069660066042099</c:v>
                </c:pt>
                <c:pt idx="22">
                  <c:v>3.2006973851084242</c:v>
                </c:pt>
                <c:pt idx="23">
                  <c:v>3.3731444141618958</c:v>
                </c:pt>
                <c:pt idx="24">
                  <c:v>4.0363405108583752</c:v>
                </c:pt>
                <c:pt idx="25">
                  <c:v>4.1924236789034799</c:v>
                </c:pt>
                <c:pt idx="26">
                  <c:v>2.9773524024387945</c:v>
                </c:pt>
                <c:pt idx="27">
                  <c:v>2.9654390723149247</c:v>
                </c:pt>
                <c:pt idx="28">
                  <c:v>2.0862338175184769</c:v>
                </c:pt>
                <c:pt idx="29">
                  <c:v>2.2927221800111539</c:v>
                </c:pt>
                <c:pt idx="30">
                  <c:v>2.2859539895701411</c:v>
                </c:pt>
                <c:pt idx="31">
                  <c:v>2.0093700355977471</c:v>
                </c:pt>
                <c:pt idx="32">
                  <c:v>2.0611490075958683</c:v>
                </c:pt>
                <c:pt idx="33">
                  <c:v>2.2086829212883687</c:v>
                </c:pt>
                <c:pt idx="34">
                  <c:v>2.5748292568931408</c:v>
                </c:pt>
                <c:pt idx="35">
                  <c:v>3.0446751904974052</c:v>
                </c:pt>
                <c:pt idx="36">
                  <c:v>3.0761002499182259</c:v>
                </c:pt>
                <c:pt idx="37">
                  <c:v>4.0637992565273793</c:v>
                </c:pt>
                <c:pt idx="38">
                  <c:v>4.0367740019883236</c:v>
                </c:pt>
                <c:pt idx="39">
                  <c:v>4.0524942740636396</c:v>
                </c:pt>
                <c:pt idx="40">
                  <c:v>4.504313535413508</c:v>
                </c:pt>
                <c:pt idx="41">
                  <c:v>6.3578583339197943</c:v>
                </c:pt>
                <c:pt idx="42">
                  <c:v>6.249647135502264</c:v>
                </c:pt>
                <c:pt idx="43">
                  <c:v>5.9493107707255541</c:v>
                </c:pt>
                <c:pt idx="44">
                  <c:v>6.1796493324517341</c:v>
                </c:pt>
                <c:pt idx="45">
                  <c:v>5.9812110462129207</c:v>
                </c:pt>
                <c:pt idx="46">
                  <c:v>5.6180002085487395</c:v>
                </c:pt>
                <c:pt idx="47">
                  <c:v>6.0801891251407758</c:v>
                </c:pt>
                <c:pt idx="48">
                  <c:v>7.2854779050176894</c:v>
                </c:pt>
                <c:pt idx="49">
                  <c:v>6.757248716676254</c:v>
                </c:pt>
                <c:pt idx="50">
                  <c:v>7.176124632879338</c:v>
                </c:pt>
                <c:pt idx="51">
                  <c:v>11.81057691822275</c:v>
                </c:pt>
                <c:pt idx="52">
                  <c:v>7.956793493016912</c:v>
                </c:pt>
                <c:pt idx="53">
                  <c:v>8.8061741139978569</c:v>
                </c:pt>
                <c:pt idx="54">
                  <c:v>8.1057116208343558</c:v>
                </c:pt>
                <c:pt idx="55">
                  <c:v>7.89767351298417</c:v>
                </c:pt>
                <c:pt idx="56">
                  <c:v>8.5628766750432437</c:v>
                </c:pt>
                <c:pt idx="57">
                  <c:v>6.6169844559958335</c:v>
                </c:pt>
                <c:pt idx="58">
                  <c:v>8.0726821935536837</c:v>
                </c:pt>
                <c:pt idx="59">
                  <c:v>9.0162712200555539</c:v>
                </c:pt>
                <c:pt idx="60">
                  <c:v>9.0632172600105232</c:v>
                </c:pt>
                <c:pt idx="61">
                  <c:v>10.568013370999461</c:v>
                </c:pt>
                <c:pt idx="62">
                  <c:v>11.371937804922091</c:v>
                </c:pt>
                <c:pt idx="63">
                  <c:v>11.285987840373879</c:v>
                </c:pt>
                <c:pt idx="64">
                  <c:v>9.2427031644857216</c:v>
                </c:pt>
                <c:pt idx="65">
                  <c:v>10.249216722651525</c:v>
                </c:pt>
                <c:pt idx="66">
                  <c:v>10.807311077309928</c:v>
                </c:pt>
                <c:pt idx="67">
                  <c:v>11.018004531798454</c:v>
                </c:pt>
                <c:pt idx="68">
                  <c:v>10.137380578838377</c:v>
                </c:pt>
                <c:pt idx="69">
                  <c:v>11.737263138626219</c:v>
                </c:pt>
                <c:pt idx="70">
                  <c:v>14.357161954484273</c:v>
                </c:pt>
                <c:pt idx="71">
                  <c:v>16.099701778373202</c:v>
                </c:pt>
                <c:pt idx="72">
                  <c:v>12.642957165556574</c:v>
                </c:pt>
                <c:pt idx="73">
                  <c:v>12.530905924922072</c:v>
                </c:pt>
                <c:pt idx="74">
                  <c:v>12.392813657176191</c:v>
                </c:pt>
                <c:pt idx="75">
                  <c:v>12.495533356220701</c:v>
                </c:pt>
                <c:pt idx="76">
                  <c:v>11.474553075535241</c:v>
                </c:pt>
                <c:pt idx="77">
                  <c:v>8.7599131503157484</c:v>
                </c:pt>
                <c:pt idx="78">
                  <c:v>7.9347612930223033</c:v>
                </c:pt>
                <c:pt idx="79">
                  <c:v>9.1967293149520053</c:v>
                </c:pt>
                <c:pt idx="80">
                  <c:v>9.8044747755817738</c:v>
                </c:pt>
                <c:pt idx="81">
                  <c:v>7.8226045652594198</c:v>
                </c:pt>
                <c:pt idx="82">
                  <c:v>10.406776321539882</c:v>
                </c:pt>
                <c:pt idx="83">
                  <c:v>12.462236908322403</c:v>
                </c:pt>
                <c:pt idx="84">
                  <c:v>8.2902975371929379</c:v>
                </c:pt>
                <c:pt idx="85">
                  <c:v>8.1056494589885553</c:v>
                </c:pt>
                <c:pt idx="86">
                  <c:v>8.9808571200328249</c:v>
                </c:pt>
                <c:pt idx="87">
                  <c:v>4.9020699420713978</c:v>
                </c:pt>
                <c:pt idx="88">
                  <c:v>7.1845948413529666</c:v>
                </c:pt>
                <c:pt idx="89">
                  <c:v>6.7507689319024813</c:v>
                </c:pt>
                <c:pt idx="90">
                  <c:v>-0.29408544529363556</c:v>
                </c:pt>
                <c:pt idx="91">
                  <c:v>-7.4291364930855419E-2</c:v>
                </c:pt>
                <c:pt idx="92">
                  <c:v>-5.1424260212562412E-2</c:v>
                </c:pt>
                <c:pt idx="93">
                  <c:v>-8.76887850325061E-2</c:v>
                </c:pt>
                <c:pt idx="94">
                  <c:v>-2.4725626531524436E-2</c:v>
                </c:pt>
                <c:pt idx="95">
                  <c:v>1.9807880226896835E-2</c:v>
                </c:pt>
                <c:pt idx="96">
                  <c:v>-1.6658020122651829E-3</c:v>
                </c:pt>
                <c:pt idx="97">
                  <c:v>-2.3873883506278837E-2</c:v>
                </c:pt>
                <c:pt idx="98">
                  <c:v>7.4618541655060433E-2</c:v>
                </c:pt>
                <c:pt idx="99">
                  <c:v>-2.0718385160969355E-2</c:v>
                </c:pt>
                <c:pt idx="100">
                  <c:v>8.7137707679763032E-4</c:v>
                </c:pt>
                <c:pt idx="101">
                  <c:v>0.18302876051112094</c:v>
                </c:pt>
                <c:pt idx="102">
                  <c:v>0.14637600229379544</c:v>
                </c:pt>
                <c:pt idx="103">
                  <c:v>0.16786825958479956</c:v>
                </c:pt>
                <c:pt idx="104">
                  <c:v>0.2524394396026326</c:v>
                </c:pt>
                <c:pt idx="105">
                  <c:v>0.22938202951954811</c:v>
                </c:pt>
                <c:pt idx="106">
                  <c:v>0.21783170757132031</c:v>
                </c:pt>
                <c:pt idx="107">
                  <c:v>0.29326679392101718</c:v>
                </c:pt>
                <c:pt idx="108">
                  <c:v>0.34276012948155166</c:v>
                </c:pt>
                <c:pt idx="109">
                  <c:v>0.41716709716485778</c:v>
                </c:pt>
                <c:pt idx="110">
                  <c:v>0.49295662228388171</c:v>
                </c:pt>
                <c:pt idx="111">
                  <c:v>0.44246035044837395</c:v>
                </c:pt>
                <c:pt idx="112">
                  <c:v>0.84322374937204181</c:v>
                </c:pt>
                <c:pt idx="113">
                  <c:v>1.241546354581136</c:v>
                </c:pt>
                <c:pt idx="114">
                  <c:v>1.1978422418149743</c:v>
                </c:pt>
                <c:pt idx="115">
                  <c:v>1.2121220537337649</c:v>
                </c:pt>
                <c:pt idx="116">
                  <c:v>1.5751120455493051</c:v>
                </c:pt>
                <c:pt idx="117">
                  <c:v>1.6963695206646854</c:v>
                </c:pt>
                <c:pt idx="118">
                  <c:v>1.2374177776105824</c:v>
                </c:pt>
                <c:pt idx="119">
                  <c:v>1.0363052371412032</c:v>
                </c:pt>
                <c:pt idx="120">
                  <c:v>0.44965266875849585</c:v>
                </c:pt>
                <c:pt idx="121">
                  <c:v>0.37100828665201302</c:v>
                </c:pt>
                <c:pt idx="122">
                  <c:v>0.29472812759926836</c:v>
                </c:pt>
                <c:pt idx="123">
                  <c:v>0.65242474976048226</c:v>
                </c:pt>
                <c:pt idx="124">
                  <c:v>0.88579377664529457</c:v>
                </c:pt>
                <c:pt idx="125">
                  <c:v>0.29461023903526118</c:v>
                </c:pt>
                <c:pt idx="126">
                  <c:v>0.22479838189528478</c:v>
                </c:pt>
                <c:pt idx="127">
                  <c:v>-4.1197206692823674E-2</c:v>
                </c:pt>
                <c:pt idx="128">
                  <c:v>-6.8771205288930215E-2</c:v>
                </c:pt>
                <c:pt idx="129">
                  <c:v>-0.12720901531467588</c:v>
                </c:pt>
                <c:pt idx="130">
                  <c:v>-4.547781274029572E-2</c:v>
                </c:pt>
                <c:pt idx="131">
                  <c:v>-0.13274586719016623</c:v>
                </c:pt>
                <c:pt idx="132">
                  <c:v>-8.1533917542842782E-2</c:v>
                </c:pt>
                <c:pt idx="133">
                  <c:v>-0.12542031977180101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B20-4C2B-ADEB-C2A5F551AA22}"/>
            </c:ext>
          </c:extLst>
        </c:ser>
        <c:ser>
          <c:idx val="12"/>
          <c:order val="12"/>
          <c:tx>
            <c:strRef>
              <c:f>'RF再投資累積報酬 '!$A$24</c:f>
              <c:strCache>
                <c:ptCount val="1"/>
                <c:pt idx="0">
                  <c:v>964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'RF再投資累積報酬 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'RF再投資累積報酬 '!$C$24:$EF$24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0.20969475893</c:v>
                </c:pt>
                <c:pt idx="2">
                  <c:v>0.55386743418269191</c:v>
                </c:pt>
                <c:pt idx="3">
                  <c:v>0.6709140525299373</c:v>
                </c:pt>
                <c:pt idx="4">
                  <c:v>1.0545676153891788</c:v>
                </c:pt>
                <c:pt idx="5">
                  <c:v>1.1282361918065735</c:v>
                </c:pt>
                <c:pt idx="6">
                  <c:v>1.1642672305338584</c:v>
                </c:pt>
                <c:pt idx="7">
                  <c:v>0.91437877182918847</c:v>
                </c:pt>
                <c:pt idx="8">
                  <c:v>1.0172440863758863</c:v>
                </c:pt>
                <c:pt idx="9">
                  <c:v>1.2064615816779445</c:v>
                </c:pt>
                <c:pt idx="10">
                  <c:v>0.1848090941416527</c:v>
                </c:pt>
                <c:pt idx="11">
                  <c:v>2.2807742955692492</c:v>
                </c:pt>
                <c:pt idx="12">
                  <c:v>1.4793467506475926</c:v>
                </c:pt>
                <c:pt idx="13">
                  <c:v>1.4836508966067168</c:v>
                </c:pt>
                <c:pt idx="14">
                  <c:v>1.4765973280603539</c:v>
                </c:pt>
                <c:pt idx="15">
                  <c:v>1.4076810542124183</c:v>
                </c:pt>
                <c:pt idx="16">
                  <c:v>1.3810761785633709</c:v>
                </c:pt>
                <c:pt idx="17">
                  <c:v>1.6755939771519617</c:v>
                </c:pt>
                <c:pt idx="18">
                  <c:v>2.4404205423027809</c:v>
                </c:pt>
                <c:pt idx="19">
                  <c:v>2.1009198431883425</c:v>
                </c:pt>
                <c:pt idx="20">
                  <c:v>3.6380829769454257</c:v>
                </c:pt>
                <c:pt idx="21">
                  <c:v>3.6339133403491521</c:v>
                </c:pt>
                <c:pt idx="22">
                  <c:v>3.0763655211516827</c:v>
                </c:pt>
                <c:pt idx="23">
                  <c:v>2.9769225842631877</c:v>
                </c:pt>
                <c:pt idx="24">
                  <c:v>3.352192953159431</c:v>
                </c:pt>
                <c:pt idx="25">
                  <c:v>4.6595647046509594</c:v>
                </c:pt>
                <c:pt idx="26">
                  <c:v>3.2663496613070331</c:v>
                </c:pt>
                <c:pt idx="27">
                  <c:v>3.0107008305559049</c:v>
                </c:pt>
                <c:pt idx="28">
                  <c:v>2.3077412852835408</c:v>
                </c:pt>
                <c:pt idx="29">
                  <c:v>2.3822382677031877</c:v>
                </c:pt>
                <c:pt idx="30">
                  <c:v>2.7404206824912229</c:v>
                </c:pt>
                <c:pt idx="31">
                  <c:v>2.5283487042510107</c:v>
                </c:pt>
                <c:pt idx="32">
                  <c:v>2.497269840633261</c:v>
                </c:pt>
                <c:pt idx="33">
                  <c:v>2.2143713326229393</c:v>
                </c:pt>
                <c:pt idx="34">
                  <c:v>2.4872198779650478</c:v>
                </c:pt>
                <c:pt idx="35">
                  <c:v>2.2965493816558915</c:v>
                </c:pt>
                <c:pt idx="36">
                  <c:v>2.2341810361876804</c:v>
                </c:pt>
                <c:pt idx="37">
                  <c:v>2.9495478097655305</c:v>
                </c:pt>
                <c:pt idx="38">
                  <c:v>3.210573866186877</c:v>
                </c:pt>
                <c:pt idx="39">
                  <c:v>3.1143550301509499</c:v>
                </c:pt>
                <c:pt idx="40">
                  <c:v>3.308046410135808</c:v>
                </c:pt>
                <c:pt idx="41">
                  <c:v>3.3495727749605866</c:v>
                </c:pt>
                <c:pt idx="42">
                  <c:v>3.2279757823871318</c:v>
                </c:pt>
                <c:pt idx="43">
                  <c:v>3.3567565739831844</c:v>
                </c:pt>
                <c:pt idx="44">
                  <c:v>3.5488691486878921</c:v>
                </c:pt>
                <c:pt idx="45">
                  <c:v>3.152426322136999</c:v>
                </c:pt>
                <c:pt idx="46">
                  <c:v>3.1731367207901888</c:v>
                </c:pt>
                <c:pt idx="47">
                  <c:v>3.291262307467882</c:v>
                </c:pt>
                <c:pt idx="48">
                  <c:v>4.0127406265726835</c:v>
                </c:pt>
                <c:pt idx="49">
                  <c:v>4.2025584448151427</c:v>
                </c:pt>
                <c:pt idx="50">
                  <c:v>4.4652408232523042</c:v>
                </c:pt>
                <c:pt idx="51">
                  <c:v>8.2404980181752379</c:v>
                </c:pt>
                <c:pt idx="52">
                  <c:v>2.7015435322426167</c:v>
                </c:pt>
                <c:pt idx="53">
                  <c:v>3.3885323156594094</c:v>
                </c:pt>
                <c:pt idx="54">
                  <c:v>3.1863774093913761</c:v>
                </c:pt>
                <c:pt idx="55">
                  <c:v>3.5533189825511995</c:v>
                </c:pt>
                <c:pt idx="56">
                  <c:v>3.675511695345369</c:v>
                </c:pt>
                <c:pt idx="57">
                  <c:v>1.8695703502165704</c:v>
                </c:pt>
                <c:pt idx="58">
                  <c:v>2.5112898024406136</c:v>
                </c:pt>
                <c:pt idx="59">
                  <c:v>2.5230467094060911</c:v>
                </c:pt>
                <c:pt idx="60">
                  <c:v>2.5372218530521473</c:v>
                </c:pt>
                <c:pt idx="61">
                  <c:v>3.659102324530509</c:v>
                </c:pt>
                <c:pt idx="62">
                  <c:v>3.264089932446149</c:v>
                </c:pt>
                <c:pt idx="63">
                  <c:v>3.2932961420537472</c:v>
                </c:pt>
                <c:pt idx="64">
                  <c:v>2.6016045268253571</c:v>
                </c:pt>
                <c:pt idx="65">
                  <c:v>3.0458666991699781</c:v>
                </c:pt>
                <c:pt idx="66">
                  <c:v>2.7862449165817176</c:v>
                </c:pt>
                <c:pt idx="67">
                  <c:v>2.9466159517498833</c:v>
                </c:pt>
                <c:pt idx="68">
                  <c:v>2.9415456652322338</c:v>
                </c:pt>
                <c:pt idx="69">
                  <c:v>3.3998319232581506</c:v>
                </c:pt>
                <c:pt idx="70">
                  <c:v>4.4044307257255806</c:v>
                </c:pt>
                <c:pt idx="71">
                  <c:v>4.9866416919527063</c:v>
                </c:pt>
                <c:pt idx="72">
                  <c:v>4.6164524129211282</c:v>
                </c:pt>
                <c:pt idx="73">
                  <c:v>3.8696885872040001</c:v>
                </c:pt>
                <c:pt idx="74">
                  <c:v>4.4041158198436374</c:v>
                </c:pt>
                <c:pt idx="75">
                  <c:v>5.8032030301640845</c:v>
                </c:pt>
                <c:pt idx="76">
                  <c:v>5.0193265423857909</c:v>
                </c:pt>
                <c:pt idx="77">
                  <c:v>6.275933035257621</c:v>
                </c:pt>
                <c:pt idx="78">
                  <c:v>4.9482935343141632</c:v>
                </c:pt>
                <c:pt idx="79">
                  <c:v>5.1264687188410099</c:v>
                </c:pt>
                <c:pt idx="80">
                  <c:v>6.1407975122759213</c:v>
                </c:pt>
                <c:pt idx="81">
                  <c:v>4.9616376190737981</c:v>
                </c:pt>
                <c:pt idx="82">
                  <c:v>6.3761971084147717</c:v>
                </c:pt>
                <c:pt idx="83">
                  <c:v>8.9894162809614446</c:v>
                </c:pt>
                <c:pt idx="84">
                  <c:v>12.270458246266001</c:v>
                </c:pt>
                <c:pt idx="85">
                  <c:v>12.444427125154441</c:v>
                </c:pt>
                <c:pt idx="86">
                  <c:v>13.701885460524238</c:v>
                </c:pt>
                <c:pt idx="87">
                  <c:v>15.78595613518576</c:v>
                </c:pt>
                <c:pt idx="88">
                  <c:v>25.01130125542273</c:v>
                </c:pt>
                <c:pt idx="89">
                  <c:v>22.208875744216524</c:v>
                </c:pt>
                <c:pt idx="90">
                  <c:v>4.1836277035050689</c:v>
                </c:pt>
                <c:pt idx="91">
                  <c:v>5.6755575087515044</c:v>
                </c:pt>
                <c:pt idx="92">
                  <c:v>6.7449127071199664</c:v>
                </c:pt>
                <c:pt idx="93">
                  <c:v>5.9950967282928547</c:v>
                </c:pt>
                <c:pt idx="94">
                  <c:v>5.807222420364365</c:v>
                </c:pt>
                <c:pt idx="95">
                  <c:v>6.4635680543746128</c:v>
                </c:pt>
                <c:pt idx="96">
                  <c:v>5.9205834200912903</c:v>
                </c:pt>
                <c:pt idx="97">
                  <c:v>6.024835417731758</c:v>
                </c:pt>
                <c:pt idx="98">
                  <c:v>7.2550046882072099</c:v>
                </c:pt>
                <c:pt idx="99">
                  <c:v>7.7107403310951863</c:v>
                </c:pt>
                <c:pt idx="100">
                  <c:v>7.0132983156892958</c:v>
                </c:pt>
                <c:pt idx="101">
                  <c:v>7.9124435024133213</c:v>
                </c:pt>
                <c:pt idx="102">
                  <c:v>8.130898224689993</c:v>
                </c:pt>
                <c:pt idx="103">
                  <c:v>7.9802384039826091</c:v>
                </c:pt>
                <c:pt idx="104">
                  <c:v>9.5926402094176861</c:v>
                </c:pt>
                <c:pt idx="105">
                  <c:v>10.114857371741977</c:v>
                </c:pt>
                <c:pt idx="106">
                  <c:v>8.1579449335479008</c:v>
                </c:pt>
                <c:pt idx="107">
                  <c:v>7.1994288466804885</c:v>
                </c:pt>
                <c:pt idx="108">
                  <c:v>7.6840629280067461</c:v>
                </c:pt>
                <c:pt idx="109">
                  <c:v>8.5469720396342375</c:v>
                </c:pt>
                <c:pt idx="110">
                  <c:v>9.9014530792281725</c:v>
                </c:pt>
                <c:pt idx="111">
                  <c:v>10.131255710138301</c:v>
                </c:pt>
                <c:pt idx="112">
                  <c:v>13.910419549612977</c:v>
                </c:pt>
                <c:pt idx="113">
                  <c:v>17.087895953415039</c:v>
                </c:pt>
                <c:pt idx="114">
                  <c:v>14.529552501235113</c:v>
                </c:pt>
                <c:pt idx="115">
                  <c:v>18.153133968433917</c:v>
                </c:pt>
                <c:pt idx="116">
                  <c:v>21.704906504471701</c:v>
                </c:pt>
                <c:pt idx="117">
                  <c:v>24.301744436727805</c:v>
                </c:pt>
                <c:pt idx="118">
                  <c:v>20.937185479882302</c:v>
                </c:pt>
                <c:pt idx="119">
                  <c:v>20.487130294684338</c:v>
                </c:pt>
                <c:pt idx="120">
                  <c:v>15.840290384782364</c:v>
                </c:pt>
                <c:pt idx="121">
                  <c:v>14.581764963456424</c:v>
                </c:pt>
                <c:pt idx="122">
                  <c:v>14.92116696789043</c:v>
                </c:pt>
                <c:pt idx="123">
                  <c:v>17.440288813442745</c:v>
                </c:pt>
                <c:pt idx="124">
                  <c:v>19.447644990429776</c:v>
                </c:pt>
                <c:pt idx="125">
                  <c:v>13.076299331871038</c:v>
                </c:pt>
                <c:pt idx="126">
                  <c:v>13.030692122035775</c:v>
                </c:pt>
                <c:pt idx="127">
                  <c:v>6.9482467802120453</c:v>
                </c:pt>
                <c:pt idx="128">
                  <c:v>6.511727604565392</c:v>
                </c:pt>
                <c:pt idx="129">
                  <c:v>6.7248483639072392</c:v>
                </c:pt>
                <c:pt idx="130">
                  <c:v>7.8344996568374228</c:v>
                </c:pt>
                <c:pt idx="131">
                  <c:v>7.338240674325462</c:v>
                </c:pt>
                <c:pt idx="132">
                  <c:v>8.2840426378556078</c:v>
                </c:pt>
                <c:pt idx="133">
                  <c:v>8.9086421760650509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B20-4C2B-ADEB-C2A5F551AA22}"/>
            </c:ext>
          </c:extLst>
        </c:ser>
        <c:ser>
          <c:idx val="13"/>
          <c:order val="13"/>
          <c:tx>
            <c:strRef>
              <c:f>'RF再投資累積報酬 '!$A$25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'RF再投資累積報酬 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'RF再投資累積報酬 '!$C$25:$EF$25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B20-4C2B-ADEB-C2A5F551A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1290776"/>
        <c:axId val="771291136"/>
      </c:lineChart>
      <c:catAx>
        <c:axId val="771290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1291136"/>
        <c:crosses val="autoZero"/>
        <c:auto val="1"/>
        <c:lblAlgn val="ctr"/>
        <c:lblOffset val="100"/>
        <c:noMultiLvlLbl val="0"/>
      </c:catAx>
      <c:valAx>
        <c:axId val="77129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129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329766</xdr:colOff>
      <xdr:row>27</xdr:row>
      <xdr:rowOff>17466</xdr:rowOff>
    </xdr:from>
    <xdr:to>
      <xdr:col>17</xdr:col>
      <xdr:colOff>440170</xdr:colOff>
      <xdr:row>51</xdr:row>
      <xdr:rowOff>93808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34191</xdr:colOff>
      <xdr:row>25</xdr:row>
      <xdr:rowOff>134490</xdr:rowOff>
    </xdr:from>
    <xdr:to>
      <xdr:col>14</xdr:col>
      <xdr:colOff>20483</xdr:colOff>
      <xdr:row>45</xdr:row>
      <xdr:rowOff>122903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1ACF1C1-0397-4A45-B473-5D6BC5FED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31"/>
  <sheetViews>
    <sheetView topLeftCell="A22" zoomScale="84" zoomScaleNormal="84" workbookViewId="0">
      <selection activeCell="C26" sqref="C26"/>
    </sheetView>
  </sheetViews>
  <sheetFormatPr baseColWidth="10" defaultColWidth="9" defaultRowHeight="14"/>
  <cols>
    <col min="136" max="136" width="9.3984375" bestFit="1" customWidth="1"/>
  </cols>
  <sheetData>
    <row r="1" spans="1:137">
      <c r="A1" s="7" t="s">
        <v>155</v>
      </c>
      <c r="B1" s="7"/>
    </row>
    <row r="2" spans="1:137">
      <c r="A2" s="7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5" t="s">
        <v>45</v>
      </c>
      <c r="AV2" s="5" t="s">
        <v>46</v>
      </c>
      <c r="AW2" s="5" t="s">
        <v>47</v>
      </c>
      <c r="AX2" s="5" t="s">
        <v>48</v>
      </c>
      <c r="AY2" s="5" t="s">
        <v>49</v>
      </c>
      <c r="AZ2" s="5" t="s">
        <v>50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55</v>
      </c>
      <c r="BF2" s="5" t="s">
        <v>56</v>
      </c>
      <c r="BG2" s="5" t="s">
        <v>57</v>
      </c>
      <c r="BH2" s="5" t="s">
        <v>58</v>
      </c>
      <c r="BI2" s="5" t="s">
        <v>59</v>
      </c>
      <c r="BJ2" s="5" t="s">
        <v>60</v>
      </c>
      <c r="BK2" s="5" t="s">
        <v>61</v>
      </c>
      <c r="BL2" s="5" t="s">
        <v>62</v>
      </c>
      <c r="BM2" s="5" t="s">
        <v>63</v>
      </c>
      <c r="BN2" s="5" t="s">
        <v>64</v>
      </c>
      <c r="BO2" s="5" t="s">
        <v>65</v>
      </c>
      <c r="BP2" s="5" t="s">
        <v>66</v>
      </c>
      <c r="BQ2" s="5" t="s">
        <v>67</v>
      </c>
      <c r="BR2" s="5" t="s">
        <v>68</v>
      </c>
      <c r="BS2" s="5" t="s">
        <v>69</v>
      </c>
      <c r="BT2" s="5" t="s">
        <v>70</v>
      </c>
      <c r="BU2" s="5" t="s">
        <v>71</v>
      </c>
      <c r="BV2" s="5" t="s">
        <v>72</v>
      </c>
      <c r="BW2" s="5" t="s">
        <v>73</v>
      </c>
      <c r="BX2" s="5" t="s">
        <v>74</v>
      </c>
      <c r="BY2" s="5" t="s">
        <v>75</v>
      </c>
      <c r="BZ2" s="5" t="s">
        <v>76</v>
      </c>
      <c r="CA2" s="5" t="s">
        <v>77</v>
      </c>
      <c r="CB2" s="5" t="s">
        <v>78</v>
      </c>
      <c r="CC2" s="5" t="s">
        <v>79</v>
      </c>
      <c r="CD2" s="5" t="s">
        <v>80</v>
      </c>
      <c r="CE2" s="5" t="s">
        <v>81</v>
      </c>
      <c r="CF2" s="5" t="s">
        <v>82</v>
      </c>
      <c r="CG2" s="5" t="s">
        <v>83</v>
      </c>
      <c r="CH2" s="5" t="s">
        <v>84</v>
      </c>
      <c r="CI2" s="5" t="s">
        <v>85</v>
      </c>
      <c r="CJ2" s="5" t="s">
        <v>86</v>
      </c>
      <c r="CK2" s="5" t="s">
        <v>87</v>
      </c>
      <c r="CL2" s="5" t="s">
        <v>88</v>
      </c>
      <c r="CM2" s="5" t="s">
        <v>89</v>
      </c>
      <c r="CN2" s="5" t="s">
        <v>90</v>
      </c>
      <c r="CO2" s="5" t="s">
        <v>91</v>
      </c>
      <c r="CP2" s="5" t="s">
        <v>92</v>
      </c>
      <c r="CQ2" s="5" t="s">
        <v>93</v>
      </c>
      <c r="CR2" s="5" t="s">
        <v>94</v>
      </c>
      <c r="CS2" s="5" t="s">
        <v>95</v>
      </c>
      <c r="CT2" s="5" t="s">
        <v>96</v>
      </c>
      <c r="CU2" s="5" t="s">
        <v>97</v>
      </c>
      <c r="CV2" s="5" t="s">
        <v>98</v>
      </c>
      <c r="CW2" s="5" t="s">
        <v>99</v>
      </c>
      <c r="CX2" s="5" t="s">
        <v>100</v>
      </c>
      <c r="CY2" s="5" t="s">
        <v>101</v>
      </c>
      <c r="CZ2" s="5" t="s">
        <v>102</v>
      </c>
      <c r="DA2" s="5" t="s">
        <v>103</v>
      </c>
      <c r="DB2" s="5" t="s">
        <v>104</v>
      </c>
      <c r="DC2" s="5" t="s">
        <v>105</v>
      </c>
      <c r="DD2" s="5" t="s">
        <v>106</v>
      </c>
      <c r="DE2" s="5" t="s">
        <v>107</v>
      </c>
      <c r="DF2" s="5" t="s">
        <v>108</v>
      </c>
      <c r="DG2" s="5" t="s">
        <v>109</v>
      </c>
      <c r="DH2" s="5" t="s">
        <v>110</v>
      </c>
      <c r="DI2" s="5" t="s">
        <v>111</v>
      </c>
      <c r="DJ2" s="5" t="s">
        <v>112</v>
      </c>
      <c r="DK2" s="5" t="s">
        <v>113</v>
      </c>
      <c r="DL2" s="5" t="s">
        <v>114</v>
      </c>
      <c r="DM2" s="5" t="s">
        <v>115</v>
      </c>
      <c r="DN2" s="5" t="s">
        <v>116</v>
      </c>
      <c r="DO2" s="5" t="s">
        <v>117</v>
      </c>
      <c r="DP2" s="5" t="s">
        <v>118</v>
      </c>
      <c r="DQ2" s="5" t="s">
        <v>119</v>
      </c>
      <c r="DR2" s="5" t="s">
        <v>120</v>
      </c>
      <c r="DS2" s="5" t="s">
        <v>121</v>
      </c>
      <c r="DT2" s="5" t="s">
        <v>122</v>
      </c>
      <c r="DU2" s="5" t="s">
        <v>123</v>
      </c>
      <c r="DV2" s="5" t="s">
        <v>124</v>
      </c>
      <c r="DW2" s="5" t="s">
        <v>125</v>
      </c>
      <c r="DX2" s="5" t="s">
        <v>126</v>
      </c>
      <c r="DY2" s="5" t="s">
        <v>127</v>
      </c>
      <c r="DZ2" s="5" t="s">
        <v>128</v>
      </c>
      <c r="EA2" s="5" t="s">
        <v>129</v>
      </c>
      <c r="EB2" s="5" t="s">
        <v>130</v>
      </c>
      <c r="EC2" s="5" t="s">
        <v>131</v>
      </c>
      <c r="ED2" s="5" t="s">
        <v>132</v>
      </c>
      <c r="EE2" s="5" t="s">
        <v>133</v>
      </c>
      <c r="EF2" s="5" t="s">
        <v>134</v>
      </c>
      <c r="EG2" s="5" t="s">
        <v>135</v>
      </c>
    </row>
    <row r="3" spans="1:137">
      <c r="A3" s="7"/>
      <c r="B3" s="4" t="s">
        <v>136</v>
      </c>
      <c r="C3" s="9">
        <v>3.6997013757333698E-2</v>
      </c>
      <c r="D3" s="9">
        <v>3.3297817500003282E-2</v>
      </c>
      <c r="E3" s="9">
        <v>1.542163833496168E-2</v>
      </c>
      <c r="F3" s="9">
        <v>1.6456982644761711E-2</v>
      </c>
      <c r="G3" s="9">
        <v>1.7226210935333459E-2</v>
      </c>
      <c r="H3" s="9">
        <v>2.8764108032567459E-2</v>
      </c>
      <c r="I3" s="9">
        <v>2.427932822777535E-2</v>
      </c>
      <c r="J3" s="9">
        <v>2.731641860027573E-2</v>
      </c>
      <c r="K3" s="9">
        <v>3.0174004661944549E-2</v>
      </c>
      <c r="L3" s="9">
        <v>2.5236297001741709E-2</v>
      </c>
      <c r="M3" s="9">
        <v>3.2729103566482703E-2</v>
      </c>
      <c r="N3" s="9">
        <v>3.1554761397993208E-2</v>
      </c>
      <c r="O3" s="9">
        <v>3.4033301690891533E-2</v>
      </c>
      <c r="P3" s="9">
        <v>3.321291110249007E-2</v>
      </c>
      <c r="Q3" s="9">
        <v>2.910333512892541E-2</v>
      </c>
      <c r="R3" s="9">
        <v>2.6473653115280309E-2</v>
      </c>
      <c r="S3" s="9">
        <v>2.8295345986913231E-2</v>
      </c>
      <c r="T3" s="9">
        <v>2.262072807092802E-2</v>
      </c>
      <c r="U3" s="9">
        <v>1.614400695132448E-2</v>
      </c>
      <c r="V3" s="9">
        <v>2.5033177832038969E-2</v>
      </c>
      <c r="W3" s="9">
        <v>4.5784045042201092E-2</v>
      </c>
      <c r="X3" s="9">
        <v>4.3057813861526573E-2</v>
      </c>
      <c r="Y3" s="9">
        <v>3.778574554965778E-2</v>
      </c>
      <c r="Z3" s="9">
        <v>2.409745457622987E-2</v>
      </c>
      <c r="AA3" s="9">
        <v>3.009442686823352E-2</v>
      </c>
      <c r="AB3" s="9">
        <v>2.8087063172378191E-2</v>
      </c>
      <c r="AC3" s="9">
        <v>3.3771066806544549E-2</v>
      </c>
      <c r="AD3" s="9">
        <v>3.413170384138306E-2</v>
      </c>
      <c r="AE3" s="9">
        <v>3.4141408533312018E-2</v>
      </c>
      <c r="AF3" s="9">
        <v>1.3117941025955079E-2</v>
      </c>
      <c r="AG3" s="9">
        <v>2.485735401293461E-2</v>
      </c>
      <c r="AH3" s="9">
        <v>3.1884444011299258E-2</v>
      </c>
      <c r="AI3" s="9">
        <v>3.6385761193522617E-2</v>
      </c>
      <c r="AJ3" s="9">
        <v>3.5948919429733099E-2</v>
      </c>
      <c r="AK3" s="9">
        <v>4.3482830969963061E-2</v>
      </c>
      <c r="AL3" s="9">
        <v>3.8462077568039821E-2</v>
      </c>
      <c r="AM3" s="9">
        <v>3.9410244165835981E-2</v>
      </c>
      <c r="AN3" s="9">
        <v>5.0743620516414449E-2</v>
      </c>
      <c r="AO3" s="9">
        <v>5.3684811620656171E-2</v>
      </c>
      <c r="AP3" s="9">
        <v>4.9314899356547669E-2</v>
      </c>
      <c r="AQ3" s="9">
        <v>3.2773687722358558E-2</v>
      </c>
      <c r="AR3" s="9">
        <v>2.8295340626825871E-2</v>
      </c>
      <c r="AS3" s="9">
        <v>2.8377802599917339E-2</v>
      </c>
      <c r="AT3" s="9">
        <v>2.306922946025217E-2</v>
      </c>
      <c r="AU3" s="9">
        <v>2.9397032882625889E-2</v>
      </c>
      <c r="AV3" s="9">
        <v>3.103785222722218E-2</v>
      </c>
      <c r="AW3" s="9">
        <v>2.6297924056821211E-2</v>
      </c>
      <c r="AX3" s="9">
        <v>2.6164811358804361E-2</v>
      </c>
      <c r="AY3" s="9">
        <v>3.2053783671709642E-2</v>
      </c>
      <c r="AZ3" s="9">
        <v>3.4477530774765272E-2</v>
      </c>
      <c r="BA3" s="9">
        <v>2.9331890747661678E-2</v>
      </c>
      <c r="BB3" s="9">
        <v>3.4324947588369341E-2</v>
      </c>
      <c r="BC3" s="9">
        <v>3.742177693859082E-2</v>
      </c>
      <c r="BD3" s="9">
        <v>3.141372245226793E-2</v>
      </c>
      <c r="BE3" s="9">
        <v>3.2006411062996218E-2</v>
      </c>
      <c r="BF3" s="9">
        <v>2.828182773285309E-2</v>
      </c>
      <c r="BG3" s="9">
        <v>4.1103436715196499E-2</v>
      </c>
      <c r="BH3" s="9">
        <v>4.5198779339126277E-2</v>
      </c>
      <c r="BI3" s="9">
        <v>4.1588040384802467E-2</v>
      </c>
      <c r="BJ3" s="9">
        <v>4.0723405736309601E-2</v>
      </c>
      <c r="BK3" s="9">
        <v>3.6327700059770963E-2</v>
      </c>
      <c r="BL3" s="9">
        <v>3.6173192149872829E-2</v>
      </c>
      <c r="BM3" s="9">
        <v>3.7708587815686451E-2</v>
      </c>
      <c r="BN3" s="9">
        <v>3.0814038130409348E-2</v>
      </c>
      <c r="BO3" s="9">
        <v>3.065585577146604E-2</v>
      </c>
      <c r="BP3" s="9">
        <v>3.4399631895121928E-2</v>
      </c>
      <c r="BQ3" s="9">
        <v>3.4868650026028229E-2</v>
      </c>
      <c r="BR3" s="9">
        <v>3.6324039848933801E-2</v>
      </c>
      <c r="BS3" s="9">
        <v>3.6164468096582629E-2</v>
      </c>
      <c r="BT3" s="9">
        <v>3.8668894956456937E-2</v>
      </c>
      <c r="BU3" s="9">
        <v>4.1103483948852763E-2</v>
      </c>
      <c r="BV3" s="9">
        <v>2.8684133448632881E-2</v>
      </c>
      <c r="BW3" s="9">
        <v>3.521650986163926E-2</v>
      </c>
      <c r="BX3" s="9">
        <v>4.0767200067914261E-2</v>
      </c>
      <c r="BY3" s="9">
        <v>2.160353774972024E-2</v>
      </c>
      <c r="BZ3" s="9">
        <v>3.0433668800390778E-2</v>
      </c>
      <c r="CA3" s="9">
        <v>3.7311958080318418E-2</v>
      </c>
      <c r="CB3" s="9">
        <v>2.7612053143104789E-2</v>
      </c>
      <c r="CC3" s="9">
        <v>1.9742954750447479E-2</v>
      </c>
      <c r="CD3" s="9">
        <v>7.791460166144233E-3</v>
      </c>
      <c r="CE3" s="9">
        <v>2.2526806957081459E-2</v>
      </c>
      <c r="CF3" s="9">
        <v>3.4778187915741783E-2</v>
      </c>
      <c r="CG3" s="9">
        <v>3.2581362027151728E-2</v>
      </c>
      <c r="CH3" s="9">
        <v>4.0909001215823582E-2</v>
      </c>
      <c r="CI3" s="9">
        <v>3.9050253240311222E-2</v>
      </c>
      <c r="CJ3" s="9">
        <v>2.4561899640003909E-2</v>
      </c>
      <c r="CK3" s="9">
        <v>3.413446187252573E-2</v>
      </c>
      <c r="CL3" s="9">
        <v>3.5925937532879773E-2</v>
      </c>
      <c r="CM3" s="9">
        <v>4.2466042159304301E-2</v>
      </c>
      <c r="CN3" s="9">
        <v>3.6523906516241801E-2</v>
      </c>
      <c r="CO3" s="9">
        <v>3.765914957102829E-2</v>
      </c>
      <c r="CP3" s="9">
        <v>3.9957834472595419E-2</v>
      </c>
      <c r="CQ3" s="9">
        <v>-4.5921902670845423E-3</v>
      </c>
      <c r="CR3" s="9">
        <v>1.500343045059385E-2</v>
      </c>
      <c r="CS3" s="9">
        <v>2.2458754318599651E-2</v>
      </c>
      <c r="CT3" s="9">
        <v>4.0972167824902372E-2</v>
      </c>
      <c r="CU3" s="9">
        <v>3.8942373224816529E-2</v>
      </c>
      <c r="CV3" s="9">
        <v>4.3015000500199303E-2</v>
      </c>
      <c r="CW3" s="9">
        <v>3.9706600079107618E-2</v>
      </c>
      <c r="CX3" s="9">
        <v>3.9171022856911548E-2</v>
      </c>
      <c r="CY3" s="9">
        <v>3.4940834769569752E-2</v>
      </c>
      <c r="CZ3" s="9">
        <v>3.6026834228159298E-2</v>
      </c>
      <c r="DA3" s="9">
        <v>4.450954814790925E-2</v>
      </c>
      <c r="DB3" s="9">
        <v>3.9322897230046248E-2</v>
      </c>
      <c r="DC3" s="9">
        <v>3.7933403354666211E-2</v>
      </c>
      <c r="DD3" s="9">
        <v>3.9075000966415717E-2</v>
      </c>
      <c r="DE3" s="9">
        <v>4.199397627237688E-2</v>
      </c>
      <c r="DF3" s="9">
        <v>4.1965348731106439E-2</v>
      </c>
      <c r="DG3" s="9">
        <v>4.0382244799122918E-2</v>
      </c>
      <c r="DH3" s="9">
        <v>3.6787240146963857E-2</v>
      </c>
      <c r="DI3" s="9">
        <v>3.6877765546082367E-2</v>
      </c>
      <c r="DJ3" s="9">
        <v>3.368209367541955E-2</v>
      </c>
      <c r="DK3" s="9">
        <v>3.6536443043095952E-2</v>
      </c>
      <c r="DL3" s="9">
        <v>3.1530556219024453E-2</v>
      </c>
      <c r="DM3" s="9">
        <v>2.866223764473836E-2</v>
      </c>
      <c r="DN3" s="9">
        <v>3.0844743252797239E-2</v>
      </c>
      <c r="DO3" s="9">
        <v>3.3675363611272838E-2</v>
      </c>
      <c r="DP3" s="9">
        <v>3.5102177512429639E-2</v>
      </c>
      <c r="DQ3" s="9">
        <v>3.6708207074369593E-2</v>
      </c>
      <c r="DR3" s="9">
        <v>3.4114421599711522E-2</v>
      </c>
      <c r="DS3" s="9">
        <v>3.6715906439180969E-2</v>
      </c>
      <c r="DT3" s="9">
        <v>3.4828052772429188E-2</v>
      </c>
      <c r="DU3" s="9">
        <v>2.3365577264107731E-2</v>
      </c>
      <c r="DV3" s="9">
        <v>2.524093892652959E-2</v>
      </c>
      <c r="DW3" s="9">
        <v>3.5159202684512107E-2</v>
      </c>
      <c r="DX3" s="9">
        <v>3.2304964005665182E-2</v>
      </c>
      <c r="DY3" s="9">
        <v>2.325821710130703E-2</v>
      </c>
      <c r="DZ3" s="9">
        <v>2.8308751932577921E-2</v>
      </c>
      <c r="EA3" s="9">
        <v>3.1397321824344362E-2</v>
      </c>
      <c r="EB3" s="9">
        <v>3.723081253221186E-2</v>
      </c>
      <c r="EC3" s="9">
        <v>3.3346090074484303E-2</v>
      </c>
      <c r="ED3" s="9">
        <v>3.4186640907954438E-2</v>
      </c>
      <c r="EE3" s="9">
        <v>2.5041157579864491E-2</v>
      </c>
      <c r="EF3" s="9">
        <v>3.4121434975122142E-2</v>
      </c>
      <c r="EG3" s="1"/>
    </row>
    <row r="4" spans="1:137">
      <c r="A4" s="7"/>
      <c r="B4" s="4" t="s">
        <v>137</v>
      </c>
      <c r="C4" s="9">
        <v>-4.9660484307830009E-2</v>
      </c>
      <c r="D4" s="9">
        <v>-6.5232195080165353E-2</v>
      </c>
      <c r="E4" s="9">
        <v>-9.3874054199500026E-2</v>
      </c>
      <c r="F4" s="9">
        <v>-7.3843592245097373E-2</v>
      </c>
      <c r="G4" s="9">
        <v>-2.745888685018728E-2</v>
      </c>
      <c r="H4" s="9">
        <v>-3.3398565611267667E-2</v>
      </c>
      <c r="I4" s="9">
        <v>-4.7136189417385607E-2</v>
      </c>
      <c r="J4" s="9">
        <v>-4.6203432590894752E-2</v>
      </c>
      <c r="K4" s="9">
        <v>-4.5932097646850877E-2</v>
      </c>
      <c r="L4" s="9">
        <v>-3.9679751627069763E-2</v>
      </c>
      <c r="M4" s="9">
        <v>-1.8734336084315021E-2</v>
      </c>
      <c r="N4" s="9">
        <v>-3.5831351641089762E-2</v>
      </c>
      <c r="O4" s="9">
        <v>-5.70229981056335E-2</v>
      </c>
      <c r="P4" s="9">
        <v>-4.2462781327895993E-2</v>
      </c>
      <c r="Q4" s="9">
        <v>-3.7772394962975513E-2</v>
      </c>
      <c r="R4" s="9">
        <v>-2.862835448000129E-2</v>
      </c>
      <c r="S4" s="9">
        <v>-3.099793016810054E-2</v>
      </c>
      <c r="T4" s="9">
        <v>-6.7042254023675389E-3</v>
      </c>
      <c r="U4" s="9">
        <v>-3.5326677132364037E-2</v>
      </c>
      <c r="V4" s="9">
        <v>-2.9502132625226989E-2</v>
      </c>
      <c r="W4" s="9">
        <v>-4.1243395472264313E-2</v>
      </c>
      <c r="X4" s="9">
        <v>-5.4483491647159897E-2</v>
      </c>
      <c r="Y4" s="9">
        <v>-5.7374231531351433E-2</v>
      </c>
      <c r="Z4" s="9">
        <v>-5.0628448585672892E-2</v>
      </c>
      <c r="AA4" s="9">
        <v>-4.231975801219371E-2</v>
      </c>
      <c r="AB4" s="9">
        <v>-3.6518861974360411E-2</v>
      </c>
      <c r="AC4" s="9">
        <v>-3.845543636405753E-2</v>
      </c>
      <c r="AD4" s="9">
        <v>-3.2603396395427572E-2</v>
      </c>
      <c r="AE4" s="9">
        <v>-3.4795070629380642E-2</v>
      </c>
      <c r="AF4" s="9">
        <v>-1.6394819349874201E-3</v>
      </c>
      <c r="AG4" s="9">
        <v>-3.2239282506807423E-2</v>
      </c>
      <c r="AH4" s="9">
        <v>-2.5693111006731412E-2</v>
      </c>
      <c r="AI4" s="9">
        <v>-3.008904130127369E-2</v>
      </c>
      <c r="AJ4" s="9">
        <v>-2.971967039544228E-2</v>
      </c>
      <c r="AK4" s="9">
        <v>-2.274313052691369E-2</v>
      </c>
      <c r="AL4" s="9">
        <v>-2.5322304879822729E-2</v>
      </c>
      <c r="AM4" s="9">
        <v>-2.411751658948514E-2</v>
      </c>
      <c r="AN4" s="9">
        <v>-2.727232649453621E-2</v>
      </c>
      <c r="AO4" s="9">
        <v>-2.8383253052872079E-2</v>
      </c>
      <c r="AP4" s="9">
        <v>-2.3965679052040011E-2</v>
      </c>
      <c r="AQ4" s="9">
        <v>-2.80485237785515E-2</v>
      </c>
      <c r="AR4" s="9">
        <v>-1.7736170970874439E-2</v>
      </c>
      <c r="AS4" s="9">
        <v>-1.39303337439949E-2</v>
      </c>
      <c r="AT4" s="9">
        <v>-1.2870881079163021E-2</v>
      </c>
      <c r="AU4" s="9">
        <v>-1.6424059937097849E-2</v>
      </c>
      <c r="AV4" s="9">
        <v>-2.4039749385437719E-2</v>
      </c>
      <c r="AW4" s="9">
        <v>-2.1378847766349081E-2</v>
      </c>
      <c r="AX4" s="9">
        <v>-2.3051468101219511E-2</v>
      </c>
      <c r="AY4" s="9">
        <v>-2.6631557609926141E-2</v>
      </c>
      <c r="AZ4" s="9">
        <v>-1.597851755827499E-2</v>
      </c>
      <c r="BA4" s="9">
        <v>-2.9633847899323489E-2</v>
      </c>
      <c r="BB4" s="9">
        <v>-3.6923299522087998E-2</v>
      </c>
      <c r="BC4" s="9">
        <v>-2.3000784324243968E-2</v>
      </c>
      <c r="BD4" s="9">
        <v>-2.892210840223592E-2</v>
      </c>
      <c r="BE4" s="9">
        <v>-3.0957742972803601E-2</v>
      </c>
      <c r="BF4" s="9">
        <v>-1.8182050049131201E-2</v>
      </c>
      <c r="BG4" s="9">
        <v>-1.59612129148653E-2</v>
      </c>
      <c r="BH4" s="9">
        <v>-2.135883022338424E-2</v>
      </c>
      <c r="BI4" s="9">
        <v>-1.889592453448587E-2</v>
      </c>
      <c r="BJ4" s="9">
        <v>-2.1053002135234831E-2</v>
      </c>
      <c r="BK4" s="9">
        <v>-2.6612022761366049E-2</v>
      </c>
      <c r="BL4" s="9">
        <v>-1.7576953748392139E-2</v>
      </c>
      <c r="BM4" s="9">
        <v>-2.1846218109135389E-2</v>
      </c>
      <c r="BN4" s="9">
        <v>-1.558178680666511E-2</v>
      </c>
      <c r="BO4" s="9">
        <v>-6.5029895709140294E-3</v>
      </c>
      <c r="BP4" s="9">
        <v>-1.217191420200061E-2</v>
      </c>
      <c r="BQ4" s="9">
        <v>-1.0666510831082679E-3</v>
      </c>
      <c r="BR4" s="9">
        <v>-7.8848633119188317E-3</v>
      </c>
      <c r="BS4" s="9">
        <v>-1.1588282276333789E-2</v>
      </c>
      <c r="BT4" s="9">
        <v>-1.6350563096253809E-2</v>
      </c>
      <c r="BU4" s="9">
        <v>-1.7287992540061109E-3</v>
      </c>
      <c r="BV4" s="9">
        <v>1.285828832716631E-2</v>
      </c>
      <c r="BW4" s="9">
        <v>-7.6302480414426601E-3</v>
      </c>
      <c r="BX4" s="9">
        <v>-1.6045395009791349E-2</v>
      </c>
      <c r="BY4" s="9">
        <v>-1.8894754178095271E-2</v>
      </c>
      <c r="BZ4" s="9">
        <v>-4.1567566104242478E-3</v>
      </c>
      <c r="CA4" s="9">
        <v>-1.710017537951062E-2</v>
      </c>
      <c r="CB4" s="9">
        <v>-2.2304157428424391E-2</v>
      </c>
      <c r="CC4" s="9">
        <v>-4.111205153911144E-2</v>
      </c>
      <c r="CD4" s="9">
        <v>-3.2535405185557913E-2</v>
      </c>
      <c r="CE4" s="9">
        <v>-3.0323266480776649E-2</v>
      </c>
      <c r="CF4" s="9">
        <v>-6.1293189114789898E-2</v>
      </c>
      <c r="CG4" s="9">
        <v>-4.4169748382986783E-2</v>
      </c>
      <c r="CH4" s="9">
        <v>-2.4897657851006831E-2</v>
      </c>
      <c r="CI4" s="9">
        <v>-1.773490777748107E-2</v>
      </c>
      <c r="CJ4" s="9">
        <v>-1.149415603536374E-2</v>
      </c>
      <c r="CK4" s="9">
        <v>-1.591073109149212E-2</v>
      </c>
      <c r="CL4" s="9">
        <v>-1.553664078255448E-2</v>
      </c>
      <c r="CM4" s="9">
        <v>-1.9141804743850431E-2</v>
      </c>
      <c r="CN4" s="9">
        <v>8.0304455212189402E-3</v>
      </c>
      <c r="CO4" s="9">
        <v>5.7365987476290974E-3</v>
      </c>
      <c r="CP4" s="9">
        <v>-6.5301402173690883E-3</v>
      </c>
      <c r="CQ4" s="9">
        <v>2.4291588095023031E-3</v>
      </c>
      <c r="CR4" s="9">
        <v>-1.917966682871176E-2</v>
      </c>
      <c r="CS4" s="9">
        <v>-2.334741602504313E-2</v>
      </c>
      <c r="CT4" s="9">
        <v>-2.178933391007621E-2</v>
      </c>
      <c r="CU4" s="9">
        <v>-2.9507578237515441E-2</v>
      </c>
      <c r="CV4" s="9">
        <v>-2.4863141676227461E-2</v>
      </c>
      <c r="CW4" s="9">
        <v>-2.2836003990752241E-2</v>
      </c>
      <c r="CX4" s="9">
        <v>-2.2235746171206432E-2</v>
      </c>
      <c r="CY4" s="9">
        <v>-2.5586844579715249E-2</v>
      </c>
      <c r="CZ4" s="9">
        <v>-3.0231054830945629E-2</v>
      </c>
      <c r="DA4" s="9">
        <v>-4.3224114563057553E-2</v>
      </c>
      <c r="DB4" s="9">
        <v>-4.4725026400587967E-2</v>
      </c>
      <c r="DC4" s="9">
        <v>-7.0760377239426644E-2</v>
      </c>
      <c r="DD4" s="9">
        <v>-5.7610036798158112E-2</v>
      </c>
      <c r="DE4" s="9">
        <v>-3.404219099480222E-2</v>
      </c>
      <c r="DF4" s="9">
        <v>-2.7183797543947438E-2</v>
      </c>
      <c r="DG4" s="9">
        <v>-3.5052644373932129E-2</v>
      </c>
      <c r="DH4" s="9">
        <v>-8.428399037687339E-3</v>
      </c>
      <c r="DI4" s="9">
        <v>-3.6370881039868713E-2</v>
      </c>
      <c r="DJ4" s="9">
        <v>-3.7819313396098023E-2</v>
      </c>
      <c r="DK4" s="9">
        <v>-2.702995348835956E-2</v>
      </c>
      <c r="DL4" s="9">
        <v>-1.9450420003777492E-2</v>
      </c>
      <c r="DM4" s="9">
        <v>-1.8687387511566969E-2</v>
      </c>
      <c r="DN4" s="9">
        <v>-8.9243337838529595E-3</v>
      </c>
      <c r="DO4" s="9">
        <v>-2.2448412563485658E-2</v>
      </c>
      <c r="DP4" s="9">
        <v>-2.9487498188438439E-2</v>
      </c>
      <c r="DQ4" s="9">
        <v>-3.6680869276058257E-2</v>
      </c>
      <c r="DR4" s="9">
        <v>-2.964822814067369E-2</v>
      </c>
      <c r="DS4" s="9">
        <v>-2.8893370012943329E-2</v>
      </c>
      <c r="DT4" s="9">
        <v>-4.1056175553995593E-2</v>
      </c>
      <c r="DU4" s="9">
        <v>-3.7310764401418541E-2</v>
      </c>
      <c r="DV4" s="9">
        <v>-9.8104083511435913E-3</v>
      </c>
      <c r="DW4" s="9">
        <v>-1.9249126149739601E-2</v>
      </c>
      <c r="DX4" s="9">
        <v>-3.0385994354775469E-2</v>
      </c>
      <c r="DY4" s="9">
        <v>-3.3048945391833368E-2</v>
      </c>
      <c r="DZ4" s="9">
        <v>-3.0875828777379061E-2</v>
      </c>
      <c r="EA4" s="18">
        <v>-3.1659361830993098E-2</v>
      </c>
      <c r="EB4" s="9">
        <v>-3.4389624405496783E-2</v>
      </c>
      <c r="EC4" s="9">
        <v>-4.1069385194225268E-2</v>
      </c>
      <c r="ED4" s="9">
        <v>-3.100505897009637E-2</v>
      </c>
      <c r="EE4" s="9">
        <v>-2.307612898354422E-2</v>
      </c>
      <c r="EF4" s="9">
        <v>-1.1421019476021661E-2</v>
      </c>
      <c r="EG4" s="1"/>
    </row>
    <row r="5" spans="1:137">
      <c r="A5" s="7"/>
      <c r="B5" s="6" t="s">
        <v>138</v>
      </c>
      <c r="C5" s="9">
        <v>3.592321643530621E-3</v>
      </c>
      <c r="D5" s="9">
        <v>2.8862197223557262E-3</v>
      </c>
      <c r="E5" s="9">
        <v>8.0135071589913301E-3</v>
      </c>
      <c r="F5" s="9">
        <v>7.4387135878969382E-3</v>
      </c>
      <c r="G5" s="9">
        <v>-1.698488952144591E-4</v>
      </c>
      <c r="H5" s="9">
        <v>9.1359420815390231E-3</v>
      </c>
      <c r="I5" s="9">
        <v>1.2007171314759381E-2</v>
      </c>
      <c r="J5" s="9">
        <v>5.9464452790785093E-3</v>
      </c>
      <c r="K5" s="9">
        <v>1.6591641238482821E-2</v>
      </c>
      <c r="L5" s="9">
        <v>1.920161893371632E-2</v>
      </c>
      <c r="M5" s="9">
        <v>1.9701815290587801E-2</v>
      </c>
      <c r="N5" s="9">
        <v>2.0161711803974011E-2</v>
      </c>
      <c r="O5" s="9">
        <v>1.3437225514017491E-2</v>
      </c>
      <c r="P5" s="9">
        <v>1.7638047330766411E-2</v>
      </c>
      <c r="Q5" s="9">
        <v>1.3117422271736861E-2</v>
      </c>
      <c r="R5" s="9">
        <v>1.345674557846294E-2</v>
      </c>
      <c r="S5" s="9">
        <v>1.6544045810315121E-2</v>
      </c>
      <c r="T5" s="9">
        <v>1.588127346287815E-2</v>
      </c>
      <c r="U5" s="9">
        <v>2.5940277266489609E-2</v>
      </c>
      <c r="V5" s="9">
        <v>1.968064199513106E-2</v>
      </c>
      <c r="W5" s="9">
        <v>3.2681747373401578E-2</v>
      </c>
      <c r="X5" s="9">
        <v>2.88193361747647E-2</v>
      </c>
      <c r="Y5" s="9">
        <v>-3.6096516306345743E-2</v>
      </c>
      <c r="Z5" s="9">
        <v>-5.819473766386217E-3</v>
      </c>
      <c r="AA5" s="9">
        <v>-1.384361877178903E-2</v>
      </c>
      <c r="AB5" s="9">
        <v>-4.9937139241651593E-2</v>
      </c>
      <c r="AC5" s="9">
        <v>-9.2081626879443376E-3</v>
      </c>
      <c r="AD5" s="9">
        <v>-6.5956474854444447E-2</v>
      </c>
      <c r="AE5" s="9">
        <v>-2.173514574122511E-2</v>
      </c>
      <c r="AF5" s="9">
        <v>8.972422407877146E-3</v>
      </c>
      <c r="AG5" s="9">
        <v>-1.1832985971204321E-2</v>
      </c>
      <c r="AH5" s="9">
        <v>-2.9651907106316919E-3</v>
      </c>
      <c r="AI5" s="9">
        <v>4.7857326511695827E-3</v>
      </c>
      <c r="AJ5" s="9">
        <v>5.7367073977292078E-3</v>
      </c>
      <c r="AK5" s="9">
        <v>7.392687328147911E-3</v>
      </c>
      <c r="AL5" s="9">
        <v>-1.8742539375924459E-3</v>
      </c>
      <c r="AM5" s="9">
        <v>-1.9525231098321519E-3</v>
      </c>
      <c r="AN5" s="9">
        <v>-3.6238168597597618E-3</v>
      </c>
      <c r="AO5" s="9">
        <v>-9.160305976377861E-3</v>
      </c>
      <c r="AP5" s="9">
        <v>2.5415010892232532E-3</v>
      </c>
      <c r="AQ5" s="9">
        <v>3.8483729442072112E-3</v>
      </c>
      <c r="AR5" s="9">
        <v>3.4029774500497689E-3</v>
      </c>
      <c r="AS5" s="9">
        <v>8.5747228695072812E-4</v>
      </c>
      <c r="AT5" s="9">
        <v>8.1789276697448558E-3</v>
      </c>
      <c r="AU5" s="9">
        <v>1.005796764455418E-2</v>
      </c>
      <c r="AV5" s="9">
        <v>1.1137854065294999E-2</v>
      </c>
      <c r="AW5" s="9">
        <v>1.337826848807136E-2</v>
      </c>
      <c r="AX5" s="9">
        <v>1.18848248356704E-2</v>
      </c>
      <c r="AY5" s="9">
        <v>-6.6054212052508997E-6</v>
      </c>
      <c r="AZ5" s="9">
        <v>7.8238778565858352E-3</v>
      </c>
      <c r="BA5" s="9">
        <v>6.98923551593754E-3</v>
      </c>
      <c r="BB5" s="9">
        <v>7.1871697288773849E-3</v>
      </c>
      <c r="BC5" s="9">
        <v>-2.3924143890266141E-3</v>
      </c>
      <c r="BD5" s="9">
        <v>7.2638542327923324E-4</v>
      </c>
      <c r="BE5" s="9">
        <v>-2.2265342845179791E-3</v>
      </c>
      <c r="BF5" s="9">
        <v>-1.044661448632583E-3</v>
      </c>
      <c r="BG5" s="9">
        <v>-2.071082545210403E-2</v>
      </c>
      <c r="BH5" s="9">
        <v>-4.4325197973968437E-2</v>
      </c>
      <c r="BI5" s="9">
        <v>-1.4765945486966079E-2</v>
      </c>
      <c r="BJ5" s="9">
        <v>-2.2277758365709211E-2</v>
      </c>
      <c r="BK5" s="9">
        <v>-2.350667592759435E-2</v>
      </c>
      <c r="BL5" s="9">
        <v>-1.659613811373151E-2</v>
      </c>
      <c r="BM5" s="9">
        <v>-3.7766406128849933E-2</v>
      </c>
      <c r="BN5" s="9">
        <v>-1.0040541012613679E-2</v>
      </c>
      <c r="BO5" s="9">
        <v>-7.4939665232719018E-3</v>
      </c>
      <c r="BP5" s="9">
        <v>3.371447827029599E-3</v>
      </c>
      <c r="BQ5" s="9">
        <v>6.8205160463408977E-3</v>
      </c>
      <c r="BR5" s="9">
        <v>5.5997292120069176E-3</v>
      </c>
      <c r="BS5" s="9">
        <v>1.5475741356267531E-2</v>
      </c>
      <c r="BT5" s="9">
        <v>2.505139605033146E-3</v>
      </c>
      <c r="BU5" s="9">
        <v>6.9054048686437997E-3</v>
      </c>
      <c r="BV5" s="9">
        <v>6.7595125599199234E-3</v>
      </c>
      <c r="BW5" s="9">
        <v>5.3854477548855081E-3</v>
      </c>
      <c r="BX5" s="9">
        <v>-5.1415040641252419E-4</v>
      </c>
      <c r="BY5" s="9">
        <v>-4.2217786474238123E-3</v>
      </c>
      <c r="BZ5" s="9">
        <v>1.3635264175112351E-3</v>
      </c>
      <c r="CA5" s="9">
        <v>1.234011782232132E-2</v>
      </c>
      <c r="CB5" s="9">
        <v>1.616138172374685E-2</v>
      </c>
      <c r="CC5" s="9">
        <v>2.1700747371675229E-3</v>
      </c>
      <c r="CD5" s="9">
        <v>8.3982369302591179E-3</v>
      </c>
      <c r="CE5" s="9">
        <v>2.9924757275427601E-3</v>
      </c>
      <c r="CF5" s="9">
        <v>-8.3356639285777159E-4</v>
      </c>
      <c r="CG5" s="9">
        <v>-7.4006182308146765E-4</v>
      </c>
      <c r="CH5" s="9">
        <v>-1.191538287503947E-2</v>
      </c>
      <c r="CI5" s="9">
        <v>-1.445466793303803E-2</v>
      </c>
      <c r="CJ5" s="9">
        <v>-7.2598371634770833E-3</v>
      </c>
      <c r="CK5" s="9">
        <v>-1.2941787548456081E-3</v>
      </c>
      <c r="CL5" s="9">
        <v>9.4434034914934982E-3</v>
      </c>
      <c r="CM5" s="9">
        <v>5.1140346103961546E-3</v>
      </c>
      <c r="CN5" s="9">
        <v>2.873279302798517E-3</v>
      </c>
      <c r="CO5" s="9">
        <v>1.7240475986858961E-2</v>
      </c>
      <c r="CP5" s="9">
        <v>1.141421806863863E-2</v>
      </c>
      <c r="CQ5" s="9">
        <v>9.0067640458367376E-3</v>
      </c>
      <c r="CR5" s="9">
        <v>-2.0834521461759619E-3</v>
      </c>
      <c r="CS5" s="9">
        <v>-2.1705770934876179E-2</v>
      </c>
      <c r="CT5" s="9">
        <v>-5.3317796351909441E-3</v>
      </c>
      <c r="CU5" s="9">
        <v>-3.68701425744362E-3</v>
      </c>
      <c r="CV5" s="9">
        <v>-3.7795651312946363E-2</v>
      </c>
      <c r="CW5" s="9">
        <v>-1.389414662767193E-2</v>
      </c>
      <c r="CX5" s="9">
        <v>6.6294897158866908E-3</v>
      </c>
      <c r="CY5" s="9">
        <v>-8.2669791474472652E-3</v>
      </c>
      <c r="CZ5" s="9">
        <v>1.6345621066842339E-3</v>
      </c>
      <c r="DA5" s="9">
        <v>4.0989739461057587E-4</v>
      </c>
      <c r="DB5" s="9">
        <v>4.4160124984572238E-3</v>
      </c>
      <c r="DC5" s="9">
        <v>2.6999676534044229E-2</v>
      </c>
      <c r="DD5" s="9">
        <v>9.3187860184787523E-3</v>
      </c>
      <c r="DE5" s="9">
        <v>-7.7970742974550434E-3</v>
      </c>
      <c r="DF5" s="9">
        <v>-8.1874226333864611E-3</v>
      </c>
      <c r="DG5" s="9">
        <v>4.7082207843577081E-3</v>
      </c>
      <c r="DH5" s="9">
        <v>-1.366700326533769E-2</v>
      </c>
      <c r="DI5" s="9">
        <v>-7.0506889413944297E-3</v>
      </c>
      <c r="DJ5" s="9">
        <v>-1.7588579481036151E-3</v>
      </c>
      <c r="DK5" s="9">
        <v>3.3090688344859318E-3</v>
      </c>
      <c r="DL5" s="9">
        <v>4.8628677609277053E-3</v>
      </c>
      <c r="DM5" s="9">
        <v>3.615095063496505E-3</v>
      </c>
      <c r="DN5" s="9">
        <v>6.2882035928106261E-3</v>
      </c>
      <c r="DO5" s="9">
        <v>3.5527335435835928E-3</v>
      </c>
      <c r="DP5" s="9">
        <v>2.522276075432245E-3</v>
      </c>
      <c r="DQ5" s="9">
        <v>-1.066481554793703E-2</v>
      </c>
      <c r="DR5" s="9">
        <v>1.0994664104448231E-2</v>
      </c>
      <c r="DS5" s="9">
        <v>-6.4490210014508389E-4</v>
      </c>
      <c r="DT5" s="9">
        <v>2.3512508887306921E-4</v>
      </c>
      <c r="DU5" s="9">
        <v>7.3690345715555156E-3</v>
      </c>
      <c r="DV5" s="9">
        <v>6.7783151790338399E-3</v>
      </c>
      <c r="DW5" s="9">
        <v>-3.7712345710407022E-3</v>
      </c>
      <c r="DX5" s="9">
        <v>1.105501636716033E-3</v>
      </c>
      <c r="DY5" s="9">
        <v>3.3867890298772299E-3</v>
      </c>
      <c r="DZ5" s="9">
        <v>3.2550462209418539E-3</v>
      </c>
      <c r="EA5" s="9">
        <v>6.2664247918384338E-3</v>
      </c>
      <c r="EB5" s="9">
        <v>-1.711276767800882E-2</v>
      </c>
      <c r="EC5" s="9">
        <v>-2.088664436358852E-2</v>
      </c>
      <c r="ED5" s="9">
        <v>-1.0693731182181591E-2</v>
      </c>
      <c r="EE5" s="9">
        <v>-1.1958726691457309E-2</v>
      </c>
      <c r="EF5" s="9">
        <v>-1.4122559209273111E-2</v>
      </c>
      <c r="EG5" s="1"/>
    </row>
    <row r="6" spans="1:137" s="2" customFormat="1">
      <c r="A6" s="27" t="s">
        <v>139</v>
      </c>
      <c r="B6" s="28"/>
      <c r="C6" s="9" cm="1">
        <f t="array" ref="C6">MATCH(MAX(ABS(C3:C5)), ABS(C3:C5), 0)</f>
        <v>2</v>
      </c>
      <c r="D6" s="9" cm="1">
        <f t="array" ref="D6">MATCH(MAX(ABS(D3:D5)), ABS(D3:D5), 0)</f>
        <v>2</v>
      </c>
      <c r="E6" s="9" cm="1">
        <f t="array" ref="E6">MATCH(MAX(ABS(E3:E5)), ABS(E3:E5), 0)</f>
        <v>2</v>
      </c>
      <c r="F6" s="9" cm="1">
        <f t="array" ref="F6">MATCH(MAX(ABS(F3:F5)), ABS(F3:F5), 0)</f>
        <v>2</v>
      </c>
      <c r="G6" s="9" cm="1">
        <f t="array" ref="G6">MATCH(MAX(ABS(G3:G5)), ABS(G3:G5), 0)</f>
        <v>2</v>
      </c>
      <c r="H6" s="9" cm="1">
        <f t="array" ref="H6">MATCH(MAX(ABS(H3:H5)), ABS(H3:H5), 0)</f>
        <v>2</v>
      </c>
      <c r="I6" s="9" cm="1">
        <f t="array" ref="I6">MATCH(MAX(ABS(I3:I5)), ABS(I3:I5), 0)</f>
        <v>2</v>
      </c>
      <c r="J6" s="9" cm="1">
        <f t="array" ref="J6">MATCH(MAX(ABS(J3:J5)), ABS(J3:J5), 0)</f>
        <v>2</v>
      </c>
      <c r="K6" s="9" cm="1">
        <f t="array" ref="K6">MATCH(MAX(ABS(K3:K5)), ABS(K3:K5), 0)</f>
        <v>2</v>
      </c>
      <c r="L6" s="9" cm="1">
        <f t="array" ref="L6">MATCH(MAX(ABS(L3:L5)), ABS(L3:L5), 0)</f>
        <v>2</v>
      </c>
      <c r="M6" s="9" cm="1">
        <f t="array" ref="M6">MATCH(MAX(ABS(M3:M5)), ABS(M3:M5), 0)</f>
        <v>1</v>
      </c>
      <c r="N6" s="9" cm="1">
        <f t="array" ref="N6">MATCH(MAX(ABS(N3:N5)), ABS(N3:N5), 0)</f>
        <v>2</v>
      </c>
      <c r="O6" s="9" cm="1">
        <f t="array" ref="O6">MATCH(MAX(ABS(O3:O5)), ABS(O3:O5), 0)</f>
        <v>2</v>
      </c>
      <c r="P6" s="9" cm="1">
        <f t="array" ref="P6">MATCH(MAX(ABS(P3:P5)), ABS(P3:P5), 0)</f>
        <v>2</v>
      </c>
      <c r="Q6" s="9" cm="1">
        <f t="array" ref="Q6">MATCH(MAX(ABS(Q3:Q5)), ABS(Q3:Q5), 0)</f>
        <v>2</v>
      </c>
      <c r="R6" s="9" cm="1">
        <f t="array" ref="R6">MATCH(MAX(ABS(R3:R5)), ABS(R3:R5), 0)</f>
        <v>2</v>
      </c>
      <c r="S6" s="9" cm="1">
        <f t="array" ref="S6">MATCH(MAX(ABS(S3:S5)), ABS(S3:S5), 0)</f>
        <v>2</v>
      </c>
      <c r="T6" s="9" cm="1">
        <f t="array" ref="T6">MATCH(MAX(ABS(T3:T5)), ABS(T3:T5), 0)</f>
        <v>1</v>
      </c>
      <c r="U6" s="9" cm="1">
        <f t="array" ref="U6">MATCH(MAX(ABS(U3:U5)), ABS(U3:U5), 0)</f>
        <v>2</v>
      </c>
      <c r="V6" s="9" cm="1">
        <f t="array" ref="V6">MATCH(MAX(ABS(V3:V5)), ABS(V3:V5), 0)</f>
        <v>2</v>
      </c>
      <c r="W6" s="9" cm="1">
        <f t="array" ref="W6">MATCH(MAX(ABS(W3:W5)), ABS(W3:W5), 0)</f>
        <v>1</v>
      </c>
      <c r="X6" s="9" cm="1">
        <f t="array" ref="X6">MATCH(MAX(ABS(X3:X5)), ABS(X3:X5), 0)</f>
        <v>2</v>
      </c>
      <c r="Y6" s="9" cm="1">
        <f t="array" ref="Y6">MATCH(MAX(ABS(Y3:Y5)), ABS(Y3:Y5), 0)</f>
        <v>2</v>
      </c>
      <c r="Z6" s="9" cm="1">
        <f t="array" ref="Z6">MATCH(MAX(ABS(Z3:Z5)), ABS(Z3:Z5), 0)</f>
        <v>2</v>
      </c>
      <c r="AA6" s="9" cm="1">
        <f t="array" ref="AA6">MATCH(MAX(ABS(AA3:AA5)), ABS(AA3:AA5), 0)</f>
        <v>2</v>
      </c>
      <c r="AB6" s="9" cm="1">
        <f t="array" ref="AB6">MATCH(MAX(ABS(AB3:AB5)), ABS(AB3:AB5), 0)</f>
        <v>3</v>
      </c>
      <c r="AC6" s="9" cm="1">
        <f t="array" ref="AC6">MATCH(MAX(ABS(AC3:AC5)), ABS(AC3:AC5), 0)</f>
        <v>2</v>
      </c>
      <c r="AD6" s="9" cm="1">
        <f t="array" ref="AD6">MATCH(MAX(ABS(AD3:AD5)), ABS(AD3:AD5), 0)</f>
        <v>3</v>
      </c>
      <c r="AE6" s="9" cm="1">
        <f t="array" ref="AE6">MATCH(MAX(ABS(AE3:AE5)), ABS(AE3:AE5), 0)</f>
        <v>2</v>
      </c>
      <c r="AF6" s="9" cm="1">
        <f t="array" ref="AF6">MATCH(MAX(ABS(AF3:AF5)), ABS(AF3:AF5), 0)</f>
        <v>1</v>
      </c>
      <c r="AG6" s="9" cm="1">
        <f t="array" ref="AG6">MATCH(MAX(ABS(AG3:AG5)), ABS(AG3:AG5), 0)</f>
        <v>2</v>
      </c>
      <c r="AH6" s="9" cm="1">
        <f t="array" ref="AH6">MATCH(MAX(ABS(AH3:AH5)), ABS(AH3:AH5), 0)</f>
        <v>1</v>
      </c>
      <c r="AI6" s="9" cm="1">
        <f t="array" ref="AI6">MATCH(MAX(ABS(AI3:AI5)), ABS(AI3:AI5), 0)</f>
        <v>1</v>
      </c>
      <c r="AJ6" s="9" cm="1">
        <f t="array" ref="AJ6">MATCH(MAX(ABS(AJ3:AJ5)), ABS(AJ3:AJ5), 0)</f>
        <v>1</v>
      </c>
      <c r="AK6" s="9" cm="1">
        <f t="array" ref="AK6">MATCH(MAX(ABS(AK3:AK5)), ABS(AK3:AK5), 0)</f>
        <v>1</v>
      </c>
      <c r="AL6" s="9" cm="1">
        <f t="array" ref="AL6">MATCH(MAX(ABS(AL3:AL5)), ABS(AL3:AL5), 0)</f>
        <v>1</v>
      </c>
      <c r="AM6" s="9" cm="1">
        <f t="array" ref="AM6">MATCH(MAX(ABS(AM3:AM5)), ABS(AM3:AM5), 0)</f>
        <v>1</v>
      </c>
      <c r="AN6" s="9" cm="1">
        <f t="array" ref="AN6">MATCH(MAX(ABS(AN3:AN5)), ABS(AN3:AN5), 0)</f>
        <v>1</v>
      </c>
      <c r="AO6" s="9" cm="1">
        <f t="array" ref="AO6">MATCH(MAX(ABS(AO3:AO5)), ABS(AO3:AO5), 0)</f>
        <v>1</v>
      </c>
      <c r="AP6" s="9" cm="1">
        <f t="array" ref="AP6">MATCH(MAX(ABS(AP3:AP5)), ABS(AP3:AP5), 0)</f>
        <v>1</v>
      </c>
      <c r="AQ6" s="9" cm="1">
        <f t="array" ref="AQ6">MATCH(MAX(ABS(AQ3:AQ5)), ABS(AQ3:AQ5), 0)</f>
        <v>1</v>
      </c>
      <c r="AR6" s="9" cm="1">
        <f t="array" ref="AR6">MATCH(MAX(ABS(AR3:AR5)), ABS(AR3:AR5), 0)</f>
        <v>1</v>
      </c>
      <c r="AS6" s="9" cm="1">
        <f t="array" ref="AS6">MATCH(MAX(ABS(AS3:AS5)), ABS(AS3:AS5), 0)</f>
        <v>1</v>
      </c>
      <c r="AT6" s="9" cm="1">
        <f t="array" ref="AT6">MATCH(MAX(ABS(AT3:AT5)), ABS(AT3:AT5), 0)</f>
        <v>1</v>
      </c>
      <c r="AU6" s="9" cm="1">
        <f t="array" ref="AU6">MATCH(MAX(ABS(AU3:AU5)), ABS(AU3:AU5), 0)</f>
        <v>1</v>
      </c>
      <c r="AV6" s="9" cm="1">
        <f t="array" ref="AV6">MATCH(MAX(ABS(AV3:AV5)), ABS(AV3:AV5), 0)</f>
        <v>1</v>
      </c>
      <c r="AW6" s="9" cm="1">
        <f t="array" ref="AW6">MATCH(MAX(ABS(AW3:AW5)), ABS(AW3:AW5), 0)</f>
        <v>1</v>
      </c>
      <c r="AX6" s="9" cm="1">
        <f t="array" ref="AX6">MATCH(MAX(ABS(AX3:AX5)), ABS(AX3:AX5), 0)</f>
        <v>1</v>
      </c>
      <c r="AY6" s="9" cm="1">
        <f t="array" ref="AY6">MATCH(MAX(ABS(AY3:AY5)), ABS(AY3:AY5), 0)</f>
        <v>1</v>
      </c>
      <c r="AZ6" s="9" cm="1">
        <f t="array" ref="AZ6">MATCH(MAX(ABS(AZ3:AZ5)), ABS(AZ3:AZ5), 0)</f>
        <v>1</v>
      </c>
      <c r="BA6" s="9" cm="1">
        <f t="array" ref="BA6">MATCH(MAX(ABS(BA3:BA5)), ABS(BA3:BA5), 0)</f>
        <v>2</v>
      </c>
      <c r="BB6" s="9" cm="1">
        <f t="array" ref="BB6">MATCH(MAX(ABS(BB3:BB5)), ABS(BB3:BB5), 0)</f>
        <v>2</v>
      </c>
      <c r="BC6" s="9" cm="1">
        <f t="array" ref="BC6">MATCH(MAX(ABS(BC3:BC5)), ABS(BC3:BC5), 0)</f>
        <v>1</v>
      </c>
      <c r="BD6" s="9" cm="1">
        <f t="array" ref="BD6">MATCH(MAX(ABS(BD3:BD5)), ABS(BD3:BD5), 0)</f>
        <v>1</v>
      </c>
      <c r="BE6" s="9" cm="1">
        <f t="array" ref="BE6">MATCH(MAX(ABS(BE3:BE5)), ABS(BE3:BE5), 0)</f>
        <v>1</v>
      </c>
      <c r="BF6" s="9" cm="1">
        <f t="array" ref="BF6">MATCH(MAX(ABS(BF3:BF5)), ABS(BF3:BF5), 0)</f>
        <v>1</v>
      </c>
      <c r="BG6" s="9" cm="1">
        <f t="array" ref="BG6">MATCH(MAX(ABS(BG3:BG5)), ABS(BG3:BG5), 0)</f>
        <v>1</v>
      </c>
      <c r="BH6" s="9" cm="1">
        <f t="array" ref="BH6">MATCH(MAX(ABS(BH3:BH5)), ABS(BH3:BH5), 0)</f>
        <v>1</v>
      </c>
      <c r="BI6" s="9" cm="1">
        <f t="array" ref="BI6">MATCH(MAX(ABS(BI3:BI5)), ABS(BI3:BI5), 0)</f>
        <v>1</v>
      </c>
      <c r="BJ6" s="9" cm="1">
        <f t="array" ref="BJ6">MATCH(MAX(ABS(BJ3:BJ5)), ABS(BJ3:BJ5), 0)</f>
        <v>1</v>
      </c>
      <c r="BK6" s="9" cm="1">
        <f t="array" ref="BK6">MATCH(MAX(ABS(BK3:BK5)), ABS(BK3:BK5), 0)</f>
        <v>1</v>
      </c>
      <c r="BL6" s="9" cm="1">
        <f t="array" ref="BL6">MATCH(MAX(ABS(BL3:BL5)), ABS(BL3:BL5), 0)</f>
        <v>1</v>
      </c>
      <c r="BM6" s="9" cm="1">
        <f t="array" ref="BM6">MATCH(MAX(ABS(BM3:BM5)), ABS(BM3:BM5), 0)</f>
        <v>3</v>
      </c>
      <c r="BN6" s="9" cm="1">
        <f t="array" ref="BN6">MATCH(MAX(ABS(BN3:BN5)), ABS(BN3:BN5), 0)</f>
        <v>1</v>
      </c>
      <c r="BO6" s="9" cm="1">
        <f t="array" ref="BO6">MATCH(MAX(ABS(BO3:BO5)), ABS(BO3:BO5), 0)</f>
        <v>1</v>
      </c>
      <c r="BP6" s="9" cm="1">
        <f t="array" ref="BP6">MATCH(MAX(ABS(BP3:BP5)), ABS(BP3:BP5), 0)</f>
        <v>1</v>
      </c>
      <c r="BQ6" s="9" cm="1">
        <f t="array" ref="BQ6">MATCH(MAX(ABS(BQ3:BQ5)), ABS(BQ3:BQ5), 0)</f>
        <v>1</v>
      </c>
      <c r="BR6" s="9" cm="1">
        <f t="array" ref="BR6">MATCH(MAX(ABS(BR3:BR5)), ABS(BR3:BR5), 0)</f>
        <v>1</v>
      </c>
      <c r="BS6" s="9" cm="1">
        <f t="array" ref="BS6">MATCH(MAX(ABS(BS3:BS5)), ABS(BS3:BS5), 0)</f>
        <v>1</v>
      </c>
      <c r="BT6" s="9" cm="1">
        <f t="array" ref="BT6">MATCH(MAX(ABS(BT3:BT5)), ABS(BT3:BT5), 0)</f>
        <v>1</v>
      </c>
      <c r="BU6" s="9" cm="1">
        <f t="array" ref="BU6">MATCH(MAX(ABS(BU3:BU5)), ABS(BU3:BU5), 0)</f>
        <v>1</v>
      </c>
      <c r="BV6" s="9" cm="1">
        <f t="array" ref="BV6">MATCH(MAX(ABS(BV3:BV5)), ABS(BV3:BV5), 0)</f>
        <v>1</v>
      </c>
      <c r="BW6" s="9" cm="1">
        <f t="array" ref="BW6">MATCH(MAX(ABS(BW3:BW5)), ABS(BW3:BW5), 0)</f>
        <v>1</v>
      </c>
      <c r="BX6" s="9" cm="1">
        <f t="array" ref="BX6">MATCH(MAX(ABS(BX3:BX5)), ABS(BX3:BX5), 0)</f>
        <v>1</v>
      </c>
      <c r="BY6" s="9" cm="1">
        <f t="array" ref="BY6">MATCH(MAX(ABS(BY3:BY5)), ABS(BY3:BY5), 0)</f>
        <v>1</v>
      </c>
      <c r="BZ6" s="9" cm="1">
        <f t="array" ref="BZ6">MATCH(MAX(ABS(BZ3:BZ5)), ABS(BZ3:BZ5), 0)</f>
        <v>1</v>
      </c>
      <c r="CA6" s="9" cm="1">
        <f t="array" ref="CA6">MATCH(MAX(ABS(CA3:CA5)), ABS(CA3:CA5), 0)</f>
        <v>1</v>
      </c>
      <c r="CB6" s="9" cm="1">
        <f t="array" ref="CB6">MATCH(MAX(ABS(CB3:CB5)), ABS(CB3:CB5), 0)</f>
        <v>1</v>
      </c>
      <c r="CC6" s="9" cm="1">
        <f t="array" ref="CC6">MATCH(MAX(ABS(CC3:CC5)), ABS(CC3:CC5), 0)</f>
        <v>2</v>
      </c>
      <c r="CD6" s="9" cm="1">
        <f t="array" ref="CD6">MATCH(MAX(ABS(CD3:CD5)), ABS(CD3:CD5), 0)</f>
        <v>2</v>
      </c>
      <c r="CE6" s="9" cm="1">
        <f t="array" ref="CE6">MATCH(MAX(ABS(CE3:CE5)), ABS(CE3:CE5), 0)</f>
        <v>2</v>
      </c>
      <c r="CF6" s="9" cm="1">
        <f t="array" ref="CF6">MATCH(MAX(ABS(CF3:CF5)), ABS(CF3:CF5), 0)</f>
        <v>2</v>
      </c>
      <c r="CG6" s="9" cm="1">
        <f t="array" ref="CG6">MATCH(MAX(ABS(CG3:CG5)), ABS(CG3:CG5), 0)</f>
        <v>2</v>
      </c>
      <c r="CH6" s="9" cm="1">
        <f t="array" ref="CH6">MATCH(MAX(ABS(CH3:CH5)), ABS(CH3:CH5), 0)</f>
        <v>1</v>
      </c>
      <c r="CI6" s="9" cm="1">
        <f t="array" ref="CI6">MATCH(MAX(ABS(CI3:CI5)), ABS(CI3:CI5), 0)</f>
        <v>1</v>
      </c>
      <c r="CJ6" s="9" cm="1">
        <f t="array" ref="CJ6">MATCH(MAX(ABS(CJ3:CJ5)), ABS(CJ3:CJ5), 0)</f>
        <v>1</v>
      </c>
      <c r="CK6" s="9" cm="1">
        <f t="array" ref="CK6">MATCH(MAX(ABS(CK3:CK5)), ABS(CK3:CK5), 0)</f>
        <v>1</v>
      </c>
      <c r="CL6" s="9" cm="1">
        <f t="array" ref="CL6">MATCH(MAX(ABS(CL3:CL5)), ABS(CL3:CL5), 0)</f>
        <v>1</v>
      </c>
      <c r="CM6" s="9" cm="1">
        <f t="array" ref="CM6">MATCH(MAX(ABS(CM3:CM5)), ABS(CM3:CM5), 0)</f>
        <v>1</v>
      </c>
      <c r="CN6" s="9" cm="1">
        <f t="array" ref="CN6">MATCH(MAX(ABS(CN3:CN5)), ABS(CN3:CN5), 0)</f>
        <v>1</v>
      </c>
      <c r="CO6" s="9" cm="1">
        <f t="array" ref="CO6">MATCH(MAX(ABS(CO3:CO5)), ABS(CO3:CO5), 0)</f>
        <v>1</v>
      </c>
      <c r="CP6" s="9" cm="1">
        <f t="array" ref="CP6">MATCH(MAX(ABS(CP3:CP5)), ABS(CP3:CP5), 0)</f>
        <v>1</v>
      </c>
      <c r="CQ6" s="9" cm="1">
        <f t="array" ref="CQ6">MATCH(MAX(ABS(CQ3:CQ5)), ABS(CQ3:CQ5), 0)</f>
        <v>3</v>
      </c>
      <c r="CR6" s="9" cm="1">
        <f t="array" ref="CR6">MATCH(MAX(ABS(CR3:CR5)), ABS(CR3:CR5), 0)</f>
        <v>2</v>
      </c>
      <c r="CS6" s="9" cm="1">
        <f t="array" ref="CS6">MATCH(MAX(ABS(CS3:CS5)), ABS(CS3:CS5), 0)</f>
        <v>2</v>
      </c>
      <c r="CT6" s="9" cm="1">
        <f t="array" ref="CT6">MATCH(MAX(ABS(CT3:CT5)), ABS(CT3:CT5), 0)</f>
        <v>1</v>
      </c>
      <c r="CU6" s="9" cm="1">
        <f t="array" ref="CU6">MATCH(MAX(ABS(CU3:CU5)), ABS(CU3:CU5), 0)</f>
        <v>1</v>
      </c>
      <c r="CV6" s="9" cm="1">
        <f t="array" ref="CV6">MATCH(MAX(ABS(CV3:CV5)), ABS(CV3:CV5), 0)</f>
        <v>1</v>
      </c>
      <c r="CW6" s="9" cm="1">
        <f t="array" ref="CW6">MATCH(MAX(ABS(CW3:CW5)), ABS(CW3:CW5), 0)</f>
        <v>1</v>
      </c>
      <c r="CX6" s="9" cm="1">
        <f t="array" ref="CX6">MATCH(MAX(ABS(CX3:CX5)), ABS(CX3:CX5), 0)</f>
        <v>1</v>
      </c>
      <c r="CY6" s="9" cm="1">
        <f t="array" ref="CY6">MATCH(MAX(ABS(CY3:CY5)), ABS(CY3:CY5), 0)</f>
        <v>1</v>
      </c>
      <c r="CZ6" s="9" cm="1">
        <f t="array" ref="CZ6">MATCH(MAX(ABS(CZ3:CZ5)), ABS(CZ3:CZ5), 0)</f>
        <v>1</v>
      </c>
      <c r="DA6" s="9" cm="1">
        <f t="array" ref="DA6">MATCH(MAX(ABS(DA3:DA5)), ABS(DA3:DA5), 0)</f>
        <v>1</v>
      </c>
      <c r="DB6" s="9" cm="1">
        <f t="array" ref="DB6">MATCH(MAX(ABS(DB3:DB5)), ABS(DB3:DB5), 0)</f>
        <v>2</v>
      </c>
      <c r="DC6" s="9" cm="1">
        <f t="array" ref="DC6">MATCH(MAX(ABS(DC3:DC5)), ABS(DC3:DC5), 0)</f>
        <v>2</v>
      </c>
      <c r="DD6" s="9" cm="1">
        <f t="array" ref="DD6">MATCH(MAX(ABS(DD3:DD5)), ABS(DD3:DD5), 0)</f>
        <v>2</v>
      </c>
      <c r="DE6" s="9" cm="1">
        <f t="array" ref="DE6">MATCH(MAX(ABS(DE3:DE5)), ABS(DE3:DE5), 0)</f>
        <v>1</v>
      </c>
      <c r="DF6" s="9" cm="1">
        <f t="array" ref="DF6">MATCH(MAX(ABS(DF3:DF5)), ABS(DF3:DF5), 0)</f>
        <v>1</v>
      </c>
      <c r="DG6" s="9" cm="1">
        <f t="array" ref="DG6">MATCH(MAX(ABS(DG3:DG5)), ABS(DG3:DG5), 0)</f>
        <v>1</v>
      </c>
      <c r="DH6" s="9" cm="1">
        <f t="array" ref="DH6">MATCH(MAX(ABS(DH3:DH5)), ABS(DH3:DH5), 0)</f>
        <v>1</v>
      </c>
      <c r="DI6" s="9" cm="1">
        <f t="array" ref="DI6">MATCH(MAX(ABS(DI3:DI5)), ABS(DI3:DI5), 0)</f>
        <v>1</v>
      </c>
      <c r="DJ6" s="9" cm="1">
        <f t="array" ref="DJ6">MATCH(MAX(ABS(DJ3:DJ5)), ABS(DJ3:DJ5), 0)</f>
        <v>2</v>
      </c>
      <c r="DK6" s="9" cm="1">
        <f t="array" ref="DK6">MATCH(MAX(ABS(DK3:DK5)), ABS(DK3:DK5), 0)</f>
        <v>1</v>
      </c>
      <c r="DL6" s="9" cm="1">
        <f t="array" ref="DL6">MATCH(MAX(ABS(DL3:DL5)), ABS(DL3:DL5), 0)</f>
        <v>1</v>
      </c>
      <c r="DM6" s="9" cm="1">
        <f t="array" ref="DM6">MATCH(MAX(ABS(DM3:DM5)), ABS(DM3:DM5), 0)</f>
        <v>1</v>
      </c>
      <c r="DN6" s="9" cm="1">
        <f t="array" ref="DN6">MATCH(MAX(ABS(DN3:DN5)), ABS(DN3:DN5), 0)</f>
        <v>1</v>
      </c>
      <c r="DO6" s="9" cm="1">
        <f t="array" ref="DO6">MATCH(MAX(ABS(DO3:DO5)), ABS(DO3:DO5), 0)</f>
        <v>1</v>
      </c>
      <c r="DP6" s="9" cm="1">
        <f t="array" ref="DP6">MATCH(MAX(ABS(DP3:DP5)), ABS(DP3:DP5), 0)</f>
        <v>1</v>
      </c>
      <c r="DQ6" s="9" cm="1">
        <f t="array" ref="DQ6">MATCH(MAX(ABS(DQ3:DQ5)), ABS(DQ3:DQ5), 0)</f>
        <v>1</v>
      </c>
      <c r="DR6" s="9" cm="1">
        <f t="array" ref="DR6">MATCH(MAX(ABS(DR3:DR5)), ABS(DR3:DR5), 0)</f>
        <v>1</v>
      </c>
      <c r="DS6" s="9" cm="1">
        <f t="array" ref="DS6">MATCH(MAX(ABS(DS3:DS5)), ABS(DS3:DS5), 0)</f>
        <v>1</v>
      </c>
      <c r="DT6" s="9" cm="1">
        <f t="array" ref="DT6">MATCH(MAX(ABS(DT3:DT5)), ABS(DT3:DT5), 0)</f>
        <v>2</v>
      </c>
      <c r="DU6" s="9" cm="1">
        <f t="array" ref="DU6">MATCH(MAX(ABS(DU3:DU5)), ABS(DU3:DU5), 0)</f>
        <v>2</v>
      </c>
      <c r="DV6" s="9" cm="1">
        <f t="array" ref="DV6">MATCH(MAX(ABS(DV3:DV5)), ABS(DV3:DV5), 0)</f>
        <v>1</v>
      </c>
      <c r="DW6" s="9" cm="1">
        <f t="array" ref="DW6">MATCH(MAX(ABS(DW3:DW5)), ABS(DW3:DW5), 0)</f>
        <v>1</v>
      </c>
      <c r="DX6" s="9" cm="1">
        <f t="array" ref="DX6">MATCH(MAX(ABS(DX3:DX5)), ABS(DX3:DX5), 0)</f>
        <v>1</v>
      </c>
      <c r="DY6" s="9" cm="1">
        <f t="array" ref="DY6">MATCH(MAX(ABS(DY3:DY5)), ABS(DY3:DY5), 0)</f>
        <v>2</v>
      </c>
      <c r="DZ6" s="9" cm="1">
        <f t="array" ref="DZ6">MATCH(MAX(ABS(DZ3:DZ5)), ABS(DZ3:DZ5), 0)</f>
        <v>2</v>
      </c>
      <c r="EA6" s="9" cm="1">
        <f t="array" ref="EA6">MATCH(MAX(ABS(EA3:EA5)), ABS(EA3:EA5), 0)</f>
        <v>2</v>
      </c>
      <c r="EB6" s="9" cm="1">
        <f t="array" ref="EB6">MATCH(MAX(ABS(EB3:EB5)), ABS(EB3:EB5), 0)</f>
        <v>1</v>
      </c>
      <c r="EC6" s="9" cm="1">
        <f t="array" ref="EC6">MATCH(MAX(ABS(EC3:EC5)), ABS(EC3:EC5), 0)</f>
        <v>2</v>
      </c>
      <c r="ED6" s="9" cm="1">
        <f t="array" ref="ED6">MATCH(MAX(ABS(ED3:ED5)), ABS(ED3:ED5), 0)</f>
        <v>1</v>
      </c>
      <c r="EE6" s="9" cm="1">
        <f t="array" ref="EE6">MATCH(MAX(ABS(EE3:EE5)), ABS(EE3:EE5), 0)</f>
        <v>1</v>
      </c>
      <c r="EF6" s="9" cm="1">
        <f t="array" ref="EF6">MATCH(MAX(ABS(EF3:EF5)), ABS(EF3:EF5), 0)</f>
        <v>1</v>
      </c>
    </row>
    <row r="7" spans="1:137" s="2" customFormat="1">
      <c r="C7" s="9" t="str">
        <f>IF(C6=1,"bm",IF(C6=2,"size",IF(C6=3,"mom")))</f>
        <v>size</v>
      </c>
      <c r="D7" s="9" t="str">
        <f t="shared" ref="D7:BO7" si="0">IF(D6=1,"bm",IF(D6=2,"size",IF(D6=3,"mom")))</f>
        <v>size</v>
      </c>
      <c r="E7" s="9" t="str">
        <f t="shared" si="0"/>
        <v>size</v>
      </c>
      <c r="F7" s="9" t="str">
        <f t="shared" si="0"/>
        <v>size</v>
      </c>
      <c r="G7" s="9" t="str">
        <f t="shared" si="0"/>
        <v>size</v>
      </c>
      <c r="H7" s="9" t="str">
        <f t="shared" si="0"/>
        <v>size</v>
      </c>
      <c r="I7" s="9" t="str">
        <f t="shared" si="0"/>
        <v>size</v>
      </c>
      <c r="J7" s="9" t="str">
        <f t="shared" si="0"/>
        <v>size</v>
      </c>
      <c r="K7" s="9" t="str">
        <f t="shared" si="0"/>
        <v>size</v>
      </c>
      <c r="L7" s="9" t="str">
        <f t="shared" si="0"/>
        <v>size</v>
      </c>
      <c r="M7" s="9" t="str">
        <f t="shared" si="0"/>
        <v>bm</v>
      </c>
      <c r="N7" s="9" t="str">
        <f t="shared" si="0"/>
        <v>size</v>
      </c>
      <c r="O7" s="9" t="str">
        <f t="shared" si="0"/>
        <v>size</v>
      </c>
      <c r="P7" s="9" t="str">
        <f t="shared" si="0"/>
        <v>size</v>
      </c>
      <c r="Q7" s="9" t="str">
        <f t="shared" si="0"/>
        <v>size</v>
      </c>
      <c r="R7" s="9" t="str">
        <f t="shared" si="0"/>
        <v>size</v>
      </c>
      <c r="S7" s="9" t="str">
        <f t="shared" si="0"/>
        <v>size</v>
      </c>
      <c r="T7" s="9" t="str">
        <f t="shared" si="0"/>
        <v>bm</v>
      </c>
      <c r="U7" s="9" t="str">
        <f t="shared" si="0"/>
        <v>size</v>
      </c>
      <c r="V7" s="9" t="str">
        <f t="shared" si="0"/>
        <v>size</v>
      </c>
      <c r="W7" s="9" t="str">
        <f t="shared" si="0"/>
        <v>bm</v>
      </c>
      <c r="X7" s="9" t="str">
        <f t="shared" si="0"/>
        <v>size</v>
      </c>
      <c r="Y7" s="9" t="str">
        <f t="shared" si="0"/>
        <v>size</v>
      </c>
      <c r="Z7" s="9" t="str">
        <f t="shared" si="0"/>
        <v>size</v>
      </c>
      <c r="AA7" s="9" t="str">
        <f t="shared" si="0"/>
        <v>size</v>
      </c>
      <c r="AB7" s="9" t="str">
        <f t="shared" si="0"/>
        <v>mom</v>
      </c>
      <c r="AC7" s="9" t="str">
        <f t="shared" si="0"/>
        <v>size</v>
      </c>
      <c r="AD7" s="9" t="str">
        <f t="shared" si="0"/>
        <v>mom</v>
      </c>
      <c r="AE7" s="9" t="str">
        <f t="shared" si="0"/>
        <v>size</v>
      </c>
      <c r="AF7" s="9" t="str">
        <f t="shared" si="0"/>
        <v>bm</v>
      </c>
      <c r="AG7" s="9" t="str">
        <f t="shared" si="0"/>
        <v>size</v>
      </c>
      <c r="AH7" s="9" t="str">
        <f t="shared" si="0"/>
        <v>bm</v>
      </c>
      <c r="AI7" s="9" t="str">
        <f t="shared" si="0"/>
        <v>bm</v>
      </c>
      <c r="AJ7" s="9" t="str">
        <f t="shared" si="0"/>
        <v>bm</v>
      </c>
      <c r="AK7" s="9" t="str">
        <f t="shared" si="0"/>
        <v>bm</v>
      </c>
      <c r="AL7" s="9" t="str">
        <f t="shared" si="0"/>
        <v>bm</v>
      </c>
      <c r="AM7" s="9" t="str">
        <f t="shared" si="0"/>
        <v>bm</v>
      </c>
      <c r="AN7" s="9" t="str">
        <f t="shared" si="0"/>
        <v>bm</v>
      </c>
      <c r="AO7" s="9" t="str">
        <f t="shared" si="0"/>
        <v>bm</v>
      </c>
      <c r="AP7" s="9" t="str">
        <f t="shared" si="0"/>
        <v>bm</v>
      </c>
      <c r="AQ7" s="9" t="str">
        <f t="shared" si="0"/>
        <v>bm</v>
      </c>
      <c r="AR7" s="9" t="str">
        <f t="shared" si="0"/>
        <v>bm</v>
      </c>
      <c r="AS7" s="9" t="str">
        <f t="shared" si="0"/>
        <v>bm</v>
      </c>
      <c r="AT7" s="9" t="str">
        <f t="shared" si="0"/>
        <v>bm</v>
      </c>
      <c r="AU7" s="9" t="str">
        <f t="shared" si="0"/>
        <v>bm</v>
      </c>
      <c r="AV7" s="9" t="str">
        <f t="shared" si="0"/>
        <v>bm</v>
      </c>
      <c r="AW7" s="9" t="str">
        <f t="shared" si="0"/>
        <v>bm</v>
      </c>
      <c r="AX7" s="9" t="str">
        <f t="shared" si="0"/>
        <v>bm</v>
      </c>
      <c r="AY7" s="9" t="str">
        <f t="shared" si="0"/>
        <v>bm</v>
      </c>
      <c r="AZ7" s="9" t="str">
        <f t="shared" si="0"/>
        <v>bm</v>
      </c>
      <c r="BA7" s="9" t="str">
        <f t="shared" si="0"/>
        <v>size</v>
      </c>
      <c r="BB7" s="9" t="str">
        <f t="shared" si="0"/>
        <v>size</v>
      </c>
      <c r="BC7" s="9" t="str">
        <f t="shared" si="0"/>
        <v>bm</v>
      </c>
      <c r="BD7" s="9" t="str">
        <f t="shared" si="0"/>
        <v>bm</v>
      </c>
      <c r="BE7" s="9" t="str">
        <f t="shared" si="0"/>
        <v>bm</v>
      </c>
      <c r="BF7" s="9" t="str">
        <f t="shared" si="0"/>
        <v>bm</v>
      </c>
      <c r="BG7" s="9" t="str">
        <f t="shared" si="0"/>
        <v>bm</v>
      </c>
      <c r="BH7" s="9" t="str">
        <f t="shared" si="0"/>
        <v>bm</v>
      </c>
      <c r="BI7" s="9" t="str">
        <f t="shared" si="0"/>
        <v>bm</v>
      </c>
      <c r="BJ7" s="9" t="str">
        <f t="shared" si="0"/>
        <v>bm</v>
      </c>
      <c r="BK7" s="9" t="str">
        <f t="shared" si="0"/>
        <v>bm</v>
      </c>
      <c r="BL7" s="9" t="str">
        <f t="shared" si="0"/>
        <v>bm</v>
      </c>
      <c r="BM7" s="9" t="str">
        <f t="shared" si="0"/>
        <v>mom</v>
      </c>
      <c r="BN7" s="9" t="str">
        <f t="shared" si="0"/>
        <v>bm</v>
      </c>
      <c r="BO7" s="9" t="str">
        <f t="shared" si="0"/>
        <v>bm</v>
      </c>
      <c r="BP7" s="9" t="str">
        <f t="shared" ref="BP7:EA7" si="1">IF(BP6=1,"bm",IF(BP6=2,"size",IF(BP6=3,"mom")))</f>
        <v>bm</v>
      </c>
      <c r="BQ7" s="9" t="str">
        <f t="shared" si="1"/>
        <v>bm</v>
      </c>
      <c r="BR7" s="9" t="str">
        <f t="shared" si="1"/>
        <v>bm</v>
      </c>
      <c r="BS7" s="9" t="str">
        <f t="shared" si="1"/>
        <v>bm</v>
      </c>
      <c r="BT7" s="9" t="str">
        <f t="shared" si="1"/>
        <v>bm</v>
      </c>
      <c r="BU7" s="9" t="str">
        <f t="shared" si="1"/>
        <v>bm</v>
      </c>
      <c r="BV7" s="9" t="str">
        <f t="shared" si="1"/>
        <v>bm</v>
      </c>
      <c r="BW7" s="9" t="str">
        <f t="shared" si="1"/>
        <v>bm</v>
      </c>
      <c r="BX7" s="9" t="str">
        <f t="shared" si="1"/>
        <v>bm</v>
      </c>
      <c r="BY7" s="9" t="str">
        <f t="shared" si="1"/>
        <v>bm</v>
      </c>
      <c r="BZ7" s="9" t="str">
        <f t="shared" si="1"/>
        <v>bm</v>
      </c>
      <c r="CA7" s="9" t="str">
        <f t="shared" si="1"/>
        <v>bm</v>
      </c>
      <c r="CB7" s="9" t="str">
        <f t="shared" si="1"/>
        <v>bm</v>
      </c>
      <c r="CC7" s="9" t="str">
        <f t="shared" si="1"/>
        <v>size</v>
      </c>
      <c r="CD7" s="9" t="str">
        <f t="shared" si="1"/>
        <v>size</v>
      </c>
      <c r="CE7" s="9" t="str">
        <f t="shared" si="1"/>
        <v>size</v>
      </c>
      <c r="CF7" s="9" t="str">
        <f t="shared" si="1"/>
        <v>size</v>
      </c>
      <c r="CG7" s="9" t="str">
        <f t="shared" si="1"/>
        <v>size</v>
      </c>
      <c r="CH7" s="9" t="str">
        <f t="shared" si="1"/>
        <v>bm</v>
      </c>
      <c r="CI7" s="9" t="str">
        <f t="shared" si="1"/>
        <v>bm</v>
      </c>
      <c r="CJ7" s="9" t="str">
        <f t="shared" si="1"/>
        <v>bm</v>
      </c>
      <c r="CK7" s="9" t="str">
        <f t="shared" si="1"/>
        <v>bm</v>
      </c>
      <c r="CL7" s="9" t="str">
        <f t="shared" si="1"/>
        <v>bm</v>
      </c>
      <c r="CM7" s="9" t="str">
        <f t="shared" si="1"/>
        <v>bm</v>
      </c>
      <c r="CN7" s="9" t="str">
        <f t="shared" si="1"/>
        <v>bm</v>
      </c>
      <c r="CO7" s="9" t="str">
        <f t="shared" si="1"/>
        <v>bm</v>
      </c>
      <c r="CP7" s="9" t="str">
        <f t="shared" si="1"/>
        <v>bm</v>
      </c>
      <c r="CQ7" s="9" t="str">
        <f t="shared" si="1"/>
        <v>mom</v>
      </c>
      <c r="CR7" s="9" t="str">
        <f t="shared" si="1"/>
        <v>size</v>
      </c>
      <c r="CS7" s="9" t="str">
        <f t="shared" si="1"/>
        <v>size</v>
      </c>
      <c r="CT7" s="9" t="str">
        <f t="shared" si="1"/>
        <v>bm</v>
      </c>
      <c r="CU7" s="9" t="str">
        <f t="shared" si="1"/>
        <v>bm</v>
      </c>
      <c r="CV7" s="9" t="str">
        <f t="shared" si="1"/>
        <v>bm</v>
      </c>
      <c r="CW7" s="9" t="str">
        <f t="shared" si="1"/>
        <v>bm</v>
      </c>
      <c r="CX7" s="9" t="str">
        <f t="shared" si="1"/>
        <v>bm</v>
      </c>
      <c r="CY7" s="9" t="str">
        <f t="shared" si="1"/>
        <v>bm</v>
      </c>
      <c r="CZ7" s="9" t="str">
        <f t="shared" si="1"/>
        <v>bm</v>
      </c>
      <c r="DA7" s="9" t="str">
        <f t="shared" si="1"/>
        <v>bm</v>
      </c>
      <c r="DB7" s="9" t="str">
        <f t="shared" si="1"/>
        <v>size</v>
      </c>
      <c r="DC7" s="9" t="str">
        <f t="shared" si="1"/>
        <v>size</v>
      </c>
      <c r="DD7" s="9" t="str">
        <f t="shared" si="1"/>
        <v>size</v>
      </c>
      <c r="DE7" s="9" t="str">
        <f t="shared" si="1"/>
        <v>bm</v>
      </c>
      <c r="DF7" s="9" t="str">
        <f t="shared" si="1"/>
        <v>bm</v>
      </c>
      <c r="DG7" s="9" t="str">
        <f t="shared" si="1"/>
        <v>bm</v>
      </c>
      <c r="DH7" s="9" t="str">
        <f t="shared" si="1"/>
        <v>bm</v>
      </c>
      <c r="DI7" s="9" t="str">
        <f t="shared" si="1"/>
        <v>bm</v>
      </c>
      <c r="DJ7" s="9" t="str">
        <f t="shared" si="1"/>
        <v>size</v>
      </c>
      <c r="DK7" s="9" t="str">
        <f t="shared" si="1"/>
        <v>bm</v>
      </c>
      <c r="DL7" s="9" t="str">
        <f t="shared" si="1"/>
        <v>bm</v>
      </c>
      <c r="DM7" s="9" t="str">
        <f t="shared" si="1"/>
        <v>bm</v>
      </c>
      <c r="DN7" s="9" t="str">
        <f t="shared" si="1"/>
        <v>bm</v>
      </c>
      <c r="DO7" s="9" t="str">
        <f t="shared" si="1"/>
        <v>bm</v>
      </c>
      <c r="DP7" s="9" t="str">
        <f t="shared" si="1"/>
        <v>bm</v>
      </c>
      <c r="DQ7" s="9" t="str">
        <f t="shared" si="1"/>
        <v>bm</v>
      </c>
      <c r="DR7" s="9" t="str">
        <f t="shared" si="1"/>
        <v>bm</v>
      </c>
      <c r="DS7" s="9" t="str">
        <f t="shared" si="1"/>
        <v>bm</v>
      </c>
      <c r="DT7" s="9" t="str">
        <f t="shared" si="1"/>
        <v>size</v>
      </c>
      <c r="DU7" s="9" t="str">
        <f t="shared" si="1"/>
        <v>size</v>
      </c>
      <c r="DV7" s="9" t="str">
        <f t="shared" si="1"/>
        <v>bm</v>
      </c>
      <c r="DW7" s="9" t="str">
        <f t="shared" si="1"/>
        <v>bm</v>
      </c>
      <c r="DX7" s="9" t="str">
        <f t="shared" si="1"/>
        <v>bm</v>
      </c>
      <c r="DY7" s="9" t="str">
        <f t="shared" si="1"/>
        <v>size</v>
      </c>
      <c r="DZ7" s="9" t="str">
        <f t="shared" si="1"/>
        <v>size</v>
      </c>
      <c r="EA7" s="9" t="str">
        <f t="shared" si="1"/>
        <v>size</v>
      </c>
      <c r="EB7" s="9" t="str">
        <f t="shared" ref="EB7:EF7" si="2">IF(EB6=1,"bm",IF(EB6=2,"size",IF(EB6=3,"mom")))</f>
        <v>bm</v>
      </c>
      <c r="EC7" s="9" t="str">
        <f t="shared" si="2"/>
        <v>size</v>
      </c>
      <c r="ED7" s="9" t="str">
        <f t="shared" si="2"/>
        <v>bm</v>
      </c>
      <c r="EE7" s="9" t="str">
        <f t="shared" si="2"/>
        <v>bm</v>
      </c>
      <c r="EF7" s="9" t="str">
        <f t="shared" si="2"/>
        <v>bm</v>
      </c>
    </row>
    <row r="8" spans="1:137" s="2" customFormat="1">
      <c r="C8" s="9">
        <f>IF(C6=1,C3,IF(C6=2,C4,IF(C6=3,C5)))</f>
        <v>-4.9660484307830009E-2</v>
      </c>
      <c r="D8" s="9">
        <f t="shared" ref="D8:BO8" si="3">IF(D6=1,D3,IF(D6=2,D4,IF(D6=3,D5)))</f>
        <v>-6.5232195080165353E-2</v>
      </c>
      <c r="E8" s="9">
        <f t="shared" si="3"/>
        <v>-9.3874054199500026E-2</v>
      </c>
      <c r="F8" s="9">
        <f t="shared" si="3"/>
        <v>-7.3843592245097373E-2</v>
      </c>
      <c r="G8" s="9">
        <f t="shared" si="3"/>
        <v>-2.745888685018728E-2</v>
      </c>
      <c r="H8" s="9">
        <f t="shared" si="3"/>
        <v>-3.3398565611267667E-2</v>
      </c>
      <c r="I8" s="9">
        <f t="shared" si="3"/>
        <v>-4.7136189417385607E-2</v>
      </c>
      <c r="J8" s="9">
        <f t="shared" si="3"/>
        <v>-4.6203432590894752E-2</v>
      </c>
      <c r="K8" s="9">
        <f t="shared" si="3"/>
        <v>-4.5932097646850877E-2</v>
      </c>
      <c r="L8" s="9">
        <f t="shared" si="3"/>
        <v>-3.9679751627069763E-2</v>
      </c>
      <c r="M8" s="9">
        <f t="shared" si="3"/>
        <v>3.2729103566482703E-2</v>
      </c>
      <c r="N8" s="9">
        <f t="shared" si="3"/>
        <v>-3.5831351641089762E-2</v>
      </c>
      <c r="O8" s="9">
        <f t="shared" si="3"/>
        <v>-5.70229981056335E-2</v>
      </c>
      <c r="P8" s="9">
        <f t="shared" si="3"/>
        <v>-4.2462781327895993E-2</v>
      </c>
      <c r="Q8" s="9">
        <f t="shared" si="3"/>
        <v>-3.7772394962975513E-2</v>
      </c>
      <c r="R8" s="9">
        <f t="shared" si="3"/>
        <v>-2.862835448000129E-2</v>
      </c>
      <c r="S8" s="9">
        <f t="shared" si="3"/>
        <v>-3.099793016810054E-2</v>
      </c>
      <c r="T8" s="9">
        <f t="shared" si="3"/>
        <v>2.262072807092802E-2</v>
      </c>
      <c r="U8" s="9">
        <f t="shared" si="3"/>
        <v>-3.5326677132364037E-2</v>
      </c>
      <c r="V8" s="9">
        <f t="shared" si="3"/>
        <v>-2.9502132625226989E-2</v>
      </c>
      <c r="W8" s="9">
        <f t="shared" si="3"/>
        <v>4.5784045042201092E-2</v>
      </c>
      <c r="X8" s="9">
        <f t="shared" si="3"/>
        <v>-5.4483491647159897E-2</v>
      </c>
      <c r="Y8" s="9">
        <f t="shared" si="3"/>
        <v>-5.7374231531351433E-2</v>
      </c>
      <c r="Z8" s="9">
        <f t="shared" si="3"/>
        <v>-5.0628448585672892E-2</v>
      </c>
      <c r="AA8" s="9">
        <f t="shared" si="3"/>
        <v>-4.231975801219371E-2</v>
      </c>
      <c r="AB8" s="9">
        <f t="shared" si="3"/>
        <v>-4.9937139241651593E-2</v>
      </c>
      <c r="AC8" s="9">
        <f t="shared" si="3"/>
        <v>-3.845543636405753E-2</v>
      </c>
      <c r="AD8" s="9">
        <f t="shared" si="3"/>
        <v>-6.5956474854444447E-2</v>
      </c>
      <c r="AE8" s="9">
        <f t="shared" si="3"/>
        <v>-3.4795070629380642E-2</v>
      </c>
      <c r="AF8" s="9">
        <f t="shared" si="3"/>
        <v>1.3117941025955079E-2</v>
      </c>
      <c r="AG8" s="9">
        <f t="shared" si="3"/>
        <v>-3.2239282506807423E-2</v>
      </c>
      <c r="AH8" s="9">
        <f t="shared" si="3"/>
        <v>3.1884444011299258E-2</v>
      </c>
      <c r="AI8" s="9">
        <f t="shared" si="3"/>
        <v>3.6385761193522617E-2</v>
      </c>
      <c r="AJ8" s="9">
        <f t="shared" si="3"/>
        <v>3.5948919429733099E-2</v>
      </c>
      <c r="AK8" s="9">
        <f t="shared" si="3"/>
        <v>4.3482830969963061E-2</v>
      </c>
      <c r="AL8" s="9">
        <f t="shared" si="3"/>
        <v>3.8462077568039821E-2</v>
      </c>
      <c r="AM8" s="9">
        <f t="shared" si="3"/>
        <v>3.9410244165835981E-2</v>
      </c>
      <c r="AN8" s="9">
        <f t="shared" si="3"/>
        <v>5.0743620516414449E-2</v>
      </c>
      <c r="AO8" s="9">
        <f t="shared" si="3"/>
        <v>5.3684811620656171E-2</v>
      </c>
      <c r="AP8" s="9">
        <f t="shared" si="3"/>
        <v>4.9314899356547669E-2</v>
      </c>
      <c r="AQ8" s="9">
        <f t="shared" si="3"/>
        <v>3.2773687722358558E-2</v>
      </c>
      <c r="AR8" s="9">
        <f t="shared" si="3"/>
        <v>2.8295340626825871E-2</v>
      </c>
      <c r="AS8" s="9">
        <f t="shared" si="3"/>
        <v>2.8377802599917339E-2</v>
      </c>
      <c r="AT8" s="9">
        <f t="shared" si="3"/>
        <v>2.306922946025217E-2</v>
      </c>
      <c r="AU8" s="9">
        <f t="shared" si="3"/>
        <v>2.9397032882625889E-2</v>
      </c>
      <c r="AV8" s="9">
        <f t="shared" si="3"/>
        <v>3.103785222722218E-2</v>
      </c>
      <c r="AW8" s="9">
        <f t="shared" si="3"/>
        <v>2.6297924056821211E-2</v>
      </c>
      <c r="AX8" s="9">
        <f t="shared" si="3"/>
        <v>2.6164811358804361E-2</v>
      </c>
      <c r="AY8" s="9">
        <f t="shared" si="3"/>
        <v>3.2053783671709642E-2</v>
      </c>
      <c r="AZ8" s="9">
        <f t="shared" si="3"/>
        <v>3.4477530774765272E-2</v>
      </c>
      <c r="BA8" s="9">
        <f t="shared" si="3"/>
        <v>-2.9633847899323489E-2</v>
      </c>
      <c r="BB8" s="9">
        <f t="shared" si="3"/>
        <v>-3.6923299522087998E-2</v>
      </c>
      <c r="BC8" s="9">
        <f t="shared" si="3"/>
        <v>3.742177693859082E-2</v>
      </c>
      <c r="BD8" s="9">
        <f t="shared" si="3"/>
        <v>3.141372245226793E-2</v>
      </c>
      <c r="BE8" s="9">
        <f t="shared" si="3"/>
        <v>3.2006411062996218E-2</v>
      </c>
      <c r="BF8" s="9">
        <f t="shared" si="3"/>
        <v>2.828182773285309E-2</v>
      </c>
      <c r="BG8" s="9">
        <f t="shared" si="3"/>
        <v>4.1103436715196499E-2</v>
      </c>
      <c r="BH8" s="9">
        <f t="shared" si="3"/>
        <v>4.5198779339126277E-2</v>
      </c>
      <c r="BI8" s="9">
        <f t="shared" si="3"/>
        <v>4.1588040384802467E-2</v>
      </c>
      <c r="BJ8" s="9">
        <f t="shared" si="3"/>
        <v>4.0723405736309601E-2</v>
      </c>
      <c r="BK8" s="9">
        <f t="shared" si="3"/>
        <v>3.6327700059770963E-2</v>
      </c>
      <c r="BL8" s="9">
        <f t="shared" si="3"/>
        <v>3.6173192149872829E-2</v>
      </c>
      <c r="BM8" s="9">
        <f t="shared" si="3"/>
        <v>-3.7766406128849933E-2</v>
      </c>
      <c r="BN8" s="9">
        <f t="shared" si="3"/>
        <v>3.0814038130409348E-2</v>
      </c>
      <c r="BO8" s="9">
        <f t="shared" si="3"/>
        <v>3.065585577146604E-2</v>
      </c>
      <c r="BP8" s="9">
        <f t="shared" ref="BP8:EA8" si="4">IF(BP6=1,BP3,IF(BP6=2,BP4,IF(BP6=3,BP5)))</f>
        <v>3.4399631895121928E-2</v>
      </c>
      <c r="BQ8" s="9">
        <f t="shared" si="4"/>
        <v>3.4868650026028229E-2</v>
      </c>
      <c r="BR8" s="9">
        <f t="shared" si="4"/>
        <v>3.6324039848933801E-2</v>
      </c>
      <c r="BS8" s="9">
        <f t="shared" si="4"/>
        <v>3.6164468096582629E-2</v>
      </c>
      <c r="BT8" s="9">
        <f t="shared" si="4"/>
        <v>3.8668894956456937E-2</v>
      </c>
      <c r="BU8" s="9">
        <f t="shared" si="4"/>
        <v>4.1103483948852763E-2</v>
      </c>
      <c r="BV8" s="9">
        <f t="shared" si="4"/>
        <v>2.8684133448632881E-2</v>
      </c>
      <c r="BW8" s="9">
        <f t="shared" si="4"/>
        <v>3.521650986163926E-2</v>
      </c>
      <c r="BX8" s="9">
        <f t="shared" si="4"/>
        <v>4.0767200067914261E-2</v>
      </c>
      <c r="BY8" s="9">
        <f t="shared" si="4"/>
        <v>2.160353774972024E-2</v>
      </c>
      <c r="BZ8" s="9">
        <f t="shared" si="4"/>
        <v>3.0433668800390778E-2</v>
      </c>
      <c r="CA8" s="9">
        <f t="shared" si="4"/>
        <v>3.7311958080318418E-2</v>
      </c>
      <c r="CB8" s="9">
        <f t="shared" si="4"/>
        <v>2.7612053143104789E-2</v>
      </c>
      <c r="CC8" s="9">
        <f t="shared" si="4"/>
        <v>-4.111205153911144E-2</v>
      </c>
      <c r="CD8" s="9">
        <f t="shared" si="4"/>
        <v>-3.2535405185557913E-2</v>
      </c>
      <c r="CE8" s="9">
        <f t="shared" si="4"/>
        <v>-3.0323266480776649E-2</v>
      </c>
      <c r="CF8" s="9">
        <f t="shared" si="4"/>
        <v>-6.1293189114789898E-2</v>
      </c>
      <c r="CG8" s="9">
        <f t="shared" si="4"/>
        <v>-4.4169748382986783E-2</v>
      </c>
      <c r="CH8" s="9">
        <f t="shared" si="4"/>
        <v>4.0909001215823582E-2</v>
      </c>
      <c r="CI8" s="9">
        <f t="shared" si="4"/>
        <v>3.9050253240311222E-2</v>
      </c>
      <c r="CJ8" s="9">
        <f t="shared" si="4"/>
        <v>2.4561899640003909E-2</v>
      </c>
      <c r="CK8" s="9">
        <f t="shared" si="4"/>
        <v>3.413446187252573E-2</v>
      </c>
      <c r="CL8" s="9">
        <f t="shared" si="4"/>
        <v>3.5925937532879773E-2</v>
      </c>
      <c r="CM8" s="9">
        <f t="shared" si="4"/>
        <v>4.2466042159304301E-2</v>
      </c>
      <c r="CN8" s="9">
        <f t="shared" si="4"/>
        <v>3.6523906516241801E-2</v>
      </c>
      <c r="CO8" s="9">
        <f t="shared" si="4"/>
        <v>3.765914957102829E-2</v>
      </c>
      <c r="CP8" s="9">
        <f t="shared" si="4"/>
        <v>3.9957834472595419E-2</v>
      </c>
      <c r="CQ8" s="9">
        <f t="shared" si="4"/>
        <v>9.0067640458367376E-3</v>
      </c>
      <c r="CR8" s="9">
        <f t="shared" si="4"/>
        <v>-1.917966682871176E-2</v>
      </c>
      <c r="CS8" s="9">
        <f t="shared" si="4"/>
        <v>-2.334741602504313E-2</v>
      </c>
      <c r="CT8" s="9">
        <f t="shared" si="4"/>
        <v>4.0972167824902372E-2</v>
      </c>
      <c r="CU8" s="9">
        <f t="shared" si="4"/>
        <v>3.8942373224816529E-2</v>
      </c>
      <c r="CV8" s="9">
        <f t="shared" si="4"/>
        <v>4.3015000500199303E-2</v>
      </c>
      <c r="CW8" s="9">
        <f t="shared" si="4"/>
        <v>3.9706600079107618E-2</v>
      </c>
      <c r="CX8" s="9">
        <f t="shared" si="4"/>
        <v>3.9171022856911548E-2</v>
      </c>
      <c r="CY8" s="9">
        <f t="shared" si="4"/>
        <v>3.4940834769569752E-2</v>
      </c>
      <c r="CZ8" s="9">
        <f t="shared" si="4"/>
        <v>3.6026834228159298E-2</v>
      </c>
      <c r="DA8" s="9">
        <f t="shared" si="4"/>
        <v>4.450954814790925E-2</v>
      </c>
      <c r="DB8" s="9">
        <f t="shared" si="4"/>
        <v>-4.4725026400587967E-2</v>
      </c>
      <c r="DC8" s="9">
        <f t="shared" si="4"/>
        <v>-7.0760377239426644E-2</v>
      </c>
      <c r="DD8" s="9">
        <f t="shared" si="4"/>
        <v>-5.7610036798158112E-2</v>
      </c>
      <c r="DE8" s="9">
        <f t="shared" si="4"/>
        <v>4.199397627237688E-2</v>
      </c>
      <c r="DF8" s="9">
        <f t="shared" si="4"/>
        <v>4.1965348731106439E-2</v>
      </c>
      <c r="DG8" s="9">
        <f t="shared" si="4"/>
        <v>4.0382244799122918E-2</v>
      </c>
      <c r="DH8" s="9">
        <f t="shared" si="4"/>
        <v>3.6787240146963857E-2</v>
      </c>
      <c r="DI8" s="9">
        <f t="shared" si="4"/>
        <v>3.6877765546082367E-2</v>
      </c>
      <c r="DJ8" s="9">
        <f t="shared" si="4"/>
        <v>-3.7819313396098023E-2</v>
      </c>
      <c r="DK8" s="9">
        <f t="shared" si="4"/>
        <v>3.6536443043095952E-2</v>
      </c>
      <c r="DL8" s="9">
        <f t="shared" si="4"/>
        <v>3.1530556219024453E-2</v>
      </c>
      <c r="DM8" s="9">
        <f t="shared" si="4"/>
        <v>2.866223764473836E-2</v>
      </c>
      <c r="DN8" s="9">
        <f t="shared" si="4"/>
        <v>3.0844743252797239E-2</v>
      </c>
      <c r="DO8" s="9">
        <f t="shared" si="4"/>
        <v>3.3675363611272838E-2</v>
      </c>
      <c r="DP8" s="9">
        <f t="shared" si="4"/>
        <v>3.5102177512429639E-2</v>
      </c>
      <c r="DQ8" s="9">
        <f t="shared" si="4"/>
        <v>3.6708207074369593E-2</v>
      </c>
      <c r="DR8" s="9">
        <f t="shared" si="4"/>
        <v>3.4114421599711522E-2</v>
      </c>
      <c r="DS8" s="9">
        <f t="shared" si="4"/>
        <v>3.6715906439180969E-2</v>
      </c>
      <c r="DT8" s="9">
        <f t="shared" si="4"/>
        <v>-4.1056175553995593E-2</v>
      </c>
      <c r="DU8" s="9">
        <f t="shared" si="4"/>
        <v>-3.7310764401418541E-2</v>
      </c>
      <c r="DV8" s="9">
        <f t="shared" si="4"/>
        <v>2.524093892652959E-2</v>
      </c>
      <c r="DW8" s="9">
        <f t="shared" si="4"/>
        <v>3.5159202684512107E-2</v>
      </c>
      <c r="DX8" s="9">
        <f t="shared" si="4"/>
        <v>3.2304964005665182E-2</v>
      </c>
      <c r="DY8" s="9">
        <f t="shared" si="4"/>
        <v>-3.3048945391833368E-2</v>
      </c>
      <c r="DZ8" s="9">
        <f t="shared" si="4"/>
        <v>-3.0875828777379061E-2</v>
      </c>
      <c r="EA8" s="9">
        <f t="shared" si="4"/>
        <v>-3.1659361830993098E-2</v>
      </c>
      <c r="EB8" s="9">
        <f t="shared" ref="EB8:EF8" si="5">IF(EB6=1,EB3,IF(EB6=2,EB4,IF(EB6=3,EB5)))</f>
        <v>3.723081253221186E-2</v>
      </c>
      <c r="EC8" s="9">
        <f t="shared" si="5"/>
        <v>-4.1069385194225268E-2</v>
      </c>
      <c r="ED8" s="9">
        <f t="shared" si="5"/>
        <v>3.4186640907954438E-2</v>
      </c>
      <c r="EE8" s="9">
        <f t="shared" si="5"/>
        <v>2.5041157579864491E-2</v>
      </c>
      <c r="EF8" s="9">
        <f t="shared" si="5"/>
        <v>3.4121434975122142E-2</v>
      </c>
    </row>
    <row r="10" spans="1:137">
      <c r="A10" s="27" t="s">
        <v>140</v>
      </c>
      <c r="B10" s="28"/>
      <c r="C10" s="4" t="s">
        <v>141</v>
      </c>
      <c r="D10" s="6">
        <v>964</v>
      </c>
    </row>
    <row r="11" spans="1:137">
      <c r="A11" s="4" t="s">
        <v>142</v>
      </c>
      <c r="B11" s="4" t="s">
        <v>143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5" t="s">
        <v>13</v>
      </c>
      <c r="O11" s="5" t="s">
        <v>14</v>
      </c>
      <c r="P11" s="5" t="s">
        <v>15</v>
      </c>
      <c r="Q11" s="5" t="s">
        <v>16</v>
      </c>
      <c r="R11" s="5" t="s">
        <v>17</v>
      </c>
      <c r="S11" s="5" t="s">
        <v>18</v>
      </c>
      <c r="T11" s="5" t="s">
        <v>19</v>
      </c>
      <c r="U11" s="5" t="s">
        <v>20</v>
      </c>
      <c r="V11" s="5" t="s">
        <v>21</v>
      </c>
      <c r="W11" s="5" t="s">
        <v>22</v>
      </c>
      <c r="X11" s="5" t="s">
        <v>23</v>
      </c>
      <c r="Y11" s="5" t="s">
        <v>24</v>
      </c>
      <c r="Z11" s="5" t="s">
        <v>25</v>
      </c>
      <c r="AA11" s="5" t="s">
        <v>26</v>
      </c>
      <c r="AB11" s="5" t="s">
        <v>27</v>
      </c>
      <c r="AC11" s="5" t="s">
        <v>28</v>
      </c>
      <c r="AD11" s="5" t="s">
        <v>29</v>
      </c>
      <c r="AE11" s="5" t="s">
        <v>30</v>
      </c>
      <c r="AF11" s="5" t="s">
        <v>31</v>
      </c>
      <c r="AG11" s="5" t="s">
        <v>32</v>
      </c>
      <c r="AH11" s="5" t="s">
        <v>33</v>
      </c>
      <c r="AI11" s="5" t="s">
        <v>34</v>
      </c>
      <c r="AJ11" s="5" t="s">
        <v>35</v>
      </c>
      <c r="AK11" s="5" t="s">
        <v>36</v>
      </c>
      <c r="AL11" s="5" t="s">
        <v>37</v>
      </c>
      <c r="AM11" s="5" t="s">
        <v>38</v>
      </c>
      <c r="AN11" s="5" t="s">
        <v>39</v>
      </c>
      <c r="AO11" s="5" t="s">
        <v>40</v>
      </c>
      <c r="AP11" s="5" t="s">
        <v>41</v>
      </c>
      <c r="AQ11" s="5" t="s">
        <v>42</v>
      </c>
      <c r="AR11" s="5" t="s">
        <v>43</v>
      </c>
      <c r="AS11" s="5" t="s">
        <v>44</v>
      </c>
      <c r="AT11" s="5" t="s">
        <v>45</v>
      </c>
      <c r="AU11" s="5" t="s">
        <v>46</v>
      </c>
      <c r="AV11" s="5" t="s">
        <v>47</v>
      </c>
      <c r="AW11" s="5" t="s">
        <v>48</v>
      </c>
      <c r="AX11" s="5" t="s">
        <v>49</v>
      </c>
      <c r="AY11" s="5" t="s">
        <v>50</v>
      </c>
      <c r="AZ11" s="5" t="s">
        <v>51</v>
      </c>
      <c r="BA11" s="5" t="s">
        <v>52</v>
      </c>
      <c r="BB11" s="5" t="s">
        <v>53</v>
      </c>
      <c r="BC11" s="5" t="s">
        <v>54</v>
      </c>
      <c r="BD11" s="5" t="s">
        <v>55</v>
      </c>
      <c r="BE11" s="5" t="s">
        <v>56</v>
      </c>
      <c r="BF11" s="5" t="s">
        <v>57</v>
      </c>
      <c r="BG11" s="5" t="s">
        <v>58</v>
      </c>
      <c r="BH11" s="5" t="s">
        <v>59</v>
      </c>
      <c r="BI11" s="5" t="s">
        <v>60</v>
      </c>
      <c r="BJ11" s="5" t="s">
        <v>61</v>
      </c>
      <c r="BK11" s="5" t="s">
        <v>62</v>
      </c>
      <c r="BL11" s="5" t="s">
        <v>63</v>
      </c>
      <c r="BM11" s="5" t="s">
        <v>64</v>
      </c>
      <c r="BN11" s="5" t="s">
        <v>65</v>
      </c>
      <c r="BO11" s="5" t="s">
        <v>66</v>
      </c>
      <c r="BP11" s="5" t="s">
        <v>67</v>
      </c>
      <c r="BQ11" s="5" t="s">
        <v>68</v>
      </c>
      <c r="BR11" s="5" t="s">
        <v>69</v>
      </c>
      <c r="BS11" s="5" t="s">
        <v>70</v>
      </c>
      <c r="BT11" s="5" t="s">
        <v>71</v>
      </c>
      <c r="BU11" s="5" t="s">
        <v>72</v>
      </c>
      <c r="BV11" s="5" t="s">
        <v>73</v>
      </c>
      <c r="BW11" s="5" t="s">
        <v>74</v>
      </c>
      <c r="BX11" s="5" t="s">
        <v>75</v>
      </c>
      <c r="BY11" s="5" t="s">
        <v>76</v>
      </c>
      <c r="BZ11" s="5" t="s">
        <v>77</v>
      </c>
      <c r="CA11" s="5" t="s">
        <v>78</v>
      </c>
      <c r="CB11" s="5" t="s">
        <v>79</v>
      </c>
      <c r="CC11" s="5" t="s">
        <v>80</v>
      </c>
      <c r="CD11" s="5" t="s">
        <v>81</v>
      </c>
      <c r="CE11" s="5" t="s">
        <v>82</v>
      </c>
      <c r="CF11" s="5" t="s">
        <v>83</v>
      </c>
      <c r="CG11" s="5" t="s">
        <v>84</v>
      </c>
      <c r="CH11" s="5" t="s">
        <v>85</v>
      </c>
      <c r="CI11" s="5" t="s">
        <v>86</v>
      </c>
      <c r="CJ11" s="5" t="s">
        <v>87</v>
      </c>
      <c r="CK11" s="5" t="s">
        <v>88</v>
      </c>
      <c r="CL11" s="5" t="s">
        <v>89</v>
      </c>
      <c r="CM11" s="5" t="s">
        <v>90</v>
      </c>
      <c r="CN11" s="5" t="s">
        <v>91</v>
      </c>
      <c r="CO11" s="5" t="s">
        <v>92</v>
      </c>
      <c r="CP11" s="5" t="s">
        <v>93</v>
      </c>
      <c r="CQ11" s="5" t="s">
        <v>94</v>
      </c>
      <c r="CR11" s="5" t="s">
        <v>95</v>
      </c>
      <c r="CS11" s="5" t="s">
        <v>96</v>
      </c>
      <c r="CT11" s="5" t="s">
        <v>97</v>
      </c>
      <c r="CU11" s="5" t="s">
        <v>98</v>
      </c>
      <c r="CV11" s="5" t="s">
        <v>99</v>
      </c>
      <c r="CW11" s="5" t="s">
        <v>100</v>
      </c>
      <c r="CX11" s="5" t="s">
        <v>101</v>
      </c>
      <c r="CY11" s="5" t="s">
        <v>102</v>
      </c>
      <c r="CZ11" s="5" t="s">
        <v>103</v>
      </c>
      <c r="DA11" s="5" t="s">
        <v>104</v>
      </c>
      <c r="DB11" s="5" t="s">
        <v>105</v>
      </c>
      <c r="DC11" s="5" t="s">
        <v>106</v>
      </c>
      <c r="DD11" s="5" t="s">
        <v>107</v>
      </c>
      <c r="DE11" s="5" t="s">
        <v>108</v>
      </c>
      <c r="DF11" s="5" t="s">
        <v>109</v>
      </c>
      <c r="DG11" s="5" t="s">
        <v>110</v>
      </c>
      <c r="DH11" s="5" t="s">
        <v>111</v>
      </c>
      <c r="DI11" s="5" t="s">
        <v>112</v>
      </c>
      <c r="DJ11" s="5" t="s">
        <v>113</v>
      </c>
      <c r="DK11" s="5" t="s">
        <v>114</v>
      </c>
      <c r="DL11" s="5" t="s">
        <v>115</v>
      </c>
      <c r="DM11" s="5" t="s">
        <v>116</v>
      </c>
      <c r="DN11" s="5" t="s">
        <v>117</v>
      </c>
      <c r="DO11" s="5" t="s">
        <v>118</v>
      </c>
      <c r="DP11" s="5" t="s">
        <v>119</v>
      </c>
      <c r="DQ11" s="5" t="s">
        <v>120</v>
      </c>
      <c r="DR11" s="5" t="s">
        <v>121</v>
      </c>
      <c r="DS11" s="5" t="s">
        <v>122</v>
      </c>
      <c r="DT11" s="5" t="s">
        <v>123</v>
      </c>
      <c r="DU11" s="5" t="s">
        <v>124</v>
      </c>
      <c r="DV11" s="5" t="s">
        <v>125</v>
      </c>
      <c r="DW11" s="5" t="s">
        <v>126</v>
      </c>
      <c r="DX11" s="5" t="s">
        <v>127</v>
      </c>
      <c r="DY11" s="5" t="s">
        <v>128</v>
      </c>
      <c r="DZ11" s="5" t="s">
        <v>129</v>
      </c>
      <c r="EA11" s="5" t="s">
        <v>130</v>
      </c>
      <c r="EB11" s="5" t="s">
        <v>131</v>
      </c>
      <c r="EC11" s="5" t="s">
        <v>132</v>
      </c>
      <c r="ED11" s="5" t="s">
        <v>133</v>
      </c>
      <c r="EE11" s="5" t="s">
        <v>134</v>
      </c>
      <c r="EF11" s="5" t="s">
        <v>135</v>
      </c>
    </row>
    <row r="12" spans="1:137">
      <c r="A12" s="4">
        <v>10</v>
      </c>
      <c r="B12" s="4">
        <v>96</v>
      </c>
      <c r="C12" s="9">
        <v>8.4653541666666707E-2</v>
      </c>
      <c r="D12" s="10">
        <v>0.11468851041666669</v>
      </c>
      <c r="E12" s="10">
        <v>4.8026281249999997E-2</v>
      </c>
      <c r="F12" s="10">
        <v>1.342140625E-2</v>
      </c>
      <c r="G12" s="10">
        <v>1.172496874999999E-2</v>
      </c>
      <c r="H12" s="10">
        <v>3.8530718750000012E-2</v>
      </c>
      <c r="I12" s="10">
        <v>1.280994791666666E-2</v>
      </c>
      <c r="J12" s="10">
        <v>-2.940780208333334E-2</v>
      </c>
      <c r="K12" s="10">
        <v>1.877417708333334E-2</v>
      </c>
      <c r="L12" s="10">
        <v>-4.1890635416666662E-2</v>
      </c>
      <c r="M12" s="10">
        <v>-1.555180420016113E-2</v>
      </c>
      <c r="N12" s="10">
        <v>6.9326749999999965E-2</v>
      </c>
      <c r="O12" s="10">
        <v>1.7240843749999998E-2</v>
      </c>
      <c r="P12" s="10">
        <v>-3.6570833333333941E-4</v>
      </c>
      <c r="Q12" s="10">
        <v>3.5270468749999978E-2</v>
      </c>
      <c r="R12" s="10">
        <v>6.6630833333333368E-3</v>
      </c>
      <c r="S12" s="10">
        <v>-1.6472229166666671E-2</v>
      </c>
      <c r="T12" s="10">
        <v>-4.2663290708050298E-2</v>
      </c>
      <c r="U12" s="10">
        <v>-1.6178791666666682E-2</v>
      </c>
      <c r="V12" s="10">
        <v>6.2048020833333078E-3</v>
      </c>
      <c r="W12" s="10">
        <v>1.9277946223610089E-2</v>
      </c>
      <c r="X12" s="10">
        <v>2.574945833333336E-2</v>
      </c>
      <c r="Y12" s="10">
        <v>1.544010416666668E-2</v>
      </c>
      <c r="Z12" s="10">
        <v>5.166041666666666E-3</v>
      </c>
      <c r="AA12" s="10">
        <v>-1.1916833333333311E-2</v>
      </c>
      <c r="AB12" s="10">
        <v>-1.073332960413877E-2</v>
      </c>
      <c r="AC12" s="10">
        <v>5.1674479166666544E-3</v>
      </c>
      <c r="AD12" s="10">
        <v>2.5304298312235208E-3</v>
      </c>
      <c r="AE12" s="10">
        <v>-5.8317010416666662E-2</v>
      </c>
      <c r="AF12" s="10">
        <v>2.0483377917890379E-2</v>
      </c>
      <c r="AG12" s="10">
        <v>1.207918750000001E-2</v>
      </c>
      <c r="AH12" s="10">
        <v>1.3096859936119341E-2</v>
      </c>
      <c r="AI12" s="10">
        <v>1.9004465170339341E-2</v>
      </c>
      <c r="AJ12" s="10">
        <v>7.4902167130851093E-3</v>
      </c>
      <c r="AK12" s="10">
        <v>4.7354661535713542E-2</v>
      </c>
      <c r="AL12" s="10">
        <v>1.7859003021922081E-2</v>
      </c>
      <c r="AM12" s="10">
        <v>3.2204353759093952E-2</v>
      </c>
      <c r="AN12" s="10">
        <v>7.0370866473731905E-2</v>
      </c>
      <c r="AO12" s="10">
        <v>2.13860488609894E-3</v>
      </c>
      <c r="AP12" s="10">
        <v>-3.3728995771188847E-2</v>
      </c>
      <c r="AQ12" s="10">
        <v>-7.1760162381872376E-3</v>
      </c>
      <c r="AR12" s="10">
        <v>1.285081343613181E-2</v>
      </c>
      <c r="AS12" s="10">
        <v>1.9726131394207671E-2</v>
      </c>
      <c r="AT12" s="10">
        <v>1.3068926506940861E-2</v>
      </c>
      <c r="AU12" s="10">
        <v>1.9974649689404891E-2</v>
      </c>
      <c r="AV12" s="10">
        <v>-4.112607099176907E-2</v>
      </c>
      <c r="AW12" s="10">
        <v>9.295475433588607E-4</v>
      </c>
      <c r="AX12" s="10">
        <v>4.3020460111572283E-2</v>
      </c>
      <c r="AY12" s="10">
        <v>2.448335394421234E-2</v>
      </c>
      <c r="AZ12" s="10">
        <v>-3.0582148605065619E-3</v>
      </c>
      <c r="BA12" s="10">
        <v>7.1276302083333326E-2</v>
      </c>
      <c r="BB12" s="10">
        <v>5.7850729166666658E-3</v>
      </c>
      <c r="BC12" s="10">
        <v>1.2985576387445449E-2</v>
      </c>
      <c r="BD12" s="10">
        <v>1.143142399369595E-2</v>
      </c>
      <c r="BE12" s="10">
        <v>2.40304909961199E-2</v>
      </c>
      <c r="BF12" s="10">
        <v>6.8729809015135521E-2</v>
      </c>
      <c r="BG12" s="10">
        <v>3.8388130036715477E-2</v>
      </c>
      <c r="BH12" s="10">
        <v>1.114891561300402E-2</v>
      </c>
      <c r="BI12" s="10">
        <v>5.1439927386970313E-2</v>
      </c>
      <c r="BJ12" s="10">
        <v>-7.9599331991781624E-4</v>
      </c>
      <c r="BK12" s="10">
        <v>-2.169647440444759E-2</v>
      </c>
      <c r="BL12" s="10">
        <v>2.4709245830148639E-2</v>
      </c>
      <c r="BM12" s="10">
        <v>-5.030568452332447E-2</v>
      </c>
      <c r="BN12" s="10">
        <v>1.133831182469593E-2</v>
      </c>
      <c r="BO12" s="10">
        <v>2.4246310256236889E-2</v>
      </c>
      <c r="BP12" s="10">
        <v>-1.0576816494296939E-2</v>
      </c>
      <c r="BQ12" s="10">
        <v>1.520658027131792E-2</v>
      </c>
      <c r="BR12" s="10">
        <v>-1.506664413690911E-3</v>
      </c>
      <c r="BS12" s="10">
        <v>1.7696906558417349E-2</v>
      </c>
      <c r="BT12" s="10">
        <v>2.1797850361261389E-2</v>
      </c>
      <c r="BU12" s="10">
        <v>1.020950071261458E-2</v>
      </c>
      <c r="BV12" s="10">
        <v>3.0223813217716548E-2</v>
      </c>
      <c r="BW12" s="10">
        <v>-2.8816874357394821E-2</v>
      </c>
      <c r="BX12" s="10">
        <v>9.7131055242352677E-3</v>
      </c>
      <c r="BY12" s="10">
        <v>-3.3051409562733967E-2</v>
      </c>
      <c r="BZ12" s="10">
        <v>4.5004028183990963E-2</v>
      </c>
      <c r="CA12" s="10">
        <v>-3.044777350243975E-2</v>
      </c>
      <c r="CB12" s="10">
        <v>1.6648876145019531E-3</v>
      </c>
      <c r="CC12" s="10">
        <v>6.5566041666666686E-2</v>
      </c>
      <c r="CD12" s="10">
        <v>4.4258520833333308E-2</v>
      </c>
      <c r="CE12" s="10">
        <v>0.15400715625000011</v>
      </c>
      <c r="CF12" s="10">
        <v>4.0780416666666769E-3</v>
      </c>
      <c r="CG12" s="10">
        <v>3.0880208333335102E-4</v>
      </c>
      <c r="CH12" s="10">
        <v>6.4402640401794498E-2</v>
      </c>
      <c r="CI12" s="10">
        <v>-3.5807412624148278E-2</v>
      </c>
      <c r="CJ12" s="10">
        <v>1.7613849541033368E-2</v>
      </c>
      <c r="CK12" s="10">
        <v>1.199406837785265E-2</v>
      </c>
      <c r="CL12" s="10">
        <v>0.1180156076696104</v>
      </c>
      <c r="CM12" s="10">
        <v>-1.438269061297669E-2</v>
      </c>
      <c r="CN12" s="10">
        <v>-2.5586962886869249E-2</v>
      </c>
      <c r="CO12" s="10">
        <v>-2.6747945350733469E-2</v>
      </c>
      <c r="CP12" s="10">
        <v>4.5040195605567372E-2</v>
      </c>
      <c r="CQ12" s="10">
        <v>-6.2684347003574781E-2</v>
      </c>
      <c r="CR12" s="10">
        <v>4.814697916666668E-2</v>
      </c>
      <c r="CS12" s="10">
        <v>-1.4509312499999989E-2</v>
      </c>
      <c r="CT12" s="10">
        <v>-9.6164620390248173E-4</v>
      </c>
      <c r="CU12" s="10">
        <v>3.2036178763345129E-2</v>
      </c>
      <c r="CV12" s="10">
        <v>8.2631539288325045E-3</v>
      </c>
      <c r="CW12" s="10">
        <v>5.3812280845706873E-3</v>
      </c>
      <c r="CX12" s="10">
        <v>6.0989882536991787E-2</v>
      </c>
      <c r="CY12" s="10">
        <v>-6.1822201388509711E-3</v>
      </c>
      <c r="CZ12" s="10">
        <v>7.9607283258604278E-2</v>
      </c>
      <c r="DA12" s="10">
        <v>3.4032079955525099E-3</v>
      </c>
      <c r="DB12" s="10">
        <v>8.898185416666668E-2</v>
      </c>
      <c r="DC12" s="10">
        <v>1.0027218750000009E-2</v>
      </c>
      <c r="DD12" s="10">
        <v>-3.909141666666667E-2</v>
      </c>
      <c r="DE12" s="10">
        <v>-1.847442450316206E-4</v>
      </c>
      <c r="DF12" s="10">
        <v>-6.8330161835898516E-3</v>
      </c>
      <c r="DG12" s="10">
        <v>-7.9027007277837277E-4</v>
      </c>
      <c r="DH12" s="10">
        <v>-5.262143774803156E-3</v>
      </c>
      <c r="DI12" s="10">
        <v>-5.4443172992132458E-2</v>
      </c>
      <c r="DJ12" s="10">
        <v>1.511867708333333E-2</v>
      </c>
      <c r="DK12" s="10">
        <v>-1.526440322238466E-2</v>
      </c>
      <c r="DL12" s="10">
        <v>-1.0642651630106659E-3</v>
      </c>
      <c r="DM12" s="10">
        <v>-5.7147713958668224E-3</v>
      </c>
      <c r="DN12" s="10">
        <v>3.9228342632839662E-2</v>
      </c>
      <c r="DO12" s="10">
        <v>2.2128250164898451E-2</v>
      </c>
      <c r="DP12" s="10">
        <v>3.2584449600297112E-2</v>
      </c>
      <c r="DQ12" s="10">
        <v>-2.3448390551494561E-2</v>
      </c>
      <c r="DR12" s="10">
        <v>1.8778943279386909E-2</v>
      </c>
      <c r="DS12" s="10">
        <v>-3.7264030439260992E-2</v>
      </c>
      <c r="DT12" s="10">
        <v>2.5117864583333378E-2</v>
      </c>
      <c r="DU12" s="10">
        <v>-5.7230229166666681E-2</v>
      </c>
      <c r="DV12" s="10">
        <v>5.2173183809525743E-2</v>
      </c>
      <c r="DW12" s="10">
        <v>3.9694301624267903E-2</v>
      </c>
      <c r="DX12" s="10">
        <v>-4.9619206803227477E-2</v>
      </c>
      <c r="DY12" s="10">
        <v>5.3145312500000007E-2</v>
      </c>
      <c r="DZ12" s="10">
        <v>6.1852812500000041E-3</v>
      </c>
      <c r="EA12" s="18">
        <v>5.1097633000000003E-2</v>
      </c>
      <c r="EB12" s="10">
        <v>3.669385637917882E-3</v>
      </c>
      <c r="EC12" s="10">
        <v>-9.8060416666666747E-3</v>
      </c>
      <c r="ED12" s="10">
        <v>-5.6628035807395623E-2</v>
      </c>
      <c r="EE12" s="10">
        <v>1.245837426370521E-2</v>
      </c>
      <c r="EF12" s="10">
        <v>3.9233348038795662E-2</v>
      </c>
    </row>
    <row r="13" spans="1:137">
      <c r="A13" s="4">
        <v>20</v>
      </c>
      <c r="B13" s="4">
        <v>48</v>
      </c>
      <c r="C13" s="9">
        <v>0.10411314583333341</v>
      </c>
      <c r="D13" s="10">
        <v>0.12374510416666661</v>
      </c>
      <c r="E13" s="10">
        <v>6.9861291666666658E-2</v>
      </c>
      <c r="F13" s="10">
        <v>-1.14548125E-2</v>
      </c>
      <c r="G13" s="10">
        <v>1.574485416666668E-2</v>
      </c>
      <c r="H13" s="10">
        <v>2.999035416666665E-2</v>
      </c>
      <c r="I13" s="10">
        <v>2.9130541666666659E-2</v>
      </c>
      <c r="J13" s="10">
        <v>-4.3898812500000023E-2</v>
      </c>
      <c r="K13" s="10">
        <v>-1.3674791666666709E-3</v>
      </c>
      <c r="L13" s="10">
        <v>-6.0251041666666613E-3</v>
      </c>
      <c r="M13" s="10">
        <v>7.7086562624922028E-3</v>
      </c>
      <c r="N13" s="10">
        <v>9.9806729166666663E-2</v>
      </c>
      <c r="O13" s="10">
        <v>3.9789374999999988E-2</v>
      </c>
      <c r="P13" s="10">
        <v>1.6792145833333331E-2</v>
      </c>
      <c r="Q13" s="10">
        <v>7.3225020833333321E-2</v>
      </c>
      <c r="R13" s="10">
        <v>1.415983333333333E-2</v>
      </c>
      <c r="S13" s="10">
        <v>-1.2243312500000001E-2</v>
      </c>
      <c r="T13" s="10">
        <v>-5.025189671871233E-2</v>
      </c>
      <c r="U13" s="10">
        <v>1.5963125000000159E-3</v>
      </c>
      <c r="V13" s="10">
        <v>-2.009412499999998E-2</v>
      </c>
      <c r="W13" s="10">
        <v>3.1103087884369909E-2</v>
      </c>
      <c r="X13" s="10">
        <v>5.3276458333333318E-2</v>
      </c>
      <c r="Y13" s="10">
        <v>1.392037499999999E-2</v>
      </c>
      <c r="Z13" s="10">
        <v>2.058391666666666E-2</v>
      </c>
      <c r="AA13" s="10">
        <v>-1.6440041666666641E-2</v>
      </c>
      <c r="AB13" s="10">
        <v>-1.5001573328978489E-2</v>
      </c>
      <c r="AC13" s="10">
        <v>8.031270833333326E-3</v>
      </c>
      <c r="AD13" s="10">
        <v>2.0440228373792429E-2</v>
      </c>
      <c r="AE13" s="10">
        <v>-6.5719479166666678E-2</v>
      </c>
      <c r="AF13" s="10">
        <v>3.3066430413212777E-2</v>
      </c>
      <c r="AG13" s="10">
        <v>3.2824583333333321E-3</v>
      </c>
      <c r="AH13" s="10">
        <v>1.134035233784291E-2</v>
      </c>
      <c r="AI13" s="10">
        <v>1.206755007407281E-2</v>
      </c>
      <c r="AJ13" s="10">
        <v>-1.8507843536879679E-2</v>
      </c>
      <c r="AK13" s="10">
        <v>6.5987912810655996E-2</v>
      </c>
      <c r="AL13" s="10">
        <v>2.6328999803549549E-2</v>
      </c>
      <c r="AM13" s="10">
        <v>4.5764674553409511E-2</v>
      </c>
      <c r="AN13" s="10">
        <v>0.10533023813603409</v>
      </c>
      <c r="AO13" s="10">
        <v>1.5714423922884631E-2</v>
      </c>
      <c r="AP13" s="10">
        <v>-5.9538220172873163E-2</v>
      </c>
      <c r="AQ13" s="10">
        <v>-3.5494868066371921E-3</v>
      </c>
      <c r="AR13" s="10">
        <v>1.4371062818850731E-2</v>
      </c>
      <c r="AS13" s="10">
        <v>3.9777952989674729E-2</v>
      </c>
      <c r="AT13" s="10">
        <v>4.0463087854439729E-2</v>
      </c>
      <c r="AU13" s="10">
        <v>4.2460982227971428E-2</v>
      </c>
      <c r="AV13" s="10">
        <v>-9.000778021233561E-3</v>
      </c>
      <c r="AW13" s="10">
        <v>3.2682708380548479E-3</v>
      </c>
      <c r="AX13" s="10">
        <v>6.5349021476021063E-2</v>
      </c>
      <c r="AY13" s="10">
        <v>1.5767643403076691E-2</v>
      </c>
      <c r="AZ13" s="10">
        <v>-8.9977638524273464E-3</v>
      </c>
      <c r="BA13" s="10">
        <v>7.9829270833333327E-2</v>
      </c>
      <c r="BB13" s="10">
        <v>2.604597916666667E-2</v>
      </c>
      <c r="BC13" s="10">
        <v>1.302658025364759E-2</v>
      </c>
      <c r="BD13" s="10">
        <v>5.6020821153025258E-3</v>
      </c>
      <c r="BE13" s="10">
        <v>2.842334795498689E-2</v>
      </c>
      <c r="BF13" s="10">
        <v>8.3929415307496771E-2</v>
      </c>
      <c r="BG13" s="10">
        <v>4.6566462338711673E-2</v>
      </c>
      <c r="BH13" s="10">
        <v>6.9762719011622898E-3</v>
      </c>
      <c r="BI13" s="10">
        <v>5.2788119566948392E-2</v>
      </c>
      <c r="BJ13" s="10">
        <v>-1.765410852616266E-2</v>
      </c>
      <c r="BK13" s="10">
        <v>-1.8391024879749449E-2</v>
      </c>
      <c r="BL13" s="10">
        <v>3.6962610176948373E-2</v>
      </c>
      <c r="BM13" s="10">
        <v>-5.3371768695190711E-2</v>
      </c>
      <c r="BN13" s="10">
        <v>1.089273896846772E-2</v>
      </c>
      <c r="BO13" s="10">
        <v>3.1735312331920007E-2</v>
      </c>
      <c r="BP13" s="10">
        <v>7.6519468243173693E-3</v>
      </c>
      <c r="BQ13" s="10">
        <v>4.0819096771410428E-2</v>
      </c>
      <c r="BR13" s="10">
        <v>-7.0713814766287129E-3</v>
      </c>
      <c r="BS13" s="10">
        <v>7.2582425079335874E-3</v>
      </c>
      <c r="BT13" s="10">
        <v>3.8343505616472817E-2</v>
      </c>
      <c r="BU13" s="10">
        <v>1.6526994744897359E-2</v>
      </c>
      <c r="BV13" s="10">
        <v>2.0643875001298689E-2</v>
      </c>
      <c r="BW13" s="10">
        <v>1.763237810676999E-3</v>
      </c>
      <c r="BX13" s="10">
        <v>2.1785490892617498E-2</v>
      </c>
      <c r="BY13" s="10">
        <v>-1.4512397670490481E-2</v>
      </c>
      <c r="BZ13" s="10">
        <v>7.692787072442861E-2</v>
      </c>
      <c r="CA13" s="10">
        <v>-3.3531565600396843E-2</v>
      </c>
      <c r="CB13" s="10">
        <v>-7.1318694078340711E-3</v>
      </c>
      <c r="CC13" s="10">
        <v>0.1201179166666667</v>
      </c>
      <c r="CD13" s="10">
        <v>5.525583333333333E-2</v>
      </c>
      <c r="CE13" s="10">
        <v>0.1838277291666667</v>
      </c>
      <c r="CF13" s="10">
        <v>1.8229145833333339E-2</v>
      </c>
      <c r="CG13" s="10">
        <v>7.5603958333333721E-3</v>
      </c>
      <c r="CH13" s="10">
        <v>5.8334611827207158E-2</v>
      </c>
      <c r="CI13" s="10">
        <v>-5.1853509134263329E-2</v>
      </c>
      <c r="CJ13" s="10">
        <v>-3.876600294492813E-3</v>
      </c>
      <c r="CK13" s="10">
        <v>3.2045269236463961E-2</v>
      </c>
      <c r="CL13" s="10">
        <v>8.4304391314503846E-2</v>
      </c>
      <c r="CM13" s="10">
        <v>-1.0296803756394969E-2</v>
      </c>
      <c r="CN13" s="10">
        <v>-2.6887565998852329E-2</v>
      </c>
      <c r="CO13" s="10">
        <v>-1.345745856322739E-2</v>
      </c>
      <c r="CP13" s="10">
        <v>7.0797472483089319E-2</v>
      </c>
      <c r="CQ13" s="10">
        <v>-7.1178864968403879E-2</v>
      </c>
      <c r="CR13" s="10">
        <v>6.4380854166666654E-2</v>
      </c>
      <c r="CS13" s="10">
        <v>3.9479583333333346E-3</v>
      </c>
      <c r="CT13" s="10">
        <v>8.0707993163786768E-3</v>
      </c>
      <c r="CU13" s="10">
        <v>3.6006915534289197E-2</v>
      </c>
      <c r="CV13" s="10">
        <v>-2.2303746439440819E-3</v>
      </c>
      <c r="CW13" s="10">
        <v>5.97703085624611E-3</v>
      </c>
      <c r="CX13" s="10">
        <v>6.064376163531978E-2</v>
      </c>
      <c r="CY13" s="10">
        <v>-1.3118740115012659E-2</v>
      </c>
      <c r="CZ13" s="10">
        <v>5.7224220353485108E-2</v>
      </c>
      <c r="DA13" s="10">
        <v>-7.0965309514403824E-3</v>
      </c>
      <c r="DB13" s="10">
        <v>0.10623525</v>
      </c>
      <c r="DC13" s="10">
        <v>2.354112500000001E-2</v>
      </c>
      <c r="DD13" s="10">
        <v>-5.1406291666666652E-2</v>
      </c>
      <c r="DE13" s="10">
        <v>5.1676528954192752E-3</v>
      </c>
      <c r="DF13" s="10">
        <v>-2.8518796793634778E-2</v>
      </c>
      <c r="DG13" s="10">
        <v>-1.6306571728899009E-3</v>
      </c>
      <c r="DH13" s="10">
        <v>1.2992245045791989E-2</v>
      </c>
      <c r="DI13" s="10">
        <v>-4.6561456814233543E-2</v>
      </c>
      <c r="DJ13" s="10">
        <v>5.983854166666666E-3</v>
      </c>
      <c r="DK13" s="10">
        <v>1.202678983884406E-2</v>
      </c>
      <c r="DL13" s="10">
        <v>-1.56545524405593E-2</v>
      </c>
      <c r="DM13" s="10">
        <v>-6.6588690484439203E-3</v>
      </c>
      <c r="DN13" s="10">
        <v>1.4839797780264639E-2</v>
      </c>
      <c r="DO13" s="10">
        <v>4.8531513222965908E-2</v>
      </c>
      <c r="DP13" s="10">
        <v>4.7238153226040899E-2</v>
      </c>
      <c r="DQ13" s="10">
        <v>-2.6430081417128711E-2</v>
      </c>
      <c r="DR13" s="10">
        <v>1.377120927231194E-2</v>
      </c>
      <c r="DS13" s="10">
        <v>-3.8502774982174401E-2</v>
      </c>
      <c r="DT13" s="10">
        <v>5.083135416666669E-2</v>
      </c>
      <c r="DU13" s="10">
        <v>-3.3005958333333342E-2</v>
      </c>
      <c r="DV13" s="10">
        <v>7.9620144024188558E-2</v>
      </c>
      <c r="DW13" s="10">
        <v>4.5686979428007042E-2</v>
      </c>
      <c r="DX13" s="10">
        <v>-6.4641919490531136E-2</v>
      </c>
      <c r="DY13" s="10">
        <v>5.698114583333333E-2</v>
      </c>
      <c r="DZ13" s="10">
        <v>1.830197916666667E-2</v>
      </c>
      <c r="EA13" s="18">
        <v>6.2118676999999997E-2</v>
      </c>
      <c r="EB13" s="10">
        <v>2.1373218199386389E-2</v>
      </c>
      <c r="EC13" s="10">
        <v>-1.877502083333334E-2</v>
      </c>
      <c r="ED13" s="10">
        <v>-6.5682093659234955E-2</v>
      </c>
      <c r="EE13" s="10">
        <v>8.7380257027594461E-3</v>
      </c>
      <c r="EF13" s="10">
        <v>6.7291156741452265E-2</v>
      </c>
    </row>
    <row r="14" spans="1:137">
      <c r="A14" s="4">
        <v>50</v>
      </c>
      <c r="B14" s="4">
        <v>19</v>
      </c>
      <c r="C14" s="9">
        <v>0.1199416315789474</v>
      </c>
      <c r="D14" s="10">
        <v>0.22230878947368421</v>
      </c>
      <c r="E14" s="10">
        <v>9.8768157894736822E-2</v>
      </c>
      <c r="F14" s="10">
        <v>3.4543210526315787E-2</v>
      </c>
      <c r="G14" s="10">
        <v>8.5149210526315786E-2</v>
      </c>
      <c r="H14" s="10">
        <v>5.9588947368421033E-2</v>
      </c>
      <c r="I14" s="10">
        <v>7.7115000000000003E-2</v>
      </c>
      <c r="J14" s="10">
        <v>-0.1050935789473684</v>
      </c>
      <c r="K14" s="10">
        <v>1.2451473684210519E-2</v>
      </c>
      <c r="L14" s="10">
        <v>-8.480210526315788E-3</v>
      </c>
      <c r="M14" s="10">
        <v>5.6961927636317916E-3</v>
      </c>
      <c r="N14" s="10">
        <v>0.20483268421052631</v>
      </c>
      <c r="O14" s="10">
        <v>3.9642368421052628E-2</v>
      </c>
      <c r="P14" s="10">
        <v>4.7779947368421033E-2</v>
      </c>
      <c r="Q14" s="10">
        <v>5.8239052631578962E-2</v>
      </c>
      <c r="R14" s="10">
        <v>-1.4151684210526309E-2</v>
      </c>
      <c r="S14" s="10">
        <v>3.8535263157894732E-2</v>
      </c>
      <c r="T14" s="10">
        <v>-6.9841479520895866E-2</v>
      </c>
      <c r="U14" s="10">
        <v>3.6578263157894739E-2</v>
      </c>
      <c r="V14" s="10">
        <v>-3.837431578947368E-2</v>
      </c>
      <c r="W14" s="10">
        <v>7.4008159388253003E-2</v>
      </c>
      <c r="X14" s="10">
        <v>5.3581789473684222E-2</v>
      </c>
      <c r="Y14" s="10">
        <v>-1.6763578947368431E-2</v>
      </c>
      <c r="Z14" s="10">
        <v>2.1252E-2</v>
      </c>
      <c r="AA14" s="10">
        <v>-2.6256842105263178E-3</v>
      </c>
      <c r="AB14" s="10">
        <v>-2.7335978605554132E-2</v>
      </c>
      <c r="AC14" s="10">
        <v>-2.9292631578947369E-2</v>
      </c>
      <c r="AD14" s="10">
        <v>6.9874591735142114E-2</v>
      </c>
      <c r="AE14" s="10">
        <v>-4.019052631578951E-3</v>
      </c>
      <c r="AF14" s="10">
        <v>3.9724138479546117E-2</v>
      </c>
      <c r="AG14" s="10">
        <v>6.3905789473684242E-3</v>
      </c>
      <c r="AH14" s="10">
        <v>-3.3462742209097521E-3</v>
      </c>
      <c r="AI14" s="10">
        <v>7.2072950927120863E-2</v>
      </c>
      <c r="AJ14" s="10">
        <v>1.505903608315101E-2</v>
      </c>
      <c r="AK14" s="10">
        <v>6.6326746155924196E-2</v>
      </c>
      <c r="AL14" s="10">
        <v>3.7969189722460717E-2</v>
      </c>
      <c r="AM14" s="10">
        <v>6.8283273401007955E-2</v>
      </c>
      <c r="AN14" s="10">
        <v>9.2260489203576102E-2</v>
      </c>
      <c r="AO14" s="10">
        <v>6.0905705465409958E-2</v>
      </c>
      <c r="AP14" s="10">
        <v>-6.9976525152084218E-2</v>
      </c>
      <c r="AQ14" s="10">
        <v>-8.7938602839236855E-4</v>
      </c>
      <c r="AR14" s="10">
        <v>3.764583976226292E-2</v>
      </c>
      <c r="AS14" s="10">
        <v>8.2332976041211745E-2</v>
      </c>
      <c r="AT14" s="10">
        <v>4.0924565658097392E-2</v>
      </c>
      <c r="AU14" s="10">
        <v>4.7021353908674138E-2</v>
      </c>
      <c r="AV14" s="10">
        <v>-2.2684786340637021E-2</v>
      </c>
      <c r="AW14" s="10">
        <v>-1.542137812325498E-2</v>
      </c>
      <c r="AX14" s="10">
        <v>0.13695102829439271</v>
      </c>
      <c r="AY14" s="10">
        <v>1.5068118771761551E-2</v>
      </c>
      <c r="AZ14" s="10">
        <v>-5.3158247705062792E-2</v>
      </c>
      <c r="BA14" s="10">
        <v>9.6337421052631572E-2</v>
      </c>
      <c r="BB14" s="10">
        <v>0.101898</v>
      </c>
      <c r="BC14" s="10">
        <v>-9.0839235255182754E-3</v>
      </c>
      <c r="BD14" s="10">
        <v>4.3327781667405418E-2</v>
      </c>
      <c r="BE14" s="10">
        <v>4.3176244318628702E-2</v>
      </c>
      <c r="BF14" s="10">
        <v>4.0770521545689782E-2</v>
      </c>
      <c r="BG14" s="10">
        <v>4.1374264073932777E-2</v>
      </c>
      <c r="BH14" s="10">
        <v>-2.8344416701581171E-4</v>
      </c>
      <c r="BI14" s="10">
        <v>5.2014235626168727E-2</v>
      </c>
      <c r="BJ14" s="10">
        <v>-1.32542788140672E-2</v>
      </c>
      <c r="BK14" s="10">
        <v>-8.7325279752963059E-5</v>
      </c>
      <c r="BL14" s="10">
        <v>5.9737766842370338E-2</v>
      </c>
      <c r="BM14" s="10">
        <v>-4.6278325003000387E-2</v>
      </c>
      <c r="BN14" s="10">
        <v>2.0936538072551379E-2</v>
      </c>
      <c r="BO14" s="10">
        <v>3.3609045677264478E-2</v>
      </c>
      <c r="BP14" s="10">
        <v>1.282266739040127E-2</v>
      </c>
      <c r="BQ14" s="10">
        <v>1.204942278513583E-2</v>
      </c>
      <c r="BR14" s="10">
        <v>-2.7929429532617921E-2</v>
      </c>
      <c r="BS14" s="10">
        <v>-3.8629203614304157E-2</v>
      </c>
      <c r="BT14" s="10">
        <v>7.3139128600946568E-2</v>
      </c>
      <c r="BU14" s="10">
        <v>-8.8548353580308568E-3</v>
      </c>
      <c r="BV14" s="10">
        <v>2.8891421882955771E-2</v>
      </c>
      <c r="BW14" s="10">
        <v>1.250794825759332E-2</v>
      </c>
      <c r="BX14" s="10">
        <v>5.3858362034560223E-2</v>
      </c>
      <c r="BY14" s="10">
        <v>-1.852187305304925E-2</v>
      </c>
      <c r="BZ14" s="10">
        <v>0.1117805205315809</v>
      </c>
      <c r="CA14" s="10">
        <v>-2.4465266114937059E-2</v>
      </c>
      <c r="CB14" s="10">
        <v>2.2127616542174811E-2</v>
      </c>
      <c r="CC14" s="10">
        <v>0.1205952105263158</v>
      </c>
      <c r="CD14" s="10">
        <v>4.7921368421052629E-2</v>
      </c>
      <c r="CE14" s="10">
        <v>0.1705548421052632</v>
      </c>
      <c r="CF14" s="10">
        <v>-2.031031578947368E-2</v>
      </c>
      <c r="CG14" s="10">
        <v>0.13892689473684211</v>
      </c>
      <c r="CH14" s="10">
        <v>6.46613922782171E-2</v>
      </c>
      <c r="CI14" s="10">
        <v>-0.1058847773633588</v>
      </c>
      <c r="CJ14" s="10">
        <v>-3.2530406678910828E-2</v>
      </c>
      <c r="CK14" s="10">
        <v>1.40163643906461E-2</v>
      </c>
      <c r="CL14" s="10">
        <v>6.2269954878836478E-2</v>
      </c>
      <c r="CM14" s="10">
        <v>3.2040010368317121E-2</v>
      </c>
      <c r="CN14" s="10">
        <v>-2.0479398043205661E-2</v>
      </c>
      <c r="CO14" s="10">
        <v>-7.3587720038892968E-2</v>
      </c>
      <c r="CP14" s="10">
        <v>9.9809331481752833E-2</v>
      </c>
      <c r="CQ14" s="10">
        <v>-3.2227899887387702E-2</v>
      </c>
      <c r="CR14" s="10">
        <v>6.2641052631578931E-2</v>
      </c>
      <c r="CS14" s="10">
        <v>-3.8151052631578849E-3</v>
      </c>
      <c r="CT14" s="10">
        <v>1.910057655068487E-2</v>
      </c>
      <c r="CU14" s="10">
        <v>-4.4544442113006052E-2</v>
      </c>
      <c r="CV14" s="10">
        <v>2.274571513825533E-2</v>
      </c>
      <c r="CW14" s="10">
        <v>-3.3983824634707719E-3</v>
      </c>
      <c r="CX14" s="10">
        <v>3.2764329086583478E-2</v>
      </c>
      <c r="CY14" s="10">
        <v>-2.875912029147424E-2</v>
      </c>
      <c r="CZ14" s="10">
        <v>6.4063563350383365E-2</v>
      </c>
      <c r="DA14" s="10">
        <v>-2.4304289170584491E-2</v>
      </c>
      <c r="DB14" s="10">
        <v>0.104608052631579</v>
      </c>
      <c r="DC14" s="10">
        <v>1.47538947368421E-2</v>
      </c>
      <c r="DD14" s="10">
        <v>-5.3898894736842097E-2</v>
      </c>
      <c r="DE14" s="10">
        <v>5.3842996077645561E-3</v>
      </c>
      <c r="DF14" s="10">
        <v>-3.9770460462142318E-2</v>
      </c>
      <c r="DG14" s="10">
        <v>1.144655639331721E-2</v>
      </c>
      <c r="DH14" s="10">
        <v>4.7748372429115976E-3</v>
      </c>
      <c r="DI14" s="10">
        <v>-5.3191997244607769E-2</v>
      </c>
      <c r="DJ14" s="10">
        <v>1.5897789473684209E-2</v>
      </c>
      <c r="DK14" s="10">
        <v>1.831737607687968E-2</v>
      </c>
      <c r="DL14" s="10">
        <v>-1.516516155488856E-2</v>
      </c>
      <c r="DM14" s="10">
        <v>5.504269093650517E-3</v>
      </c>
      <c r="DN14" s="10">
        <v>3.9851707566544763E-2</v>
      </c>
      <c r="DO14" s="10">
        <v>4.1375645162797292E-2</v>
      </c>
      <c r="DP14" s="10">
        <v>4.053222750423735E-2</v>
      </c>
      <c r="DQ14" s="10">
        <v>-8.9367860040811792E-2</v>
      </c>
      <c r="DR14" s="10">
        <v>5.2622519458999567E-2</v>
      </c>
      <c r="DS14" s="10">
        <v>-3.5044906270916831E-2</v>
      </c>
      <c r="DT14" s="10">
        <v>0.11767231578947369</v>
      </c>
      <c r="DU14" s="10">
        <v>-6.8796263157894735E-2</v>
      </c>
      <c r="DV14" s="10">
        <v>0.10826235453010739</v>
      </c>
      <c r="DW14" s="10">
        <v>9.1809329055838426E-2</v>
      </c>
      <c r="DX14" s="10">
        <v>-0.10216121988583921</v>
      </c>
      <c r="DY14" s="10">
        <v>7.4257842105263164E-2</v>
      </c>
      <c r="DZ14" s="10">
        <v>3.5030894736842108E-2</v>
      </c>
      <c r="EA14" s="18">
        <v>0.10752548300000001</v>
      </c>
      <c r="EB14" s="10">
        <v>7.0174744206990061E-3</v>
      </c>
      <c r="EC14" s="10">
        <v>-1.9289631578947371E-2</v>
      </c>
      <c r="ED14" s="10">
        <v>-0.102629709186187</v>
      </c>
      <c r="EE14" s="10">
        <v>1.8687949951756041E-2</v>
      </c>
      <c r="EF14" s="10">
        <v>6.6632346729412442E-2</v>
      </c>
    </row>
    <row r="15" spans="1:137">
      <c r="A15" s="4">
        <v>100</v>
      </c>
      <c r="B15" s="4">
        <v>10</v>
      </c>
      <c r="C15" s="9">
        <v>0.22764509999999999</v>
      </c>
      <c r="D15" s="10">
        <v>0.37270970000000009</v>
      </c>
      <c r="E15" s="10">
        <v>6.6037399999999996E-2</v>
      </c>
      <c r="F15" s="10">
        <v>9.0304599999999999E-2</v>
      </c>
      <c r="G15" s="10">
        <v>9.6606200000000003E-2</v>
      </c>
      <c r="H15" s="10">
        <v>0.1188444</v>
      </c>
      <c r="I15" s="10">
        <v>0.12672890000000001</v>
      </c>
      <c r="J15" s="10">
        <v>-6.4524200000000004E-2</v>
      </c>
      <c r="K15" s="10">
        <v>-4.2110000000000064E-3</v>
      </c>
      <c r="L15" s="10">
        <v>1.296690000000001E-2</v>
      </c>
      <c r="M15" s="10">
        <v>2.5497709479487259E-2</v>
      </c>
      <c r="N15" s="10">
        <v>0.33030959999999998</v>
      </c>
      <c r="O15" s="10">
        <v>4.6103499999999999E-2</v>
      </c>
      <c r="P15" s="10">
        <v>5.2983399999999993E-2</v>
      </c>
      <c r="Q15" s="10">
        <v>0.1003768</v>
      </c>
      <c r="R15" s="10">
        <v>1.6755200000000001E-2</v>
      </c>
      <c r="S15" s="10">
        <v>-4.3033600000000012E-2</v>
      </c>
      <c r="T15" s="10">
        <v>-6.6800124943112091E-2</v>
      </c>
      <c r="U15" s="10">
        <v>4.6788700000000003E-2</v>
      </c>
      <c r="V15" s="10">
        <v>-8.568039999999999E-2</v>
      </c>
      <c r="W15" s="10">
        <v>0.1025435939827431</v>
      </c>
      <c r="X15" s="10">
        <v>7.8436500000000034E-2</v>
      </c>
      <c r="Y15" s="10">
        <v>-2.4189700000000001E-2</v>
      </c>
      <c r="Z15" s="10">
        <v>-2.3656199999999999E-2</v>
      </c>
      <c r="AA15" s="10">
        <v>4.6588900000000003E-2</v>
      </c>
      <c r="AB15" s="10">
        <v>-2.2166400740933071E-2</v>
      </c>
      <c r="AC15" s="10">
        <v>-4.0054800000000002E-2</v>
      </c>
      <c r="AD15" s="10">
        <v>8.171337488818238E-2</v>
      </c>
      <c r="AE15" s="10">
        <v>4.728559999999999E-2</v>
      </c>
      <c r="AF15" s="10">
        <v>6.5819612497039853E-2</v>
      </c>
      <c r="AG15" s="10">
        <v>-9.7449999999999967E-3</v>
      </c>
      <c r="AH15" s="10">
        <v>-3.3604373357676472E-2</v>
      </c>
      <c r="AI15" s="10">
        <v>5.0854449586025072E-2</v>
      </c>
      <c r="AJ15" s="10">
        <v>9.4648599674757375E-3</v>
      </c>
      <c r="AK15" s="10">
        <v>5.7495575489853068E-2</v>
      </c>
      <c r="AL15" s="10">
        <v>4.055565498643466E-2</v>
      </c>
      <c r="AM15" s="10">
        <v>5.5122622134627111E-2</v>
      </c>
      <c r="AN15" s="10">
        <v>9.2861913417686362E-2</v>
      </c>
      <c r="AO15" s="10">
        <v>6.3369812463467096E-2</v>
      </c>
      <c r="AP15" s="10">
        <v>-8.645776651050277E-2</v>
      </c>
      <c r="AQ15" s="10">
        <v>-3.2597542006349858E-2</v>
      </c>
      <c r="AR15" s="10">
        <v>7.8517256867441307E-2</v>
      </c>
      <c r="AS15" s="10">
        <v>5.3821179037114017E-2</v>
      </c>
      <c r="AT15" s="10">
        <v>6.5254990652428568E-2</v>
      </c>
      <c r="AU15" s="10">
        <v>3.9943261089466317E-2</v>
      </c>
      <c r="AV15" s="10">
        <v>-4.7226818327438858E-2</v>
      </c>
      <c r="AW15" s="10">
        <v>1.5659939254580951E-2</v>
      </c>
      <c r="AX15" s="10">
        <v>0.12523397717473519</v>
      </c>
      <c r="AY15" s="10">
        <v>2.8109416462786169E-2</v>
      </c>
      <c r="AZ15" s="10">
        <v>-9.1323280068503487E-2</v>
      </c>
      <c r="BA15" s="10">
        <v>0.1576883</v>
      </c>
      <c r="BB15" s="10">
        <v>0.1087885</v>
      </c>
      <c r="BC15" s="10">
        <v>6.2155143667830287E-2</v>
      </c>
      <c r="BD15" s="10">
        <v>4.294982035196844E-2</v>
      </c>
      <c r="BE15" s="10">
        <v>3.9146514857668353E-2</v>
      </c>
      <c r="BF15" s="10">
        <v>5.1177887277543473E-2</v>
      </c>
      <c r="BG15" s="10">
        <v>2.8248220813759869E-3</v>
      </c>
      <c r="BH15" s="10">
        <v>3.3556537286376982E-2</v>
      </c>
      <c r="BI15" s="10">
        <v>6.8586659114969639E-2</v>
      </c>
      <c r="BJ15" s="10">
        <v>-1.561910267199181E-2</v>
      </c>
      <c r="BK15" s="10">
        <v>-1.115636771345601E-2</v>
      </c>
      <c r="BL15" s="10">
        <v>6.274817600019017E-2</v>
      </c>
      <c r="BM15" s="10">
        <v>-4.8219004487744091E-2</v>
      </c>
      <c r="BN15" s="10">
        <v>4.0142569733189887E-2</v>
      </c>
      <c r="BO15" s="10">
        <v>2.773447595493098E-2</v>
      </c>
      <c r="BP15" s="10">
        <v>1.4184220707804779E-2</v>
      </c>
      <c r="BQ15" s="10">
        <v>1.280293129032776E-2</v>
      </c>
      <c r="BR15" s="10">
        <v>-5.0157429122059692E-2</v>
      </c>
      <c r="BS15" s="10">
        <v>-1.682377745028632E-2</v>
      </c>
      <c r="BT15" s="10">
        <v>8.9060205731334427E-2</v>
      </c>
      <c r="BU15" s="10">
        <v>1.9476419795793471E-2</v>
      </c>
      <c r="BV15" s="10">
        <v>5.9228936960448321E-2</v>
      </c>
      <c r="BW15" s="10">
        <v>-3.5945890129403732E-2</v>
      </c>
      <c r="BX15" s="10">
        <v>2.0670546043628599E-2</v>
      </c>
      <c r="BY15" s="10">
        <v>-8.7655117761552964E-2</v>
      </c>
      <c r="BZ15" s="10">
        <v>0.1029064689773473</v>
      </c>
      <c r="CA15" s="10">
        <v>-1.859202079644226E-2</v>
      </c>
      <c r="CB15" s="10">
        <v>1.5056894011824499E-2</v>
      </c>
      <c r="CC15" s="10">
        <v>0.17364959999999999</v>
      </c>
      <c r="CD15" s="10">
        <v>8.9093600000000009E-2</v>
      </c>
      <c r="CE15" s="10">
        <v>7.3367399999999999E-2</v>
      </c>
      <c r="CF15" s="10">
        <v>-3.626399999999988E-3</v>
      </c>
      <c r="CG15" s="10">
        <v>0.22573170000000009</v>
      </c>
      <c r="CH15" s="10">
        <v>6.2885958283701332E-2</v>
      </c>
      <c r="CI15" s="10">
        <v>-2.7803071840990439E-2</v>
      </c>
      <c r="CJ15" s="10">
        <v>-8.7044356072718071E-2</v>
      </c>
      <c r="CK15" s="10">
        <v>5.667264577209942E-2</v>
      </c>
      <c r="CL15" s="10">
        <v>3.1421974993248308E-2</v>
      </c>
      <c r="CM15" s="10">
        <v>7.4631116128453773E-2</v>
      </c>
      <c r="CN15" s="10">
        <v>-4.2634115799160301E-2</v>
      </c>
      <c r="CO15" s="10">
        <v>-0.12944902488204141</v>
      </c>
      <c r="CP15" s="10">
        <v>0.12753583543294969</v>
      </c>
      <c r="CQ15" s="10">
        <v>2.49633604564388E-2</v>
      </c>
      <c r="CR15" s="10">
        <v>2.43745E-2</v>
      </c>
      <c r="CS15" s="10">
        <v>1.6912400000000001E-2</v>
      </c>
      <c r="CT15" s="10">
        <v>7.3945749754547726E-3</v>
      </c>
      <c r="CU15" s="10">
        <v>-6.3178659914772728E-2</v>
      </c>
      <c r="CV15" s="10">
        <v>-6.1418469048089043E-3</v>
      </c>
      <c r="CW15" s="10">
        <v>-1.539092438334265E-2</v>
      </c>
      <c r="CX15" s="10">
        <v>2.4039607053330959E-2</v>
      </c>
      <c r="CY15" s="10">
        <v>-4.2470673077762339E-2</v>
      </c>
      <c r="CZ15" s="10">
        <v>7.7145073940461564E-2</v>
      </c>
      <c r="DA15" s="10">
        <v>-2.6375835441876511E-2</v>
      </c>
      <c r="DB15" s="10">
        <v>9.7047700000000001E-2</v>
      </c>
      <c r="DC15" s="10">
        <v>7.6726499999999989E-2</v>
      </c>
      <c r="DD15" s="10">
        <v>-6.7525099999999977E-2</v>
      </c>
      <c r="DE15" s="10">
        <v>2.494871474504301E-2</v>
      </c>
      <c r="DF15" s="10">
        <v>-4.2391306399394757E-2</v>
      </c>
      <c r="DG15" s="10">
        <v>1.61967316182412E-2</v>
      </c>
      <c r="DH15" s="10">
        <v>-1.8709011043892099E-2</v>
      </c>
      <c r="DI15" s="10">
        <v>-1.171844900945769E-2</v>
      </c>
      <c r="DJ15" s="10">
        <v>4.7566499999999998E-2</v>
      </c>
      <c r="DK15" s="10">
        <v>0.101774834051468</v>
      </c>
      <c r="DL15" s="10">
        <v>6.2635494088437937E-2</v>
      </c>
      <c r="DM15" s="10">
        <v>-2.380854686766869E-2</v>
      </c>
      <c r="DN15" s="10">
        <v>4.3996497423619649E-2</v>
      </c>
      <c r="DO15" s="10">
        <v>4.6296727233800808E-2</v>
      </c>
      <c r="DP15" s="10">
        <v>2.3735602006892551E-2</v>
      </c>
      <c r="DQ15" s="10">
        <v>-9.9672215055135627E-2</v>
      </c>
      <c r="DR15" s="10">
        <v>3.9785608055100882E-2</v>
      </c>
      <c r="DS15" s="10">
        <v>-8.3044916630969273E-2</v>
      </c>
      <c r="DT15" s="10">
        <v>3.4296700000000013E-2</v>
      </c>
      <c r="DU15" s="10">
        <v>-0.1171285</v>
      </c>
      <c r="DV15" s="10">
        <v>0.13976835694087139</v>
      </c>
      <c r="DW15" s="10">
        <v>2.553862714683254E-2</v>
      </c>
      <c r="DX15" s="10">
        <v>-0.1186162506499864</v>
      </c>
      <c r="DY15" s="10">
        <v>0.1436096</v>
      </c>
      <c r="DZ15" s="10">
        <v>4.0455199999999997E-2</v>
      </c>
      <c r="EA15" s="18">
        <v>0.109176933</v>
      </c>
      <c r="EB15" s="10">
        <v>4.8518573131244899E-2</v>
      </c>
      <c r="EC15" s="10">
        <v>-1.7783799999999999E-2</v>
      </c>
      <c r="ED15" s="10">
        <v>-0.1133570559353114</v>
      </c>
      <c r="EE15" s="10">
        <v>-2.2458539977079871E-2</v>
      </c>
      <c r="EF15" s="10">
        <v>6.2208305239075959E-2</v>
      </c>
    </row>
    <row r="16" spans="1:137">
      <c r="A16" s="4">
        <v>107</v>
      </c>
      <c r="B16" s="4">
        <v>9</v>
      </c>
      <c r="C16" s="9">
        <v>0.20787511111111109</v>
      </c>
      <c r="D16" s="10">
        <v>0.40819544444444439</v>
      </c>
      <c r="E16" s="10">
        <v>6.5004888888888876E-2</v>
      </c>
      <c r="F16" s="10">
        <v>0.1074195555555556</v>
      </c>
      <c r="G16" s="10">
        <v>0.1090135555555555</v>
      </c>
      <c r="H16" s="10">
        <v>7.2848777777777762E-2</v>
      </c>
      <c r="I16" s="10">
        <v>0.111792</v>
      </c>
      <c r="J16" s="10">
        <v>-6.8693444444444446E-2</v>
      </c>
      <c r="K16" s="10">
        <v>1.7924444444444441E-2</v>
      </c>
      <c r="L16" s="10">
        <v>3.1026555555555561E-2</v>
      </c>
      <c r="M16" s="10">
        <v>4.0334454725240582E-2</v>
      </c>
      <c r="N16" s="10">
        <v>0.36698788888888889</v>
      </c>
      <c r="O16" s="10">
        <v>1.562111111111111E-2</v>
      </c>
      <c r="P16" s="10">
        <v>6.1979777777777773E-2</v>
      </c>
      <c r="Q16" s="10">
        <v>9.6619888888888894E-2</v>
      </c>
      <c r="R16" s="10">
        <v>1.918244444444445E-2</v>
      </c>
      <c r="S16" s="10">
        <v>-4.2415111111111112E-2</v>
      </c>
      <c r="T16" s="10">
        <v>-6.7219060157601318E-2</v>
      </c>
      <c r="U16" s="10">
        <v>4.8649666666666667E-2</v>
      </c>
      <c r="V16" s="10">
        <v>-0.1043152222222222</v>
      </c>
      <c r="W16" s="10">
        <v>0.1084247383760011</v>
      </c>
      <c r="X16" s="10">
        <v>7.3678333333333373E-2</v>
      </c>
      <c r="Y16" s="10">
        <v>-4.2885555555555559E-3</v>
      </c>
      <c r="Z16" s="10">
        <v>-2.0075777777777779E-2</v>
      </c>
      <c r="AA16" s="10">
        <v>5.022766666666667E-2</v>
      </c>
      <c r="AB16" s="10">
        <v>-3.2295414434067762E-2</v>
      </c>
      <c r="AC16" s="10">
        <v>-4.1040111111111117E-2</v>
      </c>
      <c r="AD16" s="10">
        <v>5.3136055547856789E-2</v>
      </c>
      <c r="AE16" s="10">
        <v>5.153399999999999E-2</v>
      </c>
      <c r="AF16" s="10">
        <v>6.089410506549911E-2</v>
      </c>
      <c r="AG16" s="10">
        <v>-8.3015555555555516E-3</v>
      </c>
      <c r="AH16" s="10">
        <v>-3.1765400449440553E-2</v>
      </c>
      <c r="AI16" s="10">
        <v>4.907804317656804E-2</v>
      </c>
      <c r="AJ16" s="10">
        <v>-7.0259660718760518E-3</v>
      </c>
      <c r="AK16" s="10">
        <v>6.4421400832372078E-2</v>
      </c>
      <c r="AL16" s="10">
        <v>4.8688933104523248E-2</v>
      </c>
      <c r="AM16" s="10">
        <v>6.6076730601797973E-2</v>
      </c>
      <c r="AN16" s="10">
        <v>0.1064562000896756</v>
      </c>
      <c r="AO16" s="10">
        <v>5.879525226607351E-2</v>
      </c>
      <c r="AP16" s="10">
        <v>-7.779836814558852E-2</v>
      </c>
      <c r="AQ16" s="10">
        <v>-3.8466200146068608E-2</v>
      </c>
      <c r="AR16" s="10">
        <v>0.1032911790604924</v>
      </c>
      <c r="AS16" s="10">
        <v>6.5068225473969343E-2</v>
      </c>
      <c r="AT16" s="10">
        <v>5.9867139144394142E-2</v>
      </c>
      <c r="AU16" s="10">
        <v>4.1826838254895117E-2</v>
      </c>
      <c r="AV16" s="10">
        <v>-9.0725067800187069E-3</v>
      </c>
      <c r="AW16" s="10">
        <v>3.9252930074650652E-2</v>
      </c>
      <c r="AX16" s="10">
        <v>0.10082977324397289</v>
      </c>
      <c r="AY16" s="10">
        <v>3.3812589844345937E-2</v>
      </c>
      <c r="AZ16" s="10">
        <v>-0.1049096351787122</v>
      </c>
      <c r="BA16" s="10">
        <v>0.15999111111111111</v>
      </c>
      <c r="BB16" s="10">
        <v>0.13247400000000001</v>
      </c>
      <c r="BC16" s="10">
        <v>6.6102245099688817E-2</v>
      </c>
      <c r="BD16" s="10">
        <v>3.5936711545904013E-2</v>
      </c>
      <c r="BE16" s="10">
        <v>5.1410994394474947E-2</v>
      </c>
      <c r="BF16" s="10">
        <v>6.4268054319718215E-2</v>
      </c>
      <c r="BG16" s="10">
        <v>1.3845819099968581E-2</v>
      </c>
      <c r="BH16" s="10">
        <v>-5.4124800669573259E-3</v>
      </c>
      <c r="BI16" s="10">
        <v>5.2335760294464642E-2</v>
      </c>
      <c r="BJ16" s="10">
        <v>-2.0503816283207601E-2</v>
      </c>
      <c r="BK16" s="10">
        <v>-2.122951812515751E-3</v>
      </c>
      <c r="BL16" s="10">
        <v>7.0623565707523178E-2</v>
      </c>
      <c r="BM16" s="10">
        <v>-3.9497985491106162E-2</v>
      </c>
      <c r="BN16" s="10">
        <v>4.7905832604027233E-2</v>
      </c>
      <c r="BO16" s="10">
        <v>2.1890359953657689E-2</v>
      </c>
      <c r="BP16" s="10">
        <v>1.174719798333914E-2</v>
      </c>
      <c r="BQ16" s="10">
        <v>1.331245374481595E-2</v>
      </c>
      <c r="BR16" s="10">
        <v>-2.6296848021444389E-2</v>
      </c>
      <c r="BS16" s="10">
        <v>-1.319157314746418E-2</v>
      </c>
      <c r="BT16" s="10">
        <v>8.5483191267799616E-2</v>
      </c>
      <c r="BU16" s="10">
        <v>5.7765110184800447E-2</v>
      </c>
      <c r="BV16" s="10">
        <v>6.3782488349153427E-2</v>
      </c>
      <c r="BW16" s="10">
        <v>-6.5740927426534632E-2</v>
      </c>
      <c r="BX16" s="10">
        <v>3.1559237521130948E-2</v>
      </c>
      <c r="BY16" s="10">
        <v>-7.7354776264689812E-2</v>
      </c>
      <c r="BZ16" s="10">
        <v>0.11152584850164921</v>
      </c>
      <c r="CA16" s="10">
        <v>-1.7116103683771391E-2</v>
      </c>
      <c r="CB16" s="10">
        <v>-1.4280449892172949E-3</v>
      </c>
      <c r="CC16" s="10">
        <v>4.4386333333333347E-2</v>
      </c>
      <c r="CD16" s="10">
        <v>8.7750000000000009E-2</v>
      </c>
      <c r="CE16" s="10">
        <v>9.3613777777777768E-2</v>
      </c>
      <c r="CF16" s="10">
        <v>-1.469599999999999E-2</v>
      </c>
      <c r="CG16" s="10">
        <v>0.14619666666666681</v>
      </c>
      <c r="CH16" s="10">
        <v>4.1697414703027062E-2</v>
      </c>
      <c r="CI16" s="10">
        <v>-3.8709881828517527E-2</v>
      </c>
      <c r="CJ16" s="10">
        <v>-4.5523550787666608E-2</v>
      </c>
      <c r="CK16" s="10">
        <v>7.6472983717690388E-2</v>
      </c>
      <c r="CL16" s="10">
        <v>1.9995369478776299E-2</v>
      </c>
      <c r="CM16" s="10">
        <v>8.8988628149511681E-2</v>
      </c>
      <c r="CN16" s="10">
        <v>-3.3057515140949983E-2</v>
      </c>
      <c r="CO16" s="10">
        <v>-0.17087869110724641</v>
      </c>
      <c r="CP16" s="10">
        <v>0.13761381602841219</v>
      </c>
      <c r="CQ16" s="10">
        <v>2.0333779820360921E-2</v>
      </c>
      <c r="CR16" s="10">
        <v>2.522944444444444E-2</v>
      </c>
      <c r="CS16" s="10">
        <v>2.1808222222222218E-2</v>
      </c>
      <c r="CT16" s="10">
        <v>5.0674065008409694E-3</v>
      </c>
      <c r="CU16" s="10">
        <v>-6.4113369063883735E-2</v>
      </c>
      <c r="CV16" s="10">
        <v>-1.7860959418134061E-2</v>
      </c>
      <c r="CW16" s="10">
        <v>-1.242334198029111E-2</v>
      </c>
      <c r="CX16" s="10">
        <v>1.224028475424996E-2</v>
      </c>
      <c r="CY16" s="10">
        <v>-4.9117049116625407E-2</v>
      </c>
      <c r="CZ16" s="10">
        <v>0.1026332591781325</v>
      </c>
      <c r="DA16" s="10">
        <v>-2.9804793967235531E-2</v>
      </c>
      <c r="DB16" s="10">
        <v>9.8016666666666655E-2</v>
      </c>
      <c r="DC16" s="10">
        <v>6.3740111111111108E-2</v>
      </c>
      <c r="DD16" s="10">
        <v>-7.4370111111111095E-2</v>
      </c>
      <c r="DE16" s="10">
        <v>-3.1193128036132781E-2</v>
      </c>
      <c r="DF16" s="10">
        <v>-2.31464332255591E-2</v>
      </c>
      <c r="DG16" s="10">
        <v>1.445294763143863E-2</v>
      </c>
      <c r="DH16" s="10">
        <v>-1.9129343417971109E-2</v>
      </c>
      <c r="DI16" s="10">
        <v>-1.323342571252226E-2</v>
      </c>
      <c r="DJ16" s="10">
        <v>5.1753111111111111E-2</v>
      </c>
      <c r="DK16" s="10">
        <v>0.1335943566255807</v>
      </c>
      <c r="DL16" s="10">
        <v>7.1494374915964373E-2</v>
      </c>
      <c r="DM16" s="10">
        <v>-3.0330949758340948E-2</v>
      </c>
      <c r="DN16" s="10">
        <v>4.2437853359407113E-2</v>
      </c>
      <c r="DO16" s="10">
        <v>5.2411859415845988E-2</v>
      </c>
      <c r="DP16" s="10">
        <v>1.9841948579226051E-2</v>
      </c>
      <c r="DQ16" s="10">
        <v>-8.3033658077016542E-2</v>
      </c>
      <c r="DR16" s="10">
        <v>5.5191251649515209E-2</v>
      </c>
      <c r="DS16" s="10">
        <v>-9.3752064989754288E-2</v>
      </c>
      <c r="DT16" s="10">
        <v>3.2059333333333329E-2</v>
      </c>
      <c r="DU16" s="10">
        <v>-0.12277299999999999</v>
      </c>
      <c r="DV16" s="10">
        <v>0.13695373201779351</v>
      </c>
      <c r="DW16" s="10">
        <v>4.0917729699690833E-2</v>
      </c>
      <c r="DX16" s="10">
        <v>-0.1252847063239774</v>
      </c>
      <c r="DY16" s="10">
        <v>0.15757177777777781</v>
      </c>
      <c r="DZ16" s="10">
        <v>5.8810444444444457E-2</v>
      </c>
      <c r="EA16" s="18">
        <v>0.139799019</v>
      </c>
      <c r="EB16" s="10">
        <v>7.7977782859947109E-2</v>
      </c>
      <c r="EC16" s="10">
        <v>-2.4936444444444442E-2</v>
      </c>
      <c r="ED16" s="10">
        <v>-0.1154167474989211</v>
      </c>
      <c r="EE16" s="10">
        <v>-3.3058269544628087E-2</v>
      </c>
      <c r="EF16" s="10">
        <v>3.9893906712643798E-2</v>
      </c>
    </row>
    <row r="17" spans="1:136">
      <c r="A17" s="4">
        <v>120</v>
      </c>
      <c r="B17" s="4">
        <v>8</v>
      </c>
      <c r="C17" s="9">
        <v>0.20609237499999999</v>
      </c>
      <c r="D17" s="10">
        <v>0.43958837499999998</v>
      </c>
      <c r="E17" s="10">
        <v>7.9587999999999992E-2</v>
      </c>
      <c r="F17" s="10">
        <v>0.14677200000000001</v>
      </c>
      <c r="G17" s="10">
        <v>0.117132625</v>
      </c>
      <c r="H17" s="10">
        <v>0.10499475</v>
      </c>
      <c r="I17" s="10">
        <v>6.7489250000000001E-2</v>
      </c>
      <c r="J17" s="10">
        <v>-0.11529837499999999</v>
      </c>
      <c r="K17" s="10">
        <v>3.944375E-2</v>
      </c>
      <c r="L17" s="10">
        <v>3.3774875000000003E-2</v>
      </c>
      <c r="M17" s="10">
        <v>6.4932034983486209E-2</v>
      </c>
      <c r="N17" s="10">
        <v>0.40510825</v>
      </c>
      <c r="O17" s="10">
        <v>2.4632125000000001E-2</v>
      </c>
      <c r="P17" s="10">
        <v>7.6915624999999987E-2</v>
      </c>
      <c r="Q17" s="10">
        <v>0.106432375</v>
      </c>
      <c r="R17" s="10">
        <v>1.975000000000005E-3</v>
      </c>
      <c r="S17" s="10">
        <v>-5.5131750000000007E-2</v>
      </c>
      <c r="T17" s="10">
        <v>-7.120201453280707E-2</v>
      </c>
      <c r="U17" s="10">
        <v>5.2288375000000012E-2</v>
      </c>
      <c r="V17" s="10">
        <v>-0.116355125</v>
      </c>
      <c r="W17" s="10">
        <v>0.12350090053788521</v>
      </c>
      <c r="X17" s="10">
        <v>0.10018637499999999</v>
      </c>
      <c r="Y17" s="10">
        <v>1.4991250000000039E-3</v>
      </c>
      <c r="Z17" s="10">
        <v>-2.1608499999999999E-2</v>
      </c>
      <c r="AA17" s="10">
        <v>6.2256125000000002E-2</v>
      </c>
      <c r="AB17" s="10">
        <v>-4.4538303269439639E-2</v>
      </c>
      <c r="AC17" s="10">
        <v>-4.0799124999999999E-2</v>
      </c>
      <c r="AD17" s="10">
        <v>4.9777375460754107E-2</v>
      </c>
      <c r="AE17" s="10">
        <v>5.9443249999999989E-2</v>
      </c>
      <c r="AF17" s="10">
        <v>5.8288605416338853E-2</v>
      </c>
      <c r="AG17" s="10">
        <v>-1.3512499999999981E-3</v>
      </c>
      <c r="AH17" s="10">
        <v>-4.943754228054096E-2</v>
      </c>
      <c r="AI17" s="10">
        <v>3.058770864151358E-2</v>
      </c>
      <c r="AJ17" s="10">
        <v>-4.2602630518956887E-2</v>
      </c>
      <c r="AK17" s="10">
        <v>3.1812485999819867E-2</v>
      </c>
      <c r="AL17" s="10">
        <v>5.0724405748556509E-2</v>
      </c>
      <c r="AM17" s="10">
        <v>7.5369367587656985E-2</v>
      </c>
      <c r="AN17" s="10">
        <v>0.1132871203459177</v>
      </c>
      <c r="AO17" s="10">
        <v>1.2632334595724191E-2</v>
      </c>
      <c r="AP17" s="10">
        <v>-7.7242814419585484E-2</v>
      </c>
      <c r="AQ17" s="10">
        <v>-6.0527137401499037E-2</v>
      </c>
      <c r="AR17" s="10">
        <v>0.11644964662764121</v>
      </c>
      <c r="AS17" s="10">
        <v>5.6323562034475708E-2</v>
      </c>
      <c r="AT17" s="10">
        <v>5.2267806449722218E-2</v>
      </c>
      <c r="AU17" s="10">
        <v>5.2648231242993053E-2</v>
      </c>
      <c r="AV17" s="10">
        <v>-2.1508362937905631E-2</v>
      </c>
      <c r="AW17" s="10">
        <v>1.916397377431981E-2</v>
      </c>
      <c r="AX17" s="10">
        <v>9.6240558508798979E-2</v>
      </c>
      <c r="AY17" s="10">
        <v>2.742369669060089E-2</v>
      </c>
      <c r="AZ17" s="10">
        <v>-0.12511082490736811</v>
      </c>
      <c r="BA17" s="10">
        <v>0.16280649999999999</v>
      </c>
      <c r="BB17" s="10">
        <v>0.15327075000000001</v>
      </c>
      <c r="BC17" s="10">
        <v>8.2716571543810222E-2</v>
      </c>
      <c r="BD17" s="10">
        <v>2.235648224620481E-2</v>
      </c>
      <c r="BE17" s="10">
        <v>7.7350242238060404E-2</v>
      </c>
      <c r="BF17" s="10">
        <v>5.5197496608953713E-2</v>
      </c>
      <c r="BG17" s="10">
        <v>-3.5394236088037302E-2</v>
      </c>
      <c r="BH17" s="10">
        <v>-1.7313847646246161E-3</v>
      </c>
      <c r="BI17" s="10">
        <v>9.9365392037550321E-2</v>
      </c>
      <c r="BJ17" s="10">
        <v>-9.8580642732364818E-3</v>
      </c>
      <c r="BK17" s="10">
        <v>-1.3822952070105509E-2</v>
      </c>
      <c r="BL17" s="10">
        <v>7.3931305201746164E-2</v>
      </c>
      <c r="BM17" s="10">
        <v>-2.905901115235426E-2</v>
      </c>
      <c r="BN17" s="10">
        <v>4.772961945384889E-2</v>
      </c>
      <c r="BO17" s="10">
        <v>1.9886080708886981E-2</v>
      </c>
      <c r="BP17" s="10">
        <v>2.683750107843403E-2</v>
      </c>
      <c r="BQ17" s="10">
        <v>1.1376510446451601E-2</v>
      </c>
      <c r="BR17" s="10">
        <v>-9.1794540592071705E-4</v>
      </c>
      <c r="BS17" s="10">
        <v>-4.1034691106065987E-3</v>
      </c>
      <c r="BT17" s="10">
        <v>0.1094163788704233</v>
      </c>
      <c r="BU17" s="10">
        <v>7.1127818750752414E-2</v>
      </c>
      <c r="BV17" s="10">
        <v>7.4446900798735116E-2</v>
      </c>
      <c r="BW17" s="10">
        <v>-8.0431712599265903E-2</v>
      </c>
      <c r="BX17" s="10">
        <v>2.8822964619672729E-2</v>
      </c>
      <c r="BY17" s="10">
        <v>-0.1001820701826233</v>
      </c>
      <c r="BZ17" s="10">
        <v>0.12057815588108529</v>
      </c>
      <c r="CA17" s="10">
        <v>-2.7934832358489561E-2</v>
      </c>
      <c r="CB17" s="10">
        <v>-1.3353103341121051E-3</v>
      </c>
      <c r="CC17" s="10">
        <v>4.1758499999999997E-2</v>
      </c>
      <c r="CD17" s="10">
        <v>6.4104625000000012E-2</v>
      </c>
      <c r="CE17" s="10">
        <v>9.5707624999999991E-2</v>
      </c>
      <c r="CF17" s="10">
        <v>-9.5123749999999979E-2</v>
      </c>
      <c r="CG17" s="10">
        <v>0.17703537500000011</v>
      </c>
      <c r="CH17" s="10">
        <v>5.8636446607050002E-2</v>
      </c>
      <c r="CI17" s="10">
        <v>-1.4531184989588509E-2</v>
      </c>
      <c r="CJ17" s="10">
        <v>-5.0742321484442049E-2</v>
      </c>
      <c r="CK17" s="10">
        <v>9.1738572657912937E-2</v>
      </c>
      <c r="CL17" s="10">
        <v>-9.426344769031314E-3</v>
      </c>
      <c r="CM17" s="10">
        <v>0.13456934443157431</v>
      </c>
      <c r="CN17" s="10">
        <v>-2.6718061150986971E-2</v>
      </c>
      <c r="CO17" s="10">
        <v>-0.20253862726298949</v>
      </c>
      <c r="CP17" s="10">
        <v>0.1481592691973436</v>
      </c>
      <c r="CQ17" s="10">
        <v>-5.1907103341726511E-2</v>
      </c>
      <c r="CR17" s="10">
        <v>2.3006874999999989E-2</v>
      </c>
      <c r="CS17" s="10">
        <v>1.1546625E-2</v>
      </c>
      <c r="CT17" s="10">
        <v>4.9260056389193077E-2</v>
      </c>
      <c r="CU17" s="10">
        <v>-7.440830758325391E-2</v>
      </c>
      <c r="CV17" s="10">
        <v>3.8796079399274282E-3</v>
      </c>
      <c r="CW17" s="10">
        <v>-1.976185390935294E-2</v>
      </c>
      <c r="CX17" s="10">
        <v>1.0772394523947831E-2</v>
      </c>
      <c r="CY17" s="10">
        <v>-4.9383298716090041E-2</v>
      </c>
      <c r="CZ17" s="10">
        <v>0.1242488378476205</v>
      </c>
      <c r="DA17" s="10">
        <v>-4.3895859145134192E-2</v>
      </c>
      <c r="DB17" s="10">
        <v>0.104271</v>
      </c>
      <c r="DC17" s="10">
        <v>5.3887499999999991E-2</v>
      </c>
      <c r="DD17" s="10">
        <v>-4.8129999999999992E-2</v>
      </c>
      <c r="DE17" s="10">
        <v>-3.3180930667267239E-2</v>
      </c>
      <c r="DF17" s="10">
        <v>-1.123137032665928E-2</v>
      </c>
      <c r="DG17" s="10">
        <v>6.934576427282943E-3</v>
      </c>
      <c r="DH17" s="10">
        <v>-3.8726650938012717E-2</v>
      </c>
      <c r="DI17" s="10">
        <v>-5.2932443237824409E-3</v>
      </c>
      <c r="DJ17" s="10">
        <v>5.7146374999999999E-2</v>
      </c>
      <c r="DK17" s="10">
        <v>0.15603642811654619</v>
      </c>
      <c r="DL17" s="10">
        <v>7.3515600937171063E-2</v>
      </c>
      <c r="DM17" s="10">
        <v>-5.2252910582316028E-2</v>
      </c>
      <c r="DN17" s="10">
        <v>3.5489032714339008E-2</v>
      </c>
      <c r="DO17" s="10">
        <v>5.3451370339903423E-2</v>
      </c>
      <c r="DP17" s="10">
        <v>-1.6878609333896889E-2</v>
      </c>
      <c r="DQ17" s="10">
        <v>-0.1077024687966308</v>
      </c>
      <c r="DR17" s="10">
        <v>5.5884814876328279E-2</v>
      </c>
      <c r="DS17" s="10">
        <v>-0.12431615980481089</v>
      </c>
      <c r="DT17" s="10">
        <v>1.6743000000000001E-2</v>
      </c>
      <c r="DU17" s="10">
        <v>-0.129494</v>
      </c>
      <c r="DV17" s="10">
        <v>0.11776539811095429</v>
      </c>
      <c r="DW17" s="10">
        <v>4.8681483414150163E-2</v>
      </c>
      <c r="DX17" s="10">
        <v>-0.12953898259647401</v>
      </c>
      <c r="DY17" s="10">
        <v>0.10728225</v>
      </c>
      <c r="DZ17" s="10">
        <v>4.9212000000000013E-2</v>
      </c>
      <c r="EA17" s="18">
        <v>0.164571523</v>
      </c>
      <c r="EB17" s="10">
        <v>8.7100349194739315E-2</v>
      </c>
      <c r="EC17" s="10">
        <v>-2.0359374999999999E-2</v>
      </c>
      <c r="ED17" s="10">
        <v>-0.12832444392891271</v>
      </c>
      <c r="EE17" s="10">
        <v>-2.5413360310033831E-2</v>
      </c>
      <c r="EF17" s="10">
        <v>4.7709767009851849E-2</v>
      </c>
    </row>
    <row r="18" spans="1:136">
      <c r="A18" s="4">
        <v>137</v>
      </c>
      <c r="B18" s="4">
        <v>7</v>
      </c>
      <c r="C18" s="9">
        <v>0.1897511428571429</v>
      </c>
      <c r="D18" s="10">
        <v>0.40188400000000007</v>
      </c>
      <c r="E18" s="10">
        <v>5.3437857142857148E-2</v>
      </c>
      <c r="F18" s="10">
        <v>0.21209085714285711</v>
      </c>
      <c r="G18" s="10">
        <v>0.13305871428571431</v>
      </c>
      <c r="H18" s="10">
        <v>0.12853999999999999</v>
      </c>
      <c r="I18" s="10">
        <v>5.4952571428571427E-2</v>
      </c>
      <c r="J18" s="10">
        <v>-0.12516085714285721</v>
      </c>
      <c r="K18" s="10">
        <v>3.1585285714285698E-2</v>
      </c>
      <c r="L18" s="10">
        <v>4.667157142857143E-2</v>
      </c>
      <c r="M18" s="10">
        <v>6.9806303560508057E-2</v>
      </c>
      <c r="N18" s="10">
        <v>0.46182042857142858</v>
      </c>
      <c r="O18" s="10">
        <v>2.432414285714286E-2</v>
      </c>
      <c r="P18" s="10">
        <v>5.4569714285714277E-2</v>
      </c>
      <c r="Q18" s="10">
        <v>0.1217387142857143</v>
      </c>
      <c r="R18" s="10">
        <v>1.9326571428571419E-2</v>
      </c>
      <c r="S18" s="10">
        <v>-6.9013285714285721E-2</v>
      </c>
      <c r="T18" s="10">
        <v>-5.7206381649403372E-2</v>
      </c>
      <c r="U18" s="10">
        <v>2.8133571428571431E-2</v>
      </c>
      <c r="V18" s="10">
        <v>-0.13125300000000001</v>
      </c>
      <c r="W18" s="10">
        <v>0.1379172379157062</v>
      </c>
      <c r="X18" s="10">
        <v>0.12712328571428569</v>
      </c>
      <c r="Y18" s="10">
        <v>2.4211857142857139E-2</v>
      </c>
      <c r="Z18" s="10">
        <v>-1.690557142857143E-2</v>
      </c>
      <c r="AA18" s="10">
        <v>5.4805571428571433E-2</v>
      </c>
      <c r="AB18" s="10">
        <v>-6.2644805262660919E-2</v>
      </c>
      <c r="AC18" s="10">
        <v>-7.4719857142857143E-2</v>
      </c>
      <c r="AD18" s="10">
        <v>7.2443789088531399E-2</v>
      </c>
      <c r="AE18" s="10">
        <v>7.7200999999999978E-2</v>
      </c>
      <c r="AF18" s="10">
        <v>2.8284041354224101E-2</v>
      </c>
      <c r="AG18" s="10">
        <v>-8.6178571428571424E-3</v>
      </c>
      <c r="AH18" s="10">
        <v>-4.0197460968514703E-2</v>
      </c>
      <c r="AI18" s="10">
        <v>4.6855541353756032E-2</v>
      </c>
      <c r="AJ18" s="10">
        <v>-4.7393756166449127E-2</v>
      </c>
      <c r="AK18" s="10">
        <v>-2.1874809686740931E-3</v>
      </c>
      <c r="AL18" s="10">
        <v>4.5860125594871057E-2</v>
      </c>
      <c r="AM18" s="10">
        <v>6.6643405424771207E-2</v>
      </c>
      <c r="AN18" s="10">
        <v>7.9294639955201793E-2</v>
      </c>
      <c r="AO18" s="10">
        <v>5.4275349676927882E-3</v>
      </c>
      <c r="AP18" s="10">
        <v>-7.8278591933806971E-2</v>
      </c>
      <c r="AQ18" s="10">
        <v>-7.6230845326449942E-2</v>
      </c>
      <c r="AR18" s="10">
        <v>0.1382332373375689</v>
      </c>
      <c r="AS18" s="10">
        <v>8.5826551553969135E-2</v>
      </c>
      <c r="AT18" s="10">
        <v>4.3325649820578682E-2</v>
      </c>
      <c r="AU18" s="10">
        <v>6.8315340056693138E-2</v>
      </c>
      <c r="AV18" s="10">
        <v>-2.8768755881717199E-2</v>
      </c>
      <c r="AW18" s="10">
        <v>2.4538034241107461E-2</v>
      </c>
      <c r="AX18" s="10">
        <v>0.10756086825583611</v>
      </c>
      <c r="AY18" s="10">
        <v>3.4783278641148073E-2</v>
      </c>
      <c r="AZ18" s="10">
        <v>-0.14840908238889911</v>
      </c>
      <c r="BA18" s="10">
        <v>0.1641062857142857</v>
      </c>
      <c r="BB18" s="10">
        <v>0.16725728571428569</v>
      </c>
      <c r="BC18" s="10">
        <v>8.3201572593320589E-2</v>
      </c>
      <c r="BD18" s="10">
        <v>-2.4016271687300441E-2</v>
      </c>
      <c r="BE18" s="10">
        <v>6.8361213238162841E-2</v>
      </c>
      <c r="BF18" s="10">
        <v>4.5884536299578838E-2</v>
      </c>
      <c r="BG18" s="10">
        <v>-3.4434629050595897E-2</v>
      </c>
      <c r="BH18" s="10">
        <v>3.0015991980721329E-2</v>
      </c>
      <c r="BI18" s="10">
        <v>0.1090000069186657</v>
      </c>
      <c r="BJ18" s="10">
        <v>5.9560640504595433E-3</v>
      </c>
      <c r="BK18" s="10">
        <v>-5.0745051384061532E-2</v>
      </c>
      <c r="BL18" s="10">
        <v>8.1157673820204085E-2</v>
      </c>
      <c r="BM18" s="10">
        <v>-2.8081356373095352E-2</v>
      </c>
      <c r="BN18" s="10">
        <v>5.2774389623830152E-2</v>
      </c>
      <c r="BO18" s="10">
        <v>2.0227496106374639E-2</v>
      </c>
      <c r="BP18" s="10">
        <v>4.6857540334682007E-2</v>
      </c>
      <c r="BQ18" s="10">
        <v>1.916784109848992E-3</v>
      </c>
      <c r="BR18" s="10">
        <v>-5.7481935839547244E-3</v>
      </c>
      <c r="BS18" s="10">
        <v>-2.149720138170149E-2</v>
      </c>
      <c r="BT18" s="10">
        <v>0.1428710676682495</v>
      </c>
      <c r="BU18" s="10">
        <v>8.0677444040040805E-2</v>
      </c>
      <c r="BV18" s="10">
        <v>8.0923395277042356E-2</v>
      </c>
      <c r="BW18" s="10">
        <v>-8.531108693319546E-2</v>
      </c>
      <c r="BX18" s="10">
        <v>1.9018474716035669E-2</v>
      </c>
      <c r="BY18" s="10">
        <v>-0.1230749758240248</v>
      </c>
      <c r="BZ18" s="10">
        <v>0.15331998780259809</v>
      </c>
      <c r="CA18" s="10">
        <v>-1.6076543892860819E-2</v>
      </c>
      <c r="CB18" s="10">
        <v>-2.4577356612448309E-2</v>
      </c>
      <c r="CC18" s="10">
        <v>0.1046597142857143</v>
      </c>
      <c r="CD18" s="10">
        <v>5.0445000000000011E-2</v>
      </c>
      <c r="CE18" s="10">
        <v>7.7259857142857144E-2</v>
      </c>
      <c r="CF18" s="10">
        <v>-0.10185900000000001</v>
      </c>
      <c r="CG18" s="10">
        <v>0.2266421428571429</v>
      </c>
      <c r="CH18" s="10">
        <v>0.16265704668723319</v>
      </c>
      <c r="CI18" s="10">
        <v>-4.4565986447696902E-2</v>
      </c>
      <c r="CJ18" s="10">
        <v>-6.2313677824909687E-2</v>
      </c>
      <c r="CK18" s="10">
        <v>9.0667784292283726E-2</v>
      </c>
      <c r="CL18" s="10">
        <v>-3.0989545058193149E-2</v>
      </c>
      <c r="CM18" s="10">
        <v>0.15963579775903361</v>
      </c>
      <c r="CN18" s="10">
        <v>-3.7997037094380737E-2</v>
      </c>
      <c r="CO18" s="10">
        <v>-0.23157387854942929</v>
      </c>
      <c r="CP18" s="10">
        <v>0.16283910894801071</v>
      </c>
      <c r="CQ18" s="10">
        <v>-3.8242675594942703E-2</v>
      </c>
      <c r="CR18" s="10">
        <v>3.3744714285714281E-2</v>
      </c>
      <c r="CS18" s="10">
        <v>2.8129285714285711E-2</v>
      </c>
      <c r="CT18" s="10">
        <v>9.4951029065485665E-2</v>
      </c>
      <c r="CU18" s="10">
        <v>-7.1648691205109999E-2</v>
      </c>
      <c r="CV18" s="10">
        <v>9.1040282230288663E-2</v>
      </c>
      <c r="CW18" s="10">
        <v>-8.4560855645258066E-3</v>
      </c>
      <c r="CX18" s="10">
        <v>6.1560185833778078E-2</v>
      </c>
      <c r="CY18" s="10">
        <v>-5.135741377478225E-2</v>
      </c>
      <c r="CZ18" s="10">
        <v>0.13284286330177139</v>
      </c>
      <c r="DA18" s="10">
        <v>-4.7380939518693557E-2</v>
      </c>
      <c r="DB18" s="10">
        <v>0.118114</v>
      </c>
      <c r="DC18" s="10">
        <v>4.9208571428571428E-2</v>
      </c>
      <c r="DD18" s="10">
        <v>-7.1071285714285712E-2</v>
      </c>
      <c r="DE18" s="10">
        <v>-3.4801347670990683E-2</v>
      </c>
      <c r="DF18" s="10">
        <v>-3.5042778782370249E-2</v>
      </c>
      <c r="DG18" s="10">
        <v>-7.619473157627699E-3</v>
      </c>
      <c r="DH18" s="10">
        <v>-2.8038013248649029E-2</v>
      </c>
      <c r="DI18" s="10">
        <v>-1.6114629238026808E-2</v>
      </c>
      <c r="DJ18" s="10">
        <v>5.0654999999999999E-2</v>
      </c>
      <c r="DK18" s="10">
        <v>0.15851362709242739</v>
      </c>
      <c r="DL18" s="10">
        <v>8.1397742916241134E-2</v>
      </c>
      <c r="DM18" s="10">
        <v>-6.650814073203816E-2</v>
      </c>
      <c r="DN18" s="10">
        <v>-1.6722064078021251E-2</v>
      </c>
      <c r="DO18" s="10">
        <v>4.2104907550630517E-2</v>
      </c>
      <c r="DP18" s="10">
        <v>-2.0604686466865741E-2</v>
      </c>
      <c r="DQ18" s="10">
        <v>-0.1007272783058315</v>
      </c>
      <c r="DR18" s="10">
        <v>7.6840654771961045E-2</v>
      </c>
      <c r="DS18" s="10">
        <v>-0.1477219984517327</v>
      </c>
      <c r="DT18" s="10">
        <v>-7.4077142857142883E-3</v>
      </c>
      <c r="DU18" s="10">
        <v>-0.15871542857142859</v>
      </c>
      <c r="DV18" s="10">
        <v>0.1056406088000619</v>
      </c>
      <c r="DW18" s="10">
        <v>8.1908692284373169E-2</v>
      </c>
      <c r="DX18" s="10">
        <v>-0.1536029774624818</v>
      </c>
      <c r="DY18" s="10">
        <v>0.13683228571428571</v>
      </c>
      <c r="DZ18" s="10">
        <v>5.4629714285714302E-2</v>
      </c>
      <c r="EA18" s="18">
        <v>0.19894574800000001</v>
      </c>
      <c r="EB18" s="10">
        <v>9.9846377978320619E-2</v>
      </c>
      <c r="EC18" s="10">
        <v>-1.959885714285715E-2</v>
      </c>
      <c r="ED18" s="10">
        <v>-0.1200774322763405</v>
      </c>
      <c r="EE18" s="10">
        <v>-1.385375397450707E-2</v>
      </c>
      <c r="EF18" s="10">
        <v>4.8955017110416547E-2</v>
      </c>
    </row>
    <row r="19" spans="1:136">
      <c r="A19" s="4">
        <v>160</v>
      </c>
      <c r="B19" s="4">
        <v>6</v>
      </c>
      <c r="C19" s="9">
        <v>0.19659983333333331</v>
      </c>
      <c r="D19" s="10">
        <v>0.4075213333333334</v>
      </c>
      <c r="E19" s="10">
        <v>4.440266666666666E-2</v>
      </c>
      <c r="F19" s="10">
        <v>0.2361708333333333</v>
      </c>
      <c r="G19" s="10">
        <v>0.15286516666666669</v>
      </c>
      <c r="H19" s="10">
        <v>0.17761016666666671</v>
      </c>
      <c r="I19" s="10">
        <v>4.746333333333333E-2</v>
      </c>
      <c r="J19" s="10">
        <v>-0.1562291666666667</v>
      </c>
      <c r="K19" s="10">
        <v>5.6539499999999999E-2</v>
      </c>
      <c r="L19" s="10">
        <v>3.0361166666666672E-2</v>
      </c>
      <c r="M19" s="10">
        <v>8.5793573557677472E-2</v>
      </c>
      <c r="N19" s="10">
        <v>0.53237449999999997</v>
      </c>
      <c r="O19" s="10">
        <v>-1.9796999999999999E-2</v>
      </c>
      <c r="P19" s="10">
        <v>2.2785333333333321E-2</v>
      </c>
      <c r="Q19" s="10">
        <v>0.1704643333333333</v>
      </c>
      <c r="R19" s="10">
        <v>4.1943000000000008E-2</v>
      </c>
      <c r="S19" s="10">
        <v>-7.8696166666666678E-2</v>
      </c>
      <c r="T19" s="10">
        <v>-2.7154277986299109E-2</v>
      </c>
      <c r="U19" s="10">
        <v>4.4184166666666663E-2</v>
      </c>
      <c r="V19" s="10">
        <v>-0.1186835</v>
      </c>
      <c r="W19" s="10">
        <v>0.14662099071751011</v>
      </c>
      <c r="X19" s="10">
        <v>0.12292366666666669</v>
      </c>
      <c r="Y19" s="10">
        <v>2.4062166666666669E-2</v>
      </c>
      <c r="Z19" s="10">
        <v>-2.2223E-2</v>
      </c>
      <c r="AA19" s="10">
        <v>4.7301666666666672E-2</v>
      </c>
      <c r="AB19" s="10">
        <v>-5.1718752810757287E-2</v>
      </c>
      <c r="AC19" s="10">
        <v>-8.3512833333333328E-2</v>
      </c>
      <c r="AD19" s="10">
        <v>2.399745726106059E-2</v>
      </c>
      <c r="AE19" s="10">
        <v>0.11523116666666661</v>
      </c>
      <c r="AF19" s="10">
        <v>3.8785666808899749E-2</v>
      </c>
      <c r="AG19" s="10">
        <v>1.92985E-2</v>
      </c>
      <c r="AH19" s="10">
        <v>-4.2845934068549293E-2</v>
      </c>
      <c r="AI19" s="10">
        <v>8.1770124789496509E-2</v>
      </c>
      <c r="AJ19" s="10">
        <v>-5.1545290327262273E-2</v>
      </c>
      <c r="AK19" s="10">
        <v>7.5520425059527104E-3</v>
      </c>
      <c r="AL19" s="10">
        <v>7.0270945670805551E-2</v>
      </c>
      <c r="AM19" s="10">
        <v>3.1311424844951023E-2</v>
      </c>
      <c r="AN19" s="10">
        <v>8.3568294365682083E-2</v>
      </c>
      <c r="AO19" s="10">
        <v>2.589290304541441E-2</v>
      </c>
      <c r="AP19" s="10">
        <v>-8.757412027285208E-2</v>
      </c>
      <c r="AQ19" s="10">
        <v>-8.8252757060650638E-2</v>
      </c>
      <c r="AR19" s="10">
        <v>0.16303313150329971</v>
      </c>
      <c r="AS19" s="10">
        <v>9.7796955268314459E-2</v>
      </c>
      <c r="AT19" s="10">
        <v>4.9294981765701303E-2</v>
      </c>
      <c r="AU19" s="10">
        <v>7.6428715713654158E-2</v>
      </c>
      <c r="AV19" s="10">
        <v>-4.8463101573846611E-2</v>
      </c>
      <c r="AW19" s="10">
        <v>2.2356168154136491E-2</v>
      </c>
      <c r="AX19" s="10">
        <v>8.0206414310412866E-2</v>
      </c>
      <c r="AY19" s="10">
        <v>2.9528970393379841E-2</v>
      </c>
      <c r="AZ19" s="10">
        <v>-0.18687961816817431</v>
      </c>
      <c r="BA19" s="10">
        <v>0.186997</v>
      </c>
      <c r="BB19" s="10">
        <v>0.20180183333333329</v>
      </c>
      <c r="BC19" s="10">
        <v>6.4055486346185755E-2</v>
      </c>
      <c r="BD19" s="10">
        <v>-3.2343926300681461E-3</v>
      </c>
      <c r="BE19" s="10">
        <v>5.3867497689288543E-2</v>
      </c>
      <c r="BF19" s="10">
        <v>1.3570974149138619E-2</v>
      </c>
      <c r="BG19" s="10">
        <v>-1.6343658332842181E-2</v>
      </c>
      <c r="BH19" s="10">
        <v>2.0182017014309939E-3</v>
      </c>
      <c r="BI19" s="10">
        <v>0.12779862881921869</v>
      </c>
      <c r="BJ19" s="10">
        <v>2.1707301538579211E-2</v>
      </c>
      <c r="BK19" s="10">
        <v>-5.1749526091992383E-2</v>
      </c>
      <c r="BL19" s="10">
        <v>7.9964658146503109E-2</v>
      </c>
      <c r="BM19" s="10">
        <v>-3.1786264869145278E-2</v>
      </c>
      <c r="BN19" s="10">
        <v>6.7252647467271776E-2</v>
      </c>
      <c r="BO19" s="10">
        <v>2.5728961265115379E-2</v>
      </c>
      <c r="BP19" s="10">
        <v>3.742626287653638E-2</v>
      </c>
      <c r="BQ19" s="10">
        <v>9.9340444543230683E-3</v>
      </c>
      <c r="BR19" s="10">
        <v>6.6752460235200081E-3</v>
      </c>
      <c r="BS19" s="10">
        <v>-2.4256338744482069E-2</v>
      </c>
      <c r="BT19" s="10">
        <v>0.14163267985357339</v>
      </c>
      <c r="BU19" s="10">
        <v>7.593625123423807E-2</v>
      </c>
      <c r="BV19" s="10">
        <v>9.3655241153346391E-2</v>
      </c>
      <c r="BW19" s="10">
        <v>-0.10896696138364501</v>
      </c>
      <c r="BX19" s="10">
        <v>3.4087785271858247E-2</v>
      </c>
      <c r="BY19" s="10">
        <v>-0.1076497365556482</v>
      </c>
      <c r="BZ19" s="10">
        <v>6.3815393767213791E-2</v>
      </c>
      <c r="CA19" s="10">
        <v>-2.154569013117932E-2</v>
      </c>
      <c r="CB19" s="10">
        <v>-4.804116850824483E-2</v>
      </c>
      <c r="CC19" s="10">
        <v>2.250566666666666E-2</v>
      </c>
      <c r="CD19" s="10">
        <v>8.7664166666666668E-2</v>
      </c>
      <c r="CE19" s="10">
        <v>8.8474166666666659E-2</v>
      </c>
      <c r="CF19" s="10">
        <v>-0.1116986666666667</v>
      </c>
      <c r="CG19" s="10">
        <v>0.26389400000000002</v>
      </c>
      <c r="CH19" s="10">
        <v>0.1528898670499263</v>
      </c>
      <c r="CI19" s="10">
        <v>-3.7066946160195187E-2</v>
      </c>
      <c r="CJ19" s="10">
        <v>-6.194049996603615E-2</v>
      </c>
      <c r="CK19" s="10">
        <v>0.1039677178170982</v>
      </c>
      <c r="CL19" s="10">
        <v>-4.3240279974789908E-2</v>
      </c>
      <c r="CM19" s="10">
        <v>0.17534764158171501</v>
      </c>
      <c r="CN19" s="10">
        <v>-7.6932654667303466E-2</v>
      </c>
      <c r="CO19" s="10">
        <v>-0.27245440462850651</v>
      </c>
      <c r="CP19" s="10">
        <v>0.15903259898233271</v>
      </c>
      <c r="CQ19" s="10">
        <v>-3.2394607516418629E-2</v>
      </c>
      <c r="CR19" s="10">
        <v>2.4300499999999999E-2</v>
      </c>
      <c r="CS19" s="10">
        <v>4.3775666666666657E-2</v>
      </c>
      <c r="CT19" s="10">
        <v>0.1226204266300308</v>
      </c>
      <c r="CU19" s="10">
        <v>-8.3436397113892974E-2</v>
      </c>
      <c r="CV19" s="10">
        <v>8.9836090761934634E-2</v>
      </c>
      <c r="CW19" s="10">
        <v>-2.190180778189859E-2</v>
      </c>
      <c r="CX19" s="10">
        <v>9.354971825942178E-2</v>
      </c>
      <c r="CY19" s="10">
        <v>-7.092186956436955E-2</v>
      </c>
      <c r="CZ19" s="10">
        <v>0.1004647349755101</v>
      </c>
      <c r="DA19" s="10">
        <v>-5.8223876703236761E-2</v>
      </c>
      <c r="DB19" s="10">
        <v>0.14796100000000001</v>
      </c>
      <c r="DC19" s="10">
        <v>3.027666666666666E-2</v>
      </c>
      <c r="DD19" s="10">
        <v>-6.3547333333333317E-2</v>
      </c>
      <c r="DE19" s="10">
        <v>-4.3945635940460762E-2</v>
      </c>
      <c r="DF19" s="10">
        <v>-6.969304689302265E-2</v>
      </c>
      <c r="DG19" s="10">
        <v>-1.27464749106491E-2</v>
      </c>
      <c r="DH19" s="10">
        <v>-1.569831294047225E-4</v>
      </c>
      <c r="DI19" s="10">
        <v>3.666424442421171E-3</v>
      </c>
      <c r="DJ19" s="10">
        <v>8.050033333333334E-2</v>
      </c>
      <c r="DK19" s="10">
        <v>0.1241445877842076</v>
      </c>
      <c r="DL19" s="10">
        <v>7.0167407799869491E-2</v>
      </c>
      <c r="DM19" s="10">
        <v>-8.1952255033994378E-2</v>
      </c>
      <c r="DN19" s="10">
        <v>-4.1776448032685917E-3</v>
      </c>
      <c r="DO19" s="10">
        <v>5.5126563399943852E-2</v>
      </c>
      <c r="DP19" s="10">
        <v>2.716544251136371E-2</v>
      </c>
      <c r="DQ19" s="10">
        <v>-0.1204893793606352</v>
      </c>
      <c r="DR19" s="10">
        <v>7.5962353325048193E-2</v>
      </c>
      <c r="DS19" s="10">
        <v>-0.1779955469539703</v>
      </c>
      <c r="DT19" s="10">
        <v>-3.0765000000000028E-3</v>
      </c>
      <c r="DU19" s="10">
        <v>-0.15058250000000001</v>
      </c>
      <c r="DV19" s="10">
        <v>0.119531844414402</v>
      </c>
      <c r="DW19" s="10">
        <v>6.0609139340684293E-2</v>
      </c>
      <c r="DX19" s="10">
        <v>-0.1383651342381777</v>
      </c>
      <c r="DY19" s="10">
        <v>0.13924800000000001</v>
      </c>
      <c r="DZ19" s="10">
        <v>7.853750000000001E-2</v>
      </c>
      <c r="EA19" s="18">
        <v>0.23304583000000001</v>
      </c>
      <c r="EB19" s="10">
        <v>2.1772770012778581E-2</v>
      </c>
      <c r="EC19" s="10">
        <v>-3.132366666666668E-2</v>
      </c>
      <c r="ED19" s="10">
        <v>-0.15093531699015689</v>
      </c>
      <c r="EE19" s="10">
        <v>1.2634042940422471E-2</v>
      </c>
      <c r="EF19" s="10">
        <v>1.697795487476916E-2</v>
      </c>
    </row>
    <row r="20" spans="1:136">
      <c r="A20" s="4">
        <v>192</v>
      </c>
      <c r="B20" s="4">
        <v>5</v>
      </c>
      <c r="C20" s="9">
        <v>0.20155100000000001</v>
      </c>
      <c r="D20" s="10">
        <v>0.38202580000000003</v>
      </c>
      <c r="E20" s="10">
        <v>5.7335200000000003E-2</v>
      </c>
      <c r="F20" s="10">
        <v>0.1824192</v>
      </c>
      <c r="G20" s="10">
        <v>0.15802820000000001</v>
      </c>
      <c r="H20" s="10">
        <v>0.14393220000000001</v>
      </c>
      <c r="I20" s="10">
        <v>2.7936200000000001E-2</v>
      </c>
      <c r="J20" s="10">
        <v>-0.1332062</v>
      </c>
      <c r="K20" s="10">
        <v>3.7403600000000002E-2</v>
      </c>
      <c r="L20" s="10">
        <v>3.0693600000000008E-2</v>
      </c>
      <c r="M20" s="10">
        <v>0.100133414364086</v>
      </c>
      <c r="N20" s="10">
        <v>0.5000116</v>
      </c>
      <c r="O20" s="10">
        <v>-0.1101138</v>
      </c>
      <c r="P20" s="10">
        <v>4.0029000000000002E-2</v>
      </c>
      <c r="Q20" s="10">
        <v>0.22482659999999999</v>
      </c>
      <c r="R20" s="10">
        <v>6.646959999999999E-2</v>
      </c>
      <c r="S20" s="10">
        <v>-5.7341400000000008E-2</v>
      </c>
      <c r="T20" s="10">
        <v>1.566291051925937E-2</v>
      </c>
      <c r="U20" s="10">
        <v>3.2235E-2</v>
      </c>
      <c r="V20" s="10">
        <v>-0.1362882</v>
      </c>
      <c r="W20" s="10">
        <v>0.17308537617758091</v>
      </c>
      <c r="X20" s="10">
        <v>0.15004300000000001</v>
      </c>
      <c r="Y20" s="10">
        <v>-4.8579999999999977E-3</v>
      </c>
      <c r="Z20" s="10">
        <v>2.9158400000000001E-2</v>
      </c>
      <c r="AA20" s="10">
        <v>6.6963999999999996E-2</v>
      </c>
      <c r="AB20" s="10">
        <v>-3.2898545320226208E-2</v>
      </c>
      <c r="AC20" s="10">
        <v>-9.6308199999999997E-2</v>
      </c>
      <c r="AD20" s="10">
        <v>2.698730357067794E-2</v>
      </c>
      <c r="AE20" s="10">
        <v>1.7310200000000001E-2</v>
      </c>
      <c r="AF20" s="10">
        <v>3.9044678387579947E-2</v>
      </c>
      <c r="AG20" s="10">
        <v>-6.2396000000000014E-3</v>
      </c>
      <c r="AH20" s="10">
        <v>-9.0178200714782636E-2</v>
      </c>
      <c r="AI20" s="10">
        <v>7.8154544921168481E-2</v>
      </c>
      <c r="AJ20" s="10">
        <v>-6.1990034547547639E-2</v>
      </c>
      <c r="AK20" s="10">
        <v>-1.359511549600285E-2</v>
      </c>
      <c r="AL20" s="10">
        <v>7.2893452036976947E-2</v>
      </c>
      <c r="AM20" s="10">
        <v>3.3095980748802607E-2</v>
      </c>
      <c r="AN20" s="10">
        <v>7.5470193518998266E-2</v>
      </c>
      <c r="AO20" s="10">
        <v>2.1987304008247891E-2</v>
      </c>
      <c r="AP20" s="10">
        <v>-0.13173046125538779</v>
      </c>
      <c r="AQ20" s="10">
        <v>2.7452485332951051E-2</v>
      </c>
      <c r="AR20" s="10">
        <v>0.181467687707455</v>
      </c>
      <c r="AS20" s="10">
        <v>0.112095809682817</v>
      </c>
      <c r="AT20" s="10">
        <v>5.858773760205771E-3</v>
      </c>
      <c r="AU20" s="10">
        <v>7.2899818140919309E-2</v>
      </c>
      <c r="AV20" s="10">
        <v>-5.4625713782478207E-2</v>
      </c>
      <c r="AW20" s="10">
        <v>6.8652681791509596E-3</v>
      </c>
      <c r="AX20" s="10">
        <v>0.11073254799870159</v>
      </c>
      <c r="AY20" s="10">
        <v>3.8674698442909439E-2</v>
      </c>
      <c r="AZ20" s="10">
        <v>-0.21380243117708869</v>
      </c>
      <c r="BA20" s="10">
        <v>0.151338</v>
      </c>
      <c r="BB20" s="10">
        <v>0.23121340000000001</v>
      </c>
      <c r="BC20" s="10">
        <v>7.0605567677740205E-2</v>
      </c>
      <c r="BD20" s="10">
        <v>-5.3429813221597323E-2</v>
      </c>
      <c r="BE20" s="10">
        <v>-5.9467971392603326E-3</v>
      </c>
      <c r="BF20" s="10">
        <v>5.6885823313286886E-3</v>
      </c>
      <c r="BG20" s="10">
        <v>2.2494840460728811E-2</v>
      </c>
      <c r="BH20" s="10">
        <v>-7.1606447114111002E-2</v>
      </c>
      <c r="BI20" s="10">
        <v>0.13174526708517489</v>
      </c>
      <c r="BJ20" s="10">
        <v>2.1629511833186621E-2</v>
      </c>
      <c r="BK20" s="10">
        <v>-5.9233167842827283E-2</v>
      </c>
      <c r="BL20" s="10">
        <v>8.6292231176454737E-2</v>
      </c>
      <c r="BM20" s="10">
        <v>-4.7468551464188873E-2</v>
      </c>
      <c r="BN20" s="10">
        <v>8.4339640777364208E-2</v>
      </c>
      <c r="BO20" s="10">
        <v>-3.8461717515979203E-2</v>
      </c>
      <c r="BP20" s="10">
        <v>6.0407520762954983E-2</v>
      </c>
      <c r="BQ20" s="10">
        <v>1.5451706960843021E-2</v>
      </c>
      <c r="BR20" s="10">
        <v>8.200082575215574E-3</v>
      </c>
      <c r="BS20" s="10">
        <v>-2.122683588664995E-3</v>
      </c>
      <c r="BT20" s="10">
        <v>0.14780303317864721</v>
      </c>
      <c r="BU20" s="10">
        <v>9.8754949367706665E-2</v>
      </c>
      <c r="BV20" s="10">
        <v>0.11591833156307201</v>
      </c>
      <c r="BW20" s="10">
        <v>-0.13550325181247611</v>
      </c>
      <c r="BX20" s="10">
        <v>3.069363668324426E-2</v>
      </c>
      <c r="BY20" s="10">
        <v>-0.10523396636930341</v>
      </c>
      <c r="BZ20" s="10">
        <v>9.02714042602836E-2</v>
      </c>
      <c r="CA20" s="10">
        <v>-1.9938221409499298E-3</v>
      </c>
      <c r="CB20" s="10">
        <v>-3.8251950010927849E-2</v>
      </c>
      <c r="CC20" s="10">
        <v>1.2914800000000001E-2</v>
      </c>
      <c r="CD20" s="10">
        <v>9.6063599999999999E-2</v>
      </c>
      <c r="CE20" s="10">
        <v>8.577739999999999E-2</v>
      </c>
      <c r="CF20" s="10">
        <v>-0.1312084</v>
      </c>
      <c r="CG20" s="10">
        <v>0.32193939999999999</v>
      </c>
      <c r="CH20" s="10">
        <v>7.1864025597138351E-2</v>
      </c>
      <c r="CI20" s="10">
        <v>-3.0394673769081951E-2</v>
      </c>
      <c r="CJ20" s="10">
        <v>-0.123440319887351</v>
      </c>
      <c r="CK20" s="10">
        <v>9.0978396750106633E-2</v>
      </c>
      <c r="CL20" s="10">
        <v>-9.2184934189128986E-2</v>
      </c>
      <c r="CM20" s="10">
        <v>0.18905116517062071</v>
      </c>
      <c r="CN20" s="10">
        <v>2.215941137048465E-2</v>
      </c>
      <c r="CO20" s="10">
        <v>-0.41597133516901241</v>
      </c>
      <c r="CP20" s="10">
        <v>0.1920312051090273</v>
      </c>
      <c r="CQ20" s="10">
        <v>-2.3118045300283038E-2</v>
      </c>
      <c r="CR20" s="10">
        <v>2.53642E-2</v>
      </c>
      <c r="CS20" s="10">
        <v>2.2293799999999999E-2</v>
      </c>
      <c r="CT20" s="10">
        <v>9.0474037414266281E-2</v>
      </c>
      <c r="CU20" s="10">
        <v>-0.10410089779242621</v>
      </c>
      <c r="CV20" s="10">
        <v>9.2511075695426118E-2</v>
      </c>
      <c r="CW20" s="10">
        <v>9.9530629212826391E-3</v>
      </c>
      <c r="CX20" s="10">
        <v>9.0298550867764463E-2</v>
      </c>
      <c r="CY20" s="10">
        <v>-1.247973266829688E-2</v>
      </c>
      <c r="CZ20" s="10">
        <v>0.15516164514919831</v>
      </c>
      <c r="DA20" s="10">
        <v>-4.7471893155177573E-2</v>
      </c>
      <c r="DB20" s="10">
        <v>7.6966999999999994E-2</v>
      </c>
      <c r="DC20" s="10">
        <v>2.890199999999998E-2</v>
      </c>
      <c r="DD20" s="10">
        <v>-6.8162799999999996E-2</v>
      </c>
      <c r="DE20" s="10">
        <v>-2.674986392092854E-2</v>
      </c>
      <c r="DF20" s="10">
        <v>8.591215324206241E-4</v>
      </c>
      <c r="DG20" s="10">
        <v>-4.2022106203706937E-3</v>
      </c>
      <c r="DH20" s="10">
        <v>-1.097541174252706E-2</v>
      </c>
      <c r="DI20" s="10">
        <v>-7.7575680139924984E-3</v>
      </c>
      <c r="DJ20" s="10">
        <v>8.12774E-2</v>
      </c>
      <c r="DK20" s="10">
        <v>8.4953981446054899E-2</v>
      </c>
      <c r="DL20" s="10">
        <v>7.5826636178542531E-2</v>
      </c>
      <c r="DM20" s="10">
        <v>9.2836502794370751E-3</v>
      </c>
      <c r="DN20" s="10">
        <v>5.8019206654199171E-2</v>
      </c>
      <c r="DO20" s="10">
        <v>6.5815801837970381E-2</v>
      </c>
      <c r="DP20" s="10">
        <v>9.8305313908873052E-3</v>
      </c>
      <c r="DQ20" s="10">
        <v>-0.19132953845628339</v>
      </c>
      <c r="DR20" s="10">
        <v>7.8512660028290493E-2</v>
      </c>
      <c r="DS20" s="10">
        <v>-0.20608109757835469</v>
      </c>
      <c r="DT20" s="10">
        <v>4.8288000000000011E-3</v>
      </c>
      <c r="DU20" s="10">
        <v>-0.1763758</v>
      </c>
      <c r="DV20" s="10">
        <v>0.12934547183885869</v>
      </c>
      <c r="DW20" s="10">
        <v>6.9060203958039607E-2</v>
      </c>
      <c r="DX20" s="10">
        <v>-0.15386632960631469</v>
      </c>
      <c r="DY20" s="10">
        <v>0.12159059999999999</v>
      </c>
      <c r="DZ20" s="10">
        <v>9.0199400000000013E-2</v>
      </c>
      <c r="EA20" s="18">
        <v>0.29368998400000002</v>
      </c>
      <c r="EB20" s="10">
        <v>2.7389157853987239E-2</v>
      </c>
      <c r="EC20" s="10">
        <v>2.297759999999999E-2</v>
      </c>
      <c r="ED20" s="10">
        <v>-0.17691886106701021</v>
      </c>
      <c r="EE20" s="10">
        <v>2.3672309273819309E-3</v>
      </c>
      <c r="EF20" s="10">
        <v>2.0281416615907238E-2</v>
      </c>
    </row>
    <row r="21" spans="1:136">
      <c r="A21" s="4">
        <v>241</v>
      </c>
      <c r="B21" s="4">
        <v>4</v>
      </c>
      <c r="C21" s="9">
        <v>0.2146305</v>
      </c>
      <c r="D21" s="10">
        <v>0.126389</v>
      </c>
      <c r="E21" s="10">
        <v>-1.3691500000000001E-2</v>
      </c>
      <c r="F21" s="10">
        <v>0.20341300000000001</v>
      </c>
      <c r="G21" s="10">
        <v>0.14533199999999999</v>
      </c>
      <c r="H21" s="10">
        <v>0.162164</v>
      </c>
      <c r="I21" s="10">
        <v>1.4112E-2</v>
      </c>
      <c r="J21" s="10">
        <v>-0.13674149999999999</v>
      </c>
      <c r="K21" s="10">
        <v>1.4699999999999991E-3</v>
      </c>
      <c r="L21" s="10">
        <v>-5.030999999999999E-3</v>
      </c>
      <c r="M21" s="10">
        <v>-0.19587050354916219</v>
      </c>
      <c r="N21" s="10">
        <v>0.58489049999999998</v>
      </c>
      <c r="O21" s="10">
        <v>-0.13927724999999999</v>
      </c>
      <c r="P21" s="10">
        <v>4.5427749999999989E-2</v>
      </c>
      <c r="Q21" s="10">
        <v>0.27408575000000002</v>
      </c>
      <c r="R21" s="10">
        <v>8.4905250000000002E-2</v>
      </c>
      <c r="S21" s="10">
        <v>-3.6561749999999997E-2</v>
      </c>
      <c r="T21" s="10">
        <v>-1.4040364340204919E-2</v>
      </c>
      <c r="U21" s="10">
        <v>-9.8267499999999952E-3</v>
      </c>
      <c r="V21" s="10">
        <v>-0.13175025000000001</v>
      </c>
      <c r="W21" s="10">
        <v>0.16036515570555779</v>
      </c>
      <c r="X21" s="10">
        <v>0.20780100000000001</v>
      </c>
      <c r="Y21" s="10">
        <v>-1.01475E-2</v>
      </c>
      <c r="Z21" s="10">
        <v>3.9459000000000001E-2</v>
      </c>
      <c r="AA21" s="10">
        <v>2.8035500000000001E-2</v>
      </c>
      <c r="AB21" s="10">
        <v>-2.1955943889134161E-2</v>
      </c>
      <c r="AC21" s="10">
        <v>-0.15954125</v>
      </c>
      <c r="AD21" s="10">
        <v>-2.593327599743489E-2</v>
      </c>
      <c r="AE21" s="10">
        <v>1.031074999999999E-2</v>
      </c>
      <c r="AF21" s="10">
        <v>5.3125609886562987E-2</v>
      </c>
      <c r="AG21" s="10">
        <v>-1.0567999999999999E-2</v>
      </c>
      <c r="AH21" s="10">
        <v>-0.10758136256479831</v>
      </c>
      <c r="AI21" s="10">
        <v>7.9594209333291061E-2</v>
      </c>
      <c r="AJ21" s="10">
        <v>-7.0405341946468691E-2</v>
      </c>
      <c r="AK21" s="10">
        <v>-3.064343373743127E-2</v>
      </c>
      <c r="AL21" s="10">
        <v>6.5379822733110632E-2</v>
      </c>
      <c r="AM21" s="10">
        <v>6.4856977806355839E-2</v>
      </c>
      <c r="AN21" s="10">
        <v>0.11195605606309431</v>
      </c>
      <c r="AO21" s="10">
        <v>4.7726395643726653E-2</v>
      </c>
      <c r="AP21" s="10">
        <v>-6.239055369893616E-2</v>
      </c>
      <c r="AQ21" s="10">
        <v>2.459114042312649E-2</v>
      </c>
      <c r="AR21" s="10">
        <v>0.20518227823048121</v>
      </c>
      <c r="AS21" s="10">
        <v>6.4455868646629361E-2</v>
      </c>
      <c r="AT21" s="10">
        <v>-2.4929112771550628E-3</v>
      </c>
      <c r="AU21" s="10">
        <v>4.7809631508957028E-2</v>
      </c>
      <c r="AV21" s="10">
        <v>-5.5520780062133721E-2</v>
      </c>
      <c r="AW21" s="10">
        <v>9.7910299540974015E-3</v>
      </c>
      <c r="AX21" s="10">
        <v>0.1431476874697567</v>
      </c>
      <c r="AY21" s="10">
        <v>4.7021290978038012E-2</v>
      </c>
      <c r="AZ21" s="10">
        <v>-0.25491126989713642</v>
      </c>
      <c r="BA21" s="10">
        <v>0.13959250000000001</v>
      </c>
      <c r="BB21" s="10">
        <v>0.29451325</v>
      </c>
      <c r="BC21" s="10">
        <v>3.8321147725193877E-2</v>
      </c>
      <c r="BD21" s="10">
        <v>-2.1750863370627919E-2</v>
      </c>
      <c r="BE21" s="10">
        <v>6.3505333974014731E-3</v>
      </c>
      <c r="BF21" s="10">
        <v>3.5771001804346838E-3</v>
      </c>
      <c r="BG21" s="10">
        <v>5.0020540436469169E-2</v>
      </c>
      <c r="BH21" s="10">
        <v>-7.6321363138755302E-2</v>
      </c>
      <c r="BI21" s="10">
        <v>0.1659695961783918</v>
      </c>
      <c r="BJ21" s="10">
        <v>2.3579026181717661E-2</v>
      </c>
      <c r="BK21" s="10">
        <v>-6.8449880379534783E-2</v>
      </c>
      <c r="BL21" s="10">
        <v>0.1427210926463498</v>
      </c>
      <c r="BM21" s="10">
        <v>-4.0795286028720637E-2</v>
      </c>
      <c r="BN21" s="10">
        <v>6.3647947992248044E-2</v>
      </c>
      <c r="BO21" s="10">
        <v>-1.066839155318992E-2</v>
      </c>
      <c r="BP21" s="10">
        <v>0.1045091294194143</v>
      </c>
      <c r="BQ21" s="10">
        <v>5.4542230834504879E-2</v>
      </c>
      <c r="BR21" s="10">
        <v>1.3963257139615239E-2</v>
      </c>
      <c r="BS21" s="10">
        <v>-2.5079854410496889E-2</v>
      </c>
      <c r="BT21" s="10">
        <v>0.13224469397444291</v>
      </c>
      <c r="BU21" s="10">
        <v>0.120820939350189</v>
      </c>
      <c r="BV21" s="10">
        <v>0.14214300018545339</v>
      </c>
      <c r="BW21" s="10">
        <v>-0.146679196935731</v>
      </c>
      <c r="BX21" s="10">
        <v>-1.540792756631305E-2</v>
      </c>
      <c r="BY21" s="10">
        <v>-5.0379851218116528E-2</v>
      </c>
      <c r="BZ21" s="10">
        <v>9.8156710439898404E-2</v>
      </c>
      <c r="CA21" s="10">
        <v>-2.4556068552787459E-2</v>
      </c>
      <c r="CB21" s="10">
        <v>-0.1122436107991584</v>
      </c>
      <c r="CC21" s="10">
        <v>-8.0194999999999989E-3</v>
      </c>
      <c r="CD21" s="10">
        <v>8.4422250000000004E-2</v>
      </c>
      <c r="CE21" s="10">
        <v>6.1514499999999993E-2</v>
      </c>
      <c r="CF21" s="10">
        <v>-0.127168</v>
      </c>
      <c r="CG21" s="10">
        <v>0.32016774999999997</v>
      </c>
      <c r="CH21" s="10">
        <v>8.0100321076211733E-2</v>
      </c>
      <c r="CI21" s="10">
        <v>-8.0499616390982326E-2</v>
      </c>
      <c r="CJ21" s="10">
        <v>-7.1754661956045684E-2</v>
      </c>
      <c r="CK21" s="10">
        <v>0.12705054673013411</v>
      </c>
      <c r="CL21" s="10">
        <v>-0.2104523758541085</v>
      </c>
      <c r="CM21" s="10">
        <v>0.2255029884033713</v>
      </c>
      <c r="CN21" s="10">
        <v>3.05388902037756E-2</v>
      </c>
      <c r="CO21" s="10">
        <v>-0.51486524859759264</v>
      </c>
      <c r="CP21" s="10">
        <v>0.22270006087791269</v>
      </c>
      <c r="CQ21" s="10">
        <v>-2.2912194169496192E-2</v>
      </c>
      <c r="CR21" s="10">
        <v>1.1617000000000001E-2</v>
      </c>
      <c r="CS21" s="10">
        <v>3.0907250000000001E-2</v>
      </c>
      <c r="CT21" s="10">
        <v>8.2292872854338978E-2</v>
      </c>
      <c r="CU21" s="10">
        <v>-6.2673560169491313E-2</v>
      </c>
      <c r="CV21" s="10">
        <v>9.8225632021386913E-2</v>
      </c>
      <c r="CW21" s="10">
        <v>6.5005417280988659E-2</v>
      </c>
      <c r="CX21" s="10">
        <v>0.1021221756574071</v>
      </c>
      <c r="CY21" s="10">
        <v>-8.4819164039144704E-3</v>
      </c>
      <c r="CZ21" s="10">
        <v>0.2374513708258302</v>
      </c>
      <c r="DA21" s="10">
        <v>1.192256456731756E-3</v>
      </c>
      <c r="DB21" s="10">
        <v>7.1459500000000009E-2</v>
      </c>
      <c r="DC21" s="10">
        <v>4.8309999999999992E-2</v>
      </c>
      <c r="DD21" s="10">
        <v>-6.7026999999999989E-2</v>
      </c>
      <c r="DE21" s="10">
        <v>1.2238108588318921E-2</v>
      </c>
      <c r="DF21" s="10">
        <v>7.7285592716186992E-3</v>
      </c>
      <c r="DG21" s="10">
        <v>7.8463781285332893E-3</v>
      </c>
      <c r="DH21" s="10">
        <v>1.407682021245452E-2</v>
      </c>
      <c r="DI21" s="10">
        <v>3.4407478280179482E-2</v>
      </c>
      <c r="DJ21" s="10">
        <v>7.330325E-2</v>
      </c>
      <c r="DK21" s="10">
        <v>0.13950270681890459</v>
      </c>
      <c r="DL21" s="10">
        <v>9.8364938839376553E-2</v>
      </c>
      <c r="DM21" s="10">
        <v>-2.9834119642240212E-2</v>
      </c>
      <c r="DN21" s="10">
        <v>6.1960781446788349E-2</v>
      </c>
      <c r="DO21" s="10">
        <v>8.2445792330679737E-2</v>
      </c>
      <c r="DP21" s="10">
        <v>2.426615509356601E-2</v>
      </c>
      <c r="DQ21" s="10">
        <v>-0.12775339309865241</v>
      </c>
      <c r="DR21" s="10">
        <v>5.0170859037080733E-2</v>
      </c>
      <c r="DS21" s="10">
        <v>-0.20083947383729561</v>
      </c>
      <c r="DT21" s="10">
        <v>-9.7094999999999959E-3</v>
      </c>
      <c r="DU21" s="10">
        <v>-0.14861474999999999</v>
      </c>
      <c r="DV21" s="10">
        <v>0.140275976869878</v>
      </c>
      <c r="DW21" s="10">
        <v>0.11934721737400381</v>
      </c>
      <c r="DX21" s="10">
        <v>-0.18596621403118341</v>
      </c>
      <c r="DY21" s="10">
        <v>0.16672999999999999</v>
      </c>
      <c r="DZ21" s="10">
        <v>9.8930000000000004E-2</v>
      </c>
      <c r="EA21" s="18">
        <v>0.26605683200000002</v>
      </c>
      <c r="EB21" s="10">
        <v>8.4081461705858979E-3</v>
      </c>
      <c r="EC21" s="10">
        <v>2.7189499999999991E-2</v>
      </c>
      <c r="ED21" s="10">
        <v>-5.4498856348180663E-2</v>
      </c>
      <c r="EE21" s="10">
        <v>1.4428852108417999E-2</v>
      </c>
      <c r="EF21" s="10">
        <v>-7.9916028560319194E-3</v>
      </c>
    </row>
    <row r="22" spans="1:136">
      <c r="A22" s="4">
        <v>321</v>
      </c>
      <c r="B22" s="4">
        <v>3</v>
      </c>
      <c r="C22" s="9">
        <v>0.20528266666666661</v>
      </c>
      <c r="D22" s="10">
        <v>0.1424293333333333</v>
      </c>
      <c r="E22" s="10">
        <v>-1.735666666666667E-2</v>
      </c>
      <c r="F22" s="10">
        <v>-0.13986799999999999</v>
      </c>
      <c r="G22" s="10">
        <v>0.23294533333333339</v>
      </c>
      <c r="H22" s="10">
        <v>0.124178</v>
      </c>
      <c r="I22" s="10">
        <v>1.7439333333333331E-2</v>
      </c>
      <c r="J22" s="10">
        <v>-0.104252</v>
      </c>
      <c r="K22" s="10">
        <v>2.865666666666666E-2</v>
      </c>
      <c r="L22" s="10">
        <v>1.427200000000001E-2</v>
      </c>
      <c r="M22" s="10">
        <v>-0.22515860506358171</v>
      </c>
      <c r="N22" s="10">
        <v>0.75614233333333325</v>
      </c>
      <c r="O22" s="10">
        <v>-6.6442333333333325E-2</v>
      </c>
      <c r="P22" s="10">
        <v>9.0630333333333327E-2</v>
      </c>
      <c r="Q22" s="10">
        <v>0.12727466666666659</v>
      </c>
      <c r="R22" s="10">
        <v>6.6697666666666655E-2</v>
      </c>
      <c r="S22" s="10">
        <v>-3.9232333333333327E-2</v>
      </c>
      <c r="T22" s="10">
        <v>-7.1651900389641296E-2</v>
      </c>
      <c r="U22" s="10">
        <v>5.2484333333333327E-2</v>
      </c>
      <c r="V22" s="10">
        <v>-0.17562366666666671</v>
      </c>
      <c r="W22" s="10">
        <v>0.20748026702429739</v>
      </c>
      <c r="X22" s="10">
        <v>0.25720199999999999</v>
      </c>
      <c r="Y22" s="10">
        <v>-6.9857333333333327E-2</v>
      </c>
      <c r="Z22" s="10">
        <v>2.3868E-2</v>
      </c>
      <c r="AA22" s="10">
        <v>0.1181226666666667</v>
      </c>
      <c r="AB22" s="10">
        <v>3.8652301253394171E-3</v>
      </c>
      <c r="AC22" s="10">
        <v>-0.1772113333333333</v>
      </c>
      <c r="AD22" s="10">
        <v>-1.859374921466125E-2</v>
      </c>
      <c r="AE22" s="10">
        <v>-8.5149000000000002E-2</v>
      </c>
      <c r="AF22" s="10">
        <v>3.6244056903920213E-2</v>
      </c>
      <c r="AG22" s="10">
        <v>-4.5970333333333342E-2</v>
      </c>
      <c r="AH22" s="10">
        <v>-0.10586595942047269</v>
      </c>
      <c r="AI22" s="10">
        <v>9.4141260657386039E-2</v>
      </c>
      <c r="AJ22" s="10">
        <v>-3.1699849326408271E-2</v>
      </c>
      <c r="AK22" s="10">
        <v>0.1012885607403957</v>
      </c>
      <c r="AL22" s="10">
        <v>4.0340966806900407E-2</v>
      </c>
      <c r="AM22" s="10">
        <v>8.4088903467703563E-2</v>
      </c>
      <c r="AN22" s="10">
        <v>0.1111328096635593</v>
      </c>
      <c r="AO22" s="10">
        <v>7.4717373393705613E-2</v>
      </c>
      <c r="AP22" s="10">
        <v>-6.2536353887992696E-2</v>
      </c>
      <c r="AQ22" s="10">
        <v>1.4495983822223869E-2</v>
      </c>
      <c r="AR22" s="10">
        <v>0.23790114102724971</v>
      </c>
      <c r="AS22" s="10">
        <v>8.2810438898549957E-2</v>
      </c>
      <c r="AT22" s="10">
        <v>6.5803903490195548E-3</v>
      </c>
      <c r="AU22" s="10">
        <v>5.3142791700378257E-2</v>
      </c>
      <c r="AV22" s="10">
        <v>-5.9813176675879959E-2</v>
      </c>
      <c r="AW22" s="10">
        <v>-3.014938920700894E-2</v>
      </c>
      <c r="AX22" s="10">
        <v>0.17376339998002421</v>
      </c>
      <c r="AY22" s="10">
        <v>7.1733385334230598E-2</v>
      </c>
      <c r="AZ22" s="10">
        <v>-0.1549037783211521</v>
      </c>
      <c r="BA22" s="10">
        <v>4.9774666666666662E-2</v>
      </c>
      <c r="BB22" s="10">
        <v>0.36955133333333329</v>
      </c>
      <c r="BC22" s="10">
        <v>-0.13083693812295519</v>
      </c>
      <c r="BD22" s="10">
        <v>1.294738984257221E-2</v>
      </c>
      <c r="BE22" s="10">
        <v>2.221618339448047E-2</v>
      </c>
      <c r="BF22" s="10">
        <v>1.363881733831962E-2</v>
      </c>
      <c r="BG22" s="10">
        <v>4.6279512168386029E-2</v>
      </c>
      <c r="BH22" s="10">
        <v>-0.12796054233813189</v>
      </c>
      <c r="BI22" s="10">
        <v>0.111088719409907</v>
      </c>
      <c r="BJ22" s="10">
        <v>5.4996415150720922E-2</v>
      </c>
      <c r="BK22" s="10">
        <v>-4.1839635933665138E-2</v>
      </c>
      <c r="BL22" s="10">
        <v>0.16178033907103531</v>
      </c>
      <c r="BM22" s="10">
        <v>-2.4304832455331882E-3</v>
      </c>
      <c r="BN22" s="10">
        <v>-1.5327552023042271E-2</v>
      </c>
      <c r="BO22" s="10">
        <v>-9.7012895523605869E-2</v>
      </c>
      <c r="BP22" s="10">
        <v>7.4835550155106345E-2</v>
      </c>
      <c r="BQ22" s="10">
        <v>2.7830097398312589E-2</v>
      </c>
      <c r="BR22" s="10">
        <v>2.081360946645289E-2</v>
      </c>
      <c r="BS22" s="10">
        <v>-1.637278237679916E-2</v>
      </c>
      <c r="BT22" s="10">
        <v>0.13053070333654609</v>
      </c>
      <c r="BU22" s="10">
        <v>0.21294876613801031</v>
      </c>
      <c r="BV22" s="10">
        <v>0.1585439723976089</v>
      </c>
      <c r="BW22" s="10">
        <v>-0.1746684979276073</v>
      </c>
      <c r="BX22" s="10">
        <v>3.6637445691972373E-2</v>
      </c>
      <c r="BY22" s="10">
        <v>-4.7467864027346263E-3</v>
      </c>
      <c r="BZ22" s="10">
        <v>4.725773586289217E-2</v>
      </c>
      <c r="CA22" s="10">
        <v>-2.749007848032349E-2</v>
      </c>
      <c r="CB22" s="10">
        <v>-0.14899327824592659</v>
      </c>
      <c r="CC22" s="10">
        <v>-0.12510499999999999</v>
      </c>
      <c r="CD22" s="10">
        <v>9.5518333333333344E-2</v>
      </c>
      <c r="CE22" s="10">
        <v>6.6840000000000011E-2</v>
      </c>
      <c r="CF22" s="10">
        <v>-0.15557066666666661</v>
      </c>
      <c r="CG22" s="10">
        <v>0.44380066666666668</v>
      </c>
      <c r="CH22" s="10">
        <v>0.1159187712794482</v>
      </c>
      <c r="CI22" s="10">
        <v>-0.1177797462783592</v>
      </c>
      <c r="CJ22" s="10">
        <v>-0.1033795050895627</v>
      </c>
      <c r="CK22" s="10">
        <v>3.6163342604682402E-2</v>
      </c>
      <c r="CL22" s="10">
        <v>-0.2406517986250408</v>
      </c>
      <c r="CM22" s="10">
        <v>0.30176025790948191</v>
      </c>
      <c r="CN22" s="10">
        <v>-8.5467718209073992E-3</v>
      </c>
      <c r="CO22" s="10">
        <v>-0.64995646824915565</v>
      </c>
      <c r="CP22" s="10">
        <v>0.25940855696940252</v>
      </c>
      <c r="CQ22" s="10">
        <v>-1.7159615519123799E-2</v>
      </c>
      <c r="CR22" s="10">
        <v>-2.842066666666666E-2</v>
      </c>
      <c r="CS22" s="10">
        <v>2.443933333333333E-2</v>
      </c>
      <c r="CT22" s="10">
        <v>5.8232521355985362E-2</v>
      </c>
      <c r="CU22" s="10">
        <v>-0.11084141964186579</v>
      </c>
      <c r="CV22" s="10">
        <v>0.1122336952070542</v>
      </c>
      <c r="CW22" s="10">
        <v>3.6451253326165209E-2</v>
      </c>
      <c r="CX22" s="10">
        <v>3.749593267848913E-3</v>
      </c>
      <c r="CY22" s="10">
        <v>-7.9888257735091419E-3</v>
      </c>
      <c r="CZ22" s="10">
        <v>0.26292048459923911</v>
      </c>
      <c r="DA22" s="10">
        <v>-3.9917538819241108E-3</v>
      </c>
      <c r="DB22" s="10">
        <v>5.4040666666666667E-2</v>
      </c>
      <c r="DC22" s="10">
        <v>7.2343333333333343E-2</v>
      </c>
      <c r="DD22" s="10">
        <v>-1.5963333333333329E-2</v>
      </c>
      <c r="DE22" s="10">
        <v>-5.4917579819501461E-3</v>
      </c>
      <c r="DF22" s="10">
        <v>1.7031775273553061E-2</v>
      </c>
      <c r="DG22" s="10">
        <v>3.1985043080887662E-2</v>
      </c>
      <c r="DH22" s="10">
        <v>1.3945346183503959E-2</v>
      </c>
      <c r="DI22" s="10">
        <v>6.356099926224941E-2</v>
      </c>
      <c r="DJ22" s="10">
        <v>4.2777666666666672E-2</v>
      </c>
      <c r="DK22" s="10">
        <v>0.1791347138228401</v>
      </c>
      <c r="DL22" s="10">
        <v>0.1249416477373831</v>
      </c>
      <c r="DM22" s="10">
        <v>-6.3466051038033502E-2</v>
      </c>
      <c r="DN22" s="10">
        <v>4.6763328204007498E-2</v>
      </c>
      <c r="DO22" s="10">
        <v>0.12343750131163821</v>
      </c>
      <c r="DP22" s="10">
        <v>2.1723233390302729E-3</v>
      </c>
      <c r="DQ22" s="10">
        <v>-0.13103100381943991</v>
      </c>
      <c r="DR22" s="10">
        <v>-6.0925526153180337E-3</v>
      </c>
      <c r="DS22" s="10">
        <v>-0.19705092156235929</v>
      </c>
      <c r="DT22" s="10">
        <v>-4.3682333333333337E-2</v>
      </c>
      <c r="DU22" s="10">
        <v>-0.1615456666666667</v>
      </c>
      <c r="DV22" s="10">
        <v>0.12570511767817799</v>
      </c>
      <c r="DW22" s="10">
        <v>0.1095030666415643</v>
      </c>
      <c r="DX22" s="10">
        <v>-0.22244260844829469</v>
      </c>
      <c r="DY22" s="10">
        <v>0.1199563333333333</v>
      </c>
      <c r="DZ22" s="10">
        <v>0.11083366666666671</v>
      </c>
      <c r="EA22" s="18">
        <v>0.14035616200000001</v>
      </c>
      <c r="EB22" s="10">
        <v>-8.0596727535317977E-2</v>
      </c>
      <c r="EC22" s="10">
        <v>8.8085999999999984E-2</v>
      </c>
      <c r="ED22" s="10">
        <v>-7.7413567057607463E-2</v>
      </c>
      <c r="EE22" s="10">
        <v>3.344630381221339E-2</v>
      </c>
      <c r="EF22" s="10">
        <v>-3.4790246372172352E-2</v>
      </c>
    </row>
    <row r="23" spans="1:136">
      <c r="A23" s="4">
        <v>482</v>
      </c>
      <c r="B23" s="4">
        <v>2</v>
      </c>
      <c r="C23" s="9">
        <v>0.28298899999999988</v>
      </c>
      <c r="D23" s="10">
        <v>0.25409399999999999</v>
      </c>
      <c r="E23" s="10">
        <v>0.13300500000000001</v>
      </c>
      <c r="F23" s="10">
        <v>-3.7419999999999949E-3</v>
      </c>
      <c r="G23" s="10">
        <v>0.36163200000000001</v>
      </c>
      <c r="H23" s="10">
        <v>-1.81885E-2</v>
      </c>
      <c r="I23" s="10">
        <v>-3.6385500000000001E-2</v>
      </c>
      <c r="J23" s="10">
        <v>-0.11487550000000001</v>
      </c>
      <c r="K23" s="10">
        <v>-5.9918500000000013E-2</v>
      </c>
      <c r="L23" s="10">
        <v>5.0770999999999997E-2</v>
      </c>
      <c r="M23" s="10">
        <v>-0.26736657000997882</v>
      </c>
      <c r="N23" s="10">
        <v>0.97590100000000002</v>
      </c>
      <c r="O23" s="10">
        <v>-0.1229</v>
      </c>
      <c r="P23" s="10">
        <v>5.4681500000000001E-2</v>
      </c>
      <c r="Q23" s="10">
        <v>0.29117749999999998</v>
      </c>
      <c r="R23" s="10">
        <v>6.2820000000000001E-2</v>
      </c>
      <c r="S23" s="10">
        <v>-7.257050000000001E-2</v>
      </c>
      <c r="T23" s="10">
        <v>-3.733692084787466E-4</v>
      </c>
      <c r="U23" s="10">
        <v>5.9236499999999997E-2</v>
      </c>
      <c r="V23" s="10">
        <v>-0.2324755</v>
      </c>
      <c r="W23" s="10">
        <v>0.33161915024914451</v>
      </c>
      <c r="X23" s="10">
        <v>0.19455600000000001</v>
      </c>
      <c r="Y23" s="10">
        <v>-6.7954499999999987E-2</v>
      </c>
      <c r="Z23" s="10">
        <v>4.1052000000000012E-2</v>
      </c>
      <c r="AA23" s="10">
        <v>0.15165200000000001</v>
      </c>
      <c r="AB23" s="10">
        <v>3.09913850559921E-2</v>
      </c>
      <c r="AC23" s="10">
        <v>-0.23400850000000001</v>
      </c>
      <c r="AD23" s="10">
        <v>-2.9952915704841848E-3</v>
      </c>
      <c r="AE23" s="10">
        <v>-0.221717</v>
      </c>
      <c r="AF23" s="10">
        <v>6.6906260089751285E-2</v>
      </c>
      <c r="AG23" s="10">
        <v>-2.0555000000000091E-3</v>
      </c>
      <c r="AH23" s="10">
        <v>-8.417158452318324E-2</v>
      </c>
      <c r="AI23" s="10">
        <v>1.7205917313467271E-2</v>
      </c>
      <c r="AJ23" s="10">
        <v>4.8195600190128897E-2</v>
      </c>
      <c r="AK23" s="10">
        <v>0.11411109934719101</v>
      </c>
      <c r="AL23" s="10">
        <v>0.1314317131925356</v>
      </c>
      <c r="AM23" s="10">
        <v>7.769489004865255E-3</v>
      </c>
      <c r="AN23" s="10">
        <v>0.24231469935730071</v>
      </c>
      <c r="AO23" s="10">
        <v>-5.3369521914240978E-3</v>
      </c>
      <c r="AP23" s="10">
        <v>3.1210993523056942E-3</v>
      </c>
      <c r="AQ23" s="10">
        <v>8.9424992259610633E-2</v>
      </c>
      <c r="AR23" s="10">
        <v>0.33674404384506768</v>
      </c>
      <c r="AS23" s="10">
        <v>-1.470688799737762E-2</v>
      </c>
      <c r="AT23" s="10">
        <v>-4.1427721813649641E-2</v>
      </c>
      <c r="AU23" s="10">
        <v>3.3145526128504327E-2</v>
      </c>
      <c r="AV23" s="10">
        <v>-2.7638994197374041E-2</v>
      </c>
      <c r="AW23" s="10">
        <v>-5.202690983840276E-2</v>
      </c>
      <c r="AX23" s="10">
        <v>6.9838153827044058E-2</v>
      </c>
      <c r="AY23" s="10">
        <v>0.17023398084058211</v>
      </c>
      <c r="AZ23" s="10">
        <v>-6.3753617401060211E-2</v>
      </c>
      <c r="BA23" s="10">
        <v>5.3997999999999997E-2</v>
      </c>
      <c r="BB23" s="10">
        <v>0.56682749999999993</v>
      </c>
      <c r="BC23" s="10">
        <v>-0.30082824917306578</v>
      </c>
      <c r="BD23" s="10">
        <v>9.4830881346450333E-2</v>
      </c>
      <c r="BE23" s="10">
        <v>-7.1430762397296579E-2</v>
      </c>
      <c r="BF23" s="10">
        <v>-2.284699060468626E-2</v>
      </c>
      <c r="BG23" s="10">
        <v>7.4761471196752541E-2</v>
      </c>
      <c r="BH23" s="10">
        <v>-0.2034839813552872</v>
      </c>
      <c r="BI23" s="10">
        <v>0.1911120793231991</v>
      </c>
      <c r="BJ23" s="10">
        <v>0.1040033152679269</v>
      </c>
      <c r="BK23" s="10">
        <v>4.6869777109240134E-3</v>
      </c>
      <c r="BL23" s="10">
        <v>0.14953429625023959</v>
      </c>
      <c r="BM23" s="10">
        <v>6.9495462024450616E-2</v>
      </c>
      <c r="BN23" s="10">
        <v>-6.9471707588132049E-3</v>
      </c>
      <c r="BO23" s="10">
        <v>-0.16631016589269049</v>
      </c>
      <c r="BP23" s="10">
        <v>9.8266399211456468E-2</v>
      </c>
      <c r="BQ23" s="10">
        <v>4.9611841287991017E-2</v>
      </c>
      <c r="BR23" s="10">
        <v>1.7844321463962809E-2</v>
      </c>
      <c r="BS23" s="10">
        <v>-7.3275388657911791E-2</v>
      </c>
      <c r="BT23" s="10">
        <v>0.14364980602599711</v>
      </c>
      <c r="BU23" s="10">
        <v>0.20568773584594591</v>
      </c>
      <c r="BV23" s="10">
        <v>0.11346756836018849</v>
      </c>
      <c r="BW23" s="10">
        <v>-0.20215233327569121</v>
      </c>
      <c r="BX23" s="10">
        <v>-8.2131197272531514E-3</v>
      </c>
      <c r="BY23" s="10">
        <v>-1.020569269434762E-2</v>
      </c>
      <c r="BZ23" s="10">
        <v>7.6697624318448621E-3</v>
      </c>
      <c r="CA23" s="10">
        <v>-7.5653199746629096E-2</v>
      </c>
      <c r="CB23" s="10">
        <v>-0.21761420299243989</v>
      </c>
      <c r="CC23" s="10">
        <v>-8.4545000000000009E-2</v>
      </c>
      <c r="CD23" s="10">
        <v>0.14124249999999999</v>
      </c>
      <c r="CE23" s="10">
        <v>5.9602000000000002E-2</v>
      </c>
      <c r="CF23" s="10">
        <v>-0.1834305</v>
      </c>
      <c r="CG23" s="10">
        <v>0.29290349999999998</v>
      </c>
      <c r="CH23" s="10">
        <v>0.18019644892142839</v>
      </c>
      <c r="CI23" s="10">
        <v>-0.30989941712809688</v>
      </c>
      <c r="CJ23" s="10">
        <v>-1.9875367550410569E-2</v>
      </c>
      <c r="CK23" s="10">
        <v>9.6116994727961536E-2</v>
      </c>
      <c r="CL23" s="10">
        <v>-0.40866101266741839</v>
      </c>
      <c r="CM23" s="10">
        <v>0.3867329465229094</v>
      </c>
      <c r="CN23" s="10">
        <v>-5.3005178369803271E-2</v>
      </c>
      <c r="CO23" s="10">
        <v>-0.90892328736561978</v>
      </c>
      <c r="CP23" s="10">
        <v>0.31136074316275669</v>
      </c>
      <c r="CQ23" s="10">
        <v>2.4702270079380868E-2</v>
      </c>
      <c r="CR23" s="10">
        <v>-3.8230500000000001E-2</v>
      </c>
      <c r="CS23" s="10">
        <v>6.9014999999999993E-2</v>
      </c>
      <c r="CT23" s="10">
        <v>4.5662541711253862E-2</v>
      </c>
      <c r="CU23" s="10">
        <v>-2.1056595713287041E-2</v>
      </c>
      <c r="CV23" s="10">
        <v>-2.2245137488805671E-2</v>
      </c>
      <c r="CW23" s="10">
        <v>0.1009013318024186</v>
      </c>
      <c r="CX23" s="10">
        <v>-8.8716994096526336E-2</v>
      </c>
      <c r="CY23" s="10">
        <v>2.20465307533785E-2</v>
      </c>
      <c r="CZ23" s="10">
        <v>0.18199879385735121</v>
      </c>
      <c r="DA23" s="10">
        <v>-3.0982136225910391E-2</v>
      </c>
      <c r="DB23" s="10">
        <v>1.8748000000000001E-2</v>
      </c>
      <c r="DC23" s="10">
        <v>7.2414999999999993E-2</v>
      </c>
      <c r="DD23" s="10">
        <v>-1.8409999999999999E-2</v>
      </c>
      <c r="DE23" s="10">
        <v>-9.3952259516448811E-3</v>
      </c>
      <c r="DF23" s="10">
        <v>6.194212704490535E-2</v>
      </c>
      <c r="DG23" s="10">
        <v>3.8270011874717E-2</v>
      </c>
      <c r="DH23" s="10">
        <v>5.5413447308742453E-2</v>
      </c>
      <c r="DI23" s="10">
        <v>5.3479596916020812E-2</v>
      </c>
      <c r="DJ23" s="10">
        <v>-3.3823000000000013E-2</v>
      </c>
      <c r="DK23" s="10">
        <v>0.27783321655884308</v>
      </c>
      <c r="DL23" s="10">
        <v>0.21610105954027359</v>
      </c>
      <c r="DM23" s="10">
        <v>-1.949730491936592E-2</v>
      </c>
      <c r="DN23" s="10">
        <v>6.4971960439702253E-3</v>
      </c>
      <c r="DO23" s="10">
        <v>0.16409130373383399</v>
      </c>
      <c r="DP23" s="10">
        <v>4.7088232655722921E-2</v>
      </c>
      <c r="DQ23" s="10">
        <v>-0.17021099650353791</v>
      </c>
      <c r="DR23" s="10">
        <v>-8.9886002731306744E-2</v>
      </c>
      <c r="DS23" s="10">
        <v>-0.28809657691904628</v>
      </c>
      <c r="DT23" s="10">
        <v>-5.4250499999999993E-2</v>
      </c>
      <c r="DU23" s="10">
        <v>-5.5638E-2</v>
      </c>
      <c r="DV23" s="10">
        <v>0.27627160832943959</v>
      </c>
      <c r="DW23" s="10">
        <v>0.14122823258283859</v>
      </c>
      <c r="DX23" s="10">
        <v>-0.31349320637896622</v>
      </c>
      <c r="DY23" s="10">
        <v>-5.3925000000000001E-2</v>
      </c>
      <c r="DZ23" s="10">
        <v>-0.21717500000000001</v>
      </c>
      <c r="EA23" s="18">
        <v>-2.8758780000000001E-2</v>
      </c>
      <c r="EB23" s="10">
        <v>-6.2753439710675096E-2</v>
      </c>
      <c r="EC23" s="10">
        <v>9.3643499999999991E-2</v>
      </c>
      <c r="ED23" s="10">
        <v>-9.1425904619781034E-2</v>
      </c>
      <c r="EE23" s="10">
        <v>5.9050683888240307E-2</v>
      </c>
      <c r="EF23" s="10">
        <v>-4.7782278591659677E-2</v>
      </c>
    </row>
    <row r="24" spans="1:136">
      <c r="A24" s="4">
        <v>964</v>
      </c>
      <c r="B24" s="4">
        <v>1</v>
      </c>
      <c r="C24" s="9">
        <v>9.9113000000000007E-2</v>
      </c>
      <c r="D24" s="10">
        <v>0.10061</v>
      </c>
      <c r="E24" s="10">
        <v>0.28451199999999999</v>
      </c>
      <c r="F24" s="10">
        <v>7.5326000000000004E-2</v>
      </c>
      <c r="G24" s="10">
        <v>0.22960700000000001</v>
      </c>
      <c r="H24" s="10">
        <v>3.5856000000000013E-2</v>
      </c>
      <c r="I24" s="10">
        <v>1.6930000000000001E-2</v>
      </c>
      <c r="J24" s="10">
        <v>-0.11546099999999999</v>
      </c>
      <c r="K24" s="10">
        <v>5.3733000000000003E-2</v>
      </c>
      <c r="L24" s="10">
        <v>9.3800000000000008E-2</v>
      </c>
      <c r="M24" s="10">
        <v>-0.46302754420013847</v>
      </c>
      <c r="N24" s="10">
        <v>1.7690319999999999</v>
      </c>
      <c r="O24" s="10">
        <v>-0.24428</v>
      </c>
      <c r="P24" s="10">
        <v>1.736000000000001E-3</v>
      </c>
      <c r="Q24" s="10">
        <v>-2.8400000000000018E-3</v>
      </c>
      <c r="R24" s="10">
        <v>-2.7827000000000001E-2</v>
      </c>
      <c r="S24" s="10">
        <v>-1.1050000000000001E-2</v>
      </c>
      <c r="T24" s="10">
        <v>0.1236910440917892</v>
      </c>
      <c r="U24" s="10">
        <v>0.28585300000000002</v>
      </c>
      <c r="V24" s="10">
        <v>-9.8680000000000004E-2</v>
      </c>
      <c r="W24" s="10">
        <v>0.49571198595594262</v>
      </c>
      <c r="X24" s="10">
        <v>-8.9899999999999702E-4</v>
      </c>
      <c r="Y24" s="10">
        <v>-0.120319</v>
      </c>
      <c r="Z24" s="10">
        <v>-2.4395E-2</v>
      </c>
      <c r="AA24" s="10">
        <v>9.4362000000000001E-2</v>
      </c>
      <c r="AB24" s="10">
        <v>0.30039379355698248</v>
      </c>
      <c r="AC24" s="10">
        <v>-0.24617</v>
      </c>
      <c r="AD24" s="10">
        <v>-5.9922146810819088E-2</v>
      </c>
      <c r="AE24" s="10">
        <v>-0.17527100000000001</v>
      </c>
      <c r="AF24" s="10">
        <v>2.2522010034790499E-2</v>
      </c>
      <c r="AG24" s="10">
        <v>0.105901</v>
      </c>
      <c r="AH24" s="10">
        <v>-5.6697360067789589E-2</v>
      </c>
      <c r="AI24" s="10">
        <v>-8.8083310984272967E-3</v>
      </c>
      <c r="AJ24" s="10">
        <v>-8.089124399937539E-2</v>
      </c>
      <c r="AK24" s="10">
        <v>8.4883953068192297E-2</v>
      </c>
      <c r="AL24" s="10">
        <v>-5.4676935490635382E-2</v>
      </c>
      <c r="AM24" s="10">
        <v>-1.89192814205267E-2</v>
      </c>
      <c r="AN24" s="10">
        <v>0.22118946514543131</v>
      </c>
      <c r="AO24" s="10">
        <v>6.6090111828990022E-2</v>
      </c>
      <c r="AP24" s="10">
        <v>-2.28517154890964E-2</v>
      </c>
      <c r="AQ24" s="10">
        <v>4.7076972834245667E-2</v>
      </c>
      <c r="AR24" s="10">
        <v>9.6392566076069844E-3</v>
      </c>
      <c r="AS24" s="10">
        <v>-2.7956077266590069E-2</v>
      </c>
      <c r="AT24" s="10">
        <v>3.045920748470865E-2</v>
      </c>
      <c r="AU24" s="10">
        <v>4.4095319865224331E-2</v>
      </c>
      <c r="AV24" s="10">
        <v>-8.7151952186895892E-2</v>
      </c>
      <c r="AW24" s="10">
        <v>4.9875415110391882E-3</v>
      </c>
      <c r="AX24" s="10">
        <v>2.8306186588424521E-2</v>
      </c>
      <c r="AY24" s="10">
        <v>0.16812729388488939</v>
      </c>
      <c r="AZ24" s="10">
        <v>3.7867073599665187E-2</v>
      </c>
      <c r="BA24" s="10">
        <v>5.0491000000000001E-2</v>
      </c>
      <c r="BB24" s="10">
        <v>0.69077599999999995</v>
      </c>
      <c r="BC24" s="10">
        <v>-0.59942164102389184</v>
      </c>
      <c r="BD24" s="10">
        <v>0.18559521924643521</v>
      </c>
      <c r="BE24" s="10">
        <v>-4.606435403168687E-2</v>
      </c>
      <c r="BF24" s="10">
        <v>8.765133605409231E-2</v>
      </c>
      <c r="BG24" s="10">
        <v>2.6835965866310919E-2</v>
      </c>
      <c r="BH24" s="10">
        <v>-0.38625533691353497</v>
      </c>
      <c r="BI24" s="10">
        <v>0.2236291060700471</v>
      </c>
      <c r="BJ24" s="10">
        <v>3.3483157548845829E-3</v>
      </c>
      <c r="BK24" s="10">
        <v>4.0235468942862278E-3</v>
      </c>
      <c r="BL24" s="10">
        <v>0.31716429392471662</v>
      </c>
      <c r="BM24" s="10">
        <v>-8.4782939838988242E-2</v>
      </c>
      <c r="BN24" s="10">
        <v>6.849341845574783E-3</v>
      </c>
      <c r="BO24" s="10">
        <v>-0.16110969109564191</v>
      </c>
      <c r="BP24" s="10">
        <v>0.1233511811293219</v>
      </c>
      <c r="BQ24" s="10">
        <v>-6.4169633330115036E-2</v>
      </c>
      <c r="BR24" s="10">
        <v>4.2356223303417713E-2</v>
      </c>
      <c r="BS24" s="10">
        <v>-1.284717484456964E-3</v>
      </c>
      <c r="BT24" s="10">
        <v>0.1162706960541873</v>
      </c>
      <c r="BU24" s="10">
        <v>0.22832663155994071</v>
      </c>
      <c r="BV24" s="10">
        <v>0.1077284538879829</v>
      </c>
      <c r="BW24" s="10">
        <v>-6.1835883635593128E-2</v>
      </c>
      <c r="BX24" s="10">
        <v>-0.1329600557104578</v>
      </c>
      <c r="BY24" s="10">
        <v>0.10974566916741731</v>
      </c>
      <c r="BZ24" s="10">
        <v>0.25889289884999689</v>
      </c>
      <c r="CA24" s="10">
        <v>-0.1152216807734147</v>
      </c>
      <c r="CB24" s="10">
        <v>0.20876197428786911</v>
      </c>
      <c r="CC24" s="10">
        <v>-0.18246999999999999</v>
      </c>
      <c r="CD24" s="10">
        <v>2.9954000000000001E-2</v>
      </c>
      <c r="CE24" s="10">
        <v>0.16556499999999999</v>
      </c>
      <c r="CF24" s="10">
        <v>-0.16513</v>
      </c>
      <c r="CG24" s="10">
        <v>0.23727699999999999</v>
      </c>
      <c r="CH24" s="10">
        <v>0.35427729684250298</v>
      </c>
      <c r="CI24" s="10">
        <v>0.3284518207092646</v>
      </c>
      <c r="CJ24" s="10">
        <v>1.310948541941956E-2</v>
      </c>
      <c r="CK24" s="10">
        <v>9.3530079315696568E-2</v>
      </c>
      <c r="CL24" s="10">
        <v>0.1417553333725407</v>
      </c>
      <c r="CM24" s="10">
        <v>0.54958710995910021</v>
      </c>
      <c r="CN24" s="10">
        <v>-0.1077387664572132</v>
      </c>
      <c r="CO24" s="10">
        <v>-0.77665321833623113</v>
      </c>
      <c r="CP24" s="10">
        <v>0.28781577122863622</v>
      </c>
      <c r="CQ24" s="10">
        <v>0.1601896466275006</v>
      </c>
      <c r="CR24" s="10">
        <v>-9.6813999999999997E-2</v>
      </c>
      <c r="CS24" s="10">
        <v>-2.6858E-2</v>
      </c>
      <c r="CT24" s="10">
        <v>9.6419008147395818E-2</v>
      </c>
      <c r="CU24" s="10">
        <v>-7.2751347656710041E-2</v>
      </c>
      <c r="CV24" s="10">
        <v>1.5064047539375311E-2</v>
      </c>
      <c r="CW24" s="10">
        <v>0.17511716607200739</v>
      </c>
      <c r="CX24" s="10">
        <v>5.5207193708687041E-2</v>
      </c>
      <c r="CY24" s="10">
        <v>-8.0066904636818925E-2</v>
      </c>
      <c r="CZ24" s="10">
        <v>0.11220662844456721</v>
      </c>
      <c r="DA24" s="10">
        <v>2.451120416275485E-2</v>
      </c>
      <c r="DB24" s="10">
        <v>-1.6500000000000001E-2</v>
      </c>
      <c r="DC24" s="10">
        <v>0.17954999999999999</v>
      </c>
      <c r="DD24" s="10">
        <v>4.9299999999999997E-2</v>
      </c>
      <c r="DE24" s="10">
        <v>-0.17606275750953501</v>
      </c>
      <c r="DF24" s="10">
        <v>-0.1046649760205613</v>
      </c>
      <c r="DG24" s="10">
        <v>5.9105834124344087E-2</v>
      </c>
      <c r="DH24" s="10">
        <v>9.936698049993925E-2</v>
      </c>
      <c r="DI24" s="10">
        <v>0.1418754589382695</v>
      </c>
      <c r="DJ24" s="10">
        <v>2.1080000000000002E-2</v>
      </c>
      <c r="DK24" s="10">
        <v>0.33950921063044381</v>
      </c>
      <c r="DL24" s="10">
        <v>0.21310442628588119</v>
      </c>
      <c r="DM24" s="10">
        <v>-0.14143952722687489</v>
      </c>
      <c r="DN24" s="10">
        <v>0.23333457077469619</v>
      </c>
      <c r="DO24" s="10">
        <v>0.18544080263268789</v>
      </c>
      <c r="DP24" s="10">
        <v>0.1143734254860139</v>
      </c>
      <c r="DQ24" s="10">
        <v>-0.13297735123596999</v>
      </c>
      <c r="DR24" s="10">
        <v>-2.0515630212029241E-2</v>
      </c>
      <c r="DS24" s="10">
        <v>-0.21626154103284559</v>
      </c>
      <c r="DT24" s="10">
        <v>-7.4732999999999994E-2</v>
      </c>
      <c r="DU24" s="10">
        <v>2.178200000000001E-2</v>
      </c>
      <c r="DV24" s="10">
        <v>0.1582246986438143</v>
      </c>
      <c r="DW24" s="10">
        <v>0.10885708989133031</v>
      </c>
      <c r="DX24" s="10">
        <v>-0.31159312779250392</v>
      </c>
      <c r="DY24" s="10">
        <v>-3.2399999999999998E-3</v>
      </c>
      <c r="DZ24" s="10">
        <v>-0.43351000000000001</v>
      </c>
      <c r="EA24" s="18">
        <v>-5.4920183999999997E-2</v>
      </c>
      <c r="EB24" s="10">
        <v>2.837173691073663E-2</v>
      </c>
      <c r="EC24" s="10">
        <v>0.143647</v>
      </c>
      <c r="ED24" s="10">
        <v>-5.6172845298362112E-2</v>
      </c>
      <c r="EE24" s="10">
        <v>0.1134294391912188</v>
      </c>
      <c r="EF24" s="10">
        <v>6.7276677043968364E-2</v>
      </c>
    </row>
    <row r="26" spans="1:136" s="2" customFormat="1">
      <c r="A26" s="3" t="s">
        <v>144</v>
      </c>
      <c r="B26" s="3" t="s">
        <v>145</v>
      </c>
      <c r="C26" s="11">
        <v>-1.7446770539390338E-2</v>
      </c>
      <c r="D26" s="11">
        <v>2.070106053181563E-2</v>
      </c>
      <c r="E26" s="11">
        <v>2.3982129254766709E-2</v>
      </c>
      <c r="F26" s="11">
        <v>-6.557578972823077E-3</v>
      </c>
      <c r="G26" s="11">
        <v>3.1845129800519692E-2</v>
      </c>
      <c r="H26" s="11">
        <v>3.4348532736990518E-2</v>
      </c>
      <c r="I26" s="11">
        <v>-8.2549327813252367E-3</v>
      </c>
      <c r="J26" s="11">
        <v>1.2843524394052759E-2</v>
      </c>
      <c r="K26" s="11">
        <v>-5.1018524626790823E-2</v>
      </c>
      <c r="L26" s="11">
        <v>8.7394274103658827E-4</v>
      </c>
      <c r="M26" s="11">
        <v>2.3389575505495919E-2</v>
      </c>
      <c r="N26" s="11">
        <v>1.2988972200332851E-2</v>
      </c>
      <c r="O26" s="11">
        <v>5.8545887256348812E-3</v>
      </c>
      <c r="P26" s="11">
        <v>2.7413206571790558E-2</v>
      </c>
      <c r="Q26" s="11">
        <v>-3.7129361176928542E-3</v>
      </c>
      <c r="R26" s="11">
        <v>2.4076614047823328E-2</v>
      </c>
      <c r="S26" s="11">
        <v>-1.219002529903996E-2</v>
      </c>
      <c r="T26" s="11">
        <v>-3.9749578159589592E-2</v>
      </c>
      <c r="U26" s="11">
        <v>-7.3155449831649552E-2</v>
      </c>
      <c r="V26" s="11">
        <v>-5.8260229910114661E-2</v>
      </c>
      <c r="W26" s="11">
        <v>7.7279756550837221E-4</v>
      </c>
      <c r="X26" s="11">
        <v>4.459152113521897E-2</v>
      </c>
      <c r="Y26" s="11">
        <v>-2.7699680050213091E-2</v>
      </c>
      <c r="Z26" s="11">
        <v>2.0950059497436462E-3</v>
      </c>
      <c r="AA26" s="11">
        <v>-2.340055099256411E-2</v>
      </c>
      <c r="AB26" s="11">
        <v>3.2129371097322189E-2</v>
      </c>
      <c r="AC26" s="11">
        <v>3.890327309406643E-2</v>
      </c>
      <c r="AD26" s="11">
        <v>-4.286538217110427E-2</v>
      </c>
      <c r="AE26" s="11">
        <v>1.8647194550152159E-2</v>
      </c>
      <c r="AF26" s="11">
        <v>1.5229768322528949E-2</v>
      </c>
      <c r="AG26" s="11">
        <v>3.6016603778892417E-2</v>
      </c>
      <c r="AH26" s="11">
        <v>9.3546113853161701E-3</v>
      </c>
      <c r="AI26" s="11">
        <v>1.0748251336838139E-2</v>
      </c>
      <c r="AJ26" s="11">
        <v>1.335775405308097E-2</v>
      </c>
      <c r="AK26" s="11">
        <v>-5.3327473290953921E-3</v>
      </c>
      <c r="AL26" s="11">
        <v>1.383135807261675E-3</v>
      </c>
      <c r="AM26" s="11">
        <v>2.079592842007446E-2</v>
      </c>
      <c r="AN26" s="11">
        <v>3.1517702220390638E-2</v>
      </c>
      <c r="AO26" s="11">
        <v>6.2417165333294418E-3</v>
      </c>
      <c r="AP26" s="11">
        <v>6.1452616535713897E-3</v>
      </c>
      <c r="AQ26" s="11">
        <v>1.694635767669651E-2</v>
      </c>
      <c r="AR26" s="11">
        <v>3.4682830454308228E-2</v>
      </c>
      <c r="AS26" s="11">
        <v>3.0985886171969678E-3</v>
      </c>
      <c r="AT26" s="11">
        <v>1.508134714348611E-2</v>
      </c>
      <c r="AU26" s="11">
        <v>-1.9251209229863991E-2</v>
      </c>
      <c r="AV26" s="11">
        <v>3.8711513387631437E-2</v>
      </c>
      <c r="AW26" s="11">
        <v>-2.1856951135736599E-2</v>
      </c>
      <c r="AX26" s="11">
        <v>7.7743007097896798E-3</v>
      </c>
      <c r="AY26" s="11">
        <v>4.2397246695325942E-2</v>
      </c>
      <c r="AZ26" s="11">
        <v>-2.630897486115975E-2</v>
      </c>
      <c r="BA26" s="11">
        <v>9.5717493087162323E-3</v>
      </c>
      <c r="BB26" s="11">
        <v>-2.424974126627483E-2</v>
      </c>
      <c r="BC26" s="11">
        <v>2.0163374143915822E-2</v>
      </c>
      <c r="BD26" s="11">
        <v>-3.5049987821160239E-3</v>
      </c>
      <c r="BE26" s="11">
        <v>2.0151935098542271E-2</v>
      </c>
      <c r="BF26" s="11">
        <v>5.8133623077027128E-4</v>
      </c>
      <c r="BG26" s="11">
        <v>-5.2197009532526043E-3</v>
      </c>
      <c r="BH26" s="11">
        <v>-0.11587176140213</v>
      </c>
      <c r="BI26" s="11">
        <v>8.7252256924373536E-3</v>
      </c>
      <c r="BJ26" s="11">
        <v>-1.6377260977822151E-2</v>
      </c>
      <c r="BK26" s="11">
        <v>2.0840371600260421E-2</v>
      </c>
      <c r="BL26" s="11">
        <v>4.4975872102114713E-2</v>
      </c>
      <c r="BM26" s="11">
        <v>2.3954306081863871E-2</v>
      </c>
      <c r="BN26" s="11">
        <v>3.0239101391442601E-2</v>
      </c>
      <c r="BO26" s="11">
        <v>-4.372588759108751E-2</v>
      </c>
      <c r="BP26" s="11">
        <v>2.1889469568198618E-2</v>
      </c>
      <c r="BQ26" s="11">
        <v>8.6274302635084028E-3</v>
      </c>
      <c r="BR26" s="11">
        <v>-1.9192953994658781E-2</v>
      </c>
      <c r="BS26" s="11">
        <v>1.973512988813305E-2</v>
      </c>
      <c r="BT26" s="11">
        <v>4.7694337483699438E-2</v>
      </c>
      <c r="BU26" s="11">
        <v>1.145481680658339E-2</v>
      </c>
      <c r="BV26" s="11">
        <v>4.3228620735213191E-2</v>
      </c>
      <c r="BW26" s="11">
        <v>-4.2747430436922793E-2</v>
      </c>
      <c r="BX26" s="11">
        <v>-1.781129242779457E-2</v>
      </c>
      <c r="BY26" s="11">
        <v>-0.1511530968690756</v>
      </c>
      <c r="BZ26" s="11">
        <v>0.12422400361957529</v>
      </c>
      <c r="CA26" s="11">
        <v>-4.5572538445296431E-3</v>
      </c>
      <c r="CB26" s="11">
        <v>6.0211240204911178E-2</v>
      </c>
      <c r="CC26" s="11">
        <v>8.5992033482502284E-2</v>
      </c>
      <c r="CD26" s="11">
        <v>-5.8084795823660634E-3</v>
      </c>
      <c r="CE26" s="11">
        <v>-6.0413469889680736E-3</v>
      </c>
      <c r="CF26" s="11">
        <v>2.4523243722520739E-3</v>
      </c>
      <c r="CG26" s="11">
        <v>8.963625193702289E-2</v>
      </c>
      <c r="CH26" s="11">
        <v>7.099273252675789E-2</v>
      </c>
      <c r="CI26" s="11">
        <v>2.7170642901783448E-2</v>
      </c>
      <c r="CJ26" s="11">
        <v>5.2468428425330033E-2</v>
      </c>
      <c r="CK26" s="11">
        <v>2.9480660943049509E-2</v>
      </c>
      <c r="CL26" s="11">
        <v>6.6825081060201283E-2</v>
      </c>
      <c r="CM26" s="11">
        <v>-2.8772229019816971E-2</v>
      </c>
      <c r="CN26" s="11">
        <v>3.9462515901637851E-2</v>
      </c>
      <c r="CO26" s="11">
        <v>-2.9031086977359909E-2</v>
      </c>
      <c r="CP26" s="11">
        <v>1.3983882519467901E-2</v>
      </c>
      <c r="CQ26" s="11">
        <v>-3.2276964959333833E-2</v>
      </c>
      <c r="CR26" s="11">
        <v>3.1035766128940231E-3</v>
      </c>
      <c r="CS26" s="11">
        <v>2.5591855767083171E-2</v>
      </c>
      <c r="CT26" s="11">
        <v>4.4391886287193302E-2</v>
      </c>
      <c r="CU26" s="11">
        <v>-3.0338958549577438E-2</v>
      </c>
      <c r="CV26" s="11">
        <v>-1.2579764545717069E-3</v>
      </c>
      <c r="CW26" s="11">
        <v>2.336356455857952E-3</v>
      </c>
      <c r="CX26" s="11">
        <v>-6.4264144925906069E-2</v>
      </c>
      <c r="CY26" s="11">
        <v>1.2909779458992439E-2</v>
      </c>
      <c r="CZ26" s="11">
        <v>-0.12547709467085871</v>
      </c>
      <c r="DA26" s="11">
        <v>1.1690682939792569E-2</v>
      </c>
      <c r="DB26" s="11">
        <v>6.3378437007417512E-3</v>
      </c>
      <c r="DC26" s="11">
        <v>-0.1173053564693855</v>
      </c>
      <c r="DD26" s="11">
        <v>-3.6010872049446613E-2</v>
      </c>
      <c r="DE26" s="11">
        <v>0.1389113040722679</v>
      </c>
      <c r="DF26" s="11">
        <v>-5.1143506226105737E-2</v>
      </c>
      <c r="DG26" s="11">
        <v>7.6731447181969059E-2</v>
      </c>
      <c r="DH26" s="11">
        <v>1.550878219700816E-2</v>
      </c>
      <c r="DI26" s="11">
        <v>2.3223773674755831E-2</v>
      </c>
      <c r="DJ26" s="11">
        <v>-1.8372876361227891E-2</v>
      </c>
      <c r="DK26" s="11">
        <v>6.2199014085099431E-2</v>
      </c>
      <c r="DL26" s="11">
        <v>2.0098304486957191E-2</v>
      </c>
      <c r="DM26" s="11">
        <v>1.349893974806809E-2</v>
      </c>
      <c r="DN26" s="11">
        <v>-3.025221272842088E-2</v>
      </c>
      <c r="DO26" s="11">
        <v>-1.7022835708053841E-2</v>
      </c>
      <c r="DP26" s="11">
        <v>-2.1788523272461981E-2</v>
      </c>
      <c r="DQ26" s="11">
        <v>8.5745624585137223E-2</v>
      </c>
      <c r="DR26" s="11">
        <v>2.8106743604973752E-2</v>
      </c>
      <c r="DS26" s="11">
        <v>-2.3031598073594501E-3</v>
      </c>
      <c r="DT26" s="11">
        <v>5.8471198131487503E-2</v>
      </c>
      <c r="DU26" s="11">
        <v>6.7658949048647651E-2</v>
      </c>
      <c r="DV26" s="11">
        <v>5.0207706404322644E-3</v>
      </c>
      <c r="DW26" s="11">
        <v>3.7416183675207063E-2</v>
      </c>
      <c r="DX26" s="11">
        <v>8.4111003746042121E-2</v>
      </c>
      <c r="DY26" s="11">
        <v>-3.6832398544012837E-2</v>
      </c>
      <c r="DZ26" s="11">
        <v>3.0917028169369942E-3</v>
      </c>
      <c r="EA26" s="11">
        <v>-1.957628214294549E-3</v>
      </c>
      <c r="EB26" s="11">
        <v>2.6459103603519739E-2</v>
      </c>
      <c r="EC26" s="11">
        <v>-2.4752538760690269E-2</v>
      </c>
      <c r="ED26" s="11">
        <v>3.4115490982559941E-2</v>
      </c>
      <c r="EE26" s="11">
        <v>2.1061973989032982E-2</v>
      </c>
      <c r="EF26" s="11">
        <v>-2.0277392706005919E-2</v>
      </c>
    </row>
    <row r="28" spans="1:136">
      <c r="B28" s="13" t="s">
        <v>196</v>
      </c>
      <c r="C28" s="24">
        <v>5455</v>
      </c>
      <c r="D28" s="24">
        <v>5455</v>
      </c>
      <c r="E28" s="24">
        <v>5455</v>
      </c>
      <c r="F28" s="24">
        <v>8097</v>
      </c>
      <c r="G28" s="24">
        <v>5455</v>
      </c>
      <c r="H28" s="24">
        <v>5455</v>
      </c>
      <c r="I28" s="24">
        <v>6291</v>
      </c>
      <c r="J28" s="24">
        <v>5455</v>
      </c>
      <c r="K28" s="24">
        <v>6291</v>
      </c>
      <c r="L28" s="24">
        <v>5455</v>
      </c>
      <c r="M28" s="24">
        <v>8077</v>
      </c>
      <c r="N28" s="24">
        <v>5455</v>
      </c>
      <c r="O28" s="24">
        <v>5455</v>
      </c>
      <c r="P28" s="24">
        <v>6291</v>
      </c>
      <c r="Q28" s="24">
        <v>6291</v>
      </c>
      <c r="R28" s="24">
        <v>6291</v>
      </c>
      <c r="S28" s="24">
        <v>6291</v>
      </c>
      <c r="T28" s="24">
        <v>5455</v>
      </c>
      <c r="U28" s="24">
        <v>6291</v>
      </c>
      <c r="V28" s="24">
        <v>6291</v>
      </c>
      <c r="W28" s="24">
        <v>4413</v>
      </c>
      <c r="X28" s="24">
        <v>6291</v>
      </c>
      <c r="Y28" s="24">
        <v>6291</v>
      </c>
      <c r="Z28" s="24">
        <v>6291</v>
      </c>
      <c r="AA28" s="24">
        <v>6291</v>
      </c>
      <c r="AB28" s="24">
        <v>6228</v>
      </c>
      <c r="AC28" s="24">
        <v>6291</v>
      </c>
      <c r="AD28" s="24">
        <v>9906</v>
      </c>
      <c r="AE28" s="24">
        <v>6291</v>
      </c>
      <c r="AF28" s="24">
        <v>6225</v>
      </c>
      <c r="AG28" s="24">
        <v>6291</v>
      </c>
      <c r="AH28" s="24">
        <v>6225</v>
      </c>
      <c r="AI28" s="24">
        <v>6225</v>
      </c>
      <c r="AJ28" s="24">
        <v>6225</v>
      </c>
      <c r="AK28" s="24">
        <v>6225</v>
      </c>
      <c r="AL28" s="24">
        <v>6225</v>
      </c>
      <c r="AM28" s="24">
        <v>6225</v>
      </c>
      <c r="AN28" s="24">
        <v>6225</v>
      </c>
      <c r="AO28" s="24">
        <v>6225</v>
      </c>
      <c r="AP28" s="24">
        <v>6225</v>
      </c>
      <c r="AQ28" s="24">
        <v>6225</v>
      </c>
      <c r="AR28" s="24">
        <v>6225</v>
      </c>
      <c r="AS28" s="24">
        <v>6225</v>
      </c>
      <c r="AT28" s="24">
        <v>6225</v>
      </c>
      <c r="AU28" s="24">
        <v>6225</v>
      </c>
      <c r="AV28" s="24">
        <v>6225</v>
      </c>
      <c r="AW28" s="24">
        <v>3043</v>
      </c>
      <c r="AX28" s="24">
        <v>3043</v>
      </c>
      <c r="AY28" s="24">
        <v>6225</v>
      </c>
      <c r="AZ28" s="24">
        <v>6225</v>
      </c>
      <c r="BA28" s="24">
        <v>6291</v>
      </c>
      <c r="BB28" s="24">
        <v>6291</v>
      </c>
      <c r="BC28" s="24">
        <v>6225</v>
      </c>
      <c r="BD28" s="24">
        <v>6225</v>
      </c>
      <c r="BE28" s="24">
        <v>6225</v>
      </c>
      <c r="BF28" s="24">
        <v>6225</v>
      </c>
      <c r="BG28" s="24">
        <v>6225</v>
      </c>
      <c r="BH28" s="24">
        <v>6225</v>
      </c>
      <c r="BI28" s="24">
        <v>6225</v>
      </c>
      <c r="BJ28" s="24">
        <v>6225</v>
      </c>
      <c r="BK28" s="24">
        <v>6225</v>
      </c>
      <c r="BL28" s="24">
        <v>6225</v>
      </c>
      <c r="BM28" s="24">
        <v>4303</v>
      </c>
      <c r="BN28" s="24">
        <v>6225</v>
      </c>
      <c r="BO28" s="24">
        <v>6225</v>
      </c>
      <c r="BP28" s="24">
        <v>6225</v>
      </c>
      <c r="BQ28" s="24">
        <v>6225</v>
      </c>
      <c r="BR28" s="24">
        <v>6225</v>
      </c>
      <c r="BS28" s="24">
        <v>6225</v>
      </c>
      <c r="BT28" s="24">
        <v>6225</v>
      </c>
      <c r="BU28" s="24">
        <v>8080</v>
      </c>
      <c r="BV28" s="24">
        <v>6225</v>
      </c>
      <c r="BW28" s="24">
        <v>5205</v>
      </c>
      <c r="BX28" s="24">
        <v>8080</v>
      </c>
      <c r="BY28" s="24">
        <v>8080</v>
      </c>
      <c r="BZ28" s="24">
        <v>8080</v>
      </c>
      <c r="CA28" s="24">
        <v>8080</v>
      </c>
      <c r="CB28" s="24">
        <v>8080</v>
      </c>
      <c r="CC28" s="24">
        <v>8087</v>
      </c>
      <c r="CD28" s="24">
        <v>5205</v>
      </c>
      <c r="CE28" s="24">
        <v>5205</v>
      </c>
      <c r="CF28" s="24">
        <v>4304</v>
      </c>
      <c r="CG28" s="24">
        <v>4304</v>
      </c>
      <c r="CH28" s="24">
        <v>5205</v>
      </c>
      <c r="CI28" s="24">
        <v>5205</v>
      </c>
      <c r="CJ28" s="24">
        <v>8080</v>
      </c>
      <c r="CK28" s="24">
        <v>8080</v>
      </c>
      <c r="CL28" s="24">
        <v>8080</v>
      </c>
      <c r="CM28" s="24">
        <v>5205</v>
      </c>
      <c r="CN28" s="24">
        <v>6287</v>
      </c>
      <c r="CO28" s="24">
        <v>6287</v>
      </c>
      <c r="CP28" s="24">
        <v>6287</v>
      </c>
      <c r="CQ28" s="24">
        <v>1325</v>
      </c>
      <c r="CR28" s="24">
        <v>5205</v>
      </c>
      <c r="CS28" s="24">
        <v>5205</v>
      </c>
      <c r="CT28" s="24">
        <v>6287</v>
      </c>
      <c r="CU28" s="24">
        <v>8101</v>
      </c>
      <c r="CV28" s="24">
        <v>8101</v>
      </c>
      <c r="CW28" s="24">
        <v>8101</v>
      </c>
      <c r="CX28" s="24">
        <v>8101</v>
      </c>
      <c r="CY28" s="24">
        <v>8101</v>
      </c>
      <c r="CZ28" s="24">
        <v>8101</v>
      </c>
      <c r="DA28" s="24">
        <v>6225</v>
      </c>
      <c r="DB28" s="24">
        <v>5314</v>
      </c>
      <c r="DC28" s="24">
        <v>5314</v>
      </c>
      <c r="DD28" s="24">
        <v>8080</v>
      </c>
      <c r="DE28" s="24">
        <v>6225</v>
      </c>
      <c r="DF28" s="24">
        <v>3064</v>
      </c>
      <c r="DG28" s="24">
        <v>6225</v>
      </c>
      <c r="DH28" s="24">
        <v>6225</v>
      </c>
      <c r="DI28" s="24">
        <v>6225</v>
      </c>
      <c r="DJ28" s="24">
        <v>8067</v>
      </c>
      <c r="DK28" s="24">
        <v>6225</v>
      </c>
      <c r="DL28" s="24">
        <v>6225</v>
      </c>
      <c r="DM28" s="24">
        <v>8084</v>
      </c>
      <c r="DN28" s="24">
        <v>8084</v>
      </c>
      <c r="DO28" s="24">
        <v>1519</v>
      </c>
      <c r="DP28" s="24">
        <v>1519</v>
      </c>
      <c r="DQ28" s="24">
        <v>8084</v>
      </c>
      <c r="DR28" s="24">
        <v>4419</v>
      </c>
      <c r="DS28" s="24">
        <v>4419</v>
      </c>
      <c r="DT28" s="24">
        <v>5345</v>
      </c>
      <c r="DU28" s="24">
        <v>5345</v>
      </c>
      <c r="DV28" s="24">
        <v>4419</v>
      </c>
      <c r="DW28" s="24">
        <v>4419</v>
      </c>
      <c r="DX28" s="24">
        <v>4419</v>
      </c>
      <c r="DY28" s="24">
        <v>2321</v>
      </c>
      <c r="DZ28" s="24">
        <v>8101</v>
      </c>
      <c r="EA28" s="24">
        <v>2321</v>
      </c>
      <c r="EB28" s="24">
        <v>1519</v>
      </c>
      <c r="EC28" s="24">
        <v>2321</v>
      </c>
      <c r="ED28" s="24">
        <v>6287</v>
      </c>
      <c r="EE28" s="24">
        <v>5314</v>
      </c>
      <c r="EF28" s="24">
        <v>5314</v>
      </c>
    </row>
    <row r="29" spans="1:136">
      <c r="B29" s="13" t="s">
        <v>197</v>
      </c>
      <c r="C29" s="24" t="s">
        <v>156</v>
      </c>
      <c r="D29" s="24" t="s">
        <v>156</v>
      </c>
      <c r="E29" s="24" t="s">
        <v>156</v>
      </c>
      <c r="F29" s="24" t="s">
        <v>157</v>
      </c>
      <c r="G29" s="24" t="s">
        <v>156</v>
      </c>
      <c r="H29" s="24" t="s">
        <v>156</v>
      </c>
      <c r="I29" s="24" t="s">
        <v>158</v>
      </c>
      <c r="J29" s="24" t="s">
        <v>156</v>
      </c>
      <c r="K29" s="24" t="s">
        <v>158</v>
      </c>
      <c r="L29" s="24" t="s">
        <v>156</v>
      </c>
      <c r="M29" s="24" t="s">
        <v>159</v>
      </c>
      <c r="N29" s="24" t="s">
        <v>156</v>
      </c>
      <c r="O29" s="24" t="s">
        <v>156</v>
      </c>
      <c r="P29" s="24" t="s">
        <v>158</v>
      </c>
      <c r="Q29" s="24" t="s">
        <v>158</v>
      </c>
      <c r="R29" s="24" t="s">
        <v>158</v>
      </c>
      <c r="S29" s="24" t="s">
        <v>158</v>
      </c>
      <c r="T29" s="24" t="s">
        <v>156</v>
      </c>
      <c r="U29" s="24" t="s">
        <v>158</v>
      </c>
      <c r="V29" s="24" t="s">
        <v>158</v>
      </c>
      <c r="W29" s="24" t="s">
        <v>160</v>
      </c>
      <c r="X29" s="24" t="s">
        <v>158</v>
      </c>
      <c r="Y29" s="24" t="s">
        <v>158</v>
      </c>
      <c r="Z29" s="24" t="s">
        <v>158</v>
      </c>
      <c r="AA29" s="24" t="s">
        <v>158</v>
      </c>
      <c r="AB29" s="24" t="s">
        <v>161</v>
      </c>
      <c r="AC29" s="24" t="s">
        <v>158</v>
      </c>
      <c r="AD29" s="24" t="s">
        <v>162</v>
      </c>
      <c r="AE29" s="24" t="s">
        <v>158</v>
      </c>
      <c r="AF29" s="24" t="s">
        <v>163</v>
      </c>
      <c r="AG29" s="24" t="s">
        <v>158</v>
      </c>
      <c r="AH29" s="24" t="s">
        <v>163</v>
      </c>
      <c r="AI29" s="24" t="s">
        <v>163</v>
      </c>
      <c r="AJ29" s="24" t="s">
        <v>163</v>
      </c>
      <c r="AK29" s="24" t="s">
        <v>163</v>
      </c>
      <c r="AL29" s="24" t="s">
        <v>163</v>
      </c>
      <c r="AM29" s="24" t="s">
        <v>163</v>
      </c>
      <c r="AN29" s="24" t="s">
        <v>163</v>
      </c>
      <c r="AO29" s="24" t="s">
        <v>163</v>
      </c>
      <c r="AP29" s="24" t="s">
        <v>163</v>
      </c>
      <c r="AQ29" s="24" t="s">
        <v>163</v>
      </c>
      <c r="AR29" s="24" t="s">
        <v>163</v>
      </c>
      <c r="AS29" s="24" t="s">
        <v>163</v>
      </c>
      <c r="AT29" s="24" t="s">
        <v>163</v>
      </c>
      <c r="AU29" s="24" t="s">
        <v>163</v>
      </c>
      <c r="AV29" s="24" t="s">
        <v>163</v>
      </c>
      <c r="AW29" s="24" t="s">
        <v>164</v>
      </c>
      <c r="AX29" s="24" t="s">
        <v>164</v>
      </c>
      <c r="AY29" s="24" t="s">
        <v>163</v>
      </c>
      <c r="AZ29" s="24" t="s">
        <v>163</v>
      </c>
      <c r="BA29" s="24" t="s">
        <v>158</v>
      </c>
      <c r="BB29" s="24" t="s">
        <v>158</v>
      </c>
      <c r="BC29" s="24" t="s">
        <v>163</v>
      </c>
      <c r="BD29" s="24" t="s">
        <v>163</v>
      </c>
      <c r="BE29" s="24" t="s">
        <v>163</v>
      </c>
      <c r="BF29" s="24" t="s">
        <v>163</v>
      </c>
      <c r="BG29" s="24" t="s">
        <v>163</v>
      </c>
      <c r="BH29" s="24" t="s">
        <v>163</v>
      </c>
      <c r="BI29" s="24" t="s">
        <v>163</v>
      </c>
      <c r="BJ29" s="24" t="s">
        <v>163</v>
      </c>
      <c r="BK29" s="24" t="s">
        <v>163</v>
      </c>
      <c r="BL29" s="24" t="s">
        <v>163</v>
      </c>
      <c r="BM29" s="24" t="s">
        <v>165</v>
      </c>
      <c r="BN29" s="24" t="s">
        <v>163</v>
      </c>
      <c r="BO29" s="24" t="s">
        <v>163</v>
      </c>
      <c r="BP29" s="24" t="s">
        <v>163</v>
      </c>
      <c r="BQ29" s="24" t="s">
        <v>163</v>
      </c>
      <c r="BR29" s="24" t="s">
        <v>163</v>
      </c>
      <c r="BS29" s="24" t="s">
        <v>163</v>
      </c>
      <c r="BT29" s="24" t="s">
        <v>163</v>
      </c>
      <c r="BU29" s="24" t="s">
        <v>166</v>
      </c>
      <c r="BV29" s="24" t="s">
        <v>163</v>
      </c>
      <c r="BW29" s="24" t="s">
        <v>167</v>
      </c>
      <c r="BX29" s="24" t="s">
        <v>166</v>
      </c>
      <c r="BY29" s="24" t="s">
        <v>166</v>
      </c>
      <c r="BZ29" s="24" t="s">
        <v>166</v>
      </c>
      <c r="CA29" s="24" t="s">
        <v>166</v>
      </c>
      <c r="CB29" s="24" t="s">
        <v>166</v>
      </c>
      <c r="CC29" s="24" t="s">
        <v>168</v>
      </c>
      <c r="CD29" s="24" t="s">
        <v>167</v>
      </c>
      <c r="CE29" s="24" t="s">
        <v>167</v>
      </c>
      <c r="CF29" s="24" t="s">
        <v>169</v>
      </c>
      <c r="CG29" s="24" t="s">
        <v>169</v>
      </c>
      <c r="CH29" s="24" t="s">
        <v>167</v>
      </c>
      <c r="CI29" s="24" t="s">
        <v>167</v>
      </c>
      <c r="CJ29" s="24" t="s">
        <v>166</v>
      </c>
      <c r="CK29" s="24" t="s">
        <v>166</v>
      </c>
      <c r="CL29" s="24" t="s">
        <v>166</v>
      </c>
      <c r="CM29" s="24" t="s">
        <v>167</v>
      </c>
      <c r="CN29" s="24" t="s">
        <v>170</v>
      </c>
      <c r="CO29" s="24" t="s">
        <v>170</v>
      </c>
      <c r="CP29" s="24" t="s">
        <v>170</v>
      </c>
      <c r="CQ29" s="24" t="s">
        <v>171</v>
      </c>
      <c r="CR29" s="24" t="s">
        <v>167</v>
      </c>
      <c r="CS29" s="24" t="s">
        <v>167</v>
      </c>
      <c r="CT29" s="24" t="s">
        <v>170</v>
      </c>
      <c r="CU29" s="24" t="s">
        <v>172</v>
      </c>
      <c r="CV29" s="24" t="s">
        <v>172</v>
      </c>
      <c r="CW29" s="24" t="s">
        <v>172</v>
      </c>
      <c r="CX29" s="24" t="s">
        <v>172</v>
      </c>
      <c r="CY29" s="24" t="s">
        <v>172</v>
      </c>
      <c r="CZ29" s="24" t="s">
        <v>172</v>
      </c>
      <c r="DA29" s="24" t="s">
        <v>163</v>
      </c>
      <c r="DB29" s="24" t="s">
        <v>173</v>
      </c>
      <c r="DC29" s="24" t="s">
        <v>173</v>
      </c>
      <c r="DD29" s="24" t="s">
        <v>166</v>
      </c>
      <c r="DE29" s="24" t="s">
        <v>163</v>
      </c>
      <c r="DF29" s="24" t="s">
        <v>174</v>
      </c>
      <c r="DG29" s="24" t="s">
        <v>163</v>
      </c>
      <c r="DH29" s="24" t="s">
        <v>163</v>
      </c>
      <c r="DI29" s="24" t="s">
        <v>163</v>
      </c>
      <c r="DJ29" s="24" t="s">
        <v>175</v>
      </c>
      <c r="DK29" s="24" t="s">
        <v>163</v>
      </c>
      <c r="DL29" s="24" t="s">
        <v>163</v>
      </c>
      <c r="DM29" s="24" t="s">
        <v>176</v>
      </c>
      <c r="DN29" s="24" t="s">
        <v>176</v>
      </c>
      <c r="DO29" s="24" t="s">
        <v>177</v>
      </c>
      <c r="DP29" s="24" t="s">
        <v>177</v>
      </c>
      <c r="DQ29" s="24" t="s">
        <v>176</v>
      </c>
      <c r="DR29" s="24" t="s">
        <v>178</v>
      </c>
      <c r="DS29" s="24" t="s">
        <v>178</v>
      </c>
      <c r="DT29" s="24" t="s">
        <v>179</v>
      </c>
      <c r="DU29" s="24" t="s">
        <v>179</v>
      </c>
      <c r="DV29" s="24" t="s">
        <v>178</v>
      </c>
      <c r="DW29" s="24" t="s">
        <v>178</v>
      </c>
      <c r="DX29" s="24" t="s">
        <v>178</v>
      </c>
      <c r="DY29" s="24" t="s">
        <v>180</v>
      </c>
      <c r="DZ29" s="24" t="s">
        <v>172</v>
      </c>
      <c r="EA29" s="24" t="s">
        <v>180</v>
      </c>
      <c r="EB29" s="24" t="s">
        <v>177</v>
      </c>
      <c r="EC29" s="24" t="s">
        <v>180</v>
      </c>
      <c r="ED29" s="24" t="s">
        <v>170</v>
      </c>
      <c r="EE29" s="24" t="s">
        <v>173</v>
      </c>
      <c r="EF29" s="24" t="s">
        <v>173</v>
      </c>
    </row>
    <row r="30" spans="1:136">
      <c r="B30" s="13" t="s">
        <v>198</v>
      </c>
      <c r="C30" s="24">
        <v>2330</v>
      </c>
      <c r="D30" s="24">
        <v>2330</v>
      </c>
      <c r="E30" s="24">
        <v>2330</v>
      </c>
      <c r="F30" s="24">
        <v>2330</v>
      </c>
      <c r="G30" s="24">
        <v>2330</v>
      </c>
      <c r="H30" s="24">
        <v>2330</v>
      </c>
      <c r="I30" s="24">
        <v>2330</v>
      </c>
      <c r="J30" s="24">
        <v>2330</v>
      </c>
      <c r="K30" s="24">
        <v>2330</v>
      </c>
      <c r="L30" s="24">
        <v>2330</v>
      </c>
      <c r="M30" s="24">
        <v>2323</v>
      </c>
      <c r="N30" s="24">
        <v>2330</v>
      </c>
      <c r="O30" s="24">
        <v>2330</v>
      </c>
      <c r="P30" s="24">
        <v>2330</v>
      </c>
      <c r="Q30" s="24">
        <v>2330</v>
      </c>
      <c r="R30" s="24">
        <v>2330</v>
      </c>
      <c r="S30" s="24">
        <v>2330</v>
      </c>
      <c r="T30" s="24">
        <v>2323</v>
      </c>
      <c r="U30" s="24">
        <v>2330</v>
      </c>
      <c r="V30" s="24">
        <v>2330</v>
      </c>
      <c r="W30" s="24">
        <v>2323</v>
      </c>
      <c r="X30" s="24">
        <v>2330</v>
      </c>
      <c r="Y30" s="24">
        <v>2330</v>
      </c>
      <c r="Z30" s="24">
        <v>2330</v>
      </c>
      <c r="AA30" s="24">
        <v>2330</v>
      </c>
      <c r="AB30" s="24">
        <v>4502</v>
      </c>
      <c r="AC30" s="24">
        <v>2330</v>
      </c>
      <c r="AD30" s="24">
        <v>4502</v>
      </c>
      <c r="AE30" s="24">
        <v>2330</v>
      </c>
      <c r="AF30" s="24">
        <v>2323</v>
      </c>
      <c r="AG30" s="24">
        <v>2330</v>
      </c>
      <c r="AH30" s="24">
        <v>2323</v>
      </c>
      <c r="AI30" s="24">
        <v>2323</v>
      </c>
      <c r="AJ30" s="24">
        <v>2323</v>
      </c>
      <c r="AK30" s="24">
        <v>2323</v>
      </c>
      <c r="AL30" s="24">
        <v>2323</v>
      </c>
      <c r="AM30" s="24">
        <v>2323</v>
      </c>
      <c r="AN30" s="24">
        <v>2323</v>
      </c>
      <c r="AO30" s="24">
        <v>2323</v>
      </c>
      <c r="AP30" s="24">
        <v>2323</v>
      </c>
      <c r="AQ30" s="24">
        <v>2323</v>
      </c>
      <c r="AR30" s="24">
        <v>2323</v>
      </c>
      <c r="AS30" s="24">
        <v>2323</v>
      </c>
      <c r="AT30" s="24">
        <v>2323</v>
      </c>
      <c r="AU30" s="24">
        <v>2323</v>
      </c>
      <c r="AV30" s="24">
        <v>2323</v>
      </c>
      <c r="AW30" s="24">
        <v>3252</v>
      </c>
      <c r="AX30" s="24">
        <v>3252</v>
      </c>
      <c r="AY30" s="24">
        <v>3252</v>
      </c>
      <c r="AZ30" s="24">
        <v>3252</v>
      </c>
      <c r="BA30" s="24">
        <v>2330</v>
      </c>
      <c r="BB30" s="24">
        <v>2330</v>
      </c>
      <c r="BC30" s="24">
        <v>3252</v>
      </c>
      <c r="BD30" s="24">
        <v>1906</v>
      </c>
      <c r="BE30" s="24">
        <v>1906</v>
      </c>
      <c r="BF30" s="24">
        <v>3252</v>
      </c>
      <c r="BG30" s="24">
        <v>1906</v>
      </c>
      <c r="BH30" s="24">
        <v>1906</v>
      </c>
      <c r="BI30" s="24">
        <v>1906</v>
      </c>
      <c r="BJ30" s="24">
        <v>1906</v>
      </c>
      <c r="BK30" s="24">
        <v>8085</v>
      </c>
      <c r="BL30" s="24">
        <v>8085</v>
      </c>
      <c r="BM30" s="24">
        <v>1529</v>
      </c>
      <c r="BN30" s="24">
        <v>8085</v>
      </c>
      <c r="BO30" s="24">
        <v>8085</v>
      </c>
      <c r="BP30" s="24">
        <v>8085</v>
      </c>
      <c r="BQ30" s="24">
        <v>3252</v>
      </c>
      <c r="BR30" s="24">
        <v>2409</v>
      </c>
      <c r="BS30" s="24">
        <v>3252</v>
      </c>
      <c r="BT30" s="24">
        <v>3311</v>
      </c>
      <c r="BU30" s="24">
        <v>3311</v>
      </c>
      <c r="BV30" s="24">
        <v>2321</v>
      </c>
      <c r="BW30" s="24">
        <v>3252</v>
      </c>
      <c r="BX30" s="24">
        <v>3252</v>
      </c>
      <c r="BY30" s="24">
        <v>3252</v>
      </c>
      <c r="BZ30" s="24">
        <v>5608</v>
      </c>
      <c r="CA30" s="24">
        <v>5608</v>
      </c>
      <c r="CB30" s="24">
        <v>5608</v>
      </c>
      <c r="CC30" s="24">
        <v>2330</v>
      </c>
      <c r="CD30" s="24">
        <v>2330</v>
      </c>
      <c r="CE30" s="24">
        <v>2330</v>
      </c>
      <c r="CF30" s="24">
        <v>2330</v>
      </c>
      <c r="CG30" s="24">
        <v>2330</v>
      </c>
      <c r="CH30" s="24">
        <v>1314</v>
      </c>
      <c r="CI30" s="24">
        <v>3252</v>
      </c>
      <c r="CJ30" s="24">
        <v>3252</v>
      </c>
      <c r="CK30" s="24">
        <v>3252</v>
      </c>
      <c r="CL30" s="24">
        <v>3252</v>
      </c>
      <c r="CM30" s="24">
        <v>3252</v>
      </c>
      <c r="CN30" s="24">
        <v>3252</v>
      </c>
      <c r="CO30" s="24">
        <v>3252</v>
      </c>
      <c r="CP30" s="24">
        <v>1906</v>
      </c>
      <c r="CQ30" s="24">
        <v>5475</v>
      </c>
      <c r="CR30" s="24">
        <v>2330</v>
      </c>
      <c r="CS30" s="24">
        <v>2330</v>
      </c>
      <c r="CT30" s="24">
        <v>1906</v>
      </c>
      <c r="CU30" s="24">
        <v>1906</v>
      </c>
      <c r="CV30" s="24">
        <v>1906</v>
      </c>
      <c r="CW30" s="24">
        <v>1906</v>
      </c>
      <c r="CX30" s="24">
        <v>1906</v>
      </c>
      <c r="CY30" s="24">
        <v>1906</v>
      </c>
      <c r="CZ30" s="24">
        <v>1906</v>
      </c>
      <c r="DA30" s="24">
        <v>1314</v>
      </c>
      <c r="DB30" s="24">
        <v>2330</v>
      </c>
      <c r="DC30" s="24">
        <v>2330</v>
      </c>
      <c r="DD30" s="24">
        <v>2330</v>
      </c>
      <c r="DE30" s="24">
        <v>2323</v>
      </c>
      <c r="DF30" s="24">
        <v>2323</v>
      </c>
      <c r="DG30" s="24">
        <v>2362</v>
      </c>
      <c r="DH30" s="24">
        <v>3252</v>
      </c>
      <c r="DI30" s="24">
        <v>2362</v>
      </c>
      <c r="DJ30" s="24">
        <v>2330</v>
      </c>
      <c r="DK30" s="24">
        <v>3252</v>
      </c>
      <c r="DL30" s="24">
        <v>1314</v>
      </c>
      <c r="DM30" s="24">
        <v>2603</v>
      </c>
      <c r="DN30" s="24">
        <v>2603</v>
      </c>
      <c r="DO30" s="24">
        <v>2603</v>
      </c>
      <c r="DP30" s="24">
        <v>2603</v>
      </c>
      <c r="DQ30" s="24">
        <v>1906</v>
      </c>
      <c r="DR30" s="24">
        <v>1906</v>
      </c>
      <c r="DS30" s="24">
        <v>1314</v>
      </c>
      <c r="DT30" s="24">
        <v>2330</v>
      </c>
      <c r="DU30" s="24">
        <v>2330</v>
      </c>
      <c r="DV30" s="24">
        <v>1314</v>
      </c>
      <c r="DW30" s="24">
        <v>1312</v>
      </c>
      <c r="DX30" s="24">
        <v>1314</v>
      </c>
      <c r="DY30" s="24">
        <v>2330</v>
      </c>
      <c r="DZ30" s="24">
        <v>2330</v>
      </c>
      <c r="EA30" s="24">
        <v>2330</v>
      </c>
      <c r="EB30" s="24">
        <v>1312</v>
      </c>
      <c r="EC30" s="24">
        <v>2330</v>
      </c>
      <c r="ED30" s="24">
        <v>1312</v>
      </c>
      <c r="EE30" s="24">
        <v>1312</v>
      </c>
      <c r="EF30" s="24">
        <v>1314</v>
      </c>
    </row>
    <row r="31" spans="1:136">
      <c r="B31" s="13" t="s">
        <v>197</v>
      </c>
      <c r="C31" s="24" t="s">
        <v>181</v>
      </c>
      <c r="D31" s="24" t="s">
        <v>181</v>
      </c>
      <c r="E31" s="24" t="s">
        <v>181</v>
      </c>
      <c r="F31" s="24" t="s">
        <v>181</v>
      </c>
      <c r="G31" s="24" t="s">
        <v>181</v>
      </c>
      <c r="H31" s="24" t="s">
        <v>181</v>
      </c>
      <c r="I31" s="24" t="s">
        <v>181</v>
      </c>
      <c r="J31" s="24" t="s">
        <v>181</v>
      </c>
      <c r="K31" s="24" t="s">
        <v>181</v>
      </c>
      <c r="L31" s="24" t="s">
        <v>181</v>
      </c>
      <c r="M31" s="24" t="s">
        <v>182</v>
      </c>
      <c r="N31" s="24" t="s">
        <v>181</v>
      </c>
      <c r="O31" s="24" t="s">
        <v>181</v>
      </c>
      <c r="P31" s="24" t="s">
        <v>181</v>
      </c>
      <c r="Q31" s="24" t="s">
        <v>181</v>
      </c>
      <c r="R31" s="24" t="s">
        <v>181</v>
      </c>
      <c r="S31" s="24" t="s">
        <v>181</v>
      </c>
      <c r="T31" s="24" t="s">
        <v>182</v>
      </c>
      <c r="U31" s="24" t="s">
        <v>181</v>
      </c>
      <c r="V31" s="24" t="s">
        <v>181</v>
      </c>
      <c r="W31" s="24" t="s">
        <v>182</v>
      </c>
      <c r="X31" s="24" t="s">
        <v>181</v>
      </c>
      <c r="Y31" s="24" t="s">
        <v>181</v>
      </c>
      <c r="Z31" s="24" t="s">
        <v>181</v>
      </c>
      <c r="AA31" s="24" t="s">
        <v>181</v>
      </c>
      <c r="AB31" s="24" t="s">
        <v>183</v>
      </c>
      <c r="AC31" s="24" t="s">
        <v>181</v>
      </c>
      <c r="AD31" s="24" t="s">
        <v>183</v>
      </c>
      <c r="AE31" s="24" t="s">
        <v>181</v>
      </c>
      <c r="AF31" s="24" t="s">
        <v>182</v>
      </c>
      <c r="AG31" s="24" t="s">
        <v>181</v>
      </c>
      <c r="AH31" s="24" t="s">
        <v>182</v>
      </c>
      <c r="AI31" s="24" t="s">
        <v>182</v>
      </c>
      <c r="AJ31" s="24" t="s">
        <v>182</v>
      </c>
      <c r="AK31" s="24" t="s">
        <v>182</v>
      </c>
      <c r="AL31" s="24" t="s">
        <v>182</v>
      </c>
      <c r="AM31" s="24" t="s">
        <v>182</v>
      </c>
      <c r="AN31" s="24" t="s">
        <v>182</v>
      </c>
      <c r="AO31" s="24" t="s">
        <v>182</v>
      </c>
      <c r="AP31" s="24" t="s">
        <v>182</v>
      </c>
      <c r="AQ31" s="24" t="s">
        <v>182</v>
      </c>
      <c r="AR31" s="24" t="s">
        <v>182</v>
      </c>
      <c r="AS31" s="24" t="s">
        <v>182</v>
      </c>
      <c r="AT31" s="24" t="s">
        <v>182</v>
      </c>
      <c r="AU31" s="24" t="s">
        <v>182</v>
      </c>
      <c r="AV31" s="24" t="s">
        <v>182</v>
      </c>
      <c r="AW31" s="24" t="s">
        <v>184</v>
      </c>
      <c r="AX31" s="24" t="s">
        <v>184</v>
      </c>
      <c r="AY31" s="24" t="s">
        <v>184</v>
      </c>
      <c r="AZ31" s="24" t="s">
        <v>184</v>
      </c>
      <c r="BA31" s="24" t="s">
        <v>181</v>
      </c>
      <c r="BB31" s="24" t="s">
        <v>181</v>
      </c>
      <c r="BC31" s="24" t="s">
        <v>184</v>
      </c>
      <c r="BD31" s="24" t="s">
        <v>185</v>
      </c>
      <c r="BE31" s="24" t="s">
        <v>185</v>
      </c>
      <c r="BF31" s="24" t="s">
        <v>184</v>
      </c>
      <c r="BG31" s="24" t="s">
        <v>185</v>
      </c>
      <c r="BH31" s="24" t="s">
        <v>185</v>
      </c>
      <c r="BI31" s="24" t="s">
        <v>185</v>
      </c>
      <c r="BJ31" s="24" t="s">
        <v>185</v>
      </c>
      <c r="BK31" s="24" t="s">
        <v>186</v>
      </c>
      <c r="BL31" s="24" t="s">
        <v>186</v>
      </c>
      <c r="BM31" s="24" t="s">
        <v>187</v>
      </c>
      <c r="BN31" s="24" t="s">
        <v>186</v>
      </c>
      <c r="BO31" s="24" t="s">
        <v>186</v>
      </c>
      <c r="BP31" s="24" t="s">
        <v>186</v>
      </c>
      <c r="BQ31" s="24" t="s">
        <v>184</v>
      </c>
      <c r="BR31" s="24" t="s">
        <v>188</v>
      </c>
      <c r="BS31" s="24" t="s">
        <v>184</v>
      </c>
      <c r="BT31" s="24" t="s">
        <v>189</v>
      </c>
      <c r="BU31" s="24" t="s">
        <v>189</v>
      </c>
      <c r="BV31" s="24" t="s">
        <v>180</v>
      </c>
      <c r="BW31" s="24" t="s">
        <v>184</v>
      </c>
      <c r="BX31" s="24" t="s">
        <v>184</v>
      </c>
      <c r="BY31" s="24" t="s">
        <v>184</v>
      </c>
      <c r="BZ31" s="24" t="s">
        <v>190</v>
      </c>
      <c r="CA31" s="24" t="s">
        <v>190</v>
      </c>
      <c r="CB31" s="24" t="s">
        <v>190</v>
      </c>
      <c r="CC31" s="24" t="s">
        <v>181</v>
      </c>
      <c r="CD31" s="24" t="s">
        <v>181</v>
      </c>
      <c r="CE31" s="24" t="s">
        <v>181</v>
      </c>
      <c r="CF31" s="24" t="s">
        <v>181</v>
      </c>
      <c r="CG31" s="24" t="s">
        <v>181</v>
      </c>
      <c r="CH31" s="24" t="s">
        <v>191</v>
      </c>
      <c r="CI31" s="24" t="s">
        <v>184</v>
      </c>
      <c r="CJ31" s="24" t="s">
        <v>184</v>
      </c>
      <c r="CK31" s="24" t="s">
        <v>184</v>
      </c>
      <c r="CL31" s="24" t="s">
        <v>184</v>
      </c>
      <c r="CM31" s="24" t="s">
        <v>184</v>
      </c>
      <c r="CN31" s="24" t="s">
        <v>184</v>
      </c>
      <c r="CO31" s="24" t="s">
        <v>184</v>
      </c>
      <c r="CP31" s="24" t="s">
        <v>185</v>
      </c>
      <c r="CQ31" s="24" t="s">
        <v>192</v>
      </c>
      <c r="CR31" s="24" t="s">
        <v>181</v>
      </c>
      <c r="CS31" s="24" t="s">
        <v>181</v>
      </c>
      <c r="CT31" s="24" t="s">
        <v>185</v>
      </c>
      <c r="CU31" s="24" t="s">
        <v>185</v>
      </c>
      <c r="CV31" s="24" t="s">
        <v>185</v>
      </c>
      <c r="CW31" s="24" t="s">
        <v>185</v>
      </c>
      <c r="CX31" s="24" t="s">
        <v>185</v>
      </c>
      <c r="CY31" s="24" t="s">
        <v>185</v>
      </c>
      <c r="CZ31" s="24" t="s">
        <v>185</v>
      </c>
      <c r="DA31" s="24" t="s">
        <v>191</v>
      </c>
      <c r="DB31" s="24" t="s">
        <v>181</v>
      </c>
      <c r="DC31" s="24" t="s">
        <v>181</v>
      </c>
      <c r="DD31" s="24" t="s">
        <v>181</v>
      </c>
      <c r="DE31" s="24" t="s">
        <v>182</v>
      </c>
      <c r="DF31" s="24" t="s">
        <v>182</v>
      </c>
      <c r="DG31" s="24" t="s">
        <v>193</v>
      </c>
      <c r="DH31" s="24" t="s">
        <v>184</v>
      </c>
      <c r="DI31" s="24" t="s">
        <v>193</v>
      </c>
      <c r="DJ31" s="24" t="s">
        <v>181</v>
      </c>
      <c r="DK31" s="24" t="s">
        <v>184</v>
      </c>
      <c r="DL31" s="24" t="s">
        <v>191</v>
      </c>
      <c r="DM31" s="24" t="s">
        <v>194</v>
      </c>
      <c r="DN31" s="24" t="s">
        <v>194</v>
      </c>
      <c r="DO31" s="24" t="s">
        <v>194</v>
      </c>
      <c r="DP31" s="24" t="s">
        <v>194</v>
      </c>
      <c r="DQ31" s="24" t="s">
        <v>185</v>
      </c>
      <c r="DR31" s="24" t="s">
        <v>185</v>
      </c>
      <c r="DS31" s="24" t="s">
        <v>191</v>
      </c>
      <c r="DT31" s="24" t="s">
        <v>181</v>
      </c>
      <c r="DU31" s="24" t="s">
        <v>181</v>
      </c>
      <c r="DV31" s="24" t="s">
        <v>191</v>
      </c>
      <c r="DW31" s="24" t="s">
        <v>195</v>
      </c>
      <c r="DX31" s="24" t="s">
        <v>191</v>
      </c>
      <c r="DY31" s="24" t="s">
        <v>181</v>
      </c>
      <c r="DZ31" s="24" t="s">
        <v>181</v>
      </c>
      <c r="EA31" s="24" t="s">
        <v>181</v>
      </c>
      <c r="EB31" s="24" t="s">
        <v>195</v>
      </c>
      <c r="EC31" s="24" t="s">
        <v>181</v>
      </c>
      <c r="ED31" s="24" t="s">
        <v>195</v>
      </c>
      <c r="EE31" s="24" t="s">
        <v>195</v>
      </c>
      <c r="EF31" s="24" t="s">
        <v>191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4"/>
  <sheetViews>
    <sheetView topLeftCell="DS1" zoomScale="200" zoomScaleNormal="100" workbookViewId="0">
      <selection activeCell="E10" sqref="E10"/>
    </sheetView>
  </sheetViews>
  <sheetFormatPr baseColWidth="10" defaultColWidth="9" defaultRowHeight="14"/>
  <cols>
    <col min="3" max="3" width="8.796875" customWidth="1"/>
    <col min="136" max="136" width="9.3984375" bestFit="1" customWidth="1"/>
  </cols>
  <sheetData>
    <row r="1" spans="1:138">
      <c r="A1" s="7" t="str">
        <f>預測IC!A1</f>
        <v>RF</v>
      </c>
      <c r="B1" s="7"/>
    </row>
    <row r="2" spans="1:138">
      <c r="A2" s="7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5" t="s">
        <v>45</v>
      </c>
      <c r="AV2" s="5" t="s">
        <v>46</v>
      </c>
      <c r="AW2" s="5" t="s">
        <v>47</v>
      </c>
      <c r="AX2" s="5" t="s">
        <v>48</v>
      </c>
      <c r="AY2" s="5" t="s">
        <v>49</v>
      </c>
      <c r="AZ2" s="5" t="s">
        <v>50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55</v>
      </c>
      <c r="BF2" s="5" t="s">
        <v>56</v>
      </c>
      <c r="BG2" s="5" t="s">
        <v>57</v>
      </c>
      <c r="BH2" s="5" t="s">
        <v>58</v>
      </c>
      <c r="BI2" s="5" t="s">
        <v>59</v>
      </c>
      <c r="BJ2" s="5" t="s">
        <v>60</v>
      </c>
      <c r="BK2" s="5" t="s">
        <v>61</v>
      </c>
      <c r="BL2" s="5" t="s">
        <v>62</v>
      </c>
      <c r="BM2" s="5" t="s">
        <v>63</v>
      </c>
      <c r="BN2" s="5" t="s">
        <v>64</v>
      </c>
      <c r="BO2" s="5" t="s">
        <v>65</v>
      </c>
      <c r="BP2" s="5" t="s">
        <v>66</v>
      </c>
      <c r="BQ2" s="5" t="s">
        <v>67</v>
      </c>
      <c r="BR2" s="5" t="s">
        <v>68</v>
      </c>
      <c r="BS2" s="5" t="s">
        <v>69</v>
      </c>
      <c r="BT2" s="5" t="s">
        <v>70</v>
      </c>
      <c r="BU2" s="5" t="s">
        <v>71</v>
      </c>
      <c r="BV2" s="5" t="s">
        <v>72</v>
      </c>
      <c r="BW2" s="5" t="s">
        <v>73</v>
      </c>
      <c r="BX2" s="5" t="s">
        <v>74</v>
      </c>
      <c r="BY2" s="5" t="s">
        <v>75</v>
      </c>
      <c r="BZ2" s="5" t="s">
        <v>76</v>
      </c>
      <c r="CA2" s="5" t="s">
        <v>77</v>
      </c>
      <c r="CB2" s="5" t="s">
        <v>78</v>
      </c>
      <c r="CC2" s="5" t="s">
        <v>79</v>
      </c>
      <c r="CD2" s="5" t="s">
        <v>80</v>
      </c>
      <c r="CE2" s="5" t="s">
        <v>81</v>
      </c>
      <c r="CF2" s="5" t="s">
        <v>82</v>
      </c>
      <c r="CG2" s="5" t="s">
        <v>83</v>
      </c>
      <c r="CH2" s="5" t="s">
        <v>84</v>
      </c>
      <c r="CI2" s="5" t="s">
        <v>85</v>
      </c>
      <c r="CJ2" s="5" t="s">
        <v>86</v>
      </c>
      <c r="CK2" s="5" t="s">
        <v>87</v>
      </c>
      <c r="CL2" s="5" t="s">
        <v>88</v>
      </c>
      <c r="CM2" s="5" t="s">
        <v>89</v>
      </c>
      <c r="CN2" s="5" t="s">
        <v>90</v>
      </c>
      <c r="CO2" s="5" t="s">
        <v>91</v>
      </c>
      <c r="CP2" s="5" t="s">
        <v>92</v>
      </c>
      <c r="CQ2" s="5" t="s">
        <v>93</v>
      </c>
      <c r="CR2" s="5" t="s">
        <v>94</v>
      </c>
      <c r="CS2" s="5" t="s">
        <v>95</v>
      </c>
      <c r="CT2" s="5" t="s">
        <v>96</v>
      </c>
      <c r="CU2" s="5" t="s">
        <v>97</v>
      </c>
      <c r="CV2" s="5" t="s">
        <v>98</v>
      </c>
      <c r="CW2" s="5" t="s">
        <v>99</v>
      </c>
      <c r="CX2" s="5" t="s">
        <v>100</v>
      </c>
      <c r="CY2" s="5" t="s">
        <v>101</v>
      </c>
      <c r="CZ2" s="5" t="s">
        <v>102</v>
      </c>
      <c r="DA2" s="5" t="s">
        <v>103</v>
      </c>
      <c r="DB2" s="5" t="s">
        <v>104</v>
      </c>
      <c r="DC2" s="5" t="s">
        <v>105</v>
      </c>
      <c r="DD2" s="5" t="s">
        <v>106</v>
      </c>
      <c r="DE2" s="5" t="s">
        <v>107</v>
      </c>
      <c r="DF2" s="5" t="s">
        <v>108</v>
      </c>
      <c r="DG2" s="5" t="s">
        <v>109</v>
      </c>
      <c r="DH2" s="5" t="s">
        <v>110</v>
      </c>
      <c r="DI2" s="5" t="s">
        <v>111</v>
      </c>
      <c r="DJ2" s="5" t="s">
        <v>112</v>
      </c>
      <c r="DK2" s="5" t="s">
        <v>113</v>
      </c>
      <c r="DL2" s="5" t="s">
        <v>114</v>
      </c>
      <c r="DM2" s="5" t="s">
        <v>115</v>
      </c>
      <c r="DN2" s="5" t="s">
        <v>116</v>
      </c>
      <c r="DO2" s="5" t="s">
        <v>117</v>
      </c>
      <c r="DP2" s="5" t="s">
        <v>118</v>
      </c>
      <c r="DQ2" s="5" t="s">
        <v>119</v>
      </c>
      <c r="DR2" s="5" t="s">
        <v>120</v>
      </c>
      <c r="DS2" s="5" t="s">
        <v>121</v>
      </c>
      <c r="DT2" s="5" t="s">
        <v>122</v>
      </c>
      <c r="DU2" s="5" t="s">
        <v>123</v>
      </c>
      <c r="DV2" s="5" t="s">
        <v>124</v>
      </c>
      <c r="DW2" s="5" t="s">
        <v>125</v>
      </c>
      <c r="DX2" s="5" t="s">
        <v>126</v>
      </c>
      <c r="DY2" s="5" t="s">
        <v>127</v>
      </c>
      <c r="DZ2" s="5" t="s">
        <v>128</v>
      </c>
      <c r="EA2" s="5" t="s">
        <v>129</v>
      </c>
      <c r="EB2" s="5" t="s">
        <v>130</v>
      </c>
      <c r="EC2" s="5" t="s">
        <v>131</v>
      </c>
      <c r="ED2" s="5" t="s">
        <v>132</v>
      </c>
      <c r="EE2" s="5" t="s">
        <v>133</v>
      </c>
      <c r="EF2" s="5" t="s">
        <v>134</v>
      </c>
      <c r="EG2" s="5" t="s">
        <v>135</v>
      </c>
    </row>
    <row r="3" spans="1:138">
      <c r="A3" s="7"/>
      <c r="B3" s="4" t="s">
        <v>136</v>
      </c>
      <c r="C3" s="25">
        <f>預測IC!C3</f>
        <v>3.6997013757333698E-2</v>
      </c>
      <c r="D3" s="25">
        <f>預測IC!D3</f>
        <v>3.3297817500003282E-2</v>
      </c>
      <c r="E3" s="25">
        <f>預測IC!E3</f>
        <v>1.542163833496168E-2</v>
      </c>
      <c r="F3" s="25">
        <f>預測IC!F3</f>
        <v>1.6456982644761711E-2</v>
      </c>
      <c r="G3" s="25">
        <f>預測IC!G3</f>
        <v>1.7226210935333459E-2</v>
      </c>
      <c r="H3" s="25">
        <f>預測IC!H3</f>
        <v>2.8764108032567459E-2</v>
      </c>
      <c r="I3" s="25">
        <f>預測IC!I3</f>
        <v>2.427932822777535E-2</v>
      </c>
      <c r="J3" s="25">
        <f>預測IC!J3</f>
        <v>2.731641860027573E-2</v>
      </c>
      <c r="K3" s="25">
        <f>預測IC!K3</f>
        <v>3.0174004661944549E-2</v>
      </c>
      <c r="L3" s="25">
        <f>預測IC!L3</f>
        <v>2.5236297001741709E-2</v>
      </c>
      <c r="M3" s="25">
        <f>預測IC!M3</f>
        <v>3.2729103566482703E-2</v>
      </c>
      <c r="N3" s="25">
        <f>預測IC!N3</f>
        <v>3.1554761397993208E-2</v>
      </c>
      <c r="O3" s="25">
        <f>預測IC!O3</f>
        <v>3.4033301690891533E-2</v>
      </c>
      <c r="P3" s="25">
        <f>預測IC!P3</f>
        <v>3.321291110249007E-2</v>
      </c>
      <c r="Q3" s="25">
        <f>預測IC!Q3</f>
        <v>2.910333512892541E-2</v>
      </c>
      <c r="R3" s="25">
        <f>預測IC!R3</f>
        <v>2.6473653115280309E-2</v>
      </c>
      <c r="S3" s="25">
        <f>預測IC!S3</f>
        <v>2.8295345986913231E-2</v>
      </c>
      <c r="T3" s="25">
        <f>預測IC!T3</f>
        <v>2.262072807092802E-2</v>
      </c>
      <c r="U3" s="25">
        <f>預測IC!U3</f>
        <v>1.614400695132448E-2</v>
      </c>
      <c r="V3" s="25">
        <f>預測IC!V3</f>
        <v>2.5033177832038969E-2</v>
      </c>
      <c r="W3" s="25">
        <f>預測IC!W3</f>
        <v>4.5784045042201092E-2</v>
      </c>
      <c r="X3" s="25">
        <f>預測IC!X3</f>
        <v>4.3057813861526573E-2</v>
      </c>
      <c r="Y3" s="25">
        <f>預測IC!Y3</f>
        <v>3.778574554965778E-2</v>
      </c>
      <c r="Z3" s="25">
        <f>預測IC!Z3</f>
        <v>2.409745457622987E-2</v>
      </c>
      <c r="AA3" s="25">
        <f>預測IC!AA3</f>
        <v>3.009442686823352E-2</v>
      </c>
      <c r="AB3" s="25">
        <f>預測IC!AB3</f>
        <v>2.8087063172378191E-2</v>
      </c>
      <c r="AC3" s="25">
        <f>預測IC!AC3</f>
        <v>3.3771066806544549E-2</v>
      </c>
      <c r="AD3" s="25">
        <f>預測IC!AD3</f>
        <v>3.413170384138306E-2</v>
      </c>
      <c r="AE3" s="25">
        <f>預測IC!AE3</f>
        <v>3.4141408533312018E-2</v>
      </c>
      <c r="AF3" s="25">
        <f>預測IC!AF3</f>
        <v>1.3117941025955079E-2</v>
      </c>
      <c r="AG3" s="25">
        <f>預測IC!AG3</f>
        <v>2.485735401293461E-2</v>
      </c>
      <c r="AH3" s="25">
        <f>預測IC!AH3</f>
        <v>3.1884444011299258E-2</v>
      </c>
      <c r="AI3" s="25">
        <f>預測IC!AI3</f>
        <v>3.6385761193522617E-2</v>
      </c>
      <c r="AJ3" s="25">
        <f>預測IC!AJ3</f>
        <v>3.5948919429733099E-2</v>
      </c>
      <c r="AK3" s="25">
        <f>預測IC!AK3</f>
        <v>4.3482830969963061E-2</v>
      </c>
      <c r="AL3" s="25">
        <f>預測IC!AL3</f>
        <v>3.8462077568039821E-2</v>
      </c>
      <c r="AM3" s="25">
        <f>預測IC!AM3</f>
        <v>3.9410244165835981E-2</v>
      </c>
      <c r="AN3" s="25">
        <f>預測IC!AN3</f>
        <v>5.0743620516414449E-2</v>
      </c>
      <c r="AO3" s="25">
        <f>預測IC!AO3</f>
        <v>5.3684811620656171E-2</v>
      </c>
      <c r="AP3" s="25">
        <f>預測IC!AP3</f>
        <v>4.9314899356547669E-2</v>
      </c>
      <c r="AQ3" s="25">
        <f>預測IC!AQ3</f>
        <v>3.2773687722358558E-2</v>
      </c>
      <c r="AR3" s="25">
        <f>預測IC!AR3</f>
        <v>2.8295340626825871E-2</v>
      </c>
      <c r="AS3" s="25">
        <f>預測IC!AS3</f>
        <v>2.8377802599917339E-2</v>
      </c>
      <c r="AT3" s="25">
        <f>預測IC!AT3</f>
        <v>2.306922946025217E-2</v>
      </c>
      <c r="AU3" s="25">
        <f>預測IC!AU3</f>
        <v>2.9397032882625889E-2</v>
      </c>
      <c r="AV3" s="25">
        <f>預測IC!AV3</f>
        <v>3.103785222722218E-2</v>
      </c>
      <c r="AW3" s="25">
        <f>預測IC!AW3</f>
        <v>2.6297924056821211E-2</v>
      </c>
      <c r="AX3" s="25">
        <f>預測IC!AX3</f>
        <v>2.6164811358804361E-2</v>
      </c>
      <c r="AY3" s="25">
        <f>預測IC!AY3</f>
        <v>3.2053783671709642E-2</v>
      </c>
      <c r="AZ3" s="25">
        <f>預測IC!AZ3</f>
        <v>3.4477530774765272E-2</v>
      </c>
      <c r="BA3" s="25">
        <f>預測IC!BA3</f>
        <v>2.9331890747661678E-2</v>
      </c>
      <c r="BB3" s="25">
        <f>預測IC!BB3</f>
        <v>3.4324947588369341E-2</v>
      </c>
      <c r="BC3" s="25">
        <f>預測IC!BC3</f>
        <v>3.742177693859082E-2</v>
      </c>
      <c r="BD3" s="25">
        <f>預測IC!BD3</f>
        <v>3.141372245226793E-2</v>
      </c>
      <c r="BE3" s="25">
        <f>預測IC!BE3</f>
        <v>3.2006411062996218E-2</v>
      </c>
      <c r="BF3" s="25">
        <f>預測IC!BF3</f>
        <v>2.828182773285309E-2</v>
      </c>
      <c r="BG3" s="25">
        <f>預測IC!BG3</f>
        <v>4.1103436715196499E-2</v>
      </c>
      <c r="BH3" s="25">
        <f>預測IC!BH3</f>
        <v>4.5198779339126277E-2</v>
      </c>
      <c r="BI3" s="25">
        <f>預測IC!BI3</f>
        <v>4.1588040384802467E-2</v>
      </c>
      <c r="BJ3" s="25">
        <f>預測IC!BJ3</f>
        <v>4.0723405736309601E-2</v>
      </c>
      <c r="BK3" s="25">
        <f>預測IC!BK3</f>
        <v>3.6327700059770963E-2</v>
      </c>
      <c r="BL3" s="25">
        <f>預測IC!BL3</f>
        <v>3.6173192149872829E-2</v>
      </c>
      <c r="BM3" s="25">
        <f>預測IC!BM3</f>
        <v>3.7708587815686451E-2</v>
      </c>
      <c r="BN3" s="25">
        <f>預測IC!BN3</f>
        <v>3.0814038130409348E-2</v>
      </c>
      <c r="BO3" s="25">
        <f>預測IC!BO3</f>
        <v>3.065585577146604E-2</v>
      </c>
      <c r="BP3" s="25">
        <f>預測IC!BP3</f>
        <v>3.4399631895121928E-2</v>
      </c>
      <c r="BQ3" s="25">
        <f>預測IC!BQ3</f>
        <v>3.4868650026028229E-2</v>
      </c>
      <c r="BR3" s="25">
        <f>預測IC!BR3</f>
        <v>3.6324039848933801E-2</v>
      </c>
      <c r="BS3" s="25">
        <f>預測IC!BS3</f>
        <v>3.6164468096582629E-2</v>
      </c>
      <c r="BT3" s="25">
        <f>預測IC!BT3</f>
        <v>3.8668894956456937E-2</v>
      </c>
      <c r="BU3" s="25">
        <f>預測IC!BU3</f>
        <v>4.1103483948852763E-2</v>
      </c>
      <c r="BV3" s="25">
        <f>預測IC!BV3</f>
        <v>2.8684133448632881E-2</v>
      </c>
      <c r="BW3" s="25">
        <f>預測IC!BW3</f>
        <v>3.521650986163926E-2</v>
      </c>
      <c r="BX3" s="25">
        <f>預測IC!BX3</f>
        <v>4.0767200067914261E-2</v>
      </c>
      <c r="BY3" s="25">
        <f>預測IC!BY3</f>
        <v>2.160353774972024E-2</v>
      </c>
      <c r="BZ3" s="25">
        <f>預測IC!BZ3</f>
        <v>3.0433668800390778E-2</v>
      </c>
      <c r="CA3" s="25">
        <f>預測IC!CA3</f>
        <v>3.7311958080318418E-2</v>
      </c>
      <c r="CB3" s="25">
        <f>預測IC!CB3</f>
        <v>2.7612053143104789E-2</v>
      </c>
      <c r="CC3" s="25">
        <f>預測IC!CC3</f>
        <v>1.9742954750447479E-2</v>
      </c>
      <c r="CD3" s="25">
        <f>預測IC!CD3</f>
        <v>7.791460166144233E-3</v>
      </c>
      <c r="CE3" s="25">
        <f>預測IC!CE3</f>
        <v>2.2526806957081459E-2</v>
      </c>
      <c r="CF3" s="25">
        <f>預測IC!CF3</f>
        <v>3.4778187915741783E-2</v>
      </c>
      <c r="CG3" s="25">
        <f>預測IC!CG3</f>
        <v>3.2581362027151728E-2</v>
      </c>
      <c r="CH3" s="25">
        <f>預測IC!CH3</f>
        <v>4.0909001215823582E-2</v>
      </c>
      <c r="CI3" s="25">
        <f>預測IC!CI3</f>
        <v>3.9050253240311222E-2</v>
      </c>
      <c r="CJ3" s="25">
        <f>預測IC!CJ3</f>
        <v>2.4561899640003909E-2</v>
      </c>
      <c r="CK3" s="25">
        <f>預測IC!CK3</f>
        <v>3.413446187252573E-2</v>
      </c>
      <c r="CL3" s="25">
        <f>預測IC!CL3</f>
        <v>3.5925937532879773E-2</v>
      </c>
      <c r="CM3" s="25">
        <f>預測IC!CM3</f>
        <v>4.2466042159304301E-2</v>
      </c>
      <c r="CN3" s="25">
        <f>預測IC!CN3</f>
        <v>3.6523906516241801E-2</v>
      </c>
      <c r="CO3" s="25">
        <f>預測IC!CO3</f>
        <v>3.765914957102829E-2</v>
      </c>
      <c r="CP3" s="25">
        <f>預測IC!CP3</f>
        <v>3.9957834472595419E-2</v>
      </c>
      <c r="CQ3" s="25">
        <f>預測IC!CQ3</f>
        <v>-4.5921902670845423E-3</v>
      </c>
      <c r="CR3" s="25">
        <f>預測IC!CR3</f>
        <v>1.500343045059385E-2</v>
      </c>
      <c r="CS3" s="25">
        <f>預測IC!CS3</f>
        <v>2.2458754318599651E-2</v>
      </c>
      <c r="CT3" s="25">
        <f>預測IC!CT3</f>
        <v>4.0972167824902372E-2</v>
      </c>
      <c r="CU3" s="25">
        <f>預測IC!CU3</f>
        <v>3.8942373224816529E-2</v>
      </c>
      <c r="CV3" s="25">
        <f>預測IC!CV3</f>
        <v>4.3015000500199303E-2</v>
      </c>
      <c r="CW3" s="25">
        <f>預測IC!CW3</f>
        <v>3.9706600079107618E-2</v>
      </c>
      <c r="CX3" s="25">
        <f>預測IC!CX3</f>
        <v>3.9171022856911548E-2</v>
      </c>
      <c r="CY3" s="25">
        <f>預測IC!CY3</f>
        <v>3.4940834769569752E-2</v>
      </c>
      <c r="CZ3" s="25">
        <f>預測IC!CZ3</f>
        <v>3.6026834228159298E-2</v>
      </c>
      <c r="DA3" s="25">
        <f>預測IC!DA3</f>
        <v>4.450954814790925E-2</v>
      </c>
      <c r="DB3" s="25">
        <f>預測IC!DB3</f>
        <v>3.9322897230046248E-2</v>
      </c>
      <c r="DC3" s="25">
        <f>預測IC!DC3</f>
        <v>3.7933403354666211E-2</v>
      </c>
      <c r="DD3" s="25">
        <f>預測IC!DD3</f>
        <v>3.9075000966415717E-2</v>
      </c>
      <c r="DE3" s="25">
        <f>預測IC!DE3</f>
        <v>4.199397627237688E-2</v>
      </c>
      <c r="DF3" s="25">
        <f>預測IC!DF3</f>
        <v>4.1965348731106439E-2</v>
      </c>
      <c r="DG3" s="25">
        <f>預測IC!DG3</f>
        <v>4.0382244799122918E-2</v>
      </c>
      <c r="DH3" s="25">
        <f>預測IC!DH3</f>
        <v>3.6787240146963857E-2</v>
      </c>
      <c r="DI3" s="25">
        <f>預測IC!DI3</f>
        <v>3.6877765546082367E-2</v>
      </c>
      <c r="DJ3" s="25">
        <f>預測IC!DJ3</f>
        <v>3.368209367541955E-2</v>
      </c>
      <c r="DK3" s="25">
        <f>預測IC!DK3</f>
        <v>3.6536443043095952E-2</v>
      </c>
      <c r="DL3" s="25">
        <f>預測IC!DL3</f>
        <v>3.1530556219024453E-2</v>
      </c>
      <c r="DM3" s="25">
        <f>預測IC!DM3</f>
        <v>2.866223764473836E-2</v>
      </c>
      <c r="DN3" s="25">
        <f>預測IC!DN3</f>
        <v>3.0844743252797239E-2</v>
      </c>
      <c r="DO3" s="25">
        <f>預測IC!DO3</f>
        <v>3.3675363611272838E-2</v>
      </c>
      <c r="DP3" s="25">
        <f>預測IC!DP3</f>
        <v>3.5102177512429639E-2</v>
      </c>
      <c r="DQ3" s="25">
        <f>預測IC!DQ3</f>
        <v>3.6708207074369593E-2</v>
      </c>
      <c r="DR3" s="25">
        <f>預測IC!DR3</f>
        <v>3.4114421599711522E-2</v>
      </c>
      <c r="DS3" s="25">
        <f>預測IC!DS3</f>
        <v>3.6715906439180969E-2</v>
      </c>
      <c r="DT3" s="25">
        <f>預測IC!DT3</f>
        <v>3.4828052772429188E-2</v>
      </c>
      <c r="DU3" s="25">
        <f>預測IC!DU3</f>
        <v>2.3365577264107731E-2</v>
      </c>
      <c r="DV3" s="25">
        <f>預測IC!DV3</f>
        <v>2.524093892652959E-2</v>
      </c>
      <c r="DW3" s="25">
        <f>預測IC!DW3</f>
        <v>3.5159202684512107E-2</v>
      </c>
      <c r="DX3" s="25">
        <f>預測IC!DX3</f>
        <v>3.2304964005665182E-2</v>
      </c>
      <c r="DY3" s="25">
        <f>預測IC!DY3</f>
        <v>2.325821710130703E-2</v>
      </c>
      <c r="DZ3" s="25">
        <f>預測IC!DZ3</f>
        <v>2.8308751932577921E-2</v>
      </c>
      <c r="EA3" s="25">
        <f>預測IC!EA3</f>
        <v>3.1397321824344362E-2</v>
      </c>
      <c r="EB3" s="25">
        <f>預測IC!EB3</f>
        <v>3.723081253221186E-2</v>
      </c>
      <c r="EC3" s="25">
        <f>預測IC!EC3</f>
        <v>3.3346090074484303E-2</v>
      </c>
      <c r="ED3" s="25">
        <f>預測IC!ED3</f>
        <v>3.4186640907954438E-2</v>
      </c>
      <c r="EE3" s="25">
        <f>預測IC!EE3</f>
        <v>2.5041157579864491E-2</v>
      </c>
      <c r="EF3" s="25">
        <f>預測IC!EF3</f>
        <v>3.4121434975122142E-2</v>
      </c>
      <c r="EG3" s="1"/>
    </row>
    <row r="4" spans="1:138">
      <c r="A4" s="7"/>
      <c r="B4" s="4" t="s">
        <v>137</v>
      </c>
      <c r="C4" s="25">
        <f>預測IC!C4</f>
        <v>-4.9660484307830009E-2</v>
      </c>
      <c r="D4" s="25">
        <f>預測IC!D4</f>
        <v>-6.5232195080165353E-2</v>
      </c>
      <c r="E4" s="25">
        <f>預測IC!E4</f>
        <v>-9.3874054199500026E-2</v>
      </c>
      <c r="F4" s="25">
        <f>預測IC!F4</f>
        <v>-7.3843592245097373E-2</v>
      </c>
      <c r="G4" s="25">
        <f>預測IC!G4</f>
        <v>-2.745888685018728E-2</v>
      </c>
      <c r="H4" s="25">
        <f>預測IC!H4</f>
        <v>-3.3398565611267667E-2</v>
      </c>
      <c r="I4" s="25">
        <f>預測IC!I4</f>
        <v>-4.7136189417385607E-2</v>
      </c>
      <c r="J4" s="25">
        <f>預測IC!J4</f>
        <v>-4.6203432590894752E-2</v>
      </c>
      <c r="K4" s="25">
        <f>預測IC!K4</f>
        <v>-4.5932097646850877E-2</v>
      </c>
      <c r="L4" s="25">
        <f>預測IC!L4</f>
        <v>-3.9679751627069763E-2</v>
      </c>
      <c r="M4" s="25">
        <f>預測IC!M4</f>
        <v>-1.8734336084315021E-2</v>
      </c>
      <c r="N4" s="25">
        <f>預測IC!N4</f>
        <v>-3.5831351641089762E-2</v>
      </c>
      <c r="O4" s="25">
        <f>預測IC!O4</f>
        <v>-5.70229981056335E-2</v>
      </c>
      <c r="P4" s="25">
        <f>預測IC!P4</f>
        <v>-4.2462781327895993E-2</v>
      </c>
      <c r="Q4" s="25">
        <f>預測IC!Q4</f>
        <v>-3.7772394962975513E-2</v>
      </c>
      <c r="R4" s="25">
        <f>預測IC!R4</f>
        <v>-2.862835448000129E-2</v>
      </c>
      <c r="S4" s="25">
        <f>預測IC!S4</f>
        <v>-3.099793016810054E-2</v>
      </c>
      <c r="T4" s="25">
        <f>預測IC!T4</f>
        <v>-6.7042254023675389E-3</v>
      </c>
      <c r="U4" s="25">
        <f>預測IC!U4</f>
        <v>-3.5326677132364037E-2</v>
      </c>
      <c r="V4" s="25">
        <f>預測IC!V4</f>
        <v>-2.9502132625226989E-2</v>
      </c>
      <c r="W4" s="25">
        <f>預測IC!W4</f>
        <v>-4.1243395472264313E-2</v>
      </c>
      <c r="X4" s="25">
        <f>預測IC!X4</f>
        <v>-5.4483491647159897E-2</v>
      </c>
      <c r="Y4" s="25">
        <f>預測IC!Y4</f>
        <v>-5.7374231531351433E-2</v>
      </c>
      <c r="Z4" s="25">
        <f>預測IC!Z4</f>
        <v>-5.0628448585672892E-2</v>
      </c>
      <c r="AA4" s="25">
        <f>預測IC!AA4</f>
        <v>-4.231975801219371E-2</v>
      </c>
      <c r="AB4" s="25">
        <f>預測IC!AB4</f>
        <v>-3.6518861974360411E-2</v>
      </c>
      <c r="AC4" s="25">
        <f>預測IC!AC4</f>
        <v>-3.845543636405753E-2</v>
      </c>
      <c r="AD4" s="25">
        <f>預測IC!AD4</f>
        <v>-3.2603396395427572E-2</v>
      </c>
      <c r="AE4" s="25">
        <f>預測IC!AE4</f>
        <v>-3.4795070629380642E-2</v>
      </c>
      <c r="AF4" s="25">
        <f>預測IC!AF4</f>
        <v>-1.6394819349874201E-3</v>
      </c>
      <c r="AG4" s="25">
        <f>預測IC!AG4</f>
        <v>-3.2239282506807423E-2</v>
      </c>
      <c r="AH4" s="25">
        <f>預測IC!AH4</f>
        <v>-2.5693111006731412E-2</v>
      </c>
      <c r="AI4" s="25">
        <f>預測IC!AI4</f>
        <v>-3.008904130127369E-2</v>
      </c>
      <c r="AJ4" s="25">
        <f>預測IC!AJ4</f>
        <v>-2.971967039544228E-2</v>
      </c>
      <c r="AK4" s="25">
        <f>預測IC!AK4</f>
        <v>-2.274313052691369E-2</v>
      </c>
      <c r="AL4" s="25">
        <f>預測IC!AL4</f>
        <v>-2.5322304879822729E-2</v>
      </c>
      <c r="AM4" s="25">
        <f>預測IC!AM4</f>
        <v>-2.411751658948514E-2</v>
      </c>
      <c r="AN4" s="25">
        <f>預測IC!AN4</f>
        <v>-2.727232649453621E-2</v>
      </c>
      <c r="AO4" s="25">
        <f>預測IC!AO4</f>
        <v>-2.8383253052872079E-2</v>
      </c>
      <c r="AP4" s="25">
        <f>預測IC!AP4</f>
        <v>-2.3965679052040011E-2</v>
      </c>
      <c r="AQ4" s="25">
        <f>預測IC!AQ4</f>
        <v>-2.80485237785515E-2</v>
      </c>
      <c r="AR4" s="25">
        <f>預測IC!AR4</f>
        <v>-1.7736170970874439E-2</v>
      </c>
      <c r="AS4" s="25">
        <f>預測IC!AS4</f>
        <v>-1.39303337439949E-2</v>
      </c>
      <c r="AT4" s="25">
        <f>預測IC!AT4</f>
        <v>-1.2870881079163021E-2</v>
      </c>
      <c r="AU4" s="25">
        <f>預測IC!AU4</f>
        <v>-1.6424059937097849E-2</v>
      </c>
      <c r="AV4" s="25">
        <f>預測IC!AV4</f>
        <v>-2.4039749385437719E-2</v>
      </c>
      <c r="AW4" s="25">
        <f>預測IC!AW4</f>
        <v>-2.1378847766349081E-2</v>
      </c>
      <c r="AX4" s="25">
        <f>預測IC!AX4</f>
        <v>-2.3051468101219511E-2</v>
      </c>
      <c r="AY4" s="25">
        <f>預測IC!AY4</f>
        <v>-2.6631557609926141E-2</v>
      </c>
      <c r="AZ4" s="25">
        <f>預測IC!AZ4</f>
        <v>-1.597851755827499E-2</v>
      </c>
      <c r="BA4" s="25">
        <f>預測IC!BA4</f>
        <v>-2.9633847899323489E-2</v>
      </c>
      <c r="BB4" s="25">
        <f>預測IC!BB4</f>
        <v>-3.6923299522087998E-2</v>
      </c>
      <c r="BC4" s="25">
        <f>預測IC!BC4</f>
        <v>-2.3000784324243968E-2</v>
      </c>
      <c r="BD4" s="25">
        <f>預測IC!BD4</f>
        <v>-2.892210840223592E-2</v>
      </c>
      <c r="BE4" s="25">
        <f>預測IC!BE4</f>
        <v>-3.0957742972803601E-2</v>
      </c>
      <c r="BF4" s="25">
        <f>預測IC!BF4</f>
        <v>-1.8182050049131201E-2</v>
      </c>
      <c r="BG4" s="25">
        <f>預測IC!BG4</f>
        <v>-1.59612129148653E-2</v>
      </c>
      <c r="BH4" s="25">
        <f>預測IC!BH4</f>
        <v>-2.135883022338424E-2</v>
      </c>
      <c r="BI4" s="25">
        <f>預測IC!BI4</f>
        <v>-1.889592453448587E-2</v>
      </c>
      <c r="BJ4" s="25">
        <f>預測IC!BJ4</f>
        <v>-2.1053002135234831E-2</v>
      </c>
      <c r="BK4" s="25">
        <f>預測IC!BK4</f>
        <v>-2.6612022761366049E-2</v>
      </c>
      <c r="BL4" s="25">
        <f>預測IC!BL4</f>
        <v>-1.7576953748392139E-2</v>
      </c>
      <c r="BM4" s="25">
        <f>預測IC!BM4</f>
        <v>-2.1846218109135389E-2</v>
      </c>
      <c r="BN4" s="25">
        <f>預測IC!BN4</f>
        <v>-1.558178680666511E-2</v>
      </c>
      <c r="BO4" s="25">
        <f>預測IC!BO4</f>
        <v>-6.5029895709140294E-3</v>
      </c>
      <c r="BP4" s="25">
        <f>預測IC!BP4</f>
        <v>-1.217191420200061E-2</v>
      </c>
      <c r="BQ4" s="25">
        <f>預測IC!BQ4</f>
        <v>-1.0666510831082679E-3</v>
      </c>
      <c r="BR4" s="25">
        <f>預測IC!BR4</f>
        <v>-7.8848633119188317E-3</v>
      </c>
      <c r="BS4" s="25">
        <f>預測IC!BS4</f>
        <v>-1.1588282276333789E-2</v>
      </c>
      <c r="BT4" s="25">
        <f>預測IC!BT4</f>
        <v>-1.6350563096253809E-2</v>
      </c>
      <c r="BU4" s="25">
        <f>預測IC!BU4</f>
        <v>-1.7287992540061109E-3</v>
      </c>
      <c r="BV4" s="25">
        <f>預測IC!BV4</f>
        <v>1.285828832716631E-2</v>
      </c>
      <c r="BW4" s="25">
        <f>預測IC!BW4</f>
        <v>-7.6302480414426601E-3</v>
      </c>
      <c r="BX4" s="25">
        <f>預測IC!BX4</f>
        <v>-1.6045395009791349E-2</v>
      </c>
      <c r="BY4" s="25">
        <f>預測IC!BY4</f>
        <v>-1.8894754178095271E-2</v>
      </c>
      <c r="BZ4" s="25">
        <f>預測IC!BZ4</f>
        <v>-4.1567566104242478E-3</v>
      </c>
      <c r="CA4" s="25">
        <f>預測IC!CA4</f>
        <v>-1.710017537951062E-2</v>
      </c>
      <c r="CB4" s="25">
        <f>預測IC!CB4</f>
        <v>-2.2304157428424391E-2</v>
      </c>
      <c r="CC4" s="25">
        <f>預測IC!CC4</f>
        <v>-4.111205153911144E-2</v>
      </c>
      <c r="CD4" s="25">
        <f>預測IC!CD4</f>
        <v>-3.2535405185557913E-2</v>
      </c>
      <c r="CE4" s="25">
        <f>預測IC!CE4</f>
        <v>-3.0323266480776649E-2</v>
      </c>
      <c r="CF4" s="25">
        <f>預測IC!CF4</f>
        <v>-6.1293189114789898E-2</v>
      </c>
      <c r="CG4" s="25">
        <f>預測IC!CG4</f>
        <v>-4.4169748382986783E-2</v>
      </c>
      <c r="CH4" s="25">
        <f>預測IC!CH4</f>
        <v>-2.4897657851006831E-2</v>
      </c>
      <c r="CI4" s="25">
        <f>預測IC!CI4</f>
        <v>-1.773490777748107E-2</v>
      </c>
      <c r="CJ4" s="25">
        <f>預測IC!CJ4</f>
        <v>-1.149415603536374E-2</v>
      </c>
      <c r="CK4" s="25">
        <f>預測IC!CK4</f>
        <v>-1.591073109149212E-2</v>
      </c>
      <c r="CL4" s="25">
        <f>預測IC!CL4</f>
        <v>-1.553664078255448E-2</v>
      </c>
      <c r="CM4" s="25">
        <f>預測IC!CM4</f>
        <v>-1.9141804743850431E-2</v>
      </c>
      <c r="CN4" s="25">
        <f>預測IC!CN4</f>
        <v>8.0304455212189402E-3</v>
      </c>
      <c r="CO4" s="25">
        <f>預測IC!CO4</f>
        <v>5.7365987476290974E-3</v>
      </c>
      <c r="CP4" s="25">
        <f>預測IC!CP4</f>
        <v>-6.5301402173690883E-3</v>
      </c>
      <c r="CQ4" s="25">
        <f>預測IC!CQ4</f>
        <v>2.4291588095023031E-3</v>
      </c>
      <c r="CR4" s="25">
        <f>預測IC!CR4</f>
        <v>-1.917966682871176E-2</v>
      </c>
      <c r="CS4" s="25">
        <f>預測IC!CS4</f>
        <v>-2.334741602504313E-2</v>
      </c>
      <c r="CT4" s="25">
        <f>預測IC!CT4</f>
        <v>-2.178933391007621E-2</v>
      </c>
      <c r="CU4" s="25">
        <f>預測IC!CU4</f>
        <v>-2.9507578237515441E-2</v>
      </c>
      <c r="CV4" s="25">
        <f>預測IC!CV4</f>
        <v>-2.4863141676227461E-2</v>
      </c>
      <c r="CW4" s="25">
        <f>預測IC!CW4</f>
        <v>-2.2836003990752241E-2</v>
      </c>
      <c r="CX4" s="25">
        <f>預測IC!CX4</f>
        <v>-2.2235746171206432E-2</v>
      </c>
      <c r="CY4" s="25">
        <f>預測IC!CY4</f>
        <v>-2.5586844579715249E-2</v>
      </c>
      <c r="CZ4" s="25">
        <f>預測IC!CZ4</f>
        <v>-3.0231054830945629E-2</v>
      </c>
      <c r="DA4" s="25">
        <f>預測IC!DA4</f>
        <v>-4.3224114563057553E-2</v>
      </c>
      <c r="DB4" s="25">
        <f>預測IC!DB4</f>
        <v>-4.4725026400587967E-2</v>
      </c>
      <c r="DC4" s="25">
        <f>預測IC!DC4</f>
        <v>-7.0760377239426644E-2</v>
      </c>
      <c r="DD4" s="25">
        <f>預測IC!DD4</f>
        <v>-5.7610036798158112E-2</v>
      </c>
      <c r="DE4" s="25">
        <f>預測IC!DE4</f>
        <v>-3.404219099480222E-2</v>
      </c>
      <c r="DF4" s="25">
        <f>預測IC!DF4</f>
        <v>-2.7183797543947438E-2</v>
      </c>
      <c r="DG4" s="25">
        <f>預測IC!DG4</f>
        <v>-3.5052644373932129E-2</v>
      </c>
      <c r="DH4" s="25">
        <f>預測IC!DH4</f>
        <v>-8.428399037687339E-3</v>
      </c>
      <c r="DI4" s="25">
        <f>預測IC!DI4</f>
        <v>-3.6370881039868713E-2</v>
      </c>
      <c r="DJ4" s="25">
        <f>預測IC!DJ4</f>
        <v>-3.7819313396098023E-2</v>
      </c>
      <c r="DK4" s="25">
        <f>預測IC!DK4</f>
        <v>-2.702995348835956E-2</v>
      </c>
      <c r="DL4" s="25">
        <f>預測IC!DL4</f>
        <v>-1.9450420003777492E-2</v>
      </c>
      <c r="DM4" s="25">
        <f>預測IC!DM4</f>
        <v>-1.8687387511566969E-2</v>
      </c>
      <c r="DN4" s="25">
        <f>預測IC!DN4</f>
        <v>-8.9243337838529595E-3</v>
      </c>
      <c r="DO4" s="25">
        <f>預測IC!DO4</f>
        <v>-2.2448412563485658E-2</v>
      </c>
      <c r="DP4" s="25">
        <f>預測IC!DP4</f>
        <v>-2.9487498188438439E-2</v>
      </c>
      <c r="DQ4" s="25">
        <f>預測IC!DQ4</f>
        <v>-3.6680869276058257E-2</v>
      </c>
      <c r="DR4" s="25">
        <f>預測IC!DR4</f>
        <v>-2.964822814067369E-2</v>
      </c>
      <c r="DS4" s="25">
        <f>預測IC!DS4</f>
        <v>-2.8893370012943329E-2</v>
      </c>
      <c r="DT4" s="25">
        <f>預測IC!DT4</f>
        <v>-4.1056175553995593E-2</v>
      </c>
      <c r="DU4" s="25">
        <f>預測IC!DU4</f>
        <v>-3.7310764401418541E-2</v>
      </c>
      <c r="DV4" s="25">
        <f>預測IC!DV4</f>
        <v>-9.8104083511435913E-3</v>
      </c>
      <c r="DW4" s="25">
        <f>預測IC!DW4</f>
        <v>-1.9249126149739601E-2</v>
      </c>
      <c r="DX4" s="25">
        <f>預測IC!DX4</f>
        <v>-3.0385994354775469E-2</v>
      </c>
      <c r="DY4" s="25">
        <f>預測IC!DY4</f>
        <v>-3.3048945391833368E-2</v>
      </c>
      <c r="DZ4" s="25">
        <f>預測IC!DZ4</f>
        <v>-3.0875828777379061E-2</v>
      </c>
      <c r="EA4" s="25">
        <f>預測IC!EA4</f>
        <v>-3.1659361830993098E-2</v>
      </c>
      <c r="EB4" s="25">
        <f>預測IC!EB4</f>
        <v>-3.4389624405496783E-2</v>
      </c>
      <c r="EC4" s="25">
        <f>預測IC!EC4</f>
        <v>-4.1069385194225268E-2</v>
      </c>
      <c r="ED4" s="25">
        <f>預測IC!ED4</f>
        <v>-3.100505897009637E-2</v>
      </c>
      <c r="EE4" s="25">
        <f>預測IC!EE4</f>
        <v>-2.307612898354422E-2</v>
      </c>
      <c r="EF4" s="25">
        <f>預測IC!EF4</f>
        <v>-1.1421019476021661E-2</v>
      </c>
      <c r="EG4" s="1"/>
    </row>
    <row r="5" spans="1:138">
      <c r="A5" s="7"/>
      <c r="B5" s="6" t="s">
        <v>138</v>
      </c>
      <c r="C5" s="25">
        <f>預測IC!C5</f>
        <v>3.592321643530621E-3</v>
      </c>
      <c r="D5" s="25">
        <f>預測IC!D5</f>
        <v>2.8862197223557262E-3</v>
      </c>
      <c r="E5" s="25">
        <f>預測IC!E5</f>
        <v>8.0135071589913301E-3</v>
      </c>
      <c r="F5" s="25">
        <f>預測IC!F5</f>
        <v>7.4387135878969382E-3</v>
      </c>
      <c r="G5" s="25">
        <f>預測IC!G5</f>
        <v>-1.698488952144591E-4</v>
      </c>
      <c r="H5" s="25">
        <f>預測IC!H5</f>
        <v>9.1359420815390231E-3</v>
      </c>
      <c r="I5" s="25">
        <f>預測IC!I5</f>
        <v>1.2007171314759381E-2</v>
      </c>
      <c r="J5" s="25">
        <f>預測IC!J5</f>
        <v>5.9464452790785093E-3</v>
      </c>
      <c r="K5" s="25">
        <f>預測IC!K5</f>
        <v>1.6591641238482821E-2</v>
      </c>
      <c r="L5" s="25">
        <f>預測IC!L5</f>
        <v>1.920161893371632E-2</v>
      </c>
      <c r="M5" s="25">
        <f>預測IC!M5</f>
        <v>1.9701815290587801E-2</v>
      </c>
      <c r="N5" s="25">
        <f>預測IC!N5</f>
        <v>2.0161711803974011E-2</v>
      </c>
      <c r="O5" s="25">
        <f>預測IC!O5</f>
        <v>1.3437225514017491E-2</v>
      </c>
      <c r="P5" s="25">
        <f>預測IC!P5</f>
        <v>1.7638047330766411E-2</v>
      </c>
      <c r="Q5" s="25">
        <f>預測IC!Q5</f>
        <v>1.3117422271736861E-2</v>
      </c>
      <c r="R5" s="25">
        <f>預測IC!R5</f>
        <v>1.345674557846294E-2</v>
      </c>
      <c r="S5" s="25">
        <f>預測IC!S5</f>
        <v>1.6544045810315121E-2</v>
      </c>
      <c r="T5" s="25">
        <f>預測IC!T5</f>
        <v>1.588127346287815E-2</v>
      </c>
      <c r="U5" s="25">
        <f>預測IC!U5</f>
        <v>2.5940277266489609E-2</v>
      </c>
      <c r="V5" s="25">
        <f>預測IC!V5</f>
        <v>1.968064199513106E-2</v>
      </c>
      <c r="W5" s="25">
        <f>預測IC!W5</f>
        <v>3.2681747373401578E-2</v>
      </c>
      <c r="X5" s="25">
        <f>預測IC!X5</f>
        <v>2.88193361747647E-2</v>
      </c>
      <c r="Y5" s="25">
        <f>預測IC!Y5</f>
        <v>-3.6096516306345743E-2</v>
      </c>
      <c r="Z5" s="25">
        <f>預測IC!Z5</f>
        <v>-5.819473766386217E-3</v>
      </c>
      <c r="AA5" s="25">
        <f>預測IC!AA5</f>
        <v>-1.384361877178903E-2</v>
      </c>
      <c r="AB5" s="25">
        <f>預測IC!AB5</f>
        <v>-4.9937139241651593E-2</v>
      </c>
      <c r="AC5" s="25">
        <f>預測IC!AC5</f>
        <v>-9.2081626879443376E-3</v>
      </c>
      <c r="AD5" s="25">
        <f>預測IC!AD5</f>
        <v>-6.5956474854444447E-2</v>
      </c>
      <c r="AE5" s="25">
        <f>預測IC!AE5</f>
        <v>-2.173514574122511E-2</v>
      </c>
      <c r="AF5" s="25">
        <f>預測IC!AF5</f>
        <v>8.972422407877146E-3</v>
      </c>
      <c r="AG5" s="25">
        <f>預測IC!AG5</f>
        <v>-1.1832985971204321E-2</v>
      </c>
      <c r="AH5" s="25">
        <f>預測IC!AH5</f>
        <v>-2.9651907106316919E-3</v>
      </c>
      <c r="AI5" s="25">
        <f>預測IC!AI5</f>
        <v>4.7857326511695827E-3</v>
      </c>
      <c r="AJ5" s="25">
        <f>預測IC!AJ5</f>
        <v>5.7367073977292078E-3</v>
      </c>
      <c r="AK5" s="25">
        <f>預測IC!AK5</f>
        <v>7.392687328147911E-3</v>
      </c>
      <c r="AL5" s="25">
        <f>預測IC!AL5</f>
        <v>-1.8742539375924459E-3</v>
      </c>
      <c r="AM5" s="25">
        <f>預測IC!AM5</f>
        <v>-1.9525231098321519E-3</v>
      </c>
      <c r="AN5" s="25">
        <f>預測IC!AN5</f>
        <v>-3.6238168597597618E-3</v>
      </c>
      <c r="AO5" s="25">
        <f>預測IC!AO5</f>
        <v>-9.160305976377861E-3</v>
      </c>
      <c r="AP5" s="25">
        <f>預測IC!AP5</f>
        <v>2.5415010892232532E-3</v>
      </c>
      <c r="AQ5" s="25">
        <f>預測IC!AQ5</f>
        <v>3.8483729442072112E-3</v>
      </c>
      <c r="AR5" s="25">
        <f>預測IC!AR5</f>
        <v>3.4029774500497689E-3</v>
      </c>
      <c r="AS5" s="25">
        <f>預測IC!AS5</f>
        <v>8.5747228695072812E-4</v>
      </c>
      <c r="AT5" s="25">
        <f>預測IC!AT5</f>
        <v>8.1789276697448558E-3</v>
      </c>
      <c r="AU5" s="25">
        <f>預測IC!AU5</f>
        <v>1.005796764455418E-2</v>
      </c>
      <c r="AV5" s="25">
        <f>預測IC!AV5</f>
        <v>1.1137854065294999E-2</v>
      </c>
      <c r="AW5" s="25">
        <f>預測IC!AW5</f>
        <v>1.337826848807136E-2</v>
      </c>
      <c r="AX5" s="25">
        <f>預測IC!AX5</f>
        <v>1.18848248356704E-2</v>
      </c>
      <c r="AY5" s="25">
        <f>預測IC!AY5</f>
        <v>-6.6054212052508997E-6</v>
      </c>
      <c r="AZ5" s="25">
        <f>預測IC!AZ5</f>
        <v>7.8238778565858352E-3</v>
      </c>
      <c r="BA5" s="25">
        <f>預測IC!BA5</f>
        <v>6.98923551593754E-3</v>
      </c>
      <c r="BB5" s="25">
        <f>預測IC!BB5</f>
        <v>7.1871697288773849E-3</v>
      </c>
      <c r="BC5" s="25">
        <f>預測IC!BC5</f>
        <v>-2.3924143890266141E-3</v>
      </c>
      <c r="BD5" s="25">
        <f>預測IC!BD5</f>
        <v>7.2638542327923324E-4</v>
      </c>
      <c r="BE5" s="25">
        <f>預測IC!BE5</f>
        <v>-2.2265342845179791E-3</v>
      </c>
      <c r="BF5" s="25">
        <f>預測IC!BF5</f>
        <v>-1.044661448632583E-3</v>
      </c>
      <c r="BG5" s="25">
        <f>預測IC!BG5</f>
        <v>-2.071082545210403E-2</v>
      </c>
      <c r="BH5" s="25">
        <f>預測IC!BH5</f>
        <v>-4.4325197973968437E-2</v>
      </c>
      <c r="BI5" s="25">
        <f>預測IC!BI5</f>
        <v>-1.4765945486966079E-2</v>
      </c>
      <c r="BJ5" s="25">
        <f>預測IC!BJ5</f>
        <v>-2.2277758365709211E-2</v>
      </c>
      <c r="BK5" s="25">
        <f>預測IC!BK5</f>
        <v>-2.350667592759435E-2</v>
      </c>
      <c r="BL5" s="25">
        <f>預測IC!BL5</f>
        <v>-1.659613811373151E-2</v>
      </c>
      <c r="BM5" s="25">
        <f>預測IC!BM5</f>
        <v>-3.7766406128849933E-2</v>
      </c>
      <c r="BN5" s="25">
        <f>預測IC!BN5</f>
        <v>-1.0040541012613679E-2</v>
      </c>
      <c r="BO5" s="25">
        <f>預測IC!BO5</f>
        <v>-7.4939665232719018E-3</v>
      </c>
      <c r="BP5" s="25">
        <f>預測IC!BP5</f>
        <v>3.371447827029599E-3</v>
      </c>
      <c r="BQ5" s="25">
        <f>預測IC!BQ5</f>
        <v>6.8205160463408977E-3</v>
      </c>
      <c r="BR5" s="25">
        <f>預測IC!BR5</f>
        <v>5.5997292120069176E-3</v>
      </c>
      <c r="BS5" s="25">
        <f>預測IC!BS5</f>
        <v>1.5475741356267531E-2</v>
      </c>
      <c r="BT5" s="25">
        <f>預測IC!BT5</f>
        <v>2.505139605033146E-3</v>
      </c>
      <c r="BU5" s="25">
        <f>預測IC!BU5</f>
        <v>6.9054048686437997E-3</v>
      </c>
      <c r="BV5" s="25">
        <f>預測IC!BV5</f>
        <v>6.7595125599199234E-3</v>
      </c>
      <c r="BW5" s="25">
        <f>預測IC!BW5</f>
        <v>5.3854477548855081E-3</v>
      </c>
      <c r="BX5" s="25">
        <f>預測IC!BX5</f>
        <v>-5.1415040641252419E-4</v>
      </c>
      <c r="BY5" s="25">
        <f>預測IC!BY5</f>
        <v>-4.2217786474238123E-3</v>
      </c>
      <c r="BZ5" s="25">
        <f>預測IC!BZ5</f>
        <v>1.3635264175112351E-3</v>
      </c>
      <c r="CA5" s="25">
        <f>預測IC!CA5</f>
        <v>1.234011782232132E-2</v>
      </c>
      <c r="CB5" s="25">
        <f>預測IC!CB5</f>
        <v>1.616138172374685E-2</v>
      </c>
      <c r="CC5" s="25">
        <f>預測IC!CC5</f>
        <v>2.1700747371675229E-3</v>
      </c>
      <c r="CD5" s="25">
        <f>預測IC!CD5</f>
        <v>8.3982369302591179E-3</v>
      </c>
      <c r="CE5" s="25">
        <f>預測IC!CE5</f>
        <v>2.9924757275427601E-3</v>
      </c>
      <c r="CF5" s="25">
        <f>預測IC!CF5</f>
        <v>-8.3356639285777159E-4</v>
      </c>
      <c r="CG5" s="25">
        <f>預測IC!CG5</f>
        <v>-7.4006182308146765E-4</v>
      </c>
      <c r="CH5" s="25">
        <f>預測IC!CH5</f>
        <v>-1.191538287503947E-2</v>
      </c>
      <c r="CI5" s="25">
        <f>預測IC!CI5</f>
        <v>-1.445466793303803E-2</v>
      </c>
      <c r="CJ5" s="25">
        <f>預測IC!CJ5</f>
        <v>-7.2598371634770833E-3</v>
      </c>
      <c r="CK5" s="25">
        <f>預測IC!CK5</f>
        <v>-1.2941787548456081E-3</v>
      </c>
      <c r="CL5" s="25">
        <f>預測IC!CL5</f>
        <v>9.4434034914934982E-3</v>
      </c>
      <c r="CM5" s="25">
        <f>預測IC!CM5</f>
        <v>5.1140346103961546E-3</v>
      </c>
      <c r="CN5" s="25">
        <f>預測IC!CN5</f>
        <v>2.873279302798517E-3</v>
      </c>
      <c r="CO5" s="25">
        <f>預測IC!CO5</f>
        <v>1.7240475986858961E-2</v>
      </c>
      <c r="CP5" s="25">
        <f>預測IC!CP5</f>
        <v>1.141421806863863E-2</v>
      </c>
      <c r="CQ5" s="25">
        <f>預測IC!CQ5</f>
        <v>9.0067640458367376E-3</v>
      </c>
      <c r="CR5" s="25">
        <f>預測IC!CR5</f>
        <v>-2.0834521461759619E-3</v>
      </c>
      <c r="CS5" s="25">
        <f>預測IC!CS5</f>
        <v>-2.1705770934876179E-2</v>
      </c>
      <c r="CT5" s="25">
        <f>預測IC!CT5</f>
        <v>-5.3317796351909441E-3</v>
      </c>
      <c r="CU5" s="25">
        <f>預測IC!CU5</f>
        <v>-3.68701425744362E-3</v>
      </c>
      <c r="CV5" s="25">
        <f>預測IC!CV5</f>
        <v>-3.7795651312946363E-2</v>
      </c>
      <c r="CW5" s="25">
        <f>預測IC!CW5</f>
        <v>-1.389414662767193E-2</v>
      </c>
      <c r="CX5" s="25">
        <f>預測IC!CX5</f>
        <v>6.6294897158866908E-3</v>
      </c>
      <c r="CY5" s="25">
        <f>預測IC!CY5</f>
        <v>-8.2669791474472652E-3</v>
      </c>
      <c r="CZ5" s="25">
        <f>預測IC!CZ5</f>
        <v>1.6345621066842339E-3</v>
      </c>
      <c r="DA5" s="25">
        <f>預測IC!DA5</f>
        <v>4.0989739461057587E-4</v>
      </c>
      <c r="DB5" s="25">
        <f>預測IC!DB5</f>
        <v>4.4160124984572238E-3</v>
      </c>
      <c r="DC5" s="25">
        <f>預測IC!DC5</f>
        <v>2.6999676534044229E-2</v>
      </c>
      <c r="DD5" s="25">
        <f>預測IC!DD5</f>
        <v>9.3187860184787523E-3</v>
      </c>
      <c r="DE5" s="25">
        <f>預測IC!DE5</f>
        <v>-7.7970742974550434E-3</v>
      </c>
      <c r="DF5" s="25">
        <f>預測IC!DF5</f>
        <v>-8.1874226333864611E-3</v>
      </c>
      <c r="DG5" s="25">
        <f>預測IC!DG5</f>
        <v>4.7082207843577081E-3</v>
      </c>
      <c r="DH5" s="25">
        <f>預測IC!DH5</f>
        <v>-1.366700326533769E-2</v>
      </c>
      <c r="DI5" s="25">
        <f>預測IC!DI5</f>
        <v>-7.0506889413944297E-3</v>
      </c>
      <c r="DJ5" s="25">
        <f>預測IC!DJ5</f>
        <v>-1.7588579481036151E-3</v>
      </c>
      <c r="DK5" s="25">
        <f>預測IC!DK5</f>
        <v>3.3090688344859318E-3</v>
      </c>
      <c r="DL5" s="25">
        <f>預測IC!DL5</f>
        <v>4.8628677609277053E-3</v>
      </c>
      <c r="DM5" s="25">
        <f>預測IC!DM5</f>
        <v>3.615095063496505E-3</v>
      </c>
      <c r="DN5" s="25">
        <f>預測IC!DN5</f>
        <v>6.2882035928106261E-3</v>
      </c>
      <c r="DO5" s="25">
        <f>預測IC!DO5</f>
        <v>3.5527335435835928E-3</v>
      </c>
      <c r="DP5" s="25">
        <f>預測IC!DP5</f>
        <v>2.522276075432245E-3</v>
      </c>
      <c r="DQ5" s="25">
        <f>預測IC!DQ5</f>
        <v>-1.066481554793703E-2</v>
      </c>
      <c r="DR5" s="25">
        <f>預測IC!DR5</f>
        <v>1.0994664104448231E-2</v>
      </c>
      <c r="DS5" s="25">
        <f>預測IC!DS5</f>
        <v>-6.4490210014508389E-4</v>
      </c>
      <c r="DT5" s="25">
        <f>預測IC!DT5</f>
        <v>2.3512508887306921E-4</v>
      </c>
      <c r="DU5" s="25">
        <f>預測IC!DU5</f>
        <v>7.3690345715555156E-3</v>
      </c>
      <c r="DV5" s="25">
        <f>預測IC!DV5</f>
        <v>6.7783151790338399E-3</v>
      </c>
      <c r="DW5" s="25">
        <f>預測IC!DW5</f>
        <v>-3.7712345710407022E-3</v>
      </c>
      <c r="DX5" s="25">
        <f>預測IC!DX5</f>
        <v>1.105501636716033E-3</v>
      </c>
      <c r="DY5" s="25">
        <f>預測IC!DY5</f>
        <v>3.3867890298772299E-3</v>
      </c>
      <c r="DZ5" s="25">
        <f>預測IC!DZ5</f>
        <v>3.2550462209418539E-3</v>
      </c>
      <c r="EA5" s="25">
        <f>預測IC!EA5</f>
        <v>6.2664247918384338E-3</v>
      </c>
      <c r="EB5" s="25">
        <f>預測IC!EB5</f>
        <v>-1.711276767800882E-2</v>
      </c>
      <c r="EC5" s="25">
        <f>預測IC!EC5</f>
        <v>-2.088664436358852E-2</v>
      </c>
      <c r="ED5" s="25">
        <f>預測IC!ED5</f>
        <v>-1.0693731182181591E-2</v>
      </c>
      <c r="EE5" s="25">
        <f>預測IC!EE5</f>
        <v>-1.1958726691457309E-2</v>
      </c>
      <c r="EF5" s="25">
        <f>預測IC!EF5</f>
        <v>-1.4122559209273111E-2</v>
      </c>
      <c r="EG5" s="1"/>
    </row>
    <row r="6" spans="1:138" s="2" customFormat="1">
      <c r="A6" s="27" t="s">
        <v>139</v>
      </c>
      <c r="B6" s="28"/>
      <c r="C6" s="9">
        <f t="array" ref="C6">MATCH(MAX(ABS(C3:C5)), ABS(C3:C5), 0)</f>
        <v>2</v>
      </c>
      <c r="D6" s="9">
        <f t="array" ref="D6">MATCH(MAX(ABS(D3:D5)), ABS(D3:D5), 0)</f>
        <v>2</v>
      </c>
      <c r="E6" s="9">
        <f t="array" ref="E6">MATCH(MAX(ABS(E3:E5)), ABS(E3:E5), 0)</f>
        <v>2</v>
      </c>
      <c r="F6" s="9">
        <f t="array" ref="F6">MATCH(MAX(ABS(F3:F5)), ABS(F3:F5), 0)</f>
        <v>2</v>
      </c>
      <c r="G6" s="9">
        <f t="array" ref="G6">MATCH(MAX(ABS(G3:G5)), ABS(G3:G5), 0)</f>
        <v>2</v>
      </c>
      <c r="H6" s="9">
        <f t="array" ref="H6">MATCH(MAX(ABS(H3:H5)), ABS(H3:H5), 0)</f>
        <v>2</v>
      </c>
      <c r="I6" s="9">
        <f t="array" ref="I6">MATCH(MAX(ABS(I3:I5)), ABS(I3:I5), 0)</f>
        <v>2</v>
      </c>
      <c r="J6" s="9">
        <f t="array" ref="J6">MATCH(MAX(ABS(J3:J5)), ABS(J3:J5), 0)</f>
        <v>2</v>
      </c>
      <c r="K6" s="9">
        <f t="array" ref="K6">MATCH(MAX(ABS(K3:K5)), ABS(K3:K5), 0)</f>
        <v>2</v>
      </c>
      <c r="L6" s="9">
        <f t="array" ref="L6">MATCH(MAX(ABS(L3:L5)), ABS(L3:L5), 0)</f>
        <v>2</v>
      </c>
      <c r="M6" s="9">
        <f t="array" ref="M6">MATCH(MAX(ABS(M3:M5)), ABS(M3:M5), 0)</f>
        <v>1</v>
      </c>
      <c r="N6" s="9">
        <f t="array" ref="N6">MATCH(MAX(ABS(N3:N5)), ABS(N3:N5), 0)</f>
        <v>2</v>
      </c>
      <c r="O6" s="9">
        <f t="array" ref="O6">MATCH(MAX(ABS(O3:O5)), ABS(O3:O5), 0)</f>
        <v>2</v>
      </c>
      <c r="P6" s="9">
        <f t="array" ref="P6">MATCH(MAX(ABS(P3:P5)), ABS(P3:P5), 0)</f>
        <v>2</v>
      </c>
      <c r="Q6" s="9">
        <f t="array" ref="Q6">MATCH(MAX(ABS(Q3:Q5)), ABS(Q3:Q5), 0)</f>
        <v>2</v>
      </c>
      <c r="R6" s="9">
        <f t="array" ref="R6">MATCH(MAX(ABS(R3:R5)), ABS(R3:R5), 0)</f>
        <v>2</v>
      </c>
      <c r="S6" s="9">
        <f t="array" ref="S6">MATCH(MAX(ABS(S3:S5)), ABS(S3:S5), 0)</f>
        <v>2</v>
      </c>
      <c r="T6" s="9">
        <f t="array" ref="T6">MATCH(MAX(ABS(T3:T5)), ABS(T3:T5), 0)</f>
        <v>1</v>
      </c>
      <c r="U6" s="9">
        <f t="array" ref="U6">MATCH(MAX(ABS(U3:U5)), ABS(U3:U5), 0)</f>
        <v>2</v>
      </c>
      <c r="V6" s="9">
        <f t="array" ref="V6">MATCH(MAX(ABS(V3:V5)), ABS(V3:V5), 0)</f>
        <v>2</v>
      </c>
      <c r="W6" s="9">
        <f t="array" ref="W6">MATCH(MAX(ABS(W3:W5)), ABS(W3:W5), 0)</f>
        <v>1</v>
      </c>
      <c r="X6" s="9">
        <f t="array" ref="X6">MATCH(MAX(ABS(X3:X5)), ABS(X3:X5), 0)</f>
        <v>2</v>
      </c>
      <c r="Y6" s="9">
        <f t="array" ref="Y6">MATCH(MAX(ABS(Y3:Y5)), ABS(Y3:Y5), 0)</f>
        <v>2</v>
      </c>
      <c r="Z6" s="9">
        <f t="array" ref="Z6">MATCH(MAX(ABS(Z3:Z5)), ABS(Z3:Z5), 0)</f>
        <v>2</v>
      </c>
      <c r="AA6" s="9">
        <f t="array" ref="AA6">MATCH(MAX(ABS(AA3:AA5)), ABS(AA3:AA5), 0)</f>
        <v>2</v>
      </c>
      <c r="AB6" s="9">
        <f t="array" ref="AB6">MATCH(MAX(ABS(AB3:AB5)), ABS(AB3:AB5), 0)</f>
        <v>3</v>
      </c>
      <c r="AC6" s="9">
        <f t="array" ref="AC6">MATCH(MAX(ABS(AC3:AC5)), ABS(AC3:AC5), 0)</f>
        <v>2</v>
      </c>
      <c r="AD6" s="9">
        <f t="array" ref="AD6">MATCH(MAX(ABS(AD3:AD5)), ABS(AD3:AD5), 0)</f>
        <v>3</v>
      </c>
      <c r="AE6" s="9">
        <f t="array" ref="AE6">MATCH(MAX(ABS(AE3:AE5)), ABS(AE3:AE5), 0)</f>
        <v>2</v>
      </c>
      <c r="AF6" s="9">
        <f t="array" ref="AF6">MATCH(MAX(ABS(AF3:AF5)), ABS(AF3:AF5), 0)</f>
        <v>1</v>
      </c>
      <c r="AG6" s="9">
        <f t="array" ref="AG6">MATCH(MAX(ABS(AG3:AG5)), ABS(AG3:AG5), 0)</f>
        <v>2</v>
      </c>
      <c r="AH6" s="9">
        <f t="array" ref="AH6">MATCH(MAX(ABS(AH3:AH5)), ABS(AH3:AH5), 0)</f>
        <v>1</v>
      </c>
      <c r="AI6" s="9">
        <f t="array" ref="AI6">MATCH(MAX(ABS(AI3:AI5)), ABS(AI3:AI5), 0)</f>
        <v>1</v>
      </c>
      <c r="AJ6" s="9">
        <f t="array" ref="AJ6">MATCH(MAX(ABS(AJ3:AJ5)), ABS(AJ3:AJ5), 0)</f>
        <v>1</v>
      </c>
      <c r="AK6" s="9">
        <f t="array" ref="AK6">MATCH(MAX(ABS(AK3:AK5)), ABS(AK3:AK5), 0)</f>
        <v>1</v>
      </c>
      <c r="AL6" s="9">
        <f t="array" ref="AL6">MATCH(MAX(ABS(AL3:AL5)), ABS(AL3:AL5), 0)</f>
        <v>1</v>
      </c>
      <c r="AM6" s="9">
        <f t="array" ref="AM6">MATCH(MAX(ABS(AM3:AM5)), ABS(AM3:AM5), 0)</f>
        <v>1</v>
      </c>
      <c r="AN6" s="9">
        <f t="array" ref="AN6">MATCH(MAX(ABS(AN3:AN5)), ABS(AN3:AN5), 0)</f>
        <v>1</v>
      </c>
      <c r="AO6" s="9">
        <f t="array" ref="AO6">MATCH(MAX(ABS(AO3:AO5)), ABS(AO3:AO5), 0)</f>
        <v>1</v>
      </c>
      <c r="AP6" s="9">
        <f t="array" ref="AP6">MATCH(MAX(ABS(AP3:AP5)), ABS(AP3:AP5), 0)</f>
        <v>1</v>
      </c>
      <c r="AQ6" s="9">
        <f t="array" ref="AQ6">MATCH(MAX(ABS(AQ3:AQ5)), ABS(AQ3:AQ5), 0)</f>
        <v>1</v>
      </c>
      <c r="AR6" s="9">
        <f t="array" ref="AR6">MATCH(MAX(ABS(AR3:AR5)), ABS(AR3:AR5), 0)</f>
        <v>1</v>
      </c>
      <c r="AS6" s="9">
        <f t="array" ref="AS6">MATCH(MAX(ABS(AS3:AS5)), ABS(AS3:AS5), 0)</f>
        <v>1</v>
      </c>
      <c r="AT6" s="9">
        <f t="array" ref="AT6">MATCH(MAX(ABS(AT3:AT5)), ABS(AT3:AT5), 0)</f>
        <v>1</v>
      </c>
      <c r="AU6" s="9">
        <f t="array" ref="AU6">MATCH(MAX(ABS(AU3:AU5)), ABS(AU3:AU5), 0)</f>
        <v>1</v>
      </c>
      <c r="AV6" s="9">
        <f t="array" ref="AV6">MATCH(MAX(ABS(AV3:AV5)), ABS(AV3:AV5), 0)</f>
        <v>1</v>
      </c>
      <c r="AW6" s="9">
        <f t="array" ref="AW6">MATCH(MAX(ABS(AW3:AW5)), ABS(AW3:AW5), 0)</f>
        <v>1</v>
      </c>
      <c r="AX6" s="9">
        <f t="array" ref="AX6">MATCH(MAX(ABS(AX3:AX5)), ABS(AX3:AX5), 0)</f>
        <v>1</v>
      </c>
      <c r="AY6" s="9">
        <f t="array" ref="AY6">MATCH(MAX(ABS(AY3:AY5)), ABS(AY3:AY5), 0)</f>
        <v>1</v>
      </c>
      <c r="AZ6" s="9">
        <f t="array" ref="AZ6">MATCH(MAX(ABS(AZ3:AZ5)), ABS(AZ3:AZ5), 0)</f>
        <v>1</v>
      </c>
      <c r="BA6" s="9">
        <f t="array" ref="BA6">MATCH(MAX(ABS(BA3:BA5)), ABS(BA3:BA5), 0)</f>
        <v>2</v>
      </c>
      <c r="BB6" s="9">
        <f t="array" ref="BB6">MATCH(MAX(ABS(BB3:BB5)), ABS(BB3:BB5), 0)</f>
        <v>2</v>
      </c>
      <c r="BC6" s="9">
        <f t="array" ref="BC6">MATCH(MAX(ABS(BC3:BC5)), ABS(BC3:BC5), 0)</f>
        <v>1</v>
      </c>
      <c r="BD6" s="9">
        <f t="array" ref="BD6">MATCH(MAX(ABS(BD3:BD5)), ABS(BD3:BD5), 0)</f>
        <v>1</v>
      </c>
      <c r="BE6" s="9">
        <f t="array" ref="BE6">MATCH(MAX(ABS(BE3:BE5)), ABS(BE3:BE5), 0)</f>
        <v>1</v>
      </c>
      <c r="BF6" s="9">
        <f t="array" ref="BF6">MATCH(MAX(ABS(BF3:BF5)), ABS(BF3:BF5), 0)</f>
        <v>1</v>
      </c>
      <c r="BG6" s="9">
        <f t="array" ref="BG6">MATCH(MAX(ABS(BG3:BG5)), ABS(BG3:BG5), 0)</f>
        <v>1</v>
      </c>
      <c r="BH6" s="9">
        <f t="array" ref="BH6">MATCH(MAX(ABS(BH3:BH5)), ABS(BH3:BH5), 0)</f>
        <v>1</v>
      </c>
      <c r="BI6" s="9">
        <f t="array" ref="BI6">MATCH(MAX(ABS(BI3:BI5)), ABS(BI3:BI5), 0)</f>
        <v>1</v>
      </c>
      <c r="BJ6" s="9">
        <f t="array" ref="BJ6">MATCH(MAX(ABS(BJ3:BJ5)), ABS(BJ3:BJ5), 0)</f>
        <v>1</v>
      </c>
      <c r="BK6" s="9">
        <f t="array" ref="BK6">MATCH(MAX(ABS(BK3:BK5)), ABS(BK3:BK5), 0)</f>
        <v>1</v>
      </c>
      <c r="BL6" s="9">
        <f t="array" ref="BL6">MATCH(MAX(ABS(BL3:BL5)), ABS(BL3:BL5), 0)</f>
        <v>1</v>
      </c>
      <c r="BM6" s="9">
        <f t="array" ref="BM6">MATCH(MAX(ABS(BM3:BM5)), ABS(BM3:BM5), 0)</f>
        <v>3</v>
      </c>
      <c r="BN6" s="9">
        <f t="array" ref="BN6">MATCH(MAX(ABS(BN3:BN5)), ABS(BN3:BN5), 0)</f>
        <v>1</v>
      </c>
      <c r="BO6" s="9">
        <f t="array" ref="BO6">MATCH(MAX(ABS(BO3:BO5)), ABS(BO3:BO5), 0)</f>
        <v>1</v>
      </c>
      <c r="BP6" s="9">
        <f t="array" ref="BP6">MATCH(MAX(ABS(BP3:BP5)), ABS(BP3:BP5), 0)</f>
        <v>1</v>
      </c>
      <c r="BQ6" s="9">
        <f t="array" ref="BQ6">MATCH(MAX(ABS(BQ3:BQ5)), ABS(BQ3:BQ5), 0)</f>
        <v>1</v>
      </c>
      <c r="BR6" s="9">
        <f t="array" ref="BR6">MATCH(MAX(ABS(BR3:BR5)), ABS(BR3:BR5), 0)</f>
        <v>1</v>
      </c>
      <c r="BS6" s="9">
        <f t="array" ref="BS6">MATCH(MAX(ABS(BS3:BS5)), ABS(BS3:BS5), 0)</f>
        <v>1</v>
      </c>
      <c r="BT6" s="9">
        <f t="array" ref="BT6">MATCH(MAX(ABS(BT3:BT5)), ABS(BT3:BT5), 0)</f>
        <v>1</v>
      </c>
      <c r="BU6" s="9">
        <f t="array" ref="BU6">MATCH(MAX(ABS(BU3:BU5)), ABS(BU3:BU5), 0)</f>
        <v>1</v>
      </c>
      <c r="BV6" s="9">
        <f t="array" ref="BV6">MATCH(MAX(ABS(BV3:BV5)), ABS(BV3:BV5), 0)</f>
        <v>1</v>
      </c>
      <c r="BW6" s="9">
        <f t="array" ref="BW6">MATCH(MAX(ABS(BW3:BW5)), ABS(BW3:BW5), 0)</f>
        <v>1</v>
      </c>
      <c r="BX6" s="9">
        <f t="array" ref="BX6">MATCH(MAX(ABS(BX3:BX5)), ABS(BX3:BX5), 0)</f>
        <v>1</v>
      </c>
      <c r="BY6" s="9">
        <f t="array" ref="BY6">MATCH(MAX(ABS(BY3:BY5)), ABS(BY3:BY5), 0)</f>
        <v>1</v>
      </c>
      <c r="BZ6" s="9">
        <f t="array" ref="BZ6">MATCH(MAX(ABS(BZ3:BZ5)), ABS(BZ3:BZ5), 0)</f>
        <v>1</v>
      </c>
      <c r="CA6" s="9">
        <f t="array" ref="CA6">MATCH(MAX(ABS(CA3:CA5)), ABS(CA3:CA5), 0)</f>
        <v>1</v>
      </c>
      <c r="CB6" s="9">
        <f t="array" ref="CB6">MATCH(MAX(ABS(CB3:CB5)), ABS(CB3:CB5), 0)</f>
        <v>1</v>
      </c>
      <c r="CC6" s="9">
        <f t="array" ref="CC6">MATCH(MAX(ABS(CC3:CC5)), ABS(CC3:CC5), 0)</f>
        <v>2</v>
      </c>
      <c r="CD6" s="9">
        <f t="array" ref="CD6">MATCH(MAX(ABS(CD3:CD5)), ABS(CD3:CD5), 0)</f>
        <v>2</v>
      </c>
      <c r="CE6" s="9">
        <f t="array" ref="CE6">MATCH(MAX(ABS(CE3:CE5)), ABS(CE3:CE5), 0)</f>
        <v>2</v>
      </c>
      <c r="CF6" s="9">
        <f t="array" ref="CF6">MATCH(MAX(ABS(CF3:CF5)), ABS(CF3:CF5), 0)</f>
        <v>2</v>
      </c>
      <c r="CG6" s="9">
        <f t="array" ref="CG6">MATCH(MAX(ABS(CG3:CG5)), ABS(CG3:CG5), 0)</f>
        <v>2</v>
      </c>
      <c r="CH6" s="9">
        <f t="array" ref="CH6">MATCH(MAX(ABS(CH3:CH5)), ABS(CH3:CH5), 0)</f>
        <v>1</v>
      </c>
      <c r="CI6" s="9">
        <f t="array" ref="CI6">MATCH(MAX(ABS(CI3:CI5)), ABS(CI3:CI5), 0)</f>
        <v>1</v>
      </c>
      <c r="CJ6" s="9">
        <f t="array" ref="CJ6">MATCH(MAX(ABS(CJ3:CJ5)), ABS(CJ3:CJ5), 0)</f>
        <v>1</v>
      </c>
      <c r="CK6" s="9">
        <f t="array" ref="CK6">MATCH(MAX(ABS(CK3:CK5)), ABS(CK3:CK5), 0)</f>
        <v>1</v>
      </c>
      <c r="CL6" s="9">
        <f t="array" ref="CL6">MATCH(MAX(ABS(CL3:CL5)), ABS(CL3:CL5), 0)</f>
        <v>1</v>
      </c>
      <c r="CM6" s="9">
        <f t="array" ref="CM6">MATCH(MAX(ABS(CM3:CM5)), ABS(CM3:CM5), 0)</f>
        <v>1</v>
      </c>
      <c r="CN6" s="9">
        <f t="array" ref="CN6">MATCH(MAX(ABS(CN3:CN5)), ABS(CN3:CN5), 0)</f>
        <v>1</v>
      </c>
      <c r="CO6" s="9">
        <f t="array" ref="CO6">MATCH(MAX(ABS(CO3:CO5)), ABS(CO3:CO5), 0)</f>
        <v>1</v>
      </c>
      <c r="CP6" s="9">
        <f t="array" ref="CP6">MATCH(MAX(ABS(CP3:CP5)), ABS(CP3:CP5), 0)</f>
        <v>1</v>
      </c>
      <c r="CQ6" s="9">
        <f t="array" ref="CQ6">MATCH(MAX(ABS(CQ3:CQ5)), ABS(CQ3:CQ5), 0)</f>
        <v>3</v>
      </c>
      <c r="CR6" s="9">
        <f t="array" ref="CR6">MATCH(MAX(ABS(CR3:CR5)), ABS(CR3:CR5), 0)</f>
        <v>2</v>
      </c>
      <c r="CS6" s="9">
        <f t="array" ref="CS6">MATCH(MAX(ABS(CS3:CS5)), ABS(CS3:CS5), 0)</f>
        <v>2</v>
      </c>
      <c r="CT6" s="9">
        <f t="array" ref="CT6">MATCH(MAX(ABS(CT3:CT5)), ABS(CT3:CT5), 0)</f>
        <v>1</v>
      </c>
      <c r="CU6" s="9">
        <f t="array" ref="CU6">MATCH(MAX(ABS(CU3:CU5)), ABS(CU3:CU5), 0)</f>
        <v>1</v>
      </c>
      <c r="CV6" s="9">
        <f t="array" ref="CV6">MATCH(MAX(ABS(CV3:CV5)), ABS(CV3:CV5), 0)</f>
        <v>1</v>
      </c>
      <c r="CW6" s="9">
        <f t="array" ref="CW6">MATCH(MAX(ABS(CW3:CW5)), ABS(CW3:CW5), 0)</f>
        <v>1</v>
      </c>
      <c r="CX6" s="9">
        <f t="array" ref="CX6">MATCH(MAX(ABS(CX3:CX5)), ABS(CX3:CX5), 0)</f>
        <v>1</v>
      </c>
      <c r="CY6" s="9">
        <f t="array" ref="CY6">MATCH(MAX(ABS(CY3:CY5)), ABS(CY3:CY5), 0)</f>
        <v>1</v>
      </c>
      <c r="CZ6" s="9">
        <f t="array" ref="CZ6">MATCH(MAX(ABS(CZ3:CZ5)), ABS(CZ3:CZ5), 0)</f>
        <v>1</v>
      </c>
      <c r="DA6" s="9">
        <f t="array" ref="DA6">MATCH(MAX(ABS(DA3:DA5)), ABS(DA3:DA5), 0)</f>
        <v>1</v>
      </c>
      <c r="DB6" s="9">
        <f t="array" ref="DB6">MATCH(MAX(ABS(DB3:DB5)), ABS(DB3:DB5), 0)</f>
        <v>2</v>
      </c>
      <c r="DC6" s="9">
        <f t="array" ref="DC6">MATCH(MAX(ABS(DC3:DC5)), ABS(DC3:DC5), 0)</f>
        <v>2</v>
      </c>
      <c r="DD6" s="9">
        <f t="array" ref="DD6">MATCH(MAX(ABS(DD3:DD5)), ABS(DD3:DD5), 0)</f>
        <v>2</v>
      </c>
      <c r="DE6" s="9">
        <f t="array" ref="DE6">MATCH(MAX(ABS(DE3:DE5)), ABS(DE3:DE5), 0)</f>
        <v>1</v>
      </c>
      <c r="DF6" s="9">
        <f t="array" ref="DF6">MATCH(MAX(ABS(DF3:DF5)), ABS(DF3:DF5), 0)</f>
        <v>1</v>
      </c>
      <c r="DG6" s="9">
        <f t="array" ref="DG6">MATCH(MAX(ABS(DG3:DG5)), ABS(DG3:DG5), 0)</f>
        <v>1</v>
      </c>
      <c r="DH6" s="9">
        <f t="array" ref="DH6">MATCH(MAX(ABS(DH3:DH5)), ABS(DH3:DH5), 0)</f>
        <v>1</v>
      </c>
      <c r="DI6" s="9">
        <f t="array" ref="DI6">MATCH(MAX(ABS(DI3:DI5)), ABS(DI3:DI5), 0)</f>
        <v>1</v>
      </c>
      <c r="DJ6" s="9">
        <f t="array" ref="DJ6">MATCH(MAX(ABS(DJ3:DJ5)), ABS(DJ3:DJ5), 0)</f>
        <v>2</v>
      </c>
      <c r="DK6" s="9">
        <f t="array" ref="DK6">MATCH(MAX(ABS(DK3:DK5)), ABS(DK3:DK5), 0)</f>
        <v>1</v>
      </c>
      <c r="DL6" s="9">
        <f t="array" ref="DL6">MATCH(MAX(ABS(DL3:DL5)), ABS(DL3:DL5), 0)</f>
        <v>1</v>
      </c>
      <c r="DM6" s="9">
        <f t="array" ref="DM6">MATCH(MAX(ABS(DM3:DM5)), ABS(DM3:DM5), 0)</f>
        <v>1</v>
      </c>
      <c r="DN6" s="9">
        <f t="array" ref="DN6">MATCH(MAX(ABS(DN3:DN5)), ABS(DN3:DN5), 0)</f>
        <v>1</v>
      </c>
      <c r="DO6" s="9">
        <f t="array" ref="DO6">MATCH(MAX(ABS(DO3:DO5)), ABS(DO3:DO5), 0)</f>
        <v>1</v>
      </c>
      <c r="DP6" s="9">
        <f t="array" ref="DP6">MATCH(MAX(ABS(DP3:DP5)), ABS(DP3:DP5), 0)</f>
        <v>1</v>
      </c>
      <c r="DQ6" s="9">
        <f t="array" ref="DQ6">MATCH(MAX(ABS(DQ3:DQ5)), ABS(DQ3:DQ5), 0)</f>
        <v>1</v>
      </c>
      <c r="DR6" s="9">
        <f t="array" ref="DR6">MATCH(MAX(ABS(DR3:DR5)), ABS(DR3:DR5), 0)</f>
        <v>1</v>
      </c>
      <c r="DS6" s="9">
        <f t="array" ref="DS6">MATCH(MAX(ABS(DS3:DS5)), ABS(DS3:DS5), 0)</f>
        <v>1</v>
      </c>
      <c r="DT6" s="9">
        <f t="array" ref="DT6">MATCH(MAX(ABS(DT3:DT5)), ABS(DT3:DT5), 0)</f>
        <v>2</v>
      </c>
      <c r="DU6" s="9">
        <f t="array" ref="DU6">MATCH(MAX(ABS(DU3:DU5)), ABS(DU3:DU5), 0)</f>
        <v>2</v>
      </c>
      <c r="DV6" s="9">
        <f t="array" ref="DV6">MATCH(MAX(ABS(DV3:DV5)), ABS(DV3:DV5), 0)</f>
        <v>1</v>
      </c>
      <c r="DW6" s="9">
        <f t="array" ref="DW6">MATCH(MAX(ABS(DW3:DW5)), ABS(DW3:DW5), 0)</f>
        <v>1</v>
      </c>
      <c r="DX6" s="9">
        <f t="array" ref="DX6">MATCH(MAX(ABS(DX3:DX5)), ABS(DX3:DX5), 0)</f>
        <v>1</v>
      </c>
      <c r="DY6" s="9">
        <f t="array" ref="DY6">MATCH(MAX(ABS(DY3:DY5)), ABS(DY3:DY5), 0)</f>
        <v>2</v>
      </c>
      <c r="DZ6" s="9">
        <f t="array" ref="DZ6">MATCH(MAX(ABS(DZ3:DZ5)), ABS(DZ3:DZ5), 0)</f>
        <v>2</v>
      </c>
      <c r="EA6" s="9">
        <f t="array" ref="EA6">MATCH(MAX(ABS(EA3:EA5)), ABS(EA3:EA5), 0)</f>
        <v>2</v>
      </c>
      <c r="EB6" s="9">
        <f t="array" ref="EB6">MATCH(MAX(ABS(EB3:EB5)), ABS(EB3:EB5), 0)</f>
        <v>1</v>
      </c>
      <c r="EC6" s="9">
        <f t="array" ref="EC6">MATCH(MAX(ABS(EC3:EC5)), ABS(EC3:EC5), 0)</f>
        <v>2</v>
      </c>
      <c r="ED6" s="9">
        <f t="array" ref="ED6">MATCH(MAX(ABS(ED3:ED5)), ABS(ED3:ED5), 0)</f>
        <v>1</v>
      </c>
      <c r="EE6" s="9">
        <f t="array" ref="EE6">MATCH(MAX(ABS(EE3:EE5)), ABS(EE3:EE5), 0)</f>
        <v>1</v>
      </c>
      <c r="EF6" s="9">
        <f t="array" ref="EF6">MATCH(MAX(ABS(EF3:EF5)), ABS(EF3:EF5), 0)</f>
        <v>1</v>
      </c>
    </row>
    <row r="7" spans="1:138" s="2" customFormat="1">
      <c r="C7" s="9" t="str">
        <f t="shared" ref="C7:AH7" si="0">IF(C6=1,"bm",IF(C6=2,"size",IF(C6=3,"mom")))</f>
        <v>size</v>
      </c>
      <c r="D7" s="9" t="str">
        <f t="shared" si="0"/>
        <v>size</v>
      </c>
      <c r="E7" s="9" t="str">
        <f t="shared" si="0"/>
        <v>size</v>
      </c>
      <c r="F7" s="9" t="str">
        <f t="shared" si="0"/>
        <v>size</v>
      </c>
      <c r="G7" s="9" t="str">
        <f t="shared" si="0"/>
        <v>size</v>
      </c>
      <c r="H7" s="9" t="str">
        <f t="shared" si="0"/>
        <v>size</v>
      </c>
      <c r="I7" s="9" t="str">
        <f t="shared" si="0"/>
        <v>size</v>
      </c>
      <c r="J7" s="9" t="str">
        <f t="shared" si="0"/>
        <v>size</v>
      </c>
      <c r="K7" s="9" t="str">
        <f t="shared" si="0"/>
        <v>size</v>
      </c>
      <c r="L7" s="9" t="str">
        <f t="shared" si="0"/>
        <v>size</v>
      </c>
      <c r="M7" s="9" t="str">
        <f t="shared" si="0"/>
        <v>bm</v>
      </c>
      <c r="N7" s="9" t="str">
        <f t="shared" si="0"/>
        <v>size</v>
      </c>
      <c r="O7" s="9" t="str">
        <f t="shared" si="0"/>
        <v>size</v>
      </c>
      <c r="P7" s="9" t="str">
        <f t="shared" si="0"/>
        <v>size</v>
      </c>
      <c r="Q7" s="9" t="str">
        <f t="shared" si="0"/>
        <v>size</v>
      </c>
      <c r="R7" s="9" t="str">
        <f t="shared" si="0"/>
        <v>size</v>
      </c>
      <c r="S7" s="9" t="str">
        <f t="shared" si="0"/>
        <v>size</v>
      </c>
      <c r="T7" s="9" t="str">
        <f t="shared" si="0"/>
        <v>bm</v>
      </c>
      <c r="U7" s="9" t="str">
        <f t="shared" si="0"/>
        <v>size</v>
      </c>
      <c r="V7" s="9" t="str">
        <f t="shared" si="0"/>
        <v>size</v>
      </c>
      <c r="W7" s="9" t="str">
        <f t="shared" si="0"/>
        <v>bm</v>
      </c>
      <c r="X7" s="9" t="str">
        <f t="shared" si="0"/>
        <v>size</v>
      </c>
      <c r="Y7" s="9" t="str">
        <f t="shared" si="0"/>
        <v>size</v>
      </c>
      <c r="Z7" s="9" t="str">
        <f t="shared" si="0"/>
        <v>size</v>
      </c>
      <c r="AA7" s="9" t="str">
        <f t="shared" si="0"/>
        <v>size</v>
      </c>
      <c r="AB7" s="9" t="str">
        <f t="shared" si="0"/>
        <v>mom</v>
      </c>
      <c r="AC7" s="9" t="str">
        <f t="shared" si="0"/>
        <v>size</v>
      </c>
      <c r="AD7" s="9" t="str">
        <f t="shared" si="0"/>
        <v>mom</v>
      </c>
      <c r="AE7" s="9" t="str">
        <f t="shared" si="0"/>
        <v>size</v>
      </c>
      <c r="AF7" s="9" t="str">
        <f t="shared" si="0"/>
        <v>bm</v>
      </c>
      <c r="AG7" s="9" t="str">
        <f t="shared" si="0"/>
        <v>size</v>
      </c>
      <c r="AH7" s="9" t="str">
        <f t="shared" si="0"/>
        <v>bm</v>
      </c>
      <c r="AI7" s="9" t="str">
        <f t="shared" ref="AI7:BN7" si="1">IF(AI6=1,"bm",IF(AI6=2,"size",IF(AI6=3,"mom")))</f>
        <v>bm</v>
      </c>
      <c r="AJ7" s="9" t="str">
        <f t="shared" si="1"/>
        <v>bm</v>
      </c>
      <c r="AK7" s="9" t="str">
        <f t="shared" si="1"/>
        <v>bm</v>
      </c>
      <c r="AL7" s="9" t="str">
        <f t="shared" si="1"/>
        <v>bm</v>
      </c>
      <c r="AM7" s="9" t="str">
        <f t="shared" si="1"/>
        <v>bm</v>
      </c>
      <c r="AN7" s="9" t="str">
        <f t="shared" si="1"/>
        <v>bm</v>
      </c>
      <c r="AO7" s="9" t="str">
        <f t="shared" si="1"/>
        <v>bm</v>
      </c>
      <c r="AP7" s="9" t="str">
        <f t="shared" si="1"/>
        <v>bm</v>
      </c>
      <c r="AQ7" s="9" t="str">
        <f t="shared" si="1"/>
        <v>bm</v>
      </c>
      <c r="AR7" s="9" t="str">
        <f t="shared" si="1"/>
        <v>bm</v>
      </c>
      <c r="AS7" s="9" t="str">
        <f t="shared" si="1"/>
        <v>bm</v>
      </c>
      <c r="AT7" s="9" t="str">
        <f t="shared" si="1"/>
        <v>bm</v>
      </c>
      <c r="AU7" s="9" t="str">
        <f t="shared" si="1"/>
        <v>bm</v>
      </c>
      <c r="AV7" s="9" t="str">
        <f t="shared" si="1"/>
        <v>bm</v>
      </c>
      <c r="AW7" s="9" t="str">
        <f t="shared" si="1"/>
        <v>bm</v>
      </c>
      <c r="AX7" s="9" t="str">
        <f t="shared" si="1"/>
        <v>bm</v>
      </c>
      <c r="AY7" s="9" t="str">
        <f t="shared" si="1"/>
        <v>bm</v>
      </c>
      <c r="AZ7" s="9" t="str">
        <f t="shared" si="1"/>
        <v>bm</v>
      </c>
      <c r="BA7" s="9" t="str">
        <f t="shared" si="1"/>
        <v>size</v>
      </c>
      <c r="BB7" s="9" t="str">
        <f t="shared" si="1"/>
        <v>size</v>
      </c>
      <c r="BC7" s="9" t="str">
        <f t="shared" si="1"/>
        <v>bm</v>
      </c>
      <c r="BD7" s="9" t="str">
        <f t="shared" si="1"/>
        <v>bm</v>
      </c>
      <c r="BE7" s="9" t="str">
        <f t="shared" si="1"/>
        <v>bm</v>
      </c>
      <c r="BF7" s="9" t="str">
        <f t="shared" si="1"/>
        <v>bm</v>
      </c>
      <c r="BG7" s="9" t="str">
        <f t="shared" si="1"/>
        <v>bm</v>
      </c>
      <c r="BH7" s="9" t="str">
        <f t="shared" si="1"/>
        <v>bm</v>
      </c>
      <c r="BI7" s="9" t="str">
        <f t="shared" si="1"/>
        <v>bm</v>
      </c>
      <c r="BJ7" s="9" t="str">
        <f t="shared" si="1"/>
        <v>bm</v>
      </c>
      <c r="BK7" s="9" t="str">
        <f t="shared" si="1"/>
        <v>bm</v>
      </c>
      <c r="BL7" s="9" t="str">
        <f t="shared" si="1"/>
        <v>bm</v>
      </c>
      <c r="BM7" s="9" t="str">
        <f t="shared" si="1"/>
        <v>mom</v>
      </c>
      <c r="BN7" s="9" t="str">
        <f t="shared" si="1"/>
        <v>bm</v>
      </c>
      <c r="BO7" s="9" t="str">
        <f t="shared" ref="BO7:CT7" si="2">IF(BO6=1,"bm",IF(BO6=2,"size",IF(BO6=3,"mom")))</f>
        <v>bm</v>
      </c>
      <c r="BP7" s="9" t="str">
        <f t="shared" si="2"/>
        <v>bm</v>
      </c>
      <c r="BQ7" s="9" t="str">
        <f t="shared" si="2"/>
        <v>bm</v>
      </c>
      <c r="BR7" s="9" t="str">
        <f t="shared" si="2"/>
        <v>bm</v>
      </c>
      <c r="BS7" s="9" t="str">
        <f t="shared" si="2"/>
        <v>bm</v>
      </c>
      <c r="BT7" s="9" t="str">
        <f t="shared" si="2"/>
        <v>bm</v>
      </c>
      <c r="BU7" s="9" t="str">
        <f t="shared" si="2"/>
        <v>bm</v>
      </c>
      <c r="BV7" s="9" t="str">
        <f t="shared" si="2"/>
        <v>bm</v>
      </c>
      <c r="BW7" s="9" t="str">
        <f t="shared" si="2"/>
        <v>bm</v>
      </c>
      <c r="BX7" s="9" t="str">
        <f t="shared" si="2"/>
        <v>bm</v>
      </c>
      <c r="BY7" s="9" t="str">
        <f t="shared" si="2"/>
        <v>bm</v>
      </c>
      <c r="BZ7" s="9" t="str">
        <f t="shared" si="2"/>
        <v>bm</v>
      </c>
      <c r="CA7" s="9" t="str">
        <f t="shared" si="2"/>
        <v>bm</v>
      </c>
      <c r="CB7" s="9" t="str">
        <f t="shared" si="2"/>
        <v>bm</v>
      </c>
      <c r="CC7" s="9" t="str">
        <f t="shared" si="2"/>
        <v>size</v>
      </c>
      <c r="CD7" s="9" t="str">
        <f t="shared" si="2"/>
        <v>size</v>
      </c>
      <c r="CE7" s="9" t="str">
        <f t="shared" si="2"/>
        <v>size</v>
      </c>
      <c r="CF7" s="9" t="str">
        <f t="shared" si="2"/>
        <v>size</v>
      </c>
      <c r="CG7" s="9" t="str">
        <f t="shared" si="2"/>
        <v>size</v>
      </c>
      <c r="CH7" s="9" t="str">
        <f t="shared" si="2"/>
        <v>bm</v>
      </c>
      <c r="CI7" s="9" t="str">
        <f t="shared" si="2"/>
        <v>bm</v>
      </c>
      <c r="CJ7" s="9" t="str">
        <f t="shared" si="2"/>
        <v>bm</v>
      </c>
      <c r="CK7" s="9" t="str">
        <f t="shared" si="2"/>
        <v>bm</v>
      </c>
      <c r="CL7" s="9" t="str">
        <f t="shared" si="2"/>
        <v>bm</v>
      </c>
      <c r="CM7" s="9" t="str">
        <f t="shared" si="2"/>
        <v>bm</v>
      </c>
      <c r="CN7" s="9" t="str">
        <f t="shared" si="2"/>
        <v>bm</v>
      </c>
      <c r="CO7" s="9" t="str">
        <f t="shared" si="2"/>
        <v>bm</v>
      </c>
      <c r="CP7" s="9" t="str">
        <f t="shared" si="2"/>
        <v>bm</v>
      </c>
      <c r="CQ7" s="9" t="str">
        <f t="shared" si="2"/>
        <v>mom</v>
      </c>
      <c r="CR7" s="9" t="str">
        <f t="shared" si="2"/>
        <v>size</v>
      </c>
      <c r="CS7" s="9" t="str">
        <f t="shared" si="2"/>
        <v>size</v>
      </c>
      <c r="CT7" s="9" t="str">
        <f t="shared" si="2"/>
        <v>bm</v>
      </c>
      <c r="CU7" s="9" t="str">
        <f t="shared" ref="CU7:DZ7" si="3">IF(CU6=1,"bm",IF(CU6=2,"size",IF(CU6=3,"mom")))</f>
        <v>bm</v>
      </c>
      <c r="CV7" s="9" t="str">
        <f t="shared" si="3"/>
        <v>bm</v>
      </c>
      <c r="CW7" s="9" t="str">
        <f t="shared" si="3"/>
        <v>bm</v>
      </c>
      <c r="CX7" s="9" t="str">
        <f t="shared" si="3"/>
        <v>bm</v>
      </c>
      <c r="CY7" s="9" t="str">
        <f t="shared" si="3"/>
        <v>bm</v>
      </c>
      <c r="CZ7" s="9" t="str">
        <f t="shared" si="3"/>
        <v>bm</v>
      </c>
      <c r="DA7" s="9" t="str">
        <f t="shared" si="3"/>
        <v>bm</v>
      </c>
      <c r="DB7" s="9" t="str">
        <f t="shared" si="3"/>
        <v>size</v>
      </c>
      <c r="DC7" s="9" t="str">
        <f t="shared" si="3"/>
        <v>size</v>
      </c>
      <c r="DD7" s="9" t="str">
        <f t="shared" si="3"/>
        <v>size</v>
      </c>
      <c r="DE7" s="9" t="str">
        <f t="shared" si="3"/>
        <v>bm</v>
      </c>
      <c r="DF7" s="9" t="str">
        <f t="shared" si="3"/>
        <v>bm</v>
      </c>
      <c r="DG7" s="9" t="str">
        <f t="shared" si="3"/>
        <v>bm</v>
      </c>
      <c r="DH7" s="9" t="str">
        <f t="shared" si="3"/>
        <v>bm</v>
      </c>
      <c r="DI7" s="9" t="str">
        <f t="shared" si="3"/>
        <v>bm</v>
      </c>
      <c r="DJ7" s="9" t="str">
        <f t="shared" si="3"/>
        <v>size</v>
      </c>
      <c r="DK7" s="9" t="str">
        <f t="shared" si="3"/>
        <v>bm</v>
      </c>
      <c r="DL7" s="9" t="str">
        <f t="shared" si="3"/>
        <v>bm</v>
      </c>
      <c r="DM7" s="9" t="str">
        <f t="shared" si="3"/>
        <v>bm</v>
      </c>
      <c r="DN7" s="9" t="str">
        <f t="shared" si="3"/>
        <v>bm</v>
      </c>
      <c r="DO7" s="9" t="str">
        <f t="shared" si="3"/>
        <v>bm</v>
      </c>
      <c r="DP7" s="9" t="str">
        <f t="shared" si="3"/>
        <v>bm</v>
      </c>
      <c r="DQ7" s="9" t="str">
        <f t="shared" si="3"/>
        <v>bm</v>
      </c>
      <c r="DR7" s="9" t="str">
        <f t="shared" si="3"/>
        <v>bm</v>
      </c>
      <c r="DS7" s="9" t="str">
        <f t="shared" si="3"/>
        <v>bm</v>
      </c>
      <c r="DT7" s="9" t="str">
        <f t="shared" si="3"/>
        <v>size</v>
      </c>
      <c r="DU7" s="9" t="str">
        <f t="shared" si="3"/>
        <v>size</v>
      </c>
      <c r="DV7" s="9" t="str">
        <f t="shared" si="3"/>
        <v>bm</v>
      </c>
      <c r="DW7" s="9" t="str">
        <f t="shared" si="3"/>
        <v>bm</v>
      </c>
      <c r="DX7" s="9" t="str">
        <f t="shared" si="3"/>
        <v>bm</v>
      </c>
      <c r="DY7" s="9" t="str">
        <f t="shared" si="3"/>
        <v>size</v>
      </c>
      <c r="DZ7" s="9" t="str">
        <f t="shared" si="3"/>
        <v>size</v>
      </c>
      <c r="EA7" s="9" t="str">
        <f t="shared" ref="EA7:EF7" si="4">IF(EA6=1,"bm",IF(EA6=2,"size",IF(EA6=3,"mom")))</f>
        <v>size</v>
      </c>
      <c r="EB7" s="9" t="str">
        <f t="shared" si="4"/>
        <v>bm</v>
      </c>
      <c r="EC7" s="9" t="str">
        <f t="shared" si="4"/>
        <v>size</v>
      </c>
      <c r="ED7" s="9" t="str">
        <f t="shared" si="4"/>
        <v>bm</v>
      </c>
      <c r="EE7" s="9" t="str">
        <f t="shared" si="4"/>
        <v>bm</v>
      </c>
      <c r="EF7" s="9" t="str">
        <f t="shared" si="4"/>
        <v>bm</v>
      </c>
    </row>
    <row r="8" spans="1:138" s="2" customFormat="1">
      <c r="C8" s="9">
        <f t="shared" ref="C8:AH8" si="5">IF(C6=1,C3,IF(C6=2,C4,IF(C6=3,C5)))</f>
        <v>-4.9660484307830009E-2</v>
      </c>
      <c r="D8" s="9">
        <f t="shared" si="5"/>
        <v>-6.5232195080165353E-2</v>
      </c>
      <c r="E8" s="9">
        <f t="shared" si="5"/>
        <v>-9.3874054199500026E-2</v>
      </c>
      <c r="F8" s="9">
        <f t="shared" si="5"/>
        <v>-7.3843592245097373E-2</v>
      </c>
      <c r="G8" s="9">
        <f t="shared" si="5"/>
        <v>-2.745888685018728E-2</v>
      </c>
      <c r="H8" s="9">
        <f t="shared" si="5"/>
        <v>-3.3398565611267667E-2</v>
      </c>
      <c r="I8" s="9">
        <f t="shared" si="5"/>
        <v>-4.7136189417385607E-2</v>
      </c>
      <c r="J8" s="9">
        <f t="shared" si="5"/>
        <v>-4.6203432590894752E-2</v>
      </c>
      <c r="K8" s="9">
        <f t="shared" si="5"/>
        <v>-4.5932097646850877E-2</v>
      </c>
      <c r="L8" s="9">
        <f t="shared" si="5"/>
        <v>-3.9679751627069763E-2</v>
      </c>
      <c r="M8" s="9">
        <f t="shared" si="5"/>
        <v>3.2729103566482703E-2</v>
      </c>
      <c r="N8" s="9">
        <f t="shared" si="5"/>
        <v>-3.5831351641089762E-2</v>
      </c>
      <c r="O8" s="9">
        <f t="shared" si="5"/>
        <v>-5.70229981056335E-2</v>
      </c>
      <c r="P8" s="9">
        <f t="shared" si="5"/>
        <v>-4.2462781327895993E-2</v>
      </c>
      <c r="Q8" s="9">
        <f t="shared" si="5"/>
        <v>-3.7772394962975513E-2</v>
      </c>
      <c r="R8" s="9">
        <f t="shared" si="5"/>
        <v>-2.862835448000129E-2</v>
      </c>
      <c r="S8" s="9">
        <f t="shared" si="5"/>
        <v>-3.099793016810054E-2</v>
      </c>
      <c r="T8" s="9">
        <f t="shared" si="5"/>
        <v>2.262072807092802E-2</v>
      </c>
      <c r="U8" s="9">
        <f t="shared" si="5"/>
        <v>-3.5326677132364037E-2</v>
      </c>
      <c r="V8" s="9">
        <f t="shared" si="5"/>
        <v>-2.9502132625226989E-2</v>
      </c>
      <c r="W8" s="9">
        <f t="shared" si="5"/>
        <v>4.5784045042201092E-2</v>
      </c>
      <c r="X8" s="9">
        <f t="shared" si="5"/>
        <v>-5.4483491647159897E-2</v>
      </c>
      <c r="Y8" s="9">
        <f t="shared" si="5"/>
        <v>-5.7374231531351433E-2</v>
      </c>
      <c r="Z8" s="9">
        <f t="shared" si="5"/>
        <v>-5.0628448585672892E-2</v>
      </c>
      <c r="AA8" s="9">
        <f t="shared" si="5"/>
        <v>-4.231975801219371E-2</v>
      </c>
      <c r="AB8" s="9">
        <f t="shared" si="5"/>
        <v>-4.9937139241651593E-2</v>
      </c>
      <c r="AC8" s="9">
        <f t="shared" si="5"/>
        <v>-3.845543636405753E-2</v>
      </c>
      <c r="AD8" s="9">
        <f t="shared" si="5"/>
        <v>-6.5956474854444447E-2</v>
      </c>
      <c r="AE8" s="9">
        <f t="shared" si="5"/>
        <v>-3.4795070629380642E-2</v>
      </c>
      <c r="AF8" s="9">
        <f t="shared" si="5"/>
        <v>1.3117941025955079E-2</v>
      </c>
      <c r="AG8" s="9">
        <f t="shared" si="5"/>
        <v>-3.2239282506807423E-2</v>
      </c>
      <c r="AH8" s="9">
        <f t="shared" si="5"/>
        <v>3.1884444011299258E-2</v>
      </c>
      <c r="AI8" s="9">
        <f t="shared" ref="AI8:BN8" si="6">IF(AI6=1,AI3,IF(AI6=2,AI4,IF(AI6=3,AI5)))</f>
        <v>3.6385761193522617E-2</v>
      </c>
      <c r="AJ8" s="9">
        <f t="shared" si="6"/>
        <v>3.5948919429733099E-2</v>
      </c>
      <c r="AK8" s="9">
        <f t="shared" si="6"/>
        <v>4.3482830969963061E-2</v>
      </c>
      <c r="AL8" s="9">
        <f t="shared" si="6"/>
        <v>3.8462077568039821E-2</v>
      </c>
      <c r="AM8" s="9">
        <f t="shared" si="6"/>
        <v>3.9410244165835981E-2</v>
      </c>
      <c r="AN8" s="9">
        <f t="shared" si="6"/>
        <v>5.0743620516414449E-2</v>
      </c>
      <c r="AO8" s="9">
        <f t="shared" si="6"/>
        <v>5.3684811620656171E-2</v>
      </c>
      <c r="AP8" s="9">
        <f t="shared" si="6"/>
        <v>4.9314899356547669E-2</v>
      </c>
      <c r="AQ8" s="9">
        <f t="shared" si="6"/>
        <v>3.2773687722358558E-2</v>
      </c>
      <c r="AR8" s="9">
        <f t="shared" si="6"/>
        <v>2.8295340626825871E-2</v>
      </c>
      <c r="AS8" s="9">
        <f t="shared" si="6"/>
        <v>2.8377802599917339E-2</v>
      </c>
      <c r="AT8" s="9">
        <f t="shared" si="6"/>
        <v>2.306922946025217E-2</v>
      </c>
      <c r="AU8" s="9">
        <f t="shared" si="6"/>
        <v>2.9397032882625889E-2</v>
      </c>
      <c r="AV8" s="9">
        <f t="shared" si="6"/>
        <v>3.103785222722218E-2</v>
      </c>
      <c r="AW8" s="9">
        <f t="shared" si="6"/>
        <v>2.6297924056821211E-2</v>
      </c>
      <c r="AX8" s="9">
        <f t="shared" si="6"/>
        <v>2.6164811358804361E-2</v>
      </c>
      <c r="AY8" s="9">
        <f t="shared" si="6"/>
        <v>3.2053783671709642E-2</v>
      </c>
      <c r="AZ8" s="9">
        <f t="shared" si="6"/>
        <v>3.4477530774765272E-2</v>
      </c>
      <c r="BA8" s="9">
        <f t="shared" si="6"/>
        <v>-2.9633847899323489E-2</v>
      </c>
      <c r="BB8" s="9">
        <f t="shared" si="6"/>
        <v>-3.6923299522087998E-2</v>
      </c>
      <c r="BC8" s="9">
        <f t="shared" si="6"/>
        <v>3.742177693859082E-2</v>
      </c>
      <c r="BD8" s="9">
        <f t="shared" si="6"/>
        <v>3.141372245226793E-2</v>
      </c>
      <c r="BE8" s="9">
        <f t="shared" si="6"/>
        <v>3.2006411062996218E-2</v>
      </c>
      <c r="BF8" s="9">
        <f t="shared" si="6"/>
        <v>2.828182773285309E-2</v>
      </c>
      <c r="BG8" s="9">
        <f t="shared" si="6"/>
        <v>4.1103436715196499E-2</v>
      </c>
      <c r="BH8" s="9">
        <f t="shared" si="6"/>
        <v>4.5198779339126277E-2</v>
      </c>
      <c r="BI8" s="9">
        <f t="shared" si="6"/>
        <v>4.1588040384802467E-2</v>
      </c>
      <c r="BJ8" s="9">
        <f t="shared" si="6"/>
        <v>4.0723405736309601E-2</v>
      </c>
      <c r="BK8" s="9">
        <f t="shared" si="6"/>
        <v>3.6327700059770963E-2</v>
      </c>
      <c r="BL8" s="9">
        <f t="shared" si="6"/>
        <v>3.6173192149872829E-2</v>
      </c>
      <c r="BM8" s="9">
        <f t="shared" si="6"/>
        <v>-3.7766406128849933E-2</v>
      </c>
      <c r="BN8" s="9">
        <f t="shared" si="6"/>
        <v>3.0814038130409348E-2</v>
      </c>
      <c r="BO8" s="9">
        <f t="shared" ref="BO8:CT8" si="7">IF(BO6=1,BO3,IF(BO6=2,BO4,IF(BO6=3,BO5)))</f>
        <v>3.065585577146604E-2</v>
      </c>
      <c r="BP8" s="9">
        <f t="shared" si="7"/>
        <v>3.4399631895121928E-2</v>
      </c>
      <c r="BQ8" s="9">
        <f t="shared" si="7"/>
        <v>3.4868650026028229E-2</v>
      </c>
      <c r="BR8" s="9">
        <f t="shared" si="7"/>
        <v>3.6324039848933801E-2</v>
      </c>
      <c r="BS8" s="9">
        <f t="shared" si="7"/>
        <v>3.6164468096582629E-2</v>
      </c>
      <c r="BT8" s="9">
        <f t="shared" si="7"/>
        <v>3.8668894956456937E-2</v>
      </c>
      <c r="BU8" s="9">
        <f t="shared" si="7"/>
        <v>4.1103483948852763E-2</v>
      </c>
      <c r="BV8" s="9">
        <f t="shared" si="7"/>
        <v>2.8684133448632881E-2</v>
      </c>
      <c r="BW8" s="9">
        <f t="shared" si="7"/>
        <v>3.521650986163926E-2</v>
      </c>
      <c r="BX8" s="9">
        <f t="shared" si="7"/>
        <v>4.0767200067914261E-2</v>
      </c>
      <c r="BY8" s="9">
        <f t="shared" si="7"/>
        <v>2.160353774972024E-2</v>
      </c>
      <c r="BZ8" s="9">
        <f t="shared" si="7"/>
        <v>3.0433668800390778E-2</v>
      </c>
      <c r="CA8" s="9">
        <f t="shared" si="7"/>
        <v>3.7311958080318418E-2</v>
      </c>
      <c r="CB8" s="9">
        <f t="shared" si="7"/>
        <v>2.7612053143104789E-2</v>
      </c>
      <c r="CC8" s="9">
        <f t="shared" si="7"/>
        <v>-4.111205153911144E-2</v>
      </c>
      <c r="CD8" s="9">
        <f t="shared" si="7"/>
        <v>-3.2535405185557913E-2</v>
      </c>
      <c r="CE8" s="9">
        <f t="shared" si="7"/>
        <v>-3.0323266480776649E-2</v>
      </c>
      <c r="CF8" s="9">
        <f t="shared" si="7"/>
        <v>-6.1293189114789898E-2</v>
      </c>
      <c r="CG8" s="9">
        <f t="shared" si="7"/>
        <v>-4.4169748382986783E-2</v>
      </c>
      <c r="CH8" s="9">
        <f t="shared" si="7"/>
        <v>4.0909001215823582E-2</v>
      </c>
      <c r="CI8" s="9">
        <f t="shared" si="7"/>
        <v>3.9050253240311222E-2</v>
      </c>
      <c r="CJ8" s="9">
        <f t="shared" si="7"/>
        <v>2.4561899640003909E-2</v>
      </c>
      <c r="CK8" s="9">
        <f t="shared" si="7"/>
        <v>3.413446187252573E-2</v>
      </c>
      <c r="CL8" s="9">
        <f t="shared" si="7"/>
        <v>3.5925937532879773E-2</v>
      </c>
      <c r="CM8" s="9">
        <f t="shared" si="7"/>
        <v>4.2466042159304301E-2</v>
      </c>
      <c r="CN8" s="9">
        <f t="shared" si="7"/>
        <v>3.6523906516241801E-2</v>
      </c>
      <c r="CO8" s="9">
        <f t="shared" si="7"/>
        <v>3.765914957102829E-2</v>
      </c>
      <c r="CP8" s="9">
        <f t="shared" si="7"/>
        <v>3.9957834472595419E-2</v>
      </c>
      <c r="CQ8" s="9">
        <f t="shared" si="7"/>
        <v>9.0067640458367376E-3</v>
      </c>
      <c r="CR8" s="9">
        <f t="shared" si="7"/>
        <v>-1.917966682871176E-2</v>
      </c>
      <c r="CS8" s="9">
        <f t="shared" si="7"/>
        <v>-2.334741602504313E-2</v>
      </c>
      <c r="CT8" s="9">
        <f t="shared" si="7"/>
        <v>4.0972167824902372E-2</v>
      </c>
      <c r="CU8" s="9">
        <f t="shared" ref="CU8:DZ8" si="8">IF(CU6=1,CU3,IF(CU6=2,CU4,IF(CU6=3,CU5)))</f>
        <v>3.8942373224816529E-2</v>
      </c>
      <c r="CV8" s="9">
        <f t="shared" si="8"/>
        <v>4.3015000500199303E-2</v>
      </c>
      <c r="CW8" s="9">
        <f t="shared" si="8"/>
        <v>3.9706600079107618E-2</v>
      </c>
      <c r="CX8" s="9">
        <f t="shared" si="8"/>
        <v>3.9171022856911548E-2</v>
      </c>
      <c r="CY8" s="9">
        <f t="shared" si="8"/>
        <v>3.4940834769569752E-2</v>
      </c>
      <c r="CZ8" s="9">
        <f t="shared" si="8"/>
        <v>3.6026834228159298E-2</v>
      </c>
      <c r="DA8" s="9">
        <f t="shared" si="8"/>
        <v>4.450954814790925E-2</v>
      </c>
      <c r="DB8" s="9">
        <f t="shared" si="8"/>
        <v>-4.4725026400587967E-2</v>
      </c>
      <c r="DC8" s="9">
        <f t="shared" si="8"/>
        <v>-7.0760377239426644E-2</v>
      </c>
      <c r="DD8" s="9">
        <f t="shared" si="8"/>
        <v>-5.7610036798158112E-2</v>
      </c>
      <c r="DE8" s="9">
        <f t="shared" si="8"/>
        <v>4.199397627237688E-2</v>
      </c>
      <c r="DF8" s="9">
        <f t="shared" si="8"/>
        <v>4.1965348731106439E-2</v>
      </c>
      <c r="DG8" s="9">
        <f t="shared" si="8"/>
        <v>4.0382244799122918E-2</v>
      </c>
      <c r="DH8" s="9">
        <f t="shared" si="8"/>
        <v>3.6787240146963857E-2</v>
      </c>
      <c r="DI8" s="9">
        <f t="shared" si="8"/>
        <v>3.6877765546082367E-2</v>
      </c>
      <c r="DJ8" s="9">
        <f t="shared" si="8"/>
        <v>-3.7819313396098023E-2</v>
      </c>
      <c r="DK8" s="9">
        <f t="shared" si="8"/>
        <v>3.6536443043095952E-2</v>
      </c>
      <c r="DL8" s="9">
        <f t="shared" si="8"/>
        <v>3.1530556219024453E-2</v>
      </c>
      <c r="DM8" s="9">
        <f t="shared" si="8"/>
        <v>2.866223764473836E-2</v>
      </c>
      <c r="DN8" s="9">
        <f t="shared" si="8"/>
        <v>3.0844743252797239E-2</v>
      </c>
      <c r="DO8" s="9">
        <f t="shared" si="8"/>
        <v>3.3675363611272838E-2</v>
      </c>
      <c r="DP8" s="9">
        <f t="shared" si="8"/>
        <v>3.5102177512429639E-2</v>
      </c>
      <c r="DQ8" s="9">
        <f t="shared" si="8"/>
        <v>3.6708207074369593E-2</v>
      </c>
      <c r="DR8" s="9">
        <f t="shared" si="8"/>
        <v>3.4114421599711522E-2</v>
      </c>
      <c r="DS8" s="9">
        <f t="shared" si="8"/>
        <v>3.6715906439180969E-2</v>
      </c>
      <c r="DT8" s="9">
        <f t="shared" si="8"/>
        <v>-4.1056175553995593E-2</v>
      </c>
      <c r="DU8" s="9">
        <f t="shared" si="8"/>
        <v>-3.7310764401418541E-2</v>
      </c>
      <c r="DV8" s="9">
        <f t="shared" si="8"/>
        <v>2.524093892652959E-2</v>
      </c>
      <c r="DW8" s="9">
        <f t="shared" si="8"/>
        <v>3.5159202684512107E-2</v>
      </c>
      <c r="DX8" s="9">
        <f t="shared" si="8"/>
        <v>3.2304964005665182E-2</v>
      </c>
      <c r="DY8" s="9">
        <f t="shared" si="8"/>
        <v>-3.3048945391833368E-2</v>
      </c>
      <c r="DZ8" s="9">
        <f t="shared" si="8"/>
        <v>-3.0875828777379061E-2</v>
      </c>
      <c r="EA8" s="9">
        <f t="shared" ref="EA8:EF8" si="9">IF(EA6=1,EA3,IF(EA6=2,EA4,IF(EA6=3,EA5)))</f>
        <v>-3.1659361830993098E-2</v>
      </c>
      <c r="EB8" s="9">
        <f t="shared" si="9"/>
        <v>3.723081253221186E-2</v>
      </c>
      <c r="EC8" s="9">
        <f t="shared" si="9"/>
        <v>-4.1069385194225268E-2</v>
      </c>
      <c r="ED8" s="9">
        <f t="shared" si="9"/>
        <v>3.4186640907954438E-2</v>
      </c>
      <c r="EE8" s="9">
        <f t="shared" si="9"/>
        <v>2.5041157579864491E-2</v>
      </c>
      <c r="EF8" s="9">
        <f t="shared" si="9"/>
        <v>3.4121434975122142E-2</v>
      </c>
    </row>
    <row r="10" spans="1:138">
      <c r="A10" s="27" t="s">
        <v>140</v>
      </c>
      <c r="B10" s="28"/>
      <c r="C10" s="4" t="s">
        <v>141</v>
      </c>
      <c r="D10" s="6">
        <v>964</v>
      </c>
    </row>
    <row r="11" spans="1:138">
      <c r="A11" s="4" t="s">
        <v>142</v>
      </c>
      <c r="B11" s="4" t="s">
        <v>143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5" t="s">
        <v>13</v>
      </c>
      <c r="O11" s="5" t="s">
        <v>14</v>
      </c>
      <c r="P11" s="5" t="s">
        <v>15</v>
      </c>
      <c r="Q11" s="5" t="s">
        <v>16</v>
      </c>
      <c r="R11" s="5" t="s">
        <v>17</v>
      </c>
      <c r="S11" s="5" t="s">
        <v>18</v>
      </c>
      <c r="T11" s="5" t="s">
        <v>19</v>
      </c>
      <c r="U11" s="5" t="s">
        <v>20</v>
      </c>
      <c r="V11" s="5" t="s">
        <v>21</v>
      </c>
      <c r="W11" s="5" t="s">
        <v>22</v>
      </c>
      <c r="X11" s="5" t="s">
        <v>23</v>
      </c>
      <c r="Y11" s="5" t="s">
        <v>24</v>
      </c>
      <c r="Z11" s="5" t="s">
        <v>25</v>
      </c>
      <c r="AA11" s="5" t="s">
        <v>26</v>
      </c>
      <c r="AB11" s="5" t="s">
        <v>27</v>
      </c>
      <c r="AC11" s="5" t="s">
        <v>28</v>
      </c>
      <c r="AD11" s="5" t="s">
        <v>29</v>
      </c>
      <c r="AE11" s="5" t="s">
        <v>30</v>
      </c>
      <c r="AF11" s="5" t="s">
        <v>31</v>
      </c>
      <c r="AG11" s="5" t="s">
        <v>32</v>
      </c>
      <c r="AH11" s="5" t="s">
        <v>33</v>
      </c>
      <c r="AI11" s="5" t="s">
        <v>34</v>
      </c>
      <c r="AJ11" s="5" t="s">
        <v>35</v>
      </c>
      <c r="AK11" s="5" t="s">
        <v>36</v>
      </c>
      <c r="AL11" s="5" t="s">
        <v>37</v>
      </c>
      <c r="AM11" s="5" t="s">
        <v>38</v>
      </c>
      <c r="AN11" s="5" t="s">
        <v>39</v>
      </c>
      <c r="AO11" s="5" t="s">
        <v>40</v>
      </c>
      <c r="AP11" s="5" t="s">
        <v>41</v>
      </c>
      <c r="AQ11" s="5" t="s">
        <v>42</v>
      </c>
      <c r="AR11" s="5" t="s">
        <v>43</v>
      </c>
      <c r="AS11" s="5" t="s">
        <v>44</v>
      </c>
      <c r="AT11" s="5" t="s">
        <v>45</v>
      </c>
      <c r="AU11" s="5" t="s">
        <v>46</v>
      </c>
      <c r="AV11" s="5" t="s">
        <v>47</v>
      </c>
      <c r="AW11" s="5" t="s">
        <v>48</v>
      </c>
      <c r="AX11" s="5" t="s">
        <v>49</v>
      </c>
      <c r="AY11" s="5" t="s">
        <v>50</v>
      </c>
      <c r="AZ11" s="5" t="s">
        <v>51</v>
      </c>
      <c r="BA11" s="5" t="s">
        <v>52</v>
      </c>
      <c r="BB11" s="5" t="s">
        <v>53</v>
      </c>
      <c r="BC11" s="5" t="s">
        <v>54</v>
      </c>
      <c r="BD11" s="5" t="s">
        <v>55</v>
      </c>
      <c r="BE11" s="5" t="s">
        <v>56</v>
      </c>
      <c r="BF11" s="5" t="s">
        <v>57</v>
      </c>
      <c r="BG11" s="5" t="s">
        <v>58</v>
      </c>
      <c r="BH11" s="5" t="s">
        <v>59</v>
      </c>
      <c r="BI11" s="5" t="s">
        <v>60</v>
      </c>
      <c r="BJ11" s="5" t="s">
        <v>61</v>
      </c>
      <c r="BK11" s="5" t="s">
        <v>62</v>
      </c>
      <c r="BL11" s="5" t="s">
        <v>63</v>
      </c>
      <c r="BM11" s="5" t="s">
        <v>64</v>
      </c>
      <c r="BN11" s="5" t="s">
        <v>65</v>
      </c>
      <c r="BO11" s="5" t="s">
        <v>66</v>
      </c>
      <c r="BP11" s="5" t="s">
        <v>67</v>
      </c>
      <c r="BQ11" s="5" t="s">
        <v>68</v>
      </c>
      <c r="BR11" s="5" t="s">
        <v>69</v>
      </c>
      <c r="BS11" s="5" t="s">
        <v>70</v>
      </c>
      <c r="BT11" s="5" t="s">
        <v>71</v>
      </c>
      <c r="BU11" s="5" t="s">
        <v>72</v>
      </c>
      <c r="BV11" s="5" t="s">
        <v>73</v>
      </c>
      <c r="BW11" s="5" t="s">
        <v>74</v>
      </c>
      <c r="BX11" s="5" t="s">
        <v>75</v>
      </c>
      <c r="BY11" s="5" t="s">
        <v>76</v>
      </c>
      <c r="BZ11" s="5" t="s">
        <v>77</v>
      </c>
      <c r="CA11" s="5" t="s">
        <v>78</v>
      </c>
      <c r="CB11" s="5" t="s">
        <v>79</v>
      </c>
      <c r="CC11" s="5" t="s">
        <v>80</v>
      </c>
      <c r="CD11" s="5" t="s">
        <v>81</v>
      </c>
      <c r="CE11" s="5" t="s">
        <v>82</v>
      </c>
      <c r="CF11" s="5" t="s">
        <v>83</v>
      </c>
      <c r="CG11" s="5" t="s">
        <v>84</v>
      </c>
      <c r="CH11" s="5" t="s">
        <v>85</v>
      </c>
      <c r="CI11" s="5" t="s">
        <v>86</v>
      </c>
      <c r="CJ11" s="5" t="s">
        <v>87</v>
      </c>
      <c r="CK11" s="5" t="s">
        <v>88</v>
      </c>
      <c r="CL11" s="5" t="s">
        <v>89</v>
      </c>
      <c r="CM11" s="5" t="s">
        <v>90</v>
      </c>
      <c r="CN11" s="5" t="s">
        <v>91</v>
      </c>
      <c r="CO11" s="5" t="s">
        <v>92</v>
      </c>
      <c r="CP11" s="5" t="s">
        <v>93</v>
      </c>
      <c r="CQ11" s="5" t="s">
        <v>94</v>
      </c>
      <c r="CR11" s="5" t="s">
        <v>95</v>
      </c>
      <c r="CS11" s="5" t="s">
        <v>96</v>
      </c>
      <c r="CT11" s="5" t="s">
        <v>97</v>
      </c>
      <c r="CU11" s="5" t="s">
        <v>98</v>
      </c>
      <c r="CV11" s="5" t="s">
        <v>99</v>
      </c>
      <c r="CW11" s="5" t="s">
        <v>100</v>
      </c>
      <c r="CX11" s="5" t="s">
        <v>101</v>
      </c>
      <c r="CY11" s="5" t="s">
        <v>102</v>
      </c>
      <c r="CZ11" s="5" t="s">
        <v>103</v>
      </c>
      <c r="DA11" s="5" t="s">
        <v>104</v>
      </c>
      <c r="DB11" s="5" t="s">
        <v>105</v>
      </c>
      <c r="DC11" s="5" t="s">
        <v>106</v>
      </c>
      <c r="DD11" s="5" t="s">
        <v>107</v>
      </c>
      <c r="DE11" s="5" t="s">
        <v>108</v>
      </c>
      <c r="DF11" s="5" t="s">
        <v>109</v>
      </c>
      <c r="DG11" s="5" t="s">
        <v>110</v>
      </c>
      <c r="DH11" s="5" t="s">
        <v>111</v>
      </c>
      <c r="DI11" s="5" t="s">
        <v>112</v>
      </c>
      <c r="DJ11" s="5" t="s">
        <v>113</v>
      </c>
      <c r="DK11" s="5" t="s">
        <v>114</v>
      </c>
      <c r="DL11" s="5" t="s">
        <v>115</v>
      </c>
      <c r="DM11" s="5" t="s">
        <v>116</v>
      </c>
      <c r="DN11" s="5" t="s">
        <v>117</v>
      </c>
      <c r="DO11" s="5" t="s">
        <v>118</v>
      </c>
      <c r="DP11" s="5" t="s">
        <v>119</v>
      </c>
      <c r="DQ11" s="5" t="s">
        <v>120</v>
      </c>
      <c r="DR11" s="5" t="s">
        <v>121</v>
      </c>
      <c r="DS11" s="5" t="s">
        <v>122</v>
      </c>
      <c r="DT11" s="5" t="s">
        <v>123</v>
      </c>
      <c r="DU11" s="5" t="s">
        <v>124</v>
      </c>
      <c r="DV11" s="5" t="s">
        <v>125</v>
      </c>
      <c r="DW11" s="5" t="s">
        <v>126</v>
      </c>
      <c r="DX11" s="5" t="s">
        <v>127</v>
      </c>
      <c r="DY11" s="5" t="s">
        <v>128</v>
      </c>
      <c r="DZ11" s="5" t="s">
        <v>129</v>
      </c>
      <c r="EA11" s="5" t="s">
        <v>130</v>
      </c>
      <c r="EB11" s="5" t="s">
        <v>131</v>
      </c>
      <c r="EC11" s="5" t="s">
        <v>132</v>
      </c>
      <c r="ED11" s="5" t="s">
        <v>133</v>
      </c>
      <c r="EE11" s="5" t="s">
        <v>134</v>
      </c>
      <c r="EF11" s="5" t="s">
        <v>135</v>
      </c>
      <c r="EG11" s="15" t="s">
        <v>147</v>
      </c>
      <c r="EH11" s="15" t="s">
        <v>148</v>
      </c>
    </row>
    <row r="12" spans="1:138">
      <c r="A12" s="4">
        <v>10</v>
      </c>
      <c r="B12" s="4">
        <v>96</v>
      </c>
      <c r="C12" s="9">
        <f>IF(預測IC!C12&gt;預測IC!C$26,1,0)</f>
        <v>1</v>
      </c>
      <c r="D12" s="9">
        <f>IF(預測IC!D12&gt;預測IC!D$26,1,0)</f>
        <v>1</v>
      </c>
      <c r="E12" s="9">
        <f>IF(預測IC!E12&gt;預測IC!E$26,1,0)</f>
        <v>1</v>
      </c>
      <c r="F12" s="9">
        <f>IF(預測IC!F12&gt;預測IC!F$26,1,0)</f>
        <v>1</v>
      </c>
      <c r="G12" s="9">
        <f>IF(預測IC!G12&gt;預測IC!G$26,1,0)</f>
        <v>0</v>
      </c>
      <c r="H12" s="9">
        <f>IF(預測IC!H12&gt;預測IC!H$26,1,0)</f>
        <v>1</v>
      </c>
      <c r="I12" s="9">
        <f>IF(預測IC!I12&gt;預測IC!I$26,1,0)</f>
        <v>1</v>
      </c>
      <c r="J12" s="9">
        <f>IF(預測IC!J12&gt;預測IC!J$26,1,0)</f>
        <v>0</v>
      </c>
      <c r="K12" s="9">
        <f>IF(預測IC!K12&gt;預測IC!K$26,1,0)</f>
        <v>1</v>
      </c>
      <c r="L12" s="9">
        <f>IF(預測IC!L12&gt;預測IC!L$26,1,0)</f>
        <v>0</v>
      </c>
      <c r="M12" s="9">
        <f>IF(預測IC!M12&gt;預測IC!M$26,1,0)</f>
        <v>0</v>
      </c>
      <c r="N12" s="9">
        <f>IF(預測IC!N12&gt;預測IC!N$26,1,0)</f>
        <v>1</v>
      </c>
      <c r="O12" s="9">
        <f>IF(預測IC!O12&gt;預測IC!O$26,1,0)</f>
        <v>1</v>
      </c>
      <c r="P12" s="9">
        <f>IF(預測IC!P12&gt;預測IC!P$26,1,0)</f>
        <v>0</v>
      </c>
      <c r="Q12" s="9">
        <f>IF(預測IC!Q12&gt;預測IC!Q$26,1,0)</f>
        <v>1</v>
      </c>
      <c r="R12" s="9">
        <f>IF(預測IC!R12&gt;預測IC!R$26,1,0)</f>
        <v>0</v>
      </c>
      <c r="S12" s="9">
        <f>IF(預測IC!S12&gt;預測IC!S$26,1,0)</f>
        <v>0</v>
      </c>
      <c r="T12" s="9">
        <f>IF(預測IC!T12&gt;預測IC!T$26,1,0)</f>
        <v>0</v>
      </c>
      <c r="U12" s="9">
        <f>IF(預測IC!U12&gt;預測IC!U$26,1,0)</f>
        <v>1</v>
      </c>
      <c r="V12" s="9">
        <f>IF(預測IC!V12&gt;預測IC!V$26,1,0)</f>
        <v>1</v>
      </c>
      <c r="W12" s="9">
        <f>IF(預測IC!W12&gt;預測IC!W$26,1,0)</f>
        <v>1</v>
      </c>
      <c r="X12" s="9">
        <f>IF(預測IC!X12&gt;預測IC!X$26,1,0)</f>
        <v>0</v>
      </c>
      <c r="Y12" s="9">
        <f>IF(預測IC!Y12&gt;預測IC!Y$26,1,0)</f>
        <v>1</v>
      </c>
      <c r="Z12" s="9">
        <f>IF(預測IC!Z12&gt;預測IC!Z$26,1,0)</f>
        <v>1</v>
      </c>
      <c r="AA12" s="9">
        <f>IF(預測IC!AA12&gt;預測IC!AA$26,1,0)</f>
        <v>1</v>
      </c>
      <c r="AB12" s="9">
        <f>IF(預測IC!AB12&gt;預測IC!AB$26,1,0)</f>
        <v>0</v>
      </c>
      <c r="AC12" s="9">
        <f>IF(預測IC!AC12&gt;預測IC!AC$26,1,0)</f>
        <v>0</v>
      </c>
      <c r="AD12" s="9">
        <f>IF(預測IC!AD12&gt;預測IC!AD$26,1,0)</f>
        <v>1</v>
      </c>
      <c r="AE12" s="9">
        <f>IF(預測IC!AE12&gt;預測IC!AE$26,1,0)</f>
        <v>0</v>
      </c>
      <c r="AF12" s="9">
        <f>IF(預測IC!AF12&gt;預測IC!AF$26,1,0)</f>
        <v>1</v>
      </c>
      <c r="AG12" s="9">
        <f>IF(預測IC!AG12&gt;預測IC!AG$26,1,0)</f>
        <v>0</v>
      </c>
      <c r="AH12" s="9">
        <f>IF(預測IC!AH12&gt;預測IC!AH$26,1,0)</f>
        <v>1</v>
      </c>
      <c r="AI12" s="9">
        <f>IF(預測IC!AI12&gt;預測IC!AI$26,1,0)</f>
        <v>1</v>
      </c>
      <c r="AJ12" s="9">
        <f>IF(預測IC!AJ12&gt;預測IC!AJ$26,1,0)</f>
        <v>0</v>
      </c>
      <c r="AK12" s="9">
        <f>IF(預測IC!AK12&gt;預測IC!AK$26,1,0)</f>
        <v>1</v>
      </c>
      <c r="AL12" s="9">
        <f>IF(預測IC!AL12&gt;預測IC!AL$26,1,0)</f>
        <v>1</v>
      </c>
      <c r="AM12" s="9">
        <f>IF(預測IC!AM12&gt;預測IC!AM$26,1,0)</f>
        <v>1</v>
      </c>
      <c r="AN12" s="9">
        <f>IF(預測IC!AN12&gt;預測IC!AN$26,1,0)</f>
        <v>1</v>
      </c>
      <c r="AO12" s="9">
        <f>IF(預測IC!AO12&gt;預測IC!AO$26,1,0)</f>
        <v>0</v>
      </c>
      <c r="AP12" s="9">
        <f>IF(預測IC!AP12&gt;預測IC!AP$26,1,0)</f>
        <v>0</v>
      </c>
      <c r="AQ12" s="9">
        <f>IF(預測IC!AQ12&gt;預測IC!AQ$26,1,0)</f>
        <v>0</v>
      </c>
      <c r="AR12" s="9">
        <f>IF(預測IC!AR12&gt;預測IC!AR$26,1,0)</f>
        <v>0</v>
      </c>
      <c r="AS12" s="9">
        <f>IF(預測IC!AS12&gt;預測IC!AS$26,1,0)</f>
        <v>1</v>
      </c>
      <c r="AT12" s="9">
        <f>IF(預測IC!AT12&gt;預測IC!AT$26,1,0)</f>
        <v>0</v>
      </c>
      <c r="AU12" s="9">
        <f>IF(預測IC!AU12&gt;預測IC!AU$26,1,0)</f>
        <v>1</v>
      </c>
      <c r="AV12" s="9">
        <f>IF(預測IC!AV12&gt;預測IC!AV$26,1,0)</f>
        <v>0</v>
      </c>
      <c r="AW12" s="9">
        <f>IF(預測IC!AW12&gt;預測IC!AW$26,1,0)</f>
        <v>1</v>
      </c>
      <c r="AX12" s="9">
        <f>IF(預測IC!AX12&gt;預測IC!AX$26,1,0)</f>
        <v>1</v>
      </c>
      <c r="AY12" s="9">
        <f>IF(預測IC!AY12&gt;預測IC!AY$26,1,0)</f>
        <v>0</v>
      </c>
      <c r="AZ12" s="9">
        <f>IF(預測IC!AZ12&gt;預測IC!AZ$26,1,0)</f>
        <v>1</v>
      </c>
      <c r="BA12" s="9">
        <f>IF(預測IC!BA12&gt;預測IC!BA$26,1,0)</f>
        <v>1</v>
      </c>
      <c r="BB12" s="9">
        <f>IF(預測IC!BB12&gt;預測IC!BB$26,1,0)</f>
        <v>1</v>
      </c>
      <c r="BC12" s="9">
        <f>IF(預測IC!BC12&gt;預測IC!BC$26,1,0)</f>
        <v>0</v>
      </c>
      <c r="BD12" s="9">
        <f>IF(預測IC!BD12&gt;預測IC!BD$26,1,0)</f>
        <v>1</v>
      </c>
      <c r="BE12" s="9">
        <f>IF(預測IC!BE12&gt;預測IC!BE$26,1,0)</f>
        <v>1</v>
      </c>
      <c r="BF12" s="9">
        <f>IF(預測IC!BF12&gt;預測IC!BF$26,1,0)</f>
        <v>1</v>
      </c>
      <c r="BG12" s="9">
        <f>IF(預測IC!BG12&gt;預測IC!BG$26,1,0)</f>
        <v>1</v>
      </c>
      <c r="BH12" s="9">
        <f>IF(預測IC!BH12&gt;預測IC!BH$26,1,0)</f>
        <v>1</v>
      </c>
      <c r="BI12" s="9">
        <f>IF(預測IC!BI12&gt;預測IC!BI$26,1,0)</f>
        <v>1</v>
      </c>
      <c r="BJ12" s="9">
        <f>IF(預測IC!BJ12&gt;預測IC!BJ$26,1,0)</f>
        <v>1</v>
      </c>
      <c r="BK12" s="9">
        <f>IF(預測IC!BK12&gt;預測IC!BK$26,1,0)</f>
        <v>0</v>
      </c>
      <c r="BL12" s="9">
        <f>IF(預測IC!BL12&gt;預測IC!BL$26,1,0)</f>
        <v>0</v>
      </c>
      <c r="BM12" s="9">
        <f>IF(預測IC!BM12&gt;預測IC!BM$26,1,0)</f>
        <v>0</v>
      </c>
      <c r="BN12" s="9">
        <f>IF(預測IC!BN12&gt;預測IC!BN$26,1,0)</f>
        <v>0</v>
      </c>
      <c r="BO12" s="9">
        <f>IF(預測IC!BO12&gt;預測IC!BO$26,1,0)</f>
        <v>1</v>
      </c>
      <c r="BP12" s="9">
        <f>IF(預測IC!BP12&gt;預測IC!BP$26,1,0)</f>
        <v>0</v>
      </c>
      <c r="BQ12" s="9">
        <f>IF(預測IC!BQ12&gt;預測IC!BQ$26,1,0)</f>
        <v>1</v>
      </c>
      <c r="BR12" s="9">
        <f>IF(預測IC!BR12&gt;預測IC!BR$26,1,0)</f>
        <v>1</v>
      </c>
      <c r="BS12" s="9">
        <f>IF(預測IC!BS12&gt;預測IC!BS$26,1,0)</f>
        <v>0</v>
      </c>
      <c r="BT12" s="9">
        <f>IF(預測IC!BT12&gt;預測IC!BT$26,1,0)</f>
        <v>0</v>
      </c>
      <c r="BU12" s="9">
        <f>IF(預測IC!BU12&gt;預測IC!BU$26,1,0)</f>
        <v>0</v>
      </c>
      <c r="BV12" s="9">
        <f>IF(預測IC!BV12&gt;預測IC!BV$26,1,0)</f>
        <v>0</v>
      </c>
      <c r="BW12" s="9">
        <f>IF(預測IC!BW12&gt;預測IC!BW$26,1,0)</f>
        <v>1</v>
      </c>
      <c r="BX12" s="9">
        <f>IF(預測IC!BX12&gt;預測IC!BX$26,1,0)</f>
        <v>1</v>
      </c>
      <c r="BY12" s="9">
        <f>IF(預測IC!BY12&gt;預測IC!BY$26,1,0)</f>
        <v>1</v>
      </c>
      <c r="BZ12" s="9">
        <f>IF(預測IC!BZ12&gt;預測IC!BZ$26,1,0)</f>
        <v>0</v>
      </c>
      <c r="CA12" s="9">
        <f>IF(預測IC!CA12&gt;預測IC!CA$26,1,0)</f>
        <v>0</v>
      </c>
      <c r="CB12" s="9">
        <f>IF(預測IC!CB12&gt;預測IC!CB$26,1,0)</f>
        <v>0</v>
      </c>
      <c r="CC12" s="9">
        <f>IF(預測IC!CC12&gt;預測IC!CC$26,1,0)</f>
        <v>0</v>
      </c>
      <c r="CD12" s="9">
        <f>IF(預測IC!CD12&gt;預測IC!CD$26,1,0)</f>
        <v>1</v>
      </c>
      <c r="CE12" s="9">
        <f>IF(預測IC!CE12&gt;預測IC!CE$26,1,0)</f>
        <v>1</v>
      </c>
      <c r="CF12" s="9">
        <f>IF(預測IC!CF12&gt;預測IC!CF$26,1,0)</f>
        <v>1</v>
      </c>
      <c r="CG12" s="9">
        <f>IF(預測IC!CG12&gt;預測IC!CG$26,1,0)</f>
        <v>0</v>
      </c>
      <c r="CH12" s="9">
        <f>IF(預測IC!CH12&gt;預測IC!CH$26,1,0)</f>
        <v>0</v>
      </c>
      <c r="CI12" s="9">
        <f>IF(預測IC!CI12&gt;預測IC!CI$26,1,0)</f>
        <v>0</v>
      </c>
      <c r="CJ12" s="9">
        <f>IF(預測IC!CJ12&gt;預測IC!CJ$26,1,0)</f>
        <v>0</v>
      </c>
      <c r="CK12" s="9">
        <f>IF(預測IC!CK12&gt;預測IC!CK$26,1,0)</f>
        <v>0</v>
      </c>
      <c r="CL12" s="9">
        <f>IF(預測IC!CL12&gt;預測IC!CL$26,1,0)</f>
        <v>1</v>
      </c>
      <c r="CM12" s="9">
        <f>IF(預測IC!CM12&gt;預測IC!CM$26,1,0)</f>
        <v>1</v>
      </c>
      <c r="CN12" s="9">
        <f>IF(預測IC!CN12&gt;預測IC!CN$26,1,0)</f>
        <v>0</v>
      </c>
      <c r="CO12" s="9">
        <f>IF(預測IC!CO12&gt;預測IC!CO$26,1,0)</f>
        <v>1</v>
      </c>
      <c r="CP12" s="9">
        <f>IF(預測IC!CP12&gt;預測IC!CP$26,1,0)</f>
        <v>1</v>
      </c>
      <c r="CQ12" s="9">
        <f>IF(預測IC!CQ12&gt;預測IC!CQ$26,1,0)</f>
        <v>0</v>
      </c>
      <c r="CR12" s="9">
        <f>IF(預測IC!CR12&gt;預測IC!CR$26,1,0)</f>
        <v>1</v>
      </c>
      <c r="CS12" s="9">
        <f>IF(預測IC!CS12&gt;預測IC!CS$26,1,0)</f>
        <v>0</v>
      </c>
      <c r="CT12" s="9">
        <f>IF(預測IC!CT12&gt;預測IC!CT$26,1,0)</f>
        <v>0</v>
      </c>
      <c r="CU12" s="9">
        <f>IF(預測IC!CU12&gt;預測IC!CU$26,1,0)</f>
        <v>1</v>
      </c>
      <c r="CV12" s="9">
        <f>IF(預測IC!CV12&gt;預測IC!CV$26,1,0)</f>
        <v>1</v>
      </c>
      <c r="CW12" s="9">
        <f>IF(預測IC!CW12&gt;預測IC!CW$26,1,0)</f>
        <v>1</v>
      </c>
      <c r="CX12" s="9">
        <f>IF(預測IC!CX12&gt;預測IC!CX$26,1,0)</f>
        <v>1</v>
      </c>
      <c r="CY12" s="9">
        <f>IF(預測IC!CY12&gt;預測IC!CY$26,1,0)</f>
        <v>0</v>
      </c>
      <c r="CZ12" s="9">
        <f>IF(預測IC!CZ12&gt;預測IC!CZ$26,1,0)</f>
        <v>1</v>
      </c>
      <c r="DA12" s="9">
        <f>IF(預測IC!DA12&gt;預測IC!DA$26,1,0)</f>
        <v>0</v>
      </c>
      <c r="DB12" s="9">
        <f>IF(預測IC!DB12&gt;預測IC!DB$26,1,0)</f>
        <v>1</v>
      </c>
      <c r="DC12" s="9">
        <f>IF(預測IC!DC12&gt;預測IC!DC$26,1,0)</f>
        <v>1</v>
      </c>
      <c r="DD12" s="9">
        <f>IF(預測IC!DD12&gt;預測IC!DD$26,1,0)</f>
        <v>0</v>
      </c>
      <c r="DE12" s="9">
        <f>IF(預測IC!DE12&gt;預測IC!DE$26,1,0)</f>
        <v>0</v>
      </c>
      <c r="DF12" s="9">
        <f>IF(預測IC!DF12&gt;預測IC!DF$26,1,0)</f>
        <v>1</v>
      </c>
      <c r="DG12" s="9">
        <f>IF(預測IC!DG12&gt;預測IC!DG$26,1,0)</f>
        <v>0</v>
      </c>
      <c r="DH12" s="9">
        <f>IF(預測IC!DH12&gt;預測IC!DH$26,1,0)</f>
        <v>0</v>
      </c>
      <c r="DI12" s="9">
        <f>IF(預測IC!DI12&gt;預測IC!DI$26,1,0)</f>
        <v>0</v>
      </c>
      <c r="DJ12" s="9">
        <f>IF(預測IC!DJ12&gt;預測IC!DJ$26,1,0)</f>
        <v>1</v>
      </c>
      <c r="DK12" s="9">
        <f>IF(預測IC!DK12&gt;預測IC!DK$26,1,0)</f>
        <v>0</v>
      </c>
      <c r="DL12" s="9">
        <f>IF(預測IC!DL12&gt;預測IC!DL$26,1,0)</f>
        <v>0</v>
      </c>
      <c r="DM12" s="9">
        <f>IF(預測IC!DM12&gt;預測IC!DM$26,1,0)</f>
        <v>0</v>
      </c>
      <c r="DN12" s="9">
        <f>IF(預測IC!DN12&gt;預測IC!DN$26,1,0)</f>
        <v>1</v>
      </c>
      <c r="DO12" s="9">
        <f>IF(預測IC!DO12&gt;預測IC!DO$26,1,0)</f>
        <v>1</v>
      </c>
      <c r="DP12" s="9">
        <f>IF(預測IC!DP12&gt;預測IC!DP$26,1,0)</f>
        <v>1</v>
      </c>
      <c r="DQ12" s="9">
        <f>IF(預測IC!DQ12&gt;預測IC!DQ$26,1,0)</f>
        <v>0</v>
      </c>
      <c r="DR12" s="9">
        <f>IF(預測IC!DR12&gt;預測IC!DR$26,1,0)</f>
        <v>0</v>
      </c>
      <c r="DS12" s="9">
        <f>IF(預測IC!DS12&gt;預測IC!DS$26,1,0)</f>
        <v>0</v>
      </c>
      <c r="DT12" s="9">
        <f>IF(預測IC!DT12&gt;預測IC!DT$26,1,0)</f>
        <v>0</v>
      </c>
      <c r="DU12" s="9">
        <f>IF(預測IC!DU12&gt;預測IC!DU$26,1,0)</f>
        <v>0</v>
      </c>
      <c r="DV12" s="9">
        <f>IF(預測IC!DV12&gt;預測IC!DV$26,1,0)</f>
        <v>1</v>
      </c>
      <c r="DW12" s="9">
        <f>IF(預測IC!DW12&gt;預測IC!DW$26,1,0)</f>
        <v>1</v>
      </c>
      <c r="DX12" s="9">
        <f>IF(預測IC!DX12&gt;預測IC!DX$26,1,0)</f>
        <v>0</v>
      </c>
      <c r="DY12" s="9">
        <f>IF(預測IC!DY12&gt;預測IC!DY$26,1,0)</f>
        <v>1</v>
      </c>
      <c r="DZ12" s="9">
        <f>IF(預測IC!DZ12&gt;預測IC!DZ$26,1,0)</f>
        <v>1</v>
      </c>
      <c r="EA12" s="9">
        <f>IF(預測IC!EA12&gt;預測IC!EA$26,1,0)</f>
        <v>1</v>
      </c>
      <c r="EB12" s="9">
        <f>IF(預測IC!EB12&gt;預測IC!EB$26,1,0)</f>
        <v>0</v>
      </c>
      <c r="EC12" s="9">
        <f>IF(預測IC!EC12&gt;預測IC!EC$26,1,0)</f>
        <v>1</v>
      </c>
      <c r="ED12" s="9">
        <f>IF(預測IC!ED12&gt;預測IC!ED$26,1,0)</f>
        <v>0</v>
      </c>
      <c r="EE12" s="9">
        <f>IF(預測IC!EE12&gt;預測IC!EE$26,1,0)</f>
        <v>0</v>
      </c>
      <c r="EF12" s="9">
        <f>IF(預測IC!EF12&gt;預測IC!EF$26,1,0)</f>
        <v>1</v>
      </c>
      <c r="EG12" s="2">
        <f t="shared" ref="EG12:EG24" si="10">SUM(C12:EF12)</f>
        <v>71</v>
      </c>
      <c r="EH12" s="16">
        <f t="shared" ref="EH12:EH24" si="11">SUM(C12:EF12)/134</f>
        <v>0.52985074626865669</v>
      </c>
    </row>
    <row r="13" spans="1:138">
      <c r="A13" s="4">
        <v>20</v>
      </c>
      <c r="B13" s="4">
        <v>48</v>
      </c>
      <c r="C13" s="9">
        <f>IF(預測IC!C13&gt;預測IC!C$26,1,0)</f>
        <v>1</v>
      </c>
      <c r="D13" s="9">
        <f>IF(預測IC!D13&gt;預測IC!D$26,1,0)</f>
        <v>1</v>
      </c>
      <c r="E13" s="9">
        <f>IF(預測IC!E13&gt;預測IC!E$26,1,0)</f>
        <v>1</v>
      </c>
      <c r="F13" s="9">
        <f>IF(預測IC!F13&gt;預測IC!F$26,1,0)</f>
        <v>0</v>
      </c>
      <c r="G13" s="9">
        <f>IF(預測IC!G13&gt;預測IC!G$26,1,0)</f>
        <v>0</v>
      </c>
      <c r="H13" s="9">
        <f>IF(預測IC!H13&gt;預測IC!H$26,1,0)</f>
        <v>0</v>
      </c>
      <c r="I13" s="9">
        <f>IF(預測IC!I13&gt;預測IC!I$26,1,0)</f>
        <v>1</v>
      </c>
      <c r="J13" s="9">
        <f>IF(預測IC!J13&gt;預測IC!J$26,1,0)</f>
        <v>0</v>
      </c>
      <c r="K13" s="9">
        <f>IF(預測IC!K13&gt;預測IC!K$26,1,0)</f>
        <v>1</v>
      </c>
      <c r="L13" s="9">
        <f>IF(預測IC!L13&gt;預測IC!L$26,1,0)</f>
        <v>0</v>
      </c>
      <c r="M13" s="9">
        <f>IF(預測IC!M13&gt;預測IC!M$26,1,0)</f>
        <v>0</v>
      </c>
      <c r="N13" s="9">
        <f>IF(預測IC!N13&gt;預測IC!N$26,1,0)</f>
        <v>1</v>
      </c>
      <c r="O13" s="9">
        <f>IF(預測IC!O13&gt;預測IC!O$26,1,0)</f>
        <v>1</v>
      </c>
      <c r="P13" s="9">
        <f>IF(預測IC!P13&gt;預測IC!P$26,1,0)</f>
        <v>0</v>
      </c>
      <c r="Q13" s="9">
        <f>IF(預測IC!Q13&gt;預測IC!Q$26,1,0)</f>
        <v>1</v>
      </c>
      <c r="R13" s="9">
        <f>IF(預測IC!R13&gt;預測IC!R$26,1,0)</f>
        <v>0</v>
      </c>
      <c r="S13" s="9">
        <f>IF(預測IC!S13&gt;預測IC!S$26,1,0)</f>
        <v>0</v>
      </c>
      <c r="T13" s="9">
        <f>IF(預測IC!T13&gt;預測IC!T$26,1,0)</f>
        <v>0</v>
      </c>
      <c r="U13" s="9">
        <f>IF(預測IC!U13&gt;預測IC!U$26,1,0)</f>
        <v>1</v>
      </c>
      <c r="V13" s="9">
        <f>IF(預測IC!V13&gt;預測IC!V$26,1,0)</f>
        <v>1</v>
      </c>
      <c r="W13" s="9">
        <f>IF(預測IC!W13&gt;預測IC!W$26,1,0)</f>
        <v>1</v>
      </c>
      <c r="X13" s="9">
        <f>IF(預測IC!X13&gt;預測IC!X$26,1,0)</f>
        <v>1</v>
      </c>
      <c r="Y13" s="9">
        <f>IF(預測IC!Y13&gt;預測IC!Y$26,1,0)</f>
        <v>1</v>
      </c>
      <c r="Z13" s="9">
        <f>IF(預測IC!Z13&gt;預測IC!Z$26,1,0)</f>
        <v>1</v>
      </c>
      <c r="AA13" s="9">
        <f>IF(預測IC!AA13&gt;預測IC!AA$26,1,0)</f>
        <v>1</v>
      </c>
      <c r="AB13" s="9">
        <f>IF(預測IC!AB13&gt;預測IC!AB$26,1,0)</f>
        <v>0</v>
      </c>
      <c r="AC13" s="9">
        <f>IF(預測IC!AC13&gt;預測IC!AC$26,1,0)</f>
        <v>0</v>
      </c>
      <c r="AD13" s="9">
        <f>IF(預測IC!AD13&gt;預測IC!AD$26,1,0)</f>
        <v>1</v>
      </c>
      <c r="AE13" s="9">
        <f>IF(預測IC!AE13&gt;預測IC!AE$26,1,0)</f>
        <v>0</v>
      </c>
      <c r="AF13" s="9">
        <f>IF(預測IC!AF13&gt;預測IC!AF$26,1,0)</f>
        <v>1</v>
      </c>
      <c r="AG13" s="9">
        <f>IF(預測IC!AG13&gt;預測IC!AG$26,1,0)</f>
        <v>0</v>
      </c>
      <c r="AH13" s="9">
        <f>IF(預測IC!AH13&gt;預測IC!AH$26,1,0)</f>
        <v>1</v>
      </c>
      <c r="AI13" s="9">
        <f>IF(預測IC!AI13&gt;預測IC!AI$26,1,0)</f>
        <v>1</v>
      </c>
      <c r="AJ13" s="9">
        <f>IF(預測IC!AJ13&gt;預測IC!AJ$26,1,0)</f>
        <v>0</v>
      </c>
      <c r="AK13" s="9">
        <f>IF(預測IC!AK13&gt;預測IC!AK$26,1,0)</f>
        <v>1</v>
      </c>
      <c r="AL13" s="9">
        <f>IF(預測IC!AL13&gt;預測IC!AL$26,1,0)</f>
        <v>1</v>
      </c>
      <c r="AM13" s="9">
        <f>IF(預測IC!AM13&gt;預測IC!AM$26,1,0)</f>
        <v>1</v>
      </c>
      <c r="AN13" s="9">
        <f>IF(預測IC!AN13&gt;預測IC!AN$26,1,0)</f>
        <v>1</v>
      </c>
      <c r="AO13" s="9">
        <f>IF(預測IC!AO13&gt;預測IC!AO$26,1,0)</f>
        <v>1</v>
      </c>
      <c r="AP13" s="9">
        <f>IF(預測IC!AP13&gt;預測IC!AP$26,1,0)</f>
        <v>0</v>
      </c>
      <c r="AQ13" s="9">
        <f>IF(預測IC!AQ13&gt;預測IC!AQ$26,1,0)</f>
        <v>0</v>
      </c>
      <c r="AR13" s="9">
        <f>IF(預測IC!AR13&gt;預測IC!AR$26,1,0)</f>
        <v>0</v>
      </c>
      <c r="AS13" s="9">
        <f>IF(預測IC!AS13&gt;預測IC!AS$26,1,0)</f>
        <v>1</v>
      </c>
      <c r="AT13" s="9">
        <f>IF(預測IC!AT13&gt;預測IC!AT$26,1,0)</f>
        <v>1</v>
      </c>
      <c r="AU13" s="9">
        <f>IF(預測IC!AU13&gt;預測IC!AU$26,1,0)</f>
        <v>1</v>
      </c>
      <c r="AV13" s="9">
        <f>IF(預測IC!AV13&gt;預測IC!AV$26,1,0)</f>
        <v>0</v>
      </c>
      <c r="AW13" s="9">
        <f>IF(預測IC!AW13&gt;預測IC!AW$26,1,0)</f>
        <v>1</v>
      </c>
      <c r="AX13" s="9">
        <f>IF(預測IC!AX13&gt;預測IC!AX$26,1,0)</f>
        <v>1</v>
      </c>
      <c r="AY13" s="9">
        <f>IF(預測IC!AY13&gt;預測IC!AY$26,1,0)</f>
        <v>0</v>
      </c>
      <c r="AZ13" s="9">
        <f>IF(預測IC!AZ13&gt;預測IC!AZ$26,1,0)</f>
        <v>1</v>
      </c>
      <c r="BA13" s="9">
        <f>IF(預測IC!BA13&gt;預測IC!BA$26,1,0)</f>
        <v>1</v>
      </c>
      <c r="BB13" s="9">
        <f>IF(預測IC!BB13&gt;預測IC!BB$26,1,0)</f>
        <v>1</v>
      </c>
      <c r="BC13" s="9">
        <f>IF(預測IC!BC13&gt;預測IC!BC$26,1,0)</f>
        <v>0</v>
      </c>
      <c r="BD13" s="9">
        <f>IF(預測IC!BD13&gt;預測IC!BD$26,1,0)</f>
        <v>1</v>
      </c>
      <c r="BE13" s="9">
        <f>IF(預測IC!BE13&gt;預測IC!BE$26,1,0)</f>
        <v>1</v>
      </c>
      <c r="BF13" s="9">
        <f>IF(預測IC!BF13&gt;預測IC!BF$26,1,0)</f>
        <v>1</v>
      </c>
      <c r="BG13" s="9">
        <f>IF(預測IC!BG13&gt;預測IC!BG$26,1,0)</f>
        <v>1</v>
      </c>
      <c r="BH13" s="9">
        <f>IF(預測IC!BH13&gt;預測IC!BH$26,1,0)</f>
        <v>1</v>
      </c>
      <c r="BI13" s="9">
        <f>IF(預測IC!BI13&gt;預測IC!BI$26,1,0)</f>
        <v>1</v>
      </c>
      <c r="BJ13" s="9">
        <f>IF(預測IC!BJ13&gt;預測IC!BJ$26,1,0)</f>
        <v>0</v>
      </c>
      <c r="BK13" s="9">
        <f>IF(預測IC!BK13&gt;預測IC!BK$26,1,0)</f>
        <v>0</v>
      </c>
      <c r="BL13" s="9">
        <f>IF(預測IC!BL13&gt;預測IC!BL$26,1,0)</f>
        <v>0</v>
      </c>
      <c r="BM13" s="9">
        <f>IF(預測IC!BM13&gt;預測IC!BM$26,1,0)</f>
        <v>0</v>
      </c>
      <c r="BN13" s="9">
        <f>IF(預測IC!BN13&gt;預測IC!BN$26,1,0)</f>
        <v>0</v>
      </c>
      <c r="BO13" s="9">
        <f>IF(預測IC!BO13&gt;預測IC!BO$26,1,0)</f>
        <v>1</v>
      </c>
      <c r="BP13" s="9">
        <f>IF(預測IC!BP13&gt;預測IC!BP$26,1,0)</f>
        <v>0</v>
      </c>
      <c r="BQ13" s="9">
        <f>IF(預測IC!BQ13&gt;預測IC!BQ$26,1,0)</f>
        <v>1</v>
      </c>
      <c r="BR13" s="9">
        <f>IF(預測IC!BR13&gt;預測IC!BR$26,1,0)</f>
        <v>1</v>
      </c>
      <c r="BS13" s="9">
        <f>IF(預測IC!BS13&gt;預測IC!BS$26,1,0)</f>
        <v>0</v>
      </c>
      <c r="BT13" s="9">
        <f>IF(預測IC!BT13&gt;預測IC!BT$26,1,0)</f>
        <v>0</v>
      </c>
      <c r="BU13" s="9">
        <f>IF(預測IC!BU13&gt;預測IC!BU$26,1,0)</f>
        <v>1</v>
      </c>
      <c r="BV13" s="9">
        <f>IF(預測IC!BV13&gt;預測IC!BV$26,1,0)</f>
        <v>0</v>
      </c>
      <c r="BW13" s="9">
        <f>IF(預測IC!BW13&gt;預測IC!BW$26,1,0)</f>
        <v>1</v>
      </c>
      <c r="BX13" s="9">
        <f>IF(預測IC!BX13&gt;預測IC!BX$26,1,0)</f>
        <v>1</v>
      </c>
      <c r="BY13" s="9">
        <f>IF(預測IC!BY13&gt;預測IC!BY$26,1,0)</f>
        <v>1</v>
      </c>
      <c r="BZ13" s="9">
        <f>IF(預測IC!BZ13&gt;預測IC!BZ$26,1,0)</f>
        <v>0</v>
      </c>
      <c r="CA13" s="9">
        <f>IF(預測IC!CA13&gt;預測IC!CA$26,1,0)</f>
        <v>0</v>
      </c>
      <c r="CB13" s="9">
        <f>IF(預測IC!CB13&gt;預測IC!CB$26,1,0)</f>
        <v>0</v>
      </c>
      <c r="CC13" s="9">
        <f>IF(預測IC!CC13&gt;預測IC!CC$26,1,0)</f>
        <v>1</v>
      </c>
      <c r="CD13" s="9">
        <f>IF(預測IC!CD13&gt;預測IC!CD$26,1,0)</f>
        <v>1</v>
      </c>
      <c r="CE13" s="9">
        <f>IF(預測IC!CE13&gt;預測IC!CE$26,1,0)</f>
        <v>1</v>
      </c>
      <c r="CF13" s="9">
        <f>IF(預測IC!CF13&gt;預測IC!CF$26,1,0)</f>
        <v>1</v>
      </c>
      <c r="CG13" s="9">
        <f>IF(預測IC!CG13&gt;預測IC!CG$26,1,0)</f>
        <v>0</v>
      </c>
      <c r="CH13" s="9">
        <f>IF(預測IC!CH13&gt;預測IC!CH$26,1,0)</f>
        <v>0</v>
      </c>
      <c r="CI13" s="9">
        <f>IF(預測IC!CI13&gt;預測IC!CI$26,1,0)</f>
        <v>0</v>
      </c>
      <c r="CJ13" s="9">
        <f>IF(預測IC!CJ13&gt;預測IC!CJ$26,1,0)</f>
        <v>0</v>
      </c>
      <c r="CK13" s="9">
        <f>IF(預測IC!CK13&gt;預測IC!CK$26,1,0)</f>
        <v>1</v>
      </c>
      <c r="CL13" s="9">
        <f>IF(預測IC!CL13&gt;預測IC!CL$26,1,0)</f>
        <v>1</v>
      </c>
      <c r="CM13" s="9">
        <f>IF(預測IC!CM13&gt;預測IC!CM$26,1,0)</f>
        <v>1</v>
      </c>
      <c r="CN13" s="9">
        <f>IF(預測IC!CN13&gt;預測IC!CN$26,1,0)</f>
        <v>0</v>
      </c>
      <c r="CO13" s="9">
        <f>IF(預測IC!CO13&gt;預測IC!CO$26,1,0)</f>
        <v>1</v>
      </c>
      <c r="CP13" s="9">
        <f>IF(預測IC!CP13&gt;預測IC!CP$26,1,0)</f>
        <v>1</v>
      </c>
      <c r="CQ13" s="9">
        <f>IF(預測IC!CQ13&gt;預測IC!CQ$26,1,0)</f>
        <v>0</v>
      </c>
      <c r="CR13" s="9">
        <f>IF(預測IC!CR13&gt;預測IC!CR$26,1,0)</f>
        <v>1</v>
      </c>
      <c r="CS13" s="9">
        <f>IF(預測IC!CS13&gt;預測IC!CS$26,1,0)</f>
        <v>0</v>
      </c>
      <c r="CT13" s="9">
        <f>IF(預測IC!CT13&gt;預測IC!CT$26,1,0)</f>
        <v>0</v>
      </c>
      <c r="CU13" s="9">
        <f>IF(預測IC!CU13&gt;預測IC!CU$26,1,0)</f>
        <v>1</v>
      </c>
      <c r="CV13" s="9">
        <f>IF(預測IC!CV13&gt;預測IC!CV$26,1,0)</f>
        <v>0</v>
      </c>
      <c r="CW13" s="9">
        <f>IF(預測IC!CW13&gt;預測IC!CW$26,1,0)</f>
        <v>1</v>
      </c>
      <c r="CX13" s="9">
        <f>IF(預測IC!CX13&gt;預測IC!CX$26,1,0)</f>
        <v>1</v>
      </c>
      <c r="CY13" s="9">
        <f>IF(預測IC!CY13&gt;預測IC!CY$26,1,0)</f>
        <v>0</v>
      </c>
      <c r="CZ13" s="9">
        <f>IF(預測IC!CZ13&gt;預測IC!CZ$26,1,0)</f>
        <v>1</v>
      </c>
      <c r="DA13" s="9">
        <f>IF(預測IC!DA13&gt;預測IC!DA$26,1,0)</f>
        <v>0</v>
      </c>
      <c r="DB13" s="9">
        <f>IF(預測IC!DB13&gt;預測IC!DB$26,1,0)</f>
        <v>1</v>
      </c>
      <c r="DC13" s="9">
        <f>IF(預測IC!DC13&gt;預測IC!DC$26,1,0)</f>
        <v>1</v>
      </c>
      <c r="DD13" s="9">
        <f>IF(預測IC!DD13&gt;預測IC!DD$26,1,0)</f>
        <v>0</v>
      </c>
      <c r="DE13" s="9">
        <f>IF(預測IC!DE13&gt;預測IC!DE$26,1,0)</f>
        <v>0</v>
      </c>
      <c r="DF13" s="9">
        <f>IF(預測IC!DF13&gt;預測IC!DF$26,1,0)</f>
        <v>1</v>
      </c>
      <c r="DG13" s="9">
        <f>IF(預測IC!DG13&gt;預測IC!DG$26,1,0)</f>
        <v>0</v>
      </c>
      <c r="DH13" s="9">
        <f>IF(預測IC!DH13&gt;預測IC!DH$26,1,0)</f>
        <v>0</v>
      </c>
      <c r="DI13" s="9">
        <f>IF(預測IC!DI13&gt;預測IC!DI$26,1,0)</f>
        <v>0</v>
      </c>
      <c r="DJ13" s="9">
        <f>IF(預測IC!DJ13&gt;預測IC!DJ$26,1,0)</f>
        <v>1</v>
      </c>
      <c r="DK13" s="9">
        <f>IF(預測IC!DK13&gt;預測IC!DK$26,1,0)</f>
        <v>0</v>
      </c>
      <c r="DL13" s="9">
        <f>IF(預測IC!DL13&gt;預測IC!DL$26,1,0)</f>
        <v>0</v>
      </c>
      <c r="DM13" s="9">
        <f>IF(預測IC!DM13&gt;預測IC!DM$26,1,0)</f>
        <v>0</v>
      </c>
      <c r="DN13" s="9">
        <f>IF(預測IC!DN13&gt;預測IC!DN$26,1,0)</f>
        <v>1</v>
      </c>
      <c r="DO13" s="9">
        <f>IF(預測IC!DO13&gt;預測IC!DO$26,1,0)</f>
        <v>1</v>
      </c>
      <c r="DP13" s="9">
        <f>IF(預測IC!DP13&gt;預測IC!DP$26,1,0)</f>
        <v>1</v>
      </c>
      <c r="DQ13" s="9">
        <f>IF(預測IC!DQ13&gt;預測IC!DQ$26,1,0)</f>
        <v>0</v>
      </c>
      <c r="DR13" s="9">
        <f>IF(預測IC!DR13&gt;預測IC!DR$26,1,0)</f>
        <v>0</v>
      </c>
      <c r="DS13" s="9">
        <f>IF(預測IC!DS13&gt;預測IC!DS$26,1,0)</f>
        <v>0</v>
      </c>
      <c r="DT13" s="9">
        <f>IF(預測IC!DT13&gt;預測IC!DT$26,1,0)</f>
        <v>0</v>
      </c>
      <c r="DU13" s="9">
        <f>IF(預測IC!DU13&gt;預測IC!DU$26,1,0)</f>
        <v>0</v>
      </c>
      <c r="DV13" s="9">
        <f>IF(預測IC!DV13&gt;預測IC!DV$26,1,0)</f>
        <v>1</v>
      </c>
      <c r="DW13" s="9">
        <f>IF(預測IC!DW13&gt;預測IC!DW$26,1,0)</f>
        <v>1</v>
      </c>
      <c r="DX13" s="9">
        <f>IF(預測IC!DX13&gt;預測IC!DX$26,1,0)</f>
        <v>0</v>
      </c>
      <c r="DY13" s="9">
        <f>IF(預測IC!DY13&gt;預測IC!DY$26,1,0)</f>
        <v>1</v>
      </c>
      <c r="DZ13" s="9">
        <f>IF(預測IC!DZ13&gt;預測IC!DZ$26,1,0)</f>
        <v>1</v>
      </c>
      <c r="EA13" s="9">
        <f>IF(預測IC!EA13&gt;預測IC!EA$26,1,0)</f>
        <v>1</v>
      </c>
      <c r="EB13" s="9">
        <f>IF(預測IC!EB13&gt;預測IC!EB$26,1,0)</f>
        <v>0</v>
      </c>
      <c r="EC13" s="9">
        <f>IF(預測IC!EC13&gt;預測IC!EC$26,1,0)</f>
        <v>1</v>
      </c>
      <c r="ED13" s="9">
        <f>IF(預測IC!ED13&gt;預測IC!ED$26,1,0)</f>
        <v>0</v>
      </c>
      <c r="EE13" s="9">
        <f>IF(預測IC!EE13&gt;預測IC!EE$26,1,0)</f>
        <v>0</v>
      </c>
      <c r="EF13" s="9">
        <f>IF(預測IC!EF13&gt;預測IC!EF$26,1,0)</f>
        <v>1</v>
      </c>
      <c r="EG13" s="2">
        <f t="shared" si="10"/>
        <v>73</v>
      </c>
      <c r="EH13" s="16">
        <f t="shared" si="11"/>
        <v>0.54477611940298509</v>
      </c>
    </row>
    <row r="14" spans="1:138">
      <c r="A14" s="4">
        <v>50</v>
      </c>
      <c r="B14" s="4">
        <v>19</v>
      </c>
      <c r="C14" s="9">
        <f>IF(預測IC!C14&gt;預測IC!C$26,1,0)</f>
        <v>1</v>
      </c>
      <c r="D14" s="9">
        <f>IF(預測IC!D14&gt;預測IC!D$26,1,0)</f>
        <v>1</v>
      </c>
      <c r="E14" s="9">
        <f>IF(預測IC!E14&gt;預測IC!E$26,1,0)</f>
        <v>1</v>
      </c>
      <c r="F14" s="9">
        <f>IF(預測IC!F14&gt;預測IC!F$26,1,0)</f>
        <v>1</v>
      </c>
      <c r="G14" s="9">
        <f>IF(預測IC!G14&gt;預測IC!G$26,1,0)</f>
        <v>1</v>
      </c>
      <c r="H14" s="9">
        <f>IF(預測IC!H14&gt;預測IC!H$26,1,0)</f>
        <v>1</v>
      </c>
      <c r="I14" s="9">
        <f>IF(預測IC!I14&gt;預測IC!I$26,1,0)</f>
        <v>1</v>
      </c>
      <c r="J14" s="9">
        <f>IF(預測IC!J14&gt;預測IC!J$26,1,0)</f>
        <v>0</v>
      </c>
      <c r="K14" s="9">
        <f>IF(預測IC!K14&gt;預測IC!K$26,1,0)</f>
        <v>1</v>
      </c>
      <c r="L14" s="9">
        <f>IF(預測IC!L14&gt;預測IC!L$26,1,0)</f>
        <v>0</v>
      </c>
      <c r="M14" s="9">
        <f>IF(預測IC!M14&gt;預測IC!M$26,1,0)</f>
        <v>0</v>
      </c>
      <c r="N14" s="9">
        <f>IF(預測IC!N14&gt;預測IC!N$26,1,0)</f>
        <v>1</v>
      </c>
      <c r="O14" s="9">
        <f>IF(預測IC!O14&gt;預測IC!O$26,1,0)</f>
        <v>1</v>
      </c>
      <c r="P14" s="9">
        <f>IF(預測IC!P14&gt;預測IC!P$26,1,0)</f>
        <v>1</v>
      </c>
      <c r="Q14" s="9">
        <f>IF(預測IC!Q14&gt;預測IC!Q$26,1,0)</f>
        <v>1</v>
      </c>
      <c r="R14" s="9">
        <f>IF(預測IC!R14&gt;預測IC!R$26,1,0)</f>
        <v>0</v>
      </c>
      <c r="S14" s="9">
        <f>IF(預測IC!S14&gt;預測IC!S$26,1,0)</f>
        <v>1</v>
      </c>
      <c r="T14" s="9">
        <f>IF(預測IC!T14&gt;預測IC!T$26,1,0)</f>
        <v>0</v>
      </c>
      <c r="U14" s="9">
        <f>IF(預測IC!U14&gt;預測IC!U$26,1,0)</f>
        <v>1</v>
      </c>
      <c r="V14" s="9">
        <f>IF(預測IC!V14&gt;預測IC!V$26,1,0)</f>
        <v>1</v>
      </c>
      <c r="W14" s="9">
        <f>IF(預測IC!W14&gt;預測IC!W$26,1,0)</f>
        <v>1</v>
      </c>
      <c r="X14" s="9">
        <f>IF(預測IC!X14&gt;預測IC!X$26,1,0)</f>
        <v>1</v>
      </c>
      <c r="Y14" s="9">
        <f>IF(預測IC!Y14&gt;預測IC!Y$26,1,0)</f>
        <v>1</v>
      </c>
      <c r="Z14" s="9">
        <f>IF(預測IC!Z14&gt;預測IC!Z$26,1,0)</f>
        <v>1</v>
      </c>
      <c r="AA14" s="9">
        <f>IF(預測IC!AA14&gt;預測IC!AA$26,1,0)</f>
        <v>1</v>
      </c>
      <c r="AB14" s="9">
        <f>IF(預測IC!AB14&gt;預測IC!AB$26,1,0)</f>
        <v>0</v>
      </c>
      <c r="AC14" s="9">
        <f>IF(預測IC!AC14&gt;預測IC!AC$26,1,0)</f>
        <v>0</v>
      </c>
      <c r="AD14" s="9">
        <f>IF(預測IC!AD14&gt;預測IC!AD$26,1,0)</f>
        <v>1</v>
      </c>
      <c r="AE14" s="9">
        <f>IF(預測IC!AE14&gt;預測IC!AE$26,1,0)</f>
        <v>0</v>
      </c>
      <c r="AF14" s="9">
        <f>IF(預測IC!AF14&gt;預測IC!AF$26,1,0)</f>
        <v>1</v>
      </c>
      <c r="AG14" s="9">
        <f>IF(預測IC!AG14&gt;預測IC!AG$26,1,0)</f>
        <v>0</v>
      </c>
      <c r="AH14" s="9">
        <f>IF(預測IC!AH14&gt;預測IC!AH$26,1,0)</f>
        <v>0</v>
      </c>
      <c r="AI14" s="9">
        <f>IF(預測IC!AI14&gt;預測IC!AI$26,1,0)</f>
        <v>1</v>
      </c>
      <c r="AJ14" s="9">
        <f>IF(預測IC!AJ14&gt;預測IC!AJ$26,1,0)</f>
        <v>1</v>
      </c>
      <c r="AK14" s="9">
        <f>IF(預測IC!AK14&gt;預測IC!AK$26,1,0)</f>
        <v>1</v>
      </c>
      <c r="AL14" s="9">
        <f>IF(預測IC!AL14&gt;預測IC!AL$26,1,0)</f>
        <v>1</v>
      </c>
      <c r="AM14" s="9">
        <f>IF(預測IC!AM14&gt;預測IC!AM$26,1,0)</f>
        <v>1</v>
      </c>
      <c r="AN14" s="9">
        <f>IF(預測IC!AN14&gt;預測IC!AN$26,1,0)</f>
        <v>1</v>
      </c>
      <c r="AO14" s="9">
        <f>IF(預測IC!AO14&gt;預測IC!AO$26,1,0)</f>
        <v>1</v>
      </c>
      <c r="AP14" s="9">
        <f>IF(預測IC!AP14&gt;預測IC!AP$26,1,0)</f>
        <v>0</v>
      </c>
      <c r="AQ14" s="9">
        <f>IF(預測IC!AQ14&gt;預測IC!AQ$26,1,0)</f>
        <v>0</v>
      </c>
      <c r="AR14" s="9">
        <f>IF(預測IC!AR14&gt;預測IC!AR$26,1,0)</f>
        <v>1</v>
      </c>
      <c r="AS14" s="9">
        <f>IF(預測IC!AS14&gt;預測IC!AS$26,1,0)</f>
        <v>1</v>
      </c>
      <c r="AT14" s="9">
        <f>IF(預測IC!AT14&gt;預測IC!AT$26,1,0)</f>
        <v>1</v>
      </c>
      <c r="AU14" s="9">
        <f>IF(預測IC!AU14&gt;預測IC!AU$26,1,0)</f>
        <v>1</v>
      </c>
      <c r="AV14" s="9">
        <f>IF(預測IC!AV14&gt;預測IC!AV$26,1,0)</f>
        <v>0</v>
      </c>
      <c r="AW14" s="9">
        <f>IF(預測IC!AW14&gt;預測IC!AW$26,1,0)</f>
        <v>1</v>
      </c>
      <c r="AX14" s="9">
        <f>IF(預測IC!AX14&gt;預測IC!AX$26,1,0)</f>
        <v>1</v>
      </c>
      <c r="AY14" s="9">
        <f>IF(預測IC!AY14&gt;預測IC!AY$26,1,0)</f>
        <v>0</v>
      </c>
      <c r="AZ14" s="9">
        <f>IF(預測IC!AZ14&gt;預測IC!AZ$26,1,0)</f>
        <v>0</v>
      </c>
      <c r="BA14" s="9">
        <f>IF(預測IC!BA14&gt;預測IC!BA$26,1,0)</f>
        <v>1</v>
      </c>
      <c r="BB14" s="9">
        <f>IF(預測IC!BB14&gt;預測IC!BB$26,1,0)</f>
        <v>1</v>
      </c>
      <c r="BC14" s="9">
        <f>IF(預測IC!BC14&gt;預測IC!BC$26,1,0)</f>
        <v>0</v>
      </c>
      <c r="BD14" s="9">
        <f>IF(預測IC!BD14&gt;預測IC!BD$26,1,0)</f>
        <v>1</v>
      </c>
      <c r="BE14" s="9">
        <f>IF(預測IC!BE14&gt;預測IC!BE$26,1,0)</f>
        <v>1</v>
      </c>
      <c r="BF14" s="9">
        <f>IF(預測IC!BF14&gt;預測IC!BF$26,1,0)</f>
        <v>1</v>
      </c>
      <c r="BG14" s="9">
        <f>IF(預測IC!BG14&gt;預測IC!BG$26,1,0)</f>
        <v>1</v>
      </c>
      <c r="BH14" s="9">
        <f>IF(預測IC!BH14&gt;預測IC!BH$26,1,0)</f>
        <v>1</v>
      </c>
      <c r="BI14" s="9">
        <f>IF(預測IC!BI14&gt;預測IC!BI$26,1,0)</f>
        <v>1</v>
      </c>
      <c r="BJ14" s="9">
        <f>IF(預測IC!BJ14&gt;預測IC!BJ$26,1,0)</f>
        <v>1</v>
      </c>
      <c r="BK14" s="9">
        <f>IF(預測IC!BK14&gt;預測IC!BK$26,1,0)</f>
        <v>0</v>
      </c>
      <c r="BL14" s="9">
        <f>IF(預測IC!BL14&gt;預測IC!BL$26,1,0)</f>
        <v>1</v>
      </c>
      <c r="BM14" s="9">
        <f>IF(預測IC!BM14&gt;預測IC!BM$26,1,0)</f>
        <v>0</v>
      </c>
      <c r="BN14" s="9">
        <f>IF(預測IC!BN14&gt;預測IC!BN$26,1,0)</f>
        <v>0</v>
      </c>
      <c r="BO14" s="9">
        <f>IF(預測IC!BO14&gt;預測IC!BO$26,1,0)</f>
        <v>1</v>
      </c>
      <c r="BP14" s="9">
        <f>IF(預測IC!BP14&gt;預測IC!BP$26,1,0)</f>
        <v>0</v>
      </c>
      <c r="BQ14" s="9">
        <f>IF(預測IC!BQ14&gt;預測IC!BQ$26,1,0)</f>
        <v>1</v>
      </c>
      <c r="BR14" s="9">
        <f>IF(預測IC!BR14&gt;預測IC!BR$26,1,0)</f>
        <v>0</v>
      </c>
      <c r="BS14" s="9">
        <f>IF(預測IC!BS14&gt;預測IC!BS$26,1,0)</f>
        <v>0</v>
      </c>
      <c r="BT14" s="9">
        <f>IF(預測IC!BT14&gt;預測IC!BT$26,1,0)</f>
        <v>1</v>
      </c>
      <c r="BU14" s="9">
        <f>IF(預測IC!BU14&gt;預測IC!BU$26,1,0)</f>
        <v>0</v>
      </c>
      <c r="BV14" s="9">
        <f>IF(預測IC!BV14&gt;預測IC!BV$26,1,0)</f>
        <v>0</v>
      </c>
      <c r="BW14" s="9">
        <f>IF(預測IC!BW14&gt;預測IC!BW$26,1,0)</f>
        <v>1</v>
      </c>
      <c r="BX14" s="9">
        <f>IF(預測IC!BX14&gt;預測IC!BX$26,1,0)</f>
        <v>1</v>
      </c>
      <c r="BY14" s="9">
        <f>IF(預測IC!BY14&gt;預測IC!BY$26,1,0)</f>
        <v>1</v>
      </c>
      <c r="BZ14" s="9">
        <f>IF(預測IC!BZ14&gt;預測IC!BZ$26,1,0)</f>
        <v>0</v>
      </c>
      <c r="CA14" s="9">
        <f>IF(預測IC!CA14&gt;預測IC!CA$26,1,0)</f>
        <v>0</v>
      </c>
      <c r="CB14" s="9">
        <f>IF(預測IC!CB14&gt;預測IC!CB$26,1,0)</f>
        <v>0</v>
      </c>
      <c r="CC14" s="9">
        <f>IF(預測IC!CC14&gt;預測IC!CC$26,1,0)</f>
        <v>1</v>
      </c>
      <c r="CD14" s="9">
        <f>IF(預測IC!CD14&gt;預測IC!CD$26,1,0)</f>
        <v>1</v>
      </c>
      <c r="CE14" s="9">
        <f>IF(預測IC!CE14&gt;預測IC!CE$26,1,0)</f>
        <v>1</v>
      </c>
      <c r="CF14" s="9">
        <f>IF(預測IC!CF14&gt;預測IC!CF$26,1,0)</f>
        <v>0</v>
      </c>
      <c r="CG14" s="9">
        <f>IF(預測IC!CG14&gt;預測IC!CG$26,1,0)</f>
        <v>1</v>
      </c>
      <c r="CH14" s="9">
        <f>IF(預測IC!CH14&gt;預測IC!CH$26,1,0)</f>
        <v>0</v>
      </c>
      <c r="CI14" s="9">
        <f>IF(預測IC!CI14&gt;預測IC!CI$26,1,0)</f>
        <v>0</v>
      </c>
      <c r="CJ14" s="9">
        <f>IF(預測IC!CJ14&gt;預測IC!CJ$26,1,0)</f>
        <v>0</v>
      </c>
      <c r="CK14" s="9">
        <f>IF(預測IC!CK14&gt;預測IC!CK$26,1,0)</f>
        <v>0</v>
      </c>
      <c r="CL14" s="9">
        <f>IF(預測IC!CL14&gt;預測IC!CL$26,1,0)</f>
        <v>0</v>
      </c>
      <c r="CM14" s="9">
        <f>IF(預測IC!CM14&gt;預測IC!CM$26,1,0)</f>
        <v>1</v>
      </c>
      <c r="CN14" s="9">
        <f>IF(預測IC!CN14&gt;預測IC!CN$26,1,0)</f>
        <v>0</v>
      </c>
      <c r="CO14" s="9">
        <f>IF(預測IC!CO14&gt;預測IC!CO$26,1,0)</f>
        <v>0</v>
      </c>
      <c r="CP14" s="9">
        <f>IF(預測IC!CP14&gt;預測IC!CP$26,1,0)</f>
        <v>1</v>
      </c>
      <c r="CQ14" s="9">
        <f>IF(預測IC!CQ14&gt;預測IC!CQ$26,1,0)</f>
        <v>1</v>
      </c>
      <c r="CR14" s="9">
        <f>IF(預測IC!CR14&gt;預測IC!CR$26,1,0)</f>
        <v>1</v>
      </c>
      <c r="CS14" s="9">
        <f>IF(預測IC!CS14&gt;預測IC!CS$26,1,0)</f>
        <v>0</v>
      </c>
      <c r="CT14" s="9">
        <f>IF(預測IC!CT14&gt;預測IC!CT$26,1,0)</f>
        <v>0</v>
      </c>
      <c r="CU14" s="9">
        <f>IF(預測IC!CU14&gt;預測IC!CU$26,1,0)</f>
        <v>0</v>
      </c>
      <c r="CV14" s="9">
        <f>IF(預測IC!CV14&gt;預測IC!CV$26,1,0)</f>
        <v>1</v>
      </c>
      <c r="CW14" s="9">
        <f>IF(預測IC!CW14&gt;預測IC!CW$26,1,0)</f>
        <v>0</v>
      </c>
      <c r="CX14" s="9">
        <f>IF(預測IC!CX14&gt;預測IC!CX$26,1,0)</f>
        <v>1</v>
      </c>
      <c r="CY14" s="9">
        <f>IF(預測IC!CY14&gt;預測IC!CY$26,1,0)</f>
        <v>0</v>
      </c>
      <c r="CZ14" s="9">
        <f>IF(預測IC!CZ14&gt;預測IC!CZ$26,1,0)</f>
        <v>1</v>
      </c>
      <c r="DA14" s="9">
        <f>IF(預測IC!DA14&gt;預測IC!DA$26,1,0)</f>
        <v>0</v>
      </c>
      <c r="DB14" s="9">
        <f>IF(預測IC!DB14&gt;預測IC!DB$26,1,0)</f>
        <v>1</v>
      </c>
      <c r="DC14" s="9">
        <f>IF(預測IC!DC14&gt;預測IC!DC$26,1,0)</f>
        <v>1</v>
      </c>
      <c r="DD14" s="9">
        <f>IF(預測IC!DD14&gt;預測IC!DD$26,1,0)</f>
        <v>0</v>
      </c>
      <c r="DE14" s="9">
        <f>IF(預測IC!DE14&gt;預測IC!DE$26,1,0)</f>
        <v>0</v>
      </c>
      <c r="DF14" s="9">
        <f>IF(預測IC!DF14&gt;預測IC!DF$26,1,0)</f>
        <v>1</v>
      </c>
      <c r="DG14" s="9">
        <f>IF(預測IC!DG14&gt;預測IC!DG$26,1,0)</f>
        <v>0</v>
      </c>
      <c r="DH14" s="9">
        <f>IF(預測IC!DH14&gt;預測IC!DH$26,1,0)</f>
        <v>0</v>
      </c>
      <c r="DI14" s="9">
        <f>IF(預測IC!DI14&gt;預測IC!DI$26,1,0)</f>
        <v>0</v>
      </c>
      <c r="DJ14" s="9">
        <f>IF(預測IC!DJ14&gt;預測IC!DJ$26,1,0)</f>
        <v>1</v>
      </c>
      <c r="DK14" s="9">
        <f>IF(預測IC!DK14&gt;預測IC!DK$26,1,0)</f>
        <v>0</v>
      </c>
      <c r="DL14" s="9">
        <f>IF(預測IC!DL14&gt;預測IC!DL$26,1,0)</f>
        <v>0</v>
      </c>
      <c r="DM14" s="9">
        <f>IF(預測IC!DM14&gt;預測IC!DM$26,1,0)</f>
        <v>0</v>
      </c>
      <c r="DN14" s="9">
        <f>IF(預測IC!DN14&gt;預測IC!DN$26,1,0)</f>
        <v>1</v>
      </c>
      <c r="DO14" s="9">
        <f>IF(預測IC!DO14&gt;預測IC!DO$26,1,0)</f>
        <v>1</v>
      </c>
      <c r="DP14" s="9">
        <f>IF(預測IC!DP14&gt;預測IC!DP$26,1,0)</f>
        <v>1</v>
      </c>
      <c r="DQ14" s="9">
        <f>IF(預測IC!DQ14&gt;預測IC!DQ$26,1,0)</f>
        <v>0</v>
      </c>
      <c r="DR14" s="9">
        <f>IF(預測IC!DR14&gt;預測IC!DR$26,1,0)</f>
        <v>1</v>
      </c>
      <c r="DS14" s="9">
        <f>IF(預測IC!DS14&gt;預測IC!DS$26,1,0)</f>
        <v>0</v>
      </c>
      <c r="DT14" s="9">
        <f>IF(預測IC!DT14&gt;預測IC!DT$26,1,0)</f>
        <v>1</v>
      </c>
      <c r="DU14" s="9">
        <f>IF(預測IC!DU14&gt;預測IC!DU$26,1,0)</f>
        <v>0</v>
      </c>
      <c r="DV14" s="9">
        <f>IF(預測IC!DV14&gt;預測IC!DV$26,1,0)</f>
        <v>1</v>
      </c>
      <c r="DW14" s="9">
        <f>IF(預測IC!DW14&gt;預測IC!DW$26,1,0)</f>
        <v>1</v>
      </c>
      <c r="DX14" s="9">
        <f>IF(預測IC!DX14&gt;預測IC!DX$26,1,0)</f>
        <v>0</v>
      </c>
      <c r="DY14" s="9">
        <f>IF(預測IC!DY14&gt;預測IC!DY$26,1,0)</f>
        <v>1</v>
      </c>
      <c r="DZ14" s="9">
        <f>IF(預測IC!DZ14&gt;預測IC!DZ$26,1,0)</f>
        <v>1</v>
      </c>
      <c r="EA14" s="9">
        <f>IF(預測IC!EA14&gt;預測IC!EA$26,1,0)</f>
        <v>1</v>
      </c>
      <c r="EB14" s="9">
        <f>IF(預測IC!EB14&gt;預測IC!EB$26,1,0)</f>
        <v>0</v>
      </c>
      <c r="EC14" s="9">
        <f>IF(預測IC!EC14&gt;預測IC!EC$26,1,0)</f>
        <v>1</v>
      </c>
      <c r="ED14" s="9">
        <f>IF(預測IC!ED14&gt;預測IC!ED$26,1,0)</f>
        <v>0</v>
      </c>
      <c r="EE14" s="9">
        <f>IF(預測IC!EE14&gt;預測IC!EE$26,1,0)</f>
        <v>0</v>
      </c>
      <c r="EF14" s="9">
        <f>IF(預測IC!EF14&gt;預測IC!EF$26,1,0)</f>
        <v>1</v>
      </c>
      <c r="EG14" s="2">
        <f t="shared" si="10"/>
        <v>78</v>
      </c>
      <c r="EH14" s="16">
        <f t="shared" si="11"/>
        <v>0.58208955223880599</v>
      </c>
    </row>
    <row r="15" spans="1:138">
      <c r="A15" s="4">
        <v>100</v>
      </c>
      <c r="B15" s="4">
        <v>10</v>
      </c>
      <c r="C15" s="9">
        <f>IF(預測IC!C15&gt;預測IC!C$26,1,0)</f>
        <v>1</v>
      </c>
      <c r="D15" s="9">
        <f>IF(預測IC!D15&gt;預測IC!D$26,1,0)</f>
        <v>1</v>
      </c>
      <c r="E15" s="9">
        <f>IF(預測IC!E15&gt;預測IC!E$26,1,0)</f>
        <v>1</v>
      </c>
      <c r="F15" s="9">
        <f>IF(預測IC!F15&gt;預測IC!F$26,1,0)</f>
        <v>1</v>
      </c>
      <c r="G15" s="9">
        <f>IF(預測IC!G15&gt;預測IC!G$26,1,0)</f>
        <v>1</v>
      </c>
      <c r="H15" s="9">
        <f>IF(預測IC!H15&gt;預測IC!H$26,1,0)</f>
        <v>1</v>
      </c>
      <c r="I15" s="9">
        <f>IF(預測IC!I15&gt;預測IC!I$26,1,0)</f>
        <v>1</v>
      </c>
      <c r="J15" s="9">
        <f>IF(預測IC!J15&gt;預測IC!J$26,1,0)</f>
        <v>0</v>
      </c>
      <c r="K15" s="9">
        <f>IF(預測IC!K15&gt;預測IC!K$26,1,0)</f>
        <v>1</v>
      </c>
      <c r="L15" s="9">
        <f>IF(預測IC!L15&gt;預測IC!L$26,1,0)</f>
        <v>1</v>
      </c>
      <c r="M15" s="9">
        <f>IF(預測IC!M15&gt;預測IC!M$26,1,0)</f>
        <v>1</v>
      </c>
      <c r="N15" s="9">
        <f>IF(預測IC!N15&gt;預測IC!N$26,1,0)</f>
        <v>1</v>
      </c>
      <c r="O15" s="9">
        <f>IF(預測IC!O15&gt;預測IC!O$26,1,0)</f>
        <v>1</v>
      </c>
      <c r="P15" s="9">
        <f>IF(預測IC!P15&gt;預測IC!P$26,1,0)</f>
        <v>1</v>
      </c>
      <c r="Q15" s="9">
        <f>IF(預測IC!Q15&gt;預測IC!Q$26,1,0)</f>
        <v>1</v>
      </c>
      <c r="R15" s="9">
        <f>IF(預測IC!R15&gt;預測IC!R$26,1,0)</f>
        <v>0</v>
      </c>
      <c r="S15" s="9">
        <f>IF(預測IC!S15&gt;預測IC!S$26,1,0)</f>
        <v>0</v>
      </c>
      <c r="T15" s="9">
        <f>IF(預測IC!T15&gt;預測IC!T$26,1,0)</f>
        <v>0</v>
      </c>
      <c r="U15" s="9">
        <f>IF(預測IC!U15&gt;預測IC!U$26,1,0)</f>
        <v>1</v>
      </c>
      <c r="V15" s="9">
        <f>IF(預測IC!V15&gt;預測IC!V$26,1,0)</f>
        <v>0</v>
      </c>
      <c r="W15" s="9">
        <f>IF(預測IC!W15&gt;預測IC!W$26,1,0)</f>
        <v>1</v>
      </c>
      <c r="X15" s="9">
        <f>IF(預測IC!X15&gt;預測IC!X$26,1,0)</f>
        <v>1</v>
      </c>
      <c r="Y15" s="9">
        <f>IF(預測IC!Y15&gt;預測IC!Y$26,1,0)</f>
        <v>1</v>
      </c>
      <c r="Z15" s="9">
        <f>IF(預測IC!Z15&gt;預測IC!Z$26,1,0)</f>
        <v>0</v>
      </c>
      <c r="AA15" s="9">
        <f>IF(預測IC!AA15&gt;預測IC!AA$26,1,0)</f>
        <v>1</v>
      </c>
      <c r="AB15" s="9">
        <f>IF(預測IC!AB15&gt;預測IC!AB$26,1,0)</f>
        <v>0</v>
      </c>
      <c r="AC15" s="9">
        <f>IF(預測IC!AC15&gt;預測IC!AC$26,1,0)</f>
        <v>0</v>
      </c>
      <c r="AD15" s="9">
        <f>IF(預測IC!AD15&gt;預測IC!AD$26,1,0)</f>
        <v>1</v>
      </c>
      <c r="AE15" s="9">
        <f>IF(預測IC!AE15&gt;預測IC!AE$26,1,0)</f>
        <v>1</v>
      </c>
      <c r="AF15" s="9">
        <f>IF(預測IC!AF15&gt;預測IC!AF$26,1,0)</f>
        <v>1</v>
      </c>
      <c r="AG15" s="9">
        <f>IF(預測IC!AG15&gt;預測IC!AG$26,1,0)</f>
        <v>0</v>
      </c>
      <c r="AH15" s="9">
        <f>IF(預測IC!AH15&gt;預測IC!AH$26,1,0)</f>
        <v>0</v>
      </c>
      <c r="AI15" s="9">
        <f>IF(預測IC!AI15&gt;預測IC!AI$26,1,0)</f>
        <v>1</v>
      </c>
      <c r="AJ15" s="9">
        <f>IF(預測IC!AJ15&gt;預測IC!AJ$26,1,0)</f>
        <v>0</v>
      </c>
      <c r="AK15" s="9">
        <f>IF(預測IC!AK15&gt;預測IC!AK$26,1,0)</f>
        <v>1</v>
      </c>
      <c r="AL15" s="9">
        <f>IF(預測IC!AL15&gt;預測IC!AL$26,1,0)</f>
        <v>1</v>
      </c>
      <c r="AM15" s="9">
        <f>IF(預測IC!AM15&gt;預測IC!AM$26,1,0)</f>
        <v>1</v>
      </c>
      <c r="AN15" s="9">
        <f>IF(預測IC!AN15&gt;預測IC!AN$26,1,0)</f>
        <v>1</v>
      </c>
      <c r="AO15" s="9">
        <f>IF(預測IC!AO15&gt;預測IC!AO$26,1,0)</f>
        <v>1</v>
      </c>
      <c r="AP15" s="9">
        <f>IF(預測IC!AP15&gt;預測IC!AP$26,1,0)</f>
        <v>0</v>
      </c>
      <c r="AQ15" s="9">
        <f>IF(預測IC!AQ15&gt;預測IC!AQ$26,1,0)</f>
        <v>0</v>
      </c>
      <c r="AR15" s="9">
        <f>IF(預測IC!AR15&gt;預測IC!AR$26,1,0)</f>
        <v>1</v>
      </c>
      <c r="AS15" s="9">
        <f>IF(預測IC!AS15&gt;預測IC!AS$26,1,0)</f>
        <v>1</v>
      </c>
      <c r="AT15" s="9">
        <f>IF(預測IC!AT15&gt;預測IC!AT$26,1,0)</f>
        <v>1</v>
      </c>
      <c r="AU15" s="9">
        <f>IF(預測IC!AU15&gt;預測IC!AU$26,1,0)</f>
        <v>1</v>
      </c>
      <c r="AV15" s="9">
        <f>IF(預測IC!AV15&gt;預測IC!AV$26,1,0)</f>
        <v>0</v>
      </c>
      <c r="AW15" s="9">
        <f>IF(預測IC!AW15&gt;預測IC!AW$26,1,0)</f>
        <v>1</v>
      </c>
      <c r="AX15" s="9">
        <f>IF(預測IC!AX15&gt;預測IC!AX$26,1,0)</f>
        <v>1</v>
      </c>
      <c r="AY15" s="9">
        <f>IF(預測IC!AY15&gt;預測IC!AY$26,1,0)</f>
        <v>0</v>
      </c>
      <c r="AZ15" s="9">
        <f>IF(預測IC!AZ15&gt;預測IC!AZ$26,1,0)</f>
        <v>0</v>
      </c>
      <c r="BA15" s="9">
        <f>IF(預測IC!BA15&gt;預測IC!BA$26,1,0)</f>
        <v>1</v>
      </c>
      <c r="BB15" s="9">
        <f>IF(預測IC!BB15&gt;預測IC!BB$26,1,0)</f>
        <v>1</v>
      </c>
      <c r="BC15" s="9">
        <f>IF(預測IC!BC15&gt;預測IC!BC$26,1,0)</f>
        <v>1</v>
      </c>
      <c r="BD15" s="9">
        <f>IF(預測IC!BD15&gt;預測IC!BD$26,1,0)</f>
        <v>1</v>
      </c>
      <c r="BE15" s="9">
        <f>IF(預測IC!BE15&gt;預測IC!BE$26,1,0)</f>
        <v>1</v>
      </c>
      <c r="BF15" s="9">
        <f>IF(預測IC!BF15&gt;預測IC!BF$26,1,0)</f>
        <v>1</v>
      </c>
      <c r="BG15" s="9">
        <f>IF(預測IC!BG15&gt;預測IC!BG$26,1,0)</f>
        <v>1</v>
      </c>
      <c r="BH15" s="9">
        <f>IF(預測IC!BH15&gt;預測IC!BH$26,1,0)</f>
        <v>1</v>
      </c>
      <c r="BI15" s="9">
        <f>IF(預測IC!BI15&gt;預測IC!BI$26,1,0)</f>
        <v>1</v>
      </c>
      <c r="BJ15" s="9">
        <f>IF(預測IC!BJ15&gt;預測IC!BJ$26,1,0)</f>
        <v>1</v>
      </c>
      <c r="BK15" s="9">
        <f>IF(預測IC!BK15&gt;預測IC!BK$26,1,0)</f>
        <v>0</v>
      </c>
      <c r="BL15" s="9">
        <f>IF(預測IC!BL15&gt;預測IC!BL$26,1,0)</f>
        <v>1</v>
      </c>
      <c r="BM15" s="9">
        <f>IF(預測IC!BM15&gt;預測IC!BM$26,1,0)</f>
        <v>0</v>
      </c>
      <c r="BN15" s="9">
        <f>IF(預測IC!BN15&gt;預測IC!BN$26,1,0)</f>
        <v>1</v>
      </c>
      <c r="BO15" s="9">
        <f>IF(預測IC!BO15&gt;預測IC!BO$26,1,0)</f>
        <v>1</v>
      </c>
      <c r="BP15" s="9">
        <f>IF(預測IC!BP15&gt;預測IC!BP$26,1,0)</f>
        <v>0</v>
      </c>
      <c r="BQ15" s="9">
        <f>IF(預測IC!BQ15&gt;預測IC!BQ$26,1,0)</f>
        <v>1</v>
      </c>
      <c r="BR15" s="9">
        <f>IF(預測IC!BR15&gt;預測IC!BR$26,1,0)</f>
        <v>0</v>
      </c>
      <c r="BS15" s="9">
        <f>IF(預測IC!BS15&gt;預測IC!BS$26,1,0)</f>
        <v>0</v>
      </c>
      <c r="BT15" s="9">
        <f>IF(預測IC!BT15&gt;預測IC!BT$26,1,0)</f>
        <v>1</v>
      </c>
      <c r="BU15" s="9">
        <f>IF(預測IC!BU15&gt;預測IC!BU$26,1,0)</f>
        <v>1</v>
      </c>
      <c r="BV15" s="9">
        <f>IF(預測IC!BV15&gt;預測IC!BV$26,1,0)</f>
        <v>1</v>
      </c>
      <c r="BW15" s="9">
        <f>IF(預測IC!BW15&gt;預測IC!BW$26,1,0)</f>
        <v>1</v>
      </c>
      <c r="BX15" s="9">
        <f>IF(預測IC!BX15&gt;預測IC!BX$26,1,0)</f>
        <v>1</v>
      </c>
      <c r="BY15" s="9">
        <f>IF(預測IC!BY15&gt;預測IC!BY$26,1,0)</f>
        <v>1</v>
      </c>
      <c r="BZ15" s="9">
        <f>IF(預測IC!BZ15&gt;預測IC!BZ$26,1,0)</f>
        <v>0</v>
      </c>
      <c r="CA15" s="9">
        <f>IF(預測IC!CA15&gt;預測IC!CA$26,1,0)</f>
        <v>0</v>
      </c>
      <c r="CB15" s="9">
        <f>IF(預測IC!CB15&gt;預測IC!CB$26,1,0)</f>
        <v>0</v>
      </c>
      <c r="CC15" s="9">
        <f>IF(預測IC!CC15&gt;預測IC!CC$26,1,0)</f>
        <v>1</v>
      </c>
      <c r="CD15" s="9">
        <f>IF(預測IC!CD15&gt;預測IC!CD$26,1,0)</f>
        <v>1</v>
      </c>
      <c r="CE15" s="9">
        <f>IF(預測IC!CE15&gt;預測IC!CE$26,1,0)</f>
        <v>1</v>
      </c>
      <c r="CF15" s="9">
        <f>IF(預測IC!CF15&gt;預測IC!CF$26,1,0)</f>
        <v>0</v>
      </c>
      <c r="CG15" s="9">
        <f>IF(預測IC!CG15&gt;預測IC!CG$26,1,0)</f>
        <v>1</v>
      </c>
      <c r="CH15" s="9">
        <f>IF(預測IC!CH15&gt;預測IC!CH$26,1,0)</f>
        <v>0</v>
      </c>
      <c r="CI15" s="9">
        <f>IF(預測IC!CI15&gt;預測IC!CI$26,1,0)</f>
        <v>0</v>
      </c>
      <c r="CJ15" s="9">
        <f>IF(預測IC!CJ15&gt;預測IC!CJ$26,1,0)</f>
        <v>0</v>
      </c>
      <c r="CK15" s="9">
        <f>IF(預測IC!CK15&gt;預測IC!CK$26,1,0)</f>
        <v>1</v>
      </c>
      <c r="CL15" s="9">
        <f>IF(預測IC!CL15&gt;預測IC!CL$26,1,0)</f>
        <v>0</v>
      </c>
      <c r="CM15" s="9">
        <f>IF(預測IC!CM15&gt;預測IC!CM$26,1,0)</f>
        <v>1</v>
      </c>
      <c r="CN15" s="9">
        <f>IF(預測IC!CN15&gt;預測IC!CN$26,1,0)</f>
        <v>0</v>
      </c>
      <c r="CO15" s="9">
        <f>IF(預測IC!CO15&gt;預測IC!CO$26,1,0)</f>
        <v>0</v>
      </c>
      <c r="CP15" s="9">
        <f>IF(預測IC!CP15&gt;預測IC!CP$26,1,0)</f>
        <v>1</v>
      </c>
      <c r="CQ15" s="9">
        <f>IF(預測IC!CQ15&gt;預測IC!CQ$26,1,0)</f>
        <v>1</v>
      </c>
      <c r="CR15" s="9">
        <f>IF(預測IC!CR15&gt;預測IC!CR$26,1,0)</f>
        <v>1</v>
      </c>
      <c r="CS15" s="9">
        <f>IF(預測IC!CS15&gt;預測IC!CS$26,1,0)</f>
        <v>0</v>
      </c>
      <c r="CT15" s="9">
        <f>IF(預測IC!CT15&gt;預測IC!CT$26,1,0)</f>
        <v>0</v>
      </c>
      <c r="CU15" s="9">
        <f>IF(預測IC!CU15&gt;預測IC!CU$26,1,0)</f>
        <v>0</v>
      </c>
      <c r="CV15" s="9">
        <f>IF(預測IC!CV15&gt;預測IC!CV$26,1,0)</f>
        <v>0</v>
      </c>
      <c r="CW15" s="9">
        <f>IF(預測IC!CW15&gt;預測IC!CW$26,1,0)</f>
        <v>0</v>
      </c>
      <c r="CX15" s="9">
        <f>IF(預測IC!CX15&gt;預測IC!CX$26,1,0)</f>
        <v>1</v>
      </c>
      <c r="CY15" s="9">
        <f>IF(預測IC!CY15&gt;預測IC!CY$26,1,0)</f>
        <v>0</v>
      </c>
      <c r="CZ15" s="9">
        <f>IF(預測IC!CZ15&gt;預測IC!CZ$26,1,0)</f>
        <v>1</v>
      </c>
      <c r="DA15" s="9">
        <f>IF(預測IC!DA15&gt;預測IC!DA$26,1,0)</f>
        <v>0</v>
      </c>
      <c r="DB15" s="9">
        <f>IF(預測IC!DB15&gt;預測IC!DB$26,1,0)</f>
        <v>1</v>
      </c>
      <c r="DC15" s="9">
        <f>IF(預測IC!DC15&gt;預測IC!DC$26,1,0)</f>
        <v>1</v>
      </c>
      <c r="DD15" s="9">
        <f>IF(預測IC!DD15&gt;預測IC!DD$26,1,0)</f>
        <v>0</v>
      </c>
      <c r="DE15" s="9">
        <f>IF(預測IC!DE15&gt;預測IC!DE$26,1,0)</f>
        <v>0</v>
      </c>
      <c r="DF15" s="9">
        <f>IF(預測IC!DF15&gt;預測IC!DF$26,1,0)</f>
        <v>1</v>
      </c>
      <c r="DG15" s="9">
        <f>IF(預測IC!DG15&gt;預測IC!DG$26,1,0)</f>
        <v>0</v>
      </c>
      <c r="DH15" s="9">
        <f>IF(預測IC!DH15&gt;預測IC!DH$26,1,0)</f>
        <v>0</v>
      </c>
      <c r="DI15" s="9">
        <f>IF(預測IC!DI15&gt;預測IC!DI$26,1,0)</f>
        <v>0</v>
      </c>
      <c r="DJ15" s="9">
        <f>IF(預測IC!DJ15&gt;預測IC!DJ$26,1,0)</f>
        <v>1</v>
      </c>
      <c r="DK15" s="9">
        <f>IF(預測IC!DK15&gt;預測IC!DK$26,1,0)</f>
        <v>1</v>
      </c>
      <c r="DL15" s="9">
        <f>IF(預測IC!DL15&gt;預測IC!DL$26,1,0)</f>
        <v>1</v>
      </c>
      <c r="DM15" s="9">
        <f>IF(預測IC!DM15&gt;預測IC!DM$26,1,0)</f>
        <v>0</v>
      </c>
      <c r="DN15" s="9">
        <f>IF(預測IC!DN15&gt;預測IC!DN$26,1,0)</f>
        <v>1</v>
      </c>
      <c r="DO15" s="9">
        <f>IF(預測IC!DO15&gt;預測IC!DO$26,1,0)</f>
        <v>1</v>
      </c>
      <c r="DP15" s="9">
        <f>IF(預測IC!DP15&gt;預測IC!DP$26,1,0)</f>
        <v>1</v>
      </c>
      <c r="DQ15" s="9">
        <f>IF(預測IC!DQ15&gt;預測IC!DQ$26,1,0)</f>
        <v>0</v>
      </c>
      <c r="DR15" s="9">
        <f>IF(預測IC!DR15&gt;預測IC!DR$26,1,0)</f>
        <v>1</v>
      </c>
      <c r="DS15" s="9">
        <f>IF(預測IC!DS15&gt;預測IC!DS$26,1,0)</f>
        <v>0</v>
      </c>
      <c r="DT15" s="9">
        <f>IF(預測IC!DT15&gt;預測IC!DT$26,1,0)</f>
        <v>0</v>
      </c>
      <c r="DU15" s="9">
        <f>IF(預測IC!DU15&gt;預測IC!DU$26,1,0)</f>
        <v>0</v>
      </c>
      <c r="DV15" s="9">
        <f>IF(預測IC!DV15&gt;預測IC!DV$26,1,0)</f>
        <v>1</v>
      </c>
      <c r="DW15" s="9">
        <f>IF(預測IC!DW15&gt;預測IC!DW$26,1,0)</f>
        <v>0</v>
      </c>
      <c r="DX15" s="9">
        <f>IF(預測IC!DX15&gt;預測IC!DX$26,1,0)</f>
        <v>0</v>
      </c>
      <c r="DY15" s="9">
        <f>IF(預測IC!DY15&gt;預測IC!DY$26,1,0)</f>
        <v>1</v>
      </c>
      <c r="DZ15" s="9">
        <f>IF(預測IC!DZ15&gt;預測IC!DZ$26,1,0)</f>
        <v>1</v>
      </c>
      <c r="EA15" s="9">
        <f>IF(預測IC!EA15&gt;預測IC!EA$26,1,0)</f>
        <v>1</v>
      </c>
      <c r="EB15" s="9">
        <f>IF(預測IC!EB15&gt;預測IC!EB$26,1,0)</f>
        <v>1</v>
      </c>
      <c r="EC15" s="9">
        <f>IF(預測IC!EC15&gt;預測IC!EC$26,1,0)</f>
        <v>1</v>
      </c>
      <c r="ED15" s="9">
        <f>IF(預測IC!ED15&gt;預測IC!ED$26,1,0)</f>
        <v>0</v>
      </c>
      <c r="EE15" s="9">
        <f>IF(預測IC!EE15&gt;預測IC!EE$26,1,0)</f>
        <v>0</v>
      </c>
      <c r="EF15" s="9">
        <f>IF(預測IC!EF15&gt;預測IC!EF$26,1,0)</f>
        <v>1</v>
      </c>
      <c r="EG15" s="2">
        <f t="shared" si="10"/>
        <v>82</v>
      </c>
      <c r="EH15" s="16">
        <f t="shared" si="11"/>
        <v>0.61194029850746268</v>
      </c>
    </row>
    <row r="16" spans="1:138">
      <c r="A16" s="4">
        <v>107</v>
      </c>
      <c r="B16" s="4">
        <v>9</v>
      </c>
      <c r="C16" s="9">
        <f>IF(預測IC!C16&gt;預測IC!C$26,1,0)</f>
        <v>1</v>
      </c>
      <c r="D16" s="9">
        <f>IF(預測IC!D16&gt;預測IC!D$26,1,0)</f>
        <v>1</v>
      </c>
      <c r="E16" s="9">
        <f>IF(預測IC!E16&gt;預測IC!E$26,1,0)</f>
        <v>1</v>
      </c>
      <c r="F16" s="9">
        <f>IF(預測IC!F16&gt;預測IC!F$26,1,0)</f>
        <v>1</v>
      </c>
      <c r="G16" s="9">
        <f>IF(預測IC!G16&gt;預測IC!G$26,1,0)</f>
        <v>1</v>
      </c>
      <c r="H16" s="9">
        <f>IF(預測IC!H16&gt;預測IC!H$26,1,0)</f>
        <v>1</v>
      </c>
      <c r="I16" s="9">
        <f>IF(預測IC!I16&gt;預測IC!I$26,1,0)</f>
        <v>1</v>
      </c>
      <c r="J16" s="9">
        <f>IF(預測IC!J16&gt;預測IC!J$26,1,0)</f>
        <v>0</v>
      </c>
      <c r="K16" s="9">
        <f>IF(預測IC!K16&gt;預測IC!K$26,1,0)</f>
        <v>1</v>
      </c>
      <c r="L16" s="9">
        <f>IF(預測IC!L16&gt;預測IC!L$26,1,0)</f>
        <v>1</v>
      </c>
      <c r="M16" s="9">
        <f>IF(預測IC!M16&gt;預測IC!M$26,1,0)</f>
        <v>1</v>
      </c>
      <c r="N16" s="9">
        <f>IF(預測IC!N16&gt;預測IC!N$26,1,0)</f>
        <v>1</v>
      </c>
      <c r="O16" s="9">
        <f>IF(預測IC!O16&gt;預測IC!O$26,1,0)</f>
        <v>1</v>
      </c>
      <c r="P16" s="9">
        <f>IF(預測IC!P16&gt;預測IC!P$26,1,0)</f>
        <v>1</v>
      </c>
      <c r="Q16" s="9">
        <f>IF(預測IC!Q16&gt;預測IC!Q$26,1,0)</f>
        <v>1</v>
      </c>
      <c r="R16" s="9">
        <f>IF(預測IC!R16&gt;預測IC!R$26,1,0)</f>
        <v>0</v>
      </c>
      <c r="S16" s="9">
        <f>IF(預測IC!S16&gt;預測IC!S$26,1,0)</f>
        <v>0</v>
      </c>
      <c r="T16" s="9">
        <f>IF(預測IC!T16&gt;預測IC!T$26,1,0)</f>
        <v>0</v>
      </c>
      <c r="U16" s="9">
        <f>IF(預測IC!U16&gt;預測IC!U$26,1,0)</f>
        <v>1</v>
      </c>
      <c r="V16" s="9">
        <f>IF(預測IC!V16&gt;預測IC!V$26,1,0)</f>
        <v>0</v>
      </c>
      <c r="W16" s="9">
        <f>IF(預測IC!W16&gt;預測IC!W$26,1,0)</f>
        <v>1</v>
      </c>
      <c r="X16" s="9">
        <f>IF(預測IC!X16&gt;預測IC!X$26,1,0)</f>
        <v>1</v>
      </c>
      <c r="Y16" s="9">
        <f>IF(預測IC!Y16&gt;預測IC!Y$26,1,0)</f>
        <v>1</v>
      </c>
      <c r="Z16" s="9">
        <f>IF(預測IC!Z16&gt;預測IC!Z$26,1,0)</f>
        <v>0</v>
      </c>
      <c r="AA16" s="9">
        <f>IF(預測IC!AA16&gt;預測IC!AA$26,1,0)</f>
        <v>1</v>
      </c>
      <c r="AB16" s="9">
        <f>IF(預測IC!AB16&gt;預測IC!AB$26,1,0)</f>
        <v>0</v>
      </c>
      <c r="AC16" s="9">
        <f>IF(預測IC!AC16&gt;預測IC!AC$26,1,0)</f>
        <v>0</v>
      </c>
      <c r="AD16" s="9">
        <f>IF(預測IC!AD16&gt;預測IC!AD$26,1,0)</f>
        <v>1</v>
      </c>
      <c r="AE16" s="9">
        <f>IF(預測IC!AE16&gt;預測IC!AE$26,1,0)</f>
        <v>1</v>
      </c>
      <c r="AF16" s="9">
        <f>IF(預測IC!AF16&gt;預測IC!AF$26,1,0)</f>
        <v>1</v>
      </c>
      <c r="AG16" s="9">
        <f>IF(預測IC!AG16&gt;預測IC!AG$26,1,0)</f>
        <v>0</v>
      </c>
      <c r="AH16" s="9">
        <f>IF(預測IC!AH16&gt;預測IC!AH$26,1,0)</f>
        <v>0</v>
      </c>
      <c r="AI16" s="9">
        <f>IF(預測IC!AI16&gt;預測IC!AI$26,1,0)</f>
        <v>1</v>
      </c>
      <c r="AJ16" s="9">
        <f>IF(預測IC!AJ16&gt;預測IC!AJ$26,1,0)</f>
        <v>0</v>
      </c>
      <c r="AK16" s="9">
        <f>IF(預測IC!AK16&gt;預測IC!AK$26,1,0)</f>
        <v>1</v>
      </c>
      <c r="AL16" s="9">
        <f>IF(預測IC!AL16&gt;預測IC!AL$26,1,0)</f>
        <v>1</v>
      </c>
      <c r="AM16" s="9">
        <f>IF(預測IC!AM16&gt;預測IC!AM$26,1,0)</f>
        <v>1</v>
      </c>
      <c r="AN16" s="9">
        <f>IF(預測IC!AN16&gt;預測IC!AN$26,1,0)</f>
        <v>1</v>
      </c>
      <c r="AO16" s="9">
        <f>IF(預測IC!AO16&gt;預測IC!AO$26,1,0)</f>
        <v>1</v>
      </c>
      <c r="AP16" s="9">
        <f>IF(預測IC!AP16&gt;預測IC!AP$26,1,0)</f>
        <v>0</v>
      </c>
      <c r="AQ16" s="9">
        <f>IF(預測IC!AQ16&gt;預測IC!AQ$26,1,0)</f>
        <v>0</v>
      </c>
      <c r="AR16" s="9">
        <f>IF(預測IC!AR16&gt;預測IC!AR$26,1,0)</f>
        <v>1</v>
      </c>
      <c r="AS16" s="9">
        <f>IF(預測IC!AS16&gt;預測IC!AS$26,1,0)</f>
        <v>1</v>
      </c>
      <c r="AT16" s="9">
        <f>IF(預測IC!AT16&gt;預測IC!AT$26,1,0)</f>
        <v>1</v>
      </c>
      <c r="AU16" s="9">
        <f>IF(預測IC!AU16&gt;預測IC!AU$26,1,0)</f>
        <v>1</v>
      </c>
      <c r="AV16" s="9">
        <f>IF(預測IC!AV16&gt;預測IC!AV$26,1,0)</f>
        <v>0</v>
      </c>
      <c r="AW16" s="9">
        <f>IF(預測IC!AW16&gt;預測IC!AW$26,1,0)</f>
        <v>1</v>
      </c>
      <c r="AX16" s="9">
        <f>IF(預測IC!AX16&gt;預測IC!AX$26,1,0)</f>
        <v>1</v>
      </c>
      <c r="AY16" s="9">
        <f>IF(預測IC!AY16&gt;預測IC!AY$26,1,0)</f>
        <v>0</v>
      </c>
      <c r="AZ16" s="9">
        <f>IF(預測IC!AZ16&gt;預測IC!AZ$26,1,0)</f>
        <v>0</v>
      </c>
      <c r="BA16" s="9">
        <f>IF(預測IC!BA16&gt;預測IC!BA$26,1,0)</f>
        <v>1</v>
      </c>
      <c r="BB16" s="9">
        <f>IF(預測IC!BB16&gt;預測IC!BB$26,1,0)</f>
        <v>1</v>
      </c>
      <c r="BC16" s="9">
        <f>IF(預測IC!BC16&gt;預測IC!BC$26,1,0)</f>
        <v>1</v>
      </c>
      <c r="BD16" s="9">
        <f>IF(預測IC!BD16&gt;預測IC!BD$26,1,0)</f>
        <v>1</v>
      </c>
      <c r="BE16" s="9">
        <f>IF(預測IC!BE16&gt;預測IC!BE$26,1,0)</f>
        <v>1</v>
      </c>
      <c r="BF16" s="9">
        <f>IF(預測IC!BF16&gt;預測IC!BF$26,1,0)</f>
        <v>1</v>
      </c>
      <c r="BG16" s="9">
        <f>IF(預測IC!BG16&gt;預測IC!BG$26,1,0)</f>
        <v>1</v>
      </c>
      <c r="BH16" s="9">
        <f>IF(預測IC!BH16&gt;預測IC!BH$26,1,0)</f>
        <v>1</v>
      </c>
      <c r="BI16" s="9">
        <f>IF(預測IC!BI16&gt;預測IC!BI$26,1,0)</f>
        <v>1</v>
      </c>
      <c r="BJ16" s="9">
        <f>IF(預測IC!BJ16&gt;預測IC!BJ$26,1,0)</f>
        <v>0</v>
      </c>
      <c r="BK16" s="9">
        <f>IF(預測IC!BK16&gt;預測IC!BK$26,1,0)</f>
        <v>0</v>
      </c>
      <c r="BL16" s="9">
        <f>IF(預測IC!BL16&gt;預測IC!BL$26,1,0)</f>
        <v>1</v>
      </c>
      <c r="BM16" s="9">
        <f>IF(預測IC!BM16&gt;預測IC!BM$26,1,0)</f>
        <v>0</v>
      </c>
      <c r="BN16" s="9">
        <f>IF(預測IC!BN16&gt;預測IC!BN$26,1,0)</f>
        <v>1</v>
      </c>
      <c r="BO16" s="9">
        <f>IF(預測IC!BO16&gt;預測IC!BO$26,1,0)</f>
        <v>1</v>
      </c>
      <c r="BP16" s="9">
        <f>IF(預測IC!BP16&gt;預測IC!BP$26,1,0)</f>
        <v>0</v>
      </c>
      <c r="BQ16" s="9">
        <f>IF(預測IC!BQ16&gt;預測IC!BQ$26,1,0)</f>
        <v>1</v>
      </c>
      <c r="BR16" s="9">
        <f>IF(預測IC!BR16&gt;預測IC!BR$26,1,0)</f>
        <v>0</v>
      </c>
      <c r="BS16" s="9">
        <f>IF(預測IC!BS16&gt;預測IC!BS$26,1,0)</f>
        <v>0</v>
      </c>
      <c r="BT16" s="9">
        <f>IF(預測IC!BT16&gt;預測IC!BT$26,1,0)</f>
        <v>1</v>
      </c>
      <c r="BU16" s="9">
        <f>IF(預測IC!BU16&gt;預測IC!BU$26,1,0)</f>
        <v>1</v>
      </c>
      <c r="BV16" s="9">
        <f>IF(預測IC!BV16&gt;預測IC!BV$26,1,0)</f>
        <v>1</v>
      </c>
      <c r="BW16" s="9">
        <f>IF(預測IC!BW16&gt;預測IC!BW$26,1,0)</f>
        <v>0</v>
      </c>
      <c r="BX16" s="9">
        <f>IF(預測IC!BX16&gt;預測IC!BX$26,1,0)</f>
        <v>1</v>
      </c>
      <c r="BY16" s="9">
        <f>IF(預測IC!BY16&gt;預測IC!BY$26,1,0)</f>
        <v>1</v>
      </c>
      <c r="BZ16" s="9">
        <f>IF(預測IC!BZ16&gt;預測IC!BZ$26,1,0)</f>
        <v>0</v>
      </c>
      <c r="CA16" s="9">
        <f>IF(預測IC!CA16&gt;預測IC!CA$26,1,0)</f>
        <v>0</v>
      </c>
      <c r="CB16" s="9">
        <f>IF(預測IC!CB16&gt;預測IC!CB$26,1,0)</f>
        <v>0</v>
      </c>
      <c r="CC16" s="9">
        <f>IF(預測IC!CC16&gt;預測IC!CC$26,1,0)</f>
        <v>0</v>
      </c>
      <c r="CD16" s="9">
        <f>IF(預測IC!CD16&gt;預測IC!CD$26,1,0)</f>
        <v>1</v>
      </c>
      <c r="CE16" s="9">
        <f>IF(預測IC!CE16&gt;預測IC!CE$26,1,0)</f>
        <v>1</v>
      </c>
      <c r="CF16" s="9">
        <f>IF(預測IC!CF16&gt;預測IC!CF$26,1,0)</f>
        <v>0</v>
      </c>
      <c r="CG16" s="9">
        <f>IF(預測IC!CG16&gt;預測IC!CG$26,1,0)</f>
        <v>1</v>
      </c>
      <c r="CH16" s="9">
        <f>IF(預測IC!CH16&gt;預測IC!CH$26,1,0)</f>
        <v>0</v>
      </c>
      <c r="CI16" s="9">
        <f>IF(預測IC!CI16&gt;預測IC!CI$26,1,0)</f>
        <v>0</v>
      </c>
      <c r="CJ16" s="9">
        <f>IF(預測IC!CJ16&gt;預測IC!CJ$26,1,0)</f>
        <v>0</v>
      </c>
      <c r="CK16" s="9">
        <f>IF(預測IC!CK16&gt;預測IC!CK$26,1,0)</f>
        <v>1</v>
      </c>
      <c r="CL16" s="9">
        <f>IF(預測IC!CL16&gt;預測IC!CL$26,1,0)</f>
        <v>0</v>
      </c>
      <c r="CM16" s="9">
        <f>IF(預測IC!CM16&gt;預測IC!CM$26,1,0)</f>
        <v>1</v>
      </c>
      <c r="CN16" s="9">
        <f>IF(預測IC!CN16&gt;預測IC!CN$26,1,0)</f>
        <v>0</v>
      </c>
      <c r="CO16" s="9">
        <f>IF(預測IC!CO16&gt;預測IC!CO$26,1,0)</f>
        <v>0</v>
      </c>
      <c r="CP16" s="9">
        <f>IF(預測IC!CP16&gt;預測IC!CP$26,1,0)</f>
        <v>1</v>
      </c>
      <c r="CQ16" s="9">
        <f>IF(預測IC!CQ16&gt;預測IC!CQ$26,1,0)</f>
        <v>1</v>
      </c>
      <c r="CR16" s="9">
        <f>IF(預測IC!CR16&gt;預測IC!CR$26,1,0)</f>
        <v>1</v>
      </c>
      <c r="CS16" s="9">
        <f>IF(預測IC!CS16&gt;預測IC!CS$26,1,0)</f>
        <v>0</v>
      </c>
      <c r="CT16" s="9">
        <f>IF(預測IC!CT16&gt;預測IC!CT$26,1,0)</f>
        <v>0</v>
      </c>
      <c r="CU16" s="9">
        <f>IF(預測IC!CU16&gt;預測IC!CU$26,1,0)</f>
        <v>0</v>
      </c>
      <c r="CV16" s="9">
        <f>IF(預測IC!CV16&gt;預測IC!CV$26,1,0)</f>
        <v>0</v>
      </c>
      <c r="CW16" s="9">
        <f>IF(預測IC!CW16&gt;預測IC!CW$26,1,0)</f>
        <v>0</v>
      </c>
      <c r="CX16" s="9">
        <f>IF(預測IC!CX16&gt;預測IC!CX$26,1,0)</f>
        <v>1</v>
      </c>
      <c r="CY16" s="9">
        <f>IF(預測IC!CY16&gt;預測IC!CY$26,1,0)</f>
        <v>0</v>
      </c>
      <c r="CZ16" s="9">
        <f>IF(預測IC!CZ16&gt;預測IC!CZ$26,1,0)</f>
        <v>1</v>
      </c>
      <c r="DA16" s="9">
        <f>IF(預測IC!DA16&gt;預測IC!DA$26,1,0)</f>
        <v>0</v>
      </c>
      <c r="DB16" s="9">
        <f>IF(預測IC!DB16&gt;預測IC!DB$26,1,0)</f>
        <v>1</v>
      </c>
      <c r="DC16" s="9">
        <f>IF(預測IC!DC16&gt;預測IC!DC$26,1,0)</f>
        <v>1</v>
      </c>
      <c r="DD16" s="9">
        <f>IF(預測IC!DD16&gt;預測IC!DD$26,1,0)</f>
        <v>0</v>
      </c>
      <c r="DE16" s="9">
        <f>IF(預測IC!DE16&gt;預測IC!DE$26,1,0)</f>
        <v>0</v>
      </c>
      <c r="DF16" s="9">
        <f>IF(預測IC!DF16&gt;預測IC!DF$26,1,0)</f>
        <v>1</v>
      </c>
      <c r="DG16" s="9">
        <f>IF(預測IC!DG16&gt;預測IC!DG$26,1,0)</f>
        <v>0</v>
      </c>
      <c r="DH16" s="9">
        <f>IF(預測IC!DH16&gt;預測IC!DH$26,1,0)</f>
        <v>0</v>
      </c>
      <c r="DI16" s="9">
        <f>IF(預測IC!DI16&gt;預測IC!DI$26,1,0)</f>
        <v>0</v>
      </c>
      <c r="DJ16" s="9">
        <f>IF(預測IC!DJ16&gt;預測IC!DJ$26,1,0)</f>
        <v>1</v>
      </c>
      <c r="DK16" s="9">
        <f>IF(預測IC!DK16&gt;預測IC!DK$26,1,0)</f>
        <v>1</v>
      </c>
      <c r="DL16" s="9">
        <f>IF(預測IC!DL16&gt;預測IC!DL$26,1,0)</f>
        <v>1</v>
      </c>
      <c r="DM16" s="9">
        <f>IF(預測IC!DM16&gt;預測IC!DM$26,1,0)</f>
        <v>0</v>
      </c>
      <c r="DN16" s="9">
        <f>IF(預測IC!DN16&gt;預測IC!DN$26,1,0)</f>
        <v>1</v>
      </c>
      <c r="DO16" s="9">
        <f>IF(預測IC!DO16&gt;預測IC!DO$26,1,0)</f>
        <v>1</v>
      </c>
      <c r="DP16" s="9">
        <f>IF(預測IC!DP16&gt;預測IC!DP$26,1,0)</f>
        <v>1</v>
      </c>
      <c r="DQ16" s="9">
        <f>IF(預測IC!DQ16&gt;預測IC!DQ$26,1,0)</f>
        <v>0</v>
      </c>
      <c r="DR16" s="9">
        <f>IF(預測IC!DR16&gt;預測IC!DR$26,1,0)</f>
        <v>1</v>
      </c>
      <c r="DS16" s="9">
        <f>IF(預測IC!DS16&gt;預測IC!DS$26,1,0)</f>
        <v>0</v>
      </c>
      <c r="DT16" s="9">
        <f>IF(預測IC!DT16&gt;預測IC!DT$26,1,0)</f>
        <v>0</v>
      </c>
      <c r="DU16" s="9">
        <f>IF(預測IC!DU16&gt;預測IC!DU$26,1,0)</f>
        <v>0</v>
      </c>
      <c r="DV16" s="9">
        <f>IF(預測IC!DV16&gt;預測IC!DV$26,1,0)</f>
        <v>1</v>
      </c>
      <c r="DW16" s="9">
        <f>IF(預測IC!DW16&gt;預測IC!DW$26,1,0)</f>
        <v>1</v>
      </c>
      <c r="DX16" s="9">
        <f>IF(預測IC!DX16&gt;預測IC!DX$26,1,0)</f>
        <v>0</v>
      </c>
      <c r="DY16" s="9">
        <f>IF(預測IC!DY16&gt;預測IC!DY$26,1,0)</f>
        <v>1</v>
      </c>
      <c r="DZ16" s="9">
        <f>IF(預測IC!DZ16&gt;預測IC!DZ$26,1,0)</f>
        <v>1</v>
      </c>
      <c r="EA16" s="9">
        <f>IF(預測IC!EA16&gt;預測IC!EA$26,1,0)</f>
        <v>1</v>
      </c>
      <c r="EB16" s="9">
        <f>IF(預測IC!EB16&gt;預測IC!EB$26,1,0)</f>
        <v>1</v>
      </c>
      <c r="EC16" s="9">
        <f>IF(預測IC!EC16&gt;預測IC!EC$26,1,0)</f>
        <v>0</v>
      </c>
      <c r="ED16" s="9">
        <f>IF(預測IC!ED16&gt;預測IC!ED$26,1,0)</f>
        <v>0</v>
      </c>
      <c r="EE16" s="9">
        <f>IF(預測IC!EE16&gt;預測IC!EE$26,1,0)</f>
        <v>0</v>
      </c>
      <c r="EF16" s="9">
        <f>IF(預測IC!EF16&gt;預測IC!EF$26,1,0)</f>
        <v>1</v>
      </c>
      <c r="EG16" s="2">
        <f t="shared" si="10"/>
        <v>79</v>
      </c>
      <c r="EH16" s="16">
        <f t="shared" si="11"/>
        <v>0.58955223880597019</v>
      </c>
    </row>
    <row r="17" spans="1:138">
      <c r="A17" s="4">
        <v>120</v>
      </c>
      <c r="B17" s="4">
        <v>8</v>
      </c>
      <c r="C17" s="9">
        <f>IF(預測IC!C17&gt;預測IC!C$26,1,0)</f>
        <v>1</v>
      </c>
      <c r="D17" s="9">
        <f>IF(預測IC!D17&gt;預測IC!D$26,1,0)</f>
        <v>1</v>
      </c>
      <c r="E17" s="9">
        <f>IF(預測IC!E17&gt;預測IC!E$26,1,0)</f>
        <v>1</v>
      </c>
      <c r="F17" s="9">
        <f>IF(預測IC!F17&gt;預測IC!F$26,1,0)</f>
        <v>1</v>
      </c>
      <c r="G17" s="9">
        <f>IF(預測IC!G17&gt;預測IC!G$26,1,0)</f>
        <v>1</v>
      </c>
      <c r="H17" s="9">
        <f>IF(預測IC!H17&gt;預測IC!H$26,1,0)</f>
        <v>1</v>
      </c>
      <c r="I17" s="9">
        <f>IF(預測IC!I17&gt;預測IC!I$26,1,0)</f>
        <v>1</v>
      </c>
      <c r="J17" s="9">
        <f>IF(預測IC!J17&gt;預測IC!J$26,1,0)</f>
        <v>0</v>
      </c>
      <c r="K17" s="9">
        <f>IF(預測IC!K17&gt;預測IC!K$26,1,0)</f>
        <v>1</v>
      </c>
      <c r="L17" s="9">
        <f>IF(預測IC!L17&gt;預測IC!L$26,1,0)</f>
        <v>1</v>
      </c>
      <c r="M17" s="9">
        <f>IF(預測IC!M17&gt;預測IC!M$26,1,0)</f>
        <v>1</v>
      </c>
      <c r="N17" s="9">
        <f>IF(預測IC!N17&gt;預測IC!N$26,1,0)</f>
        <v>1</v>
      </c>
      <c r="O17" s="9">
        <f>IF(預測IC!O17&gt;預測IC!O$26,1,0)</f>
        <v>1</v>
      </c>
      <c r="P17" s="9">
        <f>IF(預測IC!P17&gt;預測IC!P$26,1,0)</f>
        <v>1</v>
      </c>
      <c r="Q17" s="9">
        <f>IF(預測IC!Q17&gt;預測IC!Q$26,1,0)</f>
        <v>1</v>
      </c>
      <c r="R17" s="9">
        <f>IF(預測IC!R17&gt;預測IC!R$26,1,0)</f>
        <v>0</v>
      </c>
      <c r="S17" s="9">
        <f>IF(預測IC!S17&gt;預測IC!S$26,1,0)</f>
        <v>0</v>
      </c>
      <c r="T17" s="9">
        <f>IF(預測IC!T17&gt;預測IC!T$26,1,0)</f>
        <v>0</v>
      </c>
      <c r="U17" s="9">
        <f>IF(預測IC!U17&gt;預測IC!U$26,1,0)</f>
        <v>1</v>
      </c>
      <c r="V17" s="9">
        <f>IF(預測IC!V17&gt;預測IC!V$26,1,0)</f>
        <v>0</v>
      </c>
      <c r="W17" s="9">
        <f>IF(預測IC!W17&gt;預測IC!W$26,1,0)</f>
        <v>1</v>
      </c>
      <c r="X17" s="9">
        <f>IF(預測IC!X17&gt;預測IC!X$26,1,0)</f>
        <v>1</v>
      </c>
      <c r="Y17" s="9">
        <f>IF(預測IC!Y17&gt;預測IC!Y$26,1,0)</f>
        <v>1</v>
      </c>
      <c r="Z17" s="9">
        <f>IF(預測IC!Z17&gt;預測IC!Z$26,1,0)</f>
        <v>0</v>
      </c>
      <c r="AA17" s="9">
        <f>IF(預測IC!AA17&gt;預測IC!AA$26,1,0)</f>
        <v>1</v>
      </c>
      <c r="AB17" s="9">
        <f>IF(預測IC!AB17&gt;預測IC!AB$26,1,0)</f>
        <v>0</v>
      </c>
      <c r="AC17" s="9">
        <f>IF(預測IC!AC17&gt;預測IC!AC$26,1,0)</f>
        <v>0</v>
      </c>
      <c r="AD17" s="9">
        <f>IF(預測IC!AD17&gt;預測IC!AD$26,1,0)</f>
        <v>1</v>
      </c>
      <c r="AE17" s="9">
        <f>IF(預測IC!AE17&gt;預測IC!AE$26,1,0)</f>
        <v>1</v>
      </c>
      <c r="AF17" s="9">
        <f>IF(預測IC!AF17&gt;預測IC!AF$26,1,0)</f>
        <v>1</v>
      </c>
      <c r="AG17" s="9">
        <f>IF(預測IC!AG17&gt;預測IC!AG$26,1,0)</f>
        <v>0</v>
      </c>
      <c r="AH17" s="9">
        <f>IF(預測IC!AH17&gt;預測IC!AH$26,1,0)</f>
        <v>0</v>
      </c>
      <c r="AI17" s="9">
        <f>IF(預測IC!AI17&gt;預測IC!AI$26,1,0)</f>
        <v>1</v>
      </c>
      <c r="AJ17" s="9">
        <f>IF(預測IC!AJ17&gt;預測IC!AJ$26,1,0)</f>
        <v>0</v>
      </c>
      <c r="AK17" s="9">
        <f>IF(預測IC!AK17&gt;預測IC!AK$26,1,0)</f>
        <v>1</v>
      </c>
      <c r="AL17" s="9">
        <f>IF(預測IC!AL17&gt;預測IC!AL$26,1,0)</f>
        <v>1</v>
      </c>
      <c r="AM17" s="9">
        <f>IF(預測IC!AM17&gt;預測IC!AM$26,1,0)</f>
        <v>1</v>
      </c>
      <c r="AN17" s="9">
        <f>IF(預測IC!AN17&gt;預測IC!AN$26,1,0)</f>
        <v>1</v>
      </c>
      <c r="AO17" s="9">
        <f>IF(預測IC!AO17&gt;預測IC!AO$26,1,0)</f>
        <v>1</v>
      </c>
      <c r="AP17" s="9">
        <f>IF(預測IC!AP17&gt;預測IC!AP$26,1,0)</f>
        <v>0</v>
      </c>
      <c r="AQ17" s="9">
        <f>IF(預測IC!AQ17&gt;預測IC!AQ$26,1,0)</f>
        <v>0</v>
      </c>
      <c r="AR17" s="9">
        <f>IF(預測IC!AR17&gt;預測IC!AR$26,1,0)</f>
        <v>1</v>
      </c>
      <c r="AS17" s="9">
        <f>IF(預測IC!AS17&gt;預測IC!AS$26,1,0)</f>
        <v>1</v>
      </c>
      <c r="AT17" s="9">
        <f>IF(預測IC!AT17&gt;預測IC!AT$26,1,0)</f>
        <v>1</v>
      </c>
      <c r="AU17" s="9">
        <f>IF(預測IC!AU17&gt;預測IC!AU$26,1,0)</f>
        <v>1</v>
      </c>
      <c r="AV17" s="9">
        <f>IF(預測IC!AV17&gt;預測IC!AV$26,1,0)</f>
        <v>0</v>
      </c>
      <c r="AW17" s="9">
        <f>IF(預測IC!AW17&gt;預測IC!AW$26,1,0)</f>
        <v>1</v>
      </c>
      <c r="AX17" s="9">
        <f>IF(預測IC!AX17&gt;預測IC!AX$26,1,0)</f>
        <v>1</v>
      </c>
      <c r="AY17" s="9">
        <f>IF(預測IC!AY17&gt;預測IC!AY$26,1,0)</f>
        <v>0</v>
      </c>
      <c r="AZ17" s="9">
        <f>IF(預測IC!AZ17&gt;預測IC!AZ$26,1,0)</f>
        <v>0</v>
      </c>
      <c r="BA17" s="9">
        <f>IF(預測IC!BA17&gt;預測IC!BA$26,1,0)</f>
        <v>1</v>
      </c>
      <c r="BB17" s="9">
        <f>IF(預測IC!BB17&gt;預測IC!BB$26,1,0)</f>
        <v>1</v>
      </c>
      <c r="BC17" s="9">
        <f>IF(預測IC!BC17&gt;預測IC!BC$26,1,0)</f>
        <v>1</v>
      </c>
      <c r="BD17" s="9">
        <f>IF(預測IC!BD17&gt;預測IC!BD$26,1,0)</f>
        <v>1</v>
      </c>
      <c r="BE17" s="9">
        <f>IF(預測IC!BE17&gt;預測IC!BE$26,1,0)</f>
        <v>1</v>
      </c>
      <c r="BF17" s="9">
        <f>IF(預測IC!BF17&gt;預測IC!BF$26,1,0)</f>
        <v>1</v>
      </c>
      <c r="BG17" s="9">
        <f>IF(預測IC!BG17&gt;預測IC!BG$26,1,0)</f>
        <v>0</v>
      </c>
      <c r="BH17" s="9">
        <f>IF(預測IC!BH17&gt;預測IC!BH$26,1,0)</f>
        <v>1</v>
      </c>
      <c r="BI17" s="9">
        <f>IF(預測IC!BI17&gt;預測IC!BI$26,1,0)</f>
        <v>1</v>
      </c>
      <c r="BJ17" s="9">
        <f>IF(預測IC!BJ17&gt;預測IC!BJ$26,1,0)</f>
        <v>1</v>
      </c>
      <c r="BK17" s="9">
        <f>IF(預測IC!BK17&gt;預測IC!BK$26,1,0)</f>
        <v>0</v>
      </c>
      <c r="BL17" s="9">
        <f>IF(預測IC!BL17&gt;預測IC!BL$26,1,0)</f>
        <v>1</v>
      </c>
      <c r="BM17" s="9">
        <f>IF(預測IC!BM17&gt;預測IC!BM$26,1,0)</f>
        <v>0</v>
      </c>
      <c r="BN17" s="9">
        <f>IF(預測IC!BN17&gt;預測IC!BN$26,1,0)</f>
        <v>1</v>
      </c>
      <c r="BO17" s="9">
        <f>IF(預測IC!BO17&gt;預測IC!BO$26,1,0)</f>
        <v>1</v>
      </c>
      <c r="BP17" s="9">
        <f>IF(預測IC!BP17&gt;預測IC!BP$26,1,0)</f>
        <v>1</v>
      </c>
      <c r="BQ17" s="9">
        <f>IF(預測IC!BQ17&gt;預測IC!BQ$26,1,0)</f>
        <v>1</v>
      </c>
      <c r="BR17" s="9">
        <f>IF(預測IC!BR17&gt;預測IC!BR$26,1,0)</f>
        <v>1</v>
      </c>
      <c r="BS17" s="9">
        <f>IF(預測IC!BS17&gt;預測IC!BS$26,1,0)</f>
        <v>0</v>
      </c>
      <c r="BT17" s="9">
        <f>IF(預測IC!BT17&gt;預測IC!BT$26,1,0)</f>
        <v>1</v>
      </c>
      <c r="BU17" s="9">
        <f>IF(預測IC!BU17&gt;預測IC!BU$26,1,0)</f>
        <v>1</v>
      </c>
      <c r="BV17" s="9">
        <f>IF(預測IC!BV17&gt;預測IC!BV$26,1,0)</f>
        <v>1</v>
      </c>
      <c r="BW17" s="9">
        <f>IF(預測IC!BW17&gt;預測IC!BW$26,1,0)</f>
        <v>0</v>
      </c>
      <c r="BX17" s="9">
        <f>IF(預測IC!BX17&gt;預測IC!BX$26,1,0)</f>
        <v>1</v>
      </c>
      <c r="BY17" s="9">
        <f>IF(預測IC!BY17&gt;預測IC!BY$26,1,0)</f>
        <v>1</v>
      </c>
      <c r="BZ17" s="9">
        <f>IF(預測IC!BZ17&gt;預測IC!BZ$26,1,0)</f>
        <v>0</v>
      </c>
      <c r="CA17" s="9">
        <f>IF(預測IC!CA17&gt;預測IC!CA$26,1,0)</f>
        <v>0</v>
      </c>
      <c r="CB17" s="9">
        <f>IF(預測IC!CB17&gt;預測IC!CB$26,1,0)</f>
        <v>0</v>
      </c>
      <c r="CC17" s="9">
        <f>IF(預測IC!CC17&gt;預測IC!CC$26,1,0)</f>
        <v>0</v>
      </c>
      <c r="CD17" s="9">
        <f>IF(預測IC!CD17&gt;預測IC!CD$26,1,0)</f>
        <v>1</v>
      </c>
      <c r="CE17" s="9">
        <f>IF(預測IC!CE17&gt;預測IC!CE$26,1,0)</f>
        <v>1</v>
      </c>
      <c r="CF17" s="9">
        <f>IF(預測IC!CF17&gt;預測IC!CF$26,1,0)</f>
        <v>0</v>
      </c>
      <c r="CG17" s="9">
        <f>IF(預測IC!CG17&gt;預測IC!CG$26,1,0)</f>
        <v>1</v>
      </c>
      <c r="CH17" s="9">
        <f>IF(預測IC!CH17&gt;預測IC!CH$26,1,0)</f>
        <v>0</v>
      </c>
      <c r="CI17" s="9">
        <f>IF(預測IC!CI17&gt;預測IC!CI$26,1,0)</f>
        <v>0</v>
      </c>
      <c r="CJ17" s="9">
        <f>IF(預測IC!CJ17&gt;預測IC!CJ$26,1,0)</f>
        <v>0</v>
      </c>
      <c r="CK17" s="9">
        <f>IF(預測IC!CK17&gt;預測IC!CK$26,1,0)</f>
        <v>1</v>
      </c>
      <c r="CL17" s="9">
        <f>IF(預測IC!CL17&gt;預測IC!CL$26,1,0)</f>
        <v>0</v>
      </c>
      <c r="CM17" s="9">
        <f>IF(預測IC!CM17&gt;預測IC!CM$26,1,0)</f>
        <v>1</v>
      </c>
      <c r="CN17" s="9">
        <f>IF(預測IC!CN17&gt;預測IC!CN$26,1,0)</f>
        <v>0</v>
      </c>
      <c r="CO17" s="9">
        <f>IF(預測IC!CO17&gt;預測IC!CO$26,1,0)</f>
        <v>0</v>
      </c>
      <c r="CP17" s="9">
        <f>IF(預測IC!CP17&gt;預測IC!CP$26,1,0)</f>
        <v>1</v>
      </c>
      <c r="CQ17" s="9">
        <f>IF(預測IC!CQ17&gt;預測IC!CQ$26,1,0)</f>
        <v>0</v>
      </c>
      <c r="CR17" s="9">
        <f>IF(預測IC!CR17&gt;預測IC!CR$26,1,0)</f>
        <v>1</v>
      </c>
      <c r="CS17" s="9">
        <f>IF(預測IC!CS17&gt;預測IC!CS$26,1,0)</f>
        <v>0</v>
      </c>
      <c r="CT17" s="9">
        <f>IF(預測IC!CT17&gt;預測IC!CT$26,1,0)</f>
        <v>1</v>
      </c>
      <c r="CU17" s="9">
        <f>IF(預測IC!CU17&gt;預測IC!CU$26,1,0)</f>
        <v>0</v>
      </c>
      <c r="CV17" s="9">
        <f>IF(預測IC!CV17&gt;預測IC!CV$26,1,0)</f>
        <v>1</v>
      </c>
      <c r="CW17" s="9">
        <f>IF(預測IC!CW17&gt;預測IC!CW$26,1,0)</f>
        <v>0</v>
      </c>
      <c r="CX17" s="9">
        <f>IF(預測IC!CX17&gt;預測IC!CX$26,1,0)</f>
        <v>1</v>
      </c>
      <c r="CY17" s="9">
        <f>IF(預測IC!CY17&gt;預測IC!CY$26,1,0)</f>
        <v>0</v>
      </c>
      <c r="CZ17" s="9">
        <f>IF(預測IC!CZ17&gt;預測IC!CZ$26,1,0)</f>
        <v>1</v>
      </c>
      <c r="DA17" s="9">
        <f>IF(預測IC!DA17&gt;預測IC!DA$26,1,0)</f>
        <v>0</v>
      </c>
      <c r="DB17" s="9">
        <f>IF(預測IC!DB17&gt;預測IC!DB$26,1,0)</f>
        <v>1</v>
      </c>
      <c r="DC17" s="9">
        <f>IF(預測IC!DC17&gt;預測IC!DC$26,1,0)</f>
        <v>1</v>
      </c>
      <c r="DD17" s="9">
        <f>IF(預測IC!DD17&gt;預測IC!DD$26,1,0)</f>
        <v>0</v>
      </c>
      <c r="DE17" s="9">
        <f>IF(預測IC!DE17&gt;預測IC!DE$26,1,0)</f>
        <v>0</v>
      </c>
      <c r="DF17" s="9">
        <f>IF(預測IC!DF17&gt;預測IC!DF$26,1,0)</f>
        <v>1</v>
      </c>
      <c r="DG17" s="9">
        <f>IF(預測IC!DG17&gt;預測IC!DG$26,1,0)</f>
        <v>0</v>
      </c>
      <c r="DH17" s="9">
        <f>IF(預測IC!DH17&gt;預測IC!DH$26,1,0)</f>
        <v>0</v>
      </c>
      <c r="DI17" s="9">
        <f>IF(預測IC!DI17&gt;預測IC!DI$26,1,0)</f>
        <v>0</v>
      </c>
      <c r="DJ17" s="9">
        <f>IF(預測IC!DJ17&gt;預測IC!DJ$26,1,0)</f>
        <v>1</v>
      </c>
      <c r="DK17" s="9">
        <f>IF(預測IC!DK17&gt;預測IC!DK$26,1,0)</f>
        <v>1</v>
      </c>
      <c r="DL17" s="9">
        <f>IF(預測IC!DL17&gt;預測IC!DL$26,1,0)</f>
        <v>1</v>
      </c>
      <c r="DM17" s="9">
        <f>IF(預測IC!DM17&gt;預測IC!DM$26,1,0)</f>
        <v>0</v>
      </c>
      <c r="DN17" s="9">
        <f>IF(預測IC!DN17&gt;預測IC!DN$26,1,0)</f>
        <v>1</v>
      </c>
      <c r="DO17" s="9">
        <f>IF(預測IC!DO17&gt;預測IC!DO$26,1,0)</f>
        <v>1</v>
      </c>
      <c r="DP17" s="9">
        <f>IF(預測IC!DP17&gt;預測IC!DP$26,1,0)</f>
        <v>1</v>
      </c>
      <c r="DQ17" s="9">
        <f>IF(預測IC!DQ17&gt;預測IC!DQ$26,1,0)</f>
        <v>0</v>
      </c>
      <c r="DR17" s="9">
        <f>IF(預測IC!DR17&gt;預測IC!DR$26,1,0)</f>
        <v>1</v>
      </c>
      <c r="DS17" s="9">
        <f>IF(預測IC!DS17&gt;預測IC!DS$26,1,0)</f>
        <v>0</v>
      </c>
      <c r="DT17" s="9">
        <f>IF(預測IC!DT17&gt;預測IC!DT$26,1,0)</f>
        <v>0</v>
      </c>
      <c r="DU17" s="9">
        <f>IF(預測IC!DU17&gt;預測IC!DU$26,1,0)</f>
        <v>0</v>
      </c>
      <c r="DV17" s="9">
        <f>IF(預測IC!DV17&gt;預測IC!DV$26,1,0)</f>
        <v>1</v>
      </c>
      <c r="DW17" s="9">
        <f>IF(預測IC!DW17&gt;預測IC!DW$26,1,0)</f>
        <v>1</v>
      </c>
      <c r="DX17" s="9">
        <f>IF(預測IC!DX17&gt;預測IC!DX$26,1,0)</f>
        <v>0</v>
      </c>
      <c r="DY17" s="9">
        <f>IF(預測IC!DY17&gt;預測IC!DY$26,1,0)</f>
        <v>1</v>
      </c>
      <c r="DZ17" s="9">
        <f>IF(預測IC!DZ17&gt;預測IC!DZ$26,1,0)</f>
        <v>1</v>
      </c>
      <c r="EA17" s="9">
        <f>IF(預測IC!EA17&gt;預測IC!EA$26,1,0)</f>
        <v>1</v>
      </c>
      <c r="EB17" s="9">
        <f>IF(預測IC!EB17&gt;預測IC!EB$26,1,0)</f>
        <v>1</v>
      </c>
      <c r="EC17" s="9">
        <f>IF(預測IC!EC17&gt;預測IC!EC$26,1,0)</f>
        <v>1</v>
      </c>
      <c r="ED17" s="9">
        <f>IF(預測IC!ED17&gt;預測IC!ED$26,1,0)</f>
        <v>0</v>
      </c>
      <c r="EE17" s="9">
        <f>IF(預測IC!EE17&gt;預測IC!EE$26,1,0)</f>
        <v>0</v>
      </c>
      <c r="EF17" s="9">
        <f>IF(預測IC!EF17&gt;預測IC!EF$26,1,0)</f>
        <v>1</v>
      </c>
      <c r="EG17" s="2">
        <f t="shared" si="10"/>
        <v>83</v>
      </c>
      <c r="EH17" s="16">
        <f t="shared" si="11"/>
        <v>0.61940298507462688</v>
      </c>
    </row>
    <row r="18" spans="1:138">
      <c r="A18" s="4">
        <v>137</v>
      </c>
      <c r="B18" s="4">
        <v>7</v>
      </c>
      <c r="C18" s="9">
        <f>IF(預測IC!C18&gt;預測IC!C$26,1,0)</f>
        <v>1</v>
      </c>
      <c r="D18" s="9">
        <f>IF(預測IC!D18&gt;預測IC!D$26,1,0)</f>
        <v>1</v>
      </c>
      <c r="E18" s="9">
        <f>IF(預測IC!E18&gt;預測IC!E$26,1,0)</f>
        <v>1</v>
      </c>
      <c r="F18" s="9">
        <f>IF(預測IC!F18&gt;預測IC!F$26,1,0)</f>
        <v>1</v>
      </c>
      <c r="G18" s="9">
        <f>IF(預測IC!G18&gt;預測IC!G$26,1,0)</f>
        <v>1</v>
      </c>
      <c r="H18" s="9">
        <f>IF(預測IC!H18&gt;預測IC!H$26,1,0)</f>
        <v>1</v>
      </c>
      <c r="I18" s="9">
        <f>IF(預測IC!I18&gt;預測IC!I$26,1,0)</f>
        <v>1</v>
      </c>
      <c r="J18" s="9">
        <f>IF(預測IC!J18&gt;預測IC!J$26,1,0)</f>
        <v>0</v>
      </c>
      <c r="K18" s="9">
        <f>IF(預測IC!K18&gt;預測IC!K$26,1,0)</f>
        <v>1</v>
      </c>
      <c r="L18" s="9">
        <f>IF(預測IC!L18&gt;預測IC!L$26,1,0)</f>
        <v>1</v>
      </c>
      <c r="M18" s="9">
        <f>IF(預測IC!M18&gt;預測IC!M$26,1,0)</f>
        <v>1</v>
      </c>
      <c r="N18" s="9">
        <f>IF(預測IC!N18&gt;預測IC!N$26,1,0)</f>
        <v>1</v>
      </c>
      <c r="O18" s="9">
        <f>IF(預測IC!O18&gt;預測IC!O$26,1,0)</f>
        <v>1</v>
      </c>
      <c r="P18" s="9">
        <f>IF(預測IC!P18&gt;預測IC!P$26,1,0)</f>
        <v>1</v>
      </c>
      <c r="Q18" s="9">
        <f>IF(預測IC!Q18&gt;預測IC!Q$26,1,0)</f>
        <v>1</v>
      </c>
      <c r="R18" s="9">
        <f>IF(預測IC!R18&gt;預測IC!R$26,1,0)</f>
        <v>0</v>
      </c>
      <c r="S18" s="9">
        <f>IF(預測IC!S18&gt;預測IC!S$26,1,0)</f>
        <v>0</v>
      </c>
      <c r="T18" s="9">
        <f>IF(預測IC!T18&gt;預測IC!T$26,1,0)</f>
        <v>0</v>
      </c>
      <c r="U18" s="9">
        <f>IF(預測IC!U18&gt;預測IC!U$26,1,0)</f>
        <v>1</v>
      </c>
      <c r="V18" s="9">
        <f>IF(預測IC!V18&gt;預測IC!V$26,1,0)</f>
        <v>0</v>
      </c>
      <c r="W18" s="9">
        <f>IF(預測IC!W18&gt;預測IC!W$26,1,0)</f>
        <v>1</v>
      </c>
      <c r="X18" s="9">
        <f>IF(預測IC!X18&gt;預測IC!X$26,1,0)</f>
        <v>1</v>
      </c>
      <c r="Y18" s="9">
        <f>IF(預測IC!Y18&gt;預測IC!Y$26,1,0)</f>
        <v>1</v>
      </c>
      <c r="Z18" s="9">
        <f>IF(預測IC!Z18&gt;預測IC!Z$26,1,0)</f>
        <v>0</v>
      </c>
      <c r="AA18" s="9">
        <f>IF(預測IC!AA18&gt;預測IC!AA$26,1,0)</f>
        <v>1</v>
      </c>
      <c r="AB18" s="9">
        <f>IF(預測IC!AB18&gt;預測IC!AB$26,1,0)</f>
        <v>0</v>
      </c>
      <c r="AC18" s="9">
        <f>IF(預測IC!AC18&gt;預測IC!AC$26,1,0)</f>
        <v>0</v>
      </c>
      <c r="AD18" s="9">
        <f>IF(預測IC!AD18&gt;預測IC!AD$26,1,0)</f>
        <v>1</v>
      </c>
      <c r="AE18" s="9">
        <f>IF(預測IC!AE18&gt;預測IC!AE$26,1,0)</f>
        <v>1</v>
      </c>
      <c r="AF18" s="9">
        <f>IF(預測IC!AF18&gt;預測IC!AF$26,1,0)</f>
        <v>1</v>
      </c>
      <c r="AG18" s="9">
        <f>IF(預測IC!AG18&gt;預測IC!AG$26,1,0)</f>
        <v>0</v>
      </c>
      <c r="AH18" s="9">
        <f>IF(預測IC!AH18&gt;預測IC!AH$26,1,0)</f>
        <v>0</v>
      </c>
      <c r="AI18" s="9">
        <f>IF(預測IC!AI18&gt;預測IC!AI$26,1,0)</f>
        <v>1</v>
      </c>
      <c r="AJ18" s="9">
        <f>IF(預測IC!AJ18&gt;預測IC!AJ$26,1,0)</f>
        <v>0</v>
      </c>
      <c r="AK18" s="9">
        <f>IF(預測IC!AK18&gt;預測IC!AK$26,1,0)</f>
        <v>1</v>
      </c>
      <c r="AL18" s="9">
        <f>IF(預測IC!AL18&gt;預測IC!AL$26,1,0)</f>
        <v>1</v>
      </c>
      <c r="AM18" s="9">
        <f>IF(預測IC!AM18&gt;預測IC!AM$26,1,0)</f>
        <v>1</v>
      </c>
      <c r="AN18" s="9">
        <f>IF(預測IC!AN18&gt;預測IC!AN$26,1,0)</f>
        <v>1</v>
      </c>
      <c r="AO18" s="9">
        <f>IF(預測IC!AO18&gt;預測IC!AO$26,1,0)</f>
        <v>0</v>
      </c>
      <c r="AP18" s="9">
        <f>IF(預測IC!AP18&gt;預測IC!AP$26,1,0)</f>
        <v>0</v>
      </c>
      <c r="AQ18" s="9">
        <f>IF(預測IC!AQ18&gt;預測IC!AQ$26,1,0)</f>
        <v>0</v>
      </c>
      <c r="AR18" s="9">
        <f>IF(預測IC!AR18&gt;預測IC!AR$26,1,0)</f>
        <v>1</v>
      </c>
      <c r="AS18" s="9">
        <f>IF(預測IC!AS18&gt;預測IC!AS$26,1,0)</f>
        <v>1</v>
      </c>
      <c r="AT18" s="9">
        <f>IF(預測IC!AT18&gt;預測IC!AT$26,1,0)</f>
        <v>1</v>
      </c>
      <c r="AU18" s="9">
        <f>IF(預測IC!AU18&gt;預測IC!AU$26,1,0)</f>
        <v>1</v>
      </c>
      <c r="AV18" s="9">
        <f>IF(預測IC!AV18&gt;預測IC!AV$26,1,0)</f>
        <v>0</v>
      </c>
      <c r="AW18" s="9">
        <f>IF(預測IC!AW18&gt;預測IC!AW$26,1,0)</f>
        <v>1</v>
      </c>
      <c r="AX18" s="9">
        <f>IF(預測IC!AX18&gt;預測IC!AX$26,1,0)</f>
        <v>1</v>
      </c>
      <c r="AY18" s="9">
        <f>IF(預測IC!AY18&gt;預測IC!AY$26,1,0)</f>
        <v>0</v>
      </c>
      <c r="AZ18" s="9">
        <f>IF(預測IC!AZ18&gt;預測IC!AZ$26,1,0)</f>
        <v>0</v>
      </c>
      <c r="BA18" s="9">
        <f>IF(預測IC!BA18&gt;預測IC!BA$26,1,0)</f>
        <v>1</v>
      </c>
      <c r="BB18" s="9">
        <f>IF(預測IC!BB18&gt;預測IC!BB$26,1,0)</f>
        <v>1</v>
      </c>
      <c r="BC18" s="9">
        <f>IF(預測IC!BC18&gt;預測IC!BC$26,1,0)</f>
        <v>1</v>
      </c>
      <c r="BD18" s="9">
        <f>IF(預測IC!BD18&gt;預測IC!BD$26,1,0)</f>
        <v>0</v>
      </c>
      <c r="BE18" s="9">
        <f>IF(預測IC!BE18&gt;預測IC!BE$26,1,0)</f>
        <v>1</v>
      </c>
      <c r="BF18" s="9">
        <f>IF(預測IC!BF18&gt;預測IC!BF$26,1,0)</f>
        <v>1</v>
      </c>
      <c r="BG18" s="9">
        <f>IF(預測IC!BG18&gt;預測IC!BG$26,1,0)</f>
        <v>0</v>
      </c>
      <c r="BH18" s="9">
        <f>IF(預測IC!BH18&gt;預測IC!BH$26,1,0)</f>
        <v>1</v>
      </c>
      <c r="BI18" s="9">
        <f>IF(預測IC!BI18&gt;預測IC!BI$26,1,0)</f>
        <v>1</v>
      </c>
      <c r="BJ18" s="9">
        <f>IF(預測IC!BJ18&gt;預測IC!BJ$26,1,0)</f>
        <v>1</v>
      </c>
      <c r="BK18" s="9">
        <f>IF(預測IC!BK18&gt;預測IC!BK$26,1,0)</f>
        <v>0</v>
      </c>
      <c r="BL18" s="9">
        <f>IF(預測IC!BL18&gt;預測IC!BL$26,1,0)</f>
        <v>1</v>
      </c>
      <c r="BM18" s="9">
        <f>IF(預測IC!BM18&gt;預測IC!BM$26,1,0)</f>
        <v>0</v>
      </c>
      <c r="BN18" s="9">
        <f>IF(預測IC!BN18&gt;預測IC!BN$26,1,0)</f>
        <v>1</v>
      </c>
      <c r="BO18" s="9">
        <f>IF(預測IC!BO18&gt;預測IC!BO$26,1,0)</f>
        <v>1</v>
      </c>
      <c r="BP18" s="9">
        <f>IF(預測IC!BP18&gt;預測IC!BP$26,1,0)</f>
        <v>1</v>
      </c>
      <c r="BQ18" s="9">
        <f>IF(預測IC!BQ18&gt;預測IC!BQ$26,1,0)</f>
        <v>0</v>
      </c>
      <c r="BR18" s="9">
        <f>IF(預測IC!BR18&gt;預測IC!BR$26,1,0)</f>
        <v>1</v>
      </c>
      <c r="BS18" s="9">
        <f>IF(預測IC!BS18&gt;預測IC!BS$26,1,0)</f>
        <v>0</v>
      </c>
      <c r="BT18" s="9">
        <f>IF(預測IC!BT18&gt;預測IC!BT$26,1,0)</f>
        <v>1</v>
      </c>
      <c r="BU18" s="9">
        <f>IF(預測IC!BU18&gt;預測IC!BU$26,1,0)</f>
        <v>1</v>
      </c>
      <c r="BV18" s="9">
        <f>IF(預測IC!BV18&gt;預測IC!BV$26,1,0)</f>
        <v>1</v>
      </c>
      <c r="BW18" s="9">
        <f>IF(預測IC!BW18&gt;預測IC!BW$26,1,0)</f>
        <v>0</v>
      </c>
      <c r="BX18" s="9">
        <f>IF(預測IC!BX18&gt;預測IC!BX$26,1,0)</f>
        <v>1</v>
      </c>
      <c r="BY18" s="9">
        <f>IF(預測IC!BY18&gt;預測IC!BY$26,1,0)</f>
        <v>1</v>
      </c>
      <c r="BZ18" s="9">
        <f>IF(預測IC!BZ18&gt;預測IC!BZ$26,1,0)</f>
        <v>1</v>
      </c>
      <c r="CA18" s="9">
        <f>IF(預測IC!CA18&gt;預測IC!CA$26,1,0)</f>
        <v>0</v>
      </c>
      <c r="CB18" s="9">
        <f>IF(預測IC!CB18&gt;預測IC!CB$26,1,0)</f>
        <v>0</v>
      </c>
      <c r="CC18" s="9">
        <f>IF(預測IC!CC18&gt;預測IC!CC$26,1,0)</f>
        <v>1</v>
      </c>
      <c r="CD18" s="9">
        <f>IF(預測IC!CD18&gt;預測IC!CD$26,1,0)</f>
        <v>1</v>
      </c>
      <c r="CE18" s="9">
        <f>IF(預測IC!CE18&gt;預測IC!CE$26,1,0)</f>
        <v>1</v>
      </c>
      <c r="CF18" s="9">
        <f>IF(預測IC!CF18&gt;預測IC!CF$26,1,0)</f>
        <v>0</v>
      </c>
      <c r="CG18" s="9">
        <f>IF(預測IC!CG18&gt;預測IC!CG$26,1,0)</f>
        <v>1</v>
      </c>
      <c r="CH18" s="9">
        <f>IF(預測IC!CH18&gt;預測IC!CH$26,1,0)</f>
        <v>1</v>
      </c>
      <c r="CI18" s="9">
        <f>IF(預測IC!CI18&gt;預測IC!CI$26,1,0)</f>
        <v>0</v>
      </c>
      <c r="CJ18" s="9">
        <f>IF(預測IC!CJ18&gt;預測IC!CJ$26,1,0)</f>
        <v>0</v>
      </c>
      <c r="CK18" s="9">
        <f>IF(預測IC!CK18&gt;預測IC!CK$26,1,0)</f>
        <v>1</v>
      </c>
      <c r="CL18" s="9">
        <f>IF(預測IC!CL18&gt;預測IC!CL$26,1,0)</f>
        <v>0</v>
      </c>
      <c r="CM18" s="9">
        <f>IF(預測IC!CM18&gt;預測IC!CM$26,1,0)</f>
        <v>1</v>
      </c>
      <c r="CN18" s="9">
        <f>IF(預測IC!CN18&gt;預測IC!CN$26,1,0)</f>
        <v>0</v>
      </c>
      <c r="CO18" s="9">
        <f>IF(預測IC!CO18&gt;預測IC!CO$26,1,0)</f>
        <v>0</v>
      </c>
      <c r="CP18" s="9">
        <f>IF(預測IC!CP18&gt;預測IC!CP$26,1,0)</f>
        <v>1</v>
      </c>
      <c r="CQ18" s="9">
        <f>IF(預測IC!CQ18&gt;預測IC!CQ$26,1,0)</f>
        <v>0</v>
      </c>
      <c r="CR18" s="9">
        <f>IF(預測IC!CR18&gt;預測IC!CR$26,1,0)</f>
        <v>1</v>
      </c>
      <c r="CS18" s="9">
        <f>IF(預測IC!CS18&gt;預測IC!CS$26,1,0)</f>
        <v>1</v>
      </c>
      <c r="CT18" s="9">
        <f>IF(預測IC!CT18&gt;預測IC!CT$26,1,0)</f>
        <v>1</v>
      </c>
      <c r="CU18" s="9">
        <f>IF(預測IC!CU18&gt;預測IC!CU$26,1,0)</f>
        <v>0</v>
      </c>
      <c r="CV18" s="9">
        <f>IF(預測IC!CV18&gt;預測IC!CV$26,1,0)</f>
        <v>1</v>
      </c>
      <c r="CW18" s="9">
        <f>IF(預測IC!CW18&gt;預測IC!CW$26,1,0)</f>
        <v>0</v>
      </c>
      <c r="CX18" s="9">
        <f>IF(預測IC!CX18&gt;預測IC!CX$26,1,0)</f>
        <v>1</v>
      </c>
      <c r="CY18" s="9">
        <f>IF(預測IC!CY18&gt;預測IC!CY$26,1,0)</f>
        <v>0</v>
      </c>
      <c r="CZ18" s="9">
        <f>IF(預測IC!CZ18&gt;預測IC!CZ$26,1,0)</f>
        <v>1</v>
      </c>
      <c r="DA18" s="9">
        <f>IF(預測IC!DA18&gt;預測IC!DA$26,1,0)</f>
        <v>0</v>
      </c>
      <c r="DB18" s="9">
        <f>IF(預測IC!DB18&gt;預測IC!DB$26,1,0)</f>
        <v>1</v>
      </c>
      <c r="DC18" s="9">
        <f>IF(預測IC!DC18&gt;預測IC!DC$26,1,0)</f>
        <v>1</v>
      </c>
      <c r="DD18" s="9">
        <f>IF(預測IC!DD18&gt;預測IC!DD$26,1,0)</f>
        <v>0</v>
      </c>
      <c r="DE18" s="9">
        <f>IF(預測IC!DE18&gt;預測IC!DE$26,1,0)</f>
        <v>0</v>
      </c>
      <c r="DF18" s="9">
        <f>IF(預測IC!DF18&gt;預測IC!DF$26,1,0)</f>
        <v>1</v>
      </c>
      <c r="DG18" s="9">
        <f>IF(預測IC!DG18&gt;預測IC!DG$26,1,0)</f>
        <v>0</v>
      </c>
      <c r="DH18" s="9">
        <f>IF(預測IC!DH18&gt;預測IC!DH$26,1,0)</f>
        <v>0</v>
      </c>
      <c r="DI18" s="9">
        <f>IF(預測IC!DI18&gt;預測IC!DI$26,1,0)</f>
        <v>0</v>
      </c>
      <c r="DJ18" s="9">
        <f>IF(預測IC!DJ18&gt;預測IC!DJ$26,1,0)</f>
        <v>1</v>
      </c>
      <c r="DK18" s="9">
        <f>IF(預測IC!DK18&gt;預測IC!DK$26,1,0)</f>
        <v>1</v>
      </c>
      <c r="DL18" s="9">
        <f>IF(預測IC!DL18&gt;預測IC!DL$26,1,0)</f>
        <v>1</v>
      </c>
      <c r="DM18" s="9">
        <f>IF(預測IC!DM18&gt;預測IC!DM$26,1,0)</f>
        <v>0</v>
      </c>
      <c r="DN18" s="9">
        <f>IF(預測IC!DN18&gt;預測IC!DN$26,1,0)</f>
        <v>1</v>
      </c>
      <c r="DO18" s="9">
        <f>IF(預測IC!DO18&gt;預測IC!DO$26,1,0)</f>
        <v>1</v>
      </c>
      <c r="DP18" s="9">
        <f>IF(預測IC!DP18&gt;預測IC!DP$26,1,0)</f>
        <v>1</v>
      </c>
      <c r="DQ18" s="9">
        <f>IF(預測IC!DQ18&gt;預測IC!DQ$26,1,0)</f>
        <v>0</v>
      </c>
      <c r="DR18" s="9">
        <f>IF(預測IC!DR18&gt;預測IC!DR$26,1,0)</f>
        <v>1</v>
      </c>
      <c r="DS18" s="9">
        <f>IF(預測IC!DS18&gt;預測IC!DS$26,1,0)</f>
        <v>0</v>
      </c>
      <c r="DT18" s="9">
        <f>IF(預測IC!DT18&gt;預測IC!DT$26,1,0)</f>
        <v>0</v>
      </c>
      <c r="DU18" s="9">
        <f>IF(預測IC!DU18&gt;預測IC!DU$26,1,0)</f>
        <v>0</v>
      </c>
      <c r="DV18" s="9">
        <f>IF(預測IC!DV18&gt;預測IC!DV$26,1,0)</f>
        <v>1</v>
      </c>
      <c r="DW18" s="9">
        <f>IF(預測IC!DW18&gt;預測IC!DW$26,1,0)</f>
        <v>1</v>
      </c>
      <c r="DX18" s="9">
        <f>IF(預測IC!DX18&gt;預測IC!DX$26,1,0)</f>
        <v>0</v>
      </c>
      <c r="DY18" s="9">
        <f>IF(預測IC!DY18&gt;預測IC!DY$26,1,0)</f>
        <v>1</v>
      </c>
      <c r="DZ18" s="9">
        <f>IF(預測IC!DZ18&gt;預測IC!DZ$26,1,0)</f>
        <v>1</v>
      </c>
      <c r="EA18" s="9">
        <f>IF(預測IC!EA18&gt;預測IC!EA$26,1,0)</f>
        <v>1</v>
      </c>
      <c r="EB18" s="9">
        <f>IF(預測IC!EB18&gt;預測IC!EB$26,1,0)</f>
        <v>1</v>
      </c>
      <c r="EC18" s="9">
        <f>IF(預測IC!EC18&gt;預測IC!EC$26,1,0)</f>
        <v>1</v>
      </c>
      <c r="ED18" s="9">
        <f>IF(預測IC!ED18&gt;預測IC!ED$26,1,0)</f>
        <v>0</v>
      </c>
      <c r="EE18" s="9">
        <f>IF(預測IC!EE18&gt;預測IC!EE$26,1,0)</f>
        <v>0</v>
      </c>
      <c r="EF18" s="9">
        <f>IF(預測IC!EF18&gt;預測IC!EF$26,1,0)</f>
        <v>1</v>
      </c>
      <c r="EG18" s="2">
        <f t="shared" si="10"/>
        <v>84</v>
      </c>
      <c r="EH18" s="16">
        <f t="shared" si="11"/>
        <v>0.62686567164179108</v>
      </c>
    </row>
    <row r="19" spans="1:138">
      <c r="A19" s="4">
        <v>160</v>
      </c>
      <c r="B19" s="4">
        <v>6</v>
      </c>
      <c r="C19" s="9">
        <f>IF(預測IC!C19&gt;預測IC!C$26,1,0)</f>
        <v>1</v>
      </c>
      <c r="D19" s="9">
        <f>IF(預測IC!D19&gt;預測IC!D$26,1,0)</f>
        <v>1</v>
      </c>
      <c r="E19" s="9">
        <f>IF(預測IC!E19&gt;預測IC!E$26,1,0)</f>
        <v>1</v>
      </c>
      <c r="F19" s="9">
        <f>IF(預測IC!F19&gt;預測IC!F$26,1,0)</f>
        <v>1</v>
      </c>
      <c r="G19" s="9">
        <f>IF(預測IC!G19&gt;預測IC!G$26,1,0)</f>
        <v>1</v>
      </c>
      <c r="H19" s="9">
        <f>IF(預測IC!H19&gt;預測IC!H$26,1,0)</f>
        <v>1</v>
      </c>
      <c r="I19" s="9">
        <f>IF(預測IC!I19&gt;預測IC!I$26,1,0)</f>
        <v>1</v>
      </c>
      <c r="J19" s="9">
        <f>IF(預測IC!J19&gt;預測IC!J$26,1,0)</f>
        <v>0</v>
      </c>
      <c r="K19" s="9">
        <f>IF(預測IC!K19&gt;預測IC!K$26,1,0)</f>
        <v>1</v>
      </c>
      <c r="L19" s="9">
        <f>IF(預測IC!L19&gt;預測IC!L$26,1,0)</f>
        <v>1</v>
      </c>
      <c r="M19" s="9">
        <f>IF(預測IC!M19&gt;預測IC!M$26,1,0)</f>
        <v>1</v>
      </c>
      <c r="N19" s="9">
        <f>IF(預測IC!N19&gt;預測IC!N$26,1,0)</f>
        <v>1</v>
      </c>
      <c r="O19" s="9">
        <f>IF(預測IC!O19&gt;預測IC!O$26,1,0)</f>
        <v>0</v>
      </c>
      <c r="P19" s="9">
        <f>IF(預測IC!P19&gt;預測IC!P$26,1,0)</f>
        <v>0</v>
      </c>
      <c r="Q19" s="9">
        <f>IF(預測IC!Q19&gt;預測IC!Q$26,1,0)</f>
        <v>1</v>
      </c>
      <c r="R19" s="9">
        <f>IF(預測IC!R19&gt;預測IC!R$26,1,0)</f>
        <v>1</v>
      </c>
      <c r="S19" s="9">
        <f>IF(預測IC!S19&gt;預測IC!S$26,1,0)</f>
        <v>0</v>
      </c>
      <c r="T19" s="9">
        <f>IF(預測IC!T19&gt;預測IC!T$26,1,0)</f>
        <v>1</v>
      </c>
      <c r="U19" s="9">
        <f>IF(預測IC!U19&gt;預測IC!U$26,1,0)</f>
        <v>1</v>
      </c>
      <c r="V19" s="9">
        <f>IF(預測IC!V19&gt;預測IC!V$26,1,0)</f>
        <v>0</v>
      </c>
      <c r="W19" s="9">
        <f>IF(預測IC!W19&gt;預測IC!W$26,1,0)</f>
        <v>1</v>
      </c>
      <c r="X19" s="9">
        <f>IF(預測IC!X19&gt;預測IC!X$26,1,0)</f>
        <v>1</v>
      </c>
      <c r="Y19" s="9">
        <f>IF(預測IC!Y19&gt;預測IC!Y$26,1,0)</f>
        <v>1</v>
      </c>
      <c r="Z19" s="9">
        <f>IF(預測IC!Z19&gt;預測IC!Z$26,1,0)</f>
        <v>0</v>
      </c>
      <c r="AA19" s="9">
        <f>IF(預測IC!AA19&gt;預測IC!AA$26,1,0)</f>
        <v>1</v>
      </c>
      <c r="AB19" s="9">
        <f>IF(預測IC!AB19&gt;預測IC!AB$26,1,0)</f>
        <v>0</v>
      </c>
      <c r="AC19" s="9">
        <f>IF(預測IC!AC19&gt;預測IC!AC$26,1,0)</f>
        <v>0</v>
      </c>
      <c r="AD19" s="9">
        <f>IF(預測IC!AD19&gt;預測IC!AD$26,1,0)</f>
        <v>1</v>
      </c>
      <c r="AE19" s="9">
        <f>IF(預測IC!AE19&gt;預測IC!AE$26,1,0)</f>
        <v>1</v>
      </c>
      <c r="AF19" s="9">
        <f>IF(預測IC!AF19&gt;預測IC!AF$26,1,0)</f>
        <v>1</v>
      </c>
      <c r="AG19" s="9">
        <f>IF(預測IC!AG19&gt;預測IC!AG$26,1,0)</f>
        <v>0</v>
      </c>
      <c r="AH19" s="9">
        <f>IF(預測IC!AH19&gt;預測IC!AH$26,1,0)</f>
        <v>0</v>
      </c>
      <c r="AI19" s="9">
        <f>IF(預測IC!AI19&gt;預測IC!AI$26,1,0)</f>
        <v>1</v>
      </c>
      <c r="AJ19" s="9">
        <f>IF(預測IC!AJ19&gt;預測IC!AJ$26,1,0)</f>
        <v>0</v>
      </c>
      <c r="AK19" s="9">
        <f>IF(預測IC!AK19&gt;預測IC!AK$26,1,0)</f>
        <v>1</v>
      </c>
      <c r="AL19" s="9">
        <f>IF(預測IC!AL19&gt;預測IC!AL$26,1,0)</f>
        <v>1</v>
      </c>
      <c r="AM19" s="9">
        <f>IF(預測IC!AM19&gt;預測IC!AM$26,1,0)</f>
        <v>1</v>
      </c>
      <c r="AN19" s="9">
        <f>IF(預測IC!AN19&gt;預測IC!AN$26,1,0)</f>
        <v>1</v>
      </c>
      <c r="AO19" s="9">
        <f>IF(預測IC!AO19&gt;預測IC!AO$26,1,0)</f>
        <v>1</v>
      </c>
      <c r="AP19" s="9">
        <f>IF(預測IC!AP19&gt;預測IC!AP$26,1,0)</f>
        <v>0</v>
      </c>
      <c r="AQ19" s="9">
        <f>IF(預測IC!AQ19&gt;預測IC!AQ$26,1,0)</f>
        <v>0</v>
      </c>
      <c r="AR19" s="9">
        <f>IF(預測IC!AR19&gt;預測IC!AR$26,1,0)</f>
        <v>1</v>
      </c>
      <c r="AS19" s="9">
        <f>IF(預測IC!AS19&gt;預測IC!AS$26,1,0)</f>
        <v>1</v>
      </c>
      <c r="AT19" s="9">
        <f>IF(預測IC!AT19&gt;預測IC!AT$26,1,0)</f>
        <v>1</v>
      </c>
      <c r="AU19" s="9">
        <f>IF(預測IC!AU19&gt;預測IC!AU$26,1,0)</f>
        <v>1</v>
      </c>
      <c r="AV19" s="9">
        <f>IF(預測IC!AV19&gt;預測IC!AV$26,1,0)</f>
        <v>0</v>
      </c>
      <c r="AW19" s="9">
        <f>IF(預測IC!AW19&gt;預測IC!AW$26,1,0)</f>
        <v>1</v>
      </c>
      <c r="AX19" s="9">
        <f>IF(預測IC!AX19&gt;預測IC!AX$26,1,0)</f>
        <v>1</v>
      </c>
      <c r="AY19" s="9">
        <f>IF(預測IC!AY19&gt;預測IC!AY$26,1,0)</f>
        <v>0</v>
      </c>
      <c r="AZ19" s="9">
        <f>IF(預測IC!AZ19&gt;預測IC!AZ$26,1,0)</f>
        <v>0</v>
      </c>
      <c r="BA19" s="9">
        <f>IF(預測IC!BA19&gt;預測IC!BA$26,1,0)</f>
        <v>1</v>
      </c>
      <c r="BB19" s="9">
        <f>IF(預測IC!BB19&gt;預測IC!BB$26,1,0)</f>
        <v>1</v>
      </c>
      <c r="BC19" s="9">
        <f>IF(預測IC!BC19&gt;預測IC!BC$26,1,0)</f>
        <v>1</v>
      </c>
      <c r="BD19" s="9">
        <f>IF(預測IC!BD19&gt;預測IC!BD$26,1,0)</f>
        <v>1</v>
      </c>
      <c r="BE19" s="9">
        <f>IF(預測IC!BE19&gt;預測IC!BE$26,1,0)</f>
        <v>1</v>
      </c>
      <c r="BF19" s="9">
        <f>IF(預測IC!BF19&gt;預測IC!BF$26,1,0)</f>
        <v>1</v>
      </c>
      <c r="BG19" s="9">
        <f>IF(預測IC!BG19&gt;預測IC!BG$26,1,0)</f>
        <v>0</v>
      </c>
      <c r="BH19" s="9">
        <f>IF(預測IC!BH19&gt;預測IC!BH$26,1,0)</f>
        <v>1</v>
      </c>
      <c r="BI19" s="9">
        <f>IF(預測IC!BI19&gt;預測IC!BI$26,1,0)</f>
        <v>1</v>
      </c>
      <c r="BJ19" s="9">
        <f>IF(預測IC!BJ19&gt;預測IC!BJ$26,1,0)</f>
        <v>1</v>
      </c>
      <c r="BK19" s="9">
        <f>IF(預測IC!BK19&gt;預測IC!BK$26,1,0)</f>
        <v>0</v>
      </c>
      <c r="BL19" s="9">
        <f>IF(預測IC!BL19&gt;預測IC!BL$26,1,0)</f>
        <v>1</v>
      </c>
      <c r="BM19" s="9">
        <f>IF(預測IC!BM19&gt;預測IC!BM$26,1,0)</f>
        <v>0</v>
      </c>
      <c r="BN19" s="9">
        <f>IF(預測IC!BN19&gt;預測IC!BN$26,1,0)</f>
        <v>1</v>
      </c>
      <c r="BO19" s="9">
        <f>IF(預測IC!BO19&gt;預測IC!BO$26,1,0)</f>
        <v>1</v>
      </c>
      <c r="BP19" s="9">
        <f>IF(預測IC!BP19&gt;預測IC!BP$26,1,0)</f>
        <v>1</v>
      </c>
      <c r="BQ19" s="9">
        <f>IF(預測IC!BQ19&gt;預測IC!BQ$26,1,0)</f>
        <v>1</v>
      </c>
      <c r="BR19" s="9">
        <f>IF(預測IC!BR19&gt;預測IC!BR$26,1,0)</f>
        <v>1</v>
      </c>
      <c r="BS19" s="9">
        <f>IF(預測IC!BS19&gt;預測IC!BS$26,1,0)</f>
        <v>0</v>
      </c>
      <c r="BT19" s="9">
        <f>IF(預測IC!BT19&gt;預測IC!BT$26,1,0)</f>
        <v>1</v>
      </c>
      <c r="BU19" s="9">
        <f>IF(預測IC!BU19&gt;預測IC!BU$26,1,0)</f>
        <v>1</v>
      </c>
      <c r="BV19" s="9">
        <f>IF(預測IC!BV19&gt;預測IC!BV$26,1,0)</f>
        <v>1</v>
      </c>
      <c r="BW19" s="9">
        <f>IF(預測IC!BW19&gt;預測IC!BW$26,1,0)</f>
        <v>0</v>
      </c>
      <c r="BX19" s="9">
        <f>IF(預測IC!BX19&gt;預測IC!BX$26,1,0)</f>
        <v>1</v>
      </c>
      <c r="BY19" s="9">
        <f>IF(預測IC!BY19&gt;預測IC!BY$26,1,0)</f>
        <v>1</v>
      </c>
      <c r="BZ19" s="9">
        <f>IF(預測IC!BZ19&gt;預測IC!BZ$26,1,0)</f>
        <v>0</v>
      </c>
      <c r="CA19" s="9">
        <f>IF(預測IC!CA19&gt;預測IC!CA$26,1,0)</f>
        <v>0</v>
      </c>
      <c r="CB19" s="9">
        <f>IF(預測IC!CB19&gt;預測IC!CB$26,1,0)</f>
        <v>0</v>
      </c>
      <c r="CC19" s="9">
        <f>IF(預測IC!CC19&gt;預測IC!CC$26,1,0)</f>
        <v>0</v>
      </c>
      <c r="CD19" s="9">
        <f>IF(預測IC!CD19&gt;預測IC!CD$26,1,0)</f>
        <v>1</v>
      </c>
      <c r="CE19" s="9">
        <f>IF(預測IC!CE19&gt;預測IC!CE$26,1,0)</f>
        <v>1</v>
      </c>
      <c r="CF19" s="9">
        <f>IF(預測IC!CF19&gt;預測IC!CF$26,1,0)</f>
        <v>0</v>
      </c>
      <c r="CG19" s="9">
        <f>IF(預測IC!CG19&gt;預測IC!CG$26,1,0)</f>
        <v>1</v>
      </c>
      <c r="CH19" s="9">
        <f>IF(預測IC!CH19&gt;預測IC!CH$26,1,0)</f>
        <v>1</v>
      </c>
      <c r="CI19" s="9">
        <f>IF(預測IC!CI19&gt;預測IC!CI$26,1,0)</f>
        <v>0</v>
      </c>
      <c r="CJ19" s="9">
        <f>IF(預測IC!CJ19&gt;預測IC!CJ$26,1,0)</f>
        <v>0</v>
      </c>
      <c r="CK19" s="9">
        <f>IF(預測IC!CK19&gt;預測IC!CK$26,1,0)</f>
        <v>1</v>
      </c>
      <c r="CL19" s="9">
        <f>IF(預測IC!CL19&gt;預測IC!CL$26,1,0)</f>
        <v>0</v>
      </c>
      <c r="CM19" s="9">
        <f>IF(預測IC!CM19&gt;預測IC!CM$26,1,0)</f>
        <v>1</v>
      </c>
      <c r="CN19" s="9">
        <f>IF(預測IC!CN19&gt;預測IC!CN$26,1,0)</f>
        <v>0</v>
      </c>
      <c r="CO19" s="9">
        <f>IF(預測IC!CO19&gt;預測IC!CO$26,1,0)</f>
        <v>0</v>
      </c>
      <c r="CP19" s="9">
        <f>IF(預測IC!CP19&gt;預測IC!CP$26,1,0)</f>
        <v>1</v>
      </c>
      <c r="CQ19" s="9">
        <f>IF(預測IC!CQ19&gt;預測IC!CQ$26,1,0)</f>
        <v>0</v>
      </c>
      <c r="CR19" s="9">
        <f>IF(預測IC!CR19&gt;預測IC!CR$26,1,0)</f>
        <v>1</v>
      </c>
      <c r="CS19" s="9">
        <f>IF(預測IC!CS19&gt;預測IC!CS$26,1,0)</f>
        <v>1</v>
      </c>
      <c r="CT19" s="9">
        <f>IF(預測IC!CT19&gt;預測IC!CT$26,1,0)</f>
        <v>1</v>
      </c>
      <c r="CU19" s="9">
        <f>IF(預測IC!CU19&gt;預測IC!CU$26,1,0)</f>
        <v>0</v>
      </c>
      <c r="CV19" s="9">
        <f>IF(預測IC!CV19&gt;預測IC!CV$26,1,0)</f>
        <v>1</v>
      </c>
      <c r="CW19" s="9">
        <f>IF(預測IC!CW19&gt;預測IC!CW$26,1,0)</f>
        <v>0</v>
      </c>
      <c r="CX19" s="9">
        <f>IF(預測IC!CX19&gt;預測IC!CX$26,1,0)</f>
        <v>1</v>
      </c>
      <c r="CY19" s="9">
        <f>IF(預測IC!CY19&gt;預測IC!CY$26,1,0)</f>
        <v>0</v>
      </c>
      <c r="CZ19" s="9">
        <f>IF(預測IC!CZ19&gt;預測IC!CZ$26,1,0)</f>
        <v>1</v>
      </c>
      <c r="DA19" s="9">
        <f>IF(預測IC!DA19&gt;預測IC!DA$26,1,0)</f>
        <v>0</v>
      </c>
      <c r="DB19" s="9">
        <f>IF(預測IC!DB19&gt;預測IC!DB$26,1,0)</f>
        <v>1</v>
      </c>
      <c r="DC19" s="9">
        <f>IF(預測IC!DC19&gt;預測IC!DC$26,1,0)</f>
        <v>1</v>
      </c>
      <c r="DD19" s="9">
        <f>IF(預測IC!DD19&gt;預測IC!DD$26,1,0)</f>
        <v>0</v>
      </c>
      <c r="DE19" s="9">
        <f>IF(預測IC!DE19&gt;預測IC!DE$26,1,0)</f>
        <v>0</v>
      </c>
      <c r="DF19" s="9">
        <f>IF(預測IC!DF19&gt;預測IC!DF$26,1,0)</f>
        <v>0</v>
      </c>
      <c r="DG19" s="9">
        <f>IF(預測IC!DG19&gt;預測IC!DG$26,1,0)</f>
        <v>0</v>
      </c>
      <c r="DH19" s="9">
        <f>IF(預測IC!DH19&gt;預測IC!DH$26,1,0)</f>
        <v>0</v>
      </c>
      <c r="DI19" s="9">
        <f>IF(預測IC!DI19&gt;預測IC!DI$26,1,0)</f>
        <v>0</v>
      </c>
      <c r="DJ19" s="9">
        <f>IF(預測IC!DJ19&gt;預測IC!DJ$26,1,0)</f>
        <v>1</v>
      </c>
      <c r="DK19" s="9">
        <f>IF(預測IC!DK19&gt;預測IC!DK$26,1,0)</f>
        <v>1</v>
      </c>
      <c r="DL19" s="9">
        <f>IF(預測IC!DL19&gt;預測IC!DL$26,1,0)</f>
        <v>1</v>
      </c>
      <c r="DM19" s="9">
        <f>IF(預測IC!DM19&gt;預測IC!DM$26,1,0)</f>
        <v>0</v>
      </c>
      <c r="DN19" s="9">
        <f>IF(預測IC!DN19&gt;預測IC!DN$26,1,0)</f>
        <v>1</v>
      </c>
      <c r="DO19" s="9">
        <f>IF(預測IC!DO19&gt;預測IC!DO$26,1,0)</f>
        <v>1</v>
      </c>
      <c r="DP19" s="9">
        <f>IF(預測IC!DP19&gt;預測IC!DP$26,1,0)</f>
        <v>1</v>
      </c>
      <c r="DQ19" s="9">
        <f>IF(預測IC!DQ19&gt;預測IC!DQ$26,1,0)</f>
        <v>0</v>
      </c>
      <c r="DR19" s="9">
        <f>IF(預測IC!DR19&gt;預測IC!DR$26,1,0)</f>
        <v>1</v>
      </c>
      <c r="DS19" s="9">
        <f>IF(預測IC!DS19&gt;預測IC!DS$26,1,0)</f>
        <v>0</v>
      </c>
      <c r="DT19" s="9">
        <f>IF(預測IC!DT19&gt;預測IC!DT$26,1,0)</f>
        <v>0</v>
      </c>
      <c r="DU19" s="9">
        <f>IF(預測IC!DU19&gt;預測IC!DU$26,1,0)</f>
        <v>0</v>
      </c>
      <c r="DV19" s="9">
        <f>IF(預測IC!DV19&gt;預測IC!DV$26,1,0)</f>
        <v>1</v>
      </c>
      <c r="DW19" s="9">
        <f>IF(預測IC!DW19&gt;預測IC!DW$26,1,0)</f>
        <v>1</v>
      </c>
      <c r="DX19" s="9">
        <f>IF(預測IC!DX19&gt;預測IC!DX$26,1,0)</f>
        <v>0</v>
      </c>
      <c r="DY19" s="9">
        <f>IF(預測IC!DY19&gt;預測IC!DY$26,1,0)</f>
        <v>1</v>
      </c>
      <c r="DZ19" s="9">
        <f>IF(預測IC!DZ19&gt;預測IC!DZ$26,1,0)</f>
        <v>1</v>
      </c>
      <c r="EA19" s="9">
        <f>IF(預測IC!EA19&gt;預測IC!EA$26,1,0)</f>
        <v>1</v>
      </c>
      <c r="EB19" s="9">
        <f>IF(預測IC!EB19&gt;預測IC!EB$26,1,0)</f>
        <v>0</v>
      </c>
      <c r="EC19" s="9">
        <f>IF(預測IC!EC19&gt;預測IC!EC$26,1,0)</f>
        <v>0</v>
      </c>
      <c r="ED19" s="9">
        <f>IF(預測IC!ED19&gt;預測IC!ED$26,1,0)</f>
        <v>0</v>
      </c>
      <c r="EE19" s="9">
        <f>IF(預測IC!EE19&gt;預測IC!EE$26,1,0)</f>
        <v>0</v>
      </c>
      <c r="EF19" s="9">
        <f>IF(預測IC!EF19&gt;預測IC!EF$26,1,0)</f>
        <v>1</v>
      </c>
      <c r="EG19" s="2">
        <f t="shared" si="10"/>
        <v>82</v>
      </c>
      <c r="EH19" s="16">
        <f t="shared" si="11"/>
        <v>0.61194029850746268</v>
      </c>
    </row>
    <row r="20" spans="1:138">
      <c r="A20" s="4">
        <v>192</v>
      </c>
      <c r="B20" s="4">
        <v>5</v>
      </c>
      <c r="C20" s="9">
        <f>IF(預測IC!C20&gt;預測IC!C$26,1,0)</f>
        <v>1</v>
      </c>
      <c r="D20" s="9">
        <f>IF(預測IC!D20&gt;預測IC!D$26,1,0)</f>
        <v>1</v>
      </c>
      <c r="E20" s="9">
        <f>IF(預測IC!E20&gt;預測IC!E$26,1,0)</f>
        <v>1</v>
      </c>
      <c r="F20" s="9">
        <f>IF(預測IC!F20&gt;預測IC!F$26,1,0)</f>
        <v>1</v>
      </c>
      <c r="G20" s="9">
        <f>IF(預測IC!G20&gt;預測IC!G$26,1,0)</f>
        <v>1</v>
      </c>
      <c r="H20" s="9">
        <f>IF(預測IC!H20&gt;預測IC!H$26,1,0)</f>
        <v>1</v>
      </c>
      <c r="I20" s="9">
        <f>IF(預測IC!I20&gt;預測IC!I$26,1,0)</f>
        <v>1</v>
      </c>
      <c r="J20" s="9">
        <f>IF(預測IC!J20&gt;預測IC!J$26,1,0)</f>
        <v>0</v>
      </c>
      <c r="K20" s="9">
        <f>IF(預測IC!K20&gt;預測IC!K$26,1,0)</f>
        <v>1</v>
      </c>
      <c r="L20" s="9">
        <f>IF(預測IC!L20&gt;預測IC!L$26,1,0)</f>
        <v>1</v>
      </c>
      <c r="M20" s="9">
        <f>IF(預測IC!M20&gt;預測IC!M$26,1,0)</f>
        <v>1</v>
      </c>
      <c r="N20" s="9">
        <f>IF(預測IC!N20&gt;預測IC!N$26,1,0)</f>
        <v>1</v>
      </c>
      <c r="O20" s="9">
        <f>IF(預測IC!O20&gt;預測IC!O$26,1,0)</f>
        <v>0</v>
      </c>
      <c r="P20" s="9">
        <f>IF(預測IC!P20&gt;預測IC!P$26,1,0)</f>
        <v>1</v>
      </c>
      <c r="Q20" s="9">
        <f>IF(預測IC!Q20&gt;預測IC!Q$26,1,0)</f>
        <v>1</v>
      </c>
      <c r="R20" s="9">
        <f>IF(預測IC!R20&gt;預測IC!R$26,1,0)</f>
        <v>1</v>
      </c>
      <c r="S20" s="9">
        <f>IF(預測IC!S20&gt;預測IC!S$26,1,0)</f>
        <v>0</v>
      </c>
      <c r="T20" s="9">
        <f>IF(預測IC!T20&gt;預測IC!T$26,1,0)</f>
        <v>1</v>
      </c>
      <c r="U20" s="9">
        <f>IF(預測IC!U20&gt;預測IC!U$26,1,0)</f>
        <v>1</v>
      </c>
      <c r="V20" s="9">
        <f>IF(預測IC!V20&gt;預測IC!V$26,1,0)</f>
        <v>0</v>
      </c>
      <c r="W20" s="9">
        <f>IF(預測IC!W20&gt;預測IC!W$26,1,0)</f>
        <v>1</v>
      </c>
      <c r="X20" s="9">
        <f>IF(預測IC!X20&gt;預測IC!X$26,1,0)</f>
        <v>1</v>
      </c>
      <c r="Y20" s="9">
        <f>IF(預測IC!Y20&gt;預測IC!Y$26,1,0)</f>
        <v>1</v>
      </c>
      <c r="Z20" s="9">
        <f>IF(預測IC!Z20&gt;預測IC!Z$26,1,0)</f>
        <v>1</v>
      </c>
      <c r="AA20" s="9">
        <f>IF(預測IC!AA20&gt;預測IC!AA$26,1,0)</f>
        <v>1</v>
      </c>
      <c r="AB20" s="9">
        <f>IF(預測IC!AB20&gt;預測IC!AB$26,1,0)</f>
        <v>0</v>
      </c>
      <c r="AC20" s="9">
        <f>IF(預測IC!AC20&gt;預測IC!AC$26,1,0)</f>
        <v>0</v>
      </c>
      <c r="AD20" s="9">
        <f>IF(預測IC!AD20&gt;預測IC!AD$26,1,0)</f>
        <v>1</v>
      </c>
      <c r="AE20" s="9">
        <f>IF(預測IC!AE20&gt;預測IC!AE$26,1,0)</f>
        <v>0</v>
      </c>
      <c r="AF20" s="9">
        <f>IF(預測IC!AF20&gt;預測IC!AF$26,1,0)</f>
        <v>1</v>
      </c>
      <c r="AG20" s="9">
        <f>IF(預測IC!AG20&gt;預測IC!AG$26,1,0)</f>
        <v>0</v>
      </c>
      <c r="AH20" s="9">
        <f>IF(預測IC!AH20&gt;預測IC!AH$26,1,0)</f>
        <v>0</v>
      </c>
      <c r="AI20" s="9">
        <f>IF(預測IC!AI20&gt;預測IC!AI$26,1,0)</f>
        <v>1</v>
      </c>
      <c r="AJ20" s="9">
        <f>IF(預測IC!AJ20&gt;預測IC!AJ$26,1,0)</f>
        <v>0</v>
      </c>
      <c r="AK20" s="9">
        <f>IF(預測IC!AK20&gt;預測IC!AK$26,1,0)</f>
        <v>0</v>
      </c>
      <c r="AL20" s="9">
        <f>IF(預測IC!AL20&gt;預測IC!AL$26,1,0)</f>
        <v>1</v>
      </c>
      <c r="AM20" s="9">
        <f>IF(預測IC!AM20&gt;預測IC!AM$26,1,0)</f>
        <v>1</v>
      </c>
      <c r="AN20" s="9">
        <f>IF(預測IC!AN20&gt;預測IC!AN$26,1,0)</f>
        <v>1</v>
      </c>
      <c r="AO20" s="9">
        <f>IF(預測IC!AO20&gt;預測IC!AO$26,1,0)</f>
        <v>1</v>
      </c>
      <c r="AP20" s="9">
        <f>IF(預測IC!AP20&gt;預測IC!AP$26,1,0)</f>
        <v>0</v>
      </c>
      <c r="AQ20" s="9">
        <f>IF(預測IC!AQ20&gt;預測IC!AQ$26,1,0)</f>
        <v>1</v>
      </c>
      <c r="AR20" s="9">
        <f>IF(預測IC!AR20&gt;預測IC!AR$26,1,0)</f>
        <v>1</v>
      </c>
      <c r="AS20" s="9">
        <f>IF(預測IC!AS20&gt;預測IC!AS$26,1,0)</f>
        <v>1</v>
      </c>
      <c r="AT20" s="9">
        <f>IF(預測IC!AT20&gt;預測IC!AT$26,1,0)</f>
        <v>0</v>
      </c>
      <c r="AU20" s="9">
        <f>IF(預測IC!AU20&gt;預測IC!AU$26,1,0)</f>
        <v>1</v>
      </c>
      <c r="AV20" s="9">
        <f>IF(預測IC!AV20&gt;預測IC!AV$26,1,0)</f>
        <v>0</v>
      </c>
      <c r="AW20" s="9">
        <f>IF(預測IC!AW20&gt;預測IC!AW$26,1,0)</f>
        <v>1</v>
      </c>
      <c r="AX20" s="9">
        <f>IF(預測IC!AX20&gt;預測IC!AX$26,1,0)</f>
        <v>1</v>
      </c>
      <c r="AY20" s="9">
        <f>IF(預測IC!AY20&gt;預測IC!AY$26,1,0)</f>
        <v>0</v>
      </c>
      <c r="AZ20" s="9">
        <f>IF(預測IC!AZ20&gt;預測IC!AZ$26,1,0)</f>
        <v>0</v>
      </c>
      <c r="BA20" s="9">
        <f>IF(預測IC!BA20&gt;預測IC!BA$26,1,0)</f>
        <v>1</v>
      </c>
      <c r="BB20" s="9">
        <f>IF(預測IC!BB20&gt;預測IC!BB$26,1,0)</f>
        <v>1</v>
      </c>
      <c r="BC20" s="9">
        <f>IF(預測IC!BC20&gt;預測IC!BC$26,1,0)</f>
        <v>1</v>
      </c>
      <c r="BD20" s="9">
        <f>IF(預測IC!BD20&gt;預測IC!BD$26,1,0)</f>
        <v>0</v>
      </c>
      <c r="BE20" s="9">
        <f>IF(預測IC!BE20&gt;預測IC!BE$26,1,0)</f>
        <v>0</v>
      </c>
      <c r="BF20" s="9">
        <f>IF(預測IC!BF20&gt;預測IC!BF$26,1,0)</f>
        <v>1</v>
      </c>
      <c r="BG20" s="9">
        <f>IF(預測IC!BG20&gt;預測IC!BG$26,1,0)</f>
        <v>1</v>
      </c>
      <c r="BH20" s="9">
        <f>IF(預測IC!BH20&gt;預測IC!BH$26,1,0)</f>
        <v>1</v>
      </c>
      <c r="BI20" s="9">
        <f>IF(預測IC!BI20&gt;預測IC!BI$26,1,0)</f>
        <v>1</v>
      </c>
      <c r="BJ20" s="9">
        <f>IF(預測IC!BJ20&gt;預測IC!BJ$26,1,0)</f>
        <v>1</v>
      </c>
      <c r="BK20" s="9">
        <f>IF(預測IC!BK20&gt;預測IC!BK$26,1,0)</f>
        <v>0</v>
      </c>
      <c r="BL20" s="9">
        <f>IF(預測IC!BL20&gt;預測IC!BL$26,1,0)</f>
        <v>1</v>
      </c>
      <c r="BM20" s="9">
        <f>IF(預測IC!BM20&gt;預測IC!BM$26,1,0)</f>
        <v>0</v>
      </c>
      <c r="BN20" s="9">
        <f>IF(預測IC!BN20&gt;預測IC!BN$26,1,0)</f>
        <v>1</v>
      </c>
      <c r="BO20" s="9">
        <f>IF(預測IC!BO20&gt;預測IC!BO$26,1,0)</f>
        <v>1</v>
      </c>
      <c r="BP20" s="9">
        <f>IF(預測IC!BP20&gt;預測IC!BP$26,1,0)</f>
        <v>1</v>
      </c>
      <c r="BQ20" s="9">
        <f>IF(預測IC!BQ20&gt;預測IC!BQ$26,1,0)</f>
        <v>1</v>
      </c>
      <c r="BR20" s="9">
        <f>IF(預測IC!BR20&gt;預測IC!BR$26,1,0)</f>
        <v>1</v>
      </c>
      <c r="BS20" s="9">
        <f>IF(預測IC!BS20&gt;預測IC!BS$26,1,0)</f>
        <v>0</v>
      </c>
      <c r="BT20" s="9">
        <f>IF(預測IC!BT20&gt;預測IC!BT$26,1,0)</f>
        <v>1</v>
      </c>
      <c r="BU20" s="9">
        <f>IF(預測IC!BU20&gt;預測IC!BU$26,1,0)</f>
        <v>1</v>
      </c>
      <c r="BV20" s="9">
        <f>IF(預測IC!BV20&gt;預測IC!BV$26,1,0)</f>
        <v>1</v>
      </c>
      <c r="BW20" s="9">
        <f>IF(預測IC!BW20&gt;預測IC!BW$26,1,0)</f>
        <v>0</v>
      </c>
      <c r="BX20" s="9">
        <f>IF(預測IC!BX20&gt;預測IC!BX$26,1,0)</f>
        <v>1</v>
      </c>
      <c r="BY20" s="9">
        <f>IF(預測IC!BY20&gt;預測IC!BY$26,1,0)</f>
        <v>1</v>
      </c>
      <c r="BZ20" s="9">
        <f>IF(預測IC!BZ20&gt;預測IC!BZ$26,1,0)</f>
        <v>0</v>
      </c>
      <c r="CA20" s="9">
        <f>IF(預測IC!CA20&gt;預測IC!CA$26,1,0)</f>
        <v>1</v>
      </c>
      <c r="CB20" s="9">
        <f>IF(預測IC!CB20&gt;預測IC!CB$26,1,0)</f>
        <v>0</v>
      </c>
      <c r="CC20" s="9">
        <f>IF(預測IC!CC20&gt;預測IC!CC$26,1,0)</f>
        <v>0</v>
      </c>
      <c r="CD20" s="9">
        <f>IF(預測IC!CD20&gt;預測IC!CD$26,1,0)</f>
        <v>1</v>
      </c>
      <c r="CE20" s="9">
        <f>IF(預測IC!CE20&gt;預測IC!CE$26,1,0)</f>
        <v>1</v>
      </c>
      <c r="CF20" s="9">
        <f>IF(預測IC!CF20&gt;預測IC!CF$26,1,0)</f>
        <v>0</v>
      </c>
      <c r="CG20" s="9">
        <f>IF(預測IC!CG20&gt;預測IC!CG$26,1,0)</f>
        <v>1</v>
      </c>
      <c r="CH20" s="9">
        <f>IF(預測IC!CH20&gt;預測IC!CH$26,1,0)</f>
        <v>1</v>
      </c>
      <c r="CI20" s="9">
        <f>IF(預測IC!CI20&gt;預測IC!CI$26,1,0)</f>
        <v>0</v>
      </c>
      <c r="CJ20" s="9">
        <f>IF(預測IC!CJ20&gt;預測IC!CJ$26,1,0)</f>
        <v>0</v>
      </c>
      <c r="CK20" s="9">
        <f>IF(預測IC!CK20&gt;預測IC!CK$26,1,0)</f>
        <v>1</v>
      </c>
      <c r="CL20" s="9">
        <f>IF(預測IC!CL20&gt;預測IC!CL$26,1,0)</f>
        <v>0</v>
      </c>
      <c r="CM20" s="9">
        <f>IF(預測IC!CM20&gt;預測IC!CM$26,1,0)</f>
        <v>1</v>
      </c>
      <c r="CN20" s="9">
        <f>IF(預測IC!CN20&gt;預測IC!CN$26,1,0)</f>
        <v>0</v>
      </c>
      <c r="CO20" s="9">
        <f>IF(預測IC!CO20&gt;預測IC!CO$26,1,0)</f>
        <v>0</v>
      </c>
      <c r="CP20" s="9">
        <f>IF(預測IC!CP20&gt;預測IC!CP$26,1,0)</f>
        <v>1</v>
      </c>
      <c r="CQ20" s="9">
        <f>IF(預測IC!CQ20&gt;預測IC!CQ$26,1,0)</f>
        <v>1</v>
      </c>
      <c r="CR20" s="9">
        <f>IF(預測IC!CR20&gt;預測IC!CR$26,1,0)</f>
        <v>1</v>
      </c>
      <c r="CS20" s="9">
        <f>IF(預測IC!CS20&gt;預測IC!CS$26,1,0)</f>
        <v>0</v>
      </c>
      <c r="CT20" s="9">
        <f>IF(預測IC!CT20&gt;預測IC!CT$26,1,0)</f>
        <v>1</v>
      </c>
      <c r="CU20" s="9">
        <f>IF(預測IC!CU20&gt;預測IC!CU$26,1,0)</f>
        <v>0</v>
      </c>
      <c r="CV20" s="9">
        <f>IF(預測IC!CV20&gt;預測IC!CV$26,1,0)</f>
        <v>1</v>
      </c>
      <c r="CW20" s="9">
        <f>IF(預測IC!CW20&gt;預測IC!CW$26,1,0)</f>
        <v>1</v>
      </c>
      <c r="CX20" s="9">
        <f>IF(預測IC!CX20&gt;預測IC!CX$26,1,0)</f>
        <v>1</v>
      </c>
      <c r="CY20" s="9">
        <f>IF(預測IC!CY20&gt;預測IC!CY$26,1,0)</f>
        <v>0</v>
      </c>
      <c r="CZ20" s="9">
        <f>IF(預測IC!CZ20&gt;預測IC!CZ$26,1,0)</f>
        <v>1</v>
      </c>
      <c r="DA20" s="9">
        <f>IF(預測IC!DA20&gt;預測IC!DA$26,1,0)</f>
        <v>0</v>
      </c>
      <c r="DB20" s="9">
        <f>IF(預測IC!DB20&gt;預測IC!DB$26,1,0)</f>
        <v>1</v>
      </c>
      <c r="DC20" s="9">
        <f>IF(預測IC!DC20&gt;預測IC!DC$26,1,0)</f>
        <v>1</v>
      </c>
      <c r="DD20" s="9">
        <f>IF(預測IC!DD20&gt;預測IC!DD$26,1,0)</f>
        <v>0</v>
      </c>
      <c r="DE20" s="9">
        <f>IF(預測IC!DE20&gt;預測IC!DE$26,1,0)</f>
        <v>0</v>
      </c>
      <c r="DF20" s="9">
        <f>IF(預測IC!DF20&gt;預測IC!DF$26,1,0)</f>
        <v>1</v>
      </c>
      <c r="DG20" s="9">
        <f>IF(預測IC!DG20&gt;預測IC!DG$26,1,0)</f>
        <v>0</v>
      </c>
      <c r="DH20" s="9">
        <f>IF(預測IC!DH20&gt;預測IC!DH$26,1,0)</f>
        <v>0</v>
      </c>
      <c r="DI20" s="9">
        <f>IF(預測IC!DI20&gt;預測IC!DI$26,1,0)</f>
        <v>0</v>
      </c>
      <c r="DJ20" s="9">
        <f>IF(預測IC!DJ20&gt;預測IC!DJ$26,1,0)</f>
        <v>1</v>
      </c>
      <c r="DK20" s="9">
        <f>IF(預測IC!DK20&gt;預測IC!DK$26,1,0)</f>
        <v>1</v>
      </c>
      <c r="DL20" s="9">
        <f>IF(預測IC!DL20&gt;預測IC!DL$26,1,0)</f>
        <v>1</v>
      </c>
      <c r="DM20" s="9">
        <f>IF(預測IC!DM20&gt;預測IC!DM$26,1,0)</f>
        <v>0</v>
      </c>
      <c r="DN20" s="9">
        <f>IF(預測IC!DN20&gt;預測IC!DN$26,1,0)</f>
        <v>1</v>
      </c>
      <c r="DO20" s="9">
        <f>IF(預測IC!DO20&gt;預測IC!DO$26,1,0)</f>
        <v>1</v>
      </c>
      <c r="DP20" s="9">
        <f>IF(預測IC!DP20&gt;預測IC!DP$26,1,0)</f>
        <v>1</v>
      </c>
      <c r="DQ20" s="9">
        <f>IF(預測IC!DQ20&gt;預測IC!DQ$26,1,0)</f>
        <v>0</v>
      </c>
      <c r="DR20" s="9">
        <f>IF(預測IC!DR20&gt;預測IC!DR$26,1,0)</f>
        <v>1</v>
      </c>
      <c r="DS20" s="9">
        <f>IF(預測IC!DS20&gt;預測IC!DS$26,1,0)</f>
        <v>0</v>
      </c>
      <c r="DT20" s="9">
        <f>IF(預測IC!DT20&gt;預測IC!DT$26,1,0)</f>
        <v>0</v>
      </c>
      <c r="DU20" s="9">
        <f>IF(預測IC!DU20&gt;預測IC!DU$26,1,0)</f>
        <v>0</v>
      </c>
      <c r="DV20" s="9">
        <f>IF(預測IC!DV20&gt;預測IC!DV$26,1,0)</f>
        <v>1</v>
      </c>
      <c r="DW20" s="9">
        <f>IF(預測IC!DW20&gt;預測IC!DW$26,1,0)</f>
        <v>1</v>
      </c>
      <c r="DX20" s="9">
        <f>IF(預測IC!DX20&gt;預測IC!DX$26,1,0)</f>
        <v>0</v>
      </c>
      <c r="DY20" s="9">
        <f>IF(預測IC!DY20&gt;預測IC!DY$26,1,0)</f>
        <v>1</v>
      </c>
      <c r="DZ20" s="9">
        <f>IF(預測IC!DZ20&gt;預測IC!DZ$26,1,0)</f>
        <v>1</v>
      </c>
      <c r="EA20" s="9">
        <f>IF(預測IC!EA20&gt;預測IC!EA$26,1,0)</f>
        <v>1</v>
      </c>
      <c r="EB20" s="9">
        <f>IF(預測IC!EB20&gt;預測IC!EB$26,1,0)</f>
        <v>1</v>
      </c>
      <c r="EC20" s="9">
        <f>IF(預測IC!EC20&gt;預測IC!EC$26,1,0)</f>
        <v>1</v>
      </c>
      <c r="ED20" s="9">
        <f>IF(預測IC!ED20&gt;預測IC!ED$26,1,0)</f>
        <v>0</v>
      </c>
      <c r="EE20" s="9">
        <f>IF(預測IC!EE20&gt;預測IC!EE$26,1,0)</f>
        <v>0</v>
      </c>
      <c r="EF20" s="9">
        <f>IF(預測IC!EF20&gt;預測IC!EF$26,1,0)</f>
        <v>1</v>
      </c>
      <c r="EG20" s="2">
        <f t="shared" si="10"/>
        <v>86</v>
      </c>
      <c r="EH20" s="16">
        <f t="shared" si="11"/>
        <v>0.64179104477611937</v>
      </c>
    </row>
    <row r="21" spans="1:138">
      <c r="A21" s="4">
        <v>241</v>
      </c>
      <c r="B21" s="4">
        <v>4</v>
      </c>
      <c r="C21" s="9">
        <f>IF(預測IC!C21&gt;預測IC!C$26,1,0)</f>
        <v>1</v>
      </c>
      <c r="D21" s="9">
        <f>IF(預測IC!D21&gt;預測IC!D$26,1,0)</f>
        <v>1</v>
      </c>
      <c r="E21" s="9">
        <f>IF(預測IC!E21&gt;預測IC!E$26,1,0)</f>
        <v>0</v>
      </c>
      <c r="F21" s="9">
        <f>IF(預測IC!F21&gt;預測IC!F$26,1,0)</f>
        <v>1</v>
      </c>
      <c r="G21" s="9">
        <f>IF(預測IC!G21&gt;預測IC!G$26,1,0)</f>
        <v>1</v>
      </c>
      <c r="H21" s="9">
        <f>IF(預測IC!H21&gt;預測IC!H$26,1,0)</f>
        <v>1</v>
      </c>
      <c r="I21" s="9">
        <f>IF(預測IC!I21&gt;預測IC!I$26,1,0)</f>
        <v>1</v>
      </c>
      <c r="J21" s="9">
        <f>IF(預測IC!J21&gt;預測IC!J$26,1,0)</f>
        <v>0</v>
      </c>
      <c r="K21" s="9">
        <f>IF(預測IC!K21&gt;預測IC!K$26,1,0)</f>
        <v>1</v>
      </c>
      <c r="L21" s="9">
        <f>IF(預測IC!L21&gt;預測IC!L$26,1,0)</f>
        <v>0</v>
      </c>
      <c r="M21" s="9">
        <f>IF(預測IC!M21&gt;預測IC!M$26,1,0)</f>
        <v>0</v>
      </c>
      <c r="N21" s="9">
        <f>IF(預測IC!N21&gt;預測IC!N$26,1,0)</f>
        <v>1</v>
      </c>
      <c r="O21" s="9">
        <f>IF(預測IC!O21&gt;預測IC!O$26,1,0)</f>
        <v>0</v>
      </c>
      <c r="P21" s="9">
        <f>IF(預測IC!P21&gt;預測IC!P$26,1,0)</f>
        <v>1</v>
      </c>
      <c r="Q21" s="9">
        <f>IF(預測IC!Q21&gt;預測IC!Q$26,1,0)</f>
        <v>1</v>
      </c>
      <c r="R21" s="9">
        <f>IF(預測IC!R21&gt;預測IC!R$26,1,0)</f>
        <v>1</v>
      </c>
      <c r="S21" s="9">
        <f>IF(預測IC!S21&gt;預測IC!S$26,1,0)</f>
        <v>0</v>
      </c>
      <c r="T21" s="9">
        <f>IF(預測IC!T21&gt;預測IC!T$26,1,0)</f>
        <v>1</v>
      </c>
      <c r="U21" s="9">
        <f>IF(預測IC!U21&gt;預測IC!U$26,1,0)</f>
        <v>1</v>
      </c>
      <c r="V21" s="9">
        <f>IF(預測IC!V21&gt;預測IC!V$26,1,0)</f>
        <v>0</v>
      </c>
      <c r="W21" s="9">
        <f>IF(預測IC!W21&gt;預測IC!W$26,1,0)</f>
        <v>1</v>
      </c>
      <c r="X21" s="9">
        <f>IF(預測IC!X21&gt;預測IC!X$26,1,0)</f>
        <v>1</v>
      </c>
      <c r="Y21" s="9">
        <f>IF(預測IC!Y21&gt;預測IC!Y$26,1,0)</f>
        <v>1</v>
      </c>
      <c r="Z21" s="9">
        <f>IF(預測IC!Z21&gt;預測IC!Z$26,1,0)</f>
        <v>1</v>
      </c>
      <c r="AA21" s="9">
        <f>IF(預測IC!AA21&gt;預測IC!AA$26,1,0)</f>
        <v>1</v>
      </c>
      <c r="AB21" s="9">
        <f>IF(預測IC!AB21&gt;預測IC!AB$26,1,0)</f>
        <v>0</v>
      </c>
      <c r="AC21" s="9">
        <f>IF(預測IC!AC21&gt;預測IC!AC$26,1,0)</f>
        <v>0</v>
      </c>
      <c r="AD21" s="9">
        <f>IF(預測IC!AD21&gt;預測IC!AD$26,1,0)</f>
        <v>1</v>
      </c>
      <c r="AE21" s="9">
        <f>IF(預測IC!AE21&gt;預測IC!AE$26,1,0)</f>
        <v>0</v>
      </c>
      <c r="AF21" s="9">
        <f>IF(預測IC!AF21&gt;預測IC!AF$26,1,0)</f>
        <v>1</v>
      </c>
      <c r="AG21" s="9">
        <f>IF(預測IC!AG21&gt;預測IC!AG$26,1,0)</f>
        <v>0</v>
      </c>
      <c r="AH21" s="9">
        <f>IF(預測IC!AH21&gt;預測IC!AH$26,1,0)</f>
        <v>0</v>
      </c>
      <c r="AI21" s="9">
        <f>IF(預測IC!AI21&gt;預測IC!AI$26,1,0)</f>
        <v>1</v>
      </c>
      <c r="AJ21" s="9">
        <f>IF(預測IC!AJ21&gt;預測IC!AJ$26,1,0)</f>
        <v>0</v>
      </c>
      <c r="AK21" s="9">
        <f>IF(預測IC!AK21&gt;預測IC!AK$26,1,0)</f>
        <v>0</v>
      </c>
      <c r="AL21" s="9">
        <f>IF(預測IC!AL21&gt;預測IC!AL$26,1,0)</f>
        <v>1</v>
      </c>
      <c r="AM21" s="9">
        <f>IF(預測IC!AM21&gt;預測IC!AM$26,1,0)</f>
        <v>1</v>
      </c>
      <c r="AN21" s="9">
        <f>IF(預測IC!AN21&gt;預測IC!AN$26,1,0)</f>
        <v>1</v>
      </c>
      <c r="AO21" s="9">
        <f>IF(預測IC!AO21&gt;預測IC!AO$26,1,0)</f>
        <v>1</v>
      </c>
      <c r="AP21" s="9">
        <f>IF(預測IC!AP21&gt;預測IC!AP$26,1,0)</f>
        <v>0</v>
      </c>
      <c r="AQ21" s="9">
        <f>IF(預測IC!AQ21&gt;預測IC!AQ$26,1,0)</f>
        <v>1</v>
      </c>
      <c r="AR21" s="9">
        <f>IF(預測IC!AR21&gt;預測IC!AR$26,1,0)</f>
        <v>1</v>
      </c>
      <c r="AS21" s="9">
        <f>IF(預測IC!AS21&gt;預測IC!AS$26,1,0)</f>
        <v>1</v>
      </c>
      <c r="AT21" s="9">
        <f>IF(預測IC!AT21&gt;預測IC!AT$26,1,0)</f>
        <v>0</v>
      </c>
      <c r="AU21" s="9">
        <f>IF(預測IC!AU21&gt;預測IC!AU$26,1,0)</f>
        <v>1</v>
      </c>
      <c r="AV21" s="9">
        <f>IF(預測IC!AV21&gt;預測IC!AV$26,1,0)</f>
        <v>0</v>
      </c>
      <c r="AW21" s="9">
        <f>IF(預測IC!AW21&gt;預測IC!AW$26,1,0)</f>
        <v>1</v>
      </c>
      <c r="AX21" s="9">
        <f>IF(預測IC!AX21&gt;預測IC!AX$26,1,0)</f>
        <v>1</v>
      </c>
      <c r="AY21" s="9">
        <f>IF(預測IC!AY21&gt;預測IC!AY$26,1,0)</f>
        <v>1</v>
      </c>
      <c r="AZ21" s="9">
        <f>IF(預測IC!AZ21&gt;預測IC!AZ$26,1,0)</f>
        <v>0</v>
      </c>
      <c r="BA21" s="9">
        <f>IF(預測IC!BA21&gt;預測IC!BA$26,1,0)</f>
        <v>1</v>
      </c>
      <c r="BB21" s="9">
        <f>IF(預測IC!BB21&gt;預測IC!BB$26,1,0)</f>
        <v>1</v>
      </c>
      <c r="BC21" s="9">
        <f>IF(預測IC!BC21&gt;預測IC!BC$26,1,0)</f>
        <v>1</v>
      </c>
      <c r="BD21" s="9">
        <f>IF(預測IC!BD21&gt;預測IC!BD$26,1,0)</f>
        <v>0</v>
      </c>
      <c r="BE21" s="9">
        <f>IF(預測IC!BE21&gt;預測IC!BE$26,1,0)</f>
        <v>0</v>
      </c>
      <c r="BF21" s="9">
        <f>IF(預測IC!BF21&gt;預測IC!BF$26,1,0)</f>
        <v>1</v>
      </c>
      <c r="BG21" s="9">
        <f>IF(預測IC!BG21&gt;預測IC!BG$26,1,0)</f>
        <v>1</v>
      </c>
      <c r="BH21" s="9">
        <f>IF(預測IC!BH21&gt;預測IC!BH$26,1,0)</f>
        <v>1</v>
      </c>
      <c r="BI21" s="9">
        <f>IF(預測IC!BI21&gt;預測IC!BI$26,1,0)</f>
        <v>1</v>
      </c>
      <c r="BJ21" s="9">
        <f>IF(預測IC!BJ21&gt;預測IC!BJ$26,1,0)</f>
        <v>1</v>
      </c>
      <c r="BK21" s="9">
        <f>IF(預測IC!BK21&gt;預測IC!BK$26,1,0)</f>
        <v>0</v>
      </c>
      <c r="BL21" s="9">
        <f>IF(預測IC!BL21&gt;預測IC!BL$26,1,0)</f>
        <v>1</v>
      </c>
      <c r="BM21" s="9">
        <f>IF(預測IC!BM21&gt;預測IC!BM$26,1,0)</f>
        <v>0</v>
      </c>
      <c r="BN21" s="9">
        <f>IF(預測IC!BN21&gt;預測IC!BN$26,1,0)</f>
        <v>1</v>
      </c>
      <c r="BO21" s="9">
        <f>IF(預測IC!BO21&gt;預測IC!BO$26,1,0)</f>
        <v>1</v>
      </c>
      <c r="BP21" s="9">
        <f>IF(預測IC!BP21&gt;預測IC!BP$26,1,0)</f>
        <v>1</v>
      </c>
      <c r="BQ21" s="9">
        <f>IF(預測IC!BQ21&gt;預測IC!BQ$26,1,0)</f>
        <v>1</v>
      </c>
      <c r="BR21" s="9">
        <f>IF(預測IC!BR21&gt;預測IC!BR$26,1,0)</f>
        <v>1</v>
      </c>
      <c r="BS21" s="9">
        <f>IF(預測IC!BS21&gt;預測IC!BS$26,1,0)</f>
        <v>0</v>
      </c>
      <c r="BT21" s="9">
        <f>IF(預測IC!BT21&gt;預測IC!BT$26,1,0)</f>
        <v>1</v>
      </c>
      <c r="BU21" s="9">
        <f>IF(預測IC!BU21&gt;預測IC!BU$26,1,0)</f>
        <v>1</v>
      </c>
      <c r="BV21" s="9">
        <f>IF(預測IC!BV21&gt;預測IC!BV$26,1,0)</f>
        <v>1</v>
      </c>
      <c r="BW21" s="9">
        <f>IF(預測IC!BW21&gt;預測IC!BW$26,1,0)</f>
        <v>0</v>
      </c>
      <c r="BX21" s="9">
        <f>IF(預測IC!BX21&gt;預測IC!BX$26,1,0)</f>
        <v>1</v>
      </c>
      <c r="BY21" s="9">
        <f>IF(預測IC!BY21&gt;預測IC!BY$26,1,0)</f>
        <v>1</v>
      </c>
      <c r="BZ21" s="9">
        <f>IF(預測IC!BZ21&gt;預測IC!BZ$26,1,0)</f>
        <v>0</v>
      </c>
      <c r="CA21" s="9">
        <f>IF(預測IC!CA21&gt;預測IC!CA$26,1,0)</f>
        <v>0</v>
      </c>
      <c r="CB21" s="9">
        <f>IF(預測IC!CB21&gt;預測IC!CB$26,1,0)</f>
        <v>0</v>
      </c>
      <c r="CC21" s="9">
        <f>IF(預測IC!CC21&gt;預測IC!CC$26,1,0)</f>
        <v>0</v>
      </c>
      <c r="CD21" s="9">
        <f>IF(預測IC!CD21&gt;預測IC!CD$26,1,0)</f>
        <v>1</v>
      </c>
      <c r="CE21" s="9">
        <f>IF(預測IC!CE21&gt;預測IC!CE$26,1,0)</f>
        <v>1</v>
      </c>
      <c r="CF21" s="9">
        <f>IF(預測IC!CF21&gt;預測IC!CF$26,1,0)</f>
        <v>0</v>
      </c>
      <c r="CG21" s="9">
        <f>IF(預測IC!CG21&gt;預測IC!CG$26,1,0)</f>
        <v>1</v>
      </c>
      <c r="CH21" s="9">
        <f>IF(預測IC!CH21&gt;預測IC!CH$26,1,0)</f>
        <v>1</v>
      </c>
      <c r="CI21" s="9">
        <f>IF(預測IC!CI21&gt;預測IC!CI$26,1,0)</f>
        <v>0</v>
      </c>
      <c r="CJ21" s="9">
        <f>IF(預測IC!CJ21&gt;預測IC!CJ$26,1,0)</f>
        <v>0</v>
      </c>
      <c r="CK21" s="9">
        <f>IF(預測IC!CK21&gt;預測IC!CK$26,1,0)</f>
        <v>1</v>
      </c>
      <c r="CL21" s="9">
        <f>IF(預測IC!CL21&gt;預測IC!CL$26,1,0)</f>
        <v>0</v>
      </c>
      <c r="CM21" s="9">
        <f>IF(預測IC!CM21&gt;預測IC!CM$26,1,0)</f>
        <v>1</v>
      </c>
      <c r="CN21" s="9">
        <f>IF(預測IC!CN21&gt;預測IC!CN$26,1,0)</f>
        <v>0</v>
      </c>
      <c r="CO21" s="9">
        <f>IF(預測IC!CO21&gt;預測IC!CO$26,1,0)</f>
        <v>0</v>
      </c>
      <c r="CP21" s="9">
        <f>IF(預測IC!CP21&gt;預測IC!CP$26,1,0)</f>
        <v>1</v>
      </c>
      <c r="CQ21" s="9">
        <f>IF(預測IC!CQ21&gt;預測IC!CQ$26,1,0)</f>
        <v>1</v>
      </c>
      <c r="CR21" s="9">
        <f>IF(預測IC!CR21&gt;預測IC!CR$26,1,0)</f>
        <v>1</v>
      </c>
      <c r="CS21" s="9">
        <f>IF(預測IC!CS21&gt;預測IC!CS$26,1,0)</f>
        <v>1</v>
      </c>
      <c r="CT21" s="9">
        <f>IF(預測IC!CT21&gt;預測IC!CT$26,1,0)</f>
        <v>1</v>
      </c>
      <c r="CU21" s="9">
        <f>IF(預測IC!CU21&gt;預測IC!CU$26,1,0)</f>
        <v>0</v>
      </c>
      <c r="CV21" s="9">
        <f>IF(預測IC!CV21&gt;預測IC!CV$26,1,0)</f>
        <v>1</v>
      </c>
      <c r="CW21" s="9">
        <f>IF(預測IC!CW21&gt;預測IC!CW$26,1,0)</f>
        <v>1</v>
      </c>
      <c r="CX21" s="9">
        <f>IF(預測IC!CX21&gt;預測IC!CX$26,1,0)</f>
        <v>1</v>
      </c>
      <c r="CY21" s="9">
        <f>IF(預測IC!CY21&gt;預測IC!CY$26,1,0)</f>
        <v>0</v>
      </c>
      <c r="CZ21" s="9">
        <f>IF(預測IC!CZ21&gt;預測IC!CZ$26,1,0)</f>
        <v>1</v>
      </c>
      <c r="DA21" s="9">
        <f>IF(預測IC!DA21&gt;預測IC!DA$26,1,0)</f>
        <v>0</v>
      </c>
      <c r="DB21" s="9">
        <f>IF(預測IC!DB21&gt;預測IC!DB$26,1,0)</f>
        <v>1</v>
      </c>
      <c r="DC21" s="9">
        <f>IF(預測IC!DC21&gt;預測IC!DC$26,1,0)</f>
        <v>1</v>
      </c>
      <c r="DD21" s="9">
        <f>IF(預測IC!DD21&gt;預測IC!DD$26,1,0)</f>
        <v>0</v>
      </c>
      <c r="DE21" s="9">
        <f>IF(預測IC!DE21&gt;預測IC!DE$26,1,0)</f>
        <v>0</v>
      </c>
      <c r="DF21" s="9">
        <f>IF(預測IC!DF21&gt;預測IC!DF$26,1,0)</f>
        <v>1</v>
      </c>
      <c r="DG21" s="9">
        <f>IF(預測IC!DG21&gt;預測IC!DG$26,1,0)</f>
        <v>0</v>
      </c>
      <c r="DH21" s="9">
        <f>IF(預測IC!DH21&gt;預測IC!DH$26,1,0)</f>
        <v>0</v>
      </c>
      <c r="DI21" s="9">
        <f>IF(預測IC!DI21&gt;預測IC!DI$26,1,0)</f>
        <v>1</v>
      </c>
      <c r="DJ21" s="9">
        <f>IF(預測IC!DJ21&gt;預測IC!DJ$26,1,0)</f>
        <v>1</v>
      </c>
      <c r="DK21" s="9">
        <f>IF(預測IC!DK21&gt;預測IC!DK$26,1,0)</f>
        <v>1</v>
      </c>
      <c r="DL21" s="9">
        <f>IF(預測IC!DL21&gt;預測IC!DL$26,1,0)</f>
        <v>1</v>
      </c>
      <c r="DM21" s="9">
        <f>IF(預測IC!DM21&gt;預測IC!DM$26,1,0)</f>
        <v>0</v>
      </c>
      <c r="DN21" s="9">
        <f>IF(預測IC!DN21&gt;預測IC!DN$26,1,0)</f>
        <v>1</v>
      </c>
      <c r="DO21" s="9">
        <f>IF(預測IC!DO21&gt;預測IC!DO$26,1,0)</f>
        <v>1</v>
      </c>
      <c r="DP21" s="9">
        <f>IF(預測IC!DP21&gt;預測IC!DP$26,1,0)</f>
        <v>1</v>
      </c>
      <c r="DQ21" s="9">
        <f>IF(預測IC!DQ21&gt;預測IC!DQ$26,1,0)</f>
        <v>0</v>
      </c>
      <c r="DR21" s="9">
        <f>IF(預測IC!DR21&gt;預測IC!DR$26,1,0)</f>
        <v>1</v>
      </c>
      <c r="DS21" s="9">
        <f>IF(預測IC!DS21&gt;預測IC!DS$26,1,0)</f>
        <v>0</v>
      </c>
      <c r="DT21" s="9">
        <f>IF(預測IC!DT21&gt;預測IC!DT$26,1,0)</f>
        <v>0</v>
      </c>
      <c r="DU21" s="9">
        <f>IF(預測IC!DU21&gt;預測IC!DU$26,1,0)</f>
        <v>0</v>
      </c>
      <c r="DV21" s="9">
        <f>IF(預測IC!DV21&gt;預測IC!DV$26,1,0)</f>
        <v>1</v>
      </c>
      <c r="DW21" s="9">
        <f>IF(預測IC!DW21&gt;預測IC!DW$26,1,0)</f>
        <v>1</v>
      </c>
      <c r="DX21" s="9">
        <f>IF(預測IC!DX21&gt;預測IC!DX$26,1,0)</f>
        <v>0</v>
      </c>
      <c r="DY21" s="9">
        <f>IF(預測IC!DY21&gt;預測IC!DY$26,1,0)</f>
        <v>1</v>
      </c>
      <c r="DZ21" s="9">
        <f>IF(預測IC!DZ21&gt;預測IC!DZ$26,1,0)</f>
        <v>1</v>
      </c>
      <c r="EA21" s="9">
        <f>IF(預測IC!EA21&gt;預測IC!EA$26,1,0)</f>
        <v>1</v>
      </c>
      <c r="EB21" s="9">
        <f>IF(預測IC!EB21&gt;預測IC!EB$26,1,0)</f>
        <v>0</v>
      </c>
      <c r="EC21" s="9">
        <f>IF(預測IC!EC21&gt;預測IC!EC$26,1,0)</f>
        <v>1</v>
      </c>
      <c r="ED21" s="9">
        <f>IF(預測IC!ED21&gt;預測IC!ED$26,1,0)</f>
        <v>0</v>
      </c>
      <c r="EE21" s="9">
        <f>IF(預測IC!EE21&gt;預測IC!EE$26,1,0)</f>
        <v>0</v>
      </c>
      <c r="EF21" s="9">
        <f>IF(預測IC!EF21&gt;預測IC!EF$26,1,0)</f>
        <v>1</v>
      </c>
      <c r="EG21" s="2">
        <f t="shared" si="10"/>
        <v>84</v>
      </c>
      <c r="EH21" s="16">
        <f t="shared" si="11"/>
        <v>0.62686567164179108</v>
      </c>
    </row>
    <row r="22" spans="1:138">
      <c r="A22" s="4">
        <v>321</v>
      </c>
      <c r="B22" s="4">
        <v>3</v>
      </c>
      <c r="C22" s="9">
        <f>IF(預測IC!C22&gt;預測IC!C$26,1,0)</f>
        <v>1</v>
      </c>
      <c r="D22" s="9">
        <f>IF(預測IC!D22&gt;預測IC!D$26,1,0)</f>
        <v>1</v>
      </c>
      <c r="E22" s="9">
        <f>IF(預測IC!E22&gt;預測IC!E$26,1,0)</f>
        <v>0</v>
      </c>
      <c r="F22" s="9">
        <f>IF(預測IC!F22&gt;預測IC!F$26,1,0)</f>
        <v>0</v>
      </c>
      <c r="G22" s="9">
        <f>IF(預測IC!G22&gt;預測IC!G$26,1,0)</f>
        <v>1</v>
      </c>
      <c r="H22" s="9">
        <f>IF(預測IC!H22&gt;預測IC!H$26,1,0)</f>
        <v>1</v>
      </c>
      <c r="I22" s="9">
        <f>IF(預測IC!I22&gt;預測IC!I$26,1,0)</f>
        <v>1</v>
      </c>
      <c r="J22" s="9">
        <f>IF(預測IC!J22&gt;預測IC!J$26,1,0)</f>
        <v>0</v>
      </c>
      <c r="K22" s="9">
        <f>IF(預測IC!K22&gt;預測IC!K$26,1,0)</f>
        <v>1</v>
      </c>
      <c r="L22" s="9">
        <f>IF(預測IC!L22&gt;預測IC!L$26,1,0)</f>
        <v>1</v>
      </c>
      <c r="M22" s="9">
        <f>IF(預測IC!M22&gt;預測IC!M$26,1,0)</f>
        <v>0</v>
      </c>
      <c r="N22" s="9">
        <f>IF(預測IC!N22&gt;預測IC!N$26,1,0)</f>
        <v>1</v>
      </c>
      <c r="O22" s="9">
        <f>IF(預測IC!O22&gt;預測IC!O$26,1,0)</f>
        <v>0</v>
      </c>
      <c r="P22" s="9">
        <f>IF(預測IC!P22&gt;預測IC!P$26,1,0)</f>
        <v>1</v>
      </c>
      <c r="Q22" s="9">
        <f>IF(預測IC!Q22&gt;預測IC!Q$26,1,0)</f>
        <v>1</v>
      </c>
      <c r="R22" s="9">
        <f>IF(預測IC!R22&gt;預測IC!R$26,1,0)</f>
        <v>1</v>
      </c>
      <c r="S22" s="9">
        <f>IF(預測IC!S22&gt;預測IC!S$26,1,0)</f>
        <v>0</v>
      </c>
      <c r="T22" s="9">
        <f>IF(預測IC!T22&gt;預測IC!T$26,1,0)</f>
        <v>0</v>
      </c>
      <c r="U22" s="9">
        <f>IF(預測IC!U22&gt;預測IC!U$26,1,0)</f>
        <v>1</v>
      </c>
      <c r="V22" s="9">
        <f>IF(預測IC!V22&gt;預測IC!V$26,1,0)</f>
        <v>0</v>
      </c>
      <c r="W22" s="9">
        <f>IF(預測IC!W22&gt;預測IC!W$26,1,0)</f>
        <v>1</v>
      </c>
      <c r="X22" s="9">
        <f>IF(預測IC!X22&gt;預測IC!X$26,1,0)</f>
        <v>1</v>
      </c>
      <c r="Y22" s="9">
        <f>IF(預測IC!Y22&gt;預測IC!Y$26,1,0)</f>
        <v>0</v>
      </c>
      <c r="Z22" s="9">
        <f>IF(預測IC!Z22&gt;預測IC!Z$26,1,0)</f>
        <v>1</v>
      </c>
      <c r="AA22" s="9">
        <f>IF(預測IC!AA22&gt;預測IC!AA$26,1,0)</f>
        <v>1</v>
      </c>
      <c r="AB22" s="9">
        <f>IF(預測IC!AB22&gt;預測IC!AB$26,1,0)</f>
        <v>0</v>
      </c>
      <c r="AC22" s="9">
        <f>IF(預測IC!AC22&gt;預測IC!AC$26,1,0)</f>
        <v>0</v>
      </c>
      <c r="AD22" s="9">
        <f>IF(預測IC!AD22&gt;預測IC!AD$26,1,0)</f>
        <v>1</v>
      </c>
      <c r="AE22" s="9">
        <f>IF(預測IC!AE22&gt;預測IC!AE$26,1,0)</f>
        <v>0</v>
      </c>
      <c r="AF22" s="9">
        <f>IF(預測IC!AF22&gt;預測IC!AF$26,1,0)</f>
        <v>1</v>
      </c>
      <c r="AG22" s="9">
        <f>IF(預測IC!AG22&gt;預測IC!AG$26,1,0)</f>
        <v>0</v>
      </c>
      <c r="AH22" s="9">
        <f>IF(預測IC!AH22&gt;預測IC!AH$26,1,0)</f>
        <v>0</v>
      </c>
      <c r="AI22" s="9">
        <f>IF(預測IC!AI22&gt;預測IC!AI$26,1,0)</f>
        <v>1</v>
      </c>
      <c r="AJ22" s="9">
        <f>IF(預測IC!AJ22&gt;預測IC!AJ$26,1,0)</f>
        <v>0</v>
      </c>
      <c r="AK22" s="9">
        <f>IF(預測IC!AK22&gt;預測IC!AK$26,1,0)</f>
        <v>1</v>
      </c>
      <c r="AL22" s="9">
        <f>IF(預測IC!AL22&gt;預測IC!AL$26,1,0)</f>
        <v>1</v>
      </c>
      <c r="AM22" s="9">
        <f>IF(預測IC!AM22&gt;預測IC!AM$26,1,0)</f>
        <v>1</v>
      </c>
      <c r="AN22" s="9">
        <f>IF(預測IC!AN22&gt;預測IC!AN$26,1,0)</f>
        <v>1</v>
      </c>
      <c r="AO22" s="9">
        <f>IF(預測IC!AO22&gt;預測IC!AO$26,1,0)</f>
        <v>1</v>
      </c>
      <c r="AP22" s="9">
        <f>IF(預測IC!AP22&gt;預測IC!AP$26,1,0)</f>
        <v>0</v>
      </c>
      <c r="AQ22" s="9">
        <f>IF(預測IC!AQ22&gt;預測IC!AQ$26,1,0)</f>
        <v>0</v>
      </c>
      <c r="AR22" s="9">
        <f>IF(預測IC!AR22&gt;預測IC!AR$26,1,0)</f>
        <v>1</v>
      </c>
      <c r="AS22" s="9">
        <f>IF(預測IC!AS22&gt;預測IC!AS$26,1,0)</f>
        <v>1</v>
      </c>
      <c r="AT22" s="9">
        <f>IF(預測IC!AT22&gt;預測IC!AT$26,1,0)</f>
        <v>0</v>
      </c>
      <c r="AU22" s="9">
        <f>IF(預測IC!AU22&gt;預測IC!AU$26,1,0)</f>
        <v>1</v>
      </c>
      <c r="AV22" s="9">
        <f>IF(預測IC!AV22&gt;預測IC!AV$26,1,0)</f>
        <v>0</v>
      </c>
      <c r="AW22" s="9">
        <f>IF(預測IC!AW22&gt;預測IC!AW$26,1,0)</f>
        <v>0</v>
      </c>
      <c r="AX22" s="9">
        <f>IF(預測IC!AX22&gt;預測IC!AX$26,1,0)</f>
        <v>1</v>
      </c>
      <c r="AY22" s="9">
        <f>IF(預測IC!AY22&gt;預測IC!AY$26,1,0)</f>
        <v>1</v>
      </c>
      <c r="AZ22" s="9">
        <f>IF(預測IC!AZ22&gt;預測IC!AZ$26,1,0)</f>
        <v>0</v>
      </c>
      <c r="BA22" s="9">
        <f>IF(預測IC!BA22&gt;預測IC!BA$26,1,0)</f>
        <v>1</v>
      </c>
      <c r="BB22" s="9">
        <f>IF(預測IC!BB22&gt;預測IC!BB$26,1,0)</f>
        <v>1</v>
      </c>
      <c r="BC22" s="9">
        <f>IF(預測IC!BC22&gt;預測IC!BC$26,1,0)</f>
        <v>0</v>
      </c>
      <c r="BD22" s="9">
        <f>IF(預測IC!BD22&gt;預測IC!BD$26,1,0)</f>
        <v>1</v>
      </c>
      <c r="BE22" s="9">
        <f>IF(預測IC!BE22&gt;預測IC!BE$26,1,0)</f>
        <v>1</v>
      </c>
      <c r="BF22" s="9">
        <f>IF(預測IC!BF22&gt;預測IC!BF$26,1,0)</f>
        <v>1</v>
      </c>
      <c r="BG22" s="9">
        <f>IF(預測IC!BG22&gt;預測IC!BG$26,1,0)</f>
        <v>1</v>
      </c>
      <c r="BH22" s="9">
        <f>IF(預測IC!BH22&gt;預測IC!BH$26,1,0)</f>
        <v>0</v>
      </c>
      <c r="BI22" s="9">
        <f>IF(預測IC!BI22&gt;預測IC!BI$26,1,0)</f>
        <v>1</v>
      </c>
      <c r="BJ22" s="9">
        <f>IF(預測IC!BJ22&gt;預測IC!BJ$26,1,0)</f>
        <v>1</v>
      </c>
      <c r="BK22" s="9">
        <f>IF(預測IC!BK22&gt;預測IC!BK$26,1,0)</f>
        <v>0</v>
      </c>
      <c r="BL22" s="9">
        <f>IF(預測IC!BL22&gt;預測IC!BL$26,1,0)</f>
        <v>1</v>
      </c>
      <c r="BM22" s="9">
        <f>IF(預測IC!BM22&gt;預測IC!BM$26,1,0)</f>
        <v>0</v>
      </c>
      <c r="BN22" s="9">
        <f>IF(預測IC!BN22&gt;預測IC!BN$26,1,0)</f>
        <v>0</v>
      </c>
      <c r="BO22" s="9">
        <f>IF(預測IC!BO22&gt;預測IC!BO$26,1,0)</f>
        <v>0</v>
      </c>
      <c r="BP22" s="9">
        <f>IF(預測IC!BP22&gt;預測IC!BP$26,1,0)</f>
        <v>1</v>
      </c>
      <c r="BQ22" s="9">
        <f>IF(預測IC!BQ22&gt;預測IC!BQ$26,1,0)</f>
        <v>1</v>
      </c>
      <c r="BR22" s="9">
        <f>IF(預測IC!BR22&gt;預測IC!BR$26,1,0)</f>
        <v>1</v>
      </c>
      <c r="BS22" s="9">
        <f>IF(預測IC!BS22&gt;預測IC!BS$26,1,0)</f>
        <v>0</v>
      </c>
      <c r="BT22" s="9">
        <f>IF(預測IC!BT22&gt;預測IC!BT$26,1,0)</f>
        <v>1</v>
      </c>
      <c r="BU22" s="9">
        <f>IF(預測IC!BU22&gt;預測IC!BU$26,1,0)</f>
        <v>1</v>
      </c>
      <c r="BV22" s="9">
        <f>IF(預測IC!BV22&gt;預測IC!BV$26,1,0)</f>
        <v>1</v>
      </c>
      <c r="BW22" s="9">
        <f>IF(預測IC!BW22&gt;預測IC!BW$26,1,0)</f>
        <v>0</v>
      </c>
      <c r="BX22" s="9">
        <f>IF(預測IC!BX22&gt;預測IC!BX$26,1,0)</f>
        <v>1</v>
      </c>
      <c r="BY22" s="9">
        <f>IF(預測IC!BY22&gt;預測IC!BY$26,1,0)</f>
        <v>1</v>
      </c>
      <c r="BZ22" s="9">
        <f>IF(預測IC!BZ22&gt;預測IC!BZ$26,1,0)</f>
        <v>0</v>
      </c>
      <c r="CA22" s="9">
        <f>IF(預測IC!CA22&gt;預測IC!CA$26,1,0)</f>
        <v>0</v>
      </c>
      <c r="CB22" s="9">
        <f>IF(預測IC!CB22&gt;預測IC!CB$26,1,0)</f>
        <v>0</v>
      </c>
      <c r="CC22" s="9">
        <f>IF(預測IC!CC22&gt;預測IC!CC$26,1,0)</f>
        <v>0</v>
      </c>
      <c r="CD22" s="9">
        <f>IF(預測IC!CD22&gt;預測IC!CD$26,1,0)</f>
        <v>1</v>
      </c>
      <c r="CE22" s="9">
        <f>IF(預測IC!CE22&gt;預測IC!CE$26,1,0)</f>
        <v>1</v>
      </c>
      <c r="CF22" s="9">
        <f>IF(預測IC!CF22&gt;預測IC!CF$26,1,0)</f>
        <v>0</v>
      </c>
      <c r="CG22" s="9">
        <f>IF(預測IC!CG22&gt;預測IC!CG$26,1,0)</f>
        <v>1</v>
      </c>
      <c r="CH22" s="9">
        <f>IF(預測IC!CH22&gt;預測IC!CH$26,1,0)</f>
        <v>1</v>
      </c>
      <c r="CI22" s="9">
        <f>IF(預測IC!CI22&gt;預測IC!CI$26,1,0)</f>
        <v>0</v>
      </c>
      <c r="CJ22" s="9">
        <f>IF(預測IC!CJ22&gt;預測IC!CJ$26,1,0)</f>
        <v>0</v>
      </c>
      <c r="CK22" s="9">
        <f>IF(預測IC!CK22&gt;預測IC!CK$26,1,0)</f>
        <v>1</v>
      </c>
      <c r="CL22" s="9">
        <f>IF(預測IC!CL22&gt;預測IC!CL$26,1,0)</f>
        <v>0</v>
      </c>
      <c r="CM22" s="9">
        <f>IF(預測IC!CM22&gt;預測IC!CM$26,1,0)</f>
        <v>1</v>
      </c>
      <c r="CN22" s="9">
        <f>IF(預測IC!CN22&gt;預測IC!CN$26,1,0)</f>
        <v>0</v>
      </c>
      <c r="CO22" s="9">
        <f>IF(預測IC!CO22&gt;預測IC!CO$26,1,0)</f>
        <v>0</v>
      </c>
      <c r="CP22" s="9">
        <f>IF(預測IC!CP22&gt;預測IC!CP$26,1,0)</f>
        <v>1</v>
      </c>
      <c r="CQ22" s="9">
        <f>IF(預測IC!CQ22&gt;預測IC!CQ$26,1,0)</f>
        <v>1</v>
      </c>
      <c r="CR22" s="9">
        <f>IF(預測IC!CR22&gt;預測IC!CR$26,1,0)</f>
        <v>0</v>
      </c>
      <c r="CS22" s="9">
        <f>IF(預測IC!CS22&gt;預測IC!CS$26,1,0)</f>
        <v>0</v>
      </c>
      <c r="CT22" s="9">
        <f>IF(預測IC!CT22&gt;預測IC!CT$26,1,0)</f>
        <v>1</v>
      </c>
      <c r="CU22" s="9">
        <f>IF(預測IC!CU22&gt;預測IC!CU$26,1,0)</f>
        <v>0</v>
      </c>
      <c r="CV22" s="9">
        <f>IF(預測IC!CV22&gt;預測IC!CV$26,1,0)</f>
        <v>1</v>
      </c>
      <c r="CW22" s="9">
        <f>IF(預測IC!CW22&gt;預測IC!CW$26,1,0)</f>
        <v>1</v>
      </c>
      <c r="CX22" s="9">
        <f>IF(預測IC!CX22&gt;預測IC!CX$26,1,0)</f>
        <v>1</v>
      </c>
      <c r="CY22" s="9">
        <f>IF(預測IC!CY22&gt;預測IC!CY$26,1,0)</f>
        <v>0</v>
      </c>
      <c r="CZ22" s="9">
        <f>IF(預測IC!CZ22&gt;預測IC!CZ$26,1,0)</f>
        <v>1</v>
      </c>
      <c r="DA22" s="9">
        <f>IF(預測IC!DA22&gt;預測IC!DA$26,1,0)</f>
        <v>0</v>
      </c>
      <c r="DB22" s="9">
        <f>IF(預測IC!DB22&gt;預測IC!DB$26,1,0)</f>
        <v>1</v>
      </c>
      <c r="DC22" s="9">
        <f>IF(預測IC!DC22&gt;預測IC!DC$26,1,0)</f>
        <v>1</v>
      </c>
      <c r="DD22" s="9">
        <f>IF(預測IC!DD22&gt;預測IC!DD$26,1,0)</f>
        <v>1</v>
      </c>
      <c r="DE22" s="9">
        <f>IF(預測IC!DE22&gt;預測IC!DE$26,1,0)</f>
        <v>0</v>
      </c>
      <c r="DF22" s="9">
        <f>IF(預測IC!DF22&gt;預測IC!DF$26,1,0)</f>
        <v>1</v>
      </c>
      <c r="DG22" s="9">
        <f>IF(預測IC!DG22&gt;預測IC!DG$26,1,0)</f>
        <v>0</v>
      </c>
      <c r="DH22" s="9">
        <f>IF(預測IC!DH22&gt;預測IC!DH$26,1,0)</f>
        <v>0</v>
      </c>
      <c r="DI22" s="9">
        <f>IF(預測IC!DI22&gt;預測IC!DI$26,1,0)</f>
        <v>1</v>
      </c>
      <c r="DJ22" s="9">
        <f>IF(預測IC!DJ22&gt;預測IC!DJ$26,1,0)</f>
        <v>1</v>
      </c>
      <c r="DK22" s="9">
        <f>IF(預測IC!DK22&gt;預測IC!DK$26,1,0)</f>
        <v>1</v>
      </c>
      <c r="DL22" s="9">
        <f>IF(預測IC!DL22&gt;預測IC!DL$26,1,0)</f>
        <v>1</v>
      </c>
      <c r="DM22" s="9">
        <f>IF(預測IC!DM22&gt;預測IC!DM$26,1,0)</f>
        <v>0</v>
      </c>
      <c r="DN22" s="9">
        <f>IF(預測IC!DN22&gt;預測IC!DN$26,1,0)</f>
        <v>1</v>
      </c>
      <c r="DO22" s="9">
        <f>IF(預測IC!DO22&gt;預測IC!DO$26,1,0)</f>
        <v>1</v>
      </c>
      <c r="DP22" s="9">
        <f>IF(預測IC!DP22&gt;預測IC!DP$26,1,0)</f>
        <v>1</v>
      </c>
      <c r="DQ22" s="9">
        <f>IF(預測IC!DQ22&gt;預測IC!DQ$26,1,0)</f>
        <v>0</v>
      </c>
      <c r="DR22" s="9">
        <f>IF(預測IC!DR22&gt;預測IC!DR$26,1,0)</f>
        <v>0</v>
      </c>
      <c r="DS22" s="9">
        <f>IF(預測IC!DS22&gt;預測IC!DS$26,1,0)</f>
        <v>0</v>
      </c>
      <c r="DT22" s="9">
        <f>IF(預測IC!DT22&gt;預測IC!DT$26,1,0)</f>
        <v>0</v>
      </c>
      <c r="DU22" s="9">
        <f>IF(預測IC!DU22&gt;預測IC!DU$26,1,0)</f>
        <v>0</v>
      </c>
      <c r="DV22" s="9">
        <f>IF(預測IC!DV22&gt;預測IC!DV$26,1,0)</f>
        <v>1</v>
      </c>
      <c r="DW22" s="9">
        <f>IF(預測IC!DW22&gt;預測IC!DW$26,1,0)</f>
        <v>1</v>
      </c>
      <c r="DX22" s="9">
        <f>IF(預測IC!DX22&gt;預測IC!DX$26,1,0)</f>
        <v>0</v>
      </c>
      <c r="DY22" s="9">
        <f>IF(預測IC!DY22&gt;預測IC!DY$26,1,0)</f>
        <v>1</v>
      </c>
      <c r="DZ22" s="9">
        <f>IF(預測IC!DZ22&gt;預測IC!DZ$26,1,0)</f>
        <v>1</v>
      </c>
      <c r="EA22" s="9">
        <f>IF(預測IC!EA22&gt;預測IC!EA$26,1,0)</f>
        <v>1</v>
      </c>
      <c r="EB22" s="9">
        <f>IF(預測IC!EB22&gt;預測IC!EB$26,1,0)</f>
        <v>0</v>
      </c>
      <c r="EC22" s="9">
        <f>IF(預測IC!EC22&gt;預測IC!EC$26,1,0)</f>
        <v>1</v>
      </c>
      <c r="ED22" s="9">
        <f>IF(預測IC!ED22&gt;預測IC!ED$26,1,0)</f>
        <v>0</v>
      </c>
      <c r="EE22" s="9">
        <f>IF(預測IC!EE22&gt;預測IC!EE$26,1,0)</f>
        <v>1</v>
      </c>
      <c r="EF22" s="9">
        <f>IF(預測IC!EF22&gt;預測IC!EF$26,1,0)</f>
        <v>0</v>
      </c>
      <c r="EG22" s="2">
        <f t="shared" si="10"/>
        <v>77</v>
      </c>
      <c r="EH22" s="16">
        <f t="shared" si="11"/>
        <v>0.57462686567164178</v>
      </c>
    </row>
    <row r="23" spans="1:138">
      <c r="A23" s="4">
        <v>482</v>
      </c>
      <c r="B23" s="4">
        <v>2</v>
      </c>
      <c r="C23" s="9">
        <f>IF(預測IC!C23&gt;預測IC!C$26,1,0)</f>
        <v>1</v>
      </c>
      <c r="D23" s="9">
        <f>IF(預測IC!D23&gt;預測IC!D$26,1,0)</f>
        <v>1</v>
      </c>
      <c r="E23" s="9">
        <f>IF(預測IC!E23&gt;預測IC!E$26,1,0)</f>
        <v>1</v>
      </c>
      <c r="F23" s="9">
        <f>IF(預測IC!F23&gt;預測IC!F$26,1,0)</f>
        <v>1</v>
      </c>
      <c r="G23" s="9">
        <f>IF(預測IC!G23&gt;預測IC!G$26,1,0)</f>
        <v>1</v>
      </c>
      <c r="H23" s="9">
        <f>IF(預測IC!H23&gt;預測IC!H$26,1,0)</f>
        <v>0</v>
      </c>
      <c r="I23" s="9">
        <f>IF(預測IC!I23&gt;預測IC!I$26,1,0)</f>
        <v>0</v>
      </c>
      <c r="J23" s="9">
        <f>IF(預測IC!J23&gt;預測IC!J$26,1,0)</f>
        <v>0</v>
      </c>
      <c r="K23" s="9">
        <f>IF(預測IC!K23&gt;預測IC!K$26,1,0)</f>
        <v>0</v>
      </c>
      <c r="L23" s="9">
        <f>IF(預測IC!L23&gt;預測IC!L$26,1,0)</f>
        <v>1</v>
      </c>
      <c r="M23" s="9">
        <f>IF(預測IC!M23&gt;預測IC!M$26,1,0)</f>
        <v>0</v>
      </c>
      <c r="N23" s="9">
        <f>IF(預測IC!N23&gt;預測IC!N$26,1,0)</f>
        <v>1</v>
      </c>
      <c r="O23" s="9">
        <f>IF(預測IC!O23&gt;預測IC!O$26,1,0)</f>
        <v>0</v>
      </c>
      <c r="P23" s="9">
        <f>IF(預測IC!P23&gt;預測IC!P$26,1,0)</f>
        <v>1</v>
      </c>
      <c r="Q23" s="9">
        <f>IF(預測IC!Q23&gt;預測IC!Q$26,1,0)</f>
        <v>1</v>
      </c>
      <c r="R23" s="9">
        <f>IF(預測IC!R23&gt;預測IC!R$26,1,0)</f>
        <v>1</v>
      </c>
      <c r="S23" s="9">
        <f>IF(預測IC!S23&gt;預測IC!S$26,1,0)</f>
        <v>0</v>
      </c>
      <c r="T23" s="9">
        <f>IF(預測IC!T23&gt;預測IC!T$26,1,0)</f>
        <v>1</v>
      </c>
      <c r="U23" s="9">
        <f>IF(預測IC!U23&gt;預測IC!U$26,1,0)</f>
        <v>1</v>
      </c>
      <c r="V23" s="9">
        <f>IF(預測IC!V23&gt;預測IC!V$26,1,0)</f>
        <v>0</v>
      </c>
      <c r="W23" s="9">
        <f>IF(預測IC!W23&gt;預測IC!W$26,1,0)</f>
        <v>1</v>
      </c>
      <c r="X23" s="9">
        <f>IF(預測IC!X23&gt;預測IC!X$26,1,0)</f>
        <v>1</v>
      </c>
      <c r="Y23" s="9">
        <f>IF(預測IC!Y23&gt;預測IC!Y$26,1,0)</f>
        <v>0</v>
      </c>
      <c r="Z23" s="9">
        <f>IF(預測IC!Z23&gt;預測IC!Z$26,1,0)</f>
        <v>1</v>
      </c>
      <c r="AA23" s="9">
        <f>IF(預測IC!AA23&gt;預測IC!AA$26,1,0)</f>
        <v>1</v>
      </c>
      <c r="AB23" s="9">
        <f>IF(預測IC!AB23&gt;預測IC!AB$26,1,0)</f>
        <v>0</v>
      </c>
      <c r="AC23" s="9">
        <f>IF(預測IC!AC23&gt;預測IC!AC$26,1,0)</f>
        <v>0</v>
      </c>
      <c r="AD23" s="9">
        <f>IF(預測IC!AD23&gt;預測IC!AD$26,1,0)</f>
        <v>1</v>
      </c>
      <c r="AE23" s="9">
        <f>IF(預測IC!AE23&gt;預測IC!AE$26,1,0)</f>
        <v>0</v>
      </c>
      <c r="AF23" s="9">
        <f>IF(預測IC!AF23&gt;預測IC!AF$26,1,0)</f>
        <v>1</v>
      </c>
      <c r="AG23" s="9">
        <f>IF(預測IC!AG23&gt;預測IC!AG$26,1,0)</f>
        <v>0</v>
      </c>
      <c r="AH23" s="9">
        <f>IF(預測IC!AH23&gt;預測IC!AH$26,1,0)</f>
        <v>0</v>
      </c>
      <c r="AI23" s="9">
        <f>IF(預測IC!AI23&gt;預測IC!AI$26,1,0)</f>
        <v>1</v>
      </c>
      <c r="AJ23" s="9">
        <f>IF(預測IC!AJ23&gt;預測IC!AJ$26,1,0)</f>
        <v>1</v>
      </c>
      <c r="AK23" s="9">
        <f>IF(預測IC!AK23&gt;預測IC!AK$26,1,0)</f>
        <v>1</v>
      </c>
      <c r="AL23" s="9">
        <f>IF(預測IC!AL23&gt;預測IC!AL$26,1,0)</f>
        <v>1</v>
      </c>
      <c r="AM23" s="9">
        <f>IF(預測IC!AM23&gt;預測IC!AM$26,1,0)</f>
        <v>0</v>
      </c>
      <c r="AN23" s="9">
        <f>IF(預測IC!AN23&gt;預測IC!AN$26,1,0)</f>
        <v>1</v>
      </c>
      <c r="AO23" s="9">
        <f>IF(預測IC!AO23&gt;預測IC!AO$26,1,0)</f>
        <v>0</v>
      </c>
      <c r="AP23" s="9">
        <f>IF(預測IC!AP23&gt;預測IC!AP$26,1,0)</f>
        <v>0</v>
      </c>
      <c r="AQ23" s="9">
        <f>IF(預測IC!AQ23&gt;預測IC!AQ$26,1,0)</f>
        <v>1</v>
      </c>
      <c r="AR23" s="9">
        <f>IF(預測IC!AR23&gt;預測IC!AR$26,1,0)</f>
        <v>1</v>
      </c>
      <c r="AS23" s="9">
        <f>IF(預測IC!AS23&gt;預測IC!AS$26,1,0)</f>
        <v>0</v>
      </c>
      <c r="AT23" s="9">
        <f>IF(預測IC!AT23&gt;預測IC!AT$26,1,0)</f>
        <v>0</v>
      </c>
      <c r="AU23" s="9">
        <f>IF(預測IC!AU23&gt;預測IC!AU$26,1,0)</f>
        <v>1</v>
      </c>
      <c r="AV23" s="9">
        <f>IF(預測IC!AV23&gt;預測IC!AV$26,1,0)</f>
        <v>0</v>
      </c>
      <c r="AW23" s="9">
        <f>IF(預測IC!AW23&gt;預測IC!AW$26,1,0)</f>
        <v>0</v>
      </c>
      <c r="AX23" s="9">
        <f>IF(預測IC!AX23&gt;預測IC!AX$26,1,0)</f>
        <v>1</v>
      </c>
      <c r="AY23" s="9">
        <f>IF(預測IC!AY23&gt;預測IC!AY$26,1,0)</f>
        <v>1</v>
      </c>
      <c r="AZ23" s="9">
        <f>IF(預測IC!AZ23&gt;預測IC!AZ$26,1,0)</f>
        <v>0</v>
      </c>
      <c r="BA23" s="9">
        <f>IF(預測IC!BA23&gt;預測IC!BA$26,1,0)</f>
        <v>1</v>
      </c>
      <c r="BB23" s="9">
        <f>IF(預測IC!BB23&gt;預測IC!BB$26,1,0)</f>
        <v>1</v>
      </c>
      <c r="BC23" s="9">
        <f>IF(預測IC!BC23&gt;預測IC!BC$26,1,0)</f>
        <v>0</v>
      </c>
      <c r="BD23" s="9">
        <f>IF(預測IC!BD23&gt;預測IC!BD$26,1,0)</f>
        <v>1</v>
      </c>
      <c r="BE23" s="9">
        <f>IF(預測IC!BE23&gt;預測IC!BE$26,1,0)</f>
        <v>0</v>
      </c>
      <c r="BF23" s="9">
        <f>IF(預測IC!BF23&gt;預測IC!BF$26,1,0)</f>
        <v>0</v>
      </c>
      <c r="BG23" s="9">
        <f>IF(預測IC!BG23&gt;預測IC!BG$26,1,0)</f>
        <v>1</v>
      </c>
      <c r="BH23" s="9">
        <f>IF(預測IC!BH23&gt;預測IC!BH$26,1,0)</f>
        <v>0</v>
      </c>
      <c r="BI23" s="9">
        <f>IF(預測IC!BI23&gt;預測IC!BI$26,1,0)</f>
        <v>1</v>
      </c>
      <c r="BJ23" s="9">
        <f>IF(預測IC!BJ23&gt;預測IC!BJ$26,1,0)</f>
        <v>1</v>
      </c>
      <c r="BK23" s="9">
        <f>IF(預測IC!BK23&gt;預測IC!BK$26,1,0)</f>
        <v>0</v>
      </c>
      <c r="BL23" s="9">
        <f>IF(預測IC!BL23&gt;預測IC!BL$26,1,0)</f>
        <v>1</v>
      </c>
      <c r="BM23" s="9">
        <f>IF(預測IC!BM23&gt;預測IC!BM$26,1,0)</f>
        <v>1</v>
      </c>
      <c r="BN23" s="9">
        <f>IF(預測IC!BN23&gt;預測IC!BN$26,1,0)</f>
        <v>0</v>
      </c>
      <c r="BO23" s="9">
        <f>IF(預測IC!BO23&gt;預測IC!BO$26,1,0)</f>
        <v>0</v>
      </c>
      <c r="BP23" s="9">
        <f>IF(預測IC!BP23&gt;預測IC!BP$26,1,0)</f>
        <v>1</v>
      </c>
      <c r="BQ23" s="9">
        <f>IF(預測IC!BQ23&gt;預測IC!BQ$26,1,0)</f>
        <v>1</v>
      </c>
      <c r="BR23" s="9">
        <f>IF(預測IC!BR23&gt;預測IC!BR$26,1,0)</f>
        <v>1</v>
      </c>
      <c r="BS23" s="9">
        <f>IF(預測IC!BS23&gt;預測IC!BS$26,1,0)</f>
        <v>0</v>
      </c>
      <c r="BT23" s="9">
        <f>IF(預測IC!BT23&gt;預測IC!BT$26,1,0)</f>
        <v>1</v>
      </c>
      <c r="BU23" s="9">
        <f>IF(預測IC!BU23&gt;預測IC!BU$26,1,0)</f>
        <v>1</v>
      </c>
      <c r="BV23" s="9">
        <f>IF(預測IC!BV23&gt;預測IC!BV$26,1,0)</f>
        <v>1</v>
      </c>
      <c r="BW23" s="9">
        <f>IF(預測IC!BW23&gt;預測IC!BW$26,1,0)</f>
        <v>0</v>
      </c>
      <c r="BX23" s="9">
        <f>IF(預測IC!BX23&gt;預測IC!BX$26,1,0)</f>
        <v>1</v>
      </c>
      <c r="BY23" s="9">
        <f>IF(預測IC!BY23&gt;預測IC!BY$26,1,0)</f>
        <v>1</v>
      </c>
      <c r="BZ23" s="9">
        <f>IF(預測IC!BZ23&gt;預測IC!BZ$26,1,0)</f>
        <v>0</v>
      </c>
      <c r="CA23" s="9">
        <f>IF(預測IC!CA23&gt;預測IC!CA$26,1,0)</f>
        <v>0</v>
      </c>
      <c r="CB23" s="9">
        <f>IF(預測IC!CB23&gt;預測IC!CB$26,1,0)</f>
        <v>0</v>
      </c>
      <c r="CC23" s="9">
        <f>IF(預測IC!CC23&gt;預測IC!CC$26,1,0)</f>
        <v>0</v>
      </c>
      <c r="CD23" s="9">
        <f>IF(預測IC!CD23&gt;預測IC!CD$26,1,0)</f>
        <v>1</v>
      </c>
      <c r="CE23" s="9">
        <f>IF(預測IC!CE23&gt;預測IC!CE$26,1,0)</f>
        <v>1</v>
      </c>
      <c r="CF23" s="9">
        <f>IF(預測IC!CF23&gt;預測IC!CF$26,1,0)</f>
        <v>0</v>
      </c>
      <c r="CG23" s="9">
        <f>IF(預測IC!CG23&gt;預測IC!CG$26,1,0)</f>
        <v>1</v>
      </c>
      <c r="CH23" s="9">
        <f>IF(預測IC!CH23&gt;預測IC!CH$26,1,0)</f>
        <v>1</v>
      </c>
      <c r="CI23" s="9">
        <f>IF(預測IC!CI23&gt;預測IC!CI$26,1,0)</f>
        <v>0</v>
      </c>
      <c r="CJ23" s="9">
        <f>IF(預測IC!CJ23&gt;預測IC!CJ$26,1,0)</f>
        <v>0</v>
      </c>
      <c r="CK23" s="9">
        <f>IF(預測IC!CK23&gt;預測IC!CK$26,1,0)</f>
        <v>1</v>
      </c>
      <c r="CL23" s="9">
        <f>IF(預測IC!CL23&gt;預測IC!CL$26,1,0)</f>
        <v>0</v>
      </c>
      <c r="CM23" s="9">
        <f>IF(預測IC!CM23&gt;預測IC!CM$26,1,0)</f>
        <v>1</v>
      </c>
      <c r="CN23" s="9">
        <f>IF(預測IC!CN23&gt;預測IC!CN$26,1,0)</f>
        <v>0</v>
      </c>
      <c r="CO23" s="9">
        <f>IF(預測IC!CO23&gt;預測IC!CO$26,1,0)</f>
        <v>0</v>
      </c>
      <c r="CP23" s="9">
        <f>IF(預測IC!CP23&gt;預測IC!CP$26,1,0)</f>
        <v>1</v>
      </c>
      <c r="CQ23" s="9">
        <f>IF(預測IC!CQ23&gt;預測IC!CQ$26,1,0)</f>
        <v>1</v>
      </c>
      <c r="CR23" s="9">
        <f>IF(預測IC!CR23&gt;預測IC!CR$26,1,0)</f>
        <v>0</v>
      </c>
      <c r="CS23" s="9">
        <f>IF(預測IC!CS23&gt;預測IC!CS$26,1,0)</f>
        <v>1</v>
      </c>
      <c r="CT23" s="9">
        <f>IF(預測IC!CT23&gt;預測IC!CT$26,1,0)</f>
        <v>1</v>
      </c>
      <c r="CU23" s="9">
        <f>IF(預測IC!CU23&gt;預測IC!CU$26,1,0)</f>
        <v>1</v>
      </c>
      <c r="CV23" s="9">
        <f>IF(預測IC!CV23&gt;預測IC!CV$26,1,0)</f>
        <v>0</v>
      </c>
      <c r="CW23" s="9">
        <f>IF(預測IC!CW23&gt;預測IC!CW$26,1,0)</f>
        <v>1</v>
      </c>
      <c r="CX23" s="9">
        <f>IF(預測IC!CX23&gt;預測IC!CX$26,1,0)</f>
        <v>0</v>
      </c>
      <c r="CY23" s="9">
        <f>IF(預測IC!CY23&gt;預測IC!CY$26,1,0)</f>
        <v>1</v>
      </c>
      <c r="CZ23" s="9">
        <f>IF(預測IC!CZ23&gt;預測IC!CZ$26,1,0)</f>
        <v>1</v>
      </c>
      <c r="DA23" s="9">
        <f>IF(預測IC!DA23&gt;預測IC!DA$26,1,0)</f>
        <v>0</v>
      </c>
      <c r="DB23" s="9">
        <f>IF(預測IC!DB23&gt;預測IC!DB$26,1,0)</f>
        <v>1</v>
      </c>
      <c r="DC23" s="9">
        <f>IF(預測IC!DC23&gt;預測IC!DC$26,1,0)</f>
        <v>1</v>
      </c>
      <c r="DD23" s="9">
        <f>IF(預測IC!DD23&gt;預測IC!DD$26,1,0)</f>
        <v>1</v>
      </c>
      <c r="DE23" s="9">
        <f>IF(預測IC!DE23&gt;預測IC!DE$26,1,0)</f>
        <v>0</v>
      </c>
      <c r="DF23" s="9">
        <f>IF(預測IC!DF23&gt;預測IC!DF$26,1,0)</f>
        <v>1</v>
      </c>
      <c r="DG23" s="9">
        <f>IF(預測IC!DG23&gt;預測IC!DG$26,1,0)</f>
        <v>0</v>
      </c>
      <c r="DH23" s="9">
        <f>IF(預測IC!DH23&gt;預測IC!DH$26,1,0)</f>
        <v>1</v>
      </c>
      <c r="DI23" s="9">
        <f>IF(預測IC!DI23&gt;預測IC!DI$26,1,0)</f>
        <v>1</v>
      </c>
      <c r="DJ23" s="9">
        <f>IF(預測IC!DJ23&gt;預測IC!DJ$26,1,0)</f>
        <v>0</v>
      </c>
      <c r="DK23" s="9">
        <f>IF(預測IC!DK23&gt;預測IC!DK$26,1,0)</f>
        <v>1</v>
      </c>
      <c r="DL23" s="9">
        <f>IF(預測IC!DL23&gt;預測IC!DL$26,1,0)</f>
        <v>1</v>
      </c>
      <c r="DM23" s="9">
        <f>IF(預測IC!DM23&gt;預測IC!DM$26,1,0)</f>
        <v>0</v>
      </c>
      <c r="DN23" s="9">
        <f>IF(預測IC!DN23&gt;預測IC!DN$26,1,0)</f>
        <v>1</v>
      </c>
      <c r="DO23" s="9">
        <f>IF(預測IC!DO23&gt;預測IC!DO$26,1,0)</f>
        <v>1</v>
      </c>
      <c r="DP23" s="9">
        <f>IF(預測IC!DP23&gt;預測IC!DP$26,1,0)</f>
        <v>1</v>
      </c>
      <c r="DQ23" s="9">
        <f>IF(預測IC!DQ23&gt;預測IC!DQ$26,1,0)</f>
        <v>0</v>
      </c>
      <c r="DR23" s="9">
        <f>IF(預測IC!DR23&gt;預測IC!DR$26,1,0)</f>
        <v>0</v>
      </c>
      <c r="DS23" s="9">
        <f>IF(預測IC!DS23&gt;預測IC!DS$26,1,0)</f>
        <v>0</v>
      </c>
      <c r="DT23" s="9">
        <f>IF(預測IC!DT23&gt;預測IC!DT$26,1,0)</f>
        <v>0</v>
      </c>
      <c r="DU23" s="9">
        <f>IF(預測IC!DU23&gt;預測IC!DU$26,1,0)</f>
        <v>0</v>
      </c>
      <c r="DV23" s="9">
        <f>IF(預測IC!DV23&gt;預測IC!DV$26,1,0)</f>
        <v>1</v>
      </c>
      <c r="DW23" s="9">
        <f>IF(預測IC!DW23&gt;預測IC!DW$26,1,0)</f>
        <v>1</v>
      </c>
      <c r="DX23" s="9">
        <f>IF(預測IC!DX23&gt;預測IC!DX$26,1,0)</f>
        <v>0</v>
      </c>
      <c r="DY23" s="9">
        <f>IF(預測IC!DY23&gt;預測IC!DY$26,1,0)</f>
        <v>0</v>
      </c>
      <c r="DZ23" s="9">
        <f>IF(預測IC!DZ23&gt;預測IC!DZ$26,1,0)</f>
        <v>0</v>
      </c>
      <c r="EA23" s="9">
        <f>IF(預測IC!EA23&gt;預測IC!EA$26,1,0)</f>
        <v>0</v>
      </c>
      <c r="EB23" s="9">
        <f>IF(預測IC!EB23&gt;預測IC!EB$26,1,0)</f>
        <v>0</v>
      </c>
      <c r="EC23" s="9">
        <f>IF(預測IC!EC23&gt;預測IC!EC$26,1,0)</f>
        <v>1</v>
      </c>
      <c r="ED23" s="9">
        <f>IF(預測IC!ED23&gt;預測IC!ED$26,1,0)</f>
        <v>0</v>
      </c>
      <c r="EE23" s="9">
        <f>IF(預測IC!EE23&gt;預測IC!EE$26,1,0)</f>
        <v>1</v>
      </c>
      <c r="EF23" s="9">
        <f>IF(預測IC!EF23&gt;預測IC!EF$26,1,0)</f>
        <v>0</v>
      </c>
      <c r="EG23" s="2">
        <f t="shared" si="10"/>
        <v>73</v>
      </c>
      <c r="EH23" s="16">
        <f t="shared" si="11"/>
        <v>0.54477611940298509</v>
      </c>
    </row>
    <row r="24" spans="1:138">
      <c r="A24" s="4">
        <v>964</v>
      </c>
      <c r="B24" s="4">
        <v>1</v>
      </c>
      <c r="C24" s="9">
        <f>IF(預測IC!C24&gt;預測IC!C$26,1,0)</f>
        <v>1</v>
      </c>
      <c r="D24" s="9">
        <f>IF(預測IC!D24&gt;預測IC!D$26,1,0)</f>
        <v>1</v>
      </c>
      <c r="E24" s="9">
        <f>IF(預測IC!E24&gt;預測IC!E$26,1,0)</f>
        <v>1</v>
      </c>
      <c r="F24" s="9">
        <f>IF(預測IC!F24&gt;預測IC!F$26,1,0)</f>
        <v>1</v>
      </c>
      <c r="G24" s="9">
        <f>IF(預測IC!G24&gt;預測IC!G$26,1,0)</f>
        <v>1</v>
      </c>
      <c r="H24" s="9">
        <f>IF(預測IC!H24&gt;預測IC!H$26,1,0)</f>
        <v>1</v>
      </c>
      <c r="I24" s="9">
        <f>IF(預測IC!I24&gt;預測IC!I$26,1,0)</f>
        <v>1</v>
      </c>
      <c r="J24" s="9">
        <f>IF(預測IC!J24&gt;預測IC!J$26,1,0)</f>
        <v>0</v>
      </c>
      <c r="K24" s="9">
        <f>IF(預測IC!K24&gt;預測IC!K$26,1,0)</f>
        <v>1</v>
      </c>
      <c r="L24" s="9">
        <f>IF(預測IC!L24&gt;預測IC!L$26,1,0)</f>
        <v>1</v>
      </c>
      <c r="M24" s="9">
        <f>IF(預測IC!M24&gt;預測IC!M$26,1,0)</f>
        <v>0</v>
      </c>
      <c r="N24" s="9">
        <f>IF(預測IC!N24&gt;預測IC!N$26,1,0)</f>
        <v>1</v>
      </c>
      <c r="O24" s="9">
        <f>IF(預測IC!O24&gt;預測IC!O$26,1,0)</f>
        <v>0</v>
      </c>
      <c r="P24" s="9">
        <f>IF(預測IC!P24&gt;預測IC!P$26,1,0)</f>
        <v>0</v>
      </c>
      <c r="Q24" s="9">
        <f>IF(預測IC!Q24&gt;預測IC!Q$26,1,0)</f>
        <v>1</v>
      </c>
      <c r="R24" s="9">
        <f>IF(預測IC!R24&gt;預測IC!R$26,1,0)</f>
        <v>0</v>
      </c>
      <c r="S24" s="9">
        <f>IF(預測IC!S24&gt;預測IC!S$26,1,0)</f>
        <v>1</v>
      </c>
      <c r="T24" s="9">
        <f>IF(預測IC!T24&gt;預測IC!T$26,1,0)</f>
        <v>1</v>
      </c>
      <c r="U24" s="9">
        <f>IF(預測IC!U24&gt;預測IC!U$26,1,0)</f>
        <v>1</v>
      </c>
      <c r="V24" s="9">
        <f>IF(預測IC!V24&gt;預測IC!V$26,1,0)</f>
        <v>0</v>
      </c>
      <c r="W24" s="9">
        <f>IF(預測IC!W24&gt;預測IC!W$26,1,0)</f>
        <v>1</v>
      </c>
      <c r="X24" s="9">
        <f>IF(預測IC!X24&gt;預測IC!X$26,1,0)</f>
        <v>0</v>
      </c>
      <c r="Y24" s="9">
        <f>IF(預測IC!Y24&gt;預測IC!Y$26,1,0)</f>
        <v>0</v>
      </c>
      <c r="Z24" s="9">
        <f>IF(預測IC!Z24&gt;預測IC!Z$26,1,0)</f>
        <v>0</v>
      </c>
      <c r="AA24" s="9">
        <f>IF(預測IC!AA24&gt;預測IC!AA$26,1,0)</f>
        <v>1</v>
      </c>
      <c r="AB24" s="9">
        <f>IF(預測IC!AB24&gt;預測IC!AB$26,1,0)</f>
        <v>1</v>
      </c>
      <c r="AC24" s="9">
        <f>IF(預測IC!AC24&gt;預測IC!AC$26,1,0)</f>
        <v>0</v>
      </c>
      <c r="AD24" s="9">
        <f>IF(預測IC!AD24&gt;預測IC!AD$26,1,0)</f>
        <v>0</v>
      </c>
      <c r="AE24" s="9">
        <f>IF(預測IC!AE24&gt;預測IC!AE$26,1,0)</f>
        <v>0</v>
      </c>
      <c r="AF24" s="9">
        <f>IF(預測IC!AF24&gt;預測IC!AF$26,1,0)</f>
        <v>1</v>
      </c>
      <c r="AG24" s="9">
        <f>IF(預測IC!AG24&gt;預測IC!AG$26,1,0)</f>
        <v>1</v>
      </c>
      <c r="AH24" s="9">
        <f>IF(預測IC!AH24&gt;預測IC!AH$26,1,0)</f>
        <v>0</v>
      </c>
      <c r="AI24" s="9">
        <f>IF(預測IC!AI24&gt;預測IC!AI$26,1,0)</f>
        <v>0</v>
      </c>
      <c r="AJ24" s="9">
        <f>IF(預測IC!AJ24&gt;預測IC!AJ$26,1,0)</f>
        <v>0</v>
      </c>
      <c r="AK24" s="9">
        <f>IF(預測IC!AK24&gt;預測IC!AK$26,1,0)</f>
        <v>1</v>
      </c>
      <c r="AL24" s="9">
        <f>IF(預測IC!AL24&gt;預測IC!AL$26,1,0)</f>
        <v>0</v>
      </c>
      <c r="AM24" s="9">
        <f>IF(預測IC!AM24&gt;預測IC!AM$26,1,0)</f>
        <v>0</v>
      </c>
      <c r="AN24" s="9">
        <f>IF(預測IC!AN24&gt;預測IC!AN$26,1,0)</f>
        <v>1</v>
      </c>
      <c r="AO24" s="9">
        <f>IF(預測IC!AO24&gt;預測IC!AO$26,1,0)</f>
        <v>1</v>
      </c>
      <c r="AP24" s="9">
        <f>IF(預測IC!AP24&gt;預測IC!AP$26,1,0)</f>
        <v>0</v>
      </c>
      <c r="AQ24" s="9">
        <f>IF(預測IC!AQ24&gt;預測IC!AQ$26,1,0)</f>
        <v>1</v>
      </c>
      <c r="AR24" s="9">
        <f>IF(預測IC!AR24&gt;預測IC!AR$26,1,0)</f>
        <v>0</v>
      </c>
      <c r="AS24" s="9">
        <f>IF(預測IC!AS24&gt;預測IC!AS$26,1,0)</f>
        <v>0</v>
      </c>
      <c r="AT24" s="9">
        <f>IF(預測IC!AT24&gt;預測IC!AT$26,1,0)</f>
        <v>1</v>
      </c>
      <c r="AU24" s="9">
        <f>IF(預測IC!AU24&gt;預測IC!AU$26,1,0)</f>
        <v>1</v>
      </c>
      <c r="AV24" s="9">
        <f>IF(預測IC!AV24&gt;預測IC!AV$26,1,0)</f>
        <v>0</v>
      </c>
      <c r="AW24" s="9">
        <f>IF(預測IC!AW24&gt;預測IC!AW$26,1,0)</f>
        <v>1</v>
      </c>
      <c r="AX24" s="9">
        <f>IF(預測IC!AX24&gt;預測IC!AX$26,1,0)</f>
        <v>1</v>
      </c>
      <c r="AY24" s="9">
        <f>IF(預測IC!AY24&gt;預測IC!AY$26,1,0)</f>
        <v>1</v>
      </c>
      <c r="AZ24" s="9">
        <f>IF(預測IC!AZ24&gt;預測IC!AZ$26,1,0)</f>
        <v>1</v>
      </c>
      <c r="BA24" s="9">
        <f>IF(預測IC!BA24&gt;預測IC!BA$26,1,0)</f>
        <v>1</v>
      </c>
      <c r="BB24" s="9">
        <f>IF(預測IC!BB24&gt;預測IC!BB$26,1,0)</f>
        <v>1</v>
      </c>
      <c r="BC24" s="9">
        <f>IF(預測IC!BC24&gt;預測IC!BC$26,1,0)</f>
        <v>0</v>
      </c>
      <c r="BD24" s="9">
        <f>IF(預測IC!BD24&gt;預測IC!BD$26,1,0)</f>
        <v>1</v>
      </c>
      <c r="BE24" s="9">
        <f>IF(預測IC!BE24&gt;預測IC!BE$26,1,0)</f>
        <v>0</v>
      </c>
      <c r="BF24" s="9">
        <f>IF(預測IC!BF24&gt;預測IC!BF$26,1,0)</f>
        <v>1</v>
      </c>
      <c r="BG24" s="9">
        <f>IF(預測IC!BG24&gt;預測IC!BG$26,1,0)</f>
        <v>1</v>
      </c>
      <c r="BH24" s="9">
        <f>IF(預測IC!BH24&gt;預測IC!BH$26,1,0)</f>
        <v>0</v>
      </c>
      <c r="BI24" s="9">
        <f>IF(預測IC!BI24&gt;預測IC!BI$26,1,0)</f>
        <v>1</v>
      </c>
      <c r="BJ24" s="9">
        <f>IF(預測IC!BJ24&gt;預測IC!BJ$26,1,0)</f>
        <v>1</v>
      </c>
      <c r="BK24" s="9">
        <f>IF(預測IC!BK24&gt;預測IC!BK$26,1,0)</f>
        <v>0</v>
      </c>
      <c r="BL24" s="9">
        <f>IF(預測IC!BL24&gt;預測IC!BL$26,1,0)</f>
        <v>1</v>
      </c>
      <c r="BM24" s="9">
        <f>IF(預測IC!BM24&gt;預測IC!BM$26,1,0)</f>
        <v>0</v>
      </c>
      <c r="BN24" s="9">
        <f>IF(預測IC!BN24&gt;預測IC!BN$26,1,0)</f>
        <v>0</v>
      </c>
      <c r="BO24" s="9">
        <f>IF(預測IC!BO24&gt;預測IC!BO$26,1,0)</f>
        <v>0</v>
      </c>
      <c r="BP24" s="9">
        <f>IF(預測IC!BP24&gt;預測IC!BP$26,1,0)</f>
        <v>1</v>
      </c>
      <c r="BQ24" s="9">
        <f>IF(預測IC!BQ24&gt;預測IC!BQ$26,1,0)</f>
        <v>0</v>
      </c>
      <c r="BR24" s="9">
        <f>IF(預測IC!BR24&gt;預測IC!BR$26,1,0)</f>
        <v>1</v>
      </c>
      <c r="BS24" s="9">
        <f>IF(預測IC!BS24&gt;預測IC!BS$26,1,0)</f>
        <v>0</v>
      </c>
      <c r="BT24" s="9">
        <f>IF(預測IC!BT24&gt;預測IC!BT$26,1,0)</f>
        <v>1</v>
      </c>
      <c r="BU24" s="9">
        <f>IF(預測IC!BU24&gt;預測IC!BU$26,1,0)</f>
        <v>1</v>
      </c>
      <c r="BV24" s="9">
        <f>IF(預測IC!BV24&gt;預測IC!BV$26,1,0)</f>
        <v>1</v>
      </c>
      <c r="BW24" s="9">
        <f>IF(預測IC!BW24&gt;預測IC!BW$26,1,0)</f>
        <v>0</v>
      </c>
      <c r="BX24" s="9">
        <f>IF(預測IC!BX24&gt;預測IC!BX$26,1,0)</f>
        <v>0</v>
      </c>
      <c r="BY24" s="9">
        <f>IF(預測IC!BY24&gt;預測IC!BY$26,1,0)</f>
        <v>1</v>
      </c>
      <c r="BZ24" s="9">
        <f>IF(預測IC!BZ24&gt;預測IC!BZ$26,1,0)</f>
        <v>1</v>
      </c>
      <c r="CA24" s="9">
        <f>IF(預測IC!CA24&gt;預測IC!CA$26,1,0)</f>
        <v>0</v>
      </c>
      <c r="CB24" s="9">
        <f>IF(預測IC!CB24&gt;預測IC!CB$26,1,0)</f>
        <v>1</v>
      </c>
      <c r="CC24" s="9">
        <f>IF(預測IC!CC24&gt;預測IC!CC$26,1,0)</f>
        <v>0</v>
      </c>
      <c r="CD24" s="9">
        <f>IF(預測IC!CD24&gt;預測IC!CD$26,1,0)</f>
        <v>1</v>
      </c>
      <c r="CE24" s="9">
        <f>IF(預測IC!CE24&gt;預測IC!CE$26,1,0)</f>
        <v>1</v>
      </c>
      <c r="CF24" s="9">
        <f>IF(預測IC!CF24&gt;預測IC!CF$26,1,0)</f>
        <v>0</v>
      </c>
      <c r="CG24" s="9">
        <f>IF(預測IC!CG24&gt;預測IC!CG$26,1,0)</f>
        <v>1</v>
      </c>
      <c r="CH24" s="9">
        <f>IF(預測IC!CH24&gt;預測IC!CH$26,1,0)</f>
        <v>1</v>
      </c>
      <c r="CI24" s="9">
        <f>IF(預測IC!CI24&gt;預測IC!CI$26,1,0)</f>
        <v>1</v>
      </c>
      <c r="CJ24" s="9">
        <f>IF(預測IC!CJ24&gt;預測IC!CJ$26,1,0)</f>
        <v>0</v>
      </c>
      <c r="CK24" s="9">
        <f>IF(預測IC!CK24&gt;預測IC!CK$26,1,0)</f>
        <v>1</v>
      </c>
      <c r="CL24" s="9">
        <f>IF(預測IC!CL24&gt;預測IC!CL$26,1,0)</f>
        <v>1</v>
      </c>
      <c r="CM24" s="9">
        <f>IF(預測IC!CM24&gt;預測IC!CM$26,1,0)</f>
        <v>1</v>
      </c>
      <c r="CN24" s="9">
        <f>IF(預測IC!CN24&gt;預測IC!CN$26,1,0)</f>
        <v>0</v>
      </c>
      <c r="CO24" s="9">
        <f>IF(預測IC!CO24&gt;預測IC!CO$26,1,0)</f>
        <v>0</v>
      </c>
      <c r="CP24" s="9">
        <f>IF(預測IC!CP24&gt;預測IC!CP$26,1,0)</f>
        <v>1</v>
      </c>
      <c r="CQ24" s="9">
        <f>IF(預測IC!CQ24&gt;預測IC!CQ$26,1,0)</f>
        <v>1</v>
      </c>
      <c r="CR24" s="9">
        <f>IF(預測IC!CR24&gt;預測IC!CR$26,1,0)</f>
        <v>0</v>
      </c>
      <c r="CS24" s="9">
        <f>IF(預測IC!CS24&gt;預測IC!CS$26,1,0)</f>
        <v>0</v>
      </c>
      <c r="CT24" s="9">
        <f>IF(預測IC!CT24&gt;預測IC!CT$26,1,0)</f>
        <v>1</v>
      </c>
      <c r="CU24" s="9">
        <f>IF(預測IC!CU24&gt;預測IC!CU$26,1,0)</f>
        <v>0</v>
      </c>
      <c r="CV24" s="9">
        <f>IF(預測IC!CV24&gt;預測IC!CV$26,1,0)</f>
        <v>1</v>
      </c>
      <c r="CW24" s="9">
        <f>IF(預測IC!CW24&gt;預測IC!CW$26,1,0)</f>
        <v>1</v>
      </c>
      <c r="CX24" s="9">
        <f>IF(預測IC!CX24&gt;預測IC!CX$26,1,0)</f>
        <v>1</v>
      </c>
      <c r="CY24" s="9">
        <f>IF(預測IC!CY24&gt;預測IC!CY$26,1,0)</f>
        <v>0</v>
      </c>
      <c r="CZ24" s="9">
        <f>IF(預測IC!CZ24&gt;預測IC!CZ$26,1,0)</f>
        <v>1</v>
      </c>
      <c r="DA24" s="9">
        <f>IF(預測IC!DA24&gt;預測IC!DA$26,1,0)</f>
        <v>1</v>
      </c>
      <c r="DB24" s="9">
        <f>IF(預測IC!DB24&gt;預測IC!DB$26,1,0)</f>
        <v>0</v>
      </c>
      <c r="DC24" s="9">
        <f>IF(預測IC!DC24&gt;預測IC!DC$26,1,0)</f>
        <v>1</v>
      </c>
      <c r="DD24" s="9">
        <f>IF(預測IC!DD24&gt;預測IC!DD$26,1,0)</f>
        <v>1</v>
      </c>
      <c r="DE24" s="9">
        <f>IF(預測IC!DE24&gt;預測IC!DE$26,1,0)</f>
        <v>0</v>
      </c>
      <c r="DF24" s="9">
        <f>IF(預測IC!DF24&gt;預測IC!DF$26,1,0)</f>
        <v>0</v>
      </c>
      <c r="DG24" s="9">
        <f>IF(預測IC!DG24&gt;預測IC!DG$26,1,0)</f>
        <v>0</v>
      </c>
      <c r="DH24" s="9">
        <f>IF(預測IC!DH24&gt;預測IC!DH$26,1,0)</f>
        <v>1</v>
      </c>
      <c r="DI24" s="9">
        <f>IF(預測IC!DI24&gt;預測IC!DI$26,1,0)</f>
        <v>1</v>
      </c>
      <c r="DJ24" s="9">
        <f>IF(預測IC!DJ24&gt;預測IC!DJ$26,1,0)</f>
        <v>1</v>
      </c>
      <c r="DK24" s="9">
        <f>IF(預測IC!DK24&gt;預測IC!DK$26,1,0)</f>
        <v>1</v>
      </c>
      <c r="DL24" s="9">
        <f>IF(預測IC!DL24&gt;預測IC!DL$26,1,0)</f>
        <v>1</v>
      </c>
      <c r="DM24" s="9">
        <f>IF(預測IC!DM24&gt;預測IC!DM$26,1,0)</f>
        <v>0</v>
      </c>
      <c r="DN24" s="9">
        <f>IF(預測IC!DN24&gt;預測IC!DN$26,1,0)</f>
        <v>1</v>
      </c>
      <c r="DO24" s="9">
        <f>IF(預測IC!DO24&gt;預測IC!DO$26,1,0)</f>
        <v>1</v>
      </c>
      <c r="DP24" s="9">
        <f>IF(預測IC!DP24&gt;預測IC!DP$26,1,0)</f>
        <v>1</v>
      </c>
      <c r="DQ24" s="9">
        <f>IF(預測IC!DQ24&gt;預測IC!DQ$26,1,0)</f>
        <v>0</v>
      </c>
      <c r="DR24" s="9">
        <f>IF(預測IC!DR24&gt;預測IC!DR$26,1,0)</f>
        <v>0</v>
      </c>
      <c r="DS24" s="9">
        <f>IF(預測IC!DS24&gt;預測IC!DS$26,1,0)</f>
        <v>0</v>
      </c>
      <c r="DT24" s="9">
        <f>IF(預測IC!DT24&gt;預測IC!DT$26,1,0)</f>
        <v>0</v>
      </c>
      <c r="DU24" s="9">
        <f>IF(預測IC!DU24&gt;預測IC!DU$26,1,0)</f>
        <v>0</v>
      </c>
      <c r="DV24" s="9">
        <f>IF(預測IC!DV24&gt;預測IC!DV$26,1,0)</f>
        <v>1</v>
      </c>
      <c r="DW24" s="9">
        <f>IF(預測IC!DW24&gt;預測IC!DW$26,1,0)</f>
        <v>1</v>
      </c>
      <c r="DX24" s="9">
        <f>IF(預測IC!DX24&gt;預測IC!DX$26,1,0)</f>
        <v>0</v>
      </c>
      <c r="DY24" s="9">
        <f>IF(預測IC!DY24&gt;預測IC!DY$26,1,0)</f>
        <v>1</v>
      </c>
      <c r="DZ24" s="9">
        <f>IF(預測IC!DZ24&gt;預測IC!DZ$26,1,0)</f>
        <v>0</v>
      </c>
      <c r="EA24" s="9">
        <f>IF(預測IC!EA24&gt;預測IC!EA$26,1,0)</f>
        <v>0</v>
      </c>
      <c r="EB24" s="9">
        <f>IF(預測IC!EB24&gt;預測IC!EB$26,1,0)</f>
        <v>1</v>
      </c>
      <c r="EC24" s="9">
        <f>IF(預測IC!EC24&gt;預測IC!EC$26,1,0)</f>
        <v>1</v>
      </c>
      <c r="ED24" s="9">
        <f>IF(預測IC!ED24&gt;預測IC!ED$26,1,0)</f>
        <v>0</v>
      </c>
      <c r="EE24" s="9">
        <f>IF(預測IC!EE24&gt;預測IC!EE$26,1,0)</f>
        <v>1</v>
      </c>
      <c r="EF24" s="9">
        <f>IF(預測IC!EF24&gt;預測IC!EF$26,1,0)</f>
        <v>1</v>
      </c>
      <c r="EG24" s="2">
        <f t="shared" si="10"/>
        <v>78</v>
      </c>
      <c r="EH24" s="16">
        <f t="shared" si="11"/>
        <v>0.58208955223880599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G25"/>
  <sheetViews>
    <sheetView topLeftCell="B1" zoomScale="176" workbookViewId="0"/>
  </sheetViews>
  <sheetFormatPr baseColWidth="10" defaultColWidth="9" defaultRowHeight="14"/>
  <cols>
    <col min="136" max="136" width="9.3984375" bestFit="1" customWidth="1"/>
  </cols>
  <sheetData>
    <row r="1" spans="1:137">
      <c r="A1" s="7" t="str">
        <f>預測IC!A1</f>
        <v>RF</v>
      </c>
      <c r="B1" s="7"/>
    </row>
    <row r="2" spans="1:137">
      <c r="A2" s="7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5" t="s">
        <v>45</v>
      </c>
      <c r="AV2" s="5" t="s">
        <v>46</v>
      </c>
      <c r="AW2" s="5" t="s">
        <v>47</v>
      </c>
      <c r="AX2" s="5" t="s">
        <v>48</v>
      </c>
      <c r="AY2" s="5" t="s">
        <v>49</v>
      </c>
      <c r="AZ2" s="5" t="s">
        <v>50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55</v>
      </c>
      <c r="BF2" s="5" t="s">
        <v>56</v>
      </c>
      <c r="BG2" s="5" t="s">
        <v>57</v>
      </c>
      <c r="BH2" s="5" t="s">
        <v>58</v>
      </c>
      <c r="BI2" s="5" t="s">
        <v>59</v>
      </c>
      <c r="BJ2" s="5" t="s">
        <v>60</v>
      </c>
      <c r="BK2" s="5" t="s">
        <v>61</v>
      </c>
      <c r="BL2" s="5" t="s">
        <v>62</v>
      </c>
      <c r="BM2" s="5" t="s">
        <v>63</v>
      </c>
      <c r="BN2" s="5" t="s">
        <v>64</v>
      </c>
      <c r="BO2" s="5" t="s">
        <v>65</v>
      </c>
      <c r="BP2" s="5" t="s">
        <v>66</v>
      </c>
      <c r="BQ2" s="5" t="s">
        <v>67</v>
      </c>
      <c r="BR2" s="5" t="s">
        <v>68</v>
      </c>
      <c r="BS2" s="5" t="s">
        <v>69</v>
      </c>
      <c r="BT2" s="5" t="s">
        <v>70</v>
      </c>
      <c r="BU2" s="5" t="s">
        <v>71</v>
      </c>
      <c r="BV2" s="5" t="s">
        <v>72</v>
      </c>
      <c r="BW2" s="5" t="s">
        <v>73</v>
      </c>
      <c r="BX2" s="5" t="s">
        <v>74</v>
      </c>
      <c r="BY2" s="5" t="s">
        <v>75</v>
      </c>
      <c r="BZ2" s="5" t="s">
        <v>76</v>
      </c>
      <c r="CA2" s="5" t="s">
        <v>77</v>
      </c>
      <c r="CB2" s="5" t="s">
        <v>78</v>
      </c>
      <c r="CC2" s="5" t="s">
        <v>79</v>
      </c>
      <c r="CD2" s="5" t="s">
        <v>80</v>
      </c>
      <c r="CE2" s="5" t="s">
        <v>81</v>
      </c>
      <c r="CF2" s="5" t="s">
        <v>82</v>
      </c>
      <c r="CG2" s="5" t="s">
        <v>83</v>
      </c>
      <c r="CH2" s="5" t="s">
        <v>84</v>
      </c>
      <c r="CI2" s="5" t="s">
        <v>85</v>
      </c>
      <c r="CJ2" s="5" t="s">
        <v>86</v>
      </c>
      <c r="CK2" s="5" t="s">
        <v>87</v>
      </c>
      <c r="CL2" s="5" t="s">
        <v>88</v>
      </c>
      <c r="CM2" s="5" t="s">
        <v>89</v>
      </c>
      <c r="CN2" s="5" t="s">
        <v>90</v>
      </c>
      <c r="CO2" s="5" t="s">
        <v>91</v>
      </c>
      <c r="CP2" s="5" t="s">
        <v>92</v>
      </c>
      <c r="CQ2" s="5" t="s">
        <v>93</v>
      </c>
      <c r="CR2" s="5" t="s">
        <v>94</v>
      </c>
      <c r="CS2" s="5" t="s">
        <v>95</v>
      </c>
      <c r="CT2" s="5" t="s">
        <v>96</v>
      </c>
      <c r="CU2" s="5" t="s">
        <v>97</v>
      </c>
      <c r="CV2" s="5" t="s">
        <v>98</v>
      </c>
      <c r="CW2" s="5" t="s">
        <v>99</v>
      </c>
      <c r="CX2" s="5" t="s">
        <v>100</v>
      </c>
      <c r="CY2" s="5" t="s">
        <v>101</v>
      </c>
      <c r="CZ2" s="5" t="s">
        <v>102</v>
      </c>
      <c r="DA2" s="5" t="s">
        <v>103</v>
      </c>
      <c r="DB2" s="5" t="s">
        <v>104</v>
      </c>
      <c r="DC2" s="5" t="s">
        <v>105</v>
      </c>
      <c r="DD2" s="5" t="s">
        <v>106</v>
      </c>
      <c r="DE2" s="5" t="s">
        <v>107</v>
      </c>
      <c r="DF2" s="5" t="s">
        <v>108</v>
      </c>
      <c r="DG2" s="5" t="s">
        <v>109</v>
      </c>
      <c r="DH2" s="5" t="s">
        <v>110</v>
      </c>
      <c r="DI2" s="5" t="s">
        <v>111</v>
      </c>
      <c r="DJ2" s="5" t="s">
        <v>112</v>
      </c>
      <c r="DK2" s="5" t="s">
        <v>113</v>
      </c>
      <c r="DL2" s="5" t="s">
        <v>114</v>
      </c>
      <c r="DM2" s="5" t="s">
        <v>115</v>
      </c>
      <c r="DN2" s="5" t="s">
        <v>116</v>
      </c>
      <c r="DO2" s="5" t="s">
        <v>117</v>
      </c>
      <c r="DP2" s="5" t="s">
        <v>118</v>
      </c>
      <c r="DQ2" s="5" t="s">
        <v>119</v>
      </c>
      <c r="DR2" s="5" t="s">
        <v>120</v>
      </c>
      <c r="DS2" s="5" t="s">
        <v>121</v>
      </c>
      <c r="DT2" s="5" t="s">
        <v>122</v>
      </c>
      <c r="DU2" s="5" t="s">
        <v>123</v>
      </c>
      <c r="DV2" s="5" t="s">
        <v>124</v>
      </c>
      <c r="DW2" s="5" t="s">
        <v>125</v>
      </c>
      <c r="DX2" s="5" t="s">
        <v>126</v>
      </c>
      <c r="DY2" s="5" t="s">
        <v>127</v>
      </c>
      <c r="DZ2" s="5" t="s">
        <v>128</v>
      </c>
      <c r="EA2" s="5" t="s">
        <v>129</v>
      </c>
      <c r="EB2" s="5" t="s">
        <v>130</v>
      </c>
      <c r="EC2" s="5" t="s">
        <v>131</v>
      </c>
      <c r="ED2" s="5" t="s">
        <v>132</v>
      </c>
      <c r="EE2" s="5" t="s">
        <v>133</v>
      </c>
      <c r="EF2" s="5" t="s">
        <v>134</v>
      </c>
      <c r="EG2" s="5" t="s">
        <v>135</v>
      </c>
    </row>
    <row r="3" spans="1:137">
      <c r="A3" s="7"/>
      <c r="B3" s="5" t="s">
        <v>136</v>
      </c>
      <c r="C3" s="25">
        <f>預測IC!C3</f>
        <v>3.6997013757333698E-2</v>
      </c>
      <c r="D3" s="25">
        <f>預測IC!D3</f>
        <v>3.3297817500003282E-2</v>
      </c>
      <c r="E3" s="25">
        <f>預測IC!E3</f>
        <v>1.542163833496168E-2</v>
      </c>
      <c r="F3" s="25">
        <f>預測IC!F3</f>
        <v>1.6456982644761711E-2</v>
      </c>
      <c r="G3" s="25">
        <f>預測IC!G3</f>
        <v>1.7226210935333459E-2</v>
      </c>
      <c r="H3" s="25">
        <f>預測IC!H3</f>
        <v>2.8764108032567459E-2</v>
      </c>
      <c r="I3" s="25">
        <f>預測IC!I3</f>
        <v>2.427932822777535E-2</v>
      </c>
      <c r="J3" s="25">
        <f>預測IC!J3</f>
        <v>2.731641860027573E-2</v>
      </c>
      <c r="K3" s="25">
        <f>預測IC!K3</f>
        <v>3.0174004661944549E-2</v>
      </c>
      <c r="L3" s="25">
        <f>預測IC!L3</f>
        <v>2.5236297001741709E-2</v>
      </c>
      <c r="M3" s="25">
        <f>預測IC!M3</f>
        <v>3.2729103566482703E-2</v>
      </c>
      <c r="N3" s="25">
        <f>預測IC!N3</f>
        <v>3.1554761397993208E-2</v>
      </c>
      <c r="O3" s="25">
        <f>預測IC!O3</f>
        <v>3.4033301690891533E-2</v>
      </c>
      <c r="P3" s="25">
        <f>預測IC!P3</f>
        <v>3.321291110249007E-2</v>
      </c>
      <c r="Q3" s="25">
        <f>預測IC!Q3</f>
        <v>2.910333512892541E-2</v>
      </c>
      <c r="R3" s="25">
        <f>預測IC!R3</f>
        <v>2.6473653115280309E-2</v>
      </c>
      <c r="S3" s="25">
        <f>預測IC!S3</f>
        <v>2.8295345986913231E-2</v>
      </c>
      <c r="T3" s="25">
        <f>預測IC!T3</f>
        <v>2.262072807092802E-2</v>
      </c>
      <c r="U3" s="25">
        <f>預測IC!U3</f>
        <v>1.614400695132448E-2</v>
      </c>
      <c r="V3" s="25">
        <f>預測IC!V3</f>
        <v>2.5033177832038969E-2</v>
      </c>
      <c r="W3" s="25">
        <f>預測IC!W3</f>
        <v>4.5784045042201092E-2</v>
      </c>
      <c r="X3" s="25">
        <f>預測IC!X3</f>
        <v>4.3057813861526573E-2</v>
      </c>
      <c r="Y3" s="25">
        <f>預測IC!Y3</f>
        <v>3.778574554965778E-2</v>
      </c>
      <c r="Z3" s="25">
        <f>預測IC!Z3</f>
        <v>2.409745457622987E-2</v>
      </c>
      <c r="AA3" s="25">
        <f>預測IC!AA3</f>
        <v>3.009442686823352E-2</v>
      </c>
      <c r="AB3" s="25">
        <f>預測IC!AB3</f>
        <v>2.8087063172378191E-2</v>
      </c>
      <c r="AC3" s="25">
        <f>預測IC!AC3</f>
        <v>3.3771066806544549E-2</v>
      </c>
      <c r="AD3" s="25">
        <f>預測IC!AD3</f>
        <v>3.413170384138306E-2</v>
      </c>
      <c r="AE3" s="25">
        <f>預測IC!AE3</f>
        <v>3.4141408533312018E-2</v>
      </c>
      <c r="AF3" s="25">
        <f>預測IC!AF3</f>
        <v>1.3117941025955079E-2</v>
      </c>
      <c r="AG3" s="25">
        <f>預測IC!AG3</f>
        <v>2.485735401293461E-2</v>
      </c>
      <c r="AH3" s="25">
        <f>預測IC!AH3</f>
        <v>3.1884444011299258E-2</v>
      </c>
      <c r="AI3" s="25">
        <f>預測IC!AI3</f>
        <v>3.6385761193522617E-2</v>
      </c>
      <c r="AJ3" s="25">
        <f>預測IC!AJ3</f>
        <v>3.5948919429733099E-2</v>
      </c>
      <c r="AK3" s="25">
        <f>預測IC!AK3</f>
        <v>4.3482830969963061E-2</v>
      </c>
      <c r="AL3" s="25">
        <f>預測IC!AL3</f>
        <v>3.8462077568039821E-2</v>
      </c>
      <c r="AM3" s="25">
        <f>預測IC!AM3</f>
        <v>3.9410244165835981E-2</v>
      </c>
      <c r="AN3" s="25">
        <f>預測IC!AN3</f>
        <v>5.0743620516414449E-2</v>
      </c>
      <c r="AO3" s="25">
        <f>預測IC!AO3</f>
        <v>5.3684811620656171E-2</v>
      </c>
      <c r="AP3" s="25">
        <f>預測IC!AP3</f>
        <v>4.9314899356547669E-2</v>
      </c>
      <c r="AQ3" s="25">
        <f>預測IC!AQ3</f>
        <v>3.2773687722358558E-2</v>
      </c>
      <c r="AR3" s="25">
        <f>預測IC!AR3</f>
        <v>2.8295340626825871E-2</v>
      </c>
      <c r="AS3" s="25">
        <f>預測IC!AS3</f>
        <v>2.8377802599917339E-2</v>
      </c>
      <c r="AT3" s="25">
        <f>預測IC!AT3</f>
        <v>2.306922946025217E-2</v>
      </c>
      <c r="AU3" s="25">
        <f>預測IC!AU3</f>
        <v>2.9397032882625889E-2</v>
      </c>
      <c r="AV3" s="25">
        <f>預測IC!AV3</f>
        <v>3.103785222722218E-2</v>
      </c>
      <c r="AW3" s="25">
        <f>預測IC!AW3</f>
        <v>2.6297924056821211E-2</v>
      </c>
      <c r="AX3" s="25">
        <f>預測IC!AX3</f>
        <v>2.6164811358804361E-2</v>
      </c>
      <c r="AY3" s="25">
        <f>預測IC!AY3</f>
        <v>3.2053783671709642E-2</v>
      </c>
      <c r="AZ3" s="25">
        <f>預測IC!AZ3</f>
        <v>3.4477530774765272E-2</v>
      </c>
      <c r="BA3" s="25">
        <f>預測IC!BA3</f>
        <v>2.9331890747661678E-2</v>
      </c>
      <c r="BB3" s="25">
        <f>預測IC!BB3</f>
        <v>3.4324947588369341E-2</v>
      </c>
      <c r="BC3" s="25">
        <f>預測IC!BC3</f>
        <v>3.742177693859082E-2</v>
      </c>
      <c r="BD3" s="25">
        <f>預測IC!BD3</f>
        <v>3.141372245226793E-2</v>
      </c>
      <c r="BE3" s="25">
        <f>預測IC!BE3</f>
        <v>3.2006411062996218E-2</v>
      </c>
      <c r="BF3" s="25">
        <f>預測IC!BF3</f>
        <v>2.828182773285309E-2</v>
      </c>
      <c r="BG3" s="25">
        <f>預測IC!BG3</f>
        <v>4.1103436715196499E-2</v>
      </c>
      <c r="BH3" s="25">
        <f>預測IC!BH3</f>
        <v>4.5198779339126277E-2</v>
      </c>
      <c r="BI3" s="25">
        <f>預測IC!BI3</f>
        <v>4.1588040384802467E-2</v>
      </c>
      <c r="BJ3" s="25">
        <f>預測IC!BJ3</f>
        <v>4.0723405736309601E-2</v>
      </c>
      <c r="BK3" s="25">
        <f>預測IC!BK3</f>
        <v>3.6327700059770963E-2</v>
      </c>
      <c r="BL3" s="25">
        <f>預測IC!BL3</f>
        <v>3.6173192149872829E-2</v>
      </c>
      <c r="BM3" s="25">
        <f>預測IC!BM3</f>
        <v>3.7708587815686451E-2</v>
      </c>
      <c r="BN3" s="25">
        <f>預測IC!BN3</f>
        <v>3.0814038130409348E-2</v>
      </c>
      <c r="BO3" s="25">
        <f>預測IC!BO3</f>
        <v>3.065585577146604E-2</v>
      </c>
      <c r="BP3" s="25">
        <f>預測IC!BP3</f>
        <v>3.4399631895121928E-2</v>
      </c>
      <c r="BQ3" s="25">
        <f>預測IC!BQ3</f>
        <v>3.4868650026028229E-2</v>
      </c>
      <c r="BR3" s="25">
        <f>預測IC!BR3</f>
        <v>3.6324039848933801E-2</v>
      </c>
      <c r="BS3" s="25">
        <f>預測IC!BS3</f>
        <v>3.6164468096582629E-2</v>
      </c>
      <c r="BT3" s="25">
        <f>預測IC!BT3</f>
        <v>3.8668894956456937E-2</v>
      </c>
      <c r="BU3" s="25">
        <f>預測IC!BU3</f>
        <v>4.1103483948852763E-2</v>
      </c>
      <c r="BV3" s="25">
        <f>預測IC!BV3</f>
        <v>2.8684133448632881E-2</v>
      </c>
      <c r="BW3" s="25">
        <f>預測IC!BW3</f>
        <v>3.521650986163926E-2</v>
      </c>
      <c r="BX3" s="25">
        <f>預測IC!BX3</f>
        <v>4.0767200067914261E-2</v>
      </c>
      <c r="BY3" s="25">
        <f>預測IC!BY3</f>
        <v>2.160353774972024E-2</v>
      </c>
      <c r="BZ3" s="25">
        <f>預測IC!BZ3</f>
        <v>3.0433668800390778E-2</v>
      </c>
      <c r="CA3" s="25">
        <f>預測IC!CA3</f>
        <v>3.7311958080318418E-2</v>
      </c>
      <c r="CB3" s="25">
        <f>預測IC!CB3</f>
        <v>2.7612053143104789E-2</v>
      </c>
      <c r="CC3" s="25">
        <f>預測IC!CC3</f>
        <v>1.9742954750447479E-2</v>
      </c>
      <c r="CD3" s="25">
        <f>預測IC!CD3</f>
        <v>7.791460166144233E-3</v>
      </c>
      <c r="CE3" s="25">
        <f>預測IC!CE3</f>
        <v>2.2526806957081459E-2</v>
      </c>
      <c r="CF3" s="25">
        <f>預測IC!CF3</f>
        <v>3.4778187915741783E-2</v>
      </c>
      <c r="CG3" s="25">
        <f>預測IC!CG3</f>
        <v>3.2581362027151728E-2</v>
      </c>
      <c r="CH3" s="25">
        <f>預測IC!CH3</f>
        <v>4.0909001215823582E-2</v>
      </c>
      <c r="CI3" s="25">
        <f>預測IC!CI3</f>
        <v>3.9050253240311222E-2</v>
      </c>
      <c r="CJ3" s="25">
        <f>預測IC!CJ3</f>
        <v>2.4561899640003909E-2</v>
      </c>
      <c r="CK3" s="25">
        <f>預測IC!CK3</f>
        <v>3.413446187252573E-2</v>
      </c>
      <c r="CL3" s="25">
        <f>預測IC!CL3</f>
        <v>3.5925937532879773E-2</v>
      </c>
      <c r="CM3" s="25">
        <f>預測IC!CM3</f>
        <v>4.2466042159304301E-2</v>
      </c>
      <c r="CN3" s="25">
        <f>預測IC!CN3</f>
        <v>3.6523906516241801E-2</v>
      </c>
      <c r="CO3" s="25">
        <f>預測IC!CO3</f>
        <v>3.765914957102829E-2</v>
      </c>
      <c r="CP3" s="25">
        <f>預測IC!CP3</f>
        <v>3.9957834472595419E-2</v>
      </c>
      <c r="CQ3" s="25">
        <f>預測IC!CQ3</f>
        <v>-4.5921902670845423E-3</v>
      </c>
      <c r="CR3" s="25">
        <f>預測IC!CR3</f>
        <v>1.500343045059385E-2</v>
      </c>
      <c r="CS3" s="25">
        <f>預測IC!CS3</f>
        <v>2.2458754318599651E-2</v>
      </c>
      <c r="CT3" s="25">
        <f>預測IC!CT3</f>
        <v>4.0972167824902372E-2</v>
      </c>
      <c r="CU3" s="25">
        <f>預測IC!CU3</f>
        <v>3.8942373224816529E-2</v>
      </c>
      <c r="CV3" s="25">
        <f>預測IC!CV3</f>
        <v>4.3015000500199303E-2</v>
      </c>
      <c r="CW3" s="25">
        <f>預測IC!CW3</f>
        <v>3.9706600079107618E-2</v>
      </c>
      <c r="CX3" s="25">
        <f>預測IC!CX3</f>
        <v>3.9171022856911548E-2</v>
      </c>
      <c r="CY3" s="25">
        <f>預測IC!CY3</f>
        <v>3.4940834769569752E-2</v>
      </c>
      <c r="CZ3" s="25">
        <f>預測IC!CZ3</f>
        <v>3.6026834228159298E-2</v>
      </c>
      <c r="DA3" s="25">
        <f>預測IC!DA3</f>
        <v>4.450954814790925E-2</v>
      </c>
      <c r="DB3" s="25">
        <f>預測IC!DB3</f>
        <v>3.9322897230046248E-2</v>
      </c>
      <c r="DC3" s="25">
        <f>預測IC!DC3</f>
        <v>3.7933403354666211E-2</v>
      </c>
      <c r="DD3" s="25">
        <f>預測IC!DD3</f>
        <v>3.9075000966415717E-2</v>
      </c>
      <c r="DE3" s="25">
        <f>預測IC!DE3</f>
        <v>4.199397627237688E-2</v>
      </c>
      <c r="DF3" s="25">
        <f>預測IC!DF3</f>
        <v>4.1965348731106439E-2</v>
      </c>
      <c r="DG3" s="25">
        <f>預測IC!DG3</f>
        <v>4.0382244799122918E-2</v>
      </c>
      <c r="DH3" s="25">
        <f>預測IC!DH3</f>
        <v>3.6787240146963857E-2</v>
      </c>
      <c r="DI3" s="25">
        <f>預測IC!DI3</f>
        <v>3.6877765546082367E-2</v>
      </c>
      <c r="DJ3" s="25">
        <f>預測IC!DJ3</f>
        <v>3.368209367541955E-2</v>
      </c>
      <c r="DK3" s="25">
        <f>預測IC!DK3</f>
        <v>3.6536443043095952E-2</v>
      </c>
      <c r="DL3" s="25">
        <f>預測IC!DL3</f>
        <v>3.1530556219024453E-2</v>
      </c>
      <c r="DM3" s="25">
        <f>預測IC!DM3</f>
        <v>2.866223764473836E-2</v>
      </c>
      <c r="DN3" s="25">
        <f>預測IC!DN3</f>
        <v>3.0844743252797239E-2</v>
      </c>
      <c r="DO3" s="25">
        <f>預測IC!DO3</f>
        <v>3.3675363611272838E-2</v>
      </c>
      <c r="DP3" s="25">
        <f>預測IC!DP3</f>
        <v>3.5102177512429639E-2</v>
      </c>
      <c r="DQ3" s="25">
        <f>預測IC!DQ3</f>
        <v>3.6708207074369593E-2</v>
      </c>
      <c r="DR3" s="25">
        <f>預測IC!DR3</f>
        <v>3.4114421599711522E-2</v>
      </c>
      <c r="DS3" s="25">
        <f>預測IC!DS3</f>
        <v>3.6715906439180969E-2</v>
      </c>
      <c r="DT3" s="25">
        <f>預測IC!DT3</f>
        <v>3.4828052772429188E-2</v>
      </c>
      <c r="DU3" s="25">
        <f>預測IC!DU3</f>
        <v>2.3365577264107731E-2</v>
      </c>
      <c r="DV3" s="25">
        <f>預測IC!DV3</f>
        <v>2.524093892652959E-2</v>
      </c>
      <c r="DW3" s="25">
        <f>預測IC!DW3</f>
        <v>3.5159202684512107E-2</v>
      </c>
      <c r="DX3" s="25">
        <f>預測IC!DX3</f>
        <v>3.2304964005665182E-2</v>
      </c>
      <c r="DY3" s="25">
        <f>預測IC!DY3</f>
        <v>2.325821710130703E-2</v>
      </c>
      <c r="DZ3" s="25">
        <f>預測IC!DZ3</f>
        <v>2.8308751932577921E-2</v>
      </c>
      <c r="EA3" s="25">
        <f>預測IC!EA3</f>
        <v>3.1397321824344362E-2</v>
      </c>
      <c r="EB3" s="25">
        <f>預測IC!EB3</f>
        <v>3.723081253221186E-2</v>
      </c>
      <c r="EC3" s="25">
        <f>預測IC!EC3</f>
        <v>3.3346090074484303E-2</v>
      </c>
      <c r="ED3" s="25">
        <f>預測IC!ED3</f>
        <v>3.4186640907954438E-2</v>
      </c>
      <c r="EE3" s="25">
        <f>預測IC!EE3</f>
        <v>2.5041157579864491E-2</v>
      </c>
      <c r="EF3" s="25">
        <f>預測IC!EF3</f>
        <v>3.4121434975122142E-2</v>
      </c>
      <c r="EG3" s="1"/>
    </row>
    <row r="4" spans="1:137">
      <c r="A4" s="7"/>
      <c r="B4" s="5" t="s">
        <v>137</v>
      </c>
      <c r="C4" s="25">
        <f>預測IC!C4</f>
        <v>-4.9660484307830009E-2</v>
      </c>
      <c r="D4" s="25">
        <f>預測IC!D4</f>
        <v>-6.5232195080165353E-2</v>
      </c>
      <c r="E4" s="25">
        <f>預測IC!E4</f>
        <v>-9.3874054199500026E-2</v>
      </c>
      <c r="F4" s="25">
        <f>預測IC!F4</f>
        <v>-7.3843592245097373E-2</v>
      </c>
      <c r="G4" s="25">
        <f>預測IC!G4</f>
        <v>-2.745888685018728E-2</v>
      </c>
      <c r="H4" s="25">
        <f>預測IC!H4</f>
        <v>-3.3398565611267667E-2</v>
      </c>
      <c r="I4" s="25">
        <f>預測IC!I4</f>
        <v>-4.7136189417385607E-2</v>
      </c>
      <c r="J4" s="25">
        <f>預測IC!J4</f>
        <v>-4.6203432590894752E-2</v>
      </c>
      <c r="K4" s="25">
        <f>預測IC!K4</f>
        <v>-4.5932097646850877E-2</v>
      </c>
      <c r="L4" s="25">
        <f>預測IC!L4</f>
        <v>-3.9679751627069763E-2</v>
      </c>
      <c r="M4" s="25">
        <f>預測IC!M4</f>
        <v>-1.8734336084315021E-2</v>
      </c>
      <c r="N4" s="25">
        <f>預測IC!N4</f>
        <v>-3.5831351641089762E-2</v>
      </c>
      <c r="O4" s="25">
        <f>預測IC!O4</f>
        <v>-5.70229981056335E-2</v>
      </c>
      <c r="P4" s="25">
        <f>預測IC!P4</f>
        <v>-4.2462781327895993E-2</v>
      </c>
      <c r="Q4" s="25">
        <f>預測IC!Q4</f>
        <v>-3.7772394962975513E-2</v>
      </c>
      <c r="R4" s="25">
        <f>預測IC!R4</f>
        <v>-2.862835448000129E-2</v>
      </c>
      <c r="S4" s="25">
        <f>預測IC!S4</f>
        <v>-3.099793016810054E-2</v>
      </c>
      <c r="T4" s="25">
        <f>預測IC!T4</f>
        <v>-6.7042254023675389E-3</v>
      </c>
      <c r="U4" s="25">
        <f>預測IC!U4</f>
        <v>-3.5326677132364037E-2</v>
      </c>
      <c r="V4" s="25">
        <f>預測IC!V4</f>
        <v>-2.9502132625226989E-2</v>
      </c>
      <c r="W4" s="25">
        <f>預測IC!W4</f>
        <v>-4.1243395472264313E-2</v>
      </c>
      <c r="X4" s="25">
        <f>預測IC!X4</f>
        <v>-5.4483491647159897E-2</v>
      </c>
      <c r="Y4" s="25">
        <f>預測IC!Y4</f>
        <v>-5.7374231531351433E-2</v>
      </c>
      <c r="Z4" s="25">
        <f>預測IC!Z4</f>
        <v>-5.0628448585672892E-2</v>
      </c>
      <c r="AA4" s="25">
        <f>預測IC!AA4</f>
        <v>-4.231975801219371E-2</v>
      </c>
      <c r="AB4" s="25">
        <f>預測IC!AB4</f>
        <v>-3.6518861974360411E-2</v>
      </c>
      <c r="AC4" s="25">
        <f>預測IC!AC4</f>
        <v>-3.845543636405753E-2</v>
      </c>
      <c r="AD4" s="25">
        <f>預測IC!AD4</f>
        <v>-3.2603396395427572E-2</v>
      </c>
      <c r="AE4" s="25">
        <f>預測IC!AE4</f>
        <v>-3.4795070629380642E-2</v>
      </c>
      <c r="AF4" s="25">
        <f>預測IC!AF4</f>
        <v>-1.6394819349874201E-3</v>
      </c>
      <c r="AG4" s="25">
        <f>預測IC!AG4</f>
        <v>-3.2239282506807423E-2</v>
      </c>
      <c r="AH4" s="25">
        <f>預測IC!AH4</f>
        <v>-2.5693111006731412E-2</v>
      </c>
      <c r="AI4" s="25">
        <f>預測IC!AI4</f>
        <v>-3.008904130127369E-2</v>
      </c>
      <c r="AJ4" s="25">
        <f>預測IC!AJ4</f>
        <v>-2.971967039544228E-2</v>
      </c>
      <c r="AK4" s="25">
        <f>預測IC!AK4</f>
        <v>-2.274313052691369E-2</v>
      </c>
      <c r="AL4" s="25">
        <f>預測IC!AL4</f>
        <v>-2.5322304879822729E-2</v>
      </c>
      <c r="AM4" s="25">
        <f>預測IC!AM4</f>
        <v>-2.411751658948514E-2</v>
      </c>
      <c r="AN4" s="25">
        <f>預測IC!AN4</f>
        <v>-2.727232649453621E-2</v>
      </c>
      <c r="AO4" s="25">
        <f>預測IC!AO4</f>
        <v>-2.8383253052872079E-2</v>
      </c>
      <c r="AP4" s="25">
        <f>預測IC!AP4</f>
        <v>-2.3965679052040011E-2</v>
      </c>
      <c r="AQ4" s="25">
        <f>預測IC!AQ4</f>
        <v>-2.80485237785515E-2</v>
      </c>
      <c r="AR4" s="25">
        <f>預測IC!AR4</f>
        <v>-1.7736170970874439E-2</v>
      </c>
      <c r="AS4" s="25">
        <f>預測IC!AS4</f>
        <v>-1.39303337439949E-2</v>
      </c>
      <c r="AT4" s="25">
        <f>預測IC!AT4</f>
        <v>-1.2870881079163021E-2</v>
      </c>
      <c r="AU4" s="25">
        <f>預測IC!AU4</f>
        <v>-1.6424059937097849E-2</v>
      </c>
      <c r="AV4" s="25">
        <f>預測IC!AV4</f>
        <v>-2.4039749385437719E-2</v>
      </c>
      <c r="AW4" s="25">
        <f>預測IC!AW4</f>
        <v>-2.1378847766349081E-2</v>
      </c>
      <c r="AX4" s="25">
        <f>預測IC!AX4</f>
        <v>-2.3051468101219511E-2</v>
      </c>
      <c r="AY4" s="25">
        <f>預測IC!AY4</f>
        <v>-2.6631557609926141E-2</v>
      </c>
      <c r="AZ4" s="25">
        <f>預測IC!AZ4</f>
        <v>-1.597851755827499E-2</v>
      </c>
      <c r="BA4" s="25">
        <f>預測IC!BA4</f>
        <v>-2.9633847899323489E-2</v>
      </c>
      <c r="BB4" s="25">
        <f>預測IC!BB4</f>
        <v>-3.6923299522087998E-2</v>
      </c>
      <c r="BC4" s="25">
        <f>預測IC!BC4</f>
        <v>-2.3000784324243968E-2</v>
      </c>
      <c r="BD4" s="25">
        <f>預測IC!BD4</f>
        <v>-2.892210840223592E-2</v>
      </c>
      <c r="BE4" s="25">
        <f>預測IC!BE4</f>
        <v>-3.0957742972803601E-2</v>
      </c>
      <c r="BF4" s="25">
        <f>預測IC!BF4</f>
        <v>-1.8182050049131201E-2</v>
      </c>
      <c r="BG4" s="25">
        <f>預測IC!BG4</f>
        <v>-1.59612129148653E-2</v>
      </c>
      <c r="BH4" s="25">
        <f>預測IC!BH4</f>
        <v>-2.135883022338424E-2</v>
      </c>
      <c r="BI4" s="25">
        <f>預測IC!BI4</f>
        <v>-1.889592453448587E-2</v>
      </c>
      <c r="BJ4" s="25">
        <f>預測IC!BJ4</f>
        <v>-2.1053002135234831E-2</v>
      </c>
      <c r="BK4" s="25">
        <f>預測IC!BK4</f>
        <v>-2.6612022761366049E-2</v>
      </c>
      <c r="BL4" s="25">
        <f>預測IC!BL4</f>
        <v>-1.7576953748392139E-2</v>
      </c>
      <c r="BM4" s="25">
        <f>預測IC!BM4</f>
        <v>-2.1846218109135389E-2</v>
      </c>
      <c r="BN4" s="25">
        <f>預測IC!BN4</f>
        <v>-1.558178680666511E-2</v>
      </c>
      <c r="BO4" s="25">
        <f>預測IC!BO4</f>
        <v>-6.5029895709140294E-3</v>
      </c>
      <c r="BP4" s="25">
        <f>預測IC!BP4</f>
        <v>-1.217191420200061E-2</v>
      </c>
      <c r="BQ4" s="25">
        <f>預測IC!BQ4</f>
        <v>-1.0666510831082679E-3</v>
      </c>
      <c r="BR4" s="25">
        <f>預測IC!BR4</f>
        <v>-7.8848633119188317E-3</v>
      </c>
      <c r="BS4" s="25">
        <f>預測IC!BS4</f>
        <v>-1.1588282276333789E-2</v>
      </c>
      <c r="BT4" s="25">
        <f>預測IC!BT4</f>
        <v>-1.6350563096253809E-2</v>
      </c>
      <c r="BU4" s="25">
        <f>預測IC!BU4</f>
        <v>-1.7287992540061109E-3</v>
      </c>
      <c r="BV4" s="25">
        <f>預測IC!BV4</f>
        <v>1.285828832716631E-2</v>
      </c>
      <c r="BW4" s="25">
        <f>預測IC!BW4</f>
        <v>-7.6302480414426601E-3</v>
      </c>
      <c r="BX4" s="25">
        <f>預測IC!BX4</f>
        <v>-1.6045395009791349E-2</v>
      </c>
      <c r="BY4" s="25">
        <f>預測IC!BY4</f>
        <v>-1.8894754178095271E-2</v>
      </c>
      <c r="BZ4" s="25">
        <f>預測IC!BZ4</f>
        <v>-4.1567566104242478E-3</v>
      </c>
      <c r="CA4" s="25">
        <f>預測IC!CA4</f>
        <v>-1.710017537951062E-2</v>
      </c>
      <c r="CB4" s="25">
        <f>預測IC!CB4</f>
        <v>-2.2304157428424391E-2</v>
      </c>
      <c r="CC4" s="25">
        <f>預測IC!CC4</f>
        <v>-4.111205153911144E-2</v>
      </c>
      <c r="CD4" s="25">
        <f>預測IC!CD4</f>
        <v>-3.2535405185557913E-2</v>
      </c>
      <c r="CE4" s="25">
        <f>預測IC!CE4</f>
        <v>-3.0323266480776649E-2</v>
      </c>
      <c r="CF4" s="25">
        <f>預測IC!CF4</f>
        <v>-6.1293189114789898E-2</v>
      </c>
      <c r="CG4" s="25">
        <f>預測IC!CG4</f>
        <v>-4.4169748382986783E-2</v>
      </c>
      <c r="CH4" s="25">
        <f>預測IC!CH4</f>
        <v>-2.4897657851006831E-2</v>
      </c>
      <c r="CI4" s="25">
        <f>預測IC!CI4</f>
        <v>-1.773490777748107E-2</v>
      </c>
      <c r="CJ4" s="25">
        <f>預測IC!CJ4</f>
        <v>-1.149415603536374E-2</v>
      </c>
      <c r="CK4" s="25">
        <f>預測IC!CK4</f>
        <v>-1.591073109149212E-2</v>
      </c>
      <c r="CL4" s="25">
        <f>預測IC!CL4</f>
        <v>-1.553664078255448E-2</v>
      </c>
      <c r="CM4" s="25">
        <f>預測IC!CM4</f>
        <v>-1.9141804743850431E-2</v>
      </c>
      <c r="CN4" s="25">
        <f>預測IC!CN4</f>
        <v>8.0304455212189402E-3</v>
      </c>
      <c r="CO4" s="25">
        <f>預測IC!CO4</f>
        <v>5.7365987476290974E-3</v>
      </c>
      <c r="CP4" s="25">
        <f>預測IC!CP4</f>
        <v>-6.5301402173690883E-3</v>
      </c>
      <c r="CQ4" s="25">
        <f>預測IC!CQ4</f>
        <v>2.4291588095023031E-3</v>
      </c>
      <c r="CR4" s="25">
        <f>預測IC!CR4</f>
        <v>-1.917966682871176E-2</v>
      </c>
      <c r="CS4" s="25">
        <f>預測IC!CS4</f>
        <v>-2.334741602504313E-2</v>
      </c>
      <c r="CT4" s="25">
        <f>預測IC!CT4</f>
        <v>-2.178933391007621E-2</v>
      </c>
      <c r="CU4" s="25">
        <f>預測IC!CU4</f>
        <v>-2.9507578237515441E-2</v>
      </c>
      <c r="CV4" s="25">
        <f>預測IC!CV4</f>
        <v>-2.4863141676227461E-2</v>
      </c>
      <c r="CW4" s="25">
        <f>預測IC!CW4</f>
        <v>-2.2836003990752241E-2</v>
      </c>
      <c r="CX4" s="25">
        <f>預測IC!CX4</f>
        <v>-2.2235746171206432E-2</v>
      </c>
      <c r="CY4" s="25">
        <f>預測IC!CY4</f>
        <v>-2.5586844579715249E-2</v>
      </c>
      <c r="CZ4" s="25">
        <f>預測IC!CZ4</f>
        <v>-3.0231054830945629E-2</v>
      </c>
      <c r="DA4" s="25">
        <f>預測IC!DA4</f>
        <v>-4.3224114563057553E-2</v>
      </c>
      <c r="DB4" s="25">
        <f>預測IC!DB4</f>
        <v>-4.4725026400587967E-2</v>
      </c>
      <c r="DC4" s="25">
        <f>預測IC!DC4</f>
        <v>-7.0760377239426644E-2</v>
      </c>
      <c r="DD4" s="25">
        <f>預測IC!DD4</f>
        <v>-5.7610036798158112E-2</v>
      </c>
      <c r="DE4" s="25">
        <f>預測IC!DE4</f>
        <v>-3.404219099480222E-2</v>
      </c>
      <c r="DF4" s="25">
        <f>預測IC!DF4</f>
        <v>-2.7183797543947438E-2</v>
      </c>
      <c r="DG4" s="25">
        <f>預測IC!DG4</f>
        <v>-3.5052644373932129E-2</v>
      </c>
      <c r="DH4" s="25">
        <f>預測IC!DH4</f>
        <v>-8.428399037687339E-3</v>
      </c>
      <c r="DI4" s="25">
        <f>預測IC!DI4</f>
        <v>-3.6370881039868713E-2</v>
      </c>
      <c r="DJ4" s="25">
        <f>預測IC!DJ4</f>
        <v>-3.7819313396098023E-2</v>
      </c>
      <c r="DK4" s="25">
        <f>預測IC!DK4</f>
        <v>-2.702995348835956E-2</v>
      </c>
      <c r="DL4" s="25">
        <f>預測IC!DL4</f>
        <v>-1.9450420003777492E-2</v>
      </c>
      <c r="DM4" s="25">
        <f>預測IC!DM4</f>
        <v>-1.8687387511566969E-2</v>
      </c>
      <c r="DN4" s="25">
        <f>預測IC!DN4</f>
        <v>-8.9243337838529595E-3</v>
      </c>
      <c r="DO4" s="25">
        <f>預測IC!DO4</f>
        <v>-2.2448412563485658E-2</v>
      </c>
      <c r="DP4" s="25">
        <f>預測IC!DP4</f>
        <v>-2.9487498188438439E-2</v>
      </c>
      <c r="DQ4" s="25">
        <f>預測IC!DQ4</f>
        <v>-3.6680869276058257E-2</v>
      </c>
      <c r="DR4" s="25">
        <f>預測IC!DR4</f>
        <v>-2.964822814067369E-2</v>
      </c>
      <c r="DS4" s="25">
        <f>預測IC!DS4</f>
        <v>-2.8893370012943329E-2</v>
      </c>
      <c r="DT4" s="25">
        <f>預測IC!DT4</f>
        <v>-4.1056175553995593E-2</v>
      </c>
      <c r="DU4" s="25">
        <f>預測IC!DU4</f>
        <v>-3.7310764401418541E-2</v>
      </c>
      <c r="DV4" s="25">
        <f>預測IC!DV4</f>
        <v>-9.8104083511435913E-3</v>
      </c>
      <c r="DW4" s="25">
        <f>預測IC!DW4</f>
        <v>-1.9249126149739601E-2</v>
      </c>
      <c r="DX4" s="25">
        <f>預測IC!DX4</f>
        <v>-3.0385994354775469E-2</v>
      </c>
      <c r="DY4" s="25">
        <f>預測IC!DY4</f>
        <v>-3.3048945391833368E-2</v>
      </c>
      <c r="DZ4" s="25">
        <f>預測IC!DZ4</f>
        <v>-3.0875828777379061E-2</v>
      </c>
      <c r="EA4" s="25">
        <f>預測IC!EA4</f>
        <v>-3.1659361830993098E-2</v>
      </c>
      <c r="EB4" s="25">
        <f>預測IC!EB4</f>
        <v>-3.4389624405496783E-2</v>
      </c>
      <c r="EC4" s="25">
        <f>預測IC!EC4</f>
        <v>-4.1069385194225268E-2</v>
      </c>
      <c r="ED4" s="25">
        <f>預測IC!ED4</f>
        <v>-3.100505897009637E-2</v>
      </c>
      <c r="EE4" s="25">
        <f>預測IC!EE4</f>
        <v>-2.307612898354422E-2</v>
      </c>
      <c r="EF4" s="25">
        <f>預測IC!EF4</f>
        <v>-1.1421019476021661E-2</v>
      </c>
      <c r="EG4" s="1"/>
    </row>
    <row r="5" spans="1:137">
      <c r="A5" s="7"/>
      <c r="B5" s="8" t="s">
        <v>138</v>
      </c>
      <c r="C5" s="25">
        <f>預測IC!C5</f>
        <v>3.592321643530621E-3</v>
      </c>
      <c r="D5" s="25">
        <f>預測IC!D5</f>
        <v>2.8862197223557262E-3</v>
      </c>
      <c r="E5" s="25">
        <f>預測IC!E5</f>
        <v>8.0135071589913301E-3</v>
      </c>
      <c r="F5" s="25">
        <f>預測IC!F5</f>
        <v>7.4387135878969382E-3</v>
      </c>
      <c r="G5" s="25">
        <f>預測IC!G5</f>
        <v>-1.698488952144591E-4</v>
      </c>
      <c r="H5" s="25">
        <f>預測IC!H5</f>
        <v>9.1359420815390231E-3</v>
      </c>
      <c r="I5" s="25">
        <f>預測IC!I5</f>
        <v>1.2007171314759381E-2</v>
      </c>
      <c r="J5" s="25">
        <f>預測IC!J5</f>
        <v>5.9464452790785093E-3</v>
      </c>
      <c r="K5" s="25">
        <f>預測IC!K5</f>
        <v>1.6591641238482821E-2</v>
      </c>
      <c r="L5" s="25">
        <f>預測IC!L5</f>
        <v>1.920161893371632E-2</v>
      </c>
      <c r="M5" s="25">
        <f>預測IC!M5</f>
        <v>1.9701815290587801E-2</v>
      </c>
      <c r="N5" s="25">
        <f>預測IC!N5</f>
        <v>2.0161711803974011E-2</v>
      </c>
      <c r="O5" s="25">
        <f>預測IC!O5</f>
        <v>1.3437225514017491E-2</v>
      </c>
      <c r="P5" s="25">
        <f>預測IC!P5</f>
        <v>1.7638047330766411E-2</v>
      </c>
      <c r="Q5" s="25">
        <f>預測IC!Q5</f>
        <v>1.3117422271736861E-2</v>
      </c>
      <c r="R5" s="25">
        <f>預測IC!R5</f>
        <v>1.345674557846294E-2</v>
      </c>
      <c r="S5" s="25">
        <f>預測IC!S5</f>
        <v>1.6544045810315121E-2</v>
      </c>
      <c r="T5" s="25">
        <f>預測IC!T5</f>
        <v>1.588127346287815E-2</v>
      </c>
      <c r="U5" s="25">
        <f>預測IC!U5</f>
        <v>2.5940277266489609E-2</v>
      </c>
      <c r="V5" s="25">
        <f>預測IC!V5</f>
        <v>1.968064199513106E-2</v>
      </c>
      <c r="W5" s="25">
        <f>預測IC!W5</f>
        <v>3.2681747373401578E-2</v>
      </c>
      <c r="X5" s="25">
        <f>預測IC!X5</f>
        <v>2.88193361747647E-2</v>
      </c>
      <c r="Y5" s="25">
        <f>預測IC!Y5</f>
        <v>-3.6096516306345743E-2</v>
      </c>
      <c r="Z5" s="25">
        <f>預測IC!Z5</f>
        <v>-5.819473766386217E-3</v>
      </c>
      <c r="AA5" s="25">
        <f>預測IC!AA5</f>
        <v>-1.384361877178903E-2</v>
      </c>
      <c r="AB5" s="25">
        <f>預測IC!AB5</f>
        <v>-4.9937139241651593E-2</v>
      </c>
      <c r="AC5" s="25">
        <f>預測IC!AC5</f>
        <v>-9.2081626879443376E-3</v>
      </c>
      <c r="AD5" s="25">
        <f>預測IC!AD5</f>
        <v>-6.5956474854444447E-2</v>
      </c>
      <c r="AE5" s="25">
        <f>預測IC!AE5</f>
        <v>-2.173514574122511E-2</v>
      </c>
      <c r="AF5" s="25">
        <f>預測IC!AF5</f>
        <v>8.972422407877146E-3</v>
      </c>
      <c r="AG5" s="25">
        <f>預測IC!AG5</f>
        <v>-1.1832985971204321E-2</v>
      </c>
      <c r="AH5" s="25">
        <f>預測IC!AH5</f>
        <v>-2.9651907106316919E-3</v>
      </c>
      <c r="AI5" s="25">
        <f>預測IC!AI5</f>
        <v>4.7857326511695827E-3</v>
      </c>
      <c r="AJ5" s="25">
        <f>預測IC!AJ5</f>
        <v>5.7367073977292078E-3</v>
      </c>
      <c r="AK5" s="25">
        <f>預測IC!AK5</f>
        <v>7.392687328147911E-3</v>
      </c>
      <c r="AL5" s="25">
        <f>預測IC!AL5</f>
        <v>-1.8742539375924459E-3</v>
      </c>
      <c r="AM5" s="25">
        <f>預測IC!AM5</f>
        <v>-1.9525231098321519E-3</v>
      </c>
      <c r="AN5" s="25">
        <f>預測IC!AN5</f>
        <v>-3.6238168597597618E-3</v>
      </c>
      <c r="AO5" s="25">
        <f>預測IC!AO5</f>
        <v>-9.160305976377861E-3</v>
      </c>
      <c r="AP5" s="25">
        <f>預測IC!AP5</f>
        <v>2.5415010892232532E-3</v>
      </c>
      <c r="AQ5" s="25">
        <f>預測IC!AQ5</f>
        <v>3.8483729442072112E-3</v>
      </c>
      <c r="AR5" s="25">
        <f>預測IC!AR5</f>
        <v>3.4029774500497689E-3</v>
      </c>
      <c r="AS5" s="25">
        <f>預測IC!AS5</f>
        <v>8.5747228695072812E-4</v>
      </c>
      <c r="AT5" s="25">
        <f>預測IC!AT5</f>
        <v>8.1789276697448558E-3</v>
      </c>
      <c r="AU5" s="25">
        <f>預測IC!AU5</f>
        <v>1.005796764455418E-2</v>
      </c>
      <c r="AV5" s="25">
        <f>預測IC!AV5</f>
        <v>1.1137854065294999E-2</v>
      </c>
      <c r="AW5" s="25">
        <f>預測IC!AW5</f>
        <v>1.337826848807136E-2</v>
      </c>
      <c r="AX5" s="25">
        <f>預測IC!AX5</f>
        <v>1.18848248356704E-2</v>
      </c>
      <c r="AY5" s="25">
        <f>預測IC!AY5</f>
        <v>-6.6054212052508997E-6</v>
      </c>
      <c r="AZ5" s="25">
        <f>預測IC!AZ5</f>
        <v>7.8238778565858352E-3</v>
      </c>
      <c r="BA5" s="25">
        <f>預測IC!BA5</f>
        <v>6.98923551593754E-3</v>
      </c>
      <c r="BB5" s="25">
        <f>預測IC!BB5</f>
        <v>7.1871697288773849E-3</v>
      </c>
      <c r="BC5" s="25">
        <f>預測IC!BC5</f>
        <v>-2.3924143890266141E-3</v>
      </c>
      <c r="BD5" s="25">
        <f>預測IC!BD5</f>
        <v>7.2638542327923324E-4</v>
      </c>
      <c r="BE5" s="25">
        <f>預測IC!BE5</f>
        <v>-2.2265342845179791E-3</v>
      </c>
      <c r="BF5" s="25">
        <f>預測IC!BF5</f>
        <v>-1.044661448632583E-3</v>
      </c>
      <c r="BG5" s="25">
        <f>預測IC!BG5</f>
        <v>-2.071082545210403E-2</v>
      </c>
      <c r="BH5" s="25">
        <f>預測IC!BH5</f>
        <v>-4.4325197973968437E-2</v>
      </c>
      <c r="BI5" s="25">
        <f>預測IC!BI5</f>
        <v>-1.4765945486966079E-2</v>
      </c>
      <c r="BJ5" s="25">
        <f>預測IC!BJ5</f>
        <v>-2.2277758365709211E-2</v>
      </c>
      <c r="BK5" s="25">
        <f>預測IC!BK5</f>
        <v>-2.350667592759435E-2</v>
      </c>
      <c r="BL5" s="25">
        <f>預測IC!BL5</f>
        <v>-1.659613811373151E-2</v>
      </c>
      <c r="BM5" s="25">
        <f>預測IC!BM5</f>
        <v>-3.7766406128849933E-2</v>
      </c>
      <c r="BN5" s="25">
        <f>預測IC!BN5</f>
        <v>-1.0040541012613679E-2</v>
      </c>
      <c r="BO5" s="25">
        <f>預測IC!BO5</f>
        <v>-7.4939665232719018E-3</v>
      </c>
      <c r="BP5" s="25">
        <f>預測IC!BP5</f>
        <v>3.371447827029599E-3</v>
      </c>
      <c r="BQ5" s="25">
        <f>預測IC!BQ5</f>
        <v>6.8205160463408977E-3</v>
      </c>
      <c r="BR5" s="25">
        <f>預測IC!BR5</f>
        <v>5.5997292120069176E-3</v>
      </c>
      <c r="BS5" s="25">
        <f>預測IC!BS5</f>
        <v>1.5475741356267531E-2</v>
      </c>
      <c r="BT5" s="25">
        <f>預測IC!BT5</f>
        <v>2.505139605033146E-3</v>
      </c>
      <c r="BU5" s="25">
        <f>預測IC!BU5</f>
        <v>6.9054048686437997E-3</v>
      </c>
      <c r="BV5" s="25">
        <f>預測IC!BV5</f>
        <v>6.7595125599199234E-3</v>
      </c>
      <c r="BW5" s="25">
        <f>預測IC!BW5</f>
        <v>5.3854477548855081E-3</v>
      </c>
      <c r="BX5" s="25">
        <f>預測IC!BX5</f>
        <v>-5.1415040641252419E-4</v>
      </c>
      <c r="BY5" s="25">
        <f>預測IC!BY5</f>
        <v>-4.2217786474238123E-3</v>
      </c>
      <c r="BZ5" s="25">
        <f>預測IC!BZ5</f>
        <v>1.3635264175112351E-3</v>
      </c>
      <c r="CA5" s="25">
        <f>預測IC!CA5</f>
        <v>1.234011782232132E-2</v>
      </c>
      <c r="CB5" s="25">
        <f>預測IC!CB5</f>
        <v>1.616138172374685E-2</v>
      </c>
      <c r="CC5" s="25">
        <f>預測IC!CC5</f>
        <v>2.1700747371675229E-3</v>
      </c>
      <c r="CD5" s="25">
        <f>預測IC!CD5</f>
        <v>8.3982369302591179E-3</v>
      </c>
      <c r="CE5" s="25">
        <f>預測IC!CE5</f>
        <v>2.9924757275427601E-3</v>
      </c>
      <c r="CF5" s="25">
        <f>預測IC!CF5</f>
        <v>-8.3356639285777159E-4</v>
      </c>
      <c r="CG5" s="25">
        <f>預測IC!CG5</f>
        <v>-7.4006182308146765E-4</v>
      </c>
      <c r="CH5" s="25">
        <f>預測IC!CH5</f>
        <v>-1.191538287503947E-2</v>
      </c>
      <c r="CI5" s="25">
        <f>預測IC!CI5</f>
        <v>-1.445466793303803E-2</v>
      </c>
      <c r="CJ5" s="25">
        <f>預測IC!CJ5</f>
        <v>-7.2598371634770833E-3</v>
      </c>
      <c r="CK5" s="25">
        <f>預測IC!CK5</f>
        <v>-1.2941787548456081E-3</v>
      </c>
      <c r="CL5" s="25">
        <f>預測IC!CL5</f>
        <v>9.4434034914934982E-3</v>
      </c>
      <c r="CM5" s="25">
        <f>預測IC!CM5</f>
        <v>5.1140346103961546E-3</v>
      </c>
      <c r="CN5" s="25">
        <f>預測IC!CN5</f>
        <v>2.873279302798517E-3</v>
      </c>
      <c r="CO5" s="25">
        <f>預測IC!CO5</f>
        <v>1.7240475986858961E-2</v>
      </c>
      <c r="CP5" s="25">
        <f>預測IC!CP5</f>
        <v>1.141421806863863E-2</v>
      </c>
      <c r="CQ5" s="25">
        <f>預測IC!CQ5</f>
        <v>9.0067640458367376E-3</v>
      </c>
      <c r="CR5" s="25">
        <f>預測IC!CR5</f>
        <v>-2.0834521461759619E-3</v>
      </c>
      <c r="CS5" s="25">
        <f>預測IC!CS5</f>
        <v>-2.1705770934876179E-2</v>
      </c>
      <c r="CT5" s="25">
        <f>預測IC!CT5</f>
        <v>-5.3317796351909441E-3</v>
      </c>
      <c r="CU5" s="25">
        <f>預測IC!CU5</f>
        <v>-3.68701425744362E-3</v>
      </c>
      <c r="CV5" s="25">
        <f>預測IC!CV5</f>
        <v>-3.7795651312946363E-2</v>
      </c>
      <c r="CW5" s="25">
        <f>預測IC!CW5</f>
        <v>-1.389414662767193E-2</v>
      </c>
      <c r="CX5" s="25">
        <f>預測IC!CX5</f>
        <v>6.6294897158866908E-3</v>
      </c>
      <c r="CY5" s="25">
        <f>預測IC!CY5</f>
        <v>-8.2669791474472652E-3</v>
      </c>
      <c r="CZ5" s="25">
        <f>預測IC!CZ5</f>
        <v>1.6345621066842339E-3</v>
      </c>
      <c r="DA5" s="25">
        <f>預測IC!DA5</f>
        <v>4.0989739461057587E-4</v>
      </c>
      <c r="DB5" s="25">
        <f>預測IC!DB5</f>
        <v>4.4160124984572238E-3</v>
      </c>
      <c r="DC5" s="25">
        <f>預測IC!DC5</f>
        <v>2.6999676534044229E-2</v>
      </c>
      <c r="DD5" s="25">
        <f>預測IC!DD5</f>
        <v>9.3187860184787523E-3</v>
      </c>
      <c r="DE5" s="25">
        <f>預測IC!DE5</f>
        <v>-7.7970742974550434E-3</v>
      </c>
      <c r="DF5" s="25">
        <f>預測IC!DF5</f>
        <v>-8.1874226333864611E-3</v>
      </c>
      <c r="DG5" s="25">
        <f>預測IC!DG5</f>
        <v>4.7082207843577081E-3</v>
      </c>
      <c r="DH5" s="25">
        <f>預測IC!DH5</f>
        <v>-1.366700326533769E-2</v>
      </c>
      <c r="DI5" s="25">
        <f>預測IC!DI5</f>
        <v>-7.0506889413944297E-3</v>
      </c>
      <c r="DJ5" s="25">
        <f>預測IC!DJ5</f>
        <v>-1.7588579481036151E-3</v>
      </c>
      <c r="DK5" s="25">
        <f>預測IC!DK5</f>
        <v>3.3090688344859318E-3</v>
      </c>
      <c r="DL5" s="25">
        <f>預測IC!DL5</f>
        <v>4.8628677609277053E-3</v>
      </c>
      <c r="DM5" s="25">
        <f>預測IC!DM5</f>
        <v>3.615095063496505E-3</v>
      </c>
      <c r="DN5" s="25">
        <f>預測IC!DN5</f>
        <v>6.2882035928106261E-3</v>
      </c>
      <c r="DO5" s="25">
        <f>預測IC!DO5</f>
        <v>3.5527335435835928E-3</v>
      </c>
      <c r="DP5" s="25">
        <f>預測IC!DP5</f>
        <v>2.522276075432245E-3</v>
      </c>
      <c r="DQ5" s="25">
        <f>預測IC!DQ5</f>
        <v>-1.066481554793703E-2</v>
      </c>
      <c r="DR5" s="25">
        <f>預測IC!DR5</f>
        <v>1.0994664104448231E-2</v>
      </c>
      <c r="DS5" s="25">
        <f>預測IC!DS5</f>
        <v>-6.4490210014508389E-4</v>
      </c>
      <c r="DT5" s="25">
        <f>預測IC!DT5</f>
        <v>2.3512508887306921E-4</v>
      </c>
      <c r="DU5" s="25">
        <f>預測IC!DU5</f>
        <v>7.3690345715555156E-3</v>
      </c>
      <c r="DV5" s="25">
        <f>預測IC!DV5</f>
        <v>6.7783151790338399E-3</v>
      </c>
      <c r="DW5" s="25">
        <f>預測IC!DW5</f>
        <v>-3.7712345710407022E-3</v>
      </c>
      <c r="DX5" s="25">
        <f>預測IC!DX5</f>
        <v>1.105501636716033E-3</v>
      </c>
      <c r="DY5" s="25">
        <f>預測IC!DY5</f>
        <v>3.3867890298772299E-3</v>
      </c>
      <c r="DZ5" s="25">
        <f>預測IC!DZ5</f>
        <v>3.2550462209418539E-3</v>
      </c>
      <c r="EA5" s="25">
        <f>預測IC!EA5</f>
        <v>6.2664247918384338E-3</v>
      </c>
      <c r="EB5" s="25">
        <f>預測IC!EB5</f>
        <v>-1.711276767800882E-2</v>
      </c>
      <c r="EC5" s="25">
        <f>預測IC!EC5</f>
        <v>-2.088664436358852E-2</v>
      </c>
      <c r="ED5" s="25">
        <f>預測IC!ED5</f>
        <v>-1.0693731182181591E-2</v>
      </c>
      <c r="EE5" s="25">
        <f>預測IC!EE5</f>
        <v>-1.1958726691457309E-2</v>
      </c>
      <c r="EF5" s="25">
        <f>預測IC!EF5</f>
        <v>-1.4122559209273111E-2</v>
      </c>
      <c r="EG5" s="1"/>
    </row>
    <row r="6" spans="1:137" s="2" customFormat="1">
      <c r="A6" s="27" t="s">
        <v>139</v>
      </c>
      <c r="B6" s="28"/>
      <c r="C6" s="26">
        <f t="array" ref="C6">MATCH(MAX(ABS(C3:C5)), ABS(C3:C5), 0)</f>
        <v>2</v>
      </c>
      <c r="D6" s="26">
        <f t="array" ref="D6">MATCH(MAX(ABS(D3:D5)), ABS(D3:D5), 0)</f>
        <v>2</v>
      </c>
      <c r="E6" s="26">
        <f t="array" ref="E6">MATCH(MAX(ABS(E3:E5)), ABS(E3:E5), 0)</f>
        <v>2</v>
      </c>
      <c r="F6" s="26">
        <f t="array" ref="F6">MATCH(MAX(ABS(F3:F5)), ABS(F3:F5), 0)</f>
        <v>2</v>
      </c>
      <c r="G6" s="26">
        <f t="array" ref="G6">MATCH(MAX(ABS(G3:G5)), ABS(G3:G5), 0)</f>
        <v>2</v>
      </c>
      <c r="H6" s="26">
        <f t="array" ref="H6">MATCH(MAX(ABS(H3:H5)), ABS(H3:H5), 0)</f>
        <v>2</v>
      </c>
      <c r="I6" s="26">
        <f t="array" ref="I6">MATCH(MAX(ABS(I3:I5)), ABS(I3:I5), 0)</f>
        <v>2</v>
      </c>
      <c r="J6" s="26">
        <f t="array" ref="J6">MATCH(MAX(ABS(J3:J5)), ABS(J3:J5), 0)</f>
        <v>2</v>
      </c>
      <c r="K6" s="26">
        <f t="array" ref="K6">MATCH(MAX(ABS(K3:K5)), ABS(K3:K5), 0)</f>
        <v>2</v>
      </c>
      <c r="L6" s="26">
        <f t="array" ref="L6">MATCH(MAX(ABS(L3:L5)), ABS(L3:L5), 0)</f>
        <v>2</v>
      </c>
      <c r="M6" s="26">
        <f t="array" ref="M6">MATCH(MAX(ABS(M3:M5)), ABS(M3:M5), 0)</f>
        <v>1</v>
      </c>
      <c r="N6" s="26">
        <f t="array" ref="N6">MATCH(MAX(ABS(N3:N5)), ABS(N3:N5), 0)</f>
        <v>2</v>
      </c>
      <c r="O6" s="26">
        <f t="array" ref="O6">MATCH(MAX(ABS(O3:O5)), ABS(O3:O5), 0)</f>
        <v>2</v>
      </c>
      <c r="P6" s="26">
        <f t="array" ref="P6">MATCH(MAX(ABS(P3:P5)), ABS(P3:P5), 0)</f>
        <v>2</v>
      </c>
      <c r="Q6" s="26">
        <f t="array" ref="Q6">MATCH(MAX(ABS(Q3:Q5)), ABS(Q3:Q5), 0)</f>
        <v>2</v>
      </c>
      <c r="R6" s="26">
        <f t="array" ref="R6">MATCH(MAX(ABS(R3:R5)), ABS(R3:R5), 0)</f>
        <v>2</v>
      </c>
      <c r="S6" s="26">
        <f t="array" ref="S6">MATCH(MAX(ABS(S3:S5)), ABS(S3:S5), 0)</f>
        <v>2</v>
      </c>
      <c r="T6" s="26">
        <f t="array" ref="T6">MATCH(MAX(ABS(T3:T5)), ABS(T3:T5), 0)</f>
        <v>1</v>
      </c>
      <c r="U6" s="26">
        <f t="array" ref="U6">MATCH(MAX(ABS(U3:U5)), ABS(U3:U5), 0)</f>
        <v>2</v>
      </c>
      <c r="V6" s="26">
        <f t="array" ref="V6">MATCH(MAX(ABS(V3:V5)), ABS(V3:V5), 0)</f>
        <v>2</v>
      </c>
      <c r="W6" s="26">
        <f t="array" ref="W6">MATCH(MAX(ABS(W3:W5)), ABS(W3:W5), 0)</f>
        <v>1</v>
      </c>
      <c r="X6" s="26">
        <f t="array" ref="X6">MATCH(MAX(ABS(X3:X5)), ABS(X3:X5), 0)</f>
        <v>2</v>
      </c>
      <c r="Y6" s="26">
        <f t="array" ref="Y6">MATCH(MAX(ABS(Y3:Y5)), ABS(Y3:Y5), 0)</f>
        <v>2</v>
      </c>
      <c r="Z6" s="26">
        <f t="array" ref="Z6">MATCH(MAX(ABS(Z3:Z5)), ABS(Z3:Z5), 0)</f>
        <v>2</v>
      </c>
      <c r="AA6" s="26">
        <f t="array" ref="AA6">MATCH(MAX(ABS(AA3:AA5)), ABS(AA3:AA5), 0)</f>
        <v>2</v>
      </c>
      <c r="AB6" s="26">
        <f t="array" ref="AB6">MATCH(MAX(ABS(AB3:AB5)), ABS(AB3:AB5), 0)</f>
        <v>3</v>
      </c>
      <c r="AC6" s="26">
        <f t="array" ref="AC6">MATCH(MAX(ABS(AC3:AC5)), ABS(AC3:AC5), 0)</f>
        <v>2</v>
      </c>
      <c r="AD6" s="26">
        <f t="array" ref="AD6">MATCH(MAX(ABS(AD3:AD5)), ABS(AD3:AD5), 0)</f>
        <v>3</v>
      </c>
      <c r="AE6" s="26">
        <f t="array" ref="AE6">MATCH(MAX(ABS(AE3:AE5)), ABS(AE3:AE5), 0)</f>
        <v>2</v>
      </c>
      <c r="AF6" s="26">
        <f t="array" ref="AF6">MATCH(MAX(ABS(AF3:AF5)), ABS(AF3:AF5), 0)</f>
        <v>1</v>
      </c>
      <c r="AG6" s="26">
        <f t="array" ref="AG6">MATCH(MAX(ABS(AG3:AG5)), ABS(AG3:AG5), 0)</f>
        <v>2</v>
      </c>
      <c r="AH6" s="26">
        <f t="array" ref="AH6">MATCH(MAX(ABS(AH3:AH5)), ABS(AH3:AH5), 0)</f>
        <v>1</v>
      </c>
      <c r="AI6" s="26">
        <f t="array" ref="AI6">MATCH(MAX(ABS(AI3:AI5)), ABS(AI3:AI5), 0)</f>
        <v>1</v>
      </c>
      <c r="AJ6" s="26">
        <f t="array" ref="AJ6">MATCH(MAX(ABS(AJ3:AJ5)), ABS(AJ3:AJ5), 0)</f>
        <v>1</v>
      </c>
      <c r="AK6" s="26">
        <f t="array" ref="AK6">MATCH(MAX(ABS(AK3:AK5)), ABS(AK3:AK5), 0)</f>
        <v>1</v>
      </c>
      <c r="AL6" s="26">
        <f t="array" ref="AL6">MATCH(MAX(ABS(AL3:AL5)), ABS(AL3:AL5), 0)</f>
        <v>1</v>
      </c>
      <c r="AM6" s="26">
        <f t="array" ref="AM6">MATCH(MAX(ABS(AM3:AM5)), ABS(AM3:AM5), 0)</f>
        <v>1</v>
      </c>
      <c r="AN6" s="26">
        <f t="array" ref="AN6">MATCH(MAX(ABS(AN3:AN5)), ABS(AN3:AN5), 0)</f>
        <v>1</v>
      </c>
      <c r="AO6" s="26">
        <f t="array" ref="AO6">MATCH(MAX(ABS(AO3:AO5)), ABS(AO3:AO5), 0)</f>
        <v>1</v>
      </c>
      <c r="AP6" s="26">
        <f t="array" ref="AP6">MATCH(MAX(ABS(AP3:AP5)), ABS(AP3:AP5), 0)</f>
        <v>1</v>
      </c>
      <c r="AQ6" s="26">
        <f t="array" ref="AQ6">MATCH(MAX(ABS(AQ3:AQ5)), ABS(AQ3:AQ5), 0)</f>
        <v>1</v>
      </c>
      <c r="AR6" s="26">
        <f t="array" ref="AR6">MATCH(MAX(ABS(AR3:AR5)), ABS(AR3:AR5), 0)</f>
        <v>1</v>
      </c>
      <c r="AS6" s="26">
        <f t="array" ref="AS6">MATCH(MAX(ABS(AS3:AS5)), ABS(AS3:AS5), 0)</f>
        <v>1</v>
      </c>
      <c r="AT6" s="26">
        <f t="array" ref="AT6">MATCH(MAX(ABS(AT3:AT5)), ABS(AT3:AT5), 0)</f>
        <v>1</v>
      </c>
      <c r="AU6" s="26">
        <f t="array" ref="AU6">MATCH(MAX(ABS(AU3:AU5)), ABS(AU3:AU5), 0)</f>
        <v>1</v>
      </c>
      <c r="AV6" s="26">
        <f t="array" ref="AV6">MATCH(MAX(ABS(AV3:AV5)), ABS(AV3:AV5), 0)</f>
        <v>1</v>
      </c>
      <c r="AW6" s="26">
        <f t="array" ref="AW6">MATCH(MAX(ABS(AW3:AW5)), ABS(AW3:AW5), 0)</f>
        <v>1</v>
      </c>
      <c r="AX6" s="26">
        <f t="array" ref="AX6">MATCH(MAX(ABS(AX3:AX5)), ABS(AX3:AX5), 0)</f>
        <v>1</v>
      </c>
      <c r="AY6" s="26">
        <f t="array" ref="AY6">MATCH(MAX(ABS(AY3:AY5)), ABS(AY3:AY5), 0)</f>
        <v>1</v>
      </c>
      <c r="AZ6" s="26">
        <f t="array" ref="AZ6">MATCH(MAX(ABS(AZ3:AZ5)), ABS(AZ3:AZ5), 0)</f>
        <v>1</v>
      </c>
      <c r="BA6" s="26">
        <f t="array" ref="BA6">MATCH(MAX(ABS(BA3:BA5)), ABS(BA3:BA5), 0)</f>
        <v>2</v>
      </c>
      <c r="BB6" s="26">
        <f t="array" ref="BB6">MATCH(MAX(ABS(BB3:BB5)), ABS(BB3:BB5), 0)</f>
        <v>2</v>
      </c>
      <c r="BC6" s="26">
        <f t="array" ref="BC6">MATCH(MAX(ABS(BC3:BC5)), ABS(BC3:BC5), 0)</f>
        <v>1</v>
      </c>
      <c r="BD6" s="26">
        <f t="array" ref="BD6">MATCH(MAX(ABS(BD3:BD5)), ABS(BD3:BD5), 0)</f>
        <v>1</v>
      </c>
      <c r="BE6" s="26">
        <f t="array" ref="BE6">MATCH(MAX(ABS(BE3:BE5)), ABS(BE3:BE5), 0)</f>
        <v>1</v>
      </c>
      <c r="BF6" s="26">
        <f t="array" ref="BF6">MATCH(MAX(ABS(BF3:BF5)), ABS(BF3:BF5), 0)</f>
        <v>1</v>
      </c>
      <c r="BG6" s="26">
        <f t="array" ref="BG6">MATCH(MAX(ABS(BG3:BG5)), ABS(BG3:BG5), 0)</f>
        <v>1</v>
      </c>
      <c r="BH6" s="26">
        <f t="array" ref="BH6">MATCH(MAX(ABS(BH3:BH5)), ABS(BH3:BH5), 0)</f>
        <v>1</v>
      </c>
      <c r="BI6" s="26">
        <f t="array" ref="BI6">MATCH(MAX(ABS(BI3:BI5)), ABS(BI3:BI5), 0)</f>
        <v>1</v>
      </c>
      <c r="BJ6" s="26">
        <f t="array" ref="BJ6">MATCH(MAX(ABS(BJ3:BJ5)), ABS(BJ3:BJ5), 0)</f>
        <v>1</v>
      </c>
      <c r="BK6" s="26">
        <f t="array" ref="BK6">MATCH(MAX(ABS(BK3:BK5)), ABS(BK3:BK5), 0)</f>
        <v>1</v>
      </c>
      <c r="BL6" s="26">
        <f t="array" ref="BL6">MATCH(MAX(ABS(BL3:BL5)), ABS(BL3:BL5), 0)</f>
        <v>1</v>
      </c>
      <c r="BM6" s="26">
        <f t="array" ref="BM6">MATCH(MAX(ABS(BM3:BM5)), ABS(BM3:BM5), 0)</f>
        <v>3</v>
      </c>
      <c r="BN6" s="26">
        <f t="array" ref="BN6">MATCH(MAX(ABS(BN3:BN5)), ABS(BN3:BN5), 0)</f>
        <v>1</v>
      </c>
      <c r="BO6" s="26">
        <f t="array" ref="BO6">MATCH(MAX(ABS(BO3:BO5)), ABS(BO3:BO5), 0)</f>
        <v>1</v>
      </c>
      <c r="BP6" s="26">
        <f t="array" ref="BP6">MATCH(MAX(ABS(BP3:BP5)), ABS(BP3:BP5), 0)</f>
        <v>1</v>
      </c>
      <c r="BQ6" s="26">
        <f t="array" ref="BQ6">MATCH(MAX(ABS(BQ3:BQ5)), ABS(BQ3:BQ5), 0)</f>
        <v>1</v>
      </c>
      <c r="BR6" s="26">
        <f t="array" ref="BR6">MATCH(MAX(ABS(BR3:BR5)), ABS(BR3:BR5), 0)</f>
        <v>1</v>
      </c>
      <c r="BS6" s="26">
        <f t="array" ref="BS6">MATCH(MAX(ABS(BS3:BS5)), ABS(BS3:BS5), 0)</f>
        <v>1</v>
      </c>
      <c r="BT6" s="26">
        <f t="array" ref="BT6">MATCH(MAX(ABS(BT3:BT5)), ABS(BT3:BT5), 0)</f>
        <v>1</v>
      </c>
      <c r="BU6" s="26">
        <f t="array" ref="BU6">MATCH(MAX(ABS(BU3:BU5)), ABS(BU3:BU5), 0)</f>
        <v>1</v>
      </c>
      <c r="BV6" s="26">
        <f t="array" ref="BV6">MATCH(MAX(ABS(BV3:BV5)), ABS(BV3:BV5), 0)</f>
        <v>1</v>
      </c>
      <c r="BW6" s="26">
        <f t="array" ref="BW6">MATCH(MAX(ABS(BW3:BW5)), ABS(BW3:BW5), 0)</f>
        <v>1</v>
      </c>
      <c r="BX6" s="26">
        <f t="array" ref="BX6">MATCH(MAX(ABS(BX3:BX5)), ABS(BX3:BX5), 0)</f>
        <v>1</v>
      </c>
      <c r="BY6" s="26">
        <f t="array" ref="BY6">MATCH(MAX(ABS(BY3:BY5)), ABS(BY3:BY5), 0)</f>
        <v>1</v>
      </c>
      <c r="BZ6" s="26">
        <f t="array" ref="BZ6">MATCH(MAX(ABS(BZ3:BZ5)), ABS(BZ3:BZ5), 0)</f>
        <v>1</v>
      </c>
      <c r="CA6" s="26">
        <f t="array" ref="CA6">MATCH(MAX(ABS(CA3:CA5)), ABS(CA3:CA5), 0)</f>
        <v>1</v>
      </c>
      <c r="CB6" s="26">
        <f t="array" ref="CB6">MATCH(MAX(ABS(CB3:CB5)), ABS(CB3:CB5), 0)</f>
        <v>1</v>
      </c>
      <c r="CC6" s="26">
        <f t="array" ref="CC6">MATCH(MAX(ABS(CC3:CC5)), ABS(CC3:CC5), 0)</f>
        <v>2</v>
      </c>
      <c r="CD6" s="26">
        <f t="array" ref="CD6">MATCH(MAX(ABS(CD3:CD5)), ABS(CD3:CD5), 0)</f>
        <v>2</v>
      </c>
      <c r="CE6" s="26">
        <f t="array" ref="CE6">MATCH(MAX(ABS(CE3:CE5)), ABS(CE3:CE5), 0)</f>
        <v>2</v>
      </c>
      <c r="CF6" s="26">
        <f t="array" ref="CF6">MATCH(MAX(ABS(CF3:CF5)), ABS(CF3:CF5), 0)</f>
        <v>2</v>
      </c>
      <c r="CG6" s="26">
        <f t="array" ref="CG6">MATCH(MAX(ABS(CG3:CG5)), ABS(CG3:CG5), 0)</f>
        <v>2</v>
      </c>
      <c r="CH6" s="26">
        <f t="array" ref="CH6">MATCH(MAX(ABS(CH3:CH5)), ABS(CH3:CH5), 0)</f>
        <v>1</v>
      </c>
      <c r="CI6" s="26">
        <f t="array" ref="CI6">MATCH(MAX(ABS(CI3:CI5)), ABS(CI3:CI5), 0)</f>
        <v>1</v>
      </c>
      <c r="CJ6" s="26">
        <f t="array" ref="CJ6">MATCH(MAX(ABS(CJ3:CJ5)), ABS(CJ3:CJ5), 0)</f>
        <v>1</v>
      </c>
      <c r="CK6" s="26">
        <f t="array" ref="CK6">MATCH(MAX(ABS(CK3:CK5)), ABS(CK3:CK5), 0)</f>
        <v>1</v>
      </c>
      <c r="CL6" s="26">
        <f t="array" ref="CL6">MATCH(MAX(ABS(CL3:CL5)), ABS(CL3:CL5), 0)</f>
        <v>1</v>
      </c>
      <c r="CM6" s="26">
        <f t="array" ref="CM6">MATCH(MAX(ABS(CM3:CM5)), ABS(CM3:CM5), 0)</f>
        <v>1</v>
      </c>
      <c r="CN6" s="26">
        <f t="array" ref="CN6">MATCH(MAX(ABS(CN3:CN5)), ABS(CN3:CN5), 0)</f>
        <v>1</v>
      </c>
      <c r="CO6" s="26">
        <f t="array" ref="CO6">MATCH(MAX(ABS(CO3:CO5)), ABS(CO3:CO5), 0)</f>
        <v>1</v>
      </c>
      <c r="CP6" s="26">
        <f t="array" ref="CP6">MATCH(MAX(ABS(CP3:CP5)), ABS(CP3:CP5), 0)</f>
        <v>1</v>
      </c>
      <c r="CQ6" s="26">
        <f t="array" ref="CQ6">MATCH(MAX(ABS(CQ3:CQ5)), ABS(CQ3:CQ5), 0)</f>
        <v>3</v>
      </c>
      <c r="CR6" s="26">
        <f t="array" ref="CR6">MATCH(MAX(ABS(CR3:CR5)), ABS(CR3:CR5), 0)</f>
        <v>2</v>
      </c>
      <c r="CS6" s="26">
        <f t="array" ref="CS6">MATCH(MAX(ABS(CS3:CS5)), ABS(CS3:CS5), 0)</f>
        <v>2</v>
      </c>
      <c r="CT6" s="26">
        <f t="array" ref="CT6">MATCH(MAX(ABS(CT3:CT5)), ABS(CT3:CT5), 0)</f>
        <v>1</v>
      </c>
      <c r="CU6" s="26">
        <f t="array" ref="CU6">MATCH(MAX(ABS(CU3:CU5)), ABS(CU3:CU5), 0)</f>
        <v>1</v>
      </c>
      <c r="CV6" s="26">
        <f t="array" ref="CV6">MATCH(MAX(ABS(CV3:CV5)), ABS(CV3:CV5), 0)</f>
        <v>1</v>
      </c>
      <c r="CW6" s="26">
        <f t="array" ref="CW6">MATCH(MAX(ABS(CW3:CW5)), ABS(CW3:CW5), 0)</f>
        <v>1</v>
      </c>
      <c r="CX6" s="26">
        <f t="array" ref="CX6">MATCH(MAX(ABS(CX3:CX5)), ABS(CX3:CX5), 0)</f>
        <v>1</v>
      </c>
      <c r="CY6" s="26">
        <f t="array" ref="CY6">MATCH(MAX(ABS(CY3:CY5)), ABS(CY3:CY5), 0)</f>
        <v>1</v>
      </c>
      <c r="CZ6" s="26">
        <f t="array" ref="CZ6">MATCH(MAX(ABS(CZ3:CZ5)), ABS(CZ3:CZ5), 0)</f>
        <v>1</v>
      </c>
      <c r="DA6" s="26">
        <f t="array" ref="DA6">MATCH(MAX(ABS(DA3:DA5)), ABS(DA3:DA5), 0)</f>
        <v>1</v>
      </c>
      <c r="DB6" s="26">
        <f t="array" ref="DB6">MATCH(MAX(ABS(DB3:DB5)), ABS(DB3:DB5), 0)</f>
        <v>2</v>
      </c>
      <c r="DC6" s="26">
        <f t="array" ref="DC6">MATCH(MAX(ABS(DC3:DC5)), ABS(DC3:DC5), 0)</f>
        <v>2</v>
      </c>
      <c r="DD6" s="26">
        <f t="array" ref="DD6">MATCH(MAX(ABS(DD3:DD5)), ABS(DD3:DD5), 0)</f>
        <v>2</v>
      </c>
      <c r="DE6" s="26">
        <f t="array" ref="DE6">MATCH(MAX(ABS(DE3:DE5)), ABS(DE3:DE5), 0)</f>
        <v>1</v>
      </c>
      <c r="DF6" s="26">
        <f t="array" ref="DF6">MATCH(MAX(ABS(DF3:DF5)), ABS(DF3:DF5), 0)</f>
        <v>1</v>
      </c>
      <c r="DG6" s="26">
        <f t="array" ref="DG6">MATCH(MAX(ABS(DG3:DG5)), ABS(DG3:DG5), 0)</f>
        <v>1</v>
      </c>
      <c r="DH6" s="26">
        <f t="array" ref="DH6">MATCH(MAX(ABS(DH3:DH5)), ABS(DH3:DH5), 0)</f>
        <v>1</v>
      </c>
      <c r="DI6" s="26">
        <f t="array" ref="DI6">MATCH(MAX(ABS(DI3:DI5)), ABS(DI3:DI5), 0)</f>
        <v>1</v>
      </c>
      <c r="DJ6" s="26">
        <f t="array" ref="DJ6">MATCH(MAX(ABS(DJ3:DJ5)), ABS(DJ3:DJ5), 0)</f>
        <v>2</v>
      </c>
      <c r="DK6" s="26">
        <f t="array" ref="DK6">MATCH(MAX(ABS(DK3:DK5)), ABS(DK3:DK5), 0)</f>
        <v>1</v>
      </c>
      <c r="DL6" s="26">
        <f t="array" ref="DL6">MATCH(MAX(ABS(DL3:DL5)), ABS(DL3:DL5), 0)</f>
        <v>1</v>
      </c>
      <c r="DM6" s="26">
        <f t="array" ref="DM6">MATCH(MAX(ABS(DM3:DM5)), ABS(DM3:DM5), 0)</f>
        <v>1</v>
      </c>
      <c r="DN6" s="26">
        <f t="array" ref="DN6">MATCH(MAX(ABS(DN3:DN5)), ABS(DN3:DN5), 0)</f>
        <v>1</v>
      </c>
      <c r="DO6" s="26">
        <f t="array" ref="DO6">MATCH(MAX(ABS(DO3:DO5)), ABS(DO3:DO5), 0)</f>
        <v>1</v>
      </c>
      <c r="DP6" s="26">
        <f t="array" ref="DP6">MATCH(MAX(ABS(DP3:DP5)), ABS(DP3:DP5), 0)</f>
        <v>1</v>
      </c>
      <c r="DQ6" s="26">
        <f t="array" ref="DQ6">MATCH(MAX(ABS(DQ3:DQ5)), ABS(DQ3:DQ5), 0)</f>
        <v>1</v>
      </c>
      <c r="DR6" s="26">
        <f t="array" ref="DR6">MATCH(MAX(ABS(DR3:DR5)), ABS(DR3:DR5), 0)</f>
        <v>1</v>
      </c>
      <c r="DS6" s="26">
        <f t="array" ref="DS6">MATCH(MAX(ABS(DS3:DS5)), ABS(DS3:DS5), 0)</f>
        <v>1</v>
      </c>
      <c r="DT6" s="26">
        <f t="array" ref="DT6">MATCH(MAX(ABS(DT3:DT5)), ABS(DT3:DT5), 0)</f>
        <v>2</v>
      </c>
      <c r="DU6" s="26">
        <f t="array" ref="DU6">MATCH(MAX(ABS(DU3:DU5)), ABS(DU3:DU5), 0)</f>
        <v>2</v>
      </c>
      <c r="DV6" s="26">
        <f t="array" ref="DV6">MATCH(MAX(ABS(DV3:DV5)), ABS(DV3:DV5), 0)</f>
        <v>1</v>
      </c>
      <c r="DW6" s="26">
        <f t="array" ref="DW6">MATCH(MAX(ABS(DW3:DW5)), ABS(DW3:DW5), 0)</f>
        <v>1</v>
      </c>
      <c r="DX6" s="26">
        <f t="array" ref="DX6">MATCH(MAX(ABS(DX3:DX5)), ABS(DX3:DX5), 0)</f>
        <v>1</v>
      </c>
      <c r="DY6" s="26">
        <f t="array" ref="DY6">MATCH(MAX(ABS(DY3:DY5)), ABS(DY3:DY5), 0)</f>
        <v>2</v>
      </c>
      <c r="DZ6" s="26">
        <f t="array" ref="DZ6">MATCH(MAX(ABS(DZ3:DZ5)), ABS(DZ3:DZ5), 0)</f>
        <v>2</v>
      </c>
      <c r="EA6" s="26">
        <f t="array" ref="EA6">MATCH(MAX(ABS(EA3:EA5)), ABS(EA3:EA5), 0)</f>
        <v>2</v>
      </c>
      <c r="EB6" s="26">
        <f t="array" ref="EB6">MATCH(MAX(ABS(EB3:EB5)), ABS(EB3:EB5), 0)</f>
        <v>1</v>
      </c>
      <c r="EC6" s="26">
        <f t="array" ref="EC6">MATCH(MAX(ABS(EC3:EC5)), ABS(EC3:EC5), 0)</f>
        <v>2</v>
      </c>
      <c r="ED6" s="26">
        <f t="array" ref="ED6">MATCH(MAX(ABS(ED3:ED5)), ABS(ED3:ED5), 0)</f>
        <v>1</v>
      </c>
      <c r="EE6" s="26">
        <f t="array" ref="EE6">MATCH(MAX(ABS(EE3:EE5)), ABS(EE3:EE5), 0)</f>
        <v>1</v>
      </c>
      <c r="EF6" s="26">
        <f t="array" ref="EF6">MATCH(MAX(ABS(EF3:EF5)), ABS(EF3:EF5), 0)</f>
        <v>1</v>
      </c>
    </row>
    <row r="7" spans="1:137" s="2" customFormat="1">
      <c r="C7" s="26" t="str">
        <f t="shared" ref="C7:AH7" si="0">IF(C6=1,"bm",IF(C6=2,"size",IF(C6=3,"mom")))</f>
        <v>size</v>
      </c>
      <c r="D7" s="26" t="str">
        <f t="shared" si="0"/>
        <v>size</v>
      </c>
      <c r="E7" s="26" t="str">
        <f t="shared" si="0"/>
        <v>size</v>
      </c>
      <c r="F7" s="26" t="str">
        <f t="shared" si="0"/>
        <v>size</v>
      </c>
      <c r="G7" s="26" t="str">
        <f t="shared" si="0"/>
        <v>size</v>
      </c>
      <c r="H7" s="26" t="str">
        <f t="shared" si="0"/>
        <v>size</v>
      </c>
      <c r="I7" s="26" t="str">
        <f t="shared" si="0"/>
        <v>size</v>
      </c>
      <c r="J7" s="26" t="str">
        <f t="shared" si="0"/>
        <v>size</v>
      </c>
      <c r="K7" s="26" t="str">
        <f t="shared" si="0"/>
        <v>size</v>
      </c>
      <c r="L7" s="26" t="str">
        <f t="shared" si="0"/>
        <v>size</v>
      </c>
      <c r="M7" s="26" t="str">
        <f t="shared" si="0"/>
        <v>bm</v>
      </c>
      <c r="N7" s="26" t="str">
        <f t="shared" si="0"/>
        <v>size</v>
      </c>
      <c r="O7" s="26" t="str">
        <f t="shared" si="0"/>
        <v>size</v>
      </c>
      <c r="P7" s="26" t="str">
        <f t="shared" si="0"/>
        <v>size</v>
      </c>
      <c r="Q7" s="26" t="str">
        <f t="shared" si="0"/>
        <v>size</v>
      </c>
      <c r="R7" s="26" t="str">
        <f t="shared" si="0"/>
        <v>size</v>
      </c>
      <c r="S7" s="26" t="str">
        <f t="shared" si="0"/>
        <v>size</v>
      </c>
      <c r="T7" s="26" t="str">
        <f t="shared" si="0"/>
        <v>bm</v>
      </c>
      <c r="U7" s="26" t="str">
        <f t="shared" si="0"/>
        <v>size</v>
      </c>
      <c r="V7" s="26" t="str">
        <f t="shared" si="0"/>
        <v>size</v>
      </c>
      <c r="W7" s="26" t="str">
        <f t="shared" si="0"/>
        <v>bm</v>
      </c>
      <c r="X7" s="26" t="str">
        <f t="shared" si="0"/>
        <v>size</v>
      </c>
      <c r="Y7" s="26" t="str">
        <f t="shared" si="0"/>
        <v>size</v>
      </c>
      <c r="Z7" s="26" t="str">
        <f t="shared" si="0"/>
        <v>size</v>
      </c>
      <c r="AA7" s="26" t="str">
        <f t="shared" si="0"/>
        <v>size</v>
      </c>
      <c r="AB7" s="26" t="str">
        <f t="shared" si="0"/>
        <v>mom</v>
      </c>
      <c r="AC7" s="26" t="str">
        <f t="shared" si="0"/>
        <v>size</v>
      </c>
      <c r="AD7" s="26" t="str">
        <f t="shared" si="0"/>
        <v>mom</v>
      </c>
      <c r="AE7" s="26" t="str">
        <f t="shared" si="0"/>
        <v>size</v>
      </c>
      <c r="AF7" s="26" t="str">
        <f t="shared" si="0"/>
        <v>bm</v>
      </c>
      <c r="AG7" s="26" t="str">
        <f t="shared" si="0"/>
        <v>size</v>
      </c>
      <c r="AH7" s="26" t="str">
        <f t="shared" si="0"/>
        <v>bm</v>
      </c>
      <c r="AI7" s="26" t="str">
        <f t="shared" ref="AI7:BN7" si="1">IF(AI6=1,"bm",IF(AI6=2,"size",IF(AI6=3,"mom")))</f>
        <v>bm</v>
      </c>
      <c r="AJ7" s="26" t="str">
        <f t="shared" si="1"/>
        <v>bm</v>
      </c>
      <c r="AK7" s="26" t="str">
        <f t="shared" si="1"/>
        <v>bm</v>
      </c>
      <c r="AL7" s="26" t="str">
        <f t="shared" si="1"/>
        <v>bm</v>
      </c>
      <c r="AM7" s="26" t="str">
        <f t="shared" si="1"/>
        <v>bm</v>
      </c>
      <c r="AN7" s="26" t="str">
        <f t="shared" si="1"/>
        <v>bm</v>
      </c>
      <c r="AO7" s="26" t="str">
        <f t="shared" si="1"/>
        <v>bm</v>
      </c>
      <c r="AP7" s="26" t="str">
        <f t="shared" si="1"/>
        <v>bm</v>
      </c>
      <c r="AQ7" s="26" t="str">
        <f t="shared" si="1"/>
        <v>bm</v>
      </c>
      <c r="AR7" s="26" t="str">
        <f t="shared" si="1"/>
        <v>bm</v>
      </c>
      <c r="AS7" s="26" t="str">
        <f t="shared" si="1"/>
        <v>bm</v>
      </c>
      <c r="AT7" s="26" t="str">
        <f t="shared" si="1"/>
        <v>bm</v>
      </c>
      <c r="AU7" s="26" t="str">
        <f t="shared" si="1"/>
        <v>bm</v>
      </c>
      <c r="AV7" s="26" t="str">
        <f t="shared" si="1"/>
        <v>bm</v>
      </c>
      <c r="AW7" s="26" t="str">
        <f t="shared" si="1"/>
        <v>bm</v>
      </c>
      <c r="AX7" s="26" t="str">
        <f t="shared" si="1"/>
        <v>bm</v>
      </c>
      <c r="AY7" s="26" t="str">
        <f t="shared" si="1"/>
        <v>bm</v>
      </c>
      <c r="AZ7" s="26" t="str">
        <f t="shared" si="1"/>
        <v>bm</v>
      </c>
      <c r="BA7" s="26" t="str">
        <f t="shared" si="1"/>
        <v>size</v>
      </c>
      <c r="BB7" s="26" t="str">
        <f t="shared" si="1"/>
        <v>size</v>
      </c>
      <c r="BC7" s="26" t="str">
        <f t="shared" si="1"/>
        <v>bm</v>
      </c>
      <c r="BD7" s="26" t="str">
        <f t="shared" si="1"/>
        <v>bm</v>
      </c>
      <c r="BE7" s="26" t="str">
        <f t="shared" si="1"/>
        <v>bm</v>
      </c>
      <c r="BF7" s="26" t="str">
        <f t="shared" si="1"/>
        <v>bm</v>
      </c>
      <c r="BG7" s="26" t="str">
        <f t="shared" si="1"/>
        <v>bm</v>
      </c>
      <c r="BH7" s="26" t="str">
        <f t="shared" si="1"/>
        <v>bm</v>
      </c>
      <c r="BI7" s="26" t="str">
        <f t="shared" si="1"/>
        <v>bm</v>
      </c>
      <c r="BJ7" s="26" t="str">
        <f t="shared" si="1"/>
        <v>bm</v>
      </c>
      <c r="BK7" s="26" t="str">
        <f t="shared" si="1"/>
        <v>bm</v>
      </c>
      <c r="BL7" s="26" t="str">
        <f t="shared" si="1"/>
        <v>bm</v>
      </c>
      <c r="BM7" s="26" t="str">
        <f t="shared" si="1"/>
        <v>mom</v>
      </c>
      <c r="BN7" s="26" t="str">
        <f t="shared" si="1"/>
        <v>bm</v>
      </c>
      <c r="BO7" s="26" t="str">
        <f t="shared" ref="BO7:CT7" si="2">IF(BO6=1,"bm",IF(BO6=2,"size",IF(BO6=3,"mom")))</f>
        <v>bm</v>
      </c>
      <c r="BP7" s="26" t="str">
        <f t="shared" si="2"/>
        <v>bm</v>
      </c>
      <c r="BQ7" s="26" t="str">
        <f t="shared" si="2"/>
        <v>bm</v>
      </c>
      <c r="BR7" s="26" t="str">
        <f t="shared" si="2"/>
        <v>bm</v>
      </c>
      <c r="BS7" s="26" t="str">
        <f t="shared" si="2"/>
        <v>bm</v>
      </c>
      <c r="BT7" s="26" t="str">
        <f t="shared" si="2"/>
        <v>bm</v>
      </c>
      <c r="BU7" s="26" t="str">
        <f t="shared" si="2"/>
        <v>bm</v>
      </c>
      <c r="BV7" s="26" t="str">
        <f t="shared" si="2"/>
        <v>bm</v>
      </c>
      <c r="BW7" s="26" t="str">
        <f t="shared" si="2"/>
        <v>bm</v>
      </c>
      <c r="BX7" s="26" t="str">
        <f t="shared" si="2"/>
        <v>bm</v>
      </c>
      <c r="BY7" s="26" t="str">
        <f t="shared" si="2"/>
        <v>bm</v>
      </c>
      <c r="BZ7" s="26" t="str">
        <f t="shared" si="2"/>
        <v>bm</v>
      </c>
      <c r="CA7" s="26" t="str">
        <f t="shared" si="2"/>
        <v>bm</v>
      </c>
      <c r="CB7" s="26" t="str">
        <f t="shared" si="2"/>
        <v>bm</v>
      </c>
      <c r="CC7" s="26" t="str">
        <f t="shared" si="2"/>
        <v>size</v>
      </c>
      <c r="CD7" s="26" t="str">
        <f t="shared" si="2"/>
        <v>size</v>
      </c>
      <c r="CE7" s="26" t="str">
        <f t="shared" si="2"/>
        <v>size</v>
      </c>
      <c r="CF7" s="26" t="str">
        <f t="shared" si="2"/>
        <v>size</v>
      </c>
      <c r="CG7" s="26" t="str">
        <f t="shared" si="2"/>
        <v>size</v>
      </c>
      <c r="CH7" s="26" t="str">
        <f t="shared" si="2"/>
        <v>bm</v>
      </c>
      <c r="CI7" s="26" t="str">
        <f t="shared" si="2"/>
        <v>bm</v>
      </c>
      <c r="CJ7" s="26" t="str">
        <f t="shared" si="2"/>
        <v>bm</v>
      </c>
      <c r="CK7" s="26" t="str">
        <f t="shared" si="2"/>
        <v>bm</v>
      </c>
      <c r="CL7" s="26" t="str">
        <f t="shared" si="2"/>
        <v>bm</v>
      </c>
      <c r="CM7" s="26" t="str">
        <f t="shared" si="2"/>
        <v>bm</v>
      </c>
      <c r="CN7" s="26" t="str">
        <f t="shared" si="2"/>
        <v>bm</v>
      </c>
      <c r="CO7" s="26" t="str">
        <f t="shared" si="2"/>
        <v>bm</v>
      </c>
      <c r="CP7" s="26" t="str">
        <f t="shared" si="2"/>
        <v>bm</v>
      </c>
      <c r="CQ7" s="26" t="str">
        <f t="shared" si="2"/>
        <v>mom</v>
      </c>
      <c r="CR7" s="26" t="str">
        <f t="shared" si="2"/>
        <v>size</v>
      </c>
      <c r="CS7" s="26" t="str">
        <f t="shared" si="2"/>
        <v>size</v>
      </c>
      <c r="CT7" s="26" t="str">
        <f t="shared" si="2"/>
        <v>bm</v>
      </c>
      <c r="CU7" s="26" t="str">
        <f t="shared" ref="CU7:DZ7" si="3">IF(CU6=1,"bm",IF(CU6=2,"size",IF(CU6=3,"mom")))</f>
        <v>bm</v>
      </c>
      <c r="CV7" s="26" t="str">
        <f t="shared" si="3"/>
        <v>bm</v>
      </c>
      <c r="CW7" s="26" t="str">
        <f t="shared" si="3"/>
        <v>bm</v>
      </c>
      <c r="CX7" s="26" t="str">
        <f t="shared" si="3"/>
        <v>bm</v>
      </c>
      <c r="CY7" s="26" t="str">
        <f t="shared" si="3"/>
        <v>bm</v>
      </c>
      <c r="CZ7" s="26" t="str">
        <f t="shared" si="3"/>
        <v>bm</v>
      </c>
      <c r="DA7" s="26" t="str">
        <f t="shared" si="3"/>
        <v>bm</v>
      </c>
      <c r="DB7" s="26" t="str">
        <f t="shared" si="3"/>
        <v>size</v>
      </c>
      <c r="DC7" s="26" t="str">
        <f t="shared" si="3"/>
        <v>size</v>
      </c>
      <c r="DD7" s="26" t="str">
        <f t="shared" si="3"/>
        <v>size</v>
      </c>
      <c r="DE7" s="26" t="str">
        <f t="shared" si="3"/>
        <v>bm</v>
      </c>
      <c r="DF7" s="26" t="str">
        <f t="shared" si="3"/>
        <v>bm</v>
      </c>
      <c r="DG7" s="26" t="str">
        <f t="shared" si="3"/>
        <v>bm</v>
      </c>
      <c r="DH7" s="26" t="str">
        <f t="shared" si="3"/>
        <v>bm</v>
      </c>
      <c r="DI7" s="26" t="str">
        <f t="shared" si="3"/>
        <v>bm</v>
      </c>
      <c r="DJ7" s="26" t="str">
        <f t="shared" si="3"/>
        <v>size</v>
      </c>
      <c r="DK7" s="26" t="str">
        <f t="shared" si="3"/>
        <v>bm</v>
      </c>
      <c r="DL7" s="26" t="str">
        <f t="shared" si="3"/>
        <v>bm</v>
      </c>
      <c r="DM7" s="26" t="str">
        <f t="shared" si="3"/>
        <v>bm</v>
      </c>
      <c r="DN7" s="26" t="str">
        <f t="shared" si="3"/>
        <v>bm</v>
      </c>
      <c r="DO7" s="26" t="str">
        <f t="shared" si="3"/>
        <v>bm</v>
      </c>
      <c r="DP7" s="26" t="str">
        <f t="shared" si="3"/>
        <v>bm</v>
      </c>
      <c r="DQ7" s="26" t="str">
        <f t="shared" si="3"/>
        <v>bm</v>
      </c>
      <c r="DR7" s="26" t="str">
        <f t="shared" si="3"/>
        <v>bm</v>
      </c>
      <c r="DS7" s="26" t="str">
        <f t="shared" si="3"/>
        <v>bm</v>
      </c>
      <c r="DT7" s="26" t="str">
        <f t="shared" si="3"/>
        <v>size</v>
      </c>
      <c r="DU7" s="26" t="str">
        <f t="shared" si="3"/>
        <v>size</v>
      </c>
      <c r="DV7" s="26" t="str">
        <f t="shared" si="3"/>
        <v>bm</v>
      </c>
      <c r="DW7" s="26" t="str">
        <f t="shared" si="3"/>
        <v>bm</v>
      </c>
      <c r="DX7" s="26" t="str">
        <f t="shared" si="3"/>
        <v>bm</v>
      </c>
      <c r="DY7" s="26" t="str">
        <f t="shared" si="3"/>
        <v>size</v>
      </c>
      <c r="DZ7" s="26" t="str">
        <f t="shared" si="3"/>
        <v>size</v>
      </c>
      <c r="EA7" s="26" t="str">
        <f t="shared" ref="EA7:EF7" si="4">IF(EA6=1,"bm",IF(EA6=2,"size",IF(EA6=3,"mom")))</f>
        <v>size</v>
      </c>
      <c r="EB7" s="26" t="str">
        <f t="shared" si="4"/>
        <v>bm</v>
      </c>
      <c r="EC7" s="26" t="str">
        <f t="shared" si="4"/>
        <v>size</v>
      </c>
      <c r="ED7" s="26" t="str">
        <f t="shared" si="4"/>
        <v>bm</v>
      </c>
      <c r="EE7" s="26" t="str">
        <f t="shared" si="4"/>
        <v>bm</v>
      </c>
      <c r="EF7" s="26" t="str">
        <f t="shared" si="4"/>
        <v>bm</v>
      </c>
    </row>
    <row r="8" spans="1:137" s="2" customFormat="1">
      <c r="C8" s="26">
        <f t="shared" ref="C8:AH8" si="5">IF(C6=1,C3,IF(C6=2,C4,IF(C6=3,C5)))</f>
        <v>-4.9660484307830009E-2</v>
      </c>
      <c r="D8" s="26">
        <f t="shared" si="5"/>
        <v>-6.5232195080165353E-2</v>
      </c>
      <c r="E8" s="26">
        <f t="shared" si="5"/>
        <v>-9.3874054199500026E-2</v>
      </c>
      <c r="F8" s="26">
        <f t="shared" si="5"/>
        <v>-7.3843592245097373E-2</v>
      </c>
      <c r="G8" s="26">
        <f t="shared" si="5"/>
        <v>-2.745888685018728E-2</v>
      </c>
      <c r="H8" s="26">
        <f t="shared" si="5"/>
        <v>-3.3398565611267667E-2</v>
      </c>
      <c r="I8" s="26">
        <f t="shared" si="5"/>
        <v>-4.7136189417385607E-2</v>
      </c>
      <c r="J8" s="26">
        <f t="shared" si="5"/>
        <v>-4.6203432590894752E-2</v>
      </c>
      <c r="K8" s="26">
        <f t="shared" si="5"/>
        <v>-4.5932097646850877E-2</v>
      </c>
      <c r="L8" s="26">
        <f t="shared" si="5"/>
        <v>-3.9679751627069763E-2</v>
      </c>
      <c r="M8" s="26">
        <f t="shared" si="5"/>
        <v>3.2729103566482703E-2</v>
      </c>
      <c r="N8" s="26">
        <f t="shared" si="5"/>
        <v>-3.5831351641089762E-2</v>
      </c>
      <c r="O8" s="26">
        <f t="shared" si="5"/>
        <v>-5.70229981056335E-2</v>
      </c>
      <c r="P8" s="26">
        <f t="shared" si="5"/>
        <v>-4.2462781327895993E-2</v>
      </c>
      <c r="Q8" s="26">
        <f t="shared" si="5"/>
        <v>-3.7772394962975513E-2</v>
      </c>
      <c r="R8" s="26">
        <f t="shared" si="5"/>
        <v>-2.862835448000129E-2</v>
      </c>
      <c r="S8" s="26">
        <f t="shared" si="5"/>
        <v>-3.099793016810054E-2</v>
      </c>
      <c r="T8" s="26">
        <f t="shared" si="5"/>
        <v>2.262072807092802E-2</v>
      </c>
      <c r="U8" s="26">
        <f t="shared" si="5"/>
        <v>-3.5326677132364037E-2</v>
      </c>
      <c r="V8" s="26">
        <f t="shared" si="5"/>
        <v>-2.9502132625226989E-2</v>
      </c>
      <c r="W8" s="26">
        <f t="shared" si="5"/>
        <v>4.5784045042201092E-2</v>
      </c>
      <c r="X8" s="26">
        <f t="shared" si="5"/>
        <v>-5.4483491647159897E-2</v>
      </c>
      <c r="Y8" s="26">
        <f t="shared" si="5"/>
        <v>-5.7374231531351433E-2</v>
      </c>
      <c r="Z8" s="26">
        <f t="shared" si="5"/>
        <v>-5.0628448585672892E-2</v>
      </c>
      <c r="AA8" s="26">
        <f t="shared" si="5"/>
        <v>-4.231975801219371E-2</v>
      </c>
      <c r="AB8" s="26">
        <f t="shared" si="5"/>
        <v>-4.9937139241651593E-2</v>
      </c>
      <c r="AC8" s="26">
        <f t="shared" si="5"/>
        <v>-3.845543636405753E-2</v>
      </c>
      <c r="AD8" s="26">
        <f t="shared" si="5"/>
        <v>-6.5956474854444447E-2</v>
      </c>
      <c r="AE8" s="26">
        <f t="shared" si="5"/>
        <v>-3.4795070629380642E-2</v>
      </c>
      <c r="AF8" s="26">
        <f t="shared" si="5"/>
        <v>1.3117941025955079E-2</v>
      </c>
      <c r="AG8" s="26">
        <f t="shared" si="5"/>
        <v>-3.2239282506807423E-2</v>
      </c>
      <c r="AH8" s="26">
        <f t="shared" si="5"/>
        <v>3.1884444011299258E-2</v>
      </c>
      <c r="AI8" s="26">
        <f t="shared" ref="AI8:BN8" si="6">IF(AI6=1,AI3,IF(AI6=2,AI4,IF(AI6=3,AI5)))</f>
        <v>3.6385761193522617E-2</v>
      </c>
      <c r="AJ8" s="26">
        <f t="shared" si="6"/>
        <v>3.5948919429733099E-2</v>
      </c>
      <c r="AK8" s="26">
        <f t="shared" si="6"/>
        <v>4.3482830969963061E-2</v>
      </c>
      <c r="AL8" s="26">
        <f t="shared" si="6"/>
        <v>3.8462077568039821E-2</v>
      </c>
      <c r="AM8" s="26">
        <f t="shared" si="6"/>
        <v>3.9410244165835981E-2</v>
      </c>
      <c r="AN8" s="26">
        <f t="shared" si="6"/>
        <v>5.0743620516414449E-2</v>
      </c>
      <c r="AO8" s="26">
        <f t="shared" si="6"/>
        <v>5.3684811620656171E-2</v>
      </c>
      <c r="AP8" s="26">
        <f t="shared" si="6"/>
        <v>4.9314899356547669E-2</v>
      </c>
      <c r="AQ8" s="26">
        <f t="shared" si="6"/>
        <v>3.2773687722358558E-2</v>
      </c>
      <c r="AR8" s="26">
        <f t="shared" si="6"/>
        <v>2.8295340626825871E-2</v>
      </c>
      <c r="AS8" s="26">
        <f t="shared" si="6"/>
        <v>2.8377802599917339E-2</v>
      </c>
      <c r="AT8" s="26">
        <f t="shared" si="6"/>
        <v>2.306922946025217E-2</v>
      </c>
      <c r="AU8" s="26">
        <f t="shared" si="6"/>
        <v>2.9397032882625889E-2</v>
      </c>
      <c r="AV8" s="26">
        <f t="shared" si="6"/>
        <v>3.103785222722218E-2</v>
      </c>
      <c r="AW8" s="26">
        <f t="shared" si="6"/>
        <v>2.6297924056821211E-2</v>
      </c>
      <c r="AX8" s="26">
        <f t="shared" si="6"/>
        <v>2.6164811358804361E-2</v>
      </c>
      <c r="AY8" s="26">
        <f t="shared" si="6"/>
        <v>3.2053783671709642E-2</v>
      </c>
      <c r="AZ8" s="26">
        <f t="shared" si="6"/>
        <v>3.4477530774765272E-2</v>
      </c>
      <c r="BA8" s="26">
        <f t="shared" si="6"/>
        <v>-2.9633847899323489E-2</v>
      </c>
      <c r="BB8" s="26">
        <f t="shared" si="6"/>
        <v>-3.6923299522087998E-2</v>
      </c>
      <c r="BC8" s="26">
        <f t="shared" si="6"/>
        <v>3.742177693859082E-2</v>
      </c>
      <c r="BD8" s="26">
        <f t="shared" si="6"/>
        <v>3.141372245226793E-2</v>
      </c>
      <c r="BE8" s="26">
        <f t="shared" si="6"/>
        <v>3.2006411062996218E-2</v>
      </c>
      <c r="BF8" s="26">
        <f t="shared" si="6"/>
        <v>2.828182773285309E-2</v>
      </c>
      <c r="BG8" s="26">
        <f t="shared" si="6"/>
        <v>4.1103436715196499E-2</v>
      </c>
      <c r="BH8" s="26">
        <f t="shared" si="6"/>
        <v>4.5198779339126277E-2</v>
      </c>
      <c r="BI8" s="26">
        <f t="shared" si="6"/>
        <v>4.1588040384802467E-2</v>
      </c>
      <c r="BJ8" s="26">
        <f t="shared" si="6"/>
        <v>4.0723405736309601E-2</v>
      </c>
      <c r="BK8" s="26">
        <f t="shared" si="6"/>
        <v>3.6327700059770963E-2</v>
      </c>
      <c r="BL8" s="26">
        <f t="shared" si="6"/>
        <v>3.6173192149872829E-2</v>
      </c>
      <c r="BM8" s="26">
        <f t="shared" si="6"/>
        <v>-3.7766406128849933E-2</v>
      </c>
      <c r="BN8" s="26">
        <f t="shared" si="6"/>
        <v>3.0814038130409348E-2</v>
      </c>
      <c r="BO8" s="26">
        <f t="shared" ref="BO8:CT8" si="7">IF(BO6=1,BO3,IF(BO6=2,BO4,IF(BO6=3,BO5)))</f>
        <v>3.065585577146604E-2</v>
      </c>
      <c r="BP8" s="26">
        <f t="shared" si="7"/>
        <v>3.4399631895121928E-2</v>
      </c>
      <c r="BQ8" s="26">
        <f t="shared" si="7"/>
        <v>3.4868650026028229E-2</v>
      </c>
      <c r="BR8" s="26">
        <f t="shared" si="7"/>
        <v>3.6324039848933801E-2</v>
      </c>
      <c r="BS8" s="26">
        <f t="shared" si="7"/>
        <v>3.6164468096582629E-2</v>
      </c>
      <c r="BT8" s="26">
        <f t="shared" si="7"/>
        <v>3.8668894956456937E-2</v>
      </c>
      <c r="BU8" s="26">
        <f t="shared" si="7"/>
        <v>4.1103483948852763E-2</v>
      </c>
      <c r="BV8" s="26">
        <f t="shared" si="7"/>
        <v>2.8684133448632881E-2</v>
      </c>
      <c r="BW8" s="26">
        <f t="shared" si="7"/>
        <v>3.521650986163926E-2</v>
      </c>
      <c r="BX8" s="26">
        <f t="shared" si="7"/>
        <v>4.0767200067914261E-2</v>
      </c>
      <c r="BY8" s="26">
        <f t="shared" si="7"/>
        <v>2.160353774972024E-2</v>
      </c>
      <c r="BZ8" s="26">
        <f t="shared" si="7"/>
        <v>3.0433668800390778E-2</v>
      </c>
      <c r="CA8" s="26">
        <f t="shared" si="7"/>
        <v>3.7311958080318418E-2</v>
      </c>
      <c r="CB8" s="26">
        <f t="shared" si="7"/>
        <v>2.7612053143104789E-2</v>
      </c>
      <c r="CC8" s="26">
        <f t="shared" si="7"/>
        <v>-4.111205153911144E-2</v>
      </c>
      <c r="CD8" s="26">
        <f t="shared" si="7"/>
        <v>-3.2535405185557913E-2</v>
      </c>
      <c r="CE8" s="26">
        <f t="shared" si="7"/>
        <v>-3.0323266480776649E-2</v>
      </c>
      <c r="CF8" s="26">
        <f t="shared" si="7"/>
        <v>-6.1293189114789898E-2</v>
      </c>
      <c r="CG8" s="26">
        <f t="shared" si="7"/>
        <v>-4.4169748382986783E-2</v>
      </c>
      <c r="CH8" s="26">
        <f t="shared" si="7"/>
        <v>4.0909001215823582E-2</v>
      </c>
      <c r="CI8" s="26">
        <f t="shared" si="7"/>
        <v>3.9050253240311222E-2</v>
      </c>
      <c r="CJ8" s="26">
        <f t="shared" si="7"/>
        <v>2.4561899640003909E-2</v>
      </c>
      <c r="CK8" s="26">
        <f t="shared" si="7"/>
        <v>3.413446187252573E-2</v>
      </c>
      <c r="CL8" s="26">
        <f t="shared" si="7"/>
        <v>3.5925937532879773E-2</v>
      </c>
      <c r="CM8" s="26">
        <f t="shared" si="7"/>
        <v>4.2466042159304301E-2</v>
      </c>
      <c r="CN8" s="26">
        <f t="shared" si="7"/>
        <v>3.6523906516241801E-2</v>
      </c>
      <c r="CO8" s="26">
        <f t="shared" si="7"/>
        <v>3.765914957102829E-2</v>
      </c>
      <c r="CP8" s="26">
        <f t="shared" si="7"/>
        <v>3.9957834472595419E-2</v>
      </c>
      <c r="CQ8" s="26">
        <f t="shared" si="7"/>
        <v>9.0067640458367376E-3</v>
      </c>
      <c r="CR8" s="26">
        <f t="shared" si="7"/>
        <v>-1.917966682871176E-2</v>
      </c>
      <c r="CS8" s="26">
        <f t="shared" si="7"/>
        <v>-2.334741602504313E-2</v>
      </c>
      <c r="CT8" s="26">
        <f t="shared" si="7"/>
        <v>4.0972167824902372E-2</v>
      </c>
      <c r="CU8" s="26">
        <f t="shared" ref="CU8:DZ8" si="8">IF(CU6=1,CU3,IF(CU6=2,CU4,IF(CU6=3,CU5)))</f>
        <v>3.8942373224816529E-2</v>
      </c>
      <c r="CV8" s="26">
        <f t="shared" si="8"/>
        <v>4.3015000500199303E-2</v>
      </c>
      <c r="CW8" s="26">
        <f t="shared" si="8"/>
        <v>3.9706600079107618E-2</v>
      </c>
      <c r="CX8" s="26">
        <f t="shared" si="8"/>
        <v>3.9171022856911548E-2</v>
      </c>
      <c r="CY8" s="26">
        <f t="shared" si="8"/>
        <v>3.4940834769569752E-2</v>
      </c>
      <c r="CZ8" s="26">
        <f t="shared" si="8"/>
        <v>3.6026834228159298E-2</v>
      </c>
      <c r="DA8" s="26">
        <f t="shared" si="8"/>
        <v>4.450954814790925E-2</v>
      </c>
      <c r="DB8" s="26">
        <f t="shared" si="8"/>
        <v>-4.4725026400587967E-2</v>
      </c>
      <c r="DC8" s="26">
        <f t="shared" si="8"/>
        <v>-7.0760377239426644E-2</v>
      </c>
      <c r="DD8" s="26">
        <f t="shared" si="8"/>
        <v>-5.7610036798158112E-2</v>
      </c>
      <c r="DE8" s="26">
        <f t="shared" si="8"/>
        <v>4.199397627237688E-2</v>
      </c>
      <c r="DF8" s="26">
        <f t="shared" si="8"/>
        <v>4.1965348731106439E-2</v>
      </c>
      <c r="DG8" s="26">
        <f t="shared" si="8"/>
        <v>4.0382244799122918E-2</v>
      </c>
      <c r="DH8" s="26">
        <f t="shared" si="8"/>
        <v>3.6787240146963857E-2</v>
      </c>
      <c r="DI8" s="26">
        <f t="shared" si="8"/>
        <v>3.6877765546082367E-2</v>
      </c>
      <c r="DJ8" s="26">
        <f t="shared" si="8"/>
        <v>-3.7819313396098023E-2</v>
      </c>
      <c r="DK8" s="26">
        <f t="shared" si="8"/>
        <v>3.6536443043095952E-2</v>
      </c>
      <c r="DL8" s="26">
        <f t="shared" si="8"/>
        <v>3.1530556219024453E-2</v>
      </c>
      <c r="DM8" s="26">
        <f t="shared" si="8"/>
        <v>2.866223764473836E-2</v>
      </c>
      <c r="DN8" s="26">
        <f t="shared" si="8"/>
        <v>3.0844743252797239E-2</v>
      </c>
      <c r="DO8" s="26">
        <f t="shared" si="8"/>
        <v>3.3675363611272838E-2</v>
      </c>
      <c r="DP8" s="26">
        <f t="shared" si="8"/>
        <v>3.5102177512429639E-2</v>
      </c>
      <c r="DQ8" s="26">
        <f t="shared" si="8"/>
        <v>3.6708207074369593E-2</v>
      </c>
      <c r="DR8" s="26">
        <f t="shared" si="8"/>
        <v>3.4114421599711522E-2</v>
      </c>
      <c r="DS8" s="26">
        <f t="shared" si="8"/>
        <v>3.6715906439180969E-2</v>
      </c>
      <c r="DT8" s="26">
        <f t="shared" si="8"/>
        <v>-4.1056175553995593E-2</v>
      </c>
      <c r="DU8" s="26">
        <f t="shared" si="8"/>
        <v>-3.7310764401418541E-2</v>
      </c>
      <c r="DV8" s="26">
        <f t="shared" si="8"/>
        <v>2.524093892652959E-2</v>
      </c>
      <c r="DW8" s="26">
        <f t="shared" si="8"/>
        <v>3.5159202684512107E-2</v>
      </c>
      <c r="DX8" s="26">
        <f t="shared" si="8"/>
        <v>3.2304964005665182E-2</v>
      </c>
      <c r="DY8" s="26">
        <f t="shared" si="8"/>
        <v>-3.3048945391833368E-2</v>
      </c>
      <c r="DZ8" s="26">
        <f t="shared" si="8"/>
        <v>-3.0875828777379061E-2</v>
      </c>
      <c r="EA8" s="26">
        <f t="shared" ref="EA8:EF8" si="9">IF(EA6=1,EA3,IF(EA6=2,EA4,IF(EA6=3,EA5)))</f>
        <v>-3.1659361830993098E-2</v>
      </c>
      <c r="EB8" s="26">
        <f t="shared" si="9"/>
        <v>3.723081253221186E-2</v>
      </c>
      <c r="EC8" s="26">
        <f t="shared" si="9"/>
        <v>-4.1069385194225268E-2</v>
      </c>
      <c r="ED8" s="26">
        <f t="shared" si="9"/>
        <v>3.4186640907954438E-2</v>
      </c>
      <c r="EE8" s="26">
        <f t="shared" si="9"/>
        <v>2.5041157579864491E-2</v>
      </c>
      <c r="EF8" s="26">
        <f t="shared" si="9"/>
        <v>3.4121434975122142E-2</v>
      </c>
    </row>
    <row r="10" spans="1:137">
      <c r="A10" s="27" t="s">
        <v>140</v>
      </c>
      <c r="B10" s="28"/>
      <c r="C10" s="4" t="s">
        <v>141</v>
      </c>
      <c r="D10" s="6">
        <v>964</v>
      </c>
    </row>
    <row r="11" spans="1:137">
      <c r="A11" s="4" t="s">
        <v>142</v>
      </c>
      <c r="B11" s="4" t="s">
        <v>143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5" t="s">
        <v>13</v>
      </c>
      <c r="O11" s="5" t="s">
        <v>14</v>
      </c>
      <c r="P11" s="5" t="s">
        <v>15</v>
      </c>
      <c r="Q11" s="5" t="s">
        <v>16</v>
      </c>
      <c r="R11" s="5" t="s">
        <v>17</v>
      </c>
      <c r="S11" s="5" t="s">
        <v>18</v>
      </c>
      <c r="T11" s="5" t="s">
        <v>19</v>
      </c>
      <c r="U11" s="5" t="s">
        <v>20</v>
      </c>
      <c r="V11" s="5" t="s">
        <v>21</v>
      </c>
      <c r="W11" s="5" t="s">
        <v>22</v>
      </c>
      <c r="X11" s="5" t="s">
        <v>23</v>
      </c>
      <c r="Y11" s="5" t="s">
        <v>24</v>
      </c>
      <c r="Z11" s="5" t="s">
        <v>25</v>
      </c>
      <c r="AA11" s="5" t="s">
        <v>26</v>
      </c>
      <c r="AB11" s="5" t="s">
        <v>27</v>
      </c>
      <c r="AC11" s="5" t="s">
        <v>28</v>
      </c>
      <c r="AD11" s="5" t="s">
        <v>29</v>
      </c>
      <c r="AE11" s="5" t="s">
        <v>30</v>
      </c>
      <c r="AF11" s="5" t="s">
        <v>31</v>
      </c>
      <c r="AG11" s="5" t="s">
        <v>32</v>
      </c>
      <c r="AH11" s="5" t="s">
        <v>33</v>
      </c>
      <c r="AI11" s="5" t="s">
        <v>34</v>
      </c>
      <c r="AJ11" s="5" t="s">
        <v>35</v>
      </c>
      <c r="AK11" s="5" t="s">
        <v>36</v>
      </c>
      <c r="AL11" s="5" t="s">
        <v>37</v>
      </c>
      <c r="AM11" s="5" t="s">
        <v>38</v>
      </c>
      <c r="AN11" s="5" t="s">
        <v>39</v>
      </c>
      <c r="AO11" s="5" t="s">
        <v>40</v>
      </c>
      <c r="AP11" s="5" t="s">
        <v>41</v>
      </c>
      <c r="AQ11" s="5" t="s">
        <v>42</v>
      </c>
      <c r="AR11" s="5" t="s">
        <v>43</v>
      </c>
      <c r="AS11" s="5" t="s">
        <v>44</v>
      </c>
      <c r="AT11" s="5" t="s">
        <v>45</v>
      </c>
      <c r="AU11" s="5" t="s">
        <v>46</v>
      </c>
      <c r="AV11" s="5" t="s">
        <v>47</v>
      </c>
      <c r="AW11" s="5" t="s">
        <v>48</v>
      </c>
      <c r="AX11" s="5" t="s">
        <v>49</v>
      </c>
      <c r="AY11" s="5" t="s">
        <v>50</v>
      </c>
      <c r="AZ11" s="5" t="s">
        <v>51</v>
      </c>
      <c r="BA11" s="5" t="s">
        <v>52</v>
      </c>
      <c r="BB11" s="5" t="s">
        <v>53</v>
      </c>
      <c r="BC11" s="5" t="s">
        <v>54</v>
      </c>
      <c r="BD11" s="5" t="s">
        <v>55</v>
      </c>
      <c r="BE11" s="5" t="s">
        <v>56</v>
      </c>
      <c r="BF11" s="5" t="s">
        <v>57</v>
      </c>
      <c r="BG11" s="5" t="s">
        <v>58</v>
      </c>
      <c r="BH11" s="5" t="s">
        <v>59</v>
      </c>
      <c r="BI11" s="5" t="s">
        <v>60</v>
      </c>
      <c r="BJ11" s="5" t="s">
        <v>61</v>
      </c>
      <c r="BK11" s="5" t="s">
        <v>62</v>
      </c>
      <c r="BL11" s="5" t="s">
        <v>63</v>
      </c>
      <c r="BM11" s="5" t="s">
        <v>64</v>
      </c>
      <c r="BN11" s="5" t="s">
        <v>65</v>
      </c>
      <c r="BO11" s="5" t="s">
        <v>66</v>
      </c>
      <c r="BP11" s="5" t="s">
        <v>67</v>
      </c>
      <c r="BQ11" s="5" t="s">
        <v>68</v>
      </c>
      <c r="BR11" s="5" t="s">
        <v>69</v>
      </c>
      <c r="BS11" s="5" t="s">
        <v>70</v>
      </c>
      <c r="BT11" s="5" t="s">
        <v>71</v>
      </c>
      <c r="BU11" s="5" t="s">
        <v>72</v>
      </c>
      <c r="BV11" s="5" t="s">
        <v>73</v>
      </c>
      <c r="BW11" s="5" t="s">
        <v>74</v>
      </c>
      <c r="BX11" s="5" t="s">
        <v>75</v>
      </c>
      <c r="BY11" s="5" t="s">
        <v>76</v>
      </c>
      <c r="BZ11" s="5" t="s">
        <v>77</v>
      </c>
      <c r="CA11" s="5" t="s">
        <v>78</v>
      </c>
      <c r="CB11" s="5" t="s">
        <v>79</v>
      </c>
      <c r="CC11" s="5" t="s">
        <v>80</v>
      </c>
      <c r="CD11" s="5" t="s">
        <v>81</v>
      </c>
      <c r="CE11" s="5" t="s">
        <v>82</v>
      </c>
      <c r="CF11" s="5" t="s">
        <v>83</v>
      </c>
      <c r="CG11" s="5" t="s">
        <v>84</v>
      </c>
      <c r="CH11" s="5" t="s">
        <v>85</v>
      </c>
      <c r="CI11" s="5" t="s">
        <v>86</v>
      </c>
      <c r="CJ11" s="5" t="s">
        <v>87</v>
      </c>
      <c r="CK11" s="5" t="s">
        <v>88</v>
      </c>
      <c r="CL11" s="5" t="s">
        <v>89</v>
      </c>
      <c r="CM11" s="5" t="s">
        <v>90</v>
      </c>
      <c r="CN11" s="5" t="s">
        <v>91</v>
      </c>
      <c r="CO11" s="5" t="s">
        <v>92</v>
      </c>
      <c r="CP11" s="5" t="s">
        <v>93</v>
      </c>
      <c r="CQ11" s="5" t="s">
        <v>94</v>
      </c>
      <c r="CR11" s="5" t="s">
        <v>95</v>
      </c>
      <c r="CS11" s="5" t="s">
        <v>96</v>
      </c>
      <c r="CT11" s="5" t="s">
        <v>97</v>
      </c>
      <c r="CU11" s="5" t="s">
        <v>98</v>
      </c>
      <c r="CV11" s="5" t="s">
        <v>99</v>
      </c>
      <c r="CW11" s="5" t="s">
        <v>100</v>
      </c>
      <c r="CX11" s="5" t="s">
        <v>101</v>
      </c>
      <c r="CY11" s="5" t="s">
        <v>102</v>
      </c>
      <c r="CZ11" s="5" t="s">
        <v>103</v>
      </c>
      <c r="DA11" s="5" t="s">
        <v>104</v>
      </c>
      <c r="DB11" s="5" t="s">
        <v>105</v>
      </c>
      <c r="DC11" s="5" t="s">
        <v>106</v>
      </c>
      <c r="DD11" s="5" t="s">
        <v>107</v>
      </c>
      <c r="DE11" s="5" t="s">
        <v>108</v>
      </c>
      <c r="DF11" s="5" t="s">
        <v>109</v>
      </c>
      <c r="DG11" s="5" t="s">
        <v>110</v>
      </c>
      <c r="DH11" s="5" t="s">
        <v>111</v>
      </c>
      <c r="DI11" s="5" t="s">
        <v>112</v>
      </c>
      <c r="DJ11" s="5" t="s">
        <v>113</v>
      </c>
      <c r="DK11" s="5" t="s">
        <v>114</v>
      </c>
      <c r="DL11" s="5" t="s">
        <v>115</v>
      </c>
      <c r="DM11" s="5" t="s">
        <v>116</v>
      </c>
      <c r="DN11" s="5" t="s">
        <v>117</v>
      </c>
      <c r="DO11" s="5" t="s">
        <v>118</v>
      </c>
      <c r="DP11" s="5" t="s">
        <v>119</v>
      </c>
      <c r="DQ11" s="5" t="s">
        <v>120</v>
      </c>
      <c r="DR11" s="5" t="s">
        <v>121</v>
      </c>
      <c r="DS11" s="5" t="s">
        <v>122</v>
      </c>
      <c r="DT11" s="5" t="s">
        <v>123</v>
      </c>
      <c r="DU11" s="5" t="s">
        <v>124</v>
      </c>
      <c r="DV11" s="5" t="s">
        <v>125</v>
      </c>
      <c r="DW11" s="5" t="s">
        <v>126</v>
      </c>
      <c r="DX11" s="5" t="s">
        <v>127</v>
      </c>
      <c r="DY11" s="5" t="s">
        <v>128</v>
      </c>
      <c r="DZ11" s="5" t="s">
        <v>129</v>
      </c>
      <c r="EA11" s="5" t="s">
        <v>130</v>
      </c>
      <c r="EB11" s="5" t="s">
        <v>131</v>
      </c>
      <c r="EC11" s="5" t="s">
        <v>132</v>
      </c>
      <c r="ED11" s="5" t="s">
        <v>133</v>
      </c>
      <c r="EE11" s="5" t="s">
        <v>134</v>
      </c>
      <c r="EF11" s="5" t="s">
        <v>135</v>
      </c>
    </row>
    <row r="12" spans="1:137">
      <c r="A12" s="4">
        <v>10</v>
      </c>
      <c r="B12" s="4">
        <v>96</v>
      </c>
      <c r="C12" s="25">
        <f>預測IC!C12</f>
        <v>8.4653541666666707E-2</v>
      </c>
      <c r="D12" s="10">
        <f>C12+預測IC!D12</f>
        <v>0.19934205208333339</v>
      </c>
      <c r="E12" s="10">
        <f>D12+預測IC!E12</f>
        <v>0.24736833333333338</v>
      </c>
      <c r="F12" s="10">
        <f>E12+預測IC!F12</f>
        <v>0.2607897395833334</v>
      </c>
      <c r="G12" s="10">
        <f>F12+預測IC!G12</f>
        <v>0.27251470833333341</v>
      </c>
      <c r="H12" s="10">
        <f>G12+預測IC!H12</f>
        <v>0.31104542708333344</v>
      </c>
      <c r="I12" s="10">
        <f>H12+預測IC!I12</f>
        <v>0.32385537500000011</v>
      </c>
      <c r="J12" s="10">
        <f>I12+預測IC!J12</f>
        <v>0.29444757291666679</v>
      </c>
      <c r="K12" s="10">
        <f>J12+預測IC!K12</f>
        <v>0.31322175000000013</v>
      </c>
      <c r="L12" s="10">
        <f>K12+預測IC!L12</f>
        <v>0.27133111458333348</v>
      </c>
      <c r="M12" s="10">
        <f>L12+預測IC!M12</f>
        <v>0.25577931038317236</v>
      </c>
      <c r="N12" s="10">
        <f>M12+預測IC!N12</f>
        <v>0.32510606038317236</v>
      </c>
      <c r="O12" s="10">
        <f>N12+預測IC!O12</f>
        <v>0.34234690413317237</v>
      </c>
      <c r="P12" s="10">
        <f>O12+預測IC!P12</f>
        <v>0.34198119579983904</v>
      </c>
      <c r="Q12" s="10">
        <f>P12+預測IC!Q12</f>
        <v>0.37725166454983905</v>
      </c>
      <c r="R12" s="10">
        <f>Q12+預測IC!R12</f>
        <v>0.38391474788317237</v>
      </c>
      <c r="S12" s="10">
        <f>R12+預測IC!S12</f>
        <v>0.36744251871650568</v>
      </c>
      <c r="T12" s="10">
        <f>S12+預測IC!T12</f>
        <v>0.32477922800845538</v>
      </c>
      <c r="U12" s="10">
        <f>T12+預測IC!U12</f>
        <v>0.30860043634178869</v>
      </c>
      <c r="V12" s="10">
        <f>U12+預測IC!V12</f>
        <v>0.31480523842512198</v>
      </c>
      <c r="W12" s="10">
        <f>V12+預測IC!W12</f>
        <v>0.33408318464873205</v>
      </c>
      <c r="X12" s="10">
        <f>W12+預測IC!X12</f>
        <v>0.35983264298206541</v>
      </c>
      <c r="Y12" s="10">
        <f>X12+預測IC!Y12</f>
        <v>0.3752727471487321</v>
      </c>
      <c r="Z12" s="10">
        <f>Y12+預測IC!Z12</f>
        <v>0.38043878881539878</v>
      </c>
      <c r="AA12" s="10">
        <f>Z12+預測IC!AA12</f>
        <v>0.36852195548206546</v>
      </c>
      <c r="AB12" s="10">
        <f>AA12+預測IC!AB12</f>
        <v>0.3577886258779267</v>
      </c>
      <c r="AC12" s="10">
        <f>AB12+預測IC!AC12</f>
        <v>0.36295607379459338</v>
      </c>
      <c r="AD12" s="10">
        <f>AC12+預測IC!AD12</f>
        <v>0.36548650362581692</v>
      </c>
      <c r="AE12" s="10">
        <f>AD12+預測IC!AE12</f>
        <v>0.30716949320915027</v>
      </c>
      <c r="AF12" s="10">
        <f>AE12+預測IC!AF12</f>
        <v>0.32765287112704067</v>
      </c>
      <c r="AG12" s="10">
        <f>AF12+預測IC!AG12</f>
        <v>0.3397320586270407</v>
      </c>
      <c r="AH12" s="10">
        <f>AG12+預測IC!AH12</f>
        <v>0.35282891856316007</v>
      </c>
      <c r="AI12" s="10">
        <f>AH12+預測IC!AI12</f>
        <v>0.37183338373349939</v>
      </c>
      <c r="AJ12" s="10">
        <f>AI12+預測IC!AJ12</f>
        <v>0.37932360044658447</v>
      </c>
      <c r="AK12" s="10">
        <f>AJ12+預測IC!AK12</f>
        <v>0.42667826198229802</v>
      </c>
      <c r="AL12" s="10">
        <f>AK12+預測IC!AL12</f>
        <v>0.44453726500422008</v>
      </c>
      <c r="AM12" s="10">
        <f>AL12+預測IC!AM12</f>
        <v>0.47674161876331406</v>
      </c>
      <c r="AN12" s="10">
        <f>AM12+預測IC!AN12</f>
        <v>0.54711248523704592</v>
      </c>
      <c r="AO12" s="10">
        <f>AN12+預測IC!AO12</f>
        <v>0.54925109012314488</v>
      </c>
      <c r="AP12" s="10">
        <f>AO12+預測IC!AP12</f>
        <v>0.51552209435195606</v>
      </c>
      <c r="AQ12" s="10">
        <f>AP12+預測IC!AQ12</f>
        <v>0.50834607811376886</v>
      </c>
      <c r="AR12" s="10">
        <f>AQ12+預測IC!AR12</f>
        <v>0.52119689154990068</v>
      </c>
      <c r="AS12" s="10">
        <f>AR12+預測IC!AS12</f>
        <v>0.54092302294410832</v>
      </c>
      <c r="AT12" s="10">
        <f>AS12+預測IC!AT12</f>
        <v>0.55399194945104924</v>
      </c>
      <c r="AU12" s="10">
        <f>AT12+預測IC!AU12</f>
        <v>0.57396659914045411</v>
      </c>
      <c r="AV12" s="10">
        <f>AU12+預測IC!AV12</f>
        <v>0.53284052814868499</v>
      </c>
      <c r="AW12" s="10">
        <f>AV12+預測IC!AW12</f>
        <v>0.53377007569204382</v>
      </c>
      <c r="AX12" s="10">
        <f>AW12+預測IC!AX12</f>
        <v>0.57679053580361606</v>
      </c>
      <c r="AY12" s="10">
        <f>AX12+預測IC!AY12</f>
        <v>0.60127388974782836</v>
      </c>
      <c r="AZ12" s="10">
        <f>AY12+預測IC!AZ12</f>
        <v>0.59821567488732175</v>
      </c>
      <c r="BA12" s="10">
        <f>AZ12+預測IC!BA12</f>
        <v>0.6694919769706551</v>
      </c>
      <c r="BB12" s="10">
        <f>BA12+預測IC!BB12</f>
        <v>0.67527704988732173</v>
      </c>
      <c r="BC12" s="10">
        <f>BB12+預測IC!BC12</f>
        <v>0.6882626262747672</v>
      </c>
      <c r="BD12" s="10">
        <f>BC12+預測IC!BD12</f>
        <v>0.6996940502684631</v>
      </c>
      <c r="BE12" s="10">
        <f>BD12+預測IC!BE12</f>
        <v>0.72372454126458297</v>
      </c>
      <c r="BF12" s="10">
        <f>BE12+預測IC!BF12</f>
        <v>0.79245435027971844</v>
      </c>
      <c r="BG12" s="10">
        <f>BF12+預測IC!BG12</f>
        <v>0.83084248031643393</v>
      </c>
      <c r="BH12" s="10">
        <f>BG12+預測IC!BH12</f>
        <v>0.84199139592943795</v>
      </c>
      <c r="BI12" s="10">
        <f>BH12+預測IC!BI12</f>
        <v>0.89343132331640829</v>
      </c>
      <c r="BJ12" s="10">
        <f>BI12+預測IC!BJ12</f>
        <v>0.89263532999649042</v>
      </c>
      <c r="BK12" s="10">
        <f>BJ12+預測IC!BK12</f>
        <v>0.87093885559204287</v>
      </c>
      <c r="BL12" s="10">
        <f>BK12+預測IC!BL12</f>
        <v>0.89564810142219153</v>
      </c>
      <c r="BM12" s="10">
        <f>BL12+預測IC!BM12</f>
        <v>0.84534241689886702</v>
      </c>
      <c r="BN12" s="10">
        <f>BM12+預測IC!BN12</f>
        <v>0.85668072872356293</v>
      </c>
      <c r="BO12" s="10">
        <f>BN12+預測IC!BO12</f>
        <v>0.88092703897979985</v>
      </c>
      <c r="BP12" s="10">
        <f>BO12+預測IC!BP12</f>
        <v>0.87035022248550287</v>
      </c>
      <c r="BQ12" s="10">
        <f>BP12+預測IC!BQ12</f>
        <v>0.8855568027568208</v>
      </c>
      <c r="BR12" s="10">
        <f>BQ12+預測IC!BR12</f>
        <v>0.88405013834312984</v>
      </c>
      <c r="BS12" s="10">
        <f>BR12+預測IC!BS12</f>
        <v>0.90174704490154722</v>
      </c>
      <c r="BT12" s="10">
        <f>BS12+預測IC!BT12</f>
        <v>0.92354489526280859</v>
      </c>
      <c r="BU12" s="10">
        <f>BT12+預測IC!BU12</f>
        <v>0.9337543959754232</v>
      </c>
      <c r="BV12" s="10">
        <f>BU12+預測IC!BV12</f>
        <v>0.9639782091931397</v>
      </c>
      <c r="BW12" s="10">
        <f>BV12+預測IC!BW12</f>
        <v>0.93516133483574493</v>
      </c>
      <c r="BX12" s="10">
        <f>BW12+預測IC!BX12</f>
        <v>0.94487444035998025</v>
      </c>
      <c r="BY12" s="10">
        <f>BX12+預測IC!BY12</f>
        <v>0.91182303079724625</v>
      </c>
      <c r="BZ12" s="10">
        <f>BY12+預測IC!BZ12</f>
        <v>0.95682705898123721</v>
      </c>
      <c r="CA12" s="10">
        <f>BZ12+預測IC!CA12</f>
        <v>0.92637928547879744</v>
      </c>
      <c r="CB12" s="10">
        <f>CA12+預測IC!CB12</f>
        <v>0.92804417309329934</v>
      </c>
      <c r="CC12" s="10">
        <f>CB12+預測IC!CC12</f>
        <v>0.99361021475996603</v>
      </c>
      <c r="CD12" s="10">
        <f>CC12+預測IC!CD12</f>
        <v>1.0378687355932994</v>
      </c>
      <c r="CE12" s="10">
        <f>CD12+預測IC!CE12</f>
        <v>1.1918758918432995</v>
      </c>
      <c r="CF12" s="10">
        <f>CE12+預測IC!CF12</f>
        <v>1.195953933509966</v>
      </c>
      <c r="CG12" s="10">
        <f>CF12+預測IC!CG12</f>
        <v>1.1962627355932993</v>
      </c>
      <c r="CH12" s="10">
        <f>CG12+預測IC!CH12</f>
        <v>1.2606653759950939</v>
      </c>
      <c r="CI12" s="10">
        <f>CH12+預測IC!CI12</f>
        <v>1.2248579633709455</v>
      </c>
      <c r="CJ12" s="10">
        <f>CI12+預測IC!CJ12</f>
        <v>1.2424718129119789</v>
      </c>
      <c r="CK12" s="10">
        <f>CJ12+預測IC!CK12</f>
        <v>1.2544658812898315</v>
      </c>
      <c r="CL12" s="10">
        <f>CK12+預測IC!CL12</f>
        <v>1.3724814889594419</v>
      </c>
      <c r="CM12" s="10">
        <f>CL12+預測IC!CM12</f>
        <v>1.3580987983464652</v>
      </c>
      <c r="CN12" s="10">
        <f>CM12+預測IC!CN12</f>
        <v>1.332511835459596</v>
      </c>
      <c r="CO12" s="10">
        <f>CN12+預測IC!CO12</f>
        <v>1.3057638901088624</v>
      </c>
      <c r="CP12" s="10">
        <f>CO12+預測IC!CP12</f>
        <v>1.3508040857144297</v>
      </c>
      <c r="CQ12" s="10">
        <f>CP12+預測IC!CQ12</f>
        <v>1.2881197387108549</v>
      </c>
      <c r="CR12" s="10">
        <f>CQ12+預測IC!CR12</f>
        <v>1.3362667178775216</v>
      </c>
      <c r="CS12" s="10">
        <f>CR12+預測IC!CS12</f>
        <v>1.3217574053775216</v>
      </c>
      <c r="CT12" s="10">
        <f>CS12+預測IC!CT12</f>
        <v>1.3207957591736192</v>
      </c>
      <c r="CU12" s="10">
        <f>CT12+預測IC!CU12</f>
        <v>1.3528319379369644</v>
      </c>
      <c r="CV12" s="10">
        <f>CU12+預測IC!CV12</f>
        <v>1.3610950918657969</v>
      </c>
      <c r="CW12" s="10">
        <f>CV12+預測IC!CW12</f>
        <v>1.3664763199503676</v>
      </c>
      <c r="CX12" s="10">
        <f>CW12+預測IC!CX12</f>
        <v>1.4274662024873594</v>
      </c>
      <c r="CY12" s="10">
        <f>CX12+預測IC!CY12</f>
        <v>1.4212839823485084</v>
      </c>
      <c r="CZ12" s="10">
        <f>CY12+預測IC!CZ12</f>
        <v>1.5008912656071127</v>
      </c>
      <c r="DA12" s="10">
        <f>CZ12+預測IC!DA12</f>
        <v>1.5042944736026653</v>
      </c>
      <c r="DB12" s="10">
        <f>DA12+預測IC!DB12</f>
        <v>1.593276327769332</v>
      </c>
      <c r="DC12" s="10">
        <f>DB12+預測IC!DC12</f>
        <v>1.6033035465193319</v>
      </c>
      <c r="DD12" s="10">
        <f>DC12+預測IC!DD12</f>
        <v>1.5642121298526652</v>
      </c>
      <c r="DE12" s="10">
        <f>DD12+預測IC!DE12</f>
        <v>1.5640273856076337</v>
      </c>
      <c r="DF12" s="10">
        <f>DE12+預測IC!DF12</f>
        <v>1.5571943694240438</v>
      </c>
      <c r="DG12" s="10">
        <f>DF12+預測IC!DG12</f>
        <v>1.5564040993512653</v>
      </c>
      <c r="DH12" s="10">
        <f>DG12+預測IC!DH12</f>
        <v>1.5511419555764623</v>
      </c>
      <c r="DI12" s="10">
        <f>DH12+預測IC!DI12</f>
        <v>1.4966987825843299</v>
      </c>
      <c r="DJ12" s="10">
        <f>DI12+預測IC!DJ12</f>
        <v>1.5118174596676632</v>
      </c>
      <c r="DK12" s="10">
        <f>DJ12+預測IC!DK12</f>
        <v>1.4965530564452785</v>
      </c>
      <c r="DL12" s="10">
        <f>DK12+預測IC!DL12</f>
        <v>1.4954887912822679</v>
      </c>
      <c r="DM12" s="10">
        <f>DL12+預測IC!DM12</f>
        <v>1.4897740198864011</v>
      </c>
      <c r="DN12" s="10">
        <f>DM12+預測IC!DN12</f>
        <v>1.5290023625192408</v>
      </c>
      <c r="DO12" s="10">
        <f>DN12+預測IC!DO12</f>
        <v>1.5511306126841393</v>
      </c>
      <c r="DP12" s="10">
        <f>DO12+預測IC!DP12</f>
        <v>1.5837150622844365</v>
      </c>
      <c r="DQ12" s="10">
        <f>DP12+預測IC!DQ12</f>
        <v>1.5602666717329419</v>
      </c>
      <c r="DR12" s="10">
        <f>DQ12+預測IC!DR12</f>
        <v>1.5790456150123289</v>
      </c>
      <c r="DS12" s="10">
        <f>DR12+預測IC!DS12</f>
        <v>1.5417815845730678</v>
      </c>
      <c r="DT12" s="10">
        <f>DS12+預測IC!DT12</f>
        <v>1.5668994491564012</v>
      </c>
      <c r="DU12" s="10">
        <f>DT12+預測IC!DU12</f>
        <v>1.5096692199897346</v>
      </c>
      <c r="DV12" s="10">
        <f>DU12+預測IC!DV12</f>
        <v>1.5618424037992604</v>
      </c>
      <c r="DW12" s="10">
        <f>DV12+預測IC!DW12</f>
        <v>1.6015367054235283</v>
      </c>
      <c r="DX12" s="10">
        <f>DW12+預測IC!DX12</f>
        <v>1.5519174986203008</v>
      </c>
      <c r="DY12" s="10">
        <f>DX12+預測IC!DY12</f>
        <v>1.6050628111203009</v>
      </c>
      <c r="DZ12" s="10">
        <f>DY12+預測IC!DZ12</f>
        <v>1.611248092370301</v>
      </c>
      <c r="EA12" s="10">
        <f>DZ12+預測IC!EA12</f>
        <v>1.6623457253703009</v>
      </c>
      <c r="EB12" s="10">
        <f>EA12+預測IC!EB12</f>
        <v>1.6660151110082189</v>
      </c>
      <c r="EC12" s="10">
        <f>EB12+預測IC!EC12</f>
        <v>1.6562090693415521</v>
      </c>
      <c r="ED12" s="10">
        <f>EC12+預測IC!ED12</f>
        <v>1.5995810335341565</v>
      </c>
      <c r="EE12" s="10">
        <f>ED12+預測IC!EE12</f>
        <v>1.6120394077978617</v>
      </c>
      <c r="EF12" s="10">
        <f>EE12+預測IC!EF12</f>
        <v>1.6512727558366573</v>
      </c>
    </row>
    <row r="13" spans="1:137">
      <c r="A13" s="4">
        <v>20</v>
      </c>
      <c r="B13" s="4">
        <v>48</v>
      </c>
      <c r="C13" s="25">
        <f>預測IC!C13</f>
        <v>0.10411314583333341</v>
      </c>
      <c r="D13" s="10">
        <f>C13+預測IC!D13</f>
        <v>0.22785825000000001</v>
      </c>
      <c r="E13" s="10">
        <f>D13+預測IC!E13</f>
        <v>0.2977195416666667</v>
      </c>
      <c r="F13" s="10">
        <f>E13+預測IC!F13</f>
        <v>0.28626472916666668</v>
      </c>
      <c r="G13" s="10">
        <f>F13+預測IC!G13</f>
        <v>0.30200958333333333</v>
      </c>
      <c r="H13" s="10">
        <f>G13+預測IC!H13</f>
        <v>0.33199993750000001</v>
      </c>
      <c r="I13" s="10">
        <f>H13+預測IC!I13</f>
        <v>0.36113047916666668</v>
      </c>
      <c r="J13" s="10">
        <f>I13+預測IC!J13</f>
        <v>0.31723166666666669</v>
      </c>
      <c r="K13" s="10">
        <f>J13+預測IC!K13</f>
        <v>0.3158641875</v>
      </c>
      <c r="L13" s="10">
        <f>K13+預測IC!L13</f>
        <v>0.30983908333333332</v>
      </c>
      <c r="M13" s="10">
        <f>L13+預測IC!M13</f>
        <v>0.3175477395958255</v>
      </c>
      <c r="N13" s="10">
        <f>M13+預測IC!N13</f>
        <v>0.41735446876249216</v>
      </c>
      <c r="O13" s="10">
        <f>N13+預測IC!O13</f>
        <v>0.45714384376249217</v>
      </c>
      <c r="P13" s="10">
        <f>O13+預測IC!P13</f>
        <v>0.4739359895958255</v>
      </c>
      <c r="Q13" s="10">
        <f>P13+預測IC!Q13</f>
        <v>0.54716101042915888</v>
      </c>
      <c r="R13" s="10">
        <f>Q13+預測IC!R13</f>
        <v>0.56132084376249225</v>
      </c>
      <c r="S13" s="10">
        <f>R13+預測IC!S13</f>
        <v>0.54907753126249226</v>
      </c>
      <c r="T13" s="10">
        <f>S13+預測IC!T13</f>
        <v>0.49882563454377993</v>
      </c>
      <c r="U13" s="10">
        <f>T13+預測IC!U13</f>
        <v>0.50042194704377996</v>
      </c>
      <c r="V13" s="10">
        <f>U13+預測IC!V13</f>
        <v>0.48032782204378</v>
      </c>
      <c r="W13" s="10">
        <f>V13+預測IC!W13</f>
        <v>0.51143090992814988</v>
      </c>
      <c r="X13" s="10">
        <f>W13+預測IC!X13</f>
        <v>0.56470736826148316</v>
      </c>
      <c r="Y13" s="10">
        <f>X13+預測IC!Y13</f>
        <v>0.57862774326148314</v>
      </c>
      <c r="Z13" s="10">
        <f>Y13+預測IC!Z13</f>
        <v>0.59921165992814984</v>
      </c>
      <c r="AA13" s="10">
        <f>Z13+預測IC!AA13</f>
        <v>0.58277161826148316</v>
      </c>
      <c r="AB13" s="10">
        <f>AA13+預測IC!AB13</f>
        <v>0.56777004493250471</v>
      </c>
      <c r="AC13" s="10">
        <f>AB13+預測IC!AC13</f>
        <v>0.57580131576583804</v>
      </c>
      <c r="AD13" s="10">
        <f>AC13+預測IC!AD13</f>
        <v>0.59624154413963049</v>
      </c>
      <c r="AE13" s="10">
        <f>AD13+預測IC!AE13</f>
        <v>0.53052206497296384</v>
      </c>
      <c r="AF13" s="10">
        <f>AE13+預測IC!AF13</f>
        <v>0.56358849538617661</v>
      </c>
      <c r="AG13" s="10">
        <f>AF13+預測IC!AG13</f>
        <v>0.56687095371950991</v>
      </c>
      <c r="AH13" s="10">
        <f>AG13+預測IC!AH13</f>
        <v>0.57821130605735283</v>
      </c>
      <c r="AI13" s="10">
        <f>AH13+預測IC!AI13</f>
        <v>0.59027885613142561</v>
      </c>
      <c r="AJ13" s="10">
        <f>AI13+預測IC!AJ13</f>
        <v>0.57177101259454588</v>
      </c>
      <c r="AK13" s="10">
        <f>AJ13+預測IC!AK13</f>
        <v>0.63775892540520185</v>
      </c>
      <c r="AL13" s="10">
        <f>AK13+預測IC!AL13</f>
        <v>0.66408792520875137</v>
      </c>
      <c r="AM13" s="10">
        <f>AL13+預測IC!AM13</f>
        <v>0.70985259976216086</v>
      </c>
      <c r="AN13" s="10">
        <f>AM13+預測IC!AN13</f>
        <v>0.8151828378981949</v>
      </c>
      <c r="AO13" s="10">
        <f>AN13+預測IC!AO13</f>
        <v>0.83089726182107948</v>
      </c>
      <c r="AP13" s="10">
        <f>AO13+預測IC!AP13</f>
        <v>0.77135904164820634</v>
      </c>
      <c r="AQ13" s="10">
        <f>AP13+預測IC!AQ13</f>
        <v>0.7678095548415691</v>
      </c>
      <c r="AR13" s="10">
        <f>AQ13+預測IC!AR13</f>
        <v>0.7821806176604198</v>
      </c>
      <c r="AS13" s="10">
        <f>AR13+預測IC!AS13</f>
        <v>0.82195857065009448</v>
      </c>
      <c r="AT13" s="10">
        <f>AS13+預測IC!AT13</f>
        <v>0.86242165850453423</v>
      </c>
      <c r="AU13" s="10">
        <f>AT13+預測IC!AU13</f>
        <v>0.90488264073250568</v>
      </c>
      <c r="AV13" s="10">
        <f>AU13+預測IC!AV13</f>
        <v>0.89588186271127213</v>
      </c>
      <c r="AW13" s="10">
        <f>AV13+預測IC!AW13</f>
        <v>0.89915013354932694</v>
      </c>
      <c r="AX13" s="10">
        <f>AW13+預測IC!AX13</f>
        <v>0.964499155025348</v>
      </c>
      <c r="AY13" s="10">
        <f>AX13+預測IC!AY13</f>
        <v>0.98026679842842468</v>
      </c>
      <c r="AZ13" s="10">
        <f>AY13+預測IC!AZ13</f>
        <v>0.97126903457599734</v>
      </c>
      <c r="BA13" s="10">
        <f>AZ13+預測IC!BA13</f>
        <v>1.0510983054093306</v>
      </c>
      <c r="BB13" s="10">
        <f>BA13+預測IC!BB13</f>
        <v>1.0771442845759973</v>
      </c>
      <c r="BC13" s="10">
        <f>BB13+預測IC!BC13</f>
        <v>1.0901708648296449</v>
      </c>
      <c r="BD13" s="10">
        <f>BC13+預測IC!BD13</f>
        <v>1.0957729469449473</v>
      </c>
      <c r="BE13" s="10">
        <f>BD13+預測IC!BE13</f>
        <v>1.1241962948999342</v>
      </c>
      <c r="BF13" s="10">
        <f>BE13+預測IC!BF13</f>
        <v>1.208125710207431</v>
      </c>
      <c r="BG13" s="10">
        <f>BF13+預測IC!BG13</f>
        <v>1.2546921725461426</v>
      </c>
      <c r="BH13" s="10">
        <f>BG13+預測IC!BH13</f>
        <v>1.261668444447305</v>
      </c>
      <c r="BI13" s="10">
        <f>BH13+預測IC!BI13</f>
        <v>1.3144565640142534</v>
      </c>
      <c r="BJ13" s="10">
        <f>BI13+預測IC!BJ13</f>
        <v>1.2968024554880908</v>
      </c>
      <c r="BK13" s="10">
        <f>BJ13+預測IC!BK13</f>
        <v>1.2784114306083414</v>
      </c>
      <c r="BL13" s="10">
        <f>BK13+預測IC!BL13</f>
        <v>1.3153740407852899</v>
      </c>
      <c r="BM13" s="10">
        <f>BL13+預測IC!BM13</f>
        <v>1.2620022720900992</v>
      </c>
      <c r="BN13" s="10">
        <f>BM13+預測IC!BN13</f>
        <v>1.2728950110585668</v>
      </c>
      <c r="BO13" s="10">
        <f>BN13+預測IC!BO13</f>
        <v>1.3046303233904868</v>
      </c>
      <c r="BP13" s="10">
        <f>BO13+預測IC!BP13</f>
        <v>1.3122822702148043</v>
      </c>
      <c r="BQ13" s="10">
        <f>BP13+預測IC!BQ13</f>
        <v>1.3531013669862146</v>
      </c>
      <c r="BR13" s="10">
        <f>BQ13+預測IC!BR13</f>
        <v>1.3460299855095859</v>
      </c>
      <c r="BS13" s="10">
        <f>BR13+預測IC!BS13</f>
        <v>1.3532882280175194</v>
      </c>
      <c r="BT13" s="10">
        <f>BS13+預測IC!BT13</f>
        <v>1.3916317336339921</v>
      </c>
      <c r="BU13" s="10">
        <f>BT13+預測IC!BU13</f>
        <v>1.4081587283788894</v>
      </c>
      <c r="BV13" s="10">
        <f>BU13+預測IC!BV13</f>
        <v>1.4288026033801882</v>
      </c>
      <c r="BW13" s="10">
        <f>BV13+預測IC!BW13</f>
        <v>1.4305658411908653</v>
      </c>
      <c r="BX13" s="10">
        <f>BW13+預測IC!BX13</f>
        <v>1.4523513320834827</v>
      </c>
      <c r="BY13" s="10">
        <f>BX13+預測IC!BY13</f>
        <v>1.4378389344129923</v>
      </c>
      <c r="BZ13" s="10">
        <f>BY13+預測IC!BZ13</f>
        <v>1.5147668051374208</v>
      </c>
      <c r="CA13" s="10">
        <f>BZ13+預測IC!CA13</f>
        <v>1.4812352395370239</v>
      </c>
      <c r="CB13" s="10">
        <f>CA13+預測IC!CB13</f>
        <v>1.4741033701291897</v>
      </c>
      <c r="CC13" s="10">
        <f>CB13+預測IC!CC13</f>
        <v>1.5942212867958563</v>
      </c>
      <c r="CD13" s="10">
        <f>CC13+預測IC!CD13</f>
        <v>1.6494771201291896</v>
      </c>
      <c r="CE13" s="10">
        <f>CD13+預測IC!CE13</f>
        <v>1.8333048492958564</v>
      </c>
      <c r="CF13" s="10">
        <f>CE13+預測IC!CF13</f>
        <v>1.8515339951291896</v>
      </c>
      <c r="CG13" s="10">
        <f>CF13+預測IC!CG13</f>
        <v>1.859094390962523</v>
      </c>
      <c r="CH13" s="10">
        <f>CG13+預測IC!CH13</f>
        <v>1.9174290027897303</v>
      </c>
      <c r="CI13" s="10">
        <f>CH13+預測IC!CI13</f>
        <v>1.8655754936554669</v>
      </c>
      <c r="CJ13" s="10">
        <f>CI13+預測IC!CJ13</f>
        <v>1.8616988933609742</v>
      </c>
      <c r="CK13" s="10">
        <f>CJ13+預測IC!CK13</f>
        <v>1.8937441625974381</v>
      </c>
      <c r="CL13" s="10">
        <f>CK13+預測IC!CL13</f>
        <v>1.9780485539119419</v>
      </c>
      <c r="CM13" s="10">
        <f>CL13+預測IC!CM13</f>
        <v>1.9677517501555468</v>
      </c>
      <c r="CN13" s="10">
        <f>CM13+預測IC!CN13</f>
        <v>1.9408641841566945</v>
      </c>
      <c r="CO13" s="10">
        <f>CN13+預測IC!CO13</f>
        <v>1.927406725593467</v>
      </c>
      <c r="CP13" s="10">
        <f>CO13+預測IC!CP13</f>
        <v>1.9982041980765564</v>
      </c>
      <c r="CQ13" s="10">
        <f>CP13+預測IC!CQ13</f>
        <v>1.9270253331081524</v>
      </c>
      <c r="CR13" s="10">
        <f>CQ13+預測IC!CR13</f>
        <v>1.991406187274819</v>
      </c>
      <c r="CS13" s="10">
        <f>CR13+預測IC!CS13</f>
        <v>1.9953541456081523</v>
      </c>
      <c r="CT13" s="10">
        <f>CS13+預測IC!CT13</f>
        <v>2.0034249449245309</v>
      </c>
      <c r="CU13" s="10">
        <f>CT13+預測IC!CU13</f>
        <v>2.0394318604588202</v>
      </c>
      <c r="CV13" s="10">
        <f>CU13+預測IC!CV13</f>
        <v>2.0372014858148759</v>
      </c>
      <c r="CW13" s="10">
        <f>CV13+預測IC!CW13</f>
        <v>2.043178516671122</v>
      </c>
      <c r="CX13" s="10">
        <f>CW13+預測IC!CX13</f>
        <v>2.103822278306442</v>
      </c>
      <c r="CY13" s="10">
        <f>CX13+預測IC!CY13</f>
        <v>2.0907035381914292</v>
      </c>
      <c r="CZ13" s="10">
        <f>CY13+預測IC!CZ13</f>
        <v>2.1479277585449141</v>
      </c>
      <c r="DA13" s="10">
        <f>CZ13+預測IC!DA13</f>
        <v>2.1408312275934738</v>
      </c>
      <c r="DB13" s="10">
        <f>DA13+預測IC!DB13</f>
        <v>2.2470664775934739</v>
      </c>
      <c r="DC13" s="10">
        <f>DB13+預測IC!DC13</f>
        <v>2.2706076025934738</v>
      </c>
      <c r="DD13" s="10">
        <f>DC13+預測IC!DD13</f>
        <v>2.2192013109268074</v>
      </c>
      <c r="DE13" s="10">
        <f>DD13+預測IC!DE13</f>
        <v>2.2243689638222266</v>
      </c>
      <c r="DF13" s="10">
        <f>DE13+預測IC!DF13</f>
        <v>2.1958501670285919</v>
      </c>
      <c r="DG13" s="10">
        <f>DF13+預測IC!DG13</f>
        <v>2.194219509855702</v>
      </c>
      <c r="DH13" s="10">
        <f>DG13+預測IC!DH13</f>
        <v>2.2072117549014938</v>
      </c>
      <c r="DI13" s="10">
        <f>DH13+預測IC!DI13</f>
        <v>2.1606502980872602</v>
      </c>
      <c r="DJ13" s="10">
        <f>DI13+預測IC!DJ13</f>
        <v>2.166634152253927</v>
      </c>
      <c r="DK13" s="10">
        <f>DJ13+預測IC!DK13</f>
        <v>2.1786609420927712</v>
      </c>
      <c r="DL13" s="10">
        <f>DK13+預測IC!DL13</f>
        <v>2.163006389652212</v>
      </c>
      <c r="DM13" s="10">
        <f>DL13+預測IC!DM13</f>
        <v>2.1563475206037683</v>
      </c>
      <c r="DN13" s="10">
        <f>DM13+預測IC!DN13</f>
        <v>2.1711873183840331</v>
      </c>
      <c r="DO13" s="10">
        <f>DN13+預測IC!DO13</f>
        <v>2.2197188316069991</v>
      </c>
      <c r="DP13" s="10">
        <f>DO13+預測IC!DP13</f>
        <v>2.26695698483304</v>
      </c>
      <c r="DQ13" s="10">
        <f>DP13+預測IC!DQ13</f>
        <v>2.2405269034159114</v>
      </c>
      <c r="DR13" s="10">
        <f>DQ13+預測IC!DR13</f>
        <v>2.2542981126882236</v>
      </c>
      <c r="DS13" s="10">
        <f>DR13+預測IC!DS13</f>
        <v>2.2157953377060493</v>
      </c>
      <c r="DT13" s="10">
        <f>DS13+預測IC!DT13</f>
        <v>2.266626691872716</v>
      </c>
      <c r="DU13" s="10">
        <f>DT13+預測IC!DU13</f>
        <v>2.2336207335393827</v>
      </c>
      <c r="DV13" s="10">
        <f>DU13+預測IC!DV13</f>
        <v>2.3132408775635711</v>
      </c>
      <c r="DW13" s="10">
        <f>DV13+預測IC!DW13</f>
        <v>2.3589278569915781</v>
      </c>
      <c r="DX13" s="10">
        <f>DW13+預測IC!DX13</f>
        <v>2.2942859375010469</v>
      </c>
      <c r="DY13" s="10">
        <f>DX13+預測IC!DY13</f>
        <v>2.3512670833343803</v>
      </c>
      <c r="DZ13" s="10">
        <f>DY13+預測IC!DZ13</f>
        <v>2.3695690625010468</v>
      </c>
      <c r="EA13" s="10">
        <f>DZ13+預測IC!EA13</f>
        <v>2.4316877395010468</v>
      </c>
      <c r="EB13" s="10">
        <f>EA13+預測IC!EB13</f>
        <v>2.453060957700433</v>
      </c>
      <c r="EC13" s="10">
        <f>EB13+預測IC!EC13</f>
        <v>2.4342859368670995</v>
      </c>
      <c r="ED13" s="10">
        <f>EC13+預測IC!ED13</f>
        <v>2.3686038432078647</v>
      </c>
      <c r="EE13" s="10">
        <f>ED13+預測IC!EE13</f>
        <v>2.3773418689106243</v>
      </c>
      <c r="EF13" s="10">
        <f>EE13+預測IC!EF13</f>
        <v>2.4446330256520765</v>
      </c>
    </row>
    <row r="14" spans="1:137">
      <c r="A14" s="4">
        <v>50</v>
      </c>
      <c r="B14" s="4">
        <v>19</v>
      </c>
      <c r="C14" s="25">
        <f>預測IC!C14</f>
        <v>0.1199416315789474</v>
      </c>
      <c r="D14" s="10">
        <f>C14+預測IC!D14</f>
        <v>0.34225042105263159</v>
      </c>
      <c r="E14" s="10">
        <f>D14+預測IC!E14</f>
        <v>0.4410185789473684</v>
      </c>
      <c r="F14" s="10">
        <f>E14+預測IC!F14</f>
        <v>0.47556178947368422</v>
      </c>
      <c r="G14" s="10">
        <f>F14+預測IC!G14</f>
        <v>0.56071099999999996</v>
      </c>
      <c r="H14" s="10">
        <f>G14+預測IC!H14</f>
        <v>0.62029994736842098</v>
      </c>
      <c r="I14" s="10">
        <f>H14+預測IC!I14</f>
        <v>0.69741494736842102</v>
      </c>
      <c r="J14" s="10">
        <f>I14+預測IC!J14</f>
        <v>0.59232136842105265</v>
      </c>
      <c r="K14" s="10">
        <f>J14+預測IC!K14</f>
        <v>0.60477284210526316</v>
      </c>
      <c r="L14" s="10">
        <f>K14+預測IC!L14</f>
        <v>0.59629263157894741</v>
      </c>
      <c r="M14" s="10">
        <f>L14+預測IC!M14</f>
        <v>0.60198882434257917</v>
      </c>
      <c r="N14" s="10">
        <f>M14+預測IC!N14</f>
        <v>0.80682150855310542</v>
      </c>
      <c r="O14" s="10">
        <f>N14+預測IC!O14</f>
        <v>0.84646387697415804</v>
      </c>
      <c r="P14" s="10">
        <f>O14+預測IC!P14</f>
        <v>0.8942438243425791</v>
      </c>
      <c r="Q14" s="10">
        <f>P14+預測IC!Q14</f>
        <v>0.95248287697415801</v>
      </c>
      <c r="R14" s="10">
        <f>Q14+預測IC!R14</f>
        <v>0.93833119276363175</v>
      </c>
      <c r="S14" s="10">
        <f>R14+預測IC!S14</f>
        <v>0.97686645592152643</v>
      </c>
      <c r="T14" s="10">
        <f>S14+預測IC!T14</f>
        <v>0.90702497640063062</v>
      </c>
      <c r="U14" s="10">
        <f>T14+預測IC!U14</f>
        <v>0.94360323955852532</v>
      </c>
      <c r="V14" s="10">
        <f>U14+預測IC!V14</f>
        <v>0.90522892376905162</v>
      </c>
      <c r="W14" s="10">
        <f>V14+預測IC!W14</f>
        <v>0.97923708315730462</v>
      </c>
      <c r="X14" s="10">
        <f>W14+預測IC!X14</f>
        <v>1.0328188726309888</v>
      </c>
      <c r="Y14" s="10">
        <f>X14+預測IC!Y14</f>
        <v>1.0160552936836205</v>
      </c>
      <c r="Z14" s="10">
        <f>Y14+預測IC!Z14</f>
        <v>1.0373072936836205</v>
      </c>
      <c r="AA14" s="10">
        <f>Z14+預測IC!AA14</f>
        <v>1.0346816094730942</v>
      </c>
      <c r="AB14" s="10">
        <f>AA14+預測IC!AB14</f>
        <v>1.0073456308675401</v>
      </c>
      <c r="AC14" s="10">
        <f>AB14+預測IC!AC14</f>
        <v>0.97805299928859279</v>
      </c>
      <c r="AD14" s="10">
        <f>AC14+預測IC!AD14</f>
        <v>1.0479275910237349</v>
      </c>
      <c r="AE14" s="10">
        <f>AD14+預測IC!AE14</f>
        <v>1.043908538392156</v>
      </c>
      <c r="AF14" s="10">
        <f>AE14+預測IC!AF14</f>
        <v>1.0836326768717022</v>
      </c>
      <c r="AG14" s="10">
        <f>AF14+預測IC!AG14</f>
        <v>1.0900232558190706</v>
      </c>
      <c r="AH14" s="10">
        <f>AG14+預測IC!AH14</f>
        <v>1.0866769815981607</v>
      </c>
      <c r="AI14" s="10">
        <f>AH14+預測IC!AI14</f>
        <v>1.1587499325252817</v>
      </c>
      <c r="AJ14" s="10">
        <f>AI14+預測IC!AJ14</f>
        <v>1.1738089686084328</v>
      </c>
      <c r="AK14" s="10">
        <f>AJ14+預測IC!AK14</f>
        <v>1.240135714764357</v>
      </c>
      <c r="AL14" s="10">
        <f>AK14+預測IC!AL14</f>
        <v>1.2781049044868178</v>
      </c>
      <c r="AM14" s="10">
        <f>AL14+預測IC!AM14</f>
        <v>1.3463881778878257</v>
      </c>
      <c r="AN14" s="10">
        <f>AM14+預測IC!AN14</f>
        <v>1.4386486670914018</v>
      </c>
      <c r="AO14" s="10">
        <f>AN14+預測IC!AO14</f>
        <v>1.4995543725568117</v>
      </c>
      <c r="AP14" s="10">
        <f>AO14+預測IC!AP14</f>
        <v>1.4295778474047274</v>
      </c>
      <c r="AQ14" s="10">
        <f>AP14+預測IC!AQ14</f>
        <v>1.4286984613763349</v>
      </c>
      <c r="AR14" s="10">
        <f>AQ14+預測IC!AR14</f>
        <v>1.4663443011385979</v>
      </c>
      <c r="AS14" s="10">
        <f>AR14+預測IC!AS14</f>
        <v>1.5486772771798096</v>
      </c>
      <c r="AT14" s="10">
        <f>AS14+預測IC!AT14</f>
        <v>1.5896018428379071</v>
      </c>
      <c r="AU14" s="10">
        <f>AT14+預測IC!AU14</f>
        <v>1.6366231967465812</v>
      </c>
      <c r="AV14" s="10">
        <f>AU14+預測IC!AV14</f>
        <v>1.6139384104059442</v>
      </c>
      <c r="AW14" s="10">
        <f>AV14+預測IC!AW14</f>
        <v>1.5985170322826892</v>
      </c>
      <c r="AX14" s="10">
        <f>AW14+預測IC!AX14</f>
        <v>1.7354680605770818</v>
      </c>
      <c r="AY14" s="10">
        <f>AX14+預測IC!AY14</f>
        <v>1.7505361793488434</v>
      </c>
      <c r="AZ14" s="10">
        <f>AY14+預測IC!AZ14</f>
        <v>1.6973779316437807</v>
      </c>
      <c r="BA14" s="10">
        <f>AZ14+預測IC!BA14</f>
        <v>1.7937153526964122</v>
      </c>
      <c r="BB14" s="10">
        <f>BA14+預測IC!BB14</f>
        <v>1.8956133526964123</v>
      </c>
      <c r="BC14" s="10">
        <f>BB14+預測IC!BC14</f>
        <v>1.8865294291708941</v>
      </c>
      <c r="BD14" s="10">
        <f>BC14+預測IC!BD14</f>
        <v>1.9298572108382994</v>
      </c>
      <c r="BE14" s="10">
        <f>BD14+預測IC!BE14</f>
        <v>1.9730334551569282</v>
      </c>
      <c r="BF14" s="10">
        <f>BE14+預測IC!BF14</f>
        <v>2.0138039767026181</v>
      </c>
      <c r="BG14" s="10">
        <f>BF14+預測IC!BG14</f>
        <v>2.0551782407765509</v>
      </c>
      <c r="BH14" s="10">
        <f>BG14+預測IC!BH14</f>
        <v>2.0548947966095352</v>
      </c>
      <c r="BI14" s="10">
        <f>BH14+預測IC!BI14</f>
        <v>2.1069090322357038</v>
      </c>
      <c r="BJ14" s="10">
        <f>BI14+預測IC!BJ14</f>
        <v>2.0936547534216365</v>
      </c>
      <c r="BK14" s="10">
        <f>BJ14+預測IC!BK14</f>
        <v>2.0935674281418835</v>
      </c>
      <c r="BL14" s="10">
        <f>BK14+預測IC!BL14</f>
        <v>2.1533051949842537</v>
      </c>
      <c r="BM14" s="10">
        <f>BL14+預測IC!BM14</f>
        <v>2.1070268699812531</v>
      </c>
      <c r="BN14" s="10">
        <f>BM14+預測IC!BN14</f>
        <v>2.1279634080538044</v>
      </c>
      <c r="BO14" s="10">
        <f>BN14+預測IC!BO14</f>
        <v>2.1615724537310688</v>
      </c>
      <c r="BP14" s="10">
        <f>BO14+預測IC!BP14</f>
        <v>2.1743951211214698</v>
      </c>
      <c r="BQ14" s="10">
        <f>BP14+預測IC!BQ14</f>
        <v>2.1864445439066058</v>
      </c>
      <c r="BR14" s="10">
        <f>BQ14+預測IC!BR14</f>
        <v>2.158515114373988</v>
      </c>
      <c r="BS14" s="10">
        <f>BR14+預測IC!BS14</f>
        <v>2.1198859107596837</v>
      </c>
      <c r="BT14" s="10">
        <f>BS14+預測IC!BT14</f>
        <v>2.1930250393606303</v>
      </c>
      <c r="BU14" s="10">
        <f>BT14+預測IC!BU14</f>
        <v>2.1841702040025996</v>
      </c>
      <c r="BV14" s="10">
        <f>BU14+預測IC!BV14</f>
        <v>2.2130616258855556</v>
      </c>
      <c r="BW14" s="10">
        <f>BV14+預測IC!BW14</f>
        <v>2.2255695741431487</v>
      </c>
      <c r="BX14" s="10">
        <f>BW14+預測IC!BX14</f>
        <v>2.2794279361777088</v>
      </c>
      <c r="BY14" s="10">
        <f>BX14+預測IC!BY14</f>
        <v>2.2609060631246596</v>
      </c>
      <c r="BZ14" s="10">
        <f>BY14+預測IC!BZ14</f>
        <v>2.3726865836562405</v>
      </c>
      <c r="CA14" s="10">
        <f>BZ14+預測IC!CA14</f>
        <v>2.3482213175413036</v>
      </c>
      <c r="CB14" s="10">
        <f>CA14+預測IC!CB14</f>
        <v>2.3703489340834785</v>
      </c>
      <c r="CC14" s="10">
        <f>CB14+預測IC!CC14</f>
        <v>2.4909441446097942</v>
      </c>
      <c r="CD14" s="10">
        <f>CC14+預測IC!CD14</f>
        <v>2.5388655130308466</v>
      </c>
      <c r="CE14" s="10">
        <f>CD14+預測IC!CE14</f>
        <v>2.70942035513611</v>
      </c>
      <c r="CF14" s="10">
        <f>CE14+預測IC!CF14</f>
        <v>2.6891100393466365</v>
      </c>
      <c r="CG14" s="10">
        <f>CF14+預測IC!CG14</f>
        <v>2.8280369340834786</v>
      </c>
      <c r="CH14" s="10">
        <f>CG14+預測IC!CH14</f>
        <v>2.8926983263616957</v>
      </c>
      <c r="CI14" s="10">
        <f>CH14+預測IC!CI14</f>
        <v>2.786813548998337</v>
      </c>
      <c r="CJ14" s="10">
        <f>CI14+預測IC!CJ14</f>
        <v>2.7542831423194261</v>
      </c>
      <c r="CK14" s="10">
        <f>CJ14+預測IC!CK14</f>
        <v>2.768299506710072</v>
      </c>
      <c r="CL14" s="10">
        <f>CK14+預測IC!CL14</f>
        <v>2.8305694615889085</v>
      </c>
      <c r="CM14" s="10">
        <f>CL14+預測IC!CM14</f>
        <v>2.8626094719572257</v>
      </c>
      <c r="CN14" s="10">
        <f>CM14+預測IC!CN14</f>
        <v>2.8421300739140198</v>
      </c>
      <c r="CO14" s="10">
        <f>CN14+預測IC!CO14</f>
        <v>2.768542353875127</v>
      </c>
      <c r="CP14" s="10">
        <f>CO14+預測IC!CP14</f>
        <v>2.8683516853568798</v>
      </c>
      <c r="CQ14" s="10">
        <f>CP14+預測IC!CQ14</f>
        <v>2.8361237854694923</v>
      </c>
      <c r="CR14" s="10">
        <f>CQ14+預測IC!CR14</f>
        <v>2.8987648381010711</v>
      </c>
      <c r="CS14" s="10">
        <f>CR14+預測IC!CS14</f>
        <v>2.894949732837913</v>
      </c>
      <c r="CT14" s="10">
        <f>CS14+預測IC!CT14</f>
        <v>2.9140503093885979</v>
      </c>
      <c r="CU14" s="10">
        <f>CT14+預測IC!CU14</f>
        <v>2.869505867275592</v>
      </c>
      <c r="CV14" s="10">
        <f>CU14+預測IC!CV14</f>
        <v>2.8922515824138473</v>
      </c>
      <c r="CW14" s="10">
        <f>CV14+預測IC!CW14</f>
        <v>2.8888531999503764</v>
      </c>
      <c r="CX14" s="10">
        <f>CW14+預測IC!CX14</f>
        <v>2.9216175290369599</v>
      </c>
      <c r="CY14" s="10">
        <f>CX14+預測IC!CY14</f>
        <v>2.8928584087454858</v>
      </c>
      <c r="CZ14" s="10">
        <f>CY14+預測IC!CZ14</f>
        <v>2.956921972095869</v>
      </c>
      <c r="DA14" s="10">
        <f>CZ14+預測IC!DA14</f>
        <v>2.9326176829252844</v>
      </c>
      <c r="DB14" s="10">
        <f>DA14+預測IC!DB14</f>
        <v>3.0372257355568633</v>
      </c>
      <c r="DC14" s="10">
        <f>DB14+預測IC!DC14</f>
        <v>3.0519796302937054</v>
      </c>
      <c r="DD14" s="10">
        <f>DC14+預測IC!DD14</f>
        <v>2.9980807355568633</v>
      </c>
      <c r="DE14" s="10">
        <f>DD14+預測IC!DE14</f>
        <v>3.0034650351646279</v>
      </c>
      <c r="DF14" s="10">
        <f>DE14+預測IC!DF14</f>
        <v>2.9636945747024854</v>
      </c>
      <c r="DG14" s="10">
        <f>DF14+預測IC!DG14</f>
        <v>2.9751411310958025</v>
      </c>
      <c r="DH14" s="10">
        <f>DG14+預測IC!DH14</f>
        <v>2.9799159683387142</v>
      </c>
      <c r="DI14" s="10">
        <f>DH14+預測IC!DI14</f>
        <v>2.9267239710941064</v>
      </c>
      <c r="DJ14" s="10">
        <f>DI14+預測IC!DJ14</f>
        <v>2.9426217605677905</v>
      </c>
      <c r="DK14" s="10">
        <f>DJ14+預測IC!DK14</f>
        <v>2.96093913664467</v>
      </c>
      <c r="DL14" s="10">
        <f>DK14+預測IC!DL14</f>
        <v>2.9457739750897813</v>
      </c>
      <c r="DM14" s="10">
        <f>DL14+預測IC!DM14</f>
        <v>2.951278244183432</v>
      </c>
      <c r="DN14" s="10">
        <f>DM14+預測IC!DN14</f>
        <v>2.9911299517499765</v>
      </c>
      <c r="DO14" s="10">
        <f>DN14+預測IC!DO14</f>
        <v>3.0325055969127739</v>
      </c>
      <c r="DP14" s="10">
        <f>DO14+預測IC!DP14</f>
        <v>3.0730378244170113</v>
      </c>
      <c r="DQ14" s="10">
        <f>DP14+預測IC!DQ14</f>
        <v>2.9836699643761997</v>
      </c>
      <c r="DR14" s="10">
        <f>DQ14+預測IC!DR14</f>
        <v>3.0362924838351995</v>
      </c>
      <c r="DS14" s="10">
        <f>DR14+預測IC!DS14</f>
        <v>3.0012475775642828</v>
      </c>
      <c r="DT14" s="10">
        <f>DS14+預測IC!DT14</f>
        <v>3.1189198933537567</v>
      </c>
      <c r="DU14" s="10">
        <f>DT14+預測IC!DU14</f>
        <v>3.0501236301958619</v>
      </c>
      <c r="DV14" s="10">
        <f>DU14+預測IC!DV14</f>
        <v>3.1583859847259692</v>
      </c>
      <c r="DW14" s="10">
        <f>DV14+預測IC!DW14</f>
        <v>3.2501953137818078</v>
      </c>
      <c r="DX14" s="10">
        <f>DW14+預測IC!DX14</f>
        <v>3.1480340938959688</v>
      </c>
      <c r="DY14" s="10">
        <f>DX14+預測IC!DY14</f>
        <v>3.2222919360012319</v>
      </c>
      <c r="DZ14" s="10">
        <f>DY14+預測IC!DZ14</f>
        <v>3.2573228307380742</v>
      </c>
      <c r="EA14" s="10">
        <f>DZ14+預測IC!EA14</f>
        <v>3.364848313738074</v>
      </c>
      <c r="EB14" s="10">
        <f>EA14+預測IC!EB14</f>
        <v>3.371865788158773</v>
      </c>
      <c r="EC14" s="10">
        <f>EB14+預測IC!EC14</f>
        <v>3.3525761565798256</v>
      </c>
      <c r="ED14" s="10">
        <f>EC14+預測IC!ED14</f>
        <v>3.2499464473936386</v>
      </c>
      <c r="EE14" s="10">
        <f>ED14+預測IC!EE14</f>
        <v>3.2686343973453944</v>
      </c>
      <c r="EF14" s="10">
        <f>EE14+預測IC!EF14</f>
        <v>3.3352667440748069</v>
      </c>
    </row>
    <row r="15" spans="1:137">
      <c r="A15" s="4">
        <v>100</v>
      </c>
      <c r="B15" s="4">
        <v>10</v>
      </c>
      <c r="C15" s="25">
        <f>預測IC!C15</f>
        <v>0.22764509999999999</v>
      </c>
      <c r="D15" s="10">
        <f>C15+預測IC!D15</f>
        <v>0.60035480000000008</v>
      </c>
      <c r="E15" s="10">
        <f>D15+預測IC!E15</f>
        <v>0.6663922000000001</v>
      </c>
      <c r="F15" s="10">
        <f>E15+預測IC!F15</f>
        <v>0.75669680000000006</v>
      </c>
      <c r="G15" s="10">
        <f>F15+預測IC!G15</f>
        <v>0.85330300000000003</v>
      </c>
      <c r="H15" s="10">
        <f>G15+預測IC!H15</f>
        <v>0.97214739999999999</v>
      </c>
      <c r="I15" s="10">
        <f>H15+預測IC!I15</f>
        <v>1.0988762999999999</v>
      </c>
      <c r="J15" s="10">
        <f>I15+預測IC!J15</f>
        <v>1.0343521</v>
      </c>
      <c r="K15" s="10">
        <f>J15+預測IC!K15</f>
        <v>1.0301411</v>
      </c>
      <c r="L15" s="10">
        <f>K15+預測IC!L15</f>
        <v>1.0431080000000001</v>
      </c>
      <c r="M15" s="10">
        <f>L15+預測IC!M15</f>
        <v>1.0686057094794874</v>
      </c>
      <c r="N15" s="10">
        <f>M15+預測IC!N15</f>
        <v>1.3989153094794875</v>
      </c>
      <c r="O15" s="10">
        <f>N15+預測IC!O15</f>
        <v>1.4450188094794876</v>
      </c>
      <c r="P15" s="10">
        <f>O15+預測IC!P15</f>
        <v>1.4980022094794876</v>
      </c>
      <c r="Q15" s="10">
        <f>P15+預測IC!Q15</f>
        <v>1.5983790094794876</v>
      </c>
      <c r="R15" s="10">
        <f>Q15+預測IC!R15</f>
        <v>1.6151342094794876</v>
      </c>
      <c r="S15" s="10">
        <f>R15+預測IC!S15</f>
        <v>1.5721006094794876</v>
      </c>
      <c r="T15" s="10">
        <f>S15+預測IC!T15</f>
        <v>1.5053004845363755</v>
      </c>
      <c r="U15" s="10">
        <f>T15+預測IC!U15</f>
        <v>1.5520891845363756</v>
      </c>
      <c r="V15" s="10">
        <f>U15+預測IC!V15</f>
        <v>1.4664087845363756</v>
      </c>
      <c r="W15" s="10">
        <f>V15+預測IC!W15</f>
        <v>1.5689523785191186</v>
      </c>
      <c r="X15" s="10">
        <f>W15+預測IC!X15</f>
        <v>1.6473888785191186</v>
      </c>
      <c r="Y15" s="10">
        <f>X15+預測IC!Y15</f>
        <v>1.6231991785191187</v>
      </c>
      <c r="Z15" s="10">
        <f>Y15+預測IC!Z15</f>
        <v>1.5995429785191186</v>
      </c>
      <c r="AA15" s="10">
        <f>Z15+預測IC!AA15</f>
        <v>1.6461318785191186</v>
      </c>
      <c r="AB15" s="10">
        <f>AA15+預測IC!AB15</f>
        <v>1.6239654777781856</v>
      </c>
      <c r="AC15" s="10">
        <f>AB15+預測IC!AC15</f>
        <v>1.5839106777781855</v>
      </c>
      <c r="AD15" s="10">
        <f>AC15+預測IC!AD15</f>
        <v>1.6656240526663679</v>
      </c>
      <c r="AE15" s="10">
        <f>AD15+預測IC!AE15</f>
        <v>1.7129096526663679</v>
      </c>
      <c r="AF15" s="10">
        <f>AE15+預測IC!AF15</f>
        <v>1.7787292651634077</v>
      </c>
      <c r="AG15" s="10">
        <f>AF15+預測IC!AG15</f>
        <v>1.7689842651634078</v>
      </c>
      <c r="AH15" s="10">
        <f>AG15+預測IC!AH15</f>
        <v>1.7353798918057313</v>
      </c>
      <c r="AI15" s="10">
        <f>AH15+預測IC!AI15</f>
        <v>1.7862343413917563</v>
      </c>
      <c r="AJ15" s="10">
        <f>AI15+預測IC!AJ15</f>
        <v>1.7956992013592321</v>
      </c>
      <c r="AK15" s="10">
        <f>AJ15+預測IC!AK15</f>
        <v>1.8531947768490853</v>
      </c>
      <c r="AL15" s="10">
        <f>AK15+預測IC!AL15</f>
        <v>1.8937504318355201</v>
      </c>
      <c r="AM15" s="10">
        <f>AL15+預測IC!AM15</f>
        <v>1.9488730539701471</v>
      </c>
      <c r="AN15" s="10">
        <f>AM15+預測IC!AN15</f>
        <v>2.0417349673878333</v>
      </c>
      <c r="AO15" s="10">
        <f>AN15+預測IC!AO15</f>
        <v>2.1051047798513003</v>
      </c>
      <c r="AP15" s="10">
        <f>AO15+預測IC!AP15</f>
        <v>2.0186470133407974</v>
      </c>
      <c r="AQ15" s="10">
        <f>AP15+預測IC!AQ15</f>
        <v>1.9860494713344476</v>
      </c>
      <c r="AR15" s="10">
        <f>AQ15+預測IC!AR15</f>
        <v>2.0645667282018891</v>
      </c>
      <c r="AS15" s="10">
        <f>AR15+預測IC!AS15</f>
        <v>2.1183879072390033</v>
      </c>
      <c r="AT15" s="10">
        <f>AS15+預測IC!AT15</f>
        <v>2.1836428978914317</v>
      </c>
      <c r="AU15" s="10">
        <f>AT15+預測IC!AU15</f>
        <v>2.2235861589808978</v>
      </c>
      <c r="AV15" s="10">
        <f>AU15+預測IC!AV15</f>
        <v>2.1763593406534589</v>
      </c>
      <c r="AW15" s="10">
        <f>AV15+預測IC!AW15</f>
        <v>2.19201927990804</v>
      </c>
      <c r="AX15" s="10">
        <f>AW15+預測IC!AX15</f>
        <v>2.3172532570827751</v>
      </c>
      <c r="AY15" s="10">
        <f>AX15+預測IC!AY15</f>
        <v>2.3453626735455613</v>
      </c>
      <c r="AZ15" s="10">
        <f>AY15+預測IC!AZ15</f>
        <v>2.2540393934770577</v>
      </c>
      <c r="BA15" s="10">
        <f>AZ15+預測IC!BA15</f>
        <v>2.411727693477058</v>
      </c>
      <c r="BB15" s="10">
        <f>BA15+預測IC!BB15</f>
        <v>2.5205161934770581</v>
      </c>
      <c r="BC15" s="10">
        <f>BB15+預測IC!BC15</f>
        <v>2.5826713371448884</v>
      </c>
      <c r="BD15" s="10">
        <f>BC15+預測IC!BD15</f>
        <v>2.6256211574968567</v>
      </c>
      <c r="BE15" s="10">
        <f>BD15+預測IC!BE15</f>
        <v>2.6647676723545248</v>
      </c>
      <c r="BF15" s="10">
        <f>BE15+預測IC!BF15</f>
        <v>2.7159455596320683</v>
      </c>
      <c r="BG15" s="10">
        <f>BF15+預測IC!BG15</f>
        <v>2.7187703817134441</v>
      </c>
      <c r="BH15" s="10">
        <f>BG15+預測IC!BH15</f>
        <v>2.7523269189998212</v>
      </c>
      <c r="BI15" s="10">
        <f>BH15+預測IC!BI15</f>
        <v>2.8209135781147907</v>
      </c>
      <c r="BJ15" s="10">
        <f>BI15+預測IC!BJ15</f>
        <v>2.8052944754427989</v>
      </c>
      <c r="BK15" s="10">
        <f>BJ15+預測IC!BK15</f>
        <v>2.794138107729343</v>
      </c>
      <c r="BL15" s="10">
        <f>BK15+預測IC!BL15</f>
        <v>2.856886283729533</v>
      </c>
      <c r="BM15" s="10">
        <f>BL15+預測IC!BM15</f>
        <v>2.808667279241789</v>
      </c>
      <c r="BN15" s="10">
        <f>BM15+預測IC!BN15</f>
        <v>2.8488098489749789</v>
      </c>
      <c r="BO15" s="10">
        <f>BN15+預測IC!BO15</f>
        <v>2.8765443249299101</v>
      </c>
      <c r="BP15" s="10">
        <f>BO15+預測IC!BP15</f>
        <v>2.8907285456377148</v>
      </c>
      <c r="BQ15" s="10">
        <f>BP15+預測IC!BQ15</f>
        <v>2.9035314769280425</v>
      </c>
      <c r="BR15" s="10">
        <f>BQ15+預測IC!BR15</f>
        <v>2.8533740478059828</v>
      </c>
      <c r="BS15" s="10">
        <f>BR15+預測IC!BS15</f>
        <v>2.8365502703556964</v>
      </c>
      <c r="BT15" s="10">
        <f>BS15+預測IC!BT15</f>
        <v>2.925610476087031</v>
      </c>
      <c r="BU15" s="10">
        <f>BT15+預測IC!BU15</f>
        <v>2.9450868958828242</v>
      </c>
      <c r="BV15" s="10">
        <f>BU15+預測IC!BV15</f>
        <v>3.0043158328432726</v>
      </c>
      <c r="BW15" s="10">
        <f>BV15+預測IC!BW15</f>
        <v>2.9683699427138688</v>
      </c>
      <c r="BX15" s="10">
        <f>BW15+預測IC!BX15</f>
        <v>2.9890404887574973</v>
      </c>
      <c r="BY15" s="10">
        <f>BX15+預測IC!BY15</f>
        <v>2.9013853709959445</v>
      </c>
      <c r="BZ15" s="10">
        <f>BY15+預測IC!BZ15</f>
        <v>3.0042918399732916</v>
      </c>
      <c r="CA15" s="10">
        <f>BZ15+預測IC!CA15</f>
        <v>2.9856998191768493</v>
      </c>
      <c r="CB15" s="10">
        <f>CA15+預測IC!CB15</f>
        <v>3.0007567131886739</v>
      </c>
      <c r="CC15" s="10">
        <f>CB15+預測IC!CC15</f>
        <v>3.1744063131886739</v>
      </c>
      <c r="CD15" s="10">
        <f>CC15+預測IC!CD15</f>
        <v>3.2634999131886739</v>
      </c>
      <c r="CE15" s="10">
        <f>CD15+預測IC!CE15</f>
        <v>3.3368673131886739</v>
      </c>
      <c r="CF15" s="10">
        <f>CE15+預測IC!CF15</f>
        <v>3.333240913188674</v>
      </c>
      <c r="CG15" s="10">
        <f>CF15+預測IC!CG15</f>
        <v>3.5589726131886739</v>
      </c>
      <c r="CH15" s="10">
        <f>CG15+預測IC!CH15</f>
        <v>3.6218585714723752</v>
      </c>
      <c r="CI15" s="10">
        <f>CH15+預測IC!CI15</f>
        <v>3.5940554996313847</v>
      </c>
      <c r="CJ15" s="10">
        <f>CI15+預測IC!CJ15</f>
        <v>3.5070111435586666</v>
      </c>
      <c r="CK15" s="10">
        <f>CJ15+預測IC!CK15</f>
        <v>3.5636837893307662</v>
      </c>
      <c r="CL15" s="10">
        <f>CK15+預測IC!CL15</f>
        <v>3.5951057643240145</v>
      </c>
      <c r="CM15" s="10">
        <f>CL15+預測IC!CM15</f>
        <v>3.6697368804524682</v>
      </c>
      <c r="CN15" s="10">
        <f>CM15+預測IC!CN15</f>
        <v>3.6271027646533081</v>
      </c>
      <c r="CO15" s="10">
        <f>CN15+預測IC!CO15</f>
        <v>3.4976537397712666</v>
      </c>
      <c r="CP15" s="10">
        <f>CO15+預測IC!CP15</f>
        <v>3.6251895752042165</v>
      </c>
      <c r="CQ15" s="10">
        <f>CP15+預測IC!CQ15</f>
        <v>3.6501529356606555</v>
      </c>
      <c r="CR15" s="10">
        <f>CQ15+預測IC!CR15</f>
        <v>3.6745274356606554</v>
      </c>
      <c r="CS15" s="10">
        <f>CR15+預測IC!CS15</f>
        <v>3.6914398356606553</v>
      </c>
      <c r="CT15" s="10">
        <f>CS15+預測IC!CT15</f>
        <v>3.6988344106361102</v>
      </c>
      <c r="CU15" s="10">
        <f>CT15+預測IC!CU15</f>
        <v>3.6356557507213374</v>
      </c>
      <c r="CV15" s="10">
        <f>CU15+預測IC!CV15</f>
        <v>3.6295139038165285</v>
      </c>
      <c r="CW15" s="10">
        <f>CV15+預測IC!CW15</f>
        <v>3.6141229794331857</v>
      </c>
      <c r="CX15" s="10">
        <f>CW15+預測IC!CX15</f>
        <v>3.6381625864865166</v>
      </c>
      <c r="CY15" s="10">
        <f>CX15+預測IC!CY15</f>
        <v>3.5956919134087544</v>
      </c>
      <c r="CZ15" s="10">
        <f>CY15+預測IC!CZ15</f>
        <v>3.6728369873492159</v>
      </c>
      <c r="DA15" s="10">
        <f>CZ15+預測IC!DA15</f>
        <v>3.6464611519073395</v>
      </c>
      <c r="DB15" s="10">
        <f>DA15+預測IC!DB15</f>
        <v>3.7435088519073396</v>
      </c>
      <c r="DC15" s="10">
        <f>DB15+預測IC!DC15</f>
        <v>3.8202353519073395</v>
      </c>
      <c r="DD15" s="10">
        <f>DC15+預測IC!DD15</f>
        <v>3.7527102519073394</v>
      </c>
      <c r="DE15" s="10">
        <f>DD15+預測IC!DE15</f>
        <v>3.7776589666523823</v>
      </c>
      <c r="DF15" s="10">
        <f>DE15+預測IC!DF15</f>
        <v>3.7352676602529877</v>
      </c>
      <c r="DG15" s="10">
        <f>DF15+預測IC!DG15</f>
        <v>3.7514643918712292</v>
      </c>
      <c r="DH15" s="10">
        <f>DG15+預測IC!DH15</f>
        <v>3.7327553808273373</v>
      </c>
      <c r="DI15" s="10">
        <f>DH15+預測IC!DI15</f>
        <v>3.7210369318178795</v>
      </c>
      <c r="DJ15" s="10">
        <f>DI15+預測IC!DJ15</f>
        <v>3.7686034318178794</v>
      </c>
      <c r="DK15" s="10">
        <f>DJ15+預測IC!DK15</f>
        <v>3.8703782658693475</v>
      </c>
      <c r="DL15" s="10">
        <f>DK15+預測IC!DL15</f>
        <v>3.9330137599577855</v>
      </c>
      <c r="DM15" s="10">
        <f>DL15+預測IC!DM15</f>
        <v>3.9092052130901167</v>
      </c>
      <c r="DN15" s="10">
        <f>DM15+預測IC!DN15</f>
        <v>3.9532017105137363</v>
      </c>
      <c r="DO15" s="10">
        <f>DN15+預測IC!DO15</f>
        <v>3.9994984377475369</v>
      </c>
      <c r="DP15" s="10">
        <f>DO15+預測IC!DP15</f>
        <v>4.0232340397544295</v>
      </c>
      <c r="DQ15" s="10">
        <f>DP15+預測IC!DQ15</f>
        <v>3.923561824699294</v>
      </c>
      <c r="DR15" s="10">
        <f>DQ15+預測IC!DR15</f>
        <v>3.9633474327543947</v>
      </c>
      <c r="DS15" s="10">
        <f>DR15+預測IC!DS15</f>
        <v>3.8803025161234252</v>
      </c>
      <c r="DT15" s="10">
        <f>DS15+預測IC!DT15</f>
        <v>3.9145992161234253</v>
      </c>
      <c r="DU15" s="10">
        <f>DT15+預測IC!DU15</f>
        <v>3.7974707161234251</v>
      </c>
      <c r="DV15" s="10">
        <f>DU15+預測IC!DV15</f>
        <v>3.9372390730642963</v>
      </c>
      <c r="DW15" s="10">
        <f>DV15+預測IC!DW15</f>
        <v>3.9627777002111291</v>
      </c>
      <c r="DX15" s="10">
        <f>DW15+預測IC!DX15</f>
        <v>3.8441614495611427</v>
      </c>
      <c r="DY15" s="10">
        <f>DX15+預測IC!DY15</f>
        <v>3.9877710495611427</v>
      </c>
      <c r="DZ15" s="10">
        <f>DY15+預測IC!DZ15</f>
        <v>4.0282262495611425</v>
      </c>
      <c r="EA15" s="10">
        <f>DZ15+預測IC!EA15</f>
        <v>4.1374031825611421</v>
      </c>
      <c r="EB15" s="10">
        <f>EA15+預測IC!EB15</f>
        <v>4.1859217556923873</v>
      </c>
      <c r="EC15" s="10">
        <f>EB15+預測IC!EC15</f>
        <v>4.1681379556923872</v>
      </c>
      <c r="ED15" s="10">
        <f>EC15+預測IC!ED15</f>
        <v>4.054780899757076</v>
      </c>
      <c r="EE15" s="10">
        <f>ED15+預測IC!EE15</f>
        <v>4.0323223597799958</v>
      </c>
      <c r="EF15" s="10">
        <f>EE15+預測IC!EF15</f>
        <v>4.0945306650190716</v>
      </c>
    </row>
    <row r="16" spans="1:137">
      <c r="A16" s="4">
        <v>107</v>
      </c>
      <c r="B16" s="4">
        <v>9</v>
      </c>
      <c r="C16" s="25">
        <f>預測IC!C16</f>
        <v>0.20787511111111109</v>
      </c>
      <c r="D16" s="10">
        <f>C16+預測IC!D16</f>
        <v>0.61607055555555545</v>
      </c>
      <c r="E16" s="10">
        <f>D16+預測IC!E16</f>
        <v>0.68107544444444434</v>
      </c>
      <c r="F16" s="10">
        <f>E16+預測IC!F16</f>
        <v>0.78849499999999995</v>
      </c>
      <c r="G16" s="10">
        <f>F16+預測IC!G16</f>
        <v>0.89750855555555542</v>
      </c>
      <c r="H16" s="10">
        <f>G16+預測IC!H16</f>
        <v>0.97035733333333318</v>
      </c>
      <c r="I16" s="10">
        <f>H16+預測IC!I16</f>
        <v>1.0821493333333332</v>
      </c>
      <c r="J16" s="10">
        <f>I16+預測IC!J16</f>
        <v>1.0134558888888887</v>
      </c>
      <c r="K16" s="10">
        <f>J16+預測IC!K16</f>
        <v>1.0313803333333331</v>
      </c>
      <c r="L16" s="10">
        <f>K16+預測IC!L16</f>
        <v>1.0624068888888887</v>
      </c>
      <c r="M16" s="10">
        <f>L16+預測IC!M16</f>
        <v>1.1027413436141293</v>
      </c>
      <c r="N16" s="10">
        <f>M16+預測IC!N16</f>
        <v>1.4697292325030182</v>
      </c>
      <c r="O16" s="10">
        <f>N16+預測IC!O16</f>
        <v>1.4853503436141293</v>
      </c>
      <c r="P16" s="10">
        <f>O16+預測IC!P16</f>
        <v>1.5473301213919071</v>
      </c>
      <c r="Q16" s="10">
        <f>P16+預測IC!Q16</f>
        <v>1.643950010280796</v>
      </c>
      <c r="R16" s="10">
        <f>Q16+預測IC!R16</f>
        <v>1.6631324547252404</v>
      </c>
      <c r="S16" s="10">
        <f>R16+預測IC!S16</f>
        <v>1.6207173436141293</v>
      </c>
      <c r="T16" s="10">
        <f>S16+預測IC!T16</f>
        <v>1.5534982834565281</v>
      </c>
      <c r="U16" s="10">
        <f>T16+預測IC!U16</f>
        <v>1.6021479501231948</v>
      </c>
      <c r="V16" s="10">
        <f>U16+預測IC!V16</f>
        <v>1.4978327279009727</v>
      </c>
      <c r="W16" s="10">
        <f>V16+預測IC!W16</f>
        <v>1.6062574662769737</v>
      </c>
      <c r="X16" s="10">
        <f>W16+預測IC!X16</f>
        <v>1.679935799610307</v>
      </c>
      <c r="Y16" s="10">
        <f>X16+預測IC!Y16</f>
        <v>1.6756472440547514</v>
      </c>
      <c r="Z16" s="10">
        <f>Y16+預測IC!Z16</f>
        <v>1.6555714662769736</v>
      </c>
      <c r="AA16" s="10">
        <f>Z16+預測IC!AA16</f>
        <v>1.7057991329436404</v>
      </c>
      <c r="AB16" s="10">
        <f>AA16+預測IC!AB16</f>
        <v>1.6735037185095727</v>
      </c>
      <c r="AC16" s="10">
        <f>AB16+預測IC!AC16</f>
        <v>1.6324636073984615</v>
      </c>
      <c r="AD16" s="10">
        <f>AC16+預測IC!AD16</f>
        <v>1.6855996629463184</v>
      </c>
      <c r="AE16" s="10">
        <f>AD16+預測IC!AE16</f>
        <v>1.7371336629463183</v>
      </c>
      <c r="AF16" s="10">
        <f>AE16+預測IC!AF16</f>
        <v>1.7980277680118175</v>
      </c>
      <c r="AG16" s="10">
        <f>AF16+預測IC!AG16</f>
        <v>1.7897262124562621</v>
      </c>
      <c r="AH16" s="10">
        <f>AG16+預測IC!AH16</f>
        <v>1.7579608120068215</v>
      </c>
      <c r="AI16" s="10">
        <f>AH16+預測IC!AI16</f>
        <v>1.8070388551833896</v>
      </c>
      <c r="AJ16" s="10">
        <f>AI16+預測IC!AJ16</f>
        <v>1.8000128891115135</v>
      </c>
      <c r="AK16" s="10">
        <f>AJ16+預測IC!AK16</f>
        <v>1.8644342899438855</v>
      </c>
      <c r="AL16" s="10">
        <f>AK16+預測IC!AL16</f>
        <v>1.9131232230484088</v>
      </c>
      <c r="AM16" s="10">
        <f>AL16+預測IC!AM16</f>
        <v>1.9791999536502067</v>
      </c>
      <c r="AN16" s="10">
        <f>AM16+預測IC!AN16</f>
        <v>2.0856561537398823</v>
      </c>
      <c r="AO16" s="10">
        <f>AN16+預測IC!AO16</f>
        <v>2.1444514060059556</v>
      </c>
      <c r="AP16" s="10">
        <f>AO16+預測IC!AP16</f>
        <v>2.0666530378603669</v>
      </c>
      <c r="AQ16" s="10">
        <f>AP16+預測IC!AQ16</f>
        <v>2.0281868377142982</v>
      </c>
      <c r="AR16" s="10">
        <f>AQ16+預測IC!AR16</f>
        <v>2.1314780167747904</v>
      </c>
      <c r="AS16" s="10">
        <f>AR16+預測IC!AS16</f>
        <v>2.1965462422487598</v>
      </c>
      <c r="AT16" s="10">
        <f>AS16+預測IC!AT16</f>
        <v>2.2564133813931542</v>
      </c>
      <c r="AU16" s="10">
        <f>AT16+預測IC!AU16</f>
        <v>2.2982402196480494</v>
      </c>
      <c r="AV16" s="10">
        <f>AU16+預測IC!AV16</f>
        <v>2.2891677128680308</v>
      </c>
      <c r="AW16" s="10">
        <f>AV16+預測IC!AW16</f>
        <v>2.3284206429426813</v>
      </c>
      <c r="AX16" s="10">
        <f>AW16+預測IC!AX16</f>
        <v>2.4292504161866542</v>
      </c>
      <c r="AY16" s="10">
        <f>AX16+預測IC!AY16</f>
        <v>2.4630630060310001</v>
      </c>
      <c r="AZ16" s="10">
        <f>AY16+預測IC!AZ16</f>
        <v>2.3581533708522882</v>
      </c>
      <c r="BA16" s="10">
        <f>AZ16+預測IC!BA16</f>
        <v>2.5181444819633994</v>
      </c>
      <c r="BB16" s="10">
        <f>BA16+預測IC!BB16</f>
        <v>2.6506184819633996</v>
      </c>
      <c r="BC16" s="10">
        <f>BB16+預測IC!BC16</f>
        <v>2.7167207270630884</v>
      </c>
      <c r="BD16" s="10">
        <f>BC16+預測IC!BD16</f>
        <v>2.7526574386089924</v>
      </c>
      <c r="BE16" s="10">
        <f>BD16+預測IC!BE16</f>
        <v>2.8040684330034673</v>
      </c>
      <c r="BF16" s="10">
        <f>BE16+預測IC!BF16</f>
        <v>2.8683364873231856</v>
      </c>
      <c r="BG16" s="10">
        <f>BF16+預測IC!BG16</f>
        <v>2.8821823064231542</v>
      </c>
      <c r="BH16" s="10">
        <f>BG16+預測IC!BH16</f>
        <v>2.8767698263561967</v>
      </c>
      <c r="BI16" s="10">
        <f>BH16+預測IC!BI16</f>
        <v>2.9291055866506612</v>
      </c>
      <c r="BJ16" s="10">
        <f>BI16+預測IC!BJ16</f>
        <v>2.9086017703674538</v>
      </c>
      <c r="BK16" s="10">
        <f>BJ16+預測IC!BK16</f>
        <v>2.9064788185549379</v>
      </c>
      <c r="BL16" s="10">
        <f>BK16+預測IC!BL16</f>
        <v>2.9771023842624613</v>
      </c>
      <c r="BM16" s="10">
        <f>BL16+預測IC!BM16</f>
        <v>2.9376043987713554</v>
      </c>
      <c r="BN16" s="10">
        <f>BM16+預測IC!BN16</f>
        <v>2.9855102313753825</v>
      </c>
      <c r="BO16" s="10">
        <f>BN16+預測IC!BO16</f>
        <v>3.00740059132904</v>
      </c>
      <c r="BP16" s="10">
        <f>BO16+預測IC!BP16</f>
        <v>3.0191477893123793</v>
      </c>
      <c r="BQ16" s="10">
        <f>BP16+預測IC!BQ16</f>
        <v>3.0324602430571952</v>
      </c>
      <c r="BR16" s="10">
        <f>BQ16+預測IC!BR16</f>
        <v>3.0061633950357507</v>
      </c>
      <c r="BS16" s="10">
        <f>BR16+預測IC!BS16</f>
        <v>2.9929718218882866</v>
      </c>
      <c r="BT16" s="10">
        <f>BS16+預測IC!BT16</f>
        <v>3.0784550131560864</v>
      </c>
      <c r="BU16" s="10">
        <f>BT16+預測IC!BU16</f>
        <v>3.1362201233408866</v>
      </c>
      <c r="BV16" s="10">
        <f>BU16+預測IC!BV16</f>
        <v>3.20000261169004</v>
      </c>
      <c r="BW16" s="10">
        <f>BV16+預測IC!BW16</f>
        <v>3.1342616842635054</v>
      </c>
      <c r="BX16" s="10">
        <f>BW16+預測IC!BX16</f>
        <v>3.1658209217846363</v>
      </c>
      <c r="BY16" s="10">
        <f>BX16+預測IC!BY16</f>
        <v>3.0884661455199462</v>
      </c>
      <c r="BZ16" s="10">
        <f>BY16+預測IC!BZ16</f>
        <v>3.1999919940215955</v>
      </c>
      <c r="CA16" s="10">
        <f>BZ16+預測IC!CA16</f>
        <v>3.182875890337824</v>
      </c>
      <c r="CB16" s="10">
        <f>CA16+預測IC!CB16</f>
        <v>3.1814478453486066</v>
      </c>
      <c r="CC16" s="10">
        <f>CB16+預測IC!CC16</f>
        <v>3.2258341786819398</v>
      </c>
      <c r="CD16" s="10">
        <f>CC16+預測IC!CD16</f>
        <v>3.31358417868194</v>
      </c>
      <c r="CE16" s="10">
        <f>CD16+預測IC!CE16</f>
        <v>3.4071979564597177</v>
      </c>
      <c r="CF16" s="10">
        <f>CE16+預測IC!CF16</f>
        <v>3.3925019564597179</v>
      </c>
      <c r="CG16" s="10">
        <f>CF16+預測IC!CG16</f>
        <v>3.5386986231263848</v>
      </c>
      <c r="CH16" s="10">
        <f>CG16+預測IC!CH16</f>
        <v>3.580396037829412</v>
      </c>
      <c r="CI16" s="10">
        <f>CH16+預測IC!CI16</f>
        <v>3.5416861560008943</v>
      </c>
      <c r="CJ16" s="10">
        <f>CI16+預測IC!CJ16</f>
        <v>3.4961626052132275</v>
      </c>
      <c r="CK16" s="10">
        <f>CJ16+預測IC!CK16</f>
        <v>3.5726355889309178</v>
      </c>
      <c r="CL16" s="10">
        <f>CK16+預測IC!CL16</f>
        <v>3.592630958409694</v>
      </c>
      <c r="CM16" s="10">
        <f>CL16+預測IC!CM16</f>
        <v>3.6816195865592056</v>
      </c>
      <c r="CN16" s="10">
        <f>CM16+預測IC!CN16</f>
        <v>3.6485620714182558</v>
      </c>
      <c r="CO16" s="10">
        <f>CN16+預測IC!CO16</f>
        <v>3.4776833803110092</v>
      </c>
      <c r="CP16" s="10">
        <f>CO16+預測IC!CP16</f>
        <v>3.6152971963394216</v>
      </c>
      <c r="CQ16" s="10">
        <f>CP16+預測IC!CQ16</f>
        <v>3.6356309761597827</v>
      </c>
      <c r="CR16" s="10">
        <f>CQ16+預測IC!CR16</f>
        <v>3.660860420604227</v>
      </c>
      <c r="CS16" s="10">
        <f>CR16+預測IC!CS16</f>
        <v>3.682668642826449</v>
      </c>
      <c r="CT16" s="10">
        <f>CS16+預測IC!CT16</f>
        <v>3.6877360493272899</v>
      </c>
      <c r="CU16" s="10">
        <f>CT16+預測IC!CU16</f>
        <v>3.6236226802634062</v>
      </c>
      <c r="CV16" s="10">
        <f>CU16+預測IC!CV16</f>
        <v>3.6057617208452721</v>
      </c>
      <c r="CW16" s="10">
        <f>CV16+預測IC!CW16</f>
        <v>3.5933383788649809</v>
      </c>
      <c r="CX16" s="10">
        <f>CW16+預測IC!CX16</f>
        <v>3.6055786636192306</v>
      </c>
      <c r="CY16" s="10">
        <f>CX16+預測IC!CY16</f>
        <v>3.5564616145026053</v>
      </c>
      <c r="CZ16" s="10">
        <f>CY16+預測IC!CZ16</f>
        <v>3.659094873680738</v>
      </c>
      <c r="DA16" s="10">
        <f>CZ16+預測IC!DA16</f>
        <v>3.6292900797135026</v>
      </c>
      <c r="DB16" s="10">
        <f>DA16+預測IC!DB16</f>
        <v>3.7273067463801692</v>
      </c>
      <c r="DC16" s="10">
        <f>DB16+預測IC!DC16</f>
        <v>3.7910468574912803</v>
      </c>
      <c r="DD16" s="10">
        <f>DC16+預測IC!DD16</f>
        <v>3.7166767463801693</v>
      </c>
      <c r="DE16" s="10">
        <f>DD16+預測IC!DE16</f>
        <v>3.6854836183440365</v>
      </c>
      <c r="DF16" s="10">
        <f>DE16+預測IC!DF16</f>
        <v>3.6623371851184774</v>
      </c>
      <c r="DG16" s="10">
        <f>DF16+預測IC!DG16</f>
        <v>3.676790132749916</v>
      </c>
      <c r="DH16" s="10">
        <f>DG16+預測IC!DH16</f>
        <v>3.6576607893319451</v>
      </c>
      <c r="DI16" s="10">
        <f>DH16+預測IC!DI16</f>
        <v>3.6444273636194229</v>
      </c>
      <c r="DJ16" s="10">
        <f>DI16+預測IC!DJ16</f>
        <v>3.696180474730534</v>
      </c>
      <c r="DK16" s="10">
        <f>DJ16+預測IC!DK16</f>
        <v>3.8297748313561146</v>
      </c>
      <c r="DL16" s="10">
        <f>DK16+預測IC!DL16</f>
        <v>3.9012692062720791</v>
      </c>
      <c r="DM16" s="10">
        <f>DL16+預測IC!DM16</f>
        <v>3.870938256513738</v>
      </c>
      <c r="DN16" s="10">
        <f>DM16+預測IC!DN16</f>
        <v>3.9133761098731452</v>
      </c>
      <c r="DO16" s="10">
        <f>DN16+預測IC!DO16</f>
        <v>3.965787969288991</v>
      </c>
      <c r="DP16" s="10">
        <f>DO16+預測IC!DP16</f>
        <v>3.9856299178682169</v>
      </c>
      <c r="DQ16" s="10">
        <f>DP16+預測IC!DQ16</f>
        <v>3.9025962597912005</v>
      </c>
      <c r="DR16" s="10">
        <f>DQ16+預測IC!DR16</f>
        <v>3.9577875114407157</v>
      </c>
      <c r="DS16" s="10">
        <f>DR16+預測IC!DS16</f>
        <v>3.8640354464509614</v>
      </c>
      <c r="DT16" s="10">
        <f>DS16+預測IC!DT16</f>
        <v>3.8960947797842946</v>
      </c>
      <c r="DU16" s="10">
        <f>DT16+預測IC!DU16</f>
        <v>3.7733217797842946</v>
      </c>
      <c r="DV16" s="10">
        <f>DU16+預測IC!DV16</f>
        <v>3.9102755118020882</v>
      </c>
      <c r="DW16" s="10">
        <f>DV16+預測IC!DW16</f>
        <v>3.951193241501779</v>
      </c>
      <c r="DX16" s="10">
        <f>DW16+預測IC!DX16</f>
        <v>3.8259085351778017</v>
      </c>
      <c r="DY16" s="10">
        <f>DX16+預測IC!DY16</f>
        <v>3.9834803129555794</v>
      </c>
      <c r="DZ16" s="10">
        <f>DY16+預測IC!DZ16</f>
        <v>4.042290757400024</v>
      </c>
      <c r="EA16" s="10">
        <f>DZ16+預測IC!EA16</f>
        <v>4.1820897764000238</v>
      </c>
      <c r="EB16" s="10">
        <f>EA16+預測IC!EB16</f>
        <v>4.260067559259971</v>
      </c>
      <c r="EC16" s="10">
        <f>EB16+預測IC!EC16</f>
        <v>4.2351311148155268</v>
      </c>
      <c r="ED16" s="10">
        <f>EC16+預測IC!ED16</f>
        <v>4.1197143673166057</v>
      </c>
      <c r="EE16" s="10">
        <f>ED16+預測IC!EE16</f>
        <v>4.0866560977719777</v>
      </c>
      <c r="EF16" s="10">
        <f>EE16+預測IC!EF16</f>
        <v>4.1265500044846215</v>
      </c>
    </row>
    <row r="17" spans="1:136">
      <c r="A17" s="4">
        <v>120</v>
      </c>
      <c r="B17" s="4">
        <v>8</v>
      </c>
      <c r="C17" s="25">
        <f>預測IC!C17</f>
        <v>0.20609237499999999</v>
      </c>
      <c r="D17" s="10">
        <f>C17+預測IC!D17</f>
        <v>0.64568074999999991</v>
      </c>
      <c r="E17" s="10">
        <f>D17+預測IC!E17</f>
        <v>0.72526874999999991</v>
      </c>
      <c r="F17" s="10">
        <f>E17+預測IC!F17</f>
        <v>0.87204074999999992</v>
      </c>
      <c r="G17" s="10">
        <f>F17+預測IC!G17</f>
        <v>0.98917337499999991</v>
      </c>
      <c r="H17" s="10">
        <f>G17+預測IC!H17</f>
        <v>1.0941681249999999</v>
      </c>
      <c r="I17" s="10">
        <f>H17+預測IC!I17</f>
        <v>1.1616573749999999</v>
      </c>
      <c r="J17" s="10">
        <f>I17+預測IC!J17</f>
        <v>1.0463589999999998</v>
      </c>
      <c r="K17" s="10">
        <f>J17+預測IC!K17</f>
        <v>1.0858027499999998</v>
      </c>
      <c r="L17" s="10">
        <f>K17+預測IC!L17</f>
        <v>1.1195776249999998</v>
      </c>
      <c r="M17" s="10">
        <f>L17+預測IC!M17</f>
        <v>1.1845096599834859</v>
      </c>
      <c r="N17" s="10">
        <f>M17+預測IC!N17</f>
        <v>1.589617909983486</v>
      </c>
      <c r="O17" s="10">
        <f>N17+預測IC!O17</f>
        <v>1.6142500349834858</v>
      </c>
      <c r="P17" s="10">
        <f>O17+預測IC!P17</f>
        <v>1.6911656599834859</v>
      </c>
      <c r="Q17" s="10">
        <f>P17+預測IC!Q17</f>
        <v>1.7975980349834859</v>
      </c>
      <c r="R17" s="10">
        <f>Q17+預測IC!R17</f>
        <v>1.799573034983486</v>
      </c>
      <c r="S17" s="10">
        <f>R17+預測IC!S17</f>
        <v>1.7444412849834861</v>
      </c>
      <c r="T17" s="10">
        <f>S17+預測IC!T17</f>
        <v>1.6732392704506789</v>
      </c>
      <c r="U17" s="10">
        <f>T17+預測IC!U17</f>
        <v>1.7255276454506789</v>
      </c>
      <c r="V17" s="10">
        <f>U17+預測IC!V17</f>
        <v>1.609172520450679</v>
      </c>
      <c r="W17" s="10">
        <f>V17+預測IC!W17</f>
        <v>1.7326734209885641</v>
      </c>
      <c r="X17" s="10">
        <f>W17+預測IC!X17</f>
        <v>1.8328597959885642</v>
      </c>
      <c r="Y17" s="10">
        <f>X17+預測IC!Y17</f>
        <v>1.8343589209885642</v>
      </c>
      <c r="Z17" s="10">
        <f>Y17+預測IC!Z17</f>
        <v>1.8127504209885643</v>
      </c>
      <c r="AA17" s="10">
        <f>Z17+預測IC!AA17</f>
        <v>1.8750065459885643</v>
      </c>
      <c r="AB17" s="10">
        <f>AA17+預測IC!AB17</f>
        <v>1.8304682427191246</v>
      </c>
      <c r="AC17" s="10">
        <f>AB17+預測IC!AC17</f>
        <v>1.7896691177191246</v>
      </c>
      <c r="AD17" s="10">
        <f>AC17+預測IC!AD17</f>
        <v>1.8394464931798786</v>
      </c>
      <c r="AE17" s="10">
        <f>AD17+預測IC!AE17</f>
        <v>1.8988897431798786</v>
      </c>
      <c r="AF17" s="10">
        <f>AE17+預測IC!AF17</f>
        <v>1.9571783485962175</v>
      </c>
      <c r="AG17" s="10">
        <f>AF17+預測IC!AG17</f>
        <v>1.9558270985962176</v>
      </c>
      <c r="AH17" s="10">
        <f>AG17+預測IC!AH17</f>
        <v>1.9063895563156767</v>
      </c>
      <c r="AI17" s="10">
        <f>AH17+預測IC!AI17</f>
        <v>1.9369772649571904</v>
      </c>
      <c r="AJ17" s="10">
        <f>AI17+預測IC!AJ17</f>
        <v>1.8943746344382335</v>
      </c>
      <c r="AK17" s="10">
        <f>AJ17+預測IC!AK17</f>
        <v>1.9261871204380534</v>
      </c>
      <c r="AL17" s="10">
        <f>AK17+預測IC!AL17</f>
        <v>1.9769115261866099</v>
      </c>
      <c r="AM17" s="10">
        <f>AL17+預測IC!AM17</f>
        <v>2.0522808937742667</v>
      </c>
      <c r="AN17" s="10">
        <f>AM17+預測IC!AN17</f>
        <v>2.1655680141201845</v>
      </c>
      <c r="AO17" s="10">
        <f>AN17+預測IC!AO17</f>
        <v>2.1782003487159085</v>
      </c>
      <c r="AP17" s="10">
        <f>AO17+預測IC!AP17</f>
        <v>2.1009575342963229</v>
      </c>
      <c r="AQ17" s="10">
        <f>AP17+預測IC!AQ17</f>
        <v>2.0404303968948239</v>
      </c>
      <c r="AR17" s="10">
        <f>AQ17+預測IC!AR17</f>
        <v>2.1568800435224649</v>
      </c>
      <c r="AS17" s="10">
        <f>AR17+預測IC!AS17</f>
        <v>2.2132036055569406</v>
      </c>
      <c r="AT17" s="10">
        <f>AS17+預測IC!AT17</f>
        <v>2.2654714120066628</v>
      </c>
      <c r="AU17" s="10">
        <f>AT17+預測IC!AU17</f>
        <v>2.318119643249656</v>
      </c>
      <c r="AV17" s="10">
        <f>AU17+預測IC!AV17</f>
        <v>2.2966112803117502</v>
      </c>
      <c r="AW17" s="10">
        <f>AV17+預測IC!AW17</f>
        <v>2.3157752540860699</v>
      </c>
      <c r="AX17" s="10">
        <f>AW17+預測IC!AX17</f>
        <v>2.412015812594869</v>
      </c>
      <c r="AY17" s="10">
        <f>AX17+預測IC!AY17</f>
        <v>2.4394395092854699</v>
      </c>
      <c r="AZ17" s="10">
        <f>AY17+預測IC!AZ17</f>
        <v>2.3143286843781019</v>
      </c>
      <c r="BA17" s="10">
        <f>AZ17+預測IC!BA17</f>
        <v>2.4771351843781018</v>
      </c>
      <c r="BB17" s="10">
        <f>BA17+預測IC!BB17</f>
        <v>2.6304059343781017</v>
      </c>
      <c r="BC17" s="10">
        <f>BB17+預測IC!BC17</f>
        <v>2.7131225059219117</v>
      </c>
      <c r="BD17" s="10">
        <f>BC17+預測IC!BD17</f>
        <v>2.7354789881681167</v>
      </c>
      <c r="BE17" s="10">
        <f>BD17+預測IC!BE17</f>
        <v>2.8128292304061771</v>
      </c>
      <c r="BF17" s="10">
        <f>BE17+預測IC!BF17</f>
        <v>2.8680267270151307</v>
      </c>
      <c r="BG17" s="10">
        <f>BF17+預測IC!BG17</f>
        <v>2.8326324909270935</v>
      </c>
      <c r="BH17" s="10">
        <f>BG17+預測IC!BH17</f>
        <v>2.8309011061624689</v>
      </c>
      <c r="BI17" s="10">
        <f>BH17+預測IC!BI17</f>
        <v>2.9302664982000191</v>
      </c>
      <c r="BJ17" s="10">
        <f>BI17+預測IC!BJ17</f>
        <v>2.9204084339267826</v>
      </c>
      <c r="BK17" s="10">
        <f>BJ17+預測IC!BK17</f>
        <v>2.906585481856677</v>
      </c>
      <c r="BL17" s="10">
        <f>BK17+預測IC!BL17</f>
        <v>2.980516787058423</v>
      </c>
      <c r="BM17" s="10">
        <f>BL17+預測IC!BM17</f>
        <v>2.9514577759060687</v>
      </c>
      <c r="BN17" s="10">
        <f>BM17+預測IC!BN17</f>
        <v>2.9991873953599177</v>
      </c>
      <c r="BO17" s="10">
        <f>BN17+預測IC!BO17</f>
        <v>3.0190734760688049</v>
      </c>
      <c r="BP17" s="10">
        <f>BO17+預測IC!BP17</f>
        <v>3.0459109771472388</v>
      </c>
      <c r="BQ17" s="10">
        <f>BP17+預測IC!BQ17</f>
        <v>3.0572874875936904</v>
      </c>
      <c r="BR17" s="10">
        <f>BQ17+預測IC!BR17</f>
        <v>3.0563695421877695</v>
      </c>
      <c r="BS17" s="10">
        <f>BR17+預測IC!BS17</f>
        <v>3.0522660730771629</v>
      </c>
      <c r="BT17" s="10">
        <f>BS17+預測IC!BT17</f>
        <v>3.1616824519475863</v>
      </c>
      <c r="BU17" s="10">
        <f>BT17+預測IC!BU17</f>
        <v>3.2328102706983386</v>
      </c>
      <c r="BV17" s="10">
        <f>BU17+預測IC!BV17</f>
        <v>3.3072571714970738</v>
      </c>
      <c r="BW17" s="10">
        <f>BV17+預測IC!BW17</f>
        <v>3.226825458897808</v>
      </c>
      <c r="BX17" s="10">
        <f>BW17+預測IC!BX17</f>
        <v>3.255648423517481</v>
      </c>
      <c r="BY17" s="10">
        <f>BX17+預測IC!BY17</f>
        <v>3.1554663533348575</v>
      </c>
      <c r="BZ17" s="10">
        <f>BY17+預測IC!BZ17</f>
        <v>3.2760445092159429</v>
      </c>
      <c r="CA17" s="10">
        <f>BZ17+預測IC!CA17</f>
        <v>3.2481096768574536</v>
      </c>
      <c r="CB17" s="10">
        <f>CA17+預測IC!CB17</f>
        <v>3.2467743665233413</v>
      </c>
      <c r="CC17" s="10">
        <f>CB17+預測IC!CC17</f>
        <v>3.2885328665233411</v>
      </c>
      <c r="CD17" s="10">
        <f>CC17+預測IC!CD17</f>
        <v>3.3526374915233412</v>
      </c>
      <c r="CE17" s="10">
        <f>CD17+預測IC!CE17</f>
        <v>3.4483451165233414</v>
      </c>
      <c r="CF17" s="10">
        <f>CE17+預測IC!CF17</f>
        <v>3.3532213665233415</v>
      </c>
      <c r="CG17" s="10">
        <f>CF17+預測IC!CG17</f>
        <v>3.5302567415233415</v>
      </c>
      <c r="CH17" s="10">
        <f>CG17+預測IC!CH17</f>
        <v>3.5888931881303914</v>
      </c>
      <c r="CI17" s="10">
        <f>CH17+預測IC!CI17</f>
        <v>3.574362003140803</v>
      </c>
      <c r="CJ17" s="10">
        <f>CI17+預測IC!CJ17</f>
        <v>3.5236196816563607</v>
      </c>
      <c r="CK17" s="10">
        <f>CJ17+預測IC!CK17</f>
        <v>3.6153582543142737</v>
      </c>
      <c r="CL17" s="10">
        <f>CK17+預測IC!CL17</f>
        <v>3.6059319095452422</v>
      </c>
      <c r="CM17" s="10">
        <f>CL17+預測IC!CM17</f>
        <v>3.7405012539768165</v>
      </c>
      <c r="CN17" s="10">
        <f>CM17+預測IC!CN17</f>
        <v>3.7137831928258294</v>
      </c>
      <c r="CO17" s="10">
        <f>CN17+預測IC!CO17</f>
        <v>3.5112445655628397</v>
      </c>
      <c r="CP17" s="10">
        <f>CO17+預測IC!CP17</f>
        <v>3.6594038347601834</v>
      </c>
      <c r="CQ17" s="10">
        <f>CP17+預測IC!CQ17</f>
        <v>3.6074967314184567</v>
      </c>
      <c r="CR17" s="10">
        <f>CQ17+預測IC!CR17</f>
        <v>3.6305036064184568</v>
      </c>
      <c r="CS17" s="10">
        <f>CR17+預測IC!CS17</f>
        <v>3.6420502314184566</v>
      </c>
      <c r="CT17" s="10">
        <f>CS17+預測IC!CT17</f>
        <v>3.6913102878076498</v>
      </c>
      <c r="CU17" s="10">
        <f>CT17+預測IC!CU17</f>
        <v>3.6169019802243958</v>
      </c>
      <c r="CV17" s="10">
        <f>CU17+預測IC!CV17</f>
        <v>3.6207815881643231</v>
      </c>
      <c r="CW17" s="10">
        <f>CV17+預測IC!CW17</f>
        <v>3.6010197342549701</v>
      </c>
      <c r="CX17" s="10">
        <f>CW17+預測IC!CX17</f>
        <v>3.6117921287789181</v>
      </c>
      <c r="CY17" s="10">
        <f>CX17+預測IC!CY17</f>
        <v>3.5624088300628278</v>
      </c>
      <c r="CZ17" s="10">
        <f>CY17+預測IC!CZ17</f>
        <v>3.6866576679104481</v>
      </c>
      <c r="DA17" s="10">
        <f>CZ17+預測IC!DA17</f>
        <v>3.642761808765314</v>
      </c>
      <c r="DB17" s="10">
        <f>DA17+預測IC!DB17</f>
        <v>3.7470328087653142</v>
      </c>
      <c r="DC17" s="10">
        <f>DB17+預測IC!DC17</f>
        <v>3.8009203087653143</v>
      </c>
      <c r="DD17" s="10">
        <f>DC17+預測IC!DD17</f>
        <v>3.7527903087653143</v>
      </c>
      <c r="DE17" s="10">
        <f>DD17+預測IC!DE17</f>
        <v>3.7196093780980473</v>
      </c>
      <c r="DF17" s="10">
        <f>DE17+預測IC!DF17</f>
        <v>3.7083780077713882</v>
      </c>
      <c r="DG17" s="10">
        <f>DF17+預測IC!DG17</f>
        <v>3.7153125841986712</v>
      </c>
      <c r="DH17" s="10">
        <f>DG17+預測IC!DH17</f>
        <v>3.6765859332606583</v>
      </c>
      <c r="DI17" s="10">
        <f>DH17+預測IC!DI17</f>
        <v>3.6712926889368758</v>
      </c>
      <c r="DJ17" s="10">
        <f>DI17+預測IC!DJ17</f>
        <v>3.7284390639368756</v>
      </c>
      <c r="DK17" s="10">
        <f>DJ17+預測IC!DK17</f>
        <v>3.8844754920534217</v>
      </c>
      <c r="DL17" s="10">
        <f>DK17+預測IC!DL17</f>
        <v>3.9579910929905928</v>
      </c>
      <c r="DM17" s="10">
        <f>DL17+預測IC!DM17</f>
        <v>3.9057381824082769</v>
      </c>
      <c r="DN17" s="10">
        <f>DM17+預測IC!DN17</f>
        <v>3.9412272151226158</v>
      </c>
      <c r="DO17" s="10">
        <f>DN17+預測IC!DO17</f>
        <v>3.9946785854625193</v>
      </c>
      <c r="DP17" s="10">
        <f>DO17+預測IC!DP17</f>
        <v>3.9777999761286225</v>
      </c>
      <c r="DQ17" s="10">
        <f>DP17+預測IC!DQ17</f>
        <v>3.8700975073319919</v>
      </c>
      <c r="DR17" s="10">
        <f>DQ17+預測IC!DR17</f>
        <v>3.9259823222083203</v>
      </c>
      <c r="DS17" s="10">
        <f>DR17+預測IC!DS17</f>
        <v>3.8016661624035093</v>
      </c>
      <c r="DT17" s="10">
        <f>DS17+預測IC!DT17</f>
        <v>3.8184091624035092</v>
      </c>
      <c r="DU17" s="10">
        <f>DT17+預測IC!DU17</f>
        <v>3.688915162403509</v>
      </c>
      <c r="DV17" s="10">
        <f>DU17+預測IC!DV17</f>
        <v>3.8066805605144634</v>
      </c>
      <c r="DW17" s="10">
        <f>DV17+預測IC!DW17</f>
        <v>3.8553620439286136</v>
      </c>
      <c r="DX17" s="10">
        <f>DW17+預測IC!DX17</f>
        <v>3.7258230613321395</v>
      </c>
      <c r="DY17" s="10">
        <f>DX17+預測IC!DY17</f>
        <v>3.8331053113321394</v>
      </c>
      <c r="DZ17" s="10">
        <f>DY17+預測IC!DZ17</f>
        <v>3.8823173113321392</v>
      </c>
      <c r="EA17" s="10">
        <f>DZ17+預測IC!EA17</f>
        <v>4.0468888343321394</v>
      </c>
      <c r="EB17" s="10">
        <f>EA17+預測IC!EB17</f>
        <v>4.1339891835268787</v>
      </c>
      <c r="EC17" s="10">
        <f>EB17+預測IC!EC17</f>
        <v>4.1136298085268788</v>
      </c>
      <c r="ED17" s="10">
        <f>EC17+預測IC!ED17</f>
        <v>3.9853053645979659</v>
      </c>
      <c r="EE17" s="10">
        <f>ED17+預測IC!EE17</f>
        <v>3.9598920042879322</v>
      </c>
      <c r="EF17" s="10">
        <f>EE17+預測IC!EF17</f>
        <v>4.0076017712977841</v>
      </c>
    </row>
    <row r="18" spans="1:136">
      <c r="A18" s="4">
        <v>137</v>
      </c>
      <c r="B18" s="4">
        <v>7</v>
      </c>
      <c r="C18" s="25">
        <f>預測IC!C18</f>
        <v>0.1897511428571429</v>
      </c>
      <c r="D18" s="10">
        <f>C18+預測IC!D18</f>
        <v>0.59163514285714291</v>
      </c>
      <c r="E18" s="10">
        <f>D18+預測IC!E18</f>
        <v>0.64507300000000001</v>
      </c>
      <c r="F18" s="10">
        <f>E18+預測IC!F18</f>
        <v>0.85716385714285714</v>
      </c>
      <c r="G18" s="10">
        <f>F18+預測IC!G18</f>
        <v>0.99022257142857151</v>
      </c>
      <c r="H18" s="10">
        <f>G18+預測IC!H18</f>
        <v>1.1187625714285714</v>
      </c>
      <c r="I18" s="10">
        <f>H18+預測IC!I18</f>
        <v>1.1737151428571428</v>
      </c>
      <c r="J18" s="10">
        <f>I18+預測IC!J18</f>
        <v>1.0485542857142855</v>
      </c>
      <c r="K18" s="10">
        <f>J18+預測IC!K18</f>
        <v>1.0801395714285713</v>
      </c>
      <c r="L18" s="10">
        <f>K18+預測IC!L18</f>
        <v>1.1268111428571428</v>
      </c>
      <c r="M18" s="10">
        <f>L18+預測IC!M18</f>
        <v>1.1966174464176509</v>
      </c>
      <c r="N18" s="10">
        <f>M18+預測IC!N18</f>
        <v>1.6584378749890796</v>
      </c>
      <c r="O18" s="10">
        <f>N18+預測IC!O18</f>
        <v>1.6827620178462224</v>
      </c>
      <c r="P18" s="10">
        <f>O18+預測IC!P18</f>
        <v>1.7373317321319366</v>
      </c>
      <c r="Q18" s="10">
        <f>P18+預測IC!Q18</f>
        <v>1.8590704464176508</v>
      </c>
      <c r="R18" s="10">
        <f>Q18+預測IC!R18</f>
        <v>1.8783970178462224</v>
      </c>
      <c r="S18" s="10">
        <f>R18+預測IC!S18</f>
        <v>1.8093837321319366</v>
      </c>
      <c r="T18" s="10">
        <f>S18+預測IC!T18</f>
        <v>1.7521773504825333</v>
      </c>
      <c r="U18" s="10">
        <f>T18+預測IC!U18</f>
        <v>1.7803109219111048</v>
      </c>
      <c r="V18" s="10">
        <f>U18+預測IC!V18</f>
        <v>1.6490579219111048</v>
      </c>
      <c r="W18" s="10">
        <f>V18+預測IC!W18</f>
        <v>1.7869751598268109</v>
      </c>
      <c r="X18" s="10">
        <f>W18+預測IC!X18</f>
        <v>1.9140984455410965</v>
      </c>
      <c r="Y18" s="10">
        <f>X18+預測IC!Y18</f>
        <v>1.9383103026839537</v>
      </c>
      <c r="Z18" s="10">
        <f>Y18+預測IC!Z18</f>
        <v>1.9214047312553821</v>
      </c>
      <c r="AA18" s="10">
        <f>Z18+預測IC!AA18</f>
        <v>1.9762103026839535</v>
      </c>
      <c r="AB18" s="10">
        <f>AA18+預測IC!AB18</f>
        <v>1.9135654974212926</v>
      </c>
      <c r="AC18" s="10">
        <f>AB18+預測IC!AC18</f>
        <v>1.8388456402784354</v>
      </c>
      <c r="AD18" s="10">
        <f>AC18+預測IC!AD18</f>
        <v>1.9112894293669669</v>
      </c>
      <c r="AE18" s="10">
        <f>AD18+預測IC!AE18</f>
        <v>1.988490429366967</v>
      </c>
      <c r="AF18" s="10">
        <f>AE18+預測IC!AF18</f>
        <v>2.0167744707211912</v>
      </c>
      <c r="AG18" s="10">
        <f>AF18+預測IC!AG18</f>
        <v>2.008156613578334</v>
      </c>
      <c r="AH18" s="10">
        <f>AG18+預測IC!AH18</f>
        <v>1.9679591526098192</v>
      </c>
      <c r="AI18" s="10">
        <f>AH18+預測IC!AI18</f>
        <v>2.0148146939635754</v>
      </c>
      <c r="AJ18" s="10">
        <f>AI18+預測IC!AJ18</f>
        <v>1.9674209377971263</v>
      </c>
      <c r="AK18" s="10">
        <f>AJ18+預測IC!AK18</f>
        <v>1.9652334568284522</v>
      </c>
      <c r="AL18" s="10">
        <f>AK18+預測IC!AL18</f>
        <v>2.0110935824233231</v>
      </c>
      <c r="AM18" s="10">
        <f>AL18+預測IC!AM18</f>
        <v>2.0777369878480942</v>
      </c>
      <c r="AN18" s="10">
        <f>AM18+預測IC!AN18</f>
        <v>2.1570316278032959</v>
      </c>
      <c r="AO18" s="10">
        <f>AN18+預測IC!AO18</f>
        <v>2.1624591627709888</v>
      </c>
      <c r="AP18" s="10">
        <f>AO18+預測IC!AP18</f>
        <v>2.0841805708371819</v>
      </c>
      <c r="AQ18" s="10">
        <f>AP18+預測IC!AQ18</f>
        <v>2.0079497255107319</v>
      </c>
      <c r="AR18" s="10">
        <f>AQ18+預測IC!AR18</f>
        <v>2.1461829628483007</v>
      </c>
      <c r="AS18" s="10">
        <f>AR18+預測IC!AS18</f>
        <v>2.2320095144022698</v>
      </c>
      <c r="AT18" s="10">
        <f>AS18+預測IC!AT18</f>
        <v>2.2753351642228483</v>
      </c>
      <c r="AU18" s="10">
        <f>AT18+預測IC!AU18</f>
        <v>2.3436505042795415</v>
      </c>
      <c r="AV18" s="10">
        <f>AU18+預測IC!AV18</f>
        <v>2.3148817483978243</v>
      </c>
      <c r="AW18" s="10">
        <f>AV18+預測IC!AW18</f>
        <v>2.3394197826389318</v>
      </c>
      <c r="AX18" s="10">
        <f>AW18+預測IC!AX18</f>
        <v>2.4469806508947678</v>
      </c>
      <c r="AY18" s="10">
        <f>AX18+預測IC!AY18</f>
        <v>2.4817639295359157</v>
      </c>
      <c r="AZ18" s="10">
        <f>AY18+預測IC!AZ18</f>
        <v>2.3333548471470165</v>
      </c>
      <c r="BA18" s="10">
        <f>AZ18+預測IC!BA18</f>
        <v>2.4974611328613023</v>
      </c>
      <c r="BB18" s="10">
        <f>BA18+預測IC!BB18</f>
        <v>2.6647184185755881</v>
      </c>
      <c r="BC18" s="10">
        <f>BB18+預測IC!BC18</f>
        <v>2.7479199911689087</v>
      </c>
      <c r="BD18" s="10">
        <f>BC18+預測IC!BD18</f>
        <v>2.7239037194816085</v>
      </c>
      <c r="BE18" s="10">
        <f>BD18+預測IC!BE18</f>
        <v>2.7922649327197715</v>
      </c>
      <c r="BF18" s="10">
        <f>BE18+預測IC!BF18</f>
        <v>2.8381494690193505</v>
      </c>
      <c r="BG18" s="10">
        <f>BF18+預測IC!BG18</f>
        <v>2.8037148399687548</v>
      </c>
      <c r="BH18" s="10">
        <f>BG18+預測IC!BH18</f>
        <v>2.8337308319494761</v>
      </c>
      <c r="BI18" s="10">
        <f>BH18+預測IC!BI18</f>
        <v>2.9427308388681417</v>
      </c>
      <c r="BJ18" s="10">
        <f>BI18+預測IC!BJ18</f>
        <v>2.9486869029186011</v>
      </c>
      <c r="BK18" s="10">
        <f>BJ18+預測IC!BK18</f>
        <v>2.8979418515345396</v>
      </c>
      <c r="BL18" s="10">
        <f>BK18+預測IC!BL18</f>
        <v>2.9790995253547439</v>
      </c>
      <c r="BM18" s="10">
        <f>BL18+預測IC!BM18</f>
        <v>2.9510181689816486</v>
      </c>
      <c r="BN18" s="10">
        <f>BM18+預測IC!BN18</f>
        <v>3.0037925586054786</v>
      </c>
      <c r="BO18" s="10">
        <f>BN18+預測IC!BO18</f>
        <v>3.024020054711853</v>
      </c>
      <c r="BP18" s="10">
        <f>BO18+預測IC!BP18</f>
        <v>3.070877595046535</v>
      </c>
      <c r="BQ18" s="10">
        <f>BP18+預測IC!BQ18</f>
        <v>3.0727943791563841</v>
      </c>
      <c r="BR18" s="10">
        <f>BQ18+預測IC!BR18</f>
        <v>3.0670461855724294</v>
      </c>
      <c r="BS18" s="10">
        <f>BR18+預測IC!BS18</f>
        <v>3.0455489841907277</v>
      </c>
      <c r="BT18" s="10">
        <f>BS18+預測IC!BT18</f>
        <v>3.1884200518589774</v>
      </c>
      <c r="BU18" s="10">
        <f>BT18+預測IC!BU18</f>
        <v>3.2690974958990182</v>
      </c>
      <c r="BV18" s="10">
        <f>BU18+預測IC!BV18</f>
        <v>3.3500208911760607</v>
      </c>
      <c r="BW18" s="10">
        <f>BV18+預測IC!BW18</f>
        <v>3.2647098042428651</v>
      </c>
      <c r="BX18" s="10">
        <f>BW18+預測IC!BX18</f>
        <v>3.2837282789589008</v>
      </c>
      <c r="BY18" s="10">
        <f>BX18+預測IC!BY18</f>
        <v>3.1606533031348762</v>
      </c>
      <c r="BZ18" s="10">
        <f>BY18+預測IC!BZ18</f>
        <v>3.3139732909374744</v>
      </c>
      <c r="CA18" s="10">
        <f>BZ18+預測IC!CA18</f>
        <v>3.2978967470446134</v>
      </c>
      <c r="CB18" s="10">
        <f>CA18+預測IC!CB18</f>
        <v>3.2733193904321651</v>
      </c>
      <c r="CC18" s="10">
        <f>CB18+預測IC!CC18</f>
        <v>3.3779791047178795</v>
      </c>
      <c r="CD18" s="10">
        <f>CC18+預測IC!CD18</f>
        <v>3.4284241047178794</v>
      </c>
      <c r="CE18" s="10">
        <f>CD18+預測IC!CE18</f>
        <v>3.5056839618607367</v>
      </c>
      <c r="CF18" s="10">
        <f>CE18+預測IC!CF18</f>
        <v>3.4038249618607366</v>
      </c>
      <c r="CG18" s="10">
        <f>CF18+預測IC!CG18</f>
        <v>3.6304671047178796</v>
      </c>
      <c r="CH18" s="10">
        <f>CG18+預測IC!CH18</f>
        <v>3.7931241514051126</v>
      </c>
      <c r="CI18" s="10">
        <f>CH18+預測IC!CI18</f>
        <v>3.7485581649574158</v>
      </c>
      <c r="CJ18" s="10">
        <f>CI18+預測IC!CJ18</f>
        <v>3.6862444871325062</v>
      </c>
      <c r="CK18" s="10">
        <f>CJ18+預測IC!CK18</f>
        <v>3.77691227142479</v>
      </c>
      <c r="CL18" s="10">
        <f>CK18+預測IC!CL18</f>
        <v>3.7459227263665968</v>
      </c>
      <c r="CM18" s="10">
        <f>CL18+預測IC!CM18</f>
        <v>3.9055585241256305</v>
      </c>
      <c r="CN18" s="10">
        <f>CM18+預測IC!CN18</f>
        <v>3.8675614870312498</v>
      </c>
      <c r="CO18" s="10">
        <f>CN18+預測IC!CO18</f>
        <v>3.6359876084818206</v>
      </c>
      <c r="CP18" s="10">
        <f>CO18+預測IC!CP18</f>
        <v>3.7988267174298311</v>
      </c>
      <c r="CQ18" s="10">
        <f>CP18+預測IC!CQ18</f>
        <v>3.7605840418348886</v>
      </c>
      <c r="CR18" s="10">
        <f>CQ18+預測IC!CR18</f>
        <v>3.7943287561206027</v>
      </c>
      <c r="CS18" s="10">
        <f>CR18+預測IC!CS18</f>
        <v>3.8224580418348886</v>
      </c>
      <c r="CT18" s="10">
        <f>CS18+預測IC!CT18</f>
        <v>3.9174090709003742</v>
      </c>
      <c r="CU18" s="10">
        <f>CT18+預測IC!CU18</f>
        <v>3.845760379695264</v>
      </c>
      <c r="CV18" s="10">
        <f>CU18+預測IC!CV18</f>
        <v>3.9368006619255524</v>
      </c>
      <c r="CW18" s="10">
        <f>CV18+預測IC!CW18</f>
        <v>3.9283445763610265</v>
      </c>
      <c r="CX18" s="10">
        <f>CW18+預測IC!CX18</f>
        <v>3.9899047621948047</v>
      </c>
      <c r="CY18" s="10">
        <f>CX18+預測IC!CY18</f>
        <v>3.9385473484200224</v>
      </c>
      <c r="CZ18" s="10">
        <f>CY18+預測IC!CZ18</f>
        <v>4.0713902117217939</v>
      </c>
      <c r="DA18" s="10">
        <f>CZ18+預測IC!DA18</f>
        <v>4.0240092722031005</v>
      </c>
      <c r="DB18" s="10">
        <f>DA18+預測IC!DB18</f>
        <v>4.1421232722031007</v>
      </c>
      <c r="DC18" s="10">
        <f>DB18+預測IC!DC18</f>
        <v>4.191331843631672</v>
      </c>
      <c r="DD18" s="10">
        <f>DC18+預測IC!DD18</f>
        <v>4.1202605579173861</v>
      </c>
      <c r="DE18" s="10">
        <f>DD18+預測IC!DE18</f>
        <v>4.0854592102463956</v>
      </c>
      <c r="DF18" s="10">
        <f>DE18+預測IC!DF18</f>
        <v>4.0504164314640256</v>
      </c>
      <c r="DG18" s="10">
        <f>DF18+預測IC!DG18</f>
        <v>4.0427969583063978</v>
      </c>
      <c r="DH18" s="10">
        <f>DG18+預測IC!DH18</f>
        <v>4.014758945057749</v>
      </c>
      <c r="DI18" s="10">
        <f>DH18+預測IC!DI18</f>
        <v>3.998644315819722</v>
      </c>
      <c r="DJ18" s="10">
        <f>DI18+預測IC!DJ18</f>
        <v>4.0492993158197219</v>
      </c>
      <c r="DK18" s="10">
        <f>DJ18+預測IC!DK18</f>
        <v>4.2078129429121489</v>
      </c>
      <c r="DL18" s="10">
        <f>DK18+預測IC!DL18</f>
        <v>4.2892106858283903</v>
      </c>
      <c r="DM18" s="10">
        <f>DL18+預測IC!DM18</f>
        <v>4.222702545096352</v>
      </c>
      <c r="DN18" s="10">
        <f>DM18+預測IC!DN18</f>
        <v>4.2059804810183303</v>
      </c>
      <c r="DO18" s="10">
        <f>DN18+預測IC!DO18</f>
        <v>4.2480853885689607</v>
      </c>
      <c r="DP18" s="10">
        <f>DO18+預測IC!DP18</f>
        <v>4.2274807021020946</v>
      </c>
      <c r="DQ18" s="10">
        <f>DP18+預測IC!DQ18</f>
        <v>4.1267534237962629</v>
      </c>
      <c r="DR18" s="10">
        <f>DQ18+預測IC!DR18</f>
        <v>4.2035940785682238</v>
      </c>
      <c r="DS18" s="10">
        <f>DR18+預測IC!DS18</f>
        <v>4.0558720801164911</v>
      </c>
      <c r="DT18" s="10">
        <f>DS18+預測IC!DT18</f>
        <v>4.0484643658307773</v>
      </c>
      <c r="DU18" s="10">
        <f>DT18+預測IC!DU18</f>
        <v>3.8897489372593488</v>
      </c>
      <c r="DV18" s="10">
        <f>DU18+預測IC!DV18</f>
        <v>3.9953895460594109</v>
      </c>
      <c r="DW18" s="10">
        <f>DV18+預測IC!DW18</f>
        <v>4.0772982383437837</v>
      </c>
      <c r="DX18" s="10">
        <f>DW18+預測IC!DX18</f>
        <v>3.9236952608813018</v>
      </c>
      <c r="DY18" s="10">
        <f>DX18+預測IC!DY18</f>
        <v>4.0605275465955879</v>
      </c>
      <c r="DZ18" s="10">
        <f>DY18+預測IC!DZ18</f>
        <v>4.1151572608813023</v>
      </c>
      <c r="EA18" s="10">
        <f>DZ18+預測IC!EA18</f>
        <v>4.3141030088813022</v>
      </c>
      <c r="EB18" s="10">
        <f>EA18+預測IC!EB18</f>
        <v>4.4139493868596231</v>
      </c>
      <c r="EC18" s="10">
        <f>EB18+預測IC!EC18</f>
        <v>4.3943505297167658</v>
      </c>
      <c r="ED18" s="10">
        <f>EC18+預測IC!ED18</f>
        <v>4.2742730974404255</v>
      </c>
      <c r="EE18" s="10">
        <f>ED18+預測IC!EE18</f>
        <v>4.2604193434659186</v>
      </c>
      <c r="EF18" s="10">
        <f>EE18+預測IC!EF18</f>
        <v>4.3093743605763351</v>
      </c>
    </row>
    <row r="19" spans="1:136">
      <c r="A19" s="4">
        <v>160</v>
      </c>
      <c r="B19" s="4">
        <v>6</v>
      </c>
      <c r="C19" s="25">
        <f>預測IC!C19</f>
        <v>0.19659983333333331</v>
      </c>
      <c r="D19" s="10">
        <f>C19+預測IC!D19</f>
        <v>0.60412116666666671</v>
      </c>
      <c r="E19" s="10">
        <f>D19+預測IC!E19</f>
        <v>0.64852383333333341</v>
      </c>
      <c r="F19" s="10">
        <f>E19+預測IC!F19</f>
        <v>0.88469466666666674</v>
      </c>
      <c r="G19" s="10">
        <f>F19+預測IC!G19</f>
        <v>1.0375598333333333</v>
      </c>
      <c r="H19" s="10">
        <f>G19+預測IC!H19</f>
        <v>1.2151700000000001</v>
      </c>
      <c r="I19" s="10">
        <f>H19+預測IC!I19</f>
        <v>1.2626333333333335</v>
      </c>
      <c r="J19" s="10">
        <f>I19+預測IC!J19</f>
        <v>1.1064041666666669</v>
      </c>
      <c r="K19" s="10">
        <f>J19+預測IC!K19</f>
        <v>1.1629436666666668</v>
      </c>
      <c r="L19" s="10">
        <f>K19+預測IC!L19</f>
        <v>1.1933048333333336</v>
      </c>
      <c r="M19" s="10">
        <f>L19+預測IC!M19</f>
        <v>1.279098406891011</v>
      </c>
      <c r="N19" s="10">
        <f>M19+預測IC!N19</f>
        <v>1.8114729068910109</v>
      </c>
      <c r="O19" s="10">
        <f>N19+預測IC!O19</f>
        <v>1.7916759068910109</v>
      </c>
      <c r="P19" s="10">
        <f>O19+預測IC!P19</f>
        <v>1.8144612402243441</v>
      </c>
      <c r="Q19" s="10">
        <f>P19+預測IC!Q19</f>
        <v>1.9849255735576774</v>
      </c>
      <c r="R19" s="10">
        <f>Q19+預測IC!R19</f>
        <v>2.0268685735576772</v>
      </c>
      <c r="S19" s="10">
        <f>R19+預測IC!S19</f>
        <v>1.9481724068910107</v>
      </c>
      <c r="T19" s="10">
        <f>S19+預測IC!T19</f>
        <v>1.9210181289047115</v>
      </c>
      <c r="U19" s="10">
        <f>T19+預測IC!U19</f>
        <v>1.9652022955713782</v>
      </c>
      <c r="V19" s="10">
        <f>U19+預測IC!V19</f>
        <v>1.8465187955713782</v>
      </c>
      <c r="W19" s="10">
        <f>V19+預測IC!W19</f>
        <v>1.9931397862888884</v>
      </c>
      <c r="X19" s="10">
        <f>W19+預測IC!X19</f>
        <v>2.1160634529555553</v>
      </c>
      <c r="Y19" s="10">
        <f>X19+預測IC!Y19</f>
        <v>2.1401256196222218</v>
      </c>
      <c r="Z19" s="10">
        <f>Y19+預測IC!Z19</f>
        <v>2.1179026196222219</v>
      </c>
      <c r="AA19" s="10">
        <f>Z19+預測IC!AA19</f>
        <v>2.1652042862888887</v>
      </c>
      <c r="AB19" s="10">
        <f>AA19+預測IC!AB19</f>
        <v>2.1134855334781313</v>
      </c>
      <c r="AC19" s="10">
        <f>AB19+預測IC!AC19</f>
        <v>2.029972700144798</v>
      </c>
      <c r="AD19" s="10">
        <f>AC19+預測IC!AD19</f>
        <v>2.0539701574058586</v>
      </c>
      <c r="AE19" s="10">
        <f>AD19+預測IC!AE19</f>
        <v>2.1692013240725254</v>
      </c>
      <c r="AF19" s="10">
        <f>AE19+預測IC!AF19</f>
        <v>2.2079869908814254</v>
      </c>
      <c r="AG19" s="10">
        <f>AF19+預測IC!AG19</f>
        <v>2.2272854908814255</v>
      </c>
      <c r="AH19" s="10">
        <f>AG19+預測IC!AH19</f>
        <v>2.184439556812876</v>
      </c>
      <c r="AI19" s="10">
        <f>AH19+預測IC!AI19</f>
        <v>2.2662096816023727</v>
      </c>
      <c r="AJ19" s="10">
        <f>AI19+預測IC!AJ19</f>
        <v>2.2146643912751105</v>
      </c>
      <c r="AK19" s="10">
        <f>AJ19+預測IC!AK19</f>
        <v>2.222216433781063</v>
      </c>
      <c r="AL19" s="10">
        <f>AK19+預測IC!AL19</f>
        <v>2.2924873794518685</v>
      </c>
      <c r="AM19" s="10">
        <f>AL19+預測IC!AM19</f>
        <v>2.3237988042968194</v>
      </c>
      <c r="AN19" s="10">
        <f>AM19+預測IC!AN19</f>
        <v>2.4073670986625015</v>
      </c>
      <c r="AO19" s="10">
        <f>AN19+預測IC!AO19</f>
        <v>2.4332600017079158</v>
      </c>
      <c r="AP19" s="10">
        <f>AO19+預測IC!AP19</f>
        <v>2.3456858814350636</v>
      </c>
      <c r="AQ19" s="10">
        <f>AP19+預測IC!AQ19</f>
        <v>2.2574331243744128</v>
      </c>
      <c r="AR19" s="10">
        <f>AQ19+預測IC!AR19</f>
        <v>2.4204662558777126</v>
      </c>
      <c r="AS19" s="10">
        <f>AR19+預測IC!AS19</f>
        <v>2.518263211146027</v>
      </c>
      <c r="AT19" s="10">
        <f>AS19+預測IC!AT19</f>
        <v>2.5675581929117284</v>
      </c>
      <c r="AU19" s="10">
        <f>AT19+預測IC!AU19</f>
        <v>2.6439869086253824</v>
      </c>
      <c r="AV19" s="10">
        <f>AU19+預測IC!AV19</f>
        <v>2.5955238070515358</v>
      </c>
      <c r="AW19" s="10">
        <f>AV19+預測IC!AW19</f>
        <v>2.6178799752056725</v>
      </c>
      <c r="AX19" s="10">
        <f>AW19+預測IC!AX19</f>
        <v>2.6980863895160851</v>
      </c>
      <c r="AY19" s="10">
        <f>AX19+預測IC!AY19</f>
        <v>2.727615359909465</v>
      </c>
      <c r="AZ19" s="10">
        <f>AY19+預測IC!AZ19</f>
        <v>2.5407357417412908</v>
      </c>
      <c r="BA19" s="10">
        <f>AZ19+預測IC!BA19</f>
        <v>2.7277327417412907</v>
      </c>
      <c r="BB19" s="10">
        <f>BA19+預測IC!BB19</f>
        <v>2.9295345750746238</v>
      </c>
      <c r="BC19" s="10">
        <f>BB19+預測IC!BC19</f>
        <v>2.9935900614208095</v>
      </c>
      <c r="BD19" s="10">
        <f>BC19+預測IC!BD19</f>
        <v>2.9903556687907416</v>
      </c>
      <c r="BE19" s="10">
        <f>BD19+預測IC!BE19</f>
        <v>3.0442231664800299</v>
      </c>
      <c r="BF19" s="10">
        <f>BE19+預測IC!BF19</f>
        <v>3.0577941406291687</v>
      </c>
      <c r="BG19" s="10">
        <f>BF19+預測IC!BG19</f>
        <v>3.0414504822963266</v>
      </c>
      <c r="BH19" s="10">
        <f>BG19+預測IC!BH19</f>
        <v>3.0434686839977578</v>
      </c>
      <c r="BI19" s="10">
        <f>BH19+預測IC!BI19</f>
        <v>3.1712673128169766</v>
      </c>
      <c r="BJ19" s="10">
        <f>BI19+預測IC!BJ19</f>
        <v>3.1929746143555557</v>
      </c>
      <c r="BK19" s="10">
        <f>BJ19+預測IC!BK19</f>
        <v>3.1412250882635635</v>
      </c>
      <c r="BL19" s="10">
        <f>BK19+預測IC!BL19</f>
        <v>3.2211897464100665</v>
      </c>
      <c r="BM19" s="10">
        <f>BL19+預測IC!BM19</f>
        <v>3.1894034815409213</v>
      </c>
      <c r="BN19" s="10">
        <f>BM19+預測IC!BN19</f>
        <v>3.256656129008193</v>
      </c>
      <c r="BO19" s="10">
        <f>BN19+預測IC!BO19</f>
        <v>3.2823850902733085</v>
      </c>
      <c r="BP19" s="10">
        <f>BO19+預測IC!BP19</f>
        <v>3.319811353149845</v>
      </c>
      <c r="BQ19" s="10">
        <f>BP19+預測IC!BQ19</f>
        <v>3.3297453976041682</v>
      </c>
      <c r="BR19" s="10">
        <f>BQ19+預測IC!BR19</f>
        <v>3.3364206436276884</v>
      </c>
      <c r="BS19" s="10">
        <f>BR19+預測IC!BS19</f>
        <v>3.3121643048832063</v>
      </c>
      <c r="BT19" s="10">
        <f>BS19+預測IC!BT19</f>
        <v>3.4537969847367798</v>
      </c>
      <c r="BU19" s="10">
        <f>BT19+預測IC!BU19</f>
        <v>3.5297332359710176</v>
      </c>
      <c r="BV19" s="10">
        <f>BU19+預測IC!BV19</f>
        <v>3.6233884771243638</v>
      </c>
      <c r="BW19" s="10">
        <f>BV19+預測IC!BW19</f>
        <v>3.514421515740719</v>
      </c>
      <c r="BX19" s="10">
        <f>BW19+預測IC!BX19</f>
        <v>3.5485093010125772</v>
      </c>
      <c r="BY19" s="10">
        <f>BX19+預測IC!BY19</f>
        <v>3.4408595644569289</v>
      </c>
      <c r="BZ19" s="10">
        <f>BY19+預測IC!BZ19</f>
        <v>3.5046749582241428</v>
      </c>
      <c r="CA19" s="10">
        <f>BZ19+預測IC!CA19</f>
        <v>3.4831292680929633</v>
      </c>
      <c r="CB19" s="10">
        <f>CA19+預測IC!CB19</f>
        <v>3.4350880995847186</v>
      </c>
      <c r="CC19" s="10">
        <f>CB19+預測IC!CC19</f>
        <v>3.4575937662513851</v>
      </c>
      <c r="CD19" s="10">
        <f>CC19+預測IC!CD19</f>
        <v>3.545257932918052</v>
      </c>
      <c r="CE19" s="10">
        <f>CD19+預測IC!CE19</f>
        <v>3.6337320995847189</v>
      </c>
      <c r="CF19" s="10">
        <f>CE19+預測IC!CF19</f>
        <v>3.522033432918052</v>
      </c>
      <c r="CG19" s="10">
        <f>CF19+預測IC!CG19</f>
        <v>3.7859274329180521</v>
      </c>
      <c r="CH19" s="10">
        <f>CG19+預測IC!CH19</f>
        <v>3.9388172999679782</v>
      </c>
      <c r="CI19" s="10">
        <f>CH19+預測IC!CI19</f>
        <v>3.9017503538077829</v>
      </c>
      <c r="CJ19" s="10">
        <f>CI19+預測IC!CJ19</f>
        <v>3.8398098538417469</v>
      </c>
      <c r="CK19" s="10">
        <f>CJ19+預測IC!CK19</f>
        <v>3.943777571658845</v>
      </c>
      <c r="CL19" s="10">
        <f>CK19+預測IC!CL19</f>
        <v>3.9005372916840551</v>
      </c>
      <c r="CM19" s="10">
        <f>CL19+預測IC!CM19</f>
        <v>4.0758849332657698</v>
      </c>
      <c r="CN19" s="10">
        <f>CM19+預測IC!CN19</f>
        <v>3.9989522785984666</v>
      </c>
      <c r="CO19" s="10">
        <f>CN19+預測IC!CO19</f>
        <v>3.7264978739699601</v>
      </c>
      <c r="CP19" s="10">
        <f>CO19+預測IC!CP19</f>
        <v>3.885530472952293</v>
      </c>
      <c r="CQ19" s="10">
        <f>CP19+預測IC!CQ19</f>
        <v>3.8531358654358745</v>
      </c>
      <c r="CR19" s="10">
        <f>CQ19+預測IC!CR19</f>
        <v>3.8774363654358743</v>
      </c>
      <c r="CS19" s="10">
        <f>CR19+預測IC!CS19</f>
        <v>3.9212120321025408</v>
      </c>
      <c r="CT19" s="10">
        <f>CS19+預測IC!CT19</f>
        <v>4.0438324587325711</v>
      </c>
      <c r="CU19" s="10">
        <f>CT19+預測IC!CU19</f>
        <v>3.960396061618678</v>
      </c>
      <c r="CV19" s="10">
        <f>CU19+預測IC!CV19</f>
        <v>4.0502321523806124</v>
      </c>
      <c r="CW19" s="10">
        <f>CV19+預測IC!CW19</f>
        <v>4.0283303445987135</v>
      </c>
      <c r="CX19" s="10">
        <f>CW19+預測IC!CX19</f>
        <v>4.1218800628581356</v>
      </c>
      <c r="CY19" s="10">
        <f>CX19+預測IC!CY19</f>
        <v>4.0509581932937664</v>
      </c>
      <c r="CZ19" s="10">
        <f>CY19+預測IC!CZ19</f>
        <v>4.1514229282692767</v>
      </c>
      <c r="DA19" s="10">
        <f>CZ19+預測IC!DA19</f>
        <v>4.0931990515660397</v>
      </c>
      <c r="DB19" s="10">
        <f>DA19+預測IC!DB19</f>
        <v>4.2411600515660393</v>
      </c>
      <c r="DC19" s="10">
        <f>DB19+預測IC!DC19</f>
        <v>4.2714367182327058</v>
      </c>
      <c r="DD19" s="10">
        <f>DC19+預測IC!DD19</f>
        <v>4.2078893848993726</v>
      </c>
      <c r="DE19" s="10">
        <f>DD19+預測IC!DE19</f>
        <v>4.1639437489589115</v>
      </c>
      <c r="DF19" s="10">
        <f>DE19+預測IC!DF19</f>
        <v>4.0942507020658887</v>
      </c>
      <c r="DG19" s="10">
        <f>DF19+預測IC!DG19</f>
        <v>4.0815042271552393</v>
      </c>
      <c r="DH19" s="10">
        <f>DG19+預測IC!DH19</f>
        <v>4.0813472440258343</v>
      </c>
      <c r="DI19" s="10">
        <f>DH19+預測IC!DI19</f>
        <v>4.0850136684682559</v>
      </c>
      <c r="DJ19" s="10">
        <f>DI19+預測IC!DJ19</f>
        <v>4.165514001801589</v>
      </c>
      <c r="DK19" s="10">
        <f>DJ19+預測IC!DK19</f>
        <v>4.2896585895857964</v>
      </c>
      <c r="DL19" s="10">
        <f>DK19+預測IC!DL19</f>
        <v>4.3598259973856655</v>
      </c>
      <c r="DM19" s="10">
        <f>DL19+預測IC!DM19</f>
        <v>4.2778737423516713</v>
      </c>
      <c r="DN19" s="10">
        <f>DM19+預測IC!DN19</f>
        <v>4.2736960975484024</v>
      </c>
      <c r="DO19" s="10">
        <f>DN19+預測IC!DO19</f>
        <v>4.3288226609483464</v>
      </c>
      <c r="DP19" s="10">
        <f>DO19+預測IC!DP19</f>
        <v>4.3559881034597101</v>
      </c>
      <c r="DQ19" s="10">
        <f>DP19+預測IC!DQ19</f>
        <v>4.2354987240990747</v>
      </c>
      <c r="DR19" s="10">
        <f>DQ19+預測IC!DR19</f>
        <v>4.3114610774241227</v>
      </c>
      <c r="DS19" s="10">
        <f>DR19+預測IC!DS19</f>
        <v>4.1334655304701524</v>
      </c>
      <c r="DT19" s="10">
        <f>DS19+預測IC!DT19</f>
        <v>4.1303890304701527</v>
      </c>
      <c r="DU19" s="10">
        <f>DT19+預測IC!DU19</f>
        <v>3.9798065304701526</v>
      </c>
      <c r="DV19" s="10">
        <f>DU19+預測IC!DV19</f>
        <v>4.0993383748845549</v>
      </c>
      <c r="DW19" s="10">
        <f>DV19+預測IC!DW19</f>
        <v>4.1599475142252391</v>
      </c>
      <c r="DX19" s="10">
        <f>DW19+預測IC!DX19</f>
        <v>4.0215823799870618</v>
      </c>
      <c r="DY19" s="10">
        <f>DX19+預測IC!DY19</f>
        <v>4.1608303799870621</v>
      </c>
      <c r="DZ19" s="10">
        <f>DY19+預測IC!DZ19</f>
        <v>4.2393678799870624</v>
      </c>
      <c r="EA19" s="10">
        <f>DZ19+預測IC!EA19</f>
        <v>4.4724137099870624</v>
      </c>
      <c r="EB19" s="10">
        <f>EA19+預測IC!EB19</f>
        <v>4.4941864799998408</v>
      </c>
      <c r="EC19" s="10">
        <f>EB19+預測IC!EC19</f>
        <v>4.4628628133331745</v>
      </c>
      <c r="ED19" s="10">
        <f>EC19+預測IC!ED19</f>
        <v>4.3119274963430172</v>
      </c>
      <c r="EE19" s="10">
        <f>ED19+預測IC!EE19</f>
        <v>4.3245615392834393</v>
      </c>
      <c r="EF19" s="10">
        <f>EE19+預測IC!EF19</f>
        <v>4.3415394941582086</v>
      </c>
    </row>
    <row r="20" spans="1:136">
      <c r="A20" s="4">
        <v>192</v>
      </c>
      <c r="B20" s="4">
        <v>5</v>
      </c>
      <c r="C20" s="25">
        <f>預測IC!C20</f>
        <v>0.20155100000000001</v>
      </c>
      <c r="D20" s="10">
        <f>C20+預測IC!D20</f>
        <v>0.58357680000000001</v>
      </c>
      <c r="E20" s="10">
        <f>D20+預測IC!E20</f>
        <v>0.64091200000000004</v>
      </c>
      <c r="F20" s="10">
        <f>E20+預測IC!F20</f>
        <v>0.82333120000000004</v>
      </c>
      <c r="G20" s="10">
        <f>F20+預測IC!G20</f>
        <v>0.9813594000000001</v>
      </c>
      <c r="H20" s="10">
        <f>G20+預測IC!H20</f>
        <v>1.1252916000000002</v>
      </c>
      <c r="I20" s="10">
        <f>H20+預測IC!I20</f>
        <v>1.1532278000000002</v>
      </c>
      <c r="J20" s="10">
        <f>I20+預測IC!J20</f>
        <v>1.0200216000000002</v>
      </c>
      <c r="K20" s="10">
        <f>J20+預測IC!K20</f>
        <v>1.0574252000000002</v>
      </c>
      <c r="L20" s="10">
        <f>K20+預測IC!L20</f>
        <v>1.0881188000000002</v>
      </c>
      <c r="M20" s="10">
        <f>L20+預測IC!M20</f>
        <v>1.1882522143640861</v>
      </c>
      <c r="N20" s="10">
        <f>M20+預測IC!N20</f>
        <v>1.688263814364086</v>
      </c>
      <c r="O20" s="10">
        <f>N20+預測IC!O20</f>
        <v>1.5781500143640861</v>
      </c>
      <c r="P20" s="10">
        <f>O20+預測IC!P20</f>
        <v>1.6181790143640862</v>
      </c>
      <c r="Q20" s="10">
        <f>P20+預測IC!Q20</f>
        <v>1.8430056143640861</v>
      </c>
      <c r="R20" s="10">
        <f>Q20+預測IC!R20</f>
        <v>1.9094752143640861</v>
      </c>
      <c r="S20" s="10">
        <f>R20+預測IC!S20</f>
        <v>1.852133814364086</v>
      </c>
      <c r="T20" s="10">
        <f>S20+預測IC!T20</f>
        <v>1.8677967248833454</v>
      </c>
      <c r="U20" s="10">
        <f>T20+預測IC!U20</f>
        <v>1.9000317248833454</v>
      </c>
      <c r="V20" s="10">
        <f>U20+預測IC!V20</f>
        <v>1.7637435248833453</v>
      </c>
      <c r="W20" s="10">
        <f>V20+預測IC!W20</f>
        <v>1.9368289010609261</v>
      </c>
      <c r="X20" s="10">
        <f>W20+預測IC!X20</f>
        <v>2.0868719010609262</v>
      </c>
      <c r="Y20" s="10">
        <f>X20+預測IC!Y20</f>
        <v>2.0820139010609262</v>
      </c>
      <c r="Z20" s="10">
        <f>Y20+預測IC!Z20</f>
        <v>2.1111723010609262</v>
      </c>
      <c r="AA20" s="10">
        <f>Z20+預測IC!AA20</f>
        <v>2.1781363010609263</v>
      </c>
      <c r="AB20" s="10">
        <f>AA20+預測IC!AB20</f>
        <v>2.1452377557407001</v>
      </c>
      <c r="AC20" s="10">
        <f>AB20+預測IC!AC20</f>
        <v>2.0489295557406999</v>
      </c>
      <c r="AD20" s="10">
        <f>AC20+預測IC!AD20</f>
        <v>2.0759168593113779</v>
      </c>
      <c r="AE20" s="10">
        <f>AD20+預測IC!AE20</f>
        <v>2.0932270593113778</v>
      </c>
      <c r="AF20" s="10">
        <f>AE20+預測IC!AF20</f>
        <v>2.1322717376989577</v>
      </c>
      <c r="AG20" s="10">
        <f>AF20+預測IC!AG20</f>
        <v>2.1260321376989579</v>
      </c>
      <c r="AH20" s="10">
        <f>AG20+預測IC!AH20</f>
        <v>2.0358539369841755</v>
      </c>
      <c r="AI20" s="10">
        <f>AH20+預測IC!AI20</f>
        <v>2.1140084819053442</v>
      </c>
      <c r="AJ20" s="10">
        <f>AI20+預測IC!AJ20</f>
        <v>2.0520184473577965</v>
      </c>
      <c r="AK20" s="10">
        <f>AJ20+預測IC!AK20</f>
        <v>2.0384233318617935</v>
      </c>
      <c r="AL20" s="10">
        <f>AK20+預測IC!AL20</f>
        <v>2.1113167838987703</v>
      </c>
      <c r="AM20" s="10">
        <f>AL20+預測IC!AM20</f>
        <v>2.1444127646475728</v>
      </c>
      <c r="AN20" s="10">
        <f>AM20+預測IC!AN20</f>
        <v>2.2198829581665711</v>
      </c>
      <c r="AO20" s="10">
        <f>AN20+預測IC!AO20</f>
        <v>2.2418702621748192</v>
      </c>
      <c r="AP20" s="10">
        <f>AO20+預測IC!AP20</f>
        <v>2.1101398009194314</v>
      </c>
      <c r="AQ20" s="10">
        <f>AP20+預測IC!AQ20</f>
        <v>2.1375922862523824</v>
      </c>
      <c r="AR20" s="10">
        <f>AQ20+預測IC!AR20</f>
        <v>2.3190599739598374</v>
      </c>
      <c r="AS20" s="10">
        <f>AR20+預測IC!AS20</f>
        <v>2.4311557836426543</v>
      </c>
      <c r="AT20" s="10">
        <f>AS20+預測IC!AT20</f>
        <v>2.4370145574028599</v>
      </c>
      <c r="AU20" s="10">
        <f>AT20+預測IC!AU20</f>
        <v>2.5099143755437794</v>
      </c>
      <c r="AV20" s="10">
        <f>AU20+預測IC!AV20</f>
        <v>2.4552886617613012</v>
      </c>
      <c r="AW20" s="10">
        <f>AV20+預測IC!AW20</f>
        <v>2.462153929940452</v>
      </c>
      <c r="AX20" s="10">
        <f>AW20+預測IC!AX20</f>
        <v>2.5728864779391536</v>
      </c>
      <c r="AY20" s="10">
        <f>AX20+預測IC!AY20</f>
        <v>2.6115611763820632</v>
      </c>
      <c r="AZ20" s="10">
        <f>AY20+預測IC!AZ20</f>
        <v>2.3977587452049747</v>
      </c>
      <c r="BA20" s="10">
        <f>AZ20+預測IC!BA20</f>
        <v>2.5490967452049746</v>
      </c>
      <c r="BB20" s="10">
        <f>BA20+預測IC!BB20</f>
        <v>2.7803101452049748</v>
      </c>
      <c r="BC20" s="10">
        <f>BB20+預測IC!BC20</f>
        <v>2.8509157128827152</v>
      </c>
      <c r="BD20" s="10">
        <f>BC20+預測IC!BD20</f>
        <v>2.797485899661118</v>
      </c>
      <c r="BE20" s="10">
        <f>BD20+預測IC!BE20</f>
        <v>2.7915391025218579</v>
      </c>
      <c r="BF20" s="10">
        <f>BE20+預測IC!BF20</f>
        <v>2.7972276848531865</v>
      </c>
      <c r="BG20" s="10">
        <f>BF20+預測IC!BG20</f>
        <v>2.8197225253139155</v>
      </c>
      <c r="BH20" s="10">
        <f>BG20+預測IC!BH20</f>
        <v>2.7481160781998044</v>
      </c>
      <c r="BI20" s="10">
        <f>BH20+預測IC!BI20</f>
        <v>2.8798613452849793</v>
      </c>
      <c r="BJ20" s="10">
        <f>BI20+預測IC!BJ20</f>
        <v>2.9014908571181657</v>
      </c>
      <c r="BK20" s="10">
        <f>BJ20+預測IC!BK20</f>
        <v>2.8422576892753382</v>
      </c>
      <c r="BL20" s="10">
        <f>BK20+預測IC!BL20</f>
        <v>2.9285499204517929</v>
      </c>
      <c r="BM20" s="10">
        <f>BL20+預測IC!BM20</f>
        <v>2.881081368987604</v>
      </c>
      <c r="BN20" s="10">
        <f>BM20+預測IC!BN20</f>
        <v>2.965421009764968</v>
      </c>
      <c r="BO20" s="10">
        <f>BN20+預測IC!BO20</f>
        <v>2.9269592922489887</v>
      </c>
      <c r="BP20" s="10">
        <f>BO20+預測IC!BP20</f>
        <v>2.9873668130119437</v>
      </c>
      <c r="BQ20" s="10">
        <f>BP20+預測IC!BQ20</f>
        <v>3.0028185199727866</v>
      </c>
      <c r="BR20" s="10">
        <f>BQ20+預測IC!BR20</f>
        <v>3.0110186025480021</v>
      </c>
      <c r="BS20" s="10">
        <f>BR20+預測IC!BS20</f>
        <v>3.0088959189593369</v>
      </c>
      <c r="BT20" s="10">
        <f>BS20+預測IC!BT20</f>
        <v>3.156698952137984</v>
      </c>
      <c r="BU20" s="10">
        <f>BT20+預測IC!BU20</f>
        <v>3.2554539015056907</v>
      </c>
      <c r="BV20" s="10">
        <f>BU20+預測IC!BV20</f>
        <v>3.3713722330687625</v>
      </c>
      <c r="BW20" s="10">
        <f>BV20+預測IC!BW20</f>
        <v>3.2358689812562864</v>
      </c>
      <c r="BX20" s="10">
        <f>BW20+預測IC!BX20</f>
        <v>3.2665626179395306</v>
      </c>
      <c r="BY20" s="10">
        <f>BX20+預測IC!BY20</f>
        <v>3.1613286515702272</v>
      </c>
      <c r="BZ20" s="10">
        <f>BY20+預測IC!BZ20</f>
        <v>3.2516000558305107</v>
      </c>
      <c r="CA20" s="10">
        <f>BZ20+預測IC!CA20</f>
        <v>3.2496062336895606</v>
      </c>
      <c r="CB20" s="10">
        <f>CA20+預測IC!CB20</f>
        <v>3.2113542836786326</v>
      </c>
      <c r="CC20" s="10">
        <f>CB20+預測IC!CC20</f>
        <v>3.2242690836786325</v>
      </c>
      <c r="CD20" s="10">
        <f>CC20+預測IC!CD20</f>
        <v>3.3203326836786324</v>
      </c>
      <c r="CE20" s="10">
        <f>CD20+預測IC!CE20</f>
        <v>3.4061100836786324</v>
      </c>
      <c r="CF20" s="10">
        <f>CE20+預測IC!CF20</f>
        <v>3.2749016836786327</v>
      </c>
      <c r="CG20" s="10">
        <f>CF20+預測IC!CG20</f>
        <v>3.5968410836786324</v>
      </c>
      <c r="CH20" s="10">
        <f>CG20+預測IC!CH20</f>
        <v>3.6687051092757708</v>
      </c>
      <c r="CI20" s="10">
        <f>CH20+預測IC!CI20</f>
        <v>3.6383104355066886</v>
      </c>
      <c r="CJ20" s="10">
        <f>CI20+預測IC!CJ20</f>
        <v>3.5148701156193378</v>
      </c>
      <c r="CK20" s="10">
        <f>CJ20+預測IC!CK20</f>
        <v>3.6058485123694446</v>
      </c>
      <c r="CL20" s="10">
        <f>CK20+預測IC!CL20</f>
        <v>3.5136635781803154</v>
      </c>
      <c r="CM20" s="10">
        <f>CL20+預測IC!CM20</f>
        <v>3.7027147433509362</v>
      </c>
      <c r="CN20" s="10">
        <f>CM20+預測IC!CN20</f>
        <v>3.7248741547214208</v>
      </c>
      <c r="CO20" s="10">
        <f>CN20+預測IC!CO20</f>
        <v>3.3089028195524084</v>
      </c>
      <c r="CP20" s="10">
        <f>CO20+預測IC!CP20</f>
        <v>3.5009340246614356</v>
      </c>
      <c r="CQ20" s="10">
        <f>CP20+預測IC!CQ20</f>
        <v>3.4778159793611527</v>
      </c>
      <c r="CR20" s="10">
        <f>CQ20+預測IC!CR20</f>
        <v>3.5031801793611526</v>
      </c>
      <c r="CS20" s="10">
        <f>CR20+預測IC!CS20</f>
        <v>3.5254739793611525</v>
      </c>
      <c r="CT20" s="10">
        <f>CS20+預測IC!CT20</f>
        <v>3.6159480167754188</v>
      </c>
      <c r="CU20" s="10">
        <f>CT20+預測IC!CU20</f>
        <v>3.5118471189829927</v>
      </c>
      <c r="CV20" s="10">
        <f>CU20+預測IC!CV20</f>
        <v>3.6043581946784187</v>
      </c>
      <c r="CW20" s="10">
        <f>CV20+預測IC!CW20</f>
        <v>3.6143112575997014</v>
      </c>
      <c r="CX20" s="10">
        <f>CW20+預測IC!CX20</f>
        <v>3.7046098084674659</v>
      </c>
      <c r="CY20" s="10">
        <f>CX20+預測IC!CY20</f>
        <v>3.6921300757991689</v>
      </c>
      <c r="CZ20" s="10">
        <f>CY20+預測IC!CZ20</f>
        <v>3.847291720948367</v>
      </c>
      <c r="DA20" s="10">
        <f>CZ20+預測IC!DA20</f>
        <v>3.7998198277931894</v>
      </c>
      <c r="DB20" s="10">
        <f>DA20+預測IC!DB20</f>
        <v>3.8767868277931892</v>
      </c>
      <c r="DC20" s="10">
        <f>DB20+預測IC!DC20</f>
        <v>3.9056888277931892</v>
      </c>
      <c r="DD20" s="10">
        <f>DC20+預測IC!DD20</f>
        <v>3.8375260277931891</v>
      </c>
      <c r="DE20" s="10">
        <f>DD20+預測IC!DE20</f>
        <v>3.8107761638722604</v>
      </c>
      <c r="DF20" s="10">
        <f>DE20+預測IC!DF20</f>
        <v>3.8116352854046811</v>
      </c>
      <c r="DG20" s="10">
        <f>DF20+預測IC!DG20</f>
        <v>3.8074330747843104</v>
      </c>
      <c r="DH20" s="10">
        <f>DG20+預測IC!DH20</f>
        <v>3.7964576630417834</v>
      </c>
      <c r="DI20" s="10">
        <f>DH20+預測IC!DI20</f>
        <v>3.7887000950277909</v>
      </c>
      <c r="DJ20" s="10">
        <f>DI20+預測IC!DJ20</f>
        <v>3.8699774950277908</v>
      </c>
      <c r="DK20" s="10">
        <f>DJ20+預測IC!DK20</f>
        <v>3.9549314764738455</v>
      </c>
      <c r="DL20" s="10">
        <f>DK20+預測IC!DL20</f>
        <v>4.0307581126523884</v>
      </c>
      <c r="DM20" s="10">
        <f>DL20+預測IC!DM20</f>
        <v>4.0400417629318257</v>
      </c>
      <c r="DN20" s="10">
        <f>DM20+預測IC!DN20</f>
        <v>4.0980609695860251</v>
      </c>
      <c r="DO20" s="10">
        <f>DN20+預測IC!DO20</f>
        <v>4.163876771423995</v>
      </c>
      <c r="DP20" s="10">
        <f>DO20+預測IC!DP20</f>
        <v>4.1737073028148828</v>
      </c>
      <c r="DQ20" s="10">
        <f>DP20+預測IC!DQ20</f>
        <v>3.9823777643585996</v>
      </c>
      <c r="DR20" s="10">
        <f>DQ20+預測IC!DR20</f>
        <v>4.0608904243868897</v>
      </c>
      <c r="DS20" s="10">
        <f>DR20+預測IC!DS20</f>
        <v>3.8548093268085353</v>
      </c>
      <c r="DT20" s="10">
        <f>DS20+預測IC!DT20</f>
        <v>3.8596381268085351</v>
      </c>
      <c r="DU20" s="10">
        <f>DT20+預測IC!DU20</f>
        <v>3.6832623268085349</v>
      </c>
      <c r="DV20" s="10">
        <f>DU20+預測IC!DV20</f>
        <v>3.8126077986473934</v>
      </c>
      <c r="DW20" s="10">
        <f>DV20+預測IC!DW20</f>
        <v>3.8816680026054331</v>
      </c>
      <c r="DX20" s="10">
        <f>DW20+預測IC!DX20</f>
        <v>3.7278016729991186</v>
      </c>
      <c r="DY20" s="10">
        <f>DX20+預測IC!DY20</f>
        <v>3.8493922729991183</v>
      </c>
      <c r="DZ20" s="10">
        <f>DY20+預測IC!DZ20</f>
        <v>3.9395916729991183</v>
      </c>
      <c r="EA20" s="10">
        <f>DZ20+預測IC!EA20</f>
        <v>4.2332816569991181</v>
      </c>
      <c r="EB20" s="10">
        <f>EA20+預測IC!EB20</f>
        <v>4.2606708148531052</v>
      </c>
      <c r="EC20" s="10">
        <f>EB20+預測IC!EC20</f>
        <v>4.2836484148531051</v>
      </c>
      <c r="ED20" s="10">
        <f>EC20+預測IC!ED20</f>
        <v>4.1067295537860948</v>
      </c>
      <c r="EE20" s="10">
        <f>ED20+預測IC!EE20</f>
        <v>4.1090967847134765</v>
      </c>
      <c r="EF20" s="10">
        <f>EE20+預測IC!EF20</f>
        <v>4.1293782013293834</v>
      </c>
    </row>
    <row r="21" spans="1:136">
      <c r="A21" s="4">
        <v>241</v>
      </c>
      <c r="B21" s="4">
        <v>4</v>
      </c>
      <c r="C21" s="25">
        <f>預測IC!C21</f>
        <v>0.2146305</v>
      </c>
      <c r="D21" s="10">
        <f>C21+預測IC!D21</f>
        <v>0.34101950000000003</v>
      </c>
      <c r="E21" s="10">
        <f>D21+預測IC!E21</f>
        <v>0.32732800000000001</v>
      </c>
      <c r="F21" s="10">
        <f>E21+預測IC!F21</f>
        <v>0.53074100000000002</v>
      </c>
      <c r="G21" s="10">
        <f>F21+預測IC!G21</f>
        <v>0.67607300000000004</v>
      </c>
      <c r="H21" s="10">
        <f>G21+預測IC!H21</f>
        <v>0.83823700000000001</v>
      </c>
      <c r="I21" s="10">
        <f>H21+預測IC!I21</f>
        <v>0.85234900000000002</v>
      </c>
      <c r="J21" s="10">
        <f>I21+預測IC!J21</f>
        <v>0.71560750000000006</v>
      </c>
      <c r="K21" s="10">
        <f>J21+預測IC!K21</f>
        <v>0.71707750000000003</v>
      </c>
      <c r="L21" s="10">
        <f>K21+預測IC!L21</f>
        <v>0.71204650000000003</v>
      </c>
      <c r="M21" s="10">
        <f>L21+預測IC!M21</f>
        <v>0.51617599645083789</v>
      </c>
      <c r="N21" s="10">
        <f>M21+預測IC!N21</f>
        <v>1.1010664964508379</v>
      </c>
      <c r="O21" s="10">
        <f>N21+預測IC!O21</f>
        <v>0.96178924645083785</v>
      </c>
      <c r="P21" s="10">
        <f>O21+預測IC!P21</f>
        <v>1.007216996450838</v>
      </c>
      <c r="Q21" s="10">
        <f>P21+預測IC!Q21</f>
        <v>1.281302746450838</v>
      </c>
      <c r="R21" s="10">
        <f>Q21+預測IC!R21</f>
        <v>1.366207996450838</v>
      </c>
      <c r="S21" s="10">
        <f>R21+預測IC!S21</f>
        <v>1.3296462464508381</v>
      </c>
      <c r="T21" s="10">
        <f>S21+預測IC!T21</f>
        <v>1.3156058821106331</v>
      </c>
      <c r="U21" s="10">
        <f>T21+預測IC!U21</f>
        <v>1.3057791321106331</v>
      </c>
      <c r="V21" s="10">
        <f>U21+預測IC!V21</f>
        <v>1.1740288821106331</v>
      </c>
      <c r="W21" s="10">
        <f>V21+預測IC!W21</f>
        <v>1.3343940378161909</v>
      </c>
      <c r="X21" s="10">
        <f>W21+預測IC!X21</f>
        <v>1.542195037816191</v>
      </c>
      <c r="Y21" s="10">
        <f>X21+預測IC!Y21</f>
        <v>1.5320475378161911</v>
      </c>
      <c r="Z21" s="10">
        <f>Y21+預測IC!Z21</f>
        <v>1.571506537816191</v>
      </c>
      <c r="AA21" s="10">
        <f>Z21+預測IC!AA21</f>
        <v>1.5995420378161911</v>
      </c>
      <c r="AB21" s="10">
        <f>AA21+預測IC!AB21</f>
        <v>1.577586093927057</v>
      </c>
      <c r="AC21" s="10">
        <f>AB21+預測IC!AC21</f>
        <v>1.418044843927057</v>
      </c>
      <c r="AD21" s="10">
        <f>AC21+預測IC!AD21</f>
        <v>1.3921115679296221</v>
      </c>
      <c r="AE21" s="10">
        <f>AD21+預測IC!AE21</f>
        <v>1.402422317929622</v>
      </c>
      <c r="AF21" s="10">
        <f>AE21+預測IC!AF21</f>
        <v>1.4555479278161849</v>
      </c>
      <c r="AG21" s="10">
        <f>AF21+預測IC!AG21</f>
        <v>1.444979927816185</v>
      </c>
      <c r="AH21" s="10">
        <f>AG21+預測IC!AH21</f>
        <v>1.3373985652513867</v>
      </c>
      <c r="AI21" s="10">
        <f>AH21+預測IC!AI21</f>
        <v>1.4169927745846778</v>
      </c>
      <c r="AJ21" s="10">
        <f>AI21+預測IC!AJ21</f>
        <v>1.346587432638209</v>
      </c>
      <c r="AK21" s="10">
        <f>AJ21+預測IC!AK21</f>
        <v>1.3159439989007777</v>
      </c>
      <c r="AL21" s="10">
        <f>AK21+預測IC!AL21</f>
        <v>1.3813238216338883</v>
      </c>
      <c r="AM21" s="10">
        <f>AL21+預測IC!AM21</f>
        <v>1.4461807994402442</v>
      </c>
      <c r="AN21" s="10">
        <f>AM21+預測IC!AN21</f>
        <v>1.5581368555033386</v>
      </c>
      <c r="AO21" s="10">
        <f>AN21+預測IC!AO21</f>
        <v>1.6058632511470652</v>
      </c>
      <c r="AP21" s="10">
        <f>AO21+預測IC!AP21</f>
        <v>1.543472697448129</v>
      </c>
      <c r="AQ21" s="10">
        <f>AP21+預測IC!AQ21</f>
        <v>1.5680638378712555</v>
      </c>
      <c r="AR21" s="10">
        <f>AQ21+預測IC!AR21</f>
        <v>1.7732461161017368</v>
      </c>
      <c r="AS21" s="10">
        <f>AR21+預測IC!AS21</f>
        <v>1.8377019847483662</v>
      </c>
      <c r="AT21" s="10">
        <f>AS21+預測IC!AT21</f>
        <v>1.8352090734712112</v>
      </c>
      <c r="AU21" s="10">
        <f>AT21+預測IC!AU21</f>
        <v>1.8830187049801683</v>
      </c>
      <c r="AV21" s="10">
        <f>AU21+預測IC!AV21</f>
        <v>1.8274979249180345</v>
      </c>
      <c r="AW21" s="10">
        <f>AV21+預測IC!AW21</f>
        <v>1.8372889548721318</v>
      </c>
      <c r="AX21" s="10">
        <f>AW21+預測IC!AX21</f>
        <v>1.9804366423418887</v>
      </c>
      <c r="AY21" s="10">
        <f>AX21+預測IC!AY21</f>
        <v>2.0274579333199267</v>
      </c>
      <c r="AZ21" s="10">
        <f>AY21+預測IC!AZ21</f>
        <v>1.7725466634227902</v>
      </c>
      <c r="BA21" s="10">
        <f>AZ21+預測IC!BA21</f>
        <v>1.9121391634227902</v>
      </c>
      <c r="BB21" s="10">
        <f>BA21+預測IC!BB21</f>
        <v>2.2066524134227903</v>
      </c>
      <c r="BC21" s="10">
        <f>BB21+預測IC!BC21</f>
        <v>2.244973561147984</v>
      </c>
      <c r="BD21" s="10">
        <f>BC21+預測IC!BD21</f>
        <v>2.2232226977773561</v>
      </c>
      <c r="BE21" s="10">
        <f>BD21+預測IC!BE21</f>
        <v>2.2295732311747578</v>
      </c>
      <c r="BF21" s="10">
        <f>BE21+預測IC!BF21</f>
        <v>2.2331503313551924</v>
      </c>
      <c r="BG21" s="10">
        <f>BF21+預測IC!BG21</f>
        <v>2.2831708717916617</v>
      </c>
      <c r="BH21" s="10">
        <f>BG21+預測IC!BH21</f>
        <v>2.2068495086529065</v>
      </c>
      <c r="BI21" s="10">
        <f>BH21+預測IC!BI21</f>
        <v>2.3728191048312981</v>
      </c>
      <c r="BJ21" s="10">
        <f>BI21+預測IC!BJ21</f>
        <v>2.3963981310130156</v>
      </c>
      <c r="BK21" s="10">
        <f>BJ21+預測IC!BK21</f>
        <v>2.3279482506334808</v>
      </c>
      <c r="BL21" s="10">
        <f>BK21+預測IC!BL21</f>
        <v>2.4706693432798303</v>
      </c>
      <c r="BM21" s="10">
        <f>BL21+預測IC!BM21</f>
        <v>2.4298740572511095</v>
      </c>
      <c r="BN21" s="10">
        <f>BM21+預測IC!BN21</f>
        <v>2.4935220052433573</v>
      </c>
      <c r="BO21" s="10">
        <f>BN21+預測IC!BO21</f>
        <v>2.4828536136901675</v>
      </c>
      <c r="BP21" s="10">
        <f>BO21+預測IC!BP21</f>
        <v>2.587362743109582</v>
      </c>
      <c r="BQ21" s="10">
        <f>BP21+預測IC!BQ21</f>
        <v>2.641904973944087</v>
      </c>
      <c r="BR21" s="10">
        <f>BQ21+預測IC!BR21</f>
        <v>2.6558682310837023</v>
      </c>
      <c r="BS21" s="10">
        <f>BR21+預測IC!BS21</f>
        <v>2.6307883766732054</v>
      </c>
      <c r="BT21" s="10">
        <f>BS21+預測IC!BT21</f>
        <v>2.7630330706476482</v>
      </c>
      <c r="BU21" s="10">
        <f>BT21+預測IC!BU21</f>
        <v>2.8838540099978371</v>
      </c>
      <c r="BV21" s="10">
        <f>BU21+預測IC!BV21</f>
        <v>3.0259970101832905</v>
      </c>
      <c r="BW21" s="10">
        <f>BV21+預測IC!BW21</f>
        <v>2.8793178132475594</v>
      </c>
      <c r="BX21" s="10">
        <f>BW21+預測IC!BX21</f>
        <v>2.8639098856812462</v>
      </c>
      <c r="BY21" s="10">
        <f>BX21+預測IC!BY21</f>
        <v>2.8135300344631298</v>
      </c>
      <c r="BZ21" s="10">
        <f>BY21+預測IC!BZ21</f>
        <v>2.9116867449030281</v>
      </c>
      <c r="CA21" s="10">
        <f>BZ21+預測IC!CA21</f>
        <v>2.8871306763502407</v>
      </c>
      <c r="CB21" s="10">
        <f>CA21+預測IC!CB21</f>
        <v>2.7748870655510824</v>
      </c>
      <c r="CC21" s="10">
        <f>CB21+預測IC!CC21</f>
        <v>2.7668675655510824</v>
      </c>
      <c r="CD21" s="10">
        <f>CC21+預測IC!CD21</f>
        <v>2.8512898155510822</v>
      </c>
      <c r="CE21" s="10">
        <f>CD21+預測IC!CE21</f>
        <v>2.9128043155510821</v>
      </c>
      <c r="CF21" s="10">
        <f>CE21+預測IC!CF21</f>
        <v>2.7856363155510819</v>
      </c>
      <c r="CG21" s="10">
        <f>CF21+預測IC!CG21</f>
        <v>3.1058040655510819</v>
      </c>
      <c r="CH21" s="10">
        <f>CG21+預測IC!CH21</f>
        <v>3.1859043866272936</v>
      </c>
      <c r="CI21" s="10">
        <f>CH21+預測IC!CI21</f>
        <v>3.1054047702363112</v>
      </c>
      <c r="CJ21" s="10">
        <f>CI21+預測IC!CJ21</f>
        <v>3.0336501082802654</v>
      </c>
      <c r="CK21" s="10">
        <f>CJ21+預測IC!CK21</f>
        <v>3.1607006550103995</v>
      </c>
      <c r="CL21" s="10">
        <f>CK21+預測IC!CL21</f>
        <v>2.9502482791562912</v>
      </c>
      <c r="CM21" s="10">
        <f>CL21+預測IC!CM21</f>
        <v>3.1757512675596624</v>
      </c>
      <c r="CN21" s="10">
        <f>CM21+預測IC!CN21</f>
        <v>3.206290157763438</v>
      </c>
      <c r="CO21" s="10">
        <f>CN21+預測IC!CO21</f>
        <v>2.6914249091658453</v>
      </c>
      <c r="CP21" s="10">
        <f>CO21+預測IC!CP21</f>
        <v>2.9141249700437579</v>
      </c>
      <c r="CQ21" s="10">
        <f>CP21+預測IC!CQ21</f>
        <v>2.8912127758742616</v>
      </c>
      <c r="CR21" s="10">
        <f>CQ21+預測IC!CR21</f>
        <v>2.9028297758742618</v>
      </c>
      <c r="CS21" s="10">
        <f>CR21+預測IC!CS21</f>
        <v>2.9337370258742617</v>
      </c>
      <c r="CT21" s="10">
        <f>CS21+預測IC!CT21</f>
        <v>3.0160298987286005</v>
      </c>
      <c r="CU21" s="10">
        <f>CT21+預測IC!CU21</f>
        <v>2.9533563385591091</v>
      </c>
      <c r="CV21" s="10">
        <f>CU21+預測IC!CV21</f>
        <v>3.0515819705804961</v>
      </c>
      <c r="CW21" s="10">
        <f>CV21+預測IC!CW21</f>
        <v>3.1165873878614847</v>
      </c>
      <c r="CX21" s="10">
        <f>CW21+預測IC!CX21</f>
        <v>3.2187095635188916</v>
      </c>
      <c r="CY21" s="10">
        <f>CX21+預測IC!CY21</f>
        <v>3.2102276471149773</v>
      </c>
      <c r="CZ21" s="10">
        <f>CY21+預測IC!CZ21</f>
        <v>3.4476790179408074</v>
      </c>
      <c r="DA21" s="10">
        <f>CZ21+預測IC!DA21</f>
        <v>3.4488712743975394</v>
      </c>
      <c r="DB21" s="10">
        <f>DA21+預測IC!DB21</f>
        <v>3.5203307743975394</v>
      </c>
      <c r="DC21" s="10">
        <f>DB21+預測IC!DC21</f>
        <v>3.5686407743975392</v>
      </c>
      <c r="DD21" s="10">
        <f>DC21+預測IC!DD21</f>
        <v>3.5016137743975393</v>
      </c>
      <c r="DE21" s="10">
        <f>DD21+預測IC!DE21</f>
        <v>3.513851882985858</v>
      </c>
      <c r="DF21" s="10">
        <f>DE21+預測IC!DF21</f>
        <v>3.5215804422574766</v>
      </c>
      <c r="DG21" s="10">
        <f>DF21+預測IC!DG21</f>
        <v>3.5294268203860097</v>
      </c>
      <c r="DH21" s="10">
        <f>DG21+預測IC!DH21</f>
        <v>3.5435036405984643</v>
      </c>
      <c r="DI21" s="10">
        <f>DH21+預測IC!DI21</f>
        <v>3.5779111188786437</v>
      </c>
      <c r="DJ21" s="10">
        <f>DI21+預測IC!DJ21</f>
        <v>3.6512143688786436</v>
      </c>
      <c r="DK21" s="10">
        <f>DJ21+預測IC!DK21</f>
        <v>3.7907170756975481</v>
      </c>
      <c r="DL21" s="10">
        <f>DK21+預測IC!DL21</f>
        <v>3.8890820145369247</v>
      </c>
      <c r="DM21" s="10">
        <f>DL21+預測IC!DM21</f>
        <v>3.8592478948946844</v>
      </c>
      <c r="DN21" s="10">
        <f>DM21+預測IC!DN21</f>
        <v>3.9212086763414726</v>
      </c>
      <c r="DO21" s="10">
        <f>DN21+預測IC!DO21</f>
        <v>4.0036544686721527</v>
      </c>
      <c r="DP21" s="10">
        <f>DO21+預測IC!DP21</f>
        <v>4.027920623765719</v>
      </c>
      <c r="DQ21" s="10">
        <f>DP21+預測IC!DQ21</f>
        <v>3.9001672306670665</v>
      </c>
      <c r="DR21" s="10">
        <f>DQ21+預測IC!DR21</f>
        <v>3.9503380897041471</v>
      </c>
      <c r="DS21" s="10">
        <f>DR21+預測IC!DS21</f>
        <v>3.7494986158668517</v>
      </c>
      <c r="DT21" s="10">
        <f>DS21+預測IC!DT21</f>
        <v>3.7397891158668517</v>
      </c>
      <c r="DU21" s="10">
        <f>DT21+預測IC!DU21</f>
        <v>3.5911743658668516</v>
      </c>
      <c r="DV21" s="10">
        <f>DU21+預測IC!DV21</f>
        <v>3.7314503427367294</v>
      </c>
      <c r="DW21" s="10">
        <f>DV21+預測IC!DW21</f>
        <v>3.8507975601107334</v>
      </c>
      <c r="DX21" s="10">
        <f>DW21+預測IC!DX21</f>
        <v>3.6648313460795499</v>
      </c>
      <c r="DY21" s="10">
        <f>DX21+預測IC!DY21</f>
        <v>3.8315613460795497</v>
      </c>
      <c r="DZ21" s="10">
        <f>DY21+預測IC!DZ21</f>
        <v>3.9304913460795499</v>
      </c>
      <c r="EA21" s="10">
        <f>DZ21+預測IC!EA21</f>
        <v>4.1965481780795502</v>
      </c>
      <c r="EB21" s="10">
        <f>EA21+預測IC!EB21</f>
        <v>4.2049563242501362</v>
      </c>
      <c r="EC21" s="10">
        <f>EB21+預測IC!EC21</f>
        <v>4.2321458242501366</v>
      </c>
      <c r="ED21" s="10">
        <f>EC21+預測IC!ED21</f>
        <v>4.1776469679019561</v>
      </c>
      <c r="EE21" s="10">
        <f>ED21+預測IC!EE21</f>
        <v>4.1920758200103743</v>
      </c>
      <c r="EF21" s="10">
        <f>EE21+預測IC!EF21</f>
        <v>4.184084217154342</v>
      </c>
    </row>
    <row r="22" spans="1:136">
      <c r="A22" s="4">
        <v>321</v>
      </c>
      <c r="B22" s="4">
        <v>3</v>
      </c>
      <c r="C22" s="25">
        <f>預測IC!C22</f>
        <v>0.20528266666666661</v>
      </c>
      <c r="D22" s="10">
        <f>C22+預測IC!D22</f>
        <v>0.34771199999999991</v>
      </c>
      <c r="E22" s="10">
        <f>D22+預測IC!E22</f>
        <v>0.33035533333333322</v>
      </c>
      <c r="F22" s="10">
        <f>E22+預測IC!F22</f>
        <v>0.19048733333333323</v>
      </c>
      <c r="G22" s="10">
        <f>F22+預測IC!G22</f>
        <v>0.42343266666666662</v>
      </c>
      <c r="H22" s="10">
        <f>G22+預測IC!H22</f>
        <v>0.54761066666666658</v>
      </c>
      <c r="I22" s="10">
        <f>H22+預測IC!I22</f>
        <v>0.56504999999999994</v>
      </c>
      <c r="J22" s="10">
        <f>I22+預測IC!J22</f>
        <v>0.46079799999999993</v>
      </c>
      <c r="K22" s="10">
        <f>J22+預測IC!K22</f>
        <v>0.48945466666666659</v>
      </c>
      <c r="L22" s="10">
        <f>K22+預測IC!L22</f>
        <v>0.50372666666666666</v>
      </c>
      <c r="M22" s="10">
        <f>L22+預測IC!M22</f>
        <v>0.27856806160308495</v>
      </c>
      <c r="N22" s="10">
        <f>M22+預測IC!N22</f>
        <v>1.0347103949364183</v>
      </c>
      <c r="O22" s="10">
        <f>N22+預測IC!O22</f>
        <v>0.96826806160308498</v>
      </c>
      <c r="P22" s="10">
        <f>O22+預測IC!P22</f>
        <v>1.0588983949364184</v>
      </c>
      <c r="Q22" s="10">
        <f>P22+預測IC!Q22</f>
        <v>1.186173061603085</v>
      </c>
      <c r="R22" s="10">
        <f>Q22+預測IC!R22</f>
        <v>1.2528707282697518</v>
      </c>
      <c r="S22" s="10">
        <f>R22+預測IC!S22</f>
        <v>1.2136383949364185</v>
      </c>
      <c r="T22" s="10">
        <f>S22+預測IC!T22</f>
        <v>1.1419864945467773</v>
      </c>
      <c r="U22" s="10">
        <f>T22+預測IC!U22</f>
        <v>1.1944708278801106</v>
      </c>
      <c r="V22" s="10">
        <f>U22+預測IC!V22</f>
        <v>1.018847161213444</v>
      </c>
      <c r="W22" s="10">
        <f>V22+預測IC!W22</f>
        <v>1.2263274282377414</v>
      </c>
      <c r="X22" s="10">
        <f>W22+預測IC!X22</f>
        <v>1.4835294282377414</v>
      </c>
      <c r="Y22" s="10">
        <f>X22+預測IC!Y22</f>
        <v>1.4136720949044079</v>
      </c>
      <c r="Z22" s="10">
        <f>Y22+預測IC!Z22</f>
        <v>1.4375400949044079</v>
      </c>
      <c r="AA22" s="10">
        <f>Z22+預測IC!AA22</f>
        <v>1.5556627615710745</v>
      </c>
      <c r="AB22" s="10">
        <f>AA22+預測IC!AB22</f>
        <v>1.559527991696414</v>
      </c>
      <c r="AC22" s="10">
        <f>AB22+預測IC!AC22</f>
        <v>1.3823166583630806</v>
      </c>
      <c r="AD22" s="10">
        <f>AC22+預測IC!AD22</f>
        <v>1.3637229091484193</v>
      </c>
      <c r="AE22" s="10">
        <f>AD22+預測IC!AE22</f>
        <v>1.2785739091484194</v>
      </c>
      <c r="AF22" s="10">
        <f>AE22+預測IC!AF22</f>
        <v>1.3148179660523396</v>
      </c>
      <c r="AG22" s="10">
        <f>AF22+預測IC!AG22</f>
        <v>1.2688476327190061</v>
      </c>
      <c r="AH22" s="10">
        <f>AG22+預測IC!AH22</f>
        <v>1.1629816732985334</v>
      </c>
      <c r="AI22" s="10">
        <f>AH22+預測IC!AI22</f>
        <v>1.2571229339559196</v>
      </c>
      <c r="AJ22" s="10">
        <f>AI22+預測IC!AJ22</f>
        <v>1.2254230846295113</v>
      </c>
      <c r="AK22" s="10">
        <f>AJ22+預測IC!AK22</f>
        <v>1.326711645369907</v>
      </c>
      <c r="AL22" s="10">
        <f>AK22+預測IC!AL22</f>
        <v>1.3670526121768074</v>
      </c>
      <c r="AM22" s="10">
        <f>AL22+預測IC!AM22</f>
        <v>1.4511415156445109</v>
      </c>
      <c r="AN22" s="10">
        <f>AM22+預測IC!AN22</f>
        <v>1.5622743253080702</v>
      </c>
      <c r="AO22" s="10">
        <f>AN22+預測IC!AO22</f>
        <v>1.6369916987017759</v>
      </c>
      <c r="AP22" s="10">
        <f>AO22+預測IC!AP22</f>
        <v>1.5744553448137832</v>
      </c>
      <c r="AQ22" s="10">
        <f>AP22+預測IC!AQ22</f>
        <v>1.5889513286360071</v>
      </c>
      <c r="AR22" s="10">
        <f>AQ22+預測IC!AR22</f>
        <v>1.8268524696632569</v>
      </c>
      <c r="AS22" s="10">
        <f>AR22+預測IC!AS22</f>
        <v>1.9096629085618069</v>
      </c>
      <c r="AT22" s="10">
        <f>AS22+預測IC!AT22</f>
        <v>1.9162432989108265</v>
      </c>
      <c r="AU22" s="10">
        <f>AT22+預測IC!AU22</f>
        <v>1.9693860906112046</v>
      </c>
      <c r="AV22" s="10">
        <f>AU22+預測IC!AV22</f>
        <v>1.9095729139353246</v>
      </c>
      <c r="AW22" s="10">
        <f>AV22+預測IC!AW22</f>
        <v>1.8794235247283155</v>
      </c>
      <c r="AX22" s="10">
        <f>AW22+預測IC!AX22</f>
        <v>2.0531869247083399</v>
      </c>
      <c r="AY22" s="10">
        <f>AX22+預測IC!AY22</f>
        <v>2.1249203100425706</v>
      </c>
      <c r="AZ22" s="10">
        <f>AY22+預測IC!AZ22</f>
        <v>1.9700165317214187</v>
      </c>
      <c r="BA22" s="10">
        <f>AZ22+預測IC!BA22</f>
        <v>2.0197911983880852</v>
      </c>
      <c r="BB22" s="10">
        <f>BA22+預測IC!BB22</f>
        <v>2.3893425317214185</v>
      </c>
      <c r="BC22" s="10">
        <f>BB22+預測IC!BC22</f>
        <v>2.2585055935984633</v>
      </c>
      <c r="BD22" s="10">
        <f>BC22+預測IC!BD22</f>
        <v>2.2714529834410353</v>
      </c>
      <c r="BE22" s="10">
        <f>BD22+預測IC!BE22</f>
        <v>2.2936691668355156</v>
      </c>
      <c r="BF22" s="10">
        <f>BE22+預測IC!BF22</f>
        <v>2.3073079841738351</v>
      </c>
      <c r="BG22" s="10">
        <f>BF22+預測IC!BG22</f>
        <v>2.3535874963422212</v>
      </c>
      <c r="BH22" s="10">
        <f>BG22+預測IC!BH22</f>
        <v>2.2256269540040892</v>
      </c>
      <c r="BI22" s="10">
        <f>BH22+預測IC!BI22</f>
        <v>2.336715673413996</v>
      </c>
      <c r="BJ22" s="10">
        <f>BI22+預測IC!BJ22</f>
        <v>2.391712088564717</v>
      </c>
      <c r="BK22" s="10">
        <f>BJ22+預測IC!BK22</f>
        <v>2.3498724526310517</v>
      </c>
      <c r="BL22" s="10">
        <f>BK22+預測IC!BL22</f>
        <v>2.5116527917020872</v>
      </c>
      <c r="BM22" s="10">
        <f>BL22+預測IC!BM22</f>
        <v>2.5092223084565539</v>
      </c>
      <c r="BN22" s="10">
        <f>BM22+預測IC!BN22</f>
        <v>2.4938947564335114</v>
      </c>
      <c r="BO22" s="10">
        <f>BN22+預測IC!BO22</f>
        <v>2.3968818609099056</v>
      </c>
      <c r="BP22" s="10">
        <f>BO22+預測IC!BP22</f>
        <v>2.4717174110650122</v>
      </c>
      <c r="BQ22" s="10">
        <f>BP22+預測IC!BQ22</f>
        <v>2.499547508463325</v>
      </c>
      <c r="BR22" s="10">
        <f>BQ22+預測IC!BR22</f>
        <v>2.5203611179297778</v>
      </c>
      <c r="BS22" s="10">
        <f>BR22+預測IC!BS22</f>
        <v>2.5039883355529788</v>
      </c>
      <c r="BT22" s="10">
        <f>BS22+預測IC!BT22</f>
        <v>2.634519038889525</v>
      </c>
      <c r="BU22" s="10">
        <f>BT22+預測IC!BU22</f>
        <v>2.8474678050275353</v>
      </c>
      <c r="BV22" s="10">
        <f>BU22+預測IC!BV22</f>
        <v>3.0060117774251442</v>
      </c>
      <c r="BW22" s="10">
        <f>BV22+預測IC!BW22</f>
        <v>2.8313432794975371</v>
      </c>
      <c r="BX22" s="10">
        <f>BW22+預測IC!BX22</f>
        <v>2.8679807251895095</v>
      </c>
      <c r="BY22" s="10">
        <f>BX22+預測IC!BY22</f>
        <v>2.8632339387867747</v>
      </c>
      <c r="BZ22" s="10">
        <f>BY22+預測IC!BZ22</f>
        <v>2.9104916746496667</v>
      </c>
      <c r="CA22" s="10">
        <f>BZ22+預測IC!CA22</f>
        <v>2.8830015961693434</v>
      </c>
      <c r="CB22" s="10">
        <f>CA22+預測IC!CB22</f>
        <v>2.7340083179234167</v>
      </c>
      <c r="CC22" s="10">
        <f>CB22+預測IC!CC22</f>
        <v>2.6089033179234167</v>
      </c>
      <c r="CD22" s="10">
        <f>CC22+預測IC!CD22</f>
        <v>2.7044216512567498</v>
      </c>
      <c r="CE22" s="10">
        <f>CD22+預測IC!CE22</f>
        <v>2.7712616512567498</v>
      </c>
      <c r="CF22" s="10">
        <f>CE22+預測IC!CF22</f>
        <v>2.6156909845900831</v>
      </c>
      <c r="CG22" s="10">
        <f>CF22+預測IC!CG22</f>
        <v>3.0594916512567498</v>
      </c>
      <c r="CH22" s="10">
        <f>CG22+預測IC!CH22</f>
        <v>3.1754104225361979</v>
      </c>
      <c r="CI22" s="10">
        <f>CH22+預測IC!CI22</f>
        <v>3.0576306762578387</v>
      </c>
      <c r="CJ22" s="10">
        <f>CI22+預測IC!CJ22</f>
        <v>2.9542511711682762</v>
      </c>
      <c r="CK22" s="10">
        <f>CJ22+預測IC!CK22</f>
        <v>2.9904145137729587</v>
      </c>
      <c r="CL22" s="10">
        <f>CK22+預測IC!CL22</f>
        <v>2.7497627151479178</v>
      </c>
      <c r="CM22" s="10">
        <f>CL22+預測IC!CM22</f>
        <v>3.0515229730573998</v>
      </c>
      <c r="CN22" s="10">
        <f>CM22+預測IC!CN22</f>
        <v>3.0429762012364923</v>
      </c>
      <c r="CO22" s="10">
        <f>CN22+預測IC!CO22</f>
        <v>2.3930197329873364</v>
      </c>
      <c r="CP22" s="10">
        <f>CO22+預測IC!CP22</f>
        <v>2.6524282899567391</v>
      </c>
      <c r="CQ22" s="10">
        <f>CP22+預測IC!CQ22</f>
        <v>2.6352686744376155</v>
      </c>
      <c r="CR22" s="10">
        <f>CQ22+預測IC!CR22</f>
        <v>2.6068480077709486</v>
      </c>
      <c r="CS22" s="10">
        <f>CR22+預測IC!CS22</f>
        <v>2.6312873411042821</v>
      </c>
      <c r="CT22" s="10">
        <f>CS22+預測IC!CT22</f>
        <v>2.6895198624602674</v>
      </c>
      <c r="CU22" s="10">
        <f>CT22+預測IC!CU22</f>
        <v>2.5786784428184015</v>
      </c>
      <c r="CV22" s="10">
        <f>CU22+預測IC!CV22</f>
        <v>2.6909121380254559</v>
      </c>
      <c r="CW22" s="10">
        <f>CV22+預測IC!CW22</f>
        <v>2.7273633913516213</v>
      </c>
      <c r="CX22" s="10">
        <f>CW22+預測IC!CX22</f>
        <v>2.7311129846194704</v>
      </c>
      <c r="CY22" s="10">
        <f>CX22+預測IC!CY22</f>
        <v>2.7231241588459612</v>
      </c>
      <c r="CZ22" s="10">
        <f>CY22+預測IC!CZ22</f>
        <v>2.9860446434452004</v>
      </c>
      <c r="DA22" s="10">
        <f>CZ22+預測IC!DA22</f>
        <v>2.9820528895632763</v>
      </c>
      <c r="DB22" s="10">
        <f>DA22+預測IC!DB22</f>
        <v>3.0360935562299431</v>
      </c>
      <c r="DC22" s="10">
        <f>DB22+預測IC!DC22</f>
        <v>3.1084368895632766</v>
      </c>
      <c r="DD22" s="10">
        <f>DC22+預測IC!DD22</f>
        <v>3.092473556229943</v>
      </c>
      <c r="DE22" s="10">
        <f>DD22+預測IC!DE22</f>
        <v>3.0869817982479928</v>
      </c>
      <c r="DF22" s="10">
        <f>DE22+預測IC!DF22</f>
        <v>3.1040135735215459</v>
      </c>
      <c r="DG22" s="10">
        <f>DF22+預測IC!DG22</f>
        <v>3.1359986166024334</v>
      </c>
      <c r="DH22" s="10">
        <f>DG22+預測IC!DH22</f>
        <v>3.1499439627859376</v>
      </c>
      <c r="DI22" s="10">
        <f>DH22+預測IC!DI22</f>
        <v>3.2135049620481868</v>
      </c>
      <c r="DJ22" s="10">
        <f>DI22+預測IC!DJ22</f>
        <v>3.2562826287148536</v>
      </c>
      <c r="DK22" s="10">
        <f>DJ22+預測IC!DK22</f>
        <v>3.4354173425376939</v>
      </c>
      <c r="DL22" s="10">
        <f>DK22+預測IC!DL22</f>
        <v>3.560358990275077</v>
      </c>
      <c r="DM22" s="10">
        <f>DL22+預測IC!DM22</f>
        <v>3.4968929392370436</v>
      </c>
      <c r="DN22" s="10">
        <f>DM22+預測IC!DN22</f>
        <v>3.543656267441051</v>
      </c>
      <c r="DO22" s="10">
        <f>DN22+預測IC!DO22</f>
        <v>3.667093768752689</v>
      </c>
      <c r="DP22" s="10">
        <f>DO22+預測IC!DP22</f>
        <v>3.6692660920917191</v>
      </c>
      <c r="DQ22" s="10">
        <f>DP22+預測IC!DQ22</f>
        <v>3.5382350882722791</v>
      </c>
      <c r="DR22" s="10">
        <f>DQ22+預測IC!DR22</f>
        <v>3.5321425356569609</v>
      </c>
      <c r="DS22" s="10">
        <f>DR22+預測IC!DS22</f>
        <v>3.3350916140946016</v>
      </c>
      <c r="DT22" s="10">
        <f>DS22+預測IC!DT22</f>
        <v>3.2914092807612683</v>
      </c>
      <c r="DU22" s="10">
        <f>DT22+預測IC!DU22</f>
        <v>3.1298636140946017</v>
      </c>
      <c r="DV22" s="10">
        <f>DU22+預測IC!DV22</f>
        <v>3.2555687317727795</v>
      </c>
      <c r="DW22" s="10">
        <f>DV22+預測IC!DW22</f>
        <v>3.3650717984143439</v>
      </c>
      <c r="DX22" s="10">
        <f>DW22+預測IC!DX22</f>
        <v>3.142629189966049</v>
      </c>
      <c r="DY22" s="10">
        <f>DX22+預測IC!DY22</f>
        <v>3.2625855232993821</v>
      </c>
      <c r="DZ22" s="10">
        <f>DY22+預測IC!DZ22</f>
        <v>3.3734191899660488</v>
      </c>
      <c r="EA22" s="10">
        <f>DZ22+預測IC!EA22</f>
        <v>3.5137753519660491</v>
      </c>
      <c r="EB22" s="10">
        <f>EA22+預測IC!EB22</f>
        <v>3.433178624430731</v>
      </c>
      <c r="EC22" s="10">
        <f>EB22+預測IC!EC22</f>
        <v>3.5212646244307311</v>
      </c>
      <c r="ED22" s="10">
        <f>EC22+預測IC!ED22</f>
        <v>3.4438510573731236</v>
      </c>
      <c r="EE22" s="10">
        <f>ED22+預測IC!EE22</f>
        <v>3.4772973611853368</v>
      </c>
      <c r="EF22" s="10">
        <f>EE22+預測IC!EF22</f>
        <v>3.4425071148131643</v>
      </c>
    </row>
    <row r="23" spans="1:136">
      <c r="A23" s="4">
        <v>482</v>
      </c>
      <c r="B23" s="4">
        <v>2</v>
      </c>
      <c r="C23" s="25">
        <f>預測IC!C23</f>
        <v>0.28298899999999988</v>
      </c>
      <c r="D23" s="10">
        <f>C23+預測IC!D23</f>
        <v>0.53708299999999987</v>
      </c>
      <c r="E23" s="10">
        <f>D23+預測IC!E23</f>
        <v>0.67008799999999991</v>
      </c>
      <c r="F23" s="10">
        <f>E23+預測IC!F23</f>
        <v>0.66634599999999988</v>
      </c>
      <c r="G23" s="10">
        <f>F23+預測IC!G23</f>
        <v>1.0279779999999998</v>
      </c>
      <c r="H23" s="10">
        <f>G23+預測IC!H23</f>
        <v>1.0097894999999999</v>
      </c>
      <c r="I23" s="10">
        <f>H23+預測IC!I23</f>
        <v>0.97340399999999994</v>
      </c>
      <c r="J23" s="10">
        <f>I23+預測IC!J23</f>
        <v>0.85852849999999992</v>
      </c>
      <c r="K23" s="10">
        <f>J23+預測IC!K23</f>
        <v>0.79860999999999993</v>
      </c>
      <c r="L23" s="10">
        <f>K23+預測IC!L23</f>
        <v>0.84938099999999994</v>
      </c>
      <c r="M23" s="10">
        <f>L23+預測IC!M23</f>
        <v>0.58201442999002118</v>
      </c>
      <c r="N23" s="10">
        <f>M23+預測IC!N23</f>
        <v>1.5579154299900213</v>
      </c>
      <c r="O23" s="10">
        <f>N23+預測IC!O23</f>
        <v>1.4350154299900213</v>
      </c>
      <c r="P23" s="10">
        <f>O23+預測IC!P23</f>
        <v>1.4896969299900213</v>
      </c>
      <c r="Q23" s="10">
        <f>P23+預測IC!Q23</f>
        <v>1.7808744299900212</v>
      </c>
      <c r="R23" s="10">
        <f>Q23+預測IC!R23</f>
        <v>1.8436944299900213</v>
      </c>
      <c r="S23" s="10">
        <f>R23+預測IC!S23</f>
        <v>1.7711239299900212</v>
      </c>
      <c r="T23" s="10">
        <f>S23+預測IC!T23</f>
        <v>1.7707505607815426</v>
      </c>
      <c r="U23" s="10">
        <f>T23+預測IC!U23</f>
        <v>1.8299870607815425</v>
      </c>
      <c r="V23" s="10">
        <f>U23+預測IC!V23</f>
        <v>1.5975115607815424</v>
      </c>
      <c r="W23" s="10">
        <f>V23+預測IC!W23</f>
        <v>1.929130711030687</v>
      </c>
      <c r="X23" s="10">
        <f>W23+預測IC!X23</f>
        <v>2.123686711030687</v>
      </c>
      <c r="Y23" s="10">
        <f>X23+預測IC!Y23</f>
        <v>2.055732211030687</v>
      </c>
      <c r="Z23" s="10">
        <f>Y23+預測IC!Z23</f>
        <v>2.0967842110306871</v>
      </c>
      <c r="AA23" s="10">
        <f>Z23+預測IC!AA23</f>
        <v>2.248436211030687</v>
      </c>
      <c r="AB23" s="10">
        <f>AA23+預測IC!AB23</f>
        <v>2.2794275960866792</v>
      </c>
      <c r="AC23" s="10">
        <f>AB23+預測IC!AC23</f>
        <v>2.0454190960866794</v>
      </c>
      <c r="AD23" s="10">
        <f>AC23+預測IC!AD23</f>
        <v>2.0424238045161953</v>
      </c>
      <c r="AE23" s="10">
        <f>AD23+預測IC!AE23</f>
        <v>1.8207068045161954</v>
      </c>
      <c r="AF23" s="10">
        <f>AE23+預測IC!AF23</f>
        <v>1.8876130646059466</v>
      </c>
      <c r="AG23" s="10">
        <f>AF23+預測IC!AG23</f>
        <v>1.8855575646059466</v>
      </c>
      <c r="AH23" s="10">
        <f>AG23+預測IC!AH23</f>
        <v>1.8013859800827634</v>
      </c>
      <c r="AI23" s="10">
        <f>AH23+預測IC!AI23</f>
        <v>1.8185918973962307</v>
      </c>
      <c r="AJ23" s="10">
        <f>AI23+預測IC!AJ23</f>
        <v>1.8667874975863596</v>
      </c>
      <c r="AK23" s="10">
        <f>AJ23+預測IC!AK23</f>
        <v>1.9808985969335506</v>
      </c>
      <c r="AL23" s="10">
        <f>AK23+預測IC!AL23</f>
        <v>2.1123303101260862</v>
      </c>
      <c r="AM23" s="10">
        <f>AL23+預測IC!AM23</f>
        <v>2.1200997991309514</v>
      </c>
      <c r="AN23" s="10">
        <f>AM23+預測IC!AN23</f>
        <v>2.3624144984882522</v>
      </c>
      <c r="AO23" s="10">
        <f>AN23+預測IC!AO23</f>
        <v>2.3570775462968281</v>
      </c>
      <c r="AP23" s="10">
        <f>AO23+預測IC!AP23</f>
        <v>2.3601986456491337</v>
      </c>
      <c r="AQ23" s="10">
        <f>AP23+預測IC!AQ23</f>
        <v>2.4496236379087444</v>
      </c>
      <c r="AR23" s="10">
        <f>AQ23+預測IC!AR23</f>
        <v>2.7863676817538119</v>
      </c>
      <c r="AS23" s="10">
        <f>AR23+預測IC!AS23</f>
        <v>2.7716607937564341</v>
      </c>
      <c r="AT23" s="10">
        <f>AS23+預測IC!AT23</f>
        <v>2.7302330719427843</v>
      </c>
      <c r="AU23" s="10">
        <f>AT23+預測IC!AU23</f>
        <v>2.7633785980712888</v>
      </c>
      <c r="AV23" s="10">
        <f>AU23+預測IC!AV23</f>
        <v>2.7357396038739146</v>
      </c>
      <c r="AW23" s="10">
        <f>AV23+預測IC!AW23</f>
        <v>2.6837126940355116</v>
      </c>
      <c r="AX23" s="10">
        <f>AW23+預測IC!AX23</f>
        <v>2.7535508478625559</v>
      </c>
      <c r="AY23" s="10">
        <f>AX23+預測IC!AY23</f>
        <v>2.9237848287031381</v>
      </c>
      <c r="AZ23" s="10">
        <f>AY23+預測IC!AZ23</f>
        <v>2.8600312113020778</v>
      </c>
      <c r="BA23" s="10">
        <f>AZ23+預測IC!BA23</f>
        <v>2.9140292113020778</v>
      </c>
      <c r="BB23" s="10">
        <f>BA23+預測IC!BB23</f>
        <v>3.4808567113020779</v>
      </c>
      <c r="BC23" s="10">
        <f>BB23+預測IC!BC23</f>
        <v>3.180028462129012</v>
      </c>
      <c r="BD23" s="10">
        <f>BC23+預測IC!BD23</f>
        <v>3.2748593434754625</v>
      </c>
      <c r="BE23" s="10">
        <f>BD23+預測IC!BE23</f>
        <v>3.2034285810781657</v>
      </c>
      <c r="BF23" s="10">
        <f>BE23+預測IC!BF23</f>
        <v>3.1805815904734795</v>
      </c>
      <c r="BG23" s="10">
        <f>BF23+預測IC!BG23</f>
        <v>3.2553430616702319</v>
      </c>
      <c r="BH23" s="10">
        <f>BG23+預測IC!BH23</f>
        <v>3.0518590803149448</v>
      </c>
      <c r="BI23" s="10">
        <f>BH23+預測IC!BI23</f>
        <v>3.2429711596381439</v>
      </c>
      <c r="BJ23" s="10">
        <f>BI23+預測IC!BJ23</f>
        <v>3.3469744749060708</v>
      </c>
      <c r="BK23" s="10">
        <f>BJ23+預測IC!BK23</f>
        <v>3.351661452616995</v>
      </c>
      <c r="BL23" s="10">
        <f>BK23+預測IC!BL23</f>
        <v>3.5011957488672345</v>
      </c>
      <c r="BM23" s="10">
        <f>BL23+預測IC!BM23</f>
        <v>3.5706912108916851</v>
      </c>
      <c r="BN23" s="10">
        <f>BM23+預測IC!BN23</f>
        <v>3.5637440401328719</v>
      </c>
      <c r="BO23" s="10">
        <f>BN23+預測IC!BO23</f>
        <v>3.3974338742401815</v>
      </c>
      <c r="BP23" s="10">
        <f>BO23+預測IC!BP23</f>
        <v>3.495700273451638</v>
      </c>
      <c r="BQ23" s="10">
        <f>BP23+預測IC!BQ23</f>
        <v>3.5453121147396289</v>
      </c>
      <c r="BR23" s="10">
        <f>BQ23+預測IC!BR23</f>
        <v>3.5631564362035917</v>
      </c>
      <c r="BS23" s="10">
        <f>BR23+預測IC!BS23</f>
        <v>3.4898810475456798</v>
      </c>
      <c r="BT23" s="10">
        <f>BS23+預測IC!BT23</f>
        <v>3.6335308535716768</v>
      </c>
      <c r="BU23" s="10">
        <f>BT23+預測IC!BU23</f>
        <v>3.839218589417623</v>
      </c>
      <c r="BV23" s="10">
        <f>BU23+預測IC!BV23</f>
        <v>3.9526861577778116</v>
      </c>
      <c r="BW23" s="10">
        <f>BV23+預測IC!BW23</f>
        <v>3.7505338245021203</v>
      </c>
      <c r="BX23" s="10">
        <f>BW23+預測IC!BX23</f>
        <v>3.7423207047748672</v>
      </c>
      <c r="BY23" s="10">
        <f>BX23+預測IC!BY23</f>
        <v>3.7321150120805195</v>
      </c>
      <c r="BZ23" s="10">
        <f>BY23+預測IC!BZ23</f>
        <v>3.7397847745123642</v>
      </c>
      <c r="CA23" s="10">
        <f>BZ23+預測IC!CA23</f>
        <v>3.6641315747657353</v>
      </c>
      <c r="CB23" s="10">
        <f>CA23+預測IC!CB23</f>
        <v>3.4465173717732953</v>
      </c>
      <c r="CC23" s="10">
        <f>CB23+預測IC!CC23</f>
        <v>3.3619723717732954</v>
      </c>
      <c r="CD23" s="10">
        <f>CC23+預測IC!CD23</f>
        <v>3.5032148717732956</v>
      </c>
      <c r="CE23" s="10">
        <f>CD23+預測IC!CE23</f>
        <v>3.5628168717732955</v>
      </c>
      <c r="CF23" s="10">
        <f>CE23+預測IC!CF23</f>
        <v>3.3793863717732955</v>
      </c>
      <c r="CG23" s="10">
        <f>CF23+預測IC!CG23</f>
        <v>3.6722898717732955</v>
      </c>
      <c r="CH23" s="10">
        <f>CG23+預測IC!CH23</f>
        <v>3.852486320694724</v>
      </c>
      <c r="CI23" s="10">
        <f>CH23+預測IC!CI23</f>
        <v>3.5425869035666269</v>
      </c>
      <c r="CJ23" s="10">
        <f>CI23+預測IC!CJ23</f>
        <v>3.5227115360162164</v>
      </c>
      <c r="CK23" s="10">
        <f>CJ23+預測IC!CK23</f>
        <v>3.6188285307441781</v>
      </c>
      <c r="CL23" s="10">
        <f>CK23+預測IC!CL23</f>
        <v>3.2101675180767595</v>
      </c>
      <c r="CM23" s="10">
        <f>CL23+預測IC!CM23</f>
        <v>3.5969004645996687</v>
      </c>
      <c r="CN23" s="10">
        <f>CM23+預測IC!CN23</f>
        <v>3.5438952862298656</v>
      </c>
      <c r="CO23" s="10">
        <f>CN23+預測IC!CO23</f>
        <v>2.6349719988642457</v>
      </c>
      <c r="CP23" s="10">
        <f>CO23+預測IC!CP23</f>
        <v>2.9463327420270025</v>
      </c>
      <c r="CQ23" s="10">
        <f>CP23+預測IC!CQ23</f>
        <v>2.9710350121063835</v>
      </c>
      <c r="CR23" s="10">
        <f>CQ23+預測IC!CR23</f>
        <v>2.9328045121063835</v>
      </c>
      <c r="CS23" s="10">
        <f>CR23+預測IC!CS23</f>
        <v>3.0018195121063833</v>
      </c>
      <c r="CT23" s="10">
        <f>CS23+預測IC!CT23</f>
        <v>3.047482053817637</v>
      </c>
      <c r="CU23" s="10">
        <f>CT23+預測IC!CU23</f>
        <v>3.0264254581043502</v>
      </c>
      <c r="CV23" s="10">
        <f>CU23+預測IC!CV23</f>
        <v>3.0041803206155446</v>
      </c>
      <c r="CW23" s="10">
        <f>CV23+預測IC!CW23</f>
        <v>3.1050816524179634</v>
      </c>
      <c r="CX23" s="10">
        <f>CW23+預測IC!CX23</f>
        <v>3.0163646583214372</v>
      </c>
      <c r="CY23" s="10">
        <f>CX23+預測IC!CY23</f>
        <v>3.0384111890748158</v>
      </c>
      <c r="CZ23" s="10">
        <f>CY23+預測IC!CZ23</f>
        <v>3.2204099829321668</v>
      </c>
      <c r="DA23" s="10">
        <f>CZ23+預測IC!DA23</f>
        <v>3.1894278467062565</v>
      </c>
      <c r="DB23" s="10">
        <f>DA23+預測IC!DB23</f>
        <v>3.2081758467062564</v>
      </c>
      <c r="DC23" s="10">
        <f>DB23+預測IC!DC23</f>
        <v>3.2805908467062563</v>
      </c>
      <c r="DD23" s="10">
        <f>DC23+預測IC!DD23</f>
        <v>3.2621808467062565</v>
      </c>
      <c r="DE23" s="10">
        <f>DD23+預測IC!DE23</f>
        <v>3.2527856207546115</v>
      </c>
      <c r="DF23" s="10">
        <f>DE23+預測IC!DF23</f>
        <v>3.314727747799517</v>
      </c>
      <c r="DG23" s="10">
        <f>DF23+預測IC!DG23</f>
        <v>3.352997759674234</v>
      </c>
      <c r="DH23" s="10">
        <f>DG23+預測IC!DH23</f>
        <v>3.4084112069829766</v>
      </c>
      <c r="DI23" s="10">
        <f>DH23+預測IC!DI23</f>
        <v>3.4618908038989975</v>
      </c>
      <c r="DJ23" s="10">
        <f>DI23+預測IC!DJ23</f>
        <v>3.4280678038989976</v>
      </c>
      <c r="DK23" s="10">
        <f>DJ23+預測IC!DK23</f>
        <v>3.7059010204578406</v>
      </c>
      <c r="DL23" s="10">
        <f>DK23+預測IC!DL23</f>
        <v>3.9220020799981143</v>
      </c>
      <c r="DM23" s="10">
        <f>DL23+預測IC!DM23</f>
        <v>3.9025047750787483</v>
      </c>
      <c r="DN23" s="10">
        <f>DM23+預測IC!DN23</f>
        <v>3.9090019711227186</v>
      </c>
      <c r="DO23" s="10">
        <f>DN23+預測IC!DO23</f>
        <v>4.0730932748565527</v>
      </c>
      <c r="DP23" s="10">
        <f>DO23+預測IC!DP23</f>
        <v>4.1201815075122754</v>
      </c>
      <c r="DQ23" s="10">
        <f>DP23+預測IC!DQ23</f>
        <v>3.9499705110087375</v>
      </c>
      <c r="DR23" s="10">
        <f>DQ23+預測IC!DR23</f>
        <v>3.8600845082774309</v>
      </c>
      <c r="DS23" s="10">
        <f>DR23+預測IC!DS23</f>
        <v>3.5719879313583847</v>
      </c>
      <c r="DT23" s="10">
        <f>DS23+預測IC!DT23</f>
        <v>3.5177374313583845</v>
      </c>
      <c r="DU23" s="10">
        <f>DT23+預測IC!DU23</f>
        <v>3.4620994313583844</v>
      </c>
      <c r="DV23" s="10">
        <f>DU23+預測IC!DV23</f>
        <v>3.738371039687824</v>
      </c>
      <c r="DW23" s="10">
        <f>DV23+預測IC!DW23</f>
        <v>3.8795992722706627</v>
      </c>
      <c r="DX23" s="10">
        <f>DW23+預測IC!DX23</f>
        <v>3.5661060658916965</v>
      </c>
      <c r="DY23" s="10">
        <f>DX23+預測IC!DY23</f>
        <v>3.5121810658916965</v>
      </c>
      <c r="DZ23" s="10">
        <f>DY23+預測IC!DZ23</f>
        <v>3.2950060658916964</v>
      </c>
      <c r="EA23" s="10">
        <f>DZ23+預測IC!EA23</f>
        <v>3.2662472858916964</v>
      </c>
      <c r="EB23" s="10">
        <f>EA23+預測IC!EB23</f>
        <v>3.2034938461810212</v>
      </c>
      <c r="EC23" s="10">
        <f>EB23+預測IC!EC23</f>
        <v>3.2971373461810209</v>
      </c>
      <c r="ED23" s="10">
        <f>EC23+預測IC!ED23</f>
        <v>3.20571144156124</v>
      </c>
      <c r="EE23" s="10">
        <f>ED23+預測IC!EE23</f>
        <v>3.2647621254494803</v>
      </c>
      <c r="EF23" s="10">
        <f>EE23+預測IC!EF23</f>
        <v>3.2169798468578206</v>
      </c>
    </row>
    <row r="24" spans="1:136">
      <c r="A24" s="4">
        <v>964</v>
      </c>
      <c r="B24" s="4">
        <v>1</v>
      </c>
      <c r="C24" s="25">
        <f>預測IC!C24</f>
        <v>9.9113000000000007E-2</v>
      </c>
      <c r="D24" s="10">
        <f>C24+預測IC!D24</f>
        <v>0.19972300000000001</v>
      </c>
      <c r="E24" s="10">
        <f>D24+預測IC!E24</f>
        <v>0.48423499999999997</v>
      </c>
      <c r="F24" s="10">
        <f>E24+預測IC!F24</f>
        <v>0.55956099999999998</v>
      </c>
      <c r="G24" s="10">
        <f>F24+預測IC!G24</f>
        <v>0.78916799999999998</v>
      </c>
      <c r="H24" s="10">
        <f>G24+預測IC!H24</f>
        <v>0.82502399999999998</v>
      </c>
      <c r="I24" s="10">
        <f>H24+預測IC!I24</f>
        <v>0.84195399999999998</v>
      </c>
      <c r="J24" s="10">
        <f>I24+預測IC!J24</f>
        <v>0.72649299999999994</v>
      </c>
      <c r="K24" s="10">
        <f>J24+預測IC!K24</f>
        <v>0.78022599999999998</v>
      </c>
      <c r="L24" s="10">
        <f>K24+預測IC!L24</f>
        <v>0.87402599999999997</v>
      </c>
      <c r="M24" s="10">
        <f>L24+預測IC!M24</f>
        <v>0.4109984557998615</v>
      </c>
      <c r="N24" s="10">
        <f>M24+預測IC!N24</f>
        <v>2.1800304557998613</v>
      </c>
      <c r="O24" s="10">
        <f>N24+預測IC!O24</f>
        <v>1.9357504557998613</v>
      </c>
      <c r="P24" s="10">
        <f>O24+預測IC!P24</f>
        <v>1.9374864557998612</v>
      </c>
      <c r="Q24" s="10">
        <f>P24+預測IC!Q24</f>
        <v>1.9346464557998613</v>
      </c>
      <c r="R24" s="10">
        <f>Q24+預測IC!R24</f>
        <v>1.9068194557998612</v>
      </c>
      <c r="S24" s="10">
        <f>R24+預測IC!S24</f>
        <v>1.8957694557998612</v>
      </c>
      <c r="T24" s="10">
        <f>S24+預測IC!T24</f>
        <v>2.0194604998916503</v>
      </c>
      <c r="U24" s="10">
        <f>T24+預測IC!U24</f>
        <v>2.3053134998916502</v>
      </c>
      <c r="V24" s="10">
        <f>U24+預測IC!V24</f>
        <v>2.2066334998916504</v>
      </c>
      <c r="W24" s="10">
        <f>V24+預測IC!W24</f>
        <v>2.702345485847593</v>
      </c>
      <c r="X24" s="10">
        <f>W24+預測IC!X24</f>
        <v>2.7014464858475931</v>
      </c>
      <c r="Y24" s="10">
        <f>X24+預測IC!Y24</f>
        <v>2.5811274858475932</v>
      </c>
      <c r="Z24" s="10">
        <f>Y24+預測IC!Z24</f>
        <v>2.5567324858475931</v>
      </c>
      <c r="AA24" s="10">
        <f>Z24+預測IC!AA24</f>
        <v>2.6510944858475929</v>
      </c>
      <c r="AB24" s="10">
        <f>AA24+預測IC!AB24</f>
        <v>2.9514882794045754</v>
      </c>
      <c r="AC24" s="10">
        <f>AB24+預測IC!AC24</f>
        <v>2.7053182794045751</v>
      </c>
      <c r="AD24" s="10">
        <f>AC24+預測IC!AD24</f>
        <v>2.6453961325937563</v>
      </c>
      <c r="AE24" s="10">
        <f>AD24+預測IC!AE24</f>
        <v>2.4701251325937563</v>
      </c>
      <c r="AF24" s="10">
        <f>AE24+預測IC!AF24</f>
        <v>2.492647142628547</v>
      </c>
      <c r="AG24" s="10">
        <f>AF24+預測IC!AG24</f>
        <v>2.5985481426285468</v>
      </c>
      <c r="AH24" s="10">
        <f>AG24+預測IC!AH24</f>
        <v>2.5418507825607572</v>
      </c>
      <c r="AI24" s="10">
        <f>AH24+預測IC!AI24</f>
        <v>2.5330424514623298</v>
      </c>
      <c r="AJ24" s="10">
        <f>AI24+預測IC!AJ24</f>
        <v>2.4521512074629546</v>
      </c>
      <c r="AK24" s="10">
        <f>AJ24+預測IC!AK24</f>
        <v>2.537035160531147</v>
      </c>
      <c r="AL24" s="10">
        <f>AK24+預測IC!AL24</f>
        <v>2.4823582250405116</v>
      </c>
      <c r="AM24" s="10">
        <f>AL24+預測IC!AM24</f>
        <v>2.4634389436199848</v>
      </c>
      <c r="AN24" s="10">
        <f>AM24+預測IC!AN24</f>
        <v>2.6846284087654162</v>
      </c>
      <c r="AO24" s="10">
        <f>AN24+預測IC!AO24</f>
        <v>2.7507185205944062</v>
      </c>
      <c r="AP24" s="10">
        <f>AO24+預測IC!AP24</f>
        <v>2.7278668051053097</v>
      </c>
      <c r="AQ24" s="10">
        <f>AP24+預測IC!AQ24</f>
        <v>2.7749437779395554</v>
      </c>
      <c r="AR24" s="10">
        <f>AQ24+預測IC!AR24</f>
        <v>2.7845830345471625</v>
      </c>
      <c r="AS24" s="10">
        <f>AR24+預測IC!AS24</f>
        <v>2.7566269572805724</v>
      </c>
      <c r="AT24" s="10">
        <f>AS24+預測IC!AT24</f>
        <v>2.7870861647652809</v>
      </c>
      <c r="AU24" s="10">
        <f>AT24+預測IC!AU24</f>
        <v>2.8311814846305055</v>
      </c>
      <c r="AV24" s="10">
        <f>AU24+預測IC!AV24</f>
        <v>2.7440295324436095</v>
      </c>
      <c r="AW24" s="10">
        <f>AV24+預測IC!AW24</f>
        <v>2.7490170739546484</v>
      </c>
      <c r="AX24" s="10">
        <f>AW24+預測IC!AX24</f>
        <v>2.7773232605430729</v>
      </c>
      <c r="AY24" s="10">
        <f>AX24+預測IC!AY24</f>
        <v>2.9454505544279623</v>
      </c>
      <c r="AZ24" s="10">
        <f>AY24+預測IC!AZ24</f>
        <v>2.9833176280276277</v>
      </c>
      <c r="BA24" s="10">
        <f>AZ24+預測IC!BA24</f>
        <v>3.0338086280276277</v>
      </c>
      <c r="BB24" s="10">
        <f>BA24+預測IC!BB24</f>
        <v>3.7245846280276278</v>
      </c>
      <c r="BC24" s="10">
        <f>BB24+預測IC!BC24</f>
        <v>3.1251629870037361</v>
      </c>
      <c r="BD24" s="10">
        <f>BC24+預測IC!BD24</f>
        <v>3.3107582062501715</v>
      </c>
      <c r="BE24" s="10">
        <f>BD24+預測IC!BE24</f>
        <v>3.2646938522184845</v>
      </c>
      <c r="BF24" s="10">
        <f>BE24+預測IC!BF24</f>
        <v>3.3523451882725768</v>
      </c>
      <c r="BG24" s="10">
        <f>BF24+預測IC!BG24</f>
        <v>3.3791811541388879</v>
      </c>
      <c r="BH24" s="10">
        <f>BG24+預測IC!BH24</f>
        <v>2.9929258172253528</v>
      </c>
      <c r="BI24" s="10">
        <f>BH24+預測IC!BI24</f>
        <v>3.2165549232954</v>
      </c>
      <c r="BJ24" s="10">
        <f>BI24+預測IC!BJ24</f>
        <v>3.2199032390502844</v>
      </c>
      <c r="BK24" s="10">
        <f>BJ24+預測IC!BK24</f>
        <v>3.2239267859445708</v>
      </c>
      <c r="BL24" s="10">
        <f>BK24+預測IC!BL24</f>
        <v>3.5410910798692874</v>
      </c>
      <c r="BM24" s="10">
        <f>BL24+預測IC!BM24</f>
        <v>3.4563081400302993</v>
      </c>
      <c r="BN24" s="10">
        <f>BM24+預測IC!BN24</f>
        <v>3.4631574818758741</v>
      </c>
      <c r="BO24" s="10">
        <f>BN24+預測IC!BO24</f>
        <v>3.3020477907802324</v>
      </c>
      <c r="BP24" s="10">
        <f>BO24+預測IC!BP24</f>
        <v>3.4253989719095541</v>
      </c>
      <c r="BQ24" s="10">
        <f>BP24+預測IC!BQ24</f>
        <v>3.361229338579439</v>
      </c>
      <c r="BR24" s="10">
        <f>BQ24+預測IC!BR24</f>
        <v>3.4035855618828568</v>
      </c>
      <c r="BS24" s="10">
        <f>BR24+預測IC!BS24</f>
        <v>3.4023008443984</v>
      </c>
      <c r="BT24" s="10">
        <f>BS24+預測IC!BT24</f>
        <v>3.5185715404525872</v>
      </c>
      <c r="BU24" s="10">
        <f>BT24+預測IC!BU24</f>
        <v>3.7468981720125281</v>
      </c>
      <c r="BV24" s="10">
        <f>BU24+預測IC!BV24</f>
        <v>3.8546266259005111</v>
      </c>
      <c r="BW24" s="10">
        <f>BV24+預測IC!BW24</f>
        <v>3.7927907422649181</v>
      </c>
      <c r="BX24" s="10">
        <f>BW24+預測IC!BX24</f>
        <v>3.6598306865544603</v>
      </c>
      <c r="BY24" s="10">
        <f>BX24+預測IC!BY24</f>
        <v>3.7695763557218775</v>
      </c>
      <c r="BZ24" s="10">
        <f>BY24+預測IC!BZ24</f>
        <v>4.0284692545718741</v>
      </c>
      <c r="CA24" s="10">
        <f>BZ24+預測IC!CA24</f>
        <v>3.9132475737984596</v>
      </c>
      <c r="CB24" s="10">
        <f>CA24+預測IC!CB24</f>
        <v>4.1220095480863286</v>
      </c>
      <c r="CC24" s="10">
        <f>CB24+預測IC!CC24</f>
        <v>3.9395395480863287</v>
      </c>
      <c r="CD24" s="10">
        <f>CC24+預測IC!CD24</f>
        <v>3.9694935480863287</v>
      </c>
      <c r="CE24" s="10">
        <f>CD24+預測IC!CE24</f>
        <v>4.1350585480863291</v>
      </c>
      <c r="CF24" s="10">
        <f>CE24+預測IC!CF24</f>
        <v>3.9699285480863291</v>
      </c>
      <c r="CG24" s="10">
        <f>CF24+預測IC!CG24</f>
        <v>4.2072055480863293</v>
      </c>
      <c r="CH24" s="10">
        <f>CG24+預測IC!CH24</f>
        <v>4.5614828449288325</v>
      </c>
      <c r="CI24" s="10">
        <f>CH24+預測IC!CI24</f>
        <v>4.8899346656380969</v>
      </c>
      <c r="CJ24" s="10">
        <f>CI24+預測IC!CJ24</f>
        <v>4.9030441510575162</v>
      </c>
      <c r="CK24" s="10">
        <f>CJ24+預測IC!CK24</f>
        <v>4.9965742303732128</v>
      </c>
      <c r="CL24" s="10">
        <f>CK24+預測IC!CL24</f>
        <v>5.1383295637457538</v>
      </c>
      <c r="CM24" s="10">
        <f>CL24+預測IC!CM24</f>
        <v>5.6879166737048541</v>
      </c>
      <c r="CN24" s="10">
        <f>CM24+預測IC!CN24</f>
        <v>5.5801779072476405</v>
      </c>
      <c r="CO24" s="10">
        <f>CN24+預測IC!CO24</f>
        <v>4.8035246889114092</v>
      </c>
      <c r="CP24" s="10">
        <f>CO24+預測IC!CP24</f>
        <v>5.0913404601400458</v>
      </c>
      <c r="CQ24" s="10">
        <f>CP24+預測IC!CQ24</f>
        <v>5.2515301067675466</v>
      </c>
      <c r="CR24" s="10">
        <f>CQ24+預測IC!CR24</f>
        <v>5.1547161067675464</v>
      </c>
      <c r="CS24" s="10">
        <f>CR24+預測IC!CS24</f>
        <v>5.1278581067675466</v>
      </c>
      <c r="CT24" s="10">
        <f>CS24+預測IC!CT24</f>
        <v>5.2242771149149423</v>
      </c>
      <c r="CU24" s="10">
        <f>CT24+預測IC!CU24</f>
        <v>5.1515257672582324</v>
      </c>
      <c r="CV24" s="10">
        <f>CU24+預測IC!CV24</f>
        <v>5.1665898147976081</v>
      </c>
      <c r="CW24" s="10">
        <f>CV24+預測IC!CW24</f>
        <v>5.3417069808696152</v>
      </c>
      <c r="CX24" s="10">
        <f>CW24+預測IC!CX24</f>
        <v>5.3969141745783018</v>
      </c>
      <c r="CY24" s="10">
        <f>CX24+預測IC!CY24</f>
        <v>5.3168472699414826</v>
      </c>
      <c r="CZ24" s="10">
        <f>CY24+預測IC!CZ24</f>
        <v>5.4290538983860497</v>
      </c>
      <c r="DA24" s="10">
        <f>CZ24+預測IC!DA24</f>
        <v>5.4535651025488043</v>
      </c>
      <c r="DB24" s="10">
        <f>DA24+預測IC!DB24</f>
        <v>5.4370651025488046</v>
      </c>
      <c r="DC24" s="10">
        <f>DB24+預測IC!DC24</f>
        <v>5.6166151025488045</v>
      </c>
      <c r="DD24" s="10">
        <f>DC24+預測IC!DD24</f>
        <v>5.6659151025488041</v>
      </c>
      <c r="DE24" s="10">
        <f>DD24+預測IC!DE24</f>
        <v>5.4898523450392691</v>
      </c>
      <c r="DF24" s="10">
        <f>DE24+預測IC!DF24</f>
        <v>5.3851873690187082</v>
      </c>
      <c r="DG24" s="10">
        <f>DF24+預測IC!DG24</f>
        <v>5.4442932031430527</v>
      </c>
      <c r="DH24" s="10">
        <f>DG24+預測IC!DH24</f>
        <v>5.5436601836429915</v>
      </c>
      <c r="DI24" s="10">
        <f>DH24+預測IC!DI24</f>
        <v>5.6855356425812609</v>
      </c>
      <c r="DJ24" s="10">
        <f>DI24+預測IC!DJ24</f>
        <v>5.7066156425812613</v>
      </c>
      <c r="DK24" s="10">
        <f>DJ24+預測IC!DK24</f>
        <v>6.0461248532117047</v>
      </c>
      <c r="DL24" s="10">
        <f>DK24+預測IC!DL24</f>
        <v>6.2592292794975855</v>
      </c>
      <c r="DM24" s="10">
        <f>DL24+預測IC!DM24</f>
        <v>6.1177897522707108</v>
      </c>
      <c r="DN24" s="10">
        <f>DM24+預測IC!DN24</f>
        <v>6.3511243230454069</v>
      </c>
      <c r="DO24" s="10">
        <f>DN24+預測IC!DO24</f>
        <v>6.536565125678095</v>
      </c>
      <c r="DP24" s="10">
        <f>DO24+預測IC!DP24</f>
        <v>6.650938551164109</v>
      </c>
      <c r="DQ24" s="10">
        <f>DP24+預測IC!DQ24</f>
        <v>6.5179611999281395</v>
      </c>
      <c r="DR24" s="10">
        <f>DQ24+預測IC!DR24</f>
        <v>6.4974455697161106</v>
      </c>
      <c r="DS24" s="10">
        <f>DR24+預測IC!DS24</f>
        <v>6.2811840286832652</v>
      </c>
      <c r="DT24" s="10">
        <f>DS24+預測IC!DT24</f>
        <v>6.206451028683265</v>
      </c>
      <c r="DU24" s="10">
        <f>DT24+預測IC!DU24</f>
        <v>6.228233028683265</v>
      </c>
      <c r="DV24" s="10">
        <f>DU24+預測IC!DV24</f>
        <v>6.3864577273270795</v>
      </c>
      <c r="DW24" s="10">
        <f>DV24+預測IC!DW24</f>
        <v>6.4953148172184099</v>
      </c>
      <c r="DX24" s="10">
        <f>DW24+預測IC!DX24</f>
        <v>6.1837216894259059</v>
      </c>
      <c r="DY24" s="10">
        <f>DX24+預測IC!DY24</f>
        <v>6.180481689425906</v>
      </c>
      <c r="DZ24" s="10">
        <f>DY24+預測IC!DZ24</f>
        <v>5.746971689425906</v>
      </c>
      <c r="EA24" s="10">
        <f>DZ24+預測IC!EA24</f>
        <v>5.6920515054259058</v>
      </c>
      <c r="EB24" s="10">
        <f>EA24+預測IC!EB24</f>
        <v>5.7204232423366426</v>
      </c>
      <c r="EC24" s="10">
        <f>EB24+預測IC!EC24</f>
        <v>5.8640702423366422</v>
      </c>
      <c r="ED24" s="10">
        <f>EC24+預測IC!ED24</f>
        <v>5.8078973970382801</v>
      </c>
      <c r="EE24" s="10">
        <f>ED24+預測IC!EE24</f>
        <v>5.9213268362294986</v>
      </c>
      <c r="EF24" s="10">
        <f>EE24+預測IC!EF24</f>
        <v>5.9886035132734667</v>
      </c>
    </row>
    <row r="25" spans="1:136" s="2" customFormat="1">
      <c r="A25" s="3" t="s">
        <v>144</v>
      </c>
      <c r="B25" s="3" t="s">
        <v>145</v>
      </c>
      <c r="C25" s="11">
        <v>-1.7446770539390338E-2</v>
      </c>
      <c r="D25" s="17">
        <f>C25+預測IC!D26</f>
        <v>3.2542899924252917E-3</v>
      </c>
      <c r="E25" s="17">
        <f>D25+預測IC!E26</f>
        <v>2.7236419247192001E-2</v>
      </c>
      <c r="F25" s="17">
        <f>E25+預測IC!F26</f>
        <v>2.0678840274368924E-2</v>
      </c>
      <c r="G25" s="17">
        <f>F25+預測IC!G26</f>
        <v>5.2523970074888612E-2</v>
      </c>
      <c r="H25" s="17">
        <f>G25+預測IC!H26</f>
        <v>8.6872502811879138E-2</v>
      </c>
      <c r="I25" s="17">
        <f>H25+預測IC!I26</f>
        <v>7.8617570030553904E-2</v>
      </c>
      <c r="J25" s="17">
        <f>I25+預測IC!J26</f>
        <v>9.1461094424606662E-2</v>
      </c>
      <c r="K25" s="17">
        <f>J25+預測IC!K26</f>
        <v>4.0442569797815839E-2</v>
      </c>
      <c r="L25" s="17">
        <f>K25+預測IC!L26</f>
        <v>4.1316512538852428E-2</v>
      </c>
      <c r="M25" s="17">
        <f>L25+預測IC!M26</f>
        <v>6.4706088044348353E-2</v>
      </c>
      <c r="N25" s="17">
        <f>M25+預測IC!N26</f>
        <v>7.7695060244681202E-2</v>
      </c>
      <c r="O25" s="17">
        <f>N25+預測IC!O26</f>
        <v>8.3549648970316082E-2</v>
      </c>
      <c r="P25" s="17">
        <f>O25+預測IC!P26</f>
        <v>0.11096285554210664</v>
      </c>
      <c r="Q25" s="17">
        <f>P25+預測IC!Q26</f>
        <v>0.10724991942441378</v>
      </c>
      <c r="R25" s="17">
        <f>Q25+預測IC!R26</f>
        <v>0.13132653347223711</v>
      </c>
      <c r="S25" s="17">
        <f>R25+預測IC!S26</f>
        <v>0.11913650817319715</v>
      </c>
      <c r="T25" s="17">
        <f>S25+預測IC!T26</f>
        <v>7.9386930013607554E-2</v>
      </c>
      <c r="U25" s="17">
        <f>T25+預測IC!U26</f>
        <v>6.2314801819580018E-3</v>
      </c>
      <c r="V25" s="17">
        <f>U25+預測IC!V26</f>
        <v>-5.2028749728156659E-2</v>
      </c>
      <c r="W25" s="17">
        <f>V25+預測IC!W26</f>
        <v>-5.1255952162648284E-2</v>
      </c>
      <c r="X25" s="17">
        <f>W25+預測IC!X26</f>
        <v>-6.6644310274293142E-3</v>
      </c>
      <c r="Y25" s="17">
        <f>X25+預測IC!Y26</f>
        <v>-3.4364111077642409E-2</v>
      </c>
      <c r="Z25" s="17">
        <f>Y25+預測IC!Z26</f>
        <v>-3.226910512789876E-2</v>
      </c>
      <c r="AA25" s="17">
        <f>Z25+預測IC!AA26</f>
        <v>-5.5669656120462874E-2</v>
      </c>
      <c r="AB25" s="17">
        <f>AA25+預測IC!AB26</f>
        <v>-2.3540285023140685E-2</v>
      </c>
      <c r="AC25" s="17">
        <f>AB25+預測IC!AC26</f>
        <v>1.5362988070925745E-2</v>
      </c>
      <c r="AD25" s="17">
        <f>AC25+預測IC!AD26</f>
        <v>-2.7502394100178525E-2</v>
      </c>
      <c r="AE25" s="17">
        <f>AD25+預測IC!AE26</f>
        <v>-8.8551995500263658E-3</v>
      </c>
      <c r="AF25" s="17">
        <f>AE25+預測IC!AF26</f>
        <v>6.3745687725025833E-3</v>
      </c>
      <c r="AG25" s="17">
        <f>AF25+預測IC!AG26</f>
        <v>4.2391172551395004E-2</v>
      </c>
      <c r="AH25" s="17">
        <f>AG25+預測IC!AH26</f>
        <v>5.174578393671117E-2</v>
      </c>
      <c r="AI25" s="17">
        <f>AH25+預測IC!AI26</f>
        <v>6.2494035273549312E-2</v>
      </c>
      <c r="AJ25" s="17">
        <f>AI25+預測IC!AJ26</f>
        <v>7.5851789326630281E-2</v>
      </c>
      <c r="AK25" s="17">
        <f>AJ25+預測IC!AK26</f>
        <v>7.0519041997534893E-2</v>
      </c>
      <c r="AL25" s="17">
        <f>AK25+預測IC!AL26</f>
        <v>7.1902177804796574E-2</v>
      </c>
      <c r="AM25" s="17">
        <f>AL25+預測IC!AM26</f>
        <v>9.2698106224871041E-2</v>
      </c>
      <c r="AN25" s="17">
        <f>AM25+預測IC!AN26</f>
        <v>0.12421580844526167</v>
      </c>
      <c r="AO25" s="17">
        <f>AN25+預測IC!AO26</f>
        <v>0.13045752497859112</v>
      </c>
      <c r="AP25" s="17">
        <f>AO25+預測IC!AP26</f>
        <v>0.13660278663216249</v>
      </c>
      <c r="AQ25" s="17">
        <f>AP25+預測IC!AQ26</f>
        <v>0.15354914430885899</v>
      </c>
      <c r="AR25" s="17">
        <f>AQ25+預測IC!AR26</f>
        <v>0.18823197476316722</v>
      </c>
      <c r="AS25" s="17">
        <f>AR25+預測IC!AS26</f>
        <v>0.19133056338036419</v>
      </c>
      <c r="AT25" s="17">
        <f>AS25+預測IC!AT26</f>
        <v>0.2064119105238503</v>
      </c>
      <c r="AU25" s="17">
        <f>AT25+預測IC!AU26</f>
        <v>0.18716070129398632</v>
      </c>
      <c r="AV25" s="17">
        <f>AU25+預測IC!AV26</f>
        <v>0.22587221468161775</v>
      </c>
      <c r="AW25" s="17">
        <f>AV25+預測IC!AW26</f>
        <v>0.20401526354588115</v>
      </c>
      <c r="AX25" s="17">
        <f>AW25+預測IC!AX26</f>
        <v>0.21178956425567083</v>
      </c>
      <c r="AY25" s="17">
        <f>AX25+預測IC!AY26</f>
        <v>0.25418681095099677</v>
      </c>
      <c r="AZ25" s="17">
        <f>AY25+預測IC!AZ26</f>
        <v>0.22787783608983703</v>
      </c>
      <c r="BA25" s="17">
        <f>AZ25+預測IC!BA26</f>
        <v>0.23744958539855326</v>
      </c>
      <c r="BB25" s="17">
        <f>BA25+預測IC!BB26</f>
        <v>0.21319984413227844</v>
      </c>
      <c r="BC25" s="17">
        <f>BB25+預測IC!BC26</f>
        <v>0.23336321827619427</v>
      </c>
      <c r="BD25" s="17">
        <f>BC25+預測IC!BD26</f>
        <v>0.22985821949407825</v>
      </c>
      <c r="BE25" s="17">
        <f>BD25+預測IC!BE26</f>
        <v>0.25001015459262055</v>
      </c>
      <c r="BF25" s="17">
        <f>BE25+預測IC!BF26</f>
        <v>0.25059149082339083</v>
      </c>
      <c r="BG25" s="17">
        <f>BF25+預測IC!BG26</f>
        <v>0.24537178987013822</v>
      </c>
      <c r="BH25" s="17">
        <f>BG25+預測IC!BH26</f>
        <v>0.12950002846800823</v>
      </c>
      <c r="BI25" s="17">
        <f>BH25+預測IC!BI26</f>
        <v>0.13822525416044559</v>
      </c>
      <c r="BJ25" s="17">
        <f>BI25+預測IC!BJ26</f>
        <v>0.12184799318262345</v>
      </c>
      <c r="BK25" s="17">
        <f>BJ25+預測IC!BK26</f>
        <v>0.14268836478288388</v>
      </c>
      <c r="BL25" s="17">
        <f>BK25+預測IC!BL26</f>
        <v>0.18766423688499859</v>
      </c>
      <c r="BM25" s="17">
        <f>BL25+預測IC!BM26</f>
        <v>0.21161854296686244</v>
      </c>
      <c r="BN25" s="17">
        <f>BM25+預測IC!BN26</f>
        <v>0.24185764435830504</v>
      </c>
      <c r="BO25" s="17">
        <f>BN25+預測IC!BO26</f>
        <v>0.19813175676721753</v>
      </c>
      <c r="BP25" s="17">
        <f>BO25+預測IC!BP26</f>
        <v>0.22002122633541615</v>
      </c>
      <c r="BQ25" s="17">
        <f>BP25+預測IC!BQ26</f>
        <v>0.22864865659892455</v>
      </c>
      <c r="BR25" s="17">
        <f>BQ25+預測IC!BR26</f>
        <v>0.20945570260426577</v>
      </c>
      <c r="BS25" s="17">
        <f>BR25+預測IC!BS26</f>
        <v>0.22919083249239883</v>
      </c>
      <c r="BT25" s="17">
        <f>BS25+預測IC!BT26</f>
        <v>0.27688516997609824</v>
      </c>
      <c r="BU25" s="17">
        <f>BT25+預測IC!BU26</f>
        <v>0.28833998678268163</v>
      </c>
      <c r="BV25" s="17">
        <f>BU25+預測IC!BV26</f>
        <v>0.33156860751789485</v>
      </c>
      <c r="BW25" s="17">
        <f>BV25+預測IC!BW26</f>
        <v>0.28882117708097205</v>
      </c>
      <c r="BX25" s="17">
        <f>BW25+預測IC!BX26</f>
        <v>0.27100988465317749</v>
      </c>
      <c r="BY25" s="17">
        <f>BX25+預測IC!BY26</f>
        <v>0.11985678778410189</v>
      </c>
      <c r="BZ25" s="17">
        <f>BY25+預測IC!BZ26</f>
        <v>0.24408079140367717</v>
      </c>
      <c r="CA25" s="17">
        <f>BZ25+預測IC!CA26</f>
        <v>0.23952353755914751</v>
      </c>
      <c r="CB25" s="17">
        <f>CA25+預測IC!CB26</f>
        <v>0.29973477776405871</v>
      </c>
      <c r="CC25" s="17">
        <f>CB25+預測IC!CC26</f>
        <v>0.385726811246561</v>
      </c>
      <c r="CD25" s="17">
        <f>CC25+預測IC!CD26</f>
        <v>0.37991833166419492</v>
      </c>
      <c r="CE25" s="17">
        <f>CD25+預測IC!CE26</f>
        <v>0.37387698467522684</v>
      </c>
      <c r="CF25" s="17">
        <f>CE25+預測IC!CF26</f>
        <v>0.37632930904747891</v>
      </c>
      <c r="CG25" s="17">
        <f>CF25+預測IC!CG26</f>
        <v>0.46596556098450181</v>
      </c>
      <c r="CH25" s="17">
        <f>CG25+預測IC!CH26</f>
        <v>0.53695829351125968</v>
      </c>
      <c r="CI25" s="17">
        <f>CH25+預測IC!CI26</f>
        <v>0.56412893641304307</v>
      </c>
      <c r="CJ25" s="17">
        <f>CI25+預測IC!CJ26</f>
        <v>0.61659736483837313</v>
      </c>
      <c r="CK25" s="17">
        <f>CJ25+預測IC!CK26</f>
        <v>0.64607802578142259</v>
      </c>
      <c r="CL25" s="17">
        <f>CK25+預測IC!CL26</f>
        <v>0.71290310684162383</v>
      </c>
      <c r="CM25" s="17">
        <f>CL25+預測IC!CM26</f>
        <v>0.68413087782180682</v>
      </c>
      <c r="CN25" s="17">
        <f>CM25+預測IC!CN26</f>
        <v>0.72359339372344467</v>
      </c>
      <c r="CO25" s="17">
        <f>CN25+預測IC!CO26</f>
        <v>0.69456230674608477</v>
      </c>
      <c r="CP25" s="17">
        <f>CO25+預測IC!CP26</f>
        <v>0.70854618926555268</v>
      </c>
      <c r="CQ25" s="17">
        <f>CP25+預測IC!CQ26</f>
        <v>0.67626922430621883</v>
      </c>
      <c r="CR25" s="17">
        <f>CQ25+預測IC!CR26</f>
        <v>0.6793728009191129</v>
      </c>
      <c r="CS25" s="17">
        <f>CR25+預測IC!CS26</f>
        <v>0.70496465668619601</v>
      </c>
      <c r="CT25" s="17">
        <f>CS25+預測IC!CT26</f>
        <v>0.74935654297338927</v>
      </c>
      <c r="CU25" s="17">
        <f>CT25+預測IC!CU26</f>
        <v>0.71901758442381181</v>
      </c>
      <c r="CV25" s="17">
        <f>CU25+預測IC!CV26</f>
        <v>0.7177596079692401</v>
      </c>
      <c r="CW25" s="17">
        <f>CV25+預測IC!CW26</f>
        <v>0.72009596442509805</v>
      </c>
      <c r="CX25" s="17">
        <f>CW25+預測IC!CX26</f>
        <v>0.655831819499192</v>
      </c>
      <c r="CY25" s="17">
        <f>CX25+預測IC!CY26</f>
        <v>0.66874159895818441</v>
      </c>
      <c r="CZ25" s="17">
        <f>CY25+預測IC!CZ26</f>
        <v>0.54326450428732564</v>
      </c>
      <c r="DA25" s="17">
        <f>CZ25+預測IC!DA26</f>
        <v>0.55495518722711823</v>
      </c>
      <c r="DB25" s="17">
        <f>DA25+預測IC!DB26</f>
        <v>0.56129303092785998</v>
      </c>
      <c r="DC25" s="17">
        <f>DB25+預測IC!DC26</f>
        <v>0.44398767445847448</v>
      </c>
      <c r="DD25" s="17">
        <f>DC25+預測IC!DD26</f>
        <v>0.40797680240902789</v>
      </c>
      <c r="DE25" s="17">
        <f>DD25+預測IC!DE26</f>
        <v>0.54688810648129582</v>
      </c>
      <c r="DF25" s="17">
        <f>DE25+預測IC!DF26</f>
        <v>0.49574460025519007</v>
      </c>
      <c r="DG25" s="17">
        <f>DF25+預測IC!DG26</f>
        <v>0.57247604743715907</v>
      </c>
      <c r="DH25" s="17">
        <f>DG25+預測IC!DH26</f>
        <v>0.58798482963416721</v>
      </c>
      <c r="DI25" s="17">
        <f>DH25+預測IC!DI26</f>
        <v>0.61120860330892302</v>
      </c>
      <c r="DJ25" s="17">
        <f>DI25+預測IC!DJ26</f>
        <v>0.59283572694769515</v>
      </c>
      <c r="DK25" s="17">
        <f>DJ25+預測IC!DK26</f>
        <v>0.65503474103279458</v>
      </c>
      <c r="DL25" s="17">
        <f>DK25+預測IC!DL26</f>
        <v>0.67513304551975173</v>
      </c>
      <c r="DM25" s="17">
        <f>DL25+預測IC!DM26</f>
        <v>0.68863198526781977</v>
      </c>
      <c r="DN25" s="17">
        <f>DM25+預測IC!DN26</f>
        <v>0.65837977253939894</v>
      </c>
      <c r="DO25" s="17">
        <f>DN25+預測IC!DO26</f>
        <v>0.64135693683134509</v>
      </c>
      <c r="DP25" s="17">
        <f>DO25+預測IC!DP26</f>
        <v>0.61956841355888315</v>
      </c>
      <c r="DQ25" s="17">
        <f>DP25+預測IC!DQ26</f>
        <v>0.70531403814402038</v>
      </c>
      <c r="DR25" s="17">
        <f>DQ25+預測IC!DR26</f>
        <v>0.73342078174899417</v>
      </c>
      <c r="DS25" s="17">
        <f>DR25+預測IC!DS26</f>
        <v>0.73111762194163477</v>
      </c>
      <c r="DT25" s="17">
        <f>DS25+預測IC!DT26</f>
        <v>0.78958882007312226</v>
      </c>
      <c r="DU25" s="17">
        <f>DT25+預測IC!DU26</f>
        <v>0.85724776912176992</v>
      </c>
      <c r="DV25" s="17">
        <f>DU25+預測IC!DV26</f>
        <v>0.86226853976220219</v>
      </c>
      <c r="DW25" s="17">
        <f>DV25+預測IC!DW26</f>
        <v>0.89968472343740924</v>
      </c>
      <c r="DX25" s="17">
        <f>DW25+預測IC!DX26</f>
        <v>0.98379572718345132</v>
      </c>
      <c r="DY25" s="17">
        <f>DX25+預測IC!DY26</f>
        <v>0.94696332863943844</v>
      </c>
      <c r="DZ25" s="17">
        <f>DY25+預測IC!DZ26</f>
        <v>0.95005503145637549</v>
      </c>
      <c r="EA25" s="17">
        <f>DZ25+預測IC!EA26</f>
        <v>0.94809740324208092</v>
      </c>
      <c r="EB25" s="17">
        <f>EA25+預測IC!EB26</f>
        <v>0.97455650684560069</v>
      </c>
      <c r="EC25" s="17">
        <f>EB25+預測IC!EC26</f>
        <v>0.94980396808491041</v>
      </c>
      <c r="ED25" s="17">
        <f>EC25+預測IC!ED26</f>
        <v>0.98391945906747036</v>
      </c>
      <c r="EE25" s="17">
        <f>ED25+預測IC!EE26</f>
        <v>1.0049814330565034</v>
      </c>
      <c r="EF25" s="17">
        <f>EE25+預測IC!EF26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G25"/>
  <sheetViews>
    <sheetView topLeftCell="A3" zoomScale="88" zoomScaleNormal="88" workbookViewId="0"/>
  </sheetViews>
  <sheetFormatPr baseColWidth="10" defaultColWidth="9" defaultRowHeight="14"/>
  <cols>
    <col min="136" max="136" width="9.3984375" bestFit="1" customWidth="1"/>
  </cols>
  <sheetData>
    <row r="1" spans="1:137">
      <c r="A1" s="7" t="str">
        <f>預測IC!A1</f>
        <v>RF</v>
      </c>
      <c r="B1" s="7"/>
    </row>
    <row r="2" spans="1:137">
      <c r="A2" s="7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5" t="s">
        <v>45</v>
      </c>
      <c r="AV2" s="5" t="s">
        <v>46</v>
      </c>
      <c r="AW2" s="5" t="s">
        <v>47</v>
      </c>
      <c r="AX2" s="5" t="s">
        <v>48</v>
      </c>
      <c r="AY2" s="5" t="s">
        <v>49</v>
      </c>
      <c r="AZ2" s="5" t="s">
        <v>50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55</v>
      </c>
      <c r="BF2" s="5" t="s">
        <v>56</v>
      </c>
      <c r="BG2" s="5" t="s">
        <v>57</v>
      </c>
      <c r="BH2" s="5" t="s">
        <v>58</v>
      </c>
      <c r="BI2" s="5" t="s">
        <v>59</v>
      </c>
      <c r="BJ2" s="5" t="s">
        <v>60</v>
      </c>
      <c r="BK2" s="5" t="s">
        <v>61</v>
      </c>
      <c r="BL2" s="5" t="s">
        <v>62</v>
      </c>
      <c r="BM2" s="5" t="s">
        <v>63</v>
      </c>
      <c r="BN2" s="5" t="s">
        <v>64</v>
      </c>
      <c r="BO2" s="5" t="s">
        <v>65</v>
      </c>
      <c r="BP2" s="5" t="s">
        <v>66</v>
      </c>
      <c r="BQ2" s="5" t="s">
        <v>67</v>
      </c>
      <c r="BR2" s="5" t="s">
        <v>68</v>
      </c>
      <c r="BS2" s="5" t="s">
        <v>69</v>
      </c>
      <c r="BT2" s="5" t="s">
        <v>70</v>
      </c>
      <c r="BU2" s="5" t="s">
        <v>71</v>
      </c>
      <c r="BV2" s="5" t="s">
        <v>72</v>
      </c>
      <c r="BW2" s="5" t="s">
        <v>73</v>
      </c>
      <c r="BX2" s="5" t="s">
        <v>74</v>
      </c>
      <c r="BY2" s="5" t="s">
        <v>75</v>
      </c>
      <c r="BZ2" s="5" t="s">
        <v>76</v>
      </c>
      <c r="CA2" s="5" t="s">
        <v>77</v>
      </c>
      <c r="CB2" s="5" t="s">
        <v>78</v>
      </c>
      <c r="CC2" s="5" t="s">
        <v>79</v>
      </c>
      <c r="CD2" s="5" t="s">
        <v>80</v>
      </c>
      <c r="CE2" s="5" t="s">
        <v>81</v>
      </c>
      <c r="CF2" s="5" t="s">
        <v>82</v>
      </c>
      <c r="CG2" s="5" t="s">
        <v>83</v>
      </c>
      <c r="CH2" s="5" t="s">
        <v>84</v>
      </c>
      <c r="CI2" s="5" t="s">
        <v>85</v>
      </c>
      <c r="CJ2" s="5" t="s">
        <v>86</v>
      </c>
      <c r="CK2" s="5" t="s">
        <v>87</v>
      </c>
      <c r="CL2" s="5" t="s">
        <v>88</v>
      </c>
      <c r="CM2" s="5" t="s">
        <v>89</v>
      </c>
      <c r="CN2" s="5" t="s">
        <v>90</v>
      </c>
      <c r="CO2" s="5" t="s">
        <v>91</v>
      </c>
      <c r="CP2" s="5" t="s">
        <v>92</v>
      </c>
      <c r="CQ2" s="5" t="s">
        <v>93</v>
      </c>
      <c r="CR2" s="5" t="s">
        <v>94</v>
      </c>
      <c r="CS2" s="5" t="s">
        <v>95</v>
      </c>
      <c r="CT2" s="5" t="s">
        <v>96</v>
      </c>
      <c r="CU2" s="5" t="s">
        <v>97</v>
      </c>
      <c r="CV2" s="5" t="s">
        <v>98</v>
      </c>
      <c r="CW2" s="5" t="s">
        <v>99</v>
      </c>
      <c r="CX2" s="5" t="s">
        <v>100</v>
      </c>
      <c r="CY2" s="5" t="s">
        <v>101</v>
      </c>
      <c r="CZ2" s="5" t="s">
        <v>102</v>
      </c>
      <c r="DA2" s="5" t="s">
        <v>103</v>
      </c>
      <c r="DB2" s="5" t="s">
        <v>104</v>
      </c>
      <c r="DC2" s="5" t="s">
        <v>105</v>
      </c>
      <c r="DD2" s="5" t="s">
        <v>106</v>
      </c>
      <c r="DE2" s="5" t="s">
        <v>107</v>
      </c>
      <c r="DF2" s="5" t="s">
        <v>108</v>
      </c>
      <c r="DG2" s="5" t="s">
        <v>109</v>
      </c>
      <c r="DH2" s="5" t="s">
        <v>110</v>
      </c>
      <c r="DI2" s="5" t="s">
        <v>111</v>
      </c>
      <c r="DJ2" s="5" t="s">
        <v>112</v>
      </c>
      <c r="DK2" s="5" t="s">
        <v>113</v>
      </c>
      <c r="DL2" s="5" t="s">
        <v>114</v>
      </c>
      <c r="DM2" s="5" t="s">
        <v>115</v>
      </c>
      <c r="DN2" s="5" t="s">
        <v>116</v>
      </c>
      <c r="DO2" s="5" t="s">
        <v>117</v>
      </c>
      <c r="DP2" s="5" t="s">
        <v>118</v>
      </c>
      <c r="DQ2" s="5" t="s">
        <v>119</v>
      </c>
      <c r="DR2" s="5" t="s">
        <v>120</v>
      </c>
      <c r="DS2" s="5" t="s">
        <v>121</v>
      </c>
      <c r="DT2" s="5" t="s">
        <v>122</v>
      </c>
      <c r="DU2" s="5" t="s">
        <v>123</v>
      </c>
      <c r="DV2" s="5" t="s">
        <v>124</v>
      </c>
      <c r="DW2" s="5" t="s">
        <v>125</v>
      </c>
      <c r="DX2" s="5" t="s">
        <v>126</v>
      </c>
      <c r="DY2" s="5" t="s">
        <v>127</v>
      </c>
      <c r="DZ2" s="5" t="s">
        <v>128</v>
      </c>
      <c r="EA2" s="5" t="s">
        <v>129</v>
      </c>
      <c r="EB2" s="5" t="s">
        <v>130</v>
      </c>
      <c r="EC2" s="5" t="s">
        <v>131</v>
      </c>
      <c r="ED2" s="5" t="s">
        <v>132</v>
      </c>
      <c r="EE2" s="5" t="s">
        <v>133</v>
      </c>
      <c r="EF2" s="5" t="s">
        <v>134</v>
      </c>
      <c r="EG2" s="5" t="s">
        <v>135</v>
      </c>
    </row>
    <row r="3" spans="1:137">
      <c r="A3" s="7"/>
      <c r="B3" s="5" t="s">
        <v>136</v>
      </c>
      <c r="C3" s="21">
        <f>預測IC!C3</f>
        <v>3.6997013757333698E-2</v>
      </c>
      <c r="D3" s="21">
        <f>預測IC!D3</f>
        <v>3.3297817500003282E-2</v>
      </c>
      <c r="E3" s="21">
        <f>預測IC!E3</f>
        <v>1.542163833496168E-2</v>
      </c>
      <c r="F3" s="21">
        <f>預測IC!F3</f>
        <v>1.6456982644761711E-2</v>
      </c>
      <c r="G3" s="21">
        <f>預測IC!G3</f>
        <v>1.7226210935333459E-2</v>
      </c>
      <c r="H3" s="21">
        <f>預測IC!H3</f>
        <v>2.8764108032567459E-2</v>
      </c>
      <c r="I3" s="21">
        <f>預測IC!I3</f>
        <v>2.427932822777535E-2</v>
      </c>
      <c r="J3" s="21">
        <f>預測IC!J3</f>
        <v>2.731641860027573E-2</v>
      </c>
      <c r="K3" s="21">
        <f>預測IC!K3</f>
        <v>3.0174004661944549E-2</v>
      </c>
      <c r="L3" s="21">
        <f>預測IC!L3</f>
        <v>2.5236297001741709E-2</v>
      </c>
      <c r="M3" s="21">
        <f>預測IC!M3</f>
        <v>3.2729103566482703E-2</v>
      </c>
      <c r="N3" s="21">
        <f>預測IC!N3</f>
        <v>3.1554761397993208E-2</v>
      </c>
      <c r="O3" s="21">
        <f>預測IC!O3</f>
        <v>3.4033301690891533E-2</v>
      </c>
      <c r="P3" s="21">
        <f>預測IC!P3</f>
        <v>3.321291110249007E-2</v>
      </c>
      <c r="Q3" s="21">
        <f>預測IC!Q3</f>
        <v>2.910333512892541E-2</v>
      </c>
      <c r="R3" s="21">
        <f>預測IC!R3</f>
        <v>2.6473653115280309E-2</v>
      </c>
      <c r="S3" s="21">
        <f>預測IC!S3</f>
        <v>2.8295345986913231E-2</v>
      </c>
      <c r="T3" s="21">
        <f>預測IC!T3</f>
        <v>2.262072807092802E-2</v>
      </c>
      <c r="U3" s="21">
        <f>預測IC!U3</f>
        <v>1.614400695132448E-2</v>
      </c>
      <c r="V3" s="21">
        <f>預測IC!V3</f>
        <v>2.5033177832038969E-2</v>
      </c>
      <c r="W3" s="21">
        <f>預測IC!W3</f>
        <v>4.5784045042201092E-2</v>
      </c>
      <c r="X3" s="21">
        <f>預測IC!X3</f>
        <v>4.3057813861526573E-2</v>
      </c>
      <c r="Y3" s="21">
        <f>預測IC!Y3</f>
        <v>3.778574554965778E-2</v>
      </c>
      <c r="Z3" s="21">
        <f>預測IC!Z3</f>
        <v>2.409745457622987E-2</v>
      </c>
      <c r="AA3" s="21">
        <f>預測IC!AA3</f>
        <v>3.009442686823352E-2</v>
      </c>
      <c r="AB3" s="21">
        <f>預測IC!AB3</f>
        <v>2.8087063172378191E-2</v>
      </c>
      <c r="AC3" s="21">
        <f>預測IC!AC3</f>
        <v>3.3771066806544549E-2</v>
      </c>
      <c r="AD3" s="21">
        <f>預測IC!AD3</f>
        <v>3.413170384138306E-2</v>
      </c>
      <c r="AE3" s="21">
        <f>預測IC!AE3</f>
        <v>3.4141408533312018E-2</v>
      </c>
      <c r="AF3" s="21">
        <f>預測IC!AF3</f>
        <v>1.3117941025955079E-2</v>
      </c>
      <c r="AG3" s="21">
        <f>預測IC!AG3</f>
        <v>2.485735401293461E-2</v>
      </c>
      <c r="AH3" s="21">
        <f>預測IC!AH3</f>
        <v>3.1884444011299258E-2</v>
      </c>
      <c r="AI3" s="21">
        <f>預測IC!AI3</f>
        <v>3.6385761193522617E-2</v>
      </c>
      <c r="AJ3" s="21">
        <f>預測IC!AJ3</f>
        <v>3.5948919429733099E-2</v>
      </c>
      <c r="AK3" s="21">
        <f>預測IC!AK3</f>
        <v>4.3482830969963061E-2</v>
      </c>
      <c r="AL3" s="21">
        <f>預測IC!AL3</f>
        <v>3.8462077568039821E-2</v>
      </c>
      <c r="AM3" s="21">
        <f>預測IC!AM3</f>
        <v>3.9410244165835981E-2</v>
      </c>
      <c r="AN3" s="21">
        <f>預測IC!AN3</f>
        <v>5.0743620516414449E-2</v>
      </c>
      <c r="AO3" s="21">
        <f>預測IC!AO3</f>
        <v>5.3684811620656171E-2</v>
      </c>
      <c r="AP3" s="21">
        <f>預測IC!AP3</f>
        <v>4.9314899356547669E-2</v>
      </c>
      <c r="AQ3" s="21">
        <f>預測IC!AQ3</f>
        <v>3.2773687722358558E-2</v>
      </c>
      <c r="AR3" s="21">
        <f>預測IC!AR3</f>
        <v>2.8295340626825871E-2</v>
      </c>
      <c r="AS3" s="21">
        <f>預測IC!AS3</f>
        <v>2.8377802599917339E-2</v>
      </c>
      <c r="AT3" s="21">
        <f>預測IC!AT3</f>
        <v>2.306922946025217E-2</v>
      </c>
      <c r="AU3" s="21">
        <f>預測IC!AU3</f>
        <v>2.9397032882625889E-2</v>
      </c>
      <c r="AV3" s="21">
        <f>預測IC!AV3</f>
        <v>3.103785222722218E-2</v>
      </c>
      <c r="AW3" s="21">
        <f>預測IC!AW3</f>
        <v>2.6297924056821211E-2</v>
      </c>
      <c r="AX3" s="21">
        <f>預測IC!AX3</f>
        <v>2.6164811358804361E-2</v>
      </c>
      <c r="AY3" s="21">
        <f>預測IC!AY3</f>
        <v>3.2053783671709642E-2</v>
      </c>
      <c r="AZ3" s="21">
        <f>預測IC!AZ3</f>
        <v>3.4477530774765272E-2</v>
      </c>
      <c r="BA3" s="21">
        <f>預測IC!BA3</f>
        <v>2.9331890747661678E-2</v>
      </c>
      <c r="BB3" s="21">
        <f>預測IC!BB3</f>
        <v>3.4324947588369341E-2</v>
      </c>
      <c r="BC3" s="21">
        <f>預測IC!BC3</f>
        <v>3.742177693859082E-2</v>
      </c>
      <c r="BD3" s="21">
        <f>預測IC!BD3</f>
        <v>3.141372245226793E-2</v>
      </c>
      <c r="BE3" s="21">
        <f>預測IC!BE3</f>
        <v>3.2006411062996218E-2</v>
      </c>
      <c r="BF3" s="21">
        <f>預測IC!BF3</f>
        <v>2.828182773285309E-2</v>
      </c>
      <c r="BG3" s="21">
        <f>預測IC!BG3</f>
        <v>4.1103436715196499E-2</v>
      </c>
      <c r="BH3" s="21">
        <f>預測IC!BH3</f>
        <v>4.5198779339126277E-2</v>
      </c>
      <c r="BI3" s="21">
        <f>預測IC!BI3</f>
        <v>4.1588040384802467E-2</v>
      </c>
      <c r="BJ3" s="21">
        <f>預測IC!BJ3</f>
        <v>4.0723405736309601E-2</v>
      </c>
      <c r="BK3" s="21">
        <f>預測IC!BK3</f>
        <v>3.6327700059770963E-2</v>
      </c>
      <c r="BL3" s="21">
        <f>預測IC!BL3</f>
        <v>3.6173192149872829E-2</v>
      </c>
      <c r="BM3" s="21">
        <f>預測IC!BM3</f>
        <v>3.7708587815686451E-2</v>
      </c>
      <c r="BN3" s="21">
        <f>預測IC!BN3</f>
        <v>3.0814038130409348E-2</v>
      </c>
      <c r="BO3" s="21">
        <f>預測IC!BO3</f>
        <v>3.065585577146604E-2</v>
      </c>
      <c r="BP3" s="21">
        <f>預測IC!BP3</f>
        <v>3.4399631895121928E-2</v>
      </c>
      <c r="BQ3" s="21">
        <f>預測IC!BQ3</f>
        <v>3.4868650026028229E-2</v>
      </c>
      <c r="BR3" s="21">
        <f>預測IC!BR3</f>
        <v>3.6324039848933801E-2</v>
      </c>
      <c r="BS3" s="21">
        <f>預測IC!BS3</f>
        <v>3.6164468096582629E-2</v>
      </c>
      <c r="BT3" s="21">
        <f>預測IC!BT3</f>
        <v>3.8668894956456937E-2</v>
      </c>
      <c r="BU3" s="21">
        <f>預測IC!BU3</f>
        <v>4.1103483948852763E-2</v>
      </c>
      <c r="BV3" s="21">
        <f>預測IC!BV3</f>
        <v>2.8684133448632881E-2</v>
      </c>
      <c r="BW3" s="21">
        <f>預測IC!BW3</f>
        <v>3.521650986163926E-2</v>
      </c>
      <c r="BX3" s="21">
        <f>預測IC!BX3</f>
        <v>4.0767200067914261E-2</v>
      </c>
      <c r="BY3" s="21">
        <f>預測IC!BY3</f>
        <v>2.160353774972024E-2</v>
      </c>
      <c r="BZ3" s="21">
        <f>預測IC!BZ3</f>
        <v>3.0433668800390778E-2</v>
      </c>
      <c r="CA3" s="21">
        <f>預測IC!CA3</f>
        <v>3.7311958080318418E-2</v>
      </c>
      <c r="CB3" s="21">
        <f>預測IC!CB3</f>
        <v>2.7612053143104789E-2</v>
      </c>
      <c r="CC3" s="21">
        <f>預測IC!CC3</f>
        <v>1.9742954750447479E-2</v>
      </c>
      <c r="CD3" s="21">
        <f>預測IC!CD3</f>
        <v>7.791460166144233E-3</v>
      </c>
      <c r="CE3" s="21">
        <f>預測IC!CE3</f>
        <v>2.2526806957081459E-2</v>
      </c>
      <c r="CF3" s="21">
        <f>預測IC!CF3</f>
        <v>3.4778187915741783E-2</v>
      </c>
      <c r="CG3" s="21">
        <f>預測IC!CG3</f>
        <v>3.2581362027151728E-2</v>
      </c>
      <c r="CH3" s="21">
        <f>預測IC!CH3</f>
        <v>4.0909001215823582E-2</v>
      </c>
      <c r="CI3" s="21">
        <f>預測IC!CI3</f>
        <v>3.9050253240311222E-2</v>
      </c>
      <c r="CJ3" s="21">
        <f>預測IC!CJ3</f>
        <v>2.4561899640003909E-2</v>
      </c>
      <c r="CK3" s="21">
        <f>預測IC!CK3</f>
        <v>3.413446187252573E-2</v>
      </c>
      <c r="CL3" s="21">
        <f>預測IC!CL3</f>
        <v>3.5925937532879773E-2</v>
      </c>
      <c r="CM3" s="21">
        <f>預測IC!CM3</f>
        <v>4.2466042159304301E-2</v>
      </c>
      <c r="CN3" s="21">
        <f>預測IC!CN3</f>
        <v>3.6523906516241801E-2</v>
      </c>
      <c r="CO3" s="21">
        <f>預測IC!CO3</f>
        <v>3.765914957102829E-2</v>
      </c>
      <c r="CP3" s="21">
        <f>預測IC!CP3</f>
        <v>3.9957834472595419E-2</v>
      </c>
      <c r="CQ3" s="21">
        <f>預測IC!CQ3</f>
        <v>-4.5921902670845423E-3</v>
      </c>
      <c r="CR3" s="21">
        <f>預測IC!CR3</f>
        <v>1.500343045059385E-2</v>
      </c>
      <c r="CS3" s="21">
        <f>預測IC!CS3</f>
        <v>2.2458754318599651E-2</v>
      </c>
      <c r="CT3" s="21">
        <f>預測IC!CT3</f>
        <v>4.0972167824902372E-2</v>
      </c>
      <c r="CU3" s="21">
        <f>預測IC!CU3</f>
        <v>3.8942373224816529E-2</v>
      </c>
      <c r="CV3" s="21">
        <f>預測IC!CV3</f>
        <v>4.3015000500199303E-2</v>
      </c>
      <c r="CW3" s="21">
        <f>預測IC!CW3</f>
        <v>3.9706600079107618E-2</v>
      </c>
      <c r="CX3" s="21">
        <f>預測IC!CX3</f>
        <v>3.9171022856911548E-2</v>
      </c>
      <c r="CY3" s="21">
        <f>預測IC!CY3</f>
        <v>3.4940834769569752E-2</v>
      </c>
      <c r="CZ3" s="21">
        <f>預測IC!CZ3</f>
        <v>3.6026834228159298E-2</v>
      </c>
      <c r="DA3" s="21">
        <f>預測IC!DA3</f>
        <v>4.450954814790925E-2</v>
      </c>
      <c r="DB3" s="21">
        <f>預測IC!DB3</f>
        <v>3.9322897230046248E-2</v>
      </c>
      <c r="DC3" s="21">
        <f>預測IC!DC3</f>
        <v>3.7933403354666211E-2</v>
      </c>
      <c r="DD3" s="21">
        <f>預測IC!DD3</f>
        <v>3.9075000966415717E-2</v>
      </c>
      <c r="DE3" s="21">
        <f>預測IC!DE3</f>
        <v>4.199397627237688E-2</v>
      </c>
      <c r="DF3" s="21">
        <f>預測IC!DF3</f>
        <v>4.1965348731106439E-2</v>
      </c>
      <c r="DG3" s="21">
        <f>預測IC!DG3</f>
        <v>4.0382244799122918E-2</v>
      </c>
      <c r="DH3" s="21">
        <f>預測IC!DH3</f>
        <v>3.6787240146963857E-2</v>
      </c>
      <c r="DI3" s="21">
        <f>預測IC!DI3</f>
        <v>3.6877765546082367E-2</v>
      </c>
      <c r="DJ3" s="21">
        <f>預測IC!DJ3</f>
        <v>3.368209367541955E-2</v>
      </c>
      <c r="DK3" s="21">
        <f>預測IC!DK3</f>
        <v>3.6536443043095952E-2</v>
      </c>
      <c r="DL3" s="21">
        <f>預測IC!DL3</f>
        <v>3.1530556219024453E-2</v>
      </c>
      <c r="DM3" s="21">
        <f>預測IC!DM3</f>
        <v>2.866223764473836E-2</v>
      </c>
      <c r="DN3" s="21">
        <f>預測IC!DN3</f>
        <v>3.0844743252797239E-2</v>
      </c>
      <c r="DO3" s="21">
        <f>預測IC!DO3</f>
        <v>3.3675363611272838E-2</v>
      </c>
      <c r="DP3" s="21">
        <f>預測IC!DP3</f>
        <v>3.5102177512429639E-2</v>
      </c>
      <c r="DQ3" s="21">
        <f>預測IC!DQ3</f>
        <v>3.6708207074369593E-2</v>
      </c>
      <c r="DR3" s="21">
        <f>預測IC!DR3</f>
        <v>3.4114421599711522E-2</v>
      </c>
      <c r="DS3" s="21">
        <f>預測IC!DS3</f>
        <v>3.6715906439180969E-2</v>
      </c>
      <c r="DT3" s="21">
        <f>預測IC!DT3</f>
        <v>3.4828052772429188E-2</v>
      </c>
      <c r="DU3" s="21">
        <f>預測IC!DU3</f>
        <v>2.3365577264107731E-2</v>
      </c>
      <c r="DV3" s="21">
        <f>預測IC!DV3</f>
        <v>2.524093892652959E-2</v>
      </c>
      <c r="DW3" s="21">
        <f>預測IC!DW3</f>
        <v>3.5159202684512107E-2</v>
      </c>
      <c r="DX3" s="21">
        <f>預測IC!DX3</f>
        <v>3.2304964005665182E-2</v>
      </c>
      <c r="DY3" s="21">
        <f>預測IC!DY3</f>
        <v>2.325821710130703E-2</v>
      </c>
      <c r="DZ3" s="21">
        <f>預測IC!DZ3</f>
        <v>2.8308751932577921E-2</v>
      </c>
      <c r="EA3" s="21">
        <f>預測IC!EA3</f>
        <v>3.1397321824344362E-2</v>
      </c>
      <c r="EB3" s="21">
        <f>預測IC!EB3</f>
        <v>3.723081253221186E-2</v>
      </c>
      <c r="EC3" s="21">
        <f>預測IC!EC3</f>
        <v>3.3346090074484303E-2</v>
      </c>
      <c r="ED3" s="21">
        <f>預測IC!ED3</f>
        <v>3.4186640907954438E-2</v>
      </c>
      <c r="EE3" s="21">
        <f>預測IC!EE3</f>
        <v>2.5041157579864491E-2</v>
      </c>
      <c r="EF3" s="21">
        <f>預測IC!EF3</f>
        <v>3.4121434975122142E-2</v>
      </c>
      <c r="EG3" s="1"/>
    </row>
    <row r="4" spans="1:137">
      <c r="A4" s="7"/>
      <c r="B4" s="5" t="s">
        <v>137</v>
      </c>
      <c r="C4" s="21">
        <f>預測IC!C4</f>
        <v>-4.9660484307830009E-2</v>
      </c>
      <c r="D4" s="21">
        <f>預測IC!D4</f>
        <v>-6.5232195080165353E-2</v>
      </c>
      <c r="E4" s="21">
        <f>預測IC!E4</f>
        <v>-9.3874054199500026E-2</v>
      </c>
      <c r="F4" s="21">
        <f>預測IC!F4</f>
        <v>-7.3843592245097373E-2</v>
      </c>
      <c r="G4" s="21">
        <f>預測IC!G4</f>
        <v>-2.745888685018728E-2</v>
      </c>
      <c r="H4" s="21">
        <f>預測IC!H4</f>
        <v>-3.3398565611267667E-2</v>
      </c>
      <c r="I4" s="21">
        <f>預測IC!I4</f>
        <v>-4.7136189417385607E-2</v>
      </c>
      <c r="J4" s="21">
        <f>預測IC!J4</f>
        <v>-4.6203432590894752E-2</v>
      </c>
      <c r="K4" s="21">
        <f>預測IC!K4</f>
        <v>-4.5932097646850877E-2</v>
      </c>
      <c r="L4" s="21">
        <f>預測IC!L4</f>
        <v>-3.9679751627069763E-2</v>
      </c>
      <c r="M4" s="21">
        <f>預測IC!M4</f>
        <v>-1.8734336084315021E-2</v>
      </c>
      <c r="N4" s="21">
        <f>預測IC!N4</f>
        <v>-3.5831351641089762E-2</v>
      </c>
      <c r="O4" s="21">
        <f>預測IC!O4</f>
        <v>-5.70229981056335E-2</v>
      </c>
      <c r="P4" s="21">
        <f>預測IC!P4</f>
        <v>-4.2462781327895993E-2</v>
      </c>
      <c r="Q4" s="21">
        <f>預測IC!Q4</f>
        <v>-3.7772394962975513E-2</v>
      </c>
      <c r="R4" s="21">
        <f>預測IC!R4</f>
        <v>-2.862835448000129E-2</v>
      </c>
      <c r="S4" s="21">
        <f>預測IC!S4</f>
        <v>-3.099793016810054E-2</v>
      </c>
      <c r="T4" s="21">
        <f>預測IC!T4</f>
        <v>-6.7042254023675389E-3</v>
      </c>
      <c r="U4" s="21">
        <f>預測IC!U4</f>
        <v>-3.5326677132364037E-2</v>
      </c>
      <c r="V4" s="21">
        <f>預測IC!V4</f>
        <v>-2.9502132625226989E-2</v>
      </c>
      <c r="W4" s="21">
        <f>預測IC!W4</f>
        <v>-4.1243395472264313E-2</v>
      </c>
      <c r="X4" s="21">
        <f>預測IC!X4</f>
        <v>-5.4483491647159897E-2</v>
      </c>
      <c r="Y4" s="21">
        <f>預測IC!Y4</f>
        <v>-5.7374231531351433E-2</v>
      </c>
      <c r="Z4" s="21">
        <f>預測IC!Z4</f>
        <v>-5.0628448585672892E-2</v>
      </c>
      <c r="AA4" s="21">
        <f>預測IC!AA4</f>
        <v>-4.231975801219371E-2</v>
      </c>
      <c r="AB4" s="21">
        <f>預測IC!AB4</f>
        <v>-3.6518861974360411E-2</v>
      </c>
      <c r="AC4" s="21">
        <f>預測IC!AC4</f>
        <v>-3.845543636405753E-2</v>
      </c>
      <c r="AD4" s="21">
        <f>預測IC!AD4</f>
        <v>-3.2603396395427572E-2</v>
      </c>
      <c r="AE4" s="21">
        <f>預測IC!AE4</f>
        <v>-3.4795070629380642E-2</v>
      </c>
      <c r="AF4" s="21">
        <f>預測IC!AF4</f>
        <v>-1.6394819349874201E-3</v>
      </c>
      <c r="AG4" s="21">
        <f>預測IC!AG4</f>
        <v>-3.2239282506807423E-2</v>
      </c>
      <c r="AH4" s="21">
        <f>預測IC!AH4</f>
        <v>-2.5693111006731412E-2</v>
      </c>
      <c r="AI4" s="21">
        <f>預測IC!AI4</f>
        <v>-3.008904130127369E-2</v>
      </c>
      <c r="AJ4" s="21">
        <f>預測IC!AJ4</f>
        <v>-2.971967039544228E-2</v>
      </c>
      <c r="AK4" s="21">
        <f>預測IC!AK4</f>
        <v>-2.274313052691369E-2</v>
      </c>
      <c r="AL4" s="21">
        <f>預測IC!AL4</f>
        <v>-2.5322304879822729E-2</v>
      </c>
      <c r="AM4" s="21">
        <f>預測IC!AM4</f>
        <v>-2.411751658948514E-2</v>
      </c>
      <c r="AN4" s="21">
        <f>預測IC!AN4</f>
        <v>-2.727232649453621E-2</v>
      </c>
      <c r="AO4" s="21">
        <f>預測IC!AO4</f>
        <v>-2.8383253052872079E-2</v>
      </c>
      <c r="AP4" s="21">
        <f>預測IC!AP4</f>
        <v>-2.3965679052040011E-2</v>
      </c>
      <c r="AQ4" s="21">
        <f>預測IC!AQ4</f>
        <v>-2.80485237785515E-2</v>
      </c>
      <c r="AR4" s="21">
        <f>預測IC!AR4</f>
        <v>-1.7736170970874439E-2</v>
      </c>
      <c r="AS4" s="21">
        <f>預測IC!AS4</f>
        <v>-1.39303337439949E-2</v>
      </c>
      <c r="AT4" s="21">
        <f>預測IC!AT4</f>
        <v>-1.2870881079163021E-2</v>
      </c>
      <c r="AU4" s="21">
        <f>預測IC!AU4</f>
        <v>-1.6424059937097849E-2</v>
      </c>
      <c r="AV4" s="21">
        <f>預測IC!AV4</f>
        <v>-2.4039749385437719E-2</v>
      </c>
      <c r="AW4" s="21">
        <f>預測IC!AW4</f>
        <v>-2.1378847766349081E-2</v>
      </c>
      <c r="AX4" s="21">
        <f>預測IC!AX4</f>
        <v>-2.3051468101219511E-2</v>
      </c>
      <c r="AY4" s="21">
        <f>預測IC!AY4</f>
        <v>-2.6631557609926141E-2</v>
      </c>
      <c r="AZ4" s="21">
        <f>預測IC!AZ4</f>
        <v>-1.597851755827499E-2</v>
      </c>
      <c r="BA4" s="21">
        <f>預測IC!BA4</f>
        <v>-2.9633847899323489E-2</v>
      </c>
      <c r="BB4" s="21">
        <f>預測IC!BB4</f>
        <v>-3.6923299522087998E-2</v>
      </c>
      <c r="BC4" s="21">
        <f>預測IC!BC4</f>
        <v>-2.3000784324243968E-2</v>
      </c>
      <c r="BD4" s="21">
        <f>預測IC!BD4</f>
        <v>-2.892210840223592E-2</v>
      </c>
      <c r="BE4" s="21">
        <f>預測IC!BE4</f>
        <v>-3.0957742972803601E-2</v>
      </c>
      <c r="BF4" s="21">
        <f>預測IC!BF4</f>
        <v>-1.8182050049131201E-2</v>
      </c>
      <c r="BG4" s="21">
        <f>預測IC!BG4</f>
        <v>-1.59612129148653E-2</v>
      </c>
      <c r="BH4" s="21">
        <f>預測IC!BH4</f>
        <v>-2.135883022338424E-2</v>
      </c>
      <c r="BI4" s="21">
        <f>預測IC!BI4</f>
        <v>-1.889592453448587E-2</v>
      </c>
      <c r="BJ4" s="21">
        <f>預測IC!BJ4</f>
        <v>-2.1053002135234831E-2</v>
      </c>
      <c r="BK4" s="21">
        <f>預測IC!BK4</f>
        <v>-2.6612022761366049E-2</v>
      </c>
      <c r="BL4" s="21">
        <f>預測IC!BL4</f>
        <v>-1.7576953748392139E-2</v>
      </c>
      <c r="BM4" s="21">
        <f>預測IC!BM4</f>
        <v>-2.1846218109135389E-2</v>
      </c>
      <c r="BN4" s="21">
        <f>預測IC!BN4</f>
        <v>-1.558178680666511E-2</v>
      </c>
      <c r="BO4" s="21">
        <f>預測IC!BO4</f>
        <v>-6.5029895709140294E-3</v>
      </c>
      <c r="BP4" s="21">
        <f>預測IC!BP4</f>
        <v>-1.217191420200061E-2</v>
      </c>
      <c r="BQ4" s="21">
        <f>預測IC!BQ4</f>
        <v>-1.0666510831082679E-3</v>
      </c>
      <c r="BR4" s="21">
        <f>預測IC!BR4</f>
        <v>-7.8848633119188317E-3</v>
      </c>
      <c r="BS4" s="21">
        <f>預測IC!BS4</f>
        <v>-1.1588282276333789E-2</v>
      </c>
      <c r="BT4" s="21">
        <f>預測IC!BT4</f>
        <v>-1.6350563096253809E-2</v>
      </c>
      <c r="BU4" s="21">
        <f>預測IC!BU4</f>
        <v>-1.7287992540061109E-3</v>
      </c>
      <c r="BV4" s="21">
        <f>預測IC!BV4</f>
        <v>1.285828832716631E-2</v>
      </c>
      <c r="BW4" s="21">
        <f>預測IC!BW4</f>
        <v>-7.6302480414426601E-3</v>
      </c>
      <c r="BX4" s="21">
        <f>預測IC!BX4</f>
        <v>-1.6045395009791349E-2</v>
      </c>
      <c r="BY4" s="21">
        <f>預測IC!BY4</f>
        <v>-1.8894754178095271E-2</v>
      </c>
      <c r="BZ4" s="21">
        <f>預測IC!BZ4</f>
        <v>-4.1567566104242478E-3</v>
      </c>
      <c r="CA4" s="21">
        <f>預測IC!CA4</f>
        <v>-1.710017537951062E-2</v>
      </c>
      <c r="CB4" s="21">
        <f>預測IC!CB4</f>
        <v>-2.2304157428424391E-2</v>
      </c>
      <c r="CC4" s="21">
        <f>預測IC!CC4</f>
        <v>-4.111205153911144E-2</v>
      </c>
      <c r="CD4" s="21">
        <f>預測IC!CD4</f>
        <v>-3.2535405185557913E-2</v>
      </c>
      <c r="CE4" s="21">
        <f>預測IC!CE4</f>
        <v>-3.0323266480776649E-2</v>
      </c>
      <c r="CF4" s="21">
        <f>預測IC!CF4</f>
        <v>-6.1293189114789898E-2</v>
      </c>
      <c r="CG4" s="21">
        <f>預測IC!CG4</f>
        <v>-4.4169748382986783E-2</v>
      </c>
      <c r="CH4" s="21">
        <f>預測IC!CH4</f>
        <v>-2.4897657851006831E-2</v>
      </c>
      <c r="CI4" s="21">
        <f>預測IC!CI4</f>
        <v>-1.773490777748107E-2</v>
      </c>
      <c r="CJ4" s="21">
        <f>預測IC!CJ4</f>
        <v>-1.149415603536374E-2</v>
      </c>
      <c r="CK4" s="21">
        <f>預測IC!CK4</f>
        <v>-1.591073109149212E-2</v>
      </c>
      <c r="CL4" s="21">
        <f>預測IC!CL4</f>
        <v>-1.553664078255448E-2</v>
      </c>
      <c r="CM4" s="21">
        <f>預測IC!CM4</f>
        <v>-1.9141804743850431E-2</v>
      </c>
      <c r="CN4" s="21">
        <f>預測IC!CN4</f>
        <v>8.0304455212189402E-3</v>
      </c>
      <c r="CO4" s="21">
        <f>預測IC!CO4</f>
        <v>5.7365987476290974E-3</v>
      </c>
      <c r="CP4" s="21">
        <f>預測IC!CP4</f>
        <v>-6.5301402173690883E-3</v>
      </c>
      <c r="CQ4" s="21">
        <f>預測IC!CQ4</f>
        <v>2.4291588095023031E-3</v>
      </c>
      <c r="CR4" s="21">
        <f>預測IC!CR4</f>
        <v>-1.917966682871176E-2</v>
      </c>
      <c r="CS4" s="21">
        <f>預測IC!CS4</f>
        <v>-2.334741602504313E-2</v>
      </c>
      <c r="CT4" s="21">
        <f>預測IC!CT4</f>
        <v>-2.178933391007621E-2</v>
      </c>
      <c r="CU4" s="21">
        <f>預測IC!CU4</f>
        <v>-2.9507578237515441E-2</v>
      </c>
      <c r="CV4" s="21">
        <f>預測IC!CV4</f>
        <v>-2.4863141676227461E-2</v>
      </c>
      <c r="CW4" s="21">
        <f>預測IC!CW4</f>
        <v>-2.2836003990752241E-2</v>
      </c>
      <c r="CX4" s="21">
        <f>預測IC!CX4</f>
        <v>-2.2235746171206432E-2</v>
      </c>
      <c r="CY4" s="21">
        <f>預測IC!CY4</f>
        <v>-2.5586844579715249E-2</v>
      </c>
      <c r="CZ4" s="21">
        <f>預測IC!CZ4</f>
        <v>-3.0231054830945629E-2</v>
      </c>
      <c r="DA4" s="21">
        <f>預測IC!DA4</f>
        <v>-4.3224114563057553E-2</v>
      </c>
      <c r="DB4" s="21">
        <f>預測IC!DB4</f>
        <v>-4.4725026400587967E-2</v>
      </c>
      <c r="DC4" s="21">
        <f>預測IC!DC4</f>
        <v>-7.0760377239426644E-2</v>
      </c>
      <c r="DD4" s="21">
        <f>預測IC!DD4</f>
        <v>-5.7610036798158112E-2</v>
      </c>
      <c r="DE4" s="21">
        <f>預測IC!DE4</f>
        <v>-3.404219099480222E-2</v>
      </c>
      <c r="DF4" s="21">
        <f>預測IC!DF4</f>
        <v>-2.7183797543947438E-2</v>
      </c>
      <c r="DG4" s="21">
        <f>預測IC!DG4</f>
        <v>-3.5052644373932129E-2</v>
      </c>
      <c r="DH4" s="21">
        <f>預測IC!DH4</f>
        <v>-8.428399037687339E-3</v>
      </c>
      <c r="DI4" s="21">
        <f>預測IC!DI4</f>
        <v>-3.6370881039868713E-2</v>
      </c>
      <c r="DJ4" s="21">
        <f>預測IC!DJ4</f>
        <v>-3.7819313396098023E-2</v>
      </c>
      <c r="DK4" s="21">
        <f>預測IC!DK4</f>
        <v>-2.702995348835956E-2</v>
      </c>
      <c r="DL4" s="21">
        <f>預測IC!DL4</f>
        <v>-1.9450420003777492E-2</v>
      </c>
      <c r="DM4" s="21">
        <f>預測IC!DM4</f>
        <v>-1.8687387511566969E-2</v>
      </c>
      <c r="DN4" s="21">
        <f>預測IC!DN4</f>
        <v>-8.9243337838529595E-3</v>
      </c>
      <c r="DO4" s="21">
        <f>預測IC!DO4</f>
        <v>-2.2448412563485658E-2</v>
      </c>
      <c r="DP4" s="21">
        <f>預測IC!DP4</f>
        <v>-2.9487498188438439E-2</v>
      </c>
      <c r="DQ4" s="21">
        <f>預測IC!DQ4</f>
        <v>-3.6680869276058257E-2</v>
      </c>
      <c r="DR4" s="21">
        <f>預測IC!DR4</f>
        <v>-2.964822814067369E-2</v>
      </c>
      <c r="DS4" s="21">
        <f>預測IC!DS4</f>
        <v>-2.8893370012943329E-2</v>
      </c>
      <c r="DT4" s="21">
        <f>預測IC!DT4</f>
        <v>-4.1056175553995593E-2</v>
      </c>
      <c r="DU4" s="21">
        <f>預測IC!DU4</f>
        <v>-3.7310764401418541E-2</v>
      </c>
      <c r="DV4" s="21">
        <f>預測IC!DV4</f>
        <v>-9.8104083511435913E-3</v>
      </c>
      <c r="DW4" s="21">
        <f>預測IC!DW4</f>
        <v>-1.9249126149739601E-2</v>
      </c>
      <c r="DX4" s="21">
        <f>預測IC!DX4</f>
        <v>-3.0385994354775469E-2</v>
      </c>
      <c r="DY4" s="21">
        <f>預測IC!DY4</f>
        <v>-3.3048945391833368E-2</v>
      </c>
      <c r="DZ4" s="21">
        <f>預測IC!DZ4</f>
        <v>-3.0875828777379061E-2</v>
      </c>
      <c r="EA4" s="21">
        <f>預測IC!EA4</f>
        <v>-3.1659361830993098E-2</v>
      </c>
      <c r="EB4" s="21">
        <f>預測IC!EB4</f>
        <v>-3.4389624405496783E-2</v>
      </c>
      <c r="EC4" s="21">
        <f>預測IC!EC4</f>
        <v>-4.1069385194225268E-2</v>
      </c>
      <c r="ED4" s="21">
        <f>預測IC!ED4</f>
        <v>-3.100505897009637E-2</v>
      </c>
      <c r="EE4" s="21">
        <f>預測IC!EE4</f>
        <v>-2.307612898354422E-2</v>
      </c>
      <c r="EF4" s="21">
        <f>預測IC!EF4</f>
        <v>-1.1421019476021661E-2</v>
      </c>
      <c r="EG4" s="1"/>
    </row>
    <row r="5" spans="1:137">
      <c r="A5" s="7"/>
      <c r="B5" s="8" t="s">
        <v>138</v>
      </c>
      <c r="C5" s="21">
        <f>預測IC!C5</f>
        <v>3.592321643530621E-3</v>
      </c>
      <c r="D5" s="21">
        <f>預測IC!D5</f>
        <v>2.8862197223557262E-3</v>
      </c>
      <c r="E5" s="21">
        <f>預測IC!E5</f>
        <v>8.0135071589913301E-3</v>
      </c>
      <c r="F5" s="21">
        <f>預測IC!F5</f>
        <v>7.4387135878969382E-3</v>
      </c>
      <c r="G5" s="21">
        <f>預測IC!G5</f>
        <v>-1.698488952144591E-4</v>
      </c>
      <c r="H5" s="21">
        <f>預測IC!H5</f>
        <v>9.1359420815390231E-3</v>
      </c>
      <c r="I5" s="21">
        <f>預測IC!I5</f>
        <v>1.2007171314759381E-2</v>
      </c>
      <c r="J5" s="21">
        <f>預測IC!J5</f>
        <v>5.9464452790785093E-3</v>
      </c>
      <c r="K5" s="21">
        <f>預測IC!K5</f>
        <v>1.6591641238482821E-2</v>
      </c>
      <c r="L5" s="21">
        <f>預測IC!L5</f>
        <v>1.920161893371632E-2</v>
      </c>
      <c r="M5" s="21">
        <f>預測IC!M5</f>
        <v>1.9701815290587801E-2</v>
      </c>
      <c r="N5" s="21">
        <f>預測IC!N5</f>
        <v>2.0161711803974011E-2</v>
      </c>
      <c r="O5" s="21">
        <f>預測IC!O5</f>
        <v>1.3437225514017491E-2</v>
      </c>
      <c r="P5" s="21">
        <f>預測IC!P5</f>
        <v>1.7638047330766411E-2</v>
      </c>
      <c r="Q5" s="21">
        <f>預測IC!Q5</f>
        <v>1.3117422271736861E-2</v>
      </c>
      <c r="R5" s="21">
        <f>預測IC!R5</f>
        <v>1.345674557846294E-2</v>
      </c>
      <c r="S5" s="21">
        <f>預測IC!S5</f>
        <v>1.6544045810315121E-2</v>
      </c>
      <c r="T5" s="21">
        <f>預測IC!T5</f>
        <v>1.588127346287815E-2</v>
      </c>
      <c r="U5" s="21">
        <f>預測IC!U5</f>
        <v>2.5940277266489609E-2</v>
      </c>
      <c r="V5" s="21">
        <f>預測IC!V5</f>
        <v>1.968064199513106E-2</v>
      </c>
      <c r="W5" s="21">
        <f>預測IC!W5</f>
        <v>3.2681747373401578E-2</v>
      </c>
      <c r="X5" s="21">
        <f>預測IC!X5</f>
        <v>2.88193361747647E-2</v>
      </c>
      <c r="Y5" s="21">
        <f>預測IC!Y5</f>
        <v>-3.6096516306345743E-2</v>
      </c>
      <c r="Z5" s="21">
        <f>預測IC!Z5</f>
        <v>-5.819473766386217E-3</v>
      </c>
      <c r="AA5" s="21">
        <f>預測IC!AA5</f>
        <v>-1.384361877178903E-2</v>
      </c>
      <c r="AB5" s="21">
        <f>預測IC!AB5</f>
        <v>-4.9937139241651593E-2</v>
      </c>
      <c r="AC5" s="21">
        <f>預測IC!AC5</f>
        <v>-9.2081626879443376E-3</v>
      </c>
      <c r="AD5" s="21">
        <f>預測IC!AD5</f>
        <v>-6.5956474854444447E-2</v>
      </c>
      <c r="AE5" s="21">
        <f>預測IC!AE5</f>
        <v>-2.173514574122511E-2</v>
      </c>
      <c r="AF5" s="21">
        <f>預測IC!AF5</f>
        <v>8.972422407877146E-3</v>
      </c>
      <c r="AG5" s="21">
        <f>預測IC!AG5</f>
        <v>-1.1832985971204321E-2</v>
      </c>
      <c r="AH5" s="21">
        <f>預測IC!AH5</f>
        <v>-2.9651907106316919E-3</v>
      </c>
      <c r="AI5" s="21">
        <f>預測IC!AI5</f>
        <v>4.7857326511695827E-3</v>
      </c>
      <c r="AJ5" s="21">
        <f>預測IC!AJ5</f>
        <v>5.7367073977292078E-3</v>
      </c>
      <c r="AK5" s="21">
        <f>預測IC!AK5</f>
        <v>7.392687328147911E-3</v>
      </c>
      <c r="AL5" s="21">
        <f>預測IC!AL5</f>
        <v>-1.8742539375924459E-3</v>
      </c>
      <c r="AM5" s="21">
        <f>預測IC!AM5</f>
        <v>-1.9525231098321519E-3</v>
      </c>
      <c r="AN5" s="21">
        <f>預測IC!AN5</f>
        <v>-3.6238168597597618E-3</v>
      </c>
      <c r="AO5" s="21">
        <f>預測IC!AO5</f>
        <v>-9.160305976377861E-3</v>
      </c>
      <c r="AP5" s="21">
        <f>預測IC!AP5</f>
        <v>2.5415010892232532E-3</v>
      </c>
      <c r="AQ5" s="21">
        <f>預測IC!AQ5</f>
        <v>3.8483729442072112E-3</v>
      </c>
      <c r="AR5" s="21">
        <f>預測IC!AR5</f>
        <v>3.4029774500497689E-3</v>
      </c>
      <c r="AS5" s="21">
        <f>預測IC!AS5</f>
        <v>8.5747228695072812E-4</v>
      </c>
      <c r="AT5" s="21">
        <f>預測IC!AT5</f>
        <v>8.1789276697448558E-3</v>
      </c>
      <c r="AU5" s="21">
        <f>預測IC!AU5</f>
        <v>1.005796764455418E-2</v>
      </c>
      <c r="AV5" s="21">
        <f>預測IC!AV5</f>
        <v>1.1137854065294999E-2</v>
      </c>
      <c r="AW5" s="21">
        <f>預測IC!AW5</f>
        <v>1.337826848807136E-2</v>
      </c>
      <c r="AX5" s="21">
        <f>預測IC!AX5</f>
        <v>1.18848248356704E-2</v>
      </c>
      <c r="AY5" s="21">
        <f>預測IC!AY5</f>
        <v>-6.6054212052508997E-6</v>
      </c>
      <c r="AZ5" s="21">
        <f>預測IC!AZ5</f>
        <v>7.8238778565858352E-3</v>
      </c>
      <c r="BA5" s="21">
        <f>預測IC!BA5</f>
        <v>6.98923551593754E-3</v>
      </c>
      <c r="BB5" s="21">
        <f>預測IC!BB5</f>
        <v>7.1871697288773849E-3</v>
      </c>
      <c r="BC5" s="21">
        <f>預測IC!BC5</f>
        <v>-2.3924143890266141E-3</v>
      </c>
      <c r="BD5" s="21">
        <f>預測IC!BD5</f>
        <v>7.2638542327923324E-4</v>
      </c>
      <c r="BE5" s="21">
        <f>預測IC!BE5</f>
        <v>-2.2265342845179791E-3</v>
      </c>
      <c r="BF5" s="21">
        <f>預測IC!BF5</f>
        <v>-1.044661448632583E-3</v>
      </c>
      <c r="BG5" s="21">
        <f>預測IC!BG5</f>
        <v>-2.071082545210403E-2</v>
      </c>
      <c r="BH5" s="21">
        <f>預測IC!BH5</f>
        <v>-4.4325197973968437E-2</v>
      </c>
      <c r="BI5" s="21">
        <f>預測IC!BI5</f>
        <v>-1.4765945486966079E-2</v>
      </c>
      <c r="BJ5" s="21">
        <f>預測IC!BJ5</f>
        <v>-2.2277758365709211E-2</v>
      </c>
      <c r="BK5" s="21">
        <f>預測IC!BK5</f>
        <v>-2.350667592759435E-2</v>
      </c>
      <c r="BL5" s="21">
        <f>預測IC!BL5</f>
        <v>-1.659613811373151E-2</v>
      </c>
      <c r="BM5" s="21">
        <f>預測IC!BM5</f>
        <v>-3.7766406128849933E-2</v>
      </c>
      <c r="BN5" s="21">
        <f>預測IC!BN5</f>
        <v>-1.0040541012613679E-2</v>
      </c>
      <c r="BO5" s="21">
        <f>預測IC!BO5</f>
        <v>-7.4939665232719018E-3</v>
      </c>
      <c r="BP5" s="21">
        <f>預測IC!BP5</f>
        <v>3.371447827029599E-3</v>
      </c>
      <c r="BQ5" s="21">
        <f>預測IC!BQ5</f>
        <v>6.8205160463408977E-3</v>
      </c>
      <c r="BR5" s="21">
        <f>預測IC!BR5</f>
        <v>5.5997292120069176E-3</v>
      </c>
      <c r="BS5" s="21">
        <f>預測IC!BS5</f>
        <v>1.5475741356267531E-2</v>
      </c>
      <c r="BT5" s="21">
        <f>預測IC!BT5</f>
        <v>2.505139605033146E-3</v>
      </c>
      <c r="BU5" s="21">
        <f>預測IC!BU5</f>
        <v>6.9054048686437997E-3</v>
      </c>
      <c r="BV5" s="21">
        <f>預測IC!BV5</f>
        <v>6.7595125599199234E-3</v>
      </c>
      <c r="BW5" s="21">
        <f>預測IC!BW5</f>
        <v>5.3854477548855081E-3</v>
      </c>
      <c r="BX5" s="21">
        <f>預測IC!BX5</f>
        <v>-5.1415040641252419E-4</v>
      </c>
      <c r="BY5" s="21">
        <f>預測IC!BY5</f>
        <v>-4.2217786474238123E-3</v>
      </c>
      <c r="BZ5" s="21">
        <f>預測IC!BZ5</f>
        <v>1.3635264175112351E-3</v>
      </c>
      <c r="CA5" s="21">
        <f>預測IC!CA5</f>
        <v>1.234011782232132E-2</v>
      </c>
      <c r="CB5" s="21">
        <f>預測IC!CB5</f>
        <v>1.616138172374685E-2</v>
      </c>
      <c r="CC5" s="21">
        <f>預測IC!CC5</f>
        <v>2.1700747371675229E-3</v>
      </c>
      <c r="CD5" s="21">
        <f>預測IC!CD5</f>
        <v>8.3982369302591179E-3</v>
      </c>
      <c r="CE5" s="21">
        <f>預測IC!CE5</f>
        <v>2.9924757275427601E-3</v>
      </c>
      <c r="CF5" s="21">
        <f>預測IC!CF5</f>
        <v>-8.3356639285777159E-4</v>
      </c>
      <c r="CG5" s="21">
        <f>預測IC!CG5</f>
        <v>-7.4006182308146765E-4</v>
      </c>
      <c r="CH5" s="21">
        <f>預測IC!CH5</f>
        <v>-1.191538287503947E-2</v>
      </c>
      <c r="CI5" s="21">
        <f>預測IC!CI5</f>
        <v>-1.445466793303803E-2</v>
      </c>
      <c r="CJ5" s="21">
        <f>預測IC!CJ5</f>
        <v>-7.2598371634770833E-3</v>
      </c>
      <c r="CK5" s="21">
        <f>預測IC!CK5</f>
        <v>-1.2941787548456081E-3</v>
      </c>
      <c r="CL5" s="21">
        <f>預測IC!CL5</f>
        <v>9.4434034914934982E-3</v>
      </c>
      <c r="CM5" s="21">
        <f>預測IC!CM5</f>
        <v>5.1140346103961546E-3</v>
      </c>
      <c r="CN5" s="21">
        <f>預測IC!CN5</f>
        <v>2.873279302798517E-3</v>
      </c>
      <c r="CO5" s="21">
        <f>預測IC!CO5</f>
        <v>1.7240475986858961E-2</v>
      </c>
      <c r="CP5" s="21">
        <f>預測IC!CP5</f>
        <v>1.141421806863863E-2</v>
      </c>
      <c r="CQ5" s="21">
        <f>預測IC!CQ5</f>
        <v>9.0067640458367376E-3</v>
      </c>
      <c r="CR5" s="21">
        <f>預測IC!CR5</f>
        <v>-2.0834521461759619E-3</v>
      </c>
      <c r="CS5" s="21">
        <f>預測IC!CS5</f>
        <v>-2.1705770934876179E-2</v>
      </c>
      <c r="CT5" s="21">
        <f>預測IC!CT5</f>
        <v>-5.3317796351909441E-3</v>
      </c>
      <c r="CU5" s="21">
        <f>預測IC!CU5</f>
        <v>-3.68701425744362E-3</v>
      </c>
      <c r="CV5" s="21">
        <f>預測IC!CV5</f>
        <v>-3.7795651312946363E-2</v>
      </c>
      <c r="CW5" s="21">
        <f>預測IC!CW5</f>
        <v>-1.389414662767193E-2</v>
      </c>
      <c r="CX5" s="21">
        <f>預測IC!CX5</f>
        <v>6.6294897158866908E-3</v>
      </c>
      <c r="CY5" s="21">
        <f>預測IC!CY5</f>
        <v>-8.2669791474472652E-3</v>
      </c>
      <c r="CZ5" s="21">
        <f>預測IC!CZ5</f>
        <v>1.6345621066842339E-3</v>
      </c>
      <c r="DA5" s="21">
        <f>預測IC!DA5</f>
        <v>4.0989739461057587E-4</v>
      </c>
      <c r="DB5" s="21">
        <f>預測IC!DB5</f>
        <v>4.4160124984572238E-3</v>
      </c>
      <c r="DC5" s="21">
        <f>預測IC!DC5</f>
        <v>2.6999676534044229E-2</v>
      </c>
      <c r="DD5" s="21">
        <f>預測IC!DD5</f>
        <v>9.3187860184787523E-3</v>
      </c>
      <c r="DE5" s="21">
        <f>預測IC!DE5</f>
        <v>-7.7970742974550434E-3</v>
      </c>
      <c r="DF5" s="21">
        <f>預測IC!DF5</f>
        <v>-8.1874226333864611E-3</v>
      </c>
      <c r="DG5" s="21">
        <f>預測IC!DG5</f>
        <v>4.7082207843577081E-3</v>
      </c>
      <c r="DH5" s="21">
        <f>預測IC!DH5</f>
        <v>-1.366700326533769E-2</v>
      </c>
      <c r="DI5" s="21">
        <f>預測IC!DI5</f>
        <v>-7.0506889413944297E-3</v>
      </c>
      <c r="DJ5" s="21">
        <f>預測IC!DJ5</f>
        <v>-1.7588579481036151E-3</v>
      </c>
      <c r="DK5" s="21">
        <f>預測IC!DK5</f>
        <v>3.3090688344859318E-3</v>
      </c>
      <c r="DL5" s="21">
        <f>預測IC!DL5</f>
        <v>4.8628677609277053E-3</v>
      </c>
      <c r="DM5" s="21">
        <f>預測IC!DM5</f>
        <v>3.615095063496505E-3</v>
      </c>
      <c r="DN5" s="21">
        <f>預測IC!DN5</f>
        <v>6.2882035928106261E-3</v>
      </c>
      <c r="DO5" s="21">
        <f>預測IC!DO5</f>
        <v>3.5527335435835928E-3</v>
      </c>
      <c r="DP5" s="21">
        <f>預測IC!DP5</f>
        <v>2.522276075432245E-3</v>
      </c>
      <c r="DQ5" s="21">
        <f>預測IC!DQ5</f>
        <v>-1.066481554793703E-2</v>
      </c>
      <c r="DR5" s="21">
        <f>預測IC!DR5</f>
        <v>1.0994664104448231E-2</v>
      </c>
      <c r="DS5" s="21">
        <f>預測IC!DS5</f>
        <v>-6.4490210014508389E-4</v>
      </c>
      <c r="DT5" s="21">
        <f>預測IC!DT5</f>
        <v>2.3512508887306921E-4</v>
      </c>
      <c r="DU5" s="21">
        <f>預測IC!DU5</f>
        <v>7.3690345715555156E-3</v>
      </c>
      <c r="DV5" s="21">
        <f>預測IC!DV5</f>
        <v>6.7783151790338399E-3</v>
      </c>
      <c r="DW5" s="21">
        <f>預測IC!DW5</f>
        <v>-3.7712345710407022E-3</v>
      </c>
      <c r="DX5" s="21">
        <f>預測IC!DX5</f>
        <v>1.105501636716033E-3</v>
      </c>
      <c r="DY5" s="21">
        <f>預測IC!DY5</f>
        <v>3.3867890298772299E-3</v>
      </c>
      <c r="DZ5" s="21">
        <f>預測IC!DZ5</f>
        <v>3.2550462209418539E-3</v>
      </c>
      <c r="EA5" s="21">
        <f>預測IC!EA5</f>
        <v>6.2664247918384338E-3</v>
      </c>
      <c r="EB5" s="21">
        <f>預測IC!EB5</f>
        <v>-1.711276767800882E-2</v>
      </c>
      <c r="EC5" s="21">
        <f>預測IC!EC5</f>
        <v>-2.088664436358852E-2</v>
      </c>
      <c r="ED5" s="21">
        <f>預測IC!ED5</f>
        <v>-1.0693731182181591E-2</v>
      </c>
      <c r="EE5" s="21">
        <f>預測IC!EE5</f>
        <v>-1.1958726691457309E-2</v>
      </c>
      <c r="EF5" s="21">
        <f>預測IC!EF5</f>
        <v>-1.4122559209273111E-2</v>
      </c>
      <c r="EG5" s="1"/>
    </row>
    <row r="6" spans="1:137" s="2" customFormat="1">
      <c r="A6" s="27" t="s">
        <v>139</v>
      </c>
      <c r="B6" s="28"/>
      <c r="C6" s="9">
        <f t="array" ref="C6">MATCH(MAX(ABS(C3:C5)), ABS(C3:C5), 0)</f>
        <v>2</v>
      </c>
      <c r="D6" s="9">
        <f t="array" ref="D6">MATCH(MAX(ABS(D3:D5)), ABS(D3:D5), 0)</f>
        <v>2</v>
      </c>
      <c r="E6" s="9">
        <f t="array" ref="E6">MATCH(MAX(ABS(E3:E5)), ABS(E3:E5), 0)</f>
        <v>2</v>
      </c>
      <c r="F6" s="9">
        <f t="array" ref="F6">MATCH(MAX(ABS(F3:F5)), ABS(F3:F5), 0)</f>
        <v>2</v>
      </c>
      <c r="G6" s="9">
        <f t="array" ref="G6">MATCH(MAX(ABS(G3:G5)), ABS(G3:G5), 0)</f>
        <v>2</v>
      </c>
      <c r="H6" s="9">
        <f t="array" ref="H6">MATCH(MAX(ABS(H3:H5)), ABS(H3:H5), 0)</f>
        <v>2</v>
      </c>
      <c r="I6" s="9">
        <f t="array" ref="I6">MATCH(MAX(ABS(I3:I5)), ABS(I3:I5), 0)</f>
        <v>2</v>
      </c>
      <c r="J6" s="9">
        <f t="array" ref="J6">MATCH(MAX(ABS(J3:J5)), ABS(J3:J5), 0)</f>
        <v>2</v>
      </c>
      <c r="K6" s="9">
        <f t="array" ref="K6">MATCH(MAX(ABS(K3:K5)), ABS(K3:K5), 0)</f>
        <v>2</v>
      </c>
      <c r="L6" s="9">
        <f t="array" ref="L6">MATCH(MAX(ABS(L3:L5)), ABS(L3:L5), 0)</f>
        <v>2</v>
      </c>
      <c r="M6" s="9">
        <f t="array" ref="M6">MATCH(MAX(ABS(M3:M5)), ABS(M3:M5), 0)</f>
        <v>1</v>
      </c>
      <c r="N6" s="9">
        <f t="array" ref="N6">MATCH(MAX(ABS(N3:N5)), ABS(N3:N5), 0)</f>
        <v>2</v>
      </c>
      <c r="O6" s="9">
        <f t="array" ref="O6">MATCH(MAX(ABS(O3:O5)), ABS(O3:O5), 0)</f>
        <v>2</v>
      </c>
      <c r="P6" s="9">
        <f t="array" ref="P6">MATCH(MAX(ABS(P3:P5)), ABS(P3:P5), 0)</f>
        <v>2</v>
      </c>
      <c r="Q6" s="9">
        <f t="array" ref="Q6">MATCH(MAX(ABS(Q3:Q5)), ABS(Q3:Q5), 0)</f>
        <v>2</v>
      </c>
      <c r="R6" s="9">
        <f t="array" ref="R6">MATCH(MAX(ABS(R3:R5)), ABS(R3:R5), 0)</f>
        <v>2</v>
      </c>
      <c r="S6" s="9">
        <f t="array" ref="S6">MATCH(MAX(ABS(S3:S5)), ABS(S3:S5), 0)</f>
        <v>2</v>
      </c>
      <c r="T6" s="9">
        <f t="array" ref="T6">MATCH(MAX(ABS(T3:T5)), ABS(T3:T5), 0)</f>
        <v>1</v>
      </c>
      <c r="U6" s="9">
        <f t="array" ref="U6">MATCH(MAX(ABS(U3:U5)), ABS(U3:U5), 0)</f>
        <v>2</v>
      </c>
      <c r="V6" s="9">
        <f t="array" ref="V6">MATCH(MAX(ABS(V3:V5)), ABS(V3:V5), 0)</f>
        <v>2</v>
      </c>
      <c r="W6" s="9">
        <f t="array" ref="W6">MATCH(MAX(ABS(W3:W5)), ABS(W3:W5), 0)</f>
        <v>1</v>
      </c>
      <c r="X6" s="9">
        <f t="array" ref="X6">MATCH(MAX(ABS(X3:X5)), ABS(X3:X5), 0)</f>
        <v>2</v>
      </c>
      <c r="Y6" s="9">
        <f t="array" ref="Y6">MATCH(MAX(ABS(Y3:Y5)), ABS(Y3:Y5), 0)</f>
        <v>2</v>
      </c>
      <c r="Z6" s="9">
        <f t="array" ref="Z6">MATCH(MAX(ABS(Z3:Z5)), ABS(Z3:Z5), 0)</f>
        <v>2</v>
      </c>
      <c r="AA6" s="9">
        <f t="array" ref="AA6">MATCH(MAX(ABS(AA3:AA5)), ABS(AA3:AA5), 0)</f>
        <v>2</v>
      </c>
      <c r="AB6" s="9">
        <f t="array" ref="AB6">MATCH(MAX(ABS(AB3:AB5)), ABS(AB3:AB5), 0)</f>
        <v>3</v>
      </c>
      <c r="AC6" s="9">
        <f t="array" ref="AC6">MATCH(MAX(ABS(AC3:AC5)), ABS(AC3:AC5), 0)</f>
        <v>2</v>
      </c>
      <c r="AD6" s="9">
        <f t="array" ref="AD6">MATCH(MAX(ABS(AD3:AD5)), ABS(AD3:AD5), 0)</f>
        <v>3</v>
      </c>
      <c r="AE6" s="9">
        <f t="array" ref="AE6">MATCH(MAX(ABS(AE3:AE5)), ABS(AE3:AE5), 0)</f>
        <v>2</v>
      </c>
      <c r="AF6" s="9">
        <f t="array" ref="AF6">MATCH(MAX(ABS(AF3:AF5)), ABS(AF3:AF5), 0)</f>
        <v>1</v>
      </c>
      <c r="AG6" s="9">
        <f t="array" ref="AG6">MATCH(MAX(ABS(AG3:AG5)), ABS(AG3:AG5), 0)</f>
        <v>2</v>
      </c>
      <c r="AH6" s="9">
        <f t="array" ref="AH6">MATCH(MAX(ABS(AH3:AH5)), ABS(AH3:AH5), 0)</f>
        <v>1</v>
      </c>
      <c r="AI6" s="9">
        <f t="array" ref="AI6">MATCH(MAX(ABS(AI3:AI5)), ABS(AI3:AI5), 0)</f>
        <v>1</v>
      </c>
      <c r="AJ6" s="9">
        <f t="array" ref="AJ6">MATCH(MAX(ABS(AJ3:AJ5)), ABS(AJ3:AJ5), 0)</f>
        <v>1</v>
      </c>
      <c r="AK6" s="9">
        <f t="array" ref="AK6">MATCH(MAX(ABS(AK3:AK5)), ABS(AK3:AK5), 0)</f>
        <v>1</v>
      </c>
      <c r="AL6" s="9">
        <f t="array" ref="AL6">MATCH(MAX(ABS(AL3:AL5)), ABS(AL3:AL5), 0)</f>
        <v>1</v>
      </c>
      <c r="AM6" s="9">
        <f t="array" ref="AM6">MATCH(MAX(ABS(AM3:AM5)), ABS(AM3:AM5), 0)</f>
        <v>1</v>
      </c>
      <c r="AN6" s="9">
        <f t="array" ref="AN6">MATCH(MAX(ABS(AN3:AN5)), ABS(AN3:AN5), 0)</f>
        <v>1</v>
      </c>
      <c r="AO6" s="9">
        <f t="array" ref="AO6">MATCH(MAX(ABS(AO3:AO5)), ABS(AO3:AO5), 0)</f>
        <v>1</v>
      </c>
      <c r="AP6" s="9">
        <f t="array" ref="AP6">MATCH(MAX(ABS(AP3:AP5)), ABS(AP3:AP5), 0)</f>
        <v>1</v>
      </c>
      <c r="AQ6" s="9">
        <f t="array" ref="AQ6">MATCH(MAX(ABS(AQ3:AQ5)), ABS(AQ3:AQ5), 0)</f>
        <v>1</v>
      </c>
      <c r="AR6" s="9">
        <f t="array" ref="AR6">MATCH(MAX(ABS(AR3:AR5)), ABS(AR3:AR5), 0)</f>
        <v>1</v>
      </c>
      <c r="AS6" s="9">
        <f t="array" ref="AS6">MATCH(MAX(ABS(AS3:AS5)), ABS(AS3:AS5), 0)</f>
        <v>1</v>
      </c>
      <c r="AT6" s="9">
        <f t="array" ref="AT6">MATCH(MAX(ABS(AT3:AT5)), ABS(AT3:AT5), 0)</f>
        <v>1</v>
      </c>
      <c r="AU6" s="9">
        <f t="array" ref="AU6">MATCH(MAX(ABS(AU3:AU5)), ABS(AU3:AU5), 0)</f>
        <v>1</v>
      </c>
      <c r="AV6" s="9">
        <f t="array" ref="AV6">MATCH(MAX(ABS(AV3:AV5)), ABS(AV3:AV5), 0)</f>
        <v>1</v>
      </c>
      <c r="AW6" s="9">
        <f t="array" ref="AW6">MATCH(MAX(ABS(AW3:AW5)), ABS(AW3:AW5), 0)</f>
        <v>1</v>
      </c>
      <c r="AX6" s="9">
        <f t="array" ref="AX6">MATCH(MAX(ABS(AX3:AX5)), ABS(AX3:AX5), 0)</f>
        <v>1</v>
      </c>
      <c r="AY6" s="9">
        <f t="array" ref="AY6">MATCH(MAX(ABS(AY3:AY5)), ABS(AY3:AY5), 0)</f>
        <v>1</v>
      </c>
      <c r="AZ6" s="9">
        <f t="array" ref="AZ6">MATCH(MAX(ABS(AZ3:AZ5)), ABS(AZ3:AZ5), 0)</f>
        <v>1</v>
      </c>
      <c r="BA6" s="9">
        <f t="array" ref="BA6">MATCH(MAX(ABS(BA3:BA5)), ABS(BA3:BA5), 0)</f>
        <v>2</v>
      </c>
      <c r="BB6" s="9">
        <f t="array" ref="BB6">MATCH(MAX(ABS(BB3:BB5)), ABS(BB3:BB5), 0)</f>
        <v>2</v>
      </c>
      <c r="BC6" s="9">
        <f t="array" ref="BC6">MATCH(MAX(ABS(BC3:BC5)), ABS(BC3:BC5), 0)</f>
        <v>1</v>
      </c>
      <c r="BD6" s="9">
        <f t="array" ref="BD6">MATCH(MAX(ABS(BD3:BD5)), ABS(BD3:BD5), 0)</f>
        <v>1</v>
      </c>
      <c r="BE6" s="9">
        <f t="array" ref="BE6">MATCH(MAX(ABS(BE3:BE5)), ABS(BE3:BE5), 0)</f>
        <v>1</v>
      </c>
      <c r="BF6" s="9">
        <f t="array" ref="BF6">MATCH(MAX(ABS(BF3:BF5)), ABS(BF3:BF5), 0)</f>
        <v>1</v>
      </c>
      <c r="BG6" s="9">
        <f t="array" ref="BG6">MATCH(MAX(ABS(BG3:BG5)), ABS(BG3:BG5), 0)</f>
        <v>1</v>
      </c>
      <c r="BH6" s="9">
        <f t="array" ref="BH6">MATCH(MAX(ABS(BH3:BH5)), ABS(BH3:BH5), 0)</f>
        <v>1</v>
      </c>
      <c r="BI6" s="9">
        <f t="array" ref="BI6">MATCH(MAX(ABS(BI3:BI5)), ABS(BI3:BI5), 0)</f>
        <v>1</v>
      </c>
      <c r="BJ6" s="9">
        <f t="array" ref="BJ6">MATCH(MAX(ABS(BJ3:BJ5)), ABS(BJ3:BJ5), 0)</f>
        <v>1</v>
      </c>
      <c r="BK6" s="9">
        <f t="array" ref="BK6">MATCH(MAX(ABS(BK3:BK5)), ABS(BK3:BK5), 0)</f>
        <v>1</v>
      </c>
      <c r="BL6" s="9">
        <f t="array" ref="BL6">MATCH(MAX(ABS(BL3:BL5)), ABS(BL3:BL5), 0)</f>
        <v>1</v>
      </c>
      <c r="BM6" s="9">
        <f t="array" ref="BM6">MATCH(MAX(ABS(BM3:BM5)), ABS(BM3:BM5), 0)</f>
        <v>3</v>
      </c>
      <c r="BN6" s="9">
        <f t="array" ref="BN6">MATCH(MAX(ABS(BN3:BN5)), ABS(BN3:BN5), 0)</f>
        <v>1</v>
      </c>
      <c r="BO6" s="9">
        <f t="array" ref="BO6">MATCH(MAX(ABS(BO3:BO5)), ABS(BO3:BO5), 0)</f>
        <v>1</v>
      </c>
      <c r="BP6" s="9">
        <f t="array" ref="BP6">MATCH(MAX(ABS(BP3:BP5)), ABS(BP3:BP5), 0)</f>
        <v>1</v>
      </c>
      <c r="BQ6" s="9">
        <f t="array" ref="BQ6">MATCH(MAX(ABS(BQ3:BQ5)), ABS(BQ3:BQ5), 0)</f>
        <v>1</v>
      </c>
      <c r="BR6" s="9">
        <f t="array" ref="BR6">MATCH(MAX(ABS(BR3:BR5)), ABS(BR3:BR5), 0)</f>
        <v>1</v>
      </c>
      <c r="BS6" s="9">
        <f t="array" ref="BS6">MATCH(MAX(ABS(BS3:BS5)), ABS(BS3:BS5), 0)</f>
        <v>1</v>
      </c>
      <c r="BT6" s="9">
        <f t="array" ref="BT6">MATCH(MAX(ABS(BT3:BT5)), ABS(BT3:BT5), 0)</f>
        <v>1</v>
      </c>
      <c r="BU6" s="9">
        <f t="array" ref="BU6">MATCH(MAX(ABS(BU3:BU5)), ABS(BU3:BU5), 0)</f>
        <v>1</v>
      </c>
      <c r="BV6" s="9">
        <f t="array" ref="BV6">MATCH(MAX(ABS(BV3:BV5)), ABS(BV3:BV5), 0)</f>
        <v>1</v>
      </c>
      <c r="BW6" s="9">
        <f t="array" ref="BW6">MATCH(MAX(ABS(BW3:BW5)), ABS(BW3:BW5), 0)</f>
        <v>1</v>
      </c>
      <c r="BX6" s="9">
        <f t="array" ref="BX6">MATCH(MAX(ABS(BX3:BX5)), ABS(BX3:BX5), 0)</f>
        <v>1</v>
      </c>
      <c r="BY6" s="9">
        <f t="array" ref="BY6">MATCH(MAX(ABS(BY3:BY5)), ABS(BY3:BY5), 0)</f>
        <v>1</v>
      </c>
      <c r="BZ6" s="9">
        <f t="array" ref="BZ6">MATCH(MAX(ABS(BZ3:BZ5)), ABS(BZ3:BZ5), 0)</f>
        <v>1</v>
      </c>
      <c r="CA6" s="9">
        <f t="array" ref="CA6">MATCH(MAX(ABS(CA3:CA5)), ABS(CA3:CA5), 0)</f>
        <v>1</v>
      </c>
      <c r="CB6" s="9">
        <f t="array" ref="CB6">MATCH(MAX(ABS(CB3:CB5)), ABS(CB3:CB5), 0)</f>
        <v>1</v>
      </c>
      <c r="CC6" s="9">
        <f t="array" ref="CC6">MATCH(MAX(ABS(CC3:CC5)), ABS(CC3:CC5), 0)</f>
        <v>2</v>
      </c>
      <c r="CD6" s="9">
        <f t="array" ref="CD6">MATCH(MAX(ABS(CD3:CD5)), ABS(CD3:CD5), 0)</f>
        <v>2</v>
      </c>
      <c r="CE6" s="9">
        <f t="array" ref="CE6">MATCH(MAX(ABS(CE3:CE5)), ABS(CE3:CE5), 0)</f>
        <v>2</v>
      </c>
      <c r="CF6" s="9">
        <f t="array" ref="CF6">MATCH(MAX(ABS(CF3:CF5)), ABS(CF3:CF5), 0)</f>
        <v>2</v>
      </c>
      <c r="CG6" s="9">
        <f t="array" ref="CG6">MATCH(MAX(ABS(CG3:CG5)), ABS(CG3:CG5), 0)</f>
        <v>2</v>
      </c>
      <c r="CH6" s="9">
        <f t="array" ref="CH6">MATCH(MAX(ABS(CH3:CH5)), ABS(CH3:CH5), 0)</f>
        <v>1</v>
      </c>
      <c r="CI6" s="9">
        <f t="array" ref="CI6">MATCH(MAX(ABS(CI3:CI5)), ABS(CI3:CI5), 0)</f>
        <v>1</v>
      </c>
      <c r="CJ6" s="9">
        <f t="array" ref="CJ6">MATCH(MAX(ABS(CJ3:CJ5)), ABS(CJ3:CJ5), 0)</f>
        <v>1</v>
      </c>
      <c r="CK6" s="9">
        <f t="array" ref="CK6">MATCH(MAX(ABS(CK3:CK5)), ABS(CK3:CK5), 0)</f>
        <v>1</v>
      </c>
      <c r="CL6" s="9">
        <f t="array" ref="CL6">MATCH(MAX(ABS(CL3:CL5)), ABS(CL3:CL5), 0)</f>
        <v>1</v>
      </c>
      <c r="CM6" s="9">
        <f t="array" ref="CM6">MATCH(MAX(ABS(CM3:CM5)), ABS(CM3:CM5), 0)</f>
        <v>1</v>
      </c>
      <c r="CN6" s="9">
        <f t="array" ref="CN6">MATCH(MAX(ABS(CN3:CN5)), ABS(CN3:CN5), 0)</f>
        <v>1</v>
      </c>
      <c r="CO6" s="9">
        <f t="array" ref="CO6">MATCH(MAX(ABS(CO3:CO5)), ABS(CO3:CO5), 0)</f>
        <v>1</v>
      </c>
      <c r="CP6" s="9">
        <f t="array" ref="CP6">MATCH(MAX(ABS(CP3:CP5)), ABS(CP3:CP5), 0)</f>
        <v>1</v>
      </c>
      <c r="CQ6" s="9">
        <f t="array" ref="CQ6">MATCH(MAX(ABS(CQ3:CQ5)), ABS(CQ3:CQ5), 0)</f>
        <v>3</v>
      </c>
      <c r="CR6" s="9">
        <f t="array" ref="CR6">MATCH(MAX(ABS(CR3:CR5)), ABS(CR3:CR5), 0)</f>
        <v>2</v>
      </c>
      <c r="CS6" s="9">
        <f t="array" ref="CS6">MATCH(MAX(ABS(CS3:CS5)), ABS(CS3:CS5), 0)</f>
        <v>2</v>
      </c>
      <c r="CT6" s="9">
        <f t="array" ref="CT6">MATCH(MAX(ABS(CT3:CT5)), ABS(CT3:CT5), 0)</f>
        <v>1</v>
      </c>
      <c r="CU6" s="9">
        <f t="array" ref="CU6">MATCH(MAX(ABS(CU3:CU5)), ABS(CU3:CU5), 0)</f>
        <v>1</v>
      </c>
      <c r="CV6" s="9">
        <f t="array" ref="CV6">MATCH(MAX(ABS(CV3:CV5)), ABS(CV3:CV5), 0)</f>
        <v>1</v>
      </c>
      <c r="CW6" s="9">
        <f t="array" ref="CW6">MATCH(MAX(ABS(CW3:CW5)), ABS(CW3:CW5), 0)</f>
        <v>1</v>
      </c>
      <c r="CX6" s="9">
        <f t="array" ref="CX6">MATCH(MAX(ABS(CX3:CX5)), ABS(CX3:CX5), 0)</f>
        <v>1</v>
      </c>
      <c r="CY6" s="9">
        <f t="array" ref="CY6">MATCH(MAX(ABS(CY3:CY5)), ABS(CY3:CY5), 0)</f>
        <v>1</v>
      </c>
      <c r="CZ6" s="9">
        <f t="array" ref="CZ6">MATCH(MAX(ABS(CZ3:CZ5)), ABS(CZ3:CZ5), 0)</f>
        <v>1</v>
      </c>
      <c r="DA6" s="9">
        <f t="array" ref="DA6">MATCH(MAX(ABS(DA3:DA5)), ABS(DA3:DA5), 0)</f>
        <v>1</v>
      </c>
      <c r="DB6" s="9">
        <f t="array" ref="DB6">MATCH(MAX(ABS(DB3:DB5)), ABS(DB3:DB5), 0)</f>
        <v>2</v>
      </c>
      <c r="DC6" s="9">
        <f t="array" ref="DC6">MATCH(MAX(ABS(DC3:DC5)), ABS(DC3:DC5), 0)</f>
        <v>2</v>
      </c>
      <c r="DD6" s="9">
        <f t="array" ref="DD6">MATCH(MAX(ABS(DD3:DD5)), ABS(DD3:DD5), 0)</f>
        <v>2</v>
      </c>
      <c r="DE6" s="9">
        <f t="array" ref="DE6">MATCH(MAX(ABS(DE3:DE5)), ABS(DE3:DE5), 0)</f>
        <v>1</v>
      </c>
      <c r="DF6" s="9">
        <f t="array" ref="DF6">MATCH(MAX(ABS(DF3:DF5)), ABS(DF3:DF5), 0)</f>
        <v>1</v>
      </c>
      <c r="DG6" s="9">
        <f t="array" ref="DG6">MATCH(MAX(ABS(DG3:DG5)), ABS(DG3:DG5), 0)</f>
        <v>1</v>
      </c>
      <c r="DH6" s="9">
        <f t="array" ref="DH6">MATCH(MAX(ABS(DH3:DH5)), ABS(DH3:DH5), 0)</f>
        <v>1</v>
      </c>
      <c r="DI6" s="9">
        <f t="array" ref="DI6">MATCH(MAX(ABS(DI3:DI5)), ABS(DI3:DI5), 0)</f>
        <v>1</v>
      </c>
      <c r="DJ6" s="9">
        <f t="array" ref="DJ6">MATCH(MAX(ABS(DJ3:DJ5)), ABS(DJ3:DJ5), 0)</f>
        <v>2</v>
      </c>
      <c r="DK6" s="9">
        <f t="array" ref="DK6">MATCH(MAX(ABS(DK3:DK5)), ABS(DK3:DK5), 0)</f>
        <v>1</v>
      </c>
      <c r="DL6" s="9">
        <f t="array" ref="DL6">MATCH(MAX(ABS(DL3:DL5)), ABS(DL3:DL5), 0)</f>
        <v>1</v>
      </c>
      <c r="DM6" s="9">
        <f t="array" ref="DM6">MATCH(MAX(ABS(DM3:DM5)), ABS(DM3:DM5), 0)</f>
        <v>1</v>
      </c>
      <c r="DN6" s="9">
        <f t="array" ref="DN6">MATCH(MAX(ABS(DN3:DN5)), ABS(DN3:DN5), 0)</f>
        <v>1</v>
      </c>
      <c r="DO6" s="9">
        <f t="array" ref="DO6">MATCH(MAX(ABS(DO3:DO5)), ABS(DO3:DO5), 0)</f>
        <v>1</v>
      </c>
      <c r="DP6" s="9">
        <f t="array" ref="DP6">MATCH(MAX(ABS(DP3:DP5)), ABS(DP3:DP5), 0)</f>
        <v>1</v>
      </c>
      <c r="DQ6" s="9">
        <f t="array" ref="DQ6">MATCH(MAX(ABS(DQ3:DQ5)), ABS(DQ3:DQ5), 0)</f>
        <v>1</v>
      </c>
      <c r="DR6" s="9">
        <f t="array" ref="DR6">MATCH(MAX(ABS(DR3:DR5)), ABS(DR3:DR5), 0)</f>
        <v>1</v>
      </c>
      <c r="DS6" s="9">
        <f t="array" ref="DS6">MATCH(MAX(ABS(DS3:DS5)), ABS(DS3:DS5), 0)</f>
        <v>1</v>
      </c>
      <c r="DT6" s="9">
        <f t="array" ref="DT6">MATCH(MAX(ABS(DT3:DT5)), ABS(DT3:DT5), 0)</f>
        <v>2</v>
      </c>
      <c r="DU6" s="9">
        <f t="array" ref="DU6">MATCH(MAX(ABS(DU3:DU5)), ABS(DU3:DU5), 0)</f>
        <v>2</v>
      </c>
      <c r="DV6" s="9">
        <f t="array" ref="DV6">MATCH(MAX(ABS(DV3:DV5)), ABS(DV3:DV5), 0)</f>
        <v>1</v>
      </c>
      <c r="DW6" s="9">
        <f t="array" ref="DW6">MATCH(MAX(ABS(DW3:DW5)), ABS(DW3:DW5), 0)</f>
        <v>1</v>
      </c>
      <c r="DX6" s="9">
        <f t="array" ref="DX6">MATCH(MAX(ABS(DX3:DX5)), ABS(DX3:DX5), 0)</f>
        <v>1</v>
      </c>
      <c r="DY6" s="9">
        <f t="array" ref="DY6">MATCH(MAX(ABS(DY3:DY5)), ABS(DY3:DY5), 0)</f>
        <v>2</v>
      </c>
      <c r="DZ6" s="9">
        <f t="array" ref="DZ6">MATCH(MAX(ABS(DZ3:DZ5)), ABS(DZ3:DZ5), 0)</f>
        <v>2</v>
      </c>
      <c r="EA6" s="9">
        <f t="array" ref="EA6">MATCH(MAX(ABS(EA3:EA5)), ABS(EA3:EA5), 0)</f>
        <v>2</v>
      </c>
      <c r="EB6" s="9">
        <f t="array" ref="EB6">MATCH(MAX(ABS(EB3:EB5)), ABS(EB3:EB5), 0)</f>
        <v>1</v>
      </c>
      <c r="EC6" s="9">
        <f t="array" ref="EC6">MATCH(MAX(ABS(EC3:EC5)), ABS(EC3:EC5), 0)</f>
        <v>2</v>
      </c>
      <c r="ED6" s="9">
        <f t="array" ref="ED6">MATCH(MAX(ABS(ED3:ED5)), ABS(ED3:ED5), 0)</f>
        <v>1</v>
      </c>
      <c r="EE6" s="9">
        <f t="array" ref="EE6">MATCH(MAX(ABS(EE3:EE5)), ABS(EE3:EE5), 0)</f>
        <v>1</v>
      </c>
      <c r="EF6" s="9">
        <f t="array" ref="EF6">MATCH(MAX(ABS(EF3:EF5)), ABS(EF3:EF5), 0)</f>
        <v>1</v>
      </c>
    </row>
    <row r="7" spans="1:137" s="2" customFormat="1">
      <c r="C7" s="9" t="str">
        <f t="shared" ref="C7:AH7" si="0">IF(C6=1,"bm",IF(C6=2,"size",IF(C6=3,"mom")))</f>
        <v>size</v>
      </c>
      <c r="D7" s="9" t="str">
        <f t="shared" si="0"/>
        <v>size</v>
      </c>
      <c r="E7" s="9" t="str">
        <f t="shared" si="0"/>
        <v>size</v>
      </c>
      <c r="F7" s="9" t="str">
        <f t="shared" si="0"/>
        <v>size</v>
      </c>
      <c r="G7" s="9" t="str">
        <f t="shared" si="0"/>
        <v>size</v>
      </c>
      <c r="H7" s="9" t="str">
        <f t="shared" si="0"/>
        <v>size</v>
      </c>
      <c r="I7" s="9" t="str">
        <f t="shared" si="0"/>
        <v>size</v>
      </c>
      <c r="J7" s="9" t="str">
        <f t="shared" si="0"/>
        <v>size</v>
      </c>
      <c r="K7" s="9" t="str">
        <f t="shared" si="0"/>
        <v>size</v>
      </c>
      <c r="L7" s="9" t="str">
        <f t="shared" si="0"/>
        <v>size</v>
      </c>
      <c r="M7" s="9" t="str">
        <f t="shared" si="0"/>
        <v>bm</v>
      </c>
      <c r="N7" s="9" t="str">
        <f t="shared" si="0"/>
        <v>size</v>
      </c>
      <c r="O7" s="9" t="str">
        <f t="shared" si="0"/>
        <v>size</v>
      </c>
      <c r="P7" s="9" t="str">
        <f t="shared" si="0"/>
        <v>size</v>
      </c>
      <c r="Q7" s="9" t="str">
        <f t="shared" si="0"/>
        <v>size</v>
      </c>
      <c r="R7" s="9" t="str">
        <f t="shared" si="0"/>
        <v>size</v>
      </c>
      <c r="S7" s="9" t="str">
        <f t="shared" si="0"/>
        <v>size</v>
      </c>
      <c r="T7" s="9" t="str">
        <f t="shared" si="0"/>
        <v>bm</v>
      </c>
      <c r="U7" s="9" t="str">
        <f t="shared" si="0"/>
        <v>size</v>
      </c>
      <c r="V7" s="9" t="str">
        <f t="shared" si="0"/>
        <v>size</v>
      </c>
      <c r="W7" s="9" t="str">
        <f t="shared" si="0"/>
        <v>bm</v>
      </c>
      <c r="X7" s="9" t="str">
        <f t="shared" si="0"/>
        <v>size</v>
      </c>
      <c r="Y7" s="9" t="str">
        <f t="shared" si="0"/>
        <v>size</v>
      </c>
      <c r="Z7" s="9" t="str">
        <f t="shared" si="0"/>
        <v>size</v>
      </c>
      <c r="AA7" s="9" t="str">
        <f t="shared" si="0"/>
        <v>size</v>
      </c>
      <c r="AB7" s="9" t="str">
        <f t="shared" si="0"/>
        <v>mom</v>
      </c>
      <c r="AC7" s="9" t="str">
        <f t="shared" si="0"/>
        <v>size</v>
      </c>
      <c r="AD7" s="9" t="str">
        <f t="shared" si="0"/>
        <v>mom</v>
      </c>
      <c r="AE7" s="9" t="str">
        <f t="shared" si="0"/>
        <v>size</v>
      </c>
      <c r="AF7" s="9" t="str">
        <f t="shared" si="0"/>
        <v>bm</v>
      </c>
      <c r="AG7" s="9" t="str">
        <f t="shared" si="0"/>
        <v>size</v>
      </c>
      <c r="AH7" s="9" t="str">
        <f t="shared" si="0"/>
        <v>bm</v>
      </c>
      <c r="AI7" s="9" t="str">
        <f t="shared" ref="AI7:BN7" si="1">IF(AI6=1,"bm",IF(AI6=2,"size",IF(AI6=3,"mom")))</f>
        <v>bm</v>
      </c>
      <c r="AJ7" s="9" t="str">
        <f t="shared" si="1"/>
        <v>bm</v>
      </c>
      <c r="AK7" s="9" t="str">
        <f t="shared" si="1"/>
        <v>bm</v>
      </c>
      <c r="AL7" s="9" t="str">
        <f t="shared" si="1"/>
        <v>bm</v>
      </c>
      <c r="AM7" s="9" t="str">
        <f t="shared" si="1"/>
        <v>bm</v>
      </c>
      <c r="AN7" s="9" t="str">
        <f t="shared" si="1"/>
        <v>bm</v>
      </c>
      <c r="AO7" s="9" t="str">
        <f t="shared" si="1"/>
        <v>bm</v>
      </c>
      <c r="AP7" s="9" t="str">
        <f t="shared" si="1"/>
        <v>bm</v>
      </c>
      <c r="AQ7" s="9" t="str">
        <f t="shared" si="1"/>
        <v>bm</v>
      </c>
      <c r="AR7" s="9" t="str">
        <f t="shared" si="1"/>
        <v>bm</v>
      </c>
      <c r="AS7" s="9" t="str">
        <f t="shared" si="1"/>
        <v>bm</v>
      </c>
      <c r="AT7" s="9" t="str">
        <f t="shared" si="1"/>
        <v>bm</v>
      </c>
      <c r="AU7" s="9" t="str">
        <f t="shared" si="1"/>
        <v>bm</v>
      </c>
      <c r="AV7" s="9" t="str">
        <f t="shared" si="1"/>
        <v>bm</v>
      </c>
      <c r="AW7" s="9" t="str">
        <f t="shared" si="1"/>
        <v>bm</v>
      </c>
      <c r="AX7" s="9" t="str">
        <f t="shared" si="1"/>
        <v>bm</v>
      </c>
      <c r="AY7" s="9" t="str">
        <f t="shared" si="1"/>
        <v>bm</v>
      </c>
      <c r="AZ7" s="9" t="str">
        <f t="shared" si="1"/>
        <v>bm</v>
      </c>
      <c r="BA7" s="9" t="str">
        <f t="shared" si="1"/>
        <v>size</v>
      </c>
      <c r="BB7" s="9" t="str">
        <f t="shared" si="1"/>
        <v>size</v>
      </c>
      <c r="BC7" s="9" t="str">
        <f t="shared" si="1"/>
        <v>bm</v>
      </c>
      <c r="BD7" s="9" t="str">
        <f t="shared" si="1"/>
        <v>bm</v>
      </c>
      <c r="BE7" s="9" t="str">
        <f t="shared" si="1"/>
        <v>bm</v>
      </c>
      <c r="BF7" s="9" t="str">
        <f t="shared" si="1"/>
        <v>bm</v>
      </c>
      <c r="BG7" s="9" t="str">
        <f t="shared" si="1"/>
        <v>bm</v>
      </c>
      <c r="BH7" s="9" t="str">
        <f t="shared" si="1"/>
        <v>bm</v>
      </c>
      <c r="BI7" s="9" t="str">
        <f t="shared" si="1"/>
        <v>bm</v>
      </c>
      <c r="BJ7" s="9" t="str">
        <f t="shared" si="1"/>
        <v>bm</v>
      </c>
      <c r="BK7" s="9" t="str">
        <f t="shared" si="1"/>
        <v>bm</v>
      </c>
      <c r="BL7" s="9" t="str">
        <f t="shared" si="1"/>
        <v>bm</v>
      </c>
      <c r="BM7" s="9" t="str">
        <f t="shared" si="1"/>
        <v>mom</v>
      </c>
      <c r="BN7" s="9" t="str">
        <f t="shared" si="1"/>
        <v>bm</v>
      </c>
      <c r="BO7" s="9" t="str">
        <f t="shared" ref="BO7:CT7" si="2">IF(BO6=1,"bm",IF(BO6=2,"size",IF(BO6=3,"mom")))</f>
        <v>bm</v>
      </c>
      <c r="BP7" s="9" t="str">
        <f t="shared" si="2"/>
        <v>bm</v>
      </c>
      <c r="BQ7" s="9" t="str">
        <f t="shared" si="2"/>
        <v>bm</v>
      </c>
      <c r="BR7" s="9" t="str">
        <f t="shared" si="2"/>
        <v>bm</v>
      </c>
      <c r="BS7" s="9" t="str">
        <f t="shared" si="2"/>
        <v>bm</v>
      </c>
      <c r="BT7" s="9" t="str">
        <f t="shared" si="2"/>
        <v>bm</v>
      </c>
      <c r="BU7" s="9" t="str">
        <f t="shared" si="2"/>
        <v>bm</v>
      </c>
      <c r="BV7" s="9" t="str">
        <f t="shared" si="2"/>
        <v>bm</v>
      </c>
      <c r="BW7" s="9" t="str">
        <f t="shared" si="2"/>
        <v>bm</v>
      </c>
      <c r="BX7" s="9" t="str">
        <f t="shared" si="2"/>
        <v>bm</v>
      </c>
      <c r="BY7" s="9" t="str">
        <f t="shared" si="2"/>
        <v>bm</v>
      </c>
      <c r="BZ7" s="9" t="str">
        <f t="shared" si="2"/>
        <v>bm</v>
      </c>
      <c r="CA7" s="9" t="str">
        <f t="shared" si="2"/>
        <v>bm</v>
      </c>
      <c r="CB7" s="9" t="str">
        <f t="shared" si="2"/>
        <v>bm</v>
      </c>
      <c r="CC7" s="9" t="str">
        <f t="shared" si="2"/>
        <v>size</v>
      </c>
      <c r="CD7" s="9" t="str">
        <f t="shared" si="2"/>
        <v>size</v>
      </c>
      <c r="CE7" s="9" t="str">
        <f t="shared" si="2"/>
        <v>size</v>
      </c>
      <c r="CF7" s="9" t="str">
        <f t="shared" si="2"/>
        <v>size</v>
      </c>
      <c r="CG7" s="9" t="str">
        <f t="shared" si="2"/>
        <v>size</v>
      </c>
      <c r="CH7" s="9" t="str">
        <f t="shared" si="2"/>
        <v>bm</v>
      </c>
      <c r="CI7" s="9" t="str">
        <f t="shared" si="2"/>
        <v>bm</v>
      </c>
      <c r="CJ7" s="9" t="str">
        <f t="shared" si="2"/>
        <v>bm</v>
      </c>
      <c r="CK7" s="9" t="str">
        <f t="shared" si="2"/>
        <v>bm</v>
      </c>
      <c r="CL7" s="9" t="str">
        <f t="shared" si="2"/>
        <v>bm</v>
      </c>
      <c r="CM7" s="9" t="str">
        <f t="shared" si="2"/>
        <v>bm</v>
      </c>
      <c r="CN7" s="9" t="str">
        <f t="shared" si="2"/>
        <v>bm</v>
      </c>
      <c r="CO7" s="9" t="str">
        <f t="shared" si="2"/>
        <v>bm</v>
      </c>
      <c r="CP7" s="9" t="str">
        <f t="shared" si="2"/>
        <v>bm</v>
      </c>
      <c r="CQ7" s="9" t="str">
        <f t="shared" si="2"/>
        <v>mom</v>
      </c>
      <c r="CR7" s="9" t="str">
        <f t="shared" si="2"/>
        <v>size</v>
      </c>
      <c r="CS7" s="9" t="str">
        <f t="shared" si="2"/>
        <v>size</v>
      </c>
      <c r="CT7" s="9" t="str">
        <f t="shared" si="2"/>
        <v>bm</v>
      </c>
      <c r="CU7" s="9" t="str">
        <f t="shared" ref="CU7:DZ7" si="3">IF(CU6=1,"bm",IF(CU6=2,"size",IF(CU6=3,"mom")))</f>
        <v>bm</v>
      </c>
      <c r="CV7" s="9" t="str">
        <f t="shared" si="3"/>
        <v>bm</v>
      </c>
      <c r="CW7" s="9" t="str">
        <f t="shared" si="3"/>
        <v>bm</v>
      </c>
      <c r="CX7" s="9" t="str">
        <f t="shared" si="3"/>
        <v>bm</v>
      </c>
      <c r="CY7" s="9" t="str">
        <f t="shared" si="3"/>
        <v>bm</v>
      </c>
      <c r="CZ7" s="9" t="str">
        <f t="shared" si="3"/>
        <v>bm</v>
      </c>
      <c r="DA7" s="9" t="str">
        <f t="shared" si="3"/>
        <v>bm</v>
      </c>
      <c r="DB7" s="9" t="str">
        <f t="shared" si="3"/>
        <v>size</v>
      </c>
      <c r="DC7" s="9" t="str">
        <f t="shared" si="3"/>
        <v>size</v>
      </c>
      <c r="DD7" s="9" t="str">
        <f t="shared" si="3"/>
        <v>size</v>
      </c>
      <c r="DE7" s="9" t="str">
        <f t="shared" si="3"/>
        <v>bm</v>
      </c>
      <c r="DF7" s="9" t="str">
        <f t="shared" si="3"/>
        <v>bm</v>
      </c>
      <c r="DG7" s="9" t="str">
        <f t="shared" si="3"/>
        <v>bm</v>
      </c>
      <c r="DH7" s="9" t="str">
        <f t="shared" si="3"/>
        <v>bm</v>
      </c>
      <c r="DI7" s="9" t="str">
        <f t="shared" si="3"/>
        <v>bm</v>
      </c>
      <c r="DJ7" s="9" t="str">
        <f t="shared" si="3"/>
        <v>size</v>
      </c>
      <c r="DK7" s="9" t="str">
        <f t="shared" si="3"/>
        <v>bm</v>
      </c>
      <c r="DL7" s="9" t="str">
        <f t="shared" si="3"/>
        <v>bm</v>
      </c>
      <c r="DM7" s="9" t="str">
        <f t="shared" si="3"/>
        <v>bm</v>
      </c>
      <c r="DN7" s="9" t="str">
        <f t="shared" si="3"/>
        <v>bm</v>
      </c>
      <c r="DO7" s="9" t="str">
        <f t="shared" si="3"/>
        <v>bm</v>
      </c>
      <c r="DP7" s="9" t="str">
        <f t="shared" si="3"/>
        <v>bm</v>
      </c>
      <c r="DQ7" s="9" t="str">
        <f t="shared" si="3"/>
        <v>bm</v>
      </c>
      <c r="DR7" s="9" t="str">
        <f t="shared" si="3"/>
        <v>bm</v>
      </c>
      <c r="DS7" s="9" t="str">
        <f t="shared" si="3"/>
        <v>bm</v>
      </c>
      <c r="DT7" s="9" t="str">
        <f t="shared" si="3"/>
        <v>size</v>
      </c>
      <c r="DU7" s="9" t="str">
        <f t="shared" si="3"/>
        <v>size</v>
      </c>
      <c r="DV7" s="9" t="str">
        <f t="shared" si="3"/>
        <v>bm</v>
      </c>
      <c r="DW7" s="9" t="str">
        <f t="shared" si="3"/>
        <v>bm</v>
      </c>
      <c r="DX7" s="9" t="str">
        <f t="shared" si="3"/>
        <v>bm</v>
      </c>
      <c r="DY7" s="9" t="str">
        <f t="shared" si="3"/>
        <v>size</v>
      </c>
      <c r="DZ7" s="9" t="str">
        <f t="shared" si="3"/>
        <v>size</v>
      </c>
      <c r="EA7" s="9" t="str">
        <f t="shared" ref="EA7:EF7" si="4">IF(EA6=1,"bm",IF(EA6=2,"size",IF(EA6=3,"mom")))</f>
        <v>size</v>
      </c>
      <c r="EB7" s="9" t="str">
        <f t="shared" si="4"/>
        <v>bm</v>
      </c>
      <c r="EC7" s="9" t="str">
        <f t="shared" si="4"/>
        <v>size</v>
      </c>
      <c r="ED7" s="9" t="str">
        <f t="shared" si="4"/>
        <v>bm</v>
      </c>
      <c r="EE7" s="9" t="str">
        <f t="shared" si="4"/>
        <v>bm</v>
      </c>
      <c r="EF7" s="9" t="str">
        <f t="shared" si="4"/>
        <v>bm</v>
      </c>
    </row>
    <row r="8" spans="1:137" s="2" customFormat="1">
      <c r="C8" s="9">
        <f t="shared" ref="C8:AH8" si="5">IF(C6=1,C3,IF(C6=2,C4,IF(C6=3,C5)))</f>
        <v>-4.9660484307830009E-2</v>
      </c>
      <c r="D8" s="9">
        <f t="shared" si="5"/>
        <v>-6.5232195080165353E-2</v>
      </c>
      <c r="E8" s="9">
        <f t="shared" si="5"/>
        <v>-9.3874054199500026E-2</v>
      </c>
      <c r="F8" s="9">
        <f t="shared" si="5"/>
        <v>-7.3843592245097373E-2</v>
      </c>
      <c r="G8" s="9">
        <f t="shared" si="5"/>
        <v>-2.745888685018728E-2</v>
      </c>
      <c r="H8" s="9">
        <f t="shared" si="5"/>
        <v>-3.3398565611267667E-2</v>
      </c>
      <c r="I8" s="9">
        <f t="shared" si="5"/>
        <v>-4.7136189417385607E-2</v>
      </c>
      <c r="J8" s="9">
        <f t="shared" si="5"/>
        <v>-4.6203432590894752E-2</v>
      </c>
      <c r="K8" s="9">
        <f t="shared" si="5"/>
        <v>-4.5932097646850877E-2</v>
      </c>
      <c r="L8" s="9">
        <f t="shared" si="5"/>
        <v>-3.9679751627069763E-2</v>
      </c>
      <c r="M8" s="9">
        <f t="shared" si="5"/>
        <v>3.2729103566482703E-2</v>
      </c>
      <c r="N8" s="9">
        <f t="shared" si="5"/>
        <v>-3.5831351641089762E-2</v>
      </c>
      <c r="O8" s="9">
        <f t="shared" si="5"/>
        <v>-5.70229981056335E-2</v>
      </c>
      <c r="P8" s="9">
        <f t="shared" si="5"/>
        <v>-4.2462781327895993E-2</v>
      </c>
      <c r="Q8" s="9">
        <f t="shared" si="5"/>
        <v>-3.7772394962975513E-2</v>
      </c>
      <c r="R8" s="9">
        <f t="shared" si="5"/>
        <v>-2.862835448000129E-2</v>
      </c>
      <c r="S8" s="9">
        <f t="shared" si="5"/>
        <v>-3.099793016810054E-2</v>
      </c>
      <c r="T8" s="9">
        <f t="shared" si="5"/>
        <v>2.262072807092802E-2</v>
      </c>
      <c r="U8" s="9">
        <f t="shared" si="5"/>
        <v>-3.5326677132364037E-2</v>
      </c>
      <c r="V8" s="9">
        <f t="shared" si="5"/>
        <v>-2.9502132625226989E-2</v>
      </c>
      <c r="W8" s="9">
        <f t="shared" si="5"/>
        <v>4.5784045042201092E-2</v>
      </c>
      <c r="X8" s="9">
        <f t="shared" si="5"/>
        <v>-5.4483491647159897E-2</v>
      </c>
      <c r="Y8" s="9">
        <f t="shared" si="5"/>
        <v>-5.7374231531351433E-2</v>
      </c>
      <c r="Z8" s="9">
        <f t="shared" si="5"/>
        <v>-5.0628448585672892E-2</v>
      </c>
      <c r="AA8" s="9">
        <f t="shared" si="5"/>
        <v>-4.231975801219371E-2</v>
      </c>
      <c r="AB8" s="9">
        <f t="shared" si="5"/>
        <v>-4.9937139241651593E-2</v>
      </c>
      <c r="AC8" s="9">
        <f t="shared" si="5"/>
        <v>-3.845543636405753E-2</v>
      </c>
      <c r="AD8" s="9">
        <f t="shared" si="5"/>
        <v>-6.5956474854444447E-2</v>
      </c>
      <c r="AE8" s="9">
        <f t="shared" si="5"/>
        <v>-3.4795070629380642E-2</v>
      </c>
      <c r="AF8" s="9">
        <f t="shared" si="5"/>
        <v>1.3117941025955079E-2</v>
      </c>
      <c r="AG8" s="9">
        <f t="shared" si="5"/>
        <v>-3.2239282506807423E-2</v>
      </c>
      <c r="AH8" s="9">
        <f t="shared" si="5"/>
        <v>3.1884444011299258E-2</v>
      </c>
      <c r="AI8" s="9">
        <f t="shared" ref="AI8:BN8" si="6">IF(AI6=1,AI3,IF(AI6=2,AI4,IF(AI6=3,AI5)))</f>
        <v>3.6385761193522617E-2</v>
      </c>
      <c r="AJ8" s="9">
        <f t="shared" si="6"/>
        <v>3.5948919429733099E-2</v>
      </c>
      <c r="AK8" s="9">
        <f t="shared" si="6"/>
        <v>4.3482830969963061E-2</v>
      </c>
      <c r="AL8" s="9">
        <f t="shared" si="6"/>
        <v>3.8462077568039821E-2</v>
      </c>
      <c r="AM8" s="9">
        <f t="shared" si="6"/>
        <v>3.9410244165835981E-2</v>
      </c>
      <c r="AN8" s="9">
        <f t="shared" si="6"/>
        <v>5.0743620516414449E-2</v>
      </c>
      <c r="AO8" s="9">
        <f t="shared" si="6"/>
        <v>5.3684811620656171E-2</v>
      </c>
      <c r="AP8" s="9">
        <f t="shared" si="6"/>
        <v>4.9314899356547669E-2</v>
      </c>
      <c r="AQ8" s="9">
        <f t="shared" si="6"/>
        <v>3.2773687722358558E-2</v>
      </c>
      <c r="AR8" s="9">
        <f t="shared" si="6"/>
        <v>2.8295340626825871E-2</v>
      </c>
      <c r="AS8" s="9">
        <f t="shared" si="6"/>
        <v>2.8377802599917339E-2</v>
      </c>
      <c r="AT8" s="9">
        <f t="shared" si="6"/>
        <v>2.306922946025217E-2</v>
      </c>
      <c r="AU8" s="9">
        <f t="shared" si="6"/>
        <v>2.9397032882625889E-2</v>
      </c>
      <c r="AV8" s="9">
        <f t="shared" si="6"/>
        <v>3.103785222722218E-2</v>
      </c>
      <c r="AW8" s="9">
        <f t="shared" si="6"/>
        <v>2.6297924056821211E-2</v>
      </c>
      <c r="AX8" s="9">
        <f t="shared" si="6"/>
        <v>2.6164811358804361E-2</v>
      </c>
      <c r="AY8" s="9">
        <f t="shared" si="6"/>
        <v>3.2053783671709642E-2</v>
      </c>
      <c r="AZ8" s="9">
        <f t="shared" si="6"/>
        <v>3.4477530774765272E-2</v>
      </c>
      <c r="BA8" s="9">
        <f t="shared" si="6"/>
        <v>-2.9633847899323489E-2</v>
      </c>
      <c r="BB8" s="9">
        <f t="shared" si="6"/>
        <v>-3.6923299522087998E-2</v>
      </c>
      <c r="BC8" s="9">
        <f t="shared" si="6"/>
        <v>3.742177693859082E-2</v>
      </c>
      <c r="BD8" s="9">
        <f t="shared" si="6"/>
        <v>3.141372245226793E-2</v>
      </c>
      <c r="BE8" s="9">
        <f t="shared" si="6"/>
        <v>3.2006411062996218E-2</v>
      </c>
      <c r="BF8" s="9">
        <f t="shared" si="6"/>
        <v>2.828182773285309E-2</v>
      </c>
      <c r="BG8" s="9">
        <f t="shared" si="6"/>
        <v>4.1103436715196499E-2</v>
      </c>
      <c r="BH8" s="9">
        <f t="shared" si="6"/>
        <v>4.5198779339126277E-2</v>
      </c>
      <c r="BI8" s="9">
        <f t="shared" si="6"/>
        <v>4.1588040384802467E-2</v>
      </c>
      <c r="BJ8" s="9">
        <f t="shared" si="6"/>
        <v>4.0723405736309601E-2</v>
      </c>
      <c r="BK8" s="9">
        <f t="shared" si="6"/>
        <v>3.6327700059770963E-2</v>
      </c>
      <c r="BL8" s="9">
        <f t="shared" si="6"/>
        <v>3.6173192149872829E-2</v>
      </c>
      <c r="BM8" s="9">
        <f t="shared" si="6"/>
        <v>-3.7766406128849933E-2</v>
      </c>
      <c r="BN8" s="9">
        <f t="shared" si="6"/>
        <v>3.0814038130409348E-2</v>
      </c>
      <c r="BO8" s="9">
        <f t="shared" ref="BO8:CT8" si="7">IF(BO6=1,BO3,IF(BO6=2,BO4,IF(BO6=3,BO5)))</f>
        <v>3.065585577146604E-2</v>
      </c>
      <c r="BP8" s="9">
        <f t="shared" si="7"/>
        <v>3.4399631895121928E-2</v>
      </c>
      <c r="BQ8" s="9">
        <f t="shared" si="7"/>
        <v>3.4868650026028229E-2</v>
      </c>
      <c r="BR8" s="9">
        <f t="shared" si="7"/>
        <v>3.6324039848933801E-2</v>
      </c>
      <c r="BS8" s="9">
        <f t="shared" si="7"/>
        <v>3.6164468096582629E-2</v>
      </c>
      <c r="BT8" s="9">
        <f t="shared" si="7"/>
        <v>3.8668894956456937E-2</v>
      </c>
      <c r="BU8" s="9">
        <f t="shared" si="7"/>
        <v>4.1103483948852763E-2</v>
      </c>
      <c r="BV8" s="9">
        <f t="shared" si="7"/>
        <v>2.8684133448632881E-2</v>
      </c>
      <c r="BW8" s="9">
        <f t="shared" si="7"/>
        <v>3.521650986163926E-2</v>
      </c>
      <c r="BX8" s="9">
        <f t="shared" si="7"/>
        <v>4.0767200067914261E-2</v>
      </c>
      <c r="BY8" s="9">
        <f t="shared" si="7"/>
        <v>2.160353774972024E-2</v>
      </c>
      <c r="BZ8" s="9">
        <f t="shared" si="7"/>
        <v>3.0433668800390778E-2</v>
      </c>
      <c r="CA8" s="9">
        <f t="shared" si="7"/>
        <v>3.7311958080318418E-2</v>
      </c>
      <c r="CB8" s="9">
        <f t="shared" si="7"/>
        <v>2.7612053143104789E-2</v>
      </c>
      <c r="CC8" s="9">
        <f t="shared" si="7"/>
        <v>-4.111205153911144E-2</v>
      </c>
      <c r="CD8" s="9">
        <f t="shared" si="7"/>
        <v>-3.2535405185557913E-2</v>
      </c>
      <c r="CE8" s="9">
        <f t="shared" si="7"/>
        <v>-3.0323266480776649E-2</v>
      </c>
      <c r="CF8" s="9">
        <f t="shared" si="7"/>
        <v>-6.1293189114789898E-2</v>
      </c>
      <c r="CG8" s="9">
        <f t="shared" si="7"/>
        <v>-4.4169748382986783E-2</v>
      </c>
      <c r="CH8" s="9">
        <f t="shared" si="7"/>
        <v>4.0909001215823582E-2</v>
      </c>
      <c r="CI8" s="9">
        <f t="shared" si="7"/>
        <v>3.9050253240311222E-2</v>
      </c>
      <c r="CJ8" s="9">
        <f t="shared" si="7"/>
        <v>2.4561899640003909E-2</v>
      </c>
      <c r="CK8" s="9">
        <f t="shared" si="7"/>
        <v>3.413446187252573E-2</v>
      </c>
      <c r="CL8" s="9">
        <f t="shared" si="7"/>
        <v>3.5925937532879773E-2</v>
      </c>
      <c r="CM8" s="9">
        <f t="shared" si="7"/>
        <v>4.2466042159304301E-2</v>
      </c>
      <c r="CN8" s="9">
        <f t="shared" si="7"/>
        <v>3.6523906516241801E-2</v>
      </c>
      <c r="CO8" s="9">
        <f t="shared" si="7"/>
        <v>3.765914957102829E-2</v>
      </c>
      <c r="CP8" s="9">
        <f t="shared" si="7"/>
        <v>3.9957834472595419E-2</v>
      </c>
      <c r="CQ8" s="9">
        <f t="shared" si="7"/>
        <v>9.0067640458367376E-3</v>
      </c>
      <c r="CR8" s="9">
        <f t="shared" si="7"/>
        <v>-1.917966682871176E-2</v>
      </c>
      <c r="CS8" s="9">
        <f t="shared" si="7"/>
        <v>-2.334741602504313E-2</v>
      </c>
      <c r="CT8" s="9">
        <f t="shared" si="7"/>
        <v>4.0972167824902372E-2</v>
      </c>
      <c r="CU8" s="9">
        <f t="shared" ref="CU8:DZ8" si="8">IF(CU6=1,CU3,IF(CU6=2,CU4,IF(CU6=3,CU5)))</f>
        <v>3.8942373224816529E-2</v>
      </c>
      <c r="CV8" s="9">
        <f t="shared" si="8"/>
        <v>4.3015000500199303E-2</v>
      </c>
      <c r="CW8" s="9">
        <f t="shared" si="8"/>
        <v>3.9706600079107618E-2</v>
      </c>
      <c r="CX8" s="9">
        <f t="shared" si="8"/>
        <v>3.9171022856911548E-2</v>
      </c>
      <c r="CY8" s="9">
        <f t="shared" si="8"/>
        <v>3.4940834769569752E-2</v>
      </c>
      <c r="CZ8" s="9">
        <f t="shared" si="8"/>
        <v>3.6026834228159298E-2</v>
      </c>
      <c r="DA8" s="9">
        <f t="shared" si="8"/>
        <v>4.450954814790925E-2</v>
      </c>
      <c r="DB8" s="9">
        <f t="shared" si="8"/>
        <v>-4.4725026400587967E-2</v>
      </c>
      <c r="DC8" s="9">
        <f t="shared" si="8"/>
        <v>-7.0760377239426644E-2</v>
      </c>
      <c r="DD8" s="9">
        <f t="shared" si="8"/>
        <v>-5.7610036798158112E-2</v>
      </c>
      <c r="DE8" s="9">
        <f t="shared" si="8"/>
        <v>4.199397627237688E-2</v>
      </c>
      <c r="DF8" s="9">
        <f t="shared" si="8"/>
        <v>4.1965348731106439E-2</v>
      </c>
      <c r="DG8" s="9">
        <f t="shared" si="8"/>
        <v>4.0382244799122918E-2</v>
      </c>
      <c r="DH8" s="9">
        <f t="shared" si="8"/>
        <v>3.6787240146963857E-2</v>
      </c>
      <c r="DI8" s="9">
        <f t="shared" si="8"/>
        <v>3.6877765546082367E-2</v>
      </c>
      <c r="DJ8" s="9">
        <f t="shared" si="8"/>
        <v>-3.7819313396098023E-2</v>
      </c>
      <c r="DK8" s="9">
        <f t="shared" si="8"/>
        <v>3.6536443043095952E-2</v>
      </c>
      <c r="DL8" s="9">
        <f t="shared" si="8"/>
        <v>3.1530556219024453E-2</v>
      </c>
      <c r="DM8" s="9">
        <f t="shared" si="8"/>
        <v>2.866223764473836E-2</v>
      </c>
      <c r="DN8" s="9">
        <f t="shared" si="8"/>
        <v>3.0844743252797239E-2</v>
      </c>
      <c r="DO8" s="9">
        <f t="shared" si="8"/>
        <v>3.3675363611272838E-2</v>
      </c>
      <c r="DP8" s="9">
        <f t="shared" si="8"/>
        <v>3.5102177512429639E-2</v>
      </c>
      <c r="DQ8" s="9">
        <f t="shared" si="8"/>
        <v>3.6708207074369593E-2</v>
      </c>
      <c r="DR8" s="9">
        <f t="shared" si="8"/>
        <v>3.4114421599711522E-2</v>
      </c>
      <c r="DS8" s="9">
        <f t="shared" si="8"/>
        <v>3.6715906439180969E-2</v>
      </c>
      <c r="DT8" s="9">
        <f t="shared" si="8"/>
        <v>-4.1056175553995593E-2</v>
      </c>
      <c r="DU8" s="9">
        <f t="shared" si="8"/>
        <v>-3.7310764401418541E-2</v>
      </c>
      <c r="DV8" s="9">
        <f t="shared" si="8"/>
        <v>2.524093892652959E-2</v>
      </c>
      <c r="DW8" s="9">
        <f t="shared" si="8"/>
        <v>3.5159202684512107E-2</v>
      </c>
      <c r="DX8" s="9">
        <f t="shared" si="8"/>
        <v>3.2304964005665182E-2</v>
      </c>
      <c r="DY8" s="9">
        <f t="shared" si="8"/>
        <v>-3.3048945391833368E-2</v>
      </c>
      <c r="DZ8" s="9">
        <f t="shared" si="8"/>
        <v>-3.0875828777379061E-2</v>
      </c>
      <c r="EA8" s="9">
        <f t="shared" ref="EA8:EF8" si="9">IF(EA6=1,EA3,IF(EA6=2,EA4,IF(EA6=3,EA5)))</f>
        <v>-3.1659361830993098E-2</v>
      </c>
      <c r="EB8" s="9">
        <f t="shared" si="9"/>
        <v>3.723081253221186E-2</v>
      </c>
      <c r="EC8" s="9">
        <f t="shared" si="9"/>
        <v>-4.1069385194225268E-2</v>
      </c>
      <c r="ED8" s="9">
        <f t="shared" si="9"/>
        <v>3.4186640907954438E-2</v>
      </c>
      <c r="EE8" s="9">
        <f t="shared" si="9"/>
        <v>2.5041157579864491E-2</v>
      </c>
      <c r="EF8" s="9">
        <f t="shared" si="9"/>
        <v>3.4121434975122142E-2</v>
      </c>
    </row>
    <row r="10" spans="1:137">
      <c r="A10" s="27" t="s">
        <v>140</v>
      </c>
      <c r="B10" s="28"/>
      <c r="C10" s="4" t="s">
        <v>141</v>
      </c>
      <c r="D10" s="6">
        <v>964</v>
      </c>
    </row>
    <row r="11" spans="1:137">
      <c r="A11" s="4" t="s">
        <v>143</v>
      </c>
      <c r="B11" s="4" t="s">
        <v>142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5" t="s">
        <v>13</v>
      </c>
      <c r="O11" s="5" t="s">
        <v>14</v>
      </c>
      <c r="P11" s="5" t="s">
        <v>15</v>
      </c>
      <c r="Q11" s="5" t="s">
        <v>16</v>
      </c>
      <c r="R11" s="5" t="s">
        <v>17</v>
      </c>
      <c r="S11" s="5" t="s">
        <v>18</v>
      </c>
      <c r="T11" s="5" t="s">
        <v>19</v>
      </c>
      <c r="U11" s="5" t="s">
        <v>20</v>
      </c>
      <c r="V11" s="5" t="s">
        <v>21</v>
      </c>
      <c r="W11" s="5" t="s">
        <v>22</v>
      </c>
      <c r="X11" s="5" t="s">
        <v>23</v>
      </c>
      <c r="Y11" s="5" t="s">
        <v>24</v>
      </c>
      <c r="Z11" s="5" t="s">
        <v>25</v>
      </c>
      <c r="AA11" s="5" t="s">
        <v>26</v>
      </c>
      <c r="AB11" s="5" t="s">
        <v>27</v>
      </c>
      <c r="AC11" s="5" t="s">
        <v>28</v>
      </c>
      <c r="AD11" s="5" t="s">
        <v>29</v>
      </c>
      <c r="AE11" s="5" t="s">
        <v>30</v>
      </c>
      <c r="AF11" s="5" t="s">
        <v>31</v>
      </c>
      <c r="AG11" s="5" t="s">
        <v>32</v>
      </c>
      <c r="AH11" s="5" t="s">
        <v>33</v>
      </c>
      <c r="AI11" s="5" t="s">
        <v>34</v>
      </c>
      <c r="AJ11" s="5" t="s">
        <v>35</v>
      </c>
      <c r="AK11" s="5" t="s">
        <v>36</v>
      </c>
      <c r="AL11" s="5" t="s">
        <v>37</v>
      </c>
      <c r="AM11" s="5" t="s">
        <v>38</v>
      </c>
      <c r="AN11" s="5" t="s">
        <v>39</v>
      </c>
      <c r="AO11" s="5" t="s">
        <v>40</v>
      </c>
      <c r="AP11" s="5" t="s">
        <v>41</v>
      </c>
      <c r="AQ11" s="5" t="s">
        <v>42</v>
      </c>
      <c r="AR11" s="5" t="s">
        <v>43</v>
      </c>
      <c r="AS11" s="5" t="s">
        <v>44</v>
      </c>
      <c r="AT11" s="5" t="s">
        <v>45</v>
      </c>
      <c r="AU11" s="5" t="s">
        <v>46</v>
      </c>
      <c r="AV11" s="5" t="s">
        <v>47</v>
      </c>
      <c r="AW11" s="5" t="s">
        <v>48</v>
      </c>
      <c r="AX11" s="5" t="s">
        <v>49</v>
      </c>
      <c r="AY11" s="5" t="s">
        <v>50</v>
      </c>
      <c r="AZ11" s="5" t="s">
        <v>51</v>
      </c>
      <c r="BA11" s="5" t="s">
        <v>52</v>
      </c>
      <c r="BB11" s="5" t="s">
        <v>53</v>
      </c>
      <c r="BC11" s="5" t="s">
        <v>54</v>
      </c>
      <c r="BD11" s="5" t="s">
        <v>55</v>
      </c>
      <c r="BE11" s="5" t="s">
        <v>56</v>
      </c>
      <c r="BF11" s="5" t="s">
        <v>57</v>
      </c>
      <c r="BG11" s="5" t="s">
        <v>58</v>
      </c>
      <c r="BH11" s="5" t="s">
        <v>59</v>
      </c>
      <c r="BI11" s="5" t="s">
        <v>60</v>
      </c>
      <c r="BJ11" s="5" t="s">
        <v>61</v>
      </c>
      <c r="BK11" s="5" t="s">
        <v>62</v>
      </c>
      <c r="BL11" s="5" t="s">
        <v>63</v>
      </c>
      <c r="BM11" s="5" t="s">
        <v>64</v>
      </c>
      <c r="BN11" s="5" t="s">
        <v>65</v>
      </c>
      <c r="BO11" s="5" t="s">
        <v>66</v>
      </c>
      <c r="BP11" s="5" t="s">
        <v>67</v>
      </c>
      <c r="BQ11" s="5" t="s">
        <v>68</v>
      </c>
      <c r="BR11" s="5" t="s">
        <v>69</v>
      </c>
      <c r="BS11" s="5" t="s">
        <v>70</v>
      </c>
      <c r="BT11" s="5" t="s">
        <v>71</v>
      </c>
      <c r="BU11" s="5" t="s">
        <v>72</v>
      </c>
      <c r="BV11" s="5" t="s">
        <v>73</v>
      </c>
      <c r="BW11" s="5" t="s">
        <v>74</v>
      </c>
      <c r="BX11" s="5" t="s">
        <v>75</v>
      </c>
      <c r="BY11" s="5" t="s">
        <v>76</v>
      </c>
      <c r="BZ11" s="5" t="s">
        <v>77</v>
      </c>
      <c r="CA11" s="5" t="s">
        <v>78</v>
      </c>
      <c r="CB11" s="5" t="s">
        <v>79</v>
      </c>
      <c r="CC11" s="5" t="s">
        <v>80</v>
      </c>
      <c r="CD11" s="5" t="s">
        <v>81</v>
      </c>
      <c r="CE11" s="5" t="s">
        <v>82</v>
      </c>
      <c r="CF11" s="5" t="s">
        <v>83</v>
      </c>
      <c r="CG11" s="5" t="s">
        <v>84</v>
      </c>
      <c r="CH11" s="5" t="s">
        <v>85</v>
      </c>
      <c r="CI11" s="5" t="s">
        <v>86</v>
      </c>
      <c r="CJ11" s="5" t="s">
        <v>87</v>
      </c>
      <c r="CK11" s="5" t="s">
        <v>88</v>
      </c>
      <c r="CL11" s="5" t="s">
        <v>89</v>
      </c>
      <c r="CM11" s="5" t="s">
        <v>90</v>
      </c>
      <c r="CN11" s="5" t="s">
        <v>91</v>
      </c>
      <c r="CO11" s="5" t="s">
        <v>92</v>
      </c>
      <c r="CP11" s="5" t="s">
        <v>93</v>
      </c>
      <c r="CQ11" s="5" t="s">
        <v>94</v>
      </c>
      <c r="CR11" s="5" t="s">
        <v>95</v>
      </c>
      <c r="CS11" s="5" t="s">
        <v>96</v>
      </c>
      <c r="CT11" s="5" t="s">
        <v>97</v>
      </c>
      <c r="CU11" s="5" t="s">
        <v>98</v>
      </c>
      <c r="CV11" s="5" t="s">
        <v>99</v>
      </c>
      <c r="CW11" s="5" t="s">
        <v>100</v>
      </c>
      <c r="CX11" s="5" t="s">
        <v>101</v>
      </c>
      <c r="CY11" s="5" t="s">
        <v>102</v>
      </c>
      <c r="CZ11" s="5" t="s">
        <v>103</v>
      </c>
      <c r="DA11" s="5" t="s">
        <v>104</v>
      </c>
      <c r="DB11" s="5" t="s">
        <v>105</v>
      </c>
      <c r="DC11" s="5" t="s">
        <v>106</v>
      </c>
      <c r="DD11" s="5" t="s">
        <v>107</v>
      </c>
      <c r="DE11" s="5" t="s">
        <v>108</v>
      </c>
      <c r="DF11" s="5" t="s">
        <v>109</v>
      </c>
      <c r="DG11" s="5" t="s">
        <v>110</v>
      </c>
      <c r="DH11" s="5" t="s">
        <v>111</v>
      </c>
      <c r="DI11" s="5" t="s">
        <v>112</v>
      </c>
      <c r="DJ11" s="5" t="s">
        <v>113</v>
      </c>
      <c r="DK11" s="5" t="s">
        <v>114</v>
      </c>
      <c r="DL11" s="5" t="s">
        <v>115</v>
      </c>
      <c r="DM11" s="5" t="s">
        <v>116</v>
      </c>
      <c r="DN11" s="5" t="s">
        <v>117</v>
      </c>
      <c r="DO11" s="5" t="s">
        <v>118</v>
      </c>
      <c r="DP11" s="5" t="s">
        <v>119</v>
      </c>
      <c r="DQ11" s="5" t="s">
        <v>120</v>
      </c>
      <c r="DR11" s="5" t="s">
        <v>121</v>
      </c>
      <c r="DS11" s="5" t="s">
        <v>122</v>
      </c>
      <c r="DT11" s="5" t="s">
        <v>123</v>
      </c>
      <c r="DU11" s="5" t="s">
        <v>124</v>
      </c>
      <c r="DV11" s="5" t="s">
        <v>125</v>
      </c>
      <c r="DW11" s="5" t="s">
        <v>126</v>
      </c>
      <c r="DX11" s="5" t="s">
        <v>127</v>
      </c>
      <c r="DY11" s="5" t="s">
        <v>128</v>
      </c>
      <c r="DZ11" s="5" t="s">
        <v>129</v>
      </c>
      <c r="EA11" s="5" t="s">
        <v>130</v>
      </c>
      <c r="EB11" s="5" t="s">
        <v>131</v>
      </c>
      <c r="EC11" s="5" t="s">
        <v>132</v>
      </c>
      <c r="ED11" s="5" t="s">
        <v>133</v>
      </c>
      <c r="EE11" s="5" t="s">
        <v>134</v>
      </c>
      <c r="EF11" s="5" t="s">
        <v>135</v>
      </c>
    </row>
    <row r="12" spans="1:137">
      <c r="A12" s="4">
        <v>96</v>
      </c>
      <c r="B12" s="4">
        <v>10</v>
      </c>
      <c r="C12" s="21">
        <f>預測IC!C12</f>
        <v>8.4653541666666707E-2</v>
      </c>
      <c r="D12" s="10">
        <f>C12+預測IC!D12</f>
        <v>0.19934205208333339</v>
      </c>
      <c r="E12" s="10">
        <f>D12+預測IC!E12</f>
        <v>0.24736833333333338</v>
      </c>
      <c r="F12" s="10">
        <f>E12+預測IC!F12</f>
        <v>0.2607897395833334</v>
      </c>
      <c r="G12" s="10">
        <f>F12+預測IC!G12</f>
        <v>0.27251470833333341</v>
      </c>
      <c r="H12" s="10">
        <f>G12+預測IC!H12</f>
        <v>0.31104542708333344</v>
      </c>
      <c r="I12" s="10">
        <f>H12+預測IC!I12</f>
        <v>0.32385537500000011</v>
      </c>
      <c r="J12" s="10">
        <f>I12+預測IC!J12</f>
        <v>0.29444757291666679</v>
      </c>
      <c r="K12" s="10">
        <f>J12+預測IC!K12</f>
        <v>0.31322175000000013</v>
      </c>
      <c r="L12" s="10">
        <f>K12+預測IC!L12</f>
        <v>0.27133111458333348</v>
      </c>
      <c r="M12" s="10">
        <f>L12+預測IC!M12</f>
        <v>0.25577931038317236</v>
      </c>
      <c r="N12" s="10">
        <f>M12+預測IC!N12</f>
        <v>0.32510606038317236</v>
      </c>
      <c r="O12" s="10">
        <f>N12+預測IC!O12</f>
        <v>0.34234690413317237</v>
      </c>
      <c r="P12" s="10">
        <f>O12+預測IC!P12</f>
        <v>0.34198119579983904</v>
      </c>
      <c r="Q12" s="10">
        <f>P12+預測IC!Q12</f>
        <v>0.37725166454983905</v>
      </c>
      <c r="R12" s="10">
        <f>Q12+預測IC!R12</f>
        <v>0.38391474788317237</v>
      </c>
      <c r="S12" s="10">
        <f>R12+預測IC!S12</f>
        <v>0.36744251871650568</v>
      </c>
      <c r="T12" s="10">
        <f>S12+預測IC!T12</f>
        <v>0.32477922800845538</v>
      </c>
      <c r="U12" s="10">
        <f>T12+預測IC!U12</f>
        <v>0.30860043634178869</v>
      </c>
      <c r="V12" s="10">
        <f>U12+預測IC!V12</f>
        <v>0.31480523842512198</v>
      </c>
      <c r="W12" s="10">
        <f>V12+預測IC!W12</f>
        <v>0.33408318464873205</v>
      </c>
      <c r="X12" s="10">
        <f>W12+預測IC!X12</f>
        <v>0.35983264298206541</v>
      </c>
      <c r="Y12" s="10">
        <f>X12+預測IC!Y12</f>
        <v>0.3752727471487321</v>
      </c>
      <c r="Z12" s="10">
        <f>Y12+預測IC!Z12</f>
        <v>0.38043878881539878</v>
      </c>
      <c r="AA12" s="10">
        <f>Z12+預測IC!AA12</f>
        <v>0.36852195548206546</v>
      </c>
      <c r="AB12" s="10">
        <f>AA12+預測IC!AB12</f>
        <v>0.3577886258779267</v>
      </c>
      <c r="AC12" s="10">
        <f>AB12+預測IC!AC12</f>
        <v>0.36295607379459338</v>
      </c>
      <c r="AD12" s="10">
        <f>AC12+預測IC!AD12</f>
        <v>0.36548650362581692</v>
      </c>
      <c r="AE12" s="10">
        <f>AD12+預測IC!AE12</f>
        <v>0.30716949320915027</v>
      </c>
      <c r="AF12" s="10">
        <f>AE12+預測IC!AF12</f>
        <v>0.32765287112704067</v>
      </c>
      <c r="AG12" s="10">
        <f>AF12+預測IC!AG12</f>
        <v>0.3397320586270407</v>
      </c>
      <c r="AH12" s="10">
        <f>AG12+預測IC!AH12</f>
        <v>0.35282891856316007</v>
      </c>
      <c r="AI12" s="10">
        <f>AH12+預測IC!AI12</f>
        <v>0.37183338373349939</v>
      </c>
      <c r="AJ12" s="10">
        <f>AI12+預測IC!AJ12</f>
        <v>0.37932360044658447</v>
      </c>
      <c r="AK12" s="10">
        <f>AJ12+預測IC!AK12</f>
        <v>0.42667826198229802</v>
      </c>
      <c r="AL12" s="10">
        <f>AK12+預測IC!AL12</f>
        <v>0.44453726500422008</v>
      </c>
      <c r="AM12" s="10">
        <f>AL12+預測IC!AM12</f>
        <v>0.47674161876331406</v>
      </c>
      <c r="AN12" s="10">
        <f>AM12+預測IC!AN12</f>
        <v>0.54711248523704592</v>
      </c>
      <c r="AO12" s="10">
        <f>AN12+預測IC!AO12</f>
        <v>0.54925109012314488</v>
      </c>
      <c r="AP12" s="10">
        <f>AO12+預測IC!AP12</f>
        <v>0.51552209435195606</v>
      </c>
      <c r="AQ12" s="10">
        <f>AP12+預測IC!AQ12</f>
        <v>0.50834607811376886</v>
      </c>
      <c r="AR12" s="10">
        <f>AQ12+預測IC!AR12</f>
        <v>0.52119689154990068</v>
      </c>
      <c r="AS12" s="10">
        <f>AR12+預測IC!AS12</f>
        <v>0.54092302294410832</v>
      </c>
      <c r="AT12" s="10">
        <f>AS12+預測IC!AT12</f>
        <v>0.55399194945104924</v>
      </c>
      <c r="AU12" s="10">
        <f>AT12+預測IC!AU12</f>
        <v>0.57396659914045411</v>
      </c>
      <c r="AV12" s="10">
        <f>AU12+預測IC!AV12</f>
        <v>0.53284052814868499</v>
      </c>
      <c r="AW12" s="10">
        <f>AV12+預測IC!AW12</f>
        <v>0.53377007569204382</v>
      </c>
      <c r="AX12" s="10">
        <f>AW12+預測IC!AX12</f>
        <v>0.57679053580361606</v>
      </c>
      <c r="AY12" s="10">
        <f>AX12+預測IC!AY12</f>
        <v>0.60127388974782836</v>
      </c>
      <c r="AZ12" s="10">
        <f>AY12+預測IC!AZ12</f>
        <v>0.59821567488732175</v>
      </c>
      <c r="BA12" s="10">
        <f>AZ12+預測IC!BA12</f>
        <v>0.6694919769706551</v>
      </c>
      <c r="BB12" s="10">
        <f>BA12+預測IC!BB12</f>
        <v>0.67527704988732173</v>
      </c>
      <c r="BC12" s="10">
        <f>BB12+預測IC!BC12</f>
        <v>0.6882626262747672</v>
      </c>
      <c r="BD12" s="10">
        <f>BC12+預測IC!BD12</f>
        <v>0.6996940502684631</v>
      </c>
      <c r="BE12" s="10">
        <f>BD12+預測IC!BE12</f>
        <v>0.72372454126458297</v>
      </c>
      <c r="BF12" s="10">
        <f>BE12+預測IC!BF12</f>
        <v>0.79245435027971844</v>
      </c>
      <c r="BG12" s="10">
        <f>BF12+預測IC!BG12</f>
        <v>0.83084248031643393</v>
      </c>
      <c r="BH12" s="10">
        <f>BG12+預測IC!BH12</f>
        <v>0.84199139592943795</v>
      </c>
      <c r="BI12" s="10">
        <f>BH12+預測IC!BI12</f>
        <v>0.89343132331640829</v>
      </c>
      <c r="BJ12" s="10">
        <f>BI12+預測IC!BJ12</f>
        <v>0.89263532999649042</v>
      </c>
      <c r="BK12" s="10">
        <f>BJ12+預測IC!BK12</f>
        <v>0.87093885559204287</v>
      </c>
      <c r="BL12" s="10">
        <f>BK12+預測IC!BL12</f>
        <v>0.89564810142219153</v>
      </c>
      <c r="BM12" s="10">
        <f>BL12+預測IC!BM12</f>
        <v>0.84534241689886702</v>
      </c>
      <c r="BN12" s="10">
        <f>BM12+預測IC!BN12</f>
        <v>0.85668072872356293</v>
      </c>
      <c r="BO12" s="10">
        <f>BN12+預測IC!BO12</f>
        <v>0.88092703897979985</v>
      </c>
      <c r="BP12" s="10">
        <f>BO12+預測IC!BP12</f>
        <v>0.87035022248550287</v>
      </c>
      <c r="BQ12" s="10">
        <f>BP12+預測IC!BQ12</f>
        <v>0.8855568027568208</v>
      </c>
      <c r="BR12" s="10">
        <f>BQ12+預測IC!BR12</f>
        <v>0.88405013834312984</v>
      </c>
      <c r="BS12" s="10">
        <f>BR12+預測IC!BS12</f>
        <v>0.90174704490154722</v>
      </c>
      <c r="BT12" s="10">
        <f>BS12+預測IC!BT12</f>
        <v>0.92354489526280859</v>
      </c>
      <c r="BU12" s="10">
        <f>BT12+預測IC!BU12</f>
        <v>0.9337543959754232</v>
      </c>
      <c r="BV12" s="10">
        <f>BU12+預測IC!BV12</f>
        <v>0.9639782091931397</v>
      </c>
      <c r="BW12" s="10">
        <f>BV12+預測IC!BW12</f>
        <v>0.93516133483574493</v>
      </c>
      <c r="BX12" s="10">
        <f>BW12+預測IC!BX12</f>
        <v>0.94487444035998025</v>
      </c>
      <c r="BY12" s="10">
        <f>BX12+預測IC!BY12</f>
        <v>0.91182303079724625</v>
      </c>
      <c r="BZ12" s="10">
        <f>BY12+預測IC!BZ12</f>
        <v>0.95682705898123721</v>
      </c>
      <c r="CA12" s="10">
        <f>BZ12+預測IC!CA12</f>
        <v>0.92637928547879744</v>
      </c>
      <c r="CB12" s="10">
        <f>CA12+預測IC!CB12</f>
        <v>0.92804417309329934</v>
      </c>
      <c r="CC12" s="10">
        <f>CB12+預測IC!CC12</f>
        <v>0.99361021475996603</v>
      </c>
      <c r="CD12" s="10">
        <f>CC12+預測IC!CD12</f>
        <v>1.0378687355932994</v>
      </c>
      <c r="CE12" s="10">
        <f>CD12+預測IC!CE12</f>
        <v>1.1918758918432995</v>
      </c>
      <c r="CF12" s="10">
        <f>CE12+預測IC!CF12</f>
        <v>1.195953933509966</v>
      </c>
      <c r="CG12" s="10">
        <f>CF12+預測IC!CG12</f>
        <v>1.1962627355932993</v>
      </c>
      <c r="CH12" s="10">
        <f>CG12+預測IC!CH12</f>
        <v>1.2606653759950939</v>
      </c>
      <c r="CI12" s="10">
        <f>CH12+預測IC!CI12</f>
        <v>1.2248579633709455</v>
      </c>
      <c r="CJ12" s="10">
        <f>CI12+預測IC!CJ12</f>
        <v>1.2424718129119789</v>
      </c>
      <c r="CK12" s="10">
        <f>CJ12+預測IC!CK12</f>
        <v>1.2544658812898315</v>
      </c>
      <c r="CL12" s="10">
        <f>CK12+預測IC!CL12</f>
        <v>1.3724814889594419</v>
      </c>
      <c r="CM12" s="10">
        <f>CL12+預測IC!CM12</f>
        <v>1.3580987983464652</v>
      </c>
      <c r="CN12" s="10">
        <f>CM12+預測IC!CN12</f>
        <v>1.332511835459596</v>
      </c>
      <c r="CO12" s="10">
        <f>CN12+預測IC!CO12</f>
        <v>1.3057638901088624</v>
      </c>
      <c r="CP12" s="10">
        <f>CO12+預測IC!CP12</f>
        <v>1.3508040857144297</v>
      </c>
      <c r="CQ12" s="10">
        <f>CP12+預測IC!CQ12</f>
        <v>1.2881197387108549</v>
      </c>
      <c r="CR12" s="10">
        <f>CQ12+預測IC!CR12</f>
        <v>1.3362667178775216</v>
      </c>
      <c r="CS12" s="10">
        <f>CR12+預測IC!CS12</f>
        <v>1.3217574053775216</v>
      </c>
      <c r="CT12" s="10">
        <f>CS12+預測IC!CT12</f>
        <v>1.3207957591736192</v>
      </c>
      <c r="CU12" s="10">
        <f>CT12+預測IC!CU12</f>
        <v>1.3528319379369644</v>
      </c>
      <c r="CV12" s="10">
        <f>CU12+預測IC!CV12</f>
        <v>1.3610950918657969</v>
      </c>
      <c r="CW12" s="10">
        <f>CV12+預測IC!CW12</f>
        <v>1.3664763199503676</v>
      </c>
      <c r="CX12" s="10">
        <f>CW12+預測IC!CX12</f>
        <v>1.4274662024873594</v>
      </c>
      <c r="CY12" s="10">
        <f>CX12+預測IC!CY12</f>
        <v>1.4212839823485084</v>
      </c>
      <c r="CZ12" s="10">
        <f>CY12+預測IC!CZ12</f>
        <v>1.5008912656071127</v>
      </c>
      <c r="DA12" s="10">
        <f>CZ12+預測IC!DA12</f>
        <v>1.5042944736026653</v>
      </c>
      <c r="DB12" s="10">
        <f>DA12+預測IC!DB12</f>
        <v>1.593276327769332</v>
      </c>
      <c r="DC12" s="10">
        <f>DB12+預測IC!DC12</f>
        <v>1.6033035465193319</v>
      </c>
      <c r="DD12" s="10">
        <f>DC12+預測IC!DD12</f>
        <v>1.5642121298526652</v>
      </c>
      <c r="DE12" s="10">
        <f>DD12+預測IC!DE12</f>
        <v>1.5640273856076337</v>
      </c>
      <c r="DF12" s="10">
        <f>DE12+預測IC!DF12</f>
        <v>1.5571943694240438</v>
      </c>
      <c r="DG12" s="10">
        <f>DF12+預測IC!DG12</f>
        <v>1.5564040993512653</v>
      </c>
      <c r="DH12" s="10">
        <f>DG12+預測IC!DH12</f>
        <v>1.5511419555764623</v>
      </c>
      <c r="DI12" s="10">
        <f>DH12+預測IC!DI12</f>
        <v>1.4966987825843299</v>
      </c>
      <c r="DJ12" s="10">
        <f>DI12+預測IC!DJ12</f>
        <v>1.5118174596676632</v>
      </c>
      <c r="DK12" s="10">
        <f>DJ12+預測IC!DK12</f>
        <v>1.4965530564452785</v>
      </c>
      <c r="DL12" s="10">
        <f>DK12+預測IC!DL12</f>
        <v>1.4954887912822679</v>
      </c>
      <c r="DM12" s="10">
        <f>DL12+預測IC!DM12</f>
        <v>1.4897740198864011</v>
      </c>
      <c r="DN12" s="10">
        <f>DM12+預測IC!DN12</f>
        <v>1.5290023625192408</v>
      </c>
      <c r="DO12" s="10">
        <f>DN12+預測IC!DO12</f>
        <v>1.5511306126841393</v>
      </c>
      <c r="DP12" s="10">
        <f>DO12+預測IC!DP12</f>
        <v>1.5837150622844365</v>
      </c>
      <c r="DQ12" s="10">
        <f>DP12+預測IC!DQ12</f>
        <v>1.5602666717329419</v>
      </c>
      <c r="DR12" s="10">
        <f>DQ12+預測IC!DR12</f>
        <v>1.5790456150123289</v>
      </c>
      <c r="DS12" s="10">
        <f>DR12+預測IC!DS12</f>
        <v>1.5417815845730678</v>
      </c>
      <c r="DT12" s="10">
        <f>DS12+預測IC!DT12</f>
        <v>1.5668994491564012</v>
      </c>
      <c r="DU12" s="10">
        <f>DT12+預測IC!DU12</f>
        <v>1.5096692199897346</v>
      </c>
      <c r="DV12" s="10">
        <f>DU12+預測IC!DV12</f>
        <v>1.5618424037992604</v>
      </c>
      <c r="DW12" s="10">
        <f>DV12+預測IC!DW12</f>
        <v>1.6015367054235283</v>
      </c>
      <c r="DX12" s="10">
        <f>DW12+預測IC!DX12</f>
        <v>1.5519174986203008</v>
      </c>
      <c r="DY12" s="10">
        <f>DX12+預測IC!DY12</f>
        <v>1.6050628111203009</v>
      </c>
      <c r="DZ12" s="10">
        <f>DY12+預測IC!DZ12</f>
        <v>1.611248092370301</v>
      </c>
      <c r="EA12" s="10">
        <f>DZ12+預測IC!EA12</f>
        <v>1.6623457253703009</v>
      </c>
      <c r="EB12" s="10">
        <f>EA12+預測IC!EB12</f>
        <v>1.6660151110082189</v>
      </c>
      <c r="EC12" s="10">
        <f>EB12+預測IC!EC12</f>
        <v>1.6562090693415521</v>
      </c>
      <c r="ED12" s="10">
        <f>EC12+預測IC!ED12</f>
        <v>1.5995810335341565</v>
      </c>
      <c r="EE12" s="10">
        <f>ED12+預測IC!EE12</f>
        <v>1.6120394077978617</v>
      </c>
      <c r="EF12" s="10">
        <f>EE12+預測IC!EF12</f>
        <v>1.6512727558366573</v>
      </c>
    </row>
    <row r="13" spans="1:137">
      <c r="A13" s="4">
        <v>48</v>
      </c>
      <c r="B13" s="4">
        <v>20</v>
      </c>
      <c r="C13" s="21">
        <f>預測IC!C13</f>
        <v>0.10411314583333341</v>
      </c>
      <c r="D13" s="10">
        <f>C13+預測IC!D13</f>
        <v>0.22785825000000001</v>
      </c>
      <c r="E13" s="10">
        <f>D13+預測IC!E13</f>
        <v>0.2977195416666667</v>
      </c>
      <c r="F13" s="10">
        <f>E13+預測IC!F13</f>
        <v>0.28626472916666668</v>
      </c>
      <c r="G13" s="10">
        <f>F13+預測IC!G13</f>
        <v>0.30200958333333333</v>
      </c>
      <c r="H13" s="10">
        <f>G13+預測IC!H13</f>
        <v>0.33199993750000001</v>
      </c>
      <c r="I13" s="10">
        <f>H13+預測IC!I13</f>
        <v>0.36113047916666668</v>
      </c>
      <c r="J13" s="10">
        <f>I13+預測IC!J13</f>
        <v>0.31723166666666669</v>
      </c>
      <c r="K13" s="10">
        <f>J13+預測IC!K13</f>
        <v>0.3158641875</v>
      </c>
      <c r="L13" s="10">
        <f>K13+預測IC!L13</f>
        <v>0.30983908333333332</v>
      </c>
      <c r="M13" s="10">
        <f>L13+預測IC!M13</f>
        <v>0.3175477395958255</v>
      </c>
      <c r="N13" s="10">
        <f>M13+預測IC!N13</f>
        <v>0.41735446876249216</v>
      </c>
      <c r="O13" s="10">
        <f>N13+預測IC!O13</f>
        <v>0.45714384376249217</v>
      </c>
      <c r="P13" s="10">
        <f>O13+預測IC!P13</f>
        <v>0.4739359895958255</v>
      </c>
      <c r="Q13" s="10">
        <f>P13+預測IC!Q13</f>
        <v>0.54716101042915888</v>
      </c>
      <c r="R13" s="10">
        <f>Q13+預測IC!R13</f>
        <v>0.56132084376249225</v>
      </c>
      <c r="S13" s="10">
        <f>R13+預測IC!S13</f>
        <v>0.54907753126249226</v>
      </c>
      <c r="T13" s="10">
        <f>S13+預測IC!T13</f>
        <v>0.49882563454377993</v>
      </c>
      <c r="U13" s="10">
        <f>T13+預測IC!U13</f>
        <v>0.50042194704377996</v>
      </c>
      <c r="V13" s="10">
        <f>U13+預測IC!V13</f>
        <v>0.48032782204378</v>
      </c>
      <c r="W13" s="10">
        <f>V13+預測IC!W13</f>
        <v>0.51143090992814988</v>
      </c>
      <c r="X13" s="10">
        <f>W13+預測IC!X13</f>
        <v>0.56470736826148316</v>
      </c>
      <c r="Y13" s="10">
        <f>X13+預測IC!Y13</f>
        <v>0.57862774326148314</v>
      </c>
      <c r="Z13" s="10">
        <f>Y13+預測IC!Z13</f>
        <v>0.59921165992814984</v>
      </c>
      <c r="AA13" s="10">
        <f>Z13+預測IC!AA13</f>
        <v>0.58277161826148316</v>
      </c>
      <c r="AB13" s="10">
        <f>AA13+預測IC!AB13</f>
        <v>0.56777004493250471</v>
      </c>
      <c r="AC13" s="10">
        <f>AB13+預測IC!AC13</f>
        <v>0.57580131576583804</v>
      </c>
      <c r="AD13" s="10">
        <f>AC13+預測IC!AD13</f>
        <v>0.59624154413963049</v>
      </c>
      <c r="AE13" s="10">
        <f>AD13+預測IC!AE13</f>
        <v>0.53052206497296384</v>
      </c>
      <c r="AF13" s="10">
        <f>AE13+預測IC!AF13</f>
        <v>0.56358849538617661</v>
      </c>
      <c r="AG13" s="10">
        <f>AF13+預測IC!AG13</f>
        <v>0.56687095371950991</v>
      </c>
      <c r="AH13" s="10">
        <f>AG13+預測IC!AH13</f>
        <v>0.57821130605735283</v>
      </c>
      <c r="AI13" s="10">
        <f>AH13+預測IC!AI13</f>
        <v>0.59027885613142561</v>
      </c>
      <c r="AJ13" s="10">
        <f>AI13+預測IC!AJ13</f>
        <v>0.57177101259454588</v>
      </c>
      <c r="AK13" s="10">
        <f>AJ13+預測IC!AK13</f>
        <v>0.63775892540520185</v>
      </c>
      <c r="AL13" s="10">
        <f>AK13+預測IC!AL13</f>
        <v>0.66408792520875137</v>
      </c>
      <c r="AM13" s="10">
        <f>AL13+預測IC!AM13</f>
        <v>0.70985259976216086</v>
      </c>
      <c r="AN13" s="10">
        <f>AM13+預測IC!AN13</f>
        <v>0.8151828378981949</v>
      </c>
      <c r="AO13" s="10">
        <f>AN13+預測IC!AO13</f>
        <v>0.83089726182107948</v>
      </c>
      <c r="AP13" s="10">
        <f>AO13+預測IC!AP13</f>
        <v>0.77135904164820634</v>
      </c>
      <c r="AQ13" s="10">
        <f>AP13+預測IC!AQ13</f>
        <v>0.7678095548415691</v>
      </c>
      <c r="AR13" s="10">
        <f>AQ13+預測IC!AR13</f>
        <v>0.7821806176604198</v>
      </c>
      <c r="AS13" s="10">
        <f>AR13+預測IC!AS13</f>
        <v>0.82195857065009448</v>
      </c>
      <c r="AT13" s="10">
        <f>AS13+預測IC!AT13</f>
        <v>0.86242165850453423</v>
      </c>
      <c r="AU13" s="10">
        <f>AT13+預測IC!AU13</f>
        <v>0.90488264073250568</v>
      </c>
      <c r="AV13" s="10">
        <f>AU13+預測IC!AV13</f>
        <v>0.89588186271127213</v>
      </c>
      <c r="AW13" s="10">
        <f>AV13+預測IC!AW13</f>
        <v>0.89915013354932694</v>
      </c>
      <c r="AX13" s="10">
        <f>AW13+預測IC!AX13</f>
        <v>0.964499155025348</v>
      </c>
      <c r="AY13" s="10">
        <f>AX13+預測IC!AY13</f>
        <v>0.98026679842842468</v>
      </c>
      <c r="AZ13" s="10">
        <f>AY13+預測IC!AZ13</f>
        <v>0.97126903457599734</v>
      </c>
      <c r="BA13" s="10">
        <f>AZ13+預測IC!BA13</f>
        <v>1.0510983054093306</v>
      </c>
      <c r="BB13" s="10">
        <f>BA13+預測IC!BB13</f>
        <v>1.0771442845759973</v>
      </c>
      <c r="BC13" s="10">
        <f>BB13+預測IC!BC13</f>
        <v>1.0901708648296449</v>
      </c>
      <c r="BD13" s="10">
        <f>BC13+預測IC!BD13</f>
        <v>1.0957729469449473</v>
      </c>
      <c r="BE13" s="10">
        <f>BD13+預測IC!BE13</f>
        <v>1.1241962948999342</v>
      </c>
      <c r="BF13" s="10">
        <f>BE13+預測IC!BF13</f>
        <v>1.208125710207431</v>
      </c>
      <c r="BG13" s="10">
        <f>BF13+預測IC!BG13</f>
        <v>1.2546921725461426</v>
      </c>
      <c r="BH13" s="10">
        <f>BG13+預測IC!BH13</f>
        <v>1.261668444447305</v>
      </c>
      <c r="BI13" s="10">
        <f>BH13+預測IC!BI13</f>
        <v>1.3144565640142534</v>
      </c>
      <c r="BJ13" s="10">
        <f>BI13+預測IC!BJ13</f>
        <v>1.2968024554880908</v>
      </c>
      <c r="BK13" s="10">
        <f>BJ13+預測IC!BK13</f>
        <v>1.2784114306083414</v>
      </c>
      <c r="BL13" s="10">
        <f>BK13+預測IC!BL13</f>
        <v>1.3153740407852899</v>
      </c>
      <c r="BM13" s="10">
        <f>BL13+預測IC!BM13</f>
        <v>1.2620022720900992</v>
      </c>
      <c r="BN13" s="10">
        <f>BM13+預測IC!BN13</f>
        <v>1.2728950110585668</v>
      </c>
      <c r="BO13" s="10">
        <f>BN13+預測IC!BO13</f>
        <v>1.3046303233904868</v>
      </c>
      <c r="BP13" s="10">
        <f>BO13+預測IC!BP13</f>
        <v>1.3122822702148043</v>
      </c>
      <c r="BQ13" s="10">
        <f>BP13+預測IC!BQ13</f>
        <v>1.3531013669862146</v>
      </c>
      <c r="BR13" s="10">
        <f>BQ13+預測IC!BR13</f>
        <v>1.3460299855095859</v>
      </c>
      <c r="BS13" s="10">
        <f>BR13+預測IC!BS13</f>
        <v>1.3532882280175194</v>
      </c>
      <c r="BT13" s="10">
        <f>BS13+預測IC!BT13</f>
        <v>1.3916317336339921</v>
      </c>
      <c r="BU13" s="10">
        <f>BT13+預測IC!BU13</f>
        <v>1.4081587283788894</v>
      </c>
      <c r="BV13" s="10">
        <f>BU13+預測IC!BV13</f>
        <v>1.4288026033801882</v>
      </c>
      <c r="BW13" s="10">
        <f>BV13+預測IC!BW13</f>
        <v>1.4305658411908653</v>
      </c>
      <c r="BX13" s="10">
        <f>BW13+預測IC!BX13</f>
        <v>1.4523513320834827</v>
      </c>
      <c r="BY13" s="10">
        <f>BX13+預測IC!BY13</f>
        <v>1.4378389344129923</v>
      </c>
      <c r="BZ13" s="10">
        <f>BY13+預測IC!BZ13</f>
        <v>1.5147668051374208</v>
      </c>
      <c r="CA13" s="10">
        <f>BZ13+預測IC!CA13</f>
        <v>1.4812352395370239</v>
      </c>
      <c r="CB13" s="10">
        <f>CA13+預測IC!CB13</f>
        <v>1.4741033701291897</v>
      </c>
      <c r="CC13" s="10">
        <f>CB13+預測IC!CC13</f>
        <v>1.5942212867958563</v>
      </c>
      <c r="CD13" s="10">
        <f>CC13+預測IC!CD13</f>
        <v>1.6494771201291896</v>
      </c>
      <c r="CE13" s="10">
        <f>CD13+預測IC!CE13</f>
        <v>1.8333048492958564</v>
      </c>
      <c r="CF13" s="10">
        <f>CE13+預測IC!CF13</f>
        <v>1.8515339951291896</v>
      </c>
      <c r="CG13" s="10">
        <f>CF13+預測IC!CG13</f>
        <v>1.859094390962523</v>
      </c>
      <c r="CH13" s="10">
        <f>CG13+預測IC!CH13</f>
        <v>1.9174290027897303</v>
      </c>
      <c r="CI13" s="10">
        <f>CH13+預測IC!CI13</f>
        <v>1.8655754936554669</v>
      </c>
      <c r="CJ13" s="10">
        <f>CI13+預測IC!CJ13</f>
        <v>1.8616988933609742</v>
      </c>
      <c r="CK13" s="10">
        <f>CJ13+預測IC!CK13</f>
        <v>1.8937441625974381</v>
      </c>
      <c r="CL13" s="10">
        <f>CK13+預測IC!CL13</f>
        <v>1.9780485539119419</v>
      </c>
      <c r="CM13" s="10">
        <f>CL13+預測IC!CM13</f>
        <v>1.9677517501555468</v>
      </c>
      <c r="CN13" s="10">
        <f>CM13+預測IC!CN13</f>
        <v>1.9408641841566945</v>
      </c>
      <c r="CO13" s="10">
        <f>CN13+預測IC!CO13</f>
        <v>1.927406725593467</v>
      </c>
      <c r="CP13" s="10">
        <f>CO13+預測IC!CP13</f>
        <v>1.9982041980765564</v>
      </c>
      <c r="CQ13" s="10">
        <f>CP13+預測IC!CQ13</f>
        <v>1.9270253331081524</v>
      </c>
      <c r="CR13" s="10">
        <f>CQ13+預測IC!CR13</f>
        <v>1.991406187274819</v>
      </c>
      <c r="CS13" s="10">
        <f>CR13+預測IC!CS13</f>
        <v>1.9953541456081523</v>
      </c>
      <c r="CT13" s="10">
        <f>CS13+預測IC!CT13</f>
        <v>2.0034249449245309</v>
      </c>
      <c r="CU13" s="10">
        <f>CT13+預測IC!CU13</f>
        <v>2.0394318604588202</v>
      </c>
      <c r="CV13" s="10">
        <f>CU13+預測IC!CV13</f>
        <v>2.0372014858148759</v>
      </c>
      <c r="CW13" s="10">
        <f>CV13+預測IC!CW13</f>
        <v>2.043178516671122</v>
      </c>
      <c r="CX13" s="10">
        <f>CW13+預測IC!CX13</f>
        <v>2.103822278306442</v>
      </c>
      <c r="CY13" s="10">
        <f>CX13+預測IC!CY13</f>
        <v>2.0907035381914292</v>
      </c>
      <c r="CZ13" s="10">
        <f>CY13+預測IC!CZ13</f>
        <v>2.1479277585449141</v>
      </c>
      <c r="DA13" s="10">
        <f>CZ13+預測IC!DA13</f>
        <v>2.1408312275934738</v>
      </c>
      <c r="DB13" s="10">
        <f>DA13+預測IC!DB13</f>
        <v>2.2470664775934739</v>
      </c>
      <c r="DC13" s="10">
        <f>DB13+預測IC!DC13</f>
        <v>2.2706076025934738</v>
      </c>
      <c r="DD13" s="10">
        <f>DC13+預測IC!DD13</f>
        <v>2.2192013109268074</v>
      </c>
      <c r="DE13" s="10">
        <f>DD13+預測IC!DE13</f>
        <v>2.2243689638222266</v>
      </c>
      <c r="DF13" s="10">
        <f>DE13+預測IC!DF13</f>
        <v>2.1958501670285919</v>
      </c>
      <c r="DG13" s="10">
        <f>DF13+預測IC!DG13</f>
        <v>2.194219509855702</v>
      </c>
      <c r="DH13" s="10">
        <f>DG13+預測IC!DH13</f>
        <v>2.2072117549014938</v>
      </c>
      <c r="DI13" s="10">
        <f>DH13+預測IC!DI13</f>
        <v>2.1606502980872602</v>
      </c>
      <c r="DJ13" s="10">
        <f>DI13+預測IC!DJ13</f>
        <v>2.166634152253927</v>
      </c>
      <c r="DK13" s="10">
        <f>DJ13+預測IC!DK13</f>
        <v>2.1786609420927712</v>
      </c>
      <c r="DL13" s="10">
        <f>DK13+預測IC!DL13</f>
        <v>2.163006389652212</v>
      </c>
      <c r="DM13" s="10">
        <f>DL13+預測IC!DM13</f>
        <v>2.1563475206037683</v>
      </c>
      <c r="DN13" s="10">
        <f>DM13+預測IC!DN13</f>
        <v>2.1711873183840331</v>
      </c>
      <c r="DO13" s="10">
        <f>DN13+預測IC!DO13</f>
        <v>2.2197188316069991</v>
      </c>
      <c r="DP13" s="10">
        <f>DO13+預測IC!DP13</f>
        <v>2.26695698483304</v>
      </c>
      <c r="DQ13" s="10">
        <f>DP13+預測IC!DQ13</f>
        <v>2.2405269034159114</v>
      </c>
      <c r="DR13" s="10">
        <f>DQ13+預測IC!DR13</f>
        <v>2.2542981126882236</v>
      </c>
      <c r="DS13" s="10">
        <f>DR13+預測IC!DS13</f>
        <v>2.2157953377060493</v>
      </c>
      <c r="DT13" s="10">
        <f>DS13+預測IC!DT13</f>
        <v>2.266626691872716</v>
      </c>
      <c r="DU13" s="10">
        <f>DT13+預測IC!DU13</f>
        <v>2.2336207335393827</v>
      </c>
      <c r="DV13" s="10">
        <f>DU13+預測IC!DV13</f>
        <v>2.3132408775635711</v>
      </c>
      <c r="DW13" s="10">
        <f>DV13+預測IC!DW13</f>
        <v>2.3589278569915781</v>
      </c>
      <c r="DX13" s="10">
        <f>DW13+預測IC!DX13</f>
        <v>2.2942859375010469</v>
      </c>
      <c r="DY13" s="10">
        <f>DX13+預測IC!DY13</f>
        <v>2.3512670833343803</v>
      </c>
      <c r="DZ13" s="10">
        <f>DY13+預測IC!DZ13</f>
        <v>2.3695690625010468</v>
      </c>
      <c r="EA13" s="10">
        <f>DZ13+預測IC!EA13</f>
        <v>2.4316877395010468</v>
      </c>
      <c r="EB13" s="10">
        <f>EA13+預測IC!EB13</f>
        <v>2.453060957700433</v>
      </c>
      <c r="EC13" s="10">
        <f>EB13+預測IC!EC13</f>
        <v>2.4342859368670995</v>
      </c>
      <c r="ED13" s="10">
        <f>EC13+預測IC!ED13</f>
        <v>2.3686038432078647</v>
      </c>
      <c r="EE13" s="10">
        <f>ED13+預測IC!EE13</f>
        <v>2.3773418689106243</v>
      </c>
      <c r="EF13" s="10">
        <f>EE13+預測IC!EF13</f>
        <v>2.4446330256520765</v>
      </c>
    </row>
    <row r="14" spans="1:137">
      <c r="A14" s="4">
        <v>19</v>
      </c>
      <c r="B14" s="4">
        <v>50</v>
      </c>
      <c r="C14" s="21">
        <f>預測IC!C14</f>
        <v>0.1199416315789474</v>
      </c>
      <c r="D14" s="10">
        <f>C14+預測IC!D14</f>
        <v>0.34225042105263159</v>
      </c>
      <c r="E14" s="10">
        <f>D14+預測IC!E14</f>
        <v>0.4410185789473684</v>
      </c>
      <c r="F14" s="10">
        <f>E14+預測IC!F14</f>
        <v>0.47556178947368422</v>
      </c>
      <c r="G14" s="10">
        <f>F14+預測IC!G14</f>
        <v>0.56071099999999996</v>
      </c>
      <c r="H14" s="10">
        <f>G14+預測IC!H14</f>
        <v>0.62029994736842098</v>
      </c>
      <c r="I14" s="10">
        <f>H14+預測IC!I14</f>
        <v>0.69741494736842102</v>
      </c>
      <c r="J14" s="10">
        <f>I14+預測IC!J14</f>
        <v>0.59232136842105265</v>
      </c>
      <c r="K14" s="10">
        <f>J14+預測IC!K14</f>
        <v>0.60477284210526316</v>
      </c>
      <c r="L14" s="10">
        <f>K14+預測IC!L14</f>
        <v>0.59629263157894741</v>
      </c>
      <c r="M14" s="10">
        <f>L14+預測IC!M14</f>
        <v>0.60198882434257917</v>
      </c>
      <c r="N14" s="10">
        <f>M14+預測IC!N14</f>
        <v>0.80682150855310542</v>
      </c>
      <c r="O14" s="10">
        <f>N14+預測IC!O14</f>
        <v>0.84646387697415804</v>
      </c>
      <c r="P14" s="10">
        <f>O14+預測IC!P14</f>
        <v>0.8942438243425791</v>
      </c>
      <c r="Q14" s="10">
        <f>P14+預測IC!Q14</f>
        <v>0.95248287697415801</v>
      </c>
      <c r="R14" s="10">
        <f>Q14+預測IC!R14</f>
        <v>0.93833119276363175</v>
      </c>
      <c r="S14" s="10">
        <f>R14+預測IC!S14</f>
        <v>0.97686645592152643</v>
      </c>
      <c r="T14" s="10">
        <f>S14+預測IC!T14</f>
        <v>0.90702497640063062</v>
      </c>
      <c r="U14" s="10">
        <f>T14+預測IC!U14</f>
        <v>0.94360323955852532</v>
      </c>
      <c r="V14" s="10">
        <f>U14+預測IC!V14</f>
        <v>0.90522892376905162</v>
      </c>
      <c r="W14" s="10">
        <f>V14+預測IC!W14</f>
        <v>0.97923708315730462</v>
      </c>
      <c r="X14" s="10">
        <f>W14+預測IC!X14</f>
        <v>1.0328188726309888</v>
      </c>
      <c r="Y14" s="10">
        <f>X14+預測IC!Y14</f>
        <v>1.0160552936836205</v>
      </c>
      <c r="Z14" s="10">
        <f>Y14+預測IC!Z14</f>
        <v>1.0373072936836205</v>
      </c>
      <c r="AA14" s="10">
        <f>Z14+預測IC!AA14</f>
        <v>1.0346816094730942</v>
      </c>
      <c r="AB14" s="10">
        <f>AA14+預測IC!AB14</f>
        <v>1.0073456308675401</v>
      </c>
      <c r="AC14" s="10">
        <f>AB14+預測IC!AC14</f>
        <v>0.97805299928859279</v>
      </c>
      <c r="AD14" s="10">
        <f>AC14+預測IC!AD14</f>
        <v>1.0479275910237349</v>
      </c>
      <c r="AE14" s="10">
        <f>AD14+預測IC!AE14</f>
        <v>1.043908538392156</v>
      </c>
      <c r="AF14" s="10">
        <f>AE14+預測IC!AF14</f>
        <v>1.0836326768717022</v>
      </c>
      <c r="AG14" s="10">
        <f>AF14+預測IC!AG14</f>
        <v>1.0900232558190706</v>
      </c>
      <c r="AH14" s="10">
        <f>AG14+預測IC!AH14</f>
        <v>1.0866769815981607</v>
      </c>
      <c r="AI14" s="10">
        <f>AH14+預測IC!AI14</f>
        <v>1.1587499325252817</v>
      </c>
      <c r="AJ14" s="10">
        <f>AI14+預測IC!AJ14</f>
        <v>1.1738089686084328</v>
      </c>
      <c r="AK14" s="10">
        <f>AJ14+預測IC!AK14</f>
        <v>1.240135714764357</v>
      </c>
      <c r="AL14" s="10">
        <f>AK14+預測IC!AL14</f>
        <v>1.2781049044868178</v>
      </c>
      <c r="AM14" s="10">
        <f>AL14+預測IC!AM14</f>
        <v>1.3463881778878257</v>
      </c>
      <c r="AN14" s="10">
        <f>AM14+預測IC!AN14</f>
        <v>1.4386486670914018</v>
      </c>
      <c r="AO14" s="10">
        <f>AN14+預測IC!AO14</f>
        <v>1.4995543725568117</v>
      </c>
      <c r="AP14" s="10">
        <f>AO14+預測IC!AP14</f>
        <v>1.4295778474047274</v>
      </c>
      <c r="AQ14" s="10">
        <f>AP14+預測IC!AQ14</f>
        <v>1.4286984613763349</v>
      </c>
      <c r="AR14" s="10">
        <f>AQ14+預測IC!AR14</f>
        <v>1.4663443011385979</v>
      </c>
      <c r="AS14" s="10">
        <f>AR14+預測IC!AS14</f>
        <v>1.5486772771798096</v>
      </c>
      <c r="AT14" s="10">
        <f>AS14+預測IC!AT14</f>
        <v>1.5896018428379071</v>
      </c>
      <c r="AU14" s="10">
        <f>AT14+預測IC!AU14</f>
        <v>1.6366231967465812</v>
      </c>
      <c r="AV14" s="10">
        <f>AU14+預測IC!AV14</f>
        <v>1.6139384104059442</v>
      </c>
      <c r="AW14" s="10">
        <f>AV14+預測IC!AW14</f>
        <v>1.5985170322826892</v>
      </c>
      <c r="AX14" s="10">
        <f>AW14+預測IC!AX14</f>
        <v>1.7354680605770818</v>
      </c>
      <c r="AY14" s="10">
        <f>AX14+預測IC!AY14</f>
        <v>1.7505361793488434</v>
      </c>
      <c r="AZ14" s="10">
        <f>AY14+預測IC!AZ14</f>
        <v>1.6973779316437807</v>
      </c>
      <c r="BA14" s="10">
        <f>AZ14+預測IC!BA14</f>
        <v>1.7937153526964122</v>
      </c>
      <c r="BB14" s="10">
        <f>BA14+預測IC!BB14</f>
        <v>1.8956133526964123</v>
      </c>
      <c r="BC14" s="10">
        <f>BB14+預測IC!BC14</f>
        <v>1.8865294291708941</v>
      </c>
      <c r="BD14" s="10">
        <f>BC14+預測IC!BD14</f>
        <v>1.9298572108382994</v>
      </c>
      <c r="BE14" s="10">
        <f>BD14+預測IC!BE14</f>
        <v>1.9730334551569282</v>
      </c>
      <c r="BF14" s="10">
        <f>BE14+預測IC!BF14</f>
        <v>2.0138039767026181</v>
      </c>
      <c r="BG14" s="10">
        <f>BF14+預測IC!BG14</f>
        <v>2.0551782407765509</v>
      </c>
      <c r="BH14" s="10">
        <f>BG14+預測IC!BH14</f>
        <v>2.0548947966095352</v>
      </c>
      <c r="BI14" s="10">
        <f>BH14+預測IC!BI14</f>
        <v>2.1069090322357038</v>
      </c>
      <c r="BJ14" s="10">
        <f>BI14+預測IC!BJ14</f>
        <v>2.0936547534216365</v>
      </c>
      <c r="BK14" s="10">
        <f>BJ14+預測IC!BK14</f>
        <v>2.0935674281418835</v>
      </c>
      <c r="BL14" s="10">
        <f>BK14+預測IC!BL14</f>
        <v>2.1533051949842537</v>
      </c>
      <c r="BM14" s="10">
        <f>BL14+預測IC!BM14</f>
        <v>2.1070268699812531</v>
      </c>
      <c r="BN14" s="10">
        <f>BM14+預測IC!BN14</f>
        <v>2.1279634080538044</v>
      </c>
      <c r="BO14" s="10">
        <f>BN14+預測IC!BO14</f>
        <v>2.1615724537310688</v>
      </c>
      <c r="BP14" s="10">
        <f>BO14+預測IC!BP14</f>
        <v>2.1743951211214698</v>
      </c>
      <c r="BQ14" s="10">
        <f>BP14+預測IC!BQ14</f>
        <v>2.1864445439066058</v>
      </c>
      <c r="BR14" s="10">
        <f>BQ14+預測IC!BR14</f>
        <v>2.158515114373988</v>
      </c>
      <c r="BS14" s="10">
        <f>BR14+預測IC!BS14</f>
        <v>2.1198859107596837</v>
      </c>
      <c r="BT14" s="10">
        <f>BS14+預測IC!BT14</f>
        <v>2.1930250393606303</v>
      </c>
      <c r="BU14" s="10">
        <f>BT14+預測IC!BU14</f>
        <v>2.1841702040025996</v>
      </c>
      <c r="BV14" s="10">
        <f>BU14+預測IC!BV14</f>
        <v>2.2130616258855556</v>
      </c>
      <c r="BW14" s="10">
        <f>BV14+預測IC!BW14</f>
        <v>2.2255695741431487</v>
      </c>
      <c r="BX14" s="10">
        <f>BW14+預測IC!BX14</f>
        <v>2.2794279361777088</v>
      </c>
      <c r="BY14" s="10">
        <f>BX14+預測IC!BY14</f>
        <v>2.2609060631246596</v>
      </c>
      <c r="BZ14" s="10">
        <f>BY14+預測IC!BZ14</f>
        <v>2.3726865836562405</v>
      </c>
      <c r="CA14" s="10">
        <f>BZ14+預測IC!CA14</f>
        <v>2.3482213175413036</v>
      </c>
      <c r="CB14" s="10">
        <f>CA14+預測IC!CB14</f>
        <v>2.3703489340834785</v>
      </c>
      <c r="CC14" s="10">
        <f>CB14+預測IC!CC14</f>
        <v>2.4909441446097942</v>
      </c>
      <c r="CD14" s="10">
        <f>CC14+預測IC!CD14</f>
        <v>2.5388655130308466</v>
      </c>
      <c r="CE14" s="10">
        <f>CD14+預測IC!CE14</f>
        <v>2.70942035513611</v>
      </c>
      <c r="CF14" s="10">
        <f>CE14+預測IC!CF14</f>
        <v>2.6891100393466365</v>
      </c>
      <c r="CG14" s="10">
        <f>CF14+預測IC!CG14</f>
        <v>2.8280369340834786</v>
      </c>
      <c r="CH14" s="10">
        <f>CG14+預測IC!CH14</f>
        <v>2.8926983263616957</v>
      </c>
      <c r="CI14" s="10">
        <f>CH14+預測IC!CI14</f>
        <v>2.786813548998337</v>
      </c>
      <c r="CJ14" s="10">
        <f>CI14+預測IC!CJ14</f>
        <v>2.7542831423194261</v>
      </c>
      <c r="CK14" s="10">
        <f>CJ14+預測IC!CK14</f>
        <v>2.768299506710072</v>
      </c>
      <c r="CL14" s="10">
        <f>CK14+預測IC!CL14</f>
        <v>2.8305694615889085</v>
      </c>
      <c r="CM14" s="10">
        <f>CL14+預測IC!CM14</f>
        <v>2.8626094719572257</v>
      </c>
      <c r="CN14" s="10">
        <f>CM14+預測IC!CN14</f>
        <v>2.8421300739140198</v>
      </c>
      <c r="CO14" s="10">
        <f>CN14+預測IC!CO14</f>
        <v>2.768542353875127</v>
      </c>
      <c r="CP14" s="10">
        <f>CO14+預測IC!CP14</f>
        <v>2.8683516853568798</v>
      </c>
      <c r="CQ14" s="10">
        <f>CP14+預測IC!CQ14</f>
        <v>2.8361237854694923</v>
      </c>
      <c r="CR14" s="10">
        <f>CQ14+預測IC!CR14</f>
        <v>2.8987648381010711</v>
      </c>
      <c r="CS14" s="10">
        <f>CR14+預測IC!CS14</f>
        <v>2.894949732837913</v>
      </c>
      <c r="CT14" s="10">
        <f>CS14+預測IC!CT14</f>
        <v>2.9140503093885979</v>
      </c>
      <c r="CU14" s="10">
        <f>CT14+預測IC!CU14</f>
        <v>2.869505867275592</v>
      </c>
      <c r="CV14" s="10">
        <f>CU14+預測IC!CV14</f>
        <v>2.8922515824138473</v>
      </c>
      <c r="CW14" s="10">
        <f>CV14+預測IC!CW14</f>
        <v>2.8888531999503764</v>
      </c>
      <c r="CX14" s="10">
        <f>CW14+預測IC!CX14</f>
        <v>2.9216175290369599</v>
      </c>
      <c r="CY14" s="10">
        <f>CX14+預測IC!CY14</f>
        <v>2.8928584087454858</v>
      </c>
      <c r="CZ14" s="10">
        <f>CY14+預測IC!CZ14</f>
        <v>2.956921972095869</v>
      </c>
      <c r="DA14" s="10">
        <f>CZ14+預測IC!DA14</f>
        <v>2.9326176829252844</v>
      </c>
      <c r="DB14" s="10">
        <f>DA14+預測IC!DB14</f>
        <v>3.0372257355568633</v>
      </c>
      <c r="DC14" s="10">
        <f>DB14+預測IC!DC14</f>
        <v>3.0519796302937054</v>
      </c>
      <c r="DD14" s="10">
        <f>DC14+預測IC!DD14</f>
        <v>2.9980807355568633</v>
      </c>
      <c r="DE14" s="10">
        <f>DD14+預測IC!DE14</f>
        <v>3.0034650351646279</v>
      </c>
      <c r="DF14" s="10">
        <f>DE14+預測IC!DF14</f>
        <v>2.9636945747024854</v>
      </c>
      <c r="DG14" s="10">
        <f>DF14+預測IC!DG14</f>
        <v>2.9751411310958025</v>
      </c>
      <c r="DH14" s="10">
        <f>DG14+預測IC!DH14</f>
        <v>2.9799159683387142</v>
      </c>
      <c r="DI14" s="10">
        <f>DH14+預測IC!DI14</f>
        <v>2.9267239710941064</v>
      </c>
      <c r="DJ14" s="10">
        <f>DI14+預測IC!DJ14</f>
        <v>2.9426217605677905</v>
      </c>
      <c r="DK14" s="10">
        <f>DJ14+預測IC!DK14</f>
        <v>2.96093913664467</v>
      </c>
      <c r="DL14" s="10">
        <f>DK14+預測IC!DL14</f>
        <v>2.9457739750897813</v>
      </c>
      <c r="DM14" s="10">
        <f>DL14+預測IC!DM14</f>
        <v>2.951278244183432</v>
      </c>
      <c r="DN14" s="10">
        <f>DM14+預測IC!DN14</f>
        <v>2.9911299517499765</v>
      </c>
      <c r="DO14" s="10">
        <f>DN14+預測IC!DO14</f>
        <v>3.0325055969127739</v>
      </c>
      <c r="DP14" s="10">
        <f>DO14+預測IC!DP14</f>
        <v>3.0730378244170113</v>
      </c>
      <c r="DQ14" s="10">
        <f>DP14+預測IC!DQ14</f>
        <v>2.9836699643761997</v>
      </c>
      <c r="DR14" s="10">
        <f>DQ14+預測IC!DR14</f>
        <v>3.0362924838351995</v>
      </c>
      <c r="DS14" s="10">
        <f>DR14+預測IC!DS14</f>
        <v>3.0012475775642828</v>
      </c>
      <c r="DT14" s="10">
        <f>DS14+預測IC!DT14</f>
        <v>3.1189198933537567</v>
      </c>
      <c r="DU14" s="10">
        <f>DT14+預測IC!DU14</f>
        <v>3.0501236301958619</v>
      </c>
      <c r="DV14" s="10">
        <f>DU14+預測IC!DV14</f>
        <v>3.1583859847259692</v>
      </c>
      <c r="DW14" s="10">
        <f>DV14+預測IC!DW14</f>
        <v>3.2501953137818078</v>
      </c>
      <c r="DX14" s="10">
        <f>DW14+預測IC!DX14</f>
        <v>3.1480340938959688</v>
      </c>
      <c r="DY14" s="10">
        <f>DX14+預測IC!DY14</f>
        <v>3.2222919360012319</v>
      </c>
      <c r="DZ14" s="10">
        <f>DY14+預測IC!DZ14</f>
        <v>3.2573228307380742</v>
      </c>
      <c r="EA14" s="10">
        <f>DZ14+預測IC!EA14</f>
        <v>3.364848313738074</v>
      </c>
      <c r="EB14" s="10">
        <f>EA14+預測IC!EB14</f>
        <v>3.371865788158773</v>
      </c>
      <c r="EC14" s="10">
        <f>EB14+預測IC!EC14</f>
        <v>3.3525761565798256</v>
      </c>
      <c r="ED14" s="10">
        <f>EC14+預測IC!ED14</f>
        <v>3.2499464473936386</v>
      </c>
      <c r="EE14" s="10">
        <f>ED14+預測IC!EE14</f>
        <v>3.2686343973453944</v>
      </c>
      <c r="EF14" s="10">
        <f>EE14+預測IC!EF14</f>
        <v>3.3352667440748069</v>
      </c>
    </row>
    <row r="15" spans="1:137">
      <c r="A15" s="4">
        <v>10</v>
      </c>
      <c r="B15" s="4">
        <v>100</v>
      </c>
      <c r="C15" s="21">
        <f>預測IC!C15</f>
        <v>0.22764509999999999</v>
      </c>
      <c r="D15" s="10">
        <f>C15+預測IC!D15</f>
        <v>0.60035480000000008</v>
      </c>
      <c r="E15" s="10">
        <f>D15+預測IC!E15</f>
        <v>0.6663922000000001</v>
      </c>
      <c r="F15" s="10">
        <f>E15+預測IC!F15</f>
        <v>0.75669680000000006</v>
      </c>
      <c r="G15" s="10">
        <f>F15+預測IC!G15</f>
        <v>0.85330300000000003</v>
      </c>
      <c r="H15" s="10">
        <f>G15+預測IC!H15</f>
        <v>0.97214739999999999</v>
      </c>
      <c r="I15" s="10">
        <f>H15+預測IC!I15</f>
        <v>1.0988762999999999</v>
      </c>
      <c r="J15" s="10">
        <f>I15+預測IC!J15</f>
        <v>1.0343521</v>
      </c>
      <c r="K15" s="10">
        <f>J15+預測IC!K15</f>
        <v>1.0301411</v>
      </c>
      <c r="L15" s="10">
        <f>K15+預測IC!L15</f>
        <v>1.0431080000000001</v>
      </c>
      <c r="M15" s="10">
        <f>L15+預測IC!M15</f>
        <v>1.0686057094794874</v>
      </c>
      <c r="N15" s="10">
        <f>M15+預測IC!N15</f>
        <v>1.3989153094794875</v>
      </c>
      <c r="O15" s="10">
        <f>N15+預測IC!O15</f>
        <v>1.4450188094794876</v>
      </c>
      <c r="P15" s="10">
        <f>O15+預測IC!P15</f>
        <v>1.4980022094794876</v>
      </c>
      <c r="Q15" s="10">
        <f>P15+預測IC!Q15</f>
        <v>1.5983790094794876</v>
      </c>
      <c r="R15" s="10">
        <f>Q15+預測IC!R15</f>
        <v>1.6151342094794876</v>
      </c>
      <c r="S15" s="10">
        <f>R15+預測IC!S15</f>
        <v>1.5721006094794876</v>
      </c>
      <c r="T15" s="10">
        <f>S15+預測IC!T15</f>
        <v>1.5053004845363755</v>
      </c>
      <c r="U15" s="10">
        <f>T15+預測IC!U15</f>
        <v>1.5520891845363756</v>
      </c>
      <c r="V15" s="10">
        <f>U15+預測IC!V15</f>
        <v>1.4664087845363756</v>
      </c>
      <c r="W15" s="10">
        <f>V15+預測IC!W15</f>
        <v>1.5689523785191186</v>
      </c>
      <c r="X15" s="10">
        <f>W15+預測IC!X15</f>
        <v>1.6473888785191186</v>
      </c>
      <c r="Y15" s="10">
        <f>X15+預測IC!Y15</f>
        <v>1.6231991785191187</v>
      </c>
      <c r="Z15" s="10">
        <f>Y15+預測IC!Z15</f>
        <v>1.5995429785191186</v>
      </c>
      <c r="AA15" s="10">
        <f>Z15+預測IC!AA15</f>
        <v>1.6461318785191186</v>
      </c>
      <c r="AB15" s="10">
        <f>AA15+預測IC!AB15</f>
        <v>1.6239654777781856</v>
      </c>
      <c r="AC15" s="10">
        <f>AB15+預測IC!AC15</f>
        <v>1.5839106777781855</v>
      </c>
      <c r="AD15" s="10">
        <f>AC15+預測IC!AD15</f>
        <v>1.6656240526663679</v>
      </c>
      <c r="AE15" s="10">
        <f>AD15+預測IC!AE15</f>
        <v>1.7129096526663679</v>
      </c>
      <c r="AF15" s="10">
        <f>AE15+預測IC!AF15</f>
        <v>1.7787292651634077</v>
      </c>
      <c r="AG15" s="10">
        <f>AF15+預測IC!AG15</f>
        <v>1.7689842651634078</v>
      </c>
      <c r="AH15" s="10">
        <f>AG15+預測IC!AH15</f>
        <v>1.7353798918057313</v>
      </c>
      <c r="AI15" s="10">
        <f>AH15+預測IC!AI15</f>
        <v>1.7862343413917563</v>
      </c>
      <c r="AJ15" s="10">
        <f>AI15+預測IC!AJ15</f>
        <v>1.7956992013592321</v>
      </c>
      <c r="AK15" s="10">
        <f>AJ15+預測IC!AK15</f>
        <v>1.8531947768490853</v>
      </c>
      <c r="AL15" s="10">
        <f>AK15+預測IC!AL15</f>
        <v>1.8937504318355201</v>
      </c>
      <c r="AM15" s="10">
        <f>AL15+預測IC!AM15</f>
        <v>1.9488730539701471</v>
      </c>
      <c r="AN15" s="10">
        <f>AM15+預測IC!AN15</f>
        <v>2.0417349673878333</v>
      </c>
      <c r="AO15" s="10">
        <f>AN15+預測IC!AO15</f>
        <v>2.1051047798513003</v>
      </c>
      <c r="AP15" s="10">
        <f>AO15+預測IC!AP15</f>
        <v>2.0186470133407974</v>
      </c>
      <c r="AQ15" s="10">
        <f>AP15+預測IC!AQ15</f>
        <v>1.9860494713344476</v>
      </c>
      <c r="AR15" s="10">
        <f>AQ15+預測IC!AR15</f>
        <v>2.0645667282018891</v>
      </c>
      <c r="AS15" s="10">
        <f>AR15+預測IC!AS15</f>
        <v>2.1183879072390033</v>
      </c>
      <c r="AT15" s="10">
        <f>AS15+預測IC!AT15</f>
        <v>2.1836428978914317</v>
      </c>
      <c r="AU15" s="10">
        <f>AT15+預測IC!AU15</f>
        <v>2.2235861589808978</v>
      </c>
      <c r="AV15" s="10">
        <f>AU15+預測IC!AV15</f>
        <v>2.1763593406534589</v>
      </c>
      <c r="AW15" s="10">
        <f>AV15+預測IC!AW15</f>
        <v>2.19201927990804</v>
      </c>
      <c r="AX15" s="10">
        <f>AW15+預測IC!AX15</f>
        <v>2.3172532570827751</v>
      </c>
      <c r="AY15" s="10">
        <f>AX15+預測IC!AY15</f>
        <v>2.3453626735455613</v>
      </c>
      <c r="AZ15" s="10">
        <f>AY15+預測IC!AZ15</f>
        <v>2.2540393934770577</v>
      </c>
      <c r="BA15" s="10">
        <f>AZ15+預測IC!BA15</f>
        <v>2.411727693477058</v>
      </c>
      <c r="BB15" s="10">
        <f>BA15+預測IC!BB15</f>
        <v>2.5205161934770581</v>
      </c>
      <c r="BC15" s="10">
        <f>BB15+預測IC!BC15</f>
        <v>2.5826713371448884</v>
      </c>
      <c r="BD15" s="10">
        <f>BC15+預測IC!BD15</f>
        <v>2.6256211574968567</v>
      </c>
      <c r="BE15" s="10">
        <f>BD15+預測IC!BE15</f>
        <v>2.6647676723545248</v>
      </c>
      <c r="BF15" s="10">
        <f>BE15+預測IC!BF15</f>
        <v>2.7159455596320683</v>
      </c>
      <c r="BG15" s="10">
        <f>BF15+預測IC!BG15</f>
        <v>2.7187703817134441</v>
      </c>
      <c r="BH15" s="10">
        <f>BG15+預測IC!BH15</f>
        <v>2.7523269189998212</v>
      </c>
      <c r="BI15" s="10">
        <f>BH15+預測IC!BI15</f>
        <v>2.8209135781147907</v>
      </c>
      <c r="BJ15" s="10">
        <f>BI15+預測IC!BJ15</f>
        <v>2.8052944754427989</v>
      </c>
      <c r="BK15" s="10">
        <f>BJ15+預測IC!BK15</f>
        <v>2.794138107729343</v>
      </c>
      <c r="BL15" s="10">
        <f>BK15+預測IC!BL15</f>
        <v>2.856886283729533</v>
      </c>
      <c r="BM15" s="10">
        <f>BL15+預測IC!BM15</f>
        <v>2.808667279241789</v>
      </c>
      <c r="BN15" s="10">
        <f>BM15+預測IC!BN15</f>
        <v>2.8488098489749789</v>
      </c>
      <c r="BO15" s="10">
        <f>BN15+預測IC!BO15</f>
        <v>2.8765443249299101</v>
      </c>
      <c r="BP15" s="10">
        <f>BO15+預測IC!BP15</f>
        <v>2.8907285456377148</v>
      </c>
      <c r="BQ15" s="10">
        <f>BP15+預測IC!BQ15</f>
        <v>2.9035314769280425</v>
      </c>
      <c r="BR15" s="10">
        <f>BQ15+預測IC!BR15</f>
        <v>2.8533740478059828</v>
      </c>
      <c r="BS15" s="10">
        <f>BR15+預測IC!BS15</f>
        <v>2.8365502703556964</v>
      </c>
      <c r="BT15" s="10">
        <f>BS15+預測IC!BT15</f>
        <v>2.925610476087031</v>
      </c>
      <c r="BU15" s="10">
        <f>BT15+預測IC!BU15</f>
        <v>2.9450868958828242</v>
      </c>
      <c r="BV15" s="10">
        <f>BU15+預測IC!BV15</f>
        <v>3.0043158328432726</v>
      </c>
      <c r="BW15" s="10">
        <f>BV15+預測IC!BW15</f>
        <v>2.9683699427138688</v>
      </c>
      <c r="BX15" s="10">
        <f>BW15+預測IC!BX15</f>
        <v>2.9890404887574973</v>
      </c>
      <c r="BY15" s="10">
        <f>BX15+預測IC!BY15</f>
        <v>2.9013853709959445</v>
      </c>
      <c r="BZ15" s="10">
        <f>BY15+預測IC!BZ15</f>
        <v>3.0042918399732916</v>
      </c>
      <c r="CA15" s="10">
        <f>BZ15+預測IC!CA15</f>
        <v>2.9856998191768493</v>
      </c>
      <c r="CB15" s="10">
        <f>CA15+預測IC!CB15</f>
        <v>3.0007567131886739</v>
      </c>
      <c r="CC15" s="10">
        <f>CB15+預測IC!CC15</f>
        <v>3.1744063131886739</v>
      </c>
      <c r="CD15" s="10">
        <f>CC15+預測IC!CD15</f>
        <v>3.2634999131886739</v>
      </c>
      <c r="CE15" s="10">
        <f>CD15+預測IC!CE15</f>
        <v>3.3368673131886739</v>
      </c>
      <c r="CF15" s="10">
        <f>CE15+預測IC!CF15</f>
        <v>3.333240913188674</v>
      </c>
      <c r="CG15" s="10">
        <f>CF15+預測IC!CG15</f>
        <v>3.5589726131886739</v>
      </c>
      <c r="CH15" s="10">
        <f>CG15+預測IC!CH15</f>
        <v>3.6218585714723752</v>
      </c>
      <c r="CI15" s="10">
        <f>CH15+預測IC!CI15</f>
        <v>3.5940554996313847</v>
      </c>
      <c r="CJ15" s="10">
        <f>CI15+預測IC!CJ15</f>
        <v>3.5070111435586666</v>
      </c>
      <c r="CK15" s="10">
        <f>CJ15+預測IC!CK15</f>
        <v>3.5636837893307662</v>
      </c>
      <c r="CL15" s="10">
        <f>CK15+預測IC!CL15</f>
        <v>3.5951057643240145</v>
      </c>
      <c r="CM15" s="10">
        <f>CL15+預測IC!CM15</f>
        <v>3.6697368804524682</v>
      </c>
      <c r="CN15" s="10">
        <f>CM15+預測IC!CN15</f>
        <v>3.6271027646533081</v>
      </c>
      <c r="CO15" s="10">
        <f>CN15+預測IC!CO15</f>
        <v>3.4976537397712666</v>
      </c>
      <c r="CP15" s="10">
        <f>CO15+預測IC!CP15</f>
        <v>3.6251895752042165</v>
      </c>
      <c r="CQ15" s="10">
        <f>CP15+預測IC!CQ15</f>
        <v>3.6501529356606555</v>
      </c>
      <c r="CR15" s="10">
        <f>CQ15+預測IC!CR15</f>
        <v>3.6745274356606554</v>
      </c>
      <c r="CS15" s="10">
        <f>CR15+預測IC!CS15</f>
        <v>3.6914398356606553</v>
      </c>
      <c r="CT15" s="10">
        <f>CS15+預測IC!CT15</f>
        <v>3.6988344106361102</v>
      </c>
      <c r="CU15" s="10">
        <f>CT15+預測IC!CU15</f>
        <v>3.6356557507213374</v>
      </c>
      <c r="CV15" s="10">
        <f>CU15+預測IC!CV15</f>
        <v>3.6295139038165285</v>
      </c>
      <c r="CW15" s="10">
        <f>CV15+預測IC!CW15</f>
        <v>3.6141229794331857</v>
      </c>
      <c r="CX15" s="10">
        <f>CW15+預測IC!CX15</f>
        <v>3.6381625864865166</v>
      </c>
      <c r="CY15" s="10">
        <f>CX15+預測IC!CY15</f>
        <v>3.5956919134087544</v>
      </c>
      <c r="CZ15" s="10">
        <f>CY15+預測IC!CZ15</f>
        <v>3.6728369873492159</v>
      </c>
      <c r="DA15" s="10">
        <f>CZ15+預測IC!DA15</f>
        <v>3.6464611519073395</v>
      </c>
      <c r="DB15" s="10">
        <f>DA15+預測IC!DB15</f>
        <v>3.7435088519073396</v>
      </c>
      <c r="DC15" s="10">
        <f>DB15+預測IC!DC15</f>
        <v>3.8202353519073395</v>
      </c>
      <c r="DD15" s="10">
        <f>DC15+預測IC!DD15</f>
        <v>3.7527102519073394</v>
      </c>
      <c r="DE15" s="10">
        <f>DD15+預測IC!DE15</f>
        <v>3.7776589666523823</v>
      </c>
      <c r="DF15" s="10">
        <f>DE15+預測IC!DF15</f>
        <v>3.7352676602529877</v>
      </c>
      <c r="DG15" s="10">
        <f>DF15+預測IC!DG15</f>
        <v>3.7514643918712292</v>
      </c>
      <c r="DH15" s="10">
        <f>DG15+預測IC!DH15</f>
        <v>3.7327553808273373</v>
      </c>
      <c r="DI15" s="10">
        <f>DH15+預測IC!DI15</f>
        <v>3.7210369318178795</v>
      </c>
      <c r="DJ15" s="10">
        <f>DI15+預測IC!DJ15</f>
        <v>3.7686034318178794</v>
      </c>
      <c r="DK15" s="10">
        <f>DJ15+預測IC!DK15</f>
        <v>3.8703782658693475</v>
      </c>
      <c r="DL15" s="10">
        <f>DK15+預測IC!DL15</f>
        <v>3.9330137599577855</v>
      </c>
      <c r="DM15" s="10">
        <f>DL15+預測IC!DM15</f>
        <v>3.9092052130901167</v>
      </c>
      <c r="DN15" s="10">
        <f>DM15+預測IC!DN15</f>
        <v>3.9532017105137363</v>
      </c>
      <c r="DO15" s="10">
        <f>DN15+預測IC!DO15</f>
        <v>3.9994984377475369</v>
      </c>
      <c r="DP15" s="10">
        <f>DO15+預測IC!DP15</f>
        <v>4.0232340397544295</v>
      </c>
      <c r="DQ15" s="10">
        <f>DP15+預測IC!DQ15</f>
        <v>3.923561824699294</v>
      </c>
      <c r="DR15" s="10">
        <f>DQ15+預測IC!DR15</f>
        <v>3.9633474327543947</v>
      </c>
      <c r="DS15" s="10">
        <f>DR15+預測IC!DS15</f>
        <v>3.8803025161234252</v>
      </c>
      <c r="DT15" s="10">
        <f>DS15+預測IC!DT15</f>
        <v>3.9145992161234253</v>
      </c>
      <c r="DU15" s="10">
        <f>DT15+預測IC!DU15</f>
        <v>3.7974707161234251</v>
      </c>
      <c r="DV15" s="10">
        <f>DU15+預測IC!DV15</f>
        <v>3.9372390730642963</v>
      </c>
      <c r="DW15" s="10">
        <f>DV15+預測IC!DW15</f>
        <v>3.9627777002111291</v>
      </c>
      <c r="DX15" s="10">
        <f>DW15+預測IC!DX15</f>
        <v>3.8441614495611427</v>
      </c>
      <c r="DY15" s="10">
        <f>DX15+預測IC!DY15</f>
        <v>3.9877710495611427</v>
      </c>
      <c r="DZ15" s="10">
        <f>DY15+預測IC!DZ15</f>
        <v>4.0282262495611425</v>
      </c>
      <c r="EA15" s="10">
        <f>DZ15+預測IC!EA15</f>
        <v>4.1374031825611421</v>
      </c>
      <c r="EB15" s="10">
        <f>EA15+預測IC!EB15</f>
        <v>4.1859217556923873</v>
      </c>
      <c r="EC15" s="10">
        <f>EB15+預測IC!EC15</f>
        <v>4.1681379556923872</v>
      </c>
      <c r="ED15" s="10">
        <f>EC15+預測IC!ED15</f>
        <v>4.054780899757076</v>
      </c>
      <c r="EE15" s="10">
        <f>ED15+預測IC!EE15</f>
        <v>4.0323223597799958</v>
      </c>
      <c r="EF15" s="10">
        <f>EE15+預測IC!EF15</f>
        <v>4.0945306650190716</v>
      </c>
    </row>
    <row r="16" spans="1:137">
      <c r="A16" s="4">
        <v>9</v>
      </c>
      <c r="B16" s="4">
        <v>107</v>
      </c>
      <c r="C16" s="21">
        <f>預測IC!C16</f>
        <v>0.20787511111111109</v>
      </c>
      <c r="D16" s="10">
        <f>C16+預測IC!D16</f>
        <v>0.61607055555555545</v>
      </c>
      <c r="E16" s="10">
        <f>D16+預測IC!E16</f>
        <v>0.68107544444444434</v>
      </c>
      <c r="F16" s="10">
        <f>E16+預測IC!F16</f>
        <v>0.78849499999999995</v>
      </c>
      <c r="G16" s="10">
        <f>F16+預測IC!G16</f>
        <v>0.89750855555555542</v>
      </c>
      <c r="H16" s="10">
        <f>G16+預測IC!H16</f>
        <v>0.97035733333333318</v>
      </c>
      <c r="I16" s="10">
        <f>H16+預測IC!I16</f>
        <v>1.0821493333333332</v>
      </c>
      <c r="J16" s="10">
        <f>I16+預測IC!J16</f>
        <v>1.0134558888888887</v>
      </c>
      <c r="K16" s="10">
        <f>J16+預測IC!K16</f>
        <v>1.0313803333333331</v>
      </c>
      <c r="L16" s="10">
        <f>K16+預測IC!L16</f>
        <v>1.0624068888888887</v>
      </c>
      <c r="M16" s="10">
        <f>L16+預測IC!M16</f>
        <v>1.1027413436141293</v>
      </c>
      <c r="N16" s="10">
        <f>M16+預測IC!N16</f>
        <v>1.4697292325030182</v>
      </c>
      <c r="O16" s="10">
        <f>N16+預測IC!O16</f>
        <v>1.4853503436141293</v>
      </c>
      <c r="P16" s="10">
        <f>O16+預測IC!P16</f>
        <v>1.5473301213919071</v>
      </c>
      <c r="Q16" s="10">
        <f>P16+預測IC!Q16</f>
        <v>1.643950010280796</v>
      </c>
      <c r="R16" s="10">
        <f>Q16+預測IC!R16</f>
        <v>1.6631324547252404</v>
      </c>
      <c r="S16" s="10">
        <f>R16+預測IC!S16</f>
        <v>1.6207173436141293</v>
      </c>
      <c r="T16" s="10">
        <f>S16+預測IC!T16</f>
        <v>1.5534982834565281</v>
      </c>
      <c r="U16" s="10">
        <f>T16+預測IC!U16</f>
        <v>1.6021479501231948</v>
      </c>
      <c r="V16" s="10">
        <f>U16+預測IC!V16</f>
        <v>1.4978327279009727</v>
      </c>
      <c r="W16" s="10">
        <f>V16+預測IC!W16</f>
        <v>1.6062574662769737</v>
      </c>
      <c r="X16" s="10">
        <f>W16+預測IC!X16</f>
        <v>1.679935799610307</v>
      </c>
      <c r="Y16" s="10">
        <f>X16+預測IC!Y16</f>
        <v>1.6756472440547514</v>
      </c>
      <c r="Z16" s="10">
        <f>Y16+預測IC!Z16</f>
        <v>1.6555714662769736</v>
      </c>
      <c r="AA16" s="10">
        <f>Z16+預測IC!AA16</f>
        <v>1.7057991329436404</v>
      </c>
      <c r="AB16" s="10">
        <f>AA16+預測IC!AB16</f>
        <v>1.6735037185095727</v>
      </c>
      <c r="AC16" s="10">
        <f>AB16+預測IC!AC16</f>
        <v>1.6324636073984615</v>
      </c>
      <c r="AD16" s="10">
        <f>AC16+預測IC!AD16</f>
        <v>1.6855996629463184</v>
      </c>
      <c r="AE16" s="10">
        <f>AD16+預測IC!AE16</f>
        <v>1.7371336629463183</v>
      </c>
      <c r="AF16" s="10">
        <f>AE16+預測IC!AF16</f>
        <v>1.7980277680118175</v>
      </c>
      <c r="AG16" s="10">
        <f>AF16+預測IC!AG16</f>
        <v>1.7897262124562621</v>
      </c>
      <c r="AH16" s="10">
        <f>AG16+預測IC!AH16</f>
        <v>1.7579608120068215</v>
      </c>
      <c r="AI16" s="10">
        <f>AH16+預測IC!AI16</f>
        <v>1.8070388551833896</v>
      </c>
      <c r="AJ16" s="10">
        <f>AI16+預測IC!AJ16</f>
        <v>1.8000128891115135</v>
      </c>
      <c r="AK16" s="10">
        <f>AJ16+預測IC!AK16</f>
        <v>1.8644342899438855</v>
      </c>
      <c r="AL16" s="10">
        <f>AK16+預測IC!AL16</f>
        <v>1.9131232230484088</v>
      </c>
      <c r="AM16" s="10">
        <f>AL16+預測IC!AM16</f>
        <v>1.9791999536502067</v>
      </c>
      <c r="AN16" s="10">
        <f>AM16+預測IC!AN16</f>
        <v>2.0856561537398823</v>
      </c>
      <c r="AO16" s="10">
        <f>AN16+預測IC!AO16</f>
        <v>2.1444514060059556</v>
      </c>
      <c r="AP16" s="10">
        <f>AO16+預測IC!AP16</f>
        <v>2.0666530378603669</v>
      </c>
      <c r="AQ16" s="10">
        <f>AP16+預測IC!AQ16</f>
        <v>2.0281868377142982</v>
      </c>
      <c r="AR16" s="10">
        <f>AQ16+預測IC!AR16</f>
        <v>2.1314780167747904</v>
      </c>
      <c r="AS16" s="10">
        <f>AR16+預測IC!AS16</f>
        <v>2.1965462422487598</v>
      </c>
      <c r="AT16" s="10">
        <f>AS16+預測IC!AT16</f>
        <v>2.2564133813931542</v>
      </c>
      <c r="AU16" s="10">
        <f>AT16+預測IC!AU16</f>
        <v>2.2982402196480494</v>
      </c>
      <c r="AV16" s="10">
        <f>AU16+預測IC!AV16</f>
        <v>2.2891677128680308</v>
      </c>
      <c r="AW16" s="10">
        <f>AV16+預測IC!AW16</f>
        <v>2.3284206429426813</v>
      </c>
      <c r="AX16" s="10">
        <f>AW16+預測IC!AX16</f>
        <v>2.4292504161866542</v>
      </c>
      <c r="AY16" s="10">
        <f>AX16+預測IC!AY16</f>
        <v>2.4630630060310001</v>
      </c>
      <c r="AZ16" s="10">
        <f>AY16+預測IC!AZ16</f>
        <v>2.3581533708522882</v>
      </c>
      <c r="BA16" s="10">
        <f>AZ16+預測IC!BA16</f>
        <v>2.5181444819633994</v>
      </c>
      <c r="BB16" s="10">
        <f>BA16+預測IC!BB16</f>
        <v>2.6506184819633996</v>
      </c>
      <c r="BC16" s="10">
        <f>BB16+預測IC!BC16</f>
        <v>2.7167207270630884</v>
      </c>
      <c r="BD16" s="10">
        <f>BC16+預測IC!BD16</f>
        <v>2.7526574386089924</v>
      </c>
      <c r="BE16" s="10">
        <f>BD16+預測IC!BE16</f>
        <v>2.8040684330034673</v>
      </c>
      <c r="BF16" s="10">
        <f>BE16+預測IC!BF16</f>
        <v>2.8683364873231856</v>
      </c>
      <c r="BG16" s="10">
        <f>BF16+預測IC!BG16</f>
        <v>2.8821823064231542</v>
      </c>
      <c r="BH16" s="10">
        <f>BG16+預測IC!BH16</f>
        <v>2.8767698263561967</v>
      </c>
      <c r="BI16" s="10">
        <f>BH16+預測IC!BI16</f>
        <v>2.9291055866506612</v>
      </c>
      <c r="BJ16" s="10">
        <f>BI16+預測IC!BJ16</f>
        <v>2.9086017703674538</v>
      </c>
      <c r="BK16" s="10">
        <f>BJ16+預測IC!BK16</f>
        <v>2.9064788185549379</v>
      </c>
      <c r="BL16" s="10">
        <f>BK16+預測IC!BL16</f>
        <v>2.9771023842624613</v>
      </c>
      <c r="BM16" s="10">
        <f>BL16+預測IC!BM16</f>
        <v>2.9376043987713554</v>
      </c>
      <c r="BN16" s="10">
        <f>BM16+預測IC!BN16</f>
        <v>2.9855102313753825</v>
      </c>
      <c r="BO16" s="10">
        <f>BN16+預測IC!BO16</f>
        <v>3.00740059132904</v>
      </c>
      <c r="BP16" s="10">
        <f>BO16+預測IC!BP16</f>
        <v>3.0191477893123793</v>
      </c>
      <c r="BQ16" s="10">
        <f>BP16+預測IC!BQ16</f>
        <v>3.0324602430571952</v>
      </c>
      <c r="BR16" s="10">
        <f>BQ16+預測IC!BR16</f>
        <v>3.0061633950357507</v>
      </c>
      <c r="BS16" s="10">
        <f>BR16+預測IC!BS16</f>
        <v>2.9929718218882866</v>
      </c>
      <c r="BT16" s="10">
        <f>BS16+預測IC!BT16</f>
        <v>3.0784550131560864</v>
      </c>
      <c r="BU16" s="10">
        <f>BT16+預測IC!BU16</f>
        <v>3.1362201233408866</v>
      </c>
      <c r="BV16" s="10">
        <f>BU16+預測IC!BV16</f>
        <v>3.20000261169004</v>
      </c>
      <c r="BW16" s="10">
        <f>BV16+預測IC!BW16</f>
        <v>3.1342616842635054</v>
      </c>
      <c r="BX16" s="10">
        <f>BW16+預測IC!BX16</f>
        <v>3.1658209217846363</v>
      </c>
      <c r="BY16" s="10">
        <f>BX16+預測IC!BY16</f>
        <v>3.0884661455199462</v>
      </c>
      <c r="BZ16" s="10">
        <f>BY16+預測IC!BZ16</f>
        <v>3.1999919940215955</v>
      </c>
      <c r="CA16" s="10">
        <f>BZ16+預測IC!CA16</f>
        <v>3.182875890337824</v>
      </c>
      <c r="CB16" s="10">
        <f>CA16+預測IC!CB16</f>
        <v>3.1814478453486066</v>
      </c>
      <c r="CC16" s="10">
        <f>CB16+預測IC!CC16</f>
        <v>3.2258341786819398</v>
      </c>
      <c r="CD16" s="10">
        <f>CC16+預測IC!CD16</f>
        <v>3.31358417868194</v>
      </c>
      <c r="CE16" s="10">
        <f>CD16+預測IC!CE16</f>
        <v>3.4071979564597177</v>
      </c>
      <c r="CF16" s="10">
        <f>CE16+預測IC!CF16</f>
        <v>3.3925019564597179</v>
      </c>
      <c r="CG16" s="10">
        <f>CF16+預測IC!CG16</f>
        <v>3.5386986231263848</v>
      </c>
      <c r="CH16" s="10">
        <f>CG16+預測IC!CH16</f>
        <v>3.580396037829412</v>
      </c>
      <c r="CI16" s="10">
        <f>CH16+預測IC!CI16</f>
        <v>3.5416861560008943</v>
      </c>
      <c r="CJ16" s="10">
        <f>CI16+預測IC!CJ16</f>
        <v>3.4961626052132275</v>
      </c>
      <c r="CK16" s="10">
        <f>CJ16+預測IC!CK16</f>
        <v>3.5726355889309178</v>
      </c>
      <c r="CL16" s="10">
        <f>CK16+預測IC!CL16</f>
        <v>3.592630958409694</v>
      </c>
      <c r="CM16" s="10">
        <f>CL16+預測IC!CM16</f>
        <v>3.6816195865592056</v>
      </c>
      <c r="CN16" s="10">
        <f>CM16+預測IC!CN16</f>
        <v>3.6485620714182558</v>
      </c>
      <c r="CO16" s="10">
        <f>CN16+預測IC!CO16</f>
        <v>3.4776833803110092</v>
      </c>
      <c r="CP16" s="10">
        <f>CO16+預測IC!CP16</f>
        <v>3.6152971963394216</v>
      </c>
      <c r="CQ16" s="10">
        <f>CP16+預測IC!CQ16</f>
        <v>3.6356309761597827</v>
      </c>
      <c r="CR16" s="10">
        <f>CQ16+預測IC!CR16</f>
        <v>3.660860420604227</v>
      </c>
      <c r="CS16" s="10">
        <f>CR16+預測IC!CS16</f>
        <v>3.682668642826449</v>
      </c>
      <c r="CT16" s="10">
        <f>CS16+預測IC!CT16</f>
        <v>3.6877360493272899</v>
      </c>
      <c r="CU16" s="10">
        <f>CT16+預測IC!CU16</f>
        <v>3.6236226802634062</v>
      </c>
      <c r="CV16" s="10">
        <f>CU16+預測IC!CV16</f>
        <v>3.6057617208452721</v>
      </c>
      <c r="CW16" s="10">
        <f>CV16+預測IC!CW16</f>
        <v>3.5933383788649809</v>
      </c>
      <c r="CX16" s="10">
        <f>CW16+預測IC!CX16</f>
        <v>3.6055786636192306</v>
      </c>
      <c r="CY16" s="10">
        <f>CX16+預測IC!CY16</f>
        <v>3.5564616145026053</v>
      </c>
      <c r="CZ16" s="10">
        <f>CY16+預測IC!CZ16</f>
        <v>3.659094873680738</v>
      </c>
      <c r="DA16" s="10">
        <f>CZ16+預測IC!DA16</f>
        <v>3.6292900797135026</v>
      </c>
      <c r="DB16" s="10">
        <f>DA16+預測IC!DB16</f>
        <v>3.7273067463801692</v>
      </c>
      <c r="DC16" s="10">
        <f>DB16+預測IC!DC16</f>
        <v>3.7910468574912803</v>
      </c>
      <c r="DD16" s="10">
        <f>DC16+預測IC!DD16</f>
        <v>3.7166767463801693</v>
      </c>
      <c r="DE16" s="10">
        <f>DD16+預測IC!DE16</f>
        <v>3.6854836183440365</v>
      </c>
      <c r="DF16" s="10">
        <f>DE16+預測IC!DF16</f>
        <v>3.6623371851184774</v>
      </c>
      <c r="DG16" s="10">
        <f>DF16+預測IC!DG16</f>
        <v>3.676790132749916</v>
      </c>
      <c r="DH16" s="10">
        <f>DG16+預測IC!DH16</f>
        <v>3.6576607893319451</v>
      </c>
      <c r="DI16" s="10">
        <f>DH16+預測IC!DI16</f>
        <v>3.6444273636194229</v>
      </c>
      <c r="DJ16" s="10">
        <f>DI16+預測IC!DJ16</f>
        <v>3.696180474730534</v>
      </c>
      <c r="DK16" s="10">
        <f>DJ16+預測IC!DK16</f>
        <v>3.8297748313561146</v>
      </c>
      <c r="DL16" s="10">
        <f>DK16+預測IC!DL16</f>
        <v>3.9012692062720791</v>
      </c>
      <c r="DM16" s="10">
        <f>DL16+預測IC!DM16</f>
        <v>3.870938256513738</v>
      </c>
      <c r="DN16" s="10">
        <f>DM16+預測IC!DN16</f>
        <v>3.9133761098731452</v>
      </c>
      <c r="DO16" s="10">
        <f>DN16+預測IC!DO16</f>
        <v>3.965787969288991</v>
      </c>
      <c r="DP16" s="10">
        <f>DO16+預測IC!DP16</f>
        <v>3.9856299178682169</v>
      </c>
      <c r="DQ16" s="10">
        <f>DP16+預測IC!DQ16</f>
        <v>3.9025962597912005</v>
      </c>
      <c r="DR16" s="10">
        <f>DQ16+預測IC!DR16</f>
        <v>3.9577875114407157</v>
      </c>
      <c r="DS16" s="10">
        <f>DR16+預測IC!DS16</f>
        <v>3.8640354464509614</v>
      </c>
      <c r="DT16" s="10">
        <f>DS16+預測IC!DT16</f>
        <v>3.8960947797842946</v>
      </c>
      <c r="DU16" s="10">
        <f>DT16+預測IC!DU16</f>
        <v>3.7733217797842946</v>
      </c>
      <c r="DV16" s="10">
        <f>DU16+預測IC!DV16</f>
        <v>3.9102755118020882</v>
      </c>
      <c r="DW16" s="10">
        <f>DV16+預測IC!DW16</f>
        <v>3.951193241501779</v>
      </c>
      <c r="DX16" s="10">
        <f>DW16+預測IC!DX16</f>
        <v>3.8259085351778017</v>
      </c>
      <c r="DY16" s="10">
        <f>DX16+預測IC!DY16</f>
        <v>3.9834803129555794</v>
      </c>
      <c r="DZ16" s="10">
        <f>DY16+預測IC!DZ16</f>
        <v>4.042290757400024</v>
      </c>
      <c r="EA16" s="10">
        <f>DZ16+預測IC!EA16</f>
        <v>4.1820897764000238</v>
      </c>
      <c r="EB16" s="10">
        <f>EA16+預測IC!EB16</f>
        <v>4.260067559259971</v>
      </c>
      <c r="EC16" s="10">
        <f>EB16+預測IC!EC16</f>
        <v>4.2351311148155268</v>
      </c>
      <c r="ED16" s="10">
        <f>EC16+預測IC!ED16</f>
        <v>4.1197143673166057</v>
      </c>
      <c r="EE16" s="10">
        <f>ED16+預測IC!EE16</f>
        <v>4.0866560977719777</v>
      </c>
      <c r="EF16" s="10">
        <f>EE16+預測IC!EF16</f>
        <v>4.1265500044846215</v>
      </c>
    </row>
    <row r="17" spans="1:136">
      <c r="A17" s="4">
        <v>8</v>
      </c>
      <c r="B17" s="4">
        <v>120</v>
      </c>
      <c r="C17" s="21">
        <f>預測IC!C17</f>
        <v>0.20609237499999999</v>
      </c>
      <c r="D17" s="10">
        <f>C17+預測IC!D17</f>
        <v>0.64568074999999991</v>
      </c>
      <c r="E17" s="10">
        <f>D17+預測IC!E17</f>
        <v>0.72526874999999991</v>
      </c>
      <c r="F17" s="10">
        <f>E17+預測IC!F17</f>
        <v>0.87204074999999992</v>
      </c>
      <c r="G17" s="10">
        <f>F17+預測IC!G17</f>
        <v>0.98917337499999991</v>
      </c>
      <c r="H17" s="10">
        <f>G17+預測IC!H17</f>
        <v>1.0941681249999999</v>
      </c>
      <c r="I17" s="10">
        <f>H17+預測IC!I17</f>
        <v>1.1616573749999999</v>
      </c>
      <c r="J17" s="10">
        <f>I17+預測IC!J17</f>
        <v>1.0463589999999998</v>
      </c>
      <c r="K17" s="10">
        <f>J17+預測IC!K17</f>
        <v>1.0858027499999998</v>
      </c>
      <c r="L17" s="10">
        <f>K17+預測IC!L17</f>
        <v>1.1195776249999998</v>
      </c>
      <c r="M17" s="10">
        <f>L17+預測IC!M17</f>
        <v>1.1845096599834859</v>
      </c>
      <c r="N17" s="10">
        <f>M17+預測IC!N17</f>
        <v>1.589617909983486</v>
      </c>
      <c r="O17" s="10">
        <f>N17+預測IC!O17</f>
        <v>1.6142500349834858</v>
      </c>
      <c r="P17" s="10">
        <f>O17+預測IC!P17</f>
        <v>1.6911656599834859</v>
      </c>
      <c r="Q17" s="10">
        <f>P17+預測IC!Q17</f>
        <v>1.7975980349834859</v>
      </c>
      <c r="R17" s="10">
        <f>Q17+預測IC!R17</f>
        <v>1.799573034983486</v>
      </c>
      <c r="S17" s="10">
        <f>R17+預測IC!S17</f>
        <v>1.7444412849834861</v>
      </c>
      <c r="T17" s="10">
        <f>S17+預測IC!T17</f>
        <v>1.6732392704506789</v>
      </c>
      <c r="U17" s="10">
        <f>T17+預測IC!U17</f>
        <v>1.7255276454506789</v>
      </c>
      <c r="V17" s="10">
        <f>U17+預測IC!V17</f>
        <v>1.609172520450679</v>
      </c>
      <c r="W17" s="10">
        <f>V17+預測IC!W17</f>
        <v>1.7326734209885641</v>
      </c>
      <c r="X17" s="10">
        <f>W17+預測IC!X17</f>
        <v>1.8328597959885642</v>
      </c>
      <c r="Y17" s="10">
        <f>X17+預測IC!Y17</f>
        <v>1.8343589209885642</v>
      </c>
      <c r="Z17" s="10">
        <f>Y17+預測IC!Z17</f>
        <v>1.8127504209885643</v>
      </c>
      <c r="AA17" s="10">
        <f>Z17+預測IC!AA17</f>
        <v>1.8750065459885643</v>
      </c>
      <c r="AB17" s="10">
        <f>AA17+預測IC!AB17</f>
        <v>1.8304682427191246</v>
      </c>
      <c r="AC17" s="10">
        <f>AB17+預測IC!AC17</f>
        <v>1.7896691177191246</v>
      </c>
      <c r="AD17" s="10">
        <f>AC17+預測IC!AD17</f>
        <v>1.8394464931798786</v>
      </c>
      <c r="AE17" s="10">
        <f>AD17+預測IC!AE17</f>
        <v>1.8988897431798786</v>
      </c>
      <c r="AF17" s="10">
        <f>AE17+預測IC!AF17</f>
        <v>1.9571783485962175</v>
      </c>
      <c r="AG17" s="10">
        <f>AF17+預測IC!AG17</f>
        <v>1.9558270985962176</v>
      </c>
      <c r="AH17" s="10">
        <f>AG17+預測IC!AH17</f>
        <v>1.9063895563156767</v>
      </c>
      <c r="AI17" s="10">
        <f>AH17+預測IC!AI17</f>
        <v>1.9369772649571904</v>
      </c>
      <c r="AJ17" s="10">
        <f>AI17+預測IC!AJ17</f>
        <v>1.8943746344382335</v>
      </c>
      <c r="AK17" s="10">
        <f>AJ17+預測IC!AK17</f>
        <v>1.9261871204380534</v>
      </c>
      <c r="AL17" s="10">
        <f>AK17+預測IC!AL17</f>
        <v>1.9769115261866099</v>
      </c>
      <c r="AM17" s="10">
        <f>AL17+預測IC!AM17</f>
        <v>2.0522808937742667</v>
      </c>
      <c r="AN17" s="10">
        <f>AM17+預測IC!AN17</f>
        <v>2.1655680141201845</v>
      </c>
      <c r="AO17" s="10">
        <f>AN17+預測IC!AO17</f>
        <v>2.1782003487159085</v>
      </c>
      <c r="AP17" s="10">
        <f>AO17+預測IC!AP17</f>
        <v>2.1009575342963229</v>
      </c>
      <c r="AQ17" s="10">
        <f>AP17+預測IC!AQ17</f>
        <v>2.0404303968948239</v>
      </c>
      <c r="AR17" s="10">
        <f>AQ17+預測IC!AR17</f>
        <v>2.1568800435224649</v>
      </c>
      <c r="AS17" s="10">
        <f>AR17+預測IC!AS17</f>
        <v>2.2132036055569406</v>
      </c>
      <c r="AT17" s="10">
        <f>AS17+預測IC!AT17</f>
        <v>2.2654714120066628</v>
      </c>
      <c r="AU17" s="10">
        <f>AT17+預測IC!AU17</f>
        <v>2.318119643249656</v>
      </c>
      <c r="AV17" s="10">
        <f>AU17+預測IC!AV17</f>
        <v>2.2966112803117502</v>
      </c>
      <c r="AW17" s="10">
        <f>AV17+預測IC!AW17</f>
        <v>2.3157752540860699</v>
      </c>
      <c r="AX17" s="10">
        <f>AW17+預測IC!AX17</f>
        <v>2.412015812594869</v>
      </c>
      <c r="AY17" s="10">
        <f>AX17+預測IC!AY17</f>
        <v>2.4394395092854699</v>
      </c>
      <c r="AZ17" s="10">
        <f>AY17+預測IC!AZ17</f>
        <v>2.3143286843781019</v>
      </c>
      <c r="BA17" s="10">
        <f>AZ17+預測IC!BA17</f>
        <v>2.4771351843781018</v>
      </c>
      <c r="BB17" s="10">
        <f>BA17+預測IC!BB17</f>
        <v>2.6304059343781017</v>
      </c>
      <c r="BC17" s="10">
        <f>BB17+預測IC!BC17</f>
        <v>2.7131225059219117</v>
      </c>
      <c r="BD17" s="10">
        <f>BC17+預測IC!BD17</f>
        <v>2.7354789881681167</v>
      </c>
      <c r="BE17" s="10">
        <f>BD17+預測IC!BE17</f>
        <v>2.8128292304061771</v>
      </c>
      <c r="BF17" s="10">
        <f>BE17+預測IC!BF17</f>
        <v>2.8680267270151307</v>
      </c>
      <c r="BG17" s="10">
        <f>BF17+預測IC!BG17</f>
        <v>2.8326324909270935</v>
      </c>
      <c r="BH17" s="10">
        <f>BG17+預測IC!BH17</f>
        <v>2.8309011061624689</v>
      </c>
      <c r="BI17" s="10">
        <f>BH17+預測IC!BI17</f>
        <v>2.9302664982000191</v>
      </c>
      <c r="BJ17" s="10">
        <f>BI17+預測IC!BJ17</f>
        <v>2.9204084339267826</v>
      </c>
      <c r="BK17" s="10">
        <f>BJ17+預測IC!BK17</f>
        <v>2.906585481856677</v>
      </c>
      <c r="BL17" s="10">
        <f>BK17+預測IC!BL17</f>
        <v>2.980516787058423</v>
      </c>
      <c r="BM17" s="10">
        <f>BL17+預測IC!BM17</f>
        <v>2.9514577759060687</v>
      </c>
      <c r="BN17" s="10">
        <f>BM17+預測IC!BN17</f>
        <v>2.9991873953599177</v>
      </c>
      <c r="BO17" s="10">
        <f>BN17+預測IC!BO17</f>
        <v>3.0190734760688049</v>
      </c>
      <c r="BP17" s="10">
        <f>BO17+預測IC!BP17</f>
        <v>3.0459109771472388</v>
      </c>
      <c r="BQ17" s="10">
        <f>BP17+預測IC!BQ17</f>
        <v>3.0572874875936904</v>
      </c>
      <c r="BR17" s="10">
        <f>BQ17+預測IC!BR17</f>
        <v>3.0563695421877695</v>
      </c>
      <c r="BS17" s="10">
        <f>BR17+預測IC!BS17</f>
        <v>3.0522660730771629</v>
      </c>
      <c r="BT17" s="10">
        <f>BS17+預測IC!BT17</f>
        <v>3.1616824519475863</v>
      </c>
      <c r="BU17" s="10">
        <f>BT17+預測IC!BU17</f>
        <v>3.2328102706983386</v>
      </c>
      <c r="BV17" s="10">
        <f>BU17+預測IC!BV17</f>
        <v>3.3072571714970738</v>
      </c>
      <c r="BW17" s="10">
        <f>BV17+預測IC!BW17</f>
        <v>3.226825458897808</v>
      </c>
      <c r="BX17" s="10">
        <f>BW17+預測IC!BX17</f>
        <v>3.255648423517481</v>
      </c>
      <c r="BY17" s="10">
        <f>BX17+預測IC!BY17</f>
        <v>3.1554663533348575</v>
      </c>
      <c r="BZ17" s="10">
        <f>BY17+預測IC!BZ17</f>
        <v>3.2760445092159429</v>
      </c>
      <c r="CA17" s="10">
        <f>BZ17+預測IC!CA17</f>
        <v>3.2481096768574536</v>
      </c>
      <c r="CB17" s="10">
        <f>CA17+預測IC!CB17</f>
        <v>3.2467743665233413</v>
      </c>
      <c r="CC17" s="10">
        <f>CB17+預測IC!CC17</f>
        <v>3.2885328665233411</v>
      </c>
      <c r="CD17" s="10">
        <f>CC17+預測IC!CD17</f>
        <v>3.3526374915233412</v>
      </c>
      <c r="CE17" s="10">
        <f>CD17+預測IC!CE17</f>
        <v>3.4483451165233414</v>
      </c>
      <c r="CF17" s="10">
        <f>CE17+預測IC!CF17</f>
        <v>3.3532213665233415</v>
      </c>
      <c r="CG17" s="10">
        <f>CF17+預測IC!CG17</f>
        <v>3.5302567415233415</v>
      </c>
      <c r="CH17" s="10">
        <f>CG17+預測IC!CH17</f>
        <v>3.5888931881303914</v>
      </c>
      <c r="CI17" s="10">
        <f>CH17+預測IC!CI17</f>
        <v>3.574362003140803</v>
      </c>
      <c r="CJ17" s="10">
        <f>CI17+預測IC!CJ17</f>
        <v>3.5236196816563607</v>
      </c>
      <c r="CK17" s="10">
        <f>CJ17+預測IC!CK17</f>
        <v>3.6153582543142737</v>
      </c>
      <c r="CL17" s="10">
        <f>CK17+預測IC!CL17</f>
        <v>3.6059319095452422</v>
      </c>
      <c r="CM17" s="10">
        <f>CL17+預測IC!CM17</f>
        <v>3.7405012539768165</v>
      </c>
      <c r="CN17" s="10">
        <f>CM17+預測IC!CN17</f>
        <v>3.7137831928258294</v>
      </c>
      <c r="CO17" s="10">
        <f>CN17+預測IC!CO17</f>
        <v>3.5112445655628397</v>
      </c>
      <c r="CP17" s="10">
        <f>CO17+預測IC!CP17</f>
        <v>3.6594038347601834</v>
      </c>
      <c r="CQ17" s="10">
        <f>CP17+預測IC!CQ17</f>
        <v>3.6074967314184567</v>
      </c>
      <c r="CR17" s="10">
        <f>CQ17+預測IC!CR17</f>
        <v>3.6305036064184568</v>
      </c>
      <c r="CS17" s="10">
        <f>CR17+預測IC!CS17</f>
        <v>3.6420502314184566</v>
      </c>
      <c r="CT17" s="10">
        <f>CS17+預測IC!CT17</f>
        <v>3.6913102878076498</v>
      </c>
      <c r="CU17" s="10">
        <f>CT17+預測IC!CU17</f>
        <v>3.6169019802243958</v>
      </c>
      <c r="CV17" s="10">
        <f>CU17+預測IC!CV17</f>
        <v>3.6207815881643231</v>
      </c>
      <c r="CW17" s="10">
        <f>CV17+預測IC!CW17</f>
        <v>3.6010197342549701</v>
      </c>
      <c r="CX17" s="10">
        <f>CW17+預測IC!CX17</f>
        <v>3.6117921287789181</v>
      </c>
      <c r="CY17" s="10">
        <f>CX17+預測IC!CY17</f>
        <v>3.5624088300628278</v>
      </c>
      <c r="CZ17" s="10">
        <f>CY17+預測IC!CZ17</f>
        <v>3.6866576679104481</v>
      </c>
      <c r="DA17" s="10">
        <f>CZ17+預測IC!DA17</f>
        <v>3.642761808765314</v>
      </c>
      <c r="DB17" s="10">
        <f>DA17+預測IC!DB17</f>
        <v>3.7470328087653142</v>
      </c>
      <c r="DC17" s="10">
        <f>DB17+預測IC!DC17</f>
        <v>3.8009203087653143</v>
      </c>
      <c r="DD17" s="10">
        <f>DC17+預測IC!DD17</f>
        <v>3.7527903087653143</v>
      </c>
      <c r="DE17" s="10">
        <f>DD17+預測IC!DE17</f>
        <v>3.7196093780980473</v>
      </c>
      <c r="DF17" s="10">
        <f>DE17+預測IC!DF17</f>
        <v>3.7083780077713882</v>
      </c>
      <c r="DG17" s="10">
        <f>DF17+預測IC!DG17</f>
        <v>3.7153125841986712</v>
      </c>
      <c r="DH17" s="10">
        <f>DG17+預測IC!DH17</f>
        <v>3.6765859332606583</v>
      </c>
      <c r="DI17" s="10">
        <f>DH17+預測IC!DI17</f>
        <v>3.6712926889368758</v>
      </c>
      <c r="DJ17" s="10">
        <f>DI17+預測IC!DJ17</f>
        <v>3.7284390639368756</v>
      </c>
      <c r="DK17" s="10">
        <f>DJ17+預測IC!DK17</f>
        <v>3.8844754920534217</v>
      </c>
      <c r="DL17" s="10">
        <f>DK17+預測IC!DL17</f>
        <v>3.9579910929905928</v>
      </c>
      <c r="DM17" s="10">
        <f>DL17+預測IC!DM17</f>
        <v>3.9057381824082769</v>
      </c>
      <c r="DN17" s="10">
        <f>DM17+預測IC!DN17</f>
        <v>3.9412272151226158</v>
      </c>
      <c r="DO17" s="10">
        <f>DN17+預測IC!DO17</f>
        <v>3.9946785854625193</v>
      </c>
      <c r="DP17" s="10">
        <f>DO17+預測IC!DP17</f>
        <v>3.9777999761286225</v>
      </c>
      <c r="DQ17" s="10">
        <f>DP17+預測IC!DQ17</f>
        <v>3.8700975073319919</v>
      </c>
      <c r="DR17" s="10">
        <f>DQ17+預測IC!DR17</f>
        <v>3.9259823222083203</v>
      </c>
      <c r="DS17" s="10">
        <f>DR17+預測IC!DS17</f>
        <v>3.8016661624035093</v>
      </c>
      <c r="DT17" s="10">
        <f>DS17+預測IC!DT17</f>
        <v>3.8184091624035092</v>
      </c>
      <c r="DU17" s="10">
        <f>DT17+預測IC!DU17</f>
        <v>3.688915162403509</v>
      </c>
      <c r="DV17" s="10">
        <f>DU17+預測IC!DV17</f>
        <v>3.8066805605144634</v>
      </c>
      <c r="DW17" s="10">
        <f>DV17+預測IC!DW17</f>
        <v>3.8553620439286136</v>
      </c>
      <c r="DX17" s="10">
        <f>DW17+預測IC!DX17</f>
        <v>3.7258230613321395</v>
      </c>
      <c r="DY17" s="10">
        <f>DX17+預測IC!DY17</f>
        <v>3.8331053113321394</v>
      </c>
      <c r="DZ17" s="10">
        <f>DY17+預測IC!DZ17</f>
        <v>3.8823173113321392</v>
      </c>
      <c r="EA17" s="10">
        <f>DZ17+預測IC!EA17</f>
        <v>4.0468888343321394</v>
      </c>
      <c r="EB17" s="10">
        <f>EA17+預測IC!EB17</f>
        <v>4.1339891835268787</v>
      </c>
      <c r="EC17" s="10">
        <f>EB17+預測IC!EC17</f>
        <v>4.1136298085268788</v>
      </c>
      <c r="ED17" s="10">
        <f>EC17+預測IC!ED17</f>
        <v>3.9853053645979659</v>
      </c>
      <c r="EE17" s="10">
        <f>ED17+預測IC!EE17</f>
        <v>3.9598920042879322</v>
      </c>
      <c r="EF17" s="10">
        <f>EE17+預測IC!EF17</f>
        <v>4.0076017712977841</v>
      </c>
    </row>
    <row r="18" spans="1:136">
      <c r="A18" s="4">
        <v>7</v>
      </c>
      <c r="B18" s="4">
        <v>137</v>
      </c>
      <c r="C18" s="21">
        <f>預測IC!C18</f>
        <v>0.1897511428571429</v>
      </c>
      <c r="D18" s="10">
        <f>C18+預測IC!D18</f>
        <v>0.59163514285714291</v>
      </c>
      <c r="E18" s="10">
        <f>D18+預測IC!E18</f>
        <v>0.64507300000000001</v>
      </c>
      <c r="F18" s="10">
        <f>E18+預測IC!F18</f>
        <v>0.85716385714285714</v>
      </c>
      <c r="G18" s="10">
        <f>F18+預測IC!G18</f>
        <v>0.99022257142857151</v>
      </c>
      <c r="H18" s="10">
        <f>G18+預測IC!H18</f>
        <v>1.1187625714285714</v>
      </c>
      <c r="I18" s="10">
        <f>H18+預測IC!I18</f>
        <v>1.1737151428571428</v>
      </c>
      <c r="J18" s="10">
        <f>I18+預測IC!J18</f>
        <v>1.0485542857142855</v>
      </c>
      <c r="K18" s="10">
        <f>J18+預測IC!K18</f>
        <v>1.0801395714285713</v>
      </c>
      <c r="L18" s="10">
        <f>K18+預測IC!L18</f>
        <v>1.1268111428571428</v>
      </c>
      <c r="M18" s="10">
        <f>L18+預測IC!M18</f>
        <v>1.1966174464176509</v>
      </c>
      <c r="N18" s="10">
        <f>M18+預測IC!N18</f>
        <v>1.6584378749890796</v>
      </c>
      <c r="O18" s="10">
        <f>N18+預測IC!O18</f>
        <v>1.6827620178462224</v>
      </c>
      <c r="P18" s="10">
        <f>O18+預測IC!P18</f>
        <v>1.7373317321319366</v>
      </c>
      <c r="Q18" s="10">
        <f>P18+預測IC!Q18</f>
        <v>1.8590704464176508</v>
      </c>
      <c r="R18" s="10">
        <f>Q18+預測IC!R18</f>
        <v>1.8783970178462224</v>
      </c>
      <c r="S18" s="10">
        <f>R18+預測IC!S18</f>
        <v>1.8093837321319366</v>
      </c>
      <c r="T18" s="10">
        <f>S18+預測IC!T18</f>
        <v>1.7521773504825333</v>
      </c>
      <c r="U18" s="10">
        <f>T18+預測IC!U18</f>
        <v>1.7803109219111048</v>
      </c>
      <c r="V18" s="10">
        <f>U18+預測IC!V18</f>
        <v>1.6490579219111048</v>
      </c>
      <c r="W18" s="10">
        <f>V18+預測IC!W18</f>
        <v>1.7869751598268109</v>
      </c>
      <c r="X18" s="10">
        <f>W18+預測IC!X18</f>
        <v>1.9140984455410965</v>
      </c>
      <c r="Y18" s="10">
        <f>X18+預測IC!Y18</f>
        <v>1.9383103026839537</v>
      </c>
      <c r="Z18" s="10">
        <f>Y18+預測IC!Z18</f>
        <v>1.9214047312553821</v>
      </c>
      <c r="AA18" s="10">
        <f>Z18+預測IC!AA18</f>
        <v>1.9762103026839535</v>
      </c>
      <c r="AB18" s="10">
        <f>AA18+預測IC!AB18</f>
        <v>1.9135654974212926</v>
      </c>
      <c r="AC18" s="10">
        <f>AB18+預測IC!AC18</f>
        <v>1.8388456402784354</v>
      </c>
      <c r="AD18" s="10">
        <f>AC18+預測IC!AD18</f>
        <v>1.9112894293669669</v>
      </c>
      <c r="AE18" s="10">
        <f>AD18+預測IC!AE18</f>
        <v>1.988490429366967</v>
      </c>
      <c r="AF18" s="10">
        <f>AE18+預測IC!AF18</f>
        <v>2.0167744707211912</v>
      </c>
      <c r="AG18" s="10">
        <f>AF18+預測IC!AG18</f>
        <v>2.008156613578334</v>
      </c>
      <c r="AH18" s="10">
        <f>AG18+預測IC!AH18</f>
        <v>1.9679591526098192</v>
      </c>
      <c r="AI18" s="10">
        <f>AH18+預測IC!AI18</f>
        <v>2.0148146939635754</v>
      </c>
      <c r="AJ18" s="10">
        <f>AI18+預測IC!AJ18</f>
        <v>1.9674209377971263</v>
      </c>
      <c r="AK18" s="10">
        <f>AJ18+預測IC!AK18</f>
        <v>1.9652334568284522</v>
      </c>
      <c r="AL18" s="10">
        <f>AK18+預測IC!AL18</f>
        <v>2.0110935824233231</v>
      </c>
      <c r="AM18" s="10">
        <f>AL18+預測IC!AM18</f>
        <v>2.0777369878480942</v>
      </c>
      <c r="AN18" s="10">
        <f>AM18+預測IC!AN18</f>
        <v>2.1570316278032959</v>
      </c>
      <c r="AO18" s="10">
        <f>AN18+預測IC!AO18</f>
        <v>2.1624591627709888</v>
      </c>
      <c r="AP18" s="10">
        <f>AO18+預測IC!AP18</f>
        <v>2.0841805708371819</v>
      </c>
      <c r="AQ18" s="10">
        <f>AP18+預測IC!AQ18</f>
        <v>2.0079497255107319</v>
      </c>
      <c r="AR18" s="10">
        <f>AQ18+預測IC!AR18</f>
        <v>2.1461829628483007</v>
      </c>
      <c r="AS18" s="10">
        <f>AR18+預測IC!AS18</f>
        <v>2.2320095144022698</v>
      </c>
      <c r="AT18" s="10">
        <f>AS18+預測IC!AT18</f>
        <v>2.2753351642228483</v>
      </c>
      <c r="AU18" s="10">
        <f>AT18+預測IC!AU18</f>
        <v>2.3436505042795415</v>
      </c>
      <c r="AV18" s="10">
        <f>AU18+預測IC!AV18</f>
        <v>2.3148817483978243</v>
      </c>
      <c r="AW18" s="10">
        <f>AV18+預測IC!AW18</f>
        <v>2.3394197826389318</v>
      </c>
      <c r="AX18" s="10">
        <f>AW18+預測IC!AX18</f>
        <v>2.4469806508947678</v>
      </c>
      <c r="AY18" s="10">
        <f>AX18+預測IC!AY18</f>
        <v>2.4817639295359157</v>
      </c>
      <c r="AZ18" s="10">
        <f>AY18+預測IC!AZ18</f>
        <v>2.3333548471470165</v>
      </c>
      <c r="BA18" s="10">
        <f>AZ18+預測IC!BA18</f>
        <v>2.4974611328613023</v>
      </c>
      <c r="BB18" s="10">
        <f>BA18+預測IC!BB18</f>
        <v>2.6647184185755881</v>
      </c>
      <c r="BC18" s="10">
        <f>BB18+預測IC!BC18</f>
        <v>2.7479199911689087</v>
      </c>
      <c r="BD18" s="10">
        <f>BC18+預測IC!BD18</f>
        <v>2.7239037194816085</v>
      </c>
      <c r="BE18" s="10">
        <f>BD18+預測IC!BE18</f>
        <v>2.7922649327197715</v>
      </c>
      <c r="BF18" s="10">
        <f>BE18+預測IC!BF18</f>
        <v>2.8381494690193505</v>
      </c>
      <c r="BG18" s="10">
        <f>BF18+預測IC!BG18</f>
        <v>2.8037148399687548</v>
      </c>
      <c r="BH18" s="10">
        <f>BG18+預測IC!BH18</f>
        <v>2.8337308319494761</v>
      </c>
      <c r="BI18" s="10">
        <f>BH18+預測IC!BI18</f>
        <v>2.9427308388681417</v>
      </c>
      <c r="BJ18" s="10">
        <f>BI18+預測IC!BJ18</f>
        <v>2.9486869029186011</v>
      </c>
      <c r="BK18" s="10">
        <f>BJ18+預測IC!BK18</f>
        <v>2.8979418515345396</v>
      </c>
      <c r="BL18" s="10">
        <f>BK18+預測IC!BL18</f>
        <v>2.9790995253547439</v>
      </c>
      <c r="BM18" s="10">
        <f>BL18+預測IC!BM18</f>
        <v>2.9510181689816486</v>
      </c>
      <c r="BN18" s="10">
        <f>BM18+預測IC!BN18</f>
        <v>3.0037925586054786</v>
      </c>
      <c r="BO18" s="10">
        <f>BN18+預測IC!BO18</f>
        <v>3.024020054711853</v>
      </c>
      <c r="BP18" s="10">
        <f>BO18+預測IC!BP18</f>
        <v>3.070877595046535</v>
      </c>
      <c r="BQ18" s="10">
        <f>BP18+預測IC!BQ18</f>
        <v>3.0727943791563841</v>
      </c>
      <c r="BR18" s="10">
        <f>BQ18+預測IC!BR18</f>
        <v>3.0670461855724294</v>
      </c>
      <c r="BS18" s="10">
        <f>BR18+預測IC!BS18</f>
        <v>3.0455489841907277</v>
      </c>
      <c r="BT18" s="10">
        <f>BS18+預測IC!BT18</f>
        <v>3.1884200518589774</v>
      </c>
      <c r="BU18" s="10">
        <f>BT18+預測IC!BU18</f>
        <v>3.2690974958990182</v>
      </c>
      <c r="BV18" s="10">
        <f>BU18+預測IC!BV18</f>
        <v>3.3500208911760607</v>
      </c>
      <c r="BW18" s="10">
        <f>BV18+預測IC!BW18</f>
        <v>3.2647098042428651</v>
      </c>
      <c r="BX18" s="10">
        <f>BW18+預測IC!BX18</f>
        <v>3.2837282789589008</v>
      </c>
      <c r="BY18" s="10">
        <f>BX18+預測IC!BY18</f>
        <v>3.1606533031348762</v>
      </c>
      <c r="BZ18" s="10">
        <f>BY18+預測IC!BZ18</f>
        <v>3.3139732909374744</v>
      </c>
      <c r="CA18" s="10">
        <f>BZ18+預測IC!CA18</f>
        <v>3.2978967470446134</v>
      </c>
      <c r="CB18" s="10">
        <f>CA18+預測IC!CB18</f>
        <v>3.2733193904321651</v>
      </c>
      <c r="CC18" s="10">
        <f>CB18+預測IC!CC18</f>
        <v>3.3779791047178795</v>
      </c>
      <c r="CD18" s="10">
        <f>CC18+預測IC!CD18</f>
        <v>3.4284241047178794</v>
      </c>
      <c r="CE18" s="10">
        <f>CD18+預測IC!CE18</f>
        <v>3.5056839618607367</v>
      </c>
      <c r="CF18" s="10">
        <f>CE18+預測IC!CF18</f>
        <v>3.4038249618607366</v>
      </c>
      <c r="CG18" s="10">
        <f>CF18+預測IC!CG18</f>
        <v>3.6304671047178796</v>
      </c>
      <c r="CH18" s="10">
        <f>CG18+預測IC!CH18</f>
        <v>3.7931241514051126</v>
      </c>
      <c r="CI18" s="10">
        <f>CH18+預測IC!CI18</f>
        <v>3.7485581649574158</v>
      </c>
      <c r="CJ18" s="10">
        <f>CI18+預測IC!CJ18</f>
        <v>3.6862444871325062</v>
      </c>
      <c r="CK18" s="10">
        <f>CJ18+預測IC!CK18</f>
        <v>3.77691227142479</v>
      </c>
      <c r="CL18" s="10">
        <f>CK18+預測IC!CL18</f>
        <v>3.7459227263665968</v>
      </c>
      <c r="CM18" s="10">
        <f>CL18+預測IC!CM18</f>
        <v>3.9055585241256305</v>
      </c>
      <c r="CN18" s="10">
        <f>CM18+預測IC!CN18</f>
        <v>3.8675614870312498</v>
      </c>
      <c r="CO18" s="10">
        <f>CN18+預測IC!CO18</f>
        <v>3.6359876084818206</v>
      </c>
      <c r="CP18" s="10">
        <f>CO18+預測IC!CP18</f>
        <v>3.7988267174298311</v>
      </c>
      <c r="CQ18" s="10">
        <f>CP18+預測IC!CQ18</f>
        <v>3.7605840418348886</v>
      </c>
      <c r="CR18" s="10">
        <f>CQ18+預測IC!CR18</f>
        <v>3.7943287561206027</v>
      </c>
      <c r="CS18" s="10">
        <f>CR18+預測IC!CS18</f>
        <v>3.8224580418348886</v>
      </c>
      <c r="CT18" s="10">
        <f>CS18+預測IC!CT18</f>
        <v>3.9174090709003742</v>
      </c>
      <c r="CU18" s="10">
        <f>CT18+預測IC!CU18</f>
        <v>3.845760379695264</v>
      </c>
      <c r="CV18" s="10">
        <f>CU18+預測IC!CV18</f>
        <v>3.9368006619255524</v>
      </c>
      <c r="CW18" s="10">
        <f>CV18+預測IC!CW18</f>
        <v>3.9283445763610265</v>
      </c>
      <c r="CX18" s="10">
        <f>CW18+預測IC!CX18</f>
        <v>3.9899047621948047</v>
      </c>
      <c r="CY18" s="10">
        <f>CX18+預測IC!CY18</f>
        <v>3.9385473484200224</v>
      </c>
      <c r="CZ18" s="10">
        <f>CY18+預測IC!CZ18</f>
        <v>4.0713902117217939</v>
      </c>
      <c r="DA18" s="10">
        <f>CZ18+預測IC!DA18</f>
        <v>4.0240092722031005</v>
      </c>
      <c r="DB18" s="10">
        <f>DA18+預測IC!DB18</f>
        <v>4.1421232722031007</v>
      </c>
      <c r="DC18" s="10">
        <f>DB18+預測IC!DC18</f>
        <v>4.191331843631672</v>
      </c>
      <c r="DD18" s="10">
        <f>DC18+預測IC!DD18</f>
        <v>4.1202605579173861</v>
      </c>
      <c r="DE18" s="10">
        <f>DD18+預測IC!DE18</f>
        <v>4.0854592102463956</v>
      </c>
      <c r="DF18" s="10">
        <f>DE18+預測IC!DF18</f>
        <v>4.0504164314640256</v>
      </c>
      <c r="DG18" s="10">
        <f>DF18+預測IC!DG18</f>
        <v>4.0427969583063978</v>
      </c>
      <c r="DH18" s="10">
        <f>DG18+預測IC!DH18</f>
        <v>4.014758945057749</v>
      </c>
      <c r="DI18" s="10">
        <f>DH18+預測IC!DI18</f>
        <v>3.998644315819722</v>
      </c>
      <c r="DJ18" s="10">
        <f>DI18+預測IC!DJ18</f>
        <v>4.0492993158197219</v>
      </c>
      <c r="DK18" s="10">
        <f>DJ18+預測IC!DK18</f>
        <v>4.2078129429121489</v>
      </c>
      <c r="DL18" s="10">
        <f>DK18+預測IC!DL18</f>
        <v>4.2892106858283903</v>
      </c>
      <c r="DM18" s="10">
        <f>DL18+預測IC!DM18</f>
        <v>4.222702545096352</v>
      </c>
      <c r="DN18" s="10">
        <f>DM18+預測IC!DN18</f>
        <v>4.2059804810183303</v>
      </c>
      <c r="DO18" s="10">
        <f>DN18+預測IC!DO18</f>
        <v>4.2480853885689607</v>
      </c>
      <c r="DP18" s="10">
        <f>DO18+預測IC!DP18</f>
        <v>4.2274807021020946</v>
      </c>
      <c r="DQ18" s="10">
        <f>DP18+預測IC!DQ18</f>
        <v>4.1267534237962629</v>
      </c>
      <c r="DR18" s="10">
        <f>DQ18+預測IC!DR18</f>
        <v>4.2035940785682238</v>
      </c>
      <c r="DS18" s="10">
        <f>DR18+預測IC!DS18</f>
        <v>4.0558720801164911</v>
      </c>
      <c r="DT18" s="10">
        <f>DS18+預測IC!DT18</f>
        <v>4.0484643658307773</v>
      </c>
      <c r="DU18" s="10">
        <f>DT18+預測IC!DU18</f>
        <v>3.8897489372593488</v>
      </c>
      <c r="DV18" s="10">
        <f>DU18+預測IC!DV18</f>
        <v>3.9953895460594109</v>
      </c>
      <c r="DW18" s="10">
        <f>DV18+預測IC!DW18</f>
        <v>4.0772982383437837</v>
      </c>
      <c r="DX18" s="10">
        <f>DW18+預測IC!DX18</f>
        <v>3.9236952608813018</v>
      </c>
      <c r="DY18" s="10">
        <f>DX18+預測IC!DY18</f>
        <v>4.0605275465955879</v>
      </c>
      <c r="DZ18" s="10">
        <f>DY18+預測IC!DZ18</f>
        <v>4.1151572608813023</v>
      </c>
      <c r="EA18" s="10">
        <f>DZ18+預測IC!EA18</f>
        <v>4.3141030088813022</v>
      </c>
      <c r="EB18" s="10">
        <f>EA18+預測IC!EB18</f>
        <v>4.4139493868596231</v>
      </c>
      <c r="EC18" s="10">
        <f>EB18+預測IC!EC18</f>
        <v>4.3943505297167658</v>
      </c>
      <c r="ED18" s="10">
        <f>EC18+預測IC!ED18</f>
        <v>4.2742730974404255</v>
      </c>
      <c r="EE18" s="10">
        <f>ED18+預測IC!EE18</f>
        <v>4.2604193434659186</v>
      </c>
      <c r="EF18" s="10">
        <f>EE18+預測IC!EF18</f>
        <v>4.3093743605763351</v>
      </c>
    </row>
    <row r="19" spans="1:136">
      <c r="A19" s="4">
        <v>6</v>
      </c>
      <c r="B19" s="4">
        <v>160</v>
      </c>
      <c r="C19" s="21">
        <f>預測IC!C19</f>
        <v>0.19659983333333331</v>
      </c>
      <c r="D19" s="10">
        <f>C19+預測IC!D19</f>
        <v>0.60412116666666671</v>
      </c>
      <c r="E19" s="10">
        <f>D19+預測IC!E19</f>
        <v>0.64852383333333341</v>
      </c>
      <c r="F19" s="10">
        <f>E19+預測IC!F19</f>
        <v>0.88469466666666674</v>
      </c>
      <c r="G19" s="10">
        <f>F19+預測IC!G19</f>
        <v>1.0375598333333333</v>
      </c>
      <c r="H19" s="10">
        <f>G19+預測IC!H19</f>
        <v>1.2151700000000001</v>
      </c>
      <c r="I19" s="10">
        <f>H19+預測IC!I19</f>
        <v>1.2626333333333335</v>
      </c>
      <c r="J19" s="10">
        <f>I19+預測IC!J19</f>
        <v>1.1064041666666669</v>
      </c>
      <c r="K19" s="10">
        <f>J19+預測IC!K19</f>
        <v>1.1629436666666668</v>
      </c>
      <c r="L19" s="10">
        <f>K19+預測IC!L19</f>
        <v>1.1933048333333336</v>
      </c>
      <c r="M19" s="10">
        <f>L19+預測IC!M19</f>
        <v>1.279098406891011</v>
      </c>
      <c r="N19" s="10">
        <f>M19+預測IC!N19</f>
        <v>1.8114729068910109</v>
      </c>
      <c r="O19" s="10">
        <f>N19+預測IC!O19</f>
        <v>1.7916759068910109</v>
      </c>
      <c r="P19" s="10">
        <f>O19+預測IC!P19</f>
        <v>1.8144612402243441</v>
      </c>
      <c r="Q19" s="10">
        <f>P19+預測IC!Q19</f>
        <v>1.9849255735576774</v>
      </c>
      <c r="R19" s="10">
        <f>Q19+預測IC!R19</f>
        <v>2.0268685735576772</v>
      </c>
      <c r="S19" s="10">
        <f>R19+預測IC!S19</f>
        <v>1.9481724068910107</v>
      </c>
      <c r="T19" s="10">
        <f>S19+預測IC!T19</f>
        <v>1.9210181289047115</v>
      </c>
      <c r="U19" s="10">
        <f>T19+預測IC!U19</f>
        <v>1.9652022955713782</v>
      </c>
      <c r="V19" s="10">
        <f>U19+預測IC!V19</f>
        <v>1.8465187955713782</v>
      </c>
      <c r="W19" s="10">
        <f>V19+預測IC!W19</f>
        <v>1.9931397862888884</v>
      </c>
      <c r="X19" s="10">
        <f>W19+預測IC!X19</f>
        <v>2.1160634529555553</v>
      </c>
      <c r="Y19" s="10">
        <f>X19+預測IC!Y19</f>
        <v>2.1401256196222218</v>
      </c>
      <c r="Z19" s="10">
        <f>Y19+預測IC!Z19</f>
        <v>2.1179026196222219</v>
      </c>
      <c r="AA19" s="10">
        <f>Z19+預測IC!AA19</f>
        <v>2.1652042862888887</v>
      </c>
      <c r="AB19" s="10">
        <f>AA19+預測IC!AB19</f>
        <v>2.1134855334781313</v>
      </c>
      <c r="AC19" s="10">
        <f>AB19+預測IC!AC19</f>
        <v>2.029972700144798</v>
      </c>
      <c r="AD19" s="10">
        <f>AC19+預測IC!AD19</f>
        <v>2.0539701574058586</v>
      </c>
      <c r="AE19" s="10">
        <f>AD19+預測IC!AE19</f>
        <v>2.1692013240725254</v>
      </c>
      <c r="AF19" s="10">
        <f>AE19+預測IC!AF19</f>
        <v>2.2079869908814254</v>
      </c>
      <c r="AG19" s="10">
        <f>AF19+預測IC!AG19</f>
        <v>2.2272854908814255</v>
      </c>
      <c r="AH19" s="10">
        <f>AG19+預測IC!AH19</f>
        <v>2.184439556812876</v>
      </c>
      <c r="AI19" s="10">
        <f>AH19+預測IC!AI19</f>
        <v>2.2662096816023727</v>
      </c>
      <c r="AJ19" s="10">
        <f>AI19+預測IC!AJ19</f>
        <v>2.2146643912751105</v>
      </c>
      <c r="AK19" s="10">
        <f>AJ19+預測IC!AK19</f>
        <v>2.222216433781063</v>
      </c>
      <c r="AL19" s="10">
        <f>AK19+預測IC!AL19</f>
        <v>2.2924873794518685</v>
      </c>
      <c r="AM19" s="10">
        <f>AL19+預測IC!AM19</f>
        <v>2.3237988042968194</v>
      </c>
      <c r="AN19" s="10">
        <f>AM19+預測IC!AN19</f>
        <v>2.4073670986625015</v>
      </c>
      <c r="AO19" s="10">
        <f>AN19+預測IC!AO19</f>
        <v>2.4332600017079158</v>
      </c>
      <c r="AP19" s="10">
        <f>AO19+預測IC!AP19</f>
        <v>2.3456858814350636</v>
      </c>
      <c r="AQ19" s="10">
        <f>AP19+預測IC!AQ19</f>
        <v>2.2574331243744128</v>
      </c>
      <c r="AR19" s="10">
        <f>AQ19+預測IC!AR19</f>
        <v>2.4204662558777126</v>
      </c>
      <c r="AS19" s="10">
        <f>AR19+預測IC!AS19</f>
        <v>2.518263211146027</v>
      </c>
      <c r="AT19" s="10">
        <f>AS19+預測IC!AT19</f>
        <v>2.5675581929117284</v>
      </c>
      <c r="AU19" s="10">
        <f>AT19+預測IC!AU19</f>
        <v>2.6439869086253824</v>
      </c>
      <c r="AV19" s="10">
        <f>AU19+預測IC!AV19</f>
        <v>2.5955238070515358</v>
      </c>
      <c r="AW19" s="10">
        <f>AV19+預測IC!AW19</f>
        <v>2.6178799752056725</v>
      </c>
      <c r="AX19" s="10">
        <f>AW19+預測IC!AX19</f>
        <v>2.6980863895160851</v>
      </c>
      <c r="AY19" s="10">
        <f>AX19+預測IC!AY19</f>
        <v>2.727615359909465</v>
      </c>
      <c r="AZ19" s="10">
        <f>AY19+預測IC!AZ19</f>
        <v>2.5407357417412908</v>
      </c>
      <c r="BA19" s="10">
        <f>AZ19+預測IC!BA19</f>
        <v>2.7277327417412907</v>
      </c>
      <c r="BB19" s="10">
        <f>BA19+預測IC!BB19</f>
        <v>2.9295345750746238</v>
      </c>
      <c r="BC19" s="10">
        <f>BB19+預測IC!BC19</f>
        <v>2.9935900614208095</v>
      </c>
      <c r="BD19" s="10">
        <f>BC19+預測IC!BD19</f>
        <v>2.9903556687907416</v>
      </c>
      <c r="BE19" s="10">
        <f>BD19+預測IC!BE19</f>
        <v>3.0442231664800299</v>
      </c>
      <c r="BF19" s="10">
        <f>BE19+預測IC!BF19</f>
        <v>3.0577941406291687</v>
      </c>
      <c r="BG19" s="10">
        <f>BF19+預測IC!BG19</f>
        <v>3.0414504822963266</v>
      </c>
      <c r="BH19" s="10">
        <f>BG19+預測IC!BH19</f>
        <v>3.0434686839977578</v>
      </c>
      <c r="BI19" s="10">
        <f>BH19+預測IC!BI19</f>
        <v>3.1712673128169766</v>
      </c>
      <c r="BJ19" s="10">
        <f>BI19+預測IC!BJ19</f>
        <v>3.1929746143555557</v>
      </c>
      <c r="BK19" s="10">
        <f>BJ19+預測IC!BK19</f>
        <v>3.1412250882635635</v>
      </c>
      <c r="BL19" s="10">
        <f>BK19+預測IC!BL19</f>
        <v>3.2211897464100665</v>
      </c>
      <c r="BM19" s="10">
        <f>BL19+預測IC!BM19</f>
        <v>3.1894034815409213</v>
      </c>
      <c r="BN19" s="10">
        <f>BM19+預測IC!BN19</f>
        <v>3.256656129008193</v>
      </c>
      <c r="BO19" s="10">
        <f>BN19+預測IC!BO19</f>
        <v>3.2823850902733085</v>
      </c>
      <c r="BP19" s="10">
        <f>BO19+預測IC!BP19</f>
        <v>3.319811353149845</v>
      </c>
      <c r="BQ19" s="10">
        <f>BP19+預測IC!BQ19</f>
        <v>3.3297453976041682</v>
      </c>
      <c r="BR19" s="10">
        <f>BQ19+預測IC!BR19</f>
        <v>3.3364206436276884</v>
      </c>
      <c r="BS19" s="10">
        <f>BR19+預測IC!BS19</f>
        <v>3.3121643048832063</v>
      </c>
      <c r="BT19" s="10">
        <f>BS19+預測IC!BT19</f>
        <v>3.4537969847367798</v>
      </c>
      <c r="BU19" s="10">
        <f>BT19+預測IC!BU19</f>
        <v>3.5297332359710176</v>
      </c>
      <c r="BV19" s="10">
        <f>BU19+預測IC!BV19</f>
        <v>3.6233884771243638</v>
      </c>
      <c r="BW19" s="10">
        <f>BV19+預測IC!BW19</f>
        <v>3.514421515740719</v>
      </c>
      <c r="BX19" s="10">
        <f>BW19+預測IC!BX19</f>
        <v>3.5485093010125772</v>
      </c>
      <c r="BY19" s="10">
        <f>BX19+預測IC!BY19</f>
        <v>3.4408595644569289</v>
      </c>
      <c r="BZ19" s="10">
        <f>BY19+預測IC!BZ19</f>
        <v>3.5046749582241428</v>
      </c>
      <c r="CA19" s="10">
        <f>BZ19+預測IC!CA19</f>
        <v>3.4831292680929633</v>
      </c>
      <c r="CB19" s="10">
        <f>CA19+預測IC!CB19</f>
        <v>3.4350880995847186</v>
      </c>
      <c r="CC19" s="10">
        <f>CB19+預測IC!CC19</f>
        <v>3.4575937662513851</v>
      </c>
      <c r="CD19" s="10">
        <f>CC19+預測IC!CD19</f>
        <v>3.545257932918052</v>
      </c>
      <c r="CE19" s="10">
        <f>CD19+預測IC!CE19</f>
        <v>3.6337320995847189</v>
      </c>
      <c r="CF19" s="10">
        <f>CE19+預測IC!CF19</f>
        <v>3.522033432918052</v>
      </c>
      <c r="CG19" s="10">
        <f>CF19+預測IC!CG19</f>
        <v>3.7859274329180521</v>
      </c>
      <c r="CH19" s="10">
        <f>CG19+預測IC!CH19</f>
        <v>3.9388172999679782</v>
      </c>
      <c r="CI19" s="10">
        <f>CH19+預測IC!CI19</f>
        <v>3.9017503538077829</v>
      </c>
      <c r="CJ19" s="10">
        <f>CI19+預測IC!CJ19</f>
        <v>3.8398098538417469</v>
      </c>
      <c r="CK19" s="10">
        <f>CJ19+預測IC!CK19</f>
        <v>3.943777571658845</v>
      </c>
      <c r="CL19" s="10">
        <f>CK19+預測IC!CL19</f>
        <v>3.9005372916840551</v>
      </c>
      <c r="CM19" s="10">
        <f>CL19+預測IC!CM19</f>
        <v>4.0758849332657698</v>
      </c>
      <c r="CN19" s="10">
        <f>CM19+預測IC!CN19</f>
        <v>3.9989522785984666</v>
      </c>
      <c r="CO19" s="10">
        <f>CN19+預測IC!CO19</f>
        <v>3.7264978739699601</v>
      </c>
      <c r="CP19" s="10">
        <f>CO19+預測IC!CP19</f>
        <v>3.885530472952293</v>
      </c>
      <c r="CQ19" s="10">
        <f>CP19+預測IC!CQ19</f>
        <v>3.8531358654358745</v>
      </c>
      <c r="CR19" s="10">
        <f>CQ19+預測IC!CR19</f>
        <v>3.8774363654358743</v>
      </c>
      <c r="CS19" s="10">
        <f>CR19+預測IC!CS19</f>
        <v>3.9212120321025408</v>
      </c>
      <c r="CT19" s="10">
        <f>CS19+預測IC!CT19</f>
        <v>4.0438324587325711</v>
      </c>
      <c r="CU19" s="10">
        <f>CT19+預測IC!CU19</f>
        <v>3.960396061618678</v>
      </c>
      <c r="CV19" s="10">
        <f>CU19+預測IC!CV19</f>
        <v>4.0502321523806124</v>
      </c>
      <c r="CW19" s="10">
        <f>CV19+預測IC!CW19</f>
        <v>4.0283303445987135</v>
      </c>
      <c r="CX19" s="10">
        <f>CW19+預測IC!CX19</f>
        <v>4.1218800628581356</v>
      </c>
      <c r="CY19" s="10">
        <f>CX19+預測IC!CY19</f>
        <v>4.0509581932937664</v>
      </c>
      <c r="CZ19" s="10">
        <f>CY19+預測IC!CZ19</f>
        <v>4.1514229282692767</v>
      </c>
      <c r="DA19" s="10">
        <f>CZ19+預測IC!DA19</f>
        <v>4.0931990515660397</v>
      </c>
      <c r="DB19" s="10">
        <f>DA19+預測IC!DB19</f>
        <v>4.2411600515660393</v>
      </c>
      <c r="DC19" s="10">
        <f>DB19+預測IC!DC19</f>
        <v>4.2714367182327058</v>
      </c>
      <c r="DD19" s="10">
        <f>DC19+預測IC!DD19</f>
        <v>4.2078893848993726</v>
      </c>
      <c r="DE19" s="10">
        <f>DD19+預測IC!DE19</f>
        <v>4.1639437489589115</v>
      </c>
      <c r="DF19" s="10">
        <f>DE19+預測IC!DF19</f>
        <v>4.0942507020658887</v>
      </c>
      <c r="DG19" s="10">
        <f>DF19+預測IC!DG19</f>
        <v>4.0815042271552393</v>
      </c>
      <c r="DH19" s="10">
        <f>DG19+預測IC!DH19</f>
        <v>4.0813472440258343</v>
      </c>
      <c r="DI19" s="10">
        <f>DH19+預測IC!DI19</f>
        <v>4.0850136684682559</v>
      </c>
      <c r="DJ19" s="10">
        <f>DI19+預測IC!DJ19</f>
        <v>4.165514001801589</v>
      </c>
      <c r="DK19" s="10">
        <f>DJ19+預測IC!DK19</f>
        <v>4.2896585895857964</v>
      </c>
      <c r="DL19" s="10">
        <f>DK19+預測IC!DL19</f>
        <v>4.3598259973856655</v>
      </c>
      <c r="DM19" s="10">
        <f>DL19+預測IC!DM19</f>
        <v>4.2778737423516713</v>
      </c>
      <c r="DN19" s="10">
        <f>DM19+預測IC!DN19</f>
        <v>4.2736960975484024</v>
      </c>
      <c r="DO19" s="10">
        <f>DN19+預測IC!DO19</f>
        <v>4.3288226609483464</v>
      </c>
      <c r="DP19" s="10">
        <f>DO19+預測IC!DP19</f>
        <v>4.3559881034597101</v>
      </c>
      <c r="DQ19" s="10">
        <f>DP19+預測IC!DQ19</f>
        <v>4.2354987240990747</v>
      </c>
      <c r="DR19" s="10">
        <f>DQ19+預測IC!DR19</f>
        <v>4.3114610774241227</v>
      </c>
      <c r="DS19" s="10">
        <f>DR19+預測IC!DS19</f>
        <v>4.1334655304701524</v>
      </c>
      <c r="DT19" s="10">
        <f>DS19+預測IC!DT19</f>
        <v>4.1303890304701527</v>
      </c>
      <c r="DU19" s="10">
        <f>DT19+預測IC!DU19</f>
        <v>3.9798065304701526</v>
      </c>
      <c r="DV19" s="10">
        <f>DU19+預測IC!DV19</f>
        <v>4.0993383748845549</v>
      </c>
      <c r="DW19" s="10">
        <f>DV19+預測IC!DW19</f>
        <v>4.1599475142252391</v>
      </c>
      <c r="DX19" s="10">
        <f>DW19+預測IC!DX19</f>
        <v>4.0215823799870618</v>
      </c>
      <c r="DY19" s="10">
        <f>DX19+預測IC!DY19</f>
        <v>4.1608303799870621</v>
      </c>
      <c r="DZ19" s="10">
        <f>DY19+預測IC!DZ19</f>
        <v>4.2393678799870624</v>
      </c>
      <c r="EA19" s="10">
        <f>DZ19+預測IC!EA19</f>
        <v>4.4724137099870624</v>
      </c>
      <c r="EB19" s="10">
        <f>EA19+預測IC!EB19</f>
        <v>4.4941864799998408</v>
      </c>
      <c r="EC19" s="10">
        <f>EB19+預測IC!EC19</f>
        <v>4.4628628133331745</v>
      </c>
      <c r="ED19" s="10">
        <f>EC19+預測IC!ED19</f>
        <v>4.3119274963430172</v>
      </c>
      <c r="EE19" s="10">
        <f>ED19+預測IC!EE19</f>
        <v>4.3245615392834393</v>
      </c>
      <c r="EF19" s="10">
        <f>EE19+預測IC!EF19</f>
        <v>4.3415394941582086</v>
      </c>
    </row>
    <row r="20" spans="1:136">
      <c r="A20" s="4">
        <v>5</v>
      </c>
      <c r="B20" s="4">
        <v>192</v>
      </c>
      <c r="C20" s="21">
        <f>預測IC!C20</f>
        <v>0.20155100000000001</v>
      </c>
      <c r="D20" s="10">
        <f>C20+預測IC!D20</f>
        <v>0.58357680000000001</v>
      </c>
      <c r="E20" s="10">
        <f>D20+預測IC!E20</f>
        <v>0.64091200000000004</v>
      </c>
      <c r="F20" s="10">
        <f>E20+預測IC!F20</f>
        <v>0.82333120000000004</v>
      </c>
      <c r="G20" s="10">
        <f>F20+預測IC!G20</f>
        <v>0.9813594000000001</v>
      </c>
      <c r="H20" s="10">
        <f>G20+預測IC!H20</f>
        <v>1.1252916000000002</v>
      </c>
      <c r="I20" s="10">
        <f>H20+預測IC!I20</f>
        <v>1.1532278000000002</v>
      </c>
      <c r="J20" s="10">
        <f>I20+預測IC!J20</f>
        <v>1.0200216000000002</v>
      </c>
      <c r="K20" s="10">
        <f>J20+預測IC!K20</f>
        <v>1.0574252000000002</v>
      </c>
      <c r="L20" s="10">
        <f>K20+預測IC!L20</f>
        <v>1.0881188000000002</v>
      </c>
      <c r="M20" s="10">
        <f>L20+預測IC!M20</f>
        <v>1.1882522143640861</v>
      </c>
      <c r="N20" s="10">
        <f>M20+預測IC!N20</f>
        <v>1.688263814364086</v>
      </c>
      <c r="O20" s="10">
        <f>N20+預測IC!O20</f>
        <v>1.5781500143640861</v>
      </c>
      <c r="P20" s="10">
        <f>O20+預測IC!P20</f>
        <v>1.6181790143640862</v>
      </c>
      <c r="Q20" s="10">
        <f>P20+預測IC!Q20</f>
        <v>1.8430056143640861</v>
      </c>
      <c r="R20" s="10">
        <f>Q20+預測IC!R20</f>
        <v>1.9094752143640861</v>
      </c>
      <c r="S20" s="10">
        <f>R20+預測IC!S20</f>
        <v>1.852133814364086</v>
      </c>
      <c r="T20" s="10">
        <f>S20+預測IC!T20</f>
        <v>1.8677967248833454</v>
      </c>
      <c r="U20" s="10">
        <f>T20+預測IC!U20</f>
        <v>1.9000317248833454</v>
      </c>
      <c r="V20" s="10">
        <f>U20+預測IC!V20</f>
        <v>1.7637435248833453</v>
      </c>
      <c r="W20" s="10">
        <f>V20+預測IC!W20</f>
        <v>1.9368289010609261</v>
      </c>
      <c r="X20" s="10">
        <f>W20+預測IC!X20</f>
        <v>2.0868719010609262</v>
      </c>
      <c r="Y20" s="10">
        <f>X20+預測IC!Y20</f>
        <v>2.0820139010609262</v>
      </c>
      <c r="Z20" s="10">
        <f>Y20+預測IC!Z20</f>
        <v>2.1111723010609262</v>
      </c>
      <c r="AA20" s="10">
        <f>Z20+預測IC!AA20</f>
        <v>2.1781363010609263</v>
      </c>
      <c r="AB20" s="10">
        <f>AA20+預測IC!AB20</f>
        <v>2.1452377557407001</v>
      </c>
      <c r="AC20" s="10">
        <f>AB20+預測IC!AC20</f>
        <v>2.0489295557406999</v>
      </c>
      <c r="AD20" s="10">
        <f>AC20+預測IC!AD20</f>
        <v>2.0759168593113779</v>
      </c>
      <c r="AE20" s="10">
        <f>AD20+預測IC!AE20</f>
        <v>2.0932270593113778</v>
      </c>
      <c r="AF20" s="10">
        <f>AE20+預測IC!AF20</f>
        <v>2.1322717376989577</v>
      </c>
      <c r="AG20" s="10">
        <f>AF20+預測IC!AG20</f>
        <v>2.1260321376989579</v>
      </c>
      <c r="AH20" s="10">
        <f>AG20+預測IC!AH20</f>
        <v>2.0358539369841755</v>
      </c>
      <c r="AI20" s="10">
        <f>AH20+預測IC!AI20</f>
        <v>2.1140084819053442</v>
      </c>
      <c r="AJ20" s="10">
        <f>AI20+預測IC!AJ20</f>
        <v>2.0520184473577965</v>
      </c>
      <c r="AK20" s="10">
        <f>AJ20+預測IC!AK20</f>
        <v>2.0384233318617935</v>
      </c>
      <c r="AL20" s="10">
        <f>AK20+預測IC!AL20</f>
        <v>2.1113167838987703</v>
      </c>
      <c r="AM20" s="10">
        <f>AL20+預測IC!AM20</f>
        <v>2.1444127646475728</v>
      </c>
      <c r="AN20" s="10">
        <f>AM20+預測IC!AN20</f>
        <v>2.2198829581665711</v>
      </c>
      <c r="AO20" s="10">
        <f>AN20+預測IC!AO20</f>
        <v>2.2418702621748192</v>
      </c>
      <c r="AP20" s="10">
        <f>AO20+預測IC!AP20</f>
        <v>2.1101398009194314</v>
      </c>
      <c r="AQ20" s="10">
        <f>AP20+預測IC!AQ20</f>
        <v>2.1375922862523824</v>
      </c>
      <c r="AR20" s="10">
        <f>AQ20+預測IC!AR20</f>
        <v>2.3190599739598374</v>
      </c>
      <c r="AS20" s="10">
        <f>AR20+預測IC!AS20</f>
        <v>2.4311557836426543</v>
      </c>
      <c r="AT20" s="10">
        <f>AS20+預測IC!AT20</f>
        <v>2.4370145574028599</v>
      </c>
      <c r="AU20" s="10">
        <f>AT20+預測IC!AU20</f>
        <v>2.5099143755437794</v>
      </c>
      <c r="AV20" s="10">
        <f>AU20+預測IC!AV20</f>
        <v>2.4552886617613012</v>
      </c>
      <c r="AW20" s="10">
        <f>AV20+預測IC!AW20</f>
        <v>2.462153929940452</v>
      </c>
      <c r="AX20" s="10">
        <f>AW20+預測IC!AX20</f>
        <v>2.5728864779391536</v>
      </c>
      <c r="AY20" s="10">
        <f>AX20+預測IC!AY20</f>
        <v>2.6115611763820632</v>
      </c>
      <c r="AZ20" s="10">
        <f>AY20+預測IC!AZ20</f>
        <v>2.3977587452049747</v>
      </c>
      <c r="BA20" s="10">
        <f>AZ20+預測IC!BA20</f>
        <v>2.5490967452049746</v>
      </c>
      <c r="BB20" s="10">
        <f>BA20+預測IC!BB20</f>
        <v>2.7803101452049748</v>
      </c>
      <c r="BC20" s="10">
        <f>BB20+預測IC!BC20</f>
        <v>2.8509157128827152</v>
      </c>
      <c r="BD20" s="10">
        <f>BC20+預測IC!BD20</f>
        <v>2.797485899661118</v>
      </c>
      <c r="BE20" s="10">
        <f>BD20+預測IC!BE20</f>
        <v>2.7915391025218579</v>
      </c>
      <c r="BF20" s="10">
        <f>BE20+預測IC!BF20</f>
        <v>2.7972276848531865</v>
      </c>
      <c r="BG20" s="10">
        <f>BF20+預測IC!BG20</f>
        <v>2.8197225253139155</v>
      </c>
      <c r="BH20" s="10">
        <f>BG20+預測IC!BH20</f>
        <v>2.7481160781998044</v>
      </c>
      <c r="BI20" s="10">
        <f>BH20+預測IC!BI20</f>
        <v>2.8798613452849793</v>
      </c>
      <c r="BJ20" s="10">
        <f>BI20+預測IC!BJ20</f>
        <v>2.9014908571181657</v>
      </c>
      <c r="BK20" s="10">
        <f>BJ20+預測IC!BK20</f>
        <v>2.8422576892753382</v>
      </c>
      <c r="BL20" s="10">
        <f>BK20+預測IC!BL20</f>
        <v>2.9285499204517929</v>
      </c>
      <c r="BM20" s="10">
        <f>BL20+預測IC!BM20</f>
        <v>2.881081368987604</v>
      </c>
      <c r="BN20" s="10">
        <f>BM20+預測IC!BN20</f>
        <v>2.965421009764968</v>
      </c>
      <c r="BO20" s="10">
        <f>BN20+預測IC!BO20</f>
        <v>2.9269592922489887</v>
      </c>
      <c r="BP20" s="10">
        <f>BO20+預測IC!BP20</f>
        <v>2.9873668130119437</v>
      </c>
      <c r="BQ20" s="10">
        <f>BP20+預測IC!BQ20</f>
        <v>3.0028185199727866</v>
      </c>
      <c r="BR20" s="10">
        <f>BQ20+預測IC!BR20</f>
        <v>3.0110186025480021</v>
      </c>
      <c r="BS20" s="10">
        <f>BR20+預測IC!BS20</f>
        <v>3.0088959189593369</v>
      </c>
      <c r="BT20" s="10">
        <f>BS20+預測IC!BT20</f>
        <v>3.156698952137984</v>
      </c>
      <c r="BU20" s="10">
        <f>BT20+預測IC!BU20</f>
        <v>3.2554539015056907</v>
      </c>
      <c r="BV20" s="10">
        <f>BU20+預測IC!BV20</f>
        <v>3.3713722330687625</v>
      </c>
      <c r="BW20" s="10">
        <f>BV20+預測IC!BW20</f>
        <v>3.2358689812562864</v>
      </c>
      <c r="BX20" s="10">
        <f>BW20+預測IC!BX20</f>
        <v>3.2665626179395306</v>
      </c>
      <c r="BY20" s="10">
        <f>BX20+預測IC!BY20</f>
        <v>3.1613286515702272</v>
      </c>
      <c r="BZ20" s="10">
        <f>BY20+預測IC!BZ20</f>
        <v>3.2516000558305107</v>
      </c>
      <c r="CA20" s="10">
        <f>BZ20+預測IC!CA20</f>
        <v>3.2496062336895606</v>
      </c>
      <c r="CB20" s="10">
        <f>CA20+預測IC!CB20</f>
        <v>3.2113542836786326</v>
      </c>
      <c r="CC20" s="10">
        <f>CB20+預測IC!CC20</f>
        <v>3.2242690836786325</v>
      </c>
      <c r="CD20" s="10">
        <f>CC20+預測IC!CD20</f>
        <v>3.3203326836786324</v>
      </c>
      <c r="CE20" s="10">
        <f>CD20+預測IC!CE20</f>
        <v>3.4061100836786324</v>
      </c>
      <c r="CF20" s="10">
        <f>CE20+預測IC!CF20</f>
        <v>3.2749016836786327</v>
      </c>
      <c r="CG20" s="10">
        <f>CF20+預測IC!CG20</f>
        <v>3.5968410836786324</v>
      </c>
      <c r="CH20" s="10">
        <f>CG20+預測IC!CH20</f>
        <v>3.6687051092757708</v>
      </c>
      <c r="CI20" s="10">
        <f>CH20+預測IC!CI20</f>
        <v>3.6383104355066886</v>
      </c>
      <c r="CJ20" s="10">
        <f>CI20+預測IC!CJ20</f>
        <v>3.5148701156193378</v>
      </c>
      <c r="CK20" s="10">
        <f>CJ20+預測IC!CK20</f>
        <v>3.6058485123694446</v>
      </c>
      <c r="CL20" s="10">
        <f>CK20+預測IC!CL20</f>
        <v>3.5136635781803154</v>
      </c>
      <c r="CM20" s="10">
        <f>CL20+預測IC!CM20</f>
        <v>3.7027147433509362</v>
      </c>
      <c r="CN20" s="10">
        <f>CM20+預測IC!CN20</f>
        <v>3.7248741547214208</v>
      </c>
      <c r="CO20" s="10">
        <f>CN20+預測IC!CO20</f>
        <v>3.3089028195524084</v>
      </c>
      <c r="CP20" s="10">
        <f>CO20+預測IC!CP20</f>
        <v>3.5009340246614356</v>
      </c>
      <c r="CQ20" s="10">
        <f>CP20+預測IC!CQ20</f>
        <v>3.4778159793611527</v>
      </c>
      <c r="CR20" s="10">
        <f>CQ20+預測IC!CR20</f>
        <v>3.5031801793611526</v>
      </c>
      <c r="CS20" s="10">
        <f>CR20+預測IC!CS20</f>
        <v>3.5254739793611525</v>
      </c>
      <c r="CT20" s="10">
        <f>CS20+預測IC!CT20</f>
        <v>3.6159480167754188</v>
      </c>
      <c r="CU20" s="10">
        <f>CT20+預測IC!CU20</f>
        <v>3.5118471189829927</v>
      </c>
      <c r="CV20" s="10">
        <f>CU20+預測IC!CV20</f>
        <v>3.6043581946784187</v>
      </c>
      <c r="CW20" s="10">
        <f>CV20+預測IC!CW20</f>
        <v>3.6143112575997014</v>
      </c>
      <c r="CX20" s="10">
        <f>CW20+預測IC!CX20</f>
        <v>3.7046098084674659</v>
      </c>
      <c r="CY20" s="10">
        <f>CX20+預測IC!CY20</f>
        <v>3.6921300757991689</v>
      </c>
      <c r="CZ20" s="10">
        <f>CY20+預測IC!CZ20</f>
        <v>3.847291720948367</v>
      </c>
      <c r="DA20" s="10">
        <f>CZ20+預測IC!DA20</f>
        <v>3.7998198277931894</v>
      </c>
      <c r="DB20" s="10">
        <f>DA20+預測IC!DB20</f>
        <v>3.8767868277931892</v>
      </c>
      <c r="DC20" s="10">
        <f>DB20+預測IC!DC20</f>
        <v>3.9056888277931892</v>
      </c>
      <c r="DD20" s="10">
        <f>DC20+預測IC!DD20</f>
        <v>3.8375260277931891</v>
      </c>
      <c r="DE20" s="10">
        <f>DD20+預測IC!DE20</f>
        <v>3.8107761638722604</v>
      </c>
      <c r="DF20" s="10">
        <f>DE20+預測IC!DF20</f>
        <v>3.8116352854046811</v>
      </c>
      <c r="DG20" s="10">
        <f>DF20+預測IC!DG20</f>
        <v>3.8074330747843104</v>
      </c>
      <c r="DH20" s="10">
        <f>DG20+預測IC!DH20</f>
        <v>3.7964576630417834</v>
      </c>
      <c r="DI20" s="10">
        <f>DH20+預測IC!DI20</f>
        <v>3.7887000950277909</v>
      </c>
      <c r="DJ20" s="10">
        <f>DI20+預測IC!DJ20</f>
        <v>3.8699774950277908</v>
      </c>
      <c r="DK20" s="10">
        <f>DJ20+預測IC!DK20</f>
        <v>3.9549314764738455</v>
      </c>
      <c r="DL20" s="10">
        <f>DK20+預測IC!DL20</f>
        <v>4.0307581126523884</v>
      </c>
      <c r="DM20" s="10">
        <f>DL20+預測IC!DM20</f>
        <v>4.0400417629318257</v>
      </c>
      <c r="DN20" s="10">
        <f>DM20+預測IC!DN20</f>
        <v>4.0980609695860251</v>
      </c>
      <c r="DO20" s="10">
        <f>DN20+預測IC!DO20</f>
        <v>4.163876771423995</v>
      </c>
      <c r="DP20" s="10">
        <f>DO20+預測IC!DP20</f>
        <v>4.1737073028148828</v>
      </c>
      <c r="DQ20" s="10">
        <f>DP20+預測IC!DQ20</f>
        <v>3.9823777643585996</v>
      </c>
      <c r="DR20" s="10">
        <f>DQ20+預測IC!DR20</f>
        <v>4.0608904243868897</v>
      </c>
      <c r="DS20" s="10">
        <f>DR20+預測IC!DS20</f>
        <v>3.8548093268085353</v>
      </c>
      <c r="DT20" s="10">
        <f>DS20+預測IC!DT20</f>
        <v>3.8596381268085351</v>
      </c>
      <c r="DU20" s="10">
        <f>DT20+預測IC!DU20</f>
        <v>3.6832623268085349</v>
      </c>
      <c r="DV20" s="10">
        <f>DU20+預測IC!DV20</f>
        <v>3.8126077986473934</v>
      </c>
      <c r="DW20" s="10">
        <f>DV20+預測IC!DW20</f>
        <v>3.8816680026054331</v>
      </c>
      <c r="DX20" s="10">
        <f>DW20+預測IC!DX20</f>
        <v>3.7278016729991186</v>
      </c>
      <c r="DY20" s="10">
        <f>DX20+預測IC!DY20</f>
        <v>3.8493922729991183</v>
      </c>
      <c r="DZ20" s="10">
        <f>DY20+預測IC!DZ20</f>
        <v>3.9395916729991183</v>
      </c>
      <c r="EA20" s="10">
        <f>DZ20+預測IC!EA20</f>
        <v>4.2332816569991181</v>
      </c>
      <c r="EB20" s="10">
        <f>EA20+預測IC!EB20</f>
        <v>4.2606708148531052</v>
      </c>
      <c r="EC20" s="10">
        <f>EB20+預測IC!EC20</f>
        <v>4.2836484148531051</v>
      </c>
      <c r="ED20" s="10">
        <f>EC20+預測IC!ED20</f>
        <v>4.1067295537860948</v>
      </c>
      <c r="EE20" s="10">
        <f>ED20+預測IC!EE20</f>
        <v>4.1090967847134765</v>
      </c>
      <c r="EF20" s="10">
        <f>EE20+預測IC!EF20</f>
        <v>4.1293782013293834</v>
      </c>
    </row>
    <row r="21" spans="1:136">
      <c r="A21" s="4">
        <v>4</v>
      </c>
      <c r="B21" s="4">
        <v>241</v>
      </c>
      <c r="C21" s="21">
        <f>預測IC!C21</f>
        <v>0.2146305</v>
      </c>
      <c r="D21" s="10">
        <f>C21+預測IC!D21</f>
        <v>0.34101950000000003</v>
      </c>
      <c r="E21" s="10">
        <f>D21+預測IC!E21</f>
        <v>0.32732800000000001</v>
      </c>
      <c r="F21" s="10">
        <f>E21+預測IC!F21</f>
        <v>0.53074100000000002</v>
      </c>
      <c r="G21" s="10">
        <f>F21+預測IC!G21</f>
        <v>0.67607300000000004</v>
      </c>
      <c r="H21" s="10">
        <f>G21+預測IC!H21</f>
        <v>0.83823700000000001</v>
      </c>
      <c r="I21" s="10">
        <f>H21+預測IC!I21</f>
        <v>0.85234900000000002</v>
      </c>
      <c r="J21" s="10">
        <f>I21+預測IC!J21</f>
        <v>0.71560750000000006</v>
      </c>
      <c r="K21" s="10">
        <f>J21+預測IC!K21</f>
        <v>0.71707750000000003</v>
      </c>
      <c r="L21" s="10">
        <f>K21+預測IC!L21</f>
        <v>0.71204650000000003</v>
      </c>
      <c r="M21" s="10">
        <f>L21+預測IC!M21</f>
        <v>0.51617599645083789</v>
      </c>
      <c r="N21" s="10">
        <f>M21+預測IC!N21</f>
        <v>1.1010664964508379</v>
      </c>
      <c r="O21" s="10">
        <f>N21+預測IC!O21</f>
        <v>0.96178924645083785</v>
      </c>
      <c r="P21" s="10">
        <f>O21+預測IC!P21</f>
        <v>1.007216996450838</v>
      </c>
      <c r="Q21" s="10">
        <f>P21+預測IC!Q21</f>
        <v>1.281302746450838</v>
      </c>
      <c r="R21" s="10">
        <f>Q21+預測IC!R21</f>
        <v>1.366207996450838</v>
      </c>
      <c r="S21" s="10">
        <f>R21+預測IC!S21</f>
        <v>1.3296462464508381</v>
      </c>
      <c r="T21" s="10">
        <f>S21+預測IC!T21</f>
        <v>1.3156058821106331</v>
      </c>
      <c r="U21" s="10">
        <f>T21+預測IC!U21</f>
        <v>1.3057791321106331</v>
      </c>
      <c r="V21" s="10">
        <f>U21+預測IC!V21</f>
        <v>1.1740288821106331</v>
      </c>
      <c r="W21" s="10">
        <f>V21+預測IC!W21</f>
        <v>1.3343940378161909</v>
      </c>
      <c r="X21" s="10">
        <f>W21+預測IC!X21</f>
        <v>1.542195037816191</v>
      </c>
      <c r="Y21" s="10">
        <f>X21+預測IC!Y21</f>
        <v>1.5320475378161911</v>
      </c>
      <c r="Z21" s="10">
        <f>Y21+預測IC!Z21</f>
        <v>1.571506537816191</v>
      </c>
      <c r="AA21" s="10">
        <f>Z21+預測IC!AA21</f>
        <v>1.5995420378161911</v>
      </c>
      <c r="AB21" s="10">
        <f>AA21+預測IC!AB21</f>
        <v>1.577586093927057</v>
      </c>
      <c r="AC21" s="10">
        <f>AB21+預測IC!AC21</f>
        <v>1.418044843927057</v>
      </c>
      <c r="AD21" s="10">
        <f>AC21+預測IC!AD21</f>
        <v>1.3921115679296221</v>
      </c>
      <c r="AE21" s="10">
        <f>AD21+預測IC!AE21</f>
        <v>1.402422317929622</v>
      </c>
      <c r="AF21" s="10">
        <f>AE21+預測IC!AF21</f>
        <v>1.4555479278161849</v>
      </c>
      <c r="AG21" s="10">
        <f>AF21+預測IC!AG21</f>
        <v>1.444979927816185</v>
      </c>
      <c r="AH21" s="10">
        <f>AG21+預測IC!AH21</f>
        <v>1.3373985652513867</v>
      </c>
      <c r="AI21" s="10">
        <f>AH21+預測IC!AI21</f>
        <v>1.4169927745846778</v>
      </c>
      <c r="AJ21" s="10">
        <f>AI21+預測IC!AJ21</f>
        <v>1.346587432638209</v>
      </c>
      <c r="AK21" s="10">
        <f>AJ21+預測IC!AK21</f>
        <v>1.3159439989007777</v>
      </c>
      <c r="AL21" s="10">
        <f>AK21+預測IC!AL21</f>
        <v>1.3813238216338883</v>
      </c>
      <c r="AM21" s="10">
        <f>AL21+預測IC!AM21</f>
        <v>1.4461807994402442</v>
      </c>
      <c r="AN21" s="10">
        <f>AM21+預測IC!AN21</f>
        <v>1.5581368555033386</v>
      </c>
      <c r="AO21" s="10">
        <f>AN21+預測IC!AO21</f>
        <v>1.6058632511470652</v>
      </c>
      <c r="AP21" s="10">
        <f>AO21+預測IC!AP21</f>
        <v>1.543472697448129</v>
      </c>
      <c r="AQ21" s="10">
        <f>AP21+預測IC!AQ21</f>
        <v>1.5680638378712555</v>
      </c>
      <c r="AR21" s="10">
        <f>AQ21+預測IC!AR21</f>
        <v>1.7732461161017368</v>
      </c>
      <c r="AS21" s="10">
        <f>AR21+預測IC!AS21</f>
        <v>1.8377019847483662</v>
      </c>
      <c r="AT21" s="10">
        <f>AS21+預測IC!AT21</f>
        <v>1.8352090734712112</v>
      </c>
      <c r="AU21" s="10">
        <f>AT21+預測IC!AU21</f>
        <v>1.8830187049801683</v>
      </c>
      <c r="AV21" s="10">
        <f>AU21+預測IC!AV21</f>
        <v>1.8274979249180345</v>
      </c>
      <c r="AW21" s="10">
        <f>AV21+預測IC!AW21</f>
        <v>1.8372889548721318</v>
      </c>
      <c r="AX21" s="10">
        <f>AW21+預測IC!AX21</f>
        <v>1.9804366423418887</v>
      </c>
      <c r="AY21" s="10">
        <f>AX21+預測IC!AY21</f>
        <v>2.0274579333199267</v>
      </c>
      <c r="AZ21" s="10">
        <f>AY21+預測IC!AZ21</f>
        <v>1.7725466634227902</v>
      </c>
      <c r="BA21" s="10">
        <f>AZ21+預測IC!BA21</f>
        <v>1.9121391634227902</v>
      </c>
      <c r="BB21" s="10">
        <f>BA21+預測IC!BB21</f>
        <v>2.2066524134227903</v>
      </c>
      <c r="BC21" s="10">
        <f>BB21+預測IC!BC21</f>
        <v>2.244973561147984</v>
      </c>
      <c r="BD21" s="10">
        <f>BC21+預測IC!BD21</f>
        <v>2.2232226977773561</v>
      </c>
      <c r="BE21" s="10">
        <f>BD21+預測IC!BE21</f>
        <v>2.2295732311747578</v>
      </c>
      <c r="BF21" s="10">
        <f>BE21+預測IC!BF21</f>
        <v>2.2331503313551924</v>
      </c>
      <c r="BG21" s="10">
        <f>BF21+預測IC!BG21</f>
        <v>2.2831708717916617</v>
      </c>
      <c r="BH21" s="10">
        <f>BG21+預測IC!BH21</f>
        <v>2.2068495086529065</v>
      </c>
      <c r="BI21" s="10">
        <f>BH21+預測IC!BI21</f>
        <v>2.3728191048312981</v>
      </c>
      <c r="BJ21" s="10">
        <f>BI21+預測IC!BJ21</f>
        <v>2.3963981310130156</v>
      </c>
      <c r="BK21" s="10">
        <f>BJ21+預測IC!BK21</f>
        <v>2.3279482506334808</v>
      </c>
      <c r="BL21" s="10">
        <f>BK21+預測IC!BL21</f>
        <v>2.4706693432798303</v>
      </c>
      <c r="BM21" s="10">
        <f>BL21+預測IC!BM21</f>
        <v>2.4298740572511095</v>
      </c>
      <c r="BN21" s="10">
        <f>BM21+預測IC!BN21</f>
        <v>2.4935220052433573</v>
      </c>
      <c r="BO21" s="10">
        <f>BN21+預測IC!BO21</f>
        <v>2.4828536136901675</v>
      </c>
      <c r="BP21" s="10">
        <f>BO21+預測IC!BP21</f>
        <v>2.587362743109582</v>
      </c>
      <c r="BQ21" s="10">
        <f>BP21+預測IC!BQ21</f>
        <v>2.641904973944087</v>
      </c>
      <c r="BR21" s="10">
        <f>BQ21+預測IC!BR21</f>
        <v>2.6558682310837023</v>
      </c>
      <c r="BS21" s="10">
        <f>BR21+預測IC!BS21</f>
        <v>2.6307883766732054</v>
      </c>
      <c r="BT21" s="10">
        <f>BS21+預測IC!BT21</f>
        <v>2.7630330706476482</v>
      </c>
      <c r="BU21" s="10">
        <f>BT21+預測IC!BU21</f>
        <v>2.8838540099978371</v>
      </c>
      <c r="BV21" s="10">
        <f>BU21+預測IC!BV21</f>
        <v>3.0259970101832905</v>
      </c>
      <c r="BW21" s="10">
        <f>BV21+預測IC!BW21</f>
        <v>2.8793178132475594</v>
      </c>
      <c r="BX21" s="10">
        <f>BW21+預測IC!BX21</f>
        <v>2.8639098856812462</v>
      </c>
      <c r="BY21" s="10">
        <f>BX21+預測IC!BY21</f>
        <v>2.8135300344631298</v>
      </c>
      <c r="BZ21" s="10">
        <f>BY21+預測IC!BZ21</f>
        <v>2.9116867449030281</v>
      </c>
      <c r="CA21" s="10">
        <f>BZ21+預測IC!CA21</f>
        <v>2.8871306763502407</v>
      </c>
      <c r="CB21" s="10">
        <f>CA21+預測IC!CB21</f>
        <v>2.7748870655510824</v>
      </c>
      <c r="CC21" s="10">
        <f>CB21+預測IC!CC21</f>
        <v>2.7668675655510824</v>
      </c>
      <c r="CD21" s="10">
        <f>CC21+預測IC!CD21</f>
        <v>2.8512898155510822</v>
      </c>
      <c r="CE21" s="10">
        <f>CD21+預測IC!CE21</f>
        <v>2.9128043155510821</v>
      </c>
      <c r="CF21" s="10">
        <f>CE21+預測IC!CF21</f>
        <v>2.7856363155510819</v>
      </c>
      <c r="CG21" s="10">
        <f>CF21+預測IC!CG21</f>
        <v>3.1058040655510819</v>
      </c>
      <c r="CH21" s="10">
        <f>CG21+預測IC!CH21</f>
        <v>3.1859043866272936</v>
      </c>
      <c r="CI21" s="10">
        <f>CH21+預測IC!CI21</f>
        <v>3.1054047702363112</v>
      </c>
      <c r="CJ21" s="10">
        <f>CI21+預測IC!CJ21</f>
        <v>3.0336501082802654</v>
      </c>
      <c r="CK21" s="10">
        <f>CJ21+預測IC!CK21</f>
        <v>3.1607006550103995</v>
      </c>
      <c r="CL21" s="10">
        <f>CK21+預測IC!CL21</f>
        <v>2.9502482791562912</v>
      </c>
      <c r="CM21" s="10">
        <f>CL21+預測IC!CM21</f>
        <v>3.1757512675596624</v>
      </c>
      <c r="CN21" s="10">
        <f>CM21+預測IC!CN21</f>
        <v>3.206290157763438</v>
      </c>
      <c r="CO21" s="10">
        <f>CN21+預測IC!CO21</f>
        <v>2.6914249091658453</v>
      </c>
      <c r="CP21" s="10">
        <f>CO21+預測IC!CP21</f>
        <v>2.9141249700437579</v>
      </c>
      <c r="CQ21" s="10">
        <f>CP21+預測IC!CQ21</f>
        <v>2.8912127758742616</v>
      </c>
      <c r="CR21" s="10">
        <f>CQ21+預測IC!CR21</f>
        <v>2.9028297758742618</v>
      </c>
      <c r="CS21" s="10">
        <f>CR21+預測IC!CS21</f>
        <v>2.9337370258742617</v>
      </c>
      <c r="CT21" s="10">
        <f>CS21+預測IC!CT21</f>
        <v>3.0160298987286005</v>
      </c>
      <c r="CU21" s="10">
        <f>CT21+預測IC!CU21</f>
        <v>2.9533563385591091</v>
      </c>
      <c r="CV21" s="10">
        <f>CU21+預測IC!CV21</f>
        <v>3.0515819705804961</v>
      </c>
      <c r="CW21" s="10">
        <f>CV21+預測IC!CW21</f>
        <v>3.1165873878614847</v>
      </c>
      <c r="CX21" s="10">
        <f>CW21+預測IC!CX21</f>
        <v>3.2187095635188916</v>
      </c>
      <c r="CY21" s="10">
        <f>CX21+預測IC!CY21</f>
        <v>3.2102276471149773</v>
      </c>
      <c r="CZ21" s="10">
        <f>CY21+預測IC!CZ21</f>
        <v>3.4476790179408074</v>
      </c>
      <c r="DA21" s="10">
        <f>CZ21+預測IC!DA21</f>
        <v>3.4488712743975394</v>
      </c>
      <c r="DB21" s="10">
        <f>DA21+預測IC!DB21</f>
        <v>3.5203307743975394</v>
      </c>
      <c r="DC21" s="10">
        <f>DB21+預測IC!DC21</f>
        <v>3.5686407743975392</v>
      </c>
      <c r="DD21" s="10">
        <f>DC21+預測IC!DD21</f>
        <v>3.5016137743975393</v>
      </c>
      <c r="DE21" s="10">
        <f>DD21+預測IC!DE21</f>
        <v>3.513851882985858</v>
      </c>
      <c r="DF21" s="10">
        <f>DE21+預測IC!DF21</f>
        <v>3.5215804422574766</v>
      </c>
      <c r="DG21" s="10">
        <f>DF21+預測IC!DG21</f>
        <v>3.5294268203860097</v>
      </c>
      <c r="DH21" s="10">
        <f>DG21+預測IC!DH21</f>
        <v>3.5435036405984643</v>
      </c>
      <c r="DI21" s="10">
        <f>DH21+預測IC!DI21</f>
        <v>3.5779111188786437</v>
      </c>
      <c r="DJ21" s="10">
        <f>DI21+預測IC!DJ21</f>
        <v>3.6512143688786436</v>
      </c>
      <c r="DK21" s="10">
        <f>DJ21+預測IC!DK21</f>
        <v>3.7907170756975481</v>
      </c>
      <c r="DL21" s="10">
        <f>DK21+預測IC!DL21</f>
        <v>3.8890820145369247</v>
      </c>
      <c r="DM21" s="10">
        <f>DL21+預測IC!DM21</f>
        <v>3.8592478948946844</v>
      </c>
      <c r="DN21" s="10">
        <f>DM21+預測IC!DN21</f>
        <v>3.9212086763414726</v>
      </c>
      <c r="DO21" s="10">
        <f>DN21+預測IC!DO21</f>
        <v>4.0036544686721527</v>
      </c>
      <c r="DP21" s="10">
        <f>DO21+預測IC!DP21</f>
        <v>4.027920623765719</v>
      </c>
      <c r="DQ21" s="10">
        <f>DP21+預測IC!DQ21</f>
        <v>3.9001672306670665</v>
      </c>
      <c r="DR21" s="10">
        <f>DQ21+預測IC!DR21</f>
        <v>3.9503380897041471</v>
      </c>
      <c r="DS21" s="10">
        <f>DR21+預測IC!DS21</f>
        <v>3.7494986158668517</v>
      </c>
      <c r="DT21" s="10">
        <f>DS21+預測IC!DT21</f>
        <v>3.7397891158668517</v>
      </c>
      <c r="DU21" s="10">
        <f>DT21+預測IC!DU21</f>
        <v>3.5911743658668516</v>
      </c>
      <c r="DV21" s="10">
        <f>DU21+預測IC!DV21</f>
        <v>3.7314503427367294</v>
      </c>
      <c r="DW21" s="10">
        <f>DV21+預測IC!DW21</f>
        <v>3.8507975601107334</v>
      </c>
      <c r="DX21" s="10">
        <f>DW21+預測IC!DX21</f>
        <v>3.6648313460795499</v>
      </c>
      <c r="DY21" s="10">
        <f>DX21+預測IC!DY21</f>
        <v>3.8315613460795497</v>
      </c>
      <c r="DZ21" s="10">
        <f>DY21+預測IC!DZ21</f>
        <v>3.9304913460795499</v>
      </c>
      <c r="EA21" s="10">
        <f>DZ21+預測IC!EA21</f>
        <v>4.1965481780795502</v>
      </c>
      <c r="EB21" s="10">
        <f>EA21+預測IC!EB21</f>
        <v>4.2049563242501362</v>
      </c>
      <c r="EC21" s="10">
        <f>EB21+預測IC!EC21</f>
        <v>4.2321458242501366</v>
      </c>
      <c r="ED21" s="10">
        <f>EC21+預測IC!ED21</f>
        <v>4.1776469679019561</v>
      </c>
      <c r="EE21" s="10">
        <f>ED21+預測IC!EE21</f>
        <v>4.1920758200103743</v>
      </c>
      <c r="EF21" s="10">
        <f>EE21+預測IC!EF21</f>
        <v>4.184084217154342</v>
      </c>
    </row>
    <row r="22" spans="1:136">
      <c r="A22" s="4">
        <v>3</v>
      </c>
      <c r="B22" s="4">
        <v>321</v>
      </c>
      <c r="C22" s="21">
        <f>預測IC!C22</f>
        <v>0.20528266666666661</v>
      </c>
      <c r="D22" s="10">
        <f>C22+預測IC!D22</f>
        <v>0.34771199999999991</v>
      </c>
      <c r="E22" s="10">
        <f>D22+預測IC!E22</f>
        <v>0.33035533333333322</v>
      </c>
      <c r="F22" s="10">
        <f>E22+預測IC!F22</f>
        <v>0.19048733333333323</v>
      </c>
      <c r="G22" s="10">
        <f>F22+預測IC!G22</f>
        <v>0.42343266666666662</v>
      </c>
      <c r="H22" s="10">
        <f>G22+預測IC!H22</f>
        <v>0.54761066666666658</v>
      </c>
      <c r="I22" s="10">
        <f>H22+預測IC!I22</f>
        <v>0.56504999999999994</v>
      </c>
      <c r="J22" s="10">
        <f>I22+預測IC!J22</f>
        <v>0.46079799999999993</v>
      </c>
      <c r="K22" s="10">
        <f>J22+預測IC!K22</f>
        <v>0.48945466666666659</v>
      </c>
      <c r="L22" s="10">
        <f>K22+預測IC!L22</f>
        <v>0.50372666666666666</v>
      </c>
      <c r="M22" s="10">
        <f>L22+預測IC!M22</f>
        <v>0.27856806160308495</v>
      </c>
      <c r="N22" s="10">
        <f>M22+預測IC!N22</f>
        <v>1.0347103949364183</v>
      </c>
      <c r="O22" s="10">
        <f>N22+預測IC!O22</f>
        <v>0.96826806160308498</v>
      </c>
      <c r="P22" s="10">
        <f>O22+預測IC!P22</f>
        <v>1.0588983949364184</v>
      </c>
      <c r="Q22" s="10">
        <f>P22+預測IC!Q22</f>
        <v>1.186173061603085</v>
      </c>
      <c r="R22" s="10">
        <f>Q22+預測IC!R22</f>
        <v>1.2528707282697518</v>
      </c>
      <c r="S22" s="10">
        <f>R22+預測IC!S22</f>
        <v>1.2136383949364185</v>
      </c>
      <c r="T22" s="10">
        <f>S22+預測IC!T22</f>
        <v>1.1419864945467773</v>
      </c>
      <c r="U22" s="10">
        <f>T22+預測IC!U22</f>
        <v>1.1944708278801106</v>
      </c>
      <c r="V22" s="10">
        <f>U22+預測IC!V22</f>
        <v>1.018847161213444</v>
      </c>
      <c r="W22" s="10">
        <f>V22+預測IC!W22</f>
        <v>1.2263274282377414</v>
      </c>
      <c r="X22" s="10">
        <f>W22+預測IC!X22</f>
        <v>1.4835294282377414</v>
      </c>
      <c r="Y22" s="10">
        <f>X22+預測IC!Y22</f>
        <v>1.4136720949044079</v>
      </c>
      <c r="Z22" s="10">
        <f>Y22+預測IC!Z22</f>
        <v>1.4375400949044079</v>
      </c>
      <c r="AA22" s="10">
        <f>Z22+預測IC!AA22</f>
        <v>1.5556627615710745</v>
      </c>
      <c r="AB22" s="10">
        <f>AA22+預測IC!AB22</f>
        <v>1.559527991696414</v>
      </c>
      <c r="AC22" s="10">
        <f>AB22+預測IC!AC22</f>
        <v>1.3823166583630806</v>
      </c>
      <c r="AD22" s="10">
        <f>AC22+預測IC!AD22</f>
        <v>1.3637229091484193</v>
      </c>
      <c r="AE22" s="10">
        <f>AD22+預測IC!AE22</f>
        <v>1.2785739091484194</v>
      </c>
      <c r="AF22" s="10">
        <f>AE22+預測IC!AF22</f>
        <v>1.3148179660523396</v>
      </c>
      <c r="AG22" s="10">
        <f>AF22+預測IC!AG22</f>
        <v>1.2688476327190061</v>
      </c>
      <c r="AH22" s="10">
        <f>AG22+預測IC!AH22</f>
        <v>1.1629816732985334</v>
      </c>
      <c r="AI22" s="10">
        <f>AH22+預測IC!AI22</f>
        <v>1.2571229339559196</v>
      </c>
      <c r="AJ22" s="10">
        <f>AI22+預測IC!AJ22</f>
        <v>1.2254230846295113</v>
      </c>
      <c r="AK22" s="10">
        <f>AJ22+預測IC!AK22</f>
        <v>1.326711645369907</v>
      </c>
      <c r="AL22" s="10">
        <f>AK22+預測IC!AL22</f>
        <v>1.3670526121768074</v>
      </c>
      <c r="AM22" s="10">
        <f>AL22+預測IC!AM22</f>
        <v>1.4511415156445109</v>
      </c>
      <c r="AN22" s="10">
        <f>AM22+預測IC!AN22</f>
        <v>1.5622743253080702</v>
      </c>
      <c r="AO22" s="10">
        <f>AN22+預測IC!AO22</f>
        <v>1.6369916987017759</v>
      </c>
      <c r="AP22" s="10">
        <f>AO22+預測IC!AP22</f>
        <v>1.5744553448137832</v>
      </c>
      <c r="AQ22" s="10">
        <f>AP22+預測IC!AQ22</f>
        <v>1.5889513286360071</v>
      </c>
      <c r="AR22" s="10">
        <f>AQ22+預測IC!AR22</f>
        <v>1.8268524696632569</v>
      </c>
      <c r="AS22" s="10">
        <f>AR22+預測IC!AS22</f>
        <v>1.9096629085618069</v>
      </c>
      <c r="AT22" s="10">
        <f>AS22+預測IC!AT22</f>
        <v>1.9162432989108265</v>
      </c>
      <c r="AU22" s="10">
        <f>AT22+預測IC!AU22</f>
        <v>1.9693860906112046</v>
      </c>
      <c r="AV22" s="10">
        <f>AU22+預測IC!AV22</f>
        <v>1.9095729139353246</v>
      </c>
      <c r="AW22" s="10">
        <f>AV22+預測IC!AW22</f>
        <v>1.8794235247283155</v>
      </c>
      <c r="AX22" s="10">
        <f>AW22+預測IC!AX22</f>
        <v>2.0531869247083399</v>
      </c>
      <c r="AY22" s="10">
        <f>AX22+預測IC!AY22</f>
        <v>2.1249203100425706</v>
      </c>
      <c r="AZ22" s="10">
        <f>AY22+預測IC!AZ22</f>
        <v>1.9700165317214187</v>
      </c>
      <c r="BA22" s="10">
        <f>AZ22+預測IC!BA22</f>
        <v>2.0197911983880852</v>
      </c>
      <c r="BB22" s="10">
        <f>BA22+預測IC!BB22</f>
        <v>2.3893425317214185</v>
      </c>
      <c r="BC22" s="10">
        <f>BB22+預測IC!BC22</f>
        <v>2.2585055935984633</v>
      </c>
      <c r="BD22" s="10">
        <f>BC22+預測IC!BD22</f>
        <v>2.2714529834410353</v>
      </c>
      <c r="BE22" s="10">
        <f>BD22+預測IC!BE22</f>
        <v>2.2936691668355156</v>
      </c>
      <c r="BF22" s="10">
        <f>BE22+預測IC!BF22</f>
        <v>2.3073079841738351</v>
      </c>
      <c r="BG22" s="10">
        <f>BF22+預測IC!BG22</f>
        <v>2.3535874963422212</v>
      </c>
      <c r="BH22" s="10">
        <f>BG22+預測IC!BH22</f>
        <v>2.2256269540040892</v>
      </c>
      <c r="BI22" s="10">
        <f>BH22+預測IC!BI22</f>
        <v>2.336715673413996</v>
      </c>
      <c r="BJ22" s="10">
        <f>BI22+預測IC!BJ22</f>
        <v>2.391712088564717</v>
      </c>
      <c r="BK22" s="10">
        <f>BJ22+預測IC!BK22</f>
        <v>2.3498724526310517</v>
      </c>
      <c r="BL22" s="10">
        <f>BK22+預測IC!BL22</f>
        <v>2.5116527917020872</v>
      </c>
      <c r="BM22" s="10">
        <f>BL22+預測IC!BM22</f>
        <v>2.5092223084565539</v>
      </c>
      <c r="BN22" s="10">
        <f>BM22+預測IC!BN22</f>
        <v>2.4938947564335114</v>
      </c>
      <c r="BO22" s="10">
        <f>BN22+預測IC!BO22</f>
        <v>2.3968818609099056</v>
      </c>
      <c r="BP22" s="10">
        <f>BO22+預測IC!BP22</f>
        <v>2.4717174110650122</v>
      </c>
      <c r="BQ22" s="10">
        <f>BP22+預測IC!BQ22</f>
        <v>2.499547508463325</v>
      </c>
      <c r="BR22" s="10">
        <f>BQ22+預測IC!BR22</f>
        <v>2.5203611179297778</v>
      </c>
      <c r="BS22" s="10">
        <f>BR22+預測IC!BS22</f>
        <v>2.5039883355529788</v>
      </c>
      <c r="BT22" s="10">
        <f>BS22+預測IC!BT22</f>
        <v>2.634519038889525</v>
      </c>
      <c r="BU22" s="10">
        <f>BT22+預測IC!BU22</f>
        <v>2.8474678050275353</v>
      </c>
      <c r="BV22" s="10">
        <f>BU22+預測IC!BV22</f>
        <v>3.0060117774251442</v>
      </c>
      <c r="BW22" s="10">
        <f>BV22+預測IC!BW22</f>
        <v>2.8313432794975371</v>
      </c>
      <c r="BX22" s="10">
        <f>BW22+預測IC!BX22</f>
        <v>2.8679807251895095</v>
      </c>
      <c r="BY22" s="10">
        <f>BX22+預測IC!BY22</f>
        <v>2.8632339387867747</v>
      </c>
      <c r="BZ22" s="10">
        <f>BY22+預測IC!BZ22</f>
        <v>2.9104916746496667</v>
      </c>
      <c r="CA22" s="10">
        <f>BZ22+預測IC!CA22</f>
        <v>2.8830015961693434</v>
      </c>
      <c r="CB22" s="10">
        <f>CA22+預測IC!CB22</f>
        <v>2.7340083179234167</v>
      </c>
      <c r="CC22" s="10">
        <f>CB22+預測IC!CC22</f>
        <v>2.6089033179234167</v>
      </c>
      <c r="CD22" s="10">
        <f>CC22+預測IC!CD22</f>
        <v>2.7044216512567498</v>
      </c>
      <c r="CE22" s="10">
        <f>CD22+預測IC!CE22</f>
        <v>2.7712616512567498</v>
      </c>
      <c r="CF22" s="10">
        <f>CE22+預測IC!CF22</f>
        <v>2.6156909845900831</v>
      </c>
      <c r="CG22" s="10">
        <f>CF22+預測IC!CG22</f>
        <v>3.0594916512567498</v>
      </c>
      <c r="CH22" s="10">
        <f>CG22+預測IC!CH22</f>
        <v>3.1754104225361979</v>
      </c>
      <c r="CI22" s="10">
        <f>CH22+預測IC!CI22</f>
        <v>3.0576306762578387</v>
      </c>
      <c r="CJ22" s="10">
        <f>CI22+預測IC!CJ22</f>
        <v>2.9542511711682762</v>
      </c>
      <c r="CK22" s="10">
        <f>CJ22+預測IC!CK22</f>
        <v>2.9904145137729587</v>
      </c>
      <c r="CL22" s="10">
        <f>CK22+預測IC!CL22</f>
        <v>2.7497627151479178</v>
      </c>
      <c r="CM22" s="10">
        <f>CL22+預測IC!CM22</f>
        <v>3.0515229730573998</v>
      </c>
      <c r="CN22" s="10">
        <f>CM22+預測IC!CN22</f>
        <v>3.0429762012364923</v>
      </c>
      <c r="CO22" s="10">
        <f>CN22+預測IC!CO22</f>
        <v>2.3930197329873364</v>
      </c>
      <c r="CP22" s="10">
        <f>CO22+預測IC!CP22</f>
        <v>2.6524282899567391</v>
      </c>
      <c r="CQ22" s="10">
        <f>CP22+預測IC!CQ22</f>
        <v>2.6352686744376155</v>
      </c>
      <c r="CR22" s="10">
        <f>CQ22+預測IC!CR22</f>
        <v>2.6068480077709486</v>
      </c>
      <c r="CS22" s="10">
        <f>CR22+預測IC!CS22</f>
        <v>2.6312873411042821</v>
      </c>
      <c r="CT22" s="10">
        <f>CS22+預測IC!CT22</f>
        <v>2.6895198624602674</v>
      </c>
      <c r="CU22" s="10">
        <f>CT22+預測IC!CU22</f>
        <v>2.5786784428184015</v>
      </c>
      <c r="CV22" s="10">
        <f>CU22+預測IC!CV22</f>
        <v>2.6909121380254559</v>
      </c>
      <c r="CW22" s="10">
        <f>CV22+預測IC!CW22</f>
        <v>2.7273633913516213</v>
      </c>
      <c r="CX22" s="10">
        <f>CW22+預測IC!CX22</f>
        <v>2.7311129846194704</v>
      </c>
      <c r="CY22" s="10">
        <f>CX22+預測IC!CY22</f>
        <v>2.7231241588459612</v>
      </c>
      <c r="CZ22" s="10">
        <f>CY22+預測IC!CZ22</f>
        <v>2.9860446434452004</v>
      </c>
      <c r="DA22" s="10">
        <f>CZ22+預測IC!DA22</f>
        <v>2.9820528895632763</v>
      </c>
      <c r="DB22" s="10">
        <f>DA22+預測IC!DB22</f>
        <v>3.0360935562299431</v>
      </c>
      <c r="DC22" s="10">
        <f>DB22+預測IC!DC22</f>
        <v>3.1084368895632766</v>
      </c>
      <c r="DD22" s="10">
        <f>DC22+預測IC!DD22</f>
        <v>3.092473556229943</v>
      </c>
      <c r="DE22" s="10">
        <f>DD22+預測IC!DE22</f>
        <v>3.0869817982479928</v>
      </c>
      <c r="DF22" s="10">
        <f>DE22+預測IC!DF22</f>
        <v>3.1040135735215459</v>
      </c>
      <c r="DG22" s="10">
        <f>DF22+預測IC!DG22</f>
        <v>3.1359986166024334</v>
      </c>
      <c r="DH22" s="10">
        <f>DG22+預測IC!DH22</f>
        <v>3.1499439627859376</v>
      </c>
      <c r="DI22" s="10">
        <f>DH22+預測IC!DI22</f>
        <v>3.2135049620481868</v>
      </c>
      <c r="DJ22" s="10">
        <f>DI22+預測IC!DJ22</f>
        <v>3.2562826287148536</v>
      </c>
      <c r="DK22" s="10">
        <f>DJ22+預測IC!DK22</f>
        <v>3.4354173425376939</v>
      </c>
      <c r="DL22" s="10">
        <f>DK22+預測IC!DL22</f>
        <v>3.560358990275077</v>
      </c>
      <c r="DM22" s="10">
        <f>DL22+預測IC!DM22</f>
        <v>3.4968929392370436</v>
      </c>
      <c r="DN22" s="10">
        <f>DM22+預測IC!DN22</f>
        <v>3.543656267441051</v>
      </c>
      <c r="DO22" s="10">
        <f>DN22+預測IC!DO22</f>
        <v>3.667093768752689</v>
      </c>
      <c r="DP22" s="10">
        <f>DO22+預測IC!DP22</f>
        <v>3.6692660920917191</v>
      </c>
      <c r="DQ22" s="10">
        <f>DP22+預測IC!DQ22</f>
        <v>3.5382350882722791</v>
      </c>
      <c r="DR22" s="10">
        <f>DQ22+預測IC!DR22</f>
        <v>3.5321425356569609</v>
      </c>
      <c r="DS22" s="10">
        <f>DR22+預測IC!DS22</f>
        <v>3.3350916140946016</v>
      </c>
      <c r="DT22" s="10">
        <f>DS22+預測IC!DT22</f>
        <v>3.2914092807612683</v>
      </c>
      <c r="DU22" s="10">
        <f>DT22+預測IC!DU22</f>
        <v>3.1298636140946017</v>
      </c>
      <c r="DV22" s="10">
        <f>DU22+預測IC!DV22</f>
        <v>3.2555687317727795</v>
      </c>
      <c r="DW22" s="10">
        <f>DV22+預測IC!DW22</f>
        <v>3.3650717984143439</v>
      </c>
      <c r="DX22" s="10">
        <f>DW22+預測IC!DX22</f>
        <v>3.142629189966049</v>
      </c>
      <c r="DY22" s="10">
        <f>DX22+預測IC!DY22</f>
        <v>3.2625855232993821</v>
      </c>
      <c r="DZ22" s="10">
        <f>DY22+預測IC!DZ22</f>
        <v>3.3734191899660488</v>
      </c>
      <c r="EA22" s="10">
        <f>DZ22+預測IC!EA22</f>
        <v>3.5137753519660491</v>
      </c>
      <c r="EB22" s="10">
        <f>EA22+預測IC!EB22</f>
        <v>3.433178624430731</v>
      </c>
      <c r="EC22" s="10">
        <f>EB22+預測IC!EC22</f>
        <v>3.5212646244307311</v>
      </c>
      <c r="ED22" s="10">
        <f>EC22+預測IC!ED22</f>
        <v>3.4438510573731236</v>
      </c>
      <c r="EE22" s="10">
        <f>ED22+預測IC!EE22</f>
        <v>3.4772973611853368</v>
      </c>
      <c r="EF22" s="10">
        <f>EE22+預測IC!EF22</f>
        <v>3.4425071148131643</v>
      </c>
    </row>
    <row r="23" spans="1:136" s="2" customFormat="1">
      <c r="A23" s="4">
        <v>2</v>
      </c>
      <c r="B23" s="4">
        <v>482</v>
      </c>
      <c r="C23" s="21">
        <f>預測IC!C23</f>
        <v>0.28298899999999988</v>
      </c>
      <c r="D23" s="10">
        <f>C23+預測IC!D23</f>
        <v>0.53708299999999987</v>
      </c>
      <c r="E23" s="10">
        <f>D23+預測IC!E23</f>
        <v>0.67008799999999991</v>
      </c>
      <c r="F23" s="10">
        <f>E23+預測IC!F23</f>
        <v>0.66634599999999988</v>
      </c>
      <c r="G23" s="10">
        <f>F23+預測IC!G23</f>
        <v>1.0279779999999998</v>
      </c>
      <c r="H23" s="10">
        <f>G23+預測IC!H23</f>
        <v>1.0097894999999999</v>
      </c>
      <c r="I23" s="10">
        <f>H23+預測IC!I23</f>
        <v>0.97340399999999994</v>
      </c>
      <c r="J23" s="10">
        <f>I23+預測IC!J23</f>
        <v>0.85852849999999992</v>
      </c>
      <c r="K23" s="10">
        <f>J23+預測IC!K23</f>
        <v>0.79860999999999993</v>
      </c>
      <c r="L23" s="10">
        <f>K23+預測IC!L23</f>
        <v>0.84938099999999994</v>
      </c>
      <c r="M23" s="10">
        <f>L23+預測IC!M23</f>
        <v>0.58201442999002118</v>
      </c>
      <c r="N23" s="10">
        <f>M23+預測IC!N23</f>
        <v>1.5579154299900213</v>
      </c>
      <c r="O23" s="10">
        <f>N23+預測IC!O23</f>
        <v>1.4350154299900213</v>
      </c>
      <c r="P23" s="10">
        <f>O23+預測IC!P23</f>
        <v>1.4896969299900213</v>
      </c>
      <c r="Q23" s="10">
        <f>P23+預測IC!Q23</f>
        <v>1.7808744299900212</v>
      </c>
      <c r="R23" s="10">
        <f>Q23+預測IC!R23</f>
        <v>1.8436944299900213</v>
      </c>
      <c r="S23" s="10">
        <f>R23+預測IC!S23</f>
        <v>1.7711239299900212</v>
      </c>
      <c r="T23" s="10">
        <f>S23+預測IC!T23</f>
        <v>1.7707505607815426</v>
      </c>
      <c r="U23" s="10">
        <f>T23+預測IC!U23</f>
        <v>1.8299870607815425</v>
      </c>
      <c r="V23" s="10">
        <f>U23+預測IC!V23</f>
        <v>1.5975115607815424</v>
      </c>
      <c r="W23" s="10">
        <f>V23+預測IC!W23</f>
        <v>1.929130711030687</v>
      </c>
      <c r="X23" s="10">
        <f>W23+預測IC!X23</f>
        <v>2.123686711030687</v>
      </c>
      <c r="Y23" s="10">
        <f>X23+預測IC!Y23</f>
        <v>2.055732211030687</v>
      </c>
      <c r="Z23" s="10">
        <f>Y23+預測IC!Z23</f>
        <v>2.0967842110306871</v>
      </c>
      <c r="AA23" s="10">
        <f>Z23+預測IC!AA23</f>
        <v>2.248436211030687</v>
      </c>
      <c r="AB23" s="10">
        <f>AA23+預測IC!AB23</f>
        <v>2.2794275960866792</v>
      </c>
      <c r="AC23" s="10">
        <f>AB23+預測IC!AC23</f>
        <v>2.0454190960866794</v>
      </c>
      <c r="AD23" s="10">
        <f>AC23+預測IC!AD23</f>
        <v>2.0424238045161953</v>
      </c>
      <c r="AE23" s="10">
        <f>AD23+預測IC!AE23</f>
        <v>1.8207068045161954</v>
      </c>
      <c r="AF23" s="10">
        <f>AE23+預測IC!AF23</f>
        <v>1.8876130646059466</v>
      </c>
      <c r="AG23" s="10">
        <f>AF23+預測IC!AG23</f>
        <v>1.8855575646059466</v>
      </c>
      <c r="AH23" s="10">
        <f>AG23+預測IC!AH23</f>
        <v>1.8013859800827634</v>
      </c>
      <c r="AI23" s="10">
        <f>AH23+預測IC!AI23</f>
        <v>1.8185918973962307</v>
      </c>
      <c r="AJ23" s="10">
        <f>AI23+預測IC!AJ23</f>
        <v>1.8667874975863596</v>
      </c>
      <c r="AK23" s="10">
        <f>AJ23+預測IC!AK23</f>
        <v>1.9808985969335506</v>
      </c>
      <c r="AL23" s="10">
        <f>AK23+預測IC!AL23</f>
        <v>2.1123303101260862</v>
      </c>
      <c r="AM23" s="10">
        <f>AL23+預測IC!AM23</f>
        <v>2.1200997991309514</v>
      </c>
      <c r="AN23" s="10">
        <f>AM23+預測IC!AN23</f>
        <v>2.3624144984882522</v>
      </c>
      <c r="AO23" s="10">
        <f>AN23+預測IC!AO23</f>
        <v>2.3570775462968281</v>
      </c>
      <c r="AP23" s="10">
        <f>AO23+預測IC!AP23</f>
        <v>2.3601986456491337</v>
      </c>
      <c r="AQ23" s="10">
        <f>AP23+預測IC!AQ23</f>
        <v>2.4496236379087444</v>
      </c>
      <c r="AR23" s="10">
        <f>AQ23+預測IC!AR23</f>
        <v>2.7863676817538119</v>
      </c>
      <c r="AS23" s="10">
        <f>AR23+預測IC!AS23</f>
        <v>2.7716607937564341</v>
      </c>
      <c r="AT23" s="10">
        <f>AS23+預測IC!AT23</f>
        <v>2.7302330719427843</v>
      </c>
      <c r="AU23" s="10">
        <f>AT23+預測IC!AU23</f>
        <v>2.7633785980712888</v>
      </c>
      <c r="AV23" s="10">
        <f>AU23+預測IC!AV23</f>
        <v>2.7357396038739146</v>
      </c>
      <c r="AW23" s="10">
        <f>AV23+預測IC!AW23</f>
        <v>2.6837126940355116</v>
      </c>
      <c r="AX23" s="10">
        <f>AW23+預測IC!AX23</f>
        <v>2.7535508478625559</v>
      </c>
      <c r="AY23" s="10">
        <f>AX23+預測IC!AY23</f>
        <v>2.9237848287031381</v>
      </c>
      <c r="AZ23" s="10">
        <f>AY23+預測IC!AZ23</f>
        <v>2.8600312113020778</v>
      </c>
      <c r="BA23" s="10">
        <f>AZ23+預測IC!BA23</f>
        <v>2.9140292113020778</v>
      </c>
      <c r="BB23" s="10">
        <f>BA23+預測IC!BB23</f>
        <v>3.4808567113020779</v>
      </c>
      <c r="BC23" s="10">
        <f>BB23+預測IC!BC23</f>
        <v>3.180028462129012</v>
      </c>
      <c r="BD23" s="10">
        <f>BC23+預測IC!BD23</f>
        <v>3.2748593434754625</v>
      </c>
      <c r="BE23" s="10">
        <f>BD23+預測IC!BE23</f>
        <v>3.2034285810781657</v>
      </c>
      <c r="BF23" s="10">
        <f>BE23+預測IC!BF23</f>
        <v>3.1805815904734795</v>
      </c>
      <c r="BG23" s="10">
        <f>BF23+預測IC!BG23</f>
        <v>3.2553430616702319</v>
      </c>
      <c r="BH23" s="10">
        <f>BG23+預測IC!BH23</f>
        <v>3.0518590803149448</v>
      </c>
      <c r="BI23" s="10">
        <f>BH23+預測IC!BI23</f>
        <v>3.2429711596381439</v>
      </c>
      <c r="BJ23" s="10">
        <f>BI23+預測IC!BJ23</f>
        <v>3.3469744749060708</v>
      </c>
      <c r="BK23" s="10">
        <f>BJ23+預測IC!BK23</f>
        <v>3.351661452616995</v>
      </c>
      <c r="BL23" s="10">
        <f>BK23+預測IC!BL23</f>
        <v>3.5011957488672345</v>
      </c>
      <c r="BM23" s="10">
        <f>BL23+預測IC!BM23</f>
        <v>3.5706912108916851</v>
      </c>
      <c r="BN23" s="10">
        <f>BM23+預測IC!BN23</f>
        <v>3.5637440401328719</v>
      </c>
      <c r="BO23" s="10">
        <f>BN23+預測IC!BO23</f>
        <v>3.3974338742401815</v>
      </c>
      <c r="BP23" s="10">
        <f>BO23+預測IC!BP23</f>
        <v>3.495700273451638</v>
      </c>
      <c r="BQ23" s="10">
        <f>BP23+預測IC!BQ23</f>
        <v>3.5453121147396289</v>
      </c>
      <c r="BR23" s="10">
        <f>BQ23+預測IC!BR23</f>
        <v>3.5631564362035917</v>
      </c>
      <c r="BS23" s="10">
        <f>BR23+預測IC!BS23</f>
        <v>3.4898810475456798</v>
      </c>
      <c r="BT23" s="10">
        <f>BS23+預測IC!BT23</f>
        <v>3.6335308535716768</v>
      </c>
      <c r="BU23" s="10">
        <f>BT23+預測IC!BU23</f>
        <v>3.839218589417623</v>
      </c>
      <c r="BV23" s="10">
        <f>BU23+預測IC!BV23</f>
        <v>3.9526861577778116</v>
      </c>
      <c r="BW23" s="10">
        <f>BV23+預測IC!BW23</f>
        <v>3.7505338245021203</v>
      </c>
      <c r="BX23" s="10">
        <f>BW23+預測IC!BX23</f>
        <v>3.7423207047748672</v>
      </c>
      <c r="BY23" s="10">
        <f>BX23+預測IC!BY23</f>
        <v>3.7321150120805195</v>
      </c>
      <c r="BZ23" s="10">
        <f>BY23+預測IC!BZ23</f>
        <v>3.7397847745123642</v>
      </c>
      <c r="CA23" s="10">
        <f>BZ23+預測IC!CA23</f>
        <v>3.6641315747657353</v>
      </c>
      <c r="CB23" s="10">
        <f>CA23+預測IC!CB23</f>
        <v>3.4465173717732953</v>
      </c>
      <c r="CC23" s="10">
        <f>CB23+預測IC!CC23</f>
        <v>3.3619723717732954</v>
      </c>
      <c r="CD23" s="10">
        <f>CC23+預測IC!CD23</f>
        <v>3.5032148717732956</v>
      </c>
      <c r="CE23" s="10">
        <f>CD23+預測IC!CE23</f>
        <v>3.5628168717732955</v>
      </c>
      <c r="CF23" s="10">
        <f>CE23+預測IC!CF23</f>
        <v>3.3793863717732955</v>
      </c>
      <c r="CG23" s="10">
        <f>CF23+預測IC!CG23</f>
        <v>3.6722898717732955</v>
      </c>
      <c r="CH23" s="10">
        <f>CG23+預測IC!CH23</f>
        <v>3.852486320694724</v>
      </c>
      <c r="CI23" s="10">
        <f>CH23+預測IC!CI23</f>
        <v>3.5425869035666269</v>
      </c>
      <c r="CJ23" s="10">
        <f>CI23+預測IC!CJ23</f>
        <v>3.5227115360162164</v>
      </c>
      <c r="CK23" s="10">
        <f>CJ23+預測IC!CK23</f>
        <v>3.6188285307441781</v>
      </c>
      <c r="CL23" s="10">
        <f>CK23+預測IC!CL23</f>
        <v>3.2101675180767595</v>
      </c>
      <c r="CM23" s="10">
        <f>CL23+預測IC!CM23</f>
        <v>3.5969004645996687</v>
      </c>
      <c r="CN23" s="10">
        <f>CM23+預測IC!CN23</f>
        <v>3.5438952862298656</v>
      </c>
      <c r="CO23" s="10">
        <f>CN23+預測IC!CO23</f>
        <v>2.6349719988642457</v>
      </c>
      <c r="CP23" s="10">
        <f>CO23+預測IC!CP23</f>
        <v>2.9463327420270025</v>
      </c>
      <c r="CQ23" s="10">
        <f>CP23+預測IC!CQ23</f>
        <v>2.9710350121063835</v>
      </c>
      <c r="CR23" s="10">
        <f>CQ23+預測IC!CR23</f>
        <v>2.9328045121063835</v>
      </c>
      <c r="CS23" s="10">
        <f>CR23+預測IC!CS23</f>
        <v>3.0018195121063833</v>
      </c>
      <c r="CT23" s="10">
        <f>CS23+預測IC!CT23</f>
        <v>3.047482053817637</v>
      </c>
      <c r="CU23" s="10">
        <f>CT23+預測IC!CU23</f>
        <v>3.0264254581043502</v>
      </c>
      <c r="CV23" s="10">
        <f>CU23+預測IC!CV23</f>
        <v>3.0041803206155446</v>
      </c>
      <c r="CW23" s="10">
        <f>CV23+預測IC!CW23</f>
        <v>3.1050816524179634</v>
      </c>
      <c r="CX23" s="10">
        <f>CW23+預測IC!CX23</f>
        <v>3.0163646583214372</v>
      </c>
      <c r="CY23" s="10">
        <f>CX23+預測IC!CY23</f>
        <v>3.0384111890748158</v>
      </c>
      <c r="CZ23" s="10">
        <f>CY23+預測IC!CZ23</f>
        <v>3.2204099829321668</v>
      </c>
      <c r="DA23" s="10">
        <f>CZ23+預測IC!DA23</f>
        <v>3.1894278467062565</v>
      </c>
      <c r="DB23" s="10">
        <f>DA23+預測IC!DB23</f>
        <v>3.2081758467062564</v>
      </c>
      <c r="DC23" s="10">
        <f>DB23+預測IC!DC23</f>
        <v>3.2805908467062563</v>
      </c>
      <c r="DD23" s="10">
        <f>DC23+預測IC!DD23</f>
        <v>3.2621808467062565</v>
      </c>
      <c r="DE23" s="10">
        <f>DD23+預測IC!DE23</f>
        <v>3.2527856207546115</v>
      </c>
      <c r="DF23" s="10">
        <f>DE23+預測IC!DF23</f>
        <v>3.314727747799517</v>
      </c>
      <c r="DG23" s="10">
        <f>DF23+預測IC!DG23</f>
        <v>3.352997759674234</v>
      </c>
      <c r="DH23" s="10">
        <f>DG23+預測IC!DH23</f>
        <v>3.4084112069829766</v>
      </c>
      <c r="DI23" s="10">
        <f>DH23+預測IC!DI23</f>
        <v>3.4618908038989975</v>
      </c>
      <c r="DJ23" s="10">
        <f>DI23+預測IC!DJ23</f>
        <v>3.4280678038989976</v>
      </c>
      <c r="DK23" s="10">
        <f>DJ23+預測IC!DK23</f>
        <v>3.7059010204578406</v>
      </c>
      <c r="DL23" s="10">
        <f>DK23+預測IC!DL23</f>
        <v>3.9220020799981143</v>
      </c>
      <c r="DM23" s="10">
        <f>DL23+預測IC!DM23</f>
        <v>3.9025047750787483</v>
      </c>
      <c r="DN23" s="10">
        <f>DM23+預測IC!DN23</f>
        <v>3.9090019711227186</v>
      </c>
      <c r="DO23" s="10">
        <f>DN23+預測IC!DO23</f>
        <v>4.0730932748565527</v>
      </c>
      <c r="DP23" s="10">
        <f>DO23+預測IC!DP23</f>
        <v>4.1201815075122754</v>
      </c>
      <c r="DQ23" s="10">
        <f>DP23+預測IC!DQ23</f>
        <v>3.9499705110087375</v>
      </c>
      <c r="DR23" s="10">
        <f>DQ23+預測IC!DR23</f>
        <v>3.8600845082774309</v>
      </c>
      <c r="DS23" s="10">
        <f>DR23+預測IC!DS23</f>
        <v>3.5719879313583847</v>
      </c>
      <c r="DT23" s="10">
        <f>DS23+預測IC!DT23</f>
        <v>3.5177374313583845</v>
      </c>
      <c r="DU23" s="10">
        <f>DT23+預測IC!DU23</f>
        <v>3.4620994313583844</v>
      </c>
      <c r="DV23" s="10">
        <f>DU23+預測IC!DV23</f>
        <v>3.738371039687824</v>
      </c>
      <c r="DW23" s="10">
        <f>DV23+預測IC!DW23</f>
        <v>3.8795992722706627</v>
      </c>
      <c r="DX23" s="10">
        <f>DW23+預測IC!DX23</f>
        <v>3.5661060658916965</v>
      </c>
      <c r="DY23" s="10">
        <f>DX23+預測IC!DY23</f>
        <v>3.5121810658916965</v>
      </c>
      <c r="DZ23" s="10">
        <f>DY23+預測IC!DZ23</f>
        <v>3.2950060658916964</v>
      </c>
      <c r="EA23" s="10">
        <f>DZ23+預測IC!EA23</f>
        <v>3.2662472858916964</v>
      </c>
      <c r="EB23" s="10">
        <f>EA23+預測IC!EB23</f>
        <v>3.2034938461810212</v>
      </c>
      <c r="EC23" s="10">
        <f>EB23+預測IC!EC23</f>
        <v>3.2971373461810209</v>
      </c>
      <c r="ED23" s="10">
        <f>EC23+預測IC!ED23</f>
        <v>3.20571144156124</v>
      </c>
      <c r="EE23" s="10">
        <f>ED23+預測IC!EE23</f>
        <v>3.2647621254494803</v>
      </c>
      <c r="EF23" s="10">
        <f>EE23+預測IC!EF23</f>
        <v>3.2169798468578206</v>
      </c>
    </row>
    <row r="24" spans="1:136">
      <c r="A24" s="4">
        <v>1</v>
      </c>
      <c r="B24" s="4">
        <v>964</v>
      </c>
      <c r="C24" s="21">
        <f>預測IC!C24</f>
        <v>9.9113000000000007E-2</v>
      </c>
      <c r="D24" s="10">
        <f>C24+預測IC!D24</f>
        <v>0.19972300000000001</v>
      </c>
      <c r="E24" s="10">
        <f>D24+預測IC!E24</f>
        <v>0.48423499999999997</v>
      </c>
      <c r="F24" s="10">
        <f>E24+預測IC!F24</f>
        <v>0.55956099999999998</v>
      </c>
      <c r="G24" s="10">
        <f>F24+預測IC!G24</f>
        <v>0.78916799999999998</v>
      </c>
      <c r="H24" s="10">
        <f>G24+預測IC!H24</f>
        <v>0.82502399999999998</v>
      </c>
      <c r="I24" s="10">
        <f>H24+預測IC!I24</f>
        <v>0.84195399999999998</v>
      </c>
      <c r="J24" s="10">
        <f>I24+預測IC!J24</f>
        <v>0.72649299999999994</v>
      </c>
      <c r="K24" s="10">
        <f>J24+預測IC!K24</f>
        <v>0.78022599999999998</v>
      </c>
      <c r="L24" s="10">
        <f>K24+預測IC!L24</f>
        <v>0.87402599999999997</v>
      </c>
      <c r="M24" s="10">
        <f>L24+預測IC!M24</f>
        <v>0.4109984557998615</v>
      </c>
      <c r="N24" s="10">
        <f>M24+預測IC!N24</f>
        <v>2.1800304557998613</v>
      </c>
      <c r="O24" s="10">
        <f>N24+預測IC!O24</f>
        <v>1.9357504557998613</v>
      </c>
      <c r="P24" s="10">
        <f>O24+預測IC!P24</f>
        <v>1.9374864557998612</v>
      </c>
      <c r="Q24" s="10">
        <f>P24+預測IC!Q24</f>
        <v>1.9346464557998613</v>
      </c>
      <c r="R24" s="10">
        <f>Q24+預測IC!R24</f>
        <v>1.9068194557998612</v>
      </c>
      <c r="S24" s="10">
        <f>R24+預測IC!S24</f>
        <v>1.8957694557998612</v>
      </c>
      <c r="T24" s="10">
        <f>S24+預測IC!T24</f>
        <v>2.0194604998916503</v>
      </c>
      <c r="U24" s="10">
        <f>T24+預測IC!U24</f>
        <v>2.3053134998916502</v>
      </c>
      <c r="V24" s="10">
        <f>U24+預測IC!V24</f>
        <v>2.2066334998916504</v>
      </c>
      <c r="W24" s="10">
        <f>V24+預測IC!W24</f>
        <v>2.702345485847593</v>
      </c>
      <c r="X24" s="10">
        <f>W24+預測IC!X24</f>
        <v>2.7014464858475931</v>
      </c>
      <c r="Y24" s="10">
        <f>X24+預測IC!Y24</f>
        <v>2.5811274858475932</v>
      </c>
      <c r="Z24" s="10">
        <f>Y24+預測IC!Z24</f>
        <v>2.5567324858475931</v>
      </c>
      <c r="AA24" s="10">
        <f>Z24+預測IC!AA24</f>
        <v>2.6510944858475929</v>
      </c>
      <c r="AB24" s="10">
        <f>AA24+預測IC!AB24</f>
        <v>2.9514882794045754</v>
      </c>
      <c r="AC24" s="10">
        <f>AB24+預測IC!AC24</f>
        <v>2.7053182794045751</v>
      </c>
      <c r="AD24" s="10">
        <f>AC24+預測IC!AD24</f>
        <v>2.6453961325937563</v>
      </c>
      <c r="AE24" s="10">
        <f>AD24+預測IC!AE24</f>
        <v>2.4701251325937563</v>
      </c>
      <c r="AF24" s="10">
        <f>AE24+預測IC!AF24</f>
        <v>2.492647142628547</v>
      </c>
      <c r="AG24" s="10">
        <f>AF24+預測IC!AG24</f>
        <v>2.5985481426285468</v>
      </c>
      <c r="AH24" s="10">
        <f>AG24+預測IC!AH24</f>
        <v>2.5418507825607572</v>
      </c>
      <c r="AI24" s="10">
        <f>AH24+預測IC!AI24</f>
        <v>2.5330424514623298</v>
      </c>
      <c r="AJ24" s="10">
        <f>AI24+預測IC!AJ24</f>
        <v>2.4521512074629546</v>
      </c>
      <c r="AK24" s="10">
        <f>AJ24+預測IC!AK24</f>
        <v>2.537035160531147</v>
      </c>
      <c r="AL24" s="10">
        <f>AK24+預測IC!AL24</f>
        <v>2.4823582250405116</v>
      </c>
      <c r="AM24" s="10">
        <f>AL24+預測IC!AM24</f>
        <v>2.4634389436199848</v>
      </c>
      <c r="AN24" s="10">
        <f>AM24+預測IC!AN24</f>
        <v>2.6846284087654162</v>
      </c>
      <c r="AO24" s="10">
        <f>AN24+預測IC!AO24</f>
        <v>2.7507185205944062</v>
      </c>
      <c r="AP24" s="10">
        <f>AO24+預測IC!AP24</f>
        <v>2.7278668051053097</v>
      </c>
      <c r="AQ24" s="10">
        <f>AP24+預測IC!AQ24</f>
        <v>2.7749437779395554</v>
      </c>
      <c r="AR24" s="10">
        <f>AQ24+預測IC!AR24</f>
        <v>2.7845830345471625</v>
      </c>
      <c r="AS24" s="10">
        <f>AR24+預測IC!AS24</f>
        <v>2.7566269572805724</v>
      </c>
      <c r="AT24" s="10">
        <f>AS24+預測IC!AT24</f>
        <v>2.7870861647652809</v>
      </c>
      <c r="AU24" s="10">
        <f>AT24+預測IC!AU24</f>
        <v>2.8311814846305055</v>
      </c>
      <c r="AV24" s="10">
        <f>AU24+預測IC!AV24</f>
        <v>2.7440295324436095</v>
      </c>
      <c r="AW24" s="10">
        <f>AV24+預測IC!AW24</f>
        <v>2.7490170739546484</v>
      </c>
      <c r="AX24" s="10">
        <f>AW24+預測IC!AX24</f>
        <v>2.7773232605430729</v>
      </c>
      <c r="AY24" s="10">
        <f>AX24+預測IC!AY24</f>
        <v>2.9454505544279623</v>
      </c>
      <c r="AZ24" s="10">
        <f>AY24+預測IC!AZ24</f>
        <v>2.9833176280276277</v>
      </c>
      <c r="BA24" s="10">
        <f>AZ24+預測IC!BA24</f>
        <v>3.0338086280276277</v>
      </c>
      <c r="BB24" s="10">
        <f>BA24+預測IC!BB24</f>
        <v>3.7245846280276278</v>
      </c>
      <c r="BC24" s="10">
        <f>BB24+預測IC!BC24</f>
        <v>3.1251629870037361</v>
      </c>
      <c r="BD24" s="10">
        <f>BC24+預測IC!BD24</f>
        <v>3.3107582062501715</v>
      </c>
      <c r="BE24" s="10">
        <f>BD24+預測IC!BE24</f>
        <v>3.2646938522184845</v>
      </c>
      <c r="BF24" s="10">
        <f>BE24+預測IC!BF24</f>
        <v>3.3523451882725768</v>
      </c>
      <c r="BG24" s="10">
        <f>BF24+預測IC!BG24</f>
        <v>3.3791811541388879</v>
      </c>
      <c r="BH24" s="10">
        <f>BG24+預測IC!BH24</f>
        <v>2.9929258172253528</v>
      </c>
      <c r="BI24" s="10">
        <f>BH24+預測IC!BI24</f>
        <v>3.2165549232954</v>
      </c>
      <c r="BJ24" s="10">
        <f>BI24+預測IC!BJ24</f>
        <v>3.2199032390502844</v>
      </c>
      <c r="BK24" s="10">
        <f>BJ24+預測IC!BK24</f>
        <v>3.2239267859445708</v>
      </c>
      <c r="BL24" s="10">
        <f>BK24+預測IC!BL24</f>
        <v>3.5410910798692874</v>
      </c>
      <c r="BM24" s="10">
        <f>BL24+預測IC!BM24</f>
        <v>3.4563081400302993</v>
      </c>
      <c r="BN24" s="10">
        <f>BM24+預測IC!BN24</f>
        <v>3.4631574818758741</v>
      </c>
      <c r="BO24" s="10">
        <f>BN24+預測IC!BO24</f>
        <v>3.3020477907802324</v>
      </c>
      <c r="BP24" s="10">
        <f>BO24+預測IC!BP24</f>
        <v>3.4253989719095541</v>
      </c>
      <c r="BQ24" s="10">
        <f>BP24+預測IC!BQ24</f>
        <v>3.361229338579439</v>
      </c>
      <c r="BR24" s="10">
        <f>BQ24+預測IC!BR24</f>
        <v>3.4035855618828568</v>
      </c>
      <c r="BS24" s="10">
        <f>BR24+預測IC!BS24</f>
        <v>3.4023008443984</v>
      </c>
      <c r="BT24" s="10">
        <f>BS24+預測IC!BT24</f>
        <v>3.5185715404525872</v>
      </c>
      <c r="BU24" s="10">
        <f>BT24+預測IC!BU24</f>
        <v>3.7468981720125281</v>
      </c>
      <c r="BV24" s="10">
        <f>BU24+預測IC!BV24</f>
        <v>3.8546266259005111</v>
      </c>
      <c r="BW24" s="10">
        <f>BV24+預測IC!BW24</f>
        <v>3.7927907422649181</v>
      </c>
      <c r="BX24" s="10">
        <f>BW24+預測IC!BX24</f>
        <v>3.6598306865544603</v>
      </c>
      <c r="BY24" s="10">
        <f>BX24+預測IC!BY24</f>
        <v>3.7695763557218775</v>
      </c>
      <c r="BZ24" s="10">
        <f>BY24+預測IC!BZ24</f>
        <v>4.0284692545718741</v>
      </c>
      <c r="CA24" s="10">
        <f>BZ24+預測IC!CA24</f>
        <v>3.9132475737984596</v>
      </c>
      <c r="CB24" s="10">
        <f>CA24+預測IC!CB24</f>
        <v>4.1220095480863286</v>
      </c>
      <c r="CC24" s="10">
        <f>CB24+預測IC!CC24</f>
        <v>3.9395395480863287</v>
      </c>
      <c r="CD24" s="10">
        <f>CC24+預測IC!CD24</f>
        <v>3.9694935480863287</v>
      </c>
      <c r="CE24" s="10">
        <f>CD24+預測IC!CE24</f>
        <v>4.1350585480863291</v>
      </c>
      <c r="CF24" s="10">
        <f>CE24+預測IC!CF24</f>
        <v>3.9699285480863291</v>
      </c>
      <c r="CG24" s="10">
        <f>CF24+預測IC!CG24</f>
        <v>4.2072055480863293</v>
      </c>
      <c r="CH24" s="10">
        <f>CG24+預測IC!CH24</f>
        <v>4.5614828449288325</v>
      </c>
      <c r="CI24" s="10">
        <f>CH24+預測IC!CI24</f>
        <v>4.8899346656380969</v>
      </c>
      <c r="CJ24" s="10">
        <f>CI24+預測IC!CJ24</f>
        <v>4.9030441510575162</v>
      </c>
      <c r="CK24" s="10">
        <f>CJ24+預測IC!CK24</f>
        <v>4.9965742303732128</v>
      </c>
      <c r="CL24" s="10">
        <f>CK24+預測IC!CL24</f>
        <v>5.1383295637457538</v>
      </c>
      <c r="CM24" s="10">
        <f>CL24+預測IC!CM24</f>
        <v>5.6879166737048541</v>
      </c>
      <c r="CN24" s="10">
        <f>CM24+預測IC!CN24</f>
        <v>5.5801779072476405</v>
      </c>
      <c r="CO24" s="10">
        <f>CN24+預測IC!CO24</f>
        <v>4.8035246889114092</v>
      </c>
      <c r="CP24" s="10">
        <f>CO24+預測IC!CP24</f>
        <v>5.0913404601400458</v>
      </c>
      <c r="CQ24" s="10">
        <f>CP24+預測IC!CQ24</f>
        <v>5.2515301067675466</v>
      </c>
      <c r="CR24" s="10">
        <f>CQ24+預測IC!CR24</f>
        <v>5.1547161067675464</v>
      </c>
      <c r="CS24" s="10">
        <f>CR24+預測IC!CS24</f>
        <v>5.1278581067675466</v>
      </c>
      <c r="CT24" s="10">
        <f>CS24+預測IC!CT24</f>
        <v>5.2242771149149423</v>
      </c>
      <c r="CU24" s="10">
        <f>CT24+預測IC!CU24</f>
        <v>5.1515257672582324</v>
      </c>
      <c r="CV24" s="10">
        <f>CU24+預測IC!CV24</f>
        <v>5.1665898147976081</v>
      </c>
      <c r="CW24" s="10">
        <f>CV24+預測IC!CW24</f>
        <v>5.3417069808696152</v>
      </c>
      <c r="CX24" s="10">
        <f>CW24+預測IC!CX24</f>
        <v>5.3969141745783018</v>
      </c>
      <c r="CY24" s="10">
        <f>CX24+預測IC!CY24</f>
        <v>5.3168472699414826</v>
      </c>
      <c r="CZ24" s="10">
        <f>CY24+預測IC!CZ24</f>
        <v>5.4290538983860497</v>
      </c>
      <c r="DA24" s="10">
        <f>CZ24+預測IC!DA24</f>
        <v>5.4535651025488043</v>
      </c>
      <c r="DB24" s="10">
        <f>DA24+預測IC!DB24</f>
        <v>5.4370651025488046</v>
      </c>
      <c r="DC24" s="10">
        <f>DB24+預測IC!DC24</f>
        <v>5.6166151025488045</v>
      </c>
      <c r="DD24" s="10">
        <f>DC24+預測IC!DD24</f>
        <v>5.6659151025488041</v>
      </c>
      <c r="DE24" s="10">
        <f>DD24+預測IC!DE24</f>
        <v>5.4898523450392691</v>
      </c>
      <c r="DF24" s="10">
        <f>DE24+預測IC!DF24</f>
        <v>5.3851873690187082</v>
      </c>
      <c r="DG24" s="10">
        <f>DF24+預測IC!DG24</f>
        <v>5.4442932031430527</v>
      </c>
      <c r="DH24" s="10">
        <f>DG24+預測IC!DH24</f>
        <v>5.5436601836429915</v>
      </c>
      <c r="DI24" s="10">
        <f>DH24+預測IC!DI24</f>
        <v>5.6855356425812609</v>
      </c>
      <c r="DJ24" s="10">
        <f>DI24+預測IC!DJ24</f>
        <v>5.7066156425812613</v>
      </c>
      <c r="DK24" s="10">
        <f>DJ24+預測IC!DK24</f>
        <v>6.0461248532117047</v>
      </c>
      <c r="DL24" s="10">
        <f>DK24+預測IC!DL24</f>
        <v>6.2592292794975855</v>
      </c>
      <c r="DM24" s="10">
        <f>DL24+預測IC!DM24</f>
        <v>6.1177897522707108</v>
      </c>
      <c r="DN24" s="10">
        <f>DM24+預測IC!DN24</f>
        <v>6.3511243230454069</v>
      </c>
      <c r="DO24" s="10">
        <f>DN24+預測IC!DO24</f>
        <v>6.536565125678095</v>
      </c>
      <c r="DP24" s="10">
        <f>DO24+預測IC!DP24</f>
        <v>6.650938551164109</v>
      </c>
      <c r="DQ24" s="10">
        <f>DP24+預測IC!DQ24</f>
        <v>6.5179611999281395</v>
      </c>
      <c r="DR24" s="10">
        <f>DQ24+預測IC!DR24</f>
        <v>6.4974455697161106</v>
      </c>
      <c r="DS24" s="10">
        <f>DR24+預測IC!DS24</f>
        <v>6.2811840286832652</v>
      </c>
      <c r="DT24" s="10">
        <f>DS24+預測IC!DT24</f>
        <v>6.206451028683265</v>
      </c>
      <c r="DU24" s="10">
        <f>DT24+預測IC!DU24</f>
        <v>6.228233028683265</v>
      </c>
      <c r="DV24" s="10">
        <f>DU24+預測IC!DV24</f>
        <v>6.3864577273270795</v>
      </c>
      <c r="DW24" s="10">
        <f>DV24+預測IC!DW24</f>
        <v>6.4953148172184099</v>
      </c>
      <c r="DX24" s="10">
        <f>DW24+預測IC!DX24</f>
        <v>6.1837216894259059</v>
      </c>
      <c r="DY24" s="10">
        <f>DX24+預測IC!DY24</f>
        <v>6.180481689425906</v>
      </c>
      <c r="DZ24" s="10">
        <f>DY24+預測IC!DZ24</f>
        <v>5.746971689425906</v>
      </c>
      <c r="EA24" s="10">
        <f>DZ24+預測IC!EA24</f>
        <v>5.6920515054259058</v>
      </c>
      <c r="EB24" s="10">
        <f>EA24+預測IC!EB24</f>
        <v>5.7204232423366426</v>
      </c>
      <c r="EC24" s="10">
        <f>EB24+預測IC!EC24</f>
        <v>5.8640702423366422</v>
      </c>
      <c r="ED24" s="10">
        <f>EC24+預測IC!ED24</f>
        <v>5.8078973970382801</v>
      </c>
      <c r="EE24" s="10">
        <f>ED24+預測IC!EE24</f>
        <v>5.9213268362294986</v>
      </c>
      <c r="EF24" s="10">
        <f>EE24+預測IC!EF24</f>
        <v>5.9886035132734667</v>
      </c>
    </row>
    <row r="25" spans="1:136">
      <c r="A25" s="3" t="s">
        <v>144</v>
      </c>
      <c r="B25" s="3" t="s">
        <v>145</v>
      </c>
      <c r="C25" s="11">
        <v>-1.7446770539390338E-2</v>
      </c>
      <c r="D25" s="17">
        <f>C25+預測IC!D26</f>
        <v>3.2542899924252917E-3</v>
      </c>
      <c r="E25" s="17">
        <f>D25+預測IC!E26</f>
        <v>2.7236419247192001E-2</v>
      </c>
      <c r="F25" s="17">
        <f>E25+預測IC!F26</f>
        <v>2.0678840274368924E-2</v>
      </c>
      <c r="G25" s="17">
        <f>F25+預測IC!G26</f>
        <v>5.2523970074888612E-2</v>
      </c>
      <c r="H25" s="17">
        <f>G25+預測IC!H26</f>
        <v>8.6872502811879138E-2</v>
      </c>
      <c r="I25" s="17">
        <f>H25+預測IC!I26</f>
        <v>7.8617570030553904E-2</v>
      </c>
      <c r="J25" s="17">
        <f>I25+預測IC!J26</f>
        <v>9.1461094424606662E-2</v>
      </c>
      <c r="K25" s="17">
        <f>J25+預測IC!K26</f>
        <v>4.0442569797815839E-2</v>
      </c>
      <c r="L25" s="17">
        <f>K25+預測IC!L26</f>
        <v>4.1316512538852428E-2</v>
      </c>
      <c r="M25" s="17">
        <f>L25+預測IC!M26</f>
        <v>6.4706088044348353E-2</v>
      </c>
      <c r="N25" s="17">
        <f>M25+預測IC!N26</f>
        <v>7.7695060244681202E-2</v>
      </c>
      <c r="O25" s="17">
        <f>N25+預測IC!O26</f>
        <v>8.3549648970316082E-2</v>
      </c>
      <c r="P25" s="17">
        <f>O25+預測IC!P26</f>
        <v>0.11096285554210664</v>
      </c>
      <c r="Q25" s="17">
        <f>P25+預測IC!Q26</f>
        <v>0.10724991942441378</v>
      </c>
      <c r="R25" s="17">
        <f>Q25+預測IC!R26</f>
        <v>0.13132653347223711</v>
      </c>
      <c r="S25" s="17">
        <f>R25+預測IC!S26</f>
        <v>0.11913650817319715</v>
      </c>
      <c r="T25" s="17">
        <f>S25+預測IC!T26</f>
        <v>7.9386930013607554E-2</v>
      </c>
      <c r="U25" s="17">
        <f>T25+預測IC!U26</f>
        <v>6.2314801819580018E-3</v>
      </c>
      <c r="V25" s="17">
        <f>U25+預測IC!V26</f>
        <v>-5.2028749728156659E-2</v>
      </c>
      <c r="W25" s="17">
        <f>V25+預測IC!W26</f>
        <v>-5.1255952162648284E-2</v>
      </c>
      <c r="X25" s="17">
        <f>W25+預測IC!X26</f>
        <v>-6.6644310274293142E-3</v>
      </c>
      <c r="Y25" s="17">
        <f>X25+預測IC!Y26</f>
        <v>-3.4364111077642409E-2</v>
      </c>
      <c r="Z25" s="17">
        <f>Y25+預測IC!Z26</f>
        <v>-3.226910512789876E-2</v>
      </c>
      <c r="AA25" s="17">
        <f>Z25+預測IC!AA26</f>
        <v>-5.5669656120462874E-2</v>
      </c>
      <c r="AB25" s="17">
        <f>AA25+預測IC!AB26</f>
        <v>-2.3540285023140685E-2</v>
      </c>
      <c r="AC25" s="17">
        <f>AB25+預測IC!AC26</f>
        <v>1.5362988070925745E-2</v>
      </c>
      <c r="AD25" s="17">
        <f>AC25+預測IC!AD26</f>
        <v>-2.7502394100178525E-2</v>
      </c>
      <c r="AE25" s="17">
        <f>AD25+預測IC!AE26</f>
        <v>-8.8551995500263658E-3</v>
      </c>
      <c r="AF25" s="17">
        <f>AE25+預測IC!AF26</f>
        <v>6.3745687725025833E-3</v>
      </c>
      <c r="AG25" s="17">
        <f>AF25+預測IC!AG26</f>
        <v>4.2391172551395004E-2</v>
      </c>
      <c r="AH25" s="17">
        <f>AG25+預測IC!AH26</f>
        <v>5.174578393671117E-2</v>
      </c>
      <c r="AI25" s="17">
        <f>AH25+預測IC!AI26</f>
        <v>6.2494035273549312E-2</v>
      </c>
      <c r="AJ25" s="17">
        <f>AI25+預測IC!AJ26</f>
        <v>7.5851789326630281E-2</v>
      </c>
      <c r="AK25" s="17">
        <f>AJ25+預測IC!AK26</f>
        <v>7.0519041997534893E-2</v>
      </c>
      <c r="AL25" s="17">
        <f>AK25+預測IC!AL26</f>
        <v>7.1902177804796574E-2</v>
      </c>
      <c r="AM25" s="17">
        <f>AL25+預測IC!AM26</f>
        <v>9.2698106224871041E-2</v>
      </c>
      <c r="AN25" s="17">
        <f>AM25+預測IC!AN26</f>
        <v>0.12421580844526167</v>
      </c>
      <c r="AO25" s="17">
        <f>AN25+預測IC!AO26</f>
        <v>0.13045752497859112</v>
      </c>
      <c r="AP25" s="17">
        <f>AO25+預測IC!AP26</f>
        <v>0.13660278663216249</v>
      </c>
      <c r="AQ25" s="17">
        <f>AP25+預測IC!AQ26</f>
        <v>0.15354914430885899</v>
      </c>
      <c r="AR25" s="17">
        <f>AQ25+預測IC!AR26</f>
        <v>0.18823197476316722</v>
      </c>
      <c r="AS25" s="17">
        <f>AR25+預測IC!AS26</f>
        <v>0.19133056338036419</v>
      </c>
      <c r="AT25" s="17">
        <f>AS25+預測IC!AT26</f>
        <v>0.2064119105238503</v>
      </c>
      <c r="AU25" s="17">
        <f>AT25+預測IC!AU26</f>
        <v>0.18716070129398632</v>
      </c>
      <c r="AV25" s="17">
        <f>AU25+預測IC!AV26</f>
        <v>0.22587221468161775</v>
      </c>
      <c r="AW25" s="17">
        <f>AV25+預測IC!AW26</f>
        <v>0.20401526354588115</v>
      </c>
      <c r="AX25" s="17">
        <f>AW25+預測IC!AX26</f>
        <v>0.21178956425567083</v>
      </c>
      <c r="AY25" s="17">
        <f>AX25+預測IC!AY26</f>
        <v>0.25418681095099677</v>
      </c>
      <c r="AZ25" s="17">
        <f>AY25+預測IC!AZ26</f>
        <v>0.22787783608983703</v>
      </c>
      <c r="BA25" s="17">
        <f>AZ25+預測IC!BA26</f>
        <v>0.23744958539855326</v>
      </c>
      <c r="BB25" s="17">
        <f>BA25+預測IC!BB26</f>
        <v>0.21319984413227844</v>
      </c>
      <c r="BC25" s="17">
        <f>BB25+預測IC!BC26</f>
        <v>0.23336321827619427</v>
      </c>
      <c r="BD25" s="17">
        <f>BC25+預測IC!BD26</f>
        <v>0.22985821949407825</v>
      </c>
      <c r="BE25" s="17">
        <f>BD25+預測IC!BE26</f>
        <v>0.25001015459262055</v>
      </c>
      <c r="BF25" s="17">
        <f>BE25+預測IC!BF26</f>
        <v>0.25059149082339083</v>
      </c>
      <c r="BG25" s="17">
        <f>BF25+預測IC!BG26</f>
        <v>0.24537178987013822</v>
      </c>
      <c r="BH25" s="17">
        <f>BG25+預測IC!BH26</f>
        <v>0.12950002846800823</v>
      </c>
      <c r="BI25" s="17">
        <f>BH25+預測IC!BI26</f>
        <v>0.13822525416044559</v>
      </c>
      <c r="BJ25" s="17">
        <f>BI25+預測IC!BJ26</f>
        <v>0.12184799318262345</v>
      </c>
      <c r="BK25" s="17">
        <f>BJ25+預測IC!BK26</f>
        <v>0.14268836478288388</v>
      </c>
      <c r="BL25" s="17">
        <f>BK25+預測IC!BL26</f>
        <v>0.18766423688499859</v>
      </c>
      <c r="BM25" s="17">
        <f>BL25+預測IC!BM26</f>
        <v>0.21161854296686244</v>
      </c>
      <c r="BN25" s="17">
        <f>BM25+預測IC!BN26</f>
        <v>0.24185764435830504</v>
      </c>
      <c r="BO25" s="17">
        <f>BN25+預測IC!BO26</f>
        <v>0.19813175676721753</v>
      </c>
      <c r="BP25" s="17">
        <f>BO25+預測IC!BP26</f>
        <v>0.22002122633541615</v>
      </c>
      <c r="BQ25" s="17">
        <f>BP25+預測IC!BQ26</f>
        <v>0.22864865659892455</v>
      </c>
      <c r="BR25" s="17">
        <f>BQ25+預測IC!BR26</f>
        <v>0.20945570260426577</v>
      </c>
      <c r="BS25" s="17">
        <f>BR25+預測IC!BS26</f>
        <v>0.22919083249239883</v>
      </c>
      <c r="BT25" s="17">
        <f>BS25+預測IC!BT26</f>
        <v>0.27688516997609824</v>
      </c>
      <c r="BU25" s="17">
        <f>BT25+預測IC!BU26</f>
        <v>0.28833998678268163</v>
      </c>
      <c r="BV25" s="17">
        <f>BU25+預測IC!BV26</f>
        <v>0.33156860751789485</v>
      </c>
      <c r="BW25" s="17">
        <f>BV25+預測IC!BW26</f>
        <v>0.28882117708097205</v>
      </c>
      <c r="BX25" s="17">
        <f>BW25+預測IC!BX26</f>
        <v>0.27100988465317749</v>
      </c>
      <c r="BY25" s="17">
        <f>BX25+預測IC!BY26</f>
        <v>0.11985678778410189</v>
      </c>
      <c r="BZ25" s="17">
        <f>BY25+預測IC!BZ26</f>
        <v>0.24408079140367717</v>
      </c>
      <c r="CA25" s="17">
        <f>BZ25+預測IC!CA26</f>
        <v>0.23952353755914751</v>
      </c>
      <c r="CB25" s="17">
        <f>CA25+預測IC!CB26</f>
        <v>0.29973477776405871</v>
      </c>
      <c r="CC25" s="17">
        <f>CB25+預測IC!CC26</f>
        <v>0.385726811246561</v>
      </c>
      <c r="CD25" s="17">
        <f>CC25+預測IC!CD26</f>
        <v>0.37991833166419492</v>
      </c>
      <c r="CE25" s="17">
        <f>CD25+預測IC!CE26</f>
        <v>0.37387698467522684</v>
      </c>
      <c r="CF25" s="17">
        <f>CE25+預測IC!CF26</f>
        <v>0.37632930904747891</v>
      </c>
      <c r="CG25" s="17">
        <f>CF25+預測IC!CG26</f>
        <v>0.46596556098450181</v>
      </c>
      <c r="CH25" s="17">
        <f>CG25+預測IC!CH26</f>
        <v>0.53695829351125968</v>
      </c>
      <c r="CI25" s="17">
        <f>CH25+預測IC!CI26</f>
        <v>0.56412893641304307</v>
      </c>
      <c r="CJ25" s="17">
        <f>CI25+預測IC!CJ26</f>
        <v>0.61659736483837313</v>
      </c>
      <c r="CK25" s="17">
        <f>CJ25+預測IC!CK26</f>
        <v>0.64607802578142259</v>
      </c>
      <c r="CL25" s="17">
        <f>CK25+預測IC!CL26</f>
        <v>0.71290310684162383</v>
      </c>
      <c r="CM25" s="17">
        <f>CL25+預測IC!CM26</f>
        <v>0.68413087782180682</v>
      </c>
      <c r="CN25" s="17">
        <f>CM25+預測IC!CN26</f>
        <v>0.72359339372344467</v>
      </c>
      <c r="CO25" s="17">
        <f>CN25+預測IC!CO26</f>
        <v>0.69456230674608477</v>
      </c>
      <c r="CP25" s="17">
        <f>CO25+預測IC!CP26</f>
        <v>0.70854618926555268</v>
      </c>
      <c r="CQ25" s="17">
        <f>CP25+預測IC!CQ26</f>
        <v>0.67626922430621883</v>
      </c>
      <c r="CR25" s="17">
        <f>CQ25+預測IC!CR26</f>
        <v>0.6793728009191129</v>
      </c>
      <c r="CS25" s="17">
        <f>CR25+預測IC!CS26</f>
        <v>0.70496465668619601</v>
      </c>
      <c r="CT25" s="17">
        <f>CS25+預測IC!CT26</f>
        <v>0.74935654297338927</v>
      </c>
      <c r="CU25" s="17">
        <f>CT25+預測IC!CU26</f>
        <v>0.71901758442381181</v>
      </c>
      <c r="CV25" s="17">
        <f>CU25+預測IC!CV26</f>
        <v>0.7177596079692401</v>
      </c>
      <c r="CW25" s="17">
        <f>CV25+預測IC!CW26</f>
        <v>0.72009596442509805</v>
      </c>
      <c r="CX25" s="17">
        <f>CW25+預測IC!CX26</f>
        <v>0.655831819499192</v>
      </c>
      <c r="CY25" s="17">
        <f>CX25+預測IC!CY26</f>
        <v>0.66874159895818441</v>
      </c>
      <c r="CZ25" s="17">
        <f>CY25+預測IC!CZ26</f>
        <v>0.54326450428732564</v>
      </c>
      <c r="DA25" s="17">
        <f>CZ25+預測IC!DA26</f>
        <v>0.55495518722711823</v>
      </c>
      <c r="DB25" s="17">
        <f>DA25+預測IC!DB26</f>
        <v>0.56129303092785998</v>
      </c>
      <c r="DC25" s="17">
        <f>DB25+預測IC!DC26</f>
        <v>0.44398767445847448</v>
      </c>
      <c r="DD25" s="17">
        <f>DC25+預測IC!DD26</f>
        <v>0.40797680240902789</v>
      </c>
      <c r="DE25" s="17">
        <f>DD25+預測IC!DE26</f>
        <v>0.54688810648129582</v>
      </c>
      <c r="DF25" s="17">
        <f>DE25+預測IC!DF26</f>
        <v>0.49574460025519007</v>
      </c>
      <c r="DG25" s="17">
        <f>DF25+預測IC!DG26</f>
        <v>0.57247604743715907</v>
      </c>
      <c r="DH25" s="17">
        <f>DG25+預測IC!DH26</f>
        <v>0.58798482963416721</v>
      </c>
      <c r="DI25" s="17">
        <f>DH25+預測IC!DI26</f>
        <v>0.61120860330892302</v>
      </c>
      <c r="DJ25" s="17">
        <f>DI25+預測IC!DJ26</f>
        <v>0.59283572694769515</v>
      </c>
      <c r="DK25" s="17">
        <f>DJ25+預測IC!DK26</f>
        <v>0.65503474103279458</v>
      </c>
      <c r="DL25" s="17">
        <f>DK25+預測IC!DL26</f>
        <v>0.67513304551975173</v>
      </c>
      <c r="DM25" s="17">
        <f>DL25+預測IC!DM26</f>
        <v>0.68863198526781977</v>
      </c>
      <c r="DN25" s="17">
        <f>DM25+預測IC!DN26</f>
        <v>0.65837977253939894</v>
      </c>
      <c r="DO25" s="17">
        <f>DN25+預測IC!DO26</f>
        <v>0.64135693683134509</v>
      </c>
      <c r="DP25" s="17">
        <f>DO25+預測IC!DP26</f>
        <v>0.61956841355888315</v>
      </c>
      <c r="DQ25" s="17">
        <f>DP25+預測IC!DQ26</f>
        <v>0.70531403814402038</v>
      </c>
      <c r="DR25" s="17">
        <f>DQ25+預測IC!DR26</f>
        <v>0.73342078174899417</v>
      </c>
      <c r="DS25" s="17">
        <f>DR25+預測IC!DS26</f>
        <v>0.73111762194163477</v>
      </c>
      <c r="DT25" s="17">
        <f>DS25+預測IC!DT26</f>
        <v>0.78958882007312226</v>
      </c>
      <c r="DU25" s="17">
        <f>DT25+預測IC!DU26</f>
        <v>0.85724776912176992</v>
      </c>
      <c r="DV25" s="17">
        <f>DU25+預測IC!DV26</f>
        <v>0.86226853976220219</v>
      </c>
      <c r="DW25" s="17">
        <f>DV25+預測IC!DW26</f>
        <v>0.89968472343740924</v>
      </c>
      <c r="DX25" s="17">
        <f>DW25+預測IC!DX26</f>
        <v>0.98379572718345132</v>
      </c>
      <c r="DY25" s="17">
        <f>DX25+預測IC!DY26</f>
        <v>0.94696332863943844</v>
      </c>
      <c r="DZ25" s="17">
        <f>DY25+預測IC!DZ26</f>
        <v>0.95005503145637549</v>
      </c>
      <c r="EA25" s="17">
        <f>DZ25+預測IC!EA26</f>
        <v>0.94809740324208092</v>
      </c>
      <c r="EB25" s="17">
        <f>EA25+預測IC!EB26</f>
        <v>0.97455650684560069</v>
      </c>
      <c r="EC25" s="17">
        <f>EB25+預測IC!EC26</f>
        <v>0.94980396808491041</v>
      </c>
      <c r="ED25" s="17">
        <f>EC25+預測IC!ED26</f>
        <v>0.98391945906747036</v>
      </c>
      <c r="EE25" s="17">
        <f>ED25+預測IC!EE26</f>
        <v>1.0049814330565034</v>
      </c>
      <c r="EF25" s="17">
        <f>EE25+預測IC!EF26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167F-C6CF-4A30-8D01-04275ECD55F8}">
  <dimension ref="A1:EG25"/>
  <sheetViews>
    <sheetView topLeftCell="A6" zoomScale="62" zoomScaleNormal="62" workbookViewId="0">
      <selection activeCell="C11" activeCellId="1" sqref="A11:A25 C11:EF25"/>
    </sheetView>
  </sheetViews>
  <sheetFormatPr baseColWidth="10" defaultColWidth="9" defaultRowHeight="14"/>
  <cols>
    <col min="136" max="136" width="9.3984375" bestFit="1" customWidth="1"/>
  </cols>
  <sheetData>
    <row r="1" spans="1:137">
      <c r="A1" s="7" t="str">
        <f>預測IC!A1</f>
        <v>RF</v>
      </c>
      <c r="B1" s="7"/>
    </row>
    <row r="2" spans="1:137">
      <c r="A2" s="7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5" t="s">
        <v>45</v>
      </c>
      <c r="AV2" s="5" t="s">
        <v>46</v>
      </c>
      <c r="AW2" s="5" t="s">
        <v>47</v>
      </c>
      <c r="AX2" s="5" t="s">
        <v>48</v>
      </c>
      <c r="AY2" s="5" t="s">
        <v>49</v>
      </c>
      <c r="AZ2" s="5" t="s">
        <v>50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55</v>
      </c>
      <c r="BF2" s="5" t="s">
        <v>56</v>
      </c>
      <c r="BG2" s="5" t="s">
        <v>57</v>
      </c>
      <c r="BH2" s="5" t="s">
        <v>58</v>
      </c>
      <c r="BI2" s="5" t="s">
        <v>59</v>
      </c>
      <c r="BJ2" s="5" t="s">
        <v>60</v>
      </c>
      <c r="BK2" s="5" t="s">
        <v>61</v>
      </c>
      <c r="BL2" s="5" t="s">
        <v>62</v>
      </c>
      <c r="BM2" s="5" t="s">
        <v>63</v>
      </c>
      <c r="BN2" s="5" t="s">
        <v>64</v>
      </c>
      <c r="BO2" s="5" t="s">
        <v>65</v>
      </c>
      <c r="BP2" s="5" t="s">
        <v>66</v>
      </c>
      <c r="BQ2" s="5" t="s">
        <v>67</v>
      </c>
      <c r="BR2" s="5" t="s">
        <v>68</v>
      </c>
      <c r="BS2" s="5" t="s">
        <v>69</v>
      </c>
      <c r="BT2" s="5" t="s">
        <v>70</v>
      </c>
      <c r="BU2" s="5" t="s">
        <v>71</v>
      </c>
      <c r="BV2" s="5" t="s">
        <v>72</v>
      </c>
      <c r="BW2" s="5" t="s">
        <v>73</v>
      </c>
      <c r="BX2" s="5" t="s">
        <v>74</v>
      </c>
      <c r="BY2" s="5" t="s">
        <v>75</v>
      </c>
      <c r="BZ2" s="5" t="s">
        <v>76</v>
      </c>
      <c r="CA2" s="5" t="s">
        <v>77</v>
      </c>
      <c r="CB2" s="5" t="s">
        <v>78</v>
      </c>
      <c r="CC2" s="5" t="s">
        <v>79</v>
      </c>
      <c r="CD2" s="5" t="s">
        <v>80</v>
      </c>
      <c r="CE2" s="5" t="s">
        <v>81</v>
      </c>
      <c r="CF2" s="5" t="s">
        <v>82</v>
      </c>
      <c r="CG2" s="5" t="s">
        <v>83</v>
      </c>
      <c r="CH2" s="5" t="s">
        <v>84</v>
      </c>
      <c r="CI2" s="5" t="s">
        <v>85</v>
      </c>
      <c r="CJ2" s="5" t="s">
        <v>86</v>
      </c>
      <c r="CK2" s="5" t="s">
        <v>87</v>
      </c>
      <c r="CL2" s="5" t="s">
        <v>88</v>
      </c>
      <c r="CM2" s="5" t="s">
        <v>89</v>
      </c>
      <c r="CN2" s="5" t="s">
        <v>90</v>
      </c>
      <c r="CO2" s="5" t="s">
        <v>91</v>
      </c>
      <c r="CP2" s="5" t="s">
        <v>92</v>
      </c>
      <c r="CQ2" s="5" t="s">
        <v>93</v>
      </c>
      <c r="CR2" s="5" t="s">
        <v>94</v>
      </c>
      <c r="CS2" s="5" t="s">
        <v>95</v>
      </c>
      <c r="CT2" s="5" t="s">
        <v>96</v>
      </c>
      <c r="CU2" s="5" t="s">
        <v>97</v>
      </c>
      <c r="CV2" s="5" t="s">
        <v>98</v>
      </c>
      <c r="CW2" s="5" t="s">
        <v>99</v>
      </c>
      <c r="CX2" s="5" t="s">
        <v>100</v>
      </c>
      <c r="CY2" s="5" t="s">
        <v>101</v>
      </c>
      <c r="CZ2" s="5" t="s">
        <v>102</v>
      </c>
      <c r="DA2" s="5" t="s">
        <v>103</v>
      </c>
      <c r="DB2" s="5" t="s">
        <v>104</v>
      </c>
      <c r="DC2" s="5" t="s">
        <v>105</v>
      </c>
      <c r="DD2" s="5" t="s">
        <v>106</v>
      </c>
      <c r="DE2" s="5" t="s">
        <v>107</v>
      </c>
      <c r="DF2" s="5" t="s">
        <v>108</v>
      </c>
      <c r="DG2" s="5" t="s">
        <v>109</v>
      </c>
      <c r="DH2" s="5" t="s">
        <v>110</v>
      </c>
      <c r="DI2" s="5" t="s">
        <v>111</v>
      </c>
      <c r="DJ2" s="5" t="s">
        <v>112</v>
      </c>
      <c r="DK2" s="5" t="s">
        <v>113</v>
      </c>
      <c r="DL2" s="5" t="s">
        <v>114</v>
      </c>
      <c r="DM2" s="5" t="s">
        <v>115</v>
      </c>
      <c r="DN2" s="5" t="s">
        <v>116</v>
      </c>
      <c r="DO2" s="5" t="s">
        <v>117</v>
      </c>
      <c r="DP2" s="5" t="s">
        <v>118</v>
      </c>
      <c r="DQ2" s="5" t="s">
        <v>119</v>
      </c>
      <c r="DR2" s="5" t="s">
        <v>120</v>
      </c>
      <c r="DS2" s="5" t="s">
        <v>121</v>
      </c>
      <c r="DT2" s="5" t="s">
        <v>122</v>
      </c>
      <c r="DU2" s="5" t="s">
        <v>123</v>
      </c>
      <c r="DV2" s="5" t="s">
        <v>124</v>
      </c>
      <c r="DW2" s="5" t="s">
        <v>125</v>
      </c>
      <c r="DX2" s="5" t="s">
        <v>126</v>
      </c>
      <c r="DY2" s="5" t="s">
        <v>127</v>
      </c>
      <c r="DZ2" s="5" t="s">
        <v>128</v>
      </c>
      <c r="EA2" s="5" t="s">
        <v>129</v>
      </c>
      <c r="EB2" s="5" t="s">
        <v>130</v>
      </c>
      <c r="EC2" s="5" t="s">
        <v>131</v>
      </c>
      <c r="ED2" s="5" t="s">
        <v>132</v>
      </c>
      <c r="EE2" s="5" t="s">
        <v>133</v>
      </c>
      <c r="EF2" s="5" t="s">
        <v>134</v>
      </c>
      <c r="EG2" s="5" t="s">
        <v>135</v>
      </c>
    </row>
    <row r="3" spans="1:137">
      <c r="A3" s="7"/>
      <c r="B3" s="5" t="s">
        <v>136</v>
      </c>
      <c r="C3" s="21">
        <f>預測IC!C3</f>
        <v>3.6997013757333698E-2</v>
      </c>
      <c r="D3" s="21">
        <f>預測IC!D3</f>
        <v>3.3297817500003282E-2</v>
      </c>
      <c r="E3" s="21">
        <f>預測IC!E3</f>
        <v>1.542163833496168E-2</v>
      </c>
      <c r="F3" s="21">
        <f>預測IC!F3</f>
        <v>1.6456982644761711E-2</v>
      </c>
      <c r="G3" s="21">
        <f>預測IC!G3</f>
        <v>1.7226210935333459E-2</v>
      </c>
      <c r="H3" s="21">
        <f>預測IC!H3</f>
        <v>2.8764108032567459E-2</v>
      </c>
      <c r="I3" s="21">
        <f>預測IC!I3</f>
        <v>2.427932822777535E-2</v>
      </c>
      <c r="J3" s="21">
        <f>預測IC!J3</f>
        <v>2.731641860027573E-2</v>
      </c>
      <c r="K3" s="21">
        <f>預測IC!K3</f>
        <v>3.0174004661944549E-2</v>
      </c>
      <c r="L3" s="21">
        <f>預測IC!L3</f>
        <v>2.5236297001741709E-2</v>
      </c>
      <c r="M3" s="21">
        <f>預測IC!M3</f>
        <v>3.2729103566482703E-2</v>
      </c>
      <c r="N3" s="21">
        <f>預測IC!N3</f>
        <v>3.1554761397993208E-2</v>
      </c>
      <c r="O3" s="21">
        <f>預測IC!O3</f>
        <v>3.4033301690891533E-2</v>
      </c>
      <c r="P3" s="21">
        <f>預測IC!P3</f>
        <v>3.321291110249007E-2</v>
      </c>
      <c r="Q3" s="21">
        <f>預測IC!Q3</f>
        <v>2.910333512892541E-2</v>
      </c>
      <c r="R3" s="21">
        <f>預測IC!R3</f>
        <v>2.6473653115280309E-2</v>
      </c>
      <c r="S3" s="21">
        <f>預測IC!S3</f>
        <v>2.8295345986913231E-2</v>
      </c>
      <c r="T3" s="21">
        <f>預測IC!T3</f>
        <v>2.262072807092802E-2</v>
      </c>
      <c r="U3" s="21">
        <f>預測IC!U3</f>
        <v>1.614400695132448E-2</v>
      </c>
      <c r="V3" s="21">
        <f>預測IC!V3</f>
        <v>2.5033177832038969E-2</v>
      </c>
      <c r="W3" s="21">
        <f>預測IC!W3</f>
        <v>4.5784045042201092E-2</v>
      </c>
      <c r="X3" s="21">
        <f>預測IC!X3</f>
        <v>4.3057813861526573E-2</v>
      </c>
      <c r="Y3" s="21">
        <f>預測IC!Y3</f>
        <v>3.778574554965778E-2</v>
      </c>
      <c r="Z3" s="21">
        <f>預測IC!Z3</f>
        <v>2.409745457622987E-2</v>
      </c>
      <c r="AA3" s="21">
        <f>預測IC!AA3</f>
        <v>3.009442686823352E-2</v>
      </c>
      <c r="AB3" s="21">
        <f>預測IC!AB3</f>
        <v>2.8087063172378191E-2</v>
      </c>
      <c r="AC3" s="21">
        <f>預測IC!AC3</f>
        <v>3.3771066806544549E-2</v>
      </c>
      <c r="AD3" s="21">
        <f>預測IC!AD3</f>
        <v>3.413170384138306E-2</v>
      </c>
      <c r="AE3" s="21">
        <f>預測IC!AE3</f>
        <v>3.4141408533312018E-2</v>
      </c>
      <c r="AF3" s="21">
        <f>預測IC!AF3</f>
        <v>1.3117941025955079E-2</v>
      </c>
      <c r="AG3" s="21">
        <f>預測IC!AG3</f>
        <v>2.485735401293461E-2</v>
      </c>
      <c r="AH3" s="21">
        <f>預測IC!AH3</f>
        <v>3.1884444011299258E-2</v>
      </c>
      <c r="AI3" s="21">
        <f>預測IC!AI3</f>
        <v>3.6385761193522617E-2</v>
      </c>
      <c r="AJ3" s="21">
        <f>預測IC!AJ3</f>
        <v>3.5948919429733099E-2</v>
      </c>
      <c r="AK3" s="21">
        <f>預測IC!AK3</f>
        <v>4.3482830969963061E-2</v>
      </c>
      <c r="AL3" s="21">
        <f>預測IC!AL3</f>
        <v>3.8462077568039821E-2</v>
      </c>
      <c r="AM3" s="21">
        <f>預測IC!AM3</f>
        <v>3.9410244165835981E-2</v>
      </c>
      <c r="AN3" s="21">
        <f>預測IC!AN3</f>
        <v>5.0743620516414449E-2</v>
      </c>
      <c r="AO3" s="21">
        <f>預測IC!AO3</f>
        <v>5.3684811620656171E-2</v>
      </c>
      <c r="AP3" s="21">
        <f>預測IC!AP3</f>
        <v>4.9314899356547669E-2</v>
      </c>
      <c r="AQ3" s="21">
        <f>預測IC!AQ3</f>
        <v>3.2773687722358558E-2</v>
      </c>
      <c r="AR3" s="21">
        <f>預測IC!AR3</f>
        <v>2.8295340626825871E-2</v>
      </c>
      <c r="AS3" s="21">
        <f>預測IC!AS3</f>
        <v>2.8377802599917339E-2</v>
      </c>
      <c r="AT3" s="21">
        <f>預測IC!AT3</f>
        <v>2.306922946025217E-2</v>
      </c>
      <c r="AU3" s="21">
        <f>預測IC!AU3</f>
        <v>2.9397032882625889E-2</v>
      </c>
      <c r="AV3" s="21">
        <f>預測IC!AV3</f>
        <v>3.103785222722218E-2</v>
      </c>
      <c r="AW3" s="21">
        <f>預測IC!AW3</f>
        <v>2.6297924056821211E-2</v>
      </c>
      <c r="AX3" s="21">
        <f>預測IC!AX3</f>
        <v>2.6164811358804361E-2</v>
      </c>
      <c r="AY3" s="21">
        <f>預測IC!AY3</f>
        <v>3.2053783671709642E-2</v>
      </c>
      <c r="AZ3" s="21">
        <f>預測IC!AZ3</f>
        <v>3.4477530774765272E-2</v>
      </c>
      <c r="BA3" s="21">
        <f>預測IC!BA3</f>
        <v>2.9331890747661678E-2</v>
      </c>
      <c r="BB3" s="21">
        <f>預測IC!BB3</f>
        <v>3.4324947588369341E-2</v>
      </c>
      <c r="BC3" s="21">
        <f>預測IC!BC3</f>
        <v>3.742177693859082E-2</v>
      </c>
      <c r="BD3" s="21">
        <f>預測IC!BD3</f>
        <v>3.141372245226793E-2</v>
      </c>
      <c r="BE3" s="21">
        <f>預測IC!BE3</f>
        <v>3.2006411062996218E-2</v>
      </c>
      <c r="BF3" s="21">
        <f>預測IC!BF3</f>
        <v>2.828182773285309E-2</v>
      </c>
      <c r="BG3" s="21">
        <f>預測IC!BG3</f>
        <v>4.1103436715196499E-2</v>
      </c>
      <c r="BH3" s="21">
        <f>預測IC!BH3</f>
        <v>4.5198779339126277E-2</v>
      </c>
      <c r="BI3" s="21">
        <f>預測IC!BI3</f>
        <v>4.1588040384802467E-2</v>
      </c>
      <c r="BJ3" s="21">
        <f>預測IC!BJ3</f>
        <v>4.0723405736309601E-2</v>
      </c>
      <c r="BK3" s="21">
        <f>預測IC!BK3</f>
        <v>3.6327700059770963E-2</v>
      </c>
      <c r="BL3" s="21">
        <f>預測IC!BL3</f>
        <v>3.6173192149872829E-2</v>
      </c>
      <c r="BM3" s="21">
        <f>預測IC!BM3</f>
        <v>3.7708587815686451E-2</v>
      </c>
      <c r="BN3" s="21">
        <f>預測IC!BN3</f>
        <v>3.0814038130409348E-2</v>
      </c>
      <c r="BO3" s="21">
        <f>預測IC!BO3</f>
        <v>3.065585577146604E-2</v>
      </c>
      <c r="BP3" s="21">
        <f>預測IC!BP3</f>
        <v>3.4399631895121928E-2</v>
      </c>
      <c r="BQ3" s="21">
        <f>預測IC!BQ3</f>
        <v>3.4868650026028229E-2</v>
      </c>
      <c r="BR3" s="21">
        <f>預測IC!BR3</f>
        <v>3.6324039848933801E-2</v>
      </c>
      <c r="BS3" s="21">
        <f>預測IC!BS3</f>
        <v>3.6164468096582629E-2</v>
      </c>
      <c r="BT3" s="21">
        <f>預測IC!BT3</f>
        <v>3.8668894956456937E-2</v>
      </c>
      <c r="BU3" s="21">
        <f>預測IC!BU3</f>
        <v>4.1103483948852763E-2</v>
      </c>
      <c r="BV3" s="21">
        <f>預測IC!BV3</f>
        <v>2.8684133448632881E-2</v>
      </c>
      <c r="BW3" s="21">
        <f>預測IC!BW3</f>
        <v>3.521650986163926E-2</v>
      </c>
      <c r="BX3" s="21">
        <f>預測IC!BX3</f>
        <v>4.0767200067914261E-2</v>
      </c>
      <c r="BY3" s="21">
        <f>預測IC!BY3</f>
        <v>2.160353774972024E-2</v>
      </c>
      <c r="BZ3" s="21">
        <f>預測IC!BZ3</f>
        <v>3.0433668800390778E-2</v>
      </c>
      <c r="CA3" s="21">
        <f>預測IC!CA3</f>
        <v>3.7311958080318418E-2</v>
      </c>
      <c r="CB3" s="21">
        <f>預測IC!CB3</f>
        <v>2.7612053143104789E-2</v>
      </c>
      <c r="CC3" s="21">
        <f>預測IC!CC3</f>
        <v>1.9742954750447479E-2</v>
      </c>
      <c r="CD3" s="21">
        <f>預測IC!CD3</f>
        <v>7.791460166144233E-3</v>
      </c>
      <c r="CE3" s="21">
        <f>預測IC!CE3</f>
        <v>2.2526806957081459E-2</v>
      </c>
      <c r="CF3" s="21">
        <f>預測IC!CF3</f>
        <v>3.4778187915741783E-2</v>
      </c>
      <c r="CG3" s="21">
        <f>預測IC!CG3</f>
        <v>3.2581362027151728E-2</v>
      </c>
      <c r="CH3" s="21">
        <f>預測IC!CH3</f>
        <v>4.0909001215823582E-2</v>
      </c>
      <c r="CI3" s="21">
        <f>預測IC!CI3</f>
        <v>3.9050253240311222E-2</v>
      </c>
      <c r="CJ3" s="21">
        <f>預測IC!CJ3</f>
        <v>2.4561899640003909E-2</v>
      </c>
      <c r="CK3" s="21">
        <f>預測IC!CK3</f>
        <v>3.413446187252573E-2</v>
      </c>
      <c r="CL3" s="21">
        <f>預測IC!CL3</f>
        <v>3.5925937532879773E-2</v>
      </c>
      <c r="CM3" s="21">
        <f>預測IC!CM3</f>
        <v>4.2466042159304301E-2</v>
      </c>
      <c r="CN3" s="21">
        <f>預測IC!CN3</f>
        <v>3.6523906516241801E-2</v>
      </c>
      <c r="CO3" s="21">
        <f>預測IC!CO3</f>
        <v>3.765914957102829E-2</v>
      </c>
      <c r="CP3" s="21">
        <f>預測IC!CP3</f>
        <v>3.9957834472595419E-2</v>
      </c>
      <c r="CQ3" s="21">
        <f>預測IC!CQ3</f>
        <v>-4.5921902670845423E-3</v>
      </c>
      <c r="CR3" s="21">
        <f>預測IC!CR3</f>
        <v>1.500343045059385E-2</v>
      </c>
      <c r="CS3" s="21">
        <f>預測IC!CS3</f>
        <v>2.2458754318599651E-2</v>
      </c>
      <c r="CT3" s="21">
        <f>預測IC!CT3</f>
        <v>4.0972167824902372E-2</v>
      </c>
      <c r="CU3" s="21">
        <f>預測IC!CU3</f>
        <v>3.8942373224816529E-2</v>
      </c>
      <c r="CV3" s="21">
        <f>預測IC!CV3</f>
        <v>4.3015000500199303E-2</v>
      </c>
      <c r="CW3" s="21">
        <f>預測IC!CW3</f>
        <v>3.9706600079107618E-2</v>
      </c>
      <c r="CX3" s="21">
        <f>預測IC!CX3</f>
        <v>3.9171022856911548E-2</v>
      </c>
      <c r="CY3" s="21">
        <f>預測IC!CY3</f>
        <v>3.4940834769569752E-2</v>
      </c>
      <c r="CZ3" s="21">
        <f>預測IC!CZ3</f>
        <v>3.6026834228159298E-2</v>
      </c>
      <c r="DA3" s="21">
        <f>預測IC!DA3</f>
        <v>4.450954814790925E-2</v>
      </c>
      <c r="DB3" s="21">
        <f>預測IC!DB3</f>
        <v>3.9322897230046248E-2</v>
      </c>
      <c r="DC3" s="21">
        <f>預測IC!DC3</f>
        <v>3.7933403354666211E-2</v>
      </c>
      <c r="DD3" s="21">
        <f>預測IC!DD3</f>
        <v>3.9075000966415717E-2</v>
      </c>
      <c r="DE3" s="21">
        <f>預測IC!DE3</f>
        <v>4.199397627237688E-2</v>
      </c>
      <c r="DF3" s="21">
        <f>預測IC!DF3</f>
        <v>4.1965348731106439E-2</v>
      </c>
      <c r="DG3" s="21">
        <f>預測IC!DG3</f>
        <v>4.0382244799122918E-2</v>
      </c>
      <c r="DH3" s="21">
        <f>預測IC!DH3</f>
        <v>3.6787240146963857E-2</v>
      </c>
      <c r="DI3" s="21">
        <f>預測IC!DI3</f>
        <v>3.6877765546082367E-2</v>
      </c>
      <c r="DJ3" s="21">
        <f>預測IC!DJ3</f>
        <v>3.368209367541955E-2</v>
      </c>
      <c r="DK3" s="21">
        <f>預測IC!DK3</f>
        <v>3.6536443043095952E-2</v>
      </c>
      <c r="DL3" s="21">
        <f>預測IC!DL3</f>
        <v>3.1530556219024453E-2</v>
      </c>
      <c r="DM3" s="21">
        <f>預測IC!DM3</f>
        <v>2.866223764473836E-2</v>
      </c>
      <c r="DN3" s="21">
        <f>預測IC!DN3</f>
        <v>3.0844743252797239E-2</v>
      </c>
      <c r="DO3" s="21">
        <f>預測IC!DO3</f>
        <v>3.3675363611272838E-2</v>
      </c>
      <c r="DP3" s="21">
        <f>預測IC!DP3</f>
        <v>3.5102177512429639E-2</v>
      </c>
      <c r="DQ3" s="21">
        <f>預測IC!DQ3</f>
        <v>3.6708207074369593E-2</v>
      </c>
      <c r="DR3" s="21">
        <f>預測IC!DR3</f>
        <v>3.4114421599711522E-2</v>
      </c>
      <c r="DS3" s="21">
        <f>預測IC!DS3</f>
        <v>3.6715906439180969E-2</v>
      </c>
      <c r="DT3" s="21">
        <f>預測IC!DT3</f>
        <v>3.4828052772429188E-2</v>
      </c>
      <c r="DU3" s="21">
        <f>預測IC!DU3</f>
        <v>2.3365577264107731E-2</v>
      </c>
      <c r="DV3" s="21">
        <f>預測IC!DV3</f>
        <v>2.524093892652959E-2</v>
      </c>
      <c r="DW3" s="21">
        <f>預測IC!DW3</f>
        <v>3.5159202684512107E-2</v>
      </c>
      <c r="DX3" s="21">
        <f>預測IC!DX3</f>
        <v>3.2304964005665182E-2</v>
      </c>
      <c r="DY3" s="21">
        <f>預測IC!DY3</f>
        <v>2.325821710130703E-2</v>
      </c>
      <c r="DZ3" s="21">
        <f>預測IC!DZ3</f>
        <v>2.8308751932577921E-2</v>
      </c>
      <c r="EA3" s="21">
        <f>預測IC!EA3</f>
        <v>3.1397321824344362E-2</v>
      </c>
      <c r="EB3" s="21">
        <f>預測IC!EB3</f>
        <v>3.723081253221186E-2</v>
      </c>
      <c r="EC3" s="21">
        <f>預測IC!EC3</f>
        <v>3.3346090074484303E-2</v>
      </c>
      <c r="ED3" s="21">
        <f>預測IC!ED3</f>
        <v>3.4186640907954438E-2</v>
      </c>
      <c r="EE3" s="21">
        <f>預測IC!EE3</f>
        <v>2.5041157579864491E-2</v>
      </c>
      <c r="EF3" s="21">
        <f>預測IC!EF3</f>
        <v>3.4121434975122142E-2</v>
      </c>
      <c r="EG3" s="1"/>
    </row>
    <row r="4" spans="1:137">
      <c r="A4" s="7"/>
      <c r="B4" s="5" t="s">
        <v>137</v>
      </c>
      <c r="C4" s="21">
        <f>預測IC!C4</f>
        <v>-4.9660484307830009E-2</v>
      </c>
      <c r="D4" s="21">
        <f>預測IC!D4</f>
        <v>-6.5232195080165353E-2</v>
      </c>
      <c r="E4" s="21">
        <f>預測IC!E4</f>
        <v>-9.3874054199500026E-2</v>
      </c>
      <c r="F4" s="21">
        <f>預測IC!F4</f>
        <v>-7.3843592245097373E-2</v>
      </c>
      <c r="G4" s="21">
        <f>預測IC!G4</f>
        <v>-2.745888685018728E-2</v>
      </c>
      <c r="H4" s="21">
        <f>預測IC!H4</f>
        <v>-3.3398565611267667E-2</v>
      </c>
      <c r="I4" s="21">
        <f>預測IC!I4</f>
        <v>-4.7136189417385607E-2</v>
      </c>
      <c r="J4" s="21">
        <f>預測IC!J4</f>
        <v>-4.6203432590894752E-2</v>
      </c>
      <c r="K4" s="21">
        <f>預測IC!K4</f>
        <v>-4.5932097646850877E-2</v>
      </c>
      <c r="L4" s="21">
        <f>預測IC!L4</f>
        <v>-3.9679751627069763E-2</v>
      </c>
      <c r="M4" s="21">
        <f>預測IC!M4</f>
        <v>-1.8734336084315021E-2</v>
      </c>
      <c r="N4" s="21">
        <f>預測IC!N4</f>
        <v>-3.5831351641089762E-2</v>
      </c>
      <c r="O4" s="21">
        <f>預測IC!O4</f>
        <v>-5.70229981056335E-2</v>
      </c>
      <c r="P4" s="21">
        <f>預測IC!P4</f>
        <v>-4.2462781327895993E-2</v>
      </c>
      <c r="Q4" s="21">
        <f>預測IC!Q4</f>
        <v>-3.7772394962975513E-2</v>
      </c>
      <c r="R4" s="21">
        <f>預測IC!R4</f>
        <v>-2.862835448000129E-2</v>
      </c>
      <c r="S4" s="21">
        <f>預測IC!S4</f>
        <v>-3.099793016810054E-2</v>
      </c>
      <c r="T4" s="21">
        <f>預測IC!T4</f>
        <v>-6.7042254023675389E-3</v>
      </c>
      <c r="U4" s="21">
        <f>預測IC!U4</f>
        <v>-3.5326677132364037E-2</v>
      </c>
      <c r="V4" s="21">
        <f>預測IC!V4</f>
        <v>-2.9502132625226989E-2</v>
      </c>
      <c r="W4" s="21">
        <f>預測IC!W4</f>
        <v>-4.1243395472264313E-2</v>
      </c>
      <c r="X4" s="21">
        <f>預測IC!X4</f>
        <v>-5.4483491647159897E-2</v>
      </c>
      <c r="Y4" s="21">
        <f>預測IC!Y4</f>
        <v>-5.7374231531351433E-2</v>
      </c>
      <c r="Z4" s="21">
        <f>預測IC!Z4</f>
        <v>-5.0628448585672892E-2</v>
      </c>
      <c r="AA4" s="21">
        <f>預測IC!AA4</f>
        <v>-4.231975801219371E-2</v>
      </c>
      <c r="AB4" s="21">
        <f>預測IC!AB4</f>
        <v>-3.6518861974360411E-2</v>
      </c>
      <c r="AC4" s="21">
        <f>預測IC!AC4</f>
        <v>-3.845543636405753E-2</v>
      </c>
      <c r="AD4" s="21">
        <f>預測IC!AD4</f>
        <v>-3.2603396395427572E-2</v>
      </c>
      <c r="AE4" s="21">
        <f>預測IC!AE4</f>
        <v>-3.4795070629380642E-2</v>
      </c>
      <c r="AF4" s="21">
        <f>預測IC!AF4</f>
        <v>-1.6394819349874201E-3</v>
      </c>
      <c r="AG4" s="21">
        <f>預測IC!AG4</f>
        <v>-3.2239282506807423E-2</v>
      </c>
      <c r="AH4" s="21">
        <f>預測IC!AH4</f>
        <v>-2.5693111006731412E-2</v>
      </c>
      <c r="AI4" s="21">
        <f>預測IC!AI4</f>
        <v>-3.008904130127369E-2</v>
      </c>
      <c r="AJ4" s="21">
        <f>預測IC!AJ4</f>
        <v>-2.971967039544228E-2</v>
      </c>
      <c r="AK4" s="21">
        <f>預測IC!AK4</f>
        <v>-2.274313052691369E-2</v>
      </c>
      <c r="AL4" s="21">
        <f>預測IC!AL4</f>
        <v>-2.5322304879822729E-2</v>
      </c>
      <c r="AM4" s="21">
        <f>預測IC!AM4</f>
        <v>-2.411751658948514E-2</v>
      </c>
      <c r="AN4" s="21">
        <f>預測IC!AN4</f>
        <v>-2.727232649453621E-2</v>
      </c>
      <c r="AO4" s="21">
        <f>預測IC!AO4</f>
        <v>-2.8383253052872079E-2</v>
      </c>
      <c r="AP4" s="21">
        <f>預測IC!AP4</f>
        <v>-2.3965679052040011E-2</v>
      </c>
      <c r="AQ4" s="21">
        <f>預測IC!AQ4</f>
        <v>-2.80485237785515E-2</v>
      </c>
      <c r="AR4" s="21">
        <f>預測IC!AR4</f>
        <v>-1.7736170970874439E-2</v>
      </c>
      <c r="AS4" s="21">
        <f>預測IC!AS4</f>
        <v>-1.39303337439949E-2</v>
      </c>
      <c r="AT4" s="21">
        <f>預測IC!AT4</f>
        <v>-1.2870881079163021E-2</v>
      </c>
      <c r="AU4" s="21">
        <f>預測IC!AU4</f>
        <v>-1.6424059937097849E-2</v>
      </c>
      <c r="AV4" s="21">
        <f>預測IC!AV4</f>
        <v>-2.4039749385437719E-2</v>
      </c>
      <c r="AW4" s="21">
        <f>預測IC!AW4</f>
        <v>-2.1378847766349081E-2</v>
      </c>
      <c r="AX4" s="21">
        <f>預測IC!AX4</f>
        <v>-2.3051468101219511E-2</v>
      </c>
      <c r="AY4" s="21">
        <f>預測IC!AY4</f>
        <v>-2.6631557609926141E-2</v>
      </c>
      <c r="AZ4" s="21">
        <f>預測IC!AZ4</f>
        <v>-1.597851755827499E-2</v>
      </c>
      <c r="BA4" s="21">
        <f>預測IC!BA4</f>
        <v>-2.9633847899323489E-2</v>
      </c>
      <c r="BB4" s="21">
        <f>預測IC!BB4</f>
        <v>-3.6923299522087998E-2</v>
      </c>
      <c r="BC4" s="21">
        <f>預測IC!BC4</f>
        <v>-2.3000784324243968E-2</v>
      </c>
      <c r="BD4" s="21">
        <f>預測IC!BD4</f>
        <v>-2.892210840223592E-2</v>
      </c>
      <c r="BE4" s="21">
        <f>預測IC!BE4</f>
        <v>-3.0957742972803601E-2</v>
      </c>
      <c r="BF4" s="21">
        <f>預測IC!BF4</f>
        <v>-1.8182050049131201E-2</v>
      </c>
      <c r="BG4" s="21">
        <f>預測IC!BG4</f>
        <v>-1.59612129148653E-2</v>
      </c>
      <c r="BH4" s="21">
        <f>預測IC!BH4</f>
        <v>-2.135883022338424E-2</v>
      </c>
      <c r="BI4" s="21">
        <f>預測IC!BI4</f>
        <v>-1.889592453448587E-2</v>
      </c>
      <c r="BJ4" s="21">
        <f>預測IC!BJ4</f>
        <v>-2.1053002135234831E-2</v>
      </c>
      <c r="BK4" s="21">
        <f>預測IC!BK4</f>
        <v>-2.6612022761366049E-2</v>
      </c>
      <c r="BL4" s="21">
        <f>預測IC!BL4</f>
        <v>-1.7576953748392139E-2</v>
      </c>
      <c r="BM4" s="21">
        <f>預測IC!BM4</f>
        <v>-2.1846218109135389E-2</v>
      </c>
      <c r="BN4" s="21">
        <f>預測IC!BN4</f>
        <v>-1.558178680666511E-2</v>
      </c>
      <c r="BO4" s="21">
        <f>預測IC!BO4</f>
        <v>-6.5029895709140294E-3</v>
      </c>
      <c r="BP4" s="21">
        <f>預測IC!BP4</f>
        <v>-1.217191420200061E-2</v>
      </c>
      <c r="BQ4" s="21">
        <f>預測IC!BQ4</f>
        <v>-1.0666510831082679E-3</v>
      </c>
      <c r="BR4" s="21">
        <f>預測IC!BR4</f>
        <v>-7.8848633119188317E-3</v>
      </c>
      <c r="BS4" s="21">
        <f>預測IC!BS4</f>
        <v>-1.1588282276333789E-2</v>
      </c>
      <c r="BT4" s="21">
        <f>預測IC!BT4</f>
        <v>-1.6350563096253809E-2</v>
      </c>
      <c r="BU4" s="21">
        <f>預測IC!BU4</f>
        <v>-1.7287992540061109E-3</v>
      </c>
      <c r="BV4" s="21">
        <f>預測IC!BV4</f>
        <v>1.285828832716631E-2</v>
      </c>
      <c r="BW4" s="21">
        <f>預測IC!BW4</f>
        <v>-7.6302480414426601E-3</v>
      </c>
      <c r="BX4" s="21">
        <f>預測IC!BX4</f>
        <v>-1.6045395009791349E-2</v>
      </c>
      <c r="BY4" s="21">
        <f>預測IC!BY4</f>
        <v>-1.8894754178095271E-2</v>
      </c>
      <c r="BZ4" s="21">
        <f>預測IC!BZ4</f>
        <v>-4.1567566104242478E-3</v>
      </c>
      <c r="CA4" s="21">
        <f>預測IC!CA4</f>
        <v>-1.710017537951062E-2</v>
      </c>
      <c r="CB4" s="21">
        <f>預測IC!CB4</f>
        <v>-2.2304157428424391E-2</v>
      </c>
      <c r="CC4" s="21">
        <f>預測IC!CC4</f>
        <v>-4.111205153911144E-2</v>
      </c>
      <c r="CD4" s="21">
        <f>預測IC!CD4</f>
        <v>-3.2535405185557913E-2</v>
      </c>
      <c r="CE4" s="21">
        <f>預測IC!CE4</f>
        <v>-3.0323266480776649E-2</v>
      </c>
      <c r="CF4" s="21">
        <f>預測IC!CF4</f>
        <v>-6.1293189114789898E-2</v>
      </c>
      <c r="CG4" s="21">
        <f>預測IC!CG4</f>
        <v>-4.4169748382986783E-2</v>
      </c>
      <c r="CH4" s="21">
        <f>預測IC!CH4</f>
        <v>-2.4897657851006831E-2</v>
      </c>
      <c r="CI4" s="21">
        <f>預測IC!CI4</f>
        <v>-1.773490777748107E-2</v>
      </c>
      <c r="CJ4" s="21">
        <f>預測IC!CJ4</f>
        <v>-1.149415603536374E-2</v>
      </c>
      <c r="CK4" s="21">
        <f>預測IC!CK4</f>
        <v>-1.591073109149212E-2</v>
      </c>
      <c r="CL4" s="21">
        <f>預測IC!CL4</f>
        <v>-1.553664078255448E-2</v>
      </c>
      <c r="CM4" s="21">
        <f>預測IC!CM4</f>
        <v>-1.9141804743850431E-2</v>
      </c>
      <c r="CN4" s="21">
        <f>預測IC!CN4</f>
        <v>8.0304455212189402E-3</v>
      </c>
      <c r="CO4" s="21">
        <f>預測IC!CO4</f>
        <v>5.7365987476290974E-3</v>
      </c>
      <c r="CP4" s="21">
        <f>預測IC!CP4</f>
        <v>-6.5301402173690883E-3</v>
      </c>
      <c r="CQ4" s="21">
        <f>預測IC!CQ4</f>
        <v>2.4291588095023031E-3</v>
      </c>
      <c r="CR4" s="21">
        <f>預測IC!CR4</f>
        <v>-1.917966682871176E-2</v>
      </c>
      <c r="CS4" s="21">
        <f>預測IC!CS4</f>
        <v>-2.334741602504313E-2</v>
      </c>
      <c r="CT4" s="21">
        <f>預測IC!CT4</f>
        <v>-2.178933391007621E-2</v>
      </c>
      <c r="CU4" s="21">
        <f>預測IC!CU4</f>
        <v>-2.9507578237515441E-2</v>
      </c>
      <c r="CV4" s="21">
        <f>預測IC!CV4</f>
        <v>-2.4863141676227461E-2</v>
      </c>
      <c r="CW4" s="21">
        <f>預測IC!CW4</f>
        <v>-2.2836003990752241E-2</v>
      </c>
      <c r="CX4" s="21">
        <f>預測IC!CX4</f>
        <v>-2.2235746171206432E-2</v>
      </c>
      <c r="CY4" s="21">
        <f>預測IC!CY4</f>
        <v>-2.5586844579715249E-2</v>
      </c>
      <c r="CZ4" s="21">
        <f>預測IC!CZ4</f>
        <v>-3.0231054830945629E-2</v>
      </c>
      <c r="DA4" s="21">
        <f>預測IC!DA4</f>
        <v>-4.3224114563057553E-2</v>
      </c>
      <c r="DB4" s="21">
        <f>預測IC!DB4</f>
        <v>-4.4725026400587967E-2</v>
      </c>
      <c r="DC4" s="21">
        <f>預測IC!DC4</f>
        <v>-7.0760377239426644E-2</v>
      </c>
      <c r="DD4" s="21">
        <f>預測IC!DD4</f>
        <v>-5.7610036798158112E-2</v>
      </c>
      <c r="DE4" s="21">
        <f>預測IC!DE4</f>
        <v>-3.404219099480222E-2</v>
      </c>
      <c r="DF4" s="21">
        <f>預測IC!DF4</f>
        <v>-2.7183797543947438E-2</v>
      </c>
      <c r="DG4" s="21">
        <f>預測IC!DG4</f>
        <v>-3.5052644373932129E-2</v>
      </c>
      <c r="DH4" s="21">
        <f>預測IC!DH4</f>
        <v>-8.428399037687339E-3</v>
      </c>
      <c r="DI4" s="21">
        <f>預測IC!DI4</f>
        <v>-3.6370881039868713E-2</v>
      </c>
      <c r="DJ4" s="21">
        <f>預測IC!DJ4</f>
        <v>-3.7819313396098023E-2</v>
      </c>
      <c r="DK4" s="21">
        <f>預測IC!DK4</f>
        <v>-2.702995348835956E-2</v>
      </c>
      <c r="DL4" s="21">
        <f>預測IC!DL4</f>
        <v>-1.9450420003777492E-2</v>
      </c>
      <c r="DM4" s="21">
        <f>預測IC!DM4</f>
        <v>-1.8687387511566969E-2</v>
      </c>
      <c r="DN4" s="21">
        <f>預測IC!DN4</f>
        <v>-8.9243337838529595E-3</v>
      </c>
      <c r="DO4" s="21">
        <f>預測IC!DO4</f>
        <v>-2.2448412563485658E-2</v>
      </c>
      <c r="DP4" s="21">
        <f>預測IC!DP4</f>
        <v>-2.9487498188438439E-2</v>
      </c>
      <c r="DQ4" s="21">
        <f>預測IC!DQ4</f>
        <v>-3.6680869276058257E-2</v>
      </c>
      <c r="DR4" s="21">
        <f>預測IC!DR4</f>
        <v>-2.964822814067369E-2</v>
      </c>
      <c r="DS4" s="21">
        <f>預測IC!DS4</f>
        <v>-2.8893370012943329E-2</v>
      </c>
      <c r="DT4" s="21">
        <f>預測IC!DT4</f>
        <v>-4.1056175553995593E-2</v>
      </c>
      <c r="DU4" s="21">
        <f>預測IC!DU4</f>
        <v>-3.7310764401418541E-2</v>
      </c>
      <c r="DV4" s="21">
        <f>預測IC!DV4</f>
        <v>-9.8104083511435913E-3</v>
      </c>
      <c r="DW4" s="21">
        <f>預測IC!DW4</f>
        <v>-1.9249126149739601E-2</v>
      </c>
      <c r="DX4" s="21">
        <f>預測IC!DX4</f>
        <v>-3.0385994354775469E-2</v>
      </c>
      <c r="DY4" s="21">
        <f>預測IC!DY4</f>
        <v>-3.3048945391833368E-2</v>
      </c>
      <c r="DZ4" s="21">
        <f>預測IC!DZ4</f>
        <v>-3.0875828777379061E-2</v>
      </c>
      <c r="EA4" s="21">
        <f>預測IC!EA4</f>
        <v>-3.1659361830993098E-2</v>
      </c>
      <c r="EB4" s="21">
        <f>預測IC!EB4</f>
        <v>-3.4389624405496783E-2</v>
      </c>
      <c r="EC4" s="21">
        <f>預測IC!EC4</f>
        <v>-4.1069385194225268E-2</v>
      </c>
      <c r="ED4" s="21">
        <f>預測IC!ED4</f>
        <v>-3.100505897009637E-2</v>
      </c>
      <c r="EE4" s="21">
        <f>預測IC!EE4</f>
        <v>-2.307612898354422E-2</v>
      </c>
      <c r="EF4" s="21">
        <f>預測IC!EF4</f>
        <v>-1.1421019476021661E-2</v>
      </c>
      <c r="EG4" s="1"/>
    </row>
    <row r="5" spans="1:137">
      <c r="A5" s="7"/>
      <c r="B5" s="8" t="s">
        <v>138</v>
      </c>
      <c r="C5" s="21">
        <f>預測IC!C5</f>
        <v>3.592321643530621E-3</v>
      </c>
      <c r="D5" s="21">
        <f>預測IC!D5</f>
        <v>2.8862197223557262E-3</v>
      </c>
      <c r="E5" s="21">
        <f>預測IC!E5</f>
        <v>8.0135071589913301E-3</v>
      </c>
      <c r="F5" s="21">
        <f>預測IC!F5</f>
        <v>7.4387135878969382E-3</v>
      </c>
      <c r="G5" s="21">
        <f>預測IC!G5</f>
        <v>-1.698488952144591E-4</v>
      </c>
      <c r="H5" s="21">
        <f>預測IC!H5</f>
        <v>9.1359420815390231E-3</v>
      </c>
      <c r="I5" s="21">
        <f>預測IC!I5</f>
        <v>1.2007171314759381E-2</v>
      </c>
      <c r="J5" s="21">
        <f>預測IC!J5</f>
        <v>5.9464452790785093E-3</v>
      </c>
      <c r="K5" s="21">
        <f>預測IC!K5</f>
        <v>1.6591641238482821E-2</v>
      </c>
      <c r="L5" s="21">
        <f>預測IC!L5</f>
        <v>1.920161893371632E-2</v>
      </c>
      <c r="M5" s="21">
        <f>預測IC!M5</f>
        <v>1.9701815290587801E-2</v>
      </c>
      <c r="N5" s="21">
        <f>預測IC!N5</f>
        <v>2.0161711803974011E-2</v>
      </c>
      <c r="O5" s="21">
        <f>預測IC!O5</f>
        <v>1.3437225514017491E-2</v>
      </c>
      <c r="P5" s="21">
        <f>預測IC!P5</f>
        <v>1.7638047330766411E-2</v>
      </c>
      <c r="Q5" s="21">
        <f>預測IC!Q5</f>
        <v>1.3117422271736861E-2</v>
      </c>
      <c r="R5" s="21">
        <f>預測IC!R5</f>
        <v>1.345674557846294E-2</v>
      </c>
      <c r="S5" s="21">
        <f>預測IC!S5</f>
        <v>1.6544045810315121E-2</v>
      </c>
      <c r="T5" s="21">
        <f>預測IC!T5</f>
        <v>1.588127346287815E-2</v>
      </c>
      <c r="U5" s="21">
        <f>預測IC!U5</f>
        <v>2.5940277266489609E-2</v>
      </c>
      <c r="V5" s="21">
        <f>預測IC!V5</f>
        <v>1.968064199513106E-2</v>
      </c>
      <c r="W5" s="21">
        <f>預測IC!W5</f>
        <v>3.2681747373401578E-2</v>
      </c>
      <c r="X5" s="21">
        <f>預測IC!X5</f>
        <v>2.88193361747647E-2</v>
      </c>
      <c r="Y5" s="21">
        <f>預測IC!Y5</f>
        <v>-3.6096516306345743E-2</v>
      </c>
      <c r="Z5" s="21">
        <f>預測IC!Z5</f>
        <v>-5.819473766386217E-3</v>
      </c>
      <c r="AA5" s="21">
        <f>預測IC!AA5</f>
        <v>-1.384361877178903E-2</v>
      </c>
      <c r="AB5" s="21">
        <f>預測IC!AB5</f>
        <v>-4.9937139241651593E-2</v>
      </c>
      <c r="AC5" s="21">
        <f>預測IC!AC5</f>
        <v>-9.2081626879443376E-3</v>
      </c>
      <c r="AD5" s="21">
        <f>預測IC!AD5</f>
        <v>-6.5956474854444447E-2</v>
      </c>
      <c r="AE5" s="21">
        <f>預測IC!AE5</f>
        <v>-2.173514574122511E-2</v>
      </c>
      <c r="AF5" s="21">
        <f>預測IC!AF5</f>
        <v>8.972422407877146E-3</v>
      </c>
      <c r="AG5" s="21">
        <f>預測IC!AG5</f>
        <v>-1.1832985971204321E-2</v>
      </c>
      <c r="AH5" s="21">
        <f>預測IC!AH5</f>
        <v>-2.9651907106316919E-3</v>
      </c>
      <c r="AI5" s="21">
        <f>預測IC!AI5</f>
        <v>4.7857326511695827E-3</v>
      </c>
      <c r="AJ5" s="21">
        <f>預測IC!AJ5</f>
        <v>5.7367073977292078E-3</v>
      </c>
      <c r="AK5" s="21">
        <f>預測IC!AK5</f>
        <v>7.392687328147911E-3</v>
      </c>
      <c r="AL5" s="21">
        <f>預測IC!AL5</f>
        <v>-1.8742539375924459E-3</v>
      </c>
      <c r="AM5" s="21">
        <f>預測IC!AM5</f>
        <v>-1.9525231098321519E-3</v>
      </c>
      <c r="AN5" s="21">
        <f>預測IC!AN5</f>
        <v>-3.6238168597597618E-3</v>
      </c>
      <c r="AO5" s="21">
        <f>預測IC!AO5</f>
        <v>-9.160305976377861E-3</v>
      </c>
      <c r="AP5" s="21">
        <f>預測IC!AP5</f>
        <v>2.5415010892232532E-3</v>
      </c>
      <c r="AQ5" s="21">
        <f>預測IC!AQ5</f>
        <v>3.8483729442072112E-3</v>
      </c>
      <c r="AR5" s="21">
        <f>預測IC!AR5</f>
        <v>3.4029774500497689E-3</v>
      </c>
      <c r="AS5" s="21">
        <f>預測IC!AS5</f>
        <v>8.5747228695072812E-4</v>
      </c>
      <c r="AT5" s="21">
        <f>預測IC!AT5</f>
        <v>8.1789276697448558E-3</v>
      </c>
      <c r="AU5" s="21">
        <f>預測IC!AU5</f>
        <v>1.005796764455418E-2</v>
      </c>
      <c r="AV5" s="21">
        <f>預測IC!AV5</f>
        <v>1.1137854065294999E-2</v>
      </c>
      <c r="AW5" s="21">
        <f>預測IC!AW5</f>
        <v>1.337826848807136E-2</v>
      </c>
      <c r="AX5" s="21">
        <f>預測IC!AX5</f>
        <v>1.18848248356704E-2</v>
      </c>
      <c r="AY5" s="21">
        <f>預測IC!AY5</f>
        <v>-6.6054212052508997E-6</v>
      </c>
      <c r="AZ5" s="21">
        <f>預測IC!AZ5</f>
        <v>7.8238778565858352E-3</v>
      </c>
      <c r="BA5" s="21">
        <f>預測IC!BA5</f>
        <v>6.98923551593754E-3</v>
      </c>
      <c r="BB5" s="21">
        <f>預測IC!BB5</f>
        <v>7.1871697288773849E-3</v>
      </c>
      <c r="BC5" s="21">
        <f>預測IC!BC5</f>
        <v>-2.3924143890266141E-3</v>
      </c>
      <c r="BD5" s="21">
        <f>預測IC!BD5</f>
        <v>7.2638542327923324E-4</v>
      </c>
      <c r="BE5" s="21">
        <f>預測IC!BE5</f>
        <v>-2.2265342845179791E-3</v>
      </c>
      <c r="BF5" s="21">
        <f>預測IC!BF5</f>
        <v>-1.044661448632583E-3</v>
      </c>
      <c r="BG5" s="21">
        <f>預測IC!BG5</f>
        <v>-2.071082545210403E-2</v>
      </c>
      <c r="BH5" s="21">
        <f>預測IC!BH5</f>
        <v>-4.4325197973968437E-2</v>
      </c>
      <c r="BI5" s="21">
        <f>預測IC!BI5</f>
        <v>-1.4765945486966079E-2</v>
      </c>
      <c r="BJ5" s="21">
        <f>預測IC!BJ5</f>
        <v>-2.2277758365709211E-2</v>
      </c>
      <c r="BK5" s="21">
        <f>預測IC!BK5</f>
        <v>-2.350667592759435E-2</v>
      </c>
      <c r="BL5" s="21">
        <f>預測IC!BL5</f>
        <v>-1.659613811373151E-2</v>
      </c>
      <c r="BM5" s="21">
        <f>預測IC!BM5</f>
        <v>-3.7766406128849933E-2</v>
      </c>
      <c r="BN5" s="21">
        <f>預測IC!BN5</f>
        <v>-1.0040541012613679E-2</v>
      </c>
      <c r="BO5" s="21">
        <f>預測IC!BO5</f>
        <v>-7.4939665232719018E-3</v>
      </c>
      <c r="BP5" s="21">
        <f>預測IC!BP5</f>
        <v>3.371447827029599E-3</v>
      </c>
      <c r="BQ5" s="21">
        <f>預測IC!BQ5</f>
        <v>6.8205160463408977E-3</v>
      </c>
      <c r="BR5" s="21">
        <f>預測IC!BR5</f>
        <v>5.5997292120069176E-3</v>
      </c>
      <c r="BS5" s="21">
        <f>預測IC!BS5</f>
        <v>1.5475741356267531E-2</v>
      </c>
      <c r="BT5" s="21">
        <f>預測IC!BT5</f>
        <v>2.505139605033146E-3</v>
      </c>
      <c r="BU5" s="21">
        <f>預測IC!BU5</f>
        <v>6.9054048686437997E-3</v>
      </c>
      <c r="BV5" s="21">
        <f>預測IC!BV5</f>
        <v>6.7595125599199234E-3</v>
      </c>
      <c r="BW5" s="21">
        <f>預測IC!BW5</f>
        <v>5.3854477548855081E-3</v>
      </c>
      <c r="BX5" s="21">
        <f>預測IC!BX5</f>
        <v>-5.1415040641252419E-4</v>
      </c>
      <c r="BY5" s="21">
        <f>預測IC!BY5</f>
        <v>-4.2217786474238123E-3</v>
      </c>
      <c r="BZ5" s="21">
        <f>預測IC!BZ5</f>
        <v>1.3635264175112351E-3</v>
      </c>
      <c r="CA5" s="21">
        <f>預測IC!CA5</f>
        <v>1.234011782232132E-2</v>
      </c>
      <c r="CB5" s="21">
        <f>預測IC!CB5</f>
        <v>1.616138172374685E-2</v>
      </c>
      <c r="CC5" s="21">
        <f>預測IC!CC5</f>
        <v>2.1700747371675229E-3</v>
      </c>
      <c r="CD5" s="21">
        <f>預測IC!CD5</f>
        <v>8.3982369302591179E-3</v>
      </c>
      <c r="CE5" s="21">
        <f>預測IC!CE5</f>
        <v>2.9924757275427601E-3</v>
      </c>
      <c r="CF5" s="21">
        <f>預測IC!CF5</f>
        <v>-8.3356639285777159E-4</v>
      </c>
      <c r="CG5" s="21">
        <f>預測IC!CG5</f>
        <v>-7.4006182308146765E-4</v>
      </c>
      <c r="CH5" s="21">
        <f>預測IC!CH5</f>
        <v>-1.191538287503947E-2</v>
      </c>
      <c r="CI5" s="21">
        <f>預測IC!CI5</f>
        <v>-1.445466793303803E-2</v>
      </c>
      <c r="CJ5" s="21">
        <f>預測IC!CJ5</f>
        <v>-7.2598371634770833E-3</v>
      </c>
      <c r="CK5" s="21">
        <f>預測IC!CK5</f>
        <v>-1.2941787548456081E-3</v>
      </c>
      <c r="CL5" s="21">
        <f>預測IC!CL5</f>
        <v>9.4434034914934982E-3</v>
      </c>
      <c r="CM5" s="21">
        <f>預測IC!CM5</f>
        <v>5.1140346103961546E-3</v>
      </c>
      <c r="CN5" s="21">
        <f>預測IC!CN5</f>
        <v>2.873279302798517E-3</v>
      </c>
      <c r="CO5" s="21">
        <f>預測IC!CO5</f>
        <v>1.7240475986858961E-2</v>
      </c>
      <c r="CP5" s="21">
        <f>預測IC!CP5</f>
        <v>1.141421806863863E-2</v>
      </c>
      <c r="CQ5" s="21">
        <f>預測IC!CQ5</f>
        <v>9.0067640458367376E-3</v>
      </c>
      <c r="CR5" s="21">
        <f>預測IC!CR5</f>
        <v>-2.0834521461759619E-3</v>
      </c>
      <c r="CS5" s="21">
        <f>預測IC!CS5</f>
        <v>-2.1705770934876179E-2</v>
      </c>
      <c r="CT5" s="21">
        <f>預測IC!CT5</f>
        <v>-5.3317796351909441E-3</v>
      </c>
      <c r="CU5" s="21">
        <f>預測IC!CU5</f>
        <v>-3.68701425744362E-3</v>
      </c>
      <c r="CV5" s="21">
        <f>預測IC!CV5</f>
        <v>-3.7795651312946363E-2</v>
      </c>
      <c r="CW5" s="21">
        <f>預測IC!CW5</f>
        <v>-1.389414662767193E-2</v>
      </c>
      <c r="CX5" s="21">
        <f>預測IC!CX5</f>
        <v>6.6294897158866908E-3</v>
      </c>
      <c r="CY5" s="21">
        <f>預測IC!CY5</f>
        <v>-8.2669791474472652E-3</v>
      </c>
      <c r="CZ5" s="21">
        <f>預測IC!CZ5</f>
        <v>1.6345621066842339E-3</v>
      </c>
      <c r="DA5" s="21">
        <f>預測IC!DA5</f>
        <v>4.0989739461057587E-4</v>
      </c>
      <c r="DB5" s="21">
        <f>預測IC!DB5</f>
        <v>4.4160124984572238E-3</v>
      </c>
      <c r="DC5" s="21">
        <f>預測IC!DC5</f>
        <v>2.6999676534044229E-2</v>
      </c>
      <c r="DD5" s="21">
        <f>預測IC!DD5</f>
        <v>9.3187860184787523E-3</v>
      </c>
      <c r="DE5" s="21">
        <f>預測IC!DE5</f>
        <v>-7.7970742974550434E-3</v>
      </c>
      <c r="DF5" s="21">
        <f>預測IC!DF5</f>
        <v>-8.1874226333864611E-3</v>
      </c>
      <c r="DG5" s="21">
        <f>預測IC!DG5</f>
        <v>4.7082207843577081E-3</v>
      </c>
      <c r="DH5" s="21">
        <f>預測IC!DH5</f>
        <v>-1.366700326533769E-2</v>
      </c>
      <c r="DI5" s="21">
        <f>預測IC!DI5</f>
        <v>-7.0506889413944297E-3</v>
      </c>
      <c r="DJ5" s="21">
        <f>預測IC!DJ5</f>
        <v>-1.7588579481036151E-3</v>
      </c>
      <c r="DK5" s="21">
        <f>預測IC!DK5</f>
        <v>3.3090688344859318E-3</v>
      </c>
      <c r="DL5" s="21">
        <f>預測IC!DL5</f>
        <v>4.8628677609277053E-3</v>
      </c>
      <c r="DM5" s="21">
        <f>預測IC!DM5</f>
        <v>3.615095063496505E-3</v>
      </c>
      <c r="DN5" s="21">
        <f>預測IC!DN5</f>
        <v>6.2882035928106261E-3</v>
      </c>
      <c r="DO5" s="21">
        <f>預測IC!DO5</f>
        <v>3.5527335435835928E-3</v>
      </c>
      <c r="DP5" s="21">
        <f>預測IC!DP5</f>
        <v>2.522276075432245E-3</v>
      </c>
      <c r="DQ5" s="21">
        <f>預測IC!DQ5</f>
        <v>-1.066481554793703E-2</v>
      </c>
      <c r="DR5" s="21">
        <f>預測IC!DR5</f>
        <v>1.0994664104448231E-2</v>
      </c>
      <c r="DS5" s="21">
        <f>預測IC!DS5</f>
        <v>-6.4490210014508389E-4</v>
      </c>
      <c r="DT5" s="21">
        <f>預測IC!DT5</f>
        <v>2.3512508887306921E-4</v>
      </c>
      <c r="DU5" s="21">
        <f>預測IC!DU5</f>
        <v>7.3690345715555156E-3</v>
      </c>
      <c r="DV5" s="21">
        <f>預測IC!DV5</f>
        <v>6.7783151790338399E-3</v>
      </c>
      <c r="DW5" s="21">
        <f>預測IC!DW5</f>
        <v>-3.7712345710407022E-3</v>
      </c>
      <c r="DX5" s="21">
        <f>預測IC!DX5</f>
        <v>1.105501636716033E-3</v>
      </c>
      <c r="DY5" s="21">
        <f>預測IC!DY5</f>
        <v>3.3867890298772299E-3</v>
      </c>
      <c r="DZ5" s="21">
        <f>預測IC!DZ5</f>
        <v>3.2550462209418539E-3</v>
      </c>
      <c r="EA5" s="21">
        <f>預測IC!EA5</f>
        <v>6.2664247918384338E-3</v>
      </c>
      <c r="EB5" s="21">
        <f>預測IC!EB5</f>
        <v>-1.711276767800882E-2</v>
      </c>
      <c r="EC5" s="21">
        <f>預測IC!EC5</f>
        <v>-2.088664436358852E-2</v>
      </c>
      <c r="ED5" s="21">
        <f>預測IC!ED5</f>
        <v>-1.0693731182181591E-2</v>
      </c>
      <c r="EE5" s="21">
        <f>預測IC!EE5</f>
        <v>-1.1958726691457309E-2</v>
      </c>
      <c r="EF5" s="21">
        <f>預測IC!EF5</f>
        <v>-1.4122559209273111E-2</v>
      </c>
      <c r="EG5" s="1"/>
    </row>
    <row r="6" spans="1:137" s="2" customFormat="1">
      <c r="A6" s="27" t="s">
        <v>139</v>
      </c>
      <c r="B6" s="28"/>
      <c r="C6" s="9">
        <f t="array" ref="C6">MATCH(MAX(ABS(C3:C5)), ABS(C3:C5), 0)</f>
        <v>2</v>
      </c>
      <c r="D6" s="9">
        <f t="array" ref="D6">MATCH(MAX(ABS(D3:D5)), ABS(D3:D5), 0)</f>
        <v>2</v>
      </c>
      <c r="E6" s="9">
        <f t="array" ref="E6">MATCH(MAX(ABS(E3:E5)), ABS(E3:E5), 0)</f>
        <v>2</v>
      </c>
      <c r="F6" s="9">
        <f t="array" ref="F6">MATCH(MAX(ABS(F3:F5)), ABS(F3:F5), 0)</f>
        <v>2</v>
      </c>
      <c r="G6" s="9">
        <f t="array" ref="G6">MATCH(MAX(ABS(G3:G5)), ABS(G3:G5), 0)</f>
        <v>2</v>
      </c>
      <c r="H6" s="9">
        <f t="array" ref="H6">MATCH(MAX(ABS(H3:H5)), ABS(H3:H5), 0)</f>
        <v>2</v>
      </c>
      <c r="I6" s="9">
        <f t="array" ref="I6">MATCH(MAX(ABS(I3:I5)), ABS(I3:I5), 0)</f>
        <v>2</v>
      </c>
      <c r="J6" s="9">
        <f t="array" ref="J6">MATCH(MAX(ABS(J3:J5)), ABS(J3:J5), 0)</f>
        <v>2</v>
      </c>
      <c r="K6" s="9">
        <f t="array" ref="K6">MATCH(MAX(ABS(K3:K5)), ABS(K3:K5), 0)</f>
        <v>2</v>
      </c>
      <c r="L6" s="9">
        <f t="array" ref="L6">MATCH(MAX(ABS(L3:L5)), ABS(L3:L5), 0)</f>
        <v>2</v>
      </c>
      <c r="M6" s="9">
        <f t="array" ref="M6">MATCH(MAX(ABS(M3:M5)), ABS(M3:M5), 0)</f>
        <v>1</v>
      </c>
      <c r="N6" s="9">
        <f t="array" ref="N6">MATCH(MAX(ABS(N3:N5)), ABS(N3:N5), 0)</f>
        <v>2</v>
      </c>
      <c r="O6" s="9">
        <f t="array" ref="O6">MATCH(MAX(ABS(O3:O5)), ABS(O3:O5), 0)</f>
        <v>2</v>
      </c>
      <c r="P6" s="9">
        <f t="array" ref="P6">MATCH(MAX(ABS(P3:P5)), ABS(P3:P5), 0)</f>
        <v>2</v>
      </c>
      <c r="Q6" s="9">
        <f t="array" ref="Q6">MATCH(MAX(ABS(Q3:Q5)), ABS(Q3:Q5), 0)</f>
        <v>2</v>
      </c>
      <c r="R6" s="9">
        <f t="array" ref="R6">MATCH(MAX(ABS(R3:R5)), ABS(R3:R5), 0)</f>
        <v>2</v>
      </c>
      <c r="S6" s="9">
        <f t="array" ref="S6">MATCH(MAX(ABS(S3:S5)), ABS(S3:S5), 0)</f>
        <v>2</v>
      </c>
      <c r="T6" s="9">
        <f t="array" ref="T6">MATCH(MAX(ABS(T3:T5)), ABS(T3:T5), 0)</f>
        <v>1</v>
      </c>
      <c r="U6" s="9">
        <f t="array" ref="U6">MATCH(MAX(ABS(U3:U5)), ABS(U3:U5), 0)</f>
        <v>2</v>
      </c>
      <c r="V6" s="9">
        <f t="array" ref="V6">MATCH(MAX(ABS(V3:V5)), ABS(V3:V5), 0)</f>
        <v>2</v>
      </c>
      <c r="W6" s="9">
        <f t="array" ref="W6">MATCH(MAX(ABS(W3:W5)), ABS(W3:W5), 0)</f>
        <v>1</v>
      </c>
      <c r="X6" s="9">
        <f t="array" ref="X6">MATCH(MAX(ABS(X3:X5)), ABS(X3:X5), 0)</f>
        <v>2</v>
      </c>
      <c r="Y6" s="9">
        <f t="array" ref="Y6">MATCH(MAX(ABS(Y3:Y5)), ABS(Y3:Y5), 0)</f>
        <v>2</v>
      </c>
      <c r="Z6" s="9">
        <f t="array" ref="Z6">MATCH(MAX(ABS(Z3:Z5)), ABS(Z3:Z5), 0)</f>
        <v>2</v>
      </c>
      <c r="AA6" s="9">
        <f t="array" ref="AA6">MATCH(MAX(ABS(AA3:AA5)), ABS(AA3:AA5), 0)</f>
        <v>2</v>
      </c>
      <c r="AB6" s="9">
        <f t="array" ref="AB6">MATCH(MAX(ABS(AB3:AB5)), ABS(AB3:AB5), 0)</f>
        <v>3</v>
      </c>
      <c r="AC6" s="9">
        <f t="array" ref="AC6">MATCH(MAX(ABS(AC3:AC5)), ABS(AC3:AC5), 0)</f>
        <v>2</v>
      </c>
      <c r="AD6" s="9">
        <f t="array" ref="AD6">MATCH(MAX(ABS(AD3:AD5)), ABS(AD3:AD5), 0)</f>
        <v>3</v>
      </c>
      <c r="AE6" s="9">
        <f t="array" ref="AE6">MATCH(MAX(ABS(AE3:AE5)), ABS(AE3:AE5), 0)</f>
        <v>2</v>
      </c>
      <c r="AF6" s="9">
        <f t="array" ref="AF6">MATCH(MAX(ABS(AF3:AF5)), ABS(AF3:AF5), 0)</f>
        <v>1</v>
      </c>
      <c r="AG6" s="9">
        <f t="array" ref="AG6">MATCH(MAX(ABS(AG3:AG5)), ABS(AG3:AG5), 0)</f>
        <v>2</v>
      </c>
      <c r="AH6" s="9">
        <f t="array" ref="AH6">MATCH(MAX(ABS(AH3:AH5)), ABS(AH3:AH5), 0)</f>
        <v>1</v>
      </c>
      <c r="AI6" s="9">
        <f t="array" ref="AI6">MATCH(MAX(ABS(AI3:AI5)), ABS(AI3:AI5), 0)</f>
        <v>1</v>
      </c>
      <c r="AJ6" s="9">
        <f t="array" ref="AJ6">MATCH(MAX(ABS(AJ3:AJ5)), ABS(AJ3:AJ5), 0)</f>
        <v>1</v>
      </c>
      <c r="AK6" s="9">
        <f t="array" ref="AK6">MATCH(MAX(ABS(AK3:AK5)), ABS(AK3:AK5), 0)</f>
        <v>1</v>
      </c>
      <c r="AL6" s="9">
        <f t="array" ref="AL6">MATCH(MAX(ABS(AL3:AL5)), ABS(AL3:AL5), 0)</f>
        <v>1</v>
      </c>
      <c r="AM6" s="9">
        <f t="array" ref="AM6">MATCH(MAX(ABS(AM3:AM5)), ABS(AM3:AM5), 0)</f>
        <v>1</v>
      </c>
      <c r="AN6" s="9">
        <f t="array" ref="AN6">MATCH(MAX(ABS(AN3:AN5)), ABS(AN3:AN5), 0)</f>
        <v>1</v>
      </c>
      <c r="AO6" s="9">
        <f t="array" ref="AO6">MATCH(MAX(ABS(AO3:AO5)), ABS(AO3:AO5), 0)</f>
        <v>1</v>
      </c>
      <c r="AP6" s="9">
        <f t="array" ref="AP6">MATCH(MAX(ABS(AP3:AP5)), ABS(AP3:AP5), 0)</f>
        <v>1</v>
      </c>
      <c r="AQ6" s="9">
        <f t="array" ref="AQ6">MATCH(MAX(ABS(AQ3:AQ5)), ABS(AQ3:AQ5), 0)</f>
        <v>1</v>
      </c>
      <c r="AR6" s="9">
        <f t="array" ref="AR6">MATCH(MAX(ABS(AR3:AR5)), ABS(AR3:AR5), 0)</f>
        <v>1</v>
      </c>
      <c r="AS6" s="9">
        <f t="array" ref="AS6">MATCH(MAX(ABS(AS3:AS5)), ABS(AS3:AS5), 0)</f>
        <v>1</v>
      </c>
      <c r="AT6" s="9">
        <f t="array" ref="AT6">MATCH(MAX(ABS(AT3:AT5)), ABS(AT3:AT5), 0)</f>
        <v>1</v>
      </c>
      <c r="AU6" s="9">
        <f t="array" ref="AU6">MATCH(MAX(ABS(AU3:AU5)), ABS(AU3:AU5), 0)</f>
        <v>1</v>
      </c>
      <c r="AV6" s="9">
        <f t="array" ref="AV6">MATCH(MAX(ABS(AV3:AV5)), ABS(AV3:AV5), 0)</f>
        <v>1</v>
      </c>
      <c r="AW6" s="9">
        <f t="array" ref="AW6">MATCH(MAX(ABS(AW3:AW5)), ABS(AW3:AW5), 0)</f>
        <v>1</v>
      </c>
      <c r="AX6" s="9">
        <f t="array" ref="AX6">MATCH(MAX(ABS(AX3:AX5)), ABS(AX3:AX5), 0)</f>
        <v>1</v>
      </c>
      <c r="AY6" s="9">
        <f t="array" ref="AY6">MATCH(MAX(ABS(AY3:AY5)), ABS(AY3:AY5), 0)</f>
        <v>1</v>
      </c>
      <c r="AZ6" s="9">
        <f t="array" ref="AZ6">MATCH(MAX(ABS(AZ3:AZ5)), ABS(AZ3:AZ5), 0)</f>
        <v>1</v>
      </c>
      <c r="BA6" s="9">
        <f t="array" ref="BA6">MATCH(MAX(ABS(BA3:BA5)), ABS(BA3:BA5), 0)</f>
        <v>2</v>
      </c>
      <c r="BB6" s="9">
        <f t="array" ref="BB6">MATCH(MAX(ABS(BB3:BB5)), ABS(BB3:BB5), 0)</f>
        <v>2</v>
      </c>
      <c r="BC6" s="9">
        <f t="array" ref="BC6">MATCH(MAX(ABS(BC3:BC5)), ABS(BC3:BC5), 0)</f>
        <v>1</v>
      </c>
      <c r="BD6" s="9">
        <f t="array" ref="BD6">MATCH(MAX(ABS(BD3:BD5)), ABS(BD3:BD5), 0)</f>
        <v>1</v>
      </c>
      <c r="BE6" s="9">
        <f t="array" ref="BE6">MATCH(MAX(ABS(BE3:BE5)), ABS(BE3:BE5), 0)</f>
        <v>1</v>
      </c>
      <c r="BF6" s="9">
        <f t="array" ref="BF6">MATCH(MAX(ABS(BF3:BF5)), ABS(BF3:BF5), 0)</f>
        <v>1</v>
      </c>
      <c r="BG6" s="9">
        <f t="array" ref="BG6">MATCH(MAX(ABS(BG3:BG5)), ABS(BG3:BG5), 0)</f>
        <v>1</v>
      </c>
      <c r="BH6" s="9">
        <f t="array" ref="BH6">MATCH(MAX(ABS(BH3:BH5)), ABS(BH3:BH5), 0)</f>
        <v>1</v>
      </c>
      <c r="BI6" s="9">
        <f t="array" ref="BI6">MATCH(MAX(ABS(BI3:BI5)), ABS(BI3:BI5), 0)</f>
        <v>1</v>
      </c>
      <c r="BJ6" s="9">
        <f t="array" ref="BJ6">MATCH(MAX(ABS(BJ3:BJ5)), ABS(BJ3:BJ5), 0)</f>
        <v>1</v>
      </c>
      <c r="BK6" s="9">
        <f t="array" ref="BK6">MATCH(MAX(ABS(BK3:BK5)), ABS(BK3:BK5), 0)</f>
        <v>1</v>
      </c>
      <c r="BL6" s="9">
        <f t="array" ref="BL6">MATCH(MAX(ABS(BL3:BL5)), ABS(BL3:BL5), 0)</f>
        <v>1</v>
      </c>
      <c r="BM6" s="9">
        <f t="array" ref="BM6">MATCH(MAX(ABS(BM3:BM5)), ABS(BM3:BM5), 0)</f>
        <v>3</v>
      </c>
      <c r="BN6" s="9">
        <f t="array" ref="BN6">MATCH(MAX(ABS(BN3:BN5)), ABS(BN3:BN5), 0)</f>
        <v>1</v>
      </c>
      <c r="BO6" s="9">
        <f t="array" ref="BO6">MATCH(MAX(ABS(BO3:BO5)), ABS(BO3:BO5), 0)</f>
        <v>1</v>
      </c>
      <c r="BP6" s="9">
        <f t="array" ref="BP6">MATCH(MAX(ABS(BP3:BP5)), ABS(BP3:BP5), 0)</f>
        <v>1</v>
      </c>
      <c r="BQ6" s="9">
        <f t="array" ref="BQ6">MATCH(MAX(ABS(BQ3:BQ5)), ABS(BQ3:BQ5), 0)</f>
        <v>1</v>
      </c>
      <c r="BR6" s="9">
        <f t="array" ref="BR6">MATCH(MAX(ABS(BR3:BR5)), ABS(BR3:BR5), 0)</f>
        <v>1</v>
      </c>
      <c r="BS6" s="9">
        <f t="array" ref="BS6">MATCH(MAX(ABS(BS3:BS5)), ABS(BS3:BS5), 0)</f>
        <v>1</v>
      </c>
      <c r="BT6" s="9">
        <f t="array" ref="BT6">MATCH(MAX(ABS(BT3:BT5)), ABS(BT3:BT5), 0)</f>
        <v>1</v>
      </c>
      <c r="BU6" s="9">
        <f t="array" ref="BU6">MATCH(MAX(ABS(BU3:BU5)), ABS(BU3:BU5), 0)</f>
        <v>1</v>
      </c>
      <c r="BV6" s="9">
        <f t="array" ref="BV6">MATCH(MAX(ABS(BV3:BV5)), ABS(BV3:BV5), 0)</f>
        <v>1</v>
      </c>
      <c r="BW6" s="9">
        <f t="array" ref="BW6">MATCH(MAX(ABS(BW3:BW5)), ABS(BW3:BW5), 0)</f>
        <v>1</v>
      </c>
      <c r="BX6" s="9">
        <f t="array" ref="BX6">MATCH(MAX(ABS(BX3:BX5)), ABS(BX3:BX5), 0)</f>
        <v>1</v>
      </c>
      <c r="BY6" s="9">
        <f t="array" ref="BY6">MATCH(MAX(ABS(BY3:BY5)), ABS(BY3:BY5), 0)</f>
        <v>1</v>
      </c>
      <c r="BZ6" s="9">
        <f t="array" ref="BZ6">MATCH(MAX(ABS(BZ3:BZ5)), ABS(BZ3:BZ5), 0)</f>
        <v>1</v>
      </c>
      <c r="CA6" s="9">
        <f t="array" ref="CA6">MATCH(MAX(ABS(CA3:CA5)), ABS(CA3:CA5), 0)</f>
        <v>1</v>
      </c>
      <c r="CB6" s="9">
        <f t="array" ref="CB6">MATCH(MAX(ABS(CB3:CB5)), ABS(CB3:CB5), 0)</f>
        <v>1</v>
      </c>
      <c r="CC6" s="9">
        <f t="array" ref="CC6">MATCH(MAX(ABS(CC3:CC5)), ABS(CC3:CC5), 0)</f>
        <v>2</v>
      </c>
      <c r="CD6" s="9">
        <f t="array" ref="CD6">MATCH(MAX(ABS(CD3:CD5)), ABS(CD3:CD5), 0)</f>
        <v>2</v>
      </c>
      <c r="CE6" s="9">
        <f t="array" ref="CE6">MATCH(MAX(ABS(CE3:CE5)), ABS(CE3:CE5), 0)</f>
        <v>2</v>
      </c>
      <c r="CF6" s="9">
        <f t="array" ref="CF6">MATCH(MAX(ABS(CF3:CF5)), ABS(CF3:CF5), 0)</f>
        <v>2</v>
      </c>
      <c r="CG6" s="9">
        <f t="array" ref="CG6">MATCH(MAX(ABS(CG3:CG5)), ABS(CG3:CG5), 0)</f>
        <v>2</v>
      </c>
      <c r="CH6" s="9">
        <f t="array" ref="CH6">MATCH(MAX(ABS(CH3:CH5)), ABS(CH3:CH5), 0)</f>
        <v>1</v>
      </c>
      <c r="CI6" s="9">
        <f t="array" ref="CI6">MATCH(MAX(ABS(CI3:CI5)), ABS(CI3:CI5), 0)</f>
        <v>1</v>
      </c>
      <c r="CJ6" s="9">
        <f t="array" ref="CJ6">MATCH(MAX(ABS(CJ3:CJ5)), ABS(CJ3:CJ5), 0)</f>
        <v>1</v>
      </c>
      <c r="CK6" s="9">
        <f t="array" ref="CK6">MATCH(MAX(ABS(CK3:CK5)), ABS(CK3:CK5), 0)</f>
        <v>1</v>
      </c>
      <c r="CL6" s="9">
        <f t="array" ref="CL6">MATCH(MAX(ABS(CL3:CL5)), ABS(CL3:CL5), 0)</f>
        <v>1</v>
      </c>
      <c r="CM6" s="9">
        <f t="array" ref="CM6">MATCH(MAX(ABS(CM3:CM5)), ABS(CM3:CM5), 0)</f>
        <v>1</v>
      </c>
      <c r="CN6" s="9">
        <f t="array" ref="CN6">MATCH(MAX(ABS(CN3:CN5)), ABS(CN3:CN5), 0)</f>
        <v>1</v>
      </c>
      <c r="CO6" s="9">
        <f t="array" ref="CO6">MATCH(MAX(ABS(CO3:CO5)), ABS(CO3:CO5), 0)</f>
        <v>1</v>
      </c>
      <c r="CP6" s="9">
        <f t="array" ref="CP6">MATCH(MAX(ABS(CP3:CP5)), ABS(CP3:CP5), 0)</f>
        <v>1</v>
      </c>
      <c r="CQ6" s="9">
        <f t="array" ref="CQ6">MATCH(MAX(ABS(CQ3:CQ5)), ABS(CQ3:CQ5), 0)</f>
        <v>3</v>
      </c>
      <c r="CR6" s="9">
        <f t="array" ref="CR6">MATCH(MAX(ABS(CR3:CR5)), ABS(CR3:CR5), 0)</f>
        <v>2</v>
      </c>
      <c r="CS6" s="9">
        <f t="array" ref="CS6">MATCH(MAX(ABS(CS3:CS5)), ABS(CS3:CS5), 0)</f>
        <v>2</v>
      </c>
      <c r="CT6" s="9">
        <f t="array" ref="CT6">MATCH(MAX(ABS(CT3:CT5)), ABS(CT3:CT5), 0)</f>
        <v>1</v>
      </c>
      <c r="CU6" s="9">
        <f t="array" ref="CU6">MATCH(MAX(ABS(CU3:CU5)), ABS(CU3:CU5), 0)</f>
        <v>1</v>
      </c>
      <c r="CV6" s="9">
        <f t="array" ref="CV6">MATCH(MAX(ABS(CV3:CV5)), ABS(CV3:CV5), 0)</f>
        <v>1</v>
      </c>
      <c r="CW6" s="9">
        <f t="array" ref="CW6">MATCH(MAX(ABS(CW3:CW5)), ABS(CW3:CW5), 0)</f>
        <v>1</v>
      </c>
      <c r="CX6" s="9">
        <f t="array" ref="CX6">MATCH(MAX(ABS(CX3:CX5)), ABS(CX3:CX5), 0)</f>
        <v>1</v>
      </c>
      <c r="CY6" s="9">
        <f t="array" ref="CY6">MATCH(MAX(ABS(CY3:CY5)), ABS(CY3:CY5), 0)</f>
        <v>1</v>
      </c>
      <c r="CZ6" s="9">
        <f t="array" ref="CZ6">MATCH(MAX(ABS(CZ3:CZ5)), ABS(CZ3:CZ5), 0)</f>
        <v>1</v>
      </c>
      <c r="DA6" s="9">
        <f t="array" ref="DA6">MATCH(MAX(ABS(DA3:DA5)), ABS(DA3:DA5), 0)</f>
        <v>1</v>
      </c>
      <c r="DB6" s="9">
        <f t="array" ref="DB6">MATCH(MAX(ABS(DB3:DB5)), ABS(DB3:DB5), 0)</f>
        <v>2</v>
      </c>
      <c r="DC6" s="9">
        <f t="array" ref="DC6">MATCH(MAX(ABS(DC3:DC5)), ABS(DC3:DC5), 0)</f>
        <v>2</v>
      </c>
      <c r="DD6" s="9">
        <f t="array" ref="DD6">MATCH(MAX(ABS(DD3:DD5)), ABS(DD3:DD5), 0)</f>
        <v>2</v>
      </c>
      <c r="DE6" s="9">
        <f t="array" ref="DE6">MATCH(MAX(ABS(DE3:DE5)), ABS(DE3:DE5), 0)</f>
        <v>1</v>
      </c>
      <c r="DF6" s="9">
        <f t="array" ref="DF6">MATCH(MAX(ABS(DF3:DF5)), ABS(DF3:DF5), 0)</f>
        <v>1</v>
      </c>
      <c r="DG6" s="9">
        <f t="array" ref="DG6">MATCH(MAX(ABS(DG3:DG5)), ABS(DG3:DG5), 0)</f>
        <v>1</v>
      </c>
      <c r="DH6" s="9">
        <f t="array" ref="DH6">MATCH(MAX(ABS(DH3:DH5)), ABS(DH3:DH5), 0)</f>
        <v>1</v>
      </c>
      <c r="DI6" s="9">
        <f t="array" ref="DI6">MATCH(MAX(ABS(DI3:DI5)), ABS(DI3:DI5), 0)</f>
        <v>1</v>
      </c>
      <c r="DJ6" s="9">
        <f t="array" ref="DJ6">MATCH(MAX(ABS(DJ3:DJ5)), ABS(DJ3:DJ5), 0)</f>
        <v>2</v>
      </c>
      <c r="DK6" s="9">
        <f t="array" ref="DK6">MATCH(MAX(ABS(DK3:DK5)), ABS(DK3:DK5), 0)</f>
        <v>1</v>
      </c>
      <c r="DL6" s="9">
        <f t="array" ref="DL6">MATCH(MAX(ABS(DL3:DL5)), ABS(DL3:DL5), 0)</f>
        <v>1</v>
      </c>
      <c r="DM6" s="9">
        <f t="array" ref="DM6">MATCH(MAX(ABS(DM3:DM5)), ABS(DM3:DM5), 0)</f>
        <v>1</v>
      </c>
      <c r="DN6" s="9">
        <f t="array" ref="DN6">MATCH(MAX(ABS(DN3:DN5)), ABS(DN3:DN5), 0)</f>
        <v>1</v>
      </c>
      <c r="DO6" s="9">
        <f t="array" ref="DO6">MATCH(MAX(ABS(DO3:DO5)), ABS(DO3:DO5), 0)</f>
        <v>1</v>
      </c>
      <c r="DP6" s="9">
        <f t="array" ref="DP6">MATCH(MAX(ABS(DP3:DP5)), ABS(DP3:DP5), 0)</f>
        <v>1</v>
      </c>
      <c r="DQ6" s="9">
        <f t="array" ref="DQ6">MATCH(MAX(ABS(DQ3:DQ5)), ABS(DQ3:DQ5), 0)</f>
        <v>1</v>
      </c>
      <c r="DR6" s="9">
        <f t="array" ref="DR6">MATCH(MAX(ABS(DR3:DR5)), ABS(DR3:DR5), 0)</f>
        <v>1</v>
      </c>
      <c r="DS6" s="9">
        <f t="array" ref="DS6">MATCH(MAX(ABS(DS3:DS5)), ABS(DS3:DS5), 0)</f>
        <v>1</v>
      </c>
      <c r="DT6" s="9">
        <f t="array" ref="DT6">MATCH(MAX(ABS(DT3:DT5)), ABS(DT3:DT5), 0)</f>
        <v>2</v>
      </c>
      <c r="DU6" s="9">
        <f t="array" ref="DU6">MATCH(MAX(ABS(DU3:DU5)), ABS(DU3:DU5), 0)</f>
        <v>2</v>
      </c>
      <c r="DV6" s="9">
        <f t="array" ref="DV6">MATCH(MAX(ABS(DV3:DV5)), ABS(DV3:DV5), 0)</f>
        <v>1</v>
      </c>
      <c r="DW6" s="9">
        <f t="array" ref="DW6">MATCH(MAX(ABS(DW3:DW5)), ABS(DW3:DW5), 0)</f>
        <v>1</v>
      </c>
      <c r="DX6" s="9">
        <f t="array" ref="DX6">MATCH(MAX(ABS(DX3:DX5)), ABS(DX3:DX5), 0)</f>
        <v>1</v>
      </c>
      <c r="DY6" s="9">
        <f t="array" ref="DY6">MATCH(MAX(ABS(DY3:DY5)), ABS(DY3:DY5), 0)</f>
        <v>2</v>
      </c>
      <c r="DZ6" s="9">
        <f t="array" ref="DZ6">MATCH(MAX(ABS(DZ3:DZ5)), ABS(DZ3:DZ5), 0)</f>
        <v>2</v>
      </c>
      <c r="EA6" s="9">
        <f t="array" ref="EA6">MATCH(MAX(ABS(EA3:EA5)), ABS(EA3:EA5), 0)</f>
        <v>2</v>
      </c>
      <c r="EB6" s="9">
        <f t="array" ref="EB6">MATCH(MAX(ABS(EB3:EB5)), ABS(EB3:EB5), 0)</f>
        <v>1</v>
      </c>
      <c r="EC6" s="9">
        <f t="array" ref="EC6">MATCH(MAX(ABS(EC3:EC5)), ABS(EC3:EC5), 0)</f>
        <v>2</v>
      </c>
      <c r="ED6" s="9">
        <f t="array" ref="ED6">MATCH(MAX(ABS(ED3:ED5)), ABS(ED3:ED5), 0)</f>
        <v>1</v>
      </c>
      <c r="EE6" s="9">
        <f t="array" ref="EE6">MATCH(MAX(ABS(EE3:EE5)), ABS(EE3:EE5), 0)</f>
        <v>1</v>
      </c>
      <c r="EF6" s="9">
        <f t="array" ref="EF6">MATCH(MAX(ABS(EF3:EF5)), ABS(EF3:EF5), 0)</f>
        <v>1</v>
      </c>
    </row>
    <row r="7" spans="1:137" s="2" customFormat="1">
      <c r="C7" s="9" t="str">
        <f t="shared" ref="C7:BN7" si="0">IF(C6=1,"bm",IF(C6=2,"size",IF(C6=3,"mom")))</f>
        <v>size</v>
      </c>
      <c r="D7" s="9" t="str">
        <f t="shared" si="0"/>
        <v>size</v>
      </c>
      <c r="E7" s="9" t="str">
        <f t="shared" si="0"/>
        <v>size</v>
      </c>
      <c r="F7" s="9" t="str">
        <f t="shared" si="0"/>
        <v>size</v>
      </c>
      <c r="G7" s="9" t="str">
        <f t="shared" si="0"/>
        <v>size</v>
      </c>
      <c r="H7" s="9" t="str">
        <f t="shared" si="0"/>
        <v>size</v>
      </c>
      <c r="I7" s="9" t="str">
        <f t="shared" si="0"/>
        <v>size</v>
      </c>
      <c r="J7" s="9" t="str">
        <f t="shared" si="0"/>
        <v>size</v>
      </c>
      <c r="K7" s="9" t="str">
        <f t="shared" si="0"/>
        <v>size</v>
      </c>
      <c r="L7" s="9" t="str">
        <f t="shared" si="0"/>
        <v>size</v>
      </c>
      <c r="M7" s="9" t="str">
        <f t="shared" si="0"/>
        <v>bm</v>
      </c>
      <c r="N7" s="9" t="str">
        <f t="shared" si="0"/>
        <v>size</v>
      </c>
      <c r="O7" s="9" t="str">
        <f t="shared" si="0"/>
        <v>size</v>
      </c>
      <c r="P7" s="9" t="str">
        <f t="shared" si="0"/>
        <v>size</v>
      </c>
      <c r="Q7" s="9" t="str">
        <f t="shared" si="0"/>
        <v>size</v>
      </c>
      <c r="R7" s="9" t="str">
        <f t="shared" si="0"/>
        <v>size</v>
      </c>
      <c r="S7" s="9" t="str">
        <f t="shared" si="0"/>
        <v>size</v>
      </c>
      <c r="T7" s="9" t="str">
        <f t="shared" si="0"/>
        <v>bm</v>
      </c>
      <c r="U7" s="9" t="str">
        <f t="shared" si="0"/>
        <v>size</v>
      </c>
      <c r="V7" s="9" t="str">
        <f t="shared" si="0"/>
        <v>size</v>
      </c>
      <c r="W7" s="9" t="str">
        <f t="shared" si="0"/>
        <v>bm</v>
      </c>
      <c r="X7" s="9" t="str">
        <f t="shared" si="0"/>
        <v>size</v>
      </c>
      <c r="Y7" s="9" t="str">
        <f t="shared" si="0"/>
        <v>size</v>
      </c>
      <c r="Z7" s="9" t="str">
        <f t="shared" si="0"/>
        <v>size</v>
      </c>
      <c r="AA7" s="9" t="str">
        <f t="shared" si="0"/>
        <v>size</v>
      </c>
      <c r="AB7" s="9" t="str">
        <f t="shared" si="0"/>
        <v>mom</v>
      </c>
      <c r="AC7" s="9" t="str">
        <f t="shared" si="0"/>
        <v>size</v>
      </c>
      <c r="AD7" s="9" t="str">
        <f t="shared" si="0"/>
        <v>mom</v>
      </c>
      <c r="AE7" s="9" t="str">
        <f t="shared" si="0"/>
        <v>size</v>
      </c>
      <c r="AF7" s="9" t="str">
        <f t="shared" si="0"/>
        <v>bm</v>
      </c>
      <c r="AG7" s="9" t="str">
        <f t="shared" si="0"/>
        <v>size</v>
      </c>
      <c r="AH7" s="9" t="str">
        <f t="shared" si="0"/>
        <v>bm</v>
      </c>
      <c r="AI7" s="9" t="str">
        <f t="shared" si="0"/>
        <v>bm</v>
      </c>
      <c r="AJ7" s="9" t="str">
        <f t="shared" si="0"/>
        <v>bm</v>
      </c>
      <c r="AK7" s="9" t="str">
        <f t="shared" si="0"/>
        <v>bm</v>
      </c>
      <c r="AL7" s="9" t="str">
        <f t="shared" si="0"/>
        <v>bm</v>
      </c>
      <c r="AM7" s="9" t="str">
        <f t="shared" si="0"/>
        <v>bm</v>
      </c>
      <c r="AN7" s="9" t="str">
        <f t="shared" si="0"/>
        <v>bm</v>
      </c>
      <c r="AO7" s="9" t="str">
        <f t="shared" si="0"/>
        <v>bm</v>
      </c>
      <c r="AP7" s="9" t="str">
        <f t="shared" si="0"/>
        <v>bm</v>
      </c>
      <c r="AQ7" s="9" t="str">
        <f t="shared" si="0"/>
        <v>bm</v>
      </c>
      <c r="AR7" s="9" t="str">
        <f t="shared" si="0"/>
        <v>bm</v>
      </c>
      <c r="AS7" s="9" t="str">
        <f t="shared" si="0"/>
        <v>bm</v>
      </c>
      <c r="AT7" s="9" t="str">
        <f t="shared" si="0"/>
        <v>bm</v>
      </c>
      <c r="AU7" s="9" t="str">
        <f t="shared" si="0"/>
        <v>bm</v>
      </c>
      <c r="AV7" s="9" t="str">
        <f t="shared" si="0"/>
        <v>bm</v>
      </c>
      <c r="AW7" s="9" t="str">
        <f t="shared" si="0"/>
        <v>bm</v>
      </c>
      <c r="AX7" s="9" t="str">
        <f t="shared" si="0"/>
        <v>bm</v>
      </c>
      <c r="AY7" s="9" t="str">
        <f t="shared" si="0"/>
        <v>bm</v>
      </c>
      <c r="AZ7" s="9" t="str">
        <f t="shared" si="0"/>
        <v>bm</v>
      </c>
      <c r="BA7" s="9" t="str">
        <f t="shared" si="0"/>
        <v>size</v>
      </c>
      <c r="BB7" s="9" t="str">
        <f t="shared" si="0"/>
        <v>size</v>
      </c>
      <c r="BC7" s="9" t="str">
        <f t="shared" si="0"/>
        <v>bm</v>
      </c>
      <c r="BD7" s="9" t="str">
        <f t="shared" si="0"/>
        <v>bm</v>
      </c>
      <c r="BE7" s="9" t="str">
        <f t="shared" si="0"/>
        <v>bm</v>
      </c>
      <c r="BF7" s="9" t="str">
        <f t="shared" si="0"/>
        <v>bm</v>
      </c>
      <c r="BG7" s="9" t="str">
        <f t="shared" si="0"/>
        <v>bm</v>
      </c>
      <c r="BH7" s="9" t="str">
        <f t="shared" si="0"/>
        <v>bm</v>
      </c>
      <c r="BI7" s="9" t="str">
        <f t="shared" si="0"/>
        <v>bm</v>
      </c>
      <c r="BJ7" s="9" t="str">
        <f t="shared" si="0"/>
        <v>bm</v>
      </c>
      <c r="BK7" s="9" t="str">
        <f t="shared" si="0"/>
        <v>bm</v>
      </c>
      <c r="BL7" s="9" t="str">
        <f t="shared" si="0"/>
        <v>bm</v>
      </c>
      <c r="BM7" s="9" t="str">
        <f t="shared" si="0"/>
        <v>mom</v>
      </c>
      <c r="BN7" s="9" t="str">
        <f t="shared" si="0"/>
        <v>bm</v>
      </c>
      <c r="BO7" s="9" t="str">
        <f t="shared" ref="BO7:DZ7" si="1">IF(BO6=1,"bm",IF(BO6=2,"size",IF(BO6=3,"mom")))</f>
        <v>bm</v>
      </c>
      <c r="BP7" s="9" t="str">
        <f t="shared" si="1"/>
        <v>bm</v>
      </c>
      <c r="BQ7" s="9" t="str">
        <f t="shared" si="1"/>
        <v>bm</v>
      </c>
      <c r="BR7" s="9" t="str">
        <f t="shared" si="1"/>
        <v>bm</v>
      </c>
      <c r="BS7" s="9" t="str">
        <f t="shared" si="1"/>
        <v>bm</v>
      </c>
      <c r="BT7" s="9" t="str">
        <f t="shared" si="1"/>
        <v>bm</v>
      </c>
      <c r="BU7" s="9" t="str">
        <f t="shared" si="1"/>
        <v>bm</v>
      </c>
      <c r="BV7" s="9" t="str">
        <f t="shared" si="1"/>
        <v>bm</v>
      </c>
      <c r="BW7" s="9" t="str">
        <f t="shared" si="1"/>
        <v>bm</v>
      </c>
      <c r="BX7" s="9" t="str">
        <f t="shared" si="1"/>
        <v>bm</v>
      </c>
      <c r="BY7" s="9" t="str">
        <f t="shared" si="1"/>
        <v>bm</v>
      </c>
      <c r="BZ7" s="9" t="str">
        <f t="shared" si="1"/>
        <v>bm</v>
      </c>
      <c r="CA7" s="9" t="str">
        <f t="shared" si="1"/>
        <v>bm</v>
      </c>
      <c r="CB7" s="9" t="str">
        <f t="shared" si="1"/>
        <v>bm</v>
      </c>
      <c r="CC7" s="9" t="str">
        <f t="shared" si="1"/>
        <v>size</v>
      </c>
      <c r="CD7" s="9" t="str">
        <f t="shared" si="1"/>
        <v>size</v>
      </c>
      <c r="CE7" s="9" t="str">
        <f t="shared" si="1"/>
        <v>size</v>
      </c>
      <c r="CF7" s="9" t="str">
        <f t="shared" si="1"/>
        <v>size</v>
      </c>
      <c r="CG7" s="9" t="str">
        <f t="shared" si="1"/>
        <v>size</v>
      </c>
      <c r="CH7" s="9" t="str">
        <f t="shared" si="1"/>
        <v>bm</v>
      </c>
      <c r="CI7" s="9" t="str">
        <f t="shared" si="1"/>
        <v>bm</v>
      </c>
      <c r="CJ7" s="9" t="str">
        <f t="shared" si="1"/>
        <v>bm</v>
      </c>
      <c r="CK7" s="9" t="str">
        <f t="shared" si="1"/>
        <v>bm</v>
      </c>
      <c r="CL7" s="9" t="str">
        <f t="shared" si="1"/>
        <v>bm</v>
      </c>
      <c r="CM7" s="9" t="str">
        <f t="shared" si="1"/>
        <v>bm</v>
      </c>
      <c r="CN7" s="9" t="str">
        <f t="shared" si="1"/>
        <v>bm</v>
      </c>
      <c r="CO7" s="9" t="str">
        <f t="shared" si="1"/>
        <v>bm</v>
      </c>
      <c r="CP7" s="9" t="str">
        <f t="shared" si="1"/>
        <v>bm</v>
      </c>
      <c r="CQ7" s="9" t="str">
        <f t="shared" si="1"/>
        <v>mom</v>
      </c>
      <c r="CR7" s="9" t="str">
        <f t="shared" si="1"/>
        <v>size</v>
      </c>
      <c r="CS7" s="9" t="str">
        <f t="shared" si="1"/>
        <v>size</v>
      </c>
      <c r="CT7" s="9" t="str">
        <f t="shared" si="1"/>
        <v>bm</v>
      </c>
      <c r="CU7" s="9" t="str">
        <f t="shared" si="1"/>
        <v>bm</v>
      </c>
      <c r="CV7" s="9" t="str">
        <f t="shared" si="1"/>
        <v>bm</v>
      </c>
      <c r="CW7" s="9" t="str">
        <f t="shared" si="1"/>
        <v>bm</v>
      </c>
      <c r="CX7" s="9" t="str">
        <f t="shared" si="1"/>
        <v>bm</v>
      </c>
      <c r="CY7" s="9" t="str">
        <f t="shared" si="1"/>
        <v>bm</v>
      </c>
      <c r="CZ7" s="9" t="str">
        <f t="shared" si="1"/>
        <v>bm</v>
      </c>
      <c r="DA7" s="9" t="str">
        <f t="shared" si="1"/>
        <v>bm</v>
      </c>
      <c r="DB7" s="9" t="str">
        <f t="shared" si="1"/>
        <v>size</v>
      </c>
      <c r="DC7" s="9" t="str">
        <f t="shared" si="1"/>
        <v>size</v>
      </c>
      <c r="DD7" s="9" t="str">
        <f t="shared" si="1"/>
        <v>size</v>
      </c>
      <c r="DE7" s="9" t="str">
        <f t="shared" si="1"/>
        <v>bm</v>
      </c>
      <c r="DF7" s="9" t="str">
        <f t="shared" si="1"/>
        <v>bm</v>
      </c>
      <c r="DG7" s="9" t="str">
        <f t="shared" si="1"/>
        <v>bm</v>
      </c>
      <c r="DH7" s="9" t="str">
        <f t="shared" si="1"/>
        <v>bm</v>
      </c>
      <c r="DI7" s="9" t="str">
        <f t="shared" si="1"/>
        <v>bm</v>
      </c>
      <c r="DJ7" s="9" t="str">
        <f t="shared" si="1"/>
        <v>size</v>
      </c>
      <c r="DK7" s="9" t="str">
        <f t="shared" si="1"/>
        <v>bm</v>
      </c>
      <c r="DL7" s="9" t="str">
        <f t="shared" si="1"/>
        <v>bm</v>
      </c>
      <c r="DM7" s="9" t="str">
        <f t="shared" si="1"/>
        <v>bm</v>
      </c>
      <c r="DN7" s="9" t="str">
        <f t="shared" si="1"/>
        <v>bm</v>
      </c>
      <c r="DO7" s="9" t="str">
        <f t="shared" si="1"/>
        <v>bm</v>
      </c>
      <c r="DP7" s="9" t="str">
        <f t="shared" si="1"/>
        <v>bm</v>
      </c>
      <c r="DQ7" s="9" t="str">
        <f t="shared" si="1"/>
        <v>bm</v>
      </c>
      <c r="DR7" s="9" t="str">
        <f t="shared" si="1"/>
        <v>bm</v>
      </c>
      <c r="DS7" s="9" t="str">
        <f t="shared" si="1"/>
        <v>bm</v>
      </c>
      <c r="DT7" s="9" t="str">
        <f t="shared" si="1"/>
        <v>size</v>
      </c>
      <c r="DU7" s="9" t="str">
        <f t="shared" si="1"/>
        <v>size</v>
      </c>
      <c r="DV7" s="9" t="str">
        <f t="shared" si="1"/>
        <v>bm</v>
      </c>
      <c r="DW7" s="9" t="str">
        <f t="shared" si="1"/>
        <v>bm</v>
      </c>
      <c r="DX7" s="9" t="str">
        <f t="shared" si="1"/>
        <v>bm</v>
      </c>
      <c r="DY7" s="9" t="str">
        <f t="shared" si="1"/>
        <v>size</v>
      </c>
      <c r="DZ7" s="9" t="str">
        <f t="shared" si="1"/>
        <v>size</v>
      </c>
      <c r="EA7" s="9" t="str">
        <f t="shared" ref="EA7:EF7" si="2">IF(EA6=1,"bm",IF(EA6=2,"size",IF(EA6=3,"mom")))</f>
        <v>size</v>
      </c>
      <c r="EB7" s="9" t="str">
        <f t="shared" si="2"/>
        <v>bm</v>
      </c>
      <c r="EC7" s="9" t="str">
        <f t="shared" si="2"/>
        <v>size</v>
      </c>
      <c r="ED7" s="9" t="str">
        <f t="shared" si="2"/>
        <v>bm</v>
      </c>
      <c r="EE7" s="9" t="str">
        <f t="shared" si="2"/>
        <v>bm</v>
      </c>
      <c r="EF7" s="9" t="str">
        <f t="shared" si="2"/>
        <v>bm</v>
      </c>
    </row>
    <row r="8" spans="1:137" s="2" customFormat="1">
      <c r="C8" s="9">
        <f t="shared" ref="C8:BN8" si="3">IF(C6=1,C3,IF(C6=2,C4,IF(C6=3,C5)))</f>
        <v>-4.9660484307830009E-2</v>
      </c>
      <c r="D8" s="9">
        <f t="shared" si="3"/>
        <v>-6.5232195080165353E-2</v>
      </c>
      <c r="E8" s="9">
        <f t="shared" si="3"/>
        <v>-9.3874054199500026E-2</v>
      </c>
      <c r="F8" s="9">
        <f t="shared" si="3"/>
        <v>-7.3843592245097373E-2</v>
      </c>
      <c r="G8" s="9">
        <f t="shared" si="3"/>
        <v>-2.745888685018728E-2</v>
      </c>
      <c r="H8" s="9">
        <f t="shared" si="3"/>
        <v>-3.3398565611267667E-2</v>
      </c>
      <c r="I8" s="9">
        <f t="shared" si="3"/>
        <v>-4.7136189417385607E-2</v>
      </c>
      <c r="J8" s="9">
        <f t="shared" si="3"/>
        <v>-4.6203432590894752E-2</v>
      </c>
      <c r="K8" s="9">
        <f t="shared" si="3"/>
        <v>-4.5932097646850877E-2</v>
      </c>
      <c r="L8" s="9">
        <f t="shared" si="3"/>
        <v>-3.9679751627069763E-2</v>
      </c>
      <c r="M8" s="9">
        <f t="shared" si="3"/>
        <v>3.2729103566482703E-2</v>
      </c>
      <c r="N8" s="9">
        <f t="shared" si="3"/>
        <v>-3.5831351641089762E-2</v>
      </c>
      <c r="O8" s="9">
        <f t="shared" si="3"/>
        <v>-5.70229981056335E-2</v>
      </c>
      <c r="P8" s="9">
        <f t="shared" si="3"/>
        <v>-4.2462781327895993E-2</v>
      </c>
      <c r="Q8" s="9">
        <f t="shared" si="3"/>
        <v>-3.7772394962975513E-2</v>
      </c>
      <c r="R8" s="9">
        <f t="shared" si="3"/>
        <v>-2.862835448000129E-2</v>
      </c>
      <c r="S8" s="9">
        <f t="shared" si="3"/>
        <v>-3.099793016810054E-2</v>
      </c>
      <c r="T8" s="9">
        <f t="shared" si="3"/>
        <v>2.262072807092802E-2</v>
      </c>
      <c r="U8" s="9">
        <f t="shared" si="3"/>
        <v>-3.5326677132364037E-2</v>
      </c>
      <c r="V8" s="9">
        <f t="shared" si="3"/>
        <v>-2.9502132625226989E-2</v>
      </c>
      <c r="W8" s="9">
        <f t="shared" si="3"/>
        <v>4.5784045042201092E-2</v>
      </c>
      <c r="X8" s="9">
        <f t="shared" si="3"/>
        <v>-5.4483491647159897E-2</v>
      </c>
      <c r="Y8" s="9">
        <f t="shared" si="3"/>
        <v>-5.7374231531351433E-2</v>
      </c>
      <c r="Z8" s="9">
        <f t="shared" si="3"/>
        <v>-5.0628448585672892E-2</v>
      </c>
      <c r="AA8" s="9">
        <f t="shared" si="3"/>
        <v>-4.231975801219371E-2</v>
      </c>
      <c r="AB8" s="9">
        <f t="shared" si="3"/>
        <v>-4.9937139241651593E-2</v>
      </c>
      <c r="AC8" s="9">
        <f t="shared" si="3"/>
        <v>-3.845543636405753E-2</v>
      </c>
      <c r="AD8" s="9">
        <f t="shared" si="3"/>
        <v>-6.5956474854444447E-2</v>
      </c>
      <c r="AE8" s="9">
        <f t="shared" si="3"/>
        <v>-3.4795070629380642E-2</v>
      </c>
      <c r="AF8" s="9">
        <f t="shared" si="3"/>
        <v>1.3117941025955079E-2</v>
      </c>
      <c r="AG8" s="9">
        <f t="shared" si="3"/>
        <v>-3.2239282506807423E-2</v>
      </c>
      <c r="AH8" s="9">
        <f t="shared" si="3"/>
        <v>3.1884444011299258E-2</v>
      </c>
      <c r="AI8" s="9">
        <f t="shared" si="3"/>
        <v>3.6385761193522617E-2</v>
      </c>
      <c r="AJ8" s="9">
        <f t="shared" si="3"/>
        <v>3.5948919429733099E-2</v>
      </c>
      <c r="AK8" s="9">
        <f t="shared" si="3"/>
        <v>4.3482830969963061E-2</v>
      </c>
      <c r="AL8" s="9">
        <f t="shared" si="3"/>
        <v>3.8462077568039821E-2</v>
      </c>
      <c r="AM8" s="9">
        <f t="shared" si="3"/>
        <v>3.9410244165835981E-2</v>
      </c>
      <c r="AN8" s="9">
        <f t="shared" si="3"/>
        <v>5.0743620516414449E-2</v>
      </c>
      <c r="AO8" s="9">
        <f t="shared" si="3"/>
        <v>5.3684811620656171E-2</v>
      </c>
      <c r="AP8" s="9">
        <f t="shared" si="3"/>
        <v>4.9314899356547669E-2</v>
      </c>
      <c r="AQ8" s="9">
        <f t="shared" si="3"/>
        <v>3.2773687722358558E-2</v>
      </c>
      <c r="AR8" s="9">
        <f t="shared" si="3"/>
        <v>2.8295340626825871E-2</v>
      </c>
      <c r="AS8" s="9">
        <f t="shared" si="3"/>
        <v>2.8377802599917339E-2</v>
      </c>
      <c r="AT8" s="9">
        <f t="shared" si="3"/>
        <v>2.306922946025217E-2</v>
      </c>
      <c r="AU8" s="9">
        <f t="shared" si="3"/>
        <v>2.9397032882625889E-2</v>
      </c>
      <c r="AV8" s="9">
        <f t="shared" si="3"/>
        <v>3.103785222722218E-2</v>
      </c>
      <c r="AW8" s="9">
        <f t="shared" si="3"/>
        <v>2.6297924056821211E-2</v>
      </c>
      <c r="AX8" s="9">
        <f t="shared" si="3"/>
        <v>2.6164811358804361E-2</v>
      </c>
      <c r="AY8" s="9">
        <f t="shared" si="3"/>
        <v>3.2053783671709642E-2</v>
      </c>
      <c r="AZ8" s="9">
        <f t="shared" si="3"/>
        <v>3.4477530774765272E-2</v>
      </c>
      <c r="BA8" s="9">
        <f t="shared" si="3"/>
        <v>-2.9633847899323489E-2</v>
      </c>
      <c r="BB8" s="9">
        <f t="shared" si="3"/>
        <v>-3.6923299522087998E-2</v>
      </c>
      <c r="BC8" s="9">
        <f t="shared" si="3"/>
        <v>3.742177693859082E-2</v>
      </c>
      <c r="BD8" s="9">
        <f t="shared" si="3"/>
        <v>3.141372245226793E-2</v>
      </c>
      <c r="BE8" s="9">
        <f t="shared" si="3"/>
        <v>3.2006411062996218E-2</v>
      </c>
      <c r="BF8" s="9">
        <f t="shared" si="3"/>
        <v>2.828182773285309E-2</v>
      </c>
      <c r="BG8" s="9">
        <f t="shared" si="3"/>
        <v>4.1103436715196499E-2</v>
      </c>
      <c r="BH8" s="9">
        <f t="shared" si="3"/>
        <v>4.5198779339126277E-2</v>
      </c>
      <c r="BI8" s="9">
        <f t="shared" si="3"/>
        <v>4.1588040384802467E-2</v>
      </c>
      <c r="BJ8" s="9">
        <f t="shared" si="3"/>
        <v>4.0723405736309601E-2</v>
      </c>
      <c r="BK8" s="9">
        <f t="shared" si="3"/>
        <v>3.6327700059770963E-2</v>
      </c>
      <c r="BL8" s="9">
        <f t="shared" si="3"/>
        <v>3.6173192149872829E-2</v>
      </c>
      <c r="BM8" s="9">
        <f t="shared" si="3"/>
        <v>-3.7766406128849933E-2</v>
      </c>
      <c r="BN8" s="9">
        <f t="shared" si="3"/>
        <v>3.0814038130409348E-2</v>
      </c>
      <c r="BO8" s="9">
        <f t="shared" ref="BO8:DZ8" si="4">IF(BO6=1,BO3,IF(BO6=2,BO4,IF(BO6=3,BO5)))</f>
        <v>3.065585577146604E-2</v>
      </c>
      <c r="BP8" s="9">
        <f t="shared" si="4"/>
        <v>3.4399631895121928E-2</v>
      </c>
      <c r="BQ8" s="9">
        <f t="shared" si="4"/>
        <v>3.4868650026028229E-2</v>
      </c>
      <c r="BR8" s="9">
        <f t="shared" si="4"/>
        <v>3.6324039848933801E-2</v>
      </c>
      <c r="BS8" s="9">
        <f t="shared" si="4"/>
        <v>3.6164468096582629E-2</v>
      </c>
      <c r="BT8" s="9">
        <f t="shared" si="4"/>
        <v>3.8668894956456937E-2</v>
      </c>
      <c r="BU8" s="9">
        <f t="shared" si="4"/>
        <v>4.1103483948852763E-2</v>
      </c>
      <c r="BV8" s="9">
        <f t="shared" si="4"/>
        <v>2.8684133448632881E-2</v>
      </c>
      <c r="BW8" s="9">
        <f t="shared" si="4"/>
        <v>3.521650986163926E-2</v>
      </c>
      <c r="BX8" s="9">
        <f t="shared" si="4"/>
        <v>4.0767200067914261E-2</v>
      </c>
      <c r="BY8" s="9">
        <f t="shared" si="4"/>
        <v>2.160353774972024E-2</v>
      </c>
      <c r="BZ8" s="9">
        <f t="shared" si="4"/>
        <v>3.0433668800390778E-2</v>
      </c>
      <c r="CA8" s="9">
        <f t="shared" si="4"/>
        <v>3.7311958080318418E-2</v>
      </c>
      <c r="CB8" s="9">
        <f t="shared" si="4"/>
        <v>2.7612053143104789E-2</v>
      </c>
      <c r="CC8" s="9">
        <f t="shared" si="4"/>
        <v>-4.111205153911144E-2</v>
      </c>
      <c r="CD8" s="9">
        <f t="shared" si="4"/>
        <v>-3.2535405185557913E-2</v>
      </c>
      <c r="CE8" s="9">
        <f t="shared" si="4"/>
        <v>-3.0323266480776649E-2</v>
      </c>
      <c r="CF8" s="9">
        <f t="shared" si="4"/>
        <v>-6.1293189114789898E-2</v>
      </c>
      <c r="CG8" s="9">
        <f t="shared" si="4"/>
        <v>-4.4169748382986783E-2</v>
      </c>
      <c r="CH8" s="9">
        <f t="shared" si="4"/>
        <v>4.0909001215823582E-2</v>
      </c>
      <c r="CI8" s="9">
        <f t="shared" si="4"/>
        <v>3.9050253240311222E-2</v>
      </c>
      <c r="CJ8" s="9">
        <f t="shared" si="4"/>
        <v>2.4561899640003909E-2</v>
      </c>
      <c r="CK8" s="9">
        <f t="shared" si="4"/>
        <v>3.413446187252573E-2</v>
      </c>
      <c r="CL8" s="9">
        <f t="shared" si="4"/>
        <v>3.5925937532879773E-2</v>
      </c>
      <c r="CM8" s="9">
        <f t="shared" si="4"/>
        <v>4.2466042159304301E-2</v>
      </c>
      <c r="CN8" s="9">
        <f t="shared" si="4"/>
        <v>3.6523906516241801E-2</v>
      </c>
      <c r="CO8" s="9">
        <f t="shared" si="4"/>
        <v>3.765914957102829E-2</v>
      </c>
      <c r="CP8" s="9">
        <f t="shared" si="4"/>
        <v>3.9957834472595419E-2</v>
      </c>
      <c r="CQ8" s="9">
        <f t="shared" si="4"/>
        <v>9.0067640458367376E-3</v>
      </c>
      <c r="CR8" s="9">
        <f t="shared" si="4"/>
        <v>-1.917966682871176E-2</v>
      </c>
      <c r="CS8" s="9">
        <f t="shared" si="4"/>
        <v>-2.334741602504313E-2</v>
      </c>
      <c r="CT8" s="9">
        <f t="shared" si="4"/>
        <v>4.0972167824902372E-2</v>
      </c>
      <c r="CU8" s="9">
        <f t="shared" si="4"/>
        <v>3.8942373224816529E-2</v>
      </c>
      <c r="CV8" s="9">
        <f t="shared" si="4"/>
        <v>4.3015000500199303E-2</v>
      </c>
      <c r="CW8" s="9">
        <f t="shared" si="4"/>
        <v>3.9706600079107618E-2</v>
      </c>
      <c r="CX8" s="9">
        <f t="shared" si="4"/>
        <v>3.9171022856911548E-2</v>
      </c>
      <c r="CY8" s="9">
        <f t="shared" si="4"/>
        <v>3.4940834769569752E-2</v>
      </c>
      <c r="CZ8" s="9">
        <f t="shared" si="4"/>
        <v>3.6026834228159298E-2</v>
      </c>
      <c r="DA8" s="9">
        <f t="shared" si="4"/>
        <v>4.450954814790925E-2</v>
      </c>
      <c r="DB8" s="9">
        <f t="shared" si="4"/>
        <v>-4.4725026400587967E-2</v>
      </c>
      <c r="DC8" s="9">
        <f t="shared" si="4"/>
        <v>-7.0760377239426644E-2</v>
      </c>
      <c r="DD8" s="9">
        <f t="shared" si="4"/>
        <v>-5.7610036798158112E-2</v>
      </c>
      <c r="DE8" s="9">
        <f t="shared" si="4"/>
        <v>4.199397627237688E-2</v>
      </c>
      <c r="DF8" s="9">
        <f t="shared" si="4"/>
        <v>4.1965348731106439E-2</v>
      </c>
      <c r="DG8" s="9">
        <f t="shared" si="4"/>
        <v>4.0382244799122918E-2</v>
      </c>
      <c r="DH8" s="9">
        <f t="shared" si="4"/>
        <v>3.6787240146963857E-2</v>
      </c>
      <c r="DI8" s="9">
        <f t="shared" si="4"/>
        <v>3.6877765546082367E-2</v>
      </c>
      <c r="DJ8" s="9">
        <f t="shared" si="4"/>
        <v>-3.7819313396098023E-2</v>
      </c>
      <c r="DK8" s="9">
        <f t="shared" si="4"/>
        <v>3.6536443043095952E-2</v>
      </c>
      <c r="DL8" s="9">
        <f t="shared" si="4"/>
        <v>3.1530556219024453E-2</v>
      </c>
      <c r="DM8" s="9">
        <f t="shared" si="4"/>
        <v>2.866223764473836E-2</v>
      </c>
      <c r="DN8" s="9">
        <f t="shared" si="4"/>
        <v>3.0844743252797239E-2</v>
      </c>
      <c r="DO8" s="9">
        <f t="shared" si="4"/>
        <v>3.3675363611272838E-2</v>
      </c>
      <c r="DP8" s="9">
        <f t="shared" si="4"/>
        <v>3.5102177512429639E-2</v>
      </c>
      <c r="DQ8" s="9">
        <f t="shared" si="4"/>
        <v>3.6708207074369593E-2</v>
      </c>
      <c r="DR8" s="9">
        <f t="shared" si="4"/>
        <v>3.4114421599711522E-2</v>
      </c>
      <c r="DS8" s="9">
        <f t="shared" si="4"/>
        <v>3.6715906439180969E-2</v>
      </c>
      <c r="DT8" s="9">
        <f t="shared" si="4"/>
        <v>-4.1056175553995593E-2</v>
      </c>
      <c r="DU8" s="9">
        <f t="shared" si="4"/>
        <v>-3.7310764401418541E-2</v>
      </c>
      <c r="DV8" s="9">
        <f t="shared" si="4"/>
        <v>2.524093892652959E-2</v>
      </c>
      <c r="DW8" s="9">
        <f t="shared" si="4"/>
        <v>3.5159202684512107E-2</v>
      </c>
      <c r="DX8" s="9">
        <f t="shared" si="4"/>
        <v>3.2304964005665182E-2</v>
      </c>
      <c r="DY8" s="9">
        <f t="shared" si="4"/>
        <v>-3.3048945391833368E-2</v>
      </c>
      <c r="DZ8" s="9">
        <f t="shared" si="4"/>
        <v>-3.0875828777379061E-2</v>
      </c>
      <c r="EA8" s="9">
        <f t="shared" ref="EA8:EF8" si="5">IF(EA6=1,EA3,IF(EA6=2,EA4,IF(EA6=3,EA5)))</f>
        <v>-3.1659361830993098E-2</v>
      </c>
      <c r="EB8" s="9">
        <f t="shared" si="5"/>
        <v>3.723081253221186E-2</v>
      </c>
      <c r="EC8" s="9">
        <f t="shared" si="5"/>
        <v>-4.1069385194225268E-2</v>
      </c>
      <c r="ED8" s="9">
        <f t="shared" si="5"/>
        <v>3.4186640907954438E-2</v>
      </c>
      <c r="EE8" s="9">
        <f t="shared" si="5"/>
        <v>2.5041157579864491E-2</v>
      </c>
      <c r="EF8" s="9">
        <f t="shared" si="5"/>
        <v>3.4121434975122142E-2</v>
      </c>
    </row>
    <row r="10" spans="1:137">
      <c r="A10" s="27" t="s">
        <v>140</v>
      </c>
      <c r="B10" s="28"/>
      <c r="C10" s="4" t="s">
        <v>141</v>
      </c>
      <c r="D10" s="6">
        <v>964</v>
      </c>
    </row>
    <row r="11" spans="1:137">
      <c r="A11" s="4" t="s">
        <v>142</v>
      </c>
      <c r="B11" s="4" t="s">
        <v>143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5" t="s">
        <v>13</v>
      </c>
      <c r="O11" s="5" t="s">
        <v>14</v>
      </c>
      <c r="P11" s="5" t="s">
        <v>15</v>
      </c>
      <c r="Q11" s="5" t="s">
        <v>16</v>
      </c>
      <c r="R11" s="5" t="s">
        <v>17</v>
      </c>
      <c r="S11" s="5" t="s">
        <v>18</v>
      </c>
      <c r="T11" s="5" t="s">
        <v>19</v>
      </c>
      <c r="U11" s="5" t="s">
        <v>20</v>
      </c>
      <c r="V11" s="5" t="s">
        <v>21</v>
      </c>
      <c r="W11" s="5" t="s">
        <v>22</v>
      </c>
      <c r="X11" s="5" t="s">
        <v>23</v>
      </c>
      <c r="Y11" s="5" t="s">
        <v>24</v>
      </c>
      <c r="Z11" s="5" t="s">
        <v>25</v>
      </c>
      <c r="AA11" s="5" t="s">
        <v>26</v>
      </c>
      <c r="AB11" s="5" t="s">
        <v>27</v>
      </c>
      <c r="AC11" s="5" t="s">
        <v>28</v>
      </c>
      <c r="AD11" s="5" t="s">
        <v>29</v>
      </c>
      <c r="AE11" s="5" t="s">
        <v>30</v>
      </c>
      <c r="AF11" s="5" t="s">
        <v>31</v>
      </c>
      <c r="AG11" s="5" t="s">
        <v>32</v>
      </c>
      <c r="AH11" s="5" t="s">
        <v>33</v>
      </c>
      <c r="AI11" s="5" t="s">
        <v>34</v>
      </c>
      <c r="AJ11" s="5" t="s">
        <v>35</v>
      </c>
      <c r="AK11" s="5" t="s">
        <v>36</v>
      </c>
      <c r="AL11" s="5" t="s">
        <v>37</v>
      </c>
      <c r="AM11" s="5" t="s">
        <v>38</v>
      </c>
      <c r="AN11" s="5" t="s">
        <v>39</v>
      </c>
      <c r="AO11" s="5" t="s">
        <v>40</v>
      </c>
      <c r="AP11" s="5" t="s">
        <v>41</v>
      </c>
      <c r="AQ11" s="5" t="s">
        <v>42</v>
      </c>
      <c r="AR11" s="5" t="s">
        <v>43</v>
      </c>
      <c r="AS11" s="5" t="s">
        <v>44</v>
      </c>
      <c r="AT11" s="5" t="s">
        <v>45</v>
      </c>
      <c r="AU11" s="5" t="s">
        <v>46</v>
      </c>
      <c r="AV11" s="5" t="s">
        <v>47</v>
      </c>
      <c r="AW11" s="5" t="s">
        <v>48</v>
      </c>
      <c r="AX11" s="5" t="s">
        <v>49</v>
      </c>
      <c r="AY11" s="5" t="s">
        <v>50</v>
      </c>
      <c r="AZ11" s="5" t="s">
        <v>51</v>
      </c>
      <c r="BA11" s="5" t="s">
        <v>52</v>
      </c>
      <c r="BB11" s="5" t="s">
        <v>53</v>
      </c>
      <c r="BC11" s="5" t="s">
        <v>54</v>
      </c>
      <c r="BD11" s="5" t="s">
        <v>55</v>
      </c>
      <c r="BE11" s="5" t="s">
        <v>56</v>
      </c>
      <c r="BF11" s="5" t="s">
        <v>57</v>
      </c>
      <c r="BG11" s="5" t="s">
        <v>58</v>
      </c>
      <c r="BH11" s="5" t="s">
        <v>59</v>
      </c>
      <c r="BI11" s="5" t="s">
        <v>60</v>
      </c>
      <c r="BJ11" s="5" t="s">
        <v>61</v>
      </c>
      <c r="BK11" s="5" t="s">
        <v>62</v>
      </c>
      <c r="BL11" s="5" t="s">
        <v>63</v>
      </c>
      <c r="BM11" s="5" t="s">
        <v>64</v>
      </c>
      <c r="BN11" s="5" t="s">
        <v>65</v>
      </c>
      <c r="BO11" s="5" t="s">
        <v>66</v>
      </c>
      <c r="BP11" s="5" t="s">
        <v>67</v>
      </c>
      <c r="BQ11" s="5" t="s">
        <v>68</v>
      </c>
      <c r="BR11" s="5" t="s">
        <v>69</v>
      </c>
      <c r="BS11" s="5" t="s">
        <v>70</v>
      </c>
      <c r="BT11" s="5" t="s">
        <v>71</v>
      </c>
      <c r="BU11" s="5" t="s">
        <v>72</v>
      </c>
      <c r="BV11" s="5" t="s">
        <v>73</v>
      </c>
      <c r="BW11" s="5" t="s">
        <v>74</v>
      </c>
      <c r="BX11" s="5" t="s">
        <v>75</v>
      </c>
      <c r="BY11" s="5" t="s">
        <v>76</v>
      </c>
      <c r="BZ11" s="5" t="s">
        <v>77</v>
      </c>
      <c r="CA11" s="5" t="s">
        <v>78</v>
      </c>
      <c r="CB11" s="5" t="s">
        <v>79</v>
      </c>
      <c r="CC11" s="5" t="s">
        <v>80</v>
      </c>
      <c r="CD11" s="5" t="s">
        <v>81</v>
      </c>
      <c r="CE11" s="5" t="s">
        <v>82</v>
      </c>
      <c r="CF11" s="5" t="s">
        <v>83</v>
      </c>
      <c r="CG11" s="5" t="s">
        <v>84</v>
      </c>
      <c r="CH11" s="5" t="s">
        <v>85</v>
      </c>
      <c r="CI11" s="5" t="s">
        <v>86</v>
      </c>
      <c r="CJ11" s="5" t="s">
        <v>87</v>
      </c>
      <c r="CK11" s="5" t="s">
        <v>88</v>
      </c>
      <c r="CL11" s="5" t="s">
        <v>89</v>
      </c>
      <c r="CM11" s="5" t="s">
        <v>90</v>
      </c>
      <c r="CN11" s="5" t="s">
        <v>91</v>
      </c>
      <c r="CO11" s="5" t="s">
        <v>92</v>
      </c>
      <c r="CP11" s="5" t="s">
        <v>93</v>
      </c>
      <c r="CQ11" s="5" t="s">
        <v>94</v>
      </c>
      <c r="CR11" s="5" t="s">
        <v>95</v>
      </c>
      <c r="CS11" s="5" t="s">
        <v>96</v>
      </c>
      <c r="CT11" s="5" t="s">
        <v>97</v>
      </c>
      <c r="CU11" s="5" t="s">
        <v>98</v>
      </c>
      <c r="CV11" s="5" t="s">
        <v>99</v>
      </c>
      <c r="CW11" s="5" t="s">
        <v>100</v>
      </c>
      <c r="CX11" s="5" t="s">
        <v>101</v>
      </c>
      <c r="CY11" s="5" t="s">
        <v>102</v>
      </c>
      <c r="CZ11" s="5" t="s">
        <v>103</v>
      </c>
      <c r="DA11" s="5" t="s">
        <v>104</v>
      </c>
      <c r="DB11" s="5" t="s">
        <v>105</v>
      </c>
      <c r="DC11" s="5" t="s">
        <v>106</v>
      </c>
      <c r="DD11" s="5" t="s">
        <v>107</v>
      </c>
      <c r="DE11" s="5" t="s">
        <v>108</v>
      </c>
      <c r="DF11" s="5" t="s">
        <v>109</v>
      </c>
      <c r="DG11" s="5" t="s">
        <v>110</v>
      </c>
      <c r="DH11" s="5" t="s">
        <v>111</v>
      </c>
      <c r="DI11" s="5" t="s">
        <v>112</v>
      </c>
      <c r="DJ11" s="5" t="s">
        <v>113</v>
      </c>
      <c r="DK11" s="5" t="s">
        <v>114</v>
      </c>
      <c r="DL11" s="5" t="s">
        <v>115</v>
      </c>
      <c r="DM11" s="5" t="s">
        <v>116</v>
      </c>
      <c r="DN11" s="5" t="s">
        <v>117</v>
      </c>
      <c r="DO11" s="5" t="s">
        <v>118</v>
      </c>
      <c r="DP11" s="5" t="s">
        <v>119</v>
      </c>
      <c r="DQ11" s="5" t="s">
        <v>120</v>
      </c>
      <c r="DR11" s="5" t="s">
        <v>121</v>
      </c>
      <c r="DS11" s="5" t="s">
        <v>122</v>
      </c>
      <c r="DT11" s="5" t="s">
        <v>123</v>
      </c>
      <c r="DU11" s="5" t="s">
        <v>124</v>
      </c>
      <c r="DV11" s="5" t="s">
        <v>125</v>
      </c>
      <c r="DW11" s="5" t="s">
        <v>126</v>
      </c>
      <c r="DX11" s="5" t="s">
        <v>127</v>
      </c>
      <c r="DY11" s="5" t="s">
        <v>128</v>
      </c>
      <c r="DZ11" s="5" t="s">
        <v>129</v>
      </c>
      <c r="EA11" s="5" t="s">
        <v>130</v>
      </c>
      <c r="EB11" s="5" t="s">
        <v>131</v>
      </c>
      <c r="EC11" s="5" t="s">
        <v>132</v>
      </c>
      <c r="ED11" s="5" t="s">
        <v>133</v>
      </c>
      <c r="EE11" s="5" t="s">
        <v>134</v>
      </c>
      <c r="EF11" s="5" t="s">
        <v>135</v>
      </c>
    </row>
    <row r="12" spans="1:137">
      <c r="A12" s="4">
        <v>10</v>
      </c>
      <c r="B12" s="4">
        <v>96</v>
      </c>
      <c r="C12" s="21" cm="1">
        <f t="array" ref="C12">PRODUCT(1+預測IC!$C12:C12)-1</f>
        <v>8.4653541666666721E-2</v>
      </c>
      <c r="D12" s="21" cm="1">
        <f t="array" ref="D12">PRODUCT(1+預測IC!$C12:D12)-1</f>
        <v>0.20905084067857849</v>
      </c>
      <c r="E12" s="21" cm="1">
        <f t="array" ref="E12">PRODUCT(1+預測IC!$C12:E12)-1</f>
        <v>0.26711705639855698</v>
      </c>
      <c r="F12" s="21" cm="1">
        <f t="array" ref="F12">PRODUCT(1+預測IC!$C12:F12)-1</f>
        <v>0.28412354917878613</v>
      </c>
      <c r="G12" s="21" cm="1">
        <f t="array" ref="G12">PRODUCT(1+預測IC!$C12:G12)-1</f>
        <v>0.29917985766404653</v>
      </c>
      <c r="H12" s="21" cm="1">
        <f t="array" ref="H12">PRODUCT(1+預測IC!$C12:H12)-1</f>
        <v>0.34923819136536483</v>
      </c>
      <c r="I12" s="21" cm="1">
        <f t="array" ref="I12">PRODUCT(1+預測IC!$C12:I12)-1</f>
        <v>0.36652186232393258</v>
      </c>
      <c r="J12" s="21" cm="1">
        <f t="array" ref="J12">PRODUCT(1+預測IC!$C12:J12)-1</f>
        <v>0.32633545785416218</v>
      </c>
      <c r="K12" s="21" cm="1">
        <f t="array" ref="K12">PRODUCT(1+預測IC!$C12:K12)-1</f>
        <v>0.35123631461182026</v>
      </c>
      <c r="L12" s="21" cm="1">
        <f t="array" ref="L12">PRODUCT(1+預測IC!$C12:L12)-1</f>
        <v>0.29463216679465609</v>
      </c>
      <c r="M12" s="21" cm="1">
        <f t="array" ref="M12">PRODUCT(1+預測IC!$C12:M12)-1</f>
        <v>0.27449830082543536</v>
      </c>
      <c r="N12" s="21" cm="1">
        <f t="array" ref="N12">PRODUCT(1+預測IC!$C12:N12)-1</f>
        <v>0.36285512590218505</v>
      </c>
      <c r="O12" s="21" cm="1">
        <f t="array" ref="O12">PRODUCT(1+預測IC!$C12:O12)-1</f>
        <v>0.38635189818175131</v>
      </c>
      <c r="P12" s="21" cm="1">
        <f t="array" ref="P12">PRODUCT(1+預測IC!$C12:P12)-1</f>
        <v>0.38584489773965358</v>
      </c>
      <c r="Q12" s="21" cm="1">
        <f t="array" ref="Q12">PRODUCT(1+預測IC!$C12:Q12)-1</f>
        <v>0.43472429689772696</v>
      </c>
      <c r="R12" s="21" cm="1">
        <f t="array" ref="R12">PRODUCT(1+預測IC!$C12:R12)-1</f>
        <v>0.44428398444831463</v>
      </c>
      <c r="S12" s="21" cm="1">
        <f t="array" ref="S12">PRODUCT(1+預測IC!$C12:S12)-1</f>
        <v>0.42049340767473553</v>
      </c>
      <c r="T12" s="21" cm="1">
        <f t="array" ref="T12">PRODUCT(1+預測IC!$C12:T12)-1</f>
        <v>0.35989048447423921</v>
      </c>
      <c r="U12" s="21" cm="1">
        <f t="array" ref="U12">PRODUCT(1+預測IC!$C12:U12)-1</f>
        <v>0.33788909963644809</v>
      </c>
      <c r="V12" s="21" cm="1">
        <f t="array" ref="V12">PRODUCT(1+預測IC!$C12:V12)-1</f>
        <v>0.34619043670914129</v>
      </c>
      <c r="W12" s="21" cm="1">
        <f t="array" ref="W12">PRODUCT(1+預測IC!$C12:W12)-1</f>
        <v>0.37214222355475823</v>
      </c>
      <c r="X12" s="21" cm="1">
        <f t="array" ref="X12">PRODUCT(1+預測IC!$C12:X12)-1</f>
        <v>0.40747414256758874</v>
      </c>
      <c r="Y12" s="21" cm="1">
        <f t="array" ref="Y12">PRODUCT(1+預測IC!$C12:Y12)-1</f>
        <v>0.42920568994072217</v>
      </c>
      <c r="Z12" s="21" cm="1">
        <f t="array" ref="Z12">PRODUCT(1+預測IC!$C12:Z12)-1</f>
        <v>0.43658902608519279</v>
      </c>
      <c r="AA12" s="21" cm="1">
        <f t="array" ref="AA12">PRODUCT(1+預測IC!$C12:AA12)-1</f>
        <v>0.41946943409283999</v>
      </c>
      <c r="AB12" s="21" cm="1">
        <f t="array" ref="AB12">PRODUCT(1+預測IC!$C12:AB12)-1</f>
        <v>0.40423380079372118</v>
      </c>
      <c r="AC12" s="21" cm="1">
        <f t="array" ref="AC12">PRODUCT(1+預測IC!$C12:AC12)-1</f>
        <v>0.4114901058221454</v>
      </c>
      <c r="AD12" s="21" cm="1">
        <f t="array" ref="AD12">PRODUCT(1+預測IC!$C12:AD12)-1</f>
        <v>0.41506178249239456</v>
      </c>
      <c r="AE12" s="21" cm="1">
        <f t="array" ref="AE12">PRODUCT(1+預測IC!$C12:AE12)-1</f>
        <v>0.33253960978255859</v>
      </c>
      <c r="AF12" s="21" cm="1">
        <f t="array" ref="AF12">PRODUCT(1+預測IC!$C12:AF12)-1</f>
        <v>0.35983452220029277</v>
      </c>
      <c r="AG12" s="21" cm="1">
        <f t="array" ref="AG12">PRODUCT(1+預測IC!$C12:AG12)-1</f>
        <v>0.37626021836292289</v>
      </c>
      <c r="AH12" s="21" cm="1">
        <f t="array" ref="AH12">PRODUCT(1+預測IC!$C12:AH12)-1</f>
        <v>0.39428490567847518</v>
      </c>
      <c r="AI12" s="21" cm="1">
        <f t="array" ref="AI12">PRODUCT(1+預測IC!$C12:AI12)-1</f>
        <v>0.42078254460597164</v>
      </c>
      <c r="AJ12" s="21" cm="1">
        <f t="array" ref="AJ12">PRODUCT(1+預測IC!$C12:AJ12)-1</f>
        <v>0.43142451376723878</v>
      </c>
      <c r="AK12" s="21" cm="1">
        <f t="array" ref="AK12">PRODUCT(1+預測IC!$C12:AK12)-1</f>
        <v>0.49920913713060955</v>
      </c>
      <c r="AL12" s="21" cm="1">
        <f t="array" ref="AL12">PRODUCT(1+預測IC!$C12:AL12)-1</f>
        <v>0.52598351764111828</v>
      </c>
      <c r="AM12" s="21" cm="1">
        <f t="array" ref="AM12">PRODUCT(1+預測IC!$C12:AM12)-1</f>
        <v>0.57512683067377934</v>
      </c>
      <c r="AN12" s="21" cm="1">
        <f t="array" ref="AN12">PRODUCT(1+預測IC!$C12:AN12)-1</f>
        <v>0.68596987055431646</v>
      </c>
      <c r="AO12" s="21" cm="1">
        <f t="array" ref="AO12">PRODUCT(1+預測IC!$C12:AO12)-1</f>
        <v>0.68957549395729956</v>
      </c>
      <c r="AP12" s="21" cm="1">
        <f t="array" ref="AP12">PRODUCT(1+預測IC!$C12:AP12)-1</f>
        <v>0.63258780926650959</v>
      </c>
      <c r="AQ12" s="21" cm="1">
        <f t="array" ref="AQ12">PRODUCT(1+預測IC!$C12:AQ12)-1</f>
        <v>0.62087233263694674</v>
      </c>
      <c r="AR12" s="21" cm="1">
        <f t="array" ref="AR12">PRODUCT(1+預測IC!$C12:AR12)-1</f>
        <v>0.64170186058745204</v>
      </c>
      <c r="AS12" s="21" cm="1">
        <f t="array" ref="AS12">PRODUCT(1+預測IC!$C12:AS12)-1</f>
        <v>0.67408628719951524</v>
      </c>
      <c r="AT12" s="21" cm="1">
        <f t="array" ref="AT12">PRODUCT(1+預測IC!$C12:AT12)-1</f>
        <v>0.69596479785320309</v>
      </c>
      <c r="AU12" s="21" cm="1">
        <f t="array" ref="AU12">PRODUCT(1+預測IC!$C12:AU12)-1</f>
        <v>0.72984110057588314</v>
      </c>
      <c r="AV12" s="21" cm="1">
        <f t="array" ref="AV12">PRODUCT(1+預測IC!$C12:AV12)-1</f>
        <v>0.6586995326691194</v>
      </c>
      <c r="AW12" s="21" cm="1">
        <f t="array" ref="AW12">PRODUCT(1+預測IC!$C12:AW12)-1</f>
        <v>0.66024137274488237</v>
      </c>
      <c r="AX12" s="21" cm="1">
        <f t="array" ref="AX12">PRODUCT(1+預測IC!$C12:AX12)-1</f>
        <v>0.73166572049663547</v>
      </c>
      <c r="AY12" s="21" cm="1">
        <f t="array" ref="AY12">PRODUCT(1+預測IC!$C12:AY12)-1</f>
        <v>0.77406270524461429</v>
      </c>
      <c r="AZ12" s="21" cm="1">
        <f t="array" ref="AZ12">PRODUCT(1+預測IC!$C12:AZ12)-1</f>
        <v>0.7686372403159647</v>
      </c>
      <c r="BA12" s="21" cm="1">
        <f t="array" ref="BA12">PRODUCT(1+預測IC!$C12:BA12)-1</f>
        <v>0.89469916253255843</v>
      </c>
      <c r="BB12" s="21" cm="1">
        <f t="array" ref="BB12">PRODUCT(1+預測IC!$C12:BB12)-1</f>
        <v>0.90566013534295653</v>
      </c>
      <c r="BC12" s="21" cm="1">
        <f t="array" ref="BC12">PRODUCT(1+預測IC!$C12:BC12)-1</f>
        <v>0.93040623059896199</v>
      </c>
      <c r="BD12" s="21" cm="1">
        <f t="array" ref="BD12">PRODUCT(1+預測IC!$C12:BD12)-1</f>
        <v>0.95247352270101104</v>
      </c>
      <c r="BE12" s="21" cm="1">
        <f t="array" ref="BE12">PRODUCT(1+預測IC!$C12:BE12)-1</f>
        <v>0.99939242010844032</v>
      </c>
      <c r="BF12" s="21" cm="1">
        <f t="array" ref="BF12">PRODUCT(1+預測IC!$C12:BF12)-1</f>
        <v>1.1368102792888033</v>
      </c>
      <c r="BG12" s="21" cm="1">
        <f t="array" ref="BG12">PRODUCT(1+預測IC!$C12:BG12)-1</f>
        <v>1.2188384301539323</v>
      </c>
      <c r="BH12" s="21" cm="1">
        <f t="array" ref="BH12">PRODUCT(1+預測IC!$C12:BH12)-1</f>
        <v>1.2435760725706086</v>
      </c>
      <c r="BI12" s="21" cm="1">
        <f t="array" ref="BI12">PRODUCT(1+預測IC!$C12:BI12)-1</f>
        <v>1.3589854628307849</v>
      </c>
      <c r="BJ12" s="21" cm="1">
        <f t="array" ref="BJ12">PRODUCT(1+預測IC!$C12:BJ12)-1</f>
        <v>1.3571077261605882</v>
      </c>
      <c r="BK12" s="21" cm="1">
        <f t="array" ref="BK12">PRODUCT(1+預測IC!$C12:BK12)-1</f>
        <v>1.3059667987114194</v>
      </c>
      <c r="BL12" s="21" cm="1">
        <f t="array" ref="BL12">PRODUCT(1+預測IC!$C12:BL12)-1</f>
        <v>1.3629454992169405</v>
      </c>
      <c r="BM12" s="21" cm="1">
        <f t="array" ref="BM12">PRODUCT(1+預測IC!$C12:BM12)-1</f>
        <v>1.2440759083875235</v>
      </c>
      <c r="BN12" s="21" cm="1">
        <f t="array" ref="BN12">PRODUCT(1+預測IC!$C12:BN12)-1</f>
        <v>1.2695199407951088</v>
      </c>
      <c r="BO12" s="21" cm="1">
        <f t="array" ref="BO12">PRODUCT(1+預測IC!$C12:BO12)-1</f>
        <v>1.3245474254123435</v>
      </c>
      <c r="BP12" s="21" cm="1">
        <f t="array" ref="BP12">PRODUCT(1+預測IC!$C12:BP12)-1</f>
        <v>1.2999611138614666</v>
      </c>
      <c r="BQ12" s="21" cm="1">
        <f t="array" ref="BQ12">PRODUCT(1+預測IC!$C12:BQ12)-1</f>
        <v>1.3349356571603108</v>
      </c>
      <c r="BR12" s="21" cm="1">
        <f t="array" ref="BR12">PRODUCT(1+預測IC!$C12:BR12)-1</f>
        <v>1.3314176926974093</v>
      </c>
      <c r="BS12" s="21" cm="1">
        <f t="array" ref="BS12">PRODUCT(1+預測IC!$C12:BS12)-1</f>
        <v>1.3726765737537163</v>
      </c>
      <c r="BT12" s="21" cm="1">
        <f t="array" ref="BT12">PRODUCT(1+預測IC!$C12:BT12)-1</f>
        <v>1.4243958226640703</v>
      </c>
      <c r="BU12" s="21" cm="1">
        <f t="array" ref="BU12">PRODUCT(1+預測IC!$C12:BU12)-1</f>
        <v>1.4491476935432188</v>
      </c>
      <c r="BV12" s="21" cm="1">
        <f t="array" ref="BV12">PRODUCT(1+預測IC!$C12:BV12)-1</f>
        <v>1.5231702759754704</v>
      </c>
      <c r="BW12" s="21" cm="1">
        <f t="array" ref="BW12">PRODUCT(1+預測IC!$C12:BW12)-1</f>
        <v>1.4504603951503721</v>
      </c>
      <c r="BX12" s="21" cm="1">
        <f t="array" ref="BX12">PRODUCT(1+預測IC!$C12:BX12)-1</f>
        <v>1.4742619755514266</v>
      </c>
      <c r="BY12" s="21" cm="1">
        <f t="array" ref="BY12">PRODUCT(1+預測IC!$C12:BY12)-1</f>
        <v>1.3924841296319772</v>
      </c>
      <c r="BZ12" s="21" cm="1">
        <f t="array" ref="BZ12">PRODUCT(1+預測IC!$C12:BZ12)-1</f>
        <v>1.5001555528316857</v>
      </c>
      <c r="CA12" s="21" cm="1">
        <f t="array" ref="CA12">PRODUCT(1+預測IC!$C12:CA12)-1</f>
        <v>1.4240313828381996</v>
      </c>
      <c r="CB12" s="21" cm="1">
        <f t="array" ref="CB12">PRODUCT(1+預測IC!$C12:CB12)-1</f>
        <v>1.4280671226646513</v>
      </c>
      <c r="CC12" s="21" cm="1">
        <f t="array" ref="CC12">PRODUCT(1+預測IC!$C12:CC12)-1</f>
        <v>1.5872658727987452</v>
      </c>
      <c r="CD12" s="21" cm="1">
        <f t="array" ref="CD12">PRODUCT(1+預測IC!$C12:CD12)-1</f>
        <v>1.7017744333313805</v>
      </c>
      <c r="CE12" s="21" cm="1">
        <f t="array" ref="CE12">PRODUCT(1+預測IC!$C12:CE12)-1</f>
        <v>2.1178670306377017</v>
      </c>
      <c r="CF12" s="21" cm="1">
        <f t="array" ref="CF12">PRODUCT(1+預測IC!$C12:CF12)-1</f>
        <v>2.1305818222997681</v>
      </c>
      <c r="CG12" s="21" cm="1">
        <f t="array" ref="CG12">PRODUCT(1+預測IC!$C12:CG12)-1</f>
        <v>2.1315485524885398</v>
      </c>
      <c r="CH12" s="21" cm="1">
        <f t="array" ref="CH12">PRODUCT(1+預測IC!$C12:CH12)-1</f>
        <v>2.3332285478152195</v>
      </c>
      <c r="CI12" s="21" cm="1">
        <f t="array" ref="CI12">PRODUCT(1+預測IC!$C12:CI12)-1</f>
        <v>2.2138742578330093</v>
      </c>
      <c r="CJ12" s="21" cm="1">
        <f t="array" ref="CJ12">PRODUCT(1+預測IC!$C12:CJ12)-1</f>
        <v>2.2704829554542805</v>
      </c>
      <c r="CK12" s="21" cm="1">
        <f t="array" ref="CK12">PRODUCT(1+預測IC!$C12:CK12)-1</f>
        <v>2.3097093516506004</v>
      </c>
      <c r="CL12" s="21" cm="1">
        <f t="array" ref="CL12">PRODUCT(1+預測IC!$C12:CL12)-1</f>
        <v>2.700306711995438</v>
      </c>
      <c r="CM12" s="21" cm="1">
        <f t="array" ref="CM12">PRODUCT(1+預測IC!$C12:CM12)-1</f>
        <v>2.6470863453836864</v>
      </c>
      <c r="CN12" s="21" cm="1">
        <f t="array" ref="CN12">PRODUCT(1+預測IC!$C12:CN12)-1</f>
        <v>2.5537684824191462</v>
      </c>
      <c r="CO12" s="21" cm="1">
        <f t="array" ref="CO12">PRODUCT(1+預測IC!$C12:CO12)-1</f>
        <v>2.4587124772622402</v>
      </c>
      <c r="CP12" s="21" cm="1">
        <f t="array" ref="CP12">PRODUCT(1+預測IC!$C12:CP12)-1</f>
        <v>2.6144935637815476</v>
      </c>
      <c r="CQ12" s="21" cm="1">
        <f t="array" ref="CQ12">PRODUCT(1+預測IC!$C12:CQ12)-1</f>
        <v>2.3879213949872775</v>
      </c>
      <c r="CR12" s="21" cm="1">
        <f t="array" ref="CR12">PRODUCT(1+預測IC!$C12:CR12)-1</f>
        <v>2.5510395758100342</v>
      </c>
      <c r="CS12" s="21" cm="1">
        <f t="array" ref="CS12">PRODUCT(1+預測IC!$C12:CS12)-1</f>
        <v>2.499516432904739</v>
      </c>
      <c r="CT12" s="21" cm="1">
        <f t="array" ref="CT12">PRODUCT(1+預測IC!$C12:CT12)-1</f>
        <v>2.4961511362115418</v>
      </c>
      <c r="CU12" s="21" cm="1">
        <f t="array" ref="CU12">PRODUCT(1+預測IC!$C12:CU12)-1</f>
        <v>2.6081544589948873</v>
      </c>
      <c r="CV12" s="21" cm="1">
        <f t="array" ref="CV12">PRODUCT(1+預測IC!$C12:CV12)-1</f>
        <v>2.6379691946885653</v>
      </c>
      <c r="CW12" s="21" cm="1">
        <f t="array" ref="CW12">PRODUCT(1+預測IC!$C12:CW12)-1</f>
        <v>2.6575459366898264</v>
      </c>
      <c r="CX12" s="21" cm="1">
        <f t="array" ref="CX12">PRODUCT(1+預測IC!$C12:CX12)-1</f>
        <v>2.8806192337421908</v>
      </c>
      <c r="CY12" s="21" cm="1">
        <f t="array" ref="CY12">PRODUCT(1+預測IC!$C12:CY12)-1</f>
        <v>2.8566283913641373</v>
      </c>
      <c r="CZ12" s="21" cm="1">
        <f t="array" ref="CZ12">PRODUCT(1+預測IC!$C12:CZ12)-1</f>
        <v>3.1636441001386375</v>
      </c>
      <c r="DA12" s="21" cm="1">
        <f t="array" ref="DA12">PRODUCT(1+預測IC!$C12:DA12)-1</f>
        <v>3.1778138470308646</v>
      </c>
      <c r="DB12" s="21" cm="1">
        <f t="array" ref="DB12">PRODUCT(1+預測IC!$C12:DB12)-1</f>
        <v>3.5495634695028455</v>
      </c>
      <c r="DC12" s="21" cm="1">
        <f t="array" ref="DC12">PRODUCT(1+預測IC!$C12:DC12)-1</f>
        <v>3.5951829376285591</v>
      </c>
      <c r="DD12" s="21" cm="1">
        <f t="array" ref="DD12">PRODUCT(1+預測IC!$C12:DD12)-1</f>
        <v>3.4155507267541632</v>
      </c>
      <c r="DE12" s="21" cm="1">
        <f t="array" ref="DE12">PRODUCT(1+預測IC!$C12:DE12)-1</f>
        <v>3.4147349791687507</v>
      </c>
      <c r="DF12" s="21" cm="1">
        <f t="array" ref="DF12">PRODUCT(1+預測IC!$C12:DF12)-1</f>
        <v>3.3845690236098305</v>
      </c>
      <c r="DG12" s="21" cm="1">
        <f t="array" ref="DG12">PRODUCT(1+預測IC!$C12:DG12)-1</f>
        <v>3.3811040299284407</v>
      </c>
      <c r="DH12" s="21" cm="1">
        <f t="array" ref="DH12">PRODUCT(1+預測IC!$C12:DH12)-1</f>
        <v>3.3580500306305874</v>
      </c>
      <c r="DI12" s="21" cm="1">
        <f t="array" ref="DI12">PRODUCT(1+預測IC!$C12:DI12)-1</f>
        <v>3.1207839589045987</v>
      </c>
      <c r="DJ12" s="21" cm="1">
        <f t="array" ref="DJ12">PRODUCT(1+預測IC!$C12:DJ12)-1</f>
        <v>3.1830847609094572</v>
      </c>
      <c r="DK12" s="21" cm="1">
        <f t="array" ref="DK12">PRODUCT(1+預測IC!$C12:DK12)-1</f>
        <v>3.1192324684055226</v>
      </c>
      <c r="DL12" s="21" cm="1">
        <f t="array" ref="DL12">PRODUCT(1+預測IC!$C12:DL12)-1</f>
        <v>3.1148485127910561</v>
      </c>
      <c r="DM12" s="21" cm="1">
        <f t="array" ref="DM12">PRODUCT(1+預測IC!$C12:DM12)-1</f>
        <v>3.0913330942118327</v>
      </c>
      <c r="DN12" s="21" cm="1">
        <f t="array" ref="DN12">PRODUCT(1+預測IC!$C12:DN12)-1</f>
        <v>3.2518293106566505</v>
      </c>
      <c r="DO12" s="21" cm="1">
        <f t="array" ref="DO12">PRODUCT(1+預測IC!$C12:DO12)-1</f>
        <v>3.3459148533013092</v>
      </c>
      <c r="DP12" s="21" cm="1">
        <f t="array" ref="DP12">PRODUCT(1+預測IC!$C12:DP12)-1</f>
        <v>3.4875240968058883</v>
      </c>
      <c r="DQ12" s="21" cm="1">
        <f t="array" ref="DQ12">PRODUCT(1+預測IC!$C12:DQ12)-1</f>
        <v>3.3822988791747406</v>
      </c>
      <c r="DR12" s="21" cm="1">
        <f t="array" ref="DR12">PRODUCT(1+預測IC!$C12:DR12)-1</f>
        <v>3.4645938212600846</v>
      </c>
      <c r="DS12" s="21" cm="1">
        <f t="array" ref="DS12">PRODUCT(1+預測IC!$C12:DS12)-1</f>
        <v>3.298225061205712</v>
      </c>
      <c r="DT12" s="21" cm="1">
        <f t="array" ref="DT12">PRODUCT(1+預測IC!$C12:DT12)-1</f>
        <v>3.4061872962417672</v>
      </c>
      <c r="DU12" s="21" cm="1">
        <f t="array" ref="DU12">PRODUCT(1+預測IC!$C12:DU12)-1</f>
        <v>3.1540201875265952</v>
      </c>
      <c r="DV12" s="21" cm="1">
        <f t="array" ref="DV12">PRODUCT(1+預測IC!$C12:DV12)-1</f>
        <v>3.3707486463189014</v>
      </c>
      <c r="DW12" s="21" cm="1">
        <f t="array" ref="DW12">PRODUCT(1+預測IC!$C12:DW12)-1</f>
        <v>3.5442424614097447</v>
      </c>
      <c r="DX12" s="21" cm="1">
        <f t="array" ref="DX12">PRODUCT(1+預測IC!$C12:DX12)-1</f>
        <v>3.3187607549530469</v>
      </c>
      <c r="DY12" s="21" cm="1">
        <f t="array" ref="DY12">PRODUCT(1+預測IC!$C12:DY12)-1</f>
        <v>3.5482826448877631</v>
      </c>
      <c r="DZ12" s="21" cm="1">
        <f t="array" ref="DZ12">PRODUCT(1+預測IC!$C12:DZ12)-1</f>
        <v>3.576415052250888</v>
      </c>
      <c r="EA12" s="21" cm="1">
        <f t="array" ref="EA12">PRODUCT(1+預測IC!$C12:EA12)-1</f>
        <v>3.8102590290464793</v>
      </c>
      <c r="EB12" s="21" cm="1">
        <f t="array" ref="EB12">PRODUCT(1+預測IC!$C12:EB12)-1</f>
        <v>3.8279097244423275</v>
      </c>
      <c r="EC12" s="21" cm="1">
        <f t="array" ref="EC12">PRODUCT(1+預測IC!$C12:EC12)-1</f>
        <v>3.7805670405215412</v>
      </c>
      <c r="ED12" s="21" cm="1">
        <f t="array" ref="ED12">PRODUCT(1+預測IC!$C12:ED12)-1</f>
        <v>3.509852918971232</v>
      </c>
      <c r="EE12" s="21" cm="1">
        <f t="array" ref="EE12">PRODUCT(1+預測IC!$C12:EE12)-1</f>
        <v>3.5660383545100389</v>
      </c>
      <c r="EF12" s="21" cm="1">
        <f t="array" ref="EF12">PRODUCT(1+預測IC!$C12:EF12)-1</f>
        <v>3.7451793264310211</v>
      </c>
    </row>
    <row r="13" spans="1:137">
      <c r="A13" s="4">
        <v>20</v>
      </c>
      <c r="B13" s="4">
        <v>48</v>
      </c>
      <c r="C13" s="21" cm="1">
        <f t="array" ref="C13">PRODUCT(1+預測IC!$C13:C13)-1</f>
        <v>0.10411314583333331</v>
      </c>
      <c r="D13" s="21" cm="1">
        <f t="array" ref="D13">PRODUCT(1+預測IC!$C13:D13)-1</f>
        <v>0.2407417420762652</v>
      </c>
      <c r="E13" s="21" cm="1">
        <f t="array" ref="E13">PRODUCT(1+預測IC!$C13:E13)-1</f>
        <v>0.32742156280246348</v>
      </c>
      <c r="F13" s="21" cm="1">
        <f t="array" ref="F13">PRODUCT(1+預測IC!$C13:F13)-1</f>
        <v>0.31221619769210429</v>
      </c>
      <c r="G13" s="21" cm="1">
        <f t="array" ref="G13">PRODUCT(1+預測IC!$C13:G13)-1</f>
        <v>0.33287685035990444</v>
      </c>
      <c r="H13" s="21" cm="1">
        <f t="array" ref="H13">PRODUCT(1+預測IC!$C13:H13)-1</f>
        <v>0.37285029916274914</v>
      </c>
      <c r="I13" s="21" cm="1">
        <f t="array" ref="I13">PRODUCT(1+預測IC!$C13:I13)-1</f>
        <v>0.4128421720046056</v>
      </c>
      <c r="J13" s="21" cm="1">
        <f t="array" ref="J13">PRODUCT(1+預測IC!$C13:J13)-1</f>
        <v>0.35082007840368257</v>
      </c>
      <c r="K13" s="21" cm="1">
        <f t="array" ref="K13">PRODUCT(1+預測IC!$C13:K13)-1</f>
        <v>0.34897286008855044</v>
      </c>
      <c r="L13" s="21" cm="1">
        <f t="array" ref="L13">PRODUCT(1+預測IC!$C13:L13)-1</f>
        <v>0.34084515808851057</v>
      </c>
      <c r="M13" s="21" cm="1">
        <f t="array" ref="M13">PRODUCT(1+預測IC!$C13:M13)-1</f>
        <v>0.35118127251344178</v>
      </c>
      <c r="N13" s="21" cm="1">
        <f t="array" ref="N13">PRODUCT(1+預測IC!$C13:N13)-1</f>
        <v>0.48603825583426286</v>
      </c>
      <c r="O13" s="21" cm="1">
        <f t="array" ref="O13">PRODUCT(1+預測IC!$C13:O13)-1</f>
        <v>0.54516678925999829</v>
      </c>
      <c r="P13" s="21" cm="1">
        <f t="array" ref="P13">PRODUCT(1+預測IC!$C13:P13)-1</f>
        <v>0.57111345532207558</v>
      </c>
      <c r="Q13" s="21" cm="1">
        <f t="array" ref="Q13">PRODUCT(1+預測IC!$C13:Q13)-1</f>
        <v>0.68615827081956504</v>
      </c>
      <c r="R13" s="21" cm="1">
        <f t="array" ref="R13">PRODUCT(1+預測IC!$C13:R13)-1</f>
        <v>0.71003399090799157</v>
      </c>
      <c r="S13" s="21" cm="1">
        <f t="array" ref="S13">PRODUCT(1+預測IC!$C13:S13)-1</f>
        <v>0.68909751037168299</v>
      </c>
      <c r="T13" s="21" cm="1">
        <f t="array" ref="T13">PRODUCT(1+預測IC!$C13:T13)-1</f>
        <v>0.60421715673265108</v>
      </c>
      <c r="U13" s="21" cm="1">
        <f t="array" ref="U13">PRODUCT(1+預測IC!$C13:U13)-1</f>
        <v>0.60677798863265786</v>
      </c>
      <c r="V13" s="21" cm="1">
        <f t="array" ref="V13">PRODUCT(1+預測IC!$C13:V13)-1</f>
        <v>0.57449119088182465</v>
      </c>
      <c r="W13" s="21" cm="1">
        <f t="array" ref="W13">PRODUCT(1+預測IC!$C13:W13)-1</f>
        <v>0.62346272876498832</v>
      </c>
      <c r="X13" s="21" cm="1">
        <f t="array" ref="X13">PRODUCT(1+預測IC!$C13:X13)-1</f>
        <v>0.70995507318975593</v>
      </c>
      <c r="Y13" s="21" cm="1">
        <f t="array" ref="Y13">PRODUCT(1+預測IC!$C13:Y13)-1</f>
        <v>0.73375828904171003</v>
      </c>
      <c r="Z13" s="21" cm="1">
        <f t="array" ref="Z13">PRODUCT(1+預測IC!$C13:Z13)-1</f>
        <v>0.76944582518348703</v>
      </c>
      <c r="AA13" s="21" cm="1">
        <f t="array" ref="AA13">PRODUCT(1+預測IC!$C13:AA13)-1</f>
        <v>0.74035606209056115</v>
      </c>
      <c r="AB13" s="21" cm="1">
        <f t="array" ref="AB13">PRODUCT(1+預測IC!$C13:AB13)-1</f>
        <v>0.71424798300657732</v>
      </c>
      <c r="AC13" s="21" cm="1">
        <f t="array" ref="AC13">PRODUCT(1+預測IC!$C13:AC13)-1</f>
        <v>0.72801557283359863</v>
      </c>
      <c r="AD13" s="21" cm="1">
        <f t="array" ref="AD13">PRODUCT(1+預測IC!$C13:AD13)-1</f>
        <v>0.76333660577578688</v>
      </c>
      <c r="AE13" s="21" cm="1">
        <f t="array" ref="AE13">PRODUCT(1+預測IC!$C13:AE13)-1</f>
        <v>0.64745104244868434</v>
      </c>
      <c r="AF13" s="21" cm="1">
        <f t="array" ref="AF13">PRODUCT(1+預測IC!$C13:AF13)-1</f>
        <v>0.70192636770298877</v>
      </c>
      <c r="AG13" s="21" cm="1">
        <f t="array" ref="AG13">PRODUCT(1+預測IC!$C13:AG13)-1</f>
        <v>0.70751287009137509</v>
      </c>
      <c r="AH13" s="21" cm="1">
        <f t="array" ref="AH13">PRODUCT(1+預測IC!$C13:AH13)-1</f>
        <v>0.72687666765961256</v>
      </c>
      <c r="AI13" s="21" cm="1">
        <f t="array" ref="AI13">PRODUCT(1+預測IC!$C13:AI13)-1</f>
        <v>0.74771583831834287</v>
      </c>
      <c r="AJ13" s="21" cm="1">
        <f t="array" ref="AJ13">PRODUCT(1+預測IC!$C13:AJ13)-1</f>
        <v>0.71536938703582043</v>
      </c>
      <c r="AK13" s="21" cm="1">
        <f t="array" ref="AK13">PRODUCT(1+預測IC!$C13:AK13)-1</f>
        <v>0.82856303258560859</v>
      </c>
      <c r="AL13" s="21" cm="1">
        <f t="array" ref="AL13">PRODUCT(1+預測IC!$C13:AL13)-1</f>
        <v>0.87670726831133328</v>
      </c>
      <c r="AM13" s="21" cm="1">
        <f t="array" ref="AM13">PRODUCT(1+預測IC!$C13:AM13)-1</f>
        <v>0.96259416567761957</v>
      </c>
      <c r="AN13" s="21" cm="1">
        <f t="array" ref="AN13">PRODUCT(1+預測IC!$C13:AN13)-1</f>
        <v>1.1693146765128346</v>
      </c>
      <c r="AO13" s="21" cm="1">
        <f t="array" ref="AO13">PRODUCT(1+預測IC!$C13:AO13)-1</f>
        <v>1.2034042069616926</v>
      </c>
      <c r="AP13" s="21" cm="1">
        <f t="array" ref="AP13">PRODUCT(1+預測IC!$C13:AP13)-1</f>
        <v>1.0722174421577724</v>
      </c>
      <c r="AQ13" s="21" cm="1">
        <f t="array" ref="AQ13">PRODUCT(1+預測IC!$C13:AQ13)-1</f>
        <v>1.0648621336863497</v>
      </c>
      <c r="AR13" s="21" cm="1">
        <f t="array" ref="AR13">PRODUCT(1+預測IC!$C13:AR13)-1</f>
        <v>1.0945363971218223</v>
      </c>
      <c r="AS13" s="21" cm="1">
        <f t="array" ref="AS13">PRODUCT(1+預測IC!$C13:AS13)-1</f>
        <v>1.1778527674616965</v>
      </c>
      <c r="AT13" s="21" cm="1">
        <f t="array" ref="AT13">PRODUCT(1+預測IC!$C13:AT13)-1</f>
        <v>1.2659754153255336</v>
      </c>
      <c r="AU13" s="21" cm="1">
        <f t="array" ref="AU13">PRODUCT(1+預測IC!$C13:AU13)-1</f>
        <v>1.3621909571646911</v>
      </c>
      <c r="AV13" s="21" cm="1">
        <f t="array" ref="AV13">PRODUCT(1+預測IC!$C13:AV13)-1</f>
        <v>1.3409294007154866</v>
      </c>
      <c r="AW13" s="21" cm="1">
        <f t="array" ref="AW13">PRODUCT(1+預測IC!$C13:AW13)-1</f>
        <v>1.3485801920097904</v>
      </c>
      <c r="AX13" s="21" cm="1">
        <f t="array" ref="AX13">PRODUCT(1+預測IC!$C13:AX13)-1</f>
        <v>1.502057609415596</v>
      </c>
      <c r="AY13" s="21" cm="1">
        <f t="array" ref="AY13">PRODUCT(1+預測IC!$C13:AY13)-1</f>
        <v>1.5415091615748158</v>
      </c>
      <c r="AZ13" s="21" cm="1">
        <f t="array" ref="AZ13">PRODUCT(1+預測IC!$C13:AZ13)-1</f>
        <v>1.5186412623101848</v>
      </c>
      <c r="BA13" s="21" cm="1">
        <f t="array" ref="BA13">PRODUCT(1+預測IC!$C13:BA13)-1</f>
        <v>1.7197025577711527</v>
      </c>
      <c r="BB13" s="21" cm="1">
        <f t="array" ref="BB13">PRODUCT(1+預測IC!$C13:BB13)-1</f>
        <v>1.7905398739303902</v>
      </c>
      <c r="BC13" s="21" cm="1">
        <f t="array" ref="BC13">PRODUCT(1+預測IC!$C13:BC13)-1</f>
        <v>1.8268910655491477</v>
      </c>
      <c r="BD13" s="21" cm="1">
        <f t="array" ref="BD13">PRODUCT(1+預測IC!$C13:BD13)-1</f>
        <v>1.8427275414293689</v>
      </c>
      <c r="BE13" s="21" cm="1">
        <f t="array" ref="BE13">PRODUCT(1+預測IC!$C13:BE13)-1</f>
        <v>1.9235273754806403</v>
      </c>
      <c r="BF13" s="21" cm="1">
        <f t="array" ref="BF13">PRODUCT(1+預測IC!$C13:BF13)-1</f>
        <v>2.168897318740191</v>
      </c>
      <c r="BG13" s="21" cm="1">
        <f t="array" ref="BG13">PRODUCT(1+預測IC!$C13:BG13)-1</f>
        <v>2.3164616563885505</v>
      </c>
      <c r="BH13" s="21" cm="1">
        <f t="array" ref="BH13">PRODUCT(1+預測IC!$C13:BH13)-1</f>
        <v>2.3395981946532962</v>
      </c>
      <c r="BI13" s="21" cm="1">
        <f t="array" ref="BI13">PRODUCT(1+預測IC!$C13:BI13)-1</f>
        <v>2.5158893034582195</v>
      </c>
      <c r="BJ13" s="21" cm="1">
        <f t="array" ref="BJ13">PRODUCT(1+預測IC!$C13:BJ13)-1</f>
        <v>2.4538194121289938</v>
      </c>
      <c r="BK13" s="21" cm="1">
        <f t="array" ref="BK13">PRODUCT(1+預測IC!$C13:BK13)-1</f>
        <v>2.390300133390368</v>
      </c>
      <c r="BL13" s="21" cm="1">
        <f t="array" ref="BL13">PRODUCT(1+預測IC!$C13:BL13)-1</f>
        <v>2.5156144756037326</v>
      </c>
      <c r="BM13" s="21" cm="1">
        <f t="array" ref="BM13">PRODUCT(1+預測IC!$C13:BM13)-1</f>
        <v>2.327979912990346</v>
      </c>
      <c r="BN13" s="21" cm="1">
        <f t="array" ref="BN13">PRODUCT(1+預測IC!$C13:BN13)-1</f>
        <v>2.3642307294748535</v>
      </c>
      <c r="BO13" s="21" cm="1">
        <f t="array" ref="BO13">PRODUCT(1+預測IC!$C13:BO13)-1</f>
        <v>2.4709956424313808</v>
      </c>
      <c r="BP13" s="21" cm="1">
        <f t="array" ref="BP13">PRODUCT(1+預測IC!$C13:BP13)-1</f>
        <v>2.4975555165147032</v>
      </c>
      <c r="BQ13" s="21" cm="1">
        <f t="array" ref="BQ13">PRODUCT(1+預測IC!$C13:BQ13)-1</f>
        <v>2.6403225736066971</v>
      </c>
      <c r="BR13" s="21" cm="1">
        <f t="array" ref="BR13">PRODUCT(1+預測IC!$C13:BR13)-1</f>
        <v>2.6145804639907415</v>
      </c>
      <c r="BS13" s="21" cm="1">
        <f t="array" ref="BS13">PRODUCT(1+預測IC!$C13:BS13)-1</f>
        <v>2.6408159655628252</v>
      </c>
      <c r="BT13" s="21" cm="1">
        <f t="array" ref="BT13">PRODUCT(1+預測IC!$C13:BT13)-1</f>
        <v>2.7804176129869278</v>
      </c>
      <c r="BU13" s="21" cm="1">
        <f t="array" ref="BU13">PRODUCT(1+預測IC!$C13:BU13)-1</f>
        <v>2.84289655501028</v>
      </c>
      <c r="BV13" s="21" cm="1">
        <f t="array" ref="BV13">PRODUCT(1+預測IC!$C13:BV13)-1</f>
        <v>2.9222288311348339</v>
      </c>
      <c r="BW13" s="21" cm="1">
        <f t="array" ref="BW13">PRODUCT(1+預測IC!$C13:BW13)-1</f>
        <v>2.9291446533120187</v>
      </c>
      <c r="BX13" s="21" cm="1">
        <f t="array" ref="BX13">PRODUCT(1+預測IC!$C13:BX13)-1</f>
        <v>3.0147429983725251</v>
      </c>
      <c r="BY13" s="21" cm="1">
        <f t="array" ref="BY13">PRODUCT(1+預測IC!$C13:BY13)-1</f>
        <v>2.9564794514353254</v>
      </c>
      <c r="BZ13" s="21" cm="1">
        <f t="array" ref="BZ13">PRODUCT(1+預測IC!$C13:BZ13)-1</f>
        <v>3.2608429911992003</v>
      </c>
      <c r="CA13" s="21" cm="1">
        <f t="array" ref="CA13">PRODUCT(1+預測IC!$C13:CA13)-1</f>
        <v>3.1179702549268136</v>
      </c>
      <c r="CB13" s="21" cm="1">
        <f t="array" ref="CB13">PRODUCT(1+預測IC!$C13:CB13)-1</f>
        <v>3.0886014288433303</v>
      </c>
      <c r="CC13" s="21" cm="1">
        <f t="array" ref="CC13">PRODUCT(1+預測IC!$C13:CC13)-1</f>
        <v>3.5797157145563476</v>
      </c>
      <c r="CD13" s="21" cm="1">
        <f t="array" ref="CD13">PRODUCT(1+預測IC!$C13:CD13)-1</f>
        <v>3.8327717227939209</v>
      </c>
      <c r="CE13" s="21" cm="1">
        <f t="array" ref="CE13">PRODUCT(1+預測IC!$C13:CE13)-1</f>
        <v>4.7211691741760076</v>
      </c>
      <c r="CF13" s="21" cm="1">
        <f t="array" ref="CF13">PRODUCT(1+預測IC!$C13:CF13)-1</f>
        <v>4.8254612013892331</v>
      </c>
      <c r="CG13" s="21" cm="1">
        <f t="array" ref="CG13">PRODUCT(1+預測IC!$C13:CG13)-1</f>
        <v>4.8695039939834617</v>
      </c>
      <c r="CH13" s="21" cm="1">
        <f t="array" ref="CH13">PRODUCT(1+預測IC!$C13:CH13)-1</f>
        <v>5.2118992310907295</v>
      </c>
      <c r="CI13" s="21" cm="1">
        <f t="array" ref="CI13">PRODUCT(1+預測IC!$C13:CI13)-1</f>
        <v>4.8897904575702427</v>
      </c>
      <c r="CJ13" s="21" cm="1">
        <f t="array" ref="CJ13">PRODUCT(1+預測IC!$C13:CJ13)-1</f>
        <v>4.8669580941479254</v>
      </c>
      <c r="CK13" s="21" cm="1">
        <f t="array" ref="CK13">PRODUCT(1+預測IC!$C13:CK13)-1</f>
        <v>5.0549663458739467</v>
      </c>
      <c r="CL13" s="21" cm="1">
        <f t="array" ref="CL13">PRODUCT(1+預測IC!$C13:CL13)-1</f>
        <v>5.5654265980926549</v>
      </c>
      <c r="CM13" s="21" cm="1">
        <f t="array" ref="CM13">PRODUCT(1+預測IC!$C13:CM13)-1</f>
        <v>5.4978236888350791</v>
      </c>
      <c r="CN13" s="21" cm="1">
        <f t="array" ref="CN13">PRODUCT(1+預測IC!$C13:CN13)-1</f>
        <v>5.3231130255526198</v>
      </c>
      <c r="CO13" s="21" cm="1">
        <f t="array" ref="CO13">PRODUCT(1+預測IC!$C13:CO13)-1</f>
        <v>5.2380199940206413</v>
      </c>
      <c r="CP13" s="21" cm="1">
        <f t="array" ref="CP13">PRODUCT(1+預測IC!$C13:CP13)-1</f>
        <v>5.679656042896279</v>
      </c>
      <c r="CQ13" s="21" cm="1">
        <f t="array" ref="CQ13">PRODUCT(1+預測IC!$C13:CQ13)-1</f>
        <v>5.2042057073835819</v>
      </c>
      <c r="CR13" s="21" cm="1">
        <f t="array" ref="CR13">PRODUCT(1+預測IC!$C13:CR13)-1</f>
        <v>5.6036377702506446</v>
      </c>
      <c r="CS13" s="21" cm="1">
        <f t="array" ref="CS13">PRODUCT(1+預測IC!$C13:CS13)-1</f>
        <v>5.6297086570160202</v>
      </c>
      <c r="CT13" s="21" cm="1">
        <f t="array" ref="CT13">PRODUCT(1+預測IC!$C13:CT13)-1</f>
        <v>5.6832157051128549</v>
      </c>
      <c r="CU13" s="21" cm="1">
        <f t="array" ref="CU13">PRODUCT(1+預測IC!$C13:CU13)-1</f>
        <v>5.9238576885042891</v>
      </c>
      <c r="CV13" s="21" cm="1">
        <f t="array" ref="CV13">PRODUCT(1+預測IC!$C13:CV13)-1</f>
        <v>5.9084148918775723</v>
      </c>
      <c r="CW13" s="21" cm="1">
        <f t="array" ref="CW13">PRODUCT(1+預測IC!$C13:CW13)-1</f>
        <v>5.9497067008540752</v>
      </c>
      <c r="CX13" s="21" cm="1">
        <f t="array" ref="CX13">PRODUCT(1+預測IC!$C13:CX13)-1</f>
        <v>6.3711630574560534</v>
      </c>
      <c r="CY13" s="21" cm="1">
        <f t="array" ref="CY13">PRODUCT(1+預測IC!$C13:CY13)-1</f>
        <v>6.2744626849599054</v>
      </c>
      <c r="CZ13" s="21" cm="1">
        <f t="array" ref="CZ13">PRODUCT(1+預測IC!$C13:CZ13)-1</f>
        <v>6.6907381405972561</v>
      </c>
      <c r="DA13" s="21" cm="1">
        <f t="array" ref="DA13">PRODUCT(1+預測IC!$C13:DA13)-1</f>
        <v>6.6361605793430849</v>
      </c>
      <c r="DB13" s="21" cm="1">
        <f t="array" ref="DB13">PRODUCT(1+預測IC!$C13:DB13)-1</f>
        <v>7.4473900075297426</v>
      </c>
      <c r="DC13" s="21" cm="1">
        <f t="array" ref="DC13">PRODUCT(1+預測IC!$C13:DC13)-1</f>
        <v>7.6462510716207515</v>
      </c>
      <c r="DD13" s="21" cm="1">
        <f t="array" ref="DD13">PRODUCT(1+預測IC!$C13:DD13)-1</f>
        <v>7.2017793672097863</v>
      </c>
      <c r="DE13" s="21" cm="1">
        <f t="array" ref="DE13">PRODUCT(1+預測IC!$C13:DE13)-1</f>
        <v>7.2441633161043377</v>
      </c>
      <c r="DF13" s="21" cm="1">
        <f t="array" ref="DF13">PRODUCT(1+預測IC!$C13:DF13)-1</f>
        <v>7.0090496977588206</v>
      </c>
      <c r="DG13" s="21" cm="1">
        <f t="array" ref="DG13">PRODUCT(1+預測IC!$C13:DG13)-1</f>
        <v>6.9959896834211381</v>
      </c>
      <c r="DH13" s="21" cm="1">
        <f t="array" ref="DH13">PRODUCT(1+預測IC!$C13:DH13)-1</f>
        <v>7.0998755407717695</v>
      </c>
      <c r="DI13" s="21" cm="1">
        <f t="array" ref="DI13">PRODUCT(1+預測IC!$C13:DI13)-1</f>
        <v>6.7227335355794589</v>
      </c>
      <c r="DJ13" s="21" cm="1">
        <f t="array" ref="DJ13">PRODUCT(1+預測IC!$C13:DJ13)-1</f>
        <v>6.7689452468243916</v>
      </c>
      <c r="DK13" s="21" cm="1">
        <f t="array" ref="DK13">PRODUCT(1+預測IC!$C13:DK13)-1</f>
        <v>6.8623807185774348</v>
      </c>
      <c r="DL13" s="21" cm="1">
        <f t="array" ref="DL13">PRODUCT(1+預測IC!$C13:DL13)-1</f>
        <v>6.7392986673108215</v>
      </c>
      <c r="DM13" s="21" cm="1">
        <f t="array" ref="DM13">PRODUCT(1+預測IC!$C13:DM13)-1</f>
        <v>6.687763690958402</v>
      </c>
      <c r="DN13" s="21" cm="1">
        <f t="array" ref="DN13">PRODUCT(1+預測IC!$C13:DN13)-1</f>
        <v>6.801848549514685</v>
      </c>
      <c r="DO13" s="21" cm="1">
        <f t="array" ref="DO13">PRODUCT(1+預測IC!$C13:DO13)-1</f>
        <v>7.1804840655590354</v>
      </c>
      <c r="DP13" s="21" cm="1">
        <f t="array" ref="DP13">PRODUCT(1+預測IC!$C13:DP13)-1</f>
        <v>7.5669150253110988</v>
      </c>
      <c r="DQ13" s="21" cm="1">
        <f t="array" ref="DQ13">PRODUCT(1+預測IC!$C13:DQ13)-1</f>
        <v>7.3404907636985044</v>
      </c>
      <c r="DR13" s="21" cm="1">
        <f t="array" ref="DR13">PRODUCT(1+預測IC!$C13:DR13)-1</f>
        <v>7.4553494074391811</v>
      </c>
      <c r="DS13" s="21" cm="1">
        <f t="array" ref="DS13">PRODUCT(1+預測IC!$C13:DS13)-1</f>
        <v>7.1297949918088896</v>
      </c>
      <c r="DT13" s="21" cm="1">
        <f t="array" ref="DT13">PRODUCT(1+預測IC!$C13:DT13)-1</f>
        <v>7.5430434803399216</v>
      </c>
      <c r="DU13" s="21" cm="1">
        <f t="array" ref="DU13">PRODUCT(1+預測IC!$C13:DU13)-1</f>
        <v>7.2610721431879668</v>
      </c>
      <c r="DV13" s="21" cm="1">
        <f t="array" ref="DV13">PRODUCT(1+預測IC!$C13:DV13)-1</f>
        <v>7.9188198970228054</v>
      </c>
      <c r="DW13" s="21" cm="1">
        <f t="array" ref="DW13">PRODUCT(1+預測IC!$C13:DW13)-1</f>
        <v>8.3262938381801863</v>
      </c>
      <c r="DX13" s="21" cm="1">
        <f t="array" ref="DX13">PRODUCT(1+預測IC!$C13:DX13)-1</f>
        <v>7.7234243027475067</v>
      </c>
      <c r="DY13" s="21" cm="1">
        <f t="array" ref="DY13">PRODUCT(1+預測IC!$C13:DY13)-1</f>
        <v>8.2204950151084066</v>
      </c>
      <c r="DZ13" s="21" cm="1">
        <f t="array" ref="DZ13">PRODUCT(1+預測IC!$C13:DZ13)-1</f>
        <v>8.3892483227812757</v>
      </c>
      <c r="EA13" s="21" cm="1">
        <f t="array" ref="EA13">PRODUCT(1+預測IC!$C13:EA13)-1</f>
        <v>8.9724960066169164</v>
      </c>
      <c r="EB13" s="21" cm="1">
        <f t="array" ref="EB13">PRODUCT(1+預測IC!$C13:EB13)-1</f>
        <v>9.1856403397588497</v>
      </c>
      <c r="EC13" s="21" cm="1">
        <f t="array" ref="EC13">PRODUCT(1+預測IC!$C13:EC13)-1</f>
        <v>8.9944047301790366</v>
      </c>
      <c r="ED13" s="21" cm="1">
        <f t="array" ref="ED13">PRODUCT(1+預測IC!$C13:ED13)-1</f>
        <v>8.3379513026231162</v>
      </c>
      <c r="EE13" s="21" cm="1">
        <f t="array" ref="EE13">PRODUCT(1+預測IC!$C13:EE13)-1</f>
        <v>8.4195465611165528</v>
      </c>
      <c r="EF13" s="21" cm="1">
        <f t="array" ref="EF13">PRODUCT(1+預測IC!$C13:EF13)-1</f>
        <v>9.0533987451940536</v>
      </c>
    </row>
    <row r="14" spans="1:137">
      <c r="A14" s="4">
        <v>50</v>
      </c>
      <c r="B14" s="4">
        <v>19</v>
      </c>
      <c r="C14" s="21" cm="1">
        <f t="array" ref="C14">PRODUCT(1+預測IC!$C14:C14)-1</f>
        <v>0.11994163157894744</v>
      </c>
      <c r="D14" s="21" cm="1">
        <f t="array" ref="D14">PRODUCT(1+預測IC!$C14:D14)-1</f>
        <v>0.36891449997644599</v>
      </c>
      <c r="E14" s="21" cm="1">
        <f t="array" ref="E14">PRODUCT(1+預測IC!$C14:E14)-1</f>
        <v>0.5041196634545142</v>
      </c>
      <c r="F14" s="21" cm="1">
        <f t="array" ref="F14">PRODUCT(1+預測IC!$C14:F14)-1</f>
        <v>0.5560767856459945</v>
      </c>
      <c r="G14" s="21" cm="1">
        <f t="array" ref="G14">PRODUCT(1+預測IC!$C14:G14)-1</f>
        <v>0.68857549546207819</v>
      </c>
      <c r="H14" s="21" cm="1">
        <f t="array" ref="H14">PRODUCT(1+預測IC!$C14:H14)-1</f>
        <v>0.78919593178877334</v>
      </c>
      <c r="I14" s="21" cm="1">
        <f t="array" ref="I14">PRODUCT(1+預測IC!$C14:I14)-1</f>
        <v>0.92716977606866458</v>
      </c>
      <c r="J14" s="21" cm="1">
        <f t="array" ref="J14">PRODUCT(1+預測IC!$C14:J14)-1</f>
        <v>0.72463660706241018</v>
      </c>
      <c r="K14" s="21" cm="1">
        <f t="array" ref="K14">PRODUCT(1+預測IC!$C14:K14)-1</f>
        <v>0.74611087439007395</v>
      </c>
      <c r="L14" s="21" cm="1">
        <f t="array" ref="L14">PRODUCT(1+預測IC!$C14:L14)-1</f>
        <v>0.73130348657295685</v>
      </c>
      <c r="M14" s="21" cm="1">
        <f t="array" ref="M14">PRODUCT(1+預測IC!$C14:M14)-1</f>
        <v>0.74116532496482446</v>
      </c>
      <c r="N14" s="21" cm="1">
        <f t="array" ref="N14">PRODUCT(1+預測IC!$C14:N14)-1</f>
        <v>1.097812892131663</v>
      </c>
      <c r="O14" s="21" cm="1">
        <f t="array" ref="O14">PRODUCT(1+預測IC!$C14:O14)-1</f>
        <v>1.1809751636799803</v>
      </c>
      <c r="P14" s="21" cm="1">
        <f t="array" ref="P14">PRODUCT(1+預測IC!$C14:P14)-1</f>
        <v>1.2851820422124431</v>
      </c>
      <c r="Q14" s="21" cm="1">
        <f t="array" ref="Q14">PRODUCT(1+預測IC!$C14:Q14)-1</f>
        <v>1.4182688794415927</v>
      </c>
      <c r="R14" s="21" cm="1">
        <f t="array" ref="R14">PRODUCT(1+預測IC!$C14:R14)-1</f>
        <v>1.384046301923592</v>
      </c>
      <c r="S14" s="21" cm="1">
        <f t="array" ref="S14">PRODUCT(1+預測IC!$C14:S14)-1</f>
        <v>1.4759161535488237</v>
      </c>
      <c r="T14" s="21" cm="1">
        <f t="array" ref="T14">PRODUCT(1+預測IC!$C14:T14)-1</f>
        <v>1.3029945062152879</v>
      </c>
      <c r="U14" s="21" cm="1">
        <f t="array" ref="U14">PRODUCT(1+預測IC!$C14:U14)-1</f>
        <v>1.3872340453148166</v>
      </c>
      <c r="V14" s="21" cm="1">
        <f t="array" ref="V14">PRODUCT(1+預測IC!$C14:V14)-1</f>
        <v>1.2956255721965233</v>
      </c>
      <c r="W14" s="21" cm="1">
        <f t="array" ref="W14">PRODUCT(1+預測IC!$C14:W14)-1</f>
        <v>1.4655205954393931</v>
      </c>
      <c r="X14" s="21" cm="1">
        <f t="array" ref="X14">PRODUCT(1+預測IC!$C14:X14)-1</f>
        <v>1.5976276009272592</v>
      </c>
      <c r="Y14" s="21" cm="1">
        <f t="array" ref="Y14">PRODUCT(1+預測IC!$C14:Y14)-1</f>
        <v>1.5540820655632519</v>
      </c>
      <c r="Z14" s="21" cm="1">
        <f t="array" ref="Z14">PRODUCT(1+預測IC!$C14:Z14)-1</f>
        <v>1.6083614176206025</v>
      </c>
      <c r="AA14" s="21" cm="1">
        <f t="array" ref="AA14">PRODUCT(1+預測IC!$C14:AA14)-1</f>
        <v>1.6015126842310101</v>
      </c>
      <c r="AB14" s="21" cm="1">
        <f t="array" ref="AB14">PRODUCT(1+預測IC!$C14:AB14)-1</f>
        <v>1.5303977891527936</v>
      </c>
      <c r="AC14" s="21" cm="1">
        <f t="array" ref="AC14">PRODUCT(1+預測IC!$C14:AC14)-1</f>
        <v>1.4562757789669578</v>
      </c>
      <c r="AD14" s="21" cm="1">
        <f t="array" ref="AD14">PRODUCT(1+預測IC!$C14:AD14)-1</f>
        <v>1.6279070462111922</v>
      </c>
      <c r="AE14" s="21" cm="1">
        <f t="array" ref="AE14">PRODUCT(1+預測IC!$C14:AE14)-1</f>
        <v>1.6173453494815724</v>
      </c>
      <c r="AF14" s="21" cm="1">
        <f t="array" ref="AF14">PRODUCT(1+預測IC!$C14:AF14)-1</f>
        <v>1.7213171385931743</v>
      </c>
      <c r="AG14" s="21" cm="1">
        <f t="array" ref="AG14">PRODUCT(1+預測IC!$C14:AG14)-1</f>
        <v>1.7387079306081805</v>
      </c>
      <c r="AH14" s="21" cm="1">
        <f t="array" ref="AH14">PRODUCT(1+預測IC!$C14:AH14)-1</f>
        <v>1.7295434628613853</v>
      </c>
      <c r="AI14" s="21" cm="1">
        <f t="array" ref="AI14">PRODUCT(1+預測IC!$C14:AI14)-1</f>
        <v>1.9262697149136376</v>
      </c>
      <c r="AJ14" s="21" cm="1">
        <f t="array" ref="AJ14">PRODUCT(1+預測IC!$C14:AJ14)-1</f>
        <v>1.9703365161395543</v>
      </c>
      <c r="AK14" s="21" cm="1">
        <f t="array" ref="AK14">PRODUCT(1+預測IC!$C14:AK14)-1</f>
        <v>2.1673492722432148</v>
      </c>
      <c r="AL14" s="21" cm="1">
        <f t="array" ref="AL14">PRODUCT(1+預測IC!$C14:AL14)-1</f>
        <v>2.2876109576783157</v>
      </c>
      <c r="AM14" s="21" cm="1">
        <f t="array" ref="AM14">PRODUCT(1+預測IC!$C14:AM14)-1</f>
        <v>2.5120997955376136</v>
      </c>
      <c r="AN14" s="21" cm="1">
        <f t="array" ref="AN14">PRODUCT(1+預測IC!$C14:AN14)-1</f>
        <v>2.8361278408056934</v>
      </c>
      <c r="AO14" s="21" cm="1">
        <f t="array" ref="AO14">PRODUCT(1+預測IC!$C14:AO14)-1</f>
        <v>3.0697699132054632</v>
      </c>
      <c r="AP14" s="21" cm="1">
        <f t="array" ref="AP14">PRODUCT(1+預測IC!$C14:AP14)-1</f>
        <v>2.7849815565108456</v>
      </c>
      <c r="AQ14" s="21" cm="1">
        <f t="array" ref="AQ14">PRODUCT(1+預測IC!$C14:AQ14)-1</f>
        <v>2.7816530966123274</v>
      </c>
      <c r="AR14" s="21" cm="1">
        <f t="array" ref="AR14">PRODUCT(1+預測IC!$C14:AR14)-1</f>
        <v>2.9240166031238606</v>
      </c>
      <c r="AS14" s="21" cm="1">
        <f t="array" ref="AS14">PRODUCT(1+預測IC!$C14:AS14)-1</f>
        <v>3.2470925680941747</v>
      </c>
      <c r="AT14" s="21" cm="1">
        <f t="array" ref="AT14">PRODUCT(1+預測IC!$C14:AT14)-1</f>
        <v>3.4209029867531626</v>
      </c>
      <c r="AU14" s="21" cm="1">
        <f t="array" ref="AU14">PRODUCT(1+預測IC!$C14:AU14)-1</f>
        <v>3.6287798306891972</v>
      </c>
      <c r="AV14" s="21" cm="1">
        <f t="array" ref="AV14">PRODUCT(1+預測IC!$C14:AV14)-1</f>
        <v>3.5237769492121629</v>
      </c>
      <c r="AW14" s="21" cm="1">
        <f t="array" ref="AW14">PRODUCT(1+預測IC!$C14:AW14)-1</f>
        <v>3.4540140743330978</v>
      </c>
      <c r="AX14" s="21" cm="1">
        <f t="array" ref="AX14">PRODUCT(1+預測IC!$C14:AX14)-1</f>
        <v>4.0639958818507127</v>
      </c>
      <c r="AY14" s="21" cm="1">
        <f t="array" ref="AY14">PRODUCT(1+預測IC!$C14:AY14)-1</f>
        <v>4.1403007732581507</v>
      </c>
      <c r="AZ14" s="21" cm="1">
        <f t="array" ref="AZ14">PRODUCT(1+預測IC!$C14:AZ14)-1</f>
        <v>3.8670513914747682</v>
      </c>
      <c r="BA14" s="21" cm="1">
        <f t="array" ref="BA14">PRODUCT(1+預測IC!$C14:BA14)-1</f>
        <v>4.3359305706600688</v>
      </c>
      <c r="BB14" s="21" cm="1">
        <f t="array" ref="BB14">PRODUCT(1+預測IC!$C14:BB14)-1</f>
        <v>4.8796512239491889</v>
      </c>
      <c r="BC14" s="21" cm="1">
        <f t="array" ref="BC14">PRODUCT(1+預測IC!$C14:BC14)-1</f>
        <v>4.8262409218741151</v>
      </c>
      <c r="BD14" s="21" cm="1">
        <f t="array" ref="BD14">PRODUCT(1+預測IC!$C14:BD14)-1</f>
        <v>5.0786790164787794</v>
      </c>
      <c r="BE14" s="21" cm="1">
        <f t="array" ref="BE14">PRODUCT(1+預測IC!$C14:BE14)-1</f>
        <v>5.3411335468287895</v>
      </c>
      <c r="BF14" s="21" cm="1">
        <f t="array" ref="BF14">PRODUCT(1+預測IC!$C14:BF14)-1</f>
        <v>5.5996648687238686</v>
      </c>
      <c r="BG14" s="21" cm="1">
        <f t="array" ref="BG14">PRODUCT(1+預測IC!$C14:BG14)-1</f>
        <v>5.8727211458019069</v>
      </c>
      <c r="BH14" s="21" cm="1">
        <f t="array" ref="BH14">PRODUCT(1+預測IC!$C14:BH14)-1</f>
        <v>5.8707731130816025</v>
      </c>
      <c r="BI14" s="21" cm="1">
        <f t="array" ref="BI14">PRODUCT(1+預測IC!$C14:BI14)-1</f>
        <v>6.2281511247193739</v>
      </c>
      <c r="BJ14" s="21" cm="1">
        <f t="array" ref="BJ14">PRODUCT(1+預測IC!$C14:BJ14)-1</f>
        <v>6.1323471944021302</v>
      </c>
      <c r="BK14" s="21" cm="1">
        <f t="array" ref="BK14">PRODUCT(1+預測IC!$C14:BK14)-1</f>
        <v>6.131724360188084</v>
      </c>
      <c r="BL14" s="21" cm="1">
        <f t="array" ref="BL14">PRODUCT(1+預測IC!$C14:BL14)-1</f>
        <v>6.5577576472010533</v>
      </c>
      <c r="BM14" s="21" cm="1">
        <f t="array" ref="BM14">PRODUCT(1+預測IC!$C14:BM14)-1</f>
        <v>6.2079972825099716</v>
      </c>
      <c r="BN14" s="21" cm="1">
        <f t="array" ref="BN14">PRODUCT(1+預測IC!$C14:BN14)-1</f>
        <v>6.3589077920420891</v>
      </c>
      <c r="BO14" s="21" cm="1">
        <f t="array" ref="BO14">PRODUCT(1+預測IC!$C14:BO14)-1</f>
        <v>6.6062336601596083</v>
      </c>
      <c r="BP14" s="21" cm="1">
        <f t="array" ref="BP14">PRODUCT(1+預測IC!$C14:BP14)-1</f>
        <v>6.7037658644775098</v>
      </c>
      <c r="BQ14" s="21" cm="1">
        <f t="array" ref="BQ14">PRODUCT(1+預測IC!$C14:BQ14)-1</f>
        <v>6.7965917964162958</v>
      </c>
      <c r="BR14" s="21" cm="1">
        <f t="array" ref="BR14">PRODUCT(1+預測IC!$C14:BR14)-1</f>
        <v>6.5788374352436998</v>
      </c>
      <c r="BS14" s="21" cm="1">
        <f t="array" ref="BS14">PRODUCT(1+預測IC!$C14:BS14)-1</f>
        <v>6.286072980797961</v>
      </c>
      <c r="BT14" s="21" cm="1">
        <f t="array" ref="BT14">PRODUCT(1+預測IC!$C14:BT14)-1</f>
        <v>6.8189700095364252</v>
      </c>
      <c r="BU14" s="21" cm="1">
        <f t="array" ref="BU14">PRODUCT(1+預測IC!$C14:BU14)-1</f>
        <v>6.7497343174325986</v>
      </c>
      <c r="BV14" s="21" cm="1">
        <f t="array" ref="BV14">PRODUCT(1+預測IC!$C14:BV14)-1</f>
        <v>6.9736351610783629</v>
      </c>
      <c r="BW14" s="21" cm="1">
        <f t="array" ref="BW14">PRODUCT(1+預測IC!$C14:BW14)-1</f>
        <v>7.0733689770980579</v>
      </c>
      <c r="BX14" s="21" cm="1">
        <f t="array" ref="BX14">PRODUCT(1+預測IC!$C14:BX14)-1</f>
        <v>7.5081874063051934</v>
      </c>
      <c r="BY14" s="21" cm="1">
        <f t="array" ref="BY14">PRODUCT(1+預測IC!$C14:BY14)-1</f>
        <v>7.3505998392540572</v>
      </c>
      <c r="BZ14" s="21" cm="1">
        <f t="array" ref="BZ14">PRODUCT(1+預測IC!$C14:BZ14)-1</f>
        <v>8.2840342360368115</v>
      </c>
      <c r="CA14" s="21" cm="1">
        <f t="array" ref="CA14">PRODUCT(1+預測IC!$C14:CA14)-1</f>
        <v>8.0568978678319851</v>
      </c>
      <c r="CB14" s="21" cm="1">
        <f t="array" ref="CB14">PRODUCT(1+預測IC!$C14:CB14)-1</f>
        <v>8.2573054309130125</v>
      </c>
      <c r="CC14" s="21" cm="1">
        <f t="array" ref="CC14">PRODUCT(1+預測IC!$C14:CC14)-1</f>
        <v>9.3736921282603731</v>
      </c>
      <c r="CD14" s="21" cm="1">
        <f t="array" ref="CD14">PRODUCT(1+預測IC!$C14:CD14)-1</f>
        <v>9.8708136506253119</v>
      </c>
      <c r="CE14" s="21" cm="1">
        <f t="array" ref="CE14">PRODUCT(1+預測IC!$C14:CE14)-1</f>
        <v>11.724883556363451</v>
      </c>
      <c r="CF14" s="21" cm="1">
        <f t="array" ref="CF14">PRODUCT(1+預測IC!$C14:CF14)-1</f>
        <v>11.466437152949428</v>
      </c>
      <c r="CG14" s="21" cm="1">
        <f t="array" ref="CG14">PRODUCT(1+預測IC!$C14:CG14)-1</f>
        <v>13.19836055504069</v>
      </c>
      <c r="CH14" s="21" cm="1">
        <f t="array" ref="CH14">PRODUCT(1+預測IC!$C14:CH14)-1</f>
        <v>14.11644631659774</v>
      </c>
      <c r="CI14" s="21" cm="1">
        <f t="array" ref="CI14">PRODUCT(1+預測IC!$C14:CI14)-1</f>
        <v>12.515844763839624</v>
      </c>
      <c r="CJ14" s="21" cm="1">
        <f t="array" ref="CJ14">PRODUCT(1+預測IC!$C14:CJ14)-1</f>
        <v>12.076168837062893</v>
      </c>
      <c r="CK14" s="21" cm="1">
        <f t="array" ref="CK14">PRODUCT(1+預測IC!$C14:CK14)-1</f>
        <v>12.259449184316777</v>
      </c>
      <c r="CL14" s="21" cm="1">
        <f t="array" ref="CL14">PRODUCT(1+預測IC!$C14:CL14)-1</f>
        <v>13.085114486742409</v>
      </c>
      <c r="CM14" s="21" cm="1">
        <f t="array" ref="CM14">PRODUCT(1+預測IC!$C14:CM14)-1</f>
        <v>13.536401700936571</v>
      </c>
      <c r="CN14" s="21" cm="1">
        <f t="array" ref="CN14">PRODUCT(1+預測IC!$C14:CN14)-1</f>
        <v>13.238704944387159</v>
      </c>
      <c r="CO14" s="21" cm="1">
        <f t="array" ref="CO14">PRODUCT(1+預測IC!$C14:CO14)-1</f>
        <v>12.190911111223194</v>
      </c>
      <c r="CP14" s="21" cm="1">
        <f t="array" ref="CP14">PRODUCT(1+預測IC!$C14:CP14)-1</f>
        <v>13.507487130869606</v>
      </c>
      <c r="CQ14" s="21" cm="1">
        <f t="array" ref="CQ14">PRODUCT(1+預測IC!$C14:CQ14)-1</f>
        <v>13.039941287998374</v>
      </c>
      <c r="CR14" s="21" cm="1">
        <f t="array" ref="CR14">PRODUCT(1+預測IC!$C14:CR14)-1</f>
        <v>13.919417989164156</v>
      </c>
      <c r="CS14" s="21" cm="1">
        <f t="array" ref="CS14">PRODUCT(1+預測IC!$C14:CS14)-1</f>
        <v>13.862498839070444</v>
      </c>
      <c r="CT14" s="21" cm="1">
        <f t="array" ref="CT14">PRODUCT(1+預測IC!$C14:CT14)-1</f>
        <v>14.146381135880574</v>
      </c>
      <c r="CU14" s="21" cm="1">
        <f t="array" ref="CU14">PRODUCT(1+預測IC!$C14:CU14)-1</f>
        <v>13.471694038151815</v>
      </c>
      <c r="CV14" s="21" cm="1">
        <f t="array" ref="CV14">PRODUCT(1+預測IC!$C14:CV14)-1</f>
        <v>13.800863068311603</v>
      </c>
      <c r="CW14" s="21" cm="1">
        <f t="array" ref="CW14">PRODUCT(1+預測IC!$C14:CW14)-1</f>
        <v>13.750564074816021</v>
      </c>
      <c r="CX14" s="21" cm="1">
        <f t="array" ref="CX14">PRODUCT(1+預測IC!$C14:CX14)-1</f>
        <v>14.233856410376029</v>
      </c>
      <c r="CY14" s="21" cm="1">
        <f t="array" ref="CY14">PRODUCT(1+預測IC!$C14:CY14)-1</f>
        <v>13.79574410136698</v>
      </c>
      <c r="CZ14" s="21" cm="1">
        <f t="array" ref="CZ14">PRODUCT(1+預測IC!$C14:CZ14)-1</f>
        <v>14.743612190920965</v>
      </c>
      <c r="DA14" s="21" cm="1">
        <f t="array" ref="DA14">PRODUCT(1+預測IC!$C14:DA14)-1</f>
        <v>14.360974887643282</v>
      </c>
      <c r="DB14" s="21" cm="1">
        <f t="array" ref="DB14">PRODUCT(1+預測IC!$C14:DB14)-1</f>
        <v>15.967856557162232</v>
      </c>
      <c r="DC14" s="21" cm="1">
        <f t="array" ref="DC14">PRODUCT(1+預測IC!$C14:DC14)-1</f>
        <v>16.218198526716442</v>
      </c>
      <c r="DD14" s="21" cm="1">
        <f t="array" ref="DD14">PRODUCT(1+預測IC!$C14:DD14)-1</f>
        <v>15.290156656766904</v>
      </c>
      <c r="DE14" s="21" cm="1">
        <f t="array" ref="DE14">PRODUCT(1+預測IC!$C14:DE14)-1</f>
        <v>15.377867740864357</v>
      </c>
      <c r="DF14" s="21" cm="1">
        <f t="array" ref="DF14">PRODUCT(1+預測IC!$C14:DF14)-1</f>
        <v>14.726512399422115</v>
      </c>
      <c r="DG14" s="21" cm="1">
        <f t="array" ref="DG14">PRODUCT(1+預測IC!$C14:DG14)-1</f>
        <v>14.906526810472302</v>
      </c>
      <c r="DH14" s="21" cm="1">
        <f t="array" ref="DH14">PRODUCT(1+預測IC!$C14:DH14)-1</f>
        <v>14.982477887092315</v>
      </c>
      <c r="DI14" s="21" cm="1">
        <f t="array" ref="DI14">PRODUCT(1+預測IC!$C14:DI14)-1</f>
        <v>14.132337967360096</v>
      </c>
      <c r="DJ14" s="21" cm="1">
        <f t="array" ref="DJ14">PRODUCT(1+預測IC!$C14:DJ14)-1</f>
        <v>14.372908690609826</v>
      </c>
      <c r="DK14" s="21" cm="1">
        <f t="array" ref="DK14">PRODUCT(1+預測IC!$C14:DK14)-1</f>
        <v>14.654500040491259</v>
      </c>
      <c r="DL14" s="21" cm="1">
        <f t="array" ref="DL14">PRODUCT(1+預測IC!$C14:DL14)-1</f>
        <v>14.4170970183162</v>
      </c>
      <c r="DM14" s="21" cm="1">
        <f t="array" ref="DM14">PRODUCT(1+預測IC!$C14:DM14)-1</f>
        <v>14.501956868947929</v>
      </c>
      <c r="DN14" s="21" cm="1">
        <f t="array" ref="DN14">PRODUCT(1+預測IC!$C14:DN14)-1</f>
        <v>15.119736320798431</v>
      </c>
      <c r="DO14" s="21" cm="1">
        <f t="array" ref="DO14">PRODUCT(1+預測IC!$C14:DO14)-1</f>
        <v>15.786700810925645</v>
      </c>
      <c r="DP14" s="21" cm="1">
        <f t="array" ref="DP14">PRODUCT(1+預測IC!$C14:DP14)-1</f>
        <v>16.467103187239651</v>
      </c>
      <c r="DQ14" s="21" cm="1">
        <f t="array" ref="DQ14">PRODUCT(1+預測IC!$C14:DQ14)-1</f>
        <v>14.906105554284</v>
      </c>
      <c r="DR14" s="21" cm="1">
        <f t="array" ref="DR14">PRODUCT(1+預測IC!$C14:DR14)-1</f>
        <v>15.743124903331211</v>
      </c>
      <c r="DS14" s="21" cm="1">
        <f t="array" ref="DS14">PRODUCT(1+預測IC!$C14:DS14)-1</f>
        <v>15.156363660411714</v>
      </c>
      <c r="DT14" s="21" cm="1">
        <f t="array" ref="DT14">PRODUCT(1+預測IC!$C14:DT14)-1</f>
        <v>17.057520387069257</v>
      </c>
      <c r="DU14" s="21" cm="1">
        <f t="array" ref="DU14">PRODUCT(1+預測IC!$C14:DU14)-1</f>
        <v>15.81523046254139</v>
      </c>
      <c r="DV14" s="21" cm="1">
        <f t="array" ref="DV14">PRODUCT(1+預測IC!$C14:DV14)-1</f>
        <v>17.635686904382506</v>
      </c>
      <c r="DW14" s="21" cm="1">
        <f t="array" ref="DW14">PRODUCT(1+預測IC!$C14:DW14)-1</f>
        <v>19.346616815568538</v>
      </c>
      <c r="DX14" s="21" cm="1">
        <f t="array" ref="DX14">PRODUCT(1+預測IC!$C14:DX14)-1</f>
        <v>17.267981621140326</v>
      </c>
      <c r="DY14" s="21" cm="1">
        <f t="array" ref="DY14">PRODUCT(1+預測IC!$C14:DY14)-1</f>
        <v>18.624522515944811</v>
      </c>
      <c r="DZ14" s="21" cm="1">
        <f t="array" ref="DZ14">PRODUCT(1+預測IC!$C14:DZ14)-1</f>
        <v>19.31198709846166</v>
      </c>
      <c r="EA14" s="21" cm="1">
        <f t="array" ref="EA14">PRODUCT(1+預測IC!$C14:EA14)-1</f>
        <v>21.496043321913522</v>
      </c>
      <c r="EB14" s="21" cm="1">
        <f t="array" ref="EB14">PRODUCT(1+預測IC!$C14:EB14)-1</f>
        <v>21.653908730491988</v>
      </c>
      <c r="EC14" s="21" cm="1">
        <f t="array" ref="EC14">PRODUCT(1+預測IC!$C14:EC14)-1</f>
        <v>21.216923177257698</v>
      </c>
      <c r="ED14" s="21" cm="1">
        <f t="array" ref="ED14">PRODUCT(1+預測IC!$C14:ED14)-1</f>
        <v>18.936806812563884</v>
      </c>
      <c r="EE14" s="21" cm="1">
        <f t="array" ref="EE14">PRODUCT(1+預測IC!$C14:EE14)-1</f>
        <v>19.309384860474907</v>
      </c>
      <c r="EF14" s="21" cm="1">
        <f t="array" ref="EF14">PRODUCT(1+預測IC!$C14:EF14)-1</f>
        <v>20.662646834359151</v>
      </c>
    </row>
    <row r="15" spans="1:137">
      <c r="A15" s="4">
        <v>100</v>
      </c>
      <c r="B15" s="4">
        <v>10</v>
      </c>
      <c r="C15" s="21" cm="1">
        <f t="array" ref="C15">PRODUCT(1+預測IC!$C15:C15)-1</f>
        <v>0.22764509999999993</v>
      </c>
      <c r="D15" s="21" cm="1">
        <f t="array" ref="D15">PRODUCT(1+預測IC!$C15:D15)-1</f>
        <v>0.68520033692747018</v>
      </c>
      <c r="E15" s="21" cm="1">
        <f t="array" ref="E15">PRODUCT(1+預測IC!$C15:E15)-1</f>
        <v>0.79648658565728425</v>
      </c>
      <c r="F15" s="21" cm="1">
        <f t="array" ref="F15">PRODUCT(1+預測IC!$C15:F15)-1</f>
        <v>0.95871758818043107</v>
      </c>
      <c r="G15" s="21" cm="1">
        <f t="array" ref="G15">PRODUCT(1+預測IC!$C15:G15)-1</f>
        <v>1.1479418512477078</v>
      </c>
      <c r="H15" s="21" cm="1">
        <f t="array" ref="H15">PRODUCT(1+預測IC!$C15:H15)-1</f>
        <v>1.4032127117941307</v>
      </c>
      <c r="I15" s="21" cm="1">
        <f t="array" ref="I15">PRODUCT(1+預測IC!$C15:I15)-1</f>
        <v>1.7077692152258179</v>
      </c>
      <c r="J15" s="21" cm="1">
        <f t="array" ref="J15">PRODUCT(1+預測IC!$C15:J15)-1</f>
        <v>1.5330525728287441</v>
      </c>
      <c r="K15" s="21" cm="1">
        <f t="array" ref="K15">PRODUCT(1+預測IC!$C15:K15)-1</f>
        <v>1.5223858884445622</v>
      </c>
      <c r="L15" s="21" cm="1">
        <f t="array" ref="L15">PRODUCT(1+預測IC!$C15:L15)-1</f>
        <v>1.5550934140214343</v>
      </c>
      <c r="M15" s="21" cm="1">
        <f t="array" ref="M15">PRODUCT(1+預測IC!$C15:M15)-1</f>
        <v>1.6202424435851039</v>
      </c>
      <c r="N15" s="21" cm="1">
        <f t="array" ref="N15">PRODUCT(1+預測IC!$C15:N15)-1</f>
        <v>2.4857336770287226</v>
      </c>
      <c r="O15" s="21" cm="1">
        <f t="array" ref="O15">PRODUCT(1+預測IC!$C15:O15)-1</f>
        <v>2.6464381996076165</v>
      </c>
      <c r="P15" s="21" cm="1">
        <f t="array" ref="P15">PRODUCT(1+預測IC!$C15:P15)-1</f>
        <v>2.8396388933127068</v>
      </c>
      <c r="Q15" s="21" cm="1">
        <f t="array" ref="Q15">PRODUCT(1+預測IC!$C15:Q15)-1</f>
        <v>3.225049558578978</v>
      </c>
      <c r="R15" s="21" cm="1">
        <f t="array" ref="R15">PRODUCT(1+預測IC!$C15:R15)-1</f>
        <v>3.2958411089428807</v>
      </c>
      <c r="S15" s="21" cm="1">
        <f t="array" ref="S15">PRODUCT(1+預測IC!$C15:S15)-1</f>
        <v>3.1109756009970759</v>
      </c>
      <c r="T15" s="21" cm="1">
        <f t="array" ref="T15">PRODUCT(1+預測IC!$C15:T15)-1</f>
        <v>2.8363619172123862</v>
      </c>
      <c r="U15" s="21" cm="1">
        <f t="array" ref="U15">PRODUCT(1+預測IC!$C15:U15)-1</f>
        <v>3.0158603040482612</v>
      </c>
      <c r="V15" s="21" cm="1">
        <f t="array" ref="V15">PRODUCT(1+預測IC!$C15:V15)-1</f>
        <v>2.6717797868532847</v>
      </c>
      <c r="W15" s="21" cm="1">
        <f t="array" ref="W15">PRODUCT(1+預測IC!$C15:W15)-1</f>
        <v>3.0482972825104104</v>
      </c>
      <c r="X15" s="21" cm="1">
        <f t="array" ref="X15">PRODUCT(1+預測IC!$C15:X15)-1</f>
        <v>3.3658315523100386</v>
      </c>
      <c r="Y15" s="21" cm="1">
        <f t="array" ref="Y15">PRODUCT(1+預測IC!$C15:Y15)-1</f>
        <v>3.260223396809125</v>
      </c>
      <c r="Z15" s="21" cm="1">
        <f t="array" ref="Z15">PRODUCT(1+預測IC!$C15:Z15)-1</f>
        <v>3.1594427000895289</v>
      </c>
      <c r="AA15" s="21" cm="1">
        <f t="array" ref="AA15">PRODUCT(1+預測IC!$C15:AA15)-1</f>
        <v>3.3532265600997295</v>
      </c>
      <c r="AB15" s="21" cm="1">
        <f t="array" ref="AB15">PRODUCT(1+預測IC!$C15:AB15)-1</f>
        <v>3.2567311956524847</v>
      </c>
      <c r="AC15" s="21" cm="1">
        <f t="array" ref="AC15">PRODUCT(1+預測IC!$C15:AC15)-1</f>
        <v>3.0862286789568634</v>
      </c>
      <c r="AD15" s="21" cm="1">
        <f t="array" ref="AD15">PRODUCT(1+預測IC!$C15:AD15)-1</f>
        <v>3.4201282148793082</v>
      </c>
      <c r="AE15" s="21" cm="1">
        <f t="array" ref="AE15">PRODUCT(1+預測IC!$C15:AE15)-1</f>
        <v>3.6291366295968048</v>
      </c>
      <c r="AF15" s="21" cm="1">
        <f t="array" ref="AF15">PRODUCT(1+預測IC!$C15:AF15)-1</f>
        <v>3.9338246087527198</v>
      </c>
      <c r="AG15" s="21" cm="1">
        <f t="array" ref="AG15">PRODUCT(1+預測IC!$C15:AG15)-1</f>
        <v>3.8857444879404248</v>
      </c>
      <c r="AH15" s="21" cm="1">
        <f t="array" ref="AH15">PRODUCT(1+預測IC!$C15:AH15)-1</f>
        <v>3.7215621060374646</v>
      </c>
      <c r="AI15" s="21" cm="1">
        <f t="array" ref="AI15">PRODUCT(1+預測IC!$C15:AI15)-1</f>
        <v>3.9616745481262328</v>
      </c>
      <c r="AJ15" s="21" cm="1">
        <f t="array" ref="AJ15">PRODUCT(1+預測IC!$C15:AJ15)-1</f>
        <v>4.0086361029284365</v>
      </c>
      <c r="AK15" s="21" cm="1">
        <f t="array" ref="AK15">PRODUCT(1+預測IC!$C15:AK15)-1</f>
        <v>4.2966105180855614</v>
      </c>
      <c r="AL15" s="21" cm="1">
        <f t="array" ref="AL15">PRODUCT(1+預測IC!$C15:AL15)-1</f>
        <v>4.5114180268545612</v>
      </c>
      <c r="AM15" s="21" cm="1">
        <f t="array" ref="AM15">PRODUCT(1+預測IC!$C15:AM15)-1</f>
        <v>4.8152218401748366</v>
      </c>
      <c r="AN15" s="21" cm="1">
        <f t="array" ref="AN15">PRODUCT(1+預測IC!$C15:AN15)-1</f>
        <v>5.3552344672017913</v>
      </c>
      <c r="AO15" s="21" cm="1">
        <f t="array" ref="AO15">PRODUCT(1+預測IC!$C15:AO15)-1</f>
        <v>5.7579644835497312</v>
      </c>
      <c r="AP15" s="21" cm="1">
        <f t="array" ref="AP15">PRODUCT(1+預測IC!$C15:AP15)-1</f>
        <v>5.173685968144718</v>
      </c>
      <c r="AQ15" s="21" cm="1">
        <f t="array" ref="AQ15">PRODUCT(1+預測IC!$C15:AQ15)-1</f>
        <v>4.9724389804641076</v>
      </c>
      <c r="AR15" s="21" cm="1">
        <f t="array" ref="AR15">PRODUCT(1+預測IC!$C15:AR15)-1</f>
        <v>5.4413785060183271</v>
      </c>
      <c r="AS15" s="21" cm="1">
        <f t="array" ref="AS15">PRODUCT(1+預測IC!$C15:AS15)-1</f>
        <v>5.7880610918365569</v>
      </c>
      <c r="AT15" s="21" cm="1">
        <f t="array" ref="AT15">PRODUCT(1+預測IC!$C15:AT15)-1</f>
        <v>6.2310159549324649</v>
      </c>
      <c r="AU15" s="21" cm="1">
        <f t="array" ref="AU15">PRODUCT(1+預測IC!$C15:AU15)-1</f>
        <v>6.5198463131624287</v>
      </c>
      <c r="AV15" s="21" cm="1">
        <f t="array" ref="AV15">PRODUCT(1+預測IC!$C15:AV15)-1</f>
        <v>6.1647078974804455</v>
      </c>
      <c r="AW15" s="21" cm="1">
        <f t="array" ref="AW15">PRODUCT(1+預測IC!$C15:AW15)-1</f>
        <v>6.2769067879318055</v>
      </c>
      <c r="AX15" s="21" cm="1">
        <f t="array" ref="AX15">PRODUCT(1+預測IC!$C15:AX15)-1</f>
        <v>7.1882227665143326</v>
      </c>
      <c r="AY15" s="21" cm="1">
        <f t="array" ref="AY15">PRODUCT(1+預測IC!$C15:AY15)-1</f>
        <v>7.4183889303483515</v>
      </c>
      <c r="AZ15" s="21" cm="1">
        <f t="array" ref="AZ15">PRODUCT(1+預測IC!$C15:AZ15)-1</f>
        <v>6.6495940403365594</v>
      </c>
      <c r="BA15" s="21" cm="1">
        <f t="array" ref="BA15">PRODUCT(1+預測IC!$C15:BA15)-1</f>
        <v>7.8558455202473638</v>
      </c>
      <c r="BB15" s="21" cm="1">
        <f t="array" ref="BB15">PRODUCT(1+預測IC!$C15:BB15)-1</f>
        <v>8.8192596706267938</v>
      </c>
      <c r="BC15" s="21" cm="1">
        <f t="array" ref="BC15">PRODUCT(1+預測IC!$C15:BC15)-1</f>
        <v>9.4295771661663341</v>
      </c>
      <c r="BD15" s="21" cm="1">
        <f t="array" ref="BD15">PRODUCT(1+預測IC!$C15:BD15)-1</f>
        <v>9.8775256318001698</v>
      </c>
      <c r="BE15" s="21" cm="1">
        <f t="array" ref="BE15">PRODUCT(1+預測IC!$C15:BE15)-1</f>
        <v>10.303342850560105</v>
      </c>
      <c r="BF15" s="21" cm="1">
        <f t="array" ref="BF15">PRODUCT(1+預測IC!$C15:BF15)-1</f>
        <v>10.881824056825497</v>
      </c>
      <c r="BG15" s="21" cm="1">
        <f t="array" ref="BG15">PRODUCT(1+預測IC!$C15:BG15)-1</f>
        <v>10.915388095788243</v>
      </c>
      <c r="BH15" s="21" cm="1">
        <f t="array" ref="BH15">PRODUCT(1+預測IC!$C15:BH15)-1</f>
        <v>11.315227260706216</v>
      </c>
      <c r="BI15" s="21" cm="1">
        <f t="array" ref="BI15">PRODUCT(1+預測IC!$C15:BI15)-1</f>
        <v>12.159887554759653</v>
      </c>
      <c r="BJ15" s="21" cm="1">
        <f t="array" ref="BJ15">PRODUCT(1+預測IC!$C15:BJ15)-1</f>
        <v>11.954341919889995</v>
      </c>
      <c r="BK15" s="21" cm="1">
        <f t="array" ref="BK15">PRODUCT(1+預測IC!$C15:BK15)-1</f>
        <v>11.809818517945866</v>
      </c>
      <c r="BL15" s="21" cm="1">
        <f t="array" ref="BL15">PRODUCT(1+預測IC!$C15:BL15)-1</f>
        <v>12.613611264840429</v>
      </c>
      <c r="BM15" s="21" cm="1">
        <f t="array" ref="BM15">PRODUCT(1+預測IC!$C15:BM15)-1</f>
        <v>11.957176482166686</v>
      </c>
      <c r="BN15" s="21" cm="1">
        <f t="array" ref="BN15">PRODUCT(1+預測IC!$C15:BN15)-1</f>
        <v>12.477310842647309</v>
      </c>
      <c r="BO15" s="21" cm="1">
        <f t="array" ref="BO15">PRODUCT(1+預測IC!$C15:BO15)-1</f>
        <v>12.851096996149842</v>
      </c>
      <c r="BP15" s="21" cm="1">
        <f t="array" ref="BP15">PRODUCT(1+預測IC!$C15:BP15)-1</f>
        <v>13.047564012988442</v>
      </c>
      <c r="BQ15" s="21" cm="1">
        <f t="array" ref="BQ15">PRODUCT(1+預測IC!$C15:BQ15)-1</f>
        <v>13.227414009843214</v>
      </c>
      <c r="BR15" s="21" cm="1">
        <f t="array" ref="BR15">PRODUCT(1+預測IC!$C15:BR15)-1</f>
        <v>12.513803500054305</v>
      </c>
      <c r="BS15" s="21" cm="1">
        <f t="array" ref="BS15">PRODUCT(1+預測IC!$C15:BS15)-1</f>
        <v>12.286450277462491</v>
      </c>
      <c r="BT15" s="21" cm="1">
        <f t="array" ref="BT15">PRODUCT(1+預測IC!$C15:BT15)-1</f>
        <v>13.469744272612445</v>
      </c>
      <c r="BU15" s="21" cm="1">
        <f t="array" ref="BU15">PRODUCT(1+預測IC!$C15:BU15)-1</f>
        <v>13.751563086403623</v>
      </c>
      <c r="BV15" s="21" cm="1">
        <f t="array" ref="BV15">PRODUCT(1+預測IC!$C15:BV15)-1</f>
        <v>14.625282486516301</v>
      </c>
      <c r="BW15" s="21" cm="1">
        <f t="array" ref="BW15">PRODUCT(1+預測IC!$C15:BW15)-1</f>
        <v>14.063617799015089</v>
      </c>
      <c r="BX15" s="21" cm="1">
        <f t="array" ref="BX15">PRODUCT(1+預測IC!$C15:BX15)-1</f>
        <v>14.374991004313253</v>
      </c>
      <c r="BY15" s="21" cm="1">
        <f t="array" ref="BY15">PRODUCT(1+預測IC!$C15:BY15)-1</f>
        <v>13.027294357247357</v>
      </c>
      <c r="BZ15" s="21" cm="1">
        <f t="array" ref="BZ15">PRODUCT(1+預測IC!$C15:BZ15)-1</f>
        <v>14.470793688857551</v>
      </c>
      <c r="CA15" s="21" cm="1">
        <f t="array" ref="CA15">PRODUCT(1+預測IC!$C15:CA15)-1</f>
        <v>14.183160370856843</v>
      </c>
      <c r="CB15" s="21" cm="1">
        <f t="array" ref="CB15">PRODUCT(1+預測IC!$C15:CB15)-1</f>
        <v>14.411771607325369</v>
      </c>
      <c r="CC15" s="21" cm="1">
        <f t="array" ref="CC15">PRODUCT(1+預測IC!$C15:CC15)-1</f>
        <v>17.088019582228778</v>
      </c>
      <c r="CD15" s="21" cm="1">
        <f t="array" ref="CD15">PRODUCT(1+預測IC!$C15:CD15)-1</f>
        <v>18.699546363680035</v>
      </c>
      <c r="CE15" s="21" cm="1">
        <f t="array" ref="CE15">PRODUCT(1+預測IC!$C15:CE15)-1</f>
        <v>20.144850861562695</v>
      </c>
      <c r="CF15" s="21" cm="1">
        <f t="array" ref="CF15">PRODUCT(1+預測IC!$C15:CF15)-1</f>
        <v>20.068171174398323</v>
      </c>
      <c r="CG15" s="21" cm="1">
        <f t="array" ref="CG15">PRODUCT(1+預測IC!$C15:CG15)-1</f>
        <v>24.823925269486256</v>
      </c>
      <c r="CH15" s="21" cm="1">
        <f t="array" ref="CH15">PRODUCT(1+預測IC!$C15:CH15)-1</f>
        <v>26.44788755670459</v>
      </c>
      <c r="CI15" s="21" cm="1">
        <f t="array" ref="CI15">PRODUCT(1+預測IC!$C15:CI15)-1</f>
        <v>25.684751967082107</v>
      </c>
      <c r="CJ15" s="21" cm="1">
        <f t="array" ref="CJ15">PRODUCT(1+預測IC!$C15:CJ15)-1</f>
        <v>23.361994915147246</v>
      </c>
      <c r="CK15" s="21" cm="1">
        <f t="array" ref="CK15">PRODUCT(1+預測IC!$C15:CK15)-1</f>
        <v>24.742653623275071</v>
      </c>
      <c r="CL15" s="21" cm="1">
        <f t="array" ref="CL15">PRODUCT(1+預測IC!$C15:CL15)-1</f>
        <v>25.551538641685472</v>
      </c>
      <c r="CM15" s="21" cm="1">
        <f t="array" ref="CM15">PRODUCT(1+預測IC!$C15:CM15)-1</f>
        <v>27.533109605442231</v>
      </c>
      <c r="CN15" s="21" cm="1">
        <f t="array" ref="CN15">PRODUCT(1+預測IC!$C15:CN15)-1</f>
        <v>26.316625706413674</v>
      </c>
      <c r="CO15" s="21" cm="1">
        <f t="array" ref="CO15">PRODUCT(1+預測IC!$C15:CO15)-1</f>
        <v>22.780515145650718</v>
      </c>
      <c r="CP15" s="21" cm="1">
        <f t="array" ref="CP15">PRODUCT(1+預測IC!$C15:CP15)-1</f>
        <v>25.813383011777194</v>
      </c>
      <c r="CQ15" s="21" cm="1">
        <f t="array" ref="CQ15">PRODUCT(1+預測IC!$C15:CQ15)-1</f>
        <v>26.482735156956739</v>
      </c>
      <c r="CR15" s="21" cm="1">
        <f t="array" ref="CR15">PRODUCT(1+預測IC!$C15:CR15)-1</f>
        <v>27.152613085039981</v>
      </c>
      <c r="CS15" s="21" cm="1">
        <f t="array" ref="CS15">PRODUCT(1+預測IC!$C15:CS15)-1</f>
        <v>27.628741338579413</v>
      </c>
      <c r="CT15" s="21" cm="1">
        <f t="array" ref="CT15">PRODUCT(1+預測IC!$C15:CT15)-1</f>
        <v>27.84043871286044</v>
      </c>
      <c r="CU15" s="21" cm="1">
        <f t="array" ref="CU15">PRODUCT(1+預測IC!$C15:CU15)-1</f>
        <v>26.018338443627783</v>
      </c>
      <c r="CV15" s="21" cm="1">
        <f t="array" ref="CV15">PRODUCT(1+預測IC!$C15:CV15)-1</f>
        <v>25.852395945284709</v>
      </c>
      <c r="CW15" s="21" cm="1">
        <f t="array" ref="CW15">PRODUCT(1+預測IC!$C15:CW15)-1</f>
        <v>25.439112749779255</v>
      </c>
      <c r="CX15" s="21" cm="1">
        <f t="array" ref="CX15">PRODUCT(1+預測IC!$C15:CX15)-1</f>
        <v>26.074698631122658</v>
      </c>
      <c r="CY15" s="21" cm="1">
        <f t="array" ref="CY15">PRODUCT(1+預測IC!$C15:CY15)-1</f>
        <v>24.924817956881309</v>
      </c>
      <c r="CZ15" s="21" cm="1">
        <f t="array" ref="CZ15">PRODUCT(1+預測IC!$C15:CZ15)-1</f>
        <v>26.924789955057925</v>
      </c>
      <c r="DA15" s="21" cm="1">
        <f t="array" ref="DA15">PRODUCT(1+預測IC!$C15:DA15)-1</f>
        <v>26.188250290454352</v>
      </c>
      <c r="DB15" s="21" cm="1">
        <f t="array" ref="DB15">PRODUCT(1+預測IC!$C15:DB15)-1</f>
        <v>28.82680744816728</v>
      </c>
      <c r="DC15" s="21" cm="1">
        <f t="array" ref="DC15">PRODUCT(1+預測IC!$C15:DC15)-1</f>
        <v>31.115313989839088</v>
      </c>
      <c r="DD15" s="21" cm="1">
        <f t="array" ref="DD15">PRODUCT(1+預測IC!$C15:DD15)-1</f>
        <v>28.946724201143805</v>
      </c>
      <c r="DE15" s="21" cm="1">
        <f t="array" ref="DE15">PRODUCT(1+預測IC!$C15:DE15)-1</f>
        <v>29.693856480786614</v>
      </c>
      <c r="DF15" s="21" cm="1">
        <f t="array" ref="DF15">PRODUCT(1+預測IC!$C15:DF15)-1</f>
        <v>28.392703806130537</v>
      </c>
      <c r="DG15" s="21" cm="1">
        <f t="array" ref="DG15">PRODUCT(1+預測IC!$C15:DG15)-1</f>
        <v>28.868769541212892</v>
      </c>
      <c r="DH15" s="21" cm="1">
        <f t="array" ref="DH15">PRODUCT(1+預測IC!$C15:DH15)-1</f>
        <v>28.309954401998873</v>
      </c>
      <c r="DI15" s="21" cm="1">
        <f t="array" ref="DI15">PRODUCT(1+預測IC!$C15:DI15)-1</f>
        <v>27.966487195869519</v>
      </c>
      <c r="DJ15" s="21" cm="1">
        <f t="array" ref="DJ15">PRODUCT(1+預測IC!$C15:DJ15)-1</f>
        <v>29.344321609071848</v>
      </c>
      <c r="DK15" s="21" cm="1">
        <f t="array" ref="DK15">PRODUCT(1+預測IC!$C15:DK15)-1</f>
        <v>32.432609905239509</v>
      </c>
      <c r="DL15" s="21" cm="1">
        <f t="array" ref="DL15">PRODUCT(1+預測IC!$C15:DL15)-1</f>
        <v>34.526677945320188</v>
      </c>
      <c r="DM15" s="21" cm="1">
        <f t="array" ref="DM15">PRODUCT(1+預測IC!$C15:DM15)-1</f>
        <v>33.68083936840646</v>
      </c>
      <c r="DN15" s="21" cm="1">
        <f t="array" ref="DN15">PRODUCT(1+預測IC!$C15:DN15)-1</f>
        <v>35.206674828327515</v>
      </c>
      <c r="DO15" s="21" cm="1">
        <f t="array" ref="DO15">PRODUCT(1+預測IC!$C15:DO15)-1</f>
        <v>36.882925376897518</v>
      </c>
      <c r="DP15" s="21" cm="1">
        <f t="array" ref="DP15">PRODUCT(1+預測IC!$C15:DP15)-1</f>
        <v>37.782099416500373</v>
      </c>
      <c r="DQ15" s="21" cm="1">
        <f t="array" ref="DQ15">PRODUCT(1+預測IC!$C15:DQ15)-1</f>
        <v>33.916601663169295</v>
      </c>
      <c r="DR15" s="21" cm="1">
        <f t="array" ref="DR15">PRODUCT(1+預測IC!$C15:DR15)-1</f>
        <v>35.305779891556234</v>
      </c>
      <c r="DS15" s="21" cm="1">
        <f t="array" ref="DS15">PRODUCT(1+預測IC!$C15:DS15)-1</f>
        <v>32.290769427239624</v>
      </c>
      <c r="DT15" s="21" cm="1">
        <f t="array" ref="DT15">PRODUCT(1+預測IC!$C15:DT15)-1</f>
        <v>33.432532959054839</v>
      </c>
      <c r="DU15" s="21" cm="1">
        <f t="array" ref="DU15">PRODUCT(1+預測IC!$C15:DU15)-1</f>
        <v>29.399502022360185</v>
      </c>
      <c r="DV15" s="21" cm="1">
        <f t="array" ref="DV15">PRODUCT(1+預測IC!$C15:DV15)-1</f>
        <v>33.648390471846163</v>
      </c>
      <c r="DW15" s="21" cm="1">
        <f t="array" ref="DW15">PRODUCT(1+預測IC!$C15:DW15)-1</f>
        <v>34.533262797344506</v>
      </c>
      <c r="DX15" s="21" cm="1">
        <f t="array" ref="DX15">PRODUCT(1+預測IC!$C15:DX15)-1</f>
        <v>30.318440390962852</v>
      </c>
      <c r="DY15" s="21" cm="1">
        <f t="array" ref="DY15">PRODUCT(1+預測IC!$C15:DY15)-1</f>
        <v>34.81606908813287</v>
      </c>
      <c r="DZ15" s="21" cm="1">
        <f t="array" ref="DZ15">PRODUCT(1+預測IC!$C15:DZ15)-1</f>
        <v>36.265015326307108</v>
      </c>
      <c r="EA15" s="21" cm="1">
        <f t="array" ref="EA15">PRODUCT(1+預測IC!$C15:EA15)-1</f>
        <v>40.333495407831315</v>
      </c>
      <c r="EB15" s="21" cm="1">
        <f t="array" ref="EB15">PRODUCT(1+預測IC!$C15:EB15)-1</f>
        <v>42.338937627546159</v>
      </c>
      <c r="EC15" s="21" cm="1">
        <f t="array" ref="EC15">PRODUCT(1+預測IC!$C15:EC15)-1</f>
        <v>41.568206628565406</v>
      </c>
      <c r="ED15" s="21" cm="1">
        <f t="array" ref="ED15">PRODUCT(1+預測IC!$C15:ED15)-1</f>
        <v>36.74280004870522</v>
      </c>
      <c r="EE15" s="21" cm="1">
        <f t="array" ref="EE15">PRODUCT(1+預測IC!$C15:EE15)-1</f>
        <v>35.89515186496444</v>
      </c>
      <c r="EF15" s="21" cm="1">
        <f t="array" ref="EF15">PRODUCT(1+預測IC!$C15:EF15)-1</f>
        <v>38.190336734022218</v>
      </c>
    </row>
    <row r="16" spans="1:137">
      <c r="A16" s="4">
        <v>107</v>
      </c>
      <c r="B16" s="4">
        <v>9</v>
      </c>
      <c r="C16" s="21" cm="1">
        <f t="array" ref="C16">PRODUCT(1+預測IC!$C16:C16)-1</f>
        <v>0.20787511111111101</v>
      </c>
      <c r="D16" s="21" cm="1">
        <f t="array" ref="D16">PRODUCT(1+預測IC!$C16:D16)-1</f>
        <v>0.70092422892449369</v>
      </c>
      <c r="E16" s="21" cm="1">
        <f t="array" ref="E16">PRODUCT(1+預測IC!$C16:E16)-1</f>
        <v>0.81149261943414919</v>
      </c>
      <c r="F16" s="21" cm="1">
        <f t="array" ref="F16">PRODUCT(1+預測IC!$C16:F16)-1</f>
        <v>1.0060823515059347</v>
      </c>
      <c r="G16" s="21" cm="1">
        <f t="array" ref="G16">PRODUCT(1+預測IC!$C16:G16)-1</f>
        <v>1.2247725213808467</v>
      </c>
      <c r="H16" s="21" cm="1">
        <f t="array" ref="H16">PRODUCT(1+預測IC!$C16:H16)-1</f>
        <v>1.3868444803970261</v>
      </c>
      <c r="I16" s="21" cm="1">
        <f t="array" ref="I16">PRODUCT(1+預測IC!$C16:I16)-1</f>
        <v>1.65367459854957</v>
      </c>
      <c r="J16" s="21" cm="1">
        <f t="array" ref="J16">PRODUCT(1+預測IC!$C16:J16)-1</f>
        <v>1.4713845499404714</v>
      </c>
      <c r="K16" s="21" cm="1">
        <f t="array" ref="K16">PRODUCT(1+預測IC!$C16:K16)-1</f>
        <v>1.5156827450067376</v>
      </c>
      <c r="L16" s="21" cm="1">
        <f t="array" ref="L16">PRODUCT(1+預測IC!$C16:L16)-1</f>
        <v>1.5937357154548417</v>
      </c>
      <c r="M16" s="21" cm="1">
        <f t="array" ref="M16">PRODUCT(1+預測IC!$C16:M16)-1</f>
        <v>1.6983526312390946</v>
      </c>
      <c r="N16" s="21" cm="1">
        <f t="array" ref="N16">PRODUCT(1+預測IC!$C16:N16)-1</f>
        <v>2.6886153668553083</v>
      </c>
      <c r="O16" s="21" cm="1">
        <f t="array" ref="O16">PRODUCT(1+預測IC!$C16:O16)-1</f>
        <v>2.7462356373471071</v>
      </c>
      <c r="P16" s="21" cm="1">
        <f t="array" ref="P16">PRODUCT(1+預測IC!$C16:P16)-1</f>
        <v>2.9784264896530726</v>
      </c>
      <c r="Q16" s="21" cm="1">
        <f t="array" ref="Q16">PRODUCT(1+預測IC!$C16:Q16)-1</f>
        <v>3.3628216150359647</v>
      </c>
      <c r="R16" s="21" cm="1">
        <f t="array" ref="R16">PRODUCT(1+預測IC!$C16:R16)-1</f>
        <v>3.4465111982874133</v>
      </c>
      <c r="S16" s="21" cm="1">
        <f t="array" ref="S16">PRODUCT(1+預測IC!$C16:S16)-1</f>
        <v>3.2579119317552534</v>
      </c>
      <c r="T16" s="21" cm="1">
        <f t="array" ref="T16">PRODUCT(1+預測IC!$C16:T16)-1</f>
        <v>2.9716990934688288</v>
      </c>
      <c r="U16" s="21" cm="1">
        <f t="array" ref="U16">PRODUCT(1+預測IC!$C16:U16)-1</f>
        <v>3.1649209304663897</v>
      </c>
      <c r="V16" s="21" cm="1">
        <f t="array" ref="V16">PRODUCT(1+預測IC!$C16:V16)-1</f>
        <v>2.7304562780668036</v>
      </c>
      <c r="W16" s="21" cm="1">
        <f t="array" ref="W16">PRODUCT(1+預測IC!$C16:W16)-1</f>
        <v>3.1349300240393072</v>
      </c>
      <c r="X16" s="21" cm="1">
        <f t="array" ref="X16">PRODUCT(1+預測IC!$C16:X16)-1</f>
        <v>3.4395847766604835</v>
      </c>
      <c r="Y16" s="21" cm="1">
        <f t="array" ref="Y16">PRODUCT(1+預測IC!$C16:Y16)-1</f>
        <v>3.4205453707021762</v>
      </c>
      <c r="Z16" s="21" cm="1">
        <f t="array" ref="Z16">PRODUCT(1+預測IC!$C16:Z16)-1</f>
        <v>3.3317994841833753</v>
      </c>
      <c r="AA16" s="21" cm="1">
        <f t="array" ref="AA16">PRODUCT(1+預測IC!$C16:AA16)-1</f>
        <v>3.5493756647417767</v>
      </c>
      <c r="AB16" s="21" cm="1">
        <f t="array" ref="AB16">PRODUCT(1+預測IC!$C16:AB16)-1</f>
        <v>3.4024516922326784</v>
      </c>
      <c r="AC16" s="21" cm="1">
        <f t="array" ref="AC16">PRODUCT(1+預測IC!$C16:AC16)-1</f>
        <v>3.2217745856221498</v>
      </c>
      <c r="AD16" s="21" cm="1">
        <f t="array" ref="AD16">PRODUCT(1+預測IC!$C16:AD16)-1</f>
        <v>3.4461030345142989</v>
      </c>
      <c r="AE16" s="21" cm="1">
        <f t="array" ref="AE16">PRODUCT(1+預測IC!$C16:AE16)-1</f>
        <v>3.6752285082949587</v>
      </c>
      <c r="AF16" s="21" cm="1">
        <f t="array" ref="AF16">PRODUCT(1+預測IC!$C16:AF16)-1</f>
        <v>3.9599223642842887</v>
      </c>
      <c r="AG16" s="21" cm="1">
        <f t="array" ref="AG16">PRODUCT(1+預測IC!$C16:AG16)-1</f>
        <v>3.9187472932259402</v>
      </c>
      <c r="AH16" s="21" cm="1">
        <f t="array" ref="AH16">PRODUCT(1+預測IC!$C16:AH16)-1</f>
        <v>3.7625013157470164</v>
      </c>
      <c r="AI16" s="21" cm="1">
        <f t="array" ref="AI16">PRODUCT(1+預測IC!$C16:AI16)-1</f>
        <v>3.9962355609497102</v>
      </c>
      <c r="AJ16" s="21" cm="1">
        <f t="array" ref="AJ16">PRODUCT(1+預測IC!$C16:AJ16)-1</f>
        <v>3.9611321794113774</v>
      </c>
      <c r="AK16" s="21" cm="1">
        <f t="array" ref="AK16">PRODUCT(1+預測IC!$C16:AK16)-1</f>
        <v>4.2807352641236172</v>
      </c>
      <c r="AL16" s="21" cm="1">
        <f t="array" ref="AL16">PRODUCT(1+預測IC!$C16:AL16)-1</f>
        <v>4.5378486301412293</v>
      </c>
      <c r="AM16" s="21" cm="1">
        <f t="array" ref="AM16">PRODUCT(1+預測IC!$C16:AM16)-1</f>
        <v>4.9037715621886075</v>
      </c>
      <c r="AN16" s="21" cm="1">
        <f t="array" ref="AN16">PRODUCT(1+預測IC!$C16:AN16)-1</f>
        <v>5.5322646488966942</v>
      </c>
      <c r="AO16" s="21" cm="1">
        <f t="array" ref="AO16">PRODUCT(1+預測IC!$C16:AO16)-1</f>
        <v>5.9163307967973298</v>
      </c>
      <c r="AP16" s="21" cm="1">
        <f t="array" ref="AP16">PRODUCT(1+預測IC!$C16:AP16)-1</f>
        <v>5.3782515472514199</v>
      </c>
      <c r="AQ16" s="21" cm="1">
        <f t="array" ref="AQ16">PRODUCT(1+預測IC!$C16:AQ16)-1</f>
        <v>5.1329044466528746</v>
      </c>
      <c r="AR16" s="21" cm="1">
        <f t="array" ref="AR16">PRODUCT(1+預測IC!$C16:AR16)-1</f>
        <v>5.7663793780129868</v>
      </c>
      <c r="AS16" s="21" cm="1">
        <f t="array" ref="AS16">PRODUCT(1+預測IC!$C16:AS16)-1</f>
        <v>6.2066556770239529</v>
      </c>
      <c r="AT16" s="21" cm="1">
        <f t="array" ref="AT16">PRODUCT(1+預測IC!$C16:AT16)-1</f>
        <v>6.638097535206084</v>
      </c>
      <c r="AU16" s="21" cm="1">
        <f t="array" ref="AU16">PRODUCT(1+預測IC!$C16:AU16)-1</f>
        <v>6.9575750053862624</v>
      </c>
      <c r="AV16" s="21" cm="1">
        <f t="array" ref="AV16">PRODUCT(1+預測IC!$C16:AV16)-1</f>
        <v>6.8853798521973886</v>
      </c>
      <c r="AW16" s="21" cm="1">
        <f t="array" ref="AW16">PRODUCT(1+預測IC!$C16:AW16)-1</f>
        <v>7.194904116147752</v>
      </c>
      <c r="AX16" s="21" cm="1">
        <f t="array" ref="AX16">PRODUCT(1+預測IC!$C16:AX16)-1</f>
        <v>8.0211944399350301</v>
      </c>
      <c r="AY16" s="21" cm="1">
        <f t="array" ref="AY16">PRODUCT(1+預測IC!$C16:AY16)-1</f>
        <v>8.3262243874386481</v>
      </c>
      <c r="AZ16" s="21" cm="1">
        <f t="array" ref="AZ16">PRODUCT(1+預測IC!$C16:AZ16)-1</f>
        <v>7.3478135893576511</v>
      </c>
      <c r="BA16" s="21" cm="1">
        <f t="array" ref="BA16">PRODUCT(1+預測IC!$C16:BA16)-1</f>
        <v>8.6833895608674148</v>
      </c>
      <c r="BB16" s="21" cm="1">
        <f t="array" ref="BB16">PRODUCT(1+預測IC!$C16:BB16)-1</f>
        <v>9.9661869095537643</v>
      </c>
      <c r="BC16" s="21" cm="1">
        <f t="array" ref="BC16">PRODUCT(1+預測IC!$C16:BC16)-1</f>
        <v>10.691076484458087</v>
      </c>
      <c r="BD16" s="21" cm="1">
        <f t="array" ref="BD16">PRODUCT(1+預測IC!$C16:BD16)-1</f>
        <v>11.111215327741158</v>
      </c>
      <c r="BE16" s="21" cm="1">
        <f t="array" ref="BE16">PRODUCT(1+預測IC!$C16:BE16)-1</f>
        <v>11.733864951065938</v>
      </c>
      <c r="BF16" s="21" cm="1">
        <f t="array" ref="BF16">PRODUCT(1+預測IC!$C16:BF16)-1</f>
        <v>12.552245675441</v>
      </c>
      <c r="BG16" s="21" cm="1">
        <f t="array" ref="BG16">PRODUCT(1+預測IC!$C16:BG16)-1</f>
        <v>12.739887617461488</v>
      </c>
      <c r="BH16" s="21" cm="1">
        <f t="array" ref="BH16">PRODUCT(1+預測IC!$C16:BH16)-1</f>
        <v>12.665520749609744</v>
      </c>
      <c r="BI16" s="21" cm="1">
        <f t="array" ref="BI16">PRODUCT(1+預測IC!$C16:BI16)-1</f>
        <v>13.380716167860353</v>
      </c>
      <c r="BJ16" s="21" cm="1">
        <f t="array" ref="BJ16">PRODUCT(1+預測IC!$C16:BJ16)-1</f>
        <v>13.085856605533591</v>
      </c>
      <c r="BK16" s="21" cm="1">
        <f t="array" ref="BK16">PRODUCT(1+預測IC!$C16:BK16)-1</f>
        <v>13.055953010722037</v>
      </c>
      <c r="BL16" s="21" cm="1">
        <f t="array" ref="BL16">PRODUCT(1+預測IC!$C16:BL16)-1</f>
        <v>14.048634531756623</v>
      </c>
      <c r="BM16" s="21" cm="1">
        <f t="array" ref="BM16">PRODUCT(1+預測IC!$C16:BM16)-1</f>
        <v>13.45424378336034</v>
      </c>
      <c r="BN16" s="21" cm="1">
        <f t="array" ref="BN16">PRODUCT(1+預測IC!$C16:BN16)-1</f>
        <v>14.146686366463801</v>
      </c>
      <c r="BO16" s="21" cm="1">
        <f t="array" ref="BO16">PRODUCT(1+預測IC!$C16:BO16)-1</f>
        <v>14.478252783130854</v>
      </c>
      <c r="BP16" s="21" cm="1">
        <f t="array" ref="BP16">PRODUCT(1+預測IC!$C16:BP16)-1</f>
        <v>14.660078883010463</v>
      </c>
      <c r="BQ16" s="21" cm="1">
        <f t="array" ref="BQ16">PRODUCT(1+預測IC!$C16:BQ16)-1</f>
        <v>14.868552958780709</v>
      </c>
      <c r="BR16" s="21" cm="1">
        <f t="array" ref="BR16">PRODUCT(1+預測IC!$C16:BR16)-1</f>
        <v>14.451260033303411</v>
      </c>
      <c r="BS16" s="21" cm="1">
        <f t="array" ref="BS16">PRODUCT(1+預測IC!$C16:BS16)-1</f>
        <v>14.247433606353599</v>
      </c>
      <c r="BT16" s="21" cm="1">
        <f t="array" ref="BT16">PRODUCT(1+預測IC!$C16:BT16)-1</f>
        <v>15.550832889668598</v>
      </c>
      <c r="BU16" s="21" cm="1">
        <f t="array" ref="BU16">PRODUCT(1+預測IC!$C16:BU16)-1</f>
        <v>16.506893575190524</v>
      </c>
      <c r="BV16" s="21" cm="1">
        <f t="array" ref="BV16">PRODUCT(1+預測IC!$C16:BV16)-1</f>
        <v>17.62352681067998</v>
      </c>
      <c r="BW16" s="21" cm="1">
        <f t="array" ref="BW16">PRODUCT(1+預測IC!$C16:BW16)-1</f>
        <v>16.399198886192945</v>
      </c>
      <c r="BX16" s="21" cm="1">
        <f t="array" ref="BX16">PRODUCT(1+預測IC!$C16:BX16)-1</f>
        <v>16.948304336519705</v>
      </c>
      <c r="BY16" s="21" cm="1">
        <f t="array" ref="BY16">PRODUCT(1+預測IC!$C16:BY16)-1</f>
        <v>15.559917270237662</v>
      </c>
      <c r="BZ16" s="21" cm="1">
        <f t="array" ref="BZ16">PRODUCT(1+預測IC!$C16:BZ16)-1</f>
        <v>17.406776094918033</v>
      </c>
      <c r="CA16" s="21" cm="1">
        <f t="array" ref="CA16">PRODUCT(1+預測IC!$C16:CA16)-1</f>
        <v>17.091723806793453</v>
      </c>
      <c r="CB16" s="21" cm="1">
        <f t="array" ref="CB16">PRODUCT(1+預測IC!$C16:CB16)-1</f>
        <v>17.065888011264857</v>
      </c>
      <c r="CC16" s="21" cm="1">
        <f t="array" ref="CC16">PRODUCT(1+預測IC!$C16:CC16)-1</f>
        <v>17.86776653849553</v>
      </c>
      <c r="CD16" s="21" cm="1">
        <f t="array" ref="CD16">PRODUCT(1+預測IC!$C16:CD16)-1</f>
        <v>19.523413052248515</v>
      </c>
      <c r="CE16" s="21" cm="1">
        <f t="array" ref="CE16">PRODUCT(1+預測IC!$C16:CE16)-1</f>
        <v>21.444687280963247</v>
      </c>
      <c r="CF16" s="21" cm="1">
        <f t="array" ref="CF16">PRODUCT(1+預測IC!$C16:CF16)-1</f>
        <v>21.114840156682209</v>
      </c>
      <c r="CG16" s="21" cm="1">
        <f t="array" ref="CG16">PRODUCT(1+預測IC!$C16:CG16)-1</f>
        <v>24.347956071455293</v>
      </c>
      <c r="CH16" s="21" cm="1">
        <f t="array" ref="CH16">PRODUCT(1+預測IC!$C16:CH16)-1</f>
        <v>25.404900307640879</v>
      </c>
      <c r="CI16" s="21" cm="1">
        <f t="array" ref="CI16">PRODUCT(1+預測IC!$C16:CI16)-1</f>
        <v>24.382769737038316</v>
      </c>
      <c r="CJ16" s="21" cm="1">
        <f t="array" ref="CJ16">PRODUCT(1+預測IC!$C16:CJ16)-1</f>
        <v>23.227255929782608</v>
      </c>
      <c r="CK16" s="21" cm="1">
        <f t="array" ref="CK16">PRODUCT(1+預測IC!$C16:CK16)-1</f>
        <v>25.079986478025187</v>
      </c>
      <c r="CL16" s="21" cm="1">
        <f t="array" ref="CL16">PRODUCT(1+預測IC!$C16:CL16)-1</f>
        <v>25.601465443654789</v>
      </c>
      <c r="CM16" s="21" cm="1">
        <f t="array" ref="CM16">PRODUCT(1+預測IC!$C16:CM16)-1</f>
        <v>27.968693360252267</v>
      </c>
      <c r="CN16" s="21" cm="1">
        <f t="array" ref="CN16">PRODUCT(1+預測IC!$C16:CN16)-1</f>
        <v>27.011060340882189</v>
      </c>
      <c r="CO16" s="21" cm="1">
        <f t="array" ref="CO16">PRODUCT(1+預測IC!$C16:CO16)-1</f>
        <v>22.224567013306142</v>
      </c>
      <c r="CP16" s="21" cm="1">
        <f t="array" ref="CP16">PRODUCT(1+預測IC!$C16:CP16)-1</f>
        <v>25.420588305614782</v>
      </c>
      <c r="CQ16" s="21" cm="1">
        <f t="array" ref="CQ16">PRODUCT(1+預測IC!$C16:CQ16)-1</f>
        <v>25.957818730945554</v>
      </c>
      <c r="CR16" s="21" cm="1">
        <f t="array" ref="CR16">PRODUCT(1+預測IC!$C16:CR16)-1</f>
        <v>26.637949520961353</v>
      </c>
      <c r="CS16" s="21" cm="1">
        <f t="array" ref="CS16">PRODUCT(1+預測IC!$C16:CS16)-1</f>
        <v>27.240684065881037</v>
      </c>
      <c r="CT16" s="21" cm="1">
        <f t="array" ref="CT16">PRODUCT(1+預測IC!$C16:CT16)-1</f>
        <v>27.383791091904676</v>
      </c>
      <c r="CU16" s="21" cm="1">
        <f t="array" ref="CU16">PRODUCT(1+預測IC!$C16:CU16)-1</f>
        <v>25.564010618197216</v>
      </c>
      <c r="CV16" s="21" cm="1">
        <f t="array" ref="CV16">PRODUCT(1+預測IC!$C16:CV16)-1</f>
        <v>25.089551902562715</v>
      </c>
      <c r="CW16" s="21" cm="1">
        <f t="array" ref="CW16">PRODUCT(1+預測IC!$C16:CW16)-1</f>
        <v>24.765432477164623</v>
      </c>
      <c r="CX16" s="21" cm="1">
        <f t="array" ref="CX16">PRODUCT(1+預測IC!$C16:CX16)-1</f>
        <v>25.080808707501518</v>
      </c>
      <c r="CY16" s="21" cm="1">
        <f t="array" ref="CY16">PRODUCT(1+預測IC!$C16:CY16)-1</f>
        <v>23.799796345213853</v>
      </c>
      <c r="CZ16" s="21" cm="1">
        <f t="array" ref="CZ16">PRODUCT(1+預測IC!$C16:CZ16)-1</f>
        <v>26.345080271077087</v>
      </c>
      <c r="DA16" s="21" cm="1">
        <f t="array" ref="DA16">PRODUCT(1+預測IC!$C16:DA16)-1</f>
        <v>25.530065787580117</v>
      </c>
      <c r="DB16" s="21" cm="1">
        <f t="array" ref="DB16">PRODUCT(1+預測IC!$C16:DB16)-1</f>
        <v>28.130454402526095</v>
      </c>
      <c r="DC16" s="21" cm="1">
        <f t="array" ref="DC16">PRODUCT(1+預測IC!$C16:DC16)-1</f>
        <v>29.987232802860262</v>
      </c>
      <c r="DD16" s="21" cm="1">
        <f t="array" ref="DD16">PRODUCT(1+預測IC!$C16:DD16)-1</f>
        <v>27.682708856285675</v>
      </c>
      <c r="DE16" s="21" cm="1">
        <f t="array" ref="DE16">PRODUCT(1+預測IC!$C16:DE16)-1</f>
        <v>26.788005446508436</v>
      </c>
      <c r="DF16" s="21" cm="1">
        <f t="array" ref="DF16">PRODUCT(1+預測IC!$C16:DF16)-1</f>
        <v>26.144812233969354</v>
      </c>
      <c r="DG16" s="21" cm="1">
        <f t="array" ref="DG16">PRODUCT(1+預測IC!$C16:DG16)-1</f>
        <v>26.537134783652146</v>
      </c>
      <c r="DH16" s="21" cm="1">
        <f t="array" ref="DH16">PRODUCT(1+預測IC!$C16:DH16)-1</f>
        <v>26.010367475628705</v>
      </c>
      <c r="DI16" s="21" cm="1">
        <f t="array" ref="DI16">PRODUCT(1+預測IC!$C16:DI16)-1</f>
        <v>25.652927784172043</v>
      </c>
      <c r="DJ16" s="21" cm="1">
        <f t="array" ref="DJ16">PRODUCT(1+預測IC!$C16:DJ16)-1</f>
        <v>27.03229971722272</v>
      </c>
      <c r="DK16" s="21" cm="1">
        <f t="array" ref="DK16">PRODUCT(1+預測IC!$C16:DK16)-1</f>
        <v>30.777256762680533</v>
      </c>
      <c r="DL16" s="21" cm="1">
        <f t="array" ref="DL16">PRODUCT(1+預測IC!$C16:DL16)-1</f>
        <v>33.049151871472482</v>
      </c>
      <c r="DM16" s="21" cm="1">
        <f t="array" ref="DM16">PRODUCT(1+預測IC!$C16:DM16)-1</f>
        <v>32.016408756744731</v>
      </c>
      <c r="DN16" s="21" cm="1">
        <f t="array" ref="DN16">PRODUCT(1+預測IC!$C16:DN16)-1</f>
        <v>33.41755427001771</v>
      </c>
      <c r="DO16" s="21" cm="1">
        <f t="array" ref="DO16">PRODUCT(1+預測IC!$C16:DO16)-1</f>
        <v>35.221442285855133</v>
      </c>
      <c r="DP16" s="21" cm="1">
        <f t="array" ref="DP16">PRODUCT(1+預測IC!$C16:DP16)-1</f>
        <v>35.940146281156473</v>
      </c>
      <c r="DQ16" s="21" cm="1">
        <f t="array" ref="DQ16">PRODUCT(1+預測IC!$C16:DQ16)-1</f>
        <v>32.872870805531953</v>
      </c>
      <c r="DR16" s="21" cm="1">
        <f t="array" ref="DR16">PRODUCT(1+預測IC!$C16:DR16)-1</f>
        <v>34.742356942251583</v>
      </c>
      <c r="DS16" s="21" cm="1">
        <f t="array" ref="DS16">PRODUCT(1+預測IC!$C16:DS16)-1</f>
        <v>31.391437171314614</v>
      </c>
      <c r="DT16" s="21" cm="1">
        <f t="array" ref="DT16">PRODUCT(1+預測IC!$C16:DT16)-1</f>
        <v>32.429885052735507</v>
      </c>
      <c r="DU16" s="21" cm="1">
        <f t="array" ref="DU16">PRODUCT(1+預測IC!$C16:DU16)-1</f>
        <v>28.325597775156009</v>
      </c>
      <c r="DV16" s="21" cm="1">
        <f t="array" ref="DV16">PRODUCT(1+預測IC!$C16:DV16)-1</f>
        <v>32.341847834116329</v>
      </c>
      <c r="DW16" s="21" cm="1">
        <f t="array" ref="DW16">PRODUCT(1+預測IC!$C16:DW16)-1</f>
        <v>33.706120551480922</v>
      </c>
      <c r="DX16" s="21" cm="1">
        <f t="array" ref="DX16">PRODUCT(1+預測IC!$C16:DX16)-1</f>
        <v>29.357974430544079</v>
      </c>
      <c r="DY16" s="21" cm="1">
        <f t="array" ref="DY16">PRODUCT(1+預測IC!$C16:DY16)-1</f>
        <v>34.141534431297231</v>
      </c>
      <c r="DZ16" s="21" cm="1">
        <f t="array" ref="DZ16">PRODUCT(1+預測IC!$C16:DZ16)-1</f>
        <v>36.208223689661565</v>
      </c>
      <c r="EA16" s="21" cm="1">
        <f t="array" ref="EA16">PRODUCT(1+預測IC!$C16:EA16)-1</f>
        <v>41.409896860208811</v>
      </c>
      <c r="EB16" s="21" cm="1">
        <f t="array" ref="EB16">PRODUCT(1+預測IC!$C16:EB16)-1</f>
        <v>44.716926588686924</v>
      </c>
      <c r="EC16" s="21" cm="1">
        <f t="array" ref="EC16">PRODUCT(1+預測IC!$C16:EC16)-1</f>
        <v>43.576908988637385</v>
      </c>
      <c r="ED16" s="21" cm="1">
        <f t="array" ref="ED16">PRODUCT(1+預測IC!$C16:ED16)-1</f>
        <v>38.43198713961344</v>
      </c>
      <c r="EE16" s="21" cm="1">
        <f t="array" ref="EE16">PRODUCT(1+預測IC!$C16:EE16)-1</f>
        <v>37.128433880071789</v>
      </c>
      <c r="EF16" s="21" cm="1">
        <f t="array" ref="EF16">PRODUCT(1+預測IC!$C16:EF16)-1</f>
        <v>38.649526064382577</v>
      </c>
    </row>
    <row r="17" spans="1:136">
      <c r="A17" s="4">
        <v>120</v>
      </c>
      <c r="B17" s="4">
        <v>8</v>
      </c>
      <c r="C17" s="21" cm="1">
        <f t="array" ref="C17">PRODUCT(1+預測IC!$C17:C17)-1</f>
        <v>0.20609237499999988</v>
      </c>
      <c r="D17" s="21" cm="1">
        <f t="array" ref="D17">PRODUCT(1+預測IC!$C17:D17)-1</f>
        <v>0.73627656222614046</v>
      </c>
      <c r="E17" s="21" cm="1">
        <f t="array" ref="E17">PRODUCT(1+預測IC!$C17:E17)-1</f>
        <v>0.87446334126059444</v>
      </c>
      <c r="F17" s="21" cm="1">
        <f t="array" ref="F17">PRODUCT(1+預測IC!$C17:F17)-1</f>
        <v>1.1495820747840941</v>
      </c>
      <c r="G17" s="21" cm="1">
        <f t="array" ref="G17">PRODUCT(1+預測IC!$C17:G17)-1</f>
        <v>1.4013682658565014</v>
      </c>
      <c r="H17" s="21" cm="1">
        <f t="array" ref="H17">PRODUCT(1+預測IC!$C17:H17)-1</f>
        <v>1.653499326588038</v>
      </c>
      <c r="I17" s="21" cm="1">
        <f t="array" ref="I17">PRODUCT(1+預測IC!$C17:I17)-1</f>
        <v>1.8325820060149698</v>
      </c>
      <c r="J17" s="21" cm="1">
        <f t="array" ref="J17">PRODUCT(1+預測IC!$C17:J17)-1</f>
        <v>1.5059899036672038</v>
      </c>
      <c r="K17" s="21" cm="1">
        <f t="array" ref="K17">PRODUCT(1+預測IC!$C17:K17)-1</f>
        <v>1.604835542929977</v>
      </c>
      <c r="L17" s="21" cm="1">
        <f t="array" ref="L17">PRODUCT(1+預測IC!$C17:L17)-1</f>
        <v>1.6928135377879943</v>
      </c>
      <c r="M17" s="21" cm="1">
        <f t="array" ref="M17">PRODUCT(1+預測IC!$C17:M17)-1</f>
        <v>1.8676634006276491</v>
      </c>
      <c r="N17" s="21" cm="1">
        <f t="array" ref="N17">PRODUCT(1+預測IC!$C17:N17)-1</f>
        <v>3.029377502444965</v>
      </c>
      <c r="O17" s="21" cm="1">
        <f t="array" ref="O17">PRODUCT(1+預測IC!$C17:O17)-1</f>
        <v>3.1286296327573764</v>
      </c>
      <c r="P17" s="21" cm="1">
        <f t="array" ref="P17">PRODUCT(1+預測IC!$C17:P17)-1</f>
        <v>3.4461857613544309</v>
      </c>
      <c r="Q17" s="21" cm="1">
        <f t="array" ref="Q17">PRODUCT(1+預測IC!$C17:Q17)-1</f>
        <v>3.9194038716265664</v>
      </c>
      <c r="R17" s="21" cm="1">
        <f t="array" ref="R17">PRODUCT(1+預測IC!$C17:R17)-1</f>
        <v>3.9291196942730293</v>
      </c>
      <c r="S17" s="21" cm="1">
        <f t="array" ref="S17">PRODUCT(1+預測IC!$C17:S17)-1</f>
        <v>3.6573686995682921</v>
      </c>
      <c r="T17" s="21" cm="1">
        <f t="array" ref="T17">PRODUCT(1+預測IC!$C17:T17)-1</f>
        <v>3.3257546657369899</v>
      </c>
      <c r="U17" s="21" cm="1">
        <f t="array" ref="U17">PRODUCT(1+預測IC!$C17:U17)-1</f>
        <v>3.5519413478570456</v>
      </c>
      <c r="V17" s="21" cm="1">
        <f t="array" ref="V17">PRODUCT(1+預測IC!$C17:V17)-1</f>
        <v>3.0222996433344704</v>
      </c>
      <c r="W17" s="21" cm="1">
        <f t="array" ref="W17">PRODUCT(1+預測IC!$C17:W17)-1</f>
        <v>3.5190572715194914</v>
      </c>
      <c r="X17" s="21" cm="1">
        <f t="array" ref="X17">PRODUCT(1+預測IC!$C17:X17)-1</f>
        <v>3.9718052379704201</v>
      </c>
      <c r="Y17" s="21" cm="1">
        <f t="array" ref="Y17">PRODUCT(1+預測IC!$C17:Y17)-1</f>
        <v>3.979258595497793</v>
      </c>
      <c r="Z17" s="21" cm="1">
        <f t="array" ref="Z17">PRODUCT(1+預測IC!$C17:Z17)-1</f>
        <v>3.871664286136979</v>
      </c>
      <c r="AA17" s="21" cm="1">
        <f t="array" ref="AA17">PRODUCT(1+預測IC!$C17:AA17)-1</f>
        <v>4.1749552268927586</v>
      </c>
      <c r="AB17" s="21" cm="1">
        <f t="array" ref="AB17">PRODUCT(1+預測IC!$C17:AB17)-1</f>
        <v>3.9444715015916367</v>
      </c>
      <c r="AC17" s="21" cm="1">
        <f t="array" ref="AC17">PRODUCT(1+預測IC!$C17:AC17)-1</f>
        <v>3.7427413907392619</v>
      </c>
      <c r="AD17" s="21" cm="1">
        <f t="array" ref="AD17">PRODUCT(1+預測IC!$C17:AD17)-1</f>
        <v>3.9788226096593489</v>
      </c>
      <c r="AE17" s="21" cm="1">
        <f t="array" ref="AE17">PRODUCT(1+預測IC!$C17:AE17)-1</f>
        <v>4.2747800067509818</v>
      </c>
      <c r="AF17" s="21" cm="1">
        <f t="array" ref="AF17">PRODUCT(1+預測IC!$C17:AF17)-1</f>
        <v>4.5822395772224835</v>
      </c>
      <c r="AG17" s="21" cm="1">
        <f t="array" ref="AG17">PRODUCT(1+預測IC!$C17:AG17)-1</f>
        <v>4.5746965759937614</v>
      </c>
      <c r="AH17" s="21" cm="1">
        <f t="array" ref="AH17">PRODUCT(1+預測IC!$C17:AH17)-1</f>
        <v>4.299097278316883</v>
      </c>
      <c r="AI17" s="21" cm="1">
        <f t="array" ref="AI17">PRODUCT(1+預測IC!$C17:AI17)-1</f>
        <v>4.461184521929078</v>
      </c>
      <c r="AJ17" s="21" cm="1">
        <f t="array" ref="AJ17">PRODUCT(1+預測IC!$C17:AJ17)-1</f>
        <v>4.2285236955454879</v>
      </c>
      <c r="AK17" s="21" cm="1">
        <f t="array" ref="AK17">PRODUCT(1+預測IC!$C17:AK17)-1</f>
        <v>4.3948560324097556</v>
      </c>
      <c r="AL17" s="21" cm="1">
        <f t="array" ref="AL17">PRODUCT(1+預測IC!$C17:AL17)-1</f>
        <v>4.6685068987527556</v>
      </c>
      <c r="AM17" s="21" cm="1">
        <f t="array" ref="AM17">PRODUCT(1+預測IC!$C17:AM17)-1</f>
        <v>5.0957386788780212</v>
      </c>
      <c r="AN17" s="21" cm="1">
        <f t="array" ref="AN17">PRODUCT(1+預測IC!$C17:AN17)-1</f>
        <v>5.7863073601893413</v>
      </c>
      <c r="AO17" s="21" cm="1">
        <f t="array" ref="AO17">PRODUCT(1+預測IC!$C17:AO17)-1</f>
        <v>5.8720342654326787</v>
      </c>
      <c r="AP17" s="21" cm="1">
        <f t="array" ref="AP17">PRODUCT(1+預測IC!$C17:AP17)-1</f>
        <v>5.3412189979828302</v>
      </c>
      <c r="AQ17" s="21" cm="1">
        <f t="array" ref="AQ17">PRODUCT(1+預測IC!$C17:AQ17)-1</f>
        <v>4.9574031643989276</v>
      </c>
      <c r="AR17" s="21" cm="1">
        <f t="array" ref="AR17">PRODUCT(1+預測IC!$C17:AR17)-1</f>
        <v>5.6511406577115748</v>
      </c>
      <c r="AS17" s="21" cm="1">
        <f t="array" ref="AS17">PRODUCT(1+預測IC!$C17:AS17)-1</f>
        <v>6.0257565911462168</v>
      </c>
      <c r="AT17" s="21" cm="1">
        <f t="array" ref="AT17">PRODUCT(1+預測IC!$C17:AT17)-1</f>
        <v>6.3929774768151066</v>
      </c>
      <c r="AU17" s="21" cm="1">
        <f t="array" ref="AU17">PRODUCT(1+預測IC!$C17:AU17)-1</f>
        <v>6.7822046645887077</v>
      </c>
      <c r="AV17" s="21" cm="1">
        <f t="array" ref="AV17">PRODUCT(1+預測IC!$C17:AV17)-1</f>
        <v>6.6148221822056721</v>
      </c>
      <c r="AW17" s="21" cm="1">
        <f t="array" ref="AW17">PRODUCT(1+預測IC!$C17:AW17)-1</f>
        <v>6.7607524348015708</v>
      </c>
      <c r="AX17" s="21" cm="1">
        <f t="array" ref="AX17">PRODUCT(1+預測IC!$C17:AX17)-1</f>
        <v>7.507651583575397</v>
      </c>
      <c r="AY17" s="21" cm="1">
        <f t="array" ref="AY17">PRODUCT(1+預測IC!$C17:AY17)-1</f>
        <v>7.7409628401526795</v>
      </c>
      <c r="AZ17" s="21" cm="1">
        <f t="array" ref="AZ17">PRODUCT(1+預測IC!$C17:AZ17)-1</f>
        <v>6.647373768736526</v>
      </c>
      <c r="BA17" s="21" cm="1">
        <f t="array" ref="BA17">PRODUCT(1+預測IC!$C17:BA17)-1</f>
        <v>7.89241592621633</v>
      </c>
      <c r="BB17" s="21" cm="1">
        <f t="array" ref="BB17">PRODUCT(1+預測IC!$C17:BB17)-1</f>
        <v>9.2553631845394513</v>
      </c>
      <c r="BC17" s="21" cm="1">
        <f t="array" ref="BC17">PRODUCT(1+預測IC!$C17:BC17)-1</f>
        <v>10.103651667101166</v>
      </c>
      <c r="BD17" s="21" cm="1">
        <f t="array" ref="BD17">PRODUCT(1+預測IC!$C17:BD17)-1</f>
        <v>10.351890258464756</v>
      </c>
      <c r="BE17" s="21" cm="1">
        <f t="array" ref="BE17">PRODUCT(1+預測IC!$C17:BE17)-1</f>
        <v>11.229961719816883</v>
      </c>
      <c r="BF17" s="21" cm="1">
        <f t="array" ref="BF17">PRODUCT(1+預測IC!$C17:BF17)-1</f>
        <v>11.905024990374109</v>
      </c>
      <c r="BG17" s="21" cm="1">
        <f t="array" ref="BG17">PRODUCT(1+預測IC!$C17:BG17)-1</f>
        <v>11.448261489142787</v>
      </c>
      <c r="BH17" s="21" cm="1">
        <f t="array" ref="BH17">PRODUCT(1+預測IC!$C17:BH17)-1</f>
        <v>11.426708758854422</v>
      </c>
      <c r="BI17" s="21" cm="1">
        <f t="array" ref="BI17">PRODUCT(1+預測IC!$C17:BI17)-1</f>
        <v>12.661493546414453</v>
      </c>
      <c r="BJ17" s="21" cm="1">
        <f t="array" ref="BJ17">PRODUCT(1+預測IC!$C17:BJ17)-1</f>
        <v>12.526817664965495</v>
      </c>
      <c r="BK17" s="21" cm="1">
        <f t="array" ref="BK17">PRODUCT(1+預測IC!$C17:BK17)-1</f>
        <v>12.33983711272162</v>
      </c>
      <c r="BL17" s="21" cm="1">
        <f t="array" ref="BL17">PRODUCT(1+預測IC!$C17:BL17)-1</f>
        <v>13.326068681643822</v>
      </c>
      <c r="BM17" s="21" cm="1">
        <f t="array" ref="BM17">PRODUCT(1+預測IC!$C17:BM17)-1</f>
        <v>12.909767292054541</v>
      </c>
      <c r="BN17" s="21" cm="1">
        <f t="array" ref="BN17">PRODUCT(1+預測IC!$C17:BN17)-1</f>
        <v>13.573675191595896</v>
      </c>
      <c r="BO17" s="21" cm="1">
        <f t="array" ref="BO17">PRODUCT(1+預測IC!$C17:BO17)-1</f>
        <v>13.863488472681077</v>
      </c>
      <c r="BP17" s="21" cm="1">
        <f t="array" ref="BP17">PRODUCT(1+預測IC!$C17:BP17)-1</f>
        <v>14.262387360595948</v>
      </c>
      <c r="BQ17" s="21" cm="1">
        <f t="array" ref="BQ17">PRODUCT(1+預測IC!$C17:BQ17)-1</f>
        <v>14.436020069841559</v>
      </c>
      <c r="BR17" s="21" cm="1">
        <f t="array" ref="BR17">PRODUCT(1+預測IC!$C17:BR17)-1</f>
        <v>14.421850646132748</v>
      </c>
      <c r="BS17" s="21" cm="1">
        <f t="array" ref="BS17">PRODUCT(1+預測IC!$C17:BS17)-1</f>
        <v>14.358567558377954</v>
      </c>
      <c r="BT17" s="21" cm="1">
        <f t="array" ref="BT17">PRODUCT(1+預測IC!$C17:BT17)-1</f>
        <v>16.039046405252428</v>
      </c>
      <c r="BU17" s="21" cm="1">
        <f t="array" ref="BU17">PRODUCT(1+預測IC!$C17:BU17)-1</f>
        <v>17.250996609650883</v>
      </c>
      <c r="BV17" s="21" cm="1">
        <f t="array" ref="BV17">PRODUCT(1+預測IC!$C17:BV17)-1</f>
        <v>18.609726743727613</v>
      </c>
      <c r="BW17" s="21" cm="1">
        <f t="array" ref="BW17">PRODUCT(1+預測IC!$C17:BW17)-1</f>
        <v>17.032482838125976</v>
      </c>
      <c r="BX17" s="21" cm="1">
        <f t="array" ref="BX17">PRODUCT(1+預測IC!$C17:BX17)-1</f>
        <v>17.552232452974135</v>
      </c>
      <c r="BY17" s="21" cm="1">
        <f t="array" ref="BY17">PRODUCT(1+預測IC!$C17:BY17)-1</f>
        <v>15.693631399325938</v>
      </c>
      <c r="BZ17" s="21" cm="1">
        <f t="array" ref="BZ17">PRODUCT(1+預測IC!$C17:BZ17)-1</f>
        <v>17.70651868841524</v>
      </c>
      <c r="CA17" s="21" cm="1">
        <f t="array" ref="CA17">PRODUCT(1+預測IC!$C17:CA17)-1</f>
        <v>17.183955224843409</v>
      </c>
      <c r="CB17" s="21" cm="1">
        <f t="array" ref="CB17">PRODUCT(1+預測IC!$C17:CB17)-1</f>
        <v>17.159674001516645</v>
      </c>
      <c r="CC17" s="21" cm="1">
        <f t="array" ref="CC17">PRODUCT(1+預測IC!$C17:CC17)-1</f>
        <v>17.917994748308978</v>
      </c>
      <c r="CD17" s="21" cm="1">
        <f t="array" ref="CD17">PRODUCT(1+預測IC!$C17:CD17)-1</f>
        <v>19.130725707401293</v>
      </c>
      <c r="CE17" s="21" cm="1">
        <f t="array" ref="CE17">PRODUCT(1+預測IC!$C17:CE17)-1</f>
        <v>21.057389654383115</v>
      </c>
      <c r="CF17" s="21" cm="1">
        <f t="array" ref="CF17">PRODUCT(1+預測IC!$C17:CF17)-1</f>
        <v>18.959208035246991</v>
      </c>
      <c r="CG17" s="21" cm="1">
        <f t="array" ref="CG17">PRODUCT(1+預測IC!$C17:CG17)-1</f>
        <v>22.492693914469957</v>
      </c>
      <c r="CH17" s="21" cm="1">
        <f t="array" ref="CH17">PRODUCT(1+預測IC!$C17:CH17)-1</f>
        <v>23.870222006841541</v>
      </c>
      <c r="CI17" s="21" cm="1">
        <f t="array" ref="CI17">PRODUCT(1+預測IC!$C17:CI17)-1</f>
        <v>23.508828210127991</v>
      </c>
      <c r="CJ17" s="21" cm="1">
        <f t="array" ref="CJ17">PRODUCT(1+預測IC!$C17:CJ17)-1</f>
        <v>22.265193369882713</v>
      </c>
      <c r="CK17" s="21" cm="1">
        <f t="array" ref="CK17">PRODUCT(1+預測IC!$C17:CK17)-1</f>
        <v>24.399509002246091</v>
      </c>
      <c r="CL17" s="21" cm="1">
        <f t="array" ref="CL17">PRODUCT(1+預測IC!$C17:CL17)-1</f>
        <v>24.160084473426807</v>
      </c>
      <c r="CM17" s="21" cm="1">
        <f t="array" ref="CM17">PRODUCT(1+預測IC!$C17:CM17)-1</f>
        <v>27.545860546858883</v>
      </c>
      <c r="CN17" s="21" cm="1">
        <f t="array" ref="CN17">PRODUCT(1+預測IC!$C17:CN17)-1</f>
        <v>26.783170499160359</v>
      </c>
      <c r="CO17" s="21" cm="1">
        <f t="array" ref="CO17">PRODUCT(1+預測IC!$C17:CO17)-1</f>
        <v>21.156005285246835</v>
      </c>
      <c r="CP17" s="21" cm="1">
        <f t="array" ref="CP17">PRODUCT(1+預測IC!$C17:CP17)-1</f>
        <v>24.438622836641489</v>
      </c>
      <c r="CQ17" s="21" cm="1">
        <f t="array" ref="CQ17">PRODUCT(1+預測IC!$C17:CQ17)-1</f>
        <v>23.118177612188735</v>
      </c>
      <c r="CR17" s="21" cm="1">
        <f t="array" ref="CR17">PRODUCT(1+預測IC!$C17:CR17)-1</f>
        <v>23.673061509740162</v>
      </c>
      <c r="CS17" s="21" cm="1">
        <f t="array" ref="CS17">PRODUCT(1+預測IC!$C17:CS17)-1</f>
        <v>23.957952098595065</v>
      </c>
      <c r="CT17" s="21" cm="1">
        <f t="array" ref="CT17">PRODUCT(1+預測IC!$C17:CT17)-1</f>
        <v>25.187382226330641</v>
      </c>
      <c r="CU17" s="21" cm="1">
        <f t="array" ref="CU17">PRODUCT(1+預測IC!$C17:CU17)-1</f>
        <v>23.238823434833595</v>
      </c>
      <c r="CV17" s="21" cm="1">
        <f t="array" ref="CV17">PRODUCT(1+預測IC!$C17:CV17)-1</f>
        <v>23.332860566685877</v>
      </c>
      <c r="CW17" s="21" cm="1">
        <f t="array" ref="CW17">PRODUCT(1+預測IC!$C17:CW17)-1</f>
        <v>22.851998130970376</v>
      </c>
      <c r="CX17" s="21" cm="1">
        <f t="array" ref="CX17">PRODUCT(1+預測IC!$C17:CX17)-1</f>
        <v>23.108941265021652</v>
      </c>
      <c r="CY17" s="21" cm="1">
        <f t="array" ref="CY17">PRODUCT(1+預測IC!$C17:CY17)-1</f>
        <v>21.918362216802418</v>
      </c>
      <c r="CZ17" s="21" cm="1">
        <f t="array" ref="CZ17">PRODUCT(1+預測IC!$C17:CZ17)-1</f>
        <v>24.765942087610934</v>
      </c>
      <c r="DA17" s="21" cm="1">
        <f t="array" ref="DA17">PRODUCT(1+預測IC!$C17:DA17)-1</f>
        <v>23.634923922991479</v>
      </c>
      <c r="DB17" s="21" cm="1">
        <f t="array" ref="DB17">PRODUCT(1+預測IC!$C17:DB17)-1</f>
        <v>26.203632075365725</v>
      </c>
      <c r="DC17" s="21" cm="1">
        <f t="array" ref="DC17">PRODUCT(1+預測IC!$C17:DC17)-1</f>
        <v>27.669567798826996</v>
      </c>
      <c r="DD17" s="21" cm="1">
        <f t="array" ref="DD17">PRODUCT(1+預測IC!$C17:DD17)-1</f>
        <v>26.289701500669452</v>
      </c>
      <c r="DE17" s="21" cm="1">
        <f t="array" ref="DE17">PRODUCT(1+預測IC!$C17:DE17)-1</f>
        <v>25.384203807245321</v>
      </c>
      <c r="DF17" s="21" cm="1">
        <f t="array" ref="DF17">PRODUCT(1+預測IC!$C17:DF17)-1</f>
        <v>25.087873043512094</v>
      </c>
      <c r="DG17" s="21" cm="1">
        <f t="array" ref="DG17">PRODUCT(1+預測IC!$C17:DG17)-1</f>
        <v>25.268781392957585</v>
      </c>
      <c r="DH17" s="21" cm="1">
        <f t="array" ref="DH17">PRODUCT(1+預測IC!$C17:DH17)-1</f>
        <v>24.251479465385554</v>
      </c>
      <c r="DI17" s="21" cm="1">
        <f t="array" ref="DI17">PRODUCT(1+預測IC!$C17:DI17)-1</f>
        <v>24.117817215038293</v>
      </c>
      <c r="DJ17" s="21" cm="1">
        <f t="array" ref="DJ17">PRODUCT(1+預測IC!$C17:DJ17)-1</f>
        <v>25.553209416790331</v>
      </c>
      <c r="DK17" s="21" cm="1">
        <f t="array" ref="DK17">PRODUCT(1+預測IC!$C17:DK17)-1</f>
        <v>29.696477369216936</v>
      </c>
      <c r="DL17" s="21" cm="1">
        <f t="array" ref="DL17">PRODUCT(1+預測IC!$C17:DL17)-1</f>
        <v>31.953147349669194</v>
      </c>
      <c r="DM17" s="21" cm="1">
        <f t="array" ref="DM17">PRODUCT(1+預測IC!$C17:DM17)-1</f>
        <v>30.231249487801044</v>
      </c>
      <c r="DN17" s="21" cm="1">
        <f t="array" ref="DN17">PRODUCT(1+預測IC!$C17:DN17)-1</f>
        <v>31.339616322583296</v>
      </c>
      <c r="DO17" s="21" cm="1">
        <f t="array" ref="DO17">PRODUCT(1+預測IC!$C17:DO17)-1</f>
        <v>33.068213131292076</v>
      </c>
      <c r="DP17" s="21" cm="1">
        <f t="array" ref="DP17">PRODUCT(1+預測IC!$C17:DP17)-1</f>
        <v>32.493189071145061</v>
      </c>
      <c r="DQ17" s="21" cm="1">
        <f t="array" ref="DQ17">PRODUCT(1+預測IC!$C17:DQ17)-1</f>
        <v>28.885889920310404</v>
      </c>
      <c r="DR17" s="21" cm="1">
        <f t="array" ref="DR17">PRODUCT(1+預測IC!$C17:DR17)-1</f>
        <v>30.556057345921275</v>
      </c>
      <c r="DS17" s="21" cm="1">
        <f t="array" ref="DS17">PRODUCT(1+預測IC!$C17:DS17)-1</f>
        <v>26.633129478095949</v>
      </c>
      <c r="DT17" s="21" cm="1">
        <f t="array" ref="DT17">PRODUCT(1+預測IC!$C17:DT17)-1</f>
        <v>27.095790964947707</v>
      </c>
      <c r="DU17" s="21" cm="1">
        <f t="array" ref="DU17">PRODUCT(1+預測IC!$C17:DU17)-1</f>
        <v>23.457554609732767</v>
      </c>
      <c r="DV17" s="21" cm="1">
        <f t="array" ref="DV17">PRODUCT(1+預測IC!$C17:DV17)-1</f>
        <v>26.337808265168352</v>
      </c>
      <c r="DW17" s="21" cm="1">
        <f t="array" ref="DW17">PRODUCT(1+預測IC!$C17:DW17)-1</f>
        <v>27.668653324808364</v>
      </c>
      <c r="DX17" s="21" cm="1">
        <f t="array" ref="DX17">PRODUCT(1+預測IC!$C17:DX17)-1</f>
        <v>23.954945140701668</v>
      </c>
      <c r="DY17" s="21" cm="1">
        <f t="array" ref="DY17">PRODUCT(1+預測IC!$C17:DY17)-1</f>
        <v>26.632167804022707</v>
      </c>
      <c r="DZ17" s="21" cm="1">
        <f t="array" ref="DZ17">PRODUCT(1+預測IC!$C17:DZ17)-1</f>
        <v>27.992002045994273</v>
      </c>
      <c r="EA17" s="21" cm="1">
        <f t="array" ref="EA17">PRODUCT(1+預測IC!$C17:EA17)-1</f>
        <v>32.763259977522665</v>
      </c>
      <c r="EB17" s="21" cm="1">
        <f t="array" ref="EB17">PRODUCT(1+預測IC!$C17:EB17)-1</f>
        <v>35.704051711517657</v>
      </c>
      <c r="EC17" s="21" cm="1">
        <f t="array" ref="EC17">PRODUCT(1+預測IC!$C17:EC17)-1</f>
        <v>34.956780158703481</v>
      </c>
      <c r="ED17" s="21" cm="1">
        <f t="array" ref="ED17">PRODUCT(1+預測IC!$C17:ED17)-1</f>
        <v>30.342646339363693</v>
      </c>
      <c r="EE17" s="21" cm="1">
        <f t="array" ref="EE17">PRODUCT(1+預測IC!$C17:EE17)-1</f>
        <v>29.546124374871482</v>
      </c>
      <c r="EF17" s="21" cm="1">
        <f t="array" ref="EF17">PRODUCT(1+預測IC!$C17:EF17)-1</f>
        <v>31.00347285185056</v>
      </c>
    </row>
    <row r="18" spans="1:136">
      <c r="A18" s="4">
        <v>137</v>
      </c>
      <c r="B18" s="4">
        <v>7</v>
      </c>
      <c r="C18" s="21" cm="1">
        <f t="array" ref="C18">PRODUCT(1+預測IC!$C18:C18)-1</f>
        <v>0.18975114285714278</v>
      </c>
      <c r="D18" s="21" cm="1">
        <f t="array" ref="D18">PRODUCT(1+預測IC!$C18:D18)-1</f>
        <v>0.66789309115314288</v>
      </c>
      <c r="E18" s="21" cm="1">
        <f t="array" ref="E18">PRODUCT(1+預測IC!$C18:E18)-1</f>
        <v>0.7570217238877428</v>
      </c>
      <c r="F18" s="21" cm="1">
        <f t="array" ref="F18">PRODUCT(1+預測IC!$C18:F18)-1</f>
        <v>1.1296699673257145</v>
      </c>
      <c r="G18" s="21" cm="1">
        <f t="array" ref="G18">PRODUCT(1+預測IC!$C18:G18)-1</f>
        <v>1.413041115030973</v>
      </c>
      <c r="H18" s="21" cm="1">
        <f t="array" ref="H18">PRODUCT(1+預測IC!$C18:H18)-1</f>
        <v>1.7232134199570543</v>
      </c>
      <c r="I18" s="21" cm="1">
        <f t="array" ref="I18">PRODUCT(1+預測IC!$C18:I18)-1</f>
        <v>1.8728609999324886</v>
      </c>
      <c r="J18" s="21" cm="1">
        <f t="array" ref="J18">PRODUCT(1+預測IC!$C18:J18)-1</f>
        <v>1.5132912547286526</v>
      </c>
      <c r="K18" s="21" cm="1">
        <f t="array" ref="K18">PRODUCT(1+預測IC!$C18:K18)-1</f>
        <v>1.5926742770924727</v>
      </c>
      <c r="L18" s="21" cm="1">
        <f t="array" ref="L18">PRODUCT(1+預測IC!$C18:L18)-1</f>
        <v>1.7136784598068138</v>
      </c>
      <c r="M18" s="21" cm="1">
        <f t="array" ref="M18">PRODUCT(1+預測IC!$C18:M18)-1</f>
        <v>1.9031103221377004</v>
      </c>
      <c r="N18" s="21" cm="1">
        <f t="array" ref="N18">PRODUCT(1+預測IC!$C18:N18)-1</f>
        <v>3.2438259752974705</v>
      </c>
      <c r="O18" s="21" cm="1">
        <f t="array" ref="O18">PRODUCT(1+預測IC!$C18:O18)-1</f>
        <v>3.3470534045814597</v>
      </c>
      <c r="P18" s="21" cm="1">
        <f t="array" ref="P18">PRODUCT(1+預測IC!$C18:P18)-1</f>
        <v>3.5842708668542116</v>
      </c>
      <c r="Q18" s="21" cm="1">
        <f t="array" ref="Q18">PRODUCT(1+預測IC!$C18:Q18)-1</f>
        <v>4.1423541081225004</v>
      </c>
      <c r="R18" s="21" cm="1">
        <f t="array" ref="R18">PRODUCT(1+預測IC!$C18:R18)-1</f>
        <v>4.2417381821041378</v>
      </c>
      <c r="S18" s="21" cm="1">
        <f t="array" ref="S18">PRODUCT(1+預測IC!$C18:S18)-1</f>
        <v>3.8799886073031038</v>
      </c>
      <c r="T18" s="21" cm="1">
        <f t="array" ref="T18">PRODUCT(1+預測IC!$C18:T18)-1</f>
        <v>3.600822116588982</v>
      </c>
      <c r="U18" s="21" cm="1">
        <f t="array" ref="U18">PRODUCT(1+預測IC!$C18:U18)-1</f>
        <v>3.7302596742361898</v>
      </c>
      <c r="V18" s="21" cm="1">
        <f t="array" ref="V18">PRODUCT(1+預測IC!$C18:V18)-1</f>
        <v>3.1093989012136669</v>
      </c>
      <c r="W18" s="21" cm="1">
        <f t="array" ref="W18">PRODUCT(1+預測IC!$C18:W18)-1</f>
        <v>3.6761558471628932</v>
      </c>
      <c r="X18" s="21" cm="1">
        <f t="array" ref="X18">PRODUCT(1+預測IC!$C18:X18)-1</f>
        <v>4.2706041429663095</v>
      </c>
      <c r="Y18" s="21" cm="1">
        <f t="array" ref="Y18">PRODUCT(1+預測IC!$C18:Y18)-1</f>
        <v>4.3982152575323603</v>
      </c>
      <c r="Z18" s="21" cm="1">
        <f t="array" ref="Z18">PRODUCT(1+預測IC!$C18:Z18)-1</f>
        <v>4.3069553439093431</v>
      </c>
      <c r="AA18" s="21" cm="1">
        <f t="array" ref="AA18">PRODUCT(1+預測IC!$C18:AA18)-1</f>
        <v>4.5978060640782052</v>
      </c>
      <c r="AB18" s="21" cm="1">
        <f t="array" ref="AB18">PRODUCT(1+預測IC!$C18:AB18)-1</f>
        <v>4.2471325932958841</v>
      </c>
      <c r="AC18" s="21" cm="1">
        <f t="array" ref="AC18">PRODUCT(1+預測IC!$C18:AC18)-1</f>
        <v>3.8550675955151865</v>
      </c>
      <c r="AD18" s="21" cm="1">
        <f t="array" ref="AD18">PRODUCT(1+預測IC!$C18:AD18)-1</f>
        <v>4.2067870884152523</v>
      </c>
      <c r="AE18" s="21" cm="1">
        <f t="array" ref="AE18">PRODUCT(1+預測IC!$C18:AE18)-1</f>
        <v>4.6087562584279986</v>
      </c>
      <c r="AF18" s="21" cm="1">
        <f t="array" ref="AF18">PRODUCT(1+預測IC!$C18:AF18)-1</f>
        <v>4.7673945523871391</v>
      </c>
      <c r="AG18" s="21" cm="1">
        <f t="array" ref="AG18">PRODUCT(1+預測IC!$C18:AG18)-1</f>
        <v>4.7176919700481745</v>
      </c>
      <c r="AH18" s="21" cm="1">
        <f t="array" ref="AH18">PRODUCT(1+預測IC!$C18:AH18)-1</f>
        <v>4.4878552702521732</v>
      </c>
      <c r="AI18" s="21" cm="1">
        <f t="array" ref="AI18">PRODUCT(1+預測IC!$C18:AI18)-1</f>
        <v>4.7449916998109023</v>
      </c>
      <c r="AJ18" s="21" cm="1">
        <f t="array" ref="AJ18">PRODUCT(1+預測IC!$C18:AJ18)-1</f>
        <v>4.4727149640117903</v>
      </c>
      <c r="AK18" s="21" cm="1">
        <f t="array" ref="AK18">PRODUCT(1+預測IC!$C18:AK18)-1</f>
        <v>4.4607435041810364</v>
      </c>
      <c r="AL18" s="21" cm="1">
        <f t="array" ref="AL18">PRODUCT(1+預測IC!$C18:AL18)-1</f>
        <v>4.7111738871241542</v>
      </c>
      <c r="AM18" s="21" cm="1">
        <f t="array" ref="AM18">PRODUCT(1+預測IC!$C18:AM18)-1</f>
        <v>5.0917859639351351</v>
      </c>
      <c r="AN18" s="21" cm="1">
        <f t="array" ref="AN18">PRODUCT(1+預測IC!$C18:AN18)-1</f>
        <v>5.5748319386295231</v>
      </c>
      <c r="AO18" s="21" cm="1">
        <f t="array" ref="AO18">PRODUCT(1+預測IC!$C18:AO18)-1</f>
        <v>5.6105170688831389</v>
      </c>
      <c r="AP18" s="21" cm="1">
        <f t="array" ref="AP18">PRODUCT(1+預測IC!$C18:AP18)-1</f>
        <v>5.0930551007765699</v>
      </c>
      <c r="AQ18" s="21" cm="1">
        <f t="array" ref="AQ18">PRODUCT(1+預測IC!$C18:AQ18)-1</f>
        <v>4.6285763598237342</v>
      </c>
      <c r="AR18" s="21" cm="1">
        <f t="array" ref="AR18">PRODUCT(1+預測IC!$C18:AR18)-1</f>
        <v>5.4066326916438783</v>
      </c>
      <c r="AS18" s="21" cm="1">
        <f t="array" ref="AS18">PRODUCT(1+預測IC!$C18:AS18)-1</f>
        <v>5.9564918826405959</v>
      </c>
      <c r="AT18" s="21" cm="1">
        <f t="array" ref="AT18">PRODUCT(1+預測IC!$C18:AT18)-1</f>
        <v>6.2578864139275812</v>
      </c>
      <c r="AU18" s="21" cm="1">
        <f t="array" ref="AU18">PRODUCT(1+預測IC!$C18:AU18)-1</f>
        <v>6.7537113923878973</v>
      </c>
      <c r="AV18" s="21" cm="1">
        <f t="array" ref="AV18">PRODUCT(1+預測IC!$C18:AV18)-1</f>
        <v>6.5306467621630002</v>
      </c>
      <c r="AW18" s="21" cm="1">
        <f t="array" ref="AW18">PRODUCT(1+預測IC!$C18:AW18)-1</f>
        <v>6.7154340302706412</v>
      </c>
      <c r="AX18" s="21" cm="1">
        <f t="array" ref="AX18">PRODUCT(1+預測IC!$C18:AX18)-1</f>
        <v>7.5453128135371745</v>
      </c>
      <c r="AY18" s="21" cm="1">
        <f t="array" ref="AY18">PRODUCT(1+預測IC!$C18:AY18)-1</f>
        <v>7.8425468102062119</v>
      </c>
      <c r="AZ18" s="21" cm="1">
        <f t="array" ref="AZ18">PRODUCT(1+預測IC!$C18:AZ18)-1</f>
        <v>6.5302325521226221</v>
      </c>
      <c r="BA18" s="21" cm="1">
        <f t="array" ref="BA18">PRODUCT(1+預測IC!$C18:BA18)-1</f>
        <v>7.7659910468162714</v>
      </c>
      <c r="BB18" s="21" cm="1">
        <f t="array" ref="BB18">PRODUCT(1+預測IC!$C18:BB18)-1</f>
        <v>9.2321669159024911</v>
      </c>
      <c r="BC18" s="21" cm="1">
        <f t="array" ref="BC18">PRODUCT(1+預測IC!$C18:BC18)-1</f>
        <v>10.083499294342925</v>
      </c>
      <c r="BD18" s="21" cm="1">
        <f t="array" ref="BD18">PRODUCT(1+預測IC!$C18:BD18)-1</f>
        <v>9.8173149640439821</v>
      </c>
      <c r="BE18" s="21" cm="1">
        <f t="array" ref="BE18">PRODUCT(1+預測IC!$C18:BE18)-1</f>
        <v>10.556799738965362</v>
      </c>
      <c r="BF18" s="21" cm="1">
        <f t="array" ref="BF18">PRODUCT(1+預測IC!$C18:BF18)-1</f>
        <v>11.087078136094881</v>
      </c>
      <c r="BG18" s="21" cm="1">
        <f t="array" ref="BG18">PRODUCT(1+預測IC!$C18:BG18)-1</f>
        <v>10.670864084172885</v>
      </c>
      <c r="BH18" s="21" cm="1">
        <f t="array" ref="BH18">PRODUCT(1+預測IC!$C18:BH18)-1</f>
        <v>11.021176646931506</v>
      </c>
      <c r="BI18" s="21" cm="1">
        <f t="array" ref="BI18">PRODUCT(1+預測IC!$C18:BI18)-1</f>
        <v>12.331484984617543</v>
      </c>
      <c r="BJ18" s="21" cm="1">
        <f t="array" ref="BJ18">PRODUCT(1+預測IC!$C18:BJ18)-1</f>
        <v>12.410888163073663</v>
      </c>
      <c r="BK18" s="21" cm="1">
        <f t="array" ref="BK18">PRODUCT(1+預測IC!$C18:BK18)-1</f>
        <v>11.730351954132589</v>
      </c>
      <c r="BL18" s="21" cm="1">
        <f t="array" ref="BL18">PRODUCT(1+預測IC!$C18:BL18)-1</f>
        <v>12.763517705642478</v>
      </c>
      <c r="BM18" s="21" cm="1">
        <f t="array" ref="BM18">PRODUCT(1+預測IC!$C18:BM18)-1</f>
        <v>12.377019460002924</v>
      </c>
      <c r="BN18" s="21" cm="1">
        <f t="array" ref="BN18">PRODUCT(1+預測IC!$C18:BN18)-1</f>
        <v>13.082983496990677</v>
      </c>
      <c r="BO18" s="21" cm="1">
        <f t="array" ref="BO18">PRODUCT(1+預測IC!$C18:BO18)-1</f>
        <v>13.367846990842194</v>
      </c>
      <c r="BP18" s="21" cm="1">
        <f t="array" ref="BP18">PRODUCT(1+預測IC!$C18:BP18)-1</f>
        <v>14.041088960738122</v>
      </c>
      <c r="BQ18" s="21" cm="1">
        <f t="array" ref="BQ18">PRODUCT(1+預測IC!$C18:BQ18)-1</f>
        <v>14.069919481052892</v>
      </c>
      <c r="BR18" s="21" cm="1">
        <f t="array" ref="BR18">PRODUCT(1+預測IC!$C18:BR18)-1</f>
        <v>13.983294666581189</v>
      </c>
      <c r="BS18" s="21" cm="1">
        <f t="array" ref="BS18">PRODUCT(1+預測IC!$C18:BS18)-1</f>
        <v>13.661195763772319</v>
      </c>
      <c r="BT18" s="21" cm="1">
        <f t="array" ref="BT18">PRODUCT(1+預測IC!$C18:BT18)-1</f>
        <v>15.755856455835687</v>
      </c>
      <c r="BU18" s="21" cm="1">
        <f t="array" ref="BU18">PRODUCT(1+預測IC!$C18:BU18)-1</f>
        <v>17.107676127394328</v>
      </c>
      <c r="BV18" s="21" cm="1">
        <f t="array" ref="BV18">PRODUCT(1+預測IC!$C18:BV18)-1</f>
        <v>18.57301076020012</v>
      </c>
      <c r="BW18" s="21" cm="1">
        <f t="array" ref="BW18">PRODUCT(1+預測IC!$C18:BW18)-1</f>
        <v>16.903215937692316</v>
      </c>
      <c r="BX18" s="21" cm="1">
        <f t="array" ref="BX18">PRODUCT(1+預測IC!$C18:BX18)-1</f>
        <v>17.243707797339042</v>
      </c>
      <c r="BY18" s="21" cm="1">
        <f t="array" ref="BY18">PRODUCT(1+預測IC!$C18:BY18)-1</f>
        <v>14.998363901240966</v>
      </c>
      <c r="BZ18" s="21" cm="1">
        <f t="array" ref="BZ18">PRODUCT(1+預測IC!$C18:BZ18)-1</f>
        <v>17.451232859440758</v>
      </c>
      <c r="CA18" s="21" cm="1">
        <f t="array" ref="CA18">PRODUCT(1+預測IC!$C18:CA18)-1</f>
        <v>17.154600804498561</v>
      </c>
      <c r="CB18" s="21" cm="1">
        <f t="array" ref="CB18">PRODUCT(1+預測IC!$C18:CB18)-1</f>
        <v>16.708408706369759</v>
      </c>
      <c r="CC18" s="21" cm="1">
        <f t="array" ref="CC18">PRODUCT(1+預測IC!$C18:CC18)-1</f>
        <v>18.561765702033075</v>
      </c>
      <c r="CD18" s="21" cm="1">
        <f t="array" ref="CD18">PRODUCT(1+預測IC!$C18:CD18)-1</f>
        <v>19.548558972872133</v>
      </c>
      <c r="CE18" s="21" cm="1">
        <f t="array" ref="CE18">PRODUCT(1+預測IC!$C18:CE18)-1</f>
        <v>21.136137703607808</v>
      </c>
      <c r="CF18" s="21" cm="1">
        <f t="array" ref="CF18">PRODUCT(1+預測IC!$C18:CF18)-1</f>
        <v>18.881372853256021</v>
      </c>
      <c r="CG18" s="21" cm="1">
        <f t="array" ref="CG18">PRODUCT(1+預測IC!$C18:CG18)-1</f>
        <v>23.387329799659799</v>
      </c>
      <c r="CH18" s="21" cm="1">
        <f t="array" ref="CH18">PRODUCT(1+預測IC!$C18:CH18)-1</f>
        <v>27.354100841460017</v>
      </c>
      <c r="CI18" s="21" cm="1">
        <f t="array" ref="CI18">PRODUCT(1+預測IC!$C18:CI18)-1</f>
        <v>26.090472367622876</v>
      </c>
      <c r="CJ18" s="21" cm="1">
        <f t="array" ref="CJ18">PRODUCT(1+預測IC!$C18:CJ18)-1</f>
        <v>24.402365400382205</v>
      </c>
      <c r="CK18" s="21" cm="1">
        <f t="array" ref="CK18">PRODUCT(1+預測IC!$C18:CK18)-1</f>
        <v>26.705541587017834</v>
      </c>
      <c r="CL18" s="21" cm="1">
        <f t="array" ref="CL18">PRODUCT(1+預測IC!$C18:CL18)-1</f>
        <v>25.846959457645301</v>
      </c>
      <c r="CM18" s="21" cm="1">
        <f t="array" ref="CM18">PRODUCT(1+預測IC!$C18:CM18)-1</f>
        <v>30.132695248070945</v>
      </c>
      <c r="CN18" s="21" cm="1">
        <f t="array" ref="CN18">PRODUCT(1+預測IC!$C18:CN18)-1</f>
        <v>28.949745071881942</v>
      </c>
      <c r="CO18" s="21" cm="1">
        <f t="array" ref="CO18">PRODUCT(1+預測IC!$C18:CO18)-1</f>
        <v>22.014166444019587</v>
      </c>
      <c r="CP18" s="21" cm="1">
        <f t="array" ref="CP18">PRODUCT(1+預測IC!$C18:CP18)-1</f>
        <v>25.761772800944946</v>
      </c>
      <c r="CQ18" s="21" cm="1">
        <f t="array" ref="CQ18">PRODUCT(1+預測IC!$C18:CQ18)-1</f>
        <v>24.738331005372849</v>
      </c>
      <c r="CR18" s="21" cm="1">
        <f t="array" ref="CR18">PRODUCT(1+預測IC!$C18:CR18)-1</f>
        <v>25.6068636313403</v>
      </c>
      <c r="CS18" s="21" cm="1">
        <f t="array" ref="CS18">PRODUCT(1+預測IC!$C18:CS18)-1</f>
        <v>26.355295700387305</v>
      </c>
      <c r="CT18" s="21" cm="1">
        <f t="array" ref="CT18">PRODUCT(1+預測IC!$C18:CT18)-1</f>
        <v>28.952709177529734</v>
      </c>
      <c r="CU18" s="21" cm="1">
        <f t="array" ref="CU18">PRODUCT(1+預測IC!$C18:CU18)-1</f>
        <v>26.806636766912444</v>
      </c>
      <c r="CV18" s="21" cm="1">
        <f t="array" ref="CV18">PRODUCT(1+預測IC!$C18:CV18)-1</f>
        <v>29.338160826047275</v>
      </c>
      <c r="CW18" s="21" cm="1">
        <f t="array" ref="CW18">PRODUCT(1+預測IC!$C18:CW18)-1</f>
        <v>29.081618742231875</v>
      </c>
      <c r="CX18" s="21" cm="1">
        <f t="array" ref="CX18">PRODUCT(1+預測IC!$C18:CX18)-1</f>
        <v>30.933448782184527</v>
      </c>
      <c r="CY18" s="21" cm="1">
        <f t="array" ref="CY18">PRODUCT(1+預測IC!$C18:CY18)-1</f>
        <v>29.293429439822063</v>
      </c>
      <c r="CZ18" s="21" cm="1">
        <f t="array" ref="CZ18">PRODUCT(1+預測IC!$C18:CZ18)-1</f>
        <v>33.317695345838203</v>
      </c>
      <c r="DA18" s="21" cm="1">
        <f t="array" ref="DA18">PRODUCT(1+預測IC!$C18:DA18)-1</f>
        <v>31.691690698236087</v>
      </c>
      <c r="DB18" s="21" cm="1">
        <f t="array" ref="DB18">PRODUCT(1+預測IC!$C18:DB18)-1</f>
        <v>35.553037053367547</v>
      </c>
      <c r="DC18" s="21" cm="1">
        <f t="array" ref="DC18">PRODUCT(1+預測IC!$C18:DC18)-1</f>
        <v>37.351759788139404</v>
      </c>
      <c r="DD18" s="21" cm="1">
        <f t="array" ref="DD18">PRODUCT(1+預測IC!$C18:DD18)-1</f>
        <v>34.626050910590898</v>
      </c>
      <c r="DE18" s="21" cm="1">
        <f t="array" ref="DE18">PRODUCT(1+預測IC!$C18:DE18)-1</f>
        <v>33.386216326707014</v>
      </c>
      <c r="DF18" s="21" cm="1">
        <f t="array" ref="DF18">PRODUCT(1+預測IC!$C18:DF18)-1</f>
        <v>32.181227754807495</v>
      </c>
      <c r="DG18" s="21" cm="1">
        <f t="array" ref="DG18">PRODUCT(1+預測IC!$C18:DG18)-1</f>
        <v>31.928404280592609</v>
      </c>
      <c r="DH18" s="21" cm="1">
        <f t="array" ref="DH18">PRODUCT(1+預測IC!$C18:DH18)-1</f>
        <v>31.005157245116479</v>
      </c>
      <c r="DI18" s="21" cm="1">
        <f t="array" ref="DI18">PRODUCT(1+預測IC!$C18:DI18)-1</f>
        <v>30.489406002406682</v>
      </c>
      <c r="DJ18" s="21" cm="1">
        <f t="array" ref="DJ18">PRODUCT(1+預測IC!$C18:DJ18)-1</f>
        <v>32.084501863458591</v>
      </c>
      <c r="DK18" s="21" cm="1">
        <f t="array" ref="DK18">PRODUCT(1+預測IC!$C18:DK18)-1</f>
        <v>37.328846254381588</v>
      </c>
      <c r="DL18" s="21" cm="1">
        <f t="array" ref="DL18">PRODUCT(1+預測IC!$C18:DL18)-1</f>
        <v>40.448727828071874</v>
      </c>
      <c r="DM18" s="21" cm="1">
        <f t="array" ref="DM18">PRODUCT(1+預測IC!$C18:DM18)-1</f>
        <v>37.692050004518521</v>
      </c>
      <c r="DN18" s="21" cm="1">
        <f t="array" ref="DN18">PRODUCT(1+預測IC!$C18:DN18)-1</f>
        <v>37.04503906503296</v>
      </c>
      <c r="DO18" s="21" cm="1">
        <f t="array" ref="DO18">PRODUCT(1+預測IC!$C18:DO18)-1</f>
        <v>38.646921917626301</v>
      </c>
      <c r="DP18" s="21" cm="1">
        <f t="array" ref="DP18">PRODUCT(1+預測IC!$C18:DP18)-1</f>
        <v>37.830009522137303</v>
      </c>
      <c r="DQ18" s="21" cm="1">
        <f t="array" ref="DQ18">PRODUCT(1+預測IC!$C18:DQ18)-1</f>
        <v>33.91876834638289</v>
      </c>
      <c r="DR18" s="21" cm="1">
        <f t="array" ref="DR18">PRODUCT(1+預測IC!$C18:DR18)-1</f>
        <v>36.601949369949381</v>
      </c>
      <c r="DS18" s="21" cm="1">
        <f t="array" ref="DS18">PRODUCT(1+預測IC!$C18:DS18)-1</f>
        <v>31.047314263339587</v>
      </c>
      <c r="DT18" s="21" cm="1">
        <f t="array" ref="DT18">PRODUCT(1+預測IC!$C18:DT18)-1</f>
        <v>30.80991691565227</v>
      </c>
      <c r="DU18" s="21" cm="1">
        <f t="array" ref="DU18">PRODUCT(1+預測IC!$C18:DU18)-1</f>
        <v>25.761192319562983</v>
      </c>
      <c r="DV18" s="21" cm="1">
        <f t="array" ref="DV18">PRODUCT(1+預測IC!$C18:DV18)-1</f>
        <v>28.588260968417156</v>
      </c>
      <c r="DW18" s="21" cm="1">
        <f t="array" ref="DW18">PRODUCT(1+預測IC!$C18:DW18)-1</f>
        <v>31.011796731308969</v>
      </c>
      <c r="DX18" s="21" cm="1">
        <f t="array" ref="DX18">PRODUCT(1+預測IC!$C18:DX18)-1</f>
        <v>26.094689439456168</v>
      </c>
      <c r="DY18" s="21" cm="1">
        <f t="array" ref="DY18">PRODUCT(1+預測IC!$C18:DY18)-1</f>
        <v>29.802117726175673</v>
      </c>
      <c r="DZ18" s="21" cm="1">
        <f t="array" ref="DZ18">PRODUCT(1+預測IC!$C18:DZ18)-1</f>
        <v>31.484828616951589</v>
      </c>
      <c r="EA18" s="21" cm="1">
        <f t="array" ref="EA18">PRODUCT(1+預測IC!$C18:EA18)-1</f>
        <v>37.947547144802833</v>
      </c>
      <c r="EB18" s="21" cm="1">
        <f t="array" ref="EB18">PRODUCT(1+預測IC!$C18:EB18)-1</f>
        <v>41.836318658351274</v>
      </c>
      <c r="EC18" s="21" cm="1">
        <f t="array" ref="EC18">PRODUCT(1+預測IC!$C18:EC18)-1</f>
        <v>40.996775768440344</v>
      </c>
      <c r="ED18" s="21" cm="1">
        <f t="array" ref="ED18">PRODUCT(1+預測IC!$C18:ED18)-1</f>
        <v>35.953910770280793</v>
      </c>
      <c r="EE18" s="21" cm="1">
        <f t="array" ref="EE18">PRODUCT(1+預測IC!$C18:EE18)-1</f>
        <v>35.441960382073439</v>
      </c>
      <c r="EF18" s="21" cm="1">
        <f t="array" ref="EF18">PRODUCT(1+預測IC!$C18:EF18)-1</f>
        <v>37.225977176114966</v>
      </c>
    </row>
    <row r="19" spans="1:136">
      <c r="A19" s="4">
        <v>160</v>
      </c>
      <c r="B19" s="4">
        <v>6</v>
      </c>
      <c r="C19" s="21" cm="1">
        <f t="array" ref="C19">PRODUCT(1+預測IC!$C19:C19)-1</f>
        <v>0.19659983333333342</v>
      </c>
      <c r="D19" s="21" cm="1">
        <f t="array" ref="D19">PRODUCT(1+預測IC!$C19:D19)-1</f>
        <v>0.68423979287977788</v>
      </c>
      <c r="E19" s="21" cm="1">
        <f t="array" ref="E19">PRODUCT(1+預測IC!$C19:E19)-1</f>
        <v>0.75902453098975431</v>
      </c>
      <c r="F19" s="21" cm="1">
        <f t="array" ref="F19">PRODUCT(1+預測IC!$C19:F19)-1</f>
        <v>1.1744548203273801</v>
      </c>
      <c r="G19" s="21" cm="1">
        <f t="array" ref="G19">PRODUCT(1+預測IC!$C19:G19)-1</f>
        <v>1.5068532188458619</v>
      </c>
      <c r="H19" s="21" cm="1">
        <f t="array" ref="H19">PRODUCT(1+預測IC!$C19:H19)-1</f>
        <v>1.9520958368539452</v>
      </c>
      <c r="I19" s="21" cm="1">
        <f t="array" ref="I19">PRODUCT(1+預測IC!$C19:I19)-1</f>
        <v>2.0922121455904898</v>
      </c>
      <c r="J19" s="21" cm="1">
        <f t="array" ref="J19">PRODUCT(1+預測IC!$C19:J19)-1</f>
        <v>1.6091184189283423</v>
      </c>
      <c r="K19" s="21" cm="1">
        <f t="array" ref="K19">PRODUCT(1+預測IC!$C19:K19)-1</f>
        <v>1.7566366697753413</v>
      </c>
      <c r="L19" s="21" cm="1">
        <f t="array" ref="L19">PRODUCT(1+預測IC!$C19:L19)-1</f>
        <v>1.8403313751458357</v>
      </c>
      <c r="M19" s="21" cm="1">
        <f t="array" ref="M19">PRODUCT(1+預測IC!$C19:M19)-1</f>
        <v>2.0840135539075892</v>
      </c>
      <c r="N19" s="21" cm="1">
        <f t="array" ref="N19">PRODUCT(1+預測IC!$C19:N19)-1</f>
        <v>3.7258637276623654</v>
      </c>
      <c r="O19" s="21" cm="1">
        <f t="array" ref="O19">PRODUCT(1+預測IC!$C19:O19)-1</f>
        <v>3.632305803445834</v>
      </c>
      <c r="P19" s="21" cm="1">
        <f t="array" ref="P19">PRODUCT(1+預測IC!$C19:P19)-1</f>
        <v>3.7378544352792815</v>
      </c>
      <c r="Q19" s="21" cm="1">
        <f t="array" ref="Q19">PRODUCT(1+預測IC!$C19:Q19)-1</f>
        <v>4.5454896330195407</v>
      </c>
      <c r="R19" s="21" cm="1">
        <f t="array" ref="R19">PRODUCT(1+預測IC!$C19:R19)-1</f>
        <v>4.77808410469728</v>
      </c>
      <c r="S19" s="21" cm="1">
        <f t="array" ref="S19">PRODUCT(1+預測IC!$C19:S19)-1</f>
        <v>4.3233710349800054</v>
      </c>
      <c r="T19" s="21" cm="1">
        <f t="array" ref="T19">PRODUCT(1+預測IC!$C19:T19)-1</f>
        <v>4.1788187380719455</v>
      </c>
      <c r="U19" s="21" cm="1">
        <f t="array" ref="U19">PRODUCT(1+預測IC!$C19:U19)-1</f>
        <v>4.4076405283313731</v>
      </c>
      <c r="V19" s="21" cm="1">
        <f t="array" ref="V19">PRODUCT(1+預測IC!$C19:V19)-1</f>
        <v>3.7658428236871568</v>
      </c>
      <c r="W19" s="21" cm="1">
        <f t="array" ref="W19">PRODUCT(1+預測IC!$C19:W19)-1</f>
        <v>4.4646154201001043</v>
      </c>
      <c r="X19" s="21" cm="1">
        <f t="array" ref="X19">PRODUCT(1+預測IC!$C19:X19)-1</f>
        <v>5.1363459844620163</v>
      </c>
      <c r="Y19" s="21" cm="1">
        <f t="array" ref="Y19">PRODUCT(1+預測IC!$C19:Y19)-1</f>
        <v>5.2839997642644727</v>
      </c>
      <c r="Z19" s="21" cm="1">
        <f t="array" ref="Z19">PRODUCT(1+預測IC!$C19:Z19)-1</f>
        <v>5.1443504375032232</v>
      </c>
      <c r="AA19" s="21" cm="1">
        <f t="array" ref="AA19">PRODUCT(1+預測IC!$C19:AA19)-1</f>
        <v>5.4349884537811874</v>
      </c>
      <c r="AB19" s="21" cm="1">
        <f t="array" ref="AB19">PRODUCT(1+預測IC!$C19:AB19)-1</f>
        <v>5.1021788766000009</v>
      </c>
      <c r="AC19" s="21" cm="1">
        <f t="array" ref="AC19">PRODUCT(1+預測IC!$C19:AC19)-1</f>
        <v>4.5925686291083174</v>
      </c>
      <c r="AD19" s="21" cm="1">
        <f t="array" ref="AD19">PRODUCT(1+預測IC!$C19:AD19)-1</f>
        <v>4.7267760557648923</v>
      </c>
      <c r="AE19" s="21" cm="1">
        <f t="array" ref="AE19">PRODUCT(1+預測IC!$C19:AE19)-1</f>
        <v>5.3866791419094122</v>
      </c>
      <c r="AF19" s="21" cm="1">
        <f t="array" ref="AF19">PRODUCT(1+預測IC!$C19:AF19)-1</f>
        <v>5.6343907511228606</v>
      </c>
      <c r="AG19" s="21" cm="1">
        <f t="array" ref="AG19">PRODUCT(1+預測IC!$C19:AG19)-1</f>
        <v>5.7624245410334058</v>
      </c>
      <c r="AH19" s="21" cm="1">
        <f t="array" ref="AH19">PRODUCT(1+預測IC!$C19:AH19)-1</f>
        <v>5.4726821450047485</v>
      </c>
      <c r="AI19" s="21" cm="1">
        <f t="array" ref="AI19">PRODUCT(1+預測IC!$C19:AI19)-1</f>
        <v>6.0019541717245319</v>
      </c>
      <c r="AJ19" s="21" cm="1">
        <f t="array" ref="AJ19">PRODUCT(1+預測IC!$C19:AJ19)-1</f>
        <v>5.6410364110848059</v>
      </c>
      <c r="AK19" s="21" cm="1">
        <f t="array" ref="AK19">PRODUCT(1+預測IC!$C19:AK19)-1</f>
        <v>5.6911898003448984</v>
      </c>
      <c r="AL19" s="21" cm="1">
        <f t="array" ref="AL19">PRODUCT(1+預測IC!$C19:AL19)-1</f>
        <v>6.1613860352779826</v>
      </c>
      <c r="AM19" s="21" cm="1">
        <f t="array" ref="AM19">PRODUCT(1+預測IC!$C19:AM19)-1</f>
        <v>6.3856192359072717</v>
      </c>
      <c r="AN19" s="21" cm="1">
        <f t="array" ref="AN19">PRODUCT(1+預測IC!$C19:AN19)-1</f>
        <v>7.0028228382864146</v>
      </c>
      <c r="AO19" s="21" cm="1">
        <f t="array" ref="AO19">PRODUCT(1+預測IC!$C19:AO19)-1</f>
        <v>7.2100391541277933</v>
      </c>
      <c r="AP19" s="21" cm="1">
        <f t="array" ref="AP19">PRODUCT(1+預測IC!$C19:AP19)-1</f>
        <v>6.4910521977993811</v>
      </c>
      <c r="AQ19" s="21" cm="1">
        <f t="array" ref="AQ19">PRODUCT(1+預測IC!$C19:AQ19)-1</f>
        <v>5.8299461880583392</v>
      </c>
      <c r="AR19" s="21" cm="1">
        <f t="array" ref="AR19">PRODUCT(1+預測IC!$C19:AR19)-1</f>
        <v>6.9434537030965151</v>
      </c>
      <c r="AS19" s="21" cm="1">
        <f t="array" ref="AS19">PRODUCT(1+預測IC!$C19:AS19)-1</f>
        <v>7.7202992895741716</v>
      </c>
      <c r="AT19" s="21" cm="1">
        <f t="array" ref="AT19">PRODUCT(1+預測IC!$C19:AT19)-1</f>
        <v>8.1501662840451896</v>
      </c>
      <c r="AU19" s="21" cm="1">
        <f t="array" ref="AU19">PRODUCT(1+預測IC!$C19:AU19)-1</f>
        <v>8.8495017417011415</v>
      </c>
      <c r="AV19" s="21" cm="1">
        <f t="array" ref="AV19">PRODUCT(1+預測IC!$C19:AV19)-1</f>
        <v>8.3721643383412996</v>
      </c>
      <c r="AW19" s="21" cm="1">
        <f t="array" ref="AW19">PRODUCT(1+預測IC!$C19:AW19)-1</f>
        <v>8.581690020257458</v>
      </c>
      <c r="AX19" s="21" cm="1">
        <f t="array" ref="AX19">PRODUCT(1+預測IC!$C19:AX19)-1</f>
        <v>9.3502030198161759</v>
      </c>
      <c r="AY19" s="21" cm="1">
        <f t="array" ref="AY19">PRODUCT(1+預測IC!$C19:AY19)-1</f>
        <v>9.6558338583537981</v>
      </c>
      <c r="AZ19" s="21" cm="1">
        <f t="array" ref="AZ19">PRODUCT(1+預測IC!$C19:AZ19)-1</f>
        <v>7.6644756956411371</v>
      </c>
      <c r="BA19" s="21" cm="1">
        <f t="array" ref="BA19">PRODUCT(1+預測IC!$C19:BA19)-1</f>
        <v>9.2847066572989441</v>
      </c>
      <c r="BB19" s="21" cm="1">
        <f t="array" ref="BB19">PRODUCT(1+預測IC!$C19:BB19)-1</f>
        <v>11.36017931603741</v>
      </c>
      <c r="BC19" s="21" cm="1">
        <f t="array" ref="BC19">PRODUCT(1+預測IC!$C19:BC19)-1</f>
        <v>12.151916613452252</v>
      </c>
      <c r="BD19" s="21" cm="1">
        <f t="array" ref="BD19">PRODUCT(1+預測IC!$C19:BD19)-1</f>
        <v>12.109378151286432</v>
      </c>
      <c r="BE19" s="21" cm="1">
        <f t="array" ref="BE19">PRODUCT(1+預測IC!$C19:BE19)-1</f>
        <v>12.815547548558863</v>
      </c>
      <c r="BF19" s="21" cm="1">
        <f t="array" ref="BF19">PRODUCT(1+預測IC!$C19:BF19)-1</f>
        <v>13.003037987196549</v>
      </c>
      <c r="BG19" s="21" cm="1">
        <f t="array" ref="BG19">PRODUCT(1+預測IC!$C19:BG19)-1</f>
        <v>12.774177118711998</v>
      </c>
      <c r="BH19" s="21" cm="1">
        <f t="array" ref="BH19">PRODUCT(1+預測IC!$C19:BH19)-1</f>
        <v>12.801976186408794</v>
      </c>
      <c r="BI19" s="21" cm="1">
        <f t="array" ref="BI19">PRODUCT(1+預測IC!$C19:BI19)-1</f>
        <v>14.565849818027347</v>
      </c>
      <c r="BJ19" s="21" cm="1">
        <f t="array" ref="BJ19">PRODUCT(1+預測IC!$C19:BJ19)-1</f>
        <v>14.903742413731504</v>
      </c>
      <c r="BK19" s="21" cm="1">
        <f t="array" ref="BK19">PRODUCT(1+預測IC!$C19:BK19)-1</f>
        <v>14.080731280731779</v>
      </c>
      <c r="BL19" s="21" cm="1">
        <f t="array" ref="BL19">PRODUCT(1+預測IC!$C19:BL19)-1</f>
        <v>15.28665680219477</v>
      </c>
      <c r="BM19" s="21" cm="1">
        <f t="array" ref="BM19">PRODUCT(1+預測IC!$C19:BM19)-1</f>
        <v>14.76896481524734</v>
      </c>
      <c r="BN19" s="21" cm="1">
        <f t="array" ref="BN19">PRODUCT(1+預測IC!$C19:BN19)-1</f>
        <v>15.829469446890979</v>
      </c>
      <c r="BO19" s="21" cm="1">
        <f t="array" ref="BO19">PRODUCT(1+預測IC!$C19:BO19)-1</f>
        <v>16.262474214402481</v>
      </c>
      <c r="BP19" s="21" cm="1">
        <f t="array" ref="BP19">PRODUCT(1+預測IC!$C19:BP19)-1</f>
        <v>16.908544112250137</v>
      </c>
      <c r="BQ19" s="21" cm="1">
        <f t="array" ref="BQ19">PRODUCT(1+預測IC!$C19:BQ19)-1</f>
        <v>17.086448385573433</v>
      </c>
      <c r="BR19" s="21" cm="1">
        <f t="array" ref="BR19">PRODUCT(1+預測IC!$C19:BR19)-1</f>
        <v>17.207179878238833</v>
      </c>
      <c r="BS19" s="21" cm="1">
        <f t="array" ref="BS19">PRODUCT(1+預測IC!$C19:BS19)-1</f>
        <v>16.765540355530554</v>
      </c>
      <c r="BT19" s="21" cm="1">
        <f t="array" ref="BT19">PRODUCT(1+預測IC!$C19:BT19)-1</f>
        <v>19.281721445131151</v>
      </c>
      <c r="BU19" s="21" cm="1">
        <f t="array" ref="BU19">PRODUCT(1+預測IC!$C19:BU19)-1</f>
        <v>20.821839340251465</v>
      </c>
      <c r="BV19" s="21" cm="1">
        <f t="array" ref="BV19">PRODUCT(1+預測IC!$C19:BV19)-1</f>
        <v>22.865568966072299</v>
      </c>
      <c r="BW19" s="21" cm="1">
        <f t="array" ref="BW19">PRODUCT(1+預測IC!$C19:BW19)-1</f>
        <v>20.26501043414758</v>
      </c>
      <c r="BX19" s="21" cm="1">
        <f t="array" ref="BX19">PRODUCT(1+預測IC!$C19:BX19)-1</f>
        <v>20.989887543630626</v>
      </c>
      <c r="BY19" s="21" cm="1">
        <f t="array" ref="BY19">PRODUCT(1+預測IC!$C19:BY19)-1</f>
        <v>18.622681942670457</v>
      </c>
      <c r="BZ19" s="21" cm="1">
        <f t="array" ref="BZ19">PRODUCT(1+預測IC!$C19:BZ19)-1</f>
        <v>19.874911117610772</v>
      </c>
      <c r="CA19" s="21" cm="1">
        <f t="array" ref="CA19">PRODUCT(1+預測IC!$C19:CA19)-1</f>
        <v>19.42514675115482</v>
      </c>
      <c r="CB19" s="21" cm="1">
        <f t="array" ref="CB19">PRODUCT(1+預測IC!$C19:CB19)-1</f>
        <v>18.443898834276961</v>
      </c>
      <c r="CC19" s="21" cm="1">
        <f t="array" ref="CC19">PRODUCT(1+預測IC!$C19:CC19)-1</f>
        <v>18.881496740141589</v>
      </c>
      <c r="CD19" s="21" cm="1">
        <f t="array" ref="CD19">PRODUCT(1+預測IC!$C19:CD19)-1</f>
        <v>20.62439158395215</v>
      </c>
      <c r="CE19" s="21" cm="1">
        <f t="array" ref="CE19">PRODUCT(1+預測IC!$C19:CE19)-1</f>
        <v>22.537591609015994</v>
      </c>
      <c r="CF19" s="21" cm="1">
        <f t="array" ref="CF19">PRODUCT(1+預測IC!$C19:CF19)-1</f>
        <v>19.908474009744385</v>
      </c>
      <c r="CG19" s="21" cm="1">
        <f t="array" ref="CG19">PRODUCT(1+預測IC!$C19:CG19)-1</f>
        <v>25.42609485007187</v>
      </c>
      <c r="CH19" s="21" cm="1">
        <f t="array" ref="CH19">PRODUCT(1+預測IC!$C19:CH19)-1</f>
        <v>29.466376978348102</v>
      </c>
      <c r="CI19" s="21" cm="1">
        <f t="array" ref="CI19">PRODUCT(1+預測IC!$C19:CI19)-1</f>
        <v>28.33708142319546</v>
      </c>
      <c r="CJ19" s="21" cm="1">
        <f t="array" ref="CJ19">PRODUCT(1+預測IC!$C19:CJ19)-1</f>
        <v>26.519927932298422</v>
      </c>
      <c r="CK19" s="21" cm="1">
        <f t="array" ref="CK19">PRODUCT(1+預測IC!$C19:CK19)-1</f>
        <v>29.381112033910501</v>
      </c>
      <c r="CL19" s="21" cm="1">
        <f t="array" ref="CL19">PRODUCT(1+預測IC!$C19:CL19)-1</f>
        <v>28.067424243618749</v>
      </c>
      <c r="CM19" s="21" cm="1">
        <f t="array" ref="CM19">PRODUCT(1+預測IC!$C19:CM19)-1</f>
        <v>33.16432853159246</v>
      </c>
      <c r="CN19" s="21" cm="1">
        <f t="array" ref="CN19">PRODUCT(1+預測IC!$C19:CN19)-1</f>
        <v>30.535976042731154</v>
      </c>
      <c r="CO19" s="21" cm="1">
        <f t="array" ref="CO19">PRODUCT(1+預測IC!$C19:CO19)-1</f>
        <v>21.943860465629996</v>
      </c>
      <c r="CP19" s="21" cm="1">
        <f t="array" ref="CP19">PRODUCT(1+預測IC!$C19:CP19)-1</f>
        <v>25.592682226167128</v>
      </c>
      <c r="CQ19" s="21" cm="1">
        <f t="array" ref="CQ19">PRODUCT(1+預測IC!$C19:CQ19)-1</f>
        <v>24.731222722641601</v>
      </c>
      <c r="CR19" s="21" cm="1">
        <f t="array" ref="CR19">PRODUCT(1+預測IC!$C19:CR19)-1</f>
        <v>25.356504300413153</v>
      </c>
      <c r="CS19" s="21" cm="1">
        <f t="array" ref="CS19">PRODUCT(1+預測IC!$C19:CS19)-1</f>
        <v>26.510277847166606</v>
      </c>
      <c r="CT19" s="21" cm="1">
        <f t="array" ref="CT19">PRODUCT(1+預測IC!$C19:CT19)-1</f>
        <v>29.883599853496861</v>
      </c>
      <c r="CU19" s="21" cm="1">
        <f t="array" ref="CU19">PRODUCT(1+預測IC!$C19:CU19)-1</f>
        <v>27.306783551813933</v>
      </c>
      <c r="CV19" s="21" cm="1">
        <f t="array" ref="CV19">PRODUCT(1+預測IC!$C19:CV19)-1</f>
        <v>29.849754328153129</v>
      </c>
      <c r="CW19" s="21" cm="1">
        <f t="array" ref="CW19">PRODUCT(1+預測IC!$C19:CW19)-1</f>
        <v>29.174088938739125</v>
      </c>
      <c r="CX19" s="21" cm="1">
        <f t="array" ref="CX19">PRODUCT(1+預測IC!$C19:CX19)-1</f>
        <v>31.996866457692903</v>
      </c>
      <c r="CY19" s="21" cm="1">
        <f t="array" ref="CY19">PRODUCT(1+預測IC!$C19:CY19)-1</f>
        <v>29.656666998747486</v>
      </c>
      <c r="CZ19" s="21" cm="1">
        <f t="array" ref="CZ19">PRODUCT(1+預測IC!$C19:CZ19)-1</f>
        <v>32.736580924009118</v>
      </c>
      <c r="DA19" s="21" cm="1">
        <f t="array" ref="DA19">PRODUCT(1+預測IC!$C19:DA19)-1</f>
        <v>30.772306395900841</v>
      </c>
      <c r="DB19" s="21" cm="1">
        <f t="array" ref="DB19">PRODUCT(1+預測IC!$C19:DB19)-1</f>
        <v>35.473368622544726</v>
      </c>
      <c r="DC19" s="21" cm="1">
        <f t="array" ref="DC19">PRODUCT(1+預測IC!$C19:DC19)-1</f>
        <v>36.577660646539975</v>
      </c>
      <c r="DD19" s="21" cm="1">
        <f t="array" ref="DD19">PRODUCT(1+預測IC!$C19:DD19)-1</f>
        <v>34.189700519547422</v>
      </c>
      <c r="DE19" s="21" cm="1">
        <f t="array" ref="DE19">PRODUCT(1+預測IC!$C19:DE19)-1</f>
        <v>32.64326675166155</v>
      </c>
      <c r="DF19" s="21" cm="1">
        <f t="array" ref="DF19">PRODUCT(1+預測IC!$C19:DF19)-1</f>
        <v>30.298564984303528</v>
      </c>
      <c r="DG19" s="21" cm="1">
        <f t="array" ref="DG19">PRODUCT(1+預測IC!$C19:DG19)-1</f>
        <v>29.899618610991784</v>
      </c>
      <c r="DH19" s="21" cm="1">
        <f t="array" ref="DH19">PRODUCT(1+預測IC!$C19:DH19)-1</f>
        <v>29.894767892164818</v>
      </c>
      <c r="DI19" s="21" cm="1">
        <f t="array" ref="DI19">PRODUCT(1+預測IC!$C19:DI19)-1</f>
        <v>30.008041224307579</v>
      </c>
      <c r="DJ19" s="21" cm="1">
        <f t="array" ref="DJ19">PRODUCT(1+預測IC!$C19:DJ19)-1</f>
        <v>32.504198878878086</v>
      </c>
      <c r="DK19" s="21" cm="1">
        <f t="array" ref="DK19">PRODUCT(1+預測IC!$C19:DK19)-1</f>
        <v>36.663563837736511</v>
      </c>
      <c r="DL19" s="21" cm="1">
        <f t="array" ref="DL19">PRODUCT(1+預測IC!$C19:DL19)-1</f>
        <v>39.306318480735385</v>
      </c>
      <c r="DM19" s="21" cm="1">
        <f t="array" ref="DM19">PRODUCT(1+預測IC!$C19:DM19)-1</f>
        <v>36.003124789120754</v>
      </c>
      <c r="DN19" s="21" cm="1">
        <f t="array" ref="DN19">PRODUCT(1+預測IC!$C19:DN19)-1</f>
        <v>35.84853887714079</v>
      </c>
      <c r="DO19" s="21" cm="1">
        <f t="array" ref="DO19">PRODUCT(1+預測IC!$C19:DO19)-1</f>
        <v>37.879872191746784</v>
      </c>
      <c r="DP19" s="21" cm="1">
        <f t="array" ref="DP19">PRODUCT(1+預測IC!$C19:DP19)-1</f>
        <v>38.936061124620849</v>
      </c>
      <c r="DQ19" s="21" cm="1">
        <f t="array" ref="DQ19">PRODUCT(1+預測IC!$C19:DQ19)-1</f>
        <v>34.12418990560689</v>
      </c>
      <c r="DR19" s="21" cm="1">
        <f t="array" ref="DR19">PRODUCT(1+預測IC!$C19:DR19)-1</f>
        <v>36.792306029472691</v>
      </c>
      <c r="DS19" s="21" cm="1">
        <f t="array" ref="DS19">PRODUCT(1+預測IC!$C19:DS19)-1</f>
        <v>30.065443847104873</v>
      </c>
      <c r="DT19" s="21" cm="1">
        <f t="array" ref="DT19">PRODUCT(1+預測IC!$C19:DT19)-1</f>
        <v>29.969871009109255</v>
      </c>
      <c r="DU19" s="21" cm="1">
        <f t="array" ref="DU19">PRODUCT(1+預測IC!$C19:DU19)-1</f>
        <v>25.306350407880057</v>
      </c>
      <c r="DV19" s="21" cm="1">
        <f t="array" ref="DV19">PRODUCT(1+預測IC!$C19:DV19)-1</f>
        <v>28.450796991945516</v>
      </c>
      <c r="DW19" s="21" cm="1">
        <f t="array" ref="DW19">PRODUCT(1+預測IC!$C19:DW19)-1</f>
        <v>30.235784450524548</v>
      </c>
      <c r="DX19" s="21" cm="1">
        <f t="array" ref="DX19">PRODUCT(1+預測IC!$C19:DX19)-1</f>
        <v>25.913840941992934</v>
      </c>
      <c r="DY19" s="21" cm="1">
        <f t="array" ref="DY19">PRODUCT(1+預測IC!$C19:DY19)-1</f>
        <v>29.661539465483568</v>
      </c>
      <c r="DZ19" s="21" cm="1">
        <f t="array" ref="DZ19">PRODUCT(1+預測IC!$C19:DZ19)-1</f>
        <v>32.069620121253983</v>
      </c>
      <c r="EA19" s="21" cm="1">
        <f t="array" ref="EA19">PRODUCT(1+預測IC!$C19:EA19)-1</f>
        <v>39.776357190196322</v>
      </c>
      <c r="EB19" s="21" cm="1">
        <f t="array" ref="EB19">PRODUCT(1+預測IC!$C19:EB19)-1</f>
        <v>40.664171437257373</v>
      </c>
      <c r="EC19" s="21" cm="1">
        <f t="array" ref="EC19">PRODUCT(1+預測IC!$C19:EC19)-1</f>
        <v>39.359096819213867</v>
      </c>
      <c r="ED19" s="21" cm="1">
        <f t="array" ref="ED19">PRODUCT(1+預測IC!$C19:ED19)-1</f>
        <v>33.26748374736939</v>
      </c>
      <c r="EE19" s="21" cm="1">
        <f t="array" ref="EE19">PRODUCT(1+預測IC!$C19:EE19)-1</f>
        <v>33.700420608493879</v>
      </c>
      <c r="EF19" s="21" cm="1">
        <f t="array" ref="EF19">PRODUCT(1+預測IC!$C19:EF19)-1</f>
        <v>34.289562783720392</v>
      </c>
    </row>
    <row r="20" spans="1:136">
      <c r="A20" s="4">
        <v>192</v>
      </c>
      <c r="B20" s="4">
        <v>5</v>
      </c>
      <c r="C20" s="21" cm="1">
        <f t="array" ref="C20">PRODUCT(1+預測IC!$C20:C20)-1</f>
        <v>0.20155100000000004</v>
      </c>
      <c r="D20" s="21" cm="1">
        <f t="array" ref="D20">PRODUCT(1+預測IC!$C20:D20)-1</f>
        <v>0.66057448201580016</v>
      </c>
      <c r="E20" s="21" cm="1">
        <f t="array" ref="E20">PRODUCT(1+預測IC!$C20:E20)-1</f>
        <v>0.75578385205707255</v>
      </c>
      <c r="F20" s="21" cm="1">
        <f t="array" ref="F20">PRODUCT(1+預測IC!$C20:F20)-1</f>
        <v>1.0760725377222422</v>
      </c>
      <c r="G20" s="21" cm="1">
        <f t="array" ref="G20">PRODUCT(1+預測IC!$C20:G20)-1</f>
        <v>1.40415054392792</v>
      </c>
      <c r="H20" s="21" cm="1">
        <f t="array" ref="H20">PRODUCT(1+預測IC!$C20:H20)-1</f>
        <v>1.7501852208466624</v>
      </c>
      <c r="I20" s="21" cm="1">
        <f t="array" ref="I20">PRODUCT(1+預測IC!$C20:I20)-1</f>
        <v>1.8270149452132793</v>
      </c>
      <c r="J20" s="21" cm="1">
        <f t="array" ref="J20">PRODUCT(1+預測IC!$C20:J20)-1</f>
        <v>1.4504390270182101</v>
      </c>
      <c r="K20" s="21" cm="1">
        <f t="array" ref="K20">PRODUCT(1+預測IC!$C20:K20)-1</f>
        <v>1.5420942682091883</v>
      </c>
      <c r="L20" s="21" cm="1">
        <f t="array" ref="L20">PRODUCT(1+預測IC!$C20:L20)-1</f>
        <v>1.6201202928398937</v>
      </c>
      <c r="M20" s="21" cm="1">
        <f t="array" ref="M20">PRODUCT(1+預測IC!$C20:M20)-1</f>
        <v>1.8824818838065811</v>
      </c>
      <c r="N20" s="21" cm="1">
        <f t="array" ref="N20">PRODUCT(1+預測IC!$C20:N20)-1</f>
        <v>3.3237562624997246</v>
      </c>
      <c r="O20" s="21" cm="1">
        <f t="array" ref="O20">PRODUCT(1+預測IC!$C20:O20)-1</f>
        <v>2.8476510301620821</v>
      </c>
      <c r="P20" s="21" cm="1">
        <f t="array" ref="P20">PRODUCT(1+預測IC!$C20:P20)-1</f>
        <v>3.0016686532484407</v>
      </c>
      <c r="Q20" s="21" cm="1">
        <f t="array" ref="Q20">PRODUCT(1+預測IC!$C20:Q20)-1</f>
        <v>3.9013502108848668</v>
      </c>
      <c r="R20" s="21" cm="1">
        <f t="array" ref="R20">PRODUCT(1+預測IC!$C20:R20)-1</f>
        <v>4.2271409988622999</v>
      </c>
      <c r="S20" s="21" cm="1">
        <f t="array" ref="S20">PRODUCT(1+預測IC!$C20:S20)-1</f>
        <v>3.9274094159901374</v>
      </c>
      <c r="T20" s="21" cm="1">
        <f t="array" ref="T20">PRODUCT(1+預測IC!$C20:T20)-1</f>
        <v>4.0045869887645473</v>
      </c>
      <c r="U20" s="21" cm="1">
        <f t="array" ref="U20">PRODUCT(1+預測IC!$C20:U20)-1</f>
        <v>4.1659098503473722</v>
      </c>
      <c r="V20" s="21" cm="1">
        <f t="array" ref="V20">PRODUCT(1+預測IC!$C20:V20)-1</f>
        <v>3.4618572954812592</v>
      </c>
      <c r="W20" s="21" cm="1">
        <f t="array" ref="W20">PRODUCT(1+預測IC!$C20:W20)-1</f>
        <v>4.2341395439203175</v>
      </c>
      <c r="X20" s="21" cm="1">
        <f t="array" ref="X20">PRODUCT(1+預測IC!$C20:X20)-1</f>
        <v>5.0194855435087531</v>
      </c>
      <c r="Y20" s="21" cm="1">
        <f t="array" ref="Y20">PRODUCT(1+預測IC!$C20:Y20)-1</f>
        <v>4.9902428827383876</v>
      </c>
      <c r="Z20" s="21" cm="1">
        <f t="array" ref="Z20">PRODUCT(1+預測IC!$C20:Z20)-1</f>
        <v>5.1649087808104266</v>
      </c>
      <c r="AA20" s="21" cm="1">
        <f t="array" ref="AA20">PRODUCT(1+預測IC!$C20:AA20)-1</f>
        <v>5.5777357324086161</v>
      </c>
      <c r="AB20" s="21" cm="1">
        <f t="array" ref="AB20">PRODUCT(1+預測IC!$C20:AB20)-1</f>
        <v>5.3613377953115</v>
      </c>
      <c r="AC20" s="21" cm="1">
        <f t="array" ref="AC20">PRODUCT(1+預測IC!$C20:AC20)-1</f>
        <v>4.7486888026530814</v>
      </c>
      <c r="AD20" s="21" cm="1">
        <f t="array" ref="AD20">PRODUCT(1+預測IC!$C20:AD20)-1</f>
        <v>4.9038304125036376</v>
      </c>
      <c r="AE20" s="21" cm="1">
        <f t="array" ref="AE20">PRODUCT(1+預測IC!$C20:AE20)-1</f>
        <v>5.0060268977101581</v>
      </c>
      <c r="AF20" s="21" cm="1">
        <f t="array" ref="AF20">PRODUCT(1+預測IC!$C20:AF20)-1</f>
        <v>5.240530286318406</v>
      </c>
      <c r="AG20" s="21" cm="1">
        <f t="array" ref="AG20">PRODUCT(1+預測IC!$C20:AG20)-1</f>
        <v>5.2015918735438937</v>
      </c>
      <c r="AH20" s="21" cm="1">
        <f t="array" ref="AH20">PRODUCT(1+預測IC!$C20:AH20)-1</f>
        <v>4.6423434768202876</v>
      </c>
      <c r="AI20" s="21" cm="1">
        <f t="array" ref="AI20">PRODUCT(1+預測IC!$C20:AI20)-1</f>
        <v>5.0833182635401002</v>
      </c>
      <c r="AJ20" s="21" cm="1">
        <f t="array" ref="AJ20">PRODUCT(1+預測IC!$C20:AJ20)-1</f>
        <v>4.7062131542195225</v>
      </c>
      <c r="AK20" s="21" cm="1">
        <f t="array" ref="AK20">PRODUCT(1+預測IC!$C20:AK20)-1</f>
        <v>4.6286365273430974</v>
      </c>
      <c r="AL20" s="21" cm="1">
        <f t="array" ref="AL20">PRODUCT(1+預測IC!$C20:AL20)-1</f>
        <v>5.0389272740825577</v>
      </c>
      <c r="AM20" s="21" cm="1">
        <f t="array" ref="AM20">PRODUCT(1+預測IC!$C20:AM20)-1</f>
        <v>5.2387914948890133</v>
      </c>
      <c r="AN20" s="21" cm="1">
        <f t="array" ref="AN20">PRODUCT(1+預測IC!$C20:AN20)-1</f>
        <v>5.7096342963329683</v>
      </c>
      <c r="AO20" s="21" cm="1">
        <f t="array" ref="AO20">PRODUCT(1+預測IC!$C20:AO20)-1</f>
        <v>5.8571610653906072</v>
      </c>
      <c r="AP20" s="21" cm="1">
        <f t="array" ref="AP20">PRODUCT(1+預測IC!$C20:AP20)-1</f>
        <v>4.9538640753442165</v>
      </c>
      <c r="AQ20" s="21" cm="1">
        <f t="array" ref="AQ20">PRODUCT(1+預測IC!$C20:AQ20)-1</f>
        <v>5.1173124415469875</v>
      </c>
      <c r="AR20" s="21" cm="1">
        <f t="array" ref="AR20">PRODUCT(1+預測IC!$C20:AR20)-1</f>
        <v>6.2274069852985656</v>
      </c>
      <c r="AS20" s="21" cm="1">
        <f t="array" ref="AS20">PRODUCT(1+預測IC!$C20:AS20)-1</f>
        <v>7.037569023222856</v>
      </c>
      <c r="AT20" s="21" cm="1">
        <f t="array" ref="AT20">PRODUCT(1+預測IC!$C20:AT20)-1</f>
        <v>7.0846593217119569</v>
      </c>
      <c r="AU20" s="21" cm="1">
        <f t="array" ref="AU20">PRODUCT(1+預測IC!$C20:AU20)-1</f>
        <v>7.6740295159960468</v>
      </c>
      <c r="AV20" s="21" cm="1">
        <f t="array" ref="AV20">PRODUCT(1+預測IC!$C20:AV20)-1</f>
        <v>7.2002044623144794</v>
      </c>
      <c r="AW20" s="21" cm="1">
        <f t="array" ref="AW20">PRODUCT(1+預測IC!$C20:AW20)-1</f>
        <v>7.2565010650721398</v>
      </c>
      <c r="AX20" s="21" cm="1">
        <f t="array" ref="AX20">PRODUCT(1+預測IC!$C20:AX20)-1</f>
        <v>8.1707644655615717</v>
      </c>
      <c r="AY20" s="21" cm="1">
        <f t="array" ref="AY20">PRODUCT(1+預測IC!$C20:AY20)-1</f>
        <v>8.5254410157581137</v>
      </c>
      <c r="AZ20" s="21" cm="1">
        <f t="array" ref="AZ20">PRODUCT(1+預測IC!$C20:AZ20)-1</f>
        <v>6.4888785685550712</v>
      </c>
      <c r="BA20" s="21" cm="1">
        <f t="array" ref="BA20">PRODUCT(1+預測IC!$C20:BA20)-1</f>
        <v>7.622230473363059</v>
      </c>
      <c r="BB20" s="21" cm="1">
        <f t="array" ref="BB20">PRODUCT(1+預測IC!$C20:BB20)-1</f>
        <v>9.6158056966929433</v>
      </c>
      <c r="BC20" s="21" cm="1">
        <f t="array" ref="BC20">PRODUCT(1+預測IC!$C20:BC20)-1</f>
        <v>10.365340684264536</v>
      </c>
      <c r="BD20" s="21" cm="1">
        <f t="array" ref="BD20">PRODUCT(1+預測IC!$C20:BD20)-1</f>
        <v>9.7580926543044608</v>
      </c>
      <c r="BE20" s="21" cm="1">
        <f t="array" ref="BE20">PRODUCT(1+預測IC!$C20:BE20)-1</f>
        <v>9.6941164596839453</v>
      </c>
      <c r="BF20" s="21" cm="1">
        <f t="array" ref="BF20">PRODUCT(1+預測IC!$C20:BF20)-1</f>
        <v>9.7549508216256733</v>
      </c>
      <c r="BG20" s="21" cm="1">
        <f t="array" ref="BG20">PRODUCT(1+預測IC!$C20:BG20)-1</f>
        <v>9.9968817245211277</v>
      </c>
      <c r="BH20" s="21" cm="1">
        <f t="array" ref="BH20">PRODUCT(1+預測IC!$C20:BH20)-1</f>
        <v>9.2094340948940712</v>
      </c>
      <c r="BI20" s="21" cm="1">
        <f t="array" ref="BI20">PRODUCT(1+預測IC!$C20:BI20)-1</f>
        <v>10.554478716514382</v>
      </c>
      <c r="BJ20" s="21" cm="1">
        <f t="array" ref="BJ20">PRODUCT(1+預測IC!$C20:BJ20)-1</f>
        <v>10.804396450639532</v>
      </c>
      <c r="BK20" s="21" cm="1">
        <f t="array" ref="BK20">PRODUCT(1+預測IC!$C20:BK20)-1</f>
        <v>10.105184654395526</v>
      </c>
      <c r="BL20" s="21" cm="1">
        <f t="array" ref="BL20">PRODUCT(1+預測IC!$C20:BL20)-1</f>
        <v>11.063475815849841</v>
      </c>
      <c r="BM20" s="21" cm="1">
        <f t="array" ref="BM20">PRODUCT(1+預測IC!$C20:BM20)-1</f>
        <v>10.490840093248176</v>
      </c>
      <c r="BN20" s="21" cm="1">
        <f t="array" ref="BN20">PRODUCT(1+預測IC!$C20:BN20)-1</f>
        <v>11.459973418942861</v>
      </c>
      <c r="BO20" s="21" cm="1">
        <f t="array" ref="BO20">PRODUCT(1+預測IC!$C20:BO20)-1</f>
        <v>10.980741441046872</v>
      </c>
      <c r="BP20" s="21" cm="1">
        <f t="array" ref="BP20">PRODUCT(1+預測IC!$C20:BP20)-1</f>
        <v>11.704468328402507</v>
      </c>
      <c r="BQ20" s="21" cm="1">
        <f t="array" ref="BQ20">PRODUCT(1+預測IC!$C20:BQ20)-1</f>
        <v>11.900774050106294</v>
      </c>
      <c r="BR20" s="21" cm="1">
        <f t="array" ref="BR20">PRODUCT(1+預測IC!$C20:BR20)-1</f>
        <v>12.006561462601363</v>
      </c>
      <c r="BS20" s="21" cm="1">
        <f t="array" ref="BS20">PRODUCT(1+預測IC!$C20:BS20)-1</f>
        <v>11.978952648039737</v>
      </c>
      <c r="BT20" s="21" cm="1">
        <f t="array" ref="BT20">PRODUCT(1+預測IC!$C20:BT20)-1</f>
        <v>13.897281216902046</v>
      </c>
      <c r="BU20" s="21" cm="1">
        <f t="array" ref="BU20">PRODUCT(1+預測IC!$C20:BU20)-1</f>
        <v>15.368461469193697</v>
      </c>
      <c r="BV20" s="21" cm="1">
        <f t="array" ref="BV20">PRODUCT(1+預測IC!$C20:BV20)-1</f>
        <v>17.265866212957061</v>
      </c>
      <c r="BW20" s="21" cm="1">
        <f t="array" ref="BW20">PRODUCT(1+預測IC!$C20:BW20)-1</f>
        <v>14.790781943929741</v>
      </c>
      <c r="BX20" s="21" cm="1">
        <f t="array" ref="BX20">PRODUCT(1+預測IC!$C20:BX20)-1</f>
        <v>15.275458467861053</v>
      </c>
      <c r="BY20" s="21" cm="1">
        <f t="array" ref="BY20">PRODUCT(1+預測IC!$C20:BY20)-1</f>
        <v>13.562727418809169</v>
      </c>
      <c r="BZ20" s="21" cm="1">
        <f t="array" ref="BZ20">PRODUCT(1+預測IC!$C20:BZ20)-1</f>
        <v>14.877325272764809</v>
      </c>
      <c r="CA20" s="21" cm="1">
        <f t="array" ref="CA20">PRODUCT(1+預測IC!$C20:CA20)-1</f>
        <v>14.845668710096907</v>
      </c>
      <c r="CB20" s="21" cm="1">
        <f t="array" ref="CB20">PRODUCT(1+預測IC!$C20:CB20)-1</f>
        <v>14.239540982708556</v>
      </c>
      <c r="CC20" s="21" cm="1">
        <f t="array" ref="CC20">PRODUCT(1+預測IC!$C20:CC20)-1</f>
        <v>14.436356606592039</v>
      </c>
      <c r="CD20" s="21" cm="1">
        <f t="array" ref="CD20">PRODUCT(1+預測IC!$C20:CD20)-1</f>
        <v>15.919228593105053</v>
      </c>
      <c r="CE20" s="21" cm="1">
        <f t="array" ref="CE20">PRODUCT(1+預測IC!$C20:CE20)-1</f>
        <v>17.370516031827265</v>
      </c>
      <c r="CF20" s="21" cm="1">
        <f t="array" ref="CF20">PRODUCT(1+預測IC!$C20:CF20)-1</f>
        <v>14.960150016116859</v>
      </c>
      <c r="CG20" s="21" cm="1">
        <f t="array" ref="CG20">PRODUCT(1+預測IC!$C20:CG20)-1</f>
        <v>20.098351136215513</v>
      </c>
      <c r="CH20" s="21" cm="1">
        <f t="array" ref="CH20">PRODUCT(1+預測IC!$C20:CH20)-1</f>
        <v>21.614563582325918</v>
      </c>
      <c r="CI20" s="21" cm="1">
        <f t="array" ref="CI20">PRODUCT(1+預測IC!$C20:CI20)-1</f>
        <v>20.92720129981096</v>
      </c>
      <c r="CJ20" s="21" cm="1">
        <f t="array" ref="CJ20">PRODUCT(1+預測IC!$C20:CJ20)-1</f>
        <v>18.220500557127956</v>
      </c>
      <c r="CK20" s="21" cm="1">
        <f t="array" ref="CK20">PRODUCT(1+預測IC!$C20:CK20)-1</f>
        <v>19.969150882549986</v>
      </c>
      <c r="CL20" s="21" cm="1">
        <f t="array" ref="CL20">PRODUCT(1+預測IC!$C20:CL20)-1</f>
        <v>18.036111088440201</v>
      </c>
      <c r="CM20" s="21" cm="1">
        <f t="array" ref="CM20">PRODUCT(1+預測IC!$C20:CM20)-1</f>
        <v>21.634910070027196</v>
      </c>
      <c r="CN20" s="21" cm="1">
        <f t="array" ref="CN20">PRODUCT(1+預測IC!$C20:CN20)-1</f>
        <v>22.136486353602852</v>
      </c>
      <c r="CO20" s="21" cm="1">
        <f t="array" ref="CO20">PRODUCT(1+預測IC!$C20:CO20)-1</f>
        <v>12.512371233975038</v>
      </c>
      <c r="CP20" s="21" cm="1">
        <f t="array" ref="CP20">PRODUCT(1+預測IC!$C20:CP20)-1</f>
        <v>15.107168165915819</v>
      </c>
      <c r="CQ20" s="21" cm="1">
        <f t="array" ref="CQ20">PRODUCT(1+預測IC!$C20:CQ20)-1</f>
        <v>14.734801922596901</v>
      </c>
      <c r="CR20" s="21" cm="1">
        <f t="array" ref="CR20">PRODUCT(1+預測IC!$C20:CR20)-1</f>
        <v>15.133902585522033</v>
      </c>
      <c r="CS20" s="21" cm="1">
        <f t="array" ref="CS20">PRODUCT(1+預測IC!$C20:CS20)-1</f>
        <v>15.493588582983143</v>
      </c>
      <c r="CT20" s="21" cm="1">
        <f t="array" ref="CT20">PRODUCT(1+預測IC!$C20:CT20)-1</f>
        <v>16.985830133535476</v>
      </c>
      <c r="CU20" s="21" cm="1">
        <f t="array" ref="CU20">PRODUCT(1+預測IC!$C20:CU20)-1</f>
        <v>15.11348906909236</v>
      </c>
      <c r="CV20" s="21" cm="1">
        <f t="array" ref="CV20">PRODUCT(1+預測IC!$C20:CV20)-1</f>
        <v>16.604165276080586</v>
      </c>
      <c r="CW20" s="21" cm="1">
        <f t="array" ref="CW20">PRODUCT(1+預測IC!$C20:CW20)-1</f>
        <v>16.779380640750077</v>
      </c>
      <c r="CX20" s="21" cm="1">
        <f t="array" ref="CX20">PRODUCT(1+預測IC!$C20:CX20)-1</f>
        <v>18.384832947936196</v>
      </c>
      <c r="CY20" s="21" cm="1">
        <f t="array" ref="CY20">PRODUCT(1+預測IC!$C20:CY20)-1</f>
        <v>18.14291541492636</v>
      </c>
      <c r="CZ20" s="21" cm="1">
        <f t="array" ref="CZ20">PRODUCT(1+預測IC!$C20:CZ20)-1</f>
        <v>21.113161663658286</v>
      </c>
      <c r="DA20" s="21" cm="1">
        <f t="array" ref="DA20">PRODUCT(1+預測IC!$C20:DA20)-1</f>
        <v>20.063408015837933</v>
      </c>
      <c r="DB20" s="21" cm="1">
        <f t="array" ref="DB20">PRODUCT(1+預測IC!$C20:DB20)-1</f>
        <v>21.684595340592931</v>
      </c>
      <c r="DC20" s="21" cm="1">
        <f t="array" ref="DC20">PRODUCT(1+預測IC!$C20:DC20)-1</f>
        <v>22.340225515126747</v>
      </c>
      <c r="DD20" s="21" cm="1">
        <f t="array" ref="DD20">PRODUCT(1+預測IC!$C20:DD20)-1</f>
        <v>20.749290391384267</v>
      </c>
      <c r="DE20" s="21" cm="1">
        <f t="array" ref="DE20">PRODUCT(1+預測IC!$C20:DE20)-1</f>
        <v>20.167499833037979</v>
      </c>
      <c r="DF20" s="21" cm="1">
        <f t="array" ref="DF20">PRODUCT(1+預測IC!$C20:DF20)-1</f>
        <v>20.185685287932049</v>
      </c>
      <c r="DG20" s="21" cm="1">
        <f t="array" ref="DG20">PRODUCT(1+預測IC!$C20:DG20)-1</f>
        <v>20.096658576215269</v>
      </c>
      <c r="DH20" s="21" cm="1">
        <f t="array" ref="DH20">PRODUCT(1+預測IC!$C20:DH20)-1</f>
        <v>19.865114061949793</v>
      </c>
      <c r="DI20" s="21" cm="1">
        <f t="array" ref="DI20">PRODUCT(1+預測IC!$C20:DI20)-1</f>
        <v>19.703251520494504</v>
      </c>
      <c r="DJ20" s="21" cm="1">
        <f t="array" ref="DJ20">PRODUCT(1+預測IC!$C20:DJ20)-1</f>
        <v>21.385957975626347</v>
      </c>
      <c r="DK20" s="21" cm="1">
        <f t="array" ref="DK20">PRODUCT(1+預測IC!$C20:DK20)-1</f>
        <v>23.287734234139872</v>
      </c>
      <c r="DL20" s="21" cm="1">
        <f t="array" ref="DL20">PRODUCT(1+預測IC!$C20:DL20)-1</f>
        <v>25.129391421513127</v>
      </c>
      <c r="DM20" s="21" cm="1">
        <f t="array" ref="DM20">PRODUCT(1+預測IC!$C20:DM20)-1</f>
        <v>25.371967553484978</v>
      </c>
      <c r="DN20" s="21" cm="1">
        <f t="array" ref="DN20">PRODUCT(1+預測IC!$C20:DN20)-1</f>
        <v>26.902048188848457</v>
      </c>
      <c r="DO20" s="21" cm="1">
        <f t="array" ref="DO20">PRODUCT(1+預測IC!$C20:DO20)-1</f>
        <v>28.738443863319208</v>
      </c>
      <c r="DP20" s="21" cm="1">
        <f t="array" ref="DP20">PRODUCT(1+預測IC!$C20:DP20)-1</f>
        <v>29.030788569233707</v>
      </c>
      <c r="DQ20" s="21" cm="1">
        <f t="array" ref="DQ20">PRODUCT(1+預測IC!$C20:DQ20)-1</f>
        <v>23.285011652803991</v>
      </c>
      <c r="DR20" s="21" cm="1">
        <f t="array" ref="DR20">PRODUCT(1+預測IC!$C20:DR20)-1</f>
        <v>25.191692516483666</v>
      </c>
      <c r="DS20" s="21" cm="1">
        <f t="array" ref="DS20">PRODUCT(1+預測IC!$C20:DS20)-1</f>
        <v>19.794079775251934</v>
      </c>
      <c r="DT20" s="21" cm="1">
        <f t="array" ref="DT20">PRODUCT(1+預測IC!$C20:DT20)-1</f>
        <v>19.894490227670673</v>
      </c>
      <c r="DU20" s="21" cm="1">
        <f t="array" ref="DU20">PRODUCT(1+預測IC!$C20:DU20)-1</f>
        <v>16.209207798173075</v>
      </c>
      <c r="DV20" s="21" cm="1">
        <f t="array" ref="DV20">PRODUCT(1+預測IC!$C20:DV20)-1</f>
        <v>18.435140900800739</v>
      </c>
      <c r="DW20" s="21" cm="1">
        <f t="array" ref="DW20">PRODUCT(1+預測IC!$C20:DW20)-1</f>
        <v>19.777335695363277</v>
      </c>
      <c r="DX20" s="21" cm="1">
        <f t="array" ref="DX20">PRODUCT(1+預測IC!$C20:DX20)-1</f>
        <v>16.580403312919461</v>
      </c>
      <c r="DY20" s="21" cm="1">
        <f t="array" ref="DY20">PRODUCT(1+預測IC!$C20:DY20)-1</f>
        <v>18.718015099979326</v>
      </c>
      <c r="DZ20" s="21" cm="1">
        <f t="array" ref="DZ20">PRODUCT(1+預測IC!$C20:DZ20)-1</f>
        <v>20.496568231188398</v>
      </c>
      <c r="EA20" s="21" cm="1">
        <f t="array" ref="EA20">PRODUCT(1+預測IC!$C20:EA20)-1</f>
        <v>26.809895011061027</v>
      </c>
      <c r="EB20" s="21" cm="1">
        <f t="array" ref="EB20">PRODUCT(1+預測IC!$C20:EB20)-1</f>
        <v>27.571584615421791</v>
      </c>
      <c r="EC20" s="21" cm="1">
        <f t="array" ref="EC20">PRODUCT(1+預測IC!$C20:EC20)-1</f>
        <v>28.228091058081105</v>
      </c>
      <c r="ED20" s="21" cm="1">
        <f t="array" ref="ED20">PRODUCT(1+預測IC!$C20:ED20)-1</f>
        <v>23.057090476922529</v>
      </c>
      <c r="EE20" s="21" cm="1">
        <f t="array" ref="EE20">PRODUCT(1+預測IC!$C20:EE20)-1</f>
        <v>23.114039165522325</v>
      </c>
      <c r="EF20" s="21" cm="1">
        <f t="array" ref="EF20">PRODUCT(1+預測IC!$C20:EF20)-1</f>
        <v>23.603106040130591</v>
      </c>
    </row>
    <row r="21" spans="1:136">
      <c r="A21" s="4">
        <v>241</v>
      </c>
      <c r="B21" s="4">
        <v>4</v>
      </c>
      <c r="C21" s="21" cm="1">
        <f t="array" ref="C21">PRODUCT(1+預測IC!$C21:C21)-1</f>
        <v>0.21463049999999995</v>
      </c>
      <c r="D21" s="21" cm="1">
        <f t="array" ref="D21">PRODUCT(1+預測IC!$C21:D21)-1</f>
        <v>0.3681464342645</v>
      </c>
      <c r="E21" s="21" cm="1">
        <f t="array" ref="E21">PRODUCT(1+預測IC!$C21:E21)-1</f>
        <v>0.34941445735976773</v>
      </c>
      <c r="F21" s="21" cm="1">
        <f t="array" ref="F21">PRODUCT(1+預測IC!$C21:F21)-1</f>
        <v>0.62390290037469032</v>
      </c>
      <c r="G21" s="21" cm="1">
        <f t="array" ref="G21">PRODUCT(1+預測IC!$C21:G21)-1</f>
        <v>0.85990795669194475</v>
      </c>
      <c r="H21" s="21" cm="1">
        <f t="array" ref="H21">PRODUCT(1+預測IC!$C21:H21)-1</f>
        <v>1.1615180705809371</v>
      </c>
      <c r="I21" s="21" cm="1">
        <f t="array" ref="I21">PRODUCT(1+預測IC!$C21:I21)-1</f>
        <v>1.192021413592975</v>
      </c>
      <c r="J21" s="21" cm="1">
        <f t="array" ref="J21">PRODUCT(1+預測IC!$C21:J21)-1</f>
        <v>0.89228111746615135</v>
      </c>
      <c r="K21" s="21" cm="1">
        <f t="array" ref="K21">PRODUCT(1+預測IC!$C21:K21)-1</f>
        <v>0.89506277070882678</v>
      </c>
      <c r="L21" s="21" cm="1">
        <f t="array" ref="L21">PRODUCT(1+預測IC!$C21:L21)-1</f>
        <v>0.8855287099093907</v>
      </c>
      <c r="M21" s="21" cm="1">
        <f t="array" ref="M21">PRODUCT(1+預測IC!$C21:M21)-1</f>
        <v>0.51620925204303636</v>
      </c>
      <c r="N21" s="21" cm="1">
        <f t="array" ref="N21">PRODUCT(1+預測IC!$C21:N21)-1</f>
        <v>1.4030256395751137</v>
      </c>
      <c r="O21" s="21" cm="1">
        <f t="array" ref="O21">PRODUCT(1+預測IC!$C21:O21)-1</f>
        <v>1.0683388368156006</v>
      </c>
      <c r="P21" s="21" cm="1">
        <f t="array" ref="P21">PRODUCT(1+預測IC!$C21:P21)-1</f>
        <v>1.1622988164097503</v>
      </c>
      <c r="Q21" s="21" cm="1">
        <f t="array" ref="Q21">PRODUCT(1+預測IC!$C21:Q21)-1</f>
        <v>1.7549541092295291</v>
      </c>
      <c r="R21" s="21" cm="1">
        <f t="array" ref="R21">PRODUCT(1+預測IC!$C21:R21)-1</f>
        <v>1.9888641766121897</v>
      </c>
      <c r="S21" s="21" cm="1">
        <f t="array" ref="S21">PRODUCT(1+預測IC!$C21:S21)-1</f>
        <v>1.8795860718029394</v>
      </c>
      <c r="T21" s="21" cm="1">
        <f t="array" ref="T21">PRODUCT(1+預測IC!$C21:T21)-1</f>
        <v>1.8391556342058464</v>
      </c>
      <c r="U21" s="21" cm="1">
        <f t="array" ref="U21">PRODUCT(1+預測IC!$C21:U21)-1</f>
        <v>1.8112559615774142</v>
      </c>
      <c r="V21" s="21" cm="1">
        <f t="array" ref="V21">PRODUCT(1+預測IC!$C21:V21)-1</f>
        <v>1.4408722858255993</v>
      </c>
      <c r="W21" s="21" cm="1">
        <f t="array" ref="W21">PRODUCT(1+預測IC!$C21:W21)-1</f>
        <v>1.8323031499994027</v>
      </c>
      <c r="X21" s="21" cm="1">
        <f t="array" ref="X21">PRODUCT(1+預測IC!$C21:X21)-1</f>
        <v>2.4208585768724284</v>
      </c>
      <c r="Y21" s="21" cm="1">
        <f t="array" ref="Y21">PRODUCT(1+預測IC!$C21:Y21)-1</f>
        <v>2.3861454144636154</v>
      </c>
      <c r="Z21" s="21" cm="1">
        <f t="array" ref="Z21">PRODUCT(1+預測IC!$C21:Z21)-1</f>
        <v>2.519759326372935</v>
      </c>
      <c r="AA21" s="21" cm="1">
        <f t="array" ref="AA21">PRODUCT(1+預測IC!$C21:AA21)-1</f>
        <v>2.6184375389674637</v>
      </c>
      <c r="AB21" s="21" cm="1">
        <f t="array" ref="AB21">PRODUCT(1+預測IC!$C21:AB21)-1</f>
        <v>2.5389913273955576</v>
      </c>
      <c r="AC21" s="21" cm="1">
        <f t="array" ref="AC21">PRODUCT(1+預測IC!$C21:AC21)-1</f>
        <v>1.9743762272837113</v>
      </c>
      <c r="AD21" s="21" cm="1">
        <f t="array" ref="AD21">PRODUCT(1+預測IC!$C21:AD21)-1</f>
        <v>1.8972409076613537</v>
      </c>
      <c r="AE21" s="21" cm="1">
        <f t="array" ref="AE21">PRODUCT(1+預測IC!$C21:AE21)-1</f>
        <v>1.9271136343500226</v>
      </c>
      <c r="AF21" s="21" cm="1">
        <f t="array" ref="AF21">PRODUCT(1+預測IC!$C21:AF21)-1</f>
        <v>2.0826183313821414</v>
      </c>
      <c r="AG21" s="21" cm="1">
        <f t="array" ref="AG21">PRODUCT(1+預測IC!$C21:AG21)-1</f>
        <v>2.050041220856095</v>
      </c>
      <c r="AH21" s="21" cm="1">
        <f t="array" ref="AH21">PRODUCT(1+預測IC!$C21:AH21)-1</f>
        <v>1.7219136304375953</v>
      </c>
      <c r="AI21" s="21" cm="1">
        <f t="array" ref="AI21">PRODUCT(1+預測IC!$C21:AI21)-1</f>
        <v>1.9385621937257835</v>
      </c>
      <c r="AJ21" s="21" cm="1">
        <f t="array" ref="AJ21">PRODUCT(1+預測IC!$C21:AJ21)-1</f>
        <v>1.7316717176455545</v>
      </c>
      <c r="AK21" s="21" cm="1">
        <f t="array" ref="AK21">PRODUCT(1+預測IC!$C21:AK21)-1</f>
        <v>1.6479639163734681</v>
      </c>
      <c r="AL21" s="21" cm="1">
        <f t="array" ref="AL21">PRODUCT(1+預測IC!$C21:AL21)-1</f>
        <v>1.8210873278296389</v>
      </c>
      <c r="AM21" s="21" cm="1">
        <f t="array" ref="AM21">PRODUCT(1+預測IC!$C21:AM21)-1</f>
        <v>2.0040545260404778</v>
      </c>
      <c r="AN21" s="21" cm="1">
        <f t="array" ref="AN21">PRODUCT(1+預測IC!$C21:AN21)-1</f>
        <v>2.3403766229744578</v>
      </c>
      <c r="AO21" s="21" cm="1">
        <f t="array" ref="AO21">PRODUCT(1+預測IC!$C21:AO21)-1</f>
        <v>2.4998007592815923</v>
      </c>
      <c r="AP21" s="21" cm="1">
        <f t="array" ref="AP21">PRODUCT(1+預測IC!$C21:AP21)-1</f>
        <v>2.2814462520740566</v>
      </c>
      <c r="AQ21" s="21" cm="1">
        <f t="array" ref="AQ21">PRODUCT(1+預測IC!$C21:AQ21)-1</f>
        <v>2.362140757649752</v>
      </c>
      <c r="AR21" s="21" cm="1">
        <f t="array" ref="AR21">PRODUCT(1+預測IC!$C21:AR21)-1</f>
        <v>3.0519924580358841</v>
      </c>
      <c r="AS21" s="21" cm="1">
        <f t="array" ref="AS21">PRODUCT(1+預測IC!$C21:AS21)-1</f>
        <v>3.3131671516681784</v>
      </c>
      <c r="AT21" s="21" cm="1">
        <f t="array" ref="AT21">PRODUCT(1+預測IC!$C21:AT21)-1</f>
        <v>3.3024148086355307</v>
      </c>
      <c r="AU21" s="21" cm="1">
        <f t="array" ref="AU21">PRODUCT(1+預測IC!$C21:AU21)-1</f>
        <v>3.5081116752350754</v>
      </c>
      <c r="AV21" s="21" cm="1">
        <f t="array" ref="AV21">PRODUCT(1+預測IC!$C21:AV21)-1</f>
        <v>3.2578177984188121</v>
      </c>
      <c r="AW21" s="21" cm="1">
        <f t="array" ref="AW21">PRODUCT(1+預測IC!$C21:AW21)-1</f>
        <v>3.2995062200222192</v>
      </c>
      <c r="AX21" s="21" cm="1">
        <f t="array" ref="AX21">PRODUCT(1+預測IC!$C21:AX21)-1</f>
        <v>3.9149705926802341</v>
      </c>
      <c r="AY21" s="21" cm="1">
        <f t="array" ref="AY21">PRODUCT(1+預測IC!$C21:AY21)-1</f>
        <v>4.1460788550671515</v>
      </c>
      <c r="AZ21" s="21" cm="1">
        <f t="array" ref="AZ21">PRODUCT(1+預測IC!$C21:AZ21)-1</f>
        <v>2.8342853591311821</v>
      </c>
      <c r="BA21" s="21" cm="1">
        <f t="array" ref="BA21">PRODUCT(1+預測IC!$C21:BA21)-1</f>
        <v>3.3695228381257012</v>
      </c>
      <c r="BB21" s="21" cm="1">
        <f t="array" ref="BB21">PRODUCT(1+預測IC!$C21:BB21)-1</f>
        <v>4.656405210131326</v>
      </c>
      <c r="BC21" s="21" cm="1">
        <f t="array" ref="BC21">PRODUCT(1+預測IC!$C21:BC21)-1</f>
        <v>4.8731651497823254</v>
      </c>
      <c r="BD21" s="21" cm="1">
        <f t="array" ref="BD21">PRODUCT(1+預測IC!$C21:BD21)-1</f>
        <v>4.7454187370562764</v>
      </c>
      <c r="BE21" s="21" cm="1">
        <f t="array" ref="BE21">PRODUCT(1+預測IC!$C21:BE21)-1</f>
        <v>4.7819052106280084</v>
      </c>
      <c r="BF21" s="21" cm="1">
        <f t="array" ref="BF21">PRODUCT(1+預測IC!$C21:BF21)-1</f>
        <v>4.8025876648002024</v>
      </c>
      <c r="BG21" s="21" cm="1">
        <f t="array" ref="BG21">PRODUCT(1+預測IC!$C21:BG21)-1</f>
        <v>5.0928362357234978</v>
      </c>
      <c r="BH21" s="21" cm="1">
        <f t="array" ref="BH21">PRODUCT(1+預測IC!$C21:BH21)-1</f>
        <v>4.627822668831878</v>
      </c>
      <c r="BI21" s="21" cm="1">
        <f t="array" ref="BI21">PRODUCT(1+預測IC!$C21:BI21)-1</f>
        <v>5.5618701245415041</v>
      </c>
      <c r="BJ21" s="21" cm="1">
        <f t="array" ref="BJ21">PRODUCT(1+預測IC!$C21:BJ21)-1</f>
        <v>5.7165926320090996</v>
      </c>
      <c r="BK21" s="21" cm="1">
        <f t="array" ref="BK21">PRODUCT(1+預測IC!$C21:BK21)-1</f>
        <v>5.2568426697900117</v>
      </c>
      <c r="BL21" s="21" cm="1">
        <f t="array" ref="BL21">PRODUCT(1+預測IC!$C21:BL21)-1</f>
        <v>6.1498260921387464</v>
      </c>
      <c r="BM21" s="21" cm="1">
        <f t="array" ref="BM21">PRODUCT(1+預測IC!$C21:BM21)-1</f>
        <v>5.8581468916543367</v>
      </c>
      <c r="BN21" s="21" cm="1">
        <f t="array" ref="BN21">PRODUCT(1+預測IC!$C21:BN21)-1</f>
        <v>6.2946538683375497</v>
      </c>
      <c r="BO21" s="21" cm="1">
        <f t="array" ref="BO21">PRODUCT(1+預測IC!$C21:BO21)-1</f>
        <v>6.2168316446251337</v>
      </c>
      <c r="BP21" s="21" cm="1">
        <f t="array" ref="BP21">PRODUCT(1+預測IC!$C21:BP21)-1</f>
        <v>6.9710564369713861</v>
      </c>
      <c r="BQ21" s="21" cm="1">
        <f t="array" ref="BQ21">PRODUCT(1+預測IC!$C21:BQ21)-1</f>
        <v>7.4058156371515462</v>
      </c>
      <c r="BR21" s="21" cm="1">
        <f t="array" ref="BR21">PRODUCT(1+預測IC!$C21:BR21)-1</f>
        <v>7.5231882023612933</v>
      </c>
      <c r="BS21" s="21" cm="1">
        <f t="array" ref="BS21">PRODUCT(1+預測IC!$C21:BS21)-1</f>
        <v>7.3094278831328072</v>
      </c>
      <c r="BT21" s="21" cm="1">
        <f t="array" ref="BT21">PRODUCT(1+預測IC!$C21:BT21)-1</f>
        <v>8.4083056306404078</v>
      </c>
      <c r="BU21" s="21" cm="1">
        <f t="array" ref="BU21">PRODUCT(1+預測IC!$C21:BU21)-1</f>
        <v>9.5450259546280538</v>
      </c>
      <c r="BV21" s="21" cm="1">
        <f t="array" ref="BV21">PRODUCT(1+預測IC!$C21:BV21)-1</f>
        <v>11.04392758085236</v>
      </c>
      <c r="BW21" s="21" cm="1">
        <f t="array" ref="BW21">PRODUCT(1+預測IC!$C21:BW21)-1</f>
        <v>9.2773339553408345</v>
      </c>
      <c r="BX21" s="21" cm="1">
        <f t="array" ref="BX21">PRODUCT(1+預測IC!$C21:BX21)-1</f>
        <v>9.1189815381821333</v>
      </c>
      <c r="BY21" s="21" cm="1">
        <f t="array" ref="BY21">PRODUCT(1+預測IC!$C21:BY21)-1</f>
        <v>8.609188753809649</v>
      </c>
      <c r="BZ21" s="21" cm="1">
        <f t="array" ref="BZ21">PRODUCT(1+預測IC!$C21:BZ21)-1</f>
        <v>9.5523951118796706</v>
      </c>
      <c r="CA21" s="21" cm="1">
        <f t="array" ref="CA21">PRODUCT(1+預測IC!$C21:CA21)-1</f>
        <v>9.2932697741162542</v>
      </c>
      <c r="CB21" s="21" cm="1">
        <f t="array" ref="CB21">PRODUCT(1+預測IC!$C21:CB21)-1</f>
        <v>8.1379160077396069</v>
      </c>
      <c r="CC21" s="21" cm="1">
        <f t="array" ref="CC21">PRODUCT(1+預測IC!$C21:CC21)-1</f>
        <v>8.0646344903155391</v>
      </c>
      <c r="CD21" s="21" cm="1">
        <f t="array" ref="CD21">PRODUCT(1+預測IC!$C21:CD21)-1</f>
        <v>8.829891329415581</v>
      </c>
      <c r="CE21" s="21" cm="1">
        <f t="array" ref="CE21">PRODUCT(1+預測IC!$C21:CE21)-1</f>
        <v>9.4345721795989146</v>
      </c>
      <c r="CF21" s="21" cm="1">
        <f t="array" ref="CF21">PRODUCT(1+預測IC!$C21:CF21)-1</f>
        <v>8.1076285046636798</v>
      </c>
      <c r="CG21" s="21" cm="1">
        <f t="array" ref="CG21">PRODUCT(1+預測IC!$C21:CG21)-1</f>
        <v>11.023597430837714</v>
      </c>
      <c r="CH21" s="21" cm="1">
        <f t="array" ref="CH21">PRODUCT(1+預測IC!$C21:CH21)-1</f>
        <v>11.986691445538929</v>
      </c>
      <c r="CI21" s="21" cm="1">
        <f t="array" ref="CI21">PRODUCT(1+預測IC!$C21:CI21)-1</f>
        <v>10.941267765984993</v>
      </c>
      <c r="CJ21" s="21" cm="1">
        <f t="array" ref="CJ21">PRODUCT(1+預測IC!$C21:CJ21)-1</f>
        <v>10.084426134110116</v>
      </c>
      <c r="CK21" s="21" cm="1">
        <f t="array" ref="CK21">PRODUCT(1+預測IC!$C21:CK21)-1</f>
        <v>11.492708534638593</v>
      </c>
      <c r="CL21" s="21" cm="1">
        <f t="array" ref="CL21">PRODUCT(1+預測IC!$C21:CL21)-1</f>
        <v>8.8635883426710027</v>
      </c>
      <c r="CM21" s="21" cm="1">
        <f t="array" ref="CM21">PRODUCT(1+預測IC!$C21:CM21)-1</f>
        <v>11.087856990323969</v>
      </c>
      <c r="CN21" s="21" cm="1">
        <f t="array" ref="CN21">PRODUCT(1+預測IC!$C21:CN21)-1</f>
        <v>11.457006727750413</v>
      </c>
      <c r="CO21" s="21" cm="1">
        <f t="array" ref="CO21">PRODUCT(1+預測IC!$C21:CO21)-1</f>
        <v>5.043326862085312</v>
      </c>
      <c r="CP21" s="21" cm="1">
        <f t="array" ref="CP21">PRODUCT(1+預測IC!$C21:CP21)-1</f>
        <v>6.3891761221768357</v>
      </c>
      <c r="CQ21" s="21" cm="1">
        <f t="array" ref="CQ21">PRODUCT(1+預測IC!$C21:CQ21)-1</f>
        <v>6.2198738841129151</v>
      </c>
      <c r="CR21" s="21" cm="1">
        <f t="array" ref="CR21">PRODUCT(1+預測IC!$C21:CR21)-1</f>
        <v>6.3037471590246543</v>
      </c>
      <c r="CS21" s="21" cm="1">
        <f t="array" ref="CS21">PRODUCT(1+預測IC!$C21:CS21)-1</f>
        <v>6.5294858984054196</v>
      </c>
      <c r="CT21" s="21" cm="1">
        <f t="array" ref="CT21">PRODUCT(1+預測IC!$C21:CT21)-1</f>
        <v>7.1491089241014354</v>
      </c>
      <c r="CU21" s="21" cm="1">
        <f t="array" ref="CU21">PRODUCT(1+預測IC!$C21:CU21)-1</f>
        <v>6.6383752556190254</v>
      </c>
      <c r="CV21" s="21" cm="1">
        <f t="array" ref="CV21">PRODUCT(1+預測IC!$C21:CV21)-1</f>
        <v>7.3886594927187286</v>
      </c>
      <c r="CW21" s="21" cm="1">
        <f t="array" ref="CW21">PRODUCT(1+預測IC!$C21:CW21)-1</f>
        <v>7.9339678034710364</v>
      </c>
      <c r="CX21" s="21" cm="1">
        <f t="array" ref="CX21">PRODUCT(1+預測IC!$C21:CX21)-1</f>
        <v>8.8463240328147243</v>
      </c>
      <c r="CY21" s="21" cm="1">
        <f t="array" ref="CY21">PRODUCT(1+預測IC!$C21:CY21)-1</f>
        <v>8.7628083354825357</v>
      </c>
      <c r="CZ21" s="21" cm="1">
        <f t="array" ref="CZ21">PRODUCT(1+預測IC!$C21:CZ21)-1</f>
        <v>11.081000557852704</v>
      </c>
      <c r="DA21" s="21" cm="1">
        <f t="array" ref="DA21">PRODUCT(1+預測IC!$C21:DA21)-1</f>
        <v>11.095404208771583</v>
      </c>
      <c r="DB21" s="21" cm="1">
        <f t="array" ref="DB21">PRODUCT(1+預測IC!$C21:DB21)-1</f>
        <v>11.959735745828297</v>
      </c>
      <c r="DC21" s="21" cm="1">
        <f t="array" ref="DC21">PRODUCT(1+預測IC!$C21:DC21)-1</f>
        <v>12.585820579709264</v>
      </c>
      <c r="DD21" s="21" cm="1">
        <f t="array" ref="DD21">PRODUCT(1+預測IC!$C21:DD21)-1</f>
        <v>11.675203783713092</v>
      </c>
      <c r="DE21" s="21" cm="1">
        <f t="array" ref="DE21">PRODUCT(1+預測IC!$C21:DE21)-1</f>
        <v>11.830324303997244</v>
      </c>
      <c r="DF21" s="21" cm="1">
        <f t="array" ref="DF21">PRODUCT(1+預測IC!$C21:DF21)-1</f>
        <v>11.929484225854777</v>
      </c>
      <c r="DG21" s="21" cm="1">
        <f t="array" ref="DG21">PRODUCT(1+預測IC!$C21:DG21)-1</f>
        <v>12.030933848097742</v>
      </c>
      <c r="DH21" s="21" cm="1">
        <f t="array" ref="DH21">PRODUCT(1+預測IC!$C21:DH21)-1</f>
        <v>12.214367961077803</v>
      </c>
      <c r="DI21" s="21" cm="1">
        <f t="array" ref="DI21">PRODUCT(1+預測IC!$C21:DI21)-1</f>
        <v>12.669041039684888</v>
      </c>
      <c r="DJ21" s="21" cm="1">
        <f t="array" ref="DJ21">PRODUCT(1+預測IC!$C21:DJ21)-1</f>
        <v>13.671026172277168</v>
      </c>
      <c r="DK21" s="21" cm="1">
        <f t="array" ref="DK21">PRODUCT(1+預測IC!$C21:DK21)-1</f>
        <v>15.717674035120826</v>
      </c>
      <c r="DL21" s="21" cm="1">
        <f t="array" ref="DL21">PRODUCT(1+預測IC!$C21:DL21)-1</f>
        <v>17.362107019122121</v>
      </c>
      <c r="DM21" s="21" cm="1">
        <f t="array" ref="DM21">PRODUCT(1+預測IC!$C21:DM21)-1</f>
        <v>16.814289721430011</v>
      </c>
      <c r="DN21" s="21" cm="1">
        <f t="array" ref="DN21">PRODUCT(1+預測IC!$C21:DN21)-1</f>
        <v>17.918077033489304</v>
      </c>
      <c r="DO21" s="21" cm="1">
        <f t="array" ref="DO21">PRODUCT(1+預測IC!$C21:DO21)-1</f>
        <v>19.477792883888167</v>
      </c>
      <c r="DP21" s="21" cm="1">
        <f t="array" ref="DP21">PRODUCT(1+預測IC!$C21:DP21)-1</f>
        <v>19.974710181982523</v>
      </c>
      <c r="DQ21" s="21" cm="1">
        <f t="array" ref="DQ21">PRODUCT(1+預測IC!$C21:DQ21)-1</f>
        <v>17.295119786973402</v>
      </c>
      <c r="DR21" s="21" cm="1">
        <f t="array" ref="DR21">PRODUCT(1+預測IC!$C21:DR21)-1</f>
        <v>18.213001662872149</v>
      </c>
      <c r="DS21" s="21" cm="1">
        <f t="array" ref="DS21">PRODUCT(1+預測IC!$C21:DS21)-1</f>
        <v>14.354272518065821</v>
      </c>
      <c r="DT21" s="21" cm="1">
        <f t="array" ref="DT21">PRODUCT(1+預測IC!$C21:DT21)-1</f>
        <v>14.205190209051661</v>
      </c>
      <c r="DU21" s="21" cm="1">
        <f t="array" ref="DU21">PRODUCT(1+預測IC!$C21:DU21)-1</f>
        <v>11.945474667431</v>
      </c>
      <c r="DV21" s="21" cm="1">
        <f t="array" ref="DV21">PRODUCT(1+預測IC!$C21:DV21)-1</f>
        <v>13.761413772449144</v>
      </c>
      <c r="DW21" s="21" cm="1">
        <f t="array" ref="DW21">PRODUCT(1+預測IC!$C21:DW21)-1</f>
        <v>15.523147430697247</v>
      </c>
      <c r="DX21" s="21" cm="1">
        <f t="array" ref="DX21">PRODUCT(1+預測IC!$C21:DX21)-1</f>
        <v>12.450400259131404</v>
      </c>
      <c r="DY21" s="21" cm="1">
        <f t="array" ref="DY21">PRODUCT(1+預測IC!$C21:DY21)-1</f>
        <v>14.692985494336384</v>
      </c>
      <c r="DZ21" s="21" cm="1">
        <f t="array" ref="DZ21">PRODUCT(1+預測IC!$C21:DZ21)-1</f>
        <v>16.245492549291082</v>
      </c>
      <c r="EA21" s="21" cm="1">
        <f t="array" ref="EA21">PRODUCT(1+預測IC!$C21:EA21)-1</f>
        <v>20.833773663235075</v>
      </c>
      <c r="EB21" s="21" cm="1">
        <f t="array" ref="EB21">PRODUCT(1+預測IC!$C21:EB21)-1</f>
        <v>21.017355223651041</v>
      </c>
      <c r="EC21" s="21" cm="1">
        <f t="array" ref="EC21">PRODUCT(1+預測IC!$C21:EC21)-1</f>
        <v>21.6159961035045</v>
      </c>
      <c r="ED21" s="21" cm="1">
        <f t="array" ref="ED21">PRODUCT(1+預測IC!$C21:ED21)-1</f>
        <v>20.383450180688595</v>
      </c>
      <c r="EE21" s="21" cm="1">
        <f t="array" ref="EE21">PRODUCT(1+預測IC!$C21:EE21)-1</f>
        <v>20.691988820913473</v>
      </c>
      <c r="EF21" s="21" cm="1">
        <f t="array" ref="EF21">PRODUCT(1+預測IC!$C21:EF21)-1</f>
        <v>20.518635061099246</v>
      </c>
    </row>
    <row r="22" spans="1:136">
      <c r="A22" s="4">
        <v>321</v>
      </c>
      <c r="B22" s="4">
        <v>3</v>
      </c>
      <c r="C22" s="21" cm="1">
        <f t="array" ref="C22">PRODUCT(1+預測IC!$C22:C22)-1</f>
        <v>0.20528266666666672</v>
      </c>
      <c r="D22" s="21" cm="1">
        <f t="array" ref="D22">PRODUCT(1+預測IC!$C22:D22)-1</f>
        <v>0.37695027335822218</v>
      </c>
      <c r="E22" s="21" cm="1">
        <f t="array" ref="E22">PRODUCT(1+預測IC!$C22:E22)-1</f>
        <v>0.35305100644696785</v>
      </c>
      <c r="F22" s="21" cm="1">
        <f t="array" ref="F22">PRODUCT(1+預測IC!$C22:F22)-1</f>
        <v>0.16380246827724343</v>
      </c>
      <c r="G22" s="21" cm="1">
        <f t="array" ref="G22">PRODUCT(1+預測IC!$C22:G22)-1</f>
        <v>0.43490482218424198</v>
      </c>
      <c r="H22" s="21" cm="1">
        <f t="array" ref="H22">PRODUCT(1+預測IC!$C22:H22)-1</f>
        <v>0.61308843319343653</v>
      </c>
      <c r="I22" s="21" cm="1">
        <f t="array" ref="I22">PRODUCT(1+預測IC!$C22:I22)-1</f>
        <v>0.64121962007604139</v>
      </c>
      <c r="J22" s="21" cm="1">
        <f t="array" ref="J22">PRODUCT(1+預測IC!$C22:J22)-1</f>
        <v>0.47011919224387388</v>
      </c>
      <c r="K22" s="21" cm="1">
        <f t="array" ref="K22">PRODUCT(1+預測IC!$C22:K22)-1</f>
        <v>0.51224790789627561</v>
      </c>
      <c r="L22" s="21" cm="1">
        <f t="array" ref="L22">PRODUCT(1+預測IC!$C22:L22)-1</f>
        <v>0.53383071003777127</v>
      </c>
      <c r="M22" s="21" cm="1">
        <f t="array" ref="M22">PRODUCT(1+預測IC!$C22:M22)-1</f>
        <v>0.18847552696198377</v>
      </c>
      <c r="N22" s="21" cm="1">
        <f t="array" ref="N22">PRODUCT(1+預測IC!$C22:N22)-1</f>
        <v>1.0871321850285809</v>
      </c>
      <c r="O22" s="21" cm="1">
        <f t="array" ref="O22">PRODUCT(1+預測IC!$C22:O22)-1</f>
        <v>0.94845825268018369</v>
      </c>
      <c r="P22" s="21" cm="1">
        <f t="array" ref="P22">PRODUCT(1+預測IC!$C22:P22)-1</f>
        <v>1.125047673606673</v>
      </c>
      <c r="Q22" s="21" cm="1">
        <f t="array" ref="Q22">PRODUCT(1+預測IC!$C22:Q22)-1</f>
        <v>1.3955124079157377</v>
      </c>
      <c r="R22" s="21" cm="1">
        <f t="array" ref="R22">PRODUCT(1+預測IC!$C22:R22)-1</f>
        <v>1.555287495994766</v>
      </c>
      <c r="S22" s="21" cm="1">
        <f t="array" ref="S22">PRODUCT(1+預測IC!$C22:S22)-1</f>
        <v>1.4550376051894007</v>
      </c>
      <c r="T22" s="21" cm="1">
        <f t="array" ref="T22">PRODUCT(1+預測IC!$C22:T22)-1</f>
        <v>1.2791294952495464</v>
      </c>
      <c r="U22" s="21" cm="1">
        <f t="array" ref="U22">PRODUCT(1+預測IC!$C22:U22)-1</f>
        <v>1.3987480873880553</v>
      </c>
      <c r="V22" s="21" cm="1">
        <f t="array" ref="V22">PRODUCT(1+預測IC!$C22:V22)-1</f>
        <v>0.97747115287131114</v>
      </c>
      <c r="W22" s="21" cm="1">
        <f t="array" ref="W22">PRODUCT(1+預測IC!$C22:W22)-1</f>
        <v>1.3877573957018963</v>
      </c>
      <c r="X22" s="21" cm="1">
        <f t="array" ref="X22">PRODUCT(1+預測IC!$C22:X22)-1</f>
        <v>2.0018933733912152</v>
      </c>
      <c r="Y22" s="21" cm="1">
        <f t="array" ref="Y22">PRODUCT(1+預測IC!$C22:Y22)-1</f>
        <v>1.7921891073751008</v>
      </c>
      <c r="Z22" s="21" cm="1">
        <f t="array" ref="Z22">PRODUCT(1+預測IC!$C22:Z22)-1</f>
        <v>1.8588330769899297</v>
      </c>
      <c r="AA22" s="21" cm="1">
        <f t="array" ref="AA22">PRODUCT(1+預測IC!$C22:AA22)-1</f>
        <v>2.1965260635988519</v>
      </c>
      <c r="AB22" s="21" cm="1">
        <f t="array" ref="AB22">PRODUCT(1+預測IC!$C22:AB22)-1</f>
        <v>2.208881372436307</v>
      </c>
      <c r="AC22" s="21" cm="1">
        <f t="array" ref="AC22">PRODUCT(1+預測IC!$C22:AC22)-1</f>
        <v>1.6402312259183724</v>
      </c>
      <c r="AD22" s="21" cm="1">
        <f t="array" ref="AD22">PRODUCT(1+預測IC!$C22:AD22)-1</f>
        <v>1.5911394286349285</v>
      </c>
      <c r="AE22" s="21" cm="1">
        <f t="array" ref="AE22">PRODUCT(1+預測IC!$C22:AE22)-1</f>
        <v>1.370506497426093</v>
      </c>
      <c r="AF22" s="21" cm="1">
        <f t="array" ref="AF22">PRODUCT(1+預測IC!$C22:AF22)-1</f>
        <v>1.4564232698099167</v>
      </c>
      <c r="AG22" s="21" cm="1">
        <f t="array" ref="AG22">PRODUCT(1+預測IC!$C22:AG22)-1</f>
        <v>1.343500673288998</v>
      </c>
      <c r="AH22" s="21" cm="1">
        <f t="array" ref="AH22">PRODUCT(1+預測IC!$C22:AH22)-1</f>
        <v>1.0954037261087346</v>
      </c>
      <c r="AI22" s="21" cm="1">
        <f t="array" ref="AI22">PRODUCT(1+預測IC!$C22:AI22)-1</f>
        <v>1.2926676744707946</v>
      </c>
      <c r="AJ22" s="21" cm="1">
        <f t="array" ref="AJ22">PRODUCT(1+預測IC!$C22:AJ22)-1</f>
        <v>1.2199904546345435</v>
      </c>
      <c r="AK22" s="21" cm="1">
        <f t="array" ref="AK22">PRODUCT(1+預測IC!$C22:AK22)-1</f>
        <v>1.444850092641893</v>
      </c>
      <c r="AL22" s="21" cm="1">
        <f t="array" ref="AL22">PRODUCT(1+預測IC!$C22:AL22)-1</f>
        <v>1.5434777090770071</v>
      </c>
      <c r="AM22" s="21" cm="1">
        <f t="array" ref="AM22">PRODUCT(1+預測IC!$C22:AM22)-1</f>
        <v>1.7573559606278391</v>
      </c>
      <c r="AN22" s="21" cm="1">
        <f t="array" ref="AN22">PRODUCT(1+預測IC!$C22:AN22)-1</f>
        <v>2.0637886757749735</v>
      </c>
      <c r="AO22" s="21" cm="1">
        <f t="array" ref="AO22">PRODUCT(1+預測IC!$C22:AO22)-1</f>
        <v>2.292706918262259</v>
      </c>
      <c r="AP22" s="21" cm="1">
        <f t="array" ref="AP22">PRODUCT(1+預測IC!$C22:AP22)-1</f>
        <v>2.0867930331723685</v>
      </c>
      <c r="AQ22" s="21" cm="1">
        <f t="array" ref="AQ22">PRODUCT(1+預測IC!$C22:AQ22)-1</f>
        <v>2.1315391350437882</v>
      </c>
      <c r="AR22" s="21" cm="1">
        <f t="array" ref="AR22">PRODUCT(1+預測IC!$C22:AR22)-1</f>
        <v>2.8765358684421924</v>
      </c>
      <c r="AS22" s="21" cm="1">
        <f t="array" ref="AS22">PRODUCT(1+預測IC!$C22:AS22)-1</f>
        <v>3.1975535051138619</v>
      </c>
      <c r="AT22" s="21" cm="1">
        <f t="array" ref="AT22">PRODUCT(1+預測IC!$C22:AT22)-1</f>
        <v>3.2251750456884061</v>
      </c>
      <c r="AU22" s="21" cm="1">
        <f t="array" ref="AU22">PRODUCT(1+預測IC!$C22:AU22)-1</f>
        <v>3.449712643039061</v>
      </c>
      <c r="AV22" s="21" cm="1">
        <f t="array" ref="AV22">PRODUCT(1+預測IC!$C22:AV22)-1</f>
        <v>3.1835611945640689</v>
      </c>
      <c r="AW22" s="21" cm="1">
        <f t="array" ref="AW22">PRODUCT(1+預測IC!$C22:AW22)-1</f>
        <v>3.0574293798378172</v>
      </c>
      <c r="AX22" s="21" cm="1">
        <f t="array" ref="AX22">PRODUCT(1+預測IC!$C22:AX22)-1</f>
        <v>3.7624621040572777</v>
      </c>
      <c r="AY22" s="21" cm="1">
        <f t="array" ref="AY22">PRODUCT(1+預測IC!$C22:AY22)-1</f>
        <v>4.1040896333072885</v>
      </c>
      <c r="AZ22" s="21" cm="1">
        <f t="array" ref="AZ22">PRODUCT(1+預測IC!$C22:AZ22)-1</f>
        <v>3.3134468642181654</v>
      </c>
      <c r="BA22" s="21" cm="1">
        <f t="array" ref="BA22">PRODUCT(1+預測IC!$C22:BA22)-1</f>
        <v>3.5281472440690038</v>
      </c>
      <c r="BB22" s="21" cm="1">
        <f t="array" ref="BB22">PRODUCT(1+預測IC!$C22:BB22)-1</f>
        <v>5.2015300956443626</v>
      </c>
      <c r="BC22" s="21" cm="1">
        <f t="array" ref="BC22">PRODUCT(1+預測IC!$C22:BC22)-1</f>
        <v>4.3901408862528966</v>
      </c>
      <c r="BD22" s="21" cm="1">
        <f t="array" ref="BD22">PRODUCT(1+預測IC!$C22:BD22)-1</f>
        <v>4.4599291416136007</v>
      </c>
      <c r="BE22" s="21" cm="1">
        <f t="array" ref="BE22">PRODUCT(1+預測IC!$C22:BE22)-1</f>
        <v>4.581227928744557</v>
      </c>
      <c r="BF22" s="21" cm="1">
        <f t="array" ref="BF22">PRODUCT(1+預測IC!$C22:BF22)-1</f>
        <v>4.6573492769882314</v>
      </c>
      <c r="BG22" s="21" cm="1">
        <f t="array" ref="BG22">PRODUCT(1+預測IC!$C22:BG22)-1</f>
        <v>4.9191686416934184</v>
      </c>
      <c r="BH22" s="21" cm="1">
        <f t="array" ref="BH22">PRODUCT(1+預測IC!$C22:BH22)-1</f>
        <v>4.1617486121114649</v>
      </c>
      <c r="BI22" s="21" cm="1">
        <f t="array" ref="BI22">PRODUCT(1+預測IC!$C22:BI22)-1</f>
        <v>4.7351606553467924</v>
      </c>
      <c r="BJ22" s="21" cm="1">
        <f t="array" ref="BJ22">PRODUCT(1+預測IC!$C22:BJ22)-1</f>
        <v>5.0505739317043252</v>
      </c>
      <c r="BK22" s="21" cm="1">
        <f t="array" ref="BK22">PRODUCT(1+預測IC!$C22:BK22)-1</f>
        <v>4.7974201212120917</v>
      </c>
      <c r="BL22" s="21" cm="1">
        <f t="array" ref="BL22">PRODUCT(1+預測IC!$C22:BL22)-1</f>
        <v>5.7353287141590261</v>
      </c>
      <c r="BM22" s="21" cm="1">
        <f t="array" ref="BM22">PRODUCT(1+預測IC!$C22:BM22)-1</f>
        <v>5.7189586105661041</v>
      </c>
      <c r="BN22" s="21" cm="1">
        <f t="array" ref="BN22">PRODUCT(1+預測IC!$C22:BN22)-1</f>
        <v>5.615973422921984</v>
      </c>
      <c r="BO22" s="21" cm="1">
        <f t="array" ref="BO22">PRODUCT(1+預測IC!$C22:BO22)-1</f>
        <v>4.9741386844571007</v>
      </c>
      <c r="BP22" s="21" cm="1">
        <f t="array" ref="BP22">PRODUCT(1+預測IC!$C22:BP22)-1</f>
        <v>5.4212166396113508</v>
      </c>
      <c r="BQ22" s="21" cm="1">
        <f t="array" ref="BQ22">PRODUCT(1+預測IC!$C22:BQ22)-1</f>
        <v>5.5999197241073997</v>
      </c>
      <c r="BR22" s="21" cm="1">
        <f t="array" ref="BR22">PRODUCT(1+預測IC!$C22:BR22)-1</f>
        <v>5.7372878757549106</v>
      </c>
      <c r="BS22" s="21" cm="1">
        <f t="array" ref="BS22">PRODUCT(1+預測IC!$C22:BS22)-1</f>
        <v>5.6269797275553275</v>
      </c>
      <c r="BT22" s="21" cm="1">
        <f t="array" ref="BT22">PRODUCT(1+預測IC!$C22:BT22)-1</f>
        <v>6.4920040523901577</v>
      </c>
      <c r="BU22" s="21" cm="1">
        <f t="array" ref="BU22">PRODUCT(1+預測IC!$C22:BU22)-1</f>
        <v>8.0874170712476143</v>
      </c>
      <c r="BV22" s="21" cm="1">
        <f t="array" ref="BV22">PRODUCT(1+預測IC!$C22:BV22)-1</f>
        <v>9.5281722725570575</v>
      </c>
      <c r="BW22" s="21" cm="1">
        <f t="array" ref="BW22">PRODUCT(1+預測IC!$C22:BW22)-1</f>
        <v>7.6892322357864327</v>
      </c>
      <c r="BX22" s="21" cm="1">
        <f t="array" ref="BX22">PRODUCT(1+預測IC!$C22:BX22)-1</f>
        <v>8.0075835099299955</v>
      </c>
      <c r="BY22" s="21" cm="1">
        <f t="array" ref="BY22">PRODUCT(1+預測IC!$C22:BY22)-1</f>
        <v>7.9648264350035625</v>
      </c>
      <c r="BZ22" s="21" cm="1">
        <f t="array" ref="BZ22">PRODUCT(1+預測IC!$C22:BZ22)-1</f>
        <v>8.3884838347256334</v>
      </c>
      <c r="CA22" s="21" cm="1">
        <f t="array" ref="CA22">PRODUCT(1+預測IC!$C22:CA22)-1</f>
        <v>8.1303936772977767</v>
      </c>
      <c r="CB22" s="21" cm="1">
        <f t="array" ref="CB22">PRODUCT(1+預測IC!$C22:CB22)-1</f>
        <v>6.7700263916413004</v>
      </c>
      <c r="CC22" s="21" cm="1">
        <f t="array" ref="CC22">PRODUCT(1+預測IC!$C22:CC22)-1</f>
        <v>5.7979572399150152</v>
      </c>
      <c r="CD22" s="21" cm="1">
        <f t="array" ref="CD22">PRODUCT(1+預測IC!$C22:CD22)-1</f>
        <v>6.447286785542965</v>
      </c>
      <c r="CE22" s="21" cm="1">
        <f t="array" ref="CE22">PRODUCT(1+預測IC!$C22:CE22)-1</f>
        <v>6.9450634342886568</v>
      </c>
      <c r="CF22" s="21" cm="1">
        <f t="array" ref="CF22">PRODUCT(1+預測IC!$C22:CF22)-1</f>
        <v>5.7090446191074147</v>
      </c>
      <c r="CG22" s="21" cm="1">
        <f t="array" ref="CG22">PRODUCT(1+預測IC!$C22:CG22)-1</f>
        <v>8.6865230937636984</v>
      </c>
      <c r="CH22" s="21" cm="1">
        <f t="array" ref="CH22">PRODUCT(1+預測IC!$C22:CH22)-1</f>
        <v>9.8093729487627854</v>
      </c>
      <c r="CI22" s="21" cm="1">
        <f t="array" ref="CI22">PRODUCT(1+預測IC!$C22:CI22)-1</f>
        <v>8.5362477454293444</v>
      </c>
      <c r="CJ22" s="21" cm="1">
        <f t="array" ref="CJ22">PRODUCT(1+預測IC!$C22:CJ22)-1</f>
        <v>7.5503951730954011</v>
      </c>
      <c r="CK22" s="21" cm="1">
        <f t="array" ref="CK22">PRODUCT(1+預測IC!$C22:CK22)-1</f>
        <v>7.8596060431454724</v>
      </c>
      <c r="CL22" s="21" cm="1">
        <f t="array" ref="CL22">PRODUCT(1+預測IC!$C22:CL22)-1</f>
        <v>5.7275259137532331</v>
      </c>
      <c r="CM22" s="21" cm="1">
        <f t="array" ref="CM22">PRODUCT(1+預測IC!$C22:CM22)-1</f>
        <v>7.7576258685801331</v>
      </c>
      <c r="CN22" s="21" cm="1">
        <f t="array" ref="CN22">PRODUCT(1+預測IC!$C22:CN22)-1</f>
        <v>7.6827764385885029</v>
      </c>
      <c r="CO22" s="21" cm="1">
        <f t="array" ref="CO22">PRODUCT(1+預測IC!$C22:CO22)-1</f>
        <v>2.039349729966538</v>
      </c>
      <c r="CP22" s="21" cm="1">
        <f t="array" ref="CP22">PRODUCT(1+預測IC!$C22:CP22)-1</f>
        <v>2.8277830575425007</v>
      </c>
      <c r="CQ22" s="21" cm="1">
        <f t="array" ref="CQ22">PRODUCT(1+預測IC!$C22:CQ22)-1</f>
        <v>2.7620997719844551</v>
      </c>
      <c r="CR22" s="21" cm="1">
        <f t="array" ref="CR22">PRODUCT(1+預測IC!$C22:CR22)-1</f>
        <v>2.6551783883981424</v>
      </c>
      <c r="CS22" s="21" cm="1">
        <f t="array" ref="CS22">PRODUCT(1+預測IC!$C22:CS22)-1</f>
        <v>2.7445085114250003</v>
      </c>
      <c r="CT22" s="21" cm="1">
        <f t="array" ref="CT22">PRODUCT(1+預測IC!$C22:CT22)-1</f>
        <v>2.9625606832842255</v>
      </c>
      <c r="CU22" s="21" cm="1">
        <f t="array" ref="CU22">PRODUCT(1+預測IC!$C22:CU22)-1</f>
        <v>2.5233448317319604</v>
      </c>
      <c r="CV22" s="21" cm="1">
        <f t="array" ref="CV22">PRODUCT(1+預測IC!$C22:CV22)-1</f>
        <v>2.918782841685915</v>
      </c>
      <c r="CW22" s="21" cm="1">
        <f t="array" ref="CW22">PRODUCT(1+預測IC!$C22:CW22)-1</f>
        <v>3.0616273877784375</v>
      </c>
      <c r="CX22" s="21" cm="1">
        <f t="array" ref="CX22">PRODUCT(1+預測IC!$C22:CX22)-1</f>
        <v>3.0768568384881618</v>
      </c>
      <c r="CY22" s="21" cm="1">
        <f t="array" ref="CY22">PRODUCT(1+預測IC!$C22:CY22)-1</f>
        <v>3.0442875395019406</v>
      </c>
      <c r="CZ22" s="21" cm="1">
        <f t="array" ref="CZ22">PRODUCT(1+預測IC!$C22:CZ22)-1</f>
        <v>4.1076135792464559</v>
      </c>
      <c r="DA22" s="21" cm="1">
        <f t="array" ref="DA22">PRODUCT(1+預測IC!$C22:DA22)-1</f>
        <v>4.0872252429141307</v>
      </c>
      <c r="DB22" s="21" cm="1">
        <f t="array" ref="DB22">PRODUCT(1+預測IC!$C22:DB22)-1</f>
        <v>4.3621422865247057</v>
      </c>
      <c r="DC22" s="21" cm="1">
        <f t="array" ref="DC22">PRODUCT(1+預測IC!$C22:DC22)-1</f>
        <v>4.7500575333395254</v>
      </c>
      <c r="DD22" s="21" cm="1">
        <f t="array" ref="DD22">PRODUCT(1+預測IC!$C22:DD22)-1</f>
        <v>4.6582674482489823</v>
      </c>
      <c r="DE22" s="21" cm="1">
        <f t="array" ref="DE22">PRODUCT(1+預測IC!$C22:DE22)-1</f>
        <v>4.6271936128260522</v>
      </c>
      <c r="DF22" s="21" cm="1">
        <f t="array" ref="DF22">PRODUCT(1+預測IC!$C22:DF22)-1</f>
        <v>4.723034709860479</v>
      </c>
      <c r="DG22" s="21" cm="1">
        <f t="array" ref="DG22">PRODUCT(1+預測IC!$C22:DG22)-1</f>
        <v>4.9060862216087822</v>
      </c>
      <c r="DH22" s="21" cm="1">
        <f t="array" ref="DH22">PRODUCT(1+預測IC!$C22:DH22)-1</f>
        <v>4.9884486385587392</v>
      </c>
      <c r="DI22" s="21" cm="1">
        <f t="array" ref="DI22">PRODUCT(1+預測IC!$C22:DI22)-1</f>
        <v>5.36908041805619</v>
      </c>
      <c r="DJ22" s="21" cm="1">
        <f t="array" ref="DJ22">PRODUCT(1+預測IC!$C22:DJ22)-1</f>
        <v>5.6415348171529915</v>
      </c>
      <c r="DK22" s="21" cm="1">
        <f t="array" ref="DK22">PRODUCT(1+預測IC!$C22:DK22)-1</f>
        <v>6.8312642559681214</v>
      </c>
      <c r="DL22" s="21" cm="1">
        <f t="array" ref="DL22">PRODUCT(1+預測IC!$C22:DL22)-1</f>
        <v>7.8097153159756498</v>
      </c>
      <c r="DM22" s="21" cm="1">
        <f t="array" ref="DM22">PRODUCT(1+預測IC!$C22:DM22)-1</f>
        <v>7.2505974741013937</v>
      </c>
      <c r="DN22" s="21" cm="1">
        <f t="array" ref="DN22">PRODUCT(1+預測IC!$C22:DN22)-1</f>
        <v>7.6364228716619511</v>
      </c>
      <c r="DO22" s="21" cm="1">
        <f t="array" ref="DO22">PRODUCT(1+預測IC!$C22:DO22)-1</f>
        <v>8.7024813312105849</v>
      </c>
      <c r="DP22" s="21" cm="1">
        <f t="array" ref="DP22">PRODUCT(1+預測IC!$C22:DP22)-1</f>
        <v>8.7235582578528792</v>
      </c>
      <c r="DQ22" s="21" cm="1">
        <f t="array" ref="DQ22">PRODUCT(1+預測IC!$C22:DQ22)-1</f>
        <v>7.4494706586296129</v>
      </c>
      <c r="DR22" s="21" cm="1">
        <f t="array" ref="DR22">PRODUCT(1+預測IC!$C22:DR22)-1</f>
        <v>7.3979918140703251</v>
      </c>
      <c r="DS22" s="21" cm="1">
        <f t="array" ref="DS22">PRODUCT(1+預測IC!$C22:DS22)-1</f>
        <v>5.7431597878346183</v>
      </c>
      <c r="DT22" s="21" cm="1">
        <f t="array" ref="DT22">PRODUCT(1+預測IC!$C22:DT22)-1</f>
        <v>5.4486028342624966</v>
      </c>
      <c r="DU22" s="21" cm="1">
        <f t="array" ref="DU22">PRODUCT(1+預測IC!$C22:DU22)-1</f>
        <v>4.4068589903330055</v>
      </c>
      <c r="DV22" s="21" cm="1">
        <f t="array" ref="DV22">PRODUCT(1+預測IC!$C22:DV22)-1</f>
        <v>5.086528835982131</v>
      </c>
      <c r="DW22" s="21" cm="1">
        <f t="array" ref="DW22">PRODUCT(1+預測IC!$C22:DW22)-1</f>
        <v>5.7530224087244859</v>
      </c>
      <c r="DX22" s="21" cm="1">
        <f t="array" ref="DX22">PRODUCT(1+預測IC!$C22:DX22)-1</f>
        <v>4.2508624892180258</v>
      </c>
      <c r="DY22" s="21" cm="1">
        <f t="array" ref="DY22">PRODUCT(1+預測IC!$C22:DY22)-1</f>
        <v>4.88073670026216</v>
      </c>
      <c r="DZ22" s="21" cm="1">
        <f t="array" ref="DZ22">PRODUCT(1+預測IC!$C22:DZ22)-1</f>
        <v>5.5325203114534496</v>
      </c>
      <c r="EA22" s="21" cm="1">
        <f t="array" ref="EA22">PRODUCT(1+預測IC!$C22:EA22)-1</f>
        <v>6.4493997905561002</v>
      </c>
      <c r="EB22" s="21" cm="1">
        <f t="array" ref="EB22">PRODUCT(1+預測IC!$C22:EB22)-1</f>
        <v>5.8490025453349954</v>
      </c>
      <c r="EC22" s="21" cm="1">
        <f t="array" ref="EC22">PRODUCT(1+預測IC!$C22:EC22)-1</f>
        <v>6.452303783543373</v>
      </c>
      <c r="ED22" s="21" cm="1">
        <f t="array" ref="ED22">PRODUCT(1+預測IC!$C22:ED22)-1</f>
        <v>5.8753943648623759</v>
      </c>
      <c r="EE22" s="21" cm="1">
        <f t="array" ref="EE22">PRODUCT(1+預測IC!$C22:EE22)-1</f>
        <v>6.1053508936183434</v>
      </c>
      <c r="EF22" s="21" cm="1">
        <f t="array" ref="EF22">PRODUCT(1+預測IC!$C22:EF22)-1</f>
        <v>5.8581539854686264</v>
      </c>
    </row>
    <row r="23" spans="1:136">
      <c r="A23" s="4">
        <v>482</v>
      </c>
      <c r="B23" s="4">
        <v>2</v>
      </c>
      <c r="C23" s="21" cm="1">
        <f t="array" ref="C23">PRODUCT(1+預測IC!$C23:C23)-1</f>
        <v>0.28298899999999994</v>
      </c>
      <c r="D23" s="21" cm="1">
        <f t="array" ref="D23">PRODUCT(1+預測IC!$C23:D23)-1</f>
        <v>0.60898880696599988</v>
      </c>
      <c r="E23" s="21" cm="1">
        <f t="array" ref="E23">PRODUCT(1+預測IC!$C23:E23)-1</f>
        <v>0.82299236323651281</v>
      </c>
      <c r="F23" s="21" cm="1">
        <f t="array" ref="F23">PRODUCT(1+預測IC!$C23:F23)-1</f>
        <v>0.81617072581328176</v>
      </c>
      <c r="G23" s="21" cm="1">
        <f t="array" ref="G23">PRODUCT(1+預測IC!$C23:G23)-1</f>
        <v>1.4729561777305902</v>
      </c>
      <c r="H23" s="21" cm="1">
        <f t="array" ref="H23">PRODUCT(1+預測IC!$C23:H23)-1</f>
        <v>1.4279768142919371</v>
      </c>
      <c r="I23" s="21" cm="1">
        <f t="array" ref="I23">PRODUCT(1+預測IC!$C23:I23)-1</f>
        <v>1.3396336639155177</v>
      </c>
      <c r="J23" s="21" cm="1">
        <f t="array" ref="J23">PRODUCT(1+預測IC!$C23:J23)-1</f>
        <v>1.0708670769563908</v>
      </c>
      <c r="K23" s="21" cm="1">
        <f t="array" ref="K23">PRODUCT(1+預測IC!$C23:K23)-1</f>
        <v>0.94678382800577943</v>
      </c>
      <c r="L23" s="21" cm="1">
        <f t="array" ref="L23">PRODUCT(1+預測IC!$C23:L23)-1</f>
        <v>1.0456239897374608</v>
      </c>
      <c r="M23" s="21" cm="1">
        <f t="array" ref="M23">PRODUCT(1+預測IC!$C23:M23)-1</f>
        <v>0.498692520071228</v>
      </c>
      <c r="N23" s="21" cm="1">
        <f t="array" ref="N23">PRODUCT(1+預測IC!$C23:N23)-1</f>
        <v>1.9612680491012595</v>
      </c>
      <c r="O23" s="21" cm="1">
        <f t="array" ref="O23">PRODUCT(1+預測IC!$C23:O23)-1</f>
        <v>1.5973282058667149</v>
      </c>
      <c r="P23" s="21" cm="1">
        <f t="array" ref="P23">PRODUCT(1+預測IC!$C23:P23)-1</f>
        <v>1.7393540081558156</v>
      </c>
      <c r="Q23" s="21" cm="1">
        <f t="array" ref="Q23">PRODUCT(1+預測IC!$C23:Q23)-1</f>
        <v>2.5369922598656052</v>
      </c>
      <c r="R23" s="21" cm="1">
        <f t="array" ref="R23">PRODUCT(1+預測IC!$C23:R23)-1</f>
        <v>2.759186113630363</v>
      </c>
      <c r="S23" s="21" cm="1">
        <f t="array" ref="S23">PRODUCT(1+預測IC!$C23:S23)-1</f>
        <v>2.4863800977711508</v>
      </c>
      <c r="T23" s="21" cm="1">
        <f t="array" ref="T23">PRODUCT(1+預測IC!$C23:T23)-1</f>
        <v>2.4850783907935901</v>
      </c>
      <c r="U23" s="21" cm="1">
        <f t="array" ref="U23">PRODUCT(1+預測IC!$C23:U23)-1</f>
        <v>2.6915222368898344</v>
      </c>
      <c r="V23" s="21" cm="1">
        <f t="array" ref="V23">PRODUCT(1+預測IC!$C23:V23)-1</f>
        <v>1.8333337591077514</v>
      </c>
      <c r="W23" s="21" cm="1">
        <f t="array" ref="W23">PRODUCT(1+預測IC!$C23:W23)-1</f>
        <v>2.7729214926752785</v>
      </c>
      <c r="X23" s="21" cm="1">
        <f t="array" ref="X23">PRODUCT(1+預測IC!$C23:X23)-1</f>
        <v>3.5069660066042099</v>
      </c>
      <c r="Y23" s="21" cm="1">
        <f t="array" ref="Y23">PRODUCT(1+預測IC!$C23:Y23)-1</f>
        <v>3.2006973851084242</v>
      </c>
      <c r="Z23" s="21" cm="1">
        <f t="array" ref="Z23">PRODUCT(1+預測IC!$C23:Z23)-1</f>
        <v>3.3731444141618958</v>
      </c>
      <c r="AA23" s="21" cm="1">
        <f t="array" ref="AA23">PRODUCT(1+預測IC!$C23:AA23)-1</f>
        <v>4.0363405108583752</v>
      </c>
      <c r="AB23" s="21" cm="1">
        <f t="array" ref="AB23">PRODUCT(1+預測IC!$C23:AB23)-1</f>
        <v>4.1924236789034799</v>
      </c>
      <c r="AC23" s="21" cm="1">
        <f t="array" ref="AC23">PRODUCT(1+預測IC!$C23:AC23)-1</f>
        <v>2.9773524024387945</v>
      </c>
      <c r="AD23" s="21" cm="1">
        <f t="array" ref="AD23">PRODUCT(1+預測IC!$C23:AD23)-1</f>
        <v>2.9654390723149247</v>
      </c>
      <c r="AE23" s="21" cm="1">
        <f t="array" ref="AE23">PRODUCT(1+預測IC!$C23:AE23)-1</f>
        <v>2.0862338175184769</v>
      </c>
      <c r="AF23" s="21" cm="1">
        <f t="array" ref="AF23">PRODUCT(1+預測IC!$C23:AF23)-1</f>
        <v>2.2927221800111539</v>
      </c>
      <c r="AG23" s="21" cm="1">
        <f t="array" ref="AG23">PRODUCT(1+預測IC!$C23:AG23)-1</f>
        <v>2.2859539895701411</v>
      </c>
      <c r="AH23" s="21" cm="1">
        <f t="array" ref="AH23">PRODUCT(1+預測IC!$C23:AH23)-1</f>
        <v>2.0093700355977471</v>
      </c>
      <c r="AI23" s="21" cm="1">
        <f t="array" ref="AI23">PRODUCT(1+預測IC!$C23:AI23)-1</f>
        <v>2.0611490075958683</v>
      </c>
      <c r="AJ23" s="21" cm="1">
        <f t="array" ref="AJ23">PRODUCT(1+預測IC!$C23:AJ23)-1</f>
        <v>2.2086829212883687</v>
      </c>
      <c r="AK23" s="21" cm="1">
        <f t="array" ref="AK23">PRODUCT(1+預測IC!$C23:AK23)-1</f>
        <v>2.5748292568931408</v>
      </c>
      <c r="AL23" s="21" cm="1">
        <f t="array" ref="AL23">PRODUCT(1+預測IC!$C23:AL23)-1</f>
        <v>3.0446751904974052</v>
      </c>
      <c r="AM23" s="21" cm="1">
        <f t="array" ref="AM23">PRODUCT(1+預測IC!$C23:AM23)-1</f>
        <v>3.0761002499182259</v>
      </c>
      <c r="AN23" s="21" cm="1">
        <f t="array" ref="AN23">PRODUCT(1+預測IC!$C23:AN23)-1</f>
        <v>4.0637992565273793</v>
      </c>
      <c r="AO23" s="21" cm="1">
        <f t="array" ref="AO23">PRODUCT(1+預測IC!$C23:AO23)-1</f>
        <v>4.0367740019883236</v>
      </c>
      <c r="AP23" s="21" cm="1">
        <f t="array" ref="AP23">PRODUCT(1+預測IC!$C23:AP23)-1</f>
        <v>4.0524942740636396</v>
      </c>
      <c r="AQ23" s="21" cm="1">
        <f t="array" ref="AQ23">PRODUCT(1+預測IC!$C23:AQ23)-1</f>
        <v>4.504313535413508</v>
      </c>
      <c r="AR23" s="21" cm="1">
        <f t="array" ref="AR23">PRODUCT(1+預測IC!$C23:AR23)-1</f>
        <v>6.3578583339197943</v>
      </c>
      <c r="AS23" s="21" cm="1">
        <f t="array" ref="AS23">PRODUCT(1+預測IC!$C23:AS23)-1</f>
        <v>6.249647135502264</v>
      </c>
      <c r="AT23" s="21" cm="1">
        <f t="array" ref="AT23">PRODUCT(1+預測IC!$C23:AT23)-1</f>
        <v>5.9493107707255541</v>
      </c>
      <c r="AU23" s="21" cm="1">
        <f t="array" ref="AU23">PRODUCT(1+預測IC!$C23:AU23)-1</f>
        <v>6.1796493324517341</v>
      </c>
      <c r="AV23" s="21" cm="1">
        <f t="array" ref="AV23">PRODUCT(1+預測IC!$C23:AV23)-1</f>
        <v>5.9812110462129207</v>
      </c>
      <c r="AW23" s="21" cm="1">
        <f t="array" ref="AW23">PRODUCT(1+預測IC!$C23:AW23)-1</f>
        <v>5.6180002085487395</v>
      </c>
      <c r="AX23" s="21" cm="1">
        <f t="array" ref="AX23">PRODUCT(1+預測IC!$C23:AX23)-1</f>
        <v>6.0801891251407758</v>
      </c>
      <c r="AY23" s="21" cm="1">
        <f t="array" ref="AY23">PRODUCT(1+預測IC!$C23:AY23)-1</f>
        <v>7.2854779050176894</v>
      </c>
      <c r="AZ23" s="21" cm="1">
        <f t="array" ref="AZ23">PRODUCT(1+預測IC!$C23:AZ23)-1</f>
        <v>6.757248716676254</v>
      </c>
      <c r="BA23" s="21" cm="1">
        <f t="array" ref="BA23">PRODUCT(1+預測IC!$C23:BA23)-1</f>
        <v>7.176124632879338</v>
      </c>
      <c r="BB23" s="21" cm="1">
        <f t="array" ref="BB23">PRODUCT(1+預測IC!$C23:BB23)-1</f>
        <v>11.81057691822275</v>
      </c>
      <c r="BC23" s="21" cm="1">
        <f t="array" ref="BC23">PRODUCT(1+預測IC!$C23:BC23)-1</f>
        <v>7.956793493016912</v>
      </c>
      <c r="BD23" s="21" cm="1">
        <f t="array" ref="BD23">PRODUCT(1+預測IC!$C23:BD23)-1</f>
        <v>8.8061741139978569</v>
      </c>
      <c r="BE23" s="21" cm="1">
        <f t="array" ref="BE23">PRODUCT(1+預測IC!$C23:BE23)-1</f>
        <v>8.1057116208343558</v>
      </c>
      <c r="BF23" s="21" cm="1">
        <f t="array" ref="BF23">PRODUCT(1+預測IC!$C23:BF23)-1</f>
        <v>7.89767351298417</v>
      </c>
      <c r="BG23" s="21" cm="1">
        <f t="array" ref="BG23">PRODUCT(1+預測IC!$C23:BG23)-1</f>
        <v>8.5628766750432437</v>
      </c>
      <c r="BH23" s="21" cm="1">
        <f t="array" ref="BH23">PRODUCT(1+預測IC!$C23:BH23)-1</f>
        <v>6.6169844559958335</v>
      </c>
      <c r="BI23" s="21" cm="1">
        <f t="array" ref="BI23">PRODUCT(1+預測IC!$C23:BI23)-1</f>
        <v>8.0726821935536837</v>
      </c>
      <c r="BJ23" s="21" cm="1">
        <f t="array" ref="BJ23">PRODUCT(1+預測IC!$C23:BJ23)-1</f>
        <v>9.0162712200555539</v>
      </c>
      <c r="BK23" s="21" cm="1">
        <f t="array" ref="BK23">PRODUCT(1+預測IC!$C23:BK23)-1</f>
        <v>9.0632172600105232</v>
      </c>
      <c r="BL23" s="21" cm="1">
        <f t="array" ref="BL23">PRODUCT(1+預測IC!$C23:BL23)-1</f>
        <v>10.568013370999461</v>
      </c>
      <c r="BM23" s="21" cm="1">
        <f t="array" ref="BM23">PRODUCT(1+預測IC!$C23:BM23)-1</f>
        <v>11.371937804922091</v>
      </c>
      <c r="BN23" s="21" cm="1">
        <f t="array" ref="BN23">PRODUCT(1+預測IC!$C23:BN23)-1</f>
        <v>11.285987840373879</v>
      </c>
      <c r="BO23" s="21" cm="1">
        <f t="array" ref="BO23">PRODUCT(1+預測IC!$C23:BO23)-1</f>
        <v>9.2427031644857216</v>
      </c>
      <c r="BP23" s="21" cm="1">
        <f t="array" ref="BP23">PRODUCT(1+預測IC!$C23:BP23)-1</f>
        <v>10.249216722651525</v>
      </c>
      <c r="BQ23" s="21" cm="1">
        <f t="array" ref="BQ23">PRODUCT(1+預測IC!$C23:BQ23)-1</f>
        <v>10.807311077309928</v>
      </c>
      <c r="BR23" s="21" cm="1">
        <f t="array" ref="BR23">PRODUCT(1+預測IC!$C23:BR23)-1</f>
        <v>11.018004531798454</v>
      </c>
      <c r="BS23" s="21" cm="1">
        <f t="array" ref="BS23">PRODUCT(1+預測IC!$C23:BS23)-1</f>
        <v>10.137380578838377</v>
      </c>
      <c r="BT23" s="21" cm="1">
        <f t="array" ref="BT23">PRODUCT(1+預測IC!$C23:BT23)-1</f>
        <v>11.737263138626219</v>
      </c>
      <c r="BU23" s="21" cm="1">
        <f t="array" ref="BU23">PRODUCT(1+預測IC!$C23:BU23)-1</f>
        <v>14.357161954484273</v>
      </c>
      <c r="BV23" s="21" cm="1">
        <f t="array" ref="BV23">PRODUCT(1+預測IC!$C23:BV23)-1</f>
        <v>16.099701778373202</v>
      </c>
      <c r="BW23" s="21" cm="1">
        <f t="array" ref="BW23">PRODUCT(1+預測IC!$C23:BW23)-1</f>
        <v>12.642957165556574</v>
      </c>
      <c r="BX23" s="21" cm="1">
        <f t="array" ref="BX23">PRODUCT(1+預測IC!$C23:BX23)-1</f>
        <v>12.530905924922072</v>
      </c>
      <c r="BY23" s="21" cm="1">
        <f t="array" ref="BY23">PRODUCT(1+預測IC!$C23:BY23)-1</f>
        <v>12.392813657176191</v>
      </c>
      <c r="BZ23" s="21" cm="1">
        <f t="array" ref="BZ23">PRODUCT(1+預測IC!$C23:BZ23)-1</f>
        <v>12.495533356220701</v>
      </c>
      <c r="CA23" s="21" cm="1">
        <f t="array" ref="CA23">PRODUCT(1+預測IC!$C23:CA23)-1</f>
        <v>11.474553075535241</v>
      </c>
      <c r="CB23" s="21" cm="1">
        <f t="array" ref="CB23">PRODUCT(1+預測IC!$C23:CB23)-1</f>
        <v>8.7599131503157484</v>
      </c>
      <c r="CC23" s="21" cm="1">
        <f t="array" ref="CC23">PRODUCT(1+預測IC!$C23:CC23)-1</f>
        <v>7.9347612930223033</v>
      </c>
      <c r="CD23" s="21" cm="1">
        <f t="array" ref="CD23">PRODUCT(1+預測IC!$C23:CD23)-1</f>
        <v>9.1967293149520053</v>
      </c>
      <c r="CE23" s="21" cm="1">
        <f t="array" ref="CE23">PRODUCT(1+預測IC!$C23:CE23)-1</f>
        <v>9.8044747755817738</v>
      </c>
      <c r="CF23" s="21" cm="1">
        <f t="array" ref="CF23">PRODUCT(1+預測IC!$C23:CF23)-1</f>
        <v>7.8226045652594198</v>
      </c>
      <c r="CG23" s="21" cm="1">
        <f t="array" ref="CG23">PRODUCT(1+預測IC!$C23:CG23)-1</f>
        <v>10.406776321539882</v>
      </c>
      <c r="CH23" s="21" cm="1">
        <f t="array" ref="CH23">PRODUCT(1+預測IC!$C23:CH23)-1</f>
        <v>12.462236908322403</v>
      </c>
      <c r="CI23" s="21" cm="1">
        <f t="array" ref="CI23">PRODUCT(1+預測IC!$C23:CI23)-1</f>
        <v>8.2902975371929379</v>
      </c>
      <c r="CJ23" s="21" cm="1">
        <f t="array" ref="CJ23">PRODUCT(1+預測IC!$C23:CJ23)-1</f>
        <v>8.1056494589885553</v>
      </c>
      <c r="CK23" s="21" cm="1">
        <f t="array" ref="CK23">PRODUCT(1+預測IC!$C23:CK23)-1</f>
        <v>8.9808571200328249</v>
      </c>
      <c r="CL23" s="21" cm="1">
        <f t="array" ref="CL23">PRODUCT(1+預測IC!$C23:CL23)-1</f>
        <v>4.9020699420713978</v>
      </c>
      <c r="CM23" s="21" cm="1">
        <f t="array" ref="CM23">PRODUCT(1+預測IC!$C23:CM23)-1</f>
        <v>7.1845948413529666</v>
      </c>
      <c r="CN23" s="21" cm="1">
        <f t="array" ref="CN23">PRODUCT(1+預測IC!$C23:CN23)-1</f>
        <v>6.7507689319024813</v>
      </c>
      <c r="CO23" s="21" cm="1">
        <f t="array" ref="CO23">PRODUCT(1+預測IC!$C23:CO23)-1</f>
        <v>-0.29408544529363556</v>
      </c>
      <c r="CP23" s="21" cm="1">
        <f t="array" ref="CP23">PRODUCT(1+預測IC!$C23:CP23)-1</f>
        <v>-7.4291364930855419E-2</v>
      </c>
      <c r="CQ23" s="21" cm="1">
        <f t="array" ref="CQ23">PRODUCT(1+預測IC!$C23:CQ23)-1</f>
        <v>-5.1424260212562412E-2</v>
      </c>
      <c r="CR23" s="21" cm="1">
        <f t="array" ref="CR23">PRODUCT(1+預測IC!$C23:CR23)-1</f>
        <v>-8.76887850325061E-2</v>
      </c>
      <c r="CS23" s="21" cm="1">
        <f t="array" ref="CS23">PRODUCT(1+預測IC!$C23:CS23)-1</f>
        <v>-2.4725626531524436E-2</v>
      </c>
      <c r="CT23" s="21" cm="1">
        <f t="array" ref="CT23">PRODUCT(1+預測IC!$C23:CT23)-1</f>
        <v>1.9807880226896835E-2</v>
      </c>
      <c r="CU23" s="21" cm="1">
        <f t="array" ref="CU23">PRODUCT(1+預測IC!$C23:CU23)-1</f>
        <v>-1.6658020122651829E-3</v>
      </c>
      <c r="CV23" s="21" cm="1">
        <f t="array" ref="CV23">PRODUCT(1+預測IC!$C23:CV23)-1</f>
        <v>-2.3873883506278837E-2</v>
      </c>
      <c r="CW23" s="21" cm="1">
        <f t="array" ref="CW23">PRODUCT(1+預測IC!$C23:CW23)-1</f>
        <v>7.4618541655060433E-2</v>
      </c>
      <c r="CX23" s="21" cm="1">
        <f t="array" ref="CX23">PRODUCT(1+預測IC!$C23:CX23)-1</f>
        <v>-2.0718385160969355E-2</v>
      </c>
      <c r="CY23" s="21" cm="1">
        <f t="array" ref="CY23">PRODUCT(1+預測IC!$C23:CY23)-1</f>
        <v>8.7137707679763032E-4</v>
      </c>
      <c r="CZ23" s="21" cm="1">
        <f t="array" ref="CZ23">PRODUCT(1+預測IC!$C23:CZ23)-1</f>
        <v>0.18302876051112094</v>
      </c>
      <c r="DA23" s="21" cm="1">
        <f t="array" ref="DA23">PRODUCT(1+預測IC!$C23:DA23)-1</f>
        <v>0.14637600229379544</v>
      </c>
      <c r="DB23" s="21" cm="1">
        <f t="array" ref="DB23">PRODUCT(1+預測IC!$C23:DB23)-1</f>
        <v>0.16786825958479956</v>
      </c>
      <c r="DC23" s="21" cm="1">
        <f t="array" ref="DC23">PRODUCT(1+預測IC!$C23:DC23)-1</f>
        <v>0.2524394396026326</v>
      </c>
      <c r="DD23" s="21" cm="1">
        <f t="array" ref="DD23">PRODUCT(1+預測IC!$C23:DD23)-1</f>
        <v>0.22938202951954811</v>
      </c>
      <c r="DE23" s="21" cm="1">
        <f t="array" ref="DE23">PRODUCT(1+預測IC!$C23:DE23)-1</f>
        <v>0.21783170757132031</v>
      </c>
      <c r="DF23" s="21" cm="1">
        <f t="array" ref="DF23">PRODUCT(1+預測IC!$C23:DF23)-1</f>
        <v>0.29326679392101718</v>
      </c>
      <c r="DG23" s="21" cm="1">
        <f t="array" ref="DG23">PRODUCT(1+預測IC!$C23:DG23)-1</f>
        <v>0.34276012948155166</v>
      </c>
      <c r="DH23" s="21" cm="1">
        <f t="array" ref="DH23">PRODUCT(1+預測IC!$C23:DH23)-1</f>
        <v>0.41716709716485778</v>
      </c>
      <c r="DI23" s="21" cm="1">
        <f t="array" ref="DI23">PRODUCT(1+預測IC!$C23:DI23)-1</f>
        <v>0.49295662228388171</v>
      </c>
      <c r="DJ23" s="21" cm="1">
        <f t="array" ref="DJ23">PRODUCT(1+預測IC!$C23:DJ23)-1</f>
        <v>0.44246035044837395</v>
      </c>
      <c r="DK23" s="21" cm="1">
        <f t="array" ref="DK23">PRODUCT(1+預測IC!$C23:DK23)-1</f>
        <v>0.84322374937204181</v>
      </c>
      <c r="DL23" s="21" cm="1">
        <f t="array" ref="DL23">PRODUCT(1+預測IC!$C23:DL23)-1</f>
        <v>1.241546354581136</v>
      </c>
      <c r="DM23" s="21" cm="1">
        <f t="array" ref="DM23">PRODUCT(1+預測IC!$C23:DM23)-1</f>
        <v>1.1978422418149743</v>
      </c>
      <c r="DN23" s="21" cm="1">
        <f t="array" ref="DN23">PRODUCT(1+預測IC!$C23:DN23)-1</f>
        <v>1.2121220537337649</v>
      </c>
      <c r="DO23" s="21" cm="1">
        <f t="array" ref="DO23">PRODUCT(1+預測IC!$C23:DO23)-1</f>
        <v>1.5751120455493051</v>
      </c>
      <c r="DP23" s="21" cm="1">
        <f t="array" ref="DP23">PRODUCT(1+預測IC!$C23:DP23)-1</f>
        <v>1.6963695206646854</v>
      </c>
      <c r="DQ23" s="21" cm="1">
        <f t="array" ref="DQ23">PRODUCT(1+預測IC!$C23:DQ23)-1</f>
        <v>1.2374177776105824</v>
      </c>
      <c r="DR23" s="21" cm="1">
        <f t="array" ref="DR23">PRODUCT(1+預測IC!$C23:DR23)-1</f>
        <v>1.0363052371412032</v>
      </c>
      <c r="DS23" s="21" cm="1">
        <f t="array" ref="DS23">PRODUCT(1+預測IC!$C23:DS23)-1</f>
        <v>0.44965266875849585</v>
      </c>
      <c r="DT23" s="21" cm="1">
        <f t="array" ref="DT23">PRODUCT(1+預測IC!$C23:DT23)-1</f>
        <v>0.37100828665201302</v>
      </c>
      <c r="DU23" s="21" cm="1">
        <f t="array" ref="DU23">PRODUCT(1+預測IC!$C23:DU23)-1</f>
        <v>0.29472812759926836</v>
      </c>
      <c r="DV23" s="21" cm="1">
        <f t="array" ref="DV23">PRODUCT(1+預測IC!$C23:DV23)-1</f>
        <v>0.65242474976048226</v>
      </c>
      <c r="DW23" s="21" cm="1">
        <f t="array" ref="DW23">PRODUCT(1+預測IC!$C23:DW23)-1</f>
        <v>0.88579377664529457</v>
      </c>
      <c r="DX23" s="21" cm="1">
        <f t="array" ref="DX23">PRODUCT(1+預測IC!$C23:DX23)-1</f>
        <v>0.29461023903526118</v>
      </c>
      <c r="DY23" s="21" cm="1">
        <f t="array" ref="DY23">PRODUCT(1+預測IC!$C23:DY23)-1</f>
        <v>0.22479838189528478</v>
      </c>
      <c r="DZ23" s="21" cm="1">
        <f t="array" ref="DZ23">PRODUCT(1+預測IC!$C23:DZ23)-1</f>
        <v>-4.1197206692823674E-2</v>
      </c>
      <c r="EA23" s="21" cm="1">
        <f t="array" ref="EA23">PRODUCT(1+預測IC!$C23:EA23)-1</f>
        <v>-6.8771205288930215E-2</v>
      </c>
      <c r="EB23" s="21" cm="1">
        <f t="array" ref="EB23">PRODUCT(1+預測IC!$C23:EB23)-1</f>
        <v>-0.12720901531467588</v>
      </c>
      <c r="EC23" s="21" cm="1">
        <f t="array" ref="EC23">PRODUCT(1+預測IC!$C23:EC23)-1</f>
        <v>-4.547781274029572E-2</v>
      </c>
      <c r="ED23" s="21" cm="1">
        <f t="array" ref="ED23">PRODUCT(1+預測IC!$C23:ED23)-1</f>
        <v>-0.13274586719016623</v>
      </c>
      <c r="EE23" s="21" cm="1">
        <f t="array" ref="EE23">PRODUCT(1+預測IC!$C23:EE23)-1</f>
        <v>-8.1533917542842782E-2</v>
      </c>
      <c r="EF23" s="21" cm="1">
        <f t="array" ref="EF23">PRODUCT(1+預測IC!$C23:EF23)-1</f>
        <v>-0.12542031977180101</v>
      </c>
    </row>
    <row r="24" spans="1:136">
      <c r="A24" s="4">
        <v>964</v>
      </c>
      <c r="B24" s="4">
        <v>1</v>
      </c>
      <c r="C24" s="21" cm="1">
        <f t="array" ref="C24">PRODUCT(1+預測IC!$C24:C24)-1</f>
        <v>9.9113000000000007E-2</v>
      </c>
      <c r="D24" s="21" cm="1">
        <f t="array" ref="D24">PRODUCT(1+預測IC!$C24:D24)-1</f>
        <v>0.20969475893</v>
      </c>
      <c r="E24" s="21" cm="1">
        <f t="array" ref="E24">PRODUCT(1+預測IC!$C24:E24)-1</f>
        <v>0.55386743418269191</v>
      </c>
      <c r="F24" s="21" cm="1">
        <f t="array" ref="F24">PRODUCT(1+預測IC!$C24:F24)-1</f>
        <v>0.6709140525299373</v>
      </c>
      <c r="G24" s="21" cm="1">
        <f t="array" ref="G24">PRODUCT(1+預測IC!$C24:G24)-1</f>
        <v>1.0545676153891788</v>
      </c>
      <c r="H24" s="21" cm="1">
        <f t="array" ref="H24">PRODUCT(1+預測IC!$C24:H24)-1</f>
        <v>1.1282361918065735</v>
      </c>
      <c r="I24" s="21" cm="1">
        <f t="array" ref="I24">PRODUCT(1+預測IC!$C24:I24)-1</f>
        <v>1.1642672305338584</v>
      </c>
      <c r="J24" s="21" cm="1">
        <f t="array" ref="J24">PRODUCT(1+預測IC!$C24:J24)-1</f>
        <v>0.91437877182918847</v>
      </c>
      <c r="K24" s="21" cm="1">
        <f t="array" ref="K24">PRODUCT(1+預測IC!$C24:K24)-1</f>
        <v>1.0172440863758863</v>
      </c>
      <c r="L24" s="21" cm="1">
        <f t="array" ref="L24">PRODUCT(1+預測IC!$C24:L24)-1</f>
        <v>1.2064615816779445</v>
      </c>
      <c r="M24" s="21" cm="1">
        <f t="array" ref="M24">PRODUCT(1+預測IC!$C24:M24)-1</f>
        <v>0.1848090941416527</v>
      </c>
      <c r="N24" s="21" cm="1">
        <f t="array" ref="N24">PRODUCT(1+預測IC!$C24:N24)-1</f>
        <v>2.2807742955692492</v>
      </c>
      <c r="O24" s="21" cm="1">
        <f t="array" ref="O24">PRODUCT(1+預測IC!$C24:O24)-1</f>
        <v>1.4793467506475926</v>
      </c>
      <c r="P24" s="21" cm="1">
        <f t="array" ref="P24">PRODUCT(1+預測IC!$C24:P24)-1</f>
        <v>1.4836508966067168</v>
      </c>
      <c r="Q24" s="21" cm="1">
        <f t="array" ref="Q24">PRODUCT(1+預測IC!$C24:Q24)-1</f>
        <v>1.4765973280603539</v>
      </c>
      <c r="R24" s="21" cm="1">
        <f t="array" ref="R24">PRODUCT(1+預測IC!$C24:R24)-1</f>
        <v>1.4076810542124183</v>
      </c>
      <c r="S24" s="21" cm="1">
        <f t="array" ref="S24">PRODUCT(1+預測IC!$C24:S24)-1</f>
        <v>1.3810761785633709</v>
      </c>
      <c r="T24" s="21" cm="1">
        <f t="array" ref="T24">PRODUCT(1+預測IC!$C24:T24)-1</f>
        <v>1.6755939771519617</v>
      </c>
      <c r="U24" s="21" cm="1">
        <f t="array" ref="U24">PRODUCT(1+預測IC!$C24:U24)-1</f>
        <v>2.4404205423027809</v>
      </c>
      <c r="V24" s="21" cm="1">
        <f t="array" ref="V24">PRODUCT(1+預測IC!$C24:V24)-1</f>
        <v>2.1009198431883425</v>
      </c>
      <c r="W24" s="21" cm="1">
        <f t="array" ref="W24">PRODUCT(1+預測IC!$C24:W24)-1</f>
        <v>3.6380829769454257</v>
      </c>
      <c r="X24" s="21" cm="1">
        <f t="array" ref="X24">PRODUCT(1+預測IC!$C24:X24)-1</f>
        <v>3.6339133403491521</v>
      </c>
      <c r="Y24" s="21" cm="1">
        <f t="array" ref="Y24">PRODUCT(1+預測IC!$C24:Y24)-1</f>
        <v>3.0763655211516827</v>
      </c>
      <c r="Z24" s="21" cm="1">
        <f t="array" ref="Z24">PRODUCT(1+預測IC!$C24:Z24)-1</f>
        <v>2.9769225842631877</v>
      </c>
      <c r="AA24" s="21" cm="1">
        <f t="array" ref="AA24">PRODUCT(1+預測IC!$C24:AA24)-1</f>
        <v>3.352192953159431</v>
      </c>
      <c r="AB24" s="21" cm="1">
        <f t="array" ref="AB24">PRODUCT(1+預測IC!$C24:AB24)-1</f>
        <v>4.6595647046509594</v>
      </c>
      <c r="AC24" s="21" cm="1">
        <f t="array" ref="AC24">PRODUCT(1+預測IC!$C24:AC24)-1</f>
        <v>3.2663496613070331</v>
      </c>
      <c r="AD24" s="21" cm="1">
        <f t="array" ref="AD24">PRODUCT(1+預測IC!$C24:AD24)-1</f>
        <v>3.0107008305559049</v>
      </c>
      <c r="AE24" s="21" cm="1">
        <f t="array" ref="AE24">PRODUCT(1+預測IC!$C24:AE24)-1</f>
        <v>2.3077412852835408</v>
      </c>
      <c r="AF24" s="21" cm="1">
        <f t="array" ref="AF24">PRODUCT(1+預測IC!$C24:AF24)-1</f>
        <v>2.3822382677031877</v>
      </c>
      <c r="AG24" s="21" cm="1">
        <f t="array" ref="AG24">PRODUCT(1+預測IC!$C24:AG24)-1</f>
        <v>2.7404206824912229</v>
      </c>
      <c r="AH24" s="21" cm="1">
        <f t="array" ref="AH24">PRODUCT(1+預測IC!$C24:AH24)-1</f>
        <v>2.5283487042510107</v>
      </c>
      <c r="AI24" s="21" cm="1">
        <f t="array" ref="AI24">PRODUCT(1+預測IC!$C24:AI24)-1</f>
        <v>2.497269840633261</v>
      </c>
      <c r="AJ24" s="21" cm="1">
        <f t="array" ref="AJ24">PRODUCT(1+預測IC!$C24:AJ24)-1</f>
        <v>2.2143713326229393</v>
      </c>
      <c r="AK24" s="21" cm="1">
        <f t="array" ref="AK24">PRODUCT(1+預測IC!$C24:AK24)-1</f>
        <v>2.4872198779650478</v>
      </c>
      <c r="AL24" s="21" cm="1">
        <f t="array" ref="AL24">PRODUCT(1+預測IC!$C24:AL24)-1</f>
        <v>2.2965493816558915</v>
      </c>
      <c r="AM24" s="21" cm="1">
        <f t="array" ref="AM24">PRODUCT(1+預測IC!$C24:AM24)-1</f>
        <v>2.2341810361876804</v>
      </c>
      <c r="AN24" s="21" cm="1">
        <f t="array" ref="AN24">PRODUCT(1+預測IC!$C24:AN24)-1</f>
        <v>2.9495478097655305</v>
      </c>
      <c r="AO24" s="21" cm="1">
        <f t="array" ref="AO24">PRODUCT(1+預測IC!$C24:AO24)-1</f>
        <v>3.210573866186877</v>
      </c>
      <c r="AP24" s="21" cm="1">
        <f t="array" ref="AP24">PRODUCT(1+預測IC!$C24:AP24)-1</f>
        <v>3.1143550301509499</v>
      </c>
      <c r="AQ24" s="21" cm="1">
        <f t="array" ref="AQ24">PRODUCT(1+預測IC!$C24:AQ24)-1</f>
        <v>3.308046410135808</v>
      </c>
      <c r="AR24" s="21" cm="1">
        <f t="array" ref="AR24">PRODUCT(1+預測IC!$C24:AR24)-1</f>
        <v>3.3495727749605866</v>
      </c>
      <c r="AS24" s="21" cm="1">
        <f t="array" ref="AS24">PRODUCT(1+預測IC!$C24:AS24)-1</f>
        <v>3.2279757823871318</v>
      </c>
      <c r="AT24" s="21" cm="1">
        <f t="array" ref="AT24">PRODUCT(1+預測IC!$C24:AT24)-1</f>
        <v>3.3567565739831844</v>
      </c>
      <c r="AU24" s="21" cm="1">
        <f t="array" ref="AU24">PRODUCT(1+預測IC!$C24:AU24)-1</f>
        <v>3.5488691486878921</v>
      </c>
      <c r="AV24" s="21" cm="1">
        <f t="array" ref="AV24">PRODUCT(1+預測IC!$C24:AV24)-1</f>
        <v>3.152426322136999</v>
      </c>
      <c r="AW24" s="21" cm="1">
        <f t="array" ref="AW24">PRODUCT(1+預測IC!$C24:AW24)-1</f>
        <v>3.1731367207901888</v>
      </c>
      <c r="AX24" s="21" cm="1">
        <f t="array" ref="AX24">PRODUCT(1+預測IC!$C24:AX24)-1</f>
        <v>3.291262307467882</v>
      </c>
      <c r="AY24" s="21" cm="1">
        <f t="array" ref="AY24">PRODUCT(1+預測IC!$C24:AY24)-1</f>
        <v>4.0127406265726835</v>
      </c>
      <c r="AZ24" s="21" cm="1">
        <f t="array" ref="AZ24">PRODUCT(1+預測IC!$C24:AZ24)-1</f>
        <v>4.2025584448151427</v>
      </c>
      <c r="BA24" s="21" cm="1">
        <f t="array" ref="BA24">PRODUCT(1+預測IC!$C24:BA24)-1</f>
        <v>4.4652408232523042</v>
      </c>
      <c r="BB24" s="21" cm="1">
        <f t="array" ref="BB24">PRODUCT(1+預測IC!$C24:BB24)-1</f>
        <v>8.2404980181752379</v>
      </c>
      <c r="BC24" s="21" cm="1">
        <f t="array" ref="BC24">PRODUCT(1+預測IC!$C24:BC24)-1</f>
        <v>2.7015435322426167</v>
      </c>
      <c r="BD24" s="21" cm="1">
        <f t="array" ref="BD24">PRODUCT(1+預測IC!$C24:BD24)-1</f>
        <v>3.3885323156594094</v>
      </c>
      <c r="BE24" s="21" cm="1">
        <f t="array" ref="BE24">PRODUCT(1+預測IC!$C24:BE24)-1</f>
        <v>3.1863774093913761</v>
      </c>
      <c r="BF24" s="21" cm="1">
        <f t="array" ref="BF24">PRODUCT(1+預測IC!$C24:BF24)-1</f>
        <v>3.5533189825511995</v>
      </c>
      <c r="BG24" s="21" cm="1">
        <f t="array" ref="BG24">PRODUCT(1+預測IC!$C24:BG24)-1</f>
        <v>3.675511695345369</v>
      </c>
      <c r="BH24" s="21" cm="1">
        <f t="array" ref="BH24">PRODUCT(1+預測IC!$C24:BH24)-1</f>
        <v>1.8695703502165704</v>
      </c>
      <c r="BI24" s="21" cm="1">
        <f t="array" ref="BI24">PRODUCT(1+預測IC!$C24:BI24)-1</f>
        <v>2.5112898024406136</v>
      </c>
      <c r="BJ24" s="21" cm="1">
        <f t="array" ref="BJ24">PRODUCT(1+預測IC!$C24:BJ24)-1</f>
        <v>2.5230467094060911</v>
      </c>
      <c r="BK24" s="21" cm="1">
        <f t="array" ref="BK24">PRODUCT(1+預測IC!$C24:BK24)-1</f>
        <v>2.5372218530521473</v>
      </c>
      <c r="BL24" s="21" cm="1">
        <f t="array" ref="BL24">PRODUCT(1+預測IC!$C24:BL24)-1</f>
        <v>3.659102324530509</v>
      </c>
      <c r="BM24" s="21" cm="1">
        <f t="array" ref="BM24">PRODUCT(1+預測IC!$C24:BM24)-1</f>
        <v>3.264089932446149</v>
      </c>
      <c r="BN24" s="21" cm="1">
        <f t="array" ref="BN24">PRODUCT(1+預測IC!$C24:BN24)-1</f>
        <v>3.2932961420537472</v>
      </c>
      <c r="BO24" s="21" cm="1">
        <f t="array" ref="BO24">PRODUCT(1+預測IC!$C24:BO24)-1</f>
        <v>2.6016045268253571</v>
      </c>
      <c r="BP24" s="21" cm="1">
        <f t="array" ref="BP24">PRODUCT(1+預測IC!$C24:BP24)-1</f>
        <v>3.0458666991699781</v>
      </c>
      <c r="BQ24" s="21" cm="1">
        <f t="array" ref="BQ24">PRODUCT(1+預測IC!$C24:BQ24)-1</f>
        <v>2.7862449165817176</v>
      </c>
      <c r="BR24" s="21" cm="1">
        <f t="array" ref="BR24">PRODUCT(1+預測IC!$C24:BR24)-1</f>
        <v>2.9466159517498833</v>
      </c>
      <c r="BS24" s="21" cm="1">
        <f t="array" ref="BS24">PRODUCT(1+預測IC!$C24:BS24)-1</f>
        <v>2.9415456652322338</v>
      </c>
      <c r="BT24" s="21" cm="1">
        <f t="array" ref="BT24">PRODUCT(1+預測IC!$C24:BT24)-1</f>
        <v>3.3998319232581506</v>
      </c>
      <c r="BU24" s="21" cm="1">
        <f t="array" ref="BU24">PRODUCT(1+預測IC!$C24:BU24)-1</f>
        <v>4.4044307257255806</v>
      </c>
      <c r="BV24" s="21" cm="1">
        <f t="array" ref="BV24">PRODUCT(1+預測IC!$C24:BV24)-1</f>
        <v>4.9866416919527063</v>
      </c>
      <c r="BW24" s="21" cm="1">
        <f t="array" ref="BW24">PRODUCT(1+預測IC!$C24:BW24)-1</f>
        <v>4.6164524129211282</v>
      </c>
      <c r="BX24" s="21" cm="1">
        <f t="array" ref="BX24">PRODUCT(1+預測IC!$C24:BX24)-1</f>
        <v>3.8696885872040001</v>
      </c>
      <c r="BY24" s="21" cm="1">
        <f t="array" ref="BY24">PRODUCT(1+預測IC!$C24:BY24)-1</f>
        <v>4.4041158198436374</v>
      </c>
      <c r="BZ24" s="21" cm="1">
        <f t="array" ref="BZ24">PRODUCT(1+預測IC!$C24:BZ24)-1</f>
        <v>5.8032030301640845</v>
      </c>
      <c r="CA24" s="21" cm="1">
        <f t="array" ref="CA24">PRODUCT(1+預測IC!$C24:CA24)-1</f>
        <v>5.0193265423857909</v>
      </c>
      <c r="CB24" s="21" cm="1">
        <f t="array" ref="CB24">PRODUCT(1+預測IC!$C24:CB24)-1</f>
        <v>6.275933035257621</v>
      </c>
      <c r="CC24" s="21" cm="1">
        <f t="array" ref="CC24">PRODUCT(1+預測IC!$C24:CC24)-1</f>
        <v>4.9482935343141632</v>
      </c>
      <c r="CD24" s="21" cm="1">
        <f t="array" ref="CD24">PRODUCT(1+預測IC!$C24:CD24)-1</f>
        <v>5.1264687188410099</v>
      </c>
      <c r="CE24" s="21" cm="1">
        <f t="array" ref="CE24">PRODUCT(1+預測IC!$C24:CE24)-1</f>
        <v>6.1407975122759213</v>
      </c>
      <c r="CF24" s="21" cm="1">
        <f t="array" ref="CF24">PRODUCT(1+預測IC!$C24:CF24)-1</f>
        <v>4.9616376190737981</v>
      </c>
      <c r="CG24" s="21" cm="1">
        <f t="array" ref="CG24">PRODUCT(1+預測IC!$C24:CG24)-1</f>
        <v>6.3761971084147717</v>
      </c>
      <c r="CH24" s="21" cm="1">
        <f t="array" ref="CH24">PRODUCT(1+預測IC!$C24:CH24)-1</f>
        <v>8.9894162809614446</v>
      </c>
      <c r="CI24" s="21" cm="1">
        <f t="array" ref="CI24">PRODUCT(1+預測IC!$C24:CI24)-1</f>
        <v>12.270458246266001</v>
      </c>
      <c r="CJ24" s="21" cm="1">
        <f t="array" ref="CJ24">PRODUCT(1+預測IC!$C24:CJ24)-1</f>
        <v>12.444427125154441</v>
      </c>
      <c r="CK24" s="21" cm="1">
        <f t="array" ref="CK24">PRODUCT(1+預測IC!$C24:CK24)-1</f>
        <v>13.701885460524238</v>
      </c>
      <c r="CL24" s="21" cm="1">
        <f t="array" ref="CL24">PRODUCT(1+預測IC!$C24:CL24)-1</f>
        <v>15.78595613518576</v>
      </c>
      <c r="CM24" s="21" cm="1">
        <f t="array" ref="CM24">PRODUCT(1+預測IC!$C24:CM24)-1</f>
        <v>25.01130125542273</v>
      </c>
      <c r="CN24" s="21" cm="1">
        <f t="array" ref="CN24">PRODUCT(1+預測IC!$C24:CN24)-1</f>
        <v>22.208875744216524</v>
      </c>
      <c r="CO24" s="21" cm="1">
        <f t="array" ref="CO24">PRODUCT(1+預測IC!$C24:CO24)-1</f>
        <v>4.1836277035050689</v>
      </c>
      <c r="CP24" s="21" cm="1">
        <f t="array" ref="CP24">PRODUCT(1+預測IC!$C24:CP24)-1</f>
        <v>5.6755575087515044</v>
      </c>
      <c r="CQ24" s="21" cm="1">
        <f t="array" ref="CQ24">PRODUCT(1+預測IC!$C24:CQ24)-1</f>
        <v>6.7449127071199664</v>
      </c>
      <c r="CR24" s="21" cm="1">
        <f t="array" ref="CR24">PRODUCT(1+預測IC!$C24:CR24)-1</f>
        <v>5.9950967282928547</v>
      </c>
      <c r="CS24" s="21" cm="1">
        <f t="array" ref="CS24">PRODUCT(1+預測IC!$C24:CS24)-1</f>
        <v>5.807222420364365</v>
      </c>
      <c r="CT24" s="21" cm="1">
        <f t="array" ref="CT24">PRODUCT(1+預測IC!$C24:CT24)-1</f>
        <v>6.4635680543746128</v>
      </c>
      <c r="CU24" s="21" cm="1">
        <f t="array" ref="CU24">PRODUCT(1+預測IC!$C24:CU24)-1</f>
        <v>5.9205834200912903</v>
      </c>
      <c r="CV24" s="21" cm="1">
        <f t="array" ref="CV24">PRODUCT(1+預測IC!$C24:CV24)-1</f>
        <v>6.024835417731758</v>
      </c>
      <c r="CW24" s="21" cm="1">
        <f t="array" ref="CW24">PRODUCT(1+預測IC!$C24:CW24)-1</f>
        <v>7.2550046882072099</v>
      </c>
      <c r="CX24" s="21" cm="1">
        <f t="array" ref="CX24">PRODUCT(1+預測IC!$C24:CX24)-1</f>
        <v>7.7107403310951863</v>
      </c>
      <c r="CY24" s="21" cm="1">
        <f t="array" ref="CY24">PRODUCT(1+預測IC!$C24:CY24)-1</f>
        <v>7.0132983156892958</v>
      </c>
      <c r="CZ24" s="21" cm="1">
        <f t="array" ref="CZ24">PRODUCT(1+預測IC!$C24:CZ24)-1</f>
        <v>7.9124435024133213</v>
      </c>
      <c r="DA24" s="21" cm="1">
        <f t="array" ref="DA24">PRODUCT(1+預測IC!$C24:DA24)-1</f>
        <v>8.130898224689993</v>
      </c>
      <c r="DB24" s="21" cm="1">
        <f t="array" ref="DB24">PRODUCT(1+預測IC!$C24:DB24)-1</f>
        <v>7.9802384039826091</v>
      </c>
      <c r="DC24" s="21" cm="1">
        <f t="array" ref="DC24">PRODUCT(1+預測IC!$C24:DC24)-1</f>
        <v>9.5926402094176861</v>
      </c>
      <c r="DD24" s="21" cm="1">
        <f t="array" ref="DD24">PRODUCT(1+預測IC!$C24:DD24)-1</f>
        <v>10.114857371741977</v>
      </c>
      <c r="DE24" s="21" cm="1">
        <f t="array" ref="DE24">PRODUCT(1+預測IC!$C24:DE24)-1</f>
        <v>8.1579449335479008</v>
      </c>
      <c r="DF24" s="21" cm="1">
        <f t="array" ref="DF24">PRODUCT(1+預測IC!$C24:DF24)-1</f>
        <v>7.1994288466804885</v>
      </c>
      <c r="DG24" s="21" cm="1">
        <f t="array" ref="DG24">PRODUCT(1+預測IC!$C24:DG24)-1</f>
        <v>7.6840629280067461</v>
      </c>
      <c r="DH24" s="21" cm="1">
        <f t="array" ref="DH24">PRODUCT(1+預測IC!$C24:DH24)-1</f>
        <v>8.5469720396342375</v>
      </c>
      <c r="DI24" s="21" cm="1">
        <f t="array" ref="DI24">PRODUCT(1+預測IC!$C24:DI24)-1</f>
        <v>9.9014530792281725</v>
      </c>
      <c r="DJ24" s="21" cm="1">
        <f t="array" ref="DJ24">PRODUCT(1+預測IC!$C24:DJ24)-1</f>
        <v>10.131255710138301</v>
      </c>
      <c r="DK24" s="21" cm="1">
        <f t="array" ref="DK24">PRODUCT(1+預測IC!$C24:DK24)-1</f>
        <v>13.910419549612977</v>
      </c>
      <c r="DL24" s="21" cm="1">
        <f t="array" ref="DL24">PRODUCT(1+預測IC!$C24:DL24)-1</f>
        <v>17.087895953415039</v>
      </c>
      <c r="DM24" s="21" cm="1">
        <f t="array" ref="DM24">PRODUCT(1+預測IC!$C24:DM24)-1</f>
        <v>14.529552501235113</v>
      </c>
      <c r="DN24" s="21" cm="1">
        <f t="array" ref="DN24">PRODUCT(1+預測IC!$C24:DN24)-1</f>
        <v>18.153133968433917</v>
      </c>
      <c r="DO24" s="21" cm="1">
        <f t="array" ref="DO24">PRODUCT(1+預測IC!$C24:DO24)-1</f>
        <v>21.704906504471701</v>
      </c>
      <c r="DP24" s="21" cm="1">
        <f t="array" ref="DP24">PRODUCT(1+預測IC!$C24:DP24)-1</f>
        <v>24.301744436727805</v>
      </c>
      <c r="DQ24" s="21" cm="1">
        <f t="array" ref="DQ24">PRODUCT(1+預測IC!$C24:DQ24)-1</f>
        <v>20.937185479882302</v>
      </c>
      <c r="DR24" s="21" cm="1">
        <f t="array" ref="DR24">PRODUCT(1+預測IC!$C24:DR24)-1</f>
        <v>20.487130294684338</v>
      </c>
      <c r="DS24" s="21" cm="1">
        <f t="array" ref="DS24">PRODUCT(1+預測IC!$C24:DS24)-1</f>
        <v>15.840290384782364</v>
      </c>
      <c r="DT24" s="21" cm="1">
        <f t="array" ref="DT24">PRODUCT(1+預測IC!$C24:DT24)-1</f>
        <v>14.581764963456424</v>
      </c>
      <c r="DU24" s="21" cm="1">
        <f t="array" ref="DU24">PRODUCT(1+預測IC!$C24:DU24)-1</f>
        <v>14.92116696789043</v>
      </c>
      <c r="DV24" s="21" cm="1">
        <f t="array" ref="DV24">PRODUCT(1+預測IC!$C24:DV24)-1</f>
        <v>17.440288813442745</v>
      </c>
      <c r="DW24" s="21" cm="1">
        <f t="array" ref="DW24">PRODUCT(1+預測IC!$C24:DW24)-1</f>
        <v>19.447644990429776</v>
      </c>
      <c r="DX24" s="21" cm="1">
        <f t="array" ref="DX24">PRODUCT(1+預測IC!$C24:DX24)-1</f>
        <v>13.076299331871038</v>
      </c>
      <c r="DY24" s="21" cm="1">
        <f t="array" ref="DY24">PRODUCT(1+預測IC!$C24:DY24)-1</f>
        <v>13.030692122035775</v>
      </c>
      <c r="DZ24" s="21" cm="1">
        <f t="array" ref="DZ24">PRODUCT(1+預測IC!$C24:DZ24)-1</f>
        <v>6.9482467802120453</v>
      </c>
      <c r="EA24" s="21" cm="1">
        <f t="array" ref="EA24">PRODUCT(1+預測IC!$C24:EA24)-1</f>
        <v>6.511727604565392</v>
      </c>
      <c r="EB24" s="21" cm="1">
        <f t="array" ref="EB24">PRODUCT(1+預測IC!$C24:EB24)-1</f>
        <v>6.7248483639072392</v>
      </c>
      <c r="EC24" s="21" cm="1">
        <f t="array" ref="EC24">PRODUCT(1+預測IC!$C24:EC24)-1</f>
        <v>7.8344996568374228</v>
      </c>
      <c r="ED24" s="21" cm="1">
        <f t="array" ref="ED24">PRODUCT(1+預測IC!$C24:ED24)-1</f>
        <v>7.338240674325462</v>
      </c>
      <c r="EE24" s="21" cm="1">
        <f t="array" ref="EE24">PRODUCT(1+預測IC!$C24:EE24)-1</f>
        <v>8.2840426378556078</v>
      </c>
      <c r="EF24" s="21" cm="1">
        <f t="array" ref="EF24">PRODUCT(1+預測IC!$C24:EF24)-1</f>
        <v>8.9086421760650509</v>
      </c>
    </row>
    <row r="25" spans="1:136" s="2" customFormat="1">
      <c r="A25" s="3" t="s">
        <v>144</v>
      </c>
      <c r="B25" s="3" t="s">
        <v>145</v>
      </c>
      <c r="C25" s="23" cm="1">
        <f t="array" ref="C25">PRODUCT(1+預測IC!$C26:C26)-1</f>
        <v>-1.7446770539390366E-2</v>
      </c>
      <c r="D25" s="23" cm="1">
        <f t="array" ref="D25">PRODUCT(1+預測IC!$C26:D26)-1</f>
        <v>2.893123339404724E-3</v>
      </c>
      <c r="E25" s="23" cm="1">
        <f t="array" ref="E25">PRODUCT(1+預測IC!$C26:E26)-1</f>
        <v>2.6944635852046872E-2</v>
      </c>
      <c r="F25" s="23" cm="1">
        <f t="array" ref="F25">PRODUCT(1+預測IC!$C26:F26)-1</f>
        <v>2.0210365301730038E-2</v>
      </c>
      <c r="G25" s="23" cm="1">
        <f t="array" ref="G25">PRODUCT(1+預測IC!$C26:G26)-1</f>
        <v>5.269909680859941E-2</v>
      </c>
      <c r="H25" s="23" cm="1">
        <f t="array" ref="H25">PRODUCT(1+預測IC!$C26:H26)-1</f>
        <v>8.8857766197530053E-2</v>
      </c>
      <c r="I25" s="23" cm="1">
        <f t="array" ref="I25">PRODUCT(1+預測IC!$C26:I26)-1</f>
        <v>7.9869318529145472E-2</v>
      </c>
      <c r="J25" s="23" cm="1">
        <f t="array" ref="J25">PRODUCT(1+預測IC!$C26:J26)-1</f>
        <v>9.3738646464063713E-2</v>
      </c>
      <c r="K25" s="23" cm="1">
        <f t="array" ref="K25">PRODUCT(1+預測IC!$C26:K26)-1</f>
        <v>3.7937714394164157E-2</v>
      </c>
      <c r="L25" s="23" cm="1">
        <f t="array" ref="L25">PRODUCT(1+預測IC!$C26:L26)-1</f>
        <v>3.8844812525307137E-2</v>
      </c>
      <c r="M25" s="23" cm="1">
        <f t="array" ref="M25">PRODUCT(1+預測IC!$C26:M26)-1</f>
        <v>6.3142951706360639E-2</v>
      </c>
      <c r="N25" s="23" cm="1">
        <f t="array" ref="N25">PRODUCT(1+預測IC!$C26:N26)-1</f>
        <v>7.6952085951054405E-2</v>
      </c>
      <c r="O25" s="23" cm="1">
        <f t="array" ref="O25">PRODUCT(1+預測IC!$C26:O26)-1</f>
        <v>8.3257197491512391E-2</v>
      </c>
      <c r="P25" s="23" cm="1">
        <f t="array" ref="P25">PRODUCT(1+預測IC!$C26:P26)-1</f>
        <v>0.11295275081672607</v>
      </c>
      <c r="Q25" s="23" cm="1">
        <f t="array" ref="Q25">PRODUCT(1+預測IC!$C26:Q26)-1</f>
        <v>0.10882042835093308</v>
      </c>
      <c r="R25" s="23" cm="1">
        <f t="array" ref="R25">PRODUCT(1+預測IC!$C26:R26)-1</f>
        <v>0.13551706985268064</v>
      </c>
      <c r="S25" s="23" cm="1">
        <f t="array" ref="S25">PRODUCT(1+預測IC!$C26:S26)-1</f>
        <v>0.12167508804368476</v>
      </c>
      <c r="T25" s="23" cm="1">
        <f t="array" ref="T25">PRODUCT(1+預測IC!$C26:T26)-1</f>
        <v>7.7088976461827885E-2</v>
      </c>
      <c r="U25" s="23" cm="1">
        <f t="array" ref="U25">PRODUCT(1+預測IC!$C26:U26)-1</f>
        <v>-1.7059521199481731E-3</v>
      </c>
      <c r="V25" s="23" cm="1">
        <f t="array" ref="V25">PRODUCT(1+預測IC!$C26:V26)-1</f>
        <v>-5.9866792867339091E-2</v>
      </c>
      <c r="W25" s="23" cm="1">
        <f t="array" ref="W25">PRODUCT(1+預測IC!$C26:W26)-1</f>
        <v>-5.9140260213613516E-2</v>
      </c>
      <c r="X25" s="23" cm="1">
        <f t="array" ref="X25">PRODUCT(1+預測IC!$C26:X26)-1</f>
        <v>-1.7185893241652206E-2</v>
      </c>
      <c r="Y25" s="23" cm="1">
        <f t="array" ref="Y25">PRODUCT(1+預測IC!$C26:Y26)-1</f>
        <v>-4.4409529547694393E-2</v>
      </c>
      <c r="Z25" s="23" cm="1">
        <f t="array" ref="Z25">PRODUCT(1+預測IC!$C26:Z26)-1</f>
        <v>-4.2407561826578566E-2</v>
      </c>
      <c r="AA25" s="23" cm="1">
        <f t="array" ref="AA25">PRODUCT(1+預測IC!$C26:AA26)-1</f>
        <v>-6.481575250614946E-2</v>
      </c>
      <c r="AB25" s="23" cm="1">
        <f t="array" ref="AB25">PRODUCT(1+預測IC!$C26:AB26)-1</f>
        <v>-3.4768870774049443E-2</v>
      </c>
      <c r="AC25" s="23" cm="1">
        <f t="array" ref="AC25">PRODUCT(1+預測IC!$C26:AC26)-1</f>
        <v>2.7817794451217015E-3</v>
      </c>
      <c r="AD25" s="23" cm="1">
        <f t="array" ref="AD25">PRODUCT(1+預測IC!$C26:AD26)-1</f>
        <v>-4.0202844765013457E-2</v>
      </c>
      <c r="AE25" s="23" cm="1">
        <f t="array" ref="AE25">PRODUCT(1+預測IC!$C26:AE26)-1</f>
        <v>-2.2305320482664204E-2</v>
      </c>
      <c r="AF25" s="23" cm="1">
        <f t="array" ref="AF25">PRODUCT(1+預測IC!$C26:AF26)-1</f>
        <v>-7.4152570234460313E-3</v>
      </c>
      <c r="AG25" s="23" cm="1">
        <f t="array" ref="AG25">PRODUCT(1+預測IC!$C26:AG26)-1</f>
        <v>2.8334274381314417E-2</v>
      </c>
      <c r="AH25" s="23" cm="1">
        <f t="array" ref="AH25">PRODUCT(1+預測IC!$C26:AH26)-1</f>
        <v>3.7953941892352683E-2</v>
      </c>
      <c r="AI25" s="23" cm="1">
        <f t="array" ref="AI25">PRODUCT(1+預測IC!$C26:AI26)-1</f>
        <v>4.9110131735873752E-2</v>
      </c>
      <c r="AJ25" s="23" cm="1">
        <f t="array" ref="AJ25">PRODUCT(1+預測IC!$C26:AJ26)-1</f>
        <v>6.3123886850196875E-2</v>
      </c>
      <c r="AK25" s="23" cm="1">
        <f t="array" ref="AK25">PRODUCT(1+預測IC!$C26:AK26)-1</f>
        <v>5.7454515782098925E-2</v>
      </c>
      <c r="AL25" s="23" cm="1">
        <f t="array" ref="AL25">PRODUCT(1+預測IC!$C26:AL26)-1</f>
        <v>5.8917118987427575E-2</v>
      </c>
      <c r="AM25" s="23" cm="1">
        <f t="array" ref="AM25">PRODUCT(1+預測IC!$C26:AM26)-1</f>
        <v>8.0938283596681648E-2</v>
      </c>
      <c r="AN25" s="23" cm="1">
        <f t="array" ref="AN25">PRODUCT(1+預測IC!$C26:AN26)-1</f>
        <v>0.11500697453770203</v>
      </c>
      <c r="AO25" s="23" cm="1">
        <f t="array" ref="AO25">PRODUCT(1+預測IC!$C26:AO26)-1</f>
        <v>0.12196653200545171</v>
      </c>
      <c r="AP25" s="23" cm="1">
        <f t="array" ref="AP25">PRODUCT(1+預測IC!$C26:AP26)-1</f>
        <v>0.12886130991117528</v>
      </c>
      <c r="AQ25" s="23" cm="1">
        <f t="array" ref="AQ25">PRODUCT(1+預測IC!$C26:AQ26)-1</f>
        <v>0.14799139743631429</v>
      </c>
      <c r="AR25" s="23" cm="1">
        <f t="array" ref="AR25">PRODUCT(1+預測IC!$C26:AR26)-1</f>
        <v>0.18780698843660248</v>
      </c>
      <c r="AS25" s="23" cm="1">
        <f t="array" ref="AS25">PRODUCT(1+預測IC!$C26:AS26)-1</f>
        <v>0.19148751365039929</v>
      </c>
      <c r="AT25" s="23" cm="1">
        <f t="array" ref="AT25">PRODUCT(1+預測IC!$C26:AT26)-1</f>
        <v>0.20945675046088996</v>
      </c>
      <c r="AU25" s="23" cm="1">
        <f t="array" ref="AU25">PRODUCT(1+預測IC!$C26:AU26)-1</f>
        <v>0.18617324550329584</v>
      </c>
      <c r="AV25" s="23" cm="1">
        <f t="array" ref="AV25">PRODUCT(1+預測IC!$C26:AV26)-1</f>
        <v>0.23209180697664689</v>
      </c>
      <c r="AW25" s="23" cm="1">
        <f t="array" ref="AW25">PRODUCT(1+預測IC!$C26:AW26)-1</f>
        <v>0.20516203655681697</v>
      </c>
      <c r="AX25" s="23" cm="1">
        <f t="array" ref="AX25">PRODUCT(1+預測IC!$C26:AX26)-1</f>
        <v>0.21453132863303215</v>
      </c>
      <c r="AY25" s="23" cm="1">
        <f t="array" ref="AY25">PRODUCT(1+預測IC!$C26:AY26)-1</f>
        <v>0.2660241129922889</v>
      </c>
      <c r="AZ25" s="23" cm="1">
        <f t="array" ref="AZ25">PRODUCT(1+預測IC!$C26:AZ26)-1</f>
        <v>0.23271631642995261</v>
      </c>
      <c r="BA25" s="23" cm="1">
        <f t="array" ref="BA25">PRODUCT(1+預測IC!$C26:BA26)-1</f>
        <v>0.24451556797958407</v>
      </c>
      <c r="BB25" s="23" cm="1">
        <f t="array" ref="BB25">PRODUCT(1+預測IC!$C26:BB26)-1</f>
        <v>0.21433638745422812</v>
      </c>
      <c r="BC25" s="23" cm="1">
        <f t="array" ref="BC25">PRODUCT(1+預測IC!$C26:BC26)-1</f>
        <v>0.23882150637103883</v>
      </c>
      <c r="BD25" s="23" cm="1">
        <f t="array" ref="BD25">PRODUCT(1+預測IC!$C26:BD26)-1</f>
        <v>0.23447943849994912</v>
      </c>
      <c r="BE25" s="23" cm="1">
        <f t="array" ref="BE25">PRODUCT(1+預測IC!$C26:BE26)-1</f>
        <v>0.25935658802508499</v>
      </c>
      <c r="BF25" s="23" cm="1">
        <f t="array" ref="BF25">PRODUCT(1+預測IC!$C26:BF26)-1</f>
        <v>0.26008869763716325</v>
      </c>
      <c r="BG25" s="23" cm="1">
        <f t="array" ref="BG25">PRODUCT(1+預測IC!$C26:BG26)-1</f>
        <v>0.2535114114609236</v>
      </c>
      <c r="BH25" s="23" cm="1">
        <f t="array" ref="BH25">PRODUCT(1+預測IC!$C26:BH26)-1</f>
        <v>0.10826483627727623</v>
      </c>
      <c r="BI25" s="23" cm="1">
        <f t="array" ref="BI25">PRODUCT(1+預測IC!$C26:BI26)-1</f>
        <v>0.11793469710078752</v>
      </c>
      <c r="BJ25" s="23" cm="1">
        <f t="array" ref="BJ25">PRODUCT(1+預測IC!$C26:BJ26)-1</f>
        <v>9.9625988810205346E-2</v>
      </c>
      <c r="BK25" s="23" cm="1">
        <f t="array" ref="BK25">PRODUCT(1+預測IC!$C26:BK26)-1</f>
        <v>0.12254260303831388</v>
      </c>
      <c r="BL25" s="23" cm="1">
        <f t="array" ref="BL25">PRODUCT(1+預測IC!$C26:BL26)-1</f>
        <v>0.17302993558173996</v>
      </c>
      <c r="BM25" s="23" cm="1">
        <f t="array" ref="BM25">PRODUCT(1+預測IC!$C26:BM26)-1</f>
        <v>0.20112905370185397</v>
      </c>
      <c r="BN25" s="23" cm="1">
        <f t="array" ref="BN25">PRODUCT(1+預測IC!$C26:BN26)-1</f>
        <v>0.23745011694095197</v>
      </c>
      <c r="BO25" s="23" cm="1">
        <f t="array" ref="BO25">PRODUCT(1+預測IC!$C26:BO26)-1</f>
        <v>0.18334151222801376</v>
      </c>
      <c r="BP25" s="23" cm="1">
        <f t="array" ref="BP25">PRODUCT(1+預測IC!$C26:BP26)-1</f>
        <v>0.20924423024871497</v>
      </c>
      <c r="BQ25" s="23" cm="1">
        <f t="array" ref="BQ25">PRODUCT(1+預測IC!$C26:BQ26)-1</f>
        <v>0.21967690051673561</v>
      </c>
      <c r="BR25" s="23" cm="1">
        <f t="array" ref="BR25">PRODUCT(1+預測IC!$C26:BR26)-1</f>
        <v>0.1962676978767699</v>
      </c>
      <c r="BS25" s="23" cm="1">
        <f t="array" ref="BS25">PRODUCT(1+預測IC!$C26:BS26)-1</f>
        <v>0.21987619627534571</v>
      </c>
      <c r="BT25" s="23" cm="1">
        <f t="array" ref="BT25">PRODUCT(1+預測IC!$C26:BT26)-1</f>
        <v>0.27805738326883356</v>
      </c>
      <c r="BU25" s="23" cm="1">
        <f t="array" ref="BU25">PRODUCT(1+預測IC!$C26:BU26)-1</f>
        <v>0.29269729646247922</v>
      </c>
      <c r="BV25" s="23" cm="1">
        <f t="array" ref="BV25">PRODUCT(1+預測IC!$C26:BV26)-1</f>
        <v>0.34857881761669129</v>
      </c>
      <c r="BW25" s="23" cm="1">
        <f t="array" ref="BW25">PRODUCT(1+預測IC!$C26:BW26)-1</f>
        <v>0.2909305384219143</v>
      </c>
      <c r="BX25" s="23" cm="1">
        <f t="array" ref="BX25">PRODUCT(1+預測IC!$C26:BX26)-1</f>
        <v>0.26793739709811137</v>
      </c>
      <c r="BY25" s="23" cm="1">
        <f t="array" ref="BY25">PRODUCT(1+預測IC!$C26:BY26)-1</f>
        <v>7.628473289061688E-2</v>
      </c>
      <c r="BZ25" s="23" cm="1">
        <f t="array" ref="BZ25">PRODUCT(1+預測IC!$C26:BZ26)-1</f>
        <v>0.20998513144491437</v>
      </c>
      <c r="CA25" s="23" cm="1">
        <f t="array" ref="CA25">PRODUCT(1+預測IC!$C26:CA26)-1</f>
        <v>0.20447092205281336</v>
      </c>
      <c r="CB25" s="23" cm="1">
        <f t="array" ref="CB25">PRODUCT(1+預測IC!$C26:CB26)-1</f>
        <v>0.27699361006036605</v>
      </c>
      <c r="CC25" s="23" cm="1">
        <f t="array" ref="CC25">PRODUCT(1+預測IC!$C26:CC26)-1</f>
        <v>0.38680488733361829</v>
      </c>
      <c r="CD25" s="23" cm="1">
        <f t="array" ref="CD25">PRODUCT(1+預測IC!$C26:CD26)-1</f>
        <v>0.37874965946081551</v>
      </c>
      <c r="CE25" s="23" cm="1">
        <f t="array" ref="CE25">PRODUCT(1+預測IC!$C26:CE26)-1</f>
        <v>0.37042015435709108</v>
      </c>
      <c r="CF25" s="23" cm="1">
        <f t="array" ref="CF25">PRODUCT(1+預測IC!$C26:CF26)-1</f>
        <v>0.37378086910184649</v>
      </c>
      <c r="CG25" s="23" cm="1">
        <f t="array" ref="CG25">PRODUCT(1+預測IC!$C26:CG26)-1</f>
        <v>0.49692143719092186</v>
      </c>
      <c r="CH25" s="23" cm="1">
        <f t="array" ref="CH25">PRODUCT(1+預測IC!$C26:CH26)-1</f>
        <v>0.603191980394987</v>
      </c>
      <c r="CI25" s="23" cm="1">
        <f t="array" ref="CI25">PRODUCT(1+預測IC!$C26:CI26)-1</f>
        <v>0.64675173719730239</v>
      </c>
      <c r="CJ25" s="23" cm="1">
        <f t="array" ref="CJ25">PRODUCT(1+預測IC!$C26:CJ26)-1</f>
        <v>0.73315421285472704</v>
      </c>
      <c r="CK25" s="23" cm="1">
        <f t="array" ref="CK25">PRODUCT(1+預測IC!$C26:CK26)-1</f>
        <v>0.7842487445659152</v>
      </c>
      <c r="CL25" s="23" cm="1">
        <f t="array" ref="CL25">PRODUCT(1+預測IC!$C26:CL26)-1</f>
        <v>0.90348131155309508</v>
      </c>
      <c r="CM25" s="23" cm="1">
        <f t="array" ref="CM25">PRODUCT(1+預測IC!$C26:CM26)-1</f>
        <v>0.8487139113221478</v>
      </c>
      <c r="CN25" s="23" cm="1">
        <f t="array" ref="CN25">PRODUCT(1+預測IC!$C26:CN26)-1</f>
        <v>0.92166881344527685</v>
      </c>
      <c r="CO25" s="23" cm="1">
        <f t="array" ref="CO25">PRODUCT(1+預測IC!$C26:CO26)-1</f>
        <v>0.86588067898046694</v>
      </c>
      <c r="CP25" s="23" cm="1">
        <f t="array" ref="CP25">PRODUCT(1+預測IC!$C26:CP26)-1</f>
        <v>0.89197293519067467</v>
      </c>
      <c r="CQ25" s="23" cm="1">
        <f t="array" ref="CQ25">PRODUCT(1+預測IC!$C26:CQ26)-1</f>
        <v>0.83090579105751727</v>
      </c>
      <c r="CR25" s="23" cm="1">
        <f t="array" ref="CR25">PRODUCT(1+預測IC!$C26:CR26)-1</f>
        <v>0.83658814745105547</v>
      </c>
      <c r="CS25" s="23" cm="1">
        <f t="array" ref="CS25">PRODUCT(1+預測IC!$C26:CS26)-1</f>
        <v>0.88358984642415717</v>
      </c>
      <c r="CT25" s="23" cm="1">
        <f t="array" ref="CT25">PRODUCT(1+預測IC!$C26:CT26)-1</f>
        <v>0.9672059526983301</v>
      </c>
      <c r="CU25" s="23" cm="1">
        <f t="array" ref="CU25">PRODUCT(1+預測IC!$C26:CU26)-1</f>
        <v>0.90752297284093331</v>
      </c>
      <c r="CV25" s="23" cm="1">
        <f t="array" ref="CV25">PRODUCT(1+預測IC!$C26:CV26)-1</f>
        <v>0.90512335385454468</v>
      </c>
      <c r="CW25" s="23" cm="1">
        <f t="array" ref="CW25">PRODUCT(1+預測IC!$C26:CW26)-1</f>
        <v>0.90957440110152876</v>
      </c>
      <c r="CX25" s="23" cm="1">
        <f t="array" ref="CX25">PRODUCT(1+預測IC!$C26:CX26)-1</f>
        <v>0.78685723504233995</v>
      </c>
      <c r="CY25" s="23" cm="1">
        <f t="array" ref="CY25">PRODUCT(1+預測IC!$C26:CY26)-1</f>
        <v>0.80992516787144164</v>
      </c>
      <c r="CZ25" s="23" cm="1">
        <f t="array" ref="CZ25">PRODUCT(1+預測IC!$C26:CZ26)-1</f>
        <v>0.58282101623526672</v>
      </c>
      <c r="DA25" s="23" cm="1">
        <f t="array" ref="DA25">PRODUCT(1+預測IC!$C26:DA26)-1</f>
        <v>0.60132527488651344</v>
      </c>
      <c r="DB25" s="23" cm="1">
        <f t="array" ref="DB25">PRODUCT(1+預測IC!$C26:DB26)-1</f>
        <v>0.61147422419279152</v>
      </c>
      <c r="DC25" s="23" cm="1">
        <f t="array" ref="DC25">PRODUCT(1+預測IC!$C26:DC26)-1</f>
        <v>0.42243966588262949</v>
      </c>
      <c r="DD25" s="23" cm="1">
        <f t="array" ref="DD25">PRODUCT(1+預測IC!$C26:DD26)-1</f>
        <v>0.37121637307647259</v>
      </c>
      <c r="DE25" s="23" cm="1">
        <f t="array" ref="DE25">PRODUCT(1+預測IC!$C26:DE26)-1</f>
        <v>0.5616938276257708</v>
      </c>
      <c r="DF25" s="23" cm="1">
        <f t="array" ref="DF25">PRODUCT(1+預測IC!$C26:DF26)-1</f>
        <v>0.48182332962932128</v>
      </c>
      <c r="DG25" s="23" cm="1">
        <f t="array" ref="DG25">PRODUCT(1+預測IC!$C26:DG26)-1</f>
        <v>0.59552577817978314</v>
      </c>
      <c r="DH25" s="23" cm="1">
        <f t="array" ref="DH25">PRODUCT(1+預測IC!$C26:DH26)-1</f>
        <v>0.62027043996328524</v>
      </c>
      <c r="DI25" s="23" cm="1">
        <f t="array" ref="DI25">PRODUCT(1+預測IC!$C26:DI26)-1</f>
        <v>0.65789923395288952</v>
      </c>
      <c r="DJ25" s="23" cm="1">
        <f t="array" ref="DJ25">PRODUCT(1+預測IC!$C26:DJ26)-1</f>
        <v>0.62743885630809859</v>
      </c>
      <c r="DK25" s="23" cm="1">
        <f t="array" ref="DK25">PRODUCT(1+預測IC!$C26:DK26)-1</f>
        <v>0.72866394865424411</v>
      </c>
      <c r="DL25" s="23" cm="1">
        <f t="array" ref="DL25">PRODUCT(1+預測IC!$C26:DL26)-1</f>
        <v>0.76340716304992284</v>
      </c>
      <c r="DM25" s="23" cm="1">
        <f t="array" ref="DM25">PRODUCT(1+預測IC!$C26:DM26)-1</f>
        <v>0.78721129009524526</v>
      </c>
      <c r="DN25" s="23" cm="1">
        <f t="array" ref="DN25">PRODUCT(1+預測IC!$C26:DN26)-1</f>
        <v>0.73314419395664854</v>
      </c>
      <c r="DO25" s="23" cm="1">
        <f t="array" ref="DO25">PRODUCT(1+預測IC!$C26:DO26)-1</f>
        <v>0.7036411650845571</v>
      </c>
      <c r="DP25" s="23" cm="1">
        <f t="array" ref="DP25">PRODUCT(1+預測IC!$C26:DP26)-1</f>
        <v>0.666521339911188</v>
      </c>
      <c r="DQ25" s="23" cm="1">
        <f t="array" ref="DQ25">PRODUCT(1+預測IC!$C26:DQ26)-1</f>
        <v>0.80941825308633253</v>
      </c>
      <c r="DR25" s="23" cm="1">
        <f t="array" ref="DR25">PRODUCT(1+預測IC!$C26:DR26)-1</f>
        <v>0.86027510799998974</v>
      </c>
      <c r="DS25" s="23" cm="1">
        <f t="array" ref="DS25">PRODUCT(1+預測IC!$C26:DS26)-1</f>
        <v>0.85599059714061299</v>
      </c>
      <c r="DT25" s="23" cm="1">
        <f t="array" ref="DT25">PRODUCT(1+預測IC!$C26:DT26)-1</f>
        <v>0.9645125910761998</v>
      </c>
      <c r="DU25" s="23" cm="1">
        <f t="array" ref="DU25">PRODUCT(1+預測IC!$C26:DU26)-1</f>
        <v>1.0974294483812512</v>
      </c>
      <c r="DV25" s="23" cm="1">
        <f t="array" ref="DV25">PRODUCT(1+預測IC!$C26:DV26)-1</f>
        <v>1.1079601605760616</v>
      </c>
      <c r="DW25" s="23" cm="1">
        <f t="array" ref="DW25">PRODUCT(1+預測IC!$C26:DW26)-1</f>
        <v>1.1868319851241949</v>
      </c>
      <c r="DX25" s="23" cm="1">
        <f t="array" ref="DX25">PRODUCT(1+預測IC!$C26:DX26)-1</f>
        <v>1.3707686184169408</v>
      </c>
      <c r="DY25" s="23" cm="1">
        <f t="array" ref="DY25">PRODUCT(1+預測IC!$C26:DY26)-1</f>
        <v>1.2834475238077694</v>
      </c>
      <c r="DZ25" s="23" cm="1">
        <f t="array" ref="DZ25">PRODUCT(1+預測IC!$C26:DZ26)-1</f>
        <v>1.2905072649494538</v>
      </c>
      <c r="EA25" s="23" cm="1">
        <f t="array" ref="EA25">PRODUCT(1+預測IC!$C26:EA26)-1</f>
        <v>1.2860233033025419</v>
      </c>
      <c r="EB25" s="23" cm="1">
        <f t="array" ref="EB25">PRODUCT(1+預測IC!$C26:EB26)-1</f>
        <v>1.3465094307246845</v>
      </c>
      <c r="EC25" s="23" cm="1">
        <f t="array" ref="EC25">PRODUCT(1+預測IC!$C26:EC26)-1</f>
        <v>1.2884273650883467</v>
      </c>
      <c r="ED25" s="23" cm="1">
        <f t="array" ref="ED25">PRODUCT(1+預測IC!$C26:ED26)-1</f>
        <v>1.3664981882262612</v>
      </c>
      <c r="EE25" s="23" cm="1">
        <f t="array" ref="EE25">PRODUCT(1+預測IC!$C26:EE26)-1</f>
        <v>1.4163413115117764</v>
      </c>
      <c r="EF25" s="23" cm="1">
        <f t="array" ref="EF25">PRODUCT(1+預測IC!$C26:EF26)-1</f>
        <v>1.367344209826507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6B55-5E55-432A-98C2-07CC500AC436}">
  <dimension ref="A1:EI26"/>
  <sheetViews>
    <sheetView tabSelected="1" zoomScale="200" zoomScaleNormal="93" workbookViewId="0">
      <selection activeCell="E9" sqref="E9"/>
    </sheetView>
  </sheetViews>
  <sheetFormatPr baseColWidth="10" defaultColWidth="9" defaultRowHeight="14"/>
  <cols>
    <col min="136" max="136" width="9.3984375" bestFit="1" customWidth="1"/>
    <col min="139" max="139" width="10.3984375" customWidth="1"/>
  </cols>
  <sheetData>
    <row r="1" spans="1:139">
      <c r="A1" s="7" t="str">
        <f>預測IC!A1</f>
        <v>RF</v>
      </c>
      <c r="B1" s="7"/>
    </row>
    <row r="2" spans="1:139">
      <c r="A2" s="7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5" t="s">
        <v>45</v>
      </c>
      <c r="AV2" s="5" t="s">
        <v>46</v>
      </c>
      <c r="AW2" s="5" t="s">
        <v>47</v>
      </c>
      <c r="AX2" s="5" t="s">
        <v>48</v>
      </c>
      <c r="AY2" s="5" t="s">
        <v>49</v>
      </c>
      <c r="AZ2" s="5" t="s">
        <v>50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55</v>
      </c>
      <c r="BF2" s="5" t="s">
        <v>56</v>
      </c>
      <c r="BG2" s="5" t="s">
        <v>57</v>
      </c>
      <c r="BH2" s="5" t="s">
        <v>58</v>
      </c>
      <c r="BI2" s="5" t="s">
        <v>59</v>
      </c>
      <c r="BJ2" s="5" t="s">
        <v>60</v>
      </c>
      <c r="BK2" s="5" t="s">
        <v>61</v>
      </c>
      <c r="BL2" s="5" t="s">
        <v>62</v>
      </c>
      <c r="BM2" s="5" t="s">
        <v>63</v>
      </c>
      <c r="BN2" s="5" t="s">
        <v>64</v>
      </c>
      <c r="BO2" s="5" t="s">
        <v>65</v>
      </c>
      <c r="BP2" s="5" t="s">
        <v>66</v>
      </c>
      <c r="BQ2" s="5" t="s">
        <v>67</v>
      </c>
      <c r="BR2" s="5" t="s">
        <v>68</v>
      </c>
      <c r="BS2" s="5" t="s">
        <v>69</v>
      </c>
      <c r="BT2" s="5" t="s">
        <v>70</v>
      </c>
      <c r="BU2" s="5" t="s">
        <v>71</v>
      </c>
      <c r="BV2" s="5" t="s">
        <v>72</v>
      </c>
      <c r="BW2" s="5" t="s">
        <v>73</v>
      </c>
      <c r="BX2" s="5" t="s">
        <v>74</v>
      </c>
      <c r="BY2" s="5" t="s">
        <v>75</v>
      </c>
      <c r="BZ2" s="5" t="s">
        <v>76</v>
      </c>
      <c r="CA2" s="5" t="s">
        <v>77</v>
      </c>
      <c r="CB2" s="5" t="s">
        <v>78</v>
      </c>
      <c r="CC2" s="5" t="s">
        <v>79</v>
      </c>
      <c r="CD2" s="5" t="s">
        <v>80</v>
      </c>
      <c r="CE2" s="5" t="s">
        <v>81</v>
      </c>
      <c r="CF2" s="5" t="s">
        <v>82</v>
      </c>
      <c r="CG2" s="5" t="s">
        <v>83</v>
      </c>
      <c r="CH2" s="5" t="s">
        <v>84</v>
      </c>
      <c r="CI2" s="5" t="s">
        <v>85</v>
      </c>
      <c r="CJ2" s="5" t="s">
        <v>86</v>
      </c>
      <c r="CK2" s="5" t="s">
        <v>87</v>
      </c>
      <c r="CL2" s="5" t="s">
        <v>88</v>
      </c>
      <c r="CM2" s="5" t="s">
        <v>89</v>
      </c>
      <c r="CN2" s="5" t="s">
        <v>90</v>
      </c>
      <c r="CO2" s="5" t="s">
        <v>91</v>
      </c>
      <c r="CP2" s="5" t="s">
        <v>92</v>
      </c>
      <c r="CQ2" s="5" t="s">
        <v>93</v>
      </c>
      <c r="CR2" s="5" t="s">
        <v>94</v>
      </c>
      <c r="CS2" s="5" t="s">
        <v>95</v>
      </c>
      <c r="CT2" s="5" t="s">
        <v>96</v>
      </c>
      <c r="CU2" s="5" t="s">
        <v>97</v>
      </c>
      <c r="CV2" s="5" t="s">
        <v>98</v>
      </c>
      <c r="CW2" s="5" t="s">
        <v>99</v>
      </c>
      <c r="CX2" s="5" t="s">
        <v>100</v>
      </c>
      <c r="CY2" s="5" t="s">
        <v>101</v>
      </c>
      <c r="CZ2" s="5" t="s">
        <v>102</v>
      </c>
      <c r="DA2" s="5" t="s">
        <v>103</v>
      </c>
      <c r="DB2" s="5" t="s">
        <v>104</v>
      </c>
      <c r="DC2" s="5" t="s">
        <v>105</v>
      </c>
      <c r="DD2" s="5" t="s">
        <v>106</v>
      </c>
      <c r="DE2" s="5" t="s">
        <v>107</v>
      </c>
      <c r="DF2" s="5" t="s">
        <v>108</v>
      </c>
      <c r="DG2" s="5" t="s">
        <v>109</v>
      </c>
      <c r="DH2" s="5" t="s">
        <v>110</v>
      </c>
      <c r="DI2" s="5" t="s">
        <v>111</v>
      </c>
      <c r="DJ2" s="5" t="s">
        <v>112</v>
      </c>
      <c r="DK2" s="5" t="s">
        <v>113</v>
      </c>
      <c r="DL2" s="5" t="s">
        <v>114</v>
      </c>
      <c r="DM2" s="5" t="s">
        <v>115</v>
      </c>
      <c r="DN2" s="5" t="s">
        <v>116</v>
      </c>
      <c r="DO2" s="5" t="s">
        <v>117</v>
      </c>
      <c r="DP2" s="5" t="s">
        <v>118</v>
      </c>
      <c r="DQ2" s="5" t="s">
        <v>119</v>
      </c>
      <c r="DR2" s="5" t="s">
        <v>120</v>
      </c>
      <c r="DS2" s="5" t="s">
        <v>121</v>
      </c>
      <c r="DT2" s="5" t="s">
        <v>122</v>
      </c>
      <c r="DU2" s="5" t="s">
        <v>123</v>
      </c>
      <c r="DV2" s="5" t="s">
        <v>124</v>
      </c>
      <c r="DW2" s="5" t="s">
        <v>125</v>
      </c>
      <c r="DX2" s="5" t="s">
        <v>126</v>
      </c>
      <c r="DY2" s="5" t="s">
        <v>127</v>
      </c>
      <c r="DZ2" s="5" t="s">
        <v>128</v>
      </c>
      <c r="EA2" s="5" t="s">
        <v>129</v>
      </c>
      <c r="EB2" s="5" t="s">
        <v>130</v>
      </c>
      <c r="EC2" s="5" t="s">
        <v>131</v>
      </c>
      <c r="ED2" s="5" t="s">
        <v>132</v>
      </c>
      <c r="EE2" s="5" t="s">
        <v>133</v>
      </c>
      <c r="EF2" s="5" t="s">
        <v>134</v>
      </c>
      <c r="EG2" s="5" t="s">
        <v>135</v>
      </c>
    </row>
    <row r="3" spans="1:139">
      <c r="A3" s="7"/>
      <c r="B3" s="22" t="s">
        <v>136</v>
      </c>
      <c r="C3" s="25">
        <f>預測IC!C3</f>
        <v>3.6997013757333698E-2</v>
      </c>
      <c r="D3" s="25">
        <f>預測IC!D3</f>
        <v>3.3297817500003282E-2</v>
      </c>
      <c r="E3" s="25">
        <f>預測IC!E3</f>
        <v>1.542163833496168E-2</v>
      </c>
      <c r="F3" s="25">
        <f>預測IC!F3</f>
        <v>1.6456982644761711E-2</v>
      </c>
      <c r="G3" s="25">
        <f>預測IC!G3</f>
        <v>1.7226210935333459E-2</v>
      </c>
      <c r="H3" s="25">
        <f>預測IC!H3</f>
        <v>2.8764108032567459E-2</v>
      </c>
      <c r="I3" s="25">
        <f>預測IC!I3</f>
        <v>2.427932822777535E-2</v>
      </c>
      <c r="J3" s="25">
        <f>預測IC!J3</f>
        <v>2.731641860027573E-2</v>
      </c>
      <c r="K3" s="25">
        <f>預測IC!K3</f>
        <v>3.0174004661944549E-2</v>
      </c>
      <c r="L3" s="25">
        <f>預測IC!L3</f>
        <v>2.5236297001741709E-2</v>
      </c>
      <c r="M3" s="25">
        <f>預測IC!M3</f>
        <v>3.2729103566482703E-2</v>
      </c>
      <c r="N3" s="25">
        <f>預測IC!N3</f>
        <v>3.1554761397993208E-2</v>
      </c>
      <c r="O3" s="25">
        <f>預測IC!O3</f>
        <v>3.4033301690891533E-2</v>
      </c>
      <c r="P3" s="25">
        <f>預測IC!P3</f>
        <v>3.321291110249007E-2</v>
      </c>
      <c r="Q3" s="25">
        <f>預測IC!Q3</f>
        <v>2.910333512892541E-2</v>
      </c>
      <c r="R3" s="25">
        <f>預測IC!R3</f>
        <v>2.6473653115280309E-2</v>
      </c>
      <c r="S3" s="25">
        <f>預測IC!S3</f>
        <v>2.8295345986913231E-2</v>
      </c>
      <c r="T3" s="25">
        <f>預測IC!T3</f>
        <v>2.262072807092802E-2</v>
      </c>
      <c r="U3" s="25">
        <f>預測IC!U3</f>
        <v>1.614400695132448E-2</v>
      </c>
      <c r="V3" s="25">
        <f>預測IC!V3</f>
        <v>2.5033177832038969E-2</v>
      </c>
      <c r="W3" s="25">
        <f>預測IC!W3</f>
        <v>4.5784045042201092E-2</v>
      </c>
      <c r="X3" s="25">
        <f>預測IC!X3</f>
        <v>4.3057813861526573E-2</v>
      </c>
      <c r="Y3" s="25">
        <f>預測IC!Y3</f>
        <v>3.778574554965778E-2</v>
      </c>
      <c r="Z3" s="25">
        <f>預測IC!Z3</f>
        <v>2.409745457622987E-2</v>
      </c>
      <c r="AA3" s="25">
        <f>預測IC!AA3</f>
        <v>3.009442686823352E-2</v>
      </c>
      <c r="AB3" s="25">
        <f>預測IC!AB3</f>
        <v>2.8087063172378191E-2</v>
      </c>
      <c r="AC3" s="25">
        <f>預測IC!AC3</f>
        <v>3.3771066806544549E-2</v>
      </c>
      <c r="AD3" s="25">
        <f>預測IC!AD3</f>
        <v>3.413170384138306E-2</v>
      </c>
      <c r="AE3" s="25">
        <f>預測IC!AE3</f>
        <v>3.4141408533312018E-2</v>
      </c>
      <c r="AF3" s="25">
        <f>預測IC!AF3</f>
        <v>1.3117941025955079E-2</v>
      </c>
      <c r="AG3" s="25">
        <f>預測IC!AG3</f>
        <v>2.485735401293461E-2</v>
      </c>
      <c r="AH3" s="25">
        <f>預測IC!AH3</f>
        <v>3.1884444011299258E-2</v>
      </c>
      <c r="AI3" s="25">
        <f>預測IC!AI3</f>
        <v>3.6385761193522617E-2</v>
      </c>
      <c r="AJ3" s="25">
        <f>預測IC!AJ3</f>
        <v>3.5948919429733099E-2</v>
      </c>
      <c r="AK3" s="25">
        <f>預測IC!AK3</f>
        <v>4.3482830969963061E-2</v>
      </c>
      <c r="AL3" s="25">
        <f>預測IC!AL3</f>
        <v>3.8462077568039821E-2</v>
      </c>
      <c r="AM3" s="25">
        <f>預測IC!AM3</f>
        <v>3.9410244165835981E-2</v>
      </c>
      <c r="AN3" s="25">
        <f>預測IC!AN3</f>
        <v>5.0743620516414449E-2</v>
      </c>
      <c r="AO3" s="25">
        <f>預測IC!AO3</f>
        <v>5.3684811620656171E-2</v>
      </c>
      <c r="AP3" s="25">
        <f>預測IC!AP3</f>
        <v>4.9314899356547669E-2</v>
      </c>
      <c r="AQ3" s="25">
        <f>預測IC!AQ3</f>
        <v>3.2773687722358558E-2</v>
      </c>
      <c r="AR3" s="25">
        <f>預測IC!AR3</f>
        <v>2.8295340626825871E-2</v>
      </c>
      <c r="AS3" s="25">
        <f>預測IC!AS3</f>
        <v>2.8377802599917339E-2</v>
      </c>
      <c r="AT3" s="25">
        <f>預測IC!AT3</f>
        <v>2.306922946025217E-2</v>
      </c>
      <c r="AU3" s="25">
        <f>預測IC!AU3</f>
        <v>2.9397032882625889E-2</v>
      </c>
      <c r="AV3" s="25">
        <f>預測IC!AV3</f>
        <v>3.103785222722218E-2</v>
      </c>
      <c r="AW3" s="25">
        <f>預測IC!AW3</f>
        <v>2.6297924056821211E-2</v>
      </c>
      <c r="AX3" s="25">
        <f>預測IC!AX3</f>
        <v>2.6164811358804361E-2</v>
      </c>
      <c r="AY3" s="25">
        <f>預測IC!AY3</f>
        <v>3.2053783671709642E-2</v>
      </c>
      <c r="AZ3" s="25">
        <f>預測IC!AZ3</f>
        <v>3.4477530774765272E-2</v>
      </c>
      <c r="BA3" s="25">
        <f>預測IC!BA3</f>
        <v>2.9331890747661678E-2</v>
      </c>
      <c r="BB3" s="25">
        <f>預測IC!BB3</f>
        <v>3.4324947588369341E-2</v>
      </c>
      <c r="BC3" s="25">
        <f>預測IC!BC3</f>
        <v>3.742177693859082E-2</v>
      </c>
      <c r="BD3" s="25">
        <f>預測IC!BD3</f>
        <v>3.141372245226793E-2</v>
      </c>
      <c r="BE3" s="25">
        <f>預測IC!BE3</f>
        <v>3.2006411062996218E-2</v>
      </c>
      <c r="BF3" s="25">
        <f>預測IC!BF3</f>
        <v>2.828182773285309E-2</v>
      </c>
      <c r="BG3" s="25">
        <f>預測IC!BG3</f>
        <v>4.1103436715196499E-2</v>
      </c>
      <c r="BH3" s="25">
        <f>預測IC!BH3</f>
        <v>4.5198779339126277E-2</v>
      </c>
      <c r="BI3" s="25">
        <f>預測IC!BI3</f>
        <v>4.1588040384802467E-2</v>
      </c>
      <c r="BJ3" s="25">
        <f>預測IC!BJ3</f>
        <v>4.0723405736309601E-2</v>
      </c>
      <c r="BK3" s="25">
        <f>預測IC!BK3</f>
        <v>3.6327700059770963E-2</v>
      </c>
      <c r="BL3" s="25">
        <f>預測IC!BL3</f>
        <v>3.6173192149872829E-2</v>
      </c>
      <c r="BM3" s="25">
        <f>預測IC!BM3</f>
        <v>3.7708587815686451E-2</v>
      </c>
      <c r="BN3" s="25">
        <f>預測IC!BN3</f>
        <v>3.0814038130409348E-2</v>
      </c>
      <c r="BO3" s="25">
        <f>預測IC!BO3</f>
        <v>3.065585577146604E-2</v>
      </c>
      <c r="BP3" s="25">
        <f>預測IC!BP3</f>
        <v>3.4399631895121928E-2</v>
      </c>
      <c r="BQ3" s="25">
        <f>預測IC!BQ3</f>
        <v>3.4868650026028229E-2</v>
      </c>
      <c r="BR3" s="25">
        <f>預測IC!BR3</f>
        <v>3.6324039848933801E-2</v>
      </c>
      <c r="BS3" s="25">
        <f>預測IC!BS3</f>
        <v>3.6164468096582629E-2</v>
      </c>
      <c r="BT3" s="25">
        <f>預測IC!BT3</f>
        <v>3.8668894956456937E-2</v>
      </c>
      <c r="BU3" s="25">
        <f>預測IC!BU3</f>
        <v>4.1103483948852763E-2</v>
      </c>
      <c r="BV3" s="25">
        <f>預測IC!BV3</f>
        <v>2.8684133448632881E-2</v>
      </c>
      <c r="BW3" s="25">
        <f>預測IC!BW3</f>
        <v>3.521650986163926E-2</v>
      </c>
      <c r="BX3" s="25">
        <f>預測IC!BX3</f>
        <v>4.0767200067914261E-2</v>
      </c>
      <c r="BY3" s="25">
        <f>預測IC!BY3</f>
        <v>2.160353774972024E-2</v>
      </c>
      <c r="BZ3" s="25">
        <f>預測IC!BZ3</f>
        <v>3.0433668800390778E-2</v>
      </c>
      <c r="CA3" s="25">
        <f>預測IC!CA3</f>
        <v>3.7311958080318418E-2</v>
      </c>
      <c r="CB3" s="25">
        <f>預測IC!CB3</f>
        <v>2.7612053143104789E-2</v>
      </c>
      <c r="CC3" s="25">
        <f>預測IC!CC3</f>
        <v>1.9742954750447479E-2</v>
      </c>
      <c r="CD3" s="25">
        <f>預測IC!CD3</f>
        <v>7.791460166144233E-3</v>
      </c>
      <c r="CE3" s="25">
        <f>預測IC!CE3</f>
        <v>2.2526806957081459E-2</v>
      </c>
      <c r="CF3" s="25">
        <f>預測IC!CF3</f>
        <v>3.4778187915741783E-2</v>
      </c>
      <c r="CG3" s="25">
        <f>預測IC!CG3</f>
        <v>3.2581362027151728E-2</v>
      </c>
      <c r="CH3" s="25">
        <f>預測IC!CH3</f>
        <v>4.0909001215823582E-2</v>
      </c>
      <c r="CI3" s="25">
        <f>預測IC!CI3</f>
        <v>3.9050253240311222E-2</v>
      </c>
      <c r="CJ3" s="25">
        <f>預測IC!CJ3</f>
        <v>2.4561899640003909E-2</v>
      </c>
      <c r="CK3" s="25">
        <f>預測IC!CK3</f>
        <v>3.413446187252573E-2</v>
      </c>
      <c r="CL3" s="25">
        <f>預測IC!CL3</f>
        <v>3.5925937532879773E-2</v>
      </c>
      <c r="CM3" s="25">
        <f>預測IC!CM3</f>
        <v>4.2466042159304301E-2</v>
      </c>
      <c r="CN3" s="25">
        <f>預測IC!CN3</f>
        <v>3.6523906516241801E-2</v>
      </c>
      <c r="CO3" s="25">
        <f>預測IC!CO3</f>
        <v>3.765914957102829E-2</v>
      </c>
      <c r="CP3" s="25">
        <f>預測IC!CP3</f>
        <v>3.9957834472595419E-2</v>
      </c>
      <c r="CQ3" s="25">
        <f>預測IC!CQ3</f>
        <v>-4.5921902670845423E-3</v>
      </c>
      <c r="CR3" s="25">
        <f>預測IC!CR3</f>
        <v>1.500343045059385E-2</v>
      </c>
      <c r="CS3" s="25">
        <f>預測IC!CS3</f>
        <v>2.2458754318599651E-2</v>
      </c>
      <c r="CT3" s="25">
        <f>預測IC!CT3</f>
        <v>4.0972167824902372E-2</v>
      </c>
      <c r="CU3" s="25">
        <f>預測IC!CU3</f>
        <v>3.8942373224816529E-2</v>
      </c>
      <c r="CV3" s="25">
        <f>預測IC!CV3</f>
        <v>4.3015000500199303E-2</v>
      </c>
      <c r="CW3" s="25">
        <f>預測IC!CW3</f>
        <v>3.9706600079107618E-2</v>
      </c>
      <c r="CX3" s="25">
        <f>預測IC!CX3</f>
        <v>3.9171022856911548E-2</v>
      </c>
      <c r="CY3" s="25">
        <f>預測IC!CY3</f>
        <v>3.4940834769569752E-2</v>
      </c>
      <c r="CZ3" s="25">
        <f>預測IC!CZ3</f>
        <v>3.6026834228159298E-2</v>
      </c>
      <c r="DA3" s="25">
        <f>預測IC!DA3</f>
        <v>4.450954814790925E-2</v>
      </c>
      <c r="DB3" s="25">
        <f>預測IC!DB3</f>
        <v>3.9322897230046248E-2</v>
      </c>
      <c r="DC3" s="25">
        <f>預測IC!DC3</f>
        <v>3.7933403354666211E-2</v>
      </c>
      <c r="DD3" s="25">
        <f>預測IC!DD3</f>
        <v>3.9075000966415717E-2</v>
      </c>
      <c r="DE3" s="25">
        <f>預測IC!DE3</f>
        <v>4.199397627237688E-2</v>
      </c>
      <c r="DF3" s="25">
        <f>預測IC!DF3</f>
        <v>4.1965348731106439E-2</v>
      </c>
      <c r="DG3" s="25">
        <f>預測IC!DG3</f>
        <v>4.0382244799122918E-2</v>
      </c>
      <c r="DH3" s="25">
        <f>預測IC!DH3</f>
        <v>3.6787240146963857E-2</v>
      </c>
      <c r="DI3" s="25">
        <f>預測IC!DI3</f>
        <v>3.6877765546082367E-2</v>
      </c>
      <c r="DJ3" s="25">
        <f>預測IC!DJ3</f>
        <v>3.368209367541955E-2</v>
      </c>
      <c r="DK3" s="25">
        <f>預測IC!DK3</f>
        <v>3.6536443043095952E-2</v>
      </c>
      <c r="DL3" s="25">
        <f>預測IC!DL3</f>
        <v>3.1530556219024453E-2</v>
      </c>
      <c r="DM3" s="25">
        <f>預測IC!DM3</f>
        <v>2.866223764473836E-2</v>
      </c>
      <c r="DN3" s="25">
        <f>預測IC!DN3</f>
        <v>3.0844743252797239E-2</v>
      </c>
      <c r="DO3" s="25">
        <f>預測IC!DO3</f>
        <v>3.3675363611272838E-2</v>
      </c>
      <c r="DP3" s="25">
        <f>預測IC!DP3</f>
        <v>3.5102177512429639E-2</v>
      </c>
      <c r="DQ3" s="25">
        <f>預測IC!DQ3</f>
        <v>3.6708207074369593E-2</v>
      </c>
      <c r="DR3" s="25">
        <f>預測IC!DR3</f>
        <v>3.4114421599711522E-2</v>
      </c>
      <c r="DS3" s="25">
        <f>預測IC!DS3</f>
        <v>3.6715906439180969E-2</v>
      </c>
      <c r="DT3" s="25">
        <f>預測IC!DT3</f>
        <v>3.4828052772429188E-2</v>
      </c>
      <c r="DU3" s="25">
        <f>預測IC!DU3</f>
        <v>2.3365577264107731E-2</v>
      </c>
      <c r="DV3" s="25">
        <f>預測IC!DV3</f>
        <v>2.524093892652959E-2</v>
      </c>
      <c r="DW3" s="25">
        <f>預測IC!DW3</f>
        <v>3.5159202684512107E-2</v>
      </c>
      <c r="DX3" s="25">
        <f>預測IC!DX3</f>
        <v>3.2304964005665182E-2</v>
      </c>
      <c r="DY3" s="25">
        <f>預測IC!DY3</f>
        <v>2.325821710130703E-2</v>
      </c>
      <c r="DZ3" s="25">
        <f>預測IC!DZ3</f>
        <v>2.8308751932577921E-2</v>
      </c>
      <c r="EA3" s="25">
        <f>預測IC!EA3</f>
        <v>3.1397321824344362E-2</v>
      </c>
      <c r="EB3" s="25">
        <f>預測IC!EB3</f>
        <v>3.723081253221186E-2</v>
      </c>
      <c r="EC3" s="25">
        <f>預測IC!EC3</f>
        <v>3.3346090074484303E-2</v>
      </c>
      <c r="ED3" s="25">
        <f>預測IC!ED3</f>
        <v>3.4186640907954438E-2</v>
      </c>
      <c r="EE3" s="25">
        <f>預測IC!EE3</f>
        <v>2.5041157579864491E-2</v>
      </c>
      <c r="EF3" s="25">
        <f>預測IC!EF3</f>
        <v>3.4121434975122142E-2</v>
      </c>
      <c r="EG3" s="1"/>
    </row>
    <row r="4" spans="1:139">
      <c r="A4" s="7"/>
      <c r="B4" s="22" t="s">
        <v>137</v>
      </c>
      <c r="C4" s="25">
        <f>預測IC!C4</f>
        <v>-4.9660484307830009E-2</v>
      </c>
      <c r="D4" s="25">
        <f>預測IC!D4</f>
        <v>-6.5232195080165353E-2</v>
      </c>
      <c r="E4" s="25">
        <f>預測IC!E4</f>
        <v>-9.3874054199500026E-2</v>
      </c>
      <c r="F4" s="25">
        <f>預測IC!F4</f>
        <v>-7.3843592245097373E-2</v>
      </c>
      <c r="G4" s="25">
        <f>預測IC!G4</f>
        <v>-2.745888685018728E-2</v>
      </c>
      <c r="H4" s="25">
        <f>預測IC!H4</f>
        <v>-3.3398565611267667E-2</v>
      </c>
      <c r="I4" s="25">
        <f>預測IC!I4</f>
        <v>-4.7136189417385607E-2</v>
      </c>
      <c r="J4" s="25">
        <f>預測IC!J4</f>
        <v>-4.6203432590894752E-2</v>
      </c>
      <c r="K4" s="25">
        <f>預測IC!K4</f>
        <v>-4.5932097646850877E-2</v>
      </c>
      <c r="L4" s="25">
        <f>預測IC!L4</f>
        <v>-3.9679751627069763E-2</v>
      </c>
      <c r="M4" s="25">
        <f>預測IC!M4</f>
        <v>-1.8734336084315021E-2</v>
      </c>
      <c r="N4" s="25">
        <f>預測IC!N4</f>
        <v>-3.5831351641089762E-2</v>
      </c>
      <c r="O4" s="25">
        <f>預測IC!O4</f>
        <v>-5.70229981056335E-2</v>
      </c>
      <c r="P4" s="25">
        <f>預測IC!P4</f>
        <v>-4.2462781327895993E-2</v>
      </c>
      <c r="Q4" s="25">
        <f>預測IC!Q4</f>
        <v>-3.7772394962975513E-2</v>
      </c>
      <c r="R4" s="25">
        <f>預測IC!R4</f>
        <v>-2.862835448000129E-2</v>
      </c>
      <c r="S4" s="25">
        <f>預測IC!S4</f>
        <v>-3.099793016810054E-2</v>
      </c>
      <c r="T4" s="25">
        <f>預測IC!T4</f>
        <v>-6.7042254023675389E-3</v>
      </c>
      <c r="U4" s="25">
        <f>預測IC!U4</f>
        <v>-3.5326677132364037E-2</v>
      </c>
      <c r="V4" s="25">
        <f>預測IC!V4</f>
        <v>-2.9502132625226989E-2</v>
      </c>
      <c r="W4" s="25">
        <f>預測IC!W4</f>
        <v>-4.1243395472264313E-2</v>
      </c>
      <c r="X4" s="25">
        <f>預測IC!X4</f>
        <v>-5.4483491647159897E-2</v>
      </c>
      <c r="Y4" s="25">
        <f>預測IC!Y4</f>
        <v>-5.7374231531351433E-2</v>
      </c>
      <c r="Z4" s="25">
        <f>預測IC!Z4</f>
        <v>-5.0628448585672892E-2</v>
      </c>
      <c r="AA4" s="25">
        <f>預測IC!AA4</f>
        <v>-4.231975801219371E-2</v>
      </c>
      <c r="AB4" s="25">
        <f>預測IC!AB4</f>
        <v>-3.6518861974360411E-2</v>
      </c>
      <c r="AC4" s="25">
        <f>預測IC!AC4</f>
        <v>-3.845543636405753E-2</v>
      </c>
      <c r="AD4" s="25">
        <f>預測IC!AD4</f>
        <v>-3.2603396395427572E-2</v>
      </c>
      <c r="AE4" s="25">
        <f>預測IC!AE4</f>
        <v>-3.4795070629380642E-2</v>
      </c>
      <c r="AF4" s="25">
        <f>預測IC!AF4</f>
        <v>-1.6394819349874201E-3</v>
      </c>
      <c r="AG4" s="25">
        <f>預測IC!AG4</f>
        <v>-3.2239282506807423E-2</v>
      </c>
      <c r="AH4" s="25">
        <f>預測IC!AH4</f>
        <v>-2.5693111006731412E-2</v>
      </c>
      <c r="AI4" s="25">
        <f>預測IC!AI4</f>
        <v>-3.008904130127369E-2</v>
      </c>
      <c r="AJ4" s="25">
        <f>預測IC!AJ4</f>
        <v>-2.971967039544228E-2</v>
      </c>
      <c r="AK4" s="25">
        <f>預測IC!AK4</f>
        <v>-2.274313052691369E-2</v>
      </c>
      <c r="AL4" s="25">
        <f>預測IC!AL4</f>
        <v>-2.5322304879822729E-2</v>
      </c>
      <c r="AM4" s="25">
        <f>預測IC!AM4</f>
        <v>-2.411751658948514E-2</v>
      </c>
      <c r="AN4" s="25">
        <f>預測IC!AN4</f>
        <v>-2.727232649453621E-2</v>
      </c>
      <c r="AO4" s="25">
        <f>預測IC!AO4</f>
        <v>-2.8383253052872079E-2</v>
      </c>
      <c r="AP4" s="25">
        <f>預測IC!AP4</f>
        <v>-2.3965679052040011E-2</v>
      </c>
      <c r="AQ4" s="25">
        <f>預測IC!AQ4</f>
        <v>-2.80485237785515E-2</v>
      </c>
      <c r="AR4" s="25">
        <f>預測IC!AR4</f>
        <v>-1.7736170970874439E-2</v>
      </c>
      <c r="AS4" s="25">
        <f>預測IC!AS4</f>
        <v>-1.39303337439949E-2</v>
      </c>
      <c r="AT4" s="25">
        <f>預測IC!AT4</f>
        <v>-1.2870881079163021E-2</v>
      </c>
      <c r="AU4" s="25">
        <f>預測IC!AU4</f>
        <v>-1.6424059937097849E-2</v>
      </c>
      <c r="AV4" s="25">
        <f>預測IC!AV4</f>
        <v>-2.4039749385437719E-2</v>
      </c>
      <c r="AW4" s="25">
        <f>預測IC!AW4</f>
        <v>-2.1378847766349081E-2</v>
      </c>
      <c r="AX4" s="25">
        <f>預測IC!AX4</f>
        <v>-2.3051468101219511E-2</v>
      </c>
      <c r="AY4" s="25">
        <f>預測IC!AY4</f>
        <v>-2.6631557609926141E-2</v>
      </c>
      <c r="AZ4" s="25">
        <f>預測IC!AZ4</f>
        <v>-1.597851755827499E-2</v>
      </c>
      <c r="BA4" s="25">
        <f>預測IC!BA4</f>
        <v>-2.9633847899323489E-2</v>
      </c>
      <c r="BB4" s="25">
        <f>預測IC!BB4</f>
        <v>-3.6923299522087998E-2</v>
      </c>
      <c r="BC4" s="25">
        <f>預測IC!BC4</f>
        <v>-2.3000784324243968E-2</v>
      </c>
      <c r="BD4" s="25">
        <f>預測IC!BD4</f>
        <v>-2.892210840223592E-2</v>
      </c>
      <c r="BE4" s="25">
        <f>預測IC!BE4</f>
        <v>-3.0957742972803601E-2</v>
      </c>
      <c r="BF4" s="25">
        <f>預測IC!BF4</f>
        <v>-1.8182050049131201E-2</v>
      </c>
      <c r="BG4" s="25">
        <f>預測IC!BG4</f>
        <v>-1.59612129148653E-2</v>
      </c>
      <c r="BH4" s="25">
        <f>預測IC!BH4</f>
        <v>-2.135883022338424E-2</v>
      </c>
      <c r="BI4" s="25">
        <f>預測IC!BI4</f>
        <v>-1.889592453448587E-2</v>
      </c>
      <c r="BJ4" s="25">
        <f>預測IC!BJ4</f>
        <v>-2.1053002135234831E-2</v>
      </c>
      <c r="BK4" s="25">
        <f>預測IC!BK4</f>
        <v>-2.6612022761366049E-2</v>
      </c>
      <c r="BL4" s="25">
        <f>預測IC!BL4</f>
        <v>-1.7576953748392139E-2</v>
      </c>
      <c r="BM4" s="25">
        <f>預測IC!BM4</f>
        <v>-2.1846218109135389E-2</v>
      </c>
      <c r="BN4" s="25">
        <f>預測IC!BN4</f>
        <v>-1.558178680666511E-2</v>
      </c>
      <c r="BO4" s="25">
        <f>預測IC!BO4</f>
        <v>-6.5029895709140294E-3</v>
      </c>
      <c r="BP4" s="25">
        <f>預測IC!BP4</f>
        <v>-1.217191420200061E-2</v>
      </c>
      <c r="BQ4" s="25">
        <f>預測IC!BQ4</f>
        <v>-1.0666510831082679E-3</v>
      </c>
      <c r="BR4" s="25">
        <f>預測IC!BR4</f>
        <v>-7.8848633119188317E-3</v>
      </c>
      <c r="BS4" s="25">
        <f>預測IC!BS4</f>
        <v>-1.1588282276333789E-2</v>
      </c>
      <c r="BT4" s="25">
        <f>預測IC!BT4</f>
        <v>-1.6350563096253809E-2</v>
      </c>
      <c r="BU4" s="25">
        <f>預測IC!BU4</f>
        <v>-1.7287992540061109E-3</v>
      </c>
      <c r="BV4" s="25">
        <f>預測IC!BV4</f>
        <v>1.285828832716631E-2</v>
      </c>
      <c r="BW4" s="25">
        <f>預測IC!BW4</f>
        <v>-7.6302480414426601E-3</v>
      </c>
      <c r="BX4" s="25">
        <f>預測IC!BX4</f>
        <v>-1.6045395009791349E-2</v>
      </c>
      <c r="BY4" s="25">
        <f>預測IC!BY4</f>
        <v>-1.8894754178095271E-2</v>
      </c>
      <c r="BZ4" s="25">
        <f>預測IC!BZ4</f>
        <v>-4.1567566104242478E-3</v>
      </c>
      <c r="CA4" s="25">
        <f>預測IC!CA4</f>
        <v>-1.710017537951062E-2</v>
      </c>
      <c r="CB4" s="25">
        <f>預測IC!CB4</f>
        <v>-2.2304157428424391E-2</v>
      </c>
      <c r="CC4" s="25">
        <f>預測IC!CC4</f>
        <v>-4.111205153911144E-2</v>
      </c>
      <c r="CD4" s="25">
        <f>預測IC!CD4</f>
        <v>-3.2535405185557913E-2</v>
      </c>
      <c r="CE4" s="25">
        <f>預測IC!CE4</f>
        <v>-3.0323266480776649E-2</v>
      </c>
      <c r="CF4" s="25">
        <f>預測IC!CF4</f>
        <v>-6.1293189114789898E-2</v>
      </c>
      <c r="CG4" s="25">
        <f>預測IC!CG4</f>
        <v>-4.4169748382986783E-2</v>
      </c>
      <c r="CH4" s="25">
        <f>預測IC!CH4</f>
        <v>-2.4897657851006831E-2</v>
      </c>
      <c r="CI4" s="25">
        <f>預測IC!CI4</f>
        <v>-1.773490777748107E-2</v>
      </c>
      <c r="CJ4" s="25">
        <f>預測IC!CJ4</f>
        <v>-1.149415603536374E-2</v>
      </c>
      <c r="CK4" s="25">
        <f>預測IC!CK4</f>
        <v>-1.591073109149212E-2</v>
      </c>
      <c r="CL4" s="25">
        <f>預測IC!CL4</f>
        <v>-1.553664078255448E-2</v>
      </c>
      <c r="CM4" s="25">
        <f>預測IC!CM4</f>
        <v>-1.9141804743850431E-2</v>
      </c>
      <c r="CN4" s="25">
        <f>預測IC!CN4</f>
        <v>8.0304455212189402E-3</v>
      </c>
      <c r="CO4" s="25">
        <f>預測IC!CO4</f>
        <v>5.7365987476290974E-3</v>
      </c>
      <c r="CP4" s="25">
        <f>預測IC!CP4</f>
        <v>-6.5301402173690883E-3</v>
      </c>
      <c r="CQ4" s="25">
        <f>預測IC!CQ4</f>
        <v>2.4291588095023031E-3</v>
      </c>
      <c r="CR4" s="25">
        <f>預測IC!CR4</f>
        <v>-1.917966682871176E-2</v>
      </c>
      <c r="CS4" s="25">
        <f>預測IC!CS4</f>
        <v>-2.334741602504313E-2</v>
      </c>
      <c r="CT4" s="25">
        <f>預測IC!CT4</f>
        <v>-2.178933391007621E-2</v>
      </c>
      <c r="CU4" s="25">
        <f>預測IC!CU4</f>
        <v>-2.9507578237515441E-2</v>
      </c>
      <c r="CV4" s="25">
        <f>預測IC!CV4</f>
        <v>-2.4863141676227461E-2</v>
      </c>
      <c r="CW4" s="25">
        <f>預測IC!CW4</f>
        <v>-2.2836003990752241E-2</v>
      </c>
      <c r="CX4" s="25">
        <f>預測IC!CX4</f>
        <v>-2.2235746171206432E-2</v>
      </c>
      <c r="CY4" s="25">
        <f>預測IC!CY4</f>
        <v>-2.5586844579715249E-2</v>
      </c>
      <c r="CZ4" s="25">
        <f>預測IC!CZ4</f>
        <v>-3.0231054830945629E-2</v>
      </c>
      <c r="DA4" s="25">
        <f>預測IC!DA4</f>
        <v>-4.3224114563057553E-2</v>
      </c>
      <c r="DB4" s="25">
        <f>預測IC!DB4</f>
        <v>-4.4725026400587967E-2</v>
      </c>
      <c r="DC4" s="25">
        <f>預測IC!DC4</f>
        <v>-7.0760377239426644E-2</v>
      </c>
      <c r="DD4" s="25">
        <f>預測IC!DD4</f>
        <v>-5.7610036798158112E-2</v>
      </c>
      <c r="DE4" s="25">
        <f>預測IC!DE4</f>
        <v>-3.404219099480222E-2</v>
      </c>
      <c r="DF4" s="25">
        <f>預測IC!DF4</f>
        <v>-2.7183797543947438E-2</v>
      </c>
      <c r="DG4" s="25">
        <f>預測IC!DG4</f>
        <v>-3.5052644373932129E-2</v>
      </c>
      <c r="DH4" s="25">
        <f>預測IC!DH4</f>
        <v>-8.428399037687339E-3</v>
      </c>
      <c r="DI4" s="25">
        <f>預測IC!DI4</f>
        <v>-3.6370881039868713E-2</v>
      </c>
      <c r="DJ4" s="25">
        <f>預測IC!DJ4</f>
        <v>-3.7819313396098023E-2</v>
      </c>
      <c r="DK4" s="25">
        <f>預測IC!DK4</f>
        <v>-2.702995348835956E-2</v>
      </c>
      <c r="DL4" s="25">
        <f>預測IC!DL4</f>
        <v>-1.9450420003777492E-2</v>
      </c>
      <c r="DM4" s="25">
        <f>預測IC!DM4</f>
        <v>-1.8687387511566969E-2</v>
      </c>
      <c r="DN4" s="25">
        <f>預測IC!DN4</f>
        <v>-8.9243337838529595E-3</v>
      </c>
      <c r="DO4" s="25">
        <f>預測IC!DO4</f>
        <v>-2.2448412563485658E-2</v>
      </c>
      <c r="DP4" s="25">
        <f>預測IC!DP4</f>
        <v>-2.9487498188438439E-2</v>
      </c>
      <c r="DQ4" s="25">
        <f>預測IC!DQ4</f>
        <v>-3.6680869276058257E-2</v>
      </c>
      <c r="DR4" s="25">
        <f>預測IC!DR4</f>
        <v>-2.964822814067369E-2</v>
      </c>
      <c r="DS4" s="25">
        <f>預測IC!DS4</f>
        <v>-2.8893370012943329E-2</v>
      </c>
      <c r="DT4" s="25">
        <f>預測IC!DT4</f>
        <v>-4.1056175553995593E-2</v>
      </c>
      <c r="DU4" s="25">
        <f>預測IC!DU4</f>
        <v>-3.7310764401418541E-2</v>
      </c>
      <c r="DV4" s="25">
        <f>預測IC!DV4</f>
        <v>-9.8104083511435913E-3</v>
      </c>
      <c r="DW4" s="25">
        <f>預測IC!DW4</f>
        <v>-1.9249126149739601E-2</v>
      </c>
      <c r="DX4" s="25">
        <f>預測IC!DX4</f>
        <v>-3.0385994354775469E-2</v>
      </c>
      <c r="DY4" s="25">
        <f>預測IC!DY4</f>
        <v>-3.3048945391833368E-2</v>
      </c>
      <c r="DZ4" s="25">
        <f>預測IC!DZ4</f>
        <v>-3.0875828777379061E-2</v>
      </c>
      <c r="EA4" s="25">
        <f>預測IC!EA4</f>
        <v>-3.1659361830993098E-2</v>
      </c>
      <c r="EB4" s="25">
        <f>預測IC!EB4</f>
        <v>-3.4389624405496783E-2</v>
      </c>
      <c r="EC4" s="25">
        <f>預測IC!EC4</f>
        <v>-4.1069385194225268E-2</v>
      </c>
      <c r="ED4" s="25">
        <f>預測IC!ED4</f>
        <v>-3.100505897009637E-2</v>
      </c>
      <c r="EE4" s="25">
        <f>預測IC!EE4</f>
        <v>-2.307612898354422E-2</v>
      </c>
      <c r="EF4" s="25">
        <f>預測IC!EF4</f>
        <v>-1.1421019476021661E-2</v>
      </c>
      <c r="EG4" s="1"/>
    </row>
    <row r="5" spans="1:139">
      <c r="A5" s="7"/>
      <c r="B5" s="22" t="s">
        <v>138</v>
      </c>
      <c r="C5" s="25">
        <f>預測IC!C5</f>
        <v>3.592321643530621E-3</v>
      </c>
      <c r="D5" s="25">
        <f>預測IC!D5</f>
        <v>2.8862197223557262E-3</v>
      </c>
      <c r="E5" s="25">
        <f>預測IC!E5</f>
        <v>8.0135071589913301E-3</v>
      </c>
      <c r="F5" s="25">
        <f>預測IC!F5</f>
        <v>7.4387135878969382E-3</v>
      </c>
      <c r="G5" s="25">
        <f>預測IC!G5</f>
        <v>-1.698488952144591E-4</v>
      </c>
      <c r="H5" s="25">
        <f>預測IC!H5</f>
        <v>9.1359420815390231E-3</v>
      </c>
      <c r="I5" s="25">
        <f>預測IC!I5</f>
        <v>1.2007171314759381E-2</v>
      </c>
      <c r="J5" s="25">
        <f>預測IC!J5</f>
        <v>5.9464452790785093E-3</v>
      </c>
      <c r="K5" s="25">
        <f>預測IC!K5</f>
        <v>1.6591641238482821E-2</v>
      </c>
      <c r="L5" s="25">
        <f>預測IC!L5</f>
        <v>1.920161893371632E-2</v>
      </c>
      <c r="M5" s="25">
        <f>預測IC!M5</f>
        <v>1.9701815290587801E-2</v>
      </c>
      <c r="N5" s="25">
        <f>預測IC!N5</f>
        <v>2.0161711803974011E-2</v>
      </c>
      <c r="O5" s="25">
        <f>預測IC!O5</f>
        <v>1.3437225514017491E-2</v>
      </c>
      <c r="P5" s="25">
        <f>預測IC!P5</f>
        <v>1.7638047330766411E-2</v>
      </c>
      <c r="Q5" s="25">
        <f>預測IC!Q5</f>
        <v>1.3117422271736861E-2</v>
      </c>
      <c r="R5" s="25">
        <f>預測IC!R5</f>
        <v>1.345674557846294E-2</v>
      </c>
      <c r="S5" s="25">
        <f>預測IC!S5</f>
        <v>1.6544045810315121E-2</v>
      </c>
      <c r="T5" s="25">
        <f>預測IC!T5</f>
        <v>1.588127346287815E-2</v>
      </c>
      <c r="U5" s="25">
        <f>預測IC!U5</f>
        <v>2.5940277266489609E-2</v>
      </c>
      <c r="V5" s="25">
        <f>預測IC!V5</f>
        <v>1.968064199513106E-2</v>
      </c>
      <c r="W5" s="25">
        <f>預測IC!W5</f>
        <v>3.2681747373401578E-2</v>
      </c>
      <c r="X5" s="25">
        <f>預測IC!X5</f>
        <v>2.88193361747647E-2</v>
      </c>
      <c r="Y5" s="25">
        <f>預測IC!Y5</f>
        <v>-3.6096516306345743E-2</v>
      </c>
      <c r="Z5" s="25">
        <f>預測IC!Z5</f>
        <v>-5.819473766386217E-3</v>
      </c>
      <c r="AA5" s="25">
        <f>預測IC!AA5</f>
        <v>-1.384361877178903E-2</v>
      </c>
      <c r="AB5" s="25">
        <f>預測IC!AB5</f>
        <v>-4.9937139241651593E-2</v>
      </c>
      <c r="AC5" s="25">
        <f>預測IC!AC5</f>
        <v>-9.2081626879443376E-3</v>
      </c>
      <c r="AD5" s="25">
        <f>預測IC!AD5</f>
        <v>-6.5956474854444447E-2</v>
      </c>
      <c r="AE5" s="25">
        <f>預測IC!AE5</f>
        <v>-2.173514574122511E-2</v>
      </c>
      <c r="AF5" s="25">
        <f>預測IC!AF5</f>
        <v>8.972422407877146E-3</v>
      </c>
      <c r="AG5" s="25">
        <f>預測IC!AG5</f>
        <v>-1.1832985971204321E-2</v>
      </c>
      <c r="AH5" s="25">
        <f>預測IC!AH5</f>
        <v>-2.9651907106316919E-3</v>
      </c>
      <c r="AI5" s="25">
        <f>預測IC!AI5</f>
        <v>4.7857326511695827E-3</v>
      </c>
      <c r="AJ5" s="25">
        <f>預測IC!AJ5</f>
        <v>5.7367073977292078E-3</v>
      </c>
      <c r="AK5" s="25">
        <f>預測IC!AK5</f>
        <v>7.392687328147911E-3</v>
      </c>
      <c r="AL5" s="25">
        <f>預測IC!AL5</f>
        <v>-1.8742539375924459E-3</v>
      </c>
      <c r="AM5" s="25">
        <f>預測IC!AM5</f>
        <v>-1.9525231098321519E-3</v>
      </c>
      <c r="AN5" s="25">
        <f>預測IC!AN5</f>
        <v>-3.6238168597597618E-3</v>
      </c>
      <c r="AO5" s="25">
        <f>預測IC!AO5</f>
        <v>-9.160305976377861E-3</v>
      </c>
      <c r="AP5" s="25">
        <f>預測IC!AP5</f>
        <v>2.5415010892232532E-3</v>
      </c>
      <c r="AQ5" s="25">
        <f>預測IC!AQ5</f>
        <v>3.8483729442072112E-3</v>
      </c>
      <c r="AR5" s="25">
        <f>預測IC!AR5</f>
        <v>3.4029774500497689E-3</v>
      </c>
      <c r="AS5" s="25">
        <f>預測IC!AS5</f>
        <v>8.5747228695072812E-4</v>
      </c>
      <c r="AT5" s="25">
        <f>預測IC!AT5</f>
        <v>8.1789276697448558E-3</v>
      </c>
      <c r="AU5" s="25">
        <f>預測IC!AU5</f>
        <v>1.005796764455418E-2</v>
      </c>
      <c r="AV5" s="25">
        <f>預測IC!AV5</f>
        <v>1.1137854065294999E-2</v>
      </c>
      <c r="AW5" s="25">
        <f>預測IC!AW5</f>
        <v>1.337826848807136E-2</v>
      </c>
      <c r="AX5" s="25">
        <f>預測IC!AX5</f>
        <v>1.18848248356704E-2</v>
      </c>
      <c r="AY5" s="25">
        <f>預測IC!AY5</f>
        <v>-6.6054212052508997E-6</v>
      </c>
      <c r="AZ5" s="25">
        <f>預測IC!AZ5</f>
        <v>7.8238778565858352E-3</v>
      </c>
      <c r="BA5" s="25">
        <f>預測IC!BA5</f>
        <v>6.98923551593754E-3</v>
      </c>
      <c r="BB5" s="25">
        <f>預測IC!BB5</f>
        <v>7.1871697288773849E-3</v>
      </c>
      <c r="BC5" s="25">
        <f>預測IC!BC5</f>
        <v>-2.3924143890266141E-3</v>
      </c>
      <c r="BD5" s="25">
        <f>預測IC!BD5</f>
        <v>7.2638542327923324E-4</v>
      </c>
      <c r="BE5" s="25">
        <f>預測IC!BE5</f>
        <v>-2.2265342845179791E-3</v>
      </c>
      <c r="BF5" s="25">
        <f>預測IC!BF5</f>
        <v>-1.044661448632583E-3</v>
      </c>
      <c r="BG5" s="25">
        <f>預測IC!BG5</f>
        <v>-2.071082545210403E-2</v>
      </c>
      <c r="BH5" s="25">
        <f>預測IC!BH5</f>
        <v>-4.4325197973968437E-2</v>
      </c>
      <c r="BI5" s="25">
        <f>預測IC!BI5</f>
        <v>-1.4765945486966079E-2</v>
      </c>
      <c r="BJ5" s="25">
        <f>預測IC!BJ5</f>
        <v>-2.2277758365709211E-2</v>
      </c>
      <c r="BK5" s="25">
        <f>預測IC!BK5</f>
        <v>-2.350667592759435E-2</v>
      </c>
      <c r="BL5" s="25">
        <f>預測IC!BL5</f>
        <v>-1.659613811373151E-2</v>
      </c>
      <c r="BM5" s="25">
        <f>預測IC!BM5</f>
        <v>-3.7766406128849933E-2</v>
      </c>
      <c r="BN5" s="25">
        <f>預測IC!BN5</f>
        <v>-1.0040541012613679E-2</v>
      </c>
      <c r="BO5" s="25">
        <f>預測IC!BO5</f>
        <v>-7.4939665232719018E-3</v>
      </c>
      <c r="BP5" s="25">
        <f>預測IC!BP5</f>
        <v>3.371447827029599E-3</v>
      </c>
      <c r="BQ5" s="25">
        <f>預測IC!BQ5</f>
        <v>6.8205160463408977E-3</v>
      </c>
      <c r="BR5" s="25">
        <f>預測IC!BR5</f>
        <v>5.5997292120069176E-3</v>
      </c>
      <c r="BS5" s="25">
        <f>預測IC!BS5</f>
        <v>1.5475741356267531E-2</v>
      </c>
      <c r="BT5" s="25">
        <f>預測IC!BT5</f>
        <v>2.505139605033146E-3</v>
      </c>
      <c r="BU5" s="25">
        <f>預測IC!BU5</f>
        <v>6.9054048686437997E-3</v>
      </c>
      <c r="BV5" s="25">
        <f>預測IC!BV5</f>
        <v>6.7595125599199234E-3</v>
      </c>
      <c r="BW5" s="25">
        <f>預測IC!BW5</f>
        <v>5.3854477548855081E-3</v>
      </c>
      <c r="BX5" s="25">
        <f>預測IC!BX5</f>
        <v>-5.1415040641252419E-4</v>
      </c>
      <c r="BY5" s="25">
        <f>預測IC!BY5</f>
        <v>-4.2217786474238123E-3</v>
      </c>
      <c r="BZ5" s="25">
        <f>預測IC!BZ5</f>
        <v>1.3635264175112351E-3</v>
      </c>
      <c r="CA5" s="25">
        <f>預測IC!CA5</f>
        <v>1.234011782232132E-2</v>
      </c>
      <c r="CB5" s="25">
        <f>預測IC!CB5</f>
        <v>1.616138172374685E-2</v>
      </c>
      <c r="CC5" s="25">
        <f>預測IC!CC5</f>
        <v>2.1700747371675229E-3</v>
      </c>
      <c r="CD5" s="25">
        <f>預測IC!CD5</f>
        <v>8.3982369302591179E-3</v>
      </c>
      <c r="CE5" s="25">
        <f>預測IC!CE5</f>
        <v>2.9924757275427601E-3</v>
      </c>
      <c r="CF5" s="25">
        <f>預測IC!CF5</f>
        <v>-8.3356639285777159E-4</v>
      </c>
      <c r="CG5" s="25">
        <f>預測IC!CG5</f>
        <v>-7.4006182308146765E-4</v>
      </c>
      <c r="CH5" s="25">
        <f>預測IC!CH5</f>
        <v>-1.191538287503947E-2</v>
      </c>
      <c r="CI5" s="25">
        <f>預測IC!CI5</f>
        <v>-1.445466793303803E-2</v>
      </c>
      <c r="CJ5" s="25">
        <f>預測IC!CJ5</f>
        <v>-7.2598371634770833E-3</v>
      </c>
      <c r="CK5" s="25">
        <f>預測IC!CK5</f>
        <v>-1.2941787548456081E-3</v>
      </c>
      <c r="CL5" s="25">
        <f>預測IC!CL5</f>
        <v>9.4434034914934982E-3</v>
      </c>
      <c r="CM5" s="25">
        <f>預測IC!CM5</f>
        <v>5.1140346103961546E-3</v>
      </c>
      <c r="CN5" s="25">
        <f>預測IC!CN5</f>
        <v>2.873279302798517E-3</v>
      </c>
      <c r="CO5" s="25">
        <f>預測IC!CO5</f>
        <v>1.7240475986858961E-2</v>
      </c>
      <c r="CP5" s="25">
        <f>預測IC!CP5</f>
        <v>1.141421806863863E-2</v>
      </c>
      <c r="CQ5" s="25">
        <f>預測IC!CQ5</f>
        <v>9.0067640458367376E-3</v>
      </c>
      <c r="CR5" s="25">
        <f>預測IC!CR5</f>
        <v>-2.0834521461759619E-3</v>
      </c>
      <c r="CS5" s="25">
        <f>預測IC!CS5</f>
        <v>-2.1705770934876179E-2</v>
      </c>
      <c r="CT5" s="25">
        <f>預測IC!CT5</f>
        <v>-5.3317796351909441E-3</v>
      </c>
      <c r="CU5" s="25">
        <f>預測IC!CU5</f>
        <v>-3.68701425744362E-3</v>
      </c>
      <c r="CV5" s="25">
        <f>預測IC!CV5</f>
        <v>-3.7795651312946363E-2</v>
      </c>
      <c r="CW5" s="25">
        <f>預測IC!CW5</f>
        <v>-1.389414662767193E-2</v>
      </c>
      <c r="CX5" s="25">
        <f>預測IC!CX5</f>
        <v>6.6294897158866908E-3</v>
      </c>
      <c r="CY5" s="25">
        <f>預測IC!CY5</f>
        <v>-8.2669791474472652E-3</v>
      </c>
      <c r="CZ5" s="25">
        <f>預測IC!CZ5</f>
        <v>1.6345621066842339E-3</v>
      </c>
      <c r="DA5" s="25">
        <f>預測IC!DA5</f>
        <v>4.0989739461057587E-4</v>
      </c>
      <c r="DB5" s="25">
        <f>預測IC!DB5</f>
        <v>4.4160124984572238E-3</v>
      </c>
      <c r="DC5" s="25">
        <f>預測IC!DC5</f>
        <v>2.6999676534044229E-2</v>
      </c>
      <c r="DD5" s="25">
        <f>預測IC!DD5</f>
        <v>9.3187860184787523E-3</v>
      </c>
      <c r="DE5" s="25">
        <f>預測IC!DE5</f>
        <v>-7.7970742974550434E-3</v>
      </c>
      <c r="DF5" s="25">
        <f>預測IC!DF5</f>
        <v>-8.1874226333864611E-3</v>
      </c>
      <c r="DG5" s="25">
        <f>預測IC!DG5</f>
        <v>4.7082207843577081E-3</v>
      </c>
      <c r="DH5" s="25">
        <f>預測IC!DH5</f>
        <v>-1.366700326533769E-2</v>
      </c>
      <c r="DI5" s="25">
        <f>預測IC!DI5</f>
        <v>-7.0506889413944297E-3</v>
      </c>
      <c r="DJ5" s="25">
        <f>預測IC!DJ5</f>
        <v>-1.7588579481036151E-3</v>
      </c>
      <c r="DK5" s="25">
        <f>預測IC!DK5</f>
        <v>3.3090688344859318E-3</v>
      </c>
      <c r="DL5" s="25">
        <f>預測IC!DL5</f>
        <v>4.8628677609277053E-3</v>
      </c>
      <c r="DM5" s="25">
        <f>預測IC!DM5</f>
        <v>3.615095063496505E-3</v>
      </c>
      <c r="DN5" s="25">
        <f>預測IC!DN5</f>
        <v>6.2882035928106261E-3</v>
      </c>
      <c r="DO5" s="25">
        <f>預測IC!DO5</f>
        <v>3.5527335435835928E-3</v>
      </c>
      <c r="DP5" s="25">
        <f>預測IC!DP5</f>
        <v>2.522276075432245E-3</v>
      </c>
      <c r="DQ5" s="25">
        <f>預測IC!DQ5</f>
        <v>-1.066481554793703E-2</v>
      </c>
      <c r="DR5" s="25">
        <f>預測IC!DR5</f>
        <v>1.0994664104448231E-2</v>
      </c>
      <c r="DS5" s="25">
        <f>預測IC!DS5</f>
        <v>-6.4490210014508389E-4</v>
      </c>
      <c r="DT5" s="25">
        <f>預測IC!DT5</f>
        <v>2.3512508887306921E-4</v>
      </c>
      <c r="DU5" s="25">
        <f>預測IC!DU5</f>
        <v>7.3690345715555156E-3</v>
      </c>
      <c r="DV5" s="25">
        <f>預測IC!DV5</f>
        <v>6.7783151790338399E-3</v>
      </c>
      <c r="DW5" s="25">
        <f>預測IC!DW5</f>
        <v>-3.7712345710407022E-3</v>
      </c>
      <c r="DX5" s="25">
        <f>預測IC!DX5</f>
        <v>1.105501636716033E-3</v>
      </c>
      <c r="DY5" s="25">
        <f>預測IC!DY5</f>
        <v>3.3867890298772299E-3</v>
      </c>
      <c r="DZ5" s="25">
        <f>預測IC!DZ5</f>
        <v>3.2550462209418539E-3</v>
      </c>
      <c r="EA5" s="25">
        <f>預測IC!EA5</f>
        <v>6.2664247918384338E-3</v>
      </c>
      <c r="EB5" s="25">
        <f>預測IC!EB5</f>
        <v>-1.711276767800882E-2</v>
      </c>
      <c r="EC5" s="25">
        <f>預測IC!EC5</f>
        <v>-2.088664436358852E-2</v>
      </c>
      <c r="ED5" s="25">
        <f>預測IC!ED5</f>
        <v>-1.0693731182181591E-2</v>
      </c>
      <c r="EE5" s="25">
        <f>預測IC!EE5</f>
        <v>-1.1958726691457309E-2</v>
      </c>
      <c r="EF5" s="25">
        <f>預測IC!EF5</f>
        <v>-1.4122559209273111E-2</v>
      </c>
      <c r="EG5" s="1"/>
    </row>
    <row r="6" spans="1:139" s="2" customFormat="1">
      <c r="A6" s="27" t="s">
        <v>139</v>
      </c>
      <c r="B6" s="28"/>
      <c r="C6" s="26" cm="1">
        <f t="array" ref="C6">MATCH(MAX(ABS(C3:C5)), ABS(C3:C5), 0)</f>
        <v>2</v>
      </c>
      <c r="D6" s="26" cm="1">
        <f t="array" ref="D6">MATCH(MAX(ABS(D3:D5)), ABS(D3:D5), 0)</f>
        <v>2</v>
      </c>
      <c r="E6" s="26" cm="1">
        <f t="array" ref="E6">MATCH(MAX(ABS(E3:E5)), ABS(E3:E5), 0)</f>
        <v>2</v>
      </c>
      <c r="F6" s="26" cm="1">
        <f t="array" ref="F6">MATCH(MAX(ABS(F3:F5)), ABS(F3:F5), 0)</f>
        <v>2</v>
      </c>
      <c r="G6" s="26" cm="1">
        <f t="array" ref="G6">MATCH(MAX(ABS(G3:G5)), ABS(G3:G5), 0)</f>
        <v>2</v>
      </c>
      <c r="H6" s="26" cm="1">
        <f t="array" ref="H6">MATCH(MAX(ABS(H3:H5)), ABS(H3:H5), 0)</f>
        <v>2</v>
      </c>
      <c r="I6" s="26" cm="1">
        <f t="array" ref="I6">MATCH(MAX(ABS(I3:I5)), ABS(I3:I5), 0)</f>
        <v>2</v>
      </c>
      <c r="J6" s="26" cm="1">
        <f t="array" ref="J6">MATCH(MAX(ABS(J3:J5)), ABS(J3:J5), 0)</f>
        <v>2</v>
      </c>
      <c r="K6" s="26" cm="1">
        <f t="array" ref="K6">MATCH(MAX(ABS(K3:K5)), ABS(K3:K5), 0)</f>
        <v>2</v>
      </c>
      <c r="L6" s="26" cm="1">
        <f t="array" ref="L6">MATCH(MAX(ABS(L3:L5)), ABS(L3:L5), 0)</f>
        <v>2</v>
      </c>
      <c r="M6" s="26" cm="1">
        <f t="array" ref="M6">MATCH(MAX(ABS(M3:M5)), ABS(M3:M5), 0)</f>
        <v>1</v>
      </c>
      <c r="N6" s="26" cm="1">
        <f t="array" ref="N6">MATCH(MAX(ABS(N3:N5)), ABS(N3:N5), 0)</f>
        <v>2</v>
      </c>
      <c r="O6" s="26" cm="1">
        <f t="array" ref="O6">MATCH(MAX(ABS(O3:O5)), ABS(O3:O5), 0)</f>
        <v>2</v>
      </c>
      <c r="P6" s="26" cm="1">
        <f t="array" ref="P6">MATCH(MAX(ABS(P3:P5)), ABS(P3:P5), 0)</f>
        <v>2</v>
      </c>
      <c r="Q6" s="26" cm="1">
        <f t="array" ref="Q6">MATCH(MAX(ABS(Q3:Q5)), ABS(Q3:Q5), 0)</f>
        <v>2</v>
      </c>
      <c r="R6" s="26" cm="1">
        <f t="array" ref="R6">MATCH(MAX(ABS(R3:R5)), ABS(R3:R5), 0)</f>
        <v>2</v>
      </c>
      <c r="S6" s="26" cm="1">
        <f t="array" ref="S6">MATCH(MAX(ABS(S3:S5)), ABS(S3:S5), 0)</f>
        <v>2</v>
      </c>
      <c r="T6" s="26" cm="1">
        <f t="array" ref="T6">MATCH(MAX(ABS(T3:T5)), ABS(T3:T5), 0)</f>
        <v>1</v>
      </c>
      <c r="U6" s="26" cm="1">
        <f t="array" ref="U6">MATCH(MAX(ABS(U3:U5)), ABS(U3:U5), 0)</f>
        <v>2</v>
      </c>
      <c r="V6" s="26" cm="1">
        <f t="array" ref="V6">MATCH(MAX(ABS(V3:V5)), ABS(V3:V5), 0)</f>
        <v>2</v>
      </c>
      <c r="W6" s="26" cm="1">
        <f t="array" ref="W6">MATCH(MAX(ABS(W3:W5)), ABS(W3:W5), 0)</f>
        <v>1</v>
      </c>
      <c r="X6" s="26" cm="1">
        <f t="array" ref="X6">MATCH(MAX(ABS(X3:X5)), ABS(X3:X5), 0)</f>
        <v>2</v>
      </c>
      <c r="Y6" s="26" cm="1">
        <f t="array" ref="Y6">MATCH(MAX(ABS(Y3:Y5)), ABS(Y3:Y5), 0)</f>
        <v>2</v>
      </c>
      <c r="Z6" s="26" cm="1">
        <f t="array" ref="Z6">MATCH(MAX(ABS(Z3:Z5)), ABS(Z3:Z5), 0)</f>
        <v>2</v>
      </c>
      <c r="AA6" s="26" cm="1">
        <f t="array" ref="AA6">MATCH(MAX(ABS(AA3:AA5)), ABS(AA3:AA5), 0)</f>
        <v>2</v>
      </c>
      <c r="AB6" s="26" cm="1">
        <f t="array" ref="AB6">MATCH(MAX(ABS(AB3:AB5)), ABS(AB3:AB5), 0)</f>
        <v>3</v>
      </c>
      <c r="AC6" s="26" cm="1">
        <f t="array" ref="AC6">MATCH(MAX(ABS(AC3:AC5)), ABS(AC3:AC5), 0)</f>
        <v>2</v>
      </c>
      <c r="AD6" s="26" cm="1">
        <f t="array" ref="AD6">MATCH(MAX(ABS(AD3:AD5)), ABS(AD3:AD5), 0)</f>
        <v>3</v>
      </c>
      <c r="AE6" s="26" cm="1">
        <f t="array" ref="AE6">MATCH(MAX(ABS(AE3:AE5)), ABS(AE3:AE5), 0)</f>
        <v>2</v>
      </c>
      <c r="AF6" s="26" cm="1">
        <f t="array" ref="AF6">MATCH(MAX(ABS(AF3:AF5)), ABS(AF3:AF5), 0)</f>
        <v>1</v>
      </c>
      <c r="AG6" s="26" cm="1">
        <f t="array" ref="AG6">MATCH(MAX(ABS(AG3:AG5)), ABS(AG3:AG5), 0)</f>
        <v>2</v>
      </c>
      <c r="AH6" s="26" cm="1">
        <f t="array" ref="AH6">MATCH(MAX(ABS(AH3:AH5)), ABS(AH3:AH5), 0)</f>
        <v>1</v>
      </c>
      <c r="AI6" s="26" cm="1">
        <f t="array" ref="AI6">MATCH(MAX(ABS(AI3:AI5)), ABS(AI3:AI5), 0)</f>
        <v>1</v>
      </c>
      <c r="AJ6" s="26" cm="1">
        <f t="array" ref="AJ6">MATCH(MAX(ABS(AJ3:AJ5)), ABS(AJ3:AJ5), 0)</f>
        <v>1</v>
      </c>
      <c r="AK6" s="26" cm="1">
        <f t="array" ref="AK6">MATCH(MAX(ABS(AK3:AK5)), ABS(AK3:AK5), 0)</f>
        <v>1</v>
      </c>
      <c r="AL6" s="26" cm="1">
        <f t="array" ref="AL6">MATCH(MAX(ABS(AL3:AL5)), ABS(AL3:AL5), 0)</f>
        <v>1</v>
      </c>
      <c r="AM6" s="26" cm="1">
        <f t="array" ref="AM6">MATCH(MAX(ABS(AM3:AM5)), ABS(AM3:AM5), 0)</f>
        <v>1</v>
      </c>
      <c r="AN6" s="26" cm="1">
        <f t="array" ref="AN6">MATCH(MAX(ABS(AN3:AN5)), ABS(AN3:AN5), 0)</f>
        <v>1</v>
      </c>
      <c r="AO6" s="26" cm="1">
        <f t="array" ref="AO6">MATCH(MAX(ABS(AO3:AO5)), ABS(AO3:AO5), 0)</f>
        <v>1</v>
      </c>
      <c r="AP6" s="26" cm="1">
        <f t="array" ref="AP6">MATCH(MAX(ABS(AP3:AP5)), ABS(AP3:AP5), 0)</f>
        <v>1</v>
      </c>
      <c r="AQ6" s="26" cm="1">
        <f t="array" ref="AQ6">MATCH(MAX(ABS(AQ3:AQ5)), ABS(AQ3:AQ5), 0)</f>
        <v>1</v>
      </c>
      <c r="AR6" s="26" cm="1">
        <f t="array" ref="AR6">MATCH(MAX(ABS(AR3:AR5)), ABS(AR3:AR5), 0)</f>
        <v>1</v>
      </c>
      <c r="AS6" s="26" cm="1">
        <f t="array" ref="AS6">MATCH(MAX(ABS(AS3:AS5)), ABS(AS3:AS5), 0)</f>
        <v>1</v>
      </c>
      <c r="AT6" s="26" cm="1">
        <f t="array" ref="AT6">MATCH(MAX(ABS(AT3:AT5)), ABS(AT3:AT5), 0)</f>
        <v>1</v>
      </c>
      <c r="AU6" s="26" cm="1">
        <f t="array" ref="AU6">MATCH(MAX(ABS(AU3:AU5)), ABS(AU3:AU5), 0)</f>
        <v>1</v>
      </c>
      <c r="AV6" s="26" cm="1">
        <f t="array" ref="AV6">MATCH(MAX(ABS(AV3:AV5)), ABS(AV3:AV5), 0)</f>
        <v>1</v>
      </c>
      <c r="AW6" s="26" cm="1">
        <f t="array" ref="AW6">MATCH(MAX(ABS(AW3:AW5)), ABS(AW3:AW5), 0)</f>
        <v>1</v>
      </c>
      <c r="AX6" s="26" cm="1">
        <f t="array" ref="AX6">MATCH(MAX(ABS(AX3:AX5)), ABS(AX3:AX5), 0)</f>
        <v>1</v>
      </c>
      <c r="AY6" s="26" cm="1">
        <f t="array" ref="AY6">MATCH(MAX(ABS(AY3:AY5)), ABS(AY3:AY5), 0)</f>
        <v>1</v>
      </c>
      <c r="AZ6" s="26" cm="1">
        <f t="array" ref="AZ6">MATCH(MAX(ABS(AZ3:AZ5)), ABS(AZ3:AZ5), 0)</f>
        <v>1</v>
      </c>
      <c r="BA6" s="26" cm="1">
        <f t="array" ref="BA6">MATCH(MAX(ABS(BA3:BA5)), ABS(BA3:BA5), 0)</f>
        <v>2</v>
      </c>
      <c r="BB6" s="26" cm="1">
        <f t="array" ref="BB6">MATCH(MAX(ABS(BB3:BB5)), ABS(BB3:BB5), 0)</f>
        <v>2</v>
      </c>
      <c r="BC6" s="26" cm="1">
        <f t="array" ref="BC6">MATCH(MAX(ABS(BC3:BC5)), ABS(BC3:BC5), 0)</f>
        <v>1</v>
      </c>
      <c r="BD6" s="26" cm="1">
        <f t="array" ref="BD6">MATCH(MAX(ABS(BD3:BD5)), ABS(BD3:BD5), 0)</f>
        <v>1</v>
      </c>
      <c r="BE6" s="26" cm="1">
        <f t="array" ref="BE6">MATCH(MAX(ABS(BE3:BE5)), ABS(BE3:BE5), 0)</f>
        <v>1</v>
      </c>
      <c r="BF6" s="26" cm="1">
        <f t="array" ref="BF6">MATCH(MAX(ABS(BF3:BF5)), ABS(BF3:BF5), 0)</f>
        <v>1</v>
      </c>
      <c r="BG6" s="26" cm="1">
        <f t="array" ref="BG6">MATCH(MAX(ABS(BG3:BG5)), ABS(BG3:BG5), 0)</f>
        <v>1</v>
      </c>
      <c r="BH6" s="26" cm="1">
        <f t="array" ref="BH6">MATCH(MAX(ABS(BH3:BH5)), ABS(BH3:BH5), 0)</f>
        <v>1</v>
      </c>
      <c r="BI6" s="26" cm="1">
        <f t="array" ref="BI6">MATCH(MAX(ABS(BI3:BI5)), ABS(BI3:BI5), 0)</f>
        <v>1</v>
      </c>
      <c r="BJ6" s="26" cm="1">
        <f t="array" ref="BJ6">MATCH(MAX(ABS(BJ3:BJ5)), ABS(BJ3:BJ5), 0)</f>
        <v>1</v>
      </c>
      <c r="BK6" s="26" cm="1">
        <f t="array" ref="BK6">MATCH(MAX(ABS(BK3:BK5)), ABS(BK3:BK5), 0)</f>
        <v>1</v>
      </c>
      <c r="BL6" s="26" cm="1">
        <f t="array" ref="BL6">MATCH(MAX(ABS(BL3:BL5)), ABS(BL3:BL5), 0)</f>
        <v>1</v>
      </c>
      <c r="BM6" s="26" cm="1">
        <f t="array" ref="BM6">MATCH(MAX(ABS(BM3:BM5)), ABS(BM3:BM5), 0)</f>
        <v>3</v>
      </c>
      <c r="BN6" s="26" cm="1">
        <f t="array" ref="BN6">MATCH(MAX(ABS(BN3:BN5)), ABS(BN3:BN5), 0)</f>
        <v>1</v>
      </c>
      <c r="BO6" s="26" cm="1">
        <f t="array" ref="BO6">MATCH(MAX(ABS(BO3:BO5)), ABS(BO3:BO5), 0)</f>
        <v>1</v>
      </c>
      <c r="BP6" s="26" cm="1">
        <f t="array" ref="BP6">MATCH(MAX(ABS(BP3:BP5)), ABS(BP3:BP5), 0)</f>
        <v>1</v>
      </c>
      <c r="BQ6" s="26" cm="1">
        <f t="array" ref="BQ6">MATCH(MAX(ABS(BQ3:BQ5)), ABS(BQ3:BQ5), 0)</f>
        <v>1</v>
      </c>
      <c r="BR6" s="26" cm="1">
        <f t="array" ref="BR6">MATCH(MAX(ABS(BR3:BR5)), ABS(BR3:BR5), 0)</f>
        <v>1</v>
      </c>
      <c r="BS6" s="26" cm="1">
        <f t="array" ref="BS6">MATCH(MAX(ABS(BS3:BS5)), ABS(BS3:BS5), 0)</f>
        <v>1</v>
      </c>
      <c r="BT6" s="26" cm="1">
        <f t="array" ref="BT6">MATCH(MAX(ABS(BT3:BT5)), ABS(BT3:BT5), 0)</f>
        <v>1</v>
      </c>
      <c r="BU6" s="26" cm="1">
        <f t="array" ref="BU6">MATCH(MAX(ABS(BU3:BU5)), ABS(BU3:BU5), 0)</f>
        <v>1</v>
      </c>
      <c r="BV6" s="26" cm="1">
        <f t="array" ref="BV6">MATCH(MAX(ABS(BV3:BV5)), ABS(BV3:BV5), 0)</f>
        <v>1</v>
      </c>
      <c r="BW6" s="26" cm="1">
        <f t="array" ref="BW6">MATCH(MAX(ABS(BW3:BW5)), ABS(BW3:BW5), 0)</f>
        <v>1</v>
      </c>
      <c r="BX6" s="26" cm="1">
        <f t="array" ref="BX6">MATCH(MAX(ABS(BX3:BX5)), ABS(BX3:BX5), 0)</f>
        <v>1</v>
      </c>
      <c r="BY6" s="26" cm="1">
        <f t="array" ref="BY6">MATCH(MAX(ABS(BY3:BY5)), ABS(BY3:BY5), 0)</f>
        <v>1</v>
      </c>
      <c r="BZ6" s="26" cm="1">
        <f t="array" ref="BZ6">MATCH(MAX(ABS(BZ3:BZ5)), ABS(BZ3:BZ5), 0)</f>
        <v>1</v>
      </c>
      <c r="CA6" s="26" cm="1">
        <f t="array" ref="CA6">MATCH(MAX(ABS(CA3:CA5)), ABS(CA3:CA5), 0)</f>
        <v>1</v>
      </c>
      <c r="CB6" s="26" cm="1">
        <f t="array" ref="CB6">MATCH(MAX(ABS(CB3:CB5)), ABS(CB3:CB5), 0)</f>
        <v>1</v>
      </c>
      <c r="CC6" s="26" cm="1">
        <f t="array" ref="CC6">MATCH(MAX(ABS(CC3:CC5)), ABS(CC3:CC5), 0)</f>
        <v>2</v>
      </c>
      <c r="CD6" s="26" cm="1">
        <f t="array" ref="CD6">MATCH(MAX(ABS(CD3:CD5)), ABS(CD3:CD5), 0)</f>
        <v>2</v>
      </c>
      <c r="CE6" s="26" cm="1">
        <f t="array" ref="CE6">MATCH(MAX(ABS(CE3:CE5)), ABS(CE3:CE5), 0)</f>
        <v>2</v>
      </c>
      <c r="CF6" s="26" cm="1">
        <f t="array" ref="CF6">MATCH(MAX(ABS(CF3:CF5)), ABS(CF3:CF5), 0)</f>
        <v>2</v>
      </c>
      <c r="CG6" s="26" cm="1">
        <f t="array" ref="CG6">MATCH(MAX(ABS(CG3:CG5)), ABS(CG3:CG5), 0)</f>
        <v>2</v>
      </c>
      <c r="CH6" s="26" cm="1">
        <f t="array" ref="CH6">MATCH(MAX(ABS(CH3:CH5)), ABS(CH3:CH5), 0)</f>
        <v>1</v>
      </c>
      <c r="CI6" s="26" cm="1">
        <f t="array" ref="CI6">MATCH(MAX(ABS(CI3:CI5)), ABS(CI3:CI5), 0)</f>
        <v>1</v>
      </c>
      <c r="CJ6" s="26" cm="1">
        <f t="array" ref="CJ6">MATCH(MAX(ABS(CJ3:CJ5)), ABS(CJ3:CJ5), 0)</f>
        <v>1</v>
      </c>
      <c r="CK6" s="26" cm="1">
        <f t="array" ref="CK6">MATCH(MAX(ABS(CK3:CK5)), ABS(CK3:CK5), 0)</f>
        <v>1</v>
      </c>
      <c r="CL6" s="26" cm="1">
        <f t="array" ref="CL6">MATCH(MAX(ABS(CL3:CL5)), ABS(CL3:CL5), 0)</f>
        <v>1</v>
      </c>
      <c r="CM6" s="26" cm="1">
        <f t="array" ref="CM6">MATCH(MAX(ABS(CM3:CM5)), ABS(CM3:CM5), 0)</f>
        <v>1</v>
      </c>
      <c r="CN6" s="26" cm="1">
        <f t="array" ref="CN6">MATCH(MAX(ABS(CN3:CN5)), ABS(CN3:CN5), 0)</f>
        <v>1</v>
      </c>
      <c r="CO6" s="26" cm="1">
        <f t="array" ref="CO6">MATCH(MAX(ABS(CO3:CO5)), ABS(CO3:CO5), 0)</f>
        <v>1</v>
      </c>
      <c r="CP6" s="26" cm="1">
        <f t="array" ref="CP6">MATCH(MAX(ABS(CP3:CP5)), ABS(CP3:CP5), 0)</f>
        <v>1</v>
      </c>
      <c r="CQ6" s="26" cm="1">
        <f t="array" ref="CQ6">MATCH(MAX(ABS(CQ3:CQ5)), ABS(CQ3:CQ5), 0)</f>
        <v>3</v>
      </c>
      <c r="CR6" s="26" cm="1">
        <f t="array" ref="CR6">MATCH(MAX(ABS(CR3:CR5)), ABS(CR3:CR5), 0)</f>
        <v>2</v>
      </c>
      <c r="CS6" s="26" cm="1">
        <f t="array" ref="CS6">MATCH(MAX(ABS(CS3:CS5)), ABS(CS3:CS5), 0)</f>
        <v>2</v>
      </c>
      <c r="CT6" s="26" cm="1">
        <f t="array" ref="CT6">MATCH(MAX(ABS(CT3:CT5)), ABS(CT3:CT5), 0)</f>
        <v>1</v>
      </c>
      <c r="CU6" s="26" cm="1">
        <f t="array" ref="CU6">MATCH(MAX(ABS(CU3:CU5)), ABS(CU3:CU5), 0)</f>
        <v>1</v>
      </c>
      <c r="CV6" s="26" cm="1">
        <f t="array" ref="CV6">MATCH(MAX(ABS(CV3:CV5)), ABS(CV3:CV5), 0)</f>
        <v>1</v>
      </c>
      <c r="CW6" s="26" cm="1">
        <f t="array" ref="CW6">MATCH(MAX(ABS(CW3:CW5)), ABS(CW3:CW5), 0)</f>
        <v>1</v>
      </c>
      <c r="CX6" s="26" cm="1">
        <f t="array" ref="CX6">MATCH(MAX(ABS(CX3:CX5)), ABS(CX3:CX5), 0)</f>
        <v>1</v>
      </c>
      <c r="CY6" s="26" cm="1">
        <f t="array" ref="CY6">MATCH(MAX(ABS(CY3:CY5)), ABS(CY3:CY5), 0)</f>
        <v>1</v>
      </c>
      <c r="CZ6" s="26" cm="1">
        <f t="array" ref="CZ6">MATCH(MAX(ABS(CZ3:CZ5)), ABS(CZ3:CZ5), 0)</f>
        <v>1</v>
      </c>
      <c r="DA6" s="26" cm="1">
        <f t="array" ref="DA6">MATCH(MAX(ABS(DA3:DA5)), ABS(DA3:DA5), 0)</f>
        <v>1</v>
      </c>
      <c r="DB6" s="26" cm="1">
        <f t="array" ref="DB6">MATCH(MAX(ABS(DB3:DB5)), ABS(DB3:DB5), 0)</f>
        <v>2</v>
      </c>
      <c r="DC6" s="26" cm="1">
        <f t="array" ref="DC6">MATCH(MAX(ABS(DC3:DC5)), ABS(DC3:DC5), 0)</f>
        <v>2</v>
      </c>
      <c r="DD6" s="26" cm="1">
        <f t="array" ref="DD6">MATCH(MAX(ABS(DD3:DD5)), ABS(DD3:DD5), 0)</f>
        <v>2</v>
      </c>
      <c r="DE6" s="26" cm="1">
        <f t="array" ref="DE6">MATCH(MAX(ABS(DE3:DE5)), ABS(DE3:DE5), 0)</f>
        <v>1</v>
      </c>
      <c r="DF6" s="26" cm="1">
        <f t="array" ref="DF6">MATCH(MAX(ABS(DF3:DF5)), ABS(DF3:DF5), 0)</f>
        <v>1</v>
      </c>
      <c r="DG6" s="26" cm="1">
        <f t="array" ref="DG6">MATCH(MAX(ABS(DG3:DG5)), ABS(DG3:DG5), 0)</f>
        <v>1</v>
      </c>
      <c r="DH6" s="26" cm="1">
        <f t="array" ref="DH6">MATCH(MAX(ABS(DH3:DH5)), ABS(DH3:DH5), 0)</f>
        <v>1</v>
      </c>
      <c r="DI6" s="26" cm="1">
        <f t="array" ref="DI6">MATCH(MAX(ABS(DI3:DI5)), ABS(DI3:DI5), 0)</f>
        <v>1</v>
      </c>
      <c r="DJ6" s="26" cm="1">
        <f t="array" ref="DJ6">MATCH(MAX(ABS(DJ3:DJ5)), ABS(DJ3:DJ5), 0)</f>
        <v>2</v>
      </c>
      <c r="DK6" s="26" cm="1">
        <f t="array" ref="DK6">MATCH(MAX(ABS(DK3:DK5)), ABS(DK3:DK5), 0)</f>
        <v>1</v>
      </c>
      <c r="DL6" s="26" cm="1">
        <f t="array" ref="DL6">MATCH(MAX(ABS(DL3:DL5)), ABS(DL3:DL5), 0)</f>
        <v>1</v>
      </c>
      <c r="DM6" s="26" cm="1">
        <f t="array" ref="DM6">MATCH(MAX(ABS(DM3:DM5)), ABS(DM3:DM5), 0)</f>
        <v>1</v>
      </c>
      <c r="DN6" s="26" cm="1">
        <f t="array" ref="DN6">MATCH(MAX(ABS(DN3:DN5)), ABS(DN3:DN5), 0)</f>
        <v>1</v>
      </c>
      <c r="DO6" s="26" cm="1">
        <f t="array" ref="DO6">MATCH(MAX(ABS(DO3:DO5)), ABS(DO3:DO5), 0)</f>
        <v>1</v>
      </c>
      <c r="DP6" s="26" cm="1">
        <f t="array" ref="DP6">MATCH(MAX(ABS(DP3:DP5)), ABS(DP3:DP5), 0)</f>
        <v>1</v>
      </c>
      <c r="DQ6" s="26" cm="1">
        <f t="array" ref="DQ6">MATCH(MAX(ABS(DQ3:DQ5)), ABS(DQ3:DQ5), 0)</f>
        <v>1</v>
      </c>
      <c r="DR6" s="26" cm="1">
        <f t="array" ref="DR6">MATCH(MAX(ABS(DR3:DR5)), ABS(DR3:DR5), 0)</f>
        <v>1</v>
      </c>
      <c r="DS6" s="26" cm="1">
        <f t="array" ref="DS6">MATCH(MAX(ABS(DS3:DS5)), ABS(DS3:DS5), 0)</f>
        <v>1</v>
      </c>
      <c r="DT6" s="26" cm="1">
        <f t="array" ref="DT6">MATCH(MAX(ABS(DT3:DT5)), ABS(DT3:DT5), 0)</f>
        <v>2</v>
      </c>
      <c r="DU6" s="26" cm="1">
        <f t="array" ref="DU6">MATCH(MAX(ABS(DU3:DU5)), ABS(DU3:DU5), 0)</f>
        <v>2</v>
      </c>
      <c r="DV6" s="26" cm="1">
        <f t="array" ref="DV6">MATCH(MAX(ABS(DV3:DV5)), ABS(DV3:DV5), 0)</f>
        <v>1</v>
      </c>
      <c r="DW6" s="26" cm="1">
        <f t="array" ref="DW6">MATCH(MAX(ABS(DW3:DW5)), ABS(DW3:DW5), 0)</f>
        <v>1</v>
      </c>
      <c r="DX6" s="26" cm="1">
        <f t="array" ref="DX6">MATCH(MAX(ABS(DX3:DX5)), ABS(DX3:DX5), 0)</f>
        <v>1</v>
      </c>
      <c r="DY6" s="26" cm="1">
        <f t="array" ref="DY6">MATCH(MAX(ABS(DY3:DY5)), ABS(DY3:DY5), 0)</f>
        <v>2</v>
      </c>
      <c r="DZ6" s="26" cm="1">
        <f t="array" ref="DZ6">MATCH(MAX(ABS(DZ3:DZ5)), ABS(DZ3:DZ5), 0)</f>
        <v>2</v>
      </c>
      <c r="EA6" s="26" cm="1">
        <f t="array" ref="EA6">MATCH(MAX(ABS(EA3:EA5)), ABS(EA3:EA5), 0)</f>
        <v>2</v>
      </c>
      <c r="EB6" s="26" cm="1">
        <f t="array" ref="EB6">MATCH(MAX(ABS(EB3:EB5)), ABS(EB3:EB5), 0)</f>
        <v>1</v>
      </c>
      <c r="EC6" s="26" cm="1">
        <f t="array" ref="EC6">MATCH(MAX(ABS(EC3:EC5)), ABS(EC3:EC5), 0)</f>
        <v>2</v>
      </c>
      <c r="ED6" s="26" cm="1">
        <f t="array" ref="ED6">MATCH(MAX(ABS(ED3:ED5)), ABS(ED3:ED5), 0)</f>
        <v>1</v>
      </c>
      <c r="EE6" s="26" cm="1">
        <f t="array" ref="EE6">MATCH(MAX(ABS(EE3:EE5)), ABS(EE3:EE5), 0)</f>
        <v>1</v>
      </c>
      <c r="EF6" s="26" cm="1">
        <f t="array" ref="EF6">MATCH(MAX(ABS(EF3:EF5)), ABS(EF3:EF5), 0)</f>
        <v>1</v>
      </c>
    </row>
    <row r="7" spans="1:139" s="2" customFormat="1">
      <c r="C7" s="26" t="str">
        <f>IF(C6=1,"bm",IF(C6=2,"size",IF(C6=3,"mom")))</f>
        <v>size</v>
      </c>
      <c r="D7" s="26" t="str">
        <f t="shared" ref="D7:BO7" si="0">IF(D6=1,"bm",IF(D6=2,"size",IF(D6=3,"mom")))</f>
        <v>size</v>
      </c>
      <c r="E7" s="26" t="str">
        <f t="shared" si="0"/>
        <v>size</v>
      </c>
      <c r="F7" s="26" t="str">
        <f t="shared" si="0"/>
        <v>size</v>
      </c>
      <c r="G7" s="26" t="str">
        <f t="shared" si="0"/>
        <v>size</v>
      </c>
      <c r="H7" s="26" t="str">
        <f t="shared" si="0"/>
        <v>size</v>
      </c>
      <c r="I7" s="26" t="str">
        <f t="shared" si="0"/>
        <v>size</v>
      </c>
      <c r="J7" s="26" t="str">
        <f t="shared" si="0"/>
        <v>size</v>
      </c>
      <c r="K7" s="26" t="str">
        <f t="shared" si="0"/>
        <v>size</v>
      </c>
      <c r="L7" s="26" t="str">
        <f t="shared" si="0"/>
        <v>size</v>
      </c>
      <c r="M7" s="26" t="str">
        <f t="shared" si="0"/>
        <v>bm</v>
      </c>
      <c r="N7" s="26" t="str">
        <f t="shared" si="0"/>
        <v>size</v>
      </c>
      <c r="O7" s="26" t="str">
        <f t="shared" si="0"/>
        <v>size</v>
      </c>
      <c r="P7" s="26" t="str">
        <f t="shared" si="0"/>
        <v>size</v>
      </c>
      <c r="Q7" s="26" t="str">
        <f t="shared" si="0"/>
        <v>size</v>
      </c>
      <c r="R7" s="26" t="str">
        <f t="shared" si="0"/>
        <v>size</v>
      </c>
      <c r="S7" s="26" t="str">
        <f t="shared" si="0"/>
        <v>size</v>
      </c>
      <c r="T7" s="26" t="str">
        <f t="shared" si="0"/>
        <v>bm</v>
      </c>
      <c r="U7" s="26" t="str">
        <f t="shared" si="0"/>
        <v>size</v>
      </c>
      <c r="V7" s="26" t="str">
        <f t="shared" si="0"/>
        <v>size</v>
      </c>
      <c r="W7" s="26" t="str">
        <f t="shared" si="0"/>
        <v>bm</v>
      </c>
      <c r="X7" s="26" t="str">
        <f t="shared" si="0"/>
        <v>size</v>
      </c>
      <c r="Y7" s="26" t="str">
        <f t="shared" si="0"/>
        <v>size</v>
      </c>
      <c r="Z7" s="26" t="str">
        <f t="shared" si="0"/>
        <v>size</v>
      </c>
      <c r="AA7" s="26" t="str">
        <f t="shared" si="0"/>
        <v>size</v>
      </c>
      <c r="AB7" s="26" t="str">
        <f t="shared" si="0"/>
        <v>mom</v>
      </c>
      <c r="AC7" s="26" t="str">
        <f t="shared" si="0"/>
        <v>size</v>
      </c>
      <c r="AD7" s="26" t="str">
        <f t="shared" si="0"/>
        <v>mom</v>
      </c>
      <c r="AE7" s="26" t="str">
        <f t="shared" si="0"/>
        <v>size</v>
      </c>
      <c r="AF7" s="26" t="str">
        <f t="shared" si="0"/>
        <v>bm</v>
      </c>
      <c r="AG7" s="26" t="str">
        <f t="shared" si="0"/>
        <v>size</v>
      </c>
      <c r="AH7" s="26" t="str">
        <f t="shared" si="0"/>
        <v>bm</v>
      </c>
      <c r="AI7" s="26" t="str">
        <f t="shared" si="0"/>
        <v>bm</v>
      </c>
      <c r="AJ7" s="26" t="str">
        <f t="shared" si="0"/>
        <v>bm</v>
      </c>
      <c r="AK7" s="26" t="str">
        <f t="shared" si="0"/>
        <v>bm</v>
      </c>
      <c r="AL7" s="26" t="str">
        <f t="shared" si="0"/>
        <v>bm</v>
      </c>
      <c r="AM7" s="26" t="str">
        <f t="shared" si="0"/>
        <v>bm</v>
      </c>
      <c r="AN7" s="26" t="str">
        <f t="shared" si="0"/>
        <v>bm</v>
      </c>
      <c r="AO7" s="26" t="str">
        <f t="shared" si="0"/>
        <v>bm</v>
      </c>
      <c r="AP7" s="26" t="str">
        <f t="shared" si="0"/>
        <v>bm</v>
      </c>
      <c r="AQ7" s="26" t="str">
        <f t="shared" si="0"/>
        <v>bm</v>
      </c>
      <c r="AR7" s="26" t="str">
        <f t="shared" si="0"/>
        <v>bm</v>
      </c>
      <c r="AS7" s="26" t="str">
        <f t="shared" si="0"/>
        <v>bm</v>
      </c>
      <c r="AT7" s="26" t="str">
        <f t="shared" si="0"/>
        <v>bm</v>
      </c>
      <c r="AU7" s="26" t="str">
        <f t="shared" si="0"/>
        <v>bm</v>
      </c>
      <c r="AV7" s="26" t="str">
        <f t="shared" si="0"/>
        <v>bm</v>
      </c>
      <c r="AW7" s="26" t="str">
        <f t="shared" si="0"/>
        <v>bm</v>
      </c>
      <c r="AX7" s="26" t="str">
        <f t="shared" si="0"/>
        <v>bm</v>
      </c>
      <c r="AY7" s="26" t="str">
        <f t="shared" si="0"/>
        <v>bm</v>
      </c>
      <c r="AZ7" s="26" t="str">
        <f t="shared" si="0"/>
        <v>bm</v>
      </c>
      <c r="BA7" s="26" t="str">
        <f t="shared" si="0"/>
        <v>size</v>
      </c>
      <c r="BB7" s="26" t="str">
        <f t="shared" si="0"/>
        <v>size</v>
      </c>
      <c r="BC7" s="26" t="str">
        <f t="shared" si="0"/>
        <v>bm</v>
      </c>
      <c r="BD7" s="26" t="str">
        <f t="shared" si="0"/>
        <v>bm</v>
      </c>
      <c r="BE7" s="26" t="str">
        <f t="shared" si="0"/>
        <v>bm</v>
      </c>
      <c r="BF7" s="26" t="str">
        <f t="shared" si="0"/>
        <v>bm</v>
      </c>
      <c r="BG7" s="26" t="str">
        <f t="shared" si="0"/>
        <v>bm</v>
      </c>
      <c r="BH7" s="26" t="str">
        <f t="shared" si="0"/>
        <v>bm</v>
      </c>
      <c r="BI7" s="26" t="str">
        <f t="shared" si="0"/>
        <v>bm</v>
      </c>
      <c r="BJ7" s="26" t="str">
        <f t="shared" si="0"/>
        <v>bm</v>
      </c>
      <c r="BK7" s="26" t="str">
        <f t="shared" si="0"/>
        <v>bm</v>
      </c>
      <c r="BL7" s="26" t="str">
        <f t="shared" si="0"/>
        <v>bm</v>
      </c>
      <c r="BM7" s="26" t="str">
        <f t="shared" si="0"/>
        <v>mom</v>
      </c>
      <c r="BN7" s="26" t="str">
        <f t="shared" si="0"/>
        <v>bm</v>
      </c>
      <c r="BO7" s="26" t="str">
        <f t="shared" si="0"/>
        <v>bm</v>
      </c>
      <c r="BP7" s="26" t="str">
        <f t="shared" ref="BP7:EA7" si="1">IF(BP6=1,"bm",IF(BP6=2,"size",IF(BP6=3,"mom")))</f>
        <v>bm</v>
      </c>
      <c r="BQ7" s="26" t="str">
        <f t="shared" si="1"/>
        <v>bm</v>
      </c>
      <c r="BR7" s="26" t="str">
        <f t="shared" si="1"/>
        <v>bm</v>
      </c>
      <c r="BS7" s="26" t="str">
        <f t="shared" si="1"/>
        <v>bm</v>
      </c>
      <c r="BT7" s="26" t="str">
        <f t="shared" si="1"/>
        <v>bm</v>
      </c>
      <c r="BU7" s="26" t="str">
        <f t="shared" si="1"/>
        <v>bm</v>
      </c>
      <c r="BV7" s="26" t="str">
        <f t="shared" si="1"/>
        <v>bm</v>
      </c>
      <c r="BW7" s="26" t="str">
        <f t="shared" si="1"/>
        <v>bm</v>
      </c>
      <c r="BX7" s="26" t="str">
        <f t="shared" si="1"/>
        <v>bm</v>
      </c>
      <c r="BY7" s="26" t="str">
        <f t="shared" si="1"/>
        <v>bm</v>
      </c>
      <c r="BZ7" s="26" t="str">
        <f t="shared" si="1"/>
        <v>bm</v>
      </c>
      <c r="CA7" s="26" t="str">
        <f t="shared" si="1"/>
        <v>bm</v>
      </c>
      <c r="CB7" s="26" t="str">
        <f t="shared" si="1"/>
        <v>bm</v>
      </c>
      <c r="CC7" s="26" t="str">
        <f t="shared" si="1"/>
        <v>size</v>
      </c>
      <c r="CD7" s="26" t="str">
        <f t="shared" si="1"/>
        <v>size</v>
      </c>
      <c r="CE7" s="26" t="str">
        <f t="shared" si="1"/>
        <v>size</v>
      </c>
      <c r="CF7" s="26" t="str">
        <f t="shared" si="1"/>
        <v>size</v>
      </c>
      <c r="CG7" s="26" t="str">
        <f t="shared" si="1"/>
        <v>size</v>
      </c>
      <c r="CH7" s="26" t="str">
        <f t="shared" si="1"/>
        <v>bm</v>
      </c>
      <c r="CI7" s="26" t="str">
        <f t="shared" si="1"/>
        <v>bm</v>
      </c>
      <c r="CJ7" s="26" t="str">
        <f t="shared" si="1"/>
        <v>bm</v>
      </c>
      <c r="CK7" s="26" t="str">
        <f t="shared" si="1"/>
        <v>bm</v>
      </c>
      <c r="CL7" s="26" t="str">
        <f t="shared" si="1"/>
        <v>bm</v>
      </c>
      <c r="CM7" s="26" t="str">
        <f t="shared" si="1"/>
        <v>bm</v>
      </c>
      <c r="CN7" s="26" t="str">
        <f t="shared" si="1"/>
        <v>bm</v>
      </c>
      <c r="CO7" s="26" t="str">
        <f t="shared" si="1"/>
        <v>bm</v>
      </c>
      <c r="CP7" s="26" t="str">
        <f t="shared" si="1"/>
        <v>bm</v>
      </c>
      <c r="CQ7" s="26" t="str">
        <f t="shared" si="1"/>
        <v>mom</v>
      </c>
      <c r="CR7" s="26" t="str">
        <f t="shared" si="1"/>
        <v>size</v>
      </c>
      <c r="CS7" s="26" t="str">
        <f t="shared" si="1"/>
        <v>size</v>
      </c>
      <c r="CT7" s="26" t="str">
        <f t="shared" si="1"/>
        <v>bm</v>
      </c>
      <c r="CU7" s="26" t="str">
        <f t="shared" si="1"/>
        <v>bm</v>
      </c>
      <c r="CV7" s="26" t="str">
        <f t="shared" si="1"/>
        <v>bm</v>
      </c>
      <c r="CW7" s="26" t="str">
        <f t="shared" si="1"/>
        <v>bm</v>
      </c>
      <c r="CX7" s="26" t="str">
        <f t="shared" si="1"/>
        <v>bm</v>
      </c>
      <c r="CY7" s="26" t="str">
        <f t="shared" si="1"/>
        <v>bm</v>
      </c>
      <c r="CZ7" s="26" t="str">
        <f t="shared" si="1"/>
        <v>bm</v>
      </c>
      <c r="DA7" s="26" t="str">
        <f t="shared" si="1"/>
        <v>bm</v>
      </c>
      <c r="DB7" s="26" t="str">
        <f t="shared" si="1"/>
        <v>size</v>
      </c>
      <c r="DC7" s="26" t="str">
        <f t="shared" si="1"/>
        <v>size</v>
      </c>
      <c r="DD7" s="26" t="str">
        <f t="shared" si="1"/>
        <v>size</v>
      </c>
      <c r="DE7" s="26" t="str">
        <f t="shared" si="1"/>
        <v>bm</v>
      </c>
      <c r="DF7" s="26" t="str">
        <f t="shared" si="1"/>
        <v>bm</v>
      </c>
      <c r="DG7" s="26" t="str">
        <f t="shared" si="1"/>
        <v>bm</v>
      </c>
      <c r="DH7" s="26" t="str">
        <f t="shared" si="1"/>
        <v>bm</v>
      </c>
      <c r="DI7" s="26" t="str">
        <f t="shared" si="1"/>
        <v>bm</v>
      </c>
      <c r="DJ7" s="26" t="str">
        <f t="shared" si="1"/>
        <v>size</v>
      </c>
      <c r="DK7" s="26" t="str">
        <f t="shared" si="1"/>
        <v>bm</v>
      </c>
      <c r="DL7" s="26" t="str">
        <f t="shared" si="1"/>
        <v>bm</v>
      </c>
      <c r="DM7" s="26" t="str">
        <f t="shared" si="1"/>
        <v>bm</v>
      </c>
      <c r="DN7" s="26" t="str">
        <f t="shared" si="1"/>
        <v>bm</v>
      </c>
      <c r="DO7" s="26" t="str">
        <f t="shared" si="1"/>
        <v>bm</v>
      </c>
      <c r="DP7" s="26" t="str">
        <f t="shared" si="1"/>
        <v>bm</v>
      </c>
      <c r="DQ7" s="26" t="str">
        <f t="shared" si="1"/>
        <v>bm</v>
      </c>
      <c r="DR7" s="26" t="str">
        <f t="shared" si="1"/>
        <v>bm</v>
      </c>
      <c r="DS7" s="26" t="str">
        <f t="shared" si="1"/>
        <v>bm</v>
      </c>
      <c r="DT7" s="26" t="str">
        <f t="shared" si="1"/>
        <v>size</v>
      </c>
      <c r="DU7" s="26" t="str">
        <f t="shared" si="1"/>
        <v>size</v>
      </c>
      <c r="DV7" s="26" t="str">
        <f t="shared" si="1"/>
        <v>bm</v>
      </c>
      <c r="DW7" s="26" t="str">
        <f t="shared" si="1"/>
        <v>bm</v>
      </c>
      <c r="DX7" s="26" t="str">
        <f t="shared" si="1"/>
        <v>bm</v>
      </c>
      <c r="DY7" s="26" t="str">
        <f t="shared" si="1"/>
        <v>size</v>
      </c>
      <c r="DZ7" s="26" t="str">
        <f t="shared" si="1"/>
        <v>size</v>
      </c>
      <c r="EA7" s="26" t="str">
        <f t="shared" si="1"/>
        <v>size</v>
      </c>
      <c r="EB7" s="26" t="str">
        <f t="shared" ref="EB7:EF7" si="2">IF(EB6=1,"bm",IF(EB6=2,"size",IF(EB6=3,"mom")))</f>
        <v>bm</v>
      </c>
      <c r="EC7" s="26" t="str">
        <f t="shared" si="2"/>
        <v>size</v>
      </c>
      <c r="ED7" s="26" t="str">
        <f t="shared" si="2"/>
        <v>bm</v>
      </c>
      <c r="EE7" s="26" t="str">
        <f t="shared" si="2"/>
        <v>bm</v>
      </c>
      <c r="EF7" s="26" t="str">
        <f t="shared" si="2"/>
        <v>bm</v>
      </c>
    </row>
    <row r="8" spans="1:139" s="2" customFormat="1">
      <c r="C8" s="26">
        <f>IF(C6=1,C3,IF(C6=2,C4,IF(C6=3,C5)))</f>
        <v>-4.9660484307830009E-2</v>
      </c>
      <c r="D8" s="26">
        <f t="shared" ref="D8:BO8" si="3">IF(D6=1,D3,IF(D6=2,D4,IF(D6=3,D5)))</f>
        <v>-6.5232195080165353E-2</v>
      </c>
      <c r="E8" s="26">
        <f t="shared" si="3"/>
        <v>-9.3874054199500026E-2</v>
      </c>
      <c r="F8" s="26">
        <f t="shared" si="3"/>
        <v>-7.3843592245097373E-2</v>
      </c>
      <c r="G8" s="26">
        <f t="shared" si="3"/>
        <v>-2.745888685018728E-2</v>
      </c>
      <c r="H8" s="26">
        <f t="shared" si="3"/>
        <v>-3.3398565611267667E-2</v>
      </c>
      <c r="I8" s="26">
        <f t="shared" si="3"/>
        <v>-4.7136189417385607E-2</v>
      </c>
      <c r="J8" s="26">
        <f t="shared" si="3"/>
        <v>-4.6203432590894752E-2</v>
      </c>
      <c r="K8" s="26">
        <f t="shared" si="3"/>
        <v>-4.5932097646850877E-2</v>
      </c>
      <c r="L8" s="26">
        <f t="shared" si="3"/>
        <v>-3.9679751627069763E-2</v>
      </c>
      <c r="M8" s="26">
        <f t="shared" si="3"/>
        <v>3.2729103566482703E-2</v>
      </c>
      <c r="N8" s="26">
        <f t="shared" si="3"/>
        <v>-3.5831351641089762E-2</v>
      </c>
      <c r="O8" s="26">
        <f t="shared" si="3"/>
        <v>-5.70229981056335E-2</v>
      </c>
      <c r="P8" s="26">
        <f t="shared" si="3"/>
        <v>-4.2462781327895993E-2</v>
      </c>
      <c r="Q8" s="26">
        <f t="shared" si="3"/>
        <v>-3.7772394962975513E-2</v>
      </c>
      <c r="R8" s="26">
        <f t="shared" si="3"/>
        <v>-2.862835448000129E-2</v>
      </c>
      <c r="S8" s="26">
        <f t="shared" si="3"/>
        <v>-3.099793016810054E-2</v>
      </c>
      <c r="T8" s="26">
        <f t="shared" si="3"/>
        <v>2.262072807092802E-2</v>
      </c>
      <c r="U8" s="26">
        <f t="shared" si="3"/>
        <v>-3.5326677132364037E-2</v>
      </c>
      <c r="V8" s="26">
        <f t="shared" si="3"/>
        <v>-2.9502132625226989E-2</v>
      </c>
      <c r="W8" s="26">
        <f t="shared" si="3"/>
        <v>4.5784045042201092E-2</v>
      </c>
      <c r="X8" s="26">
        <f t="shared" si="3"/>
        <v>-5.4483491647159897E-2</v>
      </c>
      <c r="Y8" s="26">
        <f t="shared" si="3"/>
        <v>-5.7374231531351433E-2</v>
      </c>
      <c r="Z8" s="26">
        <f t="shared" si="3"/>
        <v>-5.0628448585672892E-2</v>
      </c>
      <c r="AA8" s="26">
        <f t="shared" si="3"/>
        <v>-4.231975801219371E-2</v>
      </c>
      <c r="AB8" s="26">
        <f t="shared" si="3"/>
        <v>-4.9937139241651593E-2</v>
      </c>
      <c r="AC8" s="26">
        <f t="shared" si="3"/>
        <v>-3.845543636405753E-2</v>
      </c>
      <c r="AD8" s="26">
        <f t="shared" si="3"/>
        <v>-6.5956474854444447E-2</v>
      </c>
      <c r="AE8" s="26">
        <f t="shared" si="3"/>
        <v>-3.4795070629380642E-2</v>
      </c>
      <c r="AF8" s="26">
        <f t="shared" si="3"/>
        <v>1.3117941025955079E-2</v>
      </c>
      <c r="AG8" s="26">
        <f t="shared" si="3"/>
        <v>-3.2239282506807423E-2</v>
      </c>
      <c r="AH8" s="26">
        <f t="shared" si="3"/>
        <v>3.1884444011299258E-2</v>
      </c>
      <c r="AI8" s="26">
        <f t="shared" si="3"/>
        <v>3.6385761193522617E-2</v>
      </c>
      <c r="AJ8" s="26">
        <f t="shared" si="3"/>
        <v>3.5948919429733099E-2</v>
      </c>
      <c r="AK8" s="26">
        <f t="shared" si="3"/>
        <v>4.3482830969963061E-2</v>
      </c>
      <c r="AL8" s="26">
        <f t="shared" si="3"/>
        <v>3.8462077568039821E-2</v>
      </c>
      <c r="AM8" s="26">
        <f t="shared" si="3"/>
        <v>3.9410244165835981E-2</v>
      </c>
      <c r="AN8" s="26">
        <f t="shared" si="3"/>
        <v>5.0743620516414449E-2</v>
      </c>
      <c r="AO8" s="26">
        <f t="shared" si="3"/>
        <v>5.3684811620656171E-2</v>
      </c>
      <c r="AP8" s="26">
        <f t="shared" si="3"/>
        <v>4.9314899356547669E-2</v>
      </c>
      <c r="AQ8" s="26">
        <f t="shared" si="3"/>
        <v>3.2773687722358558E-2</v>
      </c>
      <c r="AR8" s="26">
        <f t="shared" si="3"/>
        <v>2.8295340626825871E-2</v>
      </c>
      <c r="AS8" s="26">
        <f t="shared" si="3"/>
        <v>2.8377802599917339E-2</v>
      </c>
      <c r="AT8" s="26">
        <f t="shared" si="3"/>
        <v>2.306922946025217E-2</v>
      </c>
      <c r="AU8" s="26">
        <f t="shared" si="3"/>
        <v>2.9397032882625889E-2</v>
      </c>
      <c r="AV8" s="26">
        <f t="shared" si="3"/>
        <v>3.103785222722218E-2</v>
      </c>
      <c r="AW8" s="26">
        <f t="shared" si="3"/>
        <v>2.6297924056821211E-2</v>
      </c>
      <c r="AX8" s="26">
        <f t="shared" si="3"/>
        <v>2.6164811358804361E-2</v>
      </c>
      <c r="AY8" s="26">
        <f t="shared" si="3"/>
        <v>3.2053783671709642E-2</v>
      </c>
      <c r="AZ8" s="26">
        <f t="shared" si="3"/>
        <v>3.4477530774765272E-2</v>
      </c>
      <c r="BA8" s="26">
        <f t="shared" si="3"/>
        <v>-2.9633847899323489E-2</v>
      </c>
      <c r="BB8" s="26">
        <f t="shared" si="3"/>
        <v>-3.6923299522087998E-2</v>
      </c>
      <c r="BC8" s="26">
        <f t="shared" si="3"/>
        <v>3.742177693859082E-2</v>
      </c>
      <c r="BD8" s="26">
        <f t="shared" si="3"/>
        <v>3.141372245226793E-2</v>
      </c>
      <c r="BE8" s="26">
        <f t="shared" si="3"/>
        <v>3.2006411062996218E-2</v>
      </c>
      <c r="BF8" s="26">
        <f t="shared" si="3"/>
        <v>2.828182773285309E-2</v>
      </c>
      <c r="BG8" s="26">
        <f t="shared" si="3"/>
        <v>4.1103436715196499E-2</v>
      </c>
      <c r="BH8" s="26">
        <f t="shared" si="3"/>
        <v>4.5198779339126277E-2</v>
      </c>
      <c r="BI8" s="26">
        <f t="shared" si="3"/>
        <v>4.1588040384802467E-2</v>
      </c>
      <c r="BJ8" s="26">
        <f t="shared" si="3"/>
        <v>4.0723405736309601E-2</v>
      </c>
      <c r="BK8" s="26">
        <f t="shared" si="3"/>
        <v>3.6327700059770963E-2</v>
      </c>
      <c r="BL8" s="26">
        <f t="shared" si="3"/>
        <v>3.6173192149872829E-2</v>
      </c>
      <c r="BM8" s="26">
        <f t="shared" si="3"/>
        <v>-3.7766406128849933E-2</v>
      </c>
      <c r="BN8" s="26">
        <f t="shared" si="3"/>
        <v>3.0814038130409348E-2</v>
      </c>
      <c r="BO8" s="26">
        <f t="shared" si="3"/>
        <v>3.065585577146604E-2</v>
      </c>
      <c r="BP8" s="26">
        <f t="shared" ref="BP8:EA8" si="4">IF(BP6=1,BP3,IF(BP6=2,BP4,IF(BP6=3,BP5)))</f>
        <v>3.4399631895121928E-2</v>
      </c>
      <c r="BQ8" s="26">
        <f t="shared" si="4"/>
        <v>3.4868650026028229E-2</v>
      </c>
      <c r="BR8" s="26">
        <f t="shared" si="4"/>
        <v>3.6324039848933801E-2</v>
      </c>
      <c r="BS8" s="26">
        <f t="shared" si="4"/>
        <v>3.6164468096582629E-2</v>
      </c>
      <c r="BT8" s="26">
        <f t="shared" si="4"/>
        <v>3.8668894956456937E-2</v>
      </c>
      <c r="BU8" s="26">
        <f t="shared" si="4"/>
        <v>4.1103483948852763E-2</v>
      </c>
      <c r="BV8" s="26">
        <f t="shared" si="4"/>
        <v>2.8684133448632881E-2</v>
      </c>
      <c r="BW8" s="26">
        <f t="shared" si="4"/>
        <v>3.521650986163926E-2</v>
      </c>
      <c r="BX8" s="26">
        <f t="shared" si="4"/>
        <v>4.0767200067914261E-2</v>
      </c>
      <c r="BY8" s="26">
        <f t="shared" si="4"/>
        <v>2.160353774972024E-2</v>
      </c>
      <c r="BZ8" s="26">
        <f t="shared" si="4"/>
        <v>3.0433668800390778E-2</v>
      </c>
      <c r="CA8" s="26">
        <f t="shared" si="4"/>
        <v>3.7311958080318418E-2</v>
      </c>
      <c r="CB8" s="26">
        <f t="shared" si="4"/>
        <v>2.7612053143104789E-2</v>
      </c>
      <c r="CC8" s="26">
        <f t="shared" si="4"/>
        <v>-4.111205153911144E-2</v>
      </c>
      <c r="CD8" s="26">
        <f t="shared" si="4"/>
        <v>-3.2535405185557913E-2</v>
      </c>
      <c r="CE8" s="26">
        <f t="shared" si="4"/>
        <v>-3.0323266480776649E-2</v>
      </c>
      <c r="CF8" s="26">
        <f t="shared" si="4"/>
        <v>-6.1293189114789898E-2</v>
      </c>
      <c r="CG8" s="26">
        <f t="shared" si="4"/>
        <v>-4.4169748382986783E-2</v>
      </c>
      <c r="CH8" s="26">
        <f t="shared" si="4"/>
        <v>4.0909001215823582E-2</v>
      </c>
      <c r="CI8" s="26">
        <f t="shared" si="4"/>
        <v>3.9050253240311222E-2</v>
      </c>
      <c r="CJ8" s="26">
        <f t="shared" si="4"/>
        <v>2.4561899640003909E-2</v>
      </c>
      <c r="CK8" s="26">
        <f t="shared" si="4"/>
        <v>3.413446187252573E-2</v>
      </c>
      <c r="CL8" s="26">
        <f t="shared" si="4"/>
        <v>3.5925937532879773E-2</v>
      </c>
      <c r="CM8" s="26">
        <f t="shared" si="4"/>
        <v>4.2466042159304301E-2</v>
      </c>
      <c r="CN8" s="26">
        <f t="shared" si="4"/>
        <v>3.6523906516241801E-2</v>
      </c>
      <c r="CO8" s="26">
        <f t="shared" si="4"/>
        <v>3.765914957102829E-2</v>
      </c>
      <c r="CP8" s="26">
        <f t="shared" si="4"/>
        <v>3.9957834472595419E-2</v>
      </c>
      <c r="CQ8" s="26">
        <f t="shared" si="4"/>
        <v>9.0067640458367376E-3</v>
      </c>
      <c r="CR8" s="26">
        <f t="shared" si="4"/>
        <v>-1.917966682871176E-2</v>
      </c>
      <c r="CS8" s="26">
        <f t="shared" si="4"/>
        <v>-2.334741602504313E-2</v>
      </c>
      <c r="CT8" s="26">
        <f t="shared" si="4"/>
        <v>4.0972167824902372E-2</v>
      </c>
      <c r="CU8" s="26">
        <f t="shared" si="4"/>
        <v>3.8942373224816529E-2</v>
      </c>
      <c r="CV8" s="26">
        <f t="shared" si="4"/>
        <v>4.3015000500199303E-2</v>
      </c>
      <c r="CW8" s="26">
        <f t="shared" si="4"/>
        <v>3.9706600079107618E-2</v>
      </c>
      <c r="CX8" s="26">
        <f t="shared" si="4"/>
        <v>3.9171022856911548E-2</v>
      </c>
      <c r="CY8" s="26">
        <f t="shared" si="4"/>
        <v>3.4940834769569752E-2</v>
      </c>
      <c r="CZ8" s="26">
        <f t="shared" si="4"/>
        <v>3.6026834228159298E-2</v>
      </c>
      <c r="DA8" s="26">
        <f t="shared" si="4"/>
        <v>4.450954814790925E-2</v>
      </c>
      <c r="DB8" s="26">
        <f t="shared" si="4"/>
        <v>-4.4725026400587967E-2</v>
      </c>
      <c r="DC8" s="26">
        <f t="shared" si="4"/>
        <v>-7.0760377239426644E-2</v>
      </c>
      <c r="DD8" s="26">
        <f t="shared" si="4"/>
        <v>-5.7610036798158112E-2</v>
      </c>
      <c r="DE8" s="26">
        <f t="shared" si="4"/>
        <v>4.199397627237688E-2</v>
      </c>
      <c r="DF8" s="26">
        <f t="shared" si="4"/>
        <v>4.1965348731106439E-2</v>
      </c>
      <c r="DG8" s="26">
        <f t="shared" si="4"/>
        <v>4.0382244799122918E-2</v>
      </c>
      <c r="DH8" s="26">
        <f t="shared" si="4"/>
        <v>3.6787240146963857E-2</v>
      </c>
      <c r="DI8" s="26">
        <f t="shared" si="4"/>
        <v>3.6877765546082367E-2</v>
      </c>
      <c r="DJ8" s="26">
        <f t="shared" si="4"/>
        <v>-3.7819313396098023E-2</v>
      </c>
      <c r="DK8" s="26">
        <f t="shared" si="4"/>
        <v>3.6536443043095952E-2</v>
      </c>
      <c r="DL8" s="26">
        <f t="shared" si="4"/>
        <v>3.1530556219024453E-2</v>
      </c>
      <c r="DM8" s="26">
        <f t="shared" si="4"/>
        <v>2.866223764473836E-2</v>
      </c>
      <c r="DN8" s="26">
        <f t="shared" si="4"/>
        <v>3.0844743252797239E-2</v>
      </c>
      <c r="DO8" s="26">
        <f t="shared" si="4"/>
        <v>3.3675363611272838E-2</v>
      </c>
      <c r="DP8" s="26">
        <f t="shared" si="4"/>
        <v>3.5102177512429639E-2</v>
      </c>
      <c r="DQ8" s="26">
        <f t="shared" si="4"/>
        <v>3.6708207074369593E-2</v>
      </c>
      <c r="DR8" s="26">
        <f t="shared" si="4"/>
        <v>3.4114421599711522E-2</v>
      </c>
      <c r="DS8" s="26">
        <f t="shared" si="4"/>
        <v>3.6715906439180969E-2</v>
      </c>
      <c r="DT8" s="26">
        <f t="shared" si="4"/>
        <v>-4.1056175553995593E-2</v>
      </c>
      <c r="DU8" s="26">
        <f t="shared" si="4"/>
        <v>-3.7310764401418541E-2</v>
      </c>
      <c r="DV8" s="26">
        <f t="shared" si="4"/>
        <v>2.524093892652959E-2</v>
      </c>
      <c r="DW8" s="26">
        <f t="shared" si="4"/>
        <v>3.5159202684512107E-2</v>
      </c>
      <c r="DX8" s="26">
        <f t="shared" si="4"/>
        <v>3.2304964005665182E-2</v>
      </c>
      <c r="DY8" s="26">
        <f t="shared" si="4"/>
        <v>-3.3048945391833368E-2</v>
      </c>
      <c r="DZ8" s="26">
        <f t="shared" si="4"/>
        <v>-3.0875828777379061E-2</v>
      </c>
      <c r="EA8" s="26">
        <f t="shared" si="4"/>
        <v>-3.1659361830993098E-2</v>
      </c>
      <c r="EB8" s="26">
        <f t="shared" ref="EB8:EF8" si="5">IF(EB6=1,EB3,IF(EB6=2,EB4,IF(EB6=3,EB5)))</f>
        <v>3.723081253221186E-2</v>
      </c>
      <c r="EC8" s="26">
        <f t="shared" si="5"/>
        <v>-4.1069385194225268E-2</v>
      </c>
      <c r="ED8" s="26">
        <f t="shared" si="5"/>
        <v>3.4186640907954438E-2</v>
      </c>
      <c r="EE8" s="26">
        <f t="shared" si="5"/>
        <v>2.5041157579864491E-2</v>
      </c>
      <c r="EF8" s="26">
        <f t="shared" si="5"/>
        <v>3.4121434975122142E-2</v>
      </c>
    </row>
    <row r="10" spans="1:139">
      <c r="A10" s="27" t="s">
        <v>140</v>
      </c>
      <c r="B10" s="28"/>
      <c r="C10" s="4" t="s">
        <v>141</v>
      </c>
      <c r="D10" s="6">
        <v>964</v>
      </c>
    </row>
    <row r="11" spans="1:139">
      <c r="A11" s="6" t="s">
        <v>142</v>
      </c>
      <c r="B11" s="6" t="s">
        <v>143</v>
      </c>
      <c r="C11" s="8" t="s">
        <v>2</v>
      </c>
      <c r="D11" s="8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8" t="s">
        <v>13</v>
      </c>
      <c r="O11" s="8" t="s">
        <v>14</v>
      </c>
      <c r="P11" s="8" t="s">
        <v>15</v>
      </c>
      <c r="Q11" s="8" t="s">
        <v>16</v>
      </c>
      <c r="R11" s="8" t="s">
        <v>17</v>
      </c>
      <c r="S11" s="8" t="s">
        <v>18</v>
      </c>
      <c r="T11" s="8" t="s">
        <v>19</v>
      </c>
      <c r="U11" s="8" t="s">
        <v>20</v>
      </c>
      <c r="V11" s="8" t="s">
        <v>21</v>
      </c>
      <c r="W11" s="8" t="s">
        <v>22</v>
      </c>
      <c r="X11" s="8" t="s">
        <v>23</v>
      </c>
      <c r="Y11" s="8" t="s">
        <v>24</v>
      </c>
      <c r="Z11" s="8" t="s">
        <v>25</v>
      </c>
      <c r="AA11" s="8" t="s">
        <v>26</v>
      </c>
      <c r="AB11" s="8" t="s">
        <v>27</v>
      </c>
      <c r="AC11" s="8" t="s">
        <v>28</v>
      </c>
      <c r="AD11" s="8" t="s">
        <v>29</v>
      </c>
      <c r="AE11" s="8" t="s">
        <v>30</v>
      </c>
      <c r="AF11" s="8" t="s">
        <v>31</v>
      </c>
      <c r="AG11" s="8" t="s">
        <v>32</v>
      </c>
      <c r="AH11" s="8" t="s">
        <v>33</v>
      </c>
      <c r="AI11" s="8" t="s">
        <v>34</v>
      </c>
      <c r="AJ11" s="8" t="s">
        <v>35</v>
      </c>
      <c r="AK11" s="8" t="s">
        <v>36</v>
      </c>
      <c r="AL11" s="8" t="s">
        <v>37</v>
      </c>
      <c r="AM11" s="8" t="s">
        <v>38</v>
      </c>
      <c r="AN11" s="8" t="s">
        <v>39</v>
      </c>
      <c r="AO11" s="8" t="s">
        <v>40</v>
      </c>
      <c r="AP11" s="8" t="s">
        <v>41</v>
      </c>
      <c r="AQ11" s="8" t="s">
        <v>42</v>
      </c>
      <c r="AR11" s="8" t="s">
        <v>43</v>
      </c>
      <c r="AS11" s="8" t="s">
        <v>44</v>
      </c>
      <c r="AT11" s="8" t="s">
        <v>45</v>
      </c>
      <c r="AU11" s="8" t="s">
        <v>46</v>
      </c>
      <c r="AV11" s="8" t="s">
        <v>47</v>
      </c>
      <c r="AW11" s="8" t="s">
        <v>48</v>
      </c>
      <c r="AX11" s="8" t="s">
        <v>49</v>
      </c>
      <c r="AY11" s="8" t="s">
        <v>50</v>
      </c>
      <c r="AZ11" s="8" t="s">
        <v>51</v>
      </c>
      <c r="BA11" s="8" t="s">
        <v>52</v>
      </c>
      <c r="BB11" s="8" t="s">
        <v>53</v>
      </c>
      <c r="BC11" s="8" t="s">
        <v>54</v>
      </c>
      <c r="BD11" s="8" t="s">
        <v>55</v>
      </c>
      <c r="BE11" s="8" t="s">
        <v>56</v>
      </c>
      <c r="BF11" s="8" t="s">
        <v>57</v>
      </c>
      <c r="BG11" s="8" t="s">
        <v>58</v>
      </c>
      <c r="BH11" s="8" t="s">
        <v>59</v>
      </c>
      <c r="BI11" s="8" t="s">
        <v>60</v>
      </c>
      <c r="BJ11" s="8" t="s">
        <v>61</v>
      </c>
      <c r="BK11" s="8" t="s">
        <v>62</v>
      </c>
      <c r="BL11" s="8" t="s">
        <v>63</v>
      </c>
      <c r="BM11" s="8" t="s">
        <v>64</v>
      </c>
      <c r="BN11" s="8" t="s">
        <v>65</v>
      </c>
      <c r="BO11" s="8" t="s">
        <v>66</v>
      </c>
      <c r="BP11" s="8" t="s">
        <v>67</v>
      </c>
      <c r="BQ11" s="8" t="s">
        <v>68</v>
      </c>
      <c r="BR11" s="8" t="s">
        <v>69</v>
      </c>
      <c r="BS11" s="8" t="s">
        <v>70</v>
      </c>
      <c r="BT11" s="8" t="s">
        <v>71</v>
      </c>
      <c r="BU11" s="8" t="s">
        <v>72</v>
      </c>
      <c r="BV11" s="8" t="s">
        <v>73</v>
      </c>
      <c r="BW11" s="8" t="s">
        <v>74</v>
      </c>
      <c r="BX11" s="8" t="s">
        <v>75</v>
      </c>
      <c r="BY11" s="8" t="s">
        <v>76</v>
      </c>
      <c r="BZ11" s="8" t="s">
        <v>77</v>
      </c>
      <c r="CA11" s="8" t="s">
        <v>78</v>
      </c>
      <c r="CB11" s="8" t="s">
        <v>79</v>
      </c>
      <c r="CC11" s="8" t="s">
        <v>80</v>
      </c>
      <c r="CD11" s="8" t="s">
        <v>81</v>
      </c>
      <c r="CE11" s="8" t="s">
        <v>82</v>
      </c>
      <c r="CF11" s="8" t="s">
        <v>83</v>
      </c>
      <c r="CG11" s="8" t="s">
        <v>84</v>
      </c>
      <c r="CH11" s="8" t="s">
        <v>85</v>
      </c>
      <c r="CI11" s="8" t="s">
        <v>86</v>
      </c>
      <c r="CJ11" s="8" t="s">
        <v>87</v>
      </c>
      <c r="CK11" s="8" t="s">
        <v>88</v>
      </c>
      <c r="CL11" s="8" t="s">
        <v>89</v>
      </c>
      <c r="CM11" s="8" t="s">
        <v>90</v>
      </c>
      <c r="CN11" s="8" t="s">
        <v>91</v>
      </c>
      <c r="CO11" s="8" t="s">
        <v>92</v>
      </c>
      <c r="CP11" s="8" t="s">
        <v>93</v>
      </c>
      <c r="CQ11" s="8" t="s">
        <v>94</v>
      </c>
      <c r="CR11" s="8" t="s">
        <v>95</v>
      </c>
      <c r="CS11" s="8" t="s">
        <v>96</v>
      </c>
      <c r="CT11" s="8" t="s">
        <v>97</v>
      </c>
      <c r="CU11" s="8" t="s">
        <v>98</v>
      </c>
      <c r="CV11" s="8" t="s">
        <v>99</v>
      </c>
      <c r="CW11" s="8" t="s">
        <v>100</v>
      </c>
      <c r="CX11" s="8" t="s">
        <v>101</v>
      </c>
      <c r="CY11" s="8" t="s">
        <v>102</v>
      </c>
      <c r="CZ11" s="8" t="s">
        <v>103</v>
      </c>
      <c r="DA11" s="8" t="s">
        <v>104</v>
      </c>
      <c r="DB11" s="8" t="s">
        <v>105</v>
      </c>
      <c r="DC11" s="8" t="s">
        <v>106</v>
      </c>
      <c r="DD11" s="8" t="s">
        <v>107</v>
      </c>
      <c r="DE11" s="8" t="s">
        <v>108</v>
      </c>
      <c r="DF11" s="8" t="s">
        <v>109</v>
      </c>
      <c r="DG11" s="8" t="s">
        <v>110</v>
      </c>
      <c r="DH11" s="8" t="s">
        <v>111</v>
      </c>
      <c r="DI11" s="8" t="s">
        <v>112</v>
      </c>
      <c r="DJ11" s="8" t="s">
        <v>113</v>
      </c>
      <c r="DK11" s="8" t="s">
        <v>114</v>
      </c>
      <c r="DL11" s="8" t="s">
        <v>115</v>
      </c>
      <c r="DM11" s="8" t="s">
        <v>116</v>
      </c>
      <c r="DN11" s="8" t="s">
        <v>117</v>
      </c>
      <c r="DO11" s="8" t="s">
        <v>118</v>
      </c>
      <c r="DP11" s="8" t="s">
        <v>119</v>
      </c>
      <c r="DQ11" s="8" t="s">
        <v>120</v>
      </c>
      <c r="DR11" s="8" t="s">
        <v>121</v>
      </c>
      <c r="DS11" s="8" t="s">
        <v>122</v>
      </c>
      <c r="DT11" s="8" t="s">
        <v>123</v>
      </c>
      <c r="DU11" s="8" t="s">
        <v>124</v>
      </c>
      <c r="DV11" s="8" t="s">
        <v>125</v>
      </c>
      <c r="DW11" s="8" t="s">
        <v>126</v>
      </c>
      <c r="DX11" s="8" t="s">
        <v>127</v>
      </c>
      <c r="DY11" s="8" t="s">
        <v>128</v>
      </c>
      <c r="DZ11" s="8" t="s">
        <v>129</v>
      </c>
      <c r="EA11" s="8" t="s">
        <v>130</v>
      </c>
      <c r="EB11" s="8" t="s">
        <v>131</v>
      </c>
      <c r="EC11" s="8" t="s">
        <v>132</v>
      </c>
      <c r="ED11" s="8" t="s">
        <v>133</v>
      </c>
      <c r="EE11" s="8" t="s">
        <v>134</v>
      </c>
      <c r="EF11" s="8" t="s">
        <v>135</v>
      </c>
      <c r="EG11" s="19" t="s">
        <v>149</v>
      </c>
      <c r="EH11" s="19" t="s">
        <v>150</v>
      </c>
      <c r="EI11" s="19" t="s">
        <v>151</v>
      </c>
    </row>
    <row r="12" spans="1:139">
      <c r="A12" s="4">
        <f>預測IC!A12</f>
        <v>10</v>
      </c>
      <c r="B12" s="4">
        <f>預測IC!B12</f>
        <v>96</v>
      </c>
      <c r="C12" s="25">
        <f>預測IC!C12</f>
        <v>8.4653541666666707E-2</v>
      </c>
      <c r="D12" s="25">
        <f>預測IC!D12</f>
        <v>0.11468851041666669</v>
      </c>
      <c r="E12" s="25">
        <f>預測IC!E12</f>
        <v>4.8026281249999997E-2</v>
      </c>
      <c r="F12" s="25">
        <f>預測IC!F12</f>
        <v>1.342140625E-2</v>
      </c>
      <c r="G12" s="25">
        <f>預測IC!G12</f>
        <v>1.172496874999999E-2</v>
      </c>
      <c r="H12" s="25">
        <f>預測IC!H12</f>
        <v>3.8530718750000012E-2</v>
      </c>
      <c r="I12" s="25">
        <f>預測IC!I12</f>
        <v>1.280994791666666E-2</v>
      </c>
      <c r="J12" s="25">
        <f>預測IC!J12</f>
        <v>-2.940780208333334E-2</v>
      </c>
      <c r="K12" s="25">
        <f>預測IC!K12</f>
        <v>1.877417708333334E-2</v>
      </c>
      <c r="L12" s="25">
        <f>預測IC!L12</f>
        <v>-4.1890635416666662E-2</v>
      </c>
      <c r="M12" s="25">
        <f>預測IC!M12</f>
        <v>-1.555180420016113E-2</v>
      </c>
      <c r="N12" s="25">
        <f>預測IC!N12</f>
        <v>6.9326749999999965E-2</v>
      </c>
      <c r="O12" s="25">
        <f>預測IC!O12</f>
        <v>1.7240843749999998E-2</v>
      </c>
      <c r="P12" s="25">
        <f>預測IC!P12</f>
        <v>-3.6570833333333941E-4</v>
      </c>
      <c r="Q12" s="25">
        <f>預測IC!Q12</f>
        <v>3.5270468749999978E-2</v>
      </c>
      <c r="R12" s="25">
        <f>預測IC!R12</f>
        <v>6.6630833333333368E-3</v>
      </c>
      <c r="S12" s="25">
        <f>預測IC!S12</f>
        <v>-1.6472229166666671E-2</v>
      </c>
      <c r="T12" s="25">
        <f>預測IC!T12</f>
        <v>-4.2663290708050298E-2</v>
      </c>
      <c r="U12" s="25">
        <f>預測IC!U12</f>
        <v>-1.6178791666666682E-2</v>
      </c>
      <c r="V12" s="25">
        <f>預測IC!V12</f>
        <v>6.2048020833333078E-3</v>
      </c>
      <c r="W12" s="25">
        <f>預測IC!W12</f>
        <v>1.9277946223610089E-2</v>
      </c>
      <c r="X12" s="25">
        <f>預測IC!X12</f>
        <v>2.574945833333336E-2</v>
      </c>
      <c r="Y12" s="25">
        <f>預測IC!Y12</f>
        <v>1.544010416666668E-2</v>
      </c>
      <c r="Z12" s="25">
        <f>預測IC!Z12</f>
        <v>5.166041666666666E-3</v>
      </c>
      <c r="AA12" s="25">
        <f>預測IC!AA12</f>
        <v>-1.1916833333333311E-2</v>
      </c>
      <c r="AB12" s="25">
        <f>預測IC!AB12</f>
        <v>-1.073332960413877E-2</v>
      </c>
      <c r="AC12" s="25">
        <f>預測IC!AC12</f>
        <v>5.1674479166666544E-3</v>
      </c>
      <c r="AD12" s="25">
        <f>預測IC!AD12</f>
        <v>2.5304298312235208E-3</v>
      </c>
      <c r="AE12" s="25">
        <f>預測IC!AE12</f>
        <v>-5.8317010416666662E-2</v>
      </c>
      <c r="AF12" s="25">
        <f>預測IC!AF12</f>
        <v>2.0483377917890379E-2</v>
      </c>
      <c r="AG12" s="25">
        <f>預測IC!AG12</f>
        <v>1.207918750000001E-2</v>
      </c>
      <c r="AH12" s="25">
        <f>預測IC!AH12</f>
        <v>1.3096859936119341E-2</v>
      </c>
      <c r="AI12" s="25">
        <f>預測IC!AI12</f>
        <v>1.9004465170339341E-2</v>
      </c>
      <c r="AJ12" s="25">
        <f>預測IC!AJ12</f>
        <v>7.4902167130851093E-3</v>
      </c>
      <c r="AK12" s="25">
        <f>預測IC!AK12</f>
        <v>4.7354661535713542E-2</v>
      </c>
      <c r="AL12" s="25">
        <f>預測IC!AL12</f>
        <v>1.7859003021922081E-2</v>
      </c>
      <c r="AM12" s="25">
        <f>預測IC!AM12</f>
        <v>3.2204353759093952E-2</v>
      </c>
      <c r="AN12" s="25">
        <f>預測IC!AN12</f>
        <v>7.0370866473731905E-2</v>
      </c>
      <c r="AO12" s="25">
        <f>預測IC!AO12</f>
        <v>2.13860488609894E-3</v>
      </c>
      <c r="AP12" s="25">
        <f>預測IC!AP12</f>
        <v>-3.3728995771188847E-2</v>
      </c>
      <c r="AQ12" s="25">
        <f>預測IC!AQ12</f>
        <v>-7.1760162381872376E-3</v>
      </c>
      <c r="AR12" s="25">
        <f>預測IC!AR12</f>
        <v>1.285081343613181E-2</v>
      </c>
      <c r="AS12" s="25">
        <f>預測IC!AS12</f>
        <v>1.9726131394207671E-2</v>
      </c>
      <c r="AT12" s="25">
        <f>預測IC!AT12</f>
        <v>1.3068926506940861E-2</v>
      </c>
      <c r="AU12" s="25">
        <f>預測IC!AU12</f>
        <v>1.9974649689404891E-2</v>
      </c>
      <c r="AV12" s="25">
        <f>預測IC!AV12</f>
        <v>-4.112607099176907E-2</v>
      </c>
      <c r="AW12" s="25">
        <f>預測IC!AW12</f>
        <v>9.295475433588607E-4</v>
      </c>
      <c r="AX12" s="25">
        <f>預測IC!AX12</f>
        <v>4.3020460111572283E-2</v>
      </c>
      <c r="AY12" s="25">
        <f>預測IC!AY12</f>
        <v>2.448335394421234E-2</v>
      </c>
      <c r="AZ12" s="25">
        <f>預測IC!AZ12</f>
        <v>-3.0582148605065619E-3</v>
      </c>
      <c r="BA12" s="25">
        <f>預測IC!BA12</f>
        <v>7.1276302083333326E-2</v>
      </c>
      <c r="BB12" s="25">
        <f>預測IC!BB12</f>
        <v>5.7850729166666658E-3</v>
      </c>
      <c r="BC12" s="25">
        <f>預測IC!BC12</f>
        <v>1.2985576387445449E-2</v>
      </c>
      <c r="BD12" s="25">
        <f>預測IC!BD12</f>
        <v>1.143142399369595E-2</v>
      </c>
      <c r="BE12" s="25">
        <f>預測IC!BE12</f>
        <v>2.40304909961199E-2</v>
      </c>
      <c r="BF12" s="25">
        <f>預測IC!BF12</f>
        <v>6.8729809015135521E-2</v>
      </c>
      <c r="BG12" s="25">
        <f>預測IC!BG12</f>
        <v>3.8388130036715477E-2</v>
      </c>
      <c r="BH12" s="25">
        <f>預測IC!BH12</f>
        <v>1.114891561300402E-2</v>
      </c>
      <c r="BI12" s="25">
        <f>預測IC!BI12</f>
        <v>5.1439927386970313E-2</v>
      </c>
      <c r="BJ12" s="25">
        <f>預測IC!BJ12</f>
        <v>-7.9599331991781624E-4</v>
      </c>
      <c r="BK12" s="25">
        <f>預測IC!BK12</f>
        <v>-2.169647440444759E-2</v>
      </c>
      <c r="BL12" s="25">
        <f>預測IC!BL12</f>
        <v>2.4709245830148639E-2</v>
      </c>
      <c r="BM12" s="25">
        <f>預測IC!BM12</f>
        <v>-5.030568452332447E-2</v>
      </c>
      <c r="BN12" s="25">
        <f>預測IC!BN12</f>
        <v>1.133831182469593E-2</v>
      </c>
      <c r="BO12" s="25">
        <f>預測IC!BO12</f>
        <v>2.4246310256236889E-2</v>
      </c>
      <c r="BP12" s="25">
        <f>預測IC!BP12</f>
        <v>-1.0576816494296939E-2</v>
      </c>
      <c r="BQ12" s="25">
        <f>預測IC!BQ12</f>
        <v>1.520658027131792E-2</v>
      </c>
      <c r="BR12" s="25">
        <f>預測IC!BR12</f>
        <v>-1.506664413690911E-3</v>
      </c>
      <c r="BS12" s="25">
        <f>預測IC!BS12</f>
        <v>1.7696906558417349E-2</v>
      </c>
      <c r="BT12" s="25">
        <f>預測IC!BT12</f>
        <v>2.1797850361261389E-2</v>
      </c>
      <c r="BU12" s="25">
        <f>預測IC!BU12</f>
        <v>1.020950071261458E-2</v>
      </c>
      <c r="BV12" s="25">
        <f>預測IC!BV12</f>
        <v>3.0223813217716548E-2</v>
      </c>
      <c r="BW12" s="25">
        <f>預測IC!BW12</f>
        <v>-2.8816874357394821E-2</v>
      </c>
      <c r="BX12" s="25">
        <f>預測IC!BX12</f>
        <v>9.7131055242352677E-3</v>
      </c>
      <c r="BY12" s="25">
        <f>預測IC!BY12</f>
        <v>-3.3051409562733967E-2</v>
      </c>
      <c r="BZ12" s="25">
        <f>預測IC!BZ12</f>
        <v>4.5004028183990963E-2</v>
      </c>
      <c r="CA12" s="25">
        <f>預測IC!CA12</f>
        <v>-3.044777350243975E-2</v>
      </c>
      <c r="CB12" s="25">
        <f>預測IC!CB12</f>
        <v>1.6648876145019531E-3</v>
      </c>
      <c r="CC12" s="25">
        <f>預測IC!CC12</f>
        <v>6.5566041666666686E-2</v>
      </c>
      <c r="CD12" s="25">
        <f>預測IC!CD12</f>
        <v>4.4258520833333308E-2</v>
      </c>
      <c r="CE12" s="25">
        <f>預測IC!CE12</f>
        <v>0.15400715625000011</v>
      </c>
      <c r="CF12" s="25">
        <f>預測IC!CF12</f>
        <v>4.0780416666666769E-3</v>
      </c>
      <c r="CG12" s="25">
        <f>預測IC!CG12</f>
        <v>3.0880208333335102E-4</v>
      </c>
      <c r="CH12" s="25">
        <f>預測IC!CH12</f>
        <v>6.4402640401794498E-2</v>
      </c>
      <c r="CI12" s="25">
        <f>預測IC!CI12</f>
        <v>-3.5807412624148278E-2</v>
      </c>
      <c r="CJ12" s="25">
        <f>預測IC!CJ12</f>
        <v>1.7613849541033368E-2</v>
      </c>
      <c r="CK12" s="25">
        <f>預測IC!CK12</f>
        <v>1.199406837785265E-2</v>
      </c>
      <c r="CL12" s="25">
        <f>預測IC!CL12</f>
        <v>0.1180156076696104</v>
      </c>
      <c r="CM12" s="25">
        <f>預測IC!CM12</f>
        <v>-1.438269061297669E-2</v>
      </c>
      <c r="CN12" s="25">
        <f>預測IC!CN12</f>
        <v>-2.5586962886869249E-2</v>
      </c>
      <c r="CO12" s="25">
        <f>預測IC!CO12</f>
        <v>-2.6747945350733469E-2</v>
      </c>
      <c r="CP12" s="25">
        <f>預測IC!CP12</f>
        <v>4.5040195605567372E-2</v>
      </c>
      <c r="CQ12" s="25">
        <f>預測IC!CQ12</f>
        <v>-6.2684347003574781E-2</v>
      </c>
      <c r="CR12" s="25">
        <f>預測IC!CR12</f>
        <v>4.814697916666668E-2</v>
      </c>
      <c r="CS12" s="25">
        <f>預測IC!CS12</f>
        <v>-1.4509312499999989E-2</v>
      </c>
      <c r="CT12" s="25">
        <f>預測IC!CT12</f>
        <v>-9.6164620390248173E-4</v>
      </c>
      <c r="CU12" s="25">
        <f>預測IC!CU12</f>
        <v>3.2036178763345129E-2</v>
      </c>
      <c r="CV12" s="25">
        <f>預測IC!CV12</f>
        <v>8.2631539288325045E-3</v>
      </c>
      <c r="CW12" s="25">
        <f>預測IC!CW12</f>
        <v>5.3812280845706873E-3</v>
      </c>
      <c r="CX12" s="25">
        <f>預測IC!CX12</f>
        <v>6.0989882536991787E-2</v>
      </c>
      <c r="CY12" s="25">
        <f>預測IC!CY12</f>
        <v>-6.1822201388509711E-3</v>
      </c>
      <c r="CZ12" s="25">
        <f>預測IC!CZ12</f>
        <v>7.9607283258604278E-2</v>
      </c>
      <c r="DA12" s="25">
        <f>預測IC!DA12</f>
        <v>3.4032079955525099E-3</v>
      </c>
      <c r="DB12" s="25">
        <f>預測IC!DB12</f>
        <v>8.898185416666668E-2</v>
      </c>
      <c r="DC12" s="25">
        <f>預測IC!DC12</f>
        <v>1.0027218750000009E-2</v>
      </c>
      <c r="DD12" s="25">
        <f>預測IC!DD12</f>
        <v>-3.909141666666667E-2</v>
      </c>
      <c r="DE12" s="25">
        <f>預測IC!DE12</f>
        <v>-1.847442450316206E-4</v>
      </c>
      <c r="DF12" s="25">
        <f>預測IC!DF12</f>
        <v>-6.8330161835898516E-3</v>
      </c>
      <c r="DG12" s="25">
        <f>預測IC!DG12</f>
        <v>-7.9027007277837277E-4</v>
      </c>
      <c r="DH12" s="25">
        <f>預測IC!DH12</f>
        <v>-5.262143774803156E-3</v>
      </c>
      <c r="DI12" s="25">
        <f>預測IC!DI12</f>
        <v>-5.4443172992132458E-2</v>
      </c>
      <c r="DJ12" s="25">
        <f>預測IC!DJ12</f>
        <v>1.511867708333333E-2</v>
      </c>
      <c r="DK12" s="25">
        <f>預測IC!DK12</f>
        <v>-1.526440322238466E-2</v>
      </c>
      <c r="DL12" s="25">
        <f>預測IC!DL12</f>
        <v>-1.0642651630106659E-3</v>
      </c>
      <c r="DM12" s="25">
        <f>預測IC!DM12</f>
        <v>-5.7147713958668224E-3</v>
      </c>
      <c r="DN12" s="25">
        <f>預測IC!DN12</f>
        <v>3.9228342632839662E-2</v>
      </c>
      <c r="DO12" s="25">
        <f>預測IC!DO12</f>
        <v>2.2128250164898451E-2</v>
      </c>
      <c r="DP12" s="25">
        <f>預測IC!DP12</f>
        <v>3.2584449600297112E-2</v>
      </c>
      <c r="DQ12" s="25">
        <f>預測IC!DQ12</f>
        <v>-2.3448390551494561E-2</v>
      </c>
      <c r="DR12" s="25">
        <f>預測IC!DR12</f>
        <v>1.8778943279386909E-2</v>
      </c>
      <c r="DS12" s="25">
        <f>預測IC!DS12</f>
        <v>-3.7264030439260992E-2</v>
      </c>
      <c r="DT12" s="25">
        <f>預測IC!DT12</f>
        <v>2.5117864583333378E-2</v>
      </c>
      <c r="DU12" s="25">
        <f>預測IC!DU12</f>
        <v>-5.7230229166666681E-2</v>
      </c>
      <c r="DV12" s="25">
        <f>預測IC!DV12</f>
        <v>5.2173183809525743E-2</v>
      </c>
      <c r="DW12" s="25">
        <f>預測IC!DW12</f>
        <v>3.9694301624267903E-2</v>
      </c>
      <c r="DX12" s="25">
        <f>預測IC!DX12</f>
        <v>-4.9619206803227477E-2</v>
      </c>
      <c r="DY12" s="25">
        <f>預測IC!DY12</f>
        <v>5.3145312500000007E-2</v>
      </c>
      <c r="DZ12" s="25">
        <f>預測IC!DZ12</f>
        <v>6.1852812500000041E-3</v>
      </c>
      <c r="EA12" s="25">
        <f>預測IC!EA12</f>
        <v>5.1097633000000003E-2</v>
      </c>
      <c r="EB12" s="25">
        <f>預測IC!EB12</f>
        <v>3.669385637917882E-3</v>
      </c>
      <c r="EC12" s="25">
        <f>預測IC!EC12</f>
        <v>-9.8060416666666747E-3</v>
      </c>
      <c r="ED12" s="25">
        <f>預測IC!ED12</f>
        <v>-5.6628035807395623E-2</v>
      </c>
      <c r="EE12" s="25">
        <f>預測IC!EE12</f>
        <v>1.245837426370521E-2</v>
      </c>
      <c r="EF12" s="25">
        <f>預測IC!EF12</f>
        <v>3.9233348038795662E-2</v>
      </c>
      <c r="EG12" s="30">
        <f>AVERAGE(C12:EF12)</f>
        <v>1.2322931013706398E-2</v>
      </c>
      <c r="EH12" s="30">
        <f>STDEV(C12:EF12)</f>
        <v>3.6225085676456541E-2</v>
      </c>
      <c r="EI12" s="30">
        <f>EG12/EH12</f>
        <v>0.34017672515031028</v>
      </c>
    </row>
    <row r="13" spans="1:139">
      <c r="A13" s="4">
        <f>預測IC!A13</f>
        <v>20</v>
      </c>
      <c r="B13" s="4">
        <f>預測IC!B13</f>
        <v>48</v>
      </c>
      <c r="C13" s="25">
        <f>預測IC!C13</f>
        <v>0.10411314583333341</v>
      </c>
      <c r="D13" s="25">
        <f>預測IC!D13</f>
        <v>0.12374510416666661</v>
      </c>
      <c r="E13" s="25">
        <f>預測IC!E13</f>
        <v>6.9861291666666658E-2</v>
      </c>
      <c r="F13" s="25">
        <f>預測IC!F13</f>
        <v>-1.14548125E-2</v>
      </c>
      <c r="G13" s="25">
        <f>預測IC!G13</f>
        <v>1.574485416666668E-2</v>
      </c>
      <c r="H13" s="25">
        <f>預測IC!H13</f>
        <v>2.999035416666665E-2</v>
      </c>
      <c r="I13" s="25">
        <f>預測IC!I13</f>
        <v>2.9130541666666659E-2</v>
      </c>
      <c r="J13" s="25">
        <f>預測IC!J13</f>
        <v>-4.3898812500000023E-2</v>
      </c>
      <c r="K13" s="25">
        <f>預測IC!K13</f>
        <v>-1.3674791666666709E-3</v>
      </c>
      <c r="L13" s="25">
        <f>預測IC!L13</f>
        <v>-6.0251041666666613E-3</v>
      </c>
      <c r="M13" s="25">
        <f>預測IC!M13</f>
        <v>7.7086562624922028E-3</v>
      </c>
      <c r="N13" s="25">
        <f>預測IC!N13</f>
        <v>9.9806729166666663E-2</v>
      </c>
      <c r="O13" s="25">
        <f>預測IC!O13</f>
        <v>3.9789374999999988E-2</v>
      </c>
      <c r="P13" s="25">
        <f>預測IC!P13</f>
        <v>1.6792145833333331E-2</v>
      </c>
      <c r="Q13" s="25">
        <f>預測IC!Q13</f>
        <v>7.3225020833333321E-2</v>
      </c>
      <c r="R13" s="25">
        <f>預測IC!R13</f>
        <v>1.415983333333333E-2</v>
      </c>
      <c r="S13" s="25">
        <f>預測IC!S13</f>
        <v>-1.2243312500000001E-2</v>
      </c>
      <c r="T13" s="25">
        <f>預測IC!T13</f>
        <v>-5.025189671871233E-2</v>
      </c>
      <c r="U13" s="25">
        <f>預測IC!U13</f>
        <v>1.5963125000000159E-3</v>
      </c>
      <c r="V13" s="25">
        <f>預測IC!V13</f>
        <v>-2.009412499999998E-2</v>
      </c>
      <c r="W13" s="25">
        <f>預測IC!W13</f>
        <v>3.1103087884369909E-2</v>
      </c>
      <c r="X13" s="25">
        <f>預測IC!X13</f>
        <v>5.3276458333333318E-2</v>
      </c>
      <c r="Y13" s="25">
        <f>預測IC!Y13</f>
        <v>1.392037499999999E-2</v>
      </c>
      <c r="Z13" s="25">
        <f>預測IC!Z13</f>
        <v>2.058391666666666E-2</v>
      </c>
      <c r="AA13" s="25">
        <f>預測IC!AA13</f>
        <v>-1.6440041666666641E-2</v>
      </c>
      <c r="AB13" s="25">
        <f>預測IC!AB13</f>
        <v>-1.5001573328978489E-2</v>
      </c>
      <c r="AC13" s="25">
        <f>預測IC!AC13</f>
        <v>8.031270833333326E-3</v>
      </c>
      <c r="AD13" s="25">
        <f>預測IC!AD13</f>
        <v>2.0440228373792429E-2</v>
      </c>
      <c r="AE13" s="25">
        <f>預測IC!AE13</f>
        <v>-6.5719479166666678E-2</v>
      </c>
      <c r="AF13" s="25">
        <f>預測IC!AF13</f>
        <v>3.3066430413212777E-2</v>
      </c>
      <c r="AG13" s="25">
        <f>預測IC!AG13</f>
        <v>3.2824583333333321E-3</v>
      </c>
      <c r="AH13" s="25">
        <f>預測IC!AH13</f>
        <v>1.134035233784291E-2</v>
      </c>
      <c r="AI13" s="25">
        <f>預測IC!AI13</f>
        <v>1.206755007407281E-2</v>
      </c>
      <c r="AJ13" s="25">
        <f>預測IC!AJ13</f>
        <v>-1.8507843536879679E-2</v>
      </c>
      <c r="AK13" s="25">
        <f>預測IC!AK13</f>
        <v>6.5987912810655996E-2</v>
      </c>
      <c r="AL13" s="25">
        <f>預測IC!AL13</f>
        <v>2.6328999803549549E-2</v>
      </c>
      <c r="AM13" s="25">
        <f>預測IC!AM13</f>
        <v>4.5764674553409511E-2</v>
      </c>
      <c r="AN13" s="25">
        <f>預測IC!AN13</f>
        <v>0.10533023813603409</v>
      </c>
      <c r="AO13" s="25">
        <f>預測IC!AO13</f>
        <v>1.5714423922884631E-2</v>
      </c>
      <c r="AP13" s="25">
        <f>預測IC!AP13</f>
        <v>-5.9538220172873163E-2</v>
      </c>
      <c r="AQ13" s="25">
        <f>預測IC!AQ13</f>
        <v>-3.5494868066371921E-3</v>
      </c>
      <c r="AR13" s="25">
        <f>預測IC!AR13</f>
        <v>1.4371062818850731E-2</v>
      </c>
      <c r="AS13" s="25">
        <f>預測IC!AS13</f>
        <v>3.9777952989674729E-2</v>
      </c>
      <c r="AT13" s="25">
        <f>預測IC!AT13</f>
        <v>4.0463087854439729E-2</v>
      </c>
      <c r="AU13" s="25">
        <f>預測IC!AU13</f>
        <v>4.2460982227971428E-2</v>
      </c>
      <c r="AV13" s="25">
        <f>預測IC!AV13</f>
        <v>-9.000778021233561E-3</v>
      </c>
      <c r="AW13" s="25">
        <f>預測IC!AW13</f>
        <v>3.2682708380548479E-3</v>
      </c>
      <c r="AX13" s="25">
        <f>預測IC!AX13</f>
        <v>6.5349021476021063E-2</v>
      </c>
      <c r="AY13" s="25">
        <f>預測IC!AY13</f>
        <v>1.5767643403076691E-2</v>
      </c>
      <c r="AZ13" s="25">
        <f>預測IC!AZ13</f>
        <v>-8.9977638524273464E-3</v>
      </c>
      <c r="BA13" s="25">
        <f>預測IC!BA13</f>
        <v>7.9829270833333327E-2</v>
      </c>
      <c r="BB13" s="25">
        <f>預測IC!BB13</f>
        <v>2.604597916666667E-2</v>
      </c>
      <c r="BC13" s="25">
        <f>預測IC!BC13</f>
        <v>1.302658025364759E-2</v>
      </c>
      <c r="BD13" s="25">
        <f>預測IC!BD13</f>
        <v>5.6020821153025258E-3</v>
      </c>
      <c r="BE13" s="25">
        <f>預測IC!BE13</f>
        <v>2.842334795498689E-2</v>
      </c>
      <c r="BF13" s="25">
        <f>預測IC!BF13</f>
        <v>8.3929415307496771E-2</v>
      </c>
      <c r="BG13" s="25">
        <f>預測IC!BG13</f>
        <v>4.6566462338711673E-2</v>
      </c>
      <c r="BH13" s="25">
        <f>預測IC!BH13</f>
        <v>6.9762719011622898E-3</v>
      </c>
      <c r="BI13" s="25">
        <f>預測IC!BI13</f>
        <v>5.2788119566948392E-2</v>
      </c>
      <c r="BJ13" s="25">
        <f>預測IC!BJ13</f>
        <v>-1.765410852616266E-2</v>
      </c>
      <c r="BK13" s="25">
        <f>預測IC!BK13</f>
        <v>-1.8391024879749449E-2</v>
      </c>
      <c r="BL13" s="25">
        <f>預測IC!BL13</f>
        <v>3.6962610176948373E-2</v>
      </c>
      <c r="BM13" s="25">
        <f>預測IC!BM13</f>
        <v>-5.3371768695190711E-2</v>
      </c>
      <c r="BN13" s="25">
        <f>預測IC!BN13</f>
        <v>1.089273896846772E-2</v>
      </c>
      <c r="BO13" s="25">
        <f>預測IC!BO13</f>
        <v>3.1735312331920007E-2</v>
      </c>
      <c r="BP13" s="25">
        <f>預測IC!BP13</f>
        <v>7.6519468243173693E-3</v>
      </c>
      <c r="BQ13" s="25">
        <f>預測IC!BQ13</f>
        <v>4.0819096771410428E-2</v>
      </c>
      <c r="BR13" s="25">
        <f>預測IC!BR13</f>
        <v>-7.0713814766287129E-3</v>
      </c>
      <c r="BS13" s="25">
        <f>預測IC!BS13</f>
        <v>7.2582425079335874E-3</v>
      </c>
      <c r="BT13" s="25">
        <f>預測IC!BT13</f>
        <v>3.8343505616472817E-2</v>
      </c>
      <c r="BU13" s="25">
        <f>預測IC!BU13</f>
        <v>1.6526994744897359E-2</v>
      </c>
      <c r="BV13" s="25">
        <f>預測IC!BV13</f>
        <v>2.0643875001298689E-2</v>
      </c>
      <c r="BW13" s="25">
        <f>預測IC!BW13</f>
        <v>1.763237810676999E-3</v>
      </c>
      <c r="BX13" s="25">
        <f>預測IC!BX13</f>
        <v>2.1785490892617498E-2</v>
      </c>
      <c r="BY13" s="25">
        <f>預測IC!BY13</f>
        <v>-1.4512397670490481E-2</v>
      </c>
      <c r="BZ13" s="25">
        <f>預測IC!BZ13</f>
        <v>7.692787072442861E-2</v>
      </c>
      <c r="CA13" s="25">
        <f>預測IC!CA13</f>
        <v>-3.3531565600396843E-2</v>
      </c>
      <c r="CB13" s="25">
        <f>預測IC!CB13</f>
        <v>-7.1318694078340711E-3</v>
      </c>
      <c r="CC13" s="25">
        <f>預測IC!CC13</f>
        <v>0.1201179166666667</v>
      </c>
      <c r="CD13" s="25">
        <f>預測IC!CD13</f>
        <v>5.525583333333333E-2</v>
      </c>
      <c r="CE13" s="25">
        <f>預測IC!CE13</f>
        <v>0.1838277291666667</v>
      </c>
      <c r="CF13" s="25">
        <f>預測IC!CF13</f>
        <v>1.8229145833333339E-2</v>
      </c>
      <c r="CG13" s="25">
        <f>預測IC!CG13</f>
        <v>7.5603958333333721E-3</v>
      </c>
      <c r="CH13" s="25">
        <f>預測IC!CH13</f>
        <v>5.8334611827207158E-2</v>
      </c>
      <c r="CI13" s="25">
        <f>預測IC!CI13</f>
        <v>-5.1853509134263329E-2</v>
      </c>
      <c r="CJ13" s="25">
        <f>預測IC!CJ13</f>
        <v>-3.876600294492813E-3</v>
      </c>
      <c r="CK13" s="25">
        <f>預測IC!CK13</f>
        <v>3.2045269236463961E-2</v>
      </c>
      <c r="CL13" s="25">
        <f>預測IC!CL13</f>
        <v>8.4304391314503846E-2</v>
      </c>
      <c r="CM13" s="25">
        <f>預測IC!CM13</f>
        <v>-1.0296803756394969E-2</v>
      </c>
      <c r="CN13" s="25">
        <f>預測IC!CN13</f>
        <v>-2.6887565998852329E-2</v>
      </c>
      <c r="CO13" s="25">
        <f>預測IC!CO13</f>
        <v>-1.345745856322739E-2</v>
      </c>
      <c r="CP13" s="25">
        <f>預測IC!CP13</f>
        <v>7.0797472483089319E-2</v>
      </c>
      <c r="CQ13" s="25">
        <f>預測IC!CQ13</f>
        <v>-7.1178864968403879E-2</v>
      </c>
      <c r="CR13" s="25">
        <f>預測IC!CR13</f>
        <v>6.4380854166666654E-2</v>
      </c>
      <c r="CS13" s="25">
        <f>預測IC!CS13</f>
        <v>3.9479583333333346E-3</v>
      </c>
      <c r="CT13" s="25">
        <f>預測IC!CT13</f>
        <v>8.0707993163786768E-3</v>
      </c>
      <c r="CU13" s="25">
        <f>預測IC!CU13</f>
        <v>3.6006915534289197E-2</v>
      </c>
      <c r="CV13" s="25">
        <f>預測IC!CV13</f>
        <v>-2.2303746439440819E-3</v>
      </c>
      <c r="CW13" s="25">
        <f>預測IC!CW13</f>
        <v>5.97703085624611E-3</v>
      </c>
      <c r="CX13" s="25">
        <f>預測IC!CX13</f>
        <v>6.064376163531978E-2</v>
      </c>
      <c r="CY13" s="25">
        <f>預測IC!CY13</f>
        <v>-1.3118740115012659E-2</v>
      </c>
      <c r="CZ13" s="25">
        <f>預測IC!CZ13</f>
        <v>5.7224220353485108E-2</v>
      </c>
      <c r="DA13" s="25">
        <f>預測IC!DA13</f>
        <v>-7.0965309514403824E-3</v>
      </c>
      <c r="DB13" s="25">
        <f>預測IC!DB13</f>
        <v>0.10623525</v>
      </c>
      <c r="DC13" s="25">
        <f>預測IC!DC13</f>
        <v>2.354112500000001E-2</v>
      </c>
      <c r="DD13" s="25">
        <f>預測IC!DD13</f>
        <v>-5.1406291666666652E-2</v>
      </c>
      <c r="DE13" s="25">
        <f>預測IC!DE13</f>
        <v>5.1676528954192752E-3</v>
      </c>
      <c r="DF13" s="25">
        <f>預測IC!DF13</f>
        <v>-2.8518796793634778E-2</v>
      </c>
      <c r="DG13" s="25">
        <f>預測IC!DG13</f>
        <v>-1.6306571728899009E-3</v>
      </c>
      <c r="DH13" s="25">
        <f>預測IC!DH13</f>
        <v>1.2992245045791989E-2</v>
      </c>
      <c r="DI13" s="25">
        <f>預測IC!DI13</f>
        <v>-4.6561456814233543E-2</v>
      </c>
      <c r="DJ13" s="25">
        <f>預測IC!DJ13</f>
        <v>5.983854166666666E-3</v>
      </c>
      <c r="DK13" s="25">
        <f>預測IC!DK13</f>
        <v>1.202678983884406E-2</v>
      </c>
      <c r="DL13" s="25">
        <f>預測IC!DL13</f>
        <v>-1.56545524405593E-2</v>
      </c>
      <c r="DM13" s="25">
        <f>預測IC!DM13</f>
        <v>-6.6588690484439203E-3</v>
      </c>
      <c r="DN13" s="25">
        <f>預測IC!DN13</f>
        <v>1.4839797780264639E-2</v>
      </c>
      <c r="DO13" s="25">
        <f>預測IC!DO13</f>
        <v>4.8531513222965908E-2</v>
      </c>
      <c r="DP13" s="25">
        <f>預測IC!DP13</f>
        <v>4.7238153226040899E-2</v>
      </c>
      <c r="DQ13" s="25">
        <f>預測IC!DQ13</f>
        <v>-2.6430081417128711E-2</v>
      </c>
      <c r="DR13" s="25">
        <f>預測IC!DR13</f>
        <v>1.377120927231194E-2</v>
      </c>
      <c r="DS13" s="25">
        <f>預測IC!DS13</f>
        <v>-3.8502774982174401E-2</v>
      </c>
      <c r="DT13" s="25">
        <f>預測IC!DT13</f>
        <v>5.083135416666669E-2</v>
      </c>
      <c r="DU13" s="25">
        <f>預測IC!DU13</f>
        <v>-3.3005958333333342E-2</v>
      </c>
      <c r="DV13" s="25">
        <f>預測IC!DV13</f>
        <v>7.9620144024188558E-2</v>
      </c>
      <c r="DW13" s="25">
        <f>預測IC!DW13</f>
        <v>4.5686979428007042E-2</v>
      </c>
      <c r="DX13" s="25">
        <f>預測IC!DX13</f>
        <v>-6.4641919490531136E-2</v>
      </c>
      <c r="DY13" s="25">
        <f>預測IC!DY13</f>
        <v>5.698114583333333E-2</v>
      </c>
      <c r="DZ13" s="25">
        <f>預測IC!DZ13</f>
        <v>1.830197916666667E-2</v>
      </c>
      <c r="EA13" s="25">
        <f>預測IC!EA13</f>
        <v>6.2118676999999997E-2</v>
      </c>
      <c r="EB13" s="25">
        <f>預測IC!EB13</f>
        <v>2.1373218199386389E-2</v>
      </c>
      <c r="EC13" s="25">
        <f>預測IC!EC13</f>
        <v>-1.877502083333334E-2</v>
      </c>
      <c r="ED13" s="25">
        <f>預測IC!ED13</f>
        <v>-6.5682093659234955E-2</v>
      </c>
      <c r="EE13" s="25">
        <f>預測IC!EE13</f>
        <v>8.7380257027594461E-3</v>
      </c>
      <c r="EF13" s="25">
        <f>預測IC!EF13</f>
        <v>6.7291156741452265E-2</v>
      </c>
      <c r="EG13" s="30">
        <f>AVERAGE(C13:EF13)</f>
        <v>1.8243530042179674E-2</v>
      </c>
      <c r="EH13" s="31">
        <f t="shared" ref="EH13:EH23" si="6">STDEV(C13:EF13)</f>
        <v>4.255232745104269E-2</v>
      </c>
      <c r="EI13" s="30">
        <f t="shared" ref="EI13:EI24" si="7">EG13/EH13</f>
        <v>0.42873166134494578</v>
      </c>
    </row>
    <row r="14" spans="1:139">
      <c r="A14" s="4">
        <f>預測IC!A14</f>
        <v>50</v>
      </c>
      <c r="B14" s="4">
        <f>預測IC!B14</f>
        <v>19</v>
      </c>
      <c r="C14" s="25">
        <f>預測IC!C14</f>
        <v>0.1199416315789474</v>
      </c>
      <c r="D14" s="25">
        <f>預測IC!D14</f>
        <v>0.22230878947368421</v>
      </c>
      <c r="E14" s="25">
        <f>預測IC!E14</f>
        <v>9.8768157894736822E-2</v>
      </c>
      <c r="F14" s="25">
        <f>預測IC!F14</f>
        <v>3.4543210526315787E-2</v>
      </c>
      <c r="G14" s="25">
        <f>預測IC!G14</f>
        <v>8.5149210526315786E-2</v>
      </c>
      <c r="H14" s="25">
        <f>預測IC!H14</f>
        <v>5.9588947368421033E-2</v>
      </c>
      <c r="I14" s="25">
        <f>預測IC!I14</f>
        <v>7.7115000000000003E-2</v>
      </c>
      <c r="J14" s="25">
        <f>預測IC!J14</f>
        <v>-0.1050935789473684</v>
      </c>
      <c r="K14" s="25">
        <f>預測IC!K14</f>
        <v>1.2451473684210519E-2</v>
      </c>
      <c r="L14" s="25">
        <f>預測IC!L14</f>
        <v>-8.480210526315788E-3</v>
      </c>
      <c r="M14" s="25">
        <f>預測IC!M14</f>
        <v>5.6961927636317916E-3</v>
      </c>
      <c r="N14" s="25">
        <f>預測IC!N14</f>
        <v>0.20483268421052631</v>
      </c>
      <c r="O14" s="25">
        <f>預測IC!O14</f>
        <v>3.9642368421052628E-2</v>
      </c>
      <c r="P14" s="25">
        <f>預測IC!P14</f>
        <v>4.7779947368421033E-2</v>
      </c>
      <c r="Q14" s="25">
        <f>預測IC!Q14</f>
        <v>5.8239052631578962E-2</v>
      </c>
      <c r="R14" s="25">
        <f>預測IC!R14</f>
        <v>-1.4151684210526309E-2</v>
      </c>
      <c r="S14" s="25">
        <f>預測IC!S14</f>
        <v>3.8535263157894732E-2</v>
      </c>
      <c r="T14" s="25">
        <f>預測IC!T14</f>
        <v>-6.9841479520895866E-2</v>
      </c>
      <c r="U14" s="25">
        <f>預測IC!U14</f>
        <v>3.6578263157894739E-2</v>
      </c>
      <c r="V14" s="25">
        <f>預測IC!V14</f>
        <v>-3.837431578947368E-2</v>
      </c>
      <c r="W14" s="25">
        <f>預測IC!W14</f>
        <v>7.4008159388253003E-2</v>
      </c>
      <c r="X14" s="25">
        <f>預測IC!X14</f>
        <v>5.3581789473684222E-2</v>
      </c>
      <c r="Y14" s="25">
        <f>預測IC!Y14</f>
        <v>-1.6763578947368431E-2</v>
      </c>
      <c r="Z14" s="25">
        <f>預測IC!Z14</f>
        <v>2.1252E-2</v>
      </c>
      <c r="AA14" s="25">
        <f>預測IC!AA14</f>
        <v>-2.6256842105263178E-3</v>
      </c>
      <c r="AB14" s="25">
        <f>預測IC!AB14</f>
        <v>-2.7335978605554132E-2</v>
      </c>
      <c r="AC14" s="25">
        <f>預測IC!AC14</f>
        <v>-2.9292631578947369E-2</v>
      </c>
      <c r="AD14" s="25">
        <f>預測IC!AD14</f>
        <v>6.9874591735142114E-2</v>
      </c>
      <c r="AE14" s="25">
        <f>預測IC!AE14</f>
        <v>-4.019052631578951E-3</v>
      </c>
      <c r="AF14" s="25">
        <f>預測IC!AF14</f>
        <v>3.9724138479546117E-2</v>
      </c>
      <c r="AG14" s="25">
        <f>預測IC!AG14</f>
        <v>6.3905789473684242E-3</v>
      </c>
      <c r="AH14" s="25">
        <f>預測IC!AH14</f>
        <v>-3.3462742209097521E-3</v>
      </c>
      <c r="AI14" s="25">
        <f>預測IC!AI14</f>
        <v>7.2072950927120863E-2</v>
      </c>
      <c r="AJ14" s="25">
        <f>預測IC!AJ14</f>
        <v>1.505903608315101E-2</v>
      </c>
      <c r="AK14" s="25">
        <f>預測IC!AK14</f>
        <v>6.6326746155924196E-2</v>
      </c>
      <c r="AL14" s="25">
        <f>預測IC!AL14</f>
        <v>3.7969189722460717E-2</v>
      </c>
      <c r="AM14" s="25">
        <f>預測IC!AM14</f>
        <v>6.8283273401007955E-2</v>
      </c>
      <c r="AN14" s="25">
        <f>預測IC!AN14</f>
        <v>9.2260489203576102E-2</v>
      </c>
      <c r="AO14" s="25">
        <f>預測IC!AO14</f>
        <v>6.0905705465409958E-2</v>
      </c>
      <c r="AP14" s="25">
        <f>預測IC!AP14</f>
        <v>-6.9976525152084218E-2</v>
      </c>
      <c r="AQ14" s="25">
        <f>預測IC!AQ14</f>
        <v>-8.7938602839236855E-4</v>
      </c>
      <c r="AR14" s="25">
        <f>預測IC!AR14</f>
        <v>3.764583976226292E-2</v>
      </c>
      <c r="AS14" s="25">
        <f>預測IC!AS14</f>
        <v>8.2332976041211745E-2</v>
      </c>
      <c r="AT14" s="25">
        <f>預測IC!AT14</f>
        <v>4.0924565658097392E-2</v>
      </c>
      <c r="AU14" s="25">
        <f>預測IC!AU14</f>
        <v>4.7021353908674138E-2</v>
      </c>
      <c r="AV14" s="25">
        <f>預測IC!AV14</f>
        <v>-2.2684786340637021E-2</v>
      </c>
      <c r="AW14" s="25">
        <f>預測IC!AW14</f>
        <v>-1.542137812325498E-2</v>
      </c>
      <c r="AX14" s="25">
        <f>預測IC!AX14</f>
        <v>0.13695102829439271</v>
      </c>
      <c r="AY14" s="25">
        <f>預測IC!AY14</f>
        <v>1.5068118771761551E-2</v>
      </c>
      <c r="AZ14" s="25">
        <f>預測IC!AZ14</f>
        <v>-5.3158247705062792E-2</v>
      </c>
      <c r="BA14" s="25">
        <f>預測IC!BA14</f>
        <v>9.6337421052631572E-2</v>
      </c>
      <c r="BB14" s="25">
        <f>預測IC!BB14</f>
        <v>0.101898</v>
      </c>
      <c r="BC14" s="25">
        <f>預測IC!BC14</f>
        <v>-9.0839235255182754E-3</v>
      </c>
      <c r="BD14" s="25">
        <f>預測IC!BD14</f>
        <v>4.3327781667405418E-2</v>
      </c>
      <c r="BE14" s="25">
        <f>預測IC!BE14</f>
        <v>4.3176244318628702E-2</v>
      </c>
      <c r="BF14" s="25">
        <f>預測IC!BF14</f>
        <v>4.0770521545689782E-2</v>
      </c>
      <c r="BG14" s="25">
        <f>預測IC!BG14</f>
        <v>4.1374264073932777E-2</v>
      </c>
      <c r="BH14" s="25">
        <f>預測IC!BH14</f>
        <v>-2.8344416701581171E-4</v>
      </c>
      <c r="BI14" s="25">
        <f>預測IC!BI14</f>
        <v>5.2014235626168727E-2</v>
      </c>
      <c r="BJ14" s="25">
        <f>預測IC!BJ14</f>
        <v>-1.32542788140672E-2</v>
      </c>
      <c r="BK14" s="25">
        <f>預測IC!BK14</f>
        <v>-8.7325279752963059E-5</v>
      </c>
      <c r="BL14" s="25">
        <f>預測IC!BL14</f>
        <v>5.9737766842370338E-2</v>
      </c>
      <c r="BM14" s="25">
        <f>預測IC!BM14</f>
        <v>-4.6278325003000387E-2</v>
      </c>
      <c r="BN14" s="25">
        <f>預測IC!BN14</f>
        <v>2.0936538072551379E-2</v>
      </c>
      <c r="BO14" s="25">
        <f>預測IC!BO14</f>
        <v>3.3609045677264478E-2</v>
      </c>
      <c r="BP14" s="25">
        <f>預測IC!BP14</f>
        <v>1.282266739040127E-2</v>
      </c>
      <c r="BQ14" s="25">
        <f>預測IC!BQ14</f>
        <v>1.204942278513583E-2</v>
      </c>
      <c r="BR14" s="25">
        <f>預測IC!BR14</f>
        <v>-2.7929429532617921E-2</v>
      </c>
      <c r="BS14" s="25">
        <f>預測IC!BS14</f>
        <v>-3.8629203614304157E-2</v>
      </c>
      <c r="BT14" s="25">
        <f>預測IC!BT14</f>
        <v>7.3139128600946568E-2</v>
      </c>
      <c r="BU14" s="25">
        <f>預測IC!BU14</f>
        <v>-8.8548353580308568E-3</v>
      </c>
      <c r="BV14" s="25">
        <f>預測IC!BV14</f>
        <v>2.8891421882955771E-2</v>
      </c>
      <c r="BW14" s="25">
        <f>預測IC!BW14</f>
        <v>1.250794825759332E-2</v>
      </c>
      <c r="BX14" s="25">
        <f>預測IC!BX14</f>
        <v>5.3858362034560223E-2</v>
      </c>
      <c r="BY14" s="25">
        <f>預測IC!BY14</f>
        <v>-1.852187305304925E-2</v>
      </c>
      <c r="BZ14" s="25">
        <f>預測IC!BZ14</f>
        <v>0.1117805205315809</v>
      </c>
      <c r="CA14" s="25">
        <f>預測IC!CA14</f>
        <v>-2.4465266114937059E-2</v>
      </c>
      <c r="CB14" s="25">
        <f>預測IC!CB14</f>
        <v>2.2127616542174811E-2</v>
      </c>
      <c r="CC14" s="25">
        <f>預測IC!CC14</f>
        <v>0.1205952105263158</v>
      </c>
      <c r="CD14" s="25">
        <f>預測IC!CD14</f>
        <v>4.7921368421052629E-2</v>
      </c>
      <c r="CE14" s="25">
        <f>預測IC!CE14</f>
        <v>0.1705548421052632</v>
      </c>
      <c r="CF14" s="25">
        <f>預測IC!CF14</f>
        <v>-2.031031578947368E-2</v>
      </c>
      <c r="CG14" s="25">
        <f>預測IC!CG14</f>
        <v>0.13892689473684211</v>
      </c>
      <c r="CH14" s="25">
        <f>預測IC!CH14</f>
        <v>6.46613922782171E-2</v>
      </c>
      <c r="CI14" s="25">
        <f>預測IC!CI14</f>
        <v>-0.1058847773633588</v>
      </c>
      <c r="CJ14" s="25">
        <f>預測IC!CJ14</f>
        <v>-3.2530406678910828E-2</v>
      </c>
      <c r="CK14" s="25">
        <f>預測IC!CK14</f>
        <v>1.40163643906461E-2</v>
      </c>
      <c r="CL14" s="25">
        <f>預測IC!CL14</f>
        <v>6.2269954878836478E-2</v>
      </c>
      <c r="CM14" s="25">
        <f>預測IC!CM14</f>
        <v>3.2040010368317121E-2</v>
      </c>
      <c r="CN14" s="25">
        <f>預測IC!CN14</f>
        <v>-2.0479398043205661E-2</v>
      </c>
      <c r="CO14" s="25">
        <f>預測IC!CO14</f>
        <v>-7.3587720038892968E-2</v>
      </c>
      <c r="CP14" s="25">
        <f>預測IC!CP14</f>
        <v>9.9809331481752833E-2</v>
      </c>
      <c r="CQ14" s="25">
        <f>預測IC!CQ14</f>
        <v>-3.2227899887387702E-2</v>
      </c>
      <c r="CR14" s="25">
        <f>預測IC!CR14</f>
        <v>6.2641052631578931E-2</v>
      </c>
      <c r="CS14" s="25">
        <f>預測IC!CS14</f>
        <v>-3.8151052631578849E-3</v>
      </c>
      <c r="CT14" s="25">
        <f>預測IC!CT14</f>
        <v>1.910057655068487E-2</v>
      </c>
      <c r="CU14" s="25">
        <f>預測IC!CU14</f>
        <v>-4.4544442113006052E-2</v>
      </c>
      <c r="CV14" s="25">
        <f>預測IC!CV14</f>
        <v>2.274571513825533E-2</v>
      </c>
      <c r="CW14" s="25">
        <f>預測IC!CW14</f>
        <v>-3.3983824634707719E-3</v>
      </c>
      <c r="CX14" s="25">
        <f>預測IC!CX14</f>
        <v>3.2764329086583478E-2</v>
      </c>
      <c r="CY14" s="25">
        <f>預測IC!CY14</f>
        <v>-2.875912029147424E-2</v>
      </c>
      <c r="CZ14" s="25">
        <f>預測IC!CZ14</f>
        <v>6.4063563350383365E-2</v>
      </c>
      <c r="DA14" s="25">
        <f>預測IC!DA14</f>
        <v>-2.4304289170584491E-2</v>
      </c>
      <c r="DB14" s="25">
        <f>預測IC!DB14</f>
        <v>0.104608052631579</v>
      </c>
      <c r="DC14" s="25">
        <f>預測IC!DC14</f>
        <v>1.47538947368421E-2</v>
      </c>
      <c r="DD14" s="25">
        <f>預測IC!DD14</f>
        <v>-5.3898894736842097E-2</v>
      </c>
      <c r="DE14" s="25">
        <f>預測IC!DE14</f>
        <v>5.3842996077645561E-3</v>
      </c>
      <c r="DF14" s="25">
        <f>預測IC!DF14</f>
        <v>-3.9770460462142318E-2</v>
      </c>
      <c r="DG14" s="25">
        <f>預測IC!DG14</f>
        <v>1.144655639331721E-2</v>
      </c>
      <c r="DH14" s="25">
        <f>預測IC!DH14</f>
        <v>4.7748372429115976E-3</v>
      </c>
      <c r="DI14" s="25">
        <f>預測IC!DI14</f>
        <v>-5.3191997244607769E-2</v>
      </c>
      <c r="DJ14" s="25">
        <f>預測IC!DJ14</f>
        <v>1.5897789473684209E-2</v>
      </c>
      <c r="DK14" s="25">
        <f>預測IC!DK14</f>
        <v>1.831737607687968E-2</v>
      </c>
      <c r="DL14" s="25">
        <f>預測IC!DL14</f>
        <v>-1.516516155488856E-2</v>
      </c>
      <c r="DM14" s="25">
        <f>預測IC!DM14</f>
        <v>5.504269093650517E-3</v>
      </c>
      <c r="DN14" s="25">
        <f>預測IC!DN14</f>
        <v>3.9851707566544763E-2</v>
      </c>
      <c r="DO14" s="25">
        <f>預測IC!DO14</f>
        <v>4.1375645162797292E-2</v>
      </c>
      <c r="DP14" s="25">
        <f>預測IC!DP14</f>
        <v>4.053222750423735E-2</v>
      </c>
      <c r="DQ14" s="25">
        <f>預測IC!DQ14</f>
        <v>-8.9367860040811792E-2</v>
      </c>
      <c r="DR14" s="25">
        <f>預測IC!DR14</f>
        <v>5.2622519458999567E-2</v>
      </c>
      <c r="DS14" s="25">
        <f>預測IC!DS14</f>
        <v>-3.5044906270916831E-2</v>
      </c>
      <c r="DT14" s="25">
        <f>預測IC!DT14</f>
        <v>0.11767231578947369</v>
      </c>
      <c r="DU14" s="25">
        <f>預測IC!DU14</f>
        <v>-6.8796263157894735E-2</v>
      </c>
      <c r="DV14" s="25">
        <f>預測IC!DV14</f>
        <v>0.10826235453010739</v>
      </c>
      <c r="DW14" s="25">
        <f>預測IC!DW14</f>
        <v>9.1809329055838426E-2</v>
      </c>
      <c r="DX14" s="25">
        <f>預測IC!DX14</f>
        <v>-0.10216121988583921</v>
      </c>
      <c r="DY14" s="25">
        <f>預測IC!DY14</f>
        <v>7.4257842105263164E-2</v>
      </c>
      <c r="DZ14" s="25">
        <f>預測IC!DZ14</f>
        <v>3.5030894736842108E-2</v>
      </c>
      <c r="EA14" s="25">
        <f>預測IC!EA14</f>
        <v>0.10752548300000001</v>
      </c>
      <c r="EB14" s="25">
        <f>預測IC!EB14</f>
        <v>7.0174744206990061E-3</v>
      </c>
      <c r="EC14" s="25">
        <f>預測IC!EC14</f>
        <v>-1.9289631578947371E-2</v>
      </c>
      <c r="ED14" s="25">
        <f>預測IC!ED14</f>
        <v>-0.102629709186187</v>
      </c>
      <c r="EE14" s="25">
        <f>預測IC!EE14</f>
        <v>1.8687949951756041E-2</v>
      </c>
      <c r="EF14" s="25">
        <f>預測IC!EF14</f>
        <v>6.6632346729412442E-2</v>
      </c>
      <c r="EG14" s="30">
        <f t="shared" ref="EG13:EG24" si="8">AVERAGE(C14:EF14)</f>
        <v>2.4890050328916471E-2</v>
      </c>
      <c r="EH14" s="31">
        <f t="shared" si="6"/>
        <v>5.901536234270148E-2</v>
      </c>
      <c r="EI14" s="30">
        <f t="shared" si="7"/>
        <v>0.42175544368227813</v>
      </c>
    </row>
    <row r="15" spans="1:139">
      <c r="A15" s="4">
        <f>預測IC!A15</f>
        <v>100</v>
      </c>
      <c r="B15" s="4">
        <f>預測IC!B15</f>
        <v>10</v>
      </c>
      <c r="C15" s="25">
        <f>預測IC!C15</f>
        <v>0.22764509999999999</v>
      </c>
      <c r="D15" s="25">
        <f>預測IC!D15</f>
        <v>0.37270970000000009</v>
      </c>
      <c r="E15" s="25">
        <f>預測IC!E15</f>
        <v>6.6037399999999996E-2</v>
      </c>
      <c r="F15" s="25">
        <f>預測IC!F15</f>
        <v>9.0304599999999999E-2</v>
      </c>
      <c r="G15" s="25">
        <f>預測IC!G15</f>
        <v>9.6606200000000003E-2</v>
      </c>
      <c r="H15" s="25">
        <f>預測IC!H15</f>
        <v>0.1188444</v>
      </c>
      <c r="I15" s="25">
        <f>預測IC!I15</f>
        <v>0.12672890000000001</v>
      </c>
      <c r="J15" s="25">
        <f>預測IC!J15</f>
        <v>-6.4524200000000004E-2</v>
      </c>
      <c r="K15" s="25">
        <f>預測IC!K15</f>
        <v>-4.2110000000000064E-3</v>
      </c>
      <c r="L15" s="25">
        <f>預測IC!L15</f>
        <v>1.296690000000001E-2</v>
      </c>
      <c r="M15" s="25">
        <f>預測IC!M15</f>
        <v>2.5497709479487259E-2</v>
      </c>
      <c r="N15" s="25">
        <f>預測IC!N15</f>
        <v>0.33030959999999998</v>
      </c>
      <c r="O15" s="25">
        <f>預測IC!O15</f>
        <v>4.6103499999999999E-2</v>
      </c>
      <c r="P15" s="25">
        <f>預測IC!P15</f>
        <v>5.2983399999999993E-2</v>
      </c>
      <c r="Q15" s="25">
        <f>預測IC!Q15</f>
        <v>0.1003768</v>
      </c>
      <c r="R15" s="25">
        <f>預測IC!R15</f>
        <v>1.6755200000000001E-2</v>
      </c>
      <c r="S15" s="25">
        <f>預測IC!S15</f>
        <v>-4.3033600000000012E-2</v>
      </c>
      <c r="T15" s="25">
        <f>預測IC!T15</f>
        <v>-6.6800124943112091E-2</v>
      </c>
      <c r="U15" s="25">
        <f>預測IC!U15</f>
        <v>4.6788700000000003E-2</v>
      </c>
      <c r="V15" s="25">
        <f>預測IC!V15</f>
        <v>-8.568039999999999E-2</v>
      </c>
      <c r="W15" s="25">
        <f>預測IC!W15</f>
        <v>0.1025435939827431</v>
      </c>
      <c r="X15" s="25">
        <f>預測IC!X15</f>
        <v>7.8436500000000034E-2</v>
      </c>
      <c r="Y15" s="25">
        <f>預測IC!Y15</f>
        <v>-2.4189700000000001E-2</v>
      </c>
      <c r="Z15" s="25">
        <f>預測IC!Z15</f>
        <v>-2.3656199999999999E-2</v>
      </c>
      <c r="AA15" s="25">
        <f>預測IC!AA15</f>
        <v>4.6588900000000003E-2</v>
      </c>
      <c r="AB15" s="25">
        <f>預測IC!AB15</f>
        <v>-2.2166400740933071E-2</v>
      </c>
      <c r="AC15" s="25">
        <f>預測IC!AC15</f>
        <v>-4.0054800000000002E-2</v>
      </c>
      <c r="AD15" s="25">
        <f>預測IC!AD15</f>
        <v>8.171337488818238E-2</v>
      </c>
      <c r="AE15" s="25">
        <f>預測IC!AE15</f>
        <v>4.728559999999999E-2</v>
      </c>
      <c r="AF15" s="25">
        <f>預測IC!AF15</f>
        <v>6.5819612497039853E-2</v>
      </c>
      <c r="AG15" s="25">
        <f>預測IC!AG15</f>
        <v>-9.7449999999999967E-3</v>
      </c>
      <c r="AH15" s="25">
        <f>預測IC!AH15</f>
        <v>-3.3604373357676472E-2</v>
      </c>
      <c r="AI15" s="25">
        <f>預測IC!AI15</f>
        <v>5.0854449586025072E-2</v>
      </c>
      <c r="AJ15" s="25">
        <f>預測IC!AJ15</f>
        <v>9.4648599674757375E-3</v>
      </c>
      <c r="AK15" s="25">
        <f>預測IC!AK15</f>
        <v>5.7495575489853068E-2</v>
      </c>
      <c r="AL15" s="25">
        <f>預測IC!AL15</f>
        <v>4.055565498643466E-2</v>
      </c>
      <c r="AM15" s="25">
        <f>預測IC!AM15</f>
        <v>5.5122622134627111E-2</v>
      </c>
      <c r="AN15" s="25">
        <f>預測IC!AN15</f>
        <v>9.2861913417686362E-2</v>
      </c>
      <c r="AO15" s="25">
        <f>預測IC!AO15</f>
        <v>6.3369812463467096E-2</v>
      </c>
      <c r="AP15" s="25">
        <f>預測IC!AP15</f>
        <v>-8.645776651050277E-2</v>
      </c>
      <c r="AQ15" s="25">
        <f>預測IC!AQ15</f>
        <v>-3.2597542006349858E-2</v>
      </c>
      <c r="AR15" s="25">
        <f>預測IC!AR15</f>
        <v>7.8517256867441307E-2</v>
      </c>
      <c r="AS15" s="25">
        <f>預測IC!AS15</f>
        <v>5.3821179037114017E-2</v>
      </c>
      <c r="AT15" s="25">
        <f>預測IC!AT15</f>
        <v>6.5254990652428568E-2</v>
      </c>
      <c r="AU15" s="25">
        <f>預測IC!AU15</f>
        <v>3.9943261089466317E-2</v>
      </c>
      <c r="AV15" s="25">
        <f>預測IC!AV15</f>
        <v>-4.7226818327438858E-2</v>
      </c>
      <c r="AW15" s="25">
        <f>預測IC!AW15</f>
        <v>1.5659939254580951E-2</v>
      </c>
      <c r="AX15" s="25">
        <f>預測IC!AX15</f>
        <v>0.12523397717473519</v>
      </c>
      <c r="AY15" s="25">
        <f>預測IC!AY15</f>
        <v>2.8109416462786169E-2</v>
      </c>
      <c r="AZ15" s="25">
        <f>預測IC!AZ15</f>
        <v>-9.1323280068503487E-2</v>
      </c>
      <c r="BA15" s="25">
        <f>預測IC!BA15</f>
        <v>0.1576883</v>
      </c>
      <c r="BB15" s="25">
        <f>預測IC!BB15</f>
        <v>0.1087885</v>
      </c>
      <c r="BC15" s="25">
        <f>預測IC!BC15</f>
        <v>6.2155143667830287E-2</v>
      </c>
      <c r="BD15" s="25">
        <f>預測IC!BD15</f>
        <v>4.294982035196844E-2</v>
      </c>
      <c r="BE15" s="25">
        <f>預測IC!BE15</f>
        <v>3.9146514857668353E-2</v>
      </c>
      <c r="BF15" s="25">
        <f>預測IC!BF15</f>
        <v>5.1177887277543473E-2</v>
      </c>
      <c r="BG15" s="25">
        <f>預測IC!BG15</f>
        <v>2.8248220813759869E-3</v>
      </c>
      <c r="BH15" s="25">
        <f>預測IC!BH15</f>
        <v>3.3556537286376982E-2</v>
      </c>
      <c r="BI15" s="25">
        <f>預測IC!BI15</f>
        <v>6.8586659114969639E-2</v>
      </c>
      <c r="BJ15" s="25">
        <f>預測IC!BJ15</f>
        <v>-1.561910267199181E-2</v>
      </c>
      <c r="BK15" s="25">
        <f>預測IC!BK15</f>
        <v>-1.115636771345601E-2</v>
      </c>
      <c r="BL15" s="25">
        <f>預測IC!BL15</f>
        <v>6.274817600019017E-2</v>
      </c>
      <c r="BM15" s="25">
        <f>預測IC!BM15</f>
        <v>-4.8219004487744091E-2</v>
      </c>
      <c r="BN15" s="25">
        <f>預測IC!BN15</f>
        <v>4.0142569733189887E-2</v>
      </c>
      <c r="BO15" s="25">
        <f>預測IC!BO15</f>
        <v>2.773447595493098E-2</v>
      </c>
      <c r="BP15" s="25">
        <f>預測IC!BP15</f>
        <v>1.4184220707804779E-2</v>
      </c>
      <c r="BQ15" s="25">
        <f>預測IC!BQ15</f>
        <v>1.280293129032776E-2</v>
      </c>
      <c r="BR15" s="25">
        <f>預測IC!BR15</f>
        <v>-5.0157429122059692E-2</v>
      </c>
      <c r="BS15" s="25">
        <f>預測IC!BS15</f>
        <v>-1.682377745028632E-2</v>
      </c>
      <c r="BT15" s="25">
        <f>預測IC!BT15</f>
        <v>8.9060205731334427E-2</v>
      </c>
      <c r="BU15" s="25">
        <f>預測IC!BU15</f>
        <v>1.9476419795793471E-2</v>
      </c>
      <c r="BV15" s="25">
        <f>預測IC!BV15</f>
        <v>5.9228936960448321E-2</v>
      </c>
      <c r="BW15" s="25">
        <f>預測IC!BW15</f>
        <v>-3.5945890129403732E-2</v>
      </c>
      <c r="BX15" s="25">
        <f>預測IC!BX15</f>
        <v>2.0670546043628599E-2</v>
      </c>
      <c r="BY15" s="25">
        <f>預測IC!BY15</f>
        <v>-8.7655117761552964E-2</v>
      </c>
      <c r="BZ15" s="25">
        <f>預測IC!BZ15</f>
        <v>0.1029064689773473</v>
      </c>
      <c r="CA15" s="25">
        <f>預測IC!CA15</f>
        <v>-1.859202079644226E-2</v>
      </c>
      <c r="CB15" s="25">
        <f>預測IC!CB15</f>
        <v>1.5056894011824499E-2</v>
      </c>
      <c r="CC15" s="25">
        <f>預測IC!CC15</f>
        <v>0.17364959999999999</v>
      </c>
      <c r="CD15" s="25">
        <f>預測IC!CD15</f>
        <v>8.9093600000000009E-2</v>
      </c>
      <c r="CE15" s="25">
        <f>預測IC!CE15</f>
        <v>7.3367399999999999E-2</v>
      </c>
      <c r="CF15" s="25">
        <f>預測IC!CF15</f>
        <v>-3.626399999999988E-3</v>
      </c>
      <c r="CG15" s="25">
        <f>預測IC!CG15</f>
        <v>0.22573170000000009</v>
      </c>
      <c r="CH15" s="25">
        <f>預測IC!CH15</f>
        <v>6.2885958283701332E-2</v>
      </c>
      <c r="CI15" s="25">
        <f>預測IC!CI15</f>
        <v>-2.7803071840990439E-2</v>
      </c>
      <c r="CJ15" s="25">
        <f>預測IC!CJ15</f>
        <v>-8.7044356072718071E-2</v>
      </c>
      <c r="CK15" s="25">
        <f>預測IC!CK15</f>
        <v>5.667264577209942E-2</v>
      </c>
      <c r="CL15" s="25">
        <f>預測IC!CL15</f>
        <v>3.1421974993248308E-2</v>
      </c>
      <c r="CM15" s="25">
        <f>預測IC!CM15</f>
        <v>7.4631116128453773E-2</v>
      </c>
      <c r="CN15" s="25">
        <f>預測IC!CN15</f>
        <v>-4.2634115799160301E-2</v>
      </c>
      <c r="CO15" s="25">
        <f>預測IC!CO15</f>
        <v>-0.12944902488204141</v>
      </c>
      <c r="CP15" s="25">
        <f>預測IC!CP15</f>
        <v>0.12753583543294969</v>
      </c>
      <c r="CQ15" s="25">
        <f>預測IC!CQ15</f>
        <v>2.49633604564388E-2</v>
      </c>
      <c r="CR15" s="25">
        <f>預測IC!CR15</f>
        <v>2.43745E-2</v>
      </c>
      <c r="CS15" s="25">
        <f>預測IC!CS15</f>
        <v>1.6912400000000001E-2</v>
      </c>
      <c r="CT15" s="25">
        <f>預測IC!CT15</f>
        <v>7.3945749754547726E-3</v>
      </c>
      <c r="CU15" s="25">
        <f>預測IC!CU15</f>
        <v>-6.3178659914772728E-2</v>
      </c>
      <c r="CV15" s="25">
        <f>預測IC!CV15</f>
        <v>-6.1418469048089043E-3</v>
      </c>
      <c r="CW15" s="25">
        <f>預測IC!CW15</f>
        <v>-1.539092438334265E-2</v>
      </c>
      <c r="CX15" s="25">
        <f>預測IC!CX15</f>
        <v>2.4039607053330959E-2</v>
      </c>
      <c r="CY15" s="25">
        <f>預測IC!CY15</f>
        <v>-4.2470673077762339E-2</v>
      </c>
      <c r="CZ15" s="25">
        <f>預測IC!CZ15</f>
        <v>7.7145073940461564E-2</v>
      </c>
      <c r="DA15" s="25">
        <f>預測IC!DA15</f>
        <v>-2.6375835441876511E-2</v>
      </c>
      <c r="DB15" s="25">
        <f>預測IC!DB15</f>
        <v>9.7047700000000001E-2</v>
      </c>
      <c r="DC15" s="25">
        <f>預測IC!DC15</f>
        <v>7.6726499999999989E-2</v>
      </c>
      <c r="DD15" s="25">
        <f>預測IC!DD15</f>
        <v>-6.7525099999999977E-2</v>
      </c>
      <c r="DE15" s="25">
        <f>預測IC!DE15</f>
        <v>2.494871474504301E-2</v>
      </c>
      <c r="DF15" s="25">
        <f>預測IC!DF15</f>
        <v>-4.2391306399394757E-2</v>
      </c>
      <c r="DG15" s="25">
        <f>預測IC!DG15</f>
        <v>1.61967316182412E-2</v>
      </c>
      <c r="DH15" s="25">
        <f>預測IC!DH15</f>
        <v>-1.8709011043892099E-2</v>
      </c>
      <c r="DI15" s="25">
        <f>預測IC!DI15</f>
        <v>-1.171844900945769E-2</v>
      </c>
      <c r="DJ15" s="25">
        <f>預測IC!DJ15</f>
        <v>4.7566499999999998E-2</v>
      </c>
      <c r="DK15" s="25">
        <f>預測IC!DK15</f>
        <v>0.101774834051468</v>
      </c>
      <c r="DL15" s="25">
        <f>預測IC!DL15</f>
        <v>6.2635494088437937E-2</v>
      </c>
      <c r="DM15" s="25">
        <f>預測IC!DM15</f>
        <v>-2.380854686766869E-2</v>
      </c>
      <c r="DN15" s="25">
        <f>預測IC!DN15</f>
        <v>4.3996497423619649E-2</v>
      </c>
      <c r="DO15" s="25">
        <f>預測IC!DO15</f>
        <v>4.6296727233800808E-2</v>
      </c>
      <c r="DP15" s="25">
        <f>預測IC!DP15</f>
        <v>2.3735602006892551E-2</v>
      </c>
      <c r="DQ15" s="25">
        <f>預測IC!DQ15</f>
        <v>-9.9672215055135627E-2</v>
      </c>
      <c r="DR15" s="25">
        <f>預測IC!DR15</f>
        <v>3.9785608055100882E-2</v>
      </c>
      <c r="DS15" s="25">
        <f>預測IC!DS15</f>
        <v>-8.3044916630969273E-2</v>
      </c>
      <c r="DT15" s="25">
        <f>預測IC!DT15</f>
        <v>3.4296700000000013E-2</v>
      </c>
      <c r="DU15" s="25">
        <f>預測IC!DU15</f>
        <v>-0.1171285</v>
      </c>
      <c r="DV15" s="25">
        <f>預測IC!DV15</f>
        <v>0.13976835694087139</v>
      </c>
      <c r="DW15" s="25">
        <f>預測IC!DW15</f>
        <v>2.553862714683254E-2</v>
      </c>
      <c r="DX15" s="25">
        <f>預測IC!DX15</f>
        <v>-0.1186162506499864</v>
      </c>
      <c r="DY15" s="25">
        <f>預測IC!DY15</f>
        <v>0.1436096</v>
      </c>
      <c r="DZ15" s="25">
        <f>預測IC!DZ15</f>
        <v>4.0455199999999997E-2</v>
      </c>
      <c r="EA15" s="25">
        <f>預測IC!EA15</f>
        <v>0.109176933</v>
      </c>
      <c r="EB15" s="25">
        <f>預測IC!EB15</f>
        <v>4.8518573131244899E-2</v>
      </c>
      <c r="EC15" s="25">
        <f>預測IC!EC15</f>
        <v>-1.7783799999999999E-2</v>
      </c>
      <c r="ED15" s="25">
        <f>預測IC!ED15</f>
        <v>-0.1133570559353114</v>
      </c>
      <c r="EE15" s="25">
        <f>預測IC!EE15</f>
        <v>-2.2458539977079871E-2</v>
      </c>
      <c r="EF15" s="25">
        <f>預測IC!EF15</f>
        <v>6.2208305239075959E-2</v>
      </c>
      <c r="EG15" s="30">
        <f t="shared" si="8"/>
        <v>3.055619899267964E-2</v>
      </c>
      <c r="EH15" s="31">
        <f t="shared" si="6"/>
        <v>7.770582911707076E-2</v>
      </c>
      <c r="EI15" s="30">
        <f t="shared" si="7"/>
        <v>0.39322917392264101</v>
      </c>
    </row>
    <row r="16" spans="1:139">
      <c r="A16" s="4">
        <f>預測IC!A16</f>
        <v>107</v>
      </c>
      <c r="B16" s="4">
        <f>預測IC!B16</f>
        <v>9</v>
      </c>
      <c r="C16" s="25">
        <f>預測IC!C16</f>
        <v>0.20787511111111109</v>
      </c>
      <c r="D16" s="25">
        <f>預測IC!D16</f>
        <v>0.40819544444444439</v>
      </c>
      <c r="E16" s="25">
        <f>預測IC!E16</f>
        <v>6.5004888888888876E-2</v>
      </c>
      <c r="F16" s="25">
        <f>預測IC!F16</f>
        <v>0.1074195555555556</v>
      </c>
      <c r="G16" s="25">
        <f>預測IC!G16</f>
        <v>0.1090135555555555</v>
      </c>
      <c r="H16" s="25">
        <f>預測IC!H16</f>
        <v>7.2848777777777762E-2</v>
      </c>
      <c r="I16" s="25">
        <f>預測IC!I16</f>
        <v>0.111792</v>
      </c>
      <c r="J16" s="25">
        <f>預測IC!J16</f>
        <v>-6.8693444444444446E-2</v>
      </c>
      <c r="K16" s="25">
        <f>預測IC!K16</f>
        <v>1.7924444444444441E-2</v>
      </c>
      <c r="L16" s="25">
        <f>預測IC!L16</f>
        <v>3.1026555555555561E-2</v>
      </c>
      <c r="M16" s="25">
        <f>預測IC!M16</f>
        <v>4.0334454725240582E-2</v>
      </c>
      <c r="N16" s="25">
        <f>預測IC!N16</f>
        <v>0.36698788888888889</v>
      </c>
      <c r="O16" s="25">
        <f>預測IC!O16</f>
        <v>1.562111111111111E-2</v>
      </c>
      <c r="P16" s="25">
        <f>預測IC!P16</f>
        <v>6.1979777777777773E-2</v>
      </c>
      <c r="Q16" s="25">
        <f>預測IC!Q16</f>
        <v>9.6619888888888894E-2</v>
      </c>
      <c r="R16" s="25">
        <f>預測IC!R16</f>
        <v>1.918244444444445E-2</v>
      </c>
      <c r="S16" s="25">
        <f>預測IC!S16</f>
        <v>-4.2415111111111112E-2</v>
      </c>
      <c r="T16" s="25">
        <f>預測IC!T16</f>
        <v>-6.7219060157601318E-2</v>
      </c>
      <c r="U16" s="25">
        <f>預測IC!U16</f>
        <v>4.8649666666666667E-2</v>
      </c>
      <c r="V16" s="25">
        <f>預測IC!V16</f>
        <v>-0.1043152222222222</v>
      </c>
      <c r="W16" s="25">
        <f>預測IC!W16</f>
        <v>0.1084247383760011</v>
      </c>
      <c r="X16" s="25">
        <f>預測IC!X16</f>
        <v>7.3678333333333373E-2</v>
      </c>
      <c r="Y16" s="25">
        <f>預測IC!Y16</f>
        <v>-4.2885555555555559E-3</v>
      </c>
      <c r="Z16" s="25">
        <f>預測IC!Z16</f>
        <v>-2.0075777777777779E-2</v>
      </c>
      <c r="AA16" s="25">
        <f>預測IC!AA16</f>
        <v>5.022766666666667E-2</v>
      </c>
      <c r="AB16" s="25">
        <f>預測IC!AB16</f>
        <v>-3.2295414434067762E-2</v>
      </c>
      <c r="AC16" s="25">
        <f>預測IC!AC16</f>
        <v>-4.1040111111111117E-2</v>
      </c>
      <c r="AD16" s="25">
        <f>預測IC!AD16</f>
        <v>5.3136055547856789E-2</v>
      </c>
      <c r="AE16" s="25">
        <f>預測IC!AE16</f>
        <v>5.153399999999999E-2</v>
      </c>
      <c r="AF16" s="25">
        <f>預測IC!AF16</f>
        <v>6.089410506549911E-2</v>
      </c>
      <c r="AG16" s="25">
        <f>預測IC!AG16</f>
        <v>-8.3015555555555516E-3</v>
      </c>
      <c r="AH16" s="25">
        <f>預測IC!AH16</f>
        <v>-3.1765400449440553E-2</v>
      </c>
      <c r="AI16" s="25">
        <f>預測IC!AI16</f>
        <v>4.907804317656804E-2</v>
      </c>
      <c r="AJ16" s="25">
        <f>預測IC!AJ16</f>
        <v>-7.0259660718760518E-3</v>
      </c>
      <c r="AK16" s="25">
        <f>預測IC!AK16</f>
        <v>6.4421400832372078E-2</v>
      </c>
      <c r="AL16" s="25">
        <f>預測IC!AL16</f>
        <v>4.8688933104523248E-2</v>
      </c>
      <c r="AM16" s="25">
        <f>預測IC!AM16</f>
        <v>6.6076730601797973E-2</v>
      </c>
      <c r="AN16" s="25">
        <f>預測IC!AN16</f>
        <v>0.1064562000896756</v>
      </c>
      <c r="AO16" s="25">
        <f>預測IC!AO16</f>
        <v>5.879525226607351E-2</v>
      </c>
      <c r="AP16" s="25">
        <f>預測IC!AP16</f>
        <v>-7.779836814558852E-2</v>
      </c>
      <c r="AQ16" s="25">
        <f>預測IC!AQ16</f>
        <v>-3.8466200146068608E-2</v>
      </c>
      <c r="AR16" s="25">
        <f>預測IC!AR16</f>
        <v>0.1032911790604924</v>
      </c>
      <c r="AS16" s="25">
        <f>預測IC!AS16</f>
        <v>6.5068225473969343E-2</v>
      </c>
      <c r="AT16" s="25">
        <f>預測IC!AT16</f>
        <v>5.9867139144394142E-2</v>
      </c>
      <c r="AU16" s="25">
        <f>預測IC!AU16</f>
        <v>4.1826838254895117E-2</v>
      </c>
      <c r="AV16" s="25">
        <f>預測IC!AV16</f>
        <v>-9.0725067800187069E-3</v>
      </c>
      <c r="AW16" s="25">
        <f>預測IC!AW16</f>
        <v>3.9252930074650652E-2</v>
      </c>
      <c r="AX16" s="25">
        <f>預測IC!AX16</f>
        <v>0.10082977324397289</v>
      </c>
      <c r="AY16" s="25">
        <f>預測IC!AY16</f>
        <v>3.3812589844345937E-2</v>
      </c>
      <c r="AZ16" s="25">
        <f>預測IC!AZ16</f>
        <v>-0.1049096351787122</v>
      </c>
      <c r="BA16" s="25">
        <f>預測IC!BA16</f>
        <v>0.15999111111111111</v>
      </c>
      <c r="BB16" s="25">
        <f>預測IC!BB16</f>
        <v>0.13247400000000001</v>
      </c>
      <c r="BC16" s="25">
        <f>預測IC!BC16</f>
        <v>6.6102245099688817E-2</v>
      </c>
      <c r="BD16" s="25">
        <f>預測IC!BD16</f>
        <v>3.5936711545904013E-2</v>
      </c>
      <c r="BE16" s="25">
        <f>預測IC!BE16</f>
        <v>5.1410994394474947E-2</v>
      </c>
      <c r="BF16" s="25">
        <f>預測IC!BF16</f>
        <v>6.4268054319718215E-2</v>
      </c>
      <c r="BG16" s="25">
        <f>預測IC!BG16</f>
        <v>1.3845819099968581E-2</v>
      </c>
      <c r="BH16" s="25">
        <f>預測IC!BH16</f>
        <v>-5.4124800669573259E-3</v>
      </c>
      <c r="BI16" s="25">
        <f>預測IC!BI16</f>
        <v>5.2335760294464642E-2</v>
      </c>
      <c r="BJ16" s="25">
        <f>預測IC!BJ16</f>
        <v>-2.0503816283207601E-2</v>
      </c>
      <c r="BK16" s="25">
        <f>預測IC!BK16</f>
        <v>-2.122951812515751E-3</v>
      </c>
      <c r="BL16" s="25">
        <f>預測IC!BL16</f>
        <v>7.0623565707523178E-2</v>
      </c>
      <c r="BM16" s="25">
        <f>預測IC!BM16</f>
        <v>-3.9497985491106162E-2</v>
      </c>
      <c r="BN16" s="25">
        <f>預測IC!BN16</f>
        <v>4.7905832604027233E-2</v>
      </c>
      <c r="BO16" s="25">
        <f>預測IC!BO16</f>
        <v>2.1890359953657689E-2</v>
      </c>
      <c r="BP16" s="25">
        <f>預測IC!BP16</f>
        <v>1.174719798333914E-2</v>
      </c>
      <c r="BQ16" s="25">
        <f>預測IC!BQ16</f>
        <v>1.331245374481595E-2</v>
      </c>
      <c r="BR16" s="25">
        <f>預測IC!BR16</f>
        <v>-2.6296848021444389E-2</v>
      </c>
      <c r="BS16" s="25">
        <f>預測IC!BS16</f>
        <v>-1.319157314746418E-2</v>
      </c>
      <c r="BT16" s="25">
        <f>預測IC!BT16</f>
        <v>8.5483191267799616E-2</v>
      </c>
      <c r="BU16" s="25">
        <f>預測IC!BU16</f>
        <v>5.7765110184800447E-2</v>
      </c>
      <c r="BV16" s="25">
        <f>預測IC!BV16</f>
        <v>6.3782488349153427E-2</v>
      </c>
      <c r="BW16" s="25">
        <f>預測IC!BW16</f>
        <v>-6.5740927426534632E-2</v>
      </c>
      <c r="BX16" s="25">
        <f>預測IC!BX16</f>
        <v>3.1559237521130948E-2</v>
      </c>
      <c r="BY16" s="25">
        <f>預測IC!BY16</f>
        <v>-7.7354776264689812E-2</v>
      </c>
      <c r="BZ16" s="25">
        <f>預測IC!BZ16</f>
        <v>0.11152584850164921</v>
      </c>
      <c r="CA16" s="25">
        <f>預測IC!CA16</f>
        <v>-1.7116103683771391E-2</v>
      </c>
      <c r="CB16" s="25">
        <f>預測IC!CB16</f>
        <v>-1.4280449892172949E-3</v>
      </c>
      <c r="CC16" s="25">
        <f>預測IC!CC16</f>
        <v>4.4386333333333347E-2</v>
      </c>
      <c r="CD16" s="25">
        <f>預測IC!CD16</f>
        <v>8.7750000000000009E-2</v>
      </c>
      <c r="CE16" s="25">
        <f>預測IC!CE16</f>
        <v>9.3613777777777768E-2</v>
      </c>
      <c r="CF16" s="25">
        <f>預測IC!CF16</f>
        <v>-1.469599999999999E-2</v>
      </c>
      <c r="CG16" s="25">
        <f>預測IC!CG16</f>
        <v>0.14619666666666681</v>
      </c>
      <c r="CH16" s="25">
        <f>預測IC!CH16</f>
        <v>4.1697414703027062E-2</v>
      </c>
      <c r="CI16" s="25">
        <f>預測IC!CI16</f>
        <v>-3.8709881828517527E-2</v>
      </c>
      <c r="CJ16" s="25">
        <f>預測IC!CJ16</f>
        <v>-4.5523550787666608E-2</v>
      </c>
      <c r="CK16" s="25">
        <f>預測IC!CK16</f>
        <v>7.6472983717690388E-2</v>
      </c>
      <c r="CL16" s="25">
        <f>預測IC!CL16</f>
        <v>1.9995369478776299E-2</v>
      </c>
      <c r="CM16" s="25">
        <f>預測IC!CM16</f>
        <v>8.8988628149511681E-2</v>
      </c>
      <c r="CN16" s="25">
        <f>預測IC!CN16</f>
        <v>-3.3057515140949983E-2</v>
      </c>
      <c r="CO16" s="25">
        <f>預測IC!CO16</f>
        <v>-0.17087869110724641</v>
      </c>
      <c r="CP16" s="25">
        <f>預測IC!CP16</f>
        <v>0.13761381602841219</v>
      </c>
      <c r="CQ16" s="25">
        <f>預測IC!CQ16</f>
        <v>2.0333779820360921E-2</v>
      </c>
      <c r="CR16" s="25">
        <f>預測IC!CR16</f>
        <v>2.522944444444444E-2</v>
      </c>
      <c r="CS16" s="25">
        <f>預測IC!CS16</f>
        <v>2.1808222222222218E-2</v>
      </c>
      <c r="CT16" s="25">
        <f>預測IC!CT16</f>
        <v>5.0674065008409694E-3</v>
      </c>
      <c r="CU16" s="25">
        <f>預測IC!CU16</f>
        <v>-6.4113369063883735E-2</v>
      </c>
      <c r="CV16" s="25">
        <f>預測IC!CV16</f>
        <v>-1.7860959418134061E-2</v>
      </c>
      <c r="CW16" s="25">
        <f>預測IC!CW16</f>
        <v>-1.242334198029111E-2</v>
      </c>
      <c r="CX16" s="25">
        <f>預測IC!CX16</f>
        <v>1.224028475424996E-2</v>
      </c>
      <c r="CY16" s="25">
        <f>預測IC!CY16</f>
        <v>-4.9117049116625407E-2</v>
      </c>
      <c r="CZ16" s="25">
        <f>預測IC!CZ16</f>
        <v>0.1026332591781325</v>
      </c>
      <c r="DA16" s="25">
        <f>預測IC!DA16</f>
        <v>-2.9804793967235531E-2</v>
      </c>
      <c r="DB16" s="25">
        <f>預測IC!DB16</f>
        <v>9.8016666666666655E-2</v>
      </c>
      <c r="DC16" s="25">
        <f>預測IC!DC16</f>
        <v>6.3740111111111108E-2</v>
      </c>
      <c r="DD16" s="25">
        <f>預測IC!DD16</f>
        <v>-7.4370111111111095E-2</v>
      </c>
      <c r="DE16" s="25">
        <f>預測IC!DE16</f>
        <v>-3.1193128036132781E-2</v>
      </c>
      <c r="DF16" s="25">
        <f>預測IC!DF16</f>
        <v>-2.31464332255591E-2</v>
      </c>
      <c r="DG16" s="25">
        <f>預測IC!DG16</f>
        <v>1.445294763143863E-2</v>
      </c>
      <c r="DH16" s="25">
        <f>預測IC!DH16</f>
        <v>-1.9129343417971109E-2</v>
      </c>
      <c r="DI16" s="25">
        <f>預測IC!DI16</f>
        <v>-1.323342571252226E-2</v>
      </c>
      <c r="DJ16" s="25">
        <f>預測IC!DJ16</f>
        <v>5.1753111111111111E-2</v>
      </c>
      <c r="DK16" s="25">
        <f>預測IC!DK16</f>
        <v>0.1335943566255807</v>
      </c>
      <c r="DL16" s="25">
        <f>預測IC!DL16</f>
        <v>7.1494374915964373E-2</v>
      </c>
      <c r="DM16" s="25">
        <f>預測IC!DM16</f>
        <v>-3.0330949758340948E-2</v>
      </c>
      <c r="DN16" s="25">
        <f>預測IC!DN16</f>
        <v>4.2437853359407113E-2</v>
      </c>
      <c r="DO16" s="25">
        <f>預測IC!DO16</f>
        <v>5.2411859415845988E-2</v>
      </c>
      <c r="DP16" s="25">
        <f>預測IC!DP16</f>
        <v>1.9841948579226051E-2</v>
      </c>
      <c r="DQ16" s="25">
        <f>預測IC!DQ16</f>
        <v>-8.3033658077016542E-2</v>
      </c>
      <c r="DR16" s="25">
        <f>預測IC!DR16</f>
        <v>5.5191251649515209E-2</v>
      </c>
      <c r="DS16" s="25">
        <f>預測IC!DS16</f>
        <v>-9.3752064989754288E-2</v>
      </c>
      <c r="DT16" s="25">
        <f>預測IC!DT16</f>
        <v>3.2059333333333329E-2</v>
      </c>
      <c r="DU16" s="25">
        <f>預測IC!DU16</f>
        <v>-0.12277299999999999</v>
      </c>
      <c r="DV16" s="25">
        <f>預測IC!DV16</f>
        <v>0.13695373201779351</v>
      </c>
      <c r="DW16" s="25">
        <f>預測IC!DW16</f>
        <v>4.0917729699690833E-2</v>
      </c>
      <c r="DX16" s="25">
        <f>預測IC!DX16</f>
        <v>-0.1252847063239774</v>
      </c>
      <c r="DY16" s="25">
        <f>預測IC!DY16</f>
        <v>0.15757177777777781</v>
      </c>
      <c r="DZ16" s="25">
        <f>預測IC!DZ16</f>
        <v>5.8810444444444457E-2</v>
      </c>
      <c r="EA16" s="25">
        <f>預測IC!EA16</f>
        <v>0.139799019</v>
      </c>
      <c r="EB16" s="25">
        <f>預測IC!EB16</f>
        <v>7.7977782859947109E-2</v>
      </c>
      <c r="EC16" s="25">
        <f>預測IC!EC16</f>
        <v>-2.4936444444444442E-2</v>
      </c>
      <c r="ED16" s="25">
        <f>預測IC!ED16</f>
        <v>-0.1154167474989211</v>
      </c>
      <c r="EE16" s="25">
        <f>預測IC!EE16</f>
        <v>-3.3058269544628087E-2</v>
      </c>
      <c r="EF16" s="25">
        <f>預測IC!EF16</f>
        <v>3.9893906712643798E-2</v>
      </c>
      <c r="EG16" s="30">
        <f t="shared" si="8"/>
        <v>3.0795149287198668E-2</v>
      </c>
      <c r="EH16" s="31">
        <f t="shared" si="6"/>
        <v>7.9866387141094536E-2</v>
      </c>
      <c r="EI16" s="30">
        <f t="shared" si="7"/>
        <v>0.38558335226551521</v>
      </c>
    </row>
    <row r="17" spans="1:139">
      <c r="A17" s="4">
        <f>預測IC!A17</f>
        <v>120</v>
      </c>
      <c r="B17" s="4">
        <f>預測IC!B17</f>
        <v>8</v>
      </c>
      <c r="C17" s="25">
        <f>預測IC!C17</f>
        <v>0.20609237499999999</v>
      </c>
      <c r="D17" s="25">
        <f>預測IC!D17</f>
        <v>0.43958837499999998</v>
      </c>
      <c r="E17" s="25">
        <f>預測IC!E17</f>
        <v>7.9587999999999992E-2</v>
      </c>
      <c r="F17" s="25">
        <f>預測IC!F17</f>
        <v>0.14677200000000001</v>
      </c>
      <c r="G17" s="25">
        <f>預測IC!G17</f>
        <v>0.117132625</v>
      </c>
      <c r="H17" s="25">
        <f>預測IC!H17</f>
        <v>0.10499475</v>
      </c>
      <c r="I17" s="25">
        <f>預測IC!I17</f>
        <v>6.7489250000000001E-2</v>
      </c>
      <c r="J17" s="25">
        <f>預測IC!J17</f>
        <v>-0.11529837499999999</v>
      </c>
      <c r="K17" s="25">
        <f>預測IC!K17</f>
        <v>3.944375E-2</v>
      </c>
      <c r="L17" s="25">
        <f>預測IC!L17</f>
        <v>3.3774875000000003E-2</v>
      </c>
      <c r="M17" s="25">
        <f>預測IC!M17</f>
        <v>6.4932034983486209E-2</v>
      </c>
      <c r="N17" s="25">
        <f>預測IC!N17</f>
        <v>0.40510825</v>
      </c>
      <c r="O17" s="25">
        <f>預測IC!O17</f>
        <v>2.4632125000000001E-2</v>
      </c>
      <c r="P17" s="25">
        <f>預測IC!P17</f>
        <v>7.6915624999999987E-2</v>
      </c>
      <c r="Q17" s="25">
        <f>預測IC!Q17</f>
        <v>0.106432375</v>
      </c>
      <c r="R17" s="25">
        <f>預測IC!R17</f>
        <v>1.975000000000005E-3</v>
      </c>
      <c r="S17" s="25">
        <f>預測IC!S17</f>
        <v>-5.5131750000000007E-2</v>
      </c>
      <c r="T17" s="25">
        <f>預測IC!T17</f>
        <v>-7.120201453280707E-2</v>
      </c>
      <c r="U17" s="25">
        <f>預測IC!U17</f>
        <v>5.2288375000000012E-2</v>
      </c>
      <c r="V17" s="25">
        <f>預測IC!V17</f>
        <v>-0.116355125</v>
      </c>
      <c r="W17" s="25">
        <f>預測IC!W17</f>
        <v>0.12350090053788521</v>
      </c>
      <c r="X17" s="25">
        <f>預測IC!X17</f>
        <v>0.10018637499999999</v>
      </c>
      <c r="Y17" s="25">
        <f>預測IC!Y17</f>
        <v>1.4991250000000039E-3</v>
      </c>
      <c r="Z17" s="25">
        <f>預測IC!Z17</f>
        <v>-2.1608499999999999E-2</v>
      </c>
      <c r="AA17" s="25">
        <f>預測IC!AA17</f>
        <v>6.2256125000000002E-2</v>
      </c>
      <c r="AB17" s="25">
        <f>預測IC!AB17</f>
        <v>-4.4538303269439639E-2</v>
      </c>
      <c r="AC17" s="25">
        <f>預測IC!AC17</f>
        <v>-4.0799124999999999E-2</v>
      </c>
      <c r="AD17" s="25">
        <f>預測IC!AD17</f>
        <v>4.9777375460754107E-2</v>
      </c>
      <c r="AE17" s="25">
        <f>預測IC!AE17</f>
        <v>5.9443249999999989E-2</v>
      </c>
      <c r="AF17" s="25">
        <f>預測IC!AF17</f>
        <v>5.8288605416338853E-2</v>
      </c>
      <c r="AG17" s="25">
        <f>預測IC!AG17</f>
        <v>-1.3512499999999981E-3</v>
      </c>
      <c r="AH17" s="25">
        <f>預測IC!AH17</f>
        <v>-4.943754228054096E-2</v>
      </c>
      <c r="AI17" s="25">
        <f>預測IC!AI17</f>
        <v>3.058770864151358E-2</v>
      </c>
      <c r="AJ17" s="25">
        <f>預測IC!AJ17</f>
        <v>-4.2602630518956887E-2</v>
      </c>
      <c r="AK17" s="25">
        <f>預測IC!AK17</f>
        <v>3.1812485999819867E-2</v>
      </c>
      <c r="AL17" s="25">
        <f>預測IC!AL17</f>
        <v>5.0724405748556509E-2</v>
      </c>
      <c r="AM17" s="25">
        <f>預測IC!AM17</f>
        <v>7.5369367587656985E-2</v>
      </c>
      <c r="AN17" s="25">
        <f>預測IC!AN17</f>
        <v>0.1132871203459177</v>
      </c>
      <c r="AO17" s="25">
        <f>預測IC!AO17</f>
        <v>1.2632334595724191E-2</v>
      </c>
      <c r="AP17" s="25">
        <f>預測IC!AP17</f>
        <v>-7.7242814419585484E-2</v>
      </c>
      <c r="AQ17" s="25">
        <f>預測IC!AQ17</f>
        <v>-6.0527137401499037E-2</v>
      </c>
      <c r="AR17" s="25">
        <f>預測IC!AR17</f>
        <v>0.11644964662764121</v>
      </c>
      <c r="AS17" s="25">
        <f>預測IC!AS17</f>
        <v>5.6323562034475708E-2</v>
      </c>
      <c r="AT17" s="25">
        <f>預測IC!AT17</f>
        <v>5.2267806449722218E-2</v>
      </c>
      <c r="AU17" s="25">
        <f>預測IC!AU17</f>
        <v>5.2648231242993053E-2</v>
      </c>
      <c r="AV17" s="25">
        <f>預測IC!AV17</f>
        <v>-2.1508362937905631E-2</v>
      </c>
      <c r="AW17" s="25">
        <f>預測IC!AW17</f>
        <v>1.916397377431981E-2</v>
      </c>
      <c r="AX17" s="25">
        <f>預測IC!AX17</f>
        <v>9.6240558508798979E-2</v>
      </c>
      <c r="AY17" s="25">
        <f>預測IC!AY17</f>
        <v>2.742369669060089E-2</v>
      </c>
      <c r="AZ17" s="25">
        <f>預測IC!AZ17</f>
        <v>-0.12511082490736811</v>
      </c>
      <c r="BA17" s="25">
        <f>預測IC!BA17</f>
        <v>0.16280649999999999</v>
      </c>
      <c r="BB17" s="25">
        <f>預測IC!BB17</f>
        <v>0.15327075000000001</v>
      </c>
      <c r="BC17" s="25">
        <f>預測IC!BC17</f>
        <v>8.2716571543810222E-2</v>
      </c>
      <c r="BD17" s="25">
        <f>預測IC!BD17</f>
        <v>2.235648224620481E-2</v>
      </c>
      <c r="BE17" s="25">
        <f>預測IC!BE17</f>
        <v>7.7350242238060404E-2</v>
      </c>
      <c r="BF17" s="25">
        <f>預測IC!BF17</f>
        <v>5.5197496608953713E-2</v>
      </c>
      <c r="BG17" s="25">
        <f>預測IC!BG17</f>
        <v>-3.5394236088037302E-2</v>
      </c>
      <c r="BH17" s="25">
        <f>預測IC!BH17</f>
        <v>-1.7313847646246161E-3</v>
      </c>
      <c r="BI17" s="25">
        <f>預測IC!BI17</f>
        <v>9.9365392037550321E-2</v>
      </c>
      <c r="BJ17" s="25">
        <f>預測IC!BJ17</f>
        <v>-9.8580642732364818E-3</v>
      </c>
      <c r="BK17" s="25">
        <f>預測IC!BK17</f>
        <v>-1.3822952070105509E-2</v>
      </c>
      <c r="BL17" s="25">
        <f>預測IC!BL17</f>
        <v>7.3931305201746164E-2</v>
      </c>
      <c r="BM17" s="25">
        <f>預測IC!BM17</f>
        <v>-2.905901115235426E-2</v>
      </c>
      <c r="BN17" s="25">
        <f>預測IC!BN17</f>
        <v>4.772961945384889E-2</v>
      </c>
      <c r="BO17" s="25">
        <f>預測IC!BO17</f>
        <v>1.9886080708886981E-2</v>
      </c>
      <c r="BP17" s="25">
        <f>預測IC!BP17</f>
        <v>2.683750107843403E-2</v>
      </c>
      <c r="BQ17" s="25">
        <f>預測IC!BQ17</f>
        <v>1.1376510446451601E-2</v>
      </c>
      <c r="BR17" s="25">
        <f>預測IC!BR17</f>
        <v>-9.1794540592071705E-4</v>
      </c>
      <c r="BS17" s="25">
        <f>預測IC!BS17</f>
        <v>-4.1034691106065987E-3</v>
      </c>
      <c r="BT17" s="25">
        <f>預測IC!BT17</f>
        <v>0.1094163788704233</v>
      </c>
      <c r="BU17" s="25">
        <f>預測IC!BU17</f>
        <v>7.1127818750752414E-2</v>
      </c>
      <c r="BV17" s="25">
        <f>預測IC!BV17</f>
        <v>7.4446900798735116E-2</v>
      </c>
      <c r="BW17" s="25">
        <f>預測IC!BW17</f>
        <v>-8.0431712599265903E-2</v>
      </c>
      <c r="BX17" s="25">
        <f>預測IC!BX17</f>
        <v>2.8822964619672729E-2</v>
      </c>
      <c r="BY17" s="25">
        <f>預測IC!BY17</f>
        <v>-0.1001820701826233</v>
      </c>
      <c r="BZ17" s="25">
        <f>預測IC!BZ17</f>
        <v>0.12057815588108529</v>
      </c>
      <c r="CA17" s="25">
        <f>預測IC!CA17</f>
        <v>-2.7934832358489561E-2</v>
      </c>
      <c r="CB17" s="25">
        <f>預測IC!CB17</f>
        <v>-1.3353103341121051E-3</v>
      </c>
      <c r="CC17" s="25">
        <f>預測IC!CC17</f>
        <v>4.1758499999999997E-2</v>
      </c>
      <c r="CD17" s="25">
        <f>預測IC!CD17</f>
        <v>6.4104625000000012E-2</v>
      </c>
      <c r="CE17" s="25">
        <f>預測IC!CE17</f>
        <v>9.5707624999999991E-2</v>
      </c>
      <c r="CF17" s="25">
        <f>預測IC!CF17</f>
        <v>-9.5123749999999979E-2</v>
      </c>
      <c r="CG17" s="25">
        <f>預測IC!CG17</f>
        <v>0.17703537500000011</v>
      </c>
      <c r="CH17" s="25">
        <f>預測IC!CH17</f>
        <v>5.8636446607050002E-2</v>
      </c>
      <c r="CI17" s="25">
        <f>預測IC!CI17</f>
        <v>-1.4531184989588509E-2</v>
      </c>
      <c r="CJ17" s="25">
        <f>預測IC!CJ17</f>
        <v>-5.0742321484442049E-2</v>
      </c>
      <c r="CK17" s="25">
        <f>預測IC!CK17</f>
        <v>9.1738572657912937E-2</v>
      </c>
      <c r="CL17" s="25">
        <f>預測IC!CL17</f>
        <v>-9.426344769031314E-3</v>
      </c>
      <c r="CM17" s="25">
        <f>預測IC!CM17</f>
        <v>0.13456934443157431</v>
      </c>
      <c r="CN17" s="25">
        <f>預測IC!CN17</f>
        <v>-2.6718061150986971E-2</v>
      </c>
      <c r="CO17" s="25">
        <f>預測IC!CO17</f>
        <v>-0.20253862726298949</v>
      </c>
      <c r="CP17" s="25">
        <f>預測IC!CP17</f>
        <v>0.1481592691973436</v>
      </c>
      <c r="CQ17" s="25">
        <f>預測IC!CQ17</f>
        <v>-5.1907103341726511E-2</v>
      </c>
      <c r="CR17" s="25">
        <f>預測IC!CR17</f>
        <v>2.3006874999999989E-2</v>
      </c>
      <c r="CS17" s="25">
        <f>預測IC!CS17</f>
        <v>1.1546625E-2</v>
      </c>
      <c r="CT17" s="25">
        <f>預測IC!CT17</f>
        <v>4.9260056389193077E-2</v>
      </c>
      <c r="CU17" s="25">
        <f>預測IC!CU17</f>
        <v>-7.440830758325391E-2</v>
      </c>
      <c r="CV17" s="25">
        <f>預測IC!CV17</f>
        <v>3.8796079399274282E-3</v>
      </c>
      <c r="CW17" s="25">
        <f>預測IC!CW17</f>
        <v>-1.976185390935294E-2</v>
      </c>
      <c r="CX17" s="25">
        <f>預測IC!CX17</f>
        <v>1.0772394523947831E-2</v>
      </c>
      <c r="CY17" s="25">
        <f>預測IC!CY17</f>
        <v>-4.9383298716090041E-2</v>
      </c>
      <c r="CZ17" s="25">
        <f>預測IC!CZ17</f>
        <v>0.1242488378476205</v>
      </c>
      <c r="DA17" s="25">
        <f>預測IC!DA17</f>
        <v>-4.3895859145134192E-2</v>
      </c>
      <c r="DB17" s="25">
        <f>預測IC!DB17</f>
        <v>0.104271</v>
      </c>
      <c r="DC17" s="25">
        <f>預測IC!DC17</f>
        <v>5.3887499999999991E-2</v>
      </c>
      <c r="DD17" s="25">
        <f>預測IC!DD17</f>
        <v>-4.8129999999999992E-2</v>
      </c>
      <c r="DE17" s="25">
        <f>預測IC!DE17</f>
        <v>-3.3180930667267239E-2</v>
      </c>
      <c r="DF17" s="25">
        <f>預測IC!DF17</f>
        <v>-1.123137032665928E-2</v>
      </c>
      <c r="DG17" s="25">
        <f>預測IC!DG17</f>
        <v>6.934576427282943E-3</v>
      </c>
      <c r="DH17" s="25">
        <f>預測IC!DH17</f>
        <v>-3.8726650938012717E-2</v>
      </c>
      <c r="DI17" s="25">
        <f>預測IC!DI17</f>
        <v>-5.2932443237824409E-3</v>
      </c>
      <c r="DJ17" s="25">
        <f>預測IC!DJ17</f>
        <v>5.7146374999999999E-2</v>
      </c>
      <c r="DK17" s="25">
        <f>預測IC!DK17</f>
        <v>0.15603642811654619</v>
      </c>
      <c r="DL17" s="25">
        <f>預測IC!DL17</f>
        <v>7.3515600937171063E-2</v>
      </c>
      <c r="DM17" s="25">
        <f>預測IC!DM17</f>
        <v>-5.2252910582316028E-2</v>
      </c>
      <c r="DN17" s="25">
        <f>預測IC!DN17</f>
        <v>3.5489032714339008E-2</v>
      </c>
      <c r="DO17" s="25">
        <f>預測IC!DO17</f>
        <v>5.3451370339903423E-2</v>
      </c>
      <c r="DP17" s="25">
        <f>預測IC!DP17</f>
        <v>-1.6878609333896889E-2</v>
      </c>
      <c r="DQ17" s="25">
        <f>預測IC!DQ17</f>
        <v>-0.1077024687966308</v>
      </c>
      <c r="DR17" s="25">
        <f>預測IC!DR17</f>
        <v>5.5884814876328279E-2</v>
      </c>
      <c r="DS17" s="25">
        <f>預測IC!DS17</f>
        <v>-0.12431615980481089</v>
      </c>
      <c r="DT17" s="25">
        <f>預測IC!DT17</f>
        <v>1.6743000000000001E-2</v>
      </c>
      <c r="DU17" s="25">
        <f>預測IC!DU17</f>
        <v>-0.129494</v>
      </c>
      <c r="DV17" s="25">
        <f>預測IC!DV17</f>
        <v>0.11776539811095429</v>
      </c>
      <c r="DW17" s="25">
        <f>預測IC!DW17</f>
        <v>4.8681483414150163E-2</v>
      </c>
      <c r="DX17" s="25">
        <f>預測IC!DX17</f>
        <v>-0.12953898259647401</v>
      </c>
      <c r="DY17" s="25">
        <f>預測IC!DY17</f>
        <v>0.10728225</v>
      </c>
      <c r="DZ17" s="25">
        <f>預測IC!DZ17</f>
        <v>4.9212000000000013E-2</v>
      </c>
      <c r="EA17" s="25">
        <f>預測IC!EA17</f>
        <v>0.164571523</v>
      </c>
      <c r="EB17" s="25">
        <f>預測IC!EB17</f>
        <v>8.7100349194739315E-2</v>
      </c>
      <c r="EC17" s="25">
        <f>預測IC!EC17</f>
        <v>-2.0359374999999999E-2</v>
      </c>
      <c r="ED17" s="25">
        <f>預測IC!ED17</f>
        <v>-0.12832444392891271</v>
      </c>
      <c r="EE17" s="25">
        <f>預測IC!EE17</f>
        <v>-2.5413360310033831E-2</v>
      </c>
      <c r="EF17" s="25">
        <f>預測IC!EF17</f>
        <v>4.7709767009851849E-2</v>
      </c>
      <c r="EG17" s="30">
        <f t="shared" si="8"/>
        <v>2.9907475905207342E-2</v>
      </c>
      <c r="EH17" s="31">
        <f t="shared" si="6"/>
        <v>8.9368481560764657E-2</v>
      </c>
      <c r="EI17" s="30">
        <f t="shared" si="7"/>
        <v>0.33465350851767844</v>
      </c>
    </row>
    <row r="18" spans="1:139">
      <c r="A18" s="4">
        <f>預測IC!A18</f>
        <v>137</v>
      </c>
      <c r="B18" s="4">
        <f>預測IC!B18</f>
        <v>7</v>
      </c>
      <c r="C18" s="25">
        <f>預測IC!C18</f>
        <v>0.1897511428571429</v>
      </c>
      <c r="D18" s="25">
        <f>預測IC!D18</f>
        <v>0.40188400000000007</v>
      </c>
      <c r="E18" s="25">
        <f>預測IC!E18</f>
        <v>5.3437857142857148E-2</v>
      </c>
      <c r="F18" s="25">
        <f>預測IC!F18</f>
        <v>0.21209085714285711</v>
      </c>
      <c r="G18" s="25">
        <f>預測IC!G18</f>
        <v>0.13305871428571431</v>
      </c>
      <c r="H18" s="25">
        <f>預測IC!H18</f>
        <v>0.12853999999999999</v>
      </c>
      <c r="I18" s="25">
        <f>預測IC!I18</f>
        <v>5.4952571428571427E-2</v>
      </c>
      <c r="J18" s="25">
        <f>預測IC!J18</f>
        <v>-0.12516085714285721</v>
      </c>
      <c r="K18" s="25">
        <f>預測IC!K18</f>
        <v>3.1585285714285698E-2</v>
      </c>
      <c r="L18" s="25">
        <f>預測IC!L18</f>
        <v>4.667157142857143E-2</v>
      </c>
      <c r="M18" s="25">
        <f>預測IC!M18</f>
        <v>6.9806303560508057E-2</v>
      </c>
      <c r="N18" s="25">
        <f>預測IC!N18</f>
        <v>0.46182042857142858</v>
      </c>
      <c r="O18" s="25">
        <f>預測IC!O18</f>
        <v>2.432414285714286E-2</v>
      </c>
      <c r="P18" s="25">
        <f>預測IC!P18</f>
        <v>5.4569714285714277E-2</v>
      </c>
      <c r="Q18" s="25">
        <f>預測IC!Q18</f>
        <v>0.1217387142857143</v>
      </c>
      <c r="R18" s="25">
        <f>預測IC!R18</f>
        <v>1.9326571428571419E-2</v>
      </c>
      <c r="S18" s="25">
        <f>預測IC!S18</f>
        <v>-6.9013285714285721E-2</v>
      </c>
      <c r="T18" s="25">
        <f>預測IC!T18</f>
        <v>-5.7206381649403372E-2</v>
      </c>
      <c r="U18" s="25">
        <f>預測IC!U18</f>
        <v>2.8133571428571431E-2</v>
      </c>
      <c r="V18" s="25">
        <f>預測IC!V18</f>
        <v>-0.13125300000000001</v>
      </c>
      <c r="W18" s="25">
        <f>預測IC!W18</f>
        <v>0.1379172379157062</v>
      </c>
      <c r="X18" s="25">
        <f>預測IC!X18</f>
        <v>0.12712328571428569</v>
      </c>
      <c r="Y18" s="25">
        <f>預測IC!Y18</f>
        <v>2.4211857142857139E-2</v>
      </c>
      <c r="Z18" s="25">
        <f>預測IC!Z18</f>
        <v>-1.690557142857143E-2</v>
      </c>
      <c r="AA18" s="25">
        <f>預測IC!AA18</f>
        <v>5.4805571428571433E-2</v>
      </c>
      <c r="AB18" s="25">
        <f>預測IC!AB18</f>
        <v>-6.2644805262660919E-2</v>
      </c>
      <c r="AC18" s="25">
        <f>預測IC!AC18</f>
        <v>-7.4719857142857143E-2</v>
      </c>
      <c r="AD18" s="25">
        <f>預測IC!AD18</f>
        <v>7.2443789088531399E-2</v>
      </c>
      <c r="AE18" s="25">
        <f>預測IC!AE18</f>
        <v>7.7200999999999978E-2</v>
      </c>
      <c r="AF18" s="25">
        <f>預測IC!AF18</f>
        <v>2.8284041354224101E-2</v>
      </c>
      <c r="AG18" s="25">
        <f>預測IC!AG18</f>
        <v>-8.6178571428571424E-3</v>
      </c>
      <c r="AH18" s="25">
        <f>預測IC!AH18</f>
        <v>-4.0197460968514703E-2</v>
      </c>
      <c r="AI18" s="25">
        <f>預測IC!AI18</f>
        <v>4.6855541353756032E-2</v>
      </c>
      <c r="AJ18" s="25">
        <f>預測IC!AJ18</f>
        <v>-4.7393756166449127E-2</v>
      </c>
      <c r="AK18" s="25">
        <f>預測IC!AK18</f>
        <v>-2.1874809686740931E-3</v>
      </c>
      <c r="AL18" s="25">
        <f>預測IC!AL18</f>
        <v>4.5860125594871057E-2</v>
      </c>
      <c r="AM18" s="25">
        <f>預測IC!AM18</f>
        <v>6.6643405424771207E-2</v>
      </c>
      <c r="AN18" s="25">
        <f>預測IC!AN18</f>
        <v>7.9294639955201793E-2</v>
      </c>
      <c r="AO18" s="25">
        <f>預測IC!AO18</f>
        <v>5.4275349676927882E-3</v>
      </c>
      <c r="AP18" s="25">
        <f>預測IC!AP18</f>
        <v>-7.8278591933806971E-2</v>
      </c>
      <c r="AQ18" s="25">
        <f>預測IC!AQ18</f>
        <v>-7.6230845326449942E-2</v>
      </c>
      <c r="AR18" s="25">
        <f>預測IC!AR18</f>
        <v>0.1382332373375689</v>
      </c>
      <c r="AS18" s="25">
        <f>預測IC!AS18</f>
        <v>8.5826551553969135E-2</v>
      </c>
      <c r="AT18" s="25">
        <f>預測IC!AT18</f>
        <v>4.3325649820578682E-2</v>
      </c>
      <c r="AU18" s="25">
        <f>預測IC!AU18</f>
        <v>6.8315340056693138E-2</v>
      </c>
      <c r="AV18" s="25">
        <f>預測IC!AV18</f>
        <v>-2.8768755881717199E-2</v>
      </c>
      <c r="AW18" s="25">
        <f>預測IC!AW18</f>
        <v>2.4538034241107461E-2</v>
      </c>
      <c r="AX18" s="25">
        <f>預測IC!AX18</f>
        <v>0.10756086825583611</v>
      </c>
      <c r="AY18" s="25">
        <f>預測IC!AY18</f>
        <v>3.4783278641148073E-2</v>
      </c>
      <c r="AZ18" s="25">
        <f>預測IC!AZ18</f>
        <v>-0.14840908238889911</v>
      </c>
      <c r="BA18" s="25">
        <f>預測IC!BA18</f>
        <v>0.1641062857142857</v>
      </c>
      <c r="BB18" s="25">
        <f>預測IC!BB18</f>
        <v>0.16725728571428569</v>
      </c>
      <c r="BC18" s="25">
        <f>預測IC!BC18</f>
        <v>8.3201572593320589E-2</v>
      </c>
      <c r="BD18" s="25">
        <f>預測IC!BD18</f>
        <v>-2.4016271687300441E-2</v>
      </c>
      <c r="BE18" s="25">
        <f>預測IC!BE18</f>
        <v>6.8361213238162841E-2</v>
      </c>
      <c r="BF18" s="25">
        <f>預測IC!BF18</f>
        <v>4.5884536299578838E-2</v>
      </c>
      <c r="BG18" s="25">
        <f>預測IC!BG18</f>
        <v>-3.4434629050595897E-2</v>
      </c>
      <c r="BH18" s="25">
        <f>預測IC!BH18</f>
        <v>3.0015991980721329E-2</v>
      </c>
      <c r="BI18" s="25">
        <f>預測IC!BI18</f>
        <v>0.1090000069186657</v>
      </c>
      <c r="BJ18" s="25">
        <f>預測IC!BJ18</f>
        <v>5.9560640504595433E-3</v>
      </c>
      <c r="BK18" s="25">
        <f>預測IC!BK18</f>
        <v>-5.0745051384061532E-2</v>
      </c>
      <c r="BL18" s="25">
        <f>預測IC!BL18</f>
        <v>8.1157673820204085E-2</v>
      </c>
      <c r="BM18" s="25">
        <f>預測IC!BM18</f>
        <v>-2.8081356373095352E-2</v>
      </c>
      <c r="BN18" s="25">
        <f>預測IC!BN18</f>
        <v>5.2774389623830152E-2</v>
      </c>
      <c r="BO18" s="25">
        <f>預測IC!BO18</f>
        <v>2.0227496106374639E-2</v>
      </c>
      <c r="BP18" s="25">
        <f>預測IC!BP18</f>
        <v>4.6857540334682007E-2</v>
      </c>
      <c r="BQ18" s="25">
        <f>預測IC!BQ18</f>
        <v>1.916784109848992E-3</v>
      </c>
      <c r="BR18" s="25">
        <f>預測IC!BR18</f>
        <v>-5.7481935839547244E-3</v>
      </c>
      <c r="BS18" s="25">
        <f>預測IC!BS18</f>
        <v>-2.149720138170149E-2</v>
      </c>
      <c r="BT18" s="25">
        <f>預測IC!BT18</f>
        <v>0.1428710676682495</v>
      </c>
      <c r="BU18" s="25">
        <f>預測IC!BU18</f>
        <v>8.0677444040040805E-2</v>
      </c>
      <c r="BV18" s="25">
        <f>預測IC!BV18</f>
        <v>8.0923395277042356E-2</v>
      </c>
      <c r="BW18" s="25">
        <f>預測IC!BW18</f>
        <v>-8.531108693319546E-2</v>
      </c>
      <c r="BX18" s="25">
        <f>預測IC!BX18</f>
        <v>1.9018474716035669E-2</v>
      </c>
      <c r="BY18" s="25">
        <f>預測IC!BY18</f>
        <v>-0.1230749758240248</v>
      </c>
      <c r="BZ18" s="25">
        <f>預測IC!BZ18</f>
        <v>0.15331998780259809</v>
      </c>
      <c r="CA18" s="25">
        <f>預測IC!CA18</f>
        <v>-1.6076543892860819E-2</v>
      </c>
      <c r="CB18" s="25">
        <f>預測IC!CB18</f>
        <v>-2.4577356612448309E-2</v>
      </c>
      <c r="CC18" s="25">
        <f>預測IC!CC18</f>
        <v>0.1046597142857143</v>
      </c>
      <c r="CD18" s="25">
        <f>預測IC!CD18</f>
        <v>5.0445000000000011E-2</v>
      </c>
      <c r="CE18" s="25">
        <f>預測IC!CE18</f>
        <v>7.7259857142857144E-2</v>
      </c>
      <c r="CF18" s="25">
        <f>預測IC!CF18</f>
        <v>-0.10185900000000001</v>
      </c>
      <c r="CG18" s="25">
        <f>預測IC!CG18</f>
        <v>0.2266421428571429</v>
      </c>
      <c r="CH18" s="25">
        <f>預測IC!CH18</f>
        <v>0.16265704668723319</v>
      </c>
      <c r="CI18" s="25">
        <f>預測IC!CI18</f>
        <v>-4.4565986447696902E-2</v>
      </c>
      <c r="CJ18" s="25">
        <f>預測IC!CJ18</f>
        <v>-6.2313677824909687E-2</v>
      </c>
      <c r="CK18" s="25">
        <f>預測IC!CK18</f>
        <v>9.0667784292283726E-2</v>
      </c>
      <c r="CL18" s="25">
        <f>預測IC!CL18</f>
        <v>-3.0989545058193149E-2</v>
      </c>
      <c r="CM18" s="25">
        <f>預測IC!CM18</f>
        <v>0.15963579775903361</v>
      </c>
      <c r="CN18" s="25">
        <f>預測IC!CN18</f>
        <v>-3.7997037094380737E-2</v>
      </c>
      <c r="CO18" s="25">
        <f>預測IC!CO18</f>
        <v>-0.23157387854942929</v>
      </c>
      <c r="CP18" s="25">
        <f>預測IC!CP18</f>
        <v>0.16283910894801071</v>
      </c>
      <c r="CQ18" s="25">
        <f>預測IC!CQ18</f>
        <v>-3.8242675594942703E-2</v>
      </c>
      <c r="CR18" s="25">
        <f>預測IC!CR18</f>
        <v>3.3744714285714281E-2</v>
      </c>
      <c r="CS18" s="25">
        <f>預測IC!CS18</f>
        <v>2.8129285714285711E-2</v>
      </c>
      <c r="CT18" s="25">
        <f>預測IC!CT18</f>
        <v>9.4951029065485665E-2</v>
      </c>
      <c r="CU18" s="25">
        <f>預測IC!CU18</f>
        <v>-7.1648691205109999E-2</v>
      </c>
      <c r="CV18" s="25">
        <f>預測IC!CV18</f>
        <v>9.1040282230288663E-2</v>
      </c>
      <c r="CW18" s="25">
        <f>預測IC!CW18</f>
        <v>-8.4560855645258066E-3</v>
      </c>
      <c r="CX18" s="25">
        <f>預測IC!CX18</f>
        <v>6.1560185833778078E-2</v>
      </c>
      <c r="CY18" s="25">
        <f>預測IC!CY18</f>
        <v>-5.135741377478225E-2</v>
      </c>
      <c r="CZ18" s="25">
        <f>預測IC!CZ18</f>
        <v>0.13284286330177139</v>
      </c>
      <c r="DA18" s="25">
        <f>預測IC!DA18</f>
        <v>-4.7380939518693557E-2</v>
      </c>
      <c r="DB18" s="25">
        <f>預測IC!DB18</f>
        <v>0.118114</v>
      </c>
      <c r="DC18" s="25">
        <f>預測IC!DC18</f>
        <v>4.9208571428571428E-2</v>
      </c>
      <c r="DD18" s="25">
        <f>預測IC!DD18</f>
        <v>-7.1071285714285712E-2</v>
      </c>
      <c r="DE18" s="25">
        <f>預測IC!DE18</f>
        <v>-3.4801347670990683E-2</v>
      </c>
      <c r="DF18" s="25">
        <f>預測IC!DF18</f>
        <v>-3.5042778782370249E-2</v>
      </c>
      <c r="DG18" s="25">
        <f>預測IC!DG18</f>
        <v>-7.619473157627699E-3</v>
      </c>
      <c r="DH18" s="25">
        <f>預測IC!DH18</f>
        <v>-2.8038013248649029E-2</v>
      </c>
      <c r="DI18" s="25">
        <f>預測IC!DI18</f>
        <v>-1.6114629238026808E-2</v>
      </c>
      <c r="DJ18" s="25">
        <f>預測IC!DJ18</f>
        <v>5.0654999999999999E-2</v>
      </c>
      <c r="DK18" s="25">
        <f>預測IC!DK18</f>
        <v>0.15851362709242739</v>
      </c>
      <c r="DL18" s="25">
        <f>預測IC!DL18</f>
        <v>8.1397742916241134E-2</v>
      </c>
      <c r="DM18" s="25">
        <f>預測IC!DM18</f>
        <v>-6.650814073203816E-2</v>
      </c>
      <c r="DN18" s="25">
        <f>預測IC!DN18</f>
        <v>-1.6722064078021251E-2</v>
      </c>
      <c r="DO18" s="25">
        <f>預測IC!DO18</f>
        <v>4.2104907550630517E-2</v>
      </c>
      <c r="DP18" s="25">
        <f>預測IC!DP18</f>
        <v>-2.0604686466865741E-2</v>
      </c>
      <c r="DQ18" s="25">
        <f>預測IC!DQ18</f>
        <v>-0.1007272783058315</v>
      </c>
      <c r="DR18" s="25">
        <f>預測IC!DR18</f>
        <v>7.6840654771961045E-2</v>
      </c>
      <c r="DS18" s="25">
        <f>預測IC!DS18</f>
        <v>-0.1477219984517327</v>
      </c>
      <c r="DT18" s="25">
        <f>預測IC!DT18</f>
        <v>-7.4077142857142883E-3</v>
      </c>
      <c r="DU18" s="25">
        <f>預測IC!DU18</f>
        <v>-0.15871542857142859</v>
      </c>
      <c r="DV18" s="25">
        <f>預測IC!DV18</f>
        <v>0.1056406088000619</v>
      </c>
      <c r="DW18" s="25">
        <f>預測IC!DW18</f>
        <v>8.1908692284373169E-2</v>
      </c>
      <c r="DX18" s="25">
        <f>預測IC!DX18</f>
        <v>-0.1536029774624818</v>
      </c>
      <c r="DY18" s="25">
        <f>預測IC!DY18</f>
        <v>0.13683228571428571</v>
      </c>
      <c r="DZ18" s="25">
        <f>預測IC!DZ18</f>
        <v>5.4629714285714302E-2</v>
      </c>
      <c r="EA18" s="25">
        <f>預測IC!EA18</f>
        <v>0.19894574800000001</v>
      </c>
      <c r="EB18" s="25">
        <f>預測IC!EB18</f>
        <v>9.9846377978320619E-2</v>
      </c>
      <c r="EC18" s="25">
        <f>預測IC!EC18</f>
        <v>-1.959885714285715E-2</v>
      </c>
      <c r="ED18" s="25">
        <f>預測IC!ED18</f>
        <v>-0.1200774322763405</v>
      </c>
      <c r="EE18" s="25">
        <f>預測IC!EE18</f>
        <v>-1.385375397450707E-2</v>
      </c>
      <c r="EF18" s="25">
        <f>預測IC!EF18</f>
        <v>4.8955017110416547E-2</v>
      </c>
      <c r="EG18" s="30">
        <f t="shared" si="8"/>
        <v>3.2159510153554741E-2</v>
      </c>
      <c r="EH18" s="31">
        <f t="shared" si="6"/>
        <v>9.9156568641390233E-2</v>
      </c>
      <c r="EI18" s="30">
        <f t="shared" si="7"/>
        <v>0.32433060758549304</v>
      </c>
    </row>
    <row r="19" spans="1:139">
      <c r="A19" s="4">
        <f>預測IC!A19</f>
        <v>160</v>
      </c>
      <c r="B19" s="4">
        <f>預測IC!B19</f>
        <v>6</v>
      </c>
      <c r="C19" s="25">
        <f>預測IC!C19</f>
        <v>0.19659983333333331</v>
      </c>
      <c r="D19" s="25">
        <f>預測IC!D19</f>
        <v>0.4075213333333334</v>
      </c>
      <c r="E19" s="25">
        <f>預測IC!E19</f>
        <v>4.440266666666666E-2</v>
      </c>
      <c r="F19" s="25">
        <f>預測IC!F19</f>
        <v>0.2361708333333333</v>
      </c>
      <c r="G19" s="25">
        <f>預測IC!G19</f>
        <v>0.15286516666666669</v>
      </c>
      <c r="H19" s="25">
        <f>預測IC!H19</f>
        <v>0.17761016666666671</v>
      </c>
      <c r="I19" s="25">
        <f>預測IC!I19</f>
        <v>4.746333333333333E-2</v>
      </c>
      <c r="J19" s="25">
        <f>預測IC!J19</f>
        <v>-0.1562291666666667</v>
      </c>
      <c r="K19" s="25">
        <f>預測IC!K19</f>
        <v>5.6539499999999999E-2</v>
      </c>
      <c r="L19" s="25">
        <f>預測IC!L19</f>
        <v>3.0361166666666672E-2</v>
      </c>
      <c r="M19" s="25">
        <f>預測IC!M19</f>
        <v>8.5793573557677472E-2</v>
      </c>
      <c r="N19" s="25">
        <f>預測IC!N19</f>
        <v>0.53237449999999997</v>
      </c>
      <c r="O19" s="25">
        <f>預測IC!O19</f>
        <v>-1.9796999999999999E-2</v>
      </c>
      <c r="P19" s="25">
        <f>預測IC!P19</f>
        <v>2.2785333333333321E-2</v>
      </c>
      <c r="Q19" s="25">
        <f>預測IC!Q19</f>
        <v>0.1704643333333333</v>
      </c>
      <c r="R19" s="25">
        <f>預測IC!R19</f>
        <v>4.1943000000000008E-2</v>
      </c>
      <c r="S19" s="25">
        <f>預測IC!S19</f>
        <v>-7.8696166666666678E-2</v>
      </c>
      <c r="T19" s="25">
        <f>預測IC!T19</f>
        <v>-2.7154277986299109E-2</v>
      </c>
      <c r="U19" s="25">
        <f>預測IC!U19</f>
        <v>4.4184166666666663E-2</v>
      </c>
      <c r="V19" s="25">
        <f>預測IC!V19</f>
        <v>-0.1186835</v>
      </c>
      <c r="W19" s="25">
        <f>預測IC!W19</f>
        <v>0.14662099071751011</v>
      </c>
      <c r="X19" s="25">
        <f>預測IC!X19</f>
        <v>0.12292366666666669</v>
      </c>
      <c r="Y19" s="25">
        <f>預測IC!Y19</f>
        <v>2.4062166666666669E-2</v>
      </c>
      <c r="Z19" s="25">
        <f>預測IC!Z19</f>
        <v>-2.2223E-2</v>
      </c>
      <c r="AA19" s="25">
        <f>預測IC!AA19</f>
        <v>4.7301666666666672E-2</v>
      </c>
      <c r="AB19" s="25">
        <f>預測IC!AB19</f>
        <v>-5.1718752810757287E-2</v>
      </c>
      <c r="AC19" s="25">
        <f>預測IC!AC19</f>
        <v>-8.3512833333333328E-2</v>
      </c>
      <c r="AD19" s="25">
        <f>預測IC!AD19</f>
        <v>2.399745726106059E-2</v>
      </c>
      <c r="AE19" s="25">
        <f>預測IC!AE19</f>
        <v>0.11523116666666661</v>
      </c>
      <c r="AF19" s="25">
        <f>預測IC!AF19</f>
        <v>3.8785666808899749E-2</v>
      </c>
      <c r="AG19" s="25">
        <f>預測IC!AG19</f>
        <v>1.92985E-2</v>
      </c>
      <c r="AH19" s="25">
        <f>預測IC!AH19</f>
        <v>-4.2845934068549293E-2</v>
      </c>
      <c r="AI19" s="25">
        <f>預測IC!AI19</f>
        <v>8.1770124789496509E-2</v>
      </c>
      <c r="AJ19" s="25">
        <f>預測IC!AJ19</f>
        <v>-5.1545290327262273E-2</v>
      </c>
      <c r="AK19" s="25">
        <f>預測IC!AK19</f>
        <v>7.5520425059527104E-3</v>
      </c>
      <c r="AL19" s="25">
        <f>預測IC!AL19</f>
        <v>7.0270945670805551E-2</v>
      </c>
      <c r="AM19" s="25">
        <f>預測IC!AM19</f>
        <v>3.1311424844951023E-2</v>
      </c>
      <c r="AN19" s="25">
        <f>預測IC!AN19</f>
        <v>8.3568294365682083E-2</v>
      </c>
      <c r="AO19" s="25">
        <f>預測IC!AO19</f>
        <v>2.589290304541441E-2</v>
      </c>
      <c r="AP19" s="25">
        <f>預測IC!AP19</f>
        <v>-8.757412027285208E-2</v>
      </c>
      <c r="AQ19" s="25">
        <f>預測IC!AQ19</f>
        <v>-8.8252757060650638E-2</v>
      </c>
      <c r="AR19" s="25">
        <f>預測IC!AR19</f>
        <v>0.16303313150329971</v>
      </c>
      <c r="AS19" s="25">
        <f>預測IC!AS19</f>
        <v>9.7796955268314459E-2</v>
      </c>
      <c r="AT19" s="25">
        <f>預測IC!AT19</f>
        <v>4.9294981765701303E-2</v>
      </c>
      <c r="AU19" s="25">
        <f>預測IC!AU19</f>
        <v>7.6428715713654158E-2</v>
      </c>
      <c r="AV19" s="25">
        <f>預測IC!AV19</f>
        <v>-4.8463101573846611E-2</v>
      </c>
      <c r="AW19" s="25">
        <f>預測IC!AW19</f>
        <v>2.2356168154136491E-2</v>
      </c>
      <c r="AX19" s="25">
        <f>預測IC!AX19</f>
        <v>8.0206414310412866E-2</v>
      </c>
      <c r="AY19" s="25">
        <f>預測IC!AY19</f>
        <v>2.9528970393379841E-2</v>
      </c>
      <c r="AZ19" s="25">
        <f>預測IC!AZ19</f>
        <v>-0.18687961816817431</v>
      </c>
      <c r="BA19" s="25">
        <f>預測IC!BA19</f>
        <v>0.186997</v>
      </c>
      <c r="BB19" s="25">
        <f>預測IC!BB19</f>
        <v>0.20180183333333329</v>
      </c>
      <c r="BC19" s="25">
        <f>預測IC!BC19</f>
        <v>6.4055486346185755E-2</v>
      </c>
      <c r="BD19" s="25">
        <f>預測IC!BD19</f>
        <v>-3.2343926300681461E-3</v>
      </c>
      <c r="BE19" s="25">
        <f>預測IC!BE19</f>
        <v>5.3867497689288543E-2</v>
      </c>
      <c r="BF19" s="25">
        <f>預測IC!BF19</f>
        <v>1.3570974149138619E-2</v>
      </c>
      <c r="BG19" s="25">
        <f>預測IC!BG19</f>
        <v>-1.6343658332842181E-2</v>
      </c>
      <c r="BH19" s="25">
        <f>預測IC!BH19</f>
        <v>2.0182017014309939E-3</v>
      </c>
      <c r="BI19" s="25">
        <f>預測IC!BI19</f>
        <v>0.12779862881921869</v>
      </c>
      <c r="BJ19" s="25">
        <f>預測IC!BJ19</f>
        <v>2.1707301538579211E-2</v>
      </c>
      <c r="BK19" s="25">
        <f>預測IC!BK19</f>
        <v>-5.1749526091992383E-2</v>
      </c>
      <c r="BL19" s="25">
        <f>預測IC!BL19</f>
        <v>7.9964658146503109E-2</v>
      </c>
      <c r="BM19" s="25">
        <f>預測IC!BM19</f>
        <v>-3.1786264869145278E-2</v>
      </c>
      <c r="BN19" s="25">
        <f>預測IC!BN19</f>
        <v>6.7252647467271776E-2</v>
      </c>
      <c r="BO19" s="25">
        <f>預測IC!BO19</f>
        <v>2.5728961265115379E-2</v>
      </c>
      <c r="BP19" s="25">
        <f>預測IC!BP19</f>
        <v>3.742626287653638E-2</v>
      </c>
      <c r="BQ19" s="25">
        <f>預測IC!BQ19</f>
        <v>9.9340444543230683E-3</v>
      </c>
      <c r="BR19" s="25">
        <f>預測IC!BR19</f>
        <v>6.6752460235200081E-3</v>
      </c>
      <c r="BS19" s="25">
        <f>預測IC!BS19</f>
        <v>-2.4256338744482069E-2</v>
      </c>
      <c r="BT19" s="25">
        <f>預測IC!BT19</f>
        <v>0.14163267985357339</v>
      </c>
      <c r="BU19" s="25">
        <f>預測IC!BU19</f>
        <v>7.593625123423807E-2</v>
      </c>
      <c r="BV19" s="25">
        <f>預測IC!BV19</f>
        <v>9.3655241153346391E-2</v>
      </c>
      <c r="BW19" s="25">
        <f>預測IC!BW19</f>
        <v>-0.10896696138364501</v>
      </c>
      <c r="BX19" s="25">
        <f>預測IC!BX19</f>
        <v>3.4087785271858247E-2</v>
      </c>
      <c r="BY19" s="25">
        <f>預測IC!BY19</f>
        <v>-0.1076497365556482</v>
      </c>
      <c r="BZ19" s="25">
        <f>預測IC!BZ19</f>
        <v>6.3815393767213791E-2</v>
      </c>
      <c r="CA19" s="25">
        <f>預測IC!CA19</f>
        <v>-2.154569013117932E-2</v>
      </c>
      <c r="CB19" s="25">
        <f>預測IC!CB19</f>
        <v>-4.804116850824483E-2</v>
      </c>
      <c r="CC19" s="25">
        <f>預測IC!CC19</f>
        <v>2.250566666666666E-2</v>
      </c>
      <c r="CD19" s="25">
        <f>預測IC!CD19</f>
        <v>8.7664166666666668E-2</v>
      </c>
      <c r="CE19" s="25">
        <f>預測IC!CE19</f>
        <v>8.8474166666666659E-2</v>
      </c>
      <c r="CF19" s="25">
        <f>預測IC!CF19</f>
        <v>-0.1116986666666667</v>
      </c>
      <c r="CG19" s="25">
        <f>預測IC!CG19</f>
        <v>0.26389400000000002</v>
      </c>
      <c r="CH19" s="25">
        <f>預測IC!CH19</f>
        <v>0.1528898670499263</v>
      </c>
      <c r="CI19" s="25">
        <f>預測IC!CI19</f>
        <v>-3.7066946160195187E-2</v>
      </c>
      <c r="CJ19" s="25">
        <f>預測IC!CJ19</f>
        <v>-6.194049996603615E-2</v>
      </c>
      <c r="CK19" s="25">
        <f>預測IC!CK19</f>
        <v>0.1039677178170982</v>
      </c>
      <c r="CL19" s="25">
        <f>預測IC!CL19</f>
        <v>-4.3240279974789908E-2</v>
      </c>
      <c r="CM19" s="25">
        <f>預測IC!CM19</f>
        <v>0.17534764158171501</v>
      </c>
      <c r="CN19" s="25">
        <f>預測IC!CN19</f>
        <v>-7.6932654667303466E-2</v>
      </c>
      <c r="CO19" s="25">
        <f>預測IC!CO19</f>
        <v>-0.27245440462850651</v>
      </c>
      <c r="CP19" s="25">
        <f>預測IC!CP19</f>
        <v>0.15903259898233271</v>
      </c>
      <c r="CQ19" s="25">
        <f>預測IC!CQ19</f>
        <v>-3.2394607516418629E-2</v>
      </c>
      <c r="CR19" s="25">
        <f>預測IC!CR19</f>
        <v>2.4300499999999999E-2</v>
      </c>
      <c r="CS19" s="25">
        <f>預測IC!CS19</f>
        <v>4.3775666666666657E-2</v>
      </c>
      <c r="CT19" s="25">
        <f>預測IC!CT19</f>
        <v>0.1226204266300308</v>
      </c>
      <c r="CU19" s="25">
        <f>預測IC!CU19</f>
        <v>-8.3436397113892974E-2</v>
      </c>
      <c r="CV19" s="25">
        <f>預測IC!CV19</f>
        <v>8.9836090761934634E-2</v>
      </c>
      <c r="CW19" s="25">
        <f>預測IC!CW19</f>
        <v>-2.190180778189859E-2</v>
      </c>
      <c r="CX19" s="25">
        <f>預測IC!CX19</f>
        <v>9.354971825942178E-2</v>
      </c>
      <c r="CY19" s="25">
        <f>預測IC!CY19</f>
        <v>-7.092186956436955E-2</v>
      </c>
      <c r="CZ19" s="25">
        <f>預測IC!CZ19</f>
        <v>0.1004647349755101</v>
      </c>
      <c r="DA19" s="25">
        <f>預測IC!DA19</f>
        <v>-5.8223876703236761E-2</v>
      </c>
      <c r="DB19" s="25">
        <f>預測IC!DB19</f>
        <v>0.14796100000000001</v>
      </c>
      <c r="DC19" s="25">
        <f>預測IC!DC19</f>
        <v>3.027666666666666E-2</v>
      </c>
      <c r="DD19" s="25">
        <f>預測IC!DD19</f>
        <v>-6.3547333333333317E-2</v>
      </c>
      <c r="DE19" s="25">
        <f>預測IC!DE19</f>
        <v>-4.3945635940460762E-2</v>
      </c>
      <c r="DF19" s="25">
        <f>預測IC!DF19</f>
        <v>-6.969304689302265E-2</v>
      </c>
      <c r="DG19" s="25">
        <f>預測IC!DG19</f>
        <v>-1.27464749106491E-2</v>
      </c>
      <c r="DH19" s="25">
        <f>預測IC!DH19</f>
        <v>-1.569831294047225E-4</v>
      </c>
      <c r="DI19" s="25">
        <f>預測IC!DI19</f>
        <v>3.666424442421171E-3</v>
      </c>
      <c r="DJ19" s="25">
        <f>預測IC!DJ19</f>
        <v>8.050033333333334E-2</v>
      </c>
      <c r="DK19" s="25">
        <f>預測IC!DK19</f>
        <v>0.1241445877842076</v>
      </c>
      <c r="DL19" s="25">
        <f>預測IC!DL19</f>
        <v>7.0167407799869491E-2</v>
      </c>
      <c r="DM19" s="25">
        <f>預測IC!DM19</f>
        <v>-8.1952255033994378E-2</v>
      </c>
      <c r="DN19" s="25">
        <f>預測IC!DN19</f>
        <v>-4.1776448032685917E-3</v>
      </c>
      <c r="DO19" s="25">
        <f>預測IC!DO19</f>
        <v>5.5126563399943852E-2</v>
      </c>
      <c r="DP19" s="25">
        <f>預測IC!DP19</f>
        <v>2.716544251136371E-2</v>
      </c>
      <c r="DQ19" s="25">
        <f>預測IC!DQ19</f>
        <v>-0.1204893793606352</v>
      </c>
      <c r="DR19" s="25">
        <f>預測IC!DR19</f>
        <v>7.5962353325048193E-2</v>
      </c>
      <c r="DS19" s="25">
        <f>預測IC!DS19</f>
        <v>-0.1779955469539703</v>
      </c>
      <c r="DT19" s="25">
        <f>預測IC!DT19</f>
        <v>-3.0765000000000028E-3</v>
      </c>
      <c r="DU19" s="25">
        <f>預測IC!DU19</f>
        <v>-0.15058250000000001</v>
      </c>
      <c r="DV19" s="25">
        <f>預測IC!DV19</f>
        <v>0.119531844414402</v>
      </c>
      <c r="DW19" s="25">
        <f>預測IC!DW19</f>
        <v>6.0609139340684293E-2</v>
      </c>
      <c r="DX19" s="25">
        <f>預測IC!DX19</f>
        <v>-0.1383651342381777</v>
      </c>
      <c r="DY19" s="25">
        <f>預測IC!DY19</f>
        <v>0.13924800000000001</v>
      </c>
      <c r="DZ19" s="25">
        <f>預測IC!DZ19</f>
        <v>7.853750000000001E-2</v>
      </c>
      <c r="EA19" s="25">
        <f>預測IC!EA19</f>
        <v>0.23304583000000001</v>
      </c>
      <c r="EB19" s="25">
        <f>預測IC!EB19</f>
        <v>2.1772770012778581E-2</v>
      </c>
      <c r="EC19" s="25">
        <f>預測IC!EC19</f>
        <v>-3.132366666666668E-2</v>
      </c>
      <c r="ED19" s="25">
        <f>預測IC!ED19</f>
        <v>-0.15093531699015689</v>
      </c>
      <c r="EE19" s="25">
        <f>預測IC!EE19</f>
        <v>1.2634042940422471E-2</v>
      </c>
      <c r="EF19" s="25">
        <f>預測IC!EF19</f>
        <v>1.697795487476916E-2</v>
      </c>
      <c r="EG19" s="30">
        <f t="shared" si="8"/>
        <v>3.239954846386723E-2</v>
      </c>
      <c r="EH19" s="31">
        <f t="shared" si="6"/>
        <v>0.10815892388841901</v>
      </c>
      <c r="EI19" s="30">
        <f t="shared" si="7"/>
        <v>0.29955501866209278</v>
      </c>
    </row>
    <row r="20" spans="1:139">
      <c r="A20" s="4">
        <f>預測IC!A20</f>
        <v>192</v>
      </c>
      <c r="B20" s="4">
        <f>預測IC!B20</f>
        <v>5</v>
      </c>
      <c r="C20" s="25">
        <f>預測IC!C20</f>
        <v>0.20155100000000001</v>
      </c>
      <c r="D20" s="25">
        <f>預測IC!D20</f>
        <v>0.38202580000000003</v>
      </c>
      <c r="E20" s="25">
        <f>預測IC!E20</f>
        <v>5.7335200000000003E-2</v>
      </c>
      <c r="F20" s="25">
        <f>預測IC!F20</f>
        <v>0.1824192</v>
      </c>
      <c r="G20" s="25">
        <f>預測IC!G20</f>
        <v>0.15802820000000001</v>
      </c>
      <c r="H20" s="25">
        <f>預測IC!H20</f>
        <v>0.14393220000000001</v>
      </c>
      <c r="I20" s="25">
        <f>預測IC!I20</f>
        <v>2.7936200000000001E-2</v>
      </c>
      <c r="J20" s="25">
        <f>預測IC!J20</f>
        <v>-0.1332062</v>
      </c>
      <c r="K20" s="25">
        <f>預測IC!K20</f>
        <v>3.7403600000000002E-2</v>
      </c>
      <c r="L20" s="25">
        <f>預測IC!L20</f>
        <v>3.0693600000000008E-2</v>
      </c>
      <c r="M20" s="25">
        <f>預測IC!M20</f>
        <v>0.100133414364086</v>
      </c>
      <c r="N20" s="25">
        <f>預測IC!N20</f>
        <v>0.5000116</v>
      </c>
      <c r="O20" s="25">
        <f>預測IC!O20</f>
        <v>-0.1101138</v>
      </c>
      <c r="P20" s="25">
        <f>預測IC!P20</f>
        <v>4.0029000000000002E-2</v>
      </c>
      <c r="Q20" s="25">
        <f>預測IC!Q20</f>
        <v>0.22482659999999999</v>
      </c>
      <c r="R20" s="25">
        <f>預測IC!R20</f>
        <v>6.646959999999999E-2</v>
      </c>
      <c r="S20" s="25">
        <f>預測IC!S20</f>
        <v>-5.7341400000000008E-2</v>
      </c>
      <c r="T20" s="25">
        <f>預測IC!T20</f>
        <v>1.566291051925937E-2</v>
      </c>
      <c r="U20" s="25">
        <f>預測IC!U20</f>
        <v>3.2235E-2</v>
      </c>
      <c r="V20" s="25">
        <f>預測IC!V20</f>
        <v>-0.1362882</v>
      </c>
      <c r="W20" s="25">
        <f>預測IC!W20</f>
        <v>0.17308537617758091</v>
      </c>
      <c r="X20" s="25">
        <f>預測IC!X20</f>
        <v>0.15004300000000001</v>
      </c>
      <c r="Y20" s="25">
        <f>預測IC!Y20</f>
        <v>-4.8579999999999977E-3</v>
      </c>
      <c r="Z20" s="25">
        <f>預測IC!Z20</f>
        <v>2.9158400000000001E-2</v>
      </c>
      <c r="AA20" s="25">
        <f>預測IC!AA20</f>
        <v>6.6963999999999996E-2</v>
      </c>
      <c r="AB20" s="25">
        <f>預測IC!AB20</f>
        <v>-3.2898545320226208E-2</v>
      </c>
      <c r="AC20" s="25">
        <f>預測IC!AC20</f>
        <v>-9.6308199999999997E-2</v>
      </c>
      <c r="AD20" s="25">
        <f>預測IC!AD20</f>
        <v>2.698730357067794E-2</v>
      </c>
      <c r="AE20" s="25">
        <f>預測IC!AE20</f>
        <v>1.7310200000000001E-2</v>
      </c>
      <c r="AF20" s="25">
        <f>預測IC!AF20</f>
        <v>3.9044678387579947E-2</v>
      </c>
      <c r="AG20" s="25">
        <f>預測IC!AG20</f>
        <v>-6.2396000000000014E-3</v>
      </c>
      <c r="AH20" s="25">
        <f>預測IC!AH20</f>
        <v>-9.0178200714782636E-2</v>
      </c>
      <c r="AI20" s="25">
        <f>預測IC!AI20</f>
        <v>7.8154544921168481E-2</v>
      </c>
      <c r="AJ20" s="25">
        <f>預測IC!AJ20</f>
        <v>-6.1990034547547639E-2</v>
      </c>
      <c r="AK20" s="25">
        <f>預測IC!AK20</f>
        <v>-1.359511549600285E-2</v>
      </c>
      <c r="AL20" s="25">
        <f>預測IC!AL20</f>
        <v>7.2893452036976947E-2</v>
      </c>
      <c r="AM20" s="25">
        <f>預測IC!AM20</f>
        <v>3.3095980748802607E-2</v>
      </c>
      <c r="AN20" s="25">
        <f>預測IC!AN20</f>
        <v>7.5470193518998266E-2</v>
      </c>
      <c r="AO20" s="25">
        <f>預測IC!AO20</f>
        <v>2.1987304008247891E-2</v>
      </c>
      <c r="AP20" s="25">
        <f>預測IC!AP20</f>
        <v>-0.13173046125538779</v>
      </c>
      <c r="AQ20" s="25">
        <f>預測IC!AQ20</f>
        <v>2.7452485332951051E-2</v>
      </c>
      <c r="AR20" s="25">
        <f>預測IC!AR20</f>
        <v>0.181467687707455</v>
      </c>
      <c r="AS20" s="25">
        <f>預測IC!AS20</f>
        <v>0.112095809682817</v>
      </c>
      <c r="AT20" s="25">
        <f>預測IC!AT20</f>
        <v>5.858773760205771E-3</v>
      </c>
      <c r="AU20" s="25">
        <f>預測IC!AU20</f>
        <v>7.2899818140919309E-2</v>
      </c>
      <c r="AV20" s="25">
        <f>預測IC!AV20</f>
        <v>-5.4625713782478207E-2</v>
      </c>
      <c r="AW20" s="25">
        <f>預測IC!AW20</f>
        <v>6.8652681791509596E-3</v>
      </c>
      <c r="AX20" s="25">
        <f>預測IC!AX20</f>
        <v>0.11073254799870159</v>
      </c>
      <c r="AY20" s="25">
        <f>預測IC!AY20</f>
        <v>3.8674698442909439E-2</v>
      </c>
      <c r="AZ20" s="25">
        <f>預測IC!AZ20</f>
        <v>-0.21380243117708869</v>
      </c>
      <c r="BA20" s="25">
        <f>預測IC!BA20</f>
        <v>0.151338</v>
      </c>
      <c r="BB20" s="25">
        <f>預測IC!BB20</f>
        <v>0.23121340000000001</v>
      </c>
      <c r="BC20" s="25">
        <f>預測IC!BC20</f>
        <v>7.0605567677740205E-2</v>
      </c>
      <c r="BD20" s="25">
        <f>預測IC!BD20</f>
        <v>-5.3429813221597323E-2</v>
      </c>
      <c r="BE20" s="25">
        <f>預測IC!BE20</f>
        <v>-5.9467971392603326E-3</v>
      </c>
      <c r="BF20" s="25">
        <f>預測IC!BF20</f>
        <v>5.6885823313286886E-3</v>
      </c>
      <c r="BG20" s="25">
        <f>預測IC!BG20</f>
        <v>2.2494840460728811E-2</v>
      </c>
      <c r="BH20" s="25">
        <f>預測IC!BH20</f>
        <v>-7.1606447114111002E-2</v>
      </c>
      <c r="BI20" s="25">
        <f>預測IC!BI20</f>
        <v>0.13174526708517489</v>
      </c>
      <c r="BJ20" s="25">
        <f>預測IC!BJ20</f>
        <v>2.1629511833186621E-2</v>
      </c>
      <c r="BK20" s="25">
        <f>預測IC!BK20</f>
        <v>-5.9233167842827283E-2</v>
      </c>
      <c r="BL20" s="25">
        <f>預測IC!BL20</f>
        <v>8.6292231176454737E-2</v>
      </c>
      <c r="BM20" s="25">
        <f>預測IC!BM20</f>
        <v>-4.7468551464188873E-2</v>
      </c>
      <c r="BN20" s="25">
        <f>預測IC!BN20</f>
        <v>8.4339640777364208E-2</v>
      </c>
      <c r="BO20" s="25">
        <f>預測IC!BO20</f>
        <v>-3.8461717515979203E-2</v>
      </c>
      <c r="BP20" s="25">
        <f>預測IC!BP20</f>
        <v>6.0407520762954983E-2</v>
      </c>
      <c r="BQ20" s="25">
        <f>預測IC!BQ20</f>
        <v>1.5451706960843021E-2</v>
      </c>
      <c r="BR20" s="25">
        <f>預測IC!BR20</f>
        <v>8.200082575215574E-3</v>
      </c>
      <c r="BS20" s="25">
        <f>預測IC!BS20</f>
        <v>-2.122683588664995E-3</v>
      </c>
      <c r="BT20" s="25">
        <f>預測IC!BT20</f>
        <v>0.14780303317864721</v>
      </c>
      <c r="BU20" s="25">
        <f>預測IC!BU20</f>
        <v>9.8754949367706665E-2</v>
      </c>
      <c r="BV20" s="25">
        <f>預測IC!BV20</f>
        <v>0.11591833156307201</v>
      </c>
      <c r="BW20" s="25">
        <f>預測IC!BW20</f>
        <v>-0.13550325181247611</v>
      </c>
      <c r="BX20" s="25">
        <f>預測IC!BX20</f>
        <v>3.069363668324426E-2</v>
      </c>
      <c r="BY20" s="25">
        <f>預測IC!BY20</f>
        <v>-0.10523396636930341</v>
      </c>
      <c r="BZ20" s="25">
        <f>預測IC!BZ20</f>
        <v>9.02714042602836E-2</v>
      </c>
      <c r="CA20" s="25">
        <f>預測IC!CA20</f>
        <v>-1.9938221409499298E-3</v>
      </c>
      <c r="CB20" s="25">
        <f>預測IC!CB20</f>
        <v>-3.8251950010927849E-2</v>
      </c>
      <c r="CC20" s="25">
        <f>預測IC!CC20</f>
        <v>1.2914800000000001E-2</v>
      </c>
      <c r="CD20" s="25">
        <f>預測IC!CD20</f>
        <v>9.6063599999999999E-2</v>
      </c>
      <c r="CE20" s="25">
        <f>預測IC!CE20</f>
        <v>8.577739999999999E-2</v>
      </c>
      <c r="CF20" s="25">
        <f>預測IC!CF20</f>
        <v>-0.1312084</v>
      </c>
      <c r="CG20" s="25">
        <f>預測IC!CG20</f>
        <v>0.32193939999999999</v>
      </c>
      <c r="CH20" s="25">
        <f>預測IC!CH20</f>
        <v>7.1864025597138351E-2</v>
      </c>
      <c r="CI20" s="25">
        <f>預測IC!CI20</f>
        <v>-3.0394673769081951E-2</v>
      </c>
      <c r="CJ20" s="25">
        <f>預測IC!CJ20</f>
        <v>-0.123440319887351</v>
      </c>
      <c r="CK20" s="25">
        <f>預測IC!CK20</f>
        <v>9.0978396750106633E-2</v>
      </c>
      <c r="CL20" s="25">
        <f>預測IC!CL20</f>
        <v>-9.2184934189128986E-2</v>
      </c>
      <c r="CM20" s="25">
        <f>預測IC!CM20</f>
        <v>0.18905116517062071</v>
      </c>
      <c r="CN20" s="25">
        <f>預測IC!CN20</f>
        <v>2.215941137048465E-2</v>
      </c>
      <c r="CO20" s="25">
        <f>預測IC!CO20</f>
        <v>-0.41597133516901241</v>
      </c>
      <c r="CP20" s="25">
        <f>預測IC!CP20</f>
        <v>0.1920312051090273</v>
      </c>
      <c r="CQ20" s="25">
        <f>預測IC!CQ20</f>
        <v>-2.3118045300283038E-2</v>
      </c>
      <c r="CR20" s="25">
        <f>預測IC!CR20</f>
        <v>2.53642E-2</v>
      </c>
      <c r="CS20" s="25">
        <f>預測IC!CS20</f>
        <v>2.2293799999999999E-2</v>
      </c>
      <c r="CT20" s="25">
        <f>預測IC!CT20</f>
        <v>9.0474037414266281E-2</v>
      </c>
      <c r="CU20" s="25">
        <f>預測IC!CU20</f>
        <v>-0.10410089779242621</v>
      </c>
      <c r="CV20" s="25">
        <f>預測IC!CV20</f>
        <v>9.2511075695426118E-2</v>
      </c>
      <c r="CW20" s="25">
        <f>預測IC!CW20</f>
        <v>9.9530629212826391E-3</v>
      </c>
      <c r="CX20" s="25">
        <f>預測IC!CX20</f>
        <v>9.0298550867764463E-2</v>
      </c>
      <c r="CY20" s="25">
        <f>預測IC!CY20</f>
        <v>-1.247973266829688E-2</v>
      </c>
      <c r="CZ20" s="25">
        <f>預測IC!CZ20</f>
        <v>0.15516164514919831</v>
      </c>
      <c r="DA20" s="25">
        <f>預測IC!DA20</f>
        <v>-4.7471893155177573E-2</v>
      </c>
      <c r="DB20" s="25">
        <f>預測IC!DB20</f>
        <v>7.6966999999999994E-2</v>
      </c>
      <c r="DC20" s="25">
        <f>預測IC!DC20</f>
        <v>2.890199999999998E-2</v>
      </c>
      <c r="DD20" s="25">
        <f>預測IC!DD20</f>
        <v>-6.8162799999999996E-2</v>
      </c>
      <c r="DE20" s="25">
        <f>預測IC!DE20</f>
        <v>-2.674986392092854E-2</v>
      </c>
      <c r="DF20" s="25">
        <f>預測IC!DF20</f>
        <v>8.591215324206241E-4</v>
      </c>
      <c r="DG20" s="25">
        <f>預測IC!DG20</f>
        <v>-4.2022106203706937E-3</v>
      </c>
      <c r="DH20" s="25">
        <f>預測IC!DH20</f>
        <v>-1.097541174252706E-2</v>
      </c>
      <c r="DI20" s="25">
        <f>預測IC!DI20</f>
        <v>-7.7575680139924984E-3</v>
      </c>
      <c r="DJ20" s="25">
        <f>預測IC!DJ20</f>
        <v>8.12774E-2</v>
      </c>
      <c r="DK20" s="25">
        <f>預測IC!DK20</f>
        <v>8.4953981446054899E-2</v>
      </c>
      <c r="DL20" s="25">
        <f>預測IC!DL20</f>
        <v>7.5826636178542531E-2</v>
      </c>
      <c r="DM20" s="25">
        <f>預測IC!DM20</f>
        <v>9.2836502794370751E-3</v>
      </c>
      <c r="DN20" s="25">
        <f>預測IC!DN20</f>
        <v>5.8019206654199171E-2</v>
      </c>
      <c r="DO20" s="25">
        <f>預測IC!DO20</f>
        <v>6.5815801837970381E-2</v>
      </c>
      <c r="DP20" s="25">
        <f>預測IC!DP20</f>
        <v>9.8305313908873052E-3</v>
      </c>
      <c r="DQ20" s="25">
        <f>預測IC!DQ20</f>
        <v>-0.19132953845628339</v>
      </c>
      <c r="DR20" s="25">
        <f>預測IC!DR20</f>
        <v>7.8512660028290493E-2</v>
      </c>
      <c r="DS20" s="25">
        <f>預測IC!DS20</f>
        <v>-0.20608109757835469</v>
      </c>
      <c r="DT20" s="25">
        <f>預測IC!DT20</f>
        <v>4.8288000000000011E-3</v>
      </c>
      <c r="DU20" s="25">
        <f>預測IC!DU20</f>
        <v>-0.1763758</v>
      </c>
      <c r="DV20" s="25">
        <f>預測IC!DV20</f>
        <v>0.12934547183885869</v>
      </c>
      <c r="DW20" s="25">
        <f>預測IC!DW20</f>
        <v>6.9060203958039607E-2</v>
      </c>
      <c r="DX20" s="25">
        <f>預測IC!DX20</f>
        <v>-0.15386632960631469</v>
      </c>
      <c r="DY20" s="25">
        <f>預測IC!DY20</f>
        <v>0.12159059999999999</v>
      </c>
      <c r="DZ20" s="25">
        <f>預測IC!DZ20</f>
        <v>9.0199400000000013E-2</v>
      </c>
      <c r="EA20" s="25">
        <f>預測IC!EA20</f>
        <v>0.29368998400000002</v>
      </c>
      <c r="EB20" s="25">
        <f>預測IC!EB20</f>
        <v>2.7389157853987239E-2</v>
      </c>
      <c r="EC20" s="25">
        <f>預測IC!EC20</f>
        <v>2.297759999999999E-2</v>
      </c>
      <c r="ED20" s="25">
        <f>預測IC!ED20</f>
        <v>-0.17691886106701021</v>
      </c>
      <c r="EE20" s="25">
        <f>預測IC!EE20</f>
        <v>2.3672309273819309E-3</v>
      </c>
      <c r="EF20" s="25">
        <f>預測IC!EF20</f>
        <v>2.0281416615907238E-2</v>
      </c>
      <c r="EG20" s="30">
        <f t="shared" si="8"/>
        <v>3.0816255233801368E-2</v>
      </c>
      <c r="EH20" s="31">
        <f t="shared" si="6"/>
        <v>0.11618144714349686</v>
      </c>
      <c r="EI20" s="30">
        <f t="shared" si="7"/>
        <v>0.26524248054631222</v>
      </c>
    </row>
    <row r="21" spans="1:139">
      <c r="A21" s="4">
        <f>預測IC!A21</f>
        <v>241</v>
      </c>
      <c r="B21" s="4">
        <f>預測IC!B21</f>
        <v>4</v>
      </c>
      <c r="C21" s="25">
        <f>預測IC!C21</f>
        <v>0.2146305</v>
      </c>
      <c r="D21" s="25">
        <f>預測IC!D21</f>
        <v>0.126389</v>
      </c>
      <c r="E21" s="25">
        <f>預測IC!E21</f>
        <v>-1.3691500000000001E-2</v>
      </c>
      <c r="F21" s="25">
        <f>預測IC!F21</f>
        <v>0.20341300000000001</v>
      </c>
      <c r="G21" s="25">
        <f>預測IC!G21</f>
        <v>0.14533199999999999</v>
      </c>
      <c r="H21" s="25">
        <f>預測IC!H21</f>
        <v>0.162164</v>
      </c>
      <c r="I21" s="25">
        <f>預測IC!I21</f>
        <v>1.4112E-2</v>
      </c>
      <c r="J21" s="25">
        <f>預測IC!J21</f>
        <v>-0.13674149999999999</v>
      </c>
      <c r="K21" s="25">
        <f>預測IC!K21</f>
        <v>1.4699999999999991E-3</v>
      </c>
      <c r="L21" s="25">
        <f>預測IC!L21</f>
        <v>-5.030999999999999E-3</v>
      </c>
      <c r="M21" s="25">
        <f>預測IC!M21</f>
        <v>-0.19587050354916219</v>
      </c>
      <c r="N21" s="25">
        <f>預測IC!N21</f>
        <v>0.58489049999999998</v>
      </c>
      <c r="O21" s="25">
        <f>預測IC!O21</f>
        <v>-0.13927724999999999</v>
      </c>
      <c r="P21" s="25">
        <f>預測IC!P21</f>
        <v>4.5427749999999989E-2</v>
      </c>
      <c r="Q21" s="25">
        <f>預測IC!Q21</f>
        <v>0.27408575000000002</v>
      </c>
      <c r="R21" s="25">
        <f>預測IC!R21</f>
        <v>8.4905250000000002E-2</v>
      </c>
      <c r="S21" s="25">
        <f>預測IC!S21</f>
        <v>-3.6561749999999997E-2</v>
      </c>
      <c r="T21" s="25">
        <f>預測IC!T21</f>
        <v>-1.4040364340204919E-2</v>
      </c>
      <c r="U21" s="25">
        <f>預測IC!U21</f>
        <v>-9.8267499999999952E-3</v>
      </c>
      <c r="V21" s="25">
        <f>預測IC!V21</f>
        <v>-0.13175025000000001</v>
      </c>
      <c r="W21" s="25">
        <f>預測IC!W21</f>
        <v>0.16036515570555779</v>
      </c>
      <c r="X21" s="25">
        <f>預測IC!X21</f>
        <v>0.20780100000000001</v>
      </c>
      <c r="Y21" s="25">
        <f>預測IC!Y21</f>
        <v>-1.01475E-2</v>
      </c>
      <c r="Z21" s="25">
        <f>預測IC!Z21</f>
        <v>3.9459000000000001E-2</v>
      </c>
      <c r="AA21" s="25">
        <f>預測IC!AA21</f>
        <v>2.8035500000000001E-2</v>
      </c>
      <c r="AB21" s="25">
        <f>預測IC!AB21</f>
        <v>-2.1955943889134161E-2</v>
      </c>
      <c r="AC21" s="25">
        <f>預測IC!AC21</f>
        <v>-0.15954125</v>
      </c>
      <c r="AD21" s="25">
        <f>預測IC!AD21</f>
        <v>-2.593327599743489E-2</v>
      </c>
      <c r="AE21" s="25">
        <f>預測IC!AE21</f>
        <v>1.031074999999999E-2</v>
      </c>
      <c r="AF21" s="25">
        <f>預測IC!AF21</f>
        <v>5.3125609886562987E-2</v>
      </c>
      <c r="AG21" s="25">
        <f>預測IC!AG21</f>
        <v>-1.0567999999999999E-2</v>
      </c>
      <c r="AH21" s="25">
        <f>預測IC!AH21</f>
        <v>-0.10758136256479831</v>
      </c>
      <c r="AI21" s="25">
        <f>預測IC!AI21</f>
        <v>7.9594209333291061E-2</v>
      </c>
      <c r="AJ21" s="25">
        <f>預測IC!AJ21</f>
        <v>-7.0405341946468691E-2</v>
      </c>
      <c r="AK21" s="25">
        <f>預測IC!AK21</f>
        <v>-3.064343373743127E-2</v>
      </c>
      <c r="AL21" s="25">
        <f>預測IC!AL21</f>
        <v>6.5379822733110632E-2</v>
      </c>
      <c r="AM21" s="25">
        <f>預測IC!AM21</f>
        <v>6.4856977806355839E-2</v>
      </c>
      <c r="AN21" s="25">
        <f>預測IC!AN21</f>
        <v>0.11195605606309431</v>
      </c>
      <c r="AO21" s="25">
        <f>預測IC!AO21</f>
        <v>4.7726395643726653E-2</v>
      </c>
      <c r="AP21" s="25">
        <f>預測IC!AP21</f>
        <v>-6.239055369893616E-2</v>
      </c>
      <c r="AQ21" s="25">
        <f>預測IC!AQ21</f>
        <v>2.459114042312649E-2</v>
      </c>
      <c r="AR21" s="25">
        <f>預測IC!AR21</f>
        <v>0.20518227823048121</v>
      </c>
      <c r="AS21" s="25">
        <f>預測IC!AS21</f>
        <v>6.4455868646629361E-2</v>
      </c>
      <c r="AT21" s="25">
        <f>預測IC!AT21</f>
        <v>-2.4929112771550628E-3</v>
      </c>
      <c r="AU21" s="25">
        <f>預測IC!AU21</f>
        <v>4.7809631508957028E-2</v>
      </c>
      <c r="AV21" s="25">
        <f>預測IC!AV21</f>
        <v>-5.5520780062133721E-2</v>
      </c>
      <c r="AW21" s="25">
        <f>預測IC!AW21</f>
        <v>9.7910299540974015E-3</v>
      </c>
      <c r="AX21" s="25">
        <f>預測IC!AX21</f>
        <v>0.1431476874697567</v>
      </c>
      <c r="AY21" s="25">
        <f>預測IC!AY21</f>
        <v>4.7021290978038012E-2</v>
      </c>
      <c r="AZ21" s="25">
        <f>預測IC!AZ21</f>
        <v>-0.25491126989713642</v>
      </c>
      <c r="BA21" s="25">
        <f>預測IC!BA21</f>
        <v>0.13959250000000001</v>
      </c>
      <c r="BB21" s="25">
        <f>預測IC!BB21</f>
        <v>0.29451325</v>
      </c>
      <c r="BC21" s="25">
        <f>預測IC!BC21</f>
        <v>3.8321147725193877E-2</v>
      </c>
      <c r="BD21" s="25">
        <f>預測IC!BD21</f>
        <v>-2.1750863370627919E-2</v>
      </c>
      <c r="BE21" s="25">
        <f>預測IC!BE21</f>
        <v>6.3505333974014731E-3</v>
      </c>
      <c r="BF21" s="25">
        <f>預測IC!BF21</f>
        <v>3.5771001804346838E-3</v>
      </c>
      <c r="BG21" s="25">
        <f>預測IC!BG21</f>
        <v>5.0020540436469169E-2</v>
      </c>
      <c r="BH21" s="25">
        <f>預測IC!BH21</f>
        <v>-7.6321363138755302E-2</v>
      </c>
      <c r="BI21" s="25">
        <f>預測IC!BI21</f>
        <v>0.1659695961783918</v>
      </c>
      <c r="BJ21" s="25">
        <f>預測IC!BJ21</f>
        <v>2.3579026181717661E-2</v>
      </c>
      <c r="BK21" s="25">
        <f>預測IC!BK21</f>
        <v>-6.8449880379534783E-2</v>
      </c>
      <c r="BL21" s="25">
        <f>預測IC!BL21</f>
        <v>0.1427210926463498</v>
      </c>
      <c r="BM21" s="25">
        <f>預測IC!BM21</f>
        <v>-4.0795286028720637E-2</v>
      </c>
      <c r="BN21" s="25">
        <f>預測IC!BN21</f>
        <v>6.3647947992248044E-2</v>
      </c>
      <c r="BO21" s="25">
        <f>預測IC!BO21</f>
        <v>-1.066839155318992E-2</v>
      </c>
      <c r="BP21" s="25">
        <f>預測IC!BP21</f>
        <v>0.1045091294194143</v>
      </c>
      <c r="BQ21" s="25">
        <f>預測IC!BQ21</f>
        <v>5.4542230834504879E-2</v>
      </c>
      <c r="BR21" s="25">
        <f>預測IC!BR21</f>
        <v>1.3963257139615239E-2</v>
      </c>
      <c r="BS21" s="25">
        <f>預測IC!BS21</f>
        <v>-2.5079854410496889E-2</v>
      </c>
      <c r="BT21" s="25">
        <f>預測IC!BT21</f>
        <v>0.13224469397444291</v>
      </c>
      <c r="BU21" s="25">
        <f>預測IC!BU21</f>
        <v>0.120820939350189</v>
      </c>
      <c r="BV21" s="25">
        <f>預測IC!BV21</f>
        <v>0.14214300018545339</v>
      </c>
      <c r="BW21" s="25">
        <f>預測IC!BW21</f>
        <v>-0.146679196935731</v>
      </c>
      <c r="BX21" s="25">
        <f>預測IC!BX21</f>
        <v>-1.540792756631305E-2</v>
      </c>
      <c r="BY21" s="25">
        <f>預測IC!BY21</f>
        <v>-5.0379851218116528E-2</v>
      </c>
      <c r="BZ21" s="25">
        <f>預測IC!BZ21</f>
        <v>9.8156710439898404E-2</v>
      </c>
      <c r="CA21" s="25">
        <f>預測IC!CA21</f>
        <v>-2.4556068552787459E-2</v>
      </c>
      <c r="CB21" s="25">
        <f>預測IC!CB21</f>
        <v>-0.1122436107991584</v>
      </c>
      <c r="CC21" s="25">
        <f>預測IC!CC21</f>
        <v>-8.0194999999999989E-3</v>
      </c>
      <c r="CD21" s="25">
        <f>預測IC!CD21</f>
        <v>8.4422250000000004E-2</v>
      </c>
      <c r="CE21" s="25">
        <f>預測IC!CE21</f>
        <v>6.1514499999999993E-2</v>
      </c>
      <c r="CF21" s="25">
        <f>預測IC!CF21</f>
        <v>-0.127168</v>
      </c>
      <c r="CG21" s="25">
        <f>預測IC!CG21</f>
        <v>0.32016774999999997</v>
      </c>
      <c r="CH21" s="25">
        <f>預測IC!CH21</f>
        <v>8.0100321076211733E-2</v>
      </c>
      <c r="CI21" s="25">
        <f>預測IC!CI21</f>
        <v>-8.0499616390982326E-2</v>
      </c>
      <c r="CJ21" s="25">
        <f>預測IC!CJ21</f>
        <v>-7.1754661956045684E-2</v>
      </c>
      <c r="CK21" s="25">
        <f>預測IC!CK21</f>
        <v>0.12705054673013411</v>
      </c>
      <c r="CL21" s="25">
        <f>預測IC!CL21</f>
        <v>-0.2104523758541085</v>
      </c>
      <c r="CM21" s="25">
        <f>預測IC!CM21</f>
        <v>0.2255029884033713</v>
      </c>
      <c r="CN21" s="25">
        <f>預測IC!CN21</f>
        <v>3.05388902037756E-2</v>
      </c>
      <c r="CO21" s="25">
        <f>預測IC!CO21</f>
        <v>-0.51486524859759264</v>
      </c>
      <c r="CP21" s="25">
        <f>預測IC!CP21</f>
        <v>0.22270006087791269</v>
      </c>
      <c r="CQ21" s="25">
        <f>預測IC!CQ21</f>
        <v>-2.2912194169496192E-2</v>
      </c>
      <c r="CR21" s="25">
        <f>預測IC!CR21</f>
        <v>1.1617000000000001E-2</v>
      </c>
      <c r="CS21" s="25">
        <f>預測IC!CS21</f>
        <v>3.0907250000000001E-2</v>
      </c>
      <c r="CT21" s="25">
        <f>預測IC!CT21</f>
        <v>8.2292872854338978E-2</v>
      </c>
      <c r="CU21" s="25">
        <f>預測IC!CU21</f>
        <v>-6.2673560169491313E-2</v>
      </c>
      <c r="CV21" s="25">
        <f>預測IC!CV21</f>
        <v>9.8225632021386913E-2</v>
      </c>
      <c r="CW21" s="25">
        <f>預測IC!CW21</f>
        <v>6.5005417280988659E-2</v>
      </c>
      <c r="CX21" s="25">
        <f>預測IC!CX21</f>
        <v>0.1021221756574071</v>
      </c>
      <c r="CY21" s="25">
        <f>預測IC!CY21</f>
        <v>-8.4819164039144704E-3</v>
      </c>
      <c r="CZ21" s="25">
        <f>預測IC!CZ21</f>
        <v>0.2374513708258302</v>
      </c>
      <c r="DA21" s="25">
        <f>預測IC!DA21</f>
        <v>1.192256456731756E-3</v>
      </c>
      <c r="DB21" s="25">
        <f>預測IC!DB21</f>
        <v>7.1459500000000009E-2</v>
      </c>
      <c r="DC21" s="25">
        <f>預測IC!DC21</f>
        <v>4.8309999999999992E-2</v>
      </c>
      <c r="DD21" s="25">
        <f>預測IC!DD21</f>
        <v>-6.7026999999999989E-2</v>
      </c>
      <c r="DE21" s="25">
        <f>預測IC!DE21</f>
        <v>1.2238108588318921E-2</v>
      </c>
      <c r="DF21" s="25">
        <f>預測IC!DF21</f>
        <v>7.7285592716186992E-3</v>
      </c>
      <c r="DG21" s="25">
        <f>預測IC!DG21</f>
        <v>7.8463781285332893E-3</v>
      </c>
      <c r="DH21" s="25">
        <f>預測IC!DH21</f>
        <v>1.407682021245452E-2</v>
      </c>
      <c r="DI21" s="25">
        <f>預測IC!DI21</f>
        <v>3.4407478280179482E-2</v>
      </c>
      <c r="DJ21" s="25">
        <f>預測IC!DJ21</f>
        <v>7.330325E-2</v>
      </c>
      <c r="DK21" s="25">
        <f>預測IC!DK21</f>
        <v>0.13950270681890459</v>
      </c>
      <c r="DL21" s="25">
        <f>預測IC!DL21</f>
        <v>9.8364938839376553E-2</v>
      </c>
      <c r="DM21" s="25">
        <f>預測IC!DM21</f>
        <v>-2.9834119642240212E-2</v>
      </c>
      <c r="DN21" s="25">
        <f>預測IC!DN21</f>
        <v>6.1960781446788349E-2</v>
      </c>
      <c r="DO21" s="25">
        <f>預測IC!DO21</f>
        <v>8.2445792330679737E-2</v>
      </c>
      <c r="DP21" s="25">
        <f>預測IC!DP21</f>
        <v>2.426615509356601E-2</v>
      </c>
      <c r="DQ21" s="25">
        <f>預測IC!DQ21</f>
        <v>-0.12775339309865241</v>
      </c>
      <c r="DR21" s="25">
        <f>預測IC!DR21</f>
        <v>5.0170859037080733E-2</v>
      </c>
      <c r="DS21" s="25">
        <f>預測IC!DS21</f>
        <v>-0.20083947383729561</v>
      </c>
      <c r="DT21" s="25">
        <f>預測IC!DT21</f>
        <v>-9.7094999999999959E-3</v>
      </c>
      <c r="DU21" s="25">
        <f>預測IC!DU21</f>
        <v>-0.14861474999999999</v>
      </c>
      <c r="DV21" s="25">
        <f>預測IC!DV21</f>
        <v>0.140275976869878</v>
      </c>
      <c r="DW21" s="25">
        <f>預測IC!DW21</f>
        <v>0.11934721737400381</v>
      </c>
      <c r="DX21" s="25">
        <f>預測IC!DX21</f>
        <v>-0.18596621403118341</v>
      </c>
      <c r="DY21" s="25">
        <f>預測IC!DY21</f>
        <v>0.16672999999999999</v>
      </c>
      <c r="DZ21" s="25">
        <f>預測IC!DZ21</f>
        <v>9.8930000000000004E-2</v>
      </c>
      <c r="EA21" s="25">
        <f>預測IC!EA21</f>
        <v>0.26605683200000002</v>
      </c>
      <c r="EB21" s="25">
        <f>預測IC!EB21</f>
        <v>8.4081461705858979E-3</v>
      </c>
      <c r="EC21" s="25">
        <f>預測IC!EC21</f>
        <v>2.7189499999999991E-2</v>
      </c>
      <c r="ED21" s="25">
        <f>預測IC!ED21</f>
        <v>-5.4498856348180663E-2</v>
      </c>
      <c r="EE21" s="25">
        <f>預測IC!EE21</f>
        <v>1.4428852108417999E-2</v>
      </c>
      <c r="EF21" s="25">
        <f>預測IC!EF21</f>
        <v>-7.9916028560319194E-3</v>
      </c>
      <c r="EG21" s="30">
        <f t="shared" si="8"/>
        <v>3.1224509083241359E-2</v>
      </c>
      <c r="EH21" s="31">
        <f t="shared" si="6"/>
        <v>0.12608562869089271</v>
      </c>
      <c r="EI21" s="30">
        <f t="shared" si="7"/>
        <v>0.24764526621658298</v>
      </c>
    </row>
    <row r="22" spans="1:139">
      <c r="A22" s="4">
        <f>預測IC!A22</f>
        <v>321</v>
      </c>
      <c r="B22" s="4">
        <f>預測IC!B22</f>
        <v>3</v>
      </c>
      <c r="C22" s="25">
        <f>預測IC!C22</f>
        <v>0.20528266666666661</v>
      </c>
      <c r="D22" s="25">
        <f>預測IC!D22</f>
        <v>0.1424293333333333</v>
      </c>
      <c r="E22" s="25">
        <f>預測IC!E22</f>
        <v>-1.735666666666667E-2</v>
      </c>
      <c r="F22" s="25">
        <f>預測IC!F22</f>
        <v>-0.13986799999999999</v>
      </c>
      <c r="G22" s="25">
        <f>預測IC!G22</f>
        <v>0.23294533333333339</v>
      </c>
      <c r="H22" s="25">
        <f>預測IC!H22</f>
        <v>0.124178</v>
      </c>
      <c r="I22" s="25">
        <f>預測IC!I22</f>
        <v>1.7439333333333331E-2</v>
      </c>
      <c r="J22" s="25">
        <f>預測IC!J22</f>
        <v>-0.104252</v>
      </c>
      <c r="K22" s="25">
        <f>預測IC!K22</f>
        <v>2.865666666666666E-2</v>
      </c>
      <c r="L22" s="25">
        <f>預測IC!L22</f>
        <v>1.427200000000001E-2</v>
      </c>
      <c r="M22" s="25">
        <f>預測IC!M22</f>
        <v>-0.22515860506358171</v>
      </c>
      <c r="N22" s="25">
        <f>預測IC!N22</f>
        <v>0.75614233333333325</v>
      </c>
      <c r="O22" s="25">
        <f>預測IC!O22</f>
        <v>-6.6442333333333325E-2</v>
      </c>
      <c r="P22" s="25">
        <f>預測IC!P22</f>
        <v>9.0630333333333327E-2</v>
      </c>
      <c r="Q22" s="25">
        <f>預測IC!Q22</f>
        <v>0.12727466666666659</v>
      </c>
      <c r="R22" s="25">
        <f>預測IC!R22</f>
        <v>6.6697666666666655E-2</v>
      </c>
      <c r="S22" s="25">
        <f>預測IC!S22</f>
        <v>-3.9232333333333327E-2</v>
      </c>
      <c r="T22" s="25">
        <f>預測IC!T22</f>
        <v>-7.1651900389641296E-2</v>
      </c>
      <c r="U22" s="25">
        <f>預測IC!U22</f>
        <v>5.2484333333333327E-2</v>
      </c>
      <c r="V22" s="25">
        <f>預測IC!V22</f>
        <v>-0.17562366666666671</v>
      </c>
      <c r="W22" s="25">
        <f>預測IC!W22</f>
        <v>0.20748026702429739</v>
      </c>
      <c r="X22" s="25">
        <f>預測IC!X22</f>
        <v>0.25720199999999999</v>
      </c>
      <c r="Y22" s="25">
        <f>預測IC!Y22</f>
        <v>-6.9857333333333327E-2</v>
      </c>
      <c r="Z22" s="25">
        <f>預測IC!Z22</f>
        <v>2.3868E-2</v>
      </c>
      <c r="AA22" s="25">
        <f>預測IC!AA22</f>
        <v>0.1181226666666667</v>
      </c>
      <c r="AB22" s="25">
        <f>預測IC!AB22</f>
        <v>3.8652301253394171E-3</v>
      </c>
      <c r="AC22" s="25">
        <f>預測IC!AC22</f>
        <v>-0.1772113333333333</v>
      </c>
      <c r="AD22" s="25">
        <f>預測IC!AD22</f>
        <v>-1.859374921466125E-2</v>
      </c>
      <c r="AE22" s="25">
        <f>預測IC!AE22</f>
        <v>-8.5149000000000002E-2</v>
      </c>
      <c r="AF22" s="25">
        <f>預測IC!AF22</f>
        <v>3.6244056903920213E-2</v>
      </c>
      <c r="AG22" s="25">
        <f>預測IC!AG22</f>
        <v>-4.5970333333333342E-2</v>
      </c>
      <c r="AH22" s="25">
        <f>預測IC!AH22</f>
        <v>-0.10586595942047269</v>
      </c>
      <c r="AI22" s="25">
        <f>預測IC!AI22</f>
        <v>9.4141260657386039E-2</v>
      </c>
      <c r="AJ22" s="25">
        <f>預測IC!AJ22</f>
        <v>-3.1699849326408271E-2</v>
      </c>
      <c r="AK22" s="25">
        <f>預測IC!AK22</f>
        <v>0.1012885607403957</v>
      </c>
      <c r="AL22" s="25">
        <f>預測IC!AL22</f>
        <v>4.0340966806900407E-2</v>
      </c>
      <c r="AM22" s="25">
        <f>預測IC!AM22</f>
        <v>8.4088903467703563E-2</v>
      </c>
      <c r="AN22" s="25">
        <f>預測IC!AN22</f>
        <v>0.1111328096635593</v>
      </c>
      <c r="AO22" s="25">
        <f>預測IC!AO22</f>
        <v>7.4717373393705613E-2</v>
      </c>
      <c r="AP22" s="25">
        <f>預測IC!AP22</f>
        <v>-6.2536353887992696E-2</v>
      </c>
      <c r="AQ22" s="25">
        <f>預測IC!AQ22</f>
        <v>1.4495983822223869E-2</v>
      </c>
      <c r="AR22" s="25">
        <f>預測IC!AR22</f>
        <v>0.23790114102724971</v>
      </c>
      <c r="AS22" s="25">
        <f>預測IC!AS22</f>
        <v>8.2810438898549957E-2</v>
      </c>
      <c r="AT22" s="25">
        <f>預測IC!AT22</f>
        <v>6.5803903490195548E-3</v>
      </c>
      <c r="AU22" s="25">
        <f>預測IC!AU22</f>
        <v>5.3142791700378257E-2</v>
      </c>
      <c r="AV22" s="25">
        <f>預測IC!AV22</f>
        <v>-5.9813176675879959E-2</v>
      </c>
      <c r="AW22" s="25">
        <f>預測IC!AW22</f>
        <v>-3.014938920700894E-2</v>
      </c>
      <c r="AX22" s="25">
        <f>預測IC!AX22</f>
        <v>0.17376339998002421</v>
      </c>
      <c r="AY22" s="25">
        <f>預測IC!AY22</f>
        <v>7.1733385334230598E-2</v>
      </c>
      <c r="AZ22" s="25">
        <f>預測IC!AZ22</f>
        <v>-0.1549037783211521</v>
      </c>
      <c r="BA22" s="25">
        <f>預測IC!BA22</f>
        <v>4.9774666666666662E-2</v>
      </c>
      <c r="BB22" s="25">
        <f>預測IC!BB22</f>
        <v>0.36955133333333329</v>
      </c>
      <c r="BC22" s="25">
        <f>預測IC!BC22</f>
        <v>-0.13083693812295519</v>
      </c>
      <c r="BD22" s="25">
        <f>預測IC!BD22</f>
        <v>1.294738984257221E-2</v>
      </c>
      <c r="BE22" s="25">
        <f>預測IC!BE22</f>
        <v>2.221618339448047E-2</v>
      </c>
      <c r="BF22" s="25">
        <f>預測IC!BF22</f>
        <v>1.363881733831962E-2</v>
      </c>
      <c r="BG22" s="25">
        <f>預測IC!BG22</f>
        <v>4.6279512168386029E-2</v>
      </c>
      <c r="BH22" s="25">
        <f>預測IC!BH22</f>
        <v>-0.12796054233813189</v>
      </c>
      <c r="BI22" s="25">
        <f>預測IC!BI22</f>
        <v>0.111088719409907</v>
      </c>
      <c r="BJ22" s="25">
        <f>預測IC!BJ22</f>
        <v>5.4996415150720922E-2</v>
      </c>
      <c r="BK22" s="25">
        <f>預測IC!BK22</f>
        <v>-4.1839635933665138E-2</v>
      </c>
      <c r="BL22" s="25">
        <f>預測IC!BL22</f>
        <v>0.16178033907103531</v>
      </c>
      <c r="BM22" s="25">
        <f>預測IC!BM22</f>
        <v>-2.4304832455331882E-3</v>
      </c>
      <c r="BN22" s="25">
        <f>預測IC!BN22</f>
        <v>-1.5327552023042271E-2</v>
      </c>
      <c r="BO22" s="25">
        <f>預測IC!BO22</f>
        <v>-9.7012895523605869E-2</v>
      </c>
      <c r="BP22" s="25">
        <f>預測IC!BP22</f>
        <v>7.4835550155106345E-2</v>
      </c>
      <c r="BQ22" s="25">
        <f>預測IC!BQ22</f>
        <v>2.7830097398312589E-2</v>
      </c>
      <c r="BR22" s="25">
        <f>預測IC!BR22</f>
        <v>2.081360946645289E-2</v>
      </c>
      <c r="BS22" s="25">
        <f>預測IC!BS22</f>
        <v>-1.637278237679916E-2</v>
      </c>
      <c r="BT22" s="25">
        <f>預測IC!BT22</f>
        <v>0.13053070333654609</v>
      </c>
      <c r="BU22" s="25">
        <f>預測IC!BU22</f>
        <v>0.21294876613801031</v>
      </c>
      <c r="BV22" s="25">
        <f>預測IC!BV22</f>
        <v>0.1585439723976089</v>
      </c>
      <c r="BW22" s="25">
        <f>預測IC!BW22</f>
        <v>-0.1746684979276073</v>
      </c>
      <c r="BX22" s="25">
        <f>預測IC!BX22</f>
        <v>3.6637445691972373E-2</v>
      </c>
      <c r="BY22" s="25">
        <f>預測IC!BY22</f>
        <v>-4.7467864027346263E-3</v>
      </c>
      <c r="BZ22" s="25">
        <f>預測IC!BZ22</f>
        <v>4.725773586289217E-2</v>
      </c>
      <c r="CA22" s="25">
        <f>預測IC!CA22</f>
        <v>-2.749007848032349E-2</v>
      </c>
      <c r="CB22" s="25">
        <f>預測IC!CB22</f>
        <v>-0.14899327824592659</v>
      </c>
      <c r="CC22" s="25">
        <f>預測IC!CC22</f>
        <v>-0.12510499999999999</v>
      </c>
      <c r="CD22" s="25">
        <f>預測IC!CD22</f>
        <v>9.5518333333333344E-2</v>
      </c>
      <c r="CE22" s="25">
        <f>預測IC!CE22</f>
        <v>6.6840000000000011E-2</v>
      </c>
      <c r="CF22" s="25">
        <f>預測IC!CF22</f>
        <v>-0.15557066666666661</v>
      </c>
      <c r="CG22" s="25">
        <f>預測IC!CG22</f>
        <v>0.44380066666666668</v>
      </c>
      <c r="CH22" s="25">
        <f>預測IC!CH22</f>
        <v>0.1159187712794482</v>
      </c>
      <c r="CI22" s="25">
        <f>預測IC!CI22</f>
        <v>-0.1177797462783592</v>
      </c>
      <c r="CJ22" s="25">
        <f>預測IC!CJ22</f>
        <v>-0.1033795050895627</v>
      </c>
      <c r="CK22" s="25">
        <f>預測IC!CK22</f>
        <v>3.6163342604682402E-2</v>
      </c>
      <c r="CL22" s="25">
        <f>預測IC!CL22</f>
        <v>-0.2406517986250408</v>
      </c>
      <c r="CM22" s="25">
        <f>預測IC!CM22</f>
        <v>0.30176025790948191</v>
      </c>
      <c r="CN22" s="25">
        <f>預測IC!CN22</f>
        <v>-8.5467718209073992E-3</v>
      </c>
      <c r="CO22" s="25">
        <f>預測IC!CO22</f>
        <v>-0.64995646824915565</v>
      </c>
      <c r="CP22" s="25">
        <f>預測IC!CP22</f>
        <v>0.25940855696940252</v>
      </c>
      <c r="CQ22" s="25">
        <f>預測IC!CQ22</f>
        <v>-1.7159615519123799E-2</v>
      </c>
      <c r="CR22" s="25">
        <f>預測IC!CR22</f>
        <v>-2.842066666666666E-2</v>
      </c>
      <c r="CS22" s="25">
        <f>預測IC!CS22</f>
        <v>2.443933333333333E-2</v>
      </c>
      <c r="CT22" s="25">
        <f>預測IC!CT22</f>
        <v>5.8232521355985362E-2</v>
      </c>
      <c r="CU22" s="25">
        <f>預測IC!CU22</f>
        <v>-0.11084141964186579</v>
      </c>
      <c r="CV22" s="25">
        <f>預測IC!CV22</f>
        <v>0.1122336952070542</v>
      </c>
      <c r="CW22" s="25">
        <f>預測IC!CW22</f>
        <v>3.6451253326165209E-2</v>
      </c>
      <c r="CX22" s="25">
        <f>預測IC!CX22</f>
        <v>3.749593267848913E-3</v>
      </c>
      <c r="CY22" s="25">
        <f>預測IC!CY22</f>
        <v>-7.9888257735091419E-3</v>
      </c>
      <c r="CZ22" s="25">
        <f>預測IC!CZ22</f>
        <v>0.26292048459923911</v>
      </c>
      <c r="DA22" s="25">
        <f>預測IC!DA22</f>
        <v>-3.9917538819241108E-3</v>
      </c>
      <c r="DB22" s="25">
        <f>預測IC!DB22</f>
        <v>5.4040666666666667E-2</v>
      </c>
      <c r="DC22" s="25">
        <f>預測IC!DC22</f>
        <v>7.2343333333333343E-2</v>
      </c>
      <c r="DD22" s="25">
        <f>預測IC!DD22</f>
        <v>-1.5963333333333329E-2</v>
      </c>
      <c r="DE22" s="25">
        <f>預測IC!DE22</f>
        <v>-5.4917579819501461E-3</v>
      </c>
      <c r="DF22" s="25">
        <f>預測IC!DF22</f>
        <v>1.7031775273553061E-2</v>
      </c>
      <c r="DG22" s="25">
        <f>預測IC!DG22</f>
        <v>3.1985043080887662E-2</v>
      </c>
      <c r="DH22" s="25">
        <f>預測IC!DH22</f>
        <v>1.3945346183503959E-2</v>
      </c>
      <c r="DI22" s="25">
        <f>預測IC!DI22</f>
        <v>6.356099926224941E-2</v>
      </c>
      <c r="DJ22" s="25">
        <f>預測IC!DJ22</f>
        <v>4.2777666666666672E-2</v>
      </c>
      <c r="DK22" s="25">
        <f>預測IC!DK22</f>
        <v>0.1791347138228401</v>
      </c>
      <c r="DL22" s="25">
        <f>預測IC!DL22</f>
        <v>0.1249416477373831</v>
      </c>
      <c r="DM22" s="25">
        <f>預測IC!DM22</f>
        <v>-6.3466051038033502E-2</v>
      </c>
      <c r="DN22" s="25">
        <f>預測IC!DN22</f>
        <v>4.6763328204007498E-2</v>
      </c>
      <c r="DO22" s="25">
        <f>預測IC!DO22</f>
        <v>0.12343750131163821</v>
      </c>
      <c r="DP22" s="25">
        <f>預測IC!DP22</f>
        <v>2.1723233390302729E-3</v>
      </c>
      <c r="DQ22" s="25">
        <f>預測IC!DQ22</f>
        <v>-0.13103100381943991</v>
      </c>
      <c r="DR22" s="25">
        <f>預測IC!DR22</f>
        <v>-6.0925526153180337E-3</v>
      </c>
      <c r="DS22" s="25">
        <f>預測IC!DS22</f>
        <v>-0.19705092156235929</v>
      </c>
      <c r="DT22" s="25">
        <f>預測IC!DT22</f>
        <v>-4.3682333333333337E-2</v>
      </c>
      <c r="DU22" s="25">
        <f>預測IC!DU22</f>
        <v>-0.1615456666666667</v>
      </c>
      <c r="DV22" s="25">
        <f>預測IC!DV22</f>
        <v>0.12570511767817799</v>
      </c>
      <c r="DW22" s="25">
        <f>預測IC!DW22</f>
        <v>0.1095030666415643</v>
      </c>
      <c r="DX22" s="25">
        <f>預測IC!DX22</f>
        <v>-0.22244260844829469</v>
      </c>
      <c r="DY22" s="25">
        <f>預測IC!DY22</f>
        <v>0.1199563333333333</v>
      </c>
      <c r="DZ22" s="25">
        <f>預測IC!DZ22</f>
        <v>0.11083366666666671</v>
      </c>
      <c r="EA22" s="25">
        <f>預測IC!EA22</f>
        <v>0.14035616200000001</v>
      </c>
      <c r="EB22" s="25">
        <f>預測IC!EB22</f>
        <v>-8.0596727535317977E-2</v>
      </c>
      <c r="EC22" s="25">
        <f>預測IC!EC22</f>
        <v>8.8085999999999984E-2</v>
      </c>
      <c r="ED22" s="25">
        <f>預測IC!ED22</f>
        <v>-7.7413567057607463E-2</v>
      </c>
      <c r="EE22" s="25">
        <f>預測IC!EE22</f>
        <v>3.344630381221339E-2</v>
      </c>
      <c r="EF22" s="25">
        <f>預測IC!EF22</f>
        <v>-3.4790246372172352E-2</v>
      </c>
      <c r="EG22" s="30">
        <f t="shared" si="8"/>
        <v>2.5690351603083316E-2</v>
      </c>
      <c r="EH22" s="31">
        <f t="shared" si="6"/>
        <v>0.14662571866086463</v>
      </c>
      <c r="EI22" s="30">
        <f t="shared" si="7"/>
        <v>0.17521040536212723</v>
      </c>
    </row>
    <row r="23" spans="1:139">
      <c r="A23" s="4">
        <f>預測IC!A23</f>
        <v>482</v>
      </c>
      <c r="B23" s="4">
        <f>預測IC!B23</f>
        <v>2</v>
      </c>
      <c r="C23" s="25">
        <f>預測IC!C23</f>
        <v>0.28298899999999988</v>
      </c>
      <c r="D23" s="25">
        <f>預測IC!D23</f>
        <v>0.25409399999999999</v>
      </c>
      <c r="E23" s="25">
        <f>預測IC!E23</f>
        <v>0.13300500000000001</v>
      </c>
      <c r="F23" s="25">
        <f>預測IC!F23</f>
        <v>-3.7419999999999949E-3</v>
      </c>
      <c r="G23" s="25">
        <f>預測IC!G23</f>
        <v>0.36163200000000001</v>
      </c>
      <c r="H23" s="25">
        <f>預測IC!H23</f>
        <v>-1.81885E-2</v>
      </c>
      <c r="I23" s="25">
        <f>預測IC!I23</f>
        <v>-3.6385500000000001E-2</v>
      </c>
      <c r="J23" s="25">
        <f>預測IC!J23</f>
        <v>-0.11487550000000001</v>
      </c>
      <c r="K23" s="25">
        <f>預測IC!K23</f>
        <v>-5.9918500000000013E-2</v>
      </c>
      <c r="L23" s="25">
        <f>預測IC!L23</f>
        <v>5.0770999999999997E-2</v>
      </c>
      <c r="M23" s="25">
        <f>預測IC!M23</f>
        <v>-0.26736657000997882</v>
      </c>
      <c r="N23" s="25">
        <f>預測IC!N23</f>
        <v>0.97590100000000002</v>
      </c>
      <c r="O23" s="25">
        <f>預測IC!O23</f>
        <v>-0.1229</v>
      </c>
      <c r="P23" s="25">
        <f>預測IC!P23</f>
        <v>5.4681500000000001E-2</v>
      </c>
      <c r="Q23" s="25">
        <f>預測IC!Q23</f>
        <v>0.29117749999999998</v>
      </c>
      <c r="R23" s="25">
        <f>預測IC!R23</f>
        <v>6.2820000000000001E-2</v>
      </c>
      <c r="S23" s="25">
        <f>預測IC!S23</f>
        <v>-7.257050000000001E-2</v>
      </c>
      <c r="T23" s="25">
        <f>預測IC!T23</f>
        <v>-3.733692084787466E-4</v>
      </c>
      <c r="U23" s="25">
        <f>預測IC!U23</f>
        <v>5.9236499999999997E-2</v>
      </c>
      <c r="V23" s="25">
        <f>預測IC!V23</f>
        <v>-0.2324755</v>
      </c>
      <c r="W23" s="25">
        <f>預測IC!W23</f>
        <v>0.33161915024914451</v>
      </c>
      <c r="X23" s="25">
        <f>預測IC!X23</f>
        <v>0.19455600000000001</v>
      </c>
      <c r="Y23" s="25">
        <f>預測IC!Y23</f>
        <v>-6.7954499999999987E-2</v>
      </c>
      <c r="Z23" s="25">
        <f>預測IC!Z23</f>
        <v>4.1052000000000012E-2</v>
      </c>
      <c r="AA23" s="25">
        <f>預測IC!AA23</f>
        <v>0.15165200000000001</v>
      </c>
      <c r="AB23" s="25">
        <f>預測IC!AB23</f>
        <v>3.09913850559921E-2</v>
      </c>
      <c r="AC23" s="25">
        <f>預測IC!AC23</f>
        <v>-0.23400850000000001</v>
      </c>
      <c r="AD23" s="25">
        <f>預測IC!AD23</f>
        <v>-2.9952915704841848E-3</v>
      </c>
      <c r="AE23" s="25">
        <f>預測IC!AE23</f>
        <v>-0.221717</v>
      </c>
      <c r="AF23" s="25">
        <f>預測IC!AF23</f>
        <v>6.6906260089751285E-2</v>
      </c>
      <c r="AG23" s="25">
        <f>預測IC!AG23</f>
        <v>-2.0555000000000091E-3</v>
      </c>
      <c r="AH23" s="25">
        <f>預測IC!AH23</f>
        <v>-8.417158452318324E-2</v>
      </c>
      <c r="AI23" s="25">
        <f>預測IC!AI23</f>
        <v>1.7205917313467271E-2</v>
      </c>
      <c r="AJ23" s="25">
        <f>預測IC!AJ23</f>
        <v>4.8195600190128897E-2</v>
      </c>
      <c r="AK23" s="25">
        <f>預測IC!AK23</f>
        <v>0.11411109934719101</v>
      </c>
      <c r="AL23" s="25">
        <f>預測IC!AL23</f>
        <v>0.1314317131925356</v>
      </c>
      <c r="AM23" s="25">
        <f>預測IC!AM23</f>
        <v>7.769489004865255E-3</v>
      </c>
      <c r="AN23" s="25">
        <f>預測IC!AN23</f>
        <v>0.24231469935730071</v>
      </c>
      <c r="AO23" s="25">
        <f>預測IC!AO23</f>
        <v>-5.3369521914240978E-3</v>
      </c>
      <c r="AP23" s="25">
        <f>預測IC!AP23</f>
        <v>3.1210993523056942E-3</v>
      </c>
      <c r="AQ23" s="25">
        <f>預測IC!AQ23</f>
        <v>8.9424992259610633E-2</v>
      </c>
      <c r="AR23" s="25">
        <f>預測IC!AR23</f>
        <v>0.33674404384506768</v>
      </c>
      <c r="AS23" s="25">
        <f>預測IC!AS23</f>
        <v>-1.470688799737762E-2</v>
      </c>
      <c r="AT23" s="25">
        <f>預測IC!AT23</f>
        <v>-4.1427721813649641E-2</v>
      </c>
      <c r="AU23" s="25">
        <f>預測IC!AU23</f>
        <v>3.3145526128504327E-2</v>
      </c>
      <c r="AV23" s="25">
        <f>預測IC!AV23</f>
        <v>-2.7638994197374041E-2</v>
      </c>
      <c r="AW23" s="25">
        <f>預測IC!AW23</f>
        <v>-5.202690983840276E-2</v>
      </c>
      <c r="AX23" s="25">
        <f>預測IC!AX23</f>
        <v>6.9838153827044058E-2</v>
      </c>
      <c r="AY23" s="25">
        <f>預測IC!AY23</f>
        <v>0.17023398084058211</v>
      </c>
      <c r="AZ23" s="25">
        <f>預測IC!AZ23</f>
        <v>-6.3753617401060211E-2</v>
      </c>
      <c r="BA23" s="25">
        <f>預測IC!BA23</f>
        <v>5.3997999999999997E-2</v>
      </c>
      <c r="BB23" s="25">
        <f>預測IC!BB23</f>
        <v>0.56682749999999993</v>
      </c>
      <c r="BC23" s="25">
        <f>預測IC!BC23</f>
        <v>-0.30082824917306578</v>
      </c>
      <c r="BD23" s="25">
        <f>預測IC!BD23</f>
        <v>9.4830881346450333E-2</v>
      </c>
      <c r="BE23" s="25">
        <f>預測IC!BE23</f>
        <v>-7.1430762397296579E-2</v>
      </c>
      <c r="BF23" s="25">
        <f>預測IC!BF23</f>
        <v>-2.284699060468626E-2</v>
      </c>
      <c r="BG23" s="25">
        <f>預測IC!BG23</f>
        <v>7.4761471196752541E-2</v>
      </c>
      <c r="BH23" s="25">
        <f>預測IC!BH23</f>
        <v>-0.2034839813552872</v>
      </c>
      <c r="BI23" s="25">
        <f>預測IC!BI23</f>
        <v>0.1911120793231991</v>
      </c>
      <c r="BJ23" s="25">
        <f>預測IC!BJ23</f>
        <v>0.1040033152679269</v>
      </c>
      <c r="BK23" s="25">
        <f>預測IC!BK23</f>
        <v>4.6869777109240134E-3</v>
      </c>
      <c r="BL23" s="25">
        <f>預測IC!BL23</f>
        <v>0.14953429625023959</v>
      </c>
      <c r="BM23" s="25">
        <f>預測IC!BM23</f>
        <v>6.9495462024450616E-2</v>
      </c>
      <c r="BN23" s="25">
        <f>預測IC!BN23</f>
        <v>-6.9471707588132049E-3</v>
      </c>
      <c r="BO23" s="25">
        <f>預測IC!BO23</f>
        <v>-0.16631016589269049</v>
      </c>
      <c r="BP23" s="25">
        <f>預測IC!BP23</f>
        <v>9.8266399211456468E-2</v>
      </c>
      <c r="BQ23" s="25">
        <f>預測IC!BQ23</f>
        <v>4.9611841287991017E-2</v>
      </c>
      <c r="BR23" s="25">
        <f>預測IC!BR23</f>
        <v>1.7844321463962809E-2</v>
      </c>
      <c r="BS23" s="25">
        <f>預測IC!BS23</f>
        <v>-7.3275388657911791E-2</v>
      </c>
      <c r="BT23" s="25">
        <f>預測IC!BT23</f>
        <v>0.14364980602599711</v>
      </c>
      <c r="BU23" s="25">
        <f>預測IC!BU23</f>
        <v>0.20568773584594591</v>
      </c>
      <c r="BV23" s="25">
        <f>預測IC!BV23</f>
        <v>0.11346756836018849</v>
      </c>
      <c r="BW23" s="25">
        <f>預測IC!BW23</f>
        <v>-0.20215233327569121</v>
      </c>
      <c r="BX23" s="25">
        <f>預測IC!BX23</f>
        <v>-8.2131197272531514E-3</v>
      </c>
      <c r="BY23" s="25">
        <f>預測IC!BY23</f>
        <v>-1.020569269434762E-2</v>
      </c>
      <c r="BZ23" s="25">
        <f>預測IC!BZ23</f>
        <v>7.6697624318448621E-3</v>
      </c>
      <c r="CA23" s="25">
        <f>預測IC!CA23</f>
        <v>-7.5653199746629096E-2</v>
      </c>
      <c r="CB23" s="25">
        <f>預測IC!CB23</f>
        <v>-0.21761420299243989</v>
      </c>
      <c r="CC23" s="25">
        <f>預測IC!CC23</f>
        <v>-8.4545000000000009E-2</v>
      </c>
      <c r="CD23" s="25">
        <f>預測IC!CD23</f>
        <v>0.14124249999999999</v>
      </c>
      <c r="CE23" s="25">
        <f>預測IC!CE23</f>
        <v>5.9602000000000002E-2</v>
      </c>
      <c r="CF23" s="25">
        <f>預測IC!CF23</f>
        <v>-0.1834305</v>
      </c>
      <c r="CG23" s="25">
        <f>預測IC!CG23</f>
        <v>0.29290349999999998</v>
      </c>
      <c r="CH23" s="25">
        <f>預測IC!CH23</f>
        <v>0.18019644892142839</v>
      </c>
      <c r="CI23" s="25">
        <f>預測IC!CI23</f>
        <v>-0.30989941712809688</v>
      </c>
      <c r="CJ23" s="25">
        <f>預測IC!CJ23</f>
        <v>-1.9875367550410569E-2</v>
      </c>
      <c r="CK23" s="25">
        <f>預測IC!CK23</f>
        <v>9.6116994727961536E-2</v>
      </c>
      <c r="CL23" s="25">
        <f>預測IC!CL23</f>
        <v>-0.40866101266741839</v>
      </c>
      <c r="CM23" s="25">
        <f>預測IC!CM23</f>
        <v>0.3867329465229094</v>
      </c>
      <c r="CN23" s="25">
        <f>預測IC!CN23</f>
        <v>-5.3005178369803271E-2</v>
      </c>
      <c r="CO23" s="25">
        <f>預測IC!CO23</f>
        <v>-0.90892328736561978</v>
      </c>
      <c r="CP23" s="25">
        <f>預測IC!CP23</f>
        <v>0.31136074316275669</v>
      </c>
      <c r="CQ23" s="25">
        <f>預測IC!CQ23</f>
        <v>2.4702270079380868E-2</v>
      </c>
      <c r="CR23" s="25">
        <f>預測IC!CR23</f>
        <v>-3.8230500000000001E-2</v>
      </c>
      <c r="CS23" s="25">
        <f>預測IC!CS23</f>
        <v>6.9014999999999993E-2</v>
      </c>
      <c r="CT23" s="25">
        <f>預測IC!CT23</f>
        <v>4.5662541711253862E-2</v>
      </c>
      <c r="CU23" s="25">
        <f>預測IC!CU23</f>
        <v>-2.1056595713287041E-2</v>
      </c>
      <c r="CV23" s="25">
        <f>預測IC!CV23</f>
        <v>-2.2245137488805671E-2</v>
      </c>
      <c r="CW23" s="25">
        <f>預測IC!CW23</f>
        <v>0.1009013318024186</v>
      </c>
      <c r="CX23" s="25">
        <f>預測IC!CX23</f>
        <v>-8.8716994096526336E-2</v>
      </c>
      <c r="CY23" s="25">
        <f>預測IC!CY23</f>
        <v>2.20465307533785E-2</v>
      </c>
      <c r="CZ23" s="25">
        <f>預測IC!CZ23</f>
        <v>0.18199879385735121</v>
      </c>
      <c r="DA23" s="25">
        <f>預測IC!DA23</f>
        <v>-3.0982136225910391E-2</v>
      </c>
      <c r="DB23" s="25">
        <f>預測IC!DB23</f>
        <v>1.8748000000000001E-2</v>
      </c>
      <c r="DC23" s="25">
        <f>預測IC!DC23</f>
        <v>7.2414999999999993E-2</v>
      </c>
      <c r="DD23" s="25">
        <f>預測IC!DD23</f>
        <v>-1.8409999999999999E-2</v>
      </c>
      <c r="DE23" s="25">
        <f>預測IC!DE23</f>
        <v>-9.3952259516448811E-3</v>
      </c>
      <c r="DF23" s="25">
        <f>預測IC!DF23</f>
        <v>6.194212704490535E-2</v>
      </c>
      <c r="DG23" s="25">
        <f>預測IC!DG23</f>
        <v>3.8270011874717E-2</v>
      </c>
      <c r="DH23" s="25">
        <f>預測IC!DH23</f>
        <v>5.5413447308742453E-2</v>
      </c>
      <c r="DI23" s="25">
        <f>預測IC!DI23</f>
        <v>5.3479596916020812E-2</v>
      </c>
      <c r="DJ23" s="25">
        <f>預測IC!DJ23</f>
        <v>-3.3823000000000013E-2</v>
      </c>
      <c r="DK23" s="25">
        <f>預測IC!DK23</f>
        <v>0.27783321655884308</v>
      </c>
      <c r="DL23" s="25">
        <f>預測IC!DL23</f>
        <v>0.21610105954027359</v>
      </c>
      <c r="DM23" s="25">
        <f>預測IC!DM23</f>
        <v>-1.949730491936592E-2</v>
      </c>
      <c r="DN23" s="25">
        <f>預測IC!DN23</f>
        <v>6.4971960439702253E-3</v>
      </c>
      <c r="DO23" s="25">
        <f>預測IC!DO23</f>
        <v>0.16409130373383399</v>
      </c>
      <c r="DP23" s="25">
        <f>預測IC!DP23</f>
        <v>4.7088232655722921E-2</v>
      </c>
      <c r="DQ23" s="25">
        <f>預測IC!DQ23</f>
        <v>-0.17021099650353791</v>
      </c>
      <c r="DR23" s="25">
        <f>預測IC!DR23</f>
        <v>-8.9886002731306744E-2</v>
      </c>
      <c r="DS23" s="25">
        <f>預測IC!DS23</f>
        <v>-0.28809657691904628</v>
      </c>
      <c r="DT23" s="25">
        <f>預測IC!DT23</f>
        <v>-5.4250499999999993E-2</v>
      </c>
      <c r="DU23" s="25">
        <f>預測IC!DU23</f>
        <v>-5.5638E-2</v>
      </c>
      <c r="DV23" s="25">
        <f>預測IC!DV23</f>
        <v>0.27627160832943959</v>
      </c>
      <c r="DW23" s="25">
        <f>預測IC!DW23</f>
        <v>0.14122823258283859</v>
      </c>
      <c r="DX23" s="25">
        <f>預測IC!DX23</f>
        <v>-0.31349320637896622</v>
      </c>
      <c r="DY23" s="25">
        <f>預測IC!DY23</f>
        <v>-5.3925000000000001E-2</v>
      </c>
      <c r="DZ23" s="25">
        <f>預測IC!DZ23</f>
        <v>-0.21717500000000001</v>
      </c>
      <c r="EA23" s="25">
        <f>預測IC!EA23</f>
        <v>-2.8758780000000001E-2</v>
      </c>
      <c r="EB23" s="25">
        <f>預測IC!EB23</f>
        <v>-6.2753439710675096E-2</v>
      </c>
      <c r="EC23" s="25">
        <f>預測IC!EC23</f>
        <v>9.3643499999999991E-2</v>
      </c>
      <c r="ED23" s="25">
        <f>預測IC!ED23</f>
        <v>-9.1425904619781034E-2</v>
      </c>
      <c r="EE23" s="25">
        <f>預測IC!EE23</f>
        <v>5.9050683888240307E-2</v>
      </c>
      <c r="EF23" s="25">
        <f>預測IC!EF23</f>
        <v>-4.7782278591659677E-2</v>
      </c>
      <c r="EG23" s="30">
        <f t="shared" si="8"/>
        <v>2.4007312289983734E-2</v>
      </c>
      <c r="EH23" s="31">
        <f t="shared" si="6"/>
        <v>0.1921648479992526</v>
      </c>
      <c r="EI23" s="31">
        <f t="shared" si="7"/>
        <v>0.12493082132314391</v>
      </c>
    </row>
    <row r="24" spans="1:139">
      <c r="A24" s="4">
        <f>預測IC!A24</f>
        <v>964</v>
      </c>
      <c r="B24" s="4">
        <f>預測IC!B24</f>
        <v>1</v>
      </c>
      <c r="C24" s="25">
        <f>預測IC!C24</f>
        <v>9.9113000000000007E-2</v>
      </c>
      <c r="D24" s="25">
        <f>預測IC!D24</f>
        <v>0.10061</v>
      </c>
      <c r="E24" s="25">
        <f>預測IC!E24</f>
        <v>0.28451199999999999</v>
      </c>
      <c r="F24" s="25">
        <f>預測IC!F24</f>
        <v>7.5326000000000004E-2</v>
      </c>
      <c r="G24" s="25">
        <f>預測IC!G24</f>
        <v>0.22960700000000001</v>
      </c>
      <c r="H24" s="25">
        <f>預測IC!H24</f>
        <v>3.5856000000000013E-2</v>
      </c>
      <c r="I24" s="25">
        <f>預測IC!I24</f>
        <v>1.6930000000000001E-2</v>
      </c>
      <c r="J24" s="25">
        <f>預測IC!J24</f>
        <v>-0.11546099999999999</v>
      </c>
      <c r="K24" s="25">
        <f>預測IC!K24</f>
        <v>5.3733000000000003E-2</v>
      </c>
      <c r="L24" s="25">
        <f>預測IC!L24</f>
        <v>9.3800000000000008E-2</v>
      </c>
      <c r="M24" s="25">
        <f>預測IC!M24</f>
        <v>-0.46302754420013847</v>
      </c>
      <c r="N24" s="25">
        <f>預測IC!N24</f>
        <v>1.7690319999999999</v>
      </c>
      <c r="O24" s="25">
        <f>預測IC!O24</f>
        <v>-0.24428</v>
      </c>
      <c r="P24" s="25">
        <f>預測IC!P24</f>
        <v>1.736000000000001E-3</v>
      </c>
      <c r="Q24" s="25">
        <f>預測IC!Q24</f>
        <v>-2.8400000000000018E-3</v>
      </c>
      <c r="R24" s="25">
        <f>預測IC!R24</f>
        <v>-2.7827000000000001E-2</v>
      </c>
      <c r="S24" s="25">
        <f>預測IC!S24</f>
        <v>-1.1050000000000001E-2</v>
      </c>
      <c r="T24" s="25">
        <f>預測IC!T24</f>
        <v>0.1236910440917892</v>
      </c>
      <c r="U24" s="25">
        <f>預測IC!U24</f>
        <v>0.28585300000000002</v>
      </c>
      <c r="V24" s="25">
        <f>預測IC!V24</f>
        <v>-9.8680000000000004E-2</v>
      </c>
      <c r="W24" s="25">
        <f>預測IC!W24</f>
        <v>0.49571198595594262</v>
      </c>
      <c r="X24" s="25">
        <f>預測IC!X24</f>
        <v>-8.9899999999999702E-4</v>
      </c>
      <c r="Y24" s="25">
        <f>預測IC!Y24</f>
        <v>-0.120319</v>
      </c>
      <c r="Z24" s="25">
        <f>預測IC!Z24</f>
        <v>-2.4395E-2</v>
      </c>
      <c r="AA24" s="25">
        <f>預測IC!AA24</f>
        <v>9.4362000000000001E-2</v>
      </c>
      <c r="AB24" s="25">
        <f>預測IC!AB24</f>
        <v>0.30039379355698248</v>
      </c>
      <c r="AC24" s="25">
        <f>預測IC!AC24</f>
        <v>-0.24617</v>
      </c>
      <c r="AD24" s="25">
        <f>預測IC!AD24</f>
        <v>-5.9922146810819088E-2</v>
      </c>
      <c r="AE24" s="25">
        <f>預測IC!AE24</f>
        <v>-0.17527100000000001</v>
      </c>
      <c r="AF24" s="25">
        <f>預測IC!AF24</f>
        <v>2.2522010034790499E-2</v>
      </c>
      <c r="AG24" s="25">
        <f>預測IC!AG24</f>
        <v>0.105901</v>
      </c>
      <c r="AH24" s="25">
        <f>預測IC!AH24</f>
        <v>-5.6697360067789589E-2</v>
      </c>
      <c r="AI24" s="25">
        <f>預測IC!AI24</f>
        <v>-8.8083310984272967E-3</v>
      </c>
      <c r="AJ24" s="25">
        <f>預測IC!AJ24</f>
        <v>-8.089124399937539E-2</v>
      </c>
      <c r="AK24" s="25">
        <f>預測IC!AK24</f>
        <v>8.4883953068192297E-2</v>
      </c>
      <c r="AL24" s="25">
        <f>預測IC!AL24</f>
        <v>-5.4676935490635382E-2</v>
      </c>
      <c r="AM24" s="25">
        <f>預測IC!AM24</f>
        <v>-1.89192814205267E-2</v>
      </c>
      <c r="AN24" s="25">
        <f>預測IC!AN24</f>
        <v>0.22118946514543131</v>
      </c>
      <c r="AO24" s="25">
        <f>預測IC!AO24</f>
        <v>6.6090111828990022E-2</v>
      </c>
      <c r="AP24" s="25">
        <f>預測IC!AP24</f>
        <v>-2.28517154890964E-2</v>
      </c>
      <c r="AQ24" s="25">
        <f>預測IC!AQ24</f>
        <v>4.7076972834245667E-2</v>
      </c>
      <c r="AR24" s="25">
        <f>預測IC!AR24</f>
        <v>9.6392566076069844E-3</v>
      </c>
      <c r="AS24" s="25">
        <f>預測IC!AS24</f>
        <v>-2.7956077266590069E-2</v>
      </c>
      <c r="AT24" s="25">
        <f>預測IC!AT24</f>
        <v>3.045920748470865E-2</v>
      </c>
      <c r="AU24" s="25">
        <f>預測IC!AU24</f>
        <v>4.4095319865224331E-2</v>
      </c>
      <c r="AV24" s="25">
        <f>預測IC!AV24</f>
        <v>-8.7151952186895892E-2</v>
      </c>
      <c r="AW24" s="25">
        <f>預測IC!AW24</f>
        <v>4.9875415110391882E-3</v>
      </c>
      <c r="AX24" s="25">
        <f>預測IC!AX24</f>
        <v>2.8306186588424521E-2</v>
      </c>
      <c r="AY24" s="25">
        <f>預測IC!AY24</f>
        <v>0.16812729388488939</v>
      </c>
      <c r="AZ24" s="25">
        <f>預測IC!AZ24</f>
        <v>3.7867073599665187E-2</v>
      </c>
      <c r="BA24" s="25">
        <f>預測IC!BA24</f>
        <v>5.0491000000000001E-2</v>
      </c>
      <c r="BB24" s="25">
        <f>預測IC!BB24</f>
        <v>0.69077599999999995</v>
      </c>
      <c r="BC24" s="25">
        <f>預測IC!BC24</f>
        <v>-0.59942164102389184</v>
      </c>
      <c r="BD24" s="25">
        <f>預測IC!BD24</f>
        <v>0.18559521924643521</v>
      </c>
      <c r="BE24" s="25">
        <f>預測IC!BE24</f>
        <v>-4.606435403168687E-2</v>
      </c>
      <c r="BF24" s="25">
        <f>預測IC!BF24</f>
        <v>8.765133605409231E-2</v>
      </c>
      <c r="BG24" s="25">
        <f>預測IC!BG24</f>
        <v>2.6835965866310919E-2</v>
      </c>
      <c r="BH24" s="25">
        <f>預測IC!BH24</f>
        <v>-0.38625533691353497</v>
      </c>
      <c r="BI24" s="25">
        <f>預測IC!BI24</f>
        <v>0.2236291060700471</v>
      </c>
      <c r="BJ24" s="25">
        <f>預測IC!BJ24</f>
        <v>3.3483157548845829E-3</v>
      </c>
      <c r="BK24" s="25">
        <f>預測IC!BK24</f>
        <v>4.0235468942862278E-3</v>
      </c>
      <c r="BL24" s="25">
        <f>預測IC!BL24</f>
        <v>0.31716429392471662</v>
      </c>
      <c r="BM24" s="25">
        <f>預測IC!BM24</f>
        <v>-8.4782939838988242E-2</v>
      </c>
      <c r="BN24" s="25">
        <f>預測IC!BN24</f>
        <v>6.849341845574783E-3</v>
      </c>
      <c r="BO24" s="25">
        <f>預測IC!BO24</f>
        <v>-0.16110969109564191</v>
      </c>
      <c r="BP24" s="25">
        <f>預測IC!BP24</f>
        <v>0.1233511811293219</v>
      </c>
      <c r="BQ24" s="25">
        <f>預測IC!BQ24</f>
        <v>-6.4169633330115036E-2</v>
      </c>
      <c r="BR24" s="25">
        <f>預測IC!BR24</f>
        <v>4.2356223303417713E-2</v>
      </c>
      <c r="BS24" s="25">
        <f>預測IC!BS24</f>
        <v>-1.284717484456964E-3</v>
      </c>
      <c r="BT24" s="25">
        <f>預測IC!BT24</f>
        <v>0.1162706960541873</v>
      </c>
      <c r="BU24" s="25">
        <f>預測IC!BU24</f>
        <v>0.22832663155994071</v>
      </c>
      <c r="BV24" s="25">
        <f>預測IC!BV24</f>
        <v>0.1077284538879829</v>
      </c>
      <c r="BW24" s="25">
        <f>預測IC!BW24</f>
        <v>-6.1835883635593128E-2</v>
      </c>
      <c r="BX24" s="25">
        <f>預測IC!BX24</f>
        <v>-0.1329600557104578</v>
      </c>
      <c r="BY24" s="25">
        <f>預測IC!BY24</f>
        <v>0.10974566916741731</v>
      </c>
      <c r="BZ24" s="25">
        <f>預測IC!BZ24</f>
        <v>0.25889289884999689</v>
      </c>
      <c r="CA24" s="25">
        <f>預測IC!CA24</f>
        <v>-0.1152216807734147</v>
      </c>
      <c r="CB24" s="25">
        <f>預測IC!CB24</f>
        <v>0.20876197428786911</v>
      </c>
      <c r="CC24" s="25">
        <f>預測IC!CC24</f>
        <v>-0.18246999999999999</v>
      </c>
      <c r="CD24" s="25">
        <f>預測IC!CD24</f>
        <v>2.9954000000000001E-2</v>
      </c>
      <c r="CE24" s="25">
        <f>預測IC!CE24</f>
        <v>0.16556499999999999</v>
      </c>
      <c r="CF24" s="25">
        <f>預測IC!CF24</f>
        <v>-0.16513</v>
      </c>
      <c r="CG24" s="25">
        <f>預測IC!CG24</f>
        <v>0.23727699999999999</v>
      </c>
      <c r="CH24" s="25">
        <f>預測IC!CH24</f>
        <v>0.35427729684250298</v>
      </c>
      <c r="CI24" s="25">
        <f>預測IC!CI24</f>
        <v>0.3284518207092646</v>
      </c>
      <c r="CJ24" s="25">
        <f>預測IC!CJ24</f>
        <v>1.310948541941956E-2</v>
      </c>
      <c r="CK24" s="25">
        <f>預測IC!CK24</f>
        <v>9.3530079315696568E-2</v>
      </c>
      <c r="CL24" s="25">
        <f>預測IC!CL24</f>
        <v>0.1417553333725407</v>
      </c>
      <c r="CM24" s="25">
        <f>預測IC!CM24</f>
        <v>0.54958710995910021</v>
      </c>
      <c r="CN24" s="25">
        <f>預測IC!CN24</f>
        <v>-0.1077387664572132</v>
      </c>
      <c r="CO24" s="25">
        <f>預測IC!CO24</f>
        <v>-0.77665321833623113</v>
      </c>
      <c r="CP24" s="25">
        <f>預測IC!CP24</f>
        <v>0.28781577122863622</v>
      </c>
      <c r="CQ24" s="25">
        <f>預測IC!CQ24</f>
        <v>0.1601896466275006</v>
      </c>
      <c r="CR24" s="25">
        <f>預測IC!CR24</f>
        <v>-9.6813999999999997E-2</v>
      </c>
      <c r="CS24" s="25">
        <f>預測IC!CS24</f>
        <v>-2.6858E-2</v>
      </c>
      <c r="CT24" s="25">
        <f>預測IC!CT24</f>
        <v>9.6419008147395818E-2</v>
      </c>
      <c r="CU24" s="25">
        <f>預測IC!CU24</f>
        <v>-7.2751347656710041E-2</v>
      </c>
      <c r="CV24" s="25">
        <f>預測IC!CV24</f>
        <v>1.5064047539375311E-2</v>
      </c>
      <c r="CW24" s="25">
        <f>預測IC!CW24</f>
        <v>0.17511716607200739</v>
      </c>
      <c r="CX24" s="25">
        <f>預測IC!CX24</f>
        <v>5.5207193708687041E-2</v>
      </c>
      <c r="CY24" s="25">
        <f>預測IC!CY24</f>
        <v>-8.0066904636818925E-2</v>
      </c>
      <c r="CZ24" s="25">
        <f>預測IC!CZ24</f>
        <v>0.11220662844456721</v>
      </c>
      <c r="DA24" s="25">
        <f>預測IC!DA24</f>
        <v>2.451120416275485E-2</v>
      </c>
      <c r="DB24" s="25">
        <f>預測IC!DB24</f>
        <v>-1.6500000000000001E-2</v>
      </c>
      <c r="DC24" s="25">
        <f>預測IC!DC24</f>
        <v>0.17954999999999999</v>
      </c>
      <c r="DD24" s="25">
        <f>預測IC!DD24</f>
        <v>4.9299999999999997E-2</v>
      </c>
      <c r="DE24" s="25">
        <f>預測IC!DE24</f>
        <v>-0.17606275750953501</v>
      </c>
      <c r="DF24" s="25">
        <f>預測IC!DF24</f>
        <v>-0.1046649760205613</v>
      </c>
      <c r="DG24" s="25">
        <f>預測IC!DG24</f>
        <v>5.9105834124344087E-2</v>
      </c>
      <c r="DH24" s="25">
        <f>預測IC!DH24</f>
        <v>9.936698049993925E-2</v>
      </c>
      <c r="DI24" s="25">
        <f>預測IC!DI24</f>
        <v>0.1418754589382695</v>
      </c>
      <c r="DJ24" s="25">
        <f>預測IC!DJ24</f>
        <v>2.1080000000000002E-2</v>
      </c>
      <c r="DK24" s="25">
        <f>預測IC!DK24</f>
        <v>0.33950921063044381</v>
      </c>
      <c r="DL24" s="25">
        <f>預測IC!DL24</f>
        <v>0.21310442628588119</v>
      </c>
      <c r="DM24" s="25">
        <f>預測IC!DM24</f>
        <v>-0.14143952722687489</v>
      </c>
      <c r="DN24" s="25">
        <f>預測IC!DN24</f>
        <v>0.23333457077469619</v>
      </c>
      <c r="DO24" s="25">
        <f>預測IC!DO24</f>
        <v>0.18544080263268789</v>
      </c>
      <c r="DP24" s="25">
        <f>預測IC!DP24</f>
        <v>0.1143734254860139</v>
      </c>
      <c r="DQ24" s="25">
        <f>預測IC!DQ24</f>
        <v>-0.13297735123596999</v>
      </c>
      <c r="DR24" s="25">
        <f>預測IC!DR24</f>
        <v>-2.0515630212029241E-2</v>
      </c>
      <c r="DS24" s="25">
        <f>預測IC!DS24</f>
        <v>-0.21626154103284559</v>
      </c>
      <c r="DT24" s="25">
        <f>預測IC!DT24</f>
        <v>-7.4732999999999994E-2</v>
      </c>
      <c r="DU24" s="25">
        <f>預測IC!DU24</f>
        <v>2.178200000000001E-2</v>
      </c>
      <c r="DV24" s="25">
        <f>預測IC!DV24</f>
        <v>0.1582246986438143</v>
      </c>
      <c r="DW24" s="25">
        <f>預測IC!DW24</f>
        <v>0.10885708989133031</v>
      </c>
      <c r="DX24" s="25">
        <f>預測IC!DX24</f>
        <v>-0.31159312779250392</v>
      </c>
      <c r="DY24" s="25">
        <f>預測IC!DY24</f>
        <v>-3.2399999999999998E-3</v>
      </c>
      <c r="DZ24" s="25">
        <f>預測IC!DZ24</f>
        <v>-0.43351000000000001</v>
      </c>
      <c r="EA24" s="25">
        <f>預測IC!EA24</f>
        <v>-5.4920183999999997E-2</v>
      </c>
      <c r="EB24" s="25">
        <f>預測IC!EB24</f>
        <v>2.837173691073663E-2</v>
      </c>
      <c r="EC24" s="25">
        <f>預測IC!EC24</f>
        <v>0.143647</v>
      </c>
      <c r="ED24" s="25">
        <f>預測IC!ED24</f>
        <v>-5.6172845298362112E-2</v>
      </c>
      <c r="EE24" s="25">
        <f>預測IC!EE24</f>
        <v>0.1134294391912188</v>
      </c>
      <c r="EF24" s="25">
        <f>預測IC!EF24</f>
        <v>6.7276677043968364E-2</v>
      </c>
      <c r="EG24" s="30">
        <f t="shared" si="8"/>
        <v>4.4691070994578107E-2</v>
      </c>
      <c r="EH24" s="31">
        <f>STDEV(C24:EF24)</f>
        <v>0.24262914862953805</v>
      </c>
      <c r="EI24" s="30">
        <f t="shared" si="7"/>
        <v>0.18419497923893446</v>
      </c>
    </row>
    <row r="26" spans="1:139" s="2" customFormat="1">
      <c r="A26" s="3" t="s">
        <v>144</v>
      </c>
      <c r="B26" s="3" t="s">
        <v>145</v>
      </c>
      <c r="C26" s="11">
        <v>-1.7446770539390338E-2</v>
      </c>
      <c r="D26" s="11">
        <v>2.070106053181563E-2</v>
      </c>
      <c r="E26" s="11">
        <v>2.3982129254766709E-2</v>
      </c>
      <c r="F26" s="11">
        <v>-6.557578972823077E-3</v>
      </c>
      <c r="G26" s="11">
        <v>3.1845129800519692E-2</v>
      </c>
      <c r="H26" s="11">
        <v>3.4348532736990518E-2</v>
      </c>
      <c r="I26" s="11">
        <v>-8.2549327813252367E-3</v>
      </c>
      <c r="J26" s="11">
        <v>1.2843524394052759E-2</v>
      </c>
      <c r="K26" s="11">
        <v>-5.1018524626790823E-2</v>
      </c>
      <c r="L26" s="11">
        <v>8.7394274103658827E-4</v>
      </c>
      <c r="M26" s="11">
        <v>2.3389575505495919E-2</v>
      </c>
      <c r="N26" s="11">
        <v>1.2988972200332851E-2</v>
      </c>
      <c r="O26" s="11">
        <v>5.8545887256348812E-3</v>
      </c>
      <c r="P26" s="11">
        <v>2.7413206571790558E-2</v>
      </c>
      <c r="Q26" s="11">
        <v>-3.7129361176928542E-3</v>
      </c>
      <c r="R26" s="11">
        <v>2.4076614047823328E-2</v>
      </c>
      <c r="S26" s="11">
        <v>-1.219002529903996E-2</v>
      </c>
      <c r="T26" s="11">
        <v>-3.9749578159589592E-2</v>
      </c>
      <c r="U26" s="11">
        <v>-7.3155449831649552E-2</v>
      </c>
      <c r="V26" s="11">
        <v>-5.8260229910114661E-2</v>
      </c>
      <c r="W26" s="11">
        <v>7.7279756550837221E-4</v>
      </c>
      <c r="X26" s="11">
        <v>4.459152113521897E-2</v>
      </c>
      <c r="Y26" s="11">
        <v>-2.7699680050213091E-2</v>
      </c>
      <c r="Z26" s="11">
        <v>2.0950059497436462E-3</v>
      </c>
      <c r="AA26" s="11">
        <v>-2.340055099256411E-2</v>
      </c>
      <c r="AB26" s="11">
        <v>3.2129371097322189E-2</v>
      </c>
      <c r="AC26" s="11">
        <v>3.890327309406643E-2</v>
      </c>
      <c r="AD26" s="11">
        <v>-4.286538217110427E-2</v>
      </c>
      <c r="AE26" s="11">
        <v>1.8647194550152159E-2</v>
      </c>
      <c r="AF26" s="11">
        <v>1.5229768322528949E-2</v>
      </c>
      <c r="AG26" s="11">
        <v>3.6016603778892417E-2</v>
      </c>
      <c r="AH26" s="11">
        <v>9.3546113853161701E-3</v>
      </c>
      <c r="AI26" s="11">
        <v>1.0748251336838139E-2</v>
      </c>
      <c r="AJ26" s="11">
        <v>1.335775405308097E-2</v>
      </c>
      <c r="AK26" s="11">
        <v>-5.3327473290953921E-3</v>
      </c>
      <c r="AL26" s="11">
        <v>1.383135807261675E-3</v>
      </c>
      <c r="AM26" s="11">
        <v>2.079592842007446E-2</v>
      </c>
      <c r="AN26" s="11">
        <v>3.1517702220390638E-2</v>
      </c>
      <c r="AO26" s="11">
        <v>6.2417165333294418E-3</v>
      </c>
      <c r="AP26" s="11">
        <v>6.1452616535713897E-3</v>
      </c>
      <c r="AQ26" s="11">
        <v>1.694635767669651E-2</v>
      </c>
      <c r="AR26" s="11">
        <v>3.4682830454308228E-2</v>
      </c>
      <c r="AS26" s="11">
        <v>3.0985886171969678E-3</v>
      </c>
      <c r="AT26" s="11">
        <v>1.508134714348611E-2</v>
      </c>
      <c r="AU26" s="11">
        <v>-1.9251209229863991E-2</v>
      </c>
      <c r="AV26" s="11">
        <v>3.8711513387631437E-2</v>
      </c>
      <c r="AW26" s="11">
        <v>-2.1856951135736599E-2</v>
      </c>
      <c r="AX26" s="11">
        <v>7.7743007097896798E-3</v>
      </c>
      <c r="AY26" s="11">
        <v>4.2397246695325942E-2</v>
      </c>
      <c r="AZ26" s="11">
        <v>-2.630897486115975E-2</v>
      </c>
      <c r="BA26" s="11">
        <v>9.5717493087162323E-3</v>
      </c>
      <c r="BB26" s="11">
        <v>-2.424974126627483E-2</v>
      </c>
      <c r="BC26" s="11">
        <v>2.0163374143915822E-2</v>
      </c>
      <c r="BD26" s="11">
        <v>-3.5049987821160239E-3</v>
      </c>
      <c r="BE26" s="11">
        <v>2.0151935098542271E-2</v>
      </c>
      <c r="BF26" s="11">
        <v>5.8133623077027128E-4</v>
      </c>
      <c r="BG26" s="11">
        <v>-5.2197009532526043E-3</v>
      </c>
      <c r="BH26" s="11">
        <v>-0.11587176140213</v>
      </c>
      <c r="BI26" s="11">
        <v>8.7252256924373536E-3</v>
      </c>
      <c r="BJ26" s="11">
        <v>-1.6377260977822151E-2</v>
      </c>
      <c r="BK26" s="11">
        <v>2.0840371600260421E-2</v>
      </c>
      <c r="BL26" s="11">
        <v>4.4975872102114713E-2</v>
      </c>
      <c r="BM26" s="11">
        <v>2.3954306081863871E-2</v>
      </c>
      <c r="BN26" s="11">
        <v>3.0239101391442601E-2</v>
      </c>
      <c r="BO26" s="11">
        <v>-4.372588759108751E-2</v>
      </c>
      <c r="BP26" s="11">
        <v>2.1889469568198618E-2</v>
      </c>
      <c r="BQ26" s="11">
        <v>8.6274302635084028E-3</v>
      </c>
      <c r="BR26" s="11">
        <v>-1.9192953994658781E-2</v>
      </c>
      <c r="BS26" s="11">
        <v>1.973512988813305E-2</v>
      </c>
      <c r="BT26" s="11">
        <v>4.7694337483699438E-2</v>
      </c>
      <c r="BU26" s="11">
        <v>1.145481680658339E-2</v>
      </c>
      <c r="BV26" s="11">
        <v>4.3228620735213191E-2</v>
      </c>
      <c r="BW26" s="11">
        <v>-4.2747430436922793E-2</v>
      </c>
      <c r="BX26" s="11">
        <v>-1.781129242779457E-2</v>
      </c>
      <c r="BY26" s="11">
        <v>-0.1511530968690756</v>
      </c>
      <c r="BZ26" s="11">
        <v>0.12422400361957529</v>
      </c>
      <c r="CA26" s="11">
        <v>-4.5572538445296431E-3</v>
      </c>
      <c r="CB26" s="11">
        <v>6.0211240204911178E-2</v>
      </c>
      <c r="CC26" s="11">
        <v>8.5992033482502284E-2</v>
      </c>
      <c r="CD26" s="11">
        <v>-5.8084795823660634E-3</v>
      </c>
      <c r="CE26" s="11">
        <v>-6.0413469889680736E-3</v>
      </c>
      <c r="CF26" s="11">
        <v>2.4523243722520739E-3</v>
      </c>
      <c r="CG26" s="11">
        <v>8.963625193702289E-2</v>
      </c>
      <c r="CH26" s="11">
        <v>7.099273252675789E-2</v>
      </c>
      <c r="CI26" s="11">
        <v>2.7170642901783448E-2</v>
      </c>
      <c r="CJ26" s="11">
        <v>5.2468428425330033E-2</v>
      </c>
      <c r="CK26" s="11">
        <v>2.9480660943049509E-2</v>
      </c>
      <c r="CL26" s="11">
        <v>6.6825081060201283E-2</v>
      </c>
      <c r="CM26" s="11">
        <v>-2.8772229019816971E-2</v>
      </c>
      <c r="CN26" s="11">
        <v>3.9462515901637851E-2</v>
      </c>
      <c r="CO26" s="11">
        <v>-2.9031086977359909E-2</v>
      </c>
      <c r="CP26" s="11">
        <v>1.3983882519467901E-2</v>
      </c>
      <c r="CQ26" s="11">
        <v>-3.2276964959333833E-2</v>
      </c>
      <c r="CR26" s="11">
        <v>3.1035766128940231E-3</v>
      </c>
      <c r="CS26" s="11">
        <v>2.5591855767083171E-2</v>
      </c>
      <c r="CT26" s="11">
        <v>4.4391886287193302E-2</v>
      </c>
      <c r="CU26" s="11">
        <v>-3.0338958549577438E-2</v>
      </c>
      <c r="CV26" s="11">
        <v>-1.2579764545717069E-3</v>
      </c>
      <c r="CW26" s="11">
        <v>2.336356455857952E-3</v>
      </c>
      <c r="CX26" s="11">
        <v>-6.4264144925906069E-2</v>
      </c>
      <c r="CY26" s="11">
        <v>1.2909779458992439E-2</v>
      </c>
      <c r="CZ26" s="11">
        <v>-0.12547709467085871</v>
      </c>
      <c r="DA26" s="11">
        <v>1.1690682939792569E-2</v>
      </c>
      <c r="DB26" s="11">
        <v>6.3378437007417512E-3</v>
      </c>
      <c r="DC26" s="11">
        <v>-0.1173053564693855</v>
      </c>
      <c r="DD26" s="11">
        <v>-3.6010872049446613E-2</v>
      </c>
      <c r="DE26" s="11">
        <v>0.1389113040722679</v>
      </c>
      <c r="DF26" s="11">
        <v>-5.1143506226105737E-2</v>
      </c>
      <c r="DG26" s="11">
        <v>7.6731447181969059E-2</v>
      </c>
      <c r="DH26" s="11">
        <v>1.550878219700816E-2</v>
      </c>
      <c r="DI26" s="11">
        <v>2.3223773674755831E-2</v>
      </c>
      <c r="DJ26" s="11">
        <v>-1.8372876361227891E-2</v>
      </c>
      <c r="DK26" s="11">
        <v>6.2199014085099431E-2</v>
      </c>
      <c r="DL26" s="11">
        <v>2.0098304486957191E-2</v>
      </c>
      <c r="DM26" s="11">
        <v>1.349893974806809E-2</v>
      </c>
      <c r="DN26" s="11">
        <v>-3.025221272842088E-2</v>
      </c>
      <c r="DO26" s="11">
        <v>-1.7022835708053841E-2</v>
      </c>
      <c r="DP26" s="11">
        <v>-2.1788523272461981E-2</v>
      </c>
      <c r="DQ26" s="11">
        <v>8.5745624585137223E-2</v>
      </c>
      <c r="DR26" s="11">
        <v>2.8106743604973752E-2</v>
      </c>
      <c r="DS26" s="11">
        <v>-2.3031598073594501E-3</v>
      </c>
      <c r="DT26" s="11">
        <v>5.8471198131487503E-2</v>
      </c>
      <c r="DU26" s="11">
        <v>6.7658949048647651E-2</v>
      </c>
      <c r="DV26" s="11">
        <v>5.0207706404322644E-3</v>
      </c>
      <c r="DW26" s="11">
        <v>3.7416183675207063E-2</v>
      </c>
      <c r="DX26" s="11">
        <v>8.4111003746042121E-2</v>
      </c>
      <c r="DY26" s="11">
        <v>-3.6832398544012837E-2</v>
      </c>
      <c r="DZ26" s="11">
        <v>3.0917028169369942E-3</v>
      </c>
      <c r="EA26" s="11">
        <v>-1.957628214294549E-3</v>
      </c>
      <c r="EB26" s="11">
        <v>2.6459103603519739E-2</v>
      </c>
      <c r="EC26" s="11">
        <v>-2.4752538760690269E-2</v>
      </c>
      <c r="ED26" s="11">
        <v>3.4115490982559941E-2</v>
      </c>
      <c r="EE26" s="11">
        <v>2.1061973989032982E-2</v>
      </c>
      <c r="EF26" s="11">
        <v>-2.0277392706005919E-2</v>
      </c>
      <c r="EG26" s="29">
        <f>AVERAGE(C26:EF26)</f>
        <v>7.3485376145559517E-3</v>
      </c>
      <c r="EH26" s="29">
        <f>STDEV(C26:EF26)</f>
        <v>4.2276369775976368E-2</v>
      </c>
      <c r="EI26" s="29">
        <f>EG26/EH26</f>
        <v>0.17382139605401439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0321-2FA5-401B-B8DF-F101CDE5208F}">
  <dimension ref="A1:EG21"/>
  <sheetViews>
    <sheetView workbookViewId="0">
      <selection activeCell="C15" sqref="C15"/>
    </sheetView>
  </sheetViews>
  <sheetFormatPr baseColWidth="10" defaultColWidth="9" defaultRowHeight="14"/>
  <cols>
    <col min="1" max="1" width="15.3984375" customWidth="1"/>
  </cols>
  <sheetData>
    <row r="1" spans="1:137">
      <c r="A1" s="7" t="str">
        <f>預測IC!A1</f>
        <v>RF</v>
      </c>
      <c r="B1" s="7"/>
    </row>
    <row r="2" spans="1:137">
      <c r="A2" s="7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5" t="s">
        <v>45</v>
      </c>
      <c r="AV2" s="5" t="s">
        <v>46</v>
      </c>
      <c r="AW2" s="5" t="s">
        <v>47</v>
      </c>
      <c r="AX2" s="5" t="s">
        <v>48</v>
      </c>
      <c r="AY2" s="5" t="s">
        <v>49</v>
      </c>
      <c r="AZ2" s="5" t="s">
        <v>50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55</v>
      </c>
      <c r="BF2" s="5" t="s">
        <v>56</v>
      </c>
      <c r="BG2" s="5" t="s">
        <v>57</v>
      </c>
      <c r="BH2" s="5" t="s">
        <v>58</v>
      </c>
      <c r="BI2" s="5" t="s">
        <v>59</v>
      </c>
      <c r="BJ2" s="5" t="s">
        <v>60</v>
      </c>
      <c r="BK2" s="5" t="s">
        <v>61</v>
      </c>
      <c r="BL2" s="5" t="s">
        <v>62</v>
      </c>
      <c r="BM2" s="5" t="s">
        <v>63</v>
      </c>
      <c r="BN2" s="5" t="s">
        <v>64</v>
      </c>
      <c r="BO2" s="5" t="s">
        <v>65</v>
      </c>
      <c r="BP2" s="5" t="s">
        <v>66</v>
      </c>
      <c r="BQ2" s="5" t="s">
        <v>67</v>
      </c>
      <c r="BR2" s="5" t="s">
        <v>68</v>
      </c>
      <c r="BS2" s="5" t="s">
        <v>69</v>
      </c>
      <c r="BT2" s="5" t="s">
        <v>70</v>
      </c>
      <c r="BU2" s="5" t="s">
        <v>71</v>
      </c>
      <c r="BV2" s="5" t="s">
        <v>72</v>
      </c>
      <c r="BW2" s="5" t="s">
        <v>73</v>
      </c>
      <c r="BX2" s="5" t="s">
        <v>74</v>
      </c>
      <c r="BY2" s="5" t="s">
        <v>75</v>
      </c>
      <c r="BZ2" s="5" t="s">
        <v>76</v>
      </c>
      <c r="CA2" s="5" t="s">
        <v>77</v>
      </c>
      <c r="CB2" s="5" t="s">
        <v>78</v>
      </c>
      <c r="CC2" s="5" t="s">
        <v>79</v>
      </c>
      <c r="CD2" s="5" t="s">
        <v>80</v>
      </c>
      <c r="CE2" s="5" t="s">
        <v>81</v>
      </c>
      <c r="CF2" s="5" t="s">
        <v>82</v>
      </c>
      <c r="CG2" s="5" t="s">
        <v>83</v>
      </c>
      <c r="CH2" s="5" t="s">
        <v>84</v>
      </c>
      <c r="CI2" s="5" t="s">
        <v>85</v>
      </c>
      <c r="CJ2" s="5" t="s">
        <v>86</v>
      </c>
      <c r="CK2" s="5" t="s">
        <v>87</v>
      </c>
      <c r="CL2" s="5" t="s">
        <v>88</v>
      </c>
      <c r="CM2" s="5" t="s">
        <v>89</v>
      </c>
      <c r="CN2" s="5" t="s">
        <v>90</v>
      </c>
      <c r="CO2" s="5" t="s">
        <v>91</v>
      </c>
      <c r="CP2" s="5" t="s">
        <v>92</v>
      </c>
      <c r="CQ2" s="5" t="s">
        <v>93</v>
      </c>
      <c r="CR2" s="5" t="s">
        <v>94</v>
      </c>
      <c r="CS2" s="5" t="s">
        <v>95</v>
      </c>
      <c r="CT2" s="5" t="s">
        <v>96</v>
      </c>
      <c r="CU2" s="5" t="s">
        <v>97</v>
      </c>
      <c r="CV2" s="5" t="s">
        <v>98</v>
      </c>
      <c r="CW2" s="5" t="s">
        <v>99</v>
      </c>
      <c r="CX2" s="5" t="s">
        <v>100</v>
      </c>
      <c r="CY2" s="5" t="s">
        <v>101</v>
      </c>
      <c r="CZ2" s="5" t="s">
        <v>102</v>
      </c>
      <c r="DA2" s="5" t="s">
        <v>103</v>
      </c>
      <c r="DB2" s="5" t="s">
        <v>104</v>
      </c>
      <c r="DC2" s="5" t="s">
        <v>105</v>
      </c>
      <c r="DD2" s="5" t="s">
        <v>106</v>
      </c>
      <c r="DE2" s="5" t="s">
        <v>107</v>
      </c>
      <c r="DF2" s="5" t="s">
        <v>108</v>
      </c>
      <c r="DG2" s="5" t="s">
        <v>109</v>
      </c>
      <c r="DH2" s="5" t="s">
        <v>110</v>
      </c>
      <c r="DI2" s="5" t="s">
        <v>111</v>
      </c>
      <c r="DJ2" s="5" t="s">
        <v>112</v>
      </c>
      <c r="DK2" s="5" t="s">
        <v>113</v>
      </c>
      <c r="DL2" s="5" t="s">
        <v>114</v>
      </c>
      <c r="DM2" s="5" t="s">
        <v>115</v>
      </c>
      <c r="DN2" s="5" t="s">
        <v>116</v>
      </c>
      <c r="DO2" s="5" t="s">
        <v>117</v>
      </c>
      <c r="DP2" s="5" t="s">
        <v>118</v>
      </c>
      <c r="DQ2" s="5" t="s">
        <v>119</v>
      </c>
      <c r="DR2" s="5" t="s">
        <v>120</v>
      </c>
      <c r="DS2" s="5" t="s">
        <v>121</v>
      </c>
      <c r="DT2" s="5" t="s">
        <v>122</v>
      </c>
      <c r="DU2" s="5" t="s">
        <v>123</v>
      </c>
      <c r="DV2" s="5" t="s">
        <v>124</v>
      </c>
      <c r="DW2" s="5" t="s">
        <v>125</v>
      </c>
      <c r="DX2" s="5" t="s">
        <v>126</v>
      </c>
      <c r="DY2" s="5" t="s">
        <v>127</v>
      </c>
      <c r="DZ2" s="5" t="s">
        <v>128</v>
      </c>
      <c r="EA2" s="5" t="s">
        <v>129</v>
      </c>
      <c r="EB2" s="5" t="s">
        <v>130</v>
      </c>
      <c r="EC2" s="5" t="s">
        <v>131</v>
      </c>
      <c r="ED2" s="5" t="s">
        <v>132</v>
      </c>
      <c r="EE2" s="5" t="s">
        <v>133</v>
      </c>
      <c r="EF2" s="5" t="s">
        <v>134</v>
      </c>
      <c r="EG2" s="5" t="s">
        <v>135</v>
      </c>
    </row>
    <row r="3" spans="1:137">
      <c r="A3" s="7"/>
      <c r="B3" s="4" t="s">
        <v>136</v>
      </c>
      <c r="C3" s="21">
        <f>預測IC!C3</f>
        <v>3.6997013757333698E-2</v>
      </c>
      <c r="D3" s="21">
        <f>預測IC!D3</f>
        <v>3.3297817500003282E-2</v>
      </c>
      <c r="E3" s="21">
        <f>預測IC!E3</f>
        <v>1.542163833496168E-2</v>
      </c>
      <c r="F3" s="21">
        <f>預測IC!F3</f>
        <v>1.6456982644761711E-2</v>
      </c>
      <c r="G3" s="21">
        <f>預測IC!G3</f>
        <v>1.7226210935333459E-2</v>
      </c>
      <c r="H3" s="21">
        <f>預測IC!H3</f>
        <v>2.8764108032567459E-2</v>
      </c>
      <c r="I3" s="21">
        <f>預測IC!I3</f>
        <v>2.427932822777535E-2</v>
      </c>
      <c r="J3" s="21">
        <f>預測IC!J3</f>
        <v>2.731641860027573E-2</v>
      </c>
      <c r="K3" s="21">
        <f>預測IC!K3</f>
        <v>3.0174004661944549E-2</v>
      </c>
      <c r="L3" s="21">
        <f>預測IC!L3</f>
        <v>2.5236297001741709E-2</v>
      </c>
      <c r="M3" s="21">
        <f>預測IC!M3</f>
        <v>3.2729103566482703E-2</v>
      </c>
      <c r="N3" s="21">
        <f>預測IC!N3</f>
        <v>3.1554761397993208E-2</v>
      </c>
      <c r="O3" s="21">
        <f>預測IC!O3</f>
        <v>3.4033301690891533E-2</v>
      </c>
      <c r="P3" s="21">
        <f>預測IC!P3</f>
        <v>3.321291110249007E-2</v>
      </c>
      <c r="Q3" s="21">
        <f>預測IC!Q3</f>
        <v>2.910333512892541E-2</v>
      </c>
      <c r="R3" s="21">
        <f>預測IC!R3</f>
        <v>2.6473653115280309E-2</v>
      </c>
      <c r="S3" s="21">
        <f>預測IC!S3</f>
        <v>2.8295345986913231E-2</v>
      </c>
      <c r="T3" s="21">
        <f>預測IC!T3</f>
        <v>2.262072807092802E-2</v>
      </c>
      <c r="U3" s="21">
        <f>預測IC!U3</f>
        <v>1.614400695132448E-2</v>
      </c>
      <c r="V3" s="21">
        <f>預測IC!V3</f>
        <v>2.5033177832038969E-2</v>
      </c>
      <c r="W3" s="21">
        <f>預測IC!W3</f>
        <v>4.5784045042201092E-2</v>
      </c>
      <c r="X3" s="21">
        <f>預測IC!X3</f>
        <v>4.3057813861526573E-2</v>
      </c>
      <c r="Y3" s="21">
        <f>預測IC!Y3</f>
        <v>3.778574554965778E-2</v>
      </c>
      <c r="Z3" s="21">
        <f>預測IC!Z3</f>
        <v>2.409745457622987E-2</v>
      </c>
      <c r="AA3" s="21">
        <f>預測IC!AA3</f>
        <v>3.009442686823352E-2</v>
      </c>
      <c r="AB3" s="21">
        <f>預測IC!AB3</f>
        <v>2.8087063172378191E-2</v>
      </c>
      <c r="AC3" s="21">
        <f>預測IC!AC3</f>
        <v>3.3771066806544549E-2</v>
      </c>
      <c r="AD3" s="21">
        <f>預測IC!AD3</f>
        <v>3.413170384138306E-2</v>
      </c>
      <c r="AE3" s="21">
        <f>預測IC!AE3</f>
        <v>3.4141408533312018E-2</v>
      </c>
      <c r="AF3" s="21">
        <f>預測IC!AF3</f>
        <v>1.3117941025955079E-2</v>
      </c>
      <c r="AG3" s="21">
        <f>預測IC!AG3</f>
        <v>2.485735401293461E-2</v>
      </c>
      <c r="AH3" s="21">
        <f>預測IC!AH3</f>
        <v>3.1884444011299258E-2</v>
      </c>
      <c r="AI3" s="21">
        <f>預測IC!AI3</f>
        <v>3.6385761193522617E-2</v>
      </c>
      <c r="AJ3" s="21">
        <f>預測IC!AJ3</f>
        <v>3.5948919429733099E-2</v>
      </c>
      <c r="AK3" s="21">
        <f>預測IC!AK3</f>
        <v>4.3482830969963061E-2</v>
      </c>
      <c r="AL3" s="21">
        <f>預測IC!AL3</f>
        <v>3.8462077568039821E-2</v>
      </c>
      <c r="AM3" s="21">
        <f>預測IC!AM3</f>
        <v>3.9410244165835981E-2</v>
      </c>
      <c r="AN3" s="21">
        <f>預測IC!AN3</f>
        <v>5.0743620516414449E-2</v>
      </c>
      <c r="AO3" s="21">
        <f>預測IC!AO3</f>
        <v>5.3684811620656171E-2</v>
      </c>
      <c r="AP3" s="21">
        <f>預測IC!AP3</f>
        <v>4.9314899356547669E-2</v>
      </c>
      <c r="AQ3" s="21">
        <f>預測IC!AQ3</f>
        <v>3.2773687722358558E-2</v>
      </c>
      <c r="AR3" s="21">
        <f>預測IC!AR3</f>
        <v>2.8295340626825871E-2</v>
      </c>
      <c r="AS3" s="21">
        <f>預測IC!AS3</f>
        <v>2.8377802599917339E-2</v>
      </c>
      <c r="AT3" s="21">
        <f>預測IC!AT3</f>
        <v>2.306922946025217E-2</v>
      </c>
      <c r="AU3" s="21">
        <f>預測IC!AU3</f>
        <v>2.9397032882625889E-2</v>
      </c>
      <c r="AV3" s="21">
        <f>預測IC!AV3</f>
        <v>3.103785222722218E-2</v>
      </c>
      <c r="AW3" s="21">
        <f>預測IC!AW3</f>
        <v>2.6297924056821211E-2</v>
      </c>
      <c r="AX3" s="21">
        <f>預測IC!AX3</f>
        <v>2.6164811358804361E-2</v>
      </c>
      <c r="AY3" s="21">
        <f>預測IC!AY3</f>
        <v>3.2053783671709642E-2</v>
      </c>
      <c r="AZ3" s="21">
        <f>預測IC!AZ3</f>
        <v>3.4477530774765272E-2</v>
      </c>
      <c r="BA3" s="21">
        <f>預測IC!BA3</f>
        <v>2.9331890747661678E-2</v>
      </c>
      <c r="BB3" s="21">
        <f>預測IC!BB3</f>
        <v>3.4324947588369341E-2</v>
      </c>
      <c r="BC3" s="21">
        <f>預測IC!BC3</f>
        <v>3.742177693859082E-2</v>
      </c>
      <c r="BD3" s="21">
        <f>預測IC!BD3</f>
        <v>3.141372245226793E-2</v>
      </c>
      <c r="BE3" s="21">
        <f>預測IC!BE3</f>
        <v>3.2006411062996218E-2</v>
      </c>
      <c r="BF3" s="21">
        <f>預測IC!BF3</f>
        <v>2.828182773285309E-2</v>
      </c>
      <c r="BG3" s="21">
        <f>預測IC!BG3</f>
        <v>4.1103436715196499E-2</v>
      </c>
      <c r="BH3" s="21">
        <f>預測IC!BH3</f>
        <v>4.5198779339126277E-2</v>
      </c>
      <c r="BI3" s="21">
        <f>預測IC!BI3</f>
        <v>4.1588040384802467E-2</v>
      </c>
      <c r="BJ3" s="21">
        <f>預測IC!BJ3</f>
        <v>4.0723405736309601E-2</v>
      </c>
      <c r="BK3" s="21">
        <f>預測IC!BK3</f>
        <v>3.6327700059770963E-2</v>
      </c>
      <c r="BL3" s="21">
        <f>預測IC!BL3</f>
        <v>3.6173192149872829E-2</v>
      </c>
      <c r="BM3" s="21">
        <f>預測IC!BM3</f>
        <v>3.7708587815686451E-2</v>
      </c>
      <c r="BN3" s="21">
        <f>預測IC!BN3</f>
        <v>3.0814038130409348E-2</v>
      </c>
      <c r="BO3" s="21">
        <f>預測IC!BO3</f>
        <v>3.065585577146604E-2</v>
      </c>
      <c r="BP3" s="21">
        <f>預測IC!BP3</f>
        <v>3.4399631895121928E-2</v>
      </c>
      <c r="BQ3" s="21">
        <f>預測IC!BQ3</f>
        <v>3.4868650026028229E-2</v>
      </c>
      <c r="BR3" s="21">
        <f>預測IC!BR3</f>
        <v>3.6324039848933801E-2</v>
      </c>
      <c r="BS3" s="21">
        <f>預測IC!BS3</f>
        <v>3.6164468096582629E-2</v>
      </c>
      <c r="BT3" s="21">
        <f>預測IC!BT3</f>
        <v>3.8668894956456937E-2</v>
      </c>
      <c r="BU3" s="21">
        <f>預測IC!BU3</f>
        <v>4.1103483948852763E-2</v>
      </c>
      <c r="BV3" s="21">
        <f>預測IC!BV3</f>
        <v>2.8684133448632881E-2</v>
      </c>
      <c r="BW3" s="21">
        <f>預測IC!BW3</f>
        <v>3.521650986163926E-2</v>
      </c>
      <c r="BX3" s="21">
        <f>預測IC!BX3</f>
        <v>4.0767200067914261E-2</v>
      </c>
      <c r="BY3" s="21">
        <f>預測IC!BY3</f>
        <v>2.160353774972024E-2</v>
      </c>
      <c r="BZ3" s="21">
        <f>預測IC!BZ3</f>
        <v>3.0433668800390778E-2</v>
      </c>
      <c r="CA3" s="21">
        <f>預測IC!CA3</f>
        <v>3.7311958080318418E-2</v>
      </c>
      <c r="CB3" s="21">
        <f>預測IC!CB3</f>
        <v>2.7612053143104789E-2</v>
      </c>
      <c r="CC3" s="21">
        <f>預測IC!CC3</f>
        <v>1.9742954750447479E-2</v>
      </c>
      <c r="CD3" s="21">
        <f>預測IC!CD3</f>
        <v>7.791460166144233E-3</v>
      </c>
      <c r="CE3" s="21">
        <f>預測IC!CE3</f>
        <v>2.2526806957081459E-2</v>
      </c>
      <c r="CF3" s="21">
        <f>預測IC!CF3</f>
        <v>3.4778187915741783E-2</v>
      </c>
      <c r="CG3" s="21">
        <f>預測IC!CG3</f>
        <v>3.2581362027151728E-2</v>
      </c>
      <c r="CH3" s="21">
        <f>預測IC!CH3</f>
        <v>4.0909001215823582E-2</v>
      </c>
      <c r="CI3" s="21">
        <f>預測IC!CI3</f>
        <v>3.9050253240311222E-2</v>
      </c>
      <c r="CJ3" s="21">
        <f>預測IC!CJ3</f>
        <v>2.4561899640003909E-2</v>
      </c>
      <c r="CK3" s="21">
        <f>預測IC!CK3</f>
        <v>3.413446187252573E-2</v>
      </c>
      <c r="CL3" s="21">
        <f>預測IC!CL3</f>
        <v>3.5925937532879773E-2</v>
      </c>
      <c r="CM3" s="21">
        <f>預測IC!CM3</f>
        <v>4.2466042159304301E-2</v>
      </c>
      <c r="CN3" s="21">
        <f>預測IC!CN3</f>
        <v>3.6523906516241801E-2</v>
      </c>
      <c r="CO3" s="21">
        <f>預測IC!CO3</f>
        <v>3.765914957102829E-2</v>
      </c>
      <c r="CP3" s="21">
        <f>預測IC!CP3</f>
        <v>3.9957834472595419E-2</v>
      </c>
      <c r="CQ3" s="21">
        <f>預測IC!CQ3</f>
        <v>-4.5921902670845423E-3</v>
      </c>
      <c r="CR3" s="21">
        <f>預測IC!CR3</f>
        <v>1.500343045059385E-2</v>
      </c>
      <c r="CS3" s="21">
        <f>預測IC!CS3</f>
        <v>2.2458754318599651E-2</v>
      </c>
      <c r="CT3" s="21">
        <f>預測IC!CT3</f>
        <v>4.0972167824902372E-2</v>
      </c>
      <c r="CU3" s="21">
        <f>預測IC!CU3</f>
        <v>3.8942373224816529E-2</v>
      </c>
      <c r="CV3" s="21">
        <f>預測IC!CV3</f>
        <v>4.3015000500199303E-2</v>
      </c>
      <c r="CW3" s="21">
        <f>預測IC!CW3</f>
        <v>3.9706600079107618E-2</v>
      </c>
      <c r="CX3" s="21">
        <f>預測IC!CX3</f>
        <v>3.9171022856911548E-2</v>
      </c>
      <c r="CY3" s="21">
        <f>預測IC!CY3</f>
        <v>3.4940834769569752E-2</v>
      </c>
      <c r="CZ3" s="21">
        <f>預測IC!CZ3</f>
        <v>3.6026834228159298E-2</v>
      </c>
      <c r="DA3" s="21">
        <f>預測IC!DA3</f>
        <v>4.450954814790925E-2</v>
      </c>
      <c r="DB3" s="21">
        <f>預測IC!DB3</f>
        <v>3.9322897230046248E-2</v>
      </c>
      <c r="DC3" s="21">
        <f>預測IC!DC3</f>
        <v>3.7933403354666211E-2</v>
      </c>
      <c r="DD3" s="21">
        <f>預測IC!DD3</f>
        <v>3.9075000966415717E-2</v>
      </c>
      <c r="DE3" s="21">
        <f>預測IC!DE3</f>
        <v>4.199397627237688E-2</v>
      </c>
      <c r="DF3" s="21">
        <f>預測IC!DF3</f>
        <v>4.1965348731106439E-2</v>
      </c>
      <c r="DG3" s="21">
        <f>預測IC!DG3</f>
        <v>4.0382244799122918E-2</v>
      </c>
      <c r="DH3" s="21">
        <f>預測IC!DH3</f>
        <v>3.6787240146963857E-2</v>
      </c>
      <c r="DI3" s="21">
        <f>預測IC!DI3</f>
        <v>3.6877765546082367E-2</v>
      </c>
      <c r="DJ3" s="21">
        <f>預測IC!DJ3</f>
        <v>3.368209367541955E-2</v>
      </c>
      <c r="DK3" s="21">
        <f>預測IC!DK3</f>
        <v>3.6536443043095952E-2</v>
      </c>
      <c r="DL3" s="21">
        <f>預測IC!DL3</f>
        <v>3.1530556219024453E-2</v>
      </c>
      <c r="DM3" s="21">
        <f>預測IC!DM3</f>
        <v>2.866223764473836E-2</v>
      </c>
      <c r="DN3" s="21">
        <f>預測IC!DN3</f>
        <v>3.0844743252797239E-2</v>
      </c>
      <c r="DO3" s="21">
        <f>預測IC!DO3</f>
        <v>3.3675363611272838E-2</v>
      </c>
      <c r="DP3" s="21">
        <f>預測IC!DP3</f>
        <v>3.5102177512429639E-2</v>
      </c>
      <c r="DQ3" s="21">
        <f>預測IC!DQ3</f>
        <v>3.6708207074369593E-2</v>
      </c>
      <c r="DR3" s="21">
        <f>預測IC!DR3</f>
        <v>3.4114421599711522E-2</v>
      </c>
      <c r="DS3" s="21">
        <f>預測IC!DS3</f>
        <v>3.6715906439180969E-2</v>
      </c>
      <c r="DT3" s="21">
        <f>預測IC!DT3</f>
        <v>3.4828052772429188E-2</v>
      </c>
      <c r="DU3" s="21">
        <f>預測IC!DU3</f>
        <v>2.3365577264107731E-2</v>
      </c>
      <c r="DV3" s="21">
        <f>預測IC!DV3</f>
        <v>2.524093892652959E-2</v>
      </c>
      <c r="DW3" s="21">
        <f>預測IC!DW3</f>
        <v>3.5159202684512107E-2</v>
      </c>
      <c r="DX3" s="21">
        <f>預測IC!DX3</f>
        <v>3.2304964005665182E-2</v>
      </c>
      <c r="DY3" s="21">
        <f>預測IC!DY3</f>
        <v>2.325821710130703E-2</v>
      </c>
      <c r="DZ3" s="21">
        <f>預測IC!DZ3</f>
        <v>2.8308751932577921E-2</v>
      </c>
      <c r="EA3" s="21">
        <f>預測IC!EA3</f>
        <v>3.1397321824344362E-2</v>
      </c>
      <c r="EB3" s="21">
        <f>預測IC!EB3</f>
        <v>3.723081253221186E-2</v>
      </c>
      <c r="EC3" s="21">
        <f>預測IC!EC3</f>
        <v>3.3346090074484303E-2</v>
      </c>
      <c r="ED3" s="21">
        <f>預測IC!ED3</f>
        <v>3.4186640907954438E-2</v>
      </c>
      <c r="EE3" s="21">
        <f>預測IC!EE3</f>
        <v>2.5041157579864491E-2</v>
      </c>
      <c r="EF3" s="21">
        <f>預測IC!EF3</f>
        <v>3.4121434975122142E-2</v>
      </c>
      <c r="EG3" s="1"/>
    </row>
    <row r="4" spans="1:137">
      <c r="A4" s="7"/>
      <c r="B4" s="4" t="s">
        <v>137</v>
      </c>
      <c r="C4" s="21">
        <f>預測IC!C4</f>
        <v>-4.9660484307830009E-2</v>
      </c>
      <c r="D4" s="21">
        <f>預測IC!D4</f>
        <v>-6.5232195080165353E-2</v>
      </c>
      <c r="E4" s="21">
        <f>預測IC!E4</f>
        <v>-9.3874054199500026E-2</v>
      </c>
      <c r="F4" s="21">
        <f>預測IC!F4</f>
        <v>-7.3843592245097373E-2</v>
      </c>
      <c r="G4" s="21">
        <f>預測IC!G4</f>
        <v>-2.745888685018728E-2</v>
      </c>
      <c r="H4" s="21">
        <f>預測IC!H4</f>
        <v>-3.3398565611267667E-2</v>
      </c>
      <c r="I4" s="21">
        <f>預測IC!I4</f>
        <v>-4.7136189417385607E-2</v>
      </c>
      <c r="J4" s="21">
        <f>預測IC!J4</f>
        <v>-4.6203432590894752E-2</v>
      </c>
      <c r="K4" s="21">
        <f>預測IC!K4</f>
        <v>-4.5932097646850877E-2</v>
      </c>
      <c r="L4" s="21">
        <f>預測IC!L4</f>
        <v>-3.9679751627069763E-2</v>
      </c>
      <c r="M4" s="21">
        <f>預測IC!M4</f>
        <v>-1.8734336084315021E-2</v>
      </c>
      <c r="N4" s="21">
        <f>預測IC!N4</f>
        <v>-3.5831351641089762E-2</v>
      </c>
      <c r="O4" s="21">
        <f>預測IC!O4</f>
        <v>-5.70229981056335E-2</v>
      </c>
      <c r="P4" s="21">
        <f>預測IC!P4</f>
        <v>-4.2462781327895993E-2</v>
      </c>
      <c r="Q4" s="21">
        <f>預測IC!Q4</f>
        <v>-3.7772394962975513E-2</v>
      </c>
      <c r="R4" s="21">
        <f>預測IC!R4</f>
        <v>-2.862835448000129E-2</v>
      </c>
      <c r="S4" s="21">
        <f>預測IC!S4</f>
        <v>-3.099793016810054E-2</v>
      </c>
      <c r="T4" s="21">
        <f>預測IC!T4</f>
        <v>-6.7042254023675389E-3</v>
      </c>
      <c r="U4" s="21">
        <f>預測IC!U4</f>
        <v>-3.5326677132364037E-2</v>
      </c>
      <c r="V4" s="21">
        <f>預測IC!V4</f>
        <v>-2.9502132625226989E-2</v>
      </c>
      <c r="W4" s="21">
        <f>預測IC!W4</f>
        <v>-4.1243395472264313E-2</v>
      </c>
      <c r="X4" s="21">
        <f>預測IC!X4</f>
        <v>-5.4483491647159897E-2</v>
      </c>
      <c r="Y4" s="21">
        <f>預測IC!Y4</f>
        <v>-5.7374231531351433E-2</v>
      </c>
      <c r="Z4" s="21">
        <f>預測IC!Z4</f>
        <v>-5.0628448585672892E-2</v>
      </c>
      <c r="AA4" s="21">
        <f>預測IC!AA4</f>
        <v>-4.231975801219371E-2</v>
      </c>
      <c r="AB4" s="21">
        <f>預測IC!AB4</f>
        <v>-3.6518861974360411E-2</v>
      </c>
      <c r="AC4" s="21">
        <f>預測IC!AC4</f>
        <v>-3.845543636405753E-2</v>
      </c>
      <c r="AD4" s="21">
        <f>預測IC!AD4</f>
        <v>-3.2603396395427572E-2</v>
      </c>
      <c r="AE4" s="21">
        <f>預測IC!AE4</f>
        <v>-3.4795070629380642E-2</v>
      </c>
      <c r="AF4" s="21">
        <f>預測IC!AF4</f>
        <v>-1.6394819349874201E-3</v>
      </c>
      <c r="AG4" s="21">
        <f>預測IC!AG4</f>
        <v>-3.2239282506807423E-2</v>
      </c>
      <c r="AH4" s="21">
        <f>預測IC!AH4</f>
        <v>-2.5693111006731412E-2</v>
      </c>
      <c r="AI4" s="21">
        <f>預測IC!AI4</f>
        <v>-3.008904130127369E-2</v>
      </c>
      <c r="AJ4" s="21">
        <f>預測IC!AJ4</f>
        <v>-2.971967039544228E-2</v>
      </c>
      <c r="AK4" s="21">
        <f>預測IC!AK4</f>
        <v>-2.274313052691369E-2</v>
      </c>
      <c r="AL4" s="21">
        <f>預測IC!AL4</f>
        <v>-2.5322304879822729E-2</v>
      </c>
      <c r="AM4" s="21">
        <f>預測IC!AM4</f>
        <v>-2.411751658948514E-2</v>
      </c>
      <c r="AN4" s="21">
        <f>預測IC!AN4</f>
        <v>-2.727232649453621E-2</v>
      </c>
      <c r="AO4" s="21">
        <f>預測IC!AO4</f>
        <v>-2.8383253052872079E-2</v>
      </c>
      <c r="AP4" s="21">
        <f>預測IC!AP4</f>
        <v>-2.3965679052040011E-2</v>
      </c>
      <c r="AQ4" s="21">
        <f>預測IC!AQ4</f>
        <v>-2.80485237785515E-2</v>
      </c>
      <c r="AR4" s="21">
        <f>預測IC!AR4</f>
        <v>-1.7736170970874439E-2</v>
      </c>
      <c r="AS4" s="21">
        <f>預測IC!AS4</f>
        <v>-1.39303337439949E-2</v>
      </c>
      <c r="AT4" s="21">
        <f>預測IC!AT4</f>
        <v>-1.2870881079163021E-2</v>
      </c>
      <c r="AU4" s="21">
        <f>預測IC!AU4</f>
        <v>-1.6424059937097849E-2</v>
      </c>
      <c r="AV4" s="21">
        <f>預測IC!AV4</f>
        <v>-2.4039749385437719E-2</v>
      </c>
      <c r="AW4" s="21">
        <f>預測IC!AW4</f>
        <v>-2.1378847766349081E-2</v>
      </c>
      <c r="AX4" s="21">
        <f>預測IC!AX4</f>
        <v>-2.3051468101219511E-2</v>
      </c>
      <c r="AY4" s="21">
        <f>預測IC!AY4</f>
        <v>-2.6631557609926141E-2</v>
      </c>
      <c r="AZ4" s="21">
        <f>預測IC!AZ4</f>
        <v>-1.597851755827499E-2</v>
      </c>
      <c r="BA4" s="21">
        <f>預測IC!BA4</f>
        <v>-2.9633847899323489E-2</v>
      </c>
      <c r="BB4" s="21">
        <f>預測IC!BB4</f>
        <v>-3.6923299522087998E-2</v>
      </c>
      <c r="BC4" s="21">
        <f>預測IC!BC4</f>
        <v>-2.3000784324243968E-2</v>
      </c>
      <c r="BD4" s="21">
        <f>預測IC!BD4</f>
        <v>-2.892210840223592E-2</v>
      </c>
      <c r="BE4" s="21">
        <f>預測IC!BE4</f>
        <v>-3.0957742972803601E-2</v>
      </c>
      <c r="BF4" s="21">
        <f>預測IC!BF4</f>
        <v>-1.8182050049131201E-2</v>
      </c>
      <c r="BG4" s="21">
        <f>預測IC!BG4</f>
        <v>-1.59612129148653E-2</v>
      </c>
      <c r="BH4" s="21">
        <f>預測IC!BH4</f>
        <v>-2.135883022338424E-2</v>
      </c>
      <c r="BI4" s="21">
        <f>預測IC!BI4</f>
        <v>-1.889592453448587E-2</v>
      </c>
      <c r="BJ4" s="21">
        <f>預測IC!BJ4</f>
        <v>-2.1053002135234831E-2</v>
      </c>
      <c r="BK4" s="21">
        <f>預測IC!BK4</f>
        <v>-2.6612022761366049E-2</v>
      </c>
      <c r="BL4" s="21">
        <f>預測IC!BL4</f>
        <v>-1.7576953748392139E-2</v>
      </c>
      <c r="BM4" s="21">
        <f>預測IC!BM4</f>
        <v>-2.1846218109135389E-2</v>
      </c>
      <c r="BN4" s="21">
        <f>預測IC!BN4</f>
        <v>-1.558178680666511E-2</v>
      </c>
      <c r="BO4" s="21">
        <f>預測IC!BO4</f>
        <v>-6.5029895709140294E-3</v>
      </c>
      <c r="BP4" s="21">
        <f>預測IC!BP4</f>
        <v>-1.217191420200061E-2</v>
      </c>
      <c r="BQ4" s="21">
        <f>預測IC!BQ4</f>
        <v>-1.0666510831082679E-3</v>
      </c>
      <c r="BR4" s="21">
        <f>預測IC!BR4</f>
        <v>-7.8848633119188317E-3</v>
      </c>
      <c r="BS4" s="21">
        <f>預測IC!BS4</f>
        <v>-1.1588282276333789E-2</v>
      </c>
      <c r="BT4" s="21">
        <f>預測IC!BT4</f>
        <v>-1.6350563096253809E-2</v>
      </c>
      <c r="BU4" s="21">
        <f>預測IC!BU4</f>
        <v>-1.7287992540061109E-3</v>
      </c>
      <c r="BV4" s="21">
        <f>預測IC!BV4</f>
        <v>1.285828832716631E-2</v>
      </c>
      <c r="BW4" s="21">
        <f>預測IC!BW4</f>
        <v>-7.6302480414426601E-3</v>
      </c>
      <c r="BX4" s="21">
        <f>預測IC!BX4</f>
        <v>-1.6045395009791349E-2</v>
      </c>
      <c r="BY4" s="21">
        <f>預測IC!BY4</f>
        <v>-1.8894754178095271E-2</v>
      </c>
      <c r="BZ4" s="21">
        <f>預測IC!BZ4</f>
        <v>-4.1567566104242478E-3</v>
      </c>
      <c r="CA4" s="21">
        <f>預測IC!CA4</f>
        <v>-1.710017537951062E-2</v>
      </c>
      <c r="CB4" s="21">
        <f>預測IC!CB4</f>
        <v>-2.2304157428424391E-2</v>
      </c>
      <c r="CC4" s="21">
        <f>預測IC!CC4</f>
        <v>-4.111205153911144E-2</v>
      </c>
      <c r="CD4" s="21">
        <f>預測IC!CD4</f>
        <v>-3.2535405185557913E-2</v>
      </c>
      <c r="CE4" s="21">
        <f>預測IC!CE4</f>
        <v>-3.0323266480776649E-2</v>
      </c>
      <c r="CF4" s="21">
        <f>預測IC!CF4</f>
        <v>-6.1293189114789898E-2</v>
      </c>
      <c r="CG4" s="21">
        <f>預測IC!CG4</f>
        <v>-4.4169748382986783E-2</v>
      </c>
      <c r="CH4" s="21">
        <f>預測IC!CH4</f>
        <v>-2.4897657851006831E-2</v>
      </c>
      <c r="CI4" s="21">
        <f>預測IC!CI4</f>
        <v>-1.773490777748107E-2</v>
      </c>
      <c r="CJ4" s="21">
        <f>預測IC!CJ4</f>
        <v>-1.149415603536374E-2</v>
      </c>
      <c r="CK4" s="21">
        <f>預測IC!CK4</f>
        <v>-1.591073109149212E-2</v>
      </c>
      <c r="CL4" s="21">
        <f>預測IC!CL4</f>
        <v>-1.553664078255448E-2</v>
      </c>
      <c r="CM4" s="21">
        <f>預測IC!CM4</f>
        <v>-1.9141804743850431E-2</v>
      </c>
      <c r="CN4" s="21">
        <f>預測IC!CN4</f>
        <v>8.0304455212189402E-3</v>
      </c>
      <c r="CO4" s="21">
        <f>預測IC!CO4</f>
        <v>5.7365987476290974E-3</v>
      </c>
      <c r="CP4" s="21">
        <f>預測IC!CP4</f>
        <v>-6.5301402173690883E-3</v>
      </c>
      <c r="CQ4" s="21">
        <f>預測IC!CQ4</f>
        <v>2.4291588095023031E-3</v>
      </c>
      <c r="CR4" s="21">
        <f>預測IC!CR4</f>
        <v>-1.917966682871176E-2</v>
      </c>
      <c r="CS4" s="21">
        <f>預測IC!CS4</f>
        <v>-2.334741602504313E-2</v>
      </c>
      <c r="CT4" s="21">
        <f>預測IC!CT4</f>
        <v>-2.178933391007621E-2</v>
      </c>
      <c r="CU4" s="21">
        <f>預測IC!CU4</f>
        <v>-2.9507578237515441E-2</v>
      </c>
      <c r="CV4" s="21">
        <f>預測IC!CV4</f>
        <v>-2.4863141676227461E-2</v>
      </c>
      <c r="CW4" s="21">
        <f>預測IC!CW4</f>
        <v>-2.2836003990752241E-2</v>
      </c>
      <c r="CX4" s="21">
        <f>預測IC!CX4</f>
        <v>-2.2235746171206432E-2</v>
      </c>
      <c r="CY4" s="21">
        <f>預測IC!CY4</f>
        <v>-2.5586844579715249E-2</v>
      </c>
      <c r="CZ4" s="21">
        <f>預測IC!CZ4</f>
        <v>-3.0231054830945629E-2</v>
      </c>
      <c r="DA4" s="21">
        <f>預測IC!DA4</f>
        <v>-4.3224114563057553E-2</v>
      </c>
      <c r="DB4" s="21">
        <f>預測IC!DB4</f>
        <v>-4.4725026400587967E-2</v>
      </c>
      <c r="DC4" s="21">
        <f>預測IC!DC4</f>
        <v>-7.0760377239426644E-2</v>
      </c>
      <c r="DD4" s="21">
        <f>預測IC!DD4</f>
        <v>-5.7610036798158112E-2</v>
      </c>
      <c r="DE4" s="21">
        <f>預測IC!DE4</f>
        <v>-3.404219099480222E-2</v>
      </c>
      <c r="DF4" s="21">
        <f>預測IC!DF4</f>
        <v>-2.7183797543947438E-2</v>
      </c>
      <c r="DG4" s="21">
        <f>預測IC!DG4</f>
        <v>-3.5052644373932129E-2</v>
      </c>
      <c r="DH4" s="21">
        <f>預測IC!DH4</f>
        <v>-8.428399037687339E-3</v>
      </c>
      <c r="DI4" s="21">
        <f>預測IC!DI4</f>
        <v>-3.6370881039868713E-2</v>
      </c>
      <c r="DJ4" s="21">
        <f>預測IC!DJ4</f>
        <v>-3.7819313396098023E-2</v>
      </c>
      <c r="DK4" s="21">
        <f>預測IC!DK4</f>
        <v>-2.702995348835956E-2</v>
      </c>
      <c r="DL4" s="21">
        <f>預測IC!DL4</f>
        <v>-1.9450420003777492E-2</v>
      </c>
      <c r="DM4" s="21">
        <f>預測IC!DM4</f>
        <v>-1.8687387511566969E-2</v>
      </c>
      <c r="DN4" s="21">
        <f>預測IC!DN4</f>
        <v>-8.9243337838529595E-3</v>
      </c>
      <c r="DO4" s="21">
        <f>預測IC!DO4</f>
        <v>-2.2448412563485658E-2</v>
      </c>
      <c r="DP4" s="21">
        <f>預測IC!DP4</f>
        <v>-2.9487498188438439E-2</v>
      </c>
      <c r="DQ4" s="21">
        <f>預測IC!DQ4</f>
        <v>-3.6680869276058257E-2</v>
      </c>
      <c r="DR4" s="21">
        <f>預測IC!DR4</f>
        <v>-2.964822814067369E-2</v>
      </c>
      <c r="DS4" s="21">
        <f>預測IC!DS4</f>
        <v>-2.8893370012943329E-2</v>
      </c>
      <c r="DT4" s="21">
        <f>預測IC!DT4</f>
        <v>-4.1056175553995593E-2</v>
      </c>
      <c r="DU4" s="21">
        <f>預測IC!DU4</f>
        <v>-3.7310764401418541E-2</v>
      </c>
      <c r="DV4" s="21">
        <f>預測IC!DV4</f>
        <v>-9.8104083511435913E-3</v>
      </c>
      <c r="DW4" s="21">
        <f>預測IC!DW4</f>
        <v>-1.9249126149739601E-2</v>
      </c>
      <c r="DX4" s="21">
        <f>預測IC!DX4</f>
        <v>-3.0385994354775469E-2</v>
      </c>
      <c r="DY4" s="21">
        <f>預測IC!DY4</f>
        <v>-3.3048945391833368E-2</v>
      </c>
      <c r="DZ4" s="21">
        <f>預測IC!DZ4</f>
        <v>-3.0875828777379061E-2</v>
      </c>
      <c r="EA4" s="21">
        <f>預測IC!EA4</f>
        <v>-3.1659361830993098E-2</v>
      </c>
      <c r="EB4" s="21">
        <f>預測IC!EB4</f>
        <v>-3.4389624405496783E-2</v>
      </c>
      <c r="EC4" s="21">
        <f>預測IC!EC4</f>
        <v>-4.1069385194225268E-2</v>
      </c>
      <c r="ED4" s="21">
        <f>預測IC!ED4</f>
        <v>-3.100505897009637E-2</v>
      </c>
      <c r="EE4" s="21">
        <f>預測IC!EE4</f>
        <v>-2.307612898354422E-2</v>
      </c>
      <c r="EF4" s="21">
        <f>預測IC!EF4</f>
        <v>-1.1421019476021661E-2</v>
      </c>
      <c r="EG4" s="1"/>
    </row>
    <row r="5" spans="1:137">
      <c r="A5" s="7"/>
      <c r="B5" s="4" t="s">
        <v>138</v>
      </c>
      <c r="C5" s="21">
        <f>預測IC!C5</f>
        <v>3.592321643530621E-3</v>
      </c>
      <c r="D5" s="21">
        <f>預測IC!D5</f>
        <v>2.8862197223557262E-3</v>
      </c>
      <c r="E5" s="21">
        <f>預測IC!E5</f>
        <v>8.0135071589913301E-3</v>
      </c>
      <c r="F5" s="21">
        <f>預測IC!F5</f>
        <v>7.4387135878969382E-3</v>
      </c>
      <c r="G5" s="21">
        <f>預測IC!G5</f>
        <v>-1.698488952144591E-4</v>
      </c>
      <c r="H5" s="21">
        <f>預測IC!H5</f>
        <v>9.1359420815390231E-3</v>
      </c>
      <c r="I5" s="21">
        <f>預測IC!I5</f>
        <v>1.2007171314759381E-2</v>
      </c>
      <c r="J5" s="21">
        <f>預測IC!J5</f>
        <v>5.9464452790785093E-3</v>
      </c>
      <c r="K5" s="21">
        <f>預測IC!K5</f>
        <v>1.6591641238482821E-2</v>
      </c>
      <c r="L5" s="21">
        <f>預測IC!L5</f>
        <v>1.920161893371632E-2</v>
      </c>
      <c r="M5" s="21">
        <f>預測IC!M5</f>
        <v>1.9701815290587801E-2</v>
      </c>
      <c r="N5" s="21">
        <f>預測IC!N5</f>
        <v>2.0161711803974011E-2</v>
      </c>
      <c r="O5" s="21">
        <f>預測IC!O5</f>
        <v>1.3437225514017491E-2</v>
      </c>
      <c r="P5" s="21">
        <f>預測IC!P5</f>
        <v>1.7638047330766411E-2</v>
      </c>
      <c r="Q5" s="21">
        <f>預測IC!Q5</f>
        <v>1.3117422271736861E-2</v>
      </c>
      <c r="R5" s="21">
        <f>預測IC!R5</f>
        <v>1.345674557846294E-2</v>
      </c>
      <c r="S5" s="21">
        <f>預測IC!S5</f>
        <v>1.6544045810315121E-2</v>
      </c>
      <c r="T5" s="21">
        <f>預測IC!T5</f>
        <v>1.588127346287815E-2</v>
      </c>
      <c r="U5" s="21">
        <f>預測IC!U5</f>
        <v>2.5940277266489609E-2</v>
      </c>
      <c r="V5" s="21">
        <f>預測IC!V5</f>
        <v>1.968064199513106E-2</v>
      </c>
      <c r="W5" s="21">
        <f>預測IC!W5</f>
        <v>3.2681747373401578E-2</v>
      </c>
      <c r="X5" s="21">
        <f>預測IC!X5</f>
        <v>2.88193361747647E-2</v>
      </c>
      <c r="Y5" s="21">
        <f>預測IC!Y5</f>
        <v>-3.6096516306345743E-2</v>
      </c>
      <c r="Z5" s="21">
        <f>預測IC!Z5</f>
        <v>-5.819473766386217E-3</v>
      </c>
      <c r="AA5" s="21">
        <f>預測IC!AA5</f>
        <v>-1.384361877178903E-2</v>
      </c>
      <c r="AB5" s="21">
        <f>預測IC!AB5</f>
        <v>-4.9937139241651593E-2</v>
      </c>
      <c r="AC5" s="21">
        <f>預測IC!AC5</f>
        <v>-9.2081626879443376E-3</v>
      </c>
      <c r="AD5" s="21">
        <f>預測IC!AD5</f>
        <v>-6.5956474854444447E-2</v>
      </c>
      <c r="AE5" s="21">
        <f>預測IC!AE5</f>
        <v>-2.173514574122511E-2</v>
      </c>
      <c r="AF5" s="21">
        <f>預測IC!AF5</f>
        <v>8.972422407877146E-3</v>
      </c>
      <c r="AG5" s="21">
        <f>預測IC!AG5</f>
        <v>-1.1832985971204321E-2</v>
      </c>
      <c r="AH5" s="21">
        <f>預測IC!AH5</f>
        <v>-2.9651907106316919E-3</v>
      </c>
      <c r="AI5" s="21">
        <f>預測IC!AI5</f>
        <v>4.7857326511695827E-3</v>
      </c>
      <c r="AJ5" s="21">
        <f>預測IC!AJ5</f>
        <v>5.7367073977292078E-3</v>
      </c>
      <c r="AK5" s="21">
        <f>預測IC!AK5</f>
        <v>7.392687328147911E-3</v>
      </c>
      <c r="AL5" s="21">
        <f>預測IC!AL5</f>
        <v>-1.8742539375924459E-3</v>
      </c>
      <c r="AM5" s="21">
        <f>預測IC!AM5</f>
        <v>-1.9525231098321519E-3</v>
      </c>
      <c r="AN5" s="21">
        <f>預測IC!AN5</f>
        <v>-3.6238168597597618E-3</v>
      </c>
      <c r="AO5" s="21">
        <f>預測IC!AO5</f>
        <v>-9.160305976377861E-3</v>
      </c>
      <c r="AP5" s="21">
        <f>預測IC!AP5</f>
        <v>2.5415010892232532E-3</v>
      </c>
      <c r="AQ5" s="21">
        <f>預測IC!AQ5</f>
        <v>3.8483729442072112E-3</v>
      </c>
      <c r="AR5" s="21">
        <f>預測IC!AR5</f>
        <v>3.4029774500497689E-3</v>
      </c>
      <c r="AS5" s="21">
        <f>預測IC!AS5</f>
        <v>8.5747228695072812E-4</v>
      </c>
      <c r="AT5" s="21">
        <f>預測IC!AT5</f>
        <v>8.1789276697448558E-3</v>
      </c>
      <c r="AU5" s="21">
        <f>預測IC!AU5</f>
        <v>1.005796764455418E-2</v>
      </c>
      <c r="AV5" s="21">
        <f>預測IC!AV5</f>
        <v>1.1137854065294999E-2</v>
      </c>
      <c r="AW5" s="21">
        <f>預測IC!AW5</f>
        <v>1.337826848807136E-2</v>
      </c>
      <c r="AX5" s="21">
        <f>預測IC!AX5</f>
        <v>1.18848248356704E-2</v>
      </c>
      <c r="AY5" s="21">
        <f>預測IC!AY5</f>
        <v>-6.6054212052508997E-6</v>
      </c>
      <c r="AZ5" s="21">
        <f>預測IC!AZ5</f>
        <v>7.8238778565858352E-3</v>
      </c>
      <c r="BA5" s="21">
        <f>預測IC!BA5</f>
        <v>6.98923551593754E-3</v>
      </c>
      <c r="BB5" s="21">
        <f>預測IC!BB5</f>
        <v>7.1871697288773849E-3</v>
      </c>
      <c r="BC5" s="21">
        <f>預測IC!BC5</f>
        <v>-2.3924143890266141E-3</v>
      </c>
      <c r="BD5" s="21">
        <f>預測IC!BD5</f>
        <v>7.2638542327923324E-4</v>
      </c>
      <c r="BE5" s="21">
        <f>預測IC!BE5</f>
        <v>-2.2265342845179791E-3</v>
      </c>
      <c r="BF5" s="21">
        <f>預測IC!BF5</f>
        <v>-1.044661448632583E-3</v>
      </c>
      <c r="BG5" s="21">
        <f>預測IC!BG5</f>
        <v>-2.071082545210403E-2</v>
      </c>
      <c r="BH5" s="21">
        <f>預測IC!BH5</f>
        <v>-4.4325197973968437E-2</v>
      </c>
      <c r="BI5" s="21">
        <f>預測IC!BI5</f>
        <v>-1.4765945486966079E-2</v>
      </c>
      <c r="BJ5" s="21">
        <f>預測IC!BJ5</f>
        <v>-2.2277758365709211E-2</v>
      </c>
      <c r="BK5" s="21">
        <f>預測IC!BK5</f>
        <v>-2.350667592759435E-2</v>
      </c>
      <c r="BL5" s="21">
        <f>預測IC!BL5</f>
        <v>-1.659613811373151E-2</v>
      </c>
      <c r="BM5" s="21">
        <f>預測IC!BM5</f>
        <v>-3.7766406128849933E-2</v>
      </c>
      <c r="BN5" s="21">
        <f>預測IC!BN5</f>
        <v>-1.0040541012613679E-2</v>
      </c>
      <c r="BO5" s="21">
        <f>預測IC!BO5</f>
        <v>-7.4939665232719018E-3</v>
      </c>
      <c r="BP5" s="21">
        <f>預測IC!BP5</f>
        <v>3.371447827029599E-3</v>
      </c>
      <c r="BQ5" s="21">
        <f>預測IC!BQ5</f>
        <v>6.8205160463408977E-3</v>
      </c>
      <c r="BR5" s="21">
        <f>預測IC!BR5</f>
        <v>5.5997292120069176E-3</v>
      </c>
      <c r="BS5" s="21">
        <f>預測IC!BS5</f>
        <v>1.5475741356267531E-2</v>
      </c>
      <c r="BT5" s="21">
        <f>預測IC!BT5</f>
        <v>2.505139605033146E-3</v>
      </c>
      <c r="BU5" s="21">
        <f>預測IC!BU5</f>
        <v>6.9054048686437997E-3</v>
      </c>
      <c r="BV5" s="21">
        <f>預測IC!BV5</f>
        <v>6.7595125599199234E-3</v>
      </c>
      <c r="BW5" s="21">
        <f>預測IC!BW5</f>
        <v>5.3854477548855081E-3</v>
      </c>
      <c r="BX5" s="21">
        <f>預測IC!BX5</f>
        <v>-5.1415040641252419E-4</v>
      </c>
      <c r="BY5" s="21">
        <f>預測IC!BY5</f>
        <v>-4.2217786474238123E-3</v>
      </c>
      <c r="BZ5" s="21">
        <f>預測IC!BZ5</f>
        <v>1.3635264175112351E-3</v>
      </c>
      <c r="CA5" s="21">
        <f>預測IC!CA5</f>
        <v>1.234011782232132E-2</v>
      </c>
      <c r="CB5" s="21">
        <f>預測IC!CB5</f>
        <v>1.616138172374685E-2</v>
      </c>
      <c r="CC5" s="21">
        <f>預測IC!CC5</f>
        <v>2.1700747371675229E-3</v>
      </c>
      <c r="CD5" s="21">
        <f>預測IC!CD5</f>
        <v>8.3982369302591179E-3</v>
      </c>
      <c r="CE5" s="21">
        <f>預測IC!CE5</f>
        <v>2.9924757275427601E-3</v>
      </c>
      <c r="CF5" s="21">
        <f>預測IC!CF5</f>
        <v>-8.3356639285777159E-4</v>
      </c>
      <c r="CG5" s="21">
        <f>預測IC!CG5</f>
        <v>-7.4006182308146765E-4</v>
      </c>
      <c r="CH5" s="21">
        <f>預測IC!CH5</f>
        <v>-1.191538287503947E-2</v>
      </c>
      <c r="CI5" s="21">
        <f>預測IC!CI5</f>
        <v>-1.445466793303803E-2</v>
      </c>
      <c r="CJ5" s="21">
        <f>預測IC!CJ5</f>
        <v>-7.2598371634770833E-3</v>
      </c>
      <c r="CK5" s="21">
        <f>預測IC!CK5</f>
        <v>-1.2941787548456081E-3</v>
      </c>
      <c r="CL5" s="21">
        <f>預測IC!CL5</f>
        <v>9.4434034914934982E-3</v>
      </c>
      <c r="CM5" s="21">
        <f>預測IC!CM5</f>
        <v>5.1140346103961546E-3</v>
      </c>
      <c r="CN5" s="21">
        <f>預測IC!CN5</f>
        <v>2.873279302798517E-3</v>
      </c>
      <c r="CO5" s="21">
        <f>預測IC!CO5</f>
        <v>1.7240475986858961E-2</v>
      </c>
      <c r="CP5" s="21">
        <f>預測IC!CP5</f>
        <v>1.141421806863863E-2</v>
      </c>
      <c r="CQ5" s="21">
        <f>預測IC!CQ5</f>
        <v>9.0067640458367376E-3</v>
      </c>
      <c r="CR5" s="21">
        <f>預測IC!CR5</f>
        <v>-2.0834521461759619E-3</v>
      </c>
      <c r="CS5" s="21">
        <f>預測IC!CS5</f>
        <v>-2.1705770934876179E-2</v>
      </c>
      <c r="CT5" s="21">
        <f>預測IC!CT5</f>
        <v>-5.3317796351909441E-3</v>
      </c>
      <c r="CU5" s="21">
        <f>預測IC!CU5</f>
        <v>-3.68701425744362E-3</v>
      </c>
      <c r="CV5" s="21">
        <f>預測IC!CV5</f>
        <v>-3.7795651312946363E-2</v>
      </c>
      <c r="CW5" s="21">
        <f>預測IC!CW5</f>
        <v>-1.389414662767193E-2</v>
      </c>
      <c r="CX5" s="21">
        <f>預測IC!CX5</f>
        <v>6.6294897158866908E-3</v>
      </c>
      <c r="CY5" s="21">
        <f>預測IC!CY5</f>
        <v>-8.2669791474472652E-3</v>
      </c>
      <c r="CZ5" s="21">
        <f>預測IC!CZ5</f>
        <v>1.6345621066842339E-3</v>
      </c>
      <c r="DA5" s="21">
        <f>預測IC!DA5</f>
        <v>4.0989739461057587E-4</v>
      </c>
      <c r="DB5" s="21">
        <f>預測IC!DB5</f>
        <v>4.4160124984572238E-3</v>
      </c>
      <c r="DC5" s="21">
        <f>預測IC!DC5</f>
        <v>2.6999676534044229E-2</v>
      </c>
      <c r="DD5" s="21">
        <f>預測IC!DD5</f>
        <v>9.3187860184787523E-3</v>
      </c>
      <c r="DE5" s="21">
        <f>預測IC!DE5</f>
        <v>-7.7970742974550434E-3</v>
      </c>
      <c r="DF5" s="21">
        <f>預測IC!DF5</f>
        <v>-8.1874226333864611E-3</v>
      </c>
      <c r="DG5" s="21">
        <f>預測IC!DG5</f>
        <v>4.7082207843577081E-3</v>
      </c>
      <c r="DH5" s="21">
        <f>預測IC!DH5</f>
        <v>-1.366700326533769E-2</v>
      </c>
      <c r="DI5" s="21">
        <f>預測IC!DI5</f>
        <v>-7.0506889413944297E-3</v>
      </c>
      <c r="DJ5" s="21">
        <f>預測IC!DJ5</f>
        <v>-1.7588579481036151E-3</v>
      </c>
      <c r="DK5" s="21">
        <f>預測IC!DK5</f>
        <v>3.3090688344859318E-3</v>
      </c>
      <c r="DL5" s="21">
        <f>預測IC!DL5</f>
        <v>4.8628677609277053E-3</v>
      </c>
      <c r="DM5" s="21">
        <f>預測IC!DM5</f>
        <v>3.615095063496505E-3</v>
      </c>
      <c r="DN5" s="21">
        <f>預測IC!DN5</f>
        <v>6.2882035928106261E-3</v>
      </c>
      <c r="DO5" s="21">
        <f>預測IC!DO5</f>
        <v>3.5527335435835928E-3</v>
      </c>
      <c r="DP5" s="21">
        <f>預測IC!DP5</f>
        <v>2.522276075432245E-3</v>
      </c>
      <c r="DQ5" s="21">
        <f>預測IC!DQ5</f>
        <v>-1.066481554793703E-2</v>
      </c>
      <c r="DR5" s="21">
        <f>預測IC!DR5</f>
        <v>1.0994664104448231E-2</v>
      </c>
      <c r="DS5" s="21">
        <f>預測IC!DS5</f>
        <v>-6.4490210014508389E-4</v>
      </c>
      <c r="DT5" s="21">
        <f>預測IC!DT5</f>
        <v>2.3512508887306921E-4</v>
      </c>
      <c r="DU5" s="21">
        <f>預測IC!DU5</f>
        <v>7.3690345715555156E-3</v>
      </c>
      <c r="DV5" s="21">
        <f>預測IC!DV5</f>
        <v>6.7783151790338399E-3</v>
      </c>
      <c r="DW5" s="21">
        <f>預測IC!DW5</f>
        <v>-3.7712345710407022E-3</v>
      </c>
      <c r="DX5" s="21">
        <f>預測IC!DX5</f>
        <v>1.105501636716033E-3</v>
      </c>
      <c r="DY5" s="21">
        <f>預測IC!DY5</f>
        <v>3.3867890298772299E-3</v>
      </c>
      <c r="DZ5" s="21">
        <f>預測IC!DZ5</f>
        <v>3.2550462209418539E-3</v>
      </c>
      <c r="EA5" s="21">
        <f>預測IC!EA5</f>
        <v>6.2664247918384338E-3</v>
      </c>
      <c r="EB5" s="21">
        <f>預測IC!EB5</f>
        <v>-1.711276767800882E-2</v>
      </c>
      <c r="EC5" s="21">
        <f>預測IC!EC5</f>
        <v>-2.088664436358852E-2</v>
      </c>
      <c r="ED5" s="21">
        <f>預測IC!ED5</f>
        <v>-1.0693731182181591E-2</v>
      </c>
      <c r="EE5" s="21">
        <f>預測IC!EE5</f>
        <v>-1.1958726691457309E-2</v>
      </c>
      <c r="EF5" s="21">
        <f>預測IC!EF5</f>
        <v>-1.4122559209273111E-2</v>
      </c>
      <c r="EG5" s="1"/>
    </row>
    <row r="6" spans="1:137">
      <c r="A6" s="12"/>
      <c r="B6" s="12"/>
    </row>
    <row r="7" spans="1:137">
      <c r="A7" s="4" t="s">
        <v>146</v>
      </c>
      <c r="B7" s="12"/>
    </row>
    <row r="8" spans="1:137">
      <c r="A8" s="12"/>
      <c r="B8" s="4" t="s">
        <v>0</v>
      </c>
      <c r="C8" s="5" t="s">
        <v>1</v>
      </c>
      <c r="D8" s="5" t="s">
        <v>2</v>
      </c>
      <c r="E8" s="5" t="s">
        <v>3</v>
      </c>
      <c r="F8" s="5" t="s">
        <v>4</v>
      </c>
      <c r="G8" s="5" t="s">
        <v>5</v>
      </c>
      <c r="H8" s="5" t="s">
        <v>6</v>
      </c>
      <c r="I8" s="5" t="s">
        <v>7</v>
      </c>
      <c r="J8" s="5" t="s">
        <v>8</v>
      </c>
      <c r="K8" s="5" t="s">
        <v>9</v>
      </c>
      <c r="L8" s="5" t="s">
        <v>10</v>
      </c>
      <c r="M8" s="5" t="s">
        <v>11</v>
      </c>
      <c r="N8" s="5" t="s">
        <v>12</v>
      </c>
      <c r="O8" s="5" t="s">
        <v>13</v>
      </c>
      <c r="P8" s="5" t="s">
        <v>14</v>
      </c>
      <c r="Q8" s="5" t="s">
        <v>15</v>
      </c>
      <c r="R8" s="5" t="s">
        <v>16</v>
      </c>
      <c r="S8" s="5" t="s">
        <v>17</v>
      </c>
      <c r="T8" s="5" t="s">
        <v>18</v>
      </c>
      <c r="U8" s="5" t="s">
        <v>19</v>
      </c>
      <c r="V8" s="5" t="s">
        <v>20</v>
      </c>
      <c r="W8" s="5" t="s">
        <v>21</v>
      </c>
      <c r="X8" s="5" t="s">
        <v>22</v>
      </c>
      <c r="Y8" s="5" t="s">
        <v>23</v>
      </c>
      <c r="Z8" s="5" t="s">
        <v>24</v>
      </c>
      <c r="AA8" s="5" t="s">
        <v>25</v>
      </c>
      <c r="AB8" s="5" t="s">
        <v>26</v>
      </c>
      <c r="AC8" s="5" t="s">
        <v>27</v>
      </c>
      <c r="AD8" s="5" t="s">
        <v>28</v>
      </c>
      <c r="AE8" s="5" t="s">
        <v>29</v>
      </c>
      <c r="AF8" s="5" t="s">
        <v>30</v>
      </c>
      <c r="AG8" s="5" t="s">
        <v>31</v>
      </c>
      <c r="AH8" s="5" t="s">
        <v>32</v>
      </c>
      <c r="AI8" s="5" t="s">
        <v>33</v>
      </c>
      <c r="AJ8" s="5" t="s">
        <v>34</v>
      </c>
      <c r="AK8" s="5" t="s">
        <v>35</v>
      </c>
      <c r="AL8" s="5" t="s">
        <v>36</v>
      </c>
      <c r="AM8" s="5" t="s">
        <v>37</v>
      </c>
      <c r="AN8" s="5" t="s">
        <v>38</v>
      </c>
      <c r="AO8" s="5" t="s">
        <v>39</v>
      </c>
      <c r="AP8" s="5" t="s">
        <v>40</v>
      </c>
      <c r="AQ8" s="5" t="s">
        <v>41</v>
      </c>
      <c r="AR8" s="5" t="s">
        <v>42</v>
      </c>
      <c r="AS8" s="5" t="s">
        <v>43</v>
      </c>
      <c r="AT8" s="5" t="s">
        <v>44</v>
      </c>
      <c r="AU8" s="5" t="s">
        <v>45</v>
      </c>
      <c r="AV8" s="5" t="s">
        <v>46</v>
      </c>
      <c r="AW8" s="5" t="s">
        <v>47</v>
      </c>
      <c r="AX8" s="5" t="s">
        <v>48</v>
      </c>
      <c r="AY8" s="5" t="s">
        <v>49</v>
      </c>
      <c r="AZ8" s="5" t="s">
        <v>50</v>
      </c>
      <c r="BA8" s="5" t="s">
        <v>51</v>
      </c>
      <c r="BB8" s="5" t="s">
        <v>52</v>
      </c>
      <c r="BC8" s="5" t="s">
        <v>53</v>
      </c>
      <c r="BD8" s="5" t="s">
        <v>54</v>
      </c>
      <c r="BE8" s="5" t="s">
        <v>55</v>
      </c>
      <c r="BF8" s="5" t="s">
        <v>56</v>
      </c>
      <c r="BG8" s="5" t="s">
        <v>57</v>
      </c>
      <c r="BH8" s="5" t="s">
        <v>58</v>
      </c>
      <c r="BI8" s="5" t="s">
        <v>59</v>
      </c>
      <c r="BJ8" s="5" t="s">
        <v>60</v>
      </c>
      <c r="BK8" s="5" t="s">
        <v>61</v>
      </c>
      <c r="BL8" s="5" t="s">
        <v>62</v>
      </c>
      <c r="BM8" s="5" t="s">
        <v>63</v>
      </c>
      <c r="BN8" s="5" t="s">
        <v>64</v>
      </c>
      <c r="BO8" s="5" t="s">
        <v>65</v>
      </c>
      <c r="BP8" s="5" t="s">
        <v>66</v>
      </c>
      <c r="BQ8" s="5" t="s">
        <v>67</v>
      </c>
      <c r="BR8" s="5" t="s">
        <v>68</v>
      </c>
      <c r="BS8" s="5" t="s">
        <v>69</v>
      </c>
      <c r="BT8" s="5" t="s">
        <v>70</v>
      </c>
      <c r="BU8" s="5" t="s">
        <v>71</v>
      </c>
      <c r="BV8" s="5" t="s">
        <v>72</v>
      </c>
      <c r="BW8" s="5" t="s">
        <v>73</v>
      </c>
      <c r="BX8" s="5" t="s">
        <v>74</v>
      </c>
      <c r="BY8" s="5" t="s">
        <v>75</v>
      </c>
      <c r="BZ8" s="5" t="s">
        <v>76</v>
      </c>
      <c r="CA8" s="5" t="s">
        <v>77</v>
      </c>
      <c r="CB8" s="5" t="s">
        <v>78</v>
      </c>
      <c r="CC8" s="5" t="s">
        <v>79</v>
      </c>
      <c r="CD8" s="5" t="s">
        <v>80</v>
      </c>
      <c r="CE8" s="5" t="s">
        <v>81</v>
      </c>
      <c r="CF8" s="5" t="s">
        <v>82</v>
      </c>
      <c r="CG8" s="5" t="s">
        <v>83</v>
      </c>
      <c r="CH8" s="5" t="s">
        <v>84</v>
      </c>
      <c r="CI8" s="5" t="s">
        <v>85</v>
      </c>
      <c r="CJ8" s="5" t="s">
        <v>86</v>
      </c>
      <c r="CK8" s="5" t="s">
        <v>87</v>
      </c>
      <c r="CL8" s="5" t="s">
        <v>88</v>
      </c>
      <c r="CM8" s="5" t="s">
        <v>89</v>
      </c>
      <c r="CN8" s="5" t="s">
        <v>90</v>
      </c>
      <c r="CO8" s="5" t="s">
        <v>91</v>
      </c>
      <c r="CP8" s="5" t="s">
        <v>92</v>
      </c>
      <c r="CQ8" s="5" t="s">
        <v>93</v>
      </c>
      <c r="CR8" s="5" t="s">
        <v>94</v>
      </c>
      <c r="CS8" s="5" t="s">
        <v>95</v>
      </c>
      <c r="CT8" s="5" t="s">
        <v>96</v>
      </c>
      <c r="CU8" s="5" t="s">
        <v>97</v>
      </c>
      <c r="CV8" s="5" t="s">
        <v>98</v>
      </c>
      <c r="CW8" s="5" t="s">
        <v>99</v>
      </c>
      <c r="CX8" s="5" t="s">
        <v>100</v>
      </c>
      <c r="CY8" s="5" t="s">
        <v>101</v>
      </c>
      <c r="CZ8" s="5" t="s">
        <v>102</v>
      </c>
      <c r="DA8" s="5" t="s">
        <v>103</v>
      </c>
      <c r="DB8" s="5" t="s">
        <v>104</v>
      </c>
      <c r="DC8" s="5" t="s">
        <v>105</v>
      </c>
      <c r="DD8" s="5" t="s">
        <v>106</v>
      </c>
      <c r="DE8" s="5" t="s">
        <v>107</v>
      </c>
      <c r="DF8" s="5" t="s">
        <v>108</v>
      </c>
      <c r="DG8" s="5" t="s">
        <v>109</v>
      </c>
      <c r="DH8" s="5" t="s">
        <v>110</v>
      </c>
      <c r="DI8" s="5" t="s">
        <v>111</v>
      </c>
      <c r="DJ8" s="5" t="s">
        <v>112</v>
      </c>
      <c r="DK8" s="5" t="s">
        <v>113</v>
      </c>
      <c r="DL8" s="5" t="s">
        <v>114</v>
      </c>
      <c r="DM8" s="5" t="s">
        <v>115</v>
      </c>
      <c r="DN8" s="5" t="s">
        <v>116</v>
      </c>
      <c r="DO8" s="5" t="s">
        <v>117</v>
      </c>
      <c r="DP8" s="5" t="s">
        <v>118</v>
      </c>
      <c r="DQ8" s="5" t="s">
        <v>119</v>
      </c>
      <c r="DR8" s="5" t="s">
        <v>120</v>
      </c>
      <c r="DS8" s="5" t="s">
        <v>121</v>
      </c>
      <c r="DT8" s="5" t="s">
        <v>122</v>
      </c>
      <c r="DU8" s="5" t="s">
        <v>123</v>
      </c>
      <c r="DV8" s="5" t="s">
        <v>124</v>
      </c>
      <c r="DW8" s="5" t="s">
        <v>125</v>
      </c>
      <c r="DX8" s="5" t="s">
        <v>126</v>
      </c>
      <c r="DY8" s="5" t="s">
        <v>127</v>
      </c>
      <c r="DZ8" s="5" t="s">
        <v>128</v>
      </c>
      <c r="EA8" s="5" t="s">
        <v>129</v>
      </c>
      <c r="EB8" s="5" t="s">
        <v>130</v>
      </c>
      <c r="EC8" s="5" t="s">
        <v>131</v>
      </c>
      <c r="ED8" s="5" t="s">
        <v>132</v>
      </c>
      <c r="EE8" s="5" t="s">
        <v>133</v>
      </c>
      <c r="EF8" s="5" t="s">
        <v>134</v>
      </c>
    </row>
    <row r="9" spans="1:137">
      <c r="A9" s="12"/>
      <c r="B9" s="14" t="s">
        <v>136</v>
      </c>
      <c r="C9" s="13">
        <v>0.109105830631824</v>
      </c>
      <c r="D9" s="13">
        <v>1.4576582608432649E-2</v>
      </c>
      <c r="E9" s="13">
        <v>-3.6154356576976902E-2</v>
      </c>
      <c r="F9" s="13">
        <v>-4.742600977062153E-3</v>
      </c>
      <c r="G9" s="13">
        <v>-5.7477531385562736E-3</v>
      </c>
      <c r="H9" s="13">
        <v>4.9378023156909527E-2</v>
      </c>
      <c r="I9" s="13">
        <v>0.18325176920476779</v>
      </c>
      <c r="J9" s="13">
        <v>0.1164863088741452</v>
      </c>
      <c r="K9" s="13">
        <v>-3.0594945598924051E-2</v>
      </c>
      <c r="L9" s="13">
        <v>1.9828051430277011E-2</v>
      </c>
      <c r="M9" s="13">
        <v>-2.0999006362740089E-2</v>
      </c>
      <c r="N9" s="13">
        <v>0.1497794247734946</v>
      </c>
      <c r="O9" s="13">
        <v>1.5463406170905081E-2</v>
      </c>
      <c r="P9" s="13">
        <v>-9.1792321477913982E-2</v>
      </c>
      <c r="Q9" s="13">
        <v>-7.7409013100986537E-2</v>
      </c>
      <c r="R9" s="13">
        <v>5.4776596014220982E-2</v>
      </c>
      <c r="S9" s="13">
        <v>-0.12533438670858049</v>
      </c>
      <c r="T9" s="13">
        <v>-0.1190534205538864</v>
      </c>
      <c r="U9" s="13">
        <v>-3.777005083138045E-2</v>
      </c>
      <c r="V9" s="13">
        <v>8.1183823152198617E-2</v>
      </c>
      <c r="W9" s="13">
        <v>8.4008967865119855E-2</v>
      </c>
      <c r="X9" s="13">
        <v>0.14701135657134901</v>
      </c>
      <c r="Y9" s="13">
        <v>-0.12536053701812139</v>
      </c>
      <c r="Z9" s="13">
        <v>0.1919535535452612</v>
      </c>
      <c r="AA9" s="13">
        <v>-8.4370782422902996E-2</v>
      </c>
      <c r="AB9" s="13">
        <v>7.2897613803716274E-2</v>
      </c>
      <c r="AC9" s="13">
        <v>0.10260456025692451</v>
      </c>
      <c r="AD9" s="13">
        <v>1.5770167253116588E-2</v>
      </c>
      <c r="AE9" s="13">
        <v>-0.15200716210156701</v>
      </c>
      <c r="AF9" s="13">
        <v>5.9250251506559243E-2</v>
      </c>
      <c r="AG9" s="13">
        <v>0.13005883770177931</v>
      </c>
      <c r="AH9" s="13">
        <v>0.11525639530312259</v>
      </c>
      <c r="AI9" s="13">
        <v>3.2606621901195412E-2</v>
      </c>
      <c r="AJ9" s="13">
        <v>2.79991148643382E-2</v>
      </c>
      <c r="AK9" s="13">
        <v>0.14657041796408479</v>
      </c>
      <c r="AL9" s="13">
        <v>4.0841921466891577E-2</v>
      </c>
      <c r="AM9" s="13">
        <v>0.13137636706820099</v>
      </c>
      <c r="AN9" s="13">
        <v>0.22143295930140211</v>
      </c>
      <c r="AO9" s="13">
        <v>-2.0941038924054418E-2</v>
      </c>
      <c r="AP9" s="13">
        <v>-0.13715995040864579</v>
      </c>
      <c r="AQ9" s="13">
        <v>-2.4882854865750599E-2</v>
      </c>
      <c r="AR9" s="13">
        <v>1.551397070984222E-2</v>
      </c>
      <c r="AS9" s="13">
        <v>3.4373036510765703E-2</v>
      </c>
      <c r="AT9" s="13">
        <v>6.3095686135752824E-2</v>
      </c>
      <c r="AU9" s="13">
        <v>4.3237695395113553E-2</v>
      </c>
      <c r="AV9" s="13">
        <v>-7.4230367380587331E-2</v>
      </c>
      <c r="AW9" s="13">
        <v>2.7994827208502701E-2</v>
      </c>
      <c r="AX9" s="13">
        <v>0.1198644178103629</v>
      </c>
      <c r="AY9" s="13">
        <v>7.6559571245744709E-2</v>
      </c>
      <c r="AZ9" s="13">
        <v>-2.1730386111293399E-2</v>
      </c>
      <c r="BA9" s="13">
        <v>-1.2464632784982711E-3</v>
      </c>
      <c r="BB9" s="13">
        <v>0.10099582217884891</v>
      </c>
      <c r="BC9" s="13">
        <v>2.9826929857085831E-2</v>
      </c>
      <c r="BD9" s="13">
        <v>8.6757683796749117E-3</v>
      </c>
      <c r="BE9" s="13">
        <v>6.8557206018591665E-2</v>
      </c>
      <c r="BF9" s="13">
        <v>0.15691259652648329</v>
      </c>
      <c r="BG9" s="13">
        <v>0.1592037331379933</v>
      </c>
      <c r="BH9" s="13">
        <v>6.1121667651573217E-2</v>
      </c>
      <c r="BI9" s="13">
        <v>9.6912851275401127E-2</v>
      </c>
      <c r="BJ9" s="13">
        <v>-5.4746248471514068E-2</v>
      </c>
      <c r="BK9" s="13">
        <v>-8.7492963132843785E-2</v>
      </c>
      <c r="BL9" s="13">
        <v>9.4426745861656128E-2</v>
      </c>
      <c r="BM9" s="13">
        <v>-2.2191058729398399E-2</v>
      </c>
      <c r="BN9" s="13">
        <v>1.562861243910833E-2</v>
      </c>
      <c r="BO9" s="13">
        <v>8.1418240100881306E-2</v>
      </c>
      <c r="BP9" s="13">
        <v>-1.8508942424783719E-2</v>
      </c>
      <c r="BQ9" s="13">
        <v>6.8729568027927734E-2</v>
      </c>
      <c r="BR9" s="13">
        <v>3.1023605185006549E-3</v>
      </c>
      <c r="BS9" s="13">
        <v>7.4964417651561921E-2</v>
      </c>
      <c r="BT9" s="13">
        <v>4.5201587698112312E-2</v>
      </c>
      <c r="BU9" s="13">
        <v>2.5677329398223779E-2</v>
      </c>
      <c r="BV9" s="13">
        <v>9.180403106274436E-2</v>
      </c>
      <c r="BW9" s="13">
        <v>-2.6353999034970911E-2</v>
      </c>
      <c r="BX9" s="13">
        <v>1.9394832235212069E-2</v>
      </c>
      <c r="BY9" s="13">
        <v>-7.6838899317359197E-2</v>
      </c>
      <c r="BZ9" s="13">
        <v>0.1133093139289441</v>
      </c>
      <c r="CA9" s="13">
        <v>-0.10735493495839039</v>
      </c>
      <c r="CB9" s="13">
        <v>4.0844788501696747E-2</v>
      </c>
      <c r="CC9" s="13">
        <v>-1.9801708972640539E-2</v>
      </c>
      <c r="CD9" s="13">
        <v>0.1883770899619405</v>
      </c>
      <c r="CE9" s="13">
        <v>5.5574905720929421E-2</v>
      </c>
      <c r="CF9" s="13">
        <v>7.4872074365934668E-2</v>
      </c>
      <c r="CG9" s="13">
        <v>0.1000001919024945</v>
      </c>
      <c r="CH9" s="13">
        <v>0.1360217220005796</v>
      </c>
      <c r="CI9" s="13">
        <v>-9.3741014702459921E-2</v>
      </c>
      <c r="CJ9" s="13">
        <v>3.9305991202356373E-3</v>
      </c>
      <c r="CK9" s="13">
        <v>5.6507776574398372E-2</v>
      </c>
      <c r="CL9" s="13">
        <v>0.26354577822564818</v>
      </c>
      <c r="CM9" s="13">
        <v>-9.5554349157474378E-3</v>
      </c>
      <c r="CN9" s="13">
        <v>-3.1511899508967982E-2</v>
      </c>
      <c r="CO9" s="13">
        <v>-2.2619031528730349E-2</v>
      </c>
      <c r="CP9" s="13">
        <v>0.13265560934539161</v>
      </c>
      <c r="CQ9" s="13">
        <v>0.1330727797426777</v>
      </c>
      <c r="CR9" s="13">
        <v>-1.4956408370414089E-2</v>
      </c>
      <c r="CS9" s="13">
        <v>-3.3419937997587537E-2</v>
      </c>
      <c r="CT9" s="13">
        <v>1.228120855821169E-2</v>
      </c>
      <c r="CU9" s="13">
        <v>0.11681498356736621</v>
      </c>
      <c r="CV9" s="13">
        <v>-3.1589453565969692E-3</v>
      </c>
      <c r="CW9" s="13">
        <v>3.8217758352757383E-2</v>
      </c>
      <c r="CX9" s="13">
        <v>0.13917409482071269</v>
      </c>
      <c r="CY9" s="13">
        <v>-2.3712287606589749E-2</v>
      </c>
      <c r="CZ9" s="13">
        <v>0.21835291106172269</v>
      </c>
      <c r="DA9" s="13">
        <v>-5.796736233046404E-2</v>
      </c>
      <c r="DB9" s="13">
        <v>-1.410421852050941E-2</v>
      </c>
      <c r="DC9" s="13">
        <v>0.11395608079284369</v>
      </c>
      <c r="DD9" s="13">
        <v>7.4472261891957006E-2</v>
      </c>
      <c r="DE9" s="13">
        <v>-8.9969275376677231E-4</v>
      </c>
      <c r="DF9" s="13">
        <v>9.7707180382245536E-4</v>
      </c>
      <c r="DG9" s="13">
        <v>-7.2980095070914866E-2</v>
      </c>
      <c r="DH9" s="13">
        <v>-2.384528684741952E-2</v>
      </c>
      <c r="DI9" s="13">
        <v>-0.101530671996864</v>
      </c>
      <c r="DJ9" s="13">
        <v>2.7692536462605249E-2</v>
      </c>
      <c r="DK9" s="13">
        <v>-4.9335152901351147E-2</v>
      </c>
      <c r="DL9" s="13">
        <v>-5.6993575669654463E-3</v>
      </c>
      <c r="DM9" s="13">
        <v>-3.698176006290884E-2</v>
      </c>
      <c r="DN9" s="13">
        <v>0.1098129862949979</v>
      </c>
      <c r="DO9" s="13">
        <v>4.2036825231170707E-2</v>
      </c>
      <c r="DP9" s="13">
        <v>8.4566668006112469E-2</v>
      </c>
      <c r="DQ9" s="13">
        <v>-0.11027981086457481</v>
      </c>
      <c r="DR9" s="13">
        <v>9.4328709127723676E-2</v>
      </c>
      <c r="DS9" s="13">
        <v>-7.1906912609422696E-2</v>
      </c>
      <c r="DT9" s="13">
        <v>-9.6236429507091506E-2</v>
      </c>
      <c r="DU9" s="13">
        <v>2.3455494098847921E-3</v>
      </c>
      <c r="DV9" s="13">
        <v>0.13401742358239299</v>
      </c>
      <c r="DW9" s="13">
        <v>9.4732519114383587E-2</v>
      </c>
      <c r="DX9" s="13">
        <v>-0.1037731978548066</v>
      </c>
      <c r="DY9" s="13">
        <v>7.5762154171076845E-2</v>
      </c>
      <c r="DZ9" s="13">
        <v>-3.1829720434029513E-2</v>
      </c>
      <c r="EA9" s="13">
        <v>0.16130801932992569</v>
      </c>
      <c r="EB9" s="13">
        <v>1.020353315832318E-2</v>
      </c>
      <c r="EC9" s="13">
        <v>7.3988425168607055E-2</v>
      </c>
      <c r="ED9" s="13">
        <v>-0.15737687498945321</v>
      </c>
      <c r="EE9" s="13">
        <v>7.9137553498671423E-2</v>
      </c>
      <c r="EF9" s="13">
        <v>7.252854687485949E-2</v>
      </c>
    </row>
    <row r="10" spans="1:137">
      <c r="A10" s="12"/>
      <c r="B10" s="14" t="s">
        <v>137</v>
      </c>
      <c r="C10" s="13">
        <v>-0.24758976829669241</v>
      </c>
      <c r="D10" s="13">
        <v>-0.27469343057649981</v>
      </c>
      <c r="E10" s="13">
        <v>-8.4647408680952302E-2</v>
      </c>
      <c r="F10" s="13">
        <v>2.264455067244003E-2</v>
      </c>
      <c r="G10" s="13">
        <v>-4.9680731580516939E-2</v>
      </c>
      <c r="H10" s="13">
        <v>-0.1007602928168904</v>
      </c>
      <c r="I10" s="13">
        <v>-1.252391121317452E-2</v>
      </c>
      <c r="J10" s="13">
        <v>7.8736564428810718E-2</v>
      </c>
      <c r="K10" s="13">
        <v>-3.418472217397777E-2</v>
      </c>
      <c r="L10" s="13">
        <v>8.8405768063395687E-2</v>
      </c>
      <c r="M10" s="13">
        <v>-3.063223768107371E-3</v>
      </c>
      <c r="N10" s="13">
        <v>-0.2122176757121633</v>
      </c>
      <c r="O10" s="13">
        <v>-3.6806047186275802E-2</v>
      </c>
      <c r="P10" s="13">
        <v>7.1032869038915328E-2</v>
      </c>
      <c r="Q10" s="13">
        <v>-7.1262725769719926E-2</v>
      </c>
      <c r="R10" s="13">
        <v>2.1560122359075201E-2</v>
      </c>
      <c r="S10" s="13">
        <v>0.1011106285268777</v>
      </c>
      <c r="T10" s="13">
        <v>4.3225785783864448E-2</v>
      </c>
      <c r="U10" s="13">
        <v>1.4882448402382731E-2</v>
      </c>
      <c r="V10" s="13">
        <v>6.3254548831656442E-3</v>
      </c>
      <c r="W10" s="13">
        <v>-0.14355359981714769</v>
      </c>
      <c r="X10" s="13">
        <v>-6.4281941457823372E-2</v>
      </c>
      <c r="Y10" s="13">
        <v>-1.903357696299891E-2</v>
      </c>
      <c r="Z10" s="13">
        <v>-2.0645024824591421E-2</v>
      </c>
      <c r="AA10" s="13">
        <v>3.3059348848449917E-2</v>
      </c>
      <c r="AB10" s="13">
        <v>-1.941869708891026E-2</v>
      </c>
      <c r="AC10" s="13">
        <v>-6.3126586896155801E-2</v>
      </c>
      <c r="AD10" s="13">
        <v>-6.5628500983560253E-2</v>
      </c>
      <c r="AE10" s="13">
        <v>0.1379961310212432</v>
      </c>
      <c r="AF10" s="13">
        <v>-0.10056964052741781</v>
      </c>
      <c r="AG10" s="13">
        <v>-3.7969245798925112E-2</v>
      </c>
      <c r="AH10" s="13">
        <v>-4.583935548720363E-2</v>
      </c>
      <c r="AI10" s="13">
        <v>-5.10352789387125E-2</v>
      </c>
      <c r="AJ10" s="13">
        <v>-3.220095653721949E-3</v>
      </c>
      <c r="AK10" s="13">
        <v>4.8875658220115276E-4</v>
      </c>
      <c r="AL10" s="13">
        <v>-0.10644527618290631</v>
      </c>
      <c r="AM10" s="13">
        <v>-1.3722774699556021E-2</v>
      </c>
      <c r="AN10" s="13">
        <v>-0.1219647211588806</v>
      </c>
      <c r="AO10" s="13">
        <v>-4.8589181402462003E-2</v>
      </c>
      <c r="AP10" s="13">
        <v>-1.9041778059185339E-3</v>
      </c>
      <c r="AQ10" s="13">
        <v>2.9066018342296149E-2</v>
      </c>
      <c r="AR10" s="13">
        <v>5.2635349974144381E-2</v>
      </c>
      <c r="AS10" s="13">
        <v>-1.289283221458187E-2</v>
      </c>
      <c r="AT10" s="13">
        <v>-2.131658648460029E-3</v>
      </c>
      <c r="AU10" s="13">
        <v>-0.15538501290530821</v>
      </c>
      <c r="AV10" s="13">
        <v>1.268162681278474E-2</v>
      </c>
      <c r="AW10" s="13">
        <v>-1.194344908582658E-2</v>
      </c>
      <c r="AX10" s="13">
        <v>-4.254256820393142E-3</v>
      </c>
      <c r="AY10" s="13">
        <v>2.9300270445388139E-2</v>
      </c>
      <c r="AZ10" s="13">
        <v>-0.13412921407419631</v>
      </c>
      <c r="BA10" s="13">
        <v>-0.13711153382780539</v>
      </c>
      <c r="BB10" s="13">
        <v>1.7544829562932121E-3</v>
      </c>
      <c r="BC10" s="13">
        <v>2.511654347888697E-2</v>
      </c>
      <c r="BD10" s="13">
        <v>-0.1196024857992017</v>
      </c>
      <c r="BE10" s="13">
        <v>0.135761177270974</v>
      </c>
      <c r="BF10" s="13">
        <v>4.709043184574481E-2</v>
      </c>
      <c r="BG10" s="13">
        <v>-2.6049007567284111E-2</v>
      </c>
      <c r="BH10" s="13">
        <v>4.3752029296548839E-2</v>
      </c>
      <c r="BI10" s="13">
        <v>-8.1392655361459662E-2</v>
      </c>
      <c r="BJ10" s="13">
        <v>-0.1006007358674621</v>
      </c>
      <c r="BK10" s="13">
        <v>9.0489366897286788E-2</v>
      </c>
      <c r="BL10" s="13">
        <v>-3.0897742772999219E-2</v>
      </c>
      <c r="BM10" s="13">
        <v>5.8813938006831247E-2</v>
      </c>
      <c r="BN10" s="13">
        <v>8.1345468366351176E-2</v>
      </c>
      <c r="BO10" s="13">
        <v>-7.7170833199325618E-3</v>
      </c>
      <c r="BP10" s="13">
        <v>0.10673674154857379</v>
      </c>
      <c r="BQ10" s="13">
        <v>-2.7158740562488171E-2</v>
      </c>
      <c r="BR10" s="13">
        <v>-5.4431215783143028E-2</v>
      </c>
      <c r="BS10" s="13">
        <v>-6.8229022045583829E-2</v>
      </c>
      <c r="BT10" s="13">
        <v>9.8612198309463703E-2</v>
      </c>
      <c r="BU10" s="13">
        <v>0.12839898850779141</v>
      </c>
      <c r="BV10" s="13">
        <v>-7.8402881325410026E-2</v>
      </c>
      <c r="BW10" s="13">
        <v>-0.11913343161806331</v>
      </c>
      <c r="BX10" s="13">
        <v>-4.6889397915272413E-2</v>
      </c>
      <c r="BY10" s="13">
        <v>0.10169993825866221</v>
      </c>
      <c r="BZ10" s="13">
        <v>-2.5680337081998201E-2</v>
      </c>
      <c r="CA10" s="13">
        <v>-8.3302285587760524E-2</v>
      </c>
      <c r="CB10" s="13">
        <v>-0.15782773316385521</v>
      </c>
      <c r="CC10" s="13">
        <v>-7.1052051902174743E-2</v>
      </c>
      <c r="CD10" s="13">
        <v>-7.3875061081766558E-2</v>
      </c>
      <c r="CE10" s="13">
        <v>-0.23678696446753891</v>
      </c>
      <c r="CF10" s="13">
        <v>3.2627523242064679E-2</v>
      </c>
      <c r="CG10" s="13">
        <v>1.342288764413619E-2</v>
      </c>
      <c r="CH10" s="13">
        <v>-2.7968633716377342E-3</v>
      </c>
      <c r="CI10" s="13">
        <v>4.7924567852651742E-2</v>
      </c>
      <c r="CJ10" s="13">
        <v>-3.2519419403671838E-3</v>
      </c>
      <c r="CK10" s="13">
        <v>-7.5708975107552243E-2</v>
      </c>
      <c r="CL10" s="13">
        <v>-4.439755258059426E-2</v>
      </c>
      <c r="CM10" s="13">
        <v>0.1789885274463347</v>
      </c>
      <c r="CN10" s="13">
        <v>5.7993573646864159E-2</v>
      </c>
      <c r="CO10" s="13">
        <v>-0.1393893811280717</v>
      </c>
      <c r="CP10" s="13">
        <v>6.4714037678969882E-2</v>
      </c>
      <c r="CQ10" s="13">
        <v>-0.18118875703586679</v>
      </c>
      <c r="CR10" s="13">
        <v>-8.8634319298032588E-2</v>
      </c>
      <c r="CS10" s="13">
        <v>-2.532291666049663E-2</v>
      </c>
      <c r="CT10" s="13">
        <v>-0.1130794212593592</v>
      </c>
      <c r="CU10" s="13">
        <v>8.0959592543356738E-3</v>
      </c>
      <c r="CV10" s="13">
        <v>-4.5200602925950961E-2</v>
      </c>
      <c r="CW10" s="13">
        <v>-5.8940913730987268E-2</v>
      </c>
      <c r="CX10" s="13">
        <v>-0.1077272712682267</v>
      </c>
      <c r="CY10" s="13">
        <v>-9.6502906155934681E-2</v>
      </c>
      <c r="CZ10" s="13">
        <v>-0.21035670398856179</v>
      </c>
      <c r="DA10" s="13">
        <v>-0.10996050959466699</v>
      </c>
      <c r="DB10" s="13">
        <v>-0.19082024937938699</v>
      </c>
      <c r="DC10" s="13">
        <v>-2.0727737658121869E-2</v>
      </c>
      <c r="DD10" s="13">
        <v>8.7028261289215092E-2</v>
      </c>
      <c r="DE10" s="13">
        <v>8.2023977632666611E-2</v>
      </c>
      <c r="DF10" s="13">
        <v>-0.16687716690833529</v>
      </c>
      <c r="DG10" s="13">
        <v>0.22243851882761501</v>
      </c>
      <c r="DH10" s="13">
        <v>-0.14429810695607659</v>
      </c>
      <c r="DI10" s="13">
        <v>-0.119619738842503</v>
      </c>
      <c r="DJ10" s="13">
        <v>-0.1015940725034912</v>
      </c>
      <c r="DK10" s="13">
        <v>9.2855169802784146E-2</v>
      </c>
      <c r="DL10" s="13">
        <v>-4.2631286140289042E-2</v>
      </c>
      <c r="DM10" s="13">
        <v>8.2731669362718641E-2</v>
      </c>
      <c r="DN10" s="13">
        <v>-3.1050001267846308E-2</v>
      </c>
      <c r="DO10" s="13">
        <v>-9.8141681786819784E-2</v>
      </c>
      <c r="DP10" s="13">
        <v>-0.1305889729339012</v>
      </c>
      <c r="DQ10" s="13">
        <v>4.8655494847405382E-2</v>
      </c>
      <c r="DR10" s="13">
        <v>-3.9252138227420609E-2</v>
      </c>
      <c r="DS10" s="13">
        <v>-0.16103059951017251</v>
      </c>
      <c r="DT10" s="13">
        <v>-7.888400008748718E-2</v>
      </c>
      <c r="DU10" s="13">
        <v>0.16407752749761609</v>
      </c>
      <c r="DV10" s="13">
        <v>7.5037004087490427E-3</v>
      </c>
      <c r="DW10" s="13">
        <v>-0.101645045369852</v>
      </c>
      <c r="DX10" s="13">
        <v>-5.6040172749099469E-2</v>
      </c>
      <c r="DY10" s="13">
        <v>-0.1066562704218547</v>
      </c>
      <c r="DZ10" s="13">
        <v>-6.9185868549906715E-2</v>
      </c>
      <c r="EA10" s="13">
        <v>-0.12618794756914789</v>
      </c>
      <c r="EB10" s="13">
        <v>-6.4736793075017299E-2</v>
      </c>
      <c r="EC10" s="13">
        <v>5.1424695154523088E-2</v>
      </c>
      <c r="ED10" s="13">
        <v>3.4496896225120741E-2</v>
      </c>
      <c r="EE10" s="13">
        <v>0.1576775401573908</v>
      </c>
      <c r="EF10" s="13">
        <v>-0.12717941252358159</v>
      </c>
    </row>
    <row r="11" spans="1:137">
      <c r="A11" s="12"/>
      <c r="B11" s="14" t="s">
        <v>138</v>
      </c>
      <c r="C11" s="13">
        <v>-5.4244781267602057E-2</v>
      </c>
      <c r="D11" s="13">
        <v>4.5377022463556939E-2</v>
      </c>
      <c r="E11" s="13">
        <v>-1.7752272607948309E-2</v>
      </c>
      <c r="F11" s="13">
        <v>-8.7687354470119203E-2</v>
      </c>
      <c r="G11" s="13">
        <v>0.1027592597916023</v>
      </c>
      <c r="H11" s="13">
        <v>2.5113717342445511E-3</v>
      </c>
      <c r="I11" s="13">
        <v>-1.8303552483615069E-2</v>
      </c>
      <c r="J11" s="13">
        <v>2.2110525104917209E-2</v>
      </c>
      <c r="K11" s="13">
        <v>7.7258045731841044E-2</v>
      </c>
      <c r="L11" s="13">
        <v>9.3440783982297517E-3</v>
      </c>
      <c r="M11" s="13">
        <v>5.3602181204841143E-2</v>
      </c>
      <c r="N11" s="13">
        <v>-6.7877357290963961E-2</v>
      </c>
      <c r="O11" s="13">
        <v>6.4929886491987929E-2</v>
      </c>
      <c r="P11" s="13">
        <v>4.8806817542238106E-3</v>
      </c>
      <c r="Q11" s="13">
        <v>1.919781824762783E-2</v>
      </c>
      <c r="R11" s="13">
        <v>-5.4653492448842392E-3</v>
      </c>
      <c r="S11" s="13">
        <v>3.6551467134004201E-2</v>
      </c>
      <c r="T11" s="13">
        <v>0.12918506866843241</v>
      </c>
      <c r="U11" s="13">
        <v>1.369240766293847E-2</v>
      </c>
      <c r="V11" s="13">
        <v>1.529525194063162E-2</v>
      </c>
      <c r="W11" s="13">
        <v>-0.10468571910271469</v>
      </c>
      <c r="X11" s="13">
        <v>-0.29384805056845642</v>
      </c>
      <c r="Y11" s="13">
        <v>5.9212485033458218E-2</v>
      </c>
      <c r="Z11" s="13">
        <v>-0.18494831245363619</v>
      </c>
      <c r="AA11" s="13">
        <v>9.8247438772127521E-2</v>
      </c>
      <c r="AB11" s="13">
        <v>-6.5734107189282197E-4</v>
      </c>
      <c r="AC11" s="13">
        <v>-0.1036861156532312</v>
      </c>
      <c r="AD11" s="13">
        <v>3.5450938075395509E-3</v>
      </c>
      <c r="AE11" s="13">
        <v>0.17560148677061019</v>
      </c>
      <c r="AF11" s="13">
        <v>-0.1550331010885124</v>
      </c>
      <c r="AG11" s="13">
        <v>-2.6328625232284051E-2</v>
      </c>
      <c r="AH11" s="13">
        <v>-4.9988101579694936E-3</v>
      </c>
      <c r="AI11" s="13">
        <v>2.8067714594873169E-2</v>
      </c>
      <c r="AJ11" s="13">
        <v>-2.2384193940381401E-2</v>
      </c>
      <c r="AK11" s="13">
        <v>-4.7020825392250949E-2</v>
      </c>
      <c r="AL11" s="13">
        <v>-0.10156151199043489</v>
      </c>
      <c r="AM11" s="13">
        <v>2.3525148704495701E-2</v>
      </c>
      <c r="AN11" s="13">
        <v>5.2525230105422573E-2</v>
      </c>
      <c r="AO11" s="13">
        <v>5.8502893637957562E-2</v>
      </c>
      <c r="AP11" s="13">
        <v>3.3447356041428761E-2</v>
      </c>
      <c r="AQ11" s="13">
        <v>1.430036545094069E-2</v>
      </c>
      <c r="AR11" s="13">
        <v>3.5903594729592501E-2</v>
      </c>
      <c r="AS11" s="13">
        <v>3.9782285287992311E-2</v>
      </c>
      <c r="AT11" s="13">
        <v>0.1484561956282951</v>
      </c>
      <c r="AU11" s="13">
        <v>-4.078729487218978E-2</v>
      </c>
      <c r="AV11" s="13">
        <v>0.13895895413073689</v>
      </c>
      <c r="AW11" s="13">
        <v>5.9863283397122748E-2</v>
      </c>
      <c r="AX11" s="13">
        <v>-0.1497898129881709</v>
      </c>
      <c r="AY11" s="13">
        <v>6.1595851435820623E-2</v>
      </c>
      <c r="AZ11" s="13">
        <v>-6.1949751488506538E-2</v>
      </c>
      <c r="BA11" s="13">
        <v>-2.389264381020083E-3</v>
      </c>
      <c r="BB11" s="13">
        <v>-0.14887029613688371</v>
      </c>
      <c r="BC11" s="13">
        <v>6.0350517971681748E-2</v>
      </c>
      <c r="BD11" s="13">
        <v>-1.468575255625916E-2</v>
      </c>
      <c r="BE11" s="13">
        <v>-0.14651529968819679</v>
      </c>
      <c r="BF11" s="13">
        <v>-0.2087626486148127</v>
      </c>
      <c r="BG11" s="13">
        <v>-0.20144325578474859</v>
      </c>
      <c r="BH11" s="13">
        <v>-0.11804991677814031</v>
      </c>
      <c r="BI11" s="13">
        <v>-7.7026576071686378E-2</v>
      </c>
      <c r="BJ11" s="13">
        <v>-3.6220317042829728E-2</v>
      </c>
      <c r="BK11" s="13">
        <v>-1.8907268725092598E-2</v>
      </c>
      <c r="BL11" s="13">
        <v>-0.17125563757433929</v>
      </c>
      <c r="BM11" s="13">
        <v>0.13291749710961351</v>
      </c>
      <c r="BN11" s="13">
        <v>-3.5907701607395578E-2</v>
      </c>
      <c r="BO11" s="13">
        <v>2.1344518209370389E-2</v>
      </c>
      <c r="BP11" s="13">
        <v>4.9634822871427897E-2</v>
      </c>
      <c r="BQ11" s="13">
        <v>-1.7211216417584319E-2</v>
      </c>
      <c r="BR11" s="13">
        <v>0.18982724311105359</v>
      </c>
      <c r="BS11" s="13">
        <v>-9.7605037382284945E-2</v>
      </c>
      <c r="BT11" s="13">
        <v>3.7831444138355132E-2</v>
      </c>
      <c r="BU11" s="13">
        <v>5.6008305208474198E-2</v>
      </c>
      <c r="BV11" s="13">
        <v>-0.1167370363031352</v>
      </c>
      <c r="BW11" s="13">
        <v>-0.1413229882478122</v>
      </c>
      <c r="BX11" s="13">
        <v>-3.3770258788579869E-3</v>
      </c>
      <c r="BY11" s="13">
        <v>0.13033606071126891</v>
      </c>
      <c r="BZ11" s="13">
        <v>3.1697731081681189E-2</v>
      </c>
      <c r="CA11" s="13">
        <v>4.0555037474470507E-2</v>
      </c>
      <c r="CB11" s="13">
        <v>-4.2037331365292897E-2</v>
      </c>
      <c r="CC11" s="13">
        <v>5.0013723389441531E-2</v>
      </c>
      <c r="CD11" s="13">
        <v>-6.8456279312897411E-2</v>
      </c>
      <c r="CE11" s="13">
        <v>-8.0832090081974353E-2</v>
      </c>
      <c r="CF11" s="13">
        <v>-1.948310790200239E-3</v>
      </c>
      <c r="CG11" s="13">
        <v>-0.1182090018050031</v>
      </c>
      <c r="CH11" s="13">
        <v>-3.67198859644461E-2</v>
      </c>
      <c r="CI11" s="13">
        <v>-8.3332793120616616E-2</v>
      </c>
      <c r="CJ11" s="13">
        <v>0.23067286701975129</v>
      </c>
      <c r="CK11" s="13">
        <v>0.1327785225954993</v>
      </c>
      <c r="CL11" s="13">
        <v>0.1412873189704931</v>
      </c>
      <c r="CM11" s="13">
        <v>-0.11268938730850959</v>
      </c>
      <c r="CN11" s="13">
        <v>0.22348855763592371</v>
      </c>
      <c r="CO11" s="13">
        <v>-0.10441916957268479</v>
      </c>
      <c r="CP11" s="13">
        <v>-1.442822447791231E-2</v>
      </c>
      <c r="CQ11" s="13">
        <v>-0.20723337326778599</v>
      </c>
      <c r="CR11" s="13">
        <v>-0.1348638695123113</v>
      </c>
      <c r="CS11" s="13">
        <v>7.3007738807373504E-2</v>
      </c>
      <c r="CT11" s="13">
        <v>-3.0218378407130288E-2</v>
      </c>
      <c r="CU11" s="13">
        <v>-0.28688917437274691</v>
      </c>
      <c r="CV11" s="13">
        <v>0.2307305381875536</v>
      </c>
      <c r="CW11" s="13">
        <v>9.1075698514216888E-2</v>
      </c>
      <c r="CX11" s="13">
        <v>-0.1224857321642277</v>
      </c>
      <c r="CY11" s="13">
        <v>7.8381925305362449E-2</v>
      </c>
      <c r="CZ11" s="13">
        <v>-4.5950103566863888E-2</v>
      </c>
      <c r="DA11" s="13">
        <v>8.2670164530151122E-2</v>
      </c>
      <c r="DB11" s="13">
        <v>0.14934927010032351</v>
      </c>
      <c r="DC11" s="13">
        <v>-4.7798705164587528E-2</v>
      </c>
      <c r="DD11" s="13">
        <v>-0.1645134604307108</v>
      </c>
      <c r="DE11" s="13">
        <v>-0.1105683533423189</v>
      </c>
      <c r="DF11" s="13">
        <v>5.7416867202733347E-2</v>
      </c>
      <c r="DG11" s="13">
        <v>-0.21489021548963169</v>
      </c>
      <c r="DH11" s="13">
        <v>6.2997155047871164E-2</v>
      </c>
      <c r="DI11" s="13">
        <v>6.7721109014009601E-2</v>
      </c>
      <c r="DJ11" s="13">
        <v>0.1188020770386063</v>
      </c>
      <c r="DK11" s="13">
        <v>7.2827306455158416E-3</v>
      </c>
      <c r="DL11" s="13">
        <v>7.1320599005857979E-2</v>
      </c>
      <c r="DM11" s="13">
        <v>2.1021900655620821E-2</v>
      </c>
      <c r="DN11" s="13">
        <v>-3.0403223939335849E-2</v>
      </c>
      <c r="DO11" s="13">
        <v>-9.694965661135331E-2</v>
      </c>
      <c r="DP11" s="13">
        <v>-0.23067649178859881</v>
      </c>
      <c r="DQ11" s="13">
        <v>0.238184312236043</v>
      </c>
      <c r="DR11" s="13">
        <v>3.5748752036958448E-3</v>
      </c>
      <c r="DS11" s="13">
        <v>0.13395561672683809</v>
      </c>
      <c r="DT11" s="13">
        <v>0.11510609642796051</v>
      </c>
      <c r="DU11" s="13">
        <v>0.1040797891887878</v>
      </c>
      <c r="DV11" s="13">
        <v>-5.4611063064875308E-2</v>
      </c>
      <c r="DW11" s="13">
        <v>-3.3290193961398547E-2</v>
      </c>
      <c r="DX11" s="13">
        <v>5.5094916778075383E-2</v>
      </c>
      <c r="DY11" s="13">
        <v>6.8793773385234666E-2</v>
      </c>
      <c r="DZ11" s="13">
        <v>1.4480773118257949E-2</v>
      </c>
      <c r="EA11" s="13">
        <v>-0.29313654086030699</v>
      </c>
      <c r="EB11" s="13">
        <v>-0.14097501940218221</v>
      </c>
      <c r="EC11" s="13">
        <v>-1.2209361583162239E-2</v>
      </c>
      <c r="ED11" s="13">
        <v>5.816768758959897E-2</v>
      </c>
      <c r="EE11" s="13">
        <v>-0.14440301349005499</v>
      </c>
      <c r="EF11" s="13">
        <v>-9.7009034240055067E-2</v>
      </c>
    </row>
    <row r="12" spans="1:137">
      <c r="A12" s="12"/>
      <c r="B12" s="12"/>
    </row>
    <row r="13" spans="1:137">
      <c r="A13" s="4" t="s">
        <v>152</v>
      </c>
      <c r="B13" s="14" t="s">
        <v>136</v>
      </c>
      <c r="C13" s="13">
        <f>(C3-C9)^2</f>
        <v>5.1996814710387777E-3</v>
      </c>
      <c r="D13" s="13">
        <f t="shared" ref="D13:BO15" si="0">(D3-D9)^2</f>
        <v>3.5048463586536169E-4</v>
      </c>
      <c r="E13" s="13">
        <f t="shared" si="0"/>
        <v>2.6600832511563142E-3</v>
      </c>
      <c r="F13" s="13">
        <f t="shared" si="0"/>
        <v>4.4942234573870264E-4</v>
      </c>
      <c r="G13" s="13">
        <f t="shared" si="0"/>
        <v>5.2780302526837623E-4</v>
      </c>
      <c r="H13" s="13">
        <f t="shared" si="0"/>
        <v>4.2493349675357865E-4</v>
      </c>
      <c r="I13" s="13">
        <f t="shared" si="0"/>
        <v>2.5272236990183349E-2</v>
      </c>
      <c r="J13" s="13">
        <f t="shared" si="0"/>
        <v>7.951269331453922E-3</v>
      </c>
      <c r="K13" s="13">
        <f t="shared" si="0"/>
        <v>3.692865315807922E-3</v>
      </c>
      <c r="L13" s="13">
        <f t="shared" si="0"/>
        <v>2.9249120161267513E-5</v>
      </c>
      <c r="M13" s="13">
        <f t="shared" si="0"/>
        <v>2.8867097965666489E-3</v>
      </c>
      <c r="N13" s="13">
        <f t="shared" si="0"/>
        <v>1.3977071030250619E-2</v>
      </c>
      <c r="O13" s="13">
        <f t="shared" si="0"/>
        <v>3.4484101962321291E-4</v>
      </c>
      <c r="P13" s="13">
        <f t="shared" si="0"/>
        <v>1.562630817248091E-2</v>
      </c>
      <c r="Q13" s="13">
        <f t="shared" si="0"/>
        <v>1.1344880325450026E-2</v>
      </c>
      <c r="R13" s="13">
        <f t="shared" si="0"/>
        <v>8.0105657674069629E-4</v>
      </c>
      <c r="S13" s="13">
        <f t="shared" si="0"/>
        <v>2.3602094768088857E-2</v>
      </c>
      <c r="T13" s="13">
        <f t="shared" si="0"/>
        <v>2.0071564388566006E-2</v>
      </c>
      <c r="U13" s="13">
        <f t="shared" si="0"/>
        <v>2.9067256265968462E-3</v>
      </c>
      <c r="V13" s="13">
        <f t="shared" si="0"/>
        <v>3.1528949698703666E-3</v>
      </c>
      <c r="W13" s="13">
        <f t="shared" si="0"/>
        <v>1.4611447248180957E-3</v>
      </c>
      <c r="X13" s="13">
        <f t="shared" si="0"/>
        <v>1.0806339041922877E-2</v>
      </c>
      <c r="Y13" s="13">
        <f t="shared" si="0"/>
        <v>2.6616709515685642E-2</v>
      </c>
      <c r="Z13" s="13">
        <f t="shared" si="0"/>
        <v>2.8175669961101244E-2</v>
      </c>
      <c r="AA13" s="13">
        <f t="shared" si="0"/>
        <v>1.3102284138063686E-2</v>
      </c>
      <c r="AB13" s="13">
        <f t="shared" si="0"/>
        <v>2.0079854478837139E-3</v>
      </c>
      <c r="AC13" s="13">
        <f t="shared" si="0"/>
        <v>4.7380498205834998E-3</v>
      </c>
      <c r="AD13" s="13">
        <f t="shared" si="0"/>
        <v>3.3714602588224836E-4</v>
      </c>
      <c r="AE13" s="13">
        <f t="shared" si="0"/>
        <v>3.4651290349408545E-2</v>
      </c>
      <c r="AF13" s="13">
        <f t="shared" si="0"/>
        <v>2.1281900702788607E-3</v>
      </c>
      <c r="AG13" s="13">
        <f t="shared" si="0"/>
        <v>1.1067352170334258E-2</v>
      </c>
      <c r="AH13" s="13">
        <f t="shared" si="0"/>
        <v>6.9508822622061641E-3</v>
      </c>
      <c r="AI13" s="13">
        <f t="shared" si="0"/>
        <v>1.4281893790811368E-5</v>
      </c>
      <c r="AJ13" s="13">
        <f t="shared" si="0"/>
        <v>6.3199392627973579E-5</v>
      </c>
      <c r="AK13" s="13">
        <f t="shared" si="0"/>
        <v>1.0627050592270617E-2</v>
      </c>
      <c r="AL13" s="13">
        <f t="shared" si="0"/>
        <v>5.6636569829019288E-6</v>
      </c>
      <c r="AM13" s="13">
        <f t="shared" si="0"/>
        <v>8.4577677616929064E-3</v>
      </c>
      <c r="AN13" s="13">
        <f t="shared" si="0"/>
        <v>2.9134850374856292E-2</v>
      </c>
      <c r="AO13" s="13">
        <f t="shared" si="0"/>
        <v>5.5690175695214819E-3</v>
      </c>
      <c r="AP13" s="13">
        <f t="shared" si="0"/>
        <v>3.4772869594951475E-2</v>
      </c>
      <c r="AQ13" s="13">
        <f t="shared" si="0"/>
        <v>3.3242769032144448E-3</v>
      </c>
      <c r="AR13" s="13">
        <f t="shared" si="0"/>
        <v>1.6336341695477466E-4</v>
      </c>
      <c r="AS13" s="13">
        <f t="shared" si="0"/>
        <v>3.5942829645786176E-5</v>
      </c>
      <c r="AT13" s="13">
        <f t="shared" si="0"/>
        <v>1.6021172339957311E-3</v>
      </c>
      <c r="AU13" s="13">
        <f t="shared" si="0"/>
        <v>1.9156393878458133E-4</v>
      </c>
      <c r="AV13" s="13">
        <f t="shared" si="0"/>
        <v>1.108139805939801E-2</v>
      </c>
      <c r="AW13" s="13">
        <f t="shared" si="0"/>
        <v>2.8794803061865735E-6</v>
      </c>
      <c r="AX13" s="13">
        <f t="shared" si="0"/>
        <v>8.7796162491769521E-3</v>
      </c>
      <c r="AY13" s="13">
        <f t="shared" si="0"/>
        <v>1.9807651275851341E-3</v>
      </c>
      <c r="AZ13" s="13">
        <f t="shared" si="0"/>
        <v>3.159329920670079E-3</v>
      </c>
      <c r="BA13" s="13">
        <f t="shared" si="0"/>
        <v>9.3503573494917245E-4</v>
      </c>
      <c r="BB13" s="13">
        <f t="shared" si="0"/>
        <v>4.4450055186594549E-3</v>
      </c>
      <c r="BC13" s="13">
        <f t="shared" si="0"/>
        <v>5.7681702191444841E-5</v>
      </c>
      <c r="BD13" s="13">
        <f t="shared" si="0"/>
        <v>5.1701455540734945E-4</v>
      </c>
      <c r="BE13" s="13">
        <f t="shared" si="0"/>
        <v>1.3359606118859815E-3</v>
      </c>
      <c r="BF13" s="13">
        <f t="shared" si="0"/>
        <v>1.6545874680440349E-2</v>
      </c>
      <c r="BG13" s="13">
        <f t="shared" si="0"/>
        <v>1.3947680015152468E-2</v>
      </c>
      <c r="BH13" s="13">
        <f t="shared" si="0"/>
        <v>2.5353837221065936E-4</v>
      </c>
      <c r="BI13" s="13">
        <f t="shared" si="0"/>
        <v>3.0608347000805041E-3</v>
      </c>
      <c r="BJ13" s="13">
        <f t="shared" si="0"/>
        <v>9.1144548745614225E-3</v>
      </c>
      <c r="BK13" s="13">
        <f t="shared" si="0"/>
        <v>1.5331556633458943E-2</v>
      </c>
      <c r="BL13" s="13">
        <f t="shared" si="0"/>
        <v>3.3934765200516219E-3</v>
      </c>
      <c r="BM13" s="13">
        <f t="shared" si="0"/>
        <v>3.5879676562260957E-3</v>
      </c>
      <c r="BN13" s="13">
        <f t="shared" si="0"/>
        <v>2.3059715342602503E-4</v>
      </c>
      <c r="BO13" s="13">
        <f t="shared" si="0"/>
        <v>2.5768196628072645E-3</v>
      </c>
      <c r="BP13" s="13">
        <f t="shared" ref="BP13:EA15" si="1">(BP3-BP9)^2</f>
        <v>2.7993172365649789E-3</v>
      </c>
      <c r="BQ13" s="13">
        <f t="shared" si="1"/>
        <v>1.1465617679313619E-3</v>
      </c>
      <c r="BR13" s="13">
        <f t="shared" si="1"/>
        <v>1.1036799775341287E-3</v>
      </c>
      <c r="BS13" s="13">
        <f t="shared" si="1"/>
        <v>1.5054360854689377E-3</v>
      </c>
      <c r="BT13" s="13">
        <f t="shared" si="1"/>
        <v>4.2676074456876831E-5</v>
      </c>
      <c r="BU13" s="13">
        <f t="shared" si="1"/>
        <v>2.3796624421989132E-4</v>
      </c>
      <c r="BV13" s="13">
        <f t="shared" si="1"/>
        <v>3.9841214748159159E-3</v>
      </c>
      <c r="BW13" s="13">
        <f t="shared" si="1"/>
        <v>3.7909275657875522E-3</v>
      </c>
      <c r="BX13" s="13">
        <f t="shared" si="1"/>
        <v>4.5677810677632338E-4</v>
      </c>
      <c r="BY13" s="13">
        <f t="shared" si="1"/>
        <v>9.690913415705894E-3</v>
      </c>
      <c r="BZ13" s="13">
        <f t="shared" si="1"/>
        <v>6.8683725554739032E-3</v>
      </c>
      <c r="CA13" s="13">
        <f t="shared" si="1"/>
        <v>2.0928509941473213E-2</v>
      </c>
      <c r="CB13" s="13">
        <f t="shared" si="1"/>
        <v>1.7510528507052982E-4</v>
      </c>
      <c r="CC13" s="13">
        <f t="shared" si="1"/>
        <v>1.5637804289721131E-3</v>
      </c>
      <c r="CD13" s="13">
        <f t="shared" si="1"/>
        <v>3.2611169688744376E-2</v>
      </c>
      <c r="CE13" s="13">
        <f t="shared" si="1"/>
        <v>1.0921768319050492E-3</v>
      </c>
      <c r="CF13" s="13">
        <f t="shared" si="1"/>
        <v>1.6075197306809606E-3</v>
      </c>
      <c r="CG13" s="13">
        <f t="shared" si="1"/>
        <v>4.5452986217604111E-3</v>
      </c>
      <c r="CH13" s="13">
        <f t="shared" si="1"/>
        <v>9.0464296550789598E-3</v>
      </c>
      <c r="CI13" s="13">
        <f t="shared" si="1"/>
        <v>1.7633520841848837E-2</v>
      </c>
      <c r="CJ13" s="13">
        <f t="shared" si="1"/>
        <v>4.2565056113699057E-4</v>
      </c>
      <c r="CK13" s="13">
        <f t="shared" si="1"/>
        <v>5.0056521074903044E-4</v>
      </c>
      <c r="CL13" s="13">
        <f t="shared" si="1"/>
        <v>5.1810791877001272E-2</v>
      </c>
      <c r="CM13" s="13">
        <f t="shared" si="1"/>
        <v>2.7062340770701338E-3</v>
      </c>
      <c r="CN13" s="13">
        <f t="shared" si="1"/>
        <v>4.6288709014999721E-3</v>
      </c>
      <c r="CO13" s="13">
        <f t="shared" si="1"/>
        <v>3.6334591166952996E-3</v>
      </c>
      <c r="CP13" s="13">
        <f t="shared" si="1"/>
        <v>8.5928774663676048E-3</v>
      </c>
      <c r="CQ13" s="13">
        <f t="shared" si="1"/>
        <v>1.8951643967788739E-2</v>
      </c>
      <c r="CR13" s="13">
        <f t="shared" si="1"/>
        <v>8.9759194218077426E-4</v>
      </c>
      <c r="CS13" s="13">
        <f t="shared" si="1"/>
        <v>3.1224282549671173E-3</v>
      </c>
      <c r="CT13" s="13">
        <f t="shared" si="1"/>
        <v>8.2317114364290392E-4</v>
      </c>
      <c r="CU13" s="13">
        <f t="shared" si="1"/>
        <v>6.0641434415625748E-3</v>
      </c>
      <c r="CV13" s="13">
        <f t="shared" si="1"/>
        <v>2.1320332759863538E-3</v>
      </c>
      <c r="CW13" s="13">
        <f t="shared" si="1"/>
        <v>2.2166496861215468E-6</v>
      </c>
      <c r="CX13" s="13">
        <f t="shared" si="1"/>
        <v>1.0000614402197192E-2</v>
      </c>
      <c r="CY13" s="13">
        <f t="shared" si="1"/>
        <v>3.4401887644727423E-3</v>
      </c>
      <c r="CZ13" s="13">
        <f t="shared" si="1"/>
        <v>3.3242798293518463E-2</v>
      </c>
      <c r="DA13" s="13">
        <f t="shared" si="1"/>
        <v>1.0501517181192533E-2</v>
      </c>
      <c r="DB13" s="13">
        <f t="shared" si="1"/>
        <v>2.8544566974232724E-3</v>
      </c>
      <c r="DC13" s="13">
        <f t="shared" si="1"/>
        <v>5.7794474848691787E-3</v>
      </c>
      <c r="DD13" s="13">
        <f t="shared" si="1"/>
        <v>1.2529660810308523E-3</v>
      </c>
      <c r="DE13" s="13">
        <f t="shared" si="1"/>
        <v>1.8398668425243553E-3</v>
      </c>
      <c r="DF13" s="13">
        <f t="shared" si="1"/>
        <v>1.6800388454677206E-3</v>
      </c>
      <c r="DG13" s="13">
        <f t="shared" si="1"/>
        <v>1.2851020100809959E-2</v>
      </c>
      <c r="DH13" s="13">
        <f t="shared" si="1"/>
        <v>3.6763033297246284E-3</v>
      </c>
      <c r="DI13" s="13">
        <f t="shared" si="1"/>
        <v>1.9156895583079682E-2</v>
      </c>
      <c r="DJ13" s="13">
        <f t="shared" si="1"/>
        <v>3.5874795605575808E-5</v>
      </c>
      <c r="DK13" s="13">
        <f t="shared" si="1"/>
        <v>7.3739309900463833E-3</v>
      </c>
      <c r="DL13" s="13">
        <f t="shared" si="1"/>
        <v>1.3860664805122409E-3</v>
      </c>
      <c r="DM13" s="13">
        <f t="shared" si="1"/>
        <v>4.3091344350415905E-3</v>
      </c>
      <c r="DN13" s="13">
        <f t="shared" si="1"/>
        <v>6.2359834091720743E-3</v>
      </c>
      <c r="DO13" s="13">
        <f t="shared" si="1"/>
        <v>6.991404042102511E-5</v>
      </c>
      <c r="DP13" s="13">
        <f t="shared" si="1"/>
        <v>2.446735819799639E-3</v>
      </c>
      <c r="DQ13" s="13">
        <f t="shared" si="1"/>
        <v>2.1605477417619437E-2</v>
      </c>
      <c r="DR13" s="13">
        <f t="shared" si="1"/>
        <v>3.6257604225061199E-3</v>
      </c>
      <c r="DS13" s="13">
        <f t="shared" si="1"/>
        <v>1.1798916818065693E-2</v>
      </c>
      <c r="DT13" s="13">
        <f t="shared" si="1"/>
        <v>1.7177898515198794E-2</v>
      </c>
      <c r="DU13" s="13">
        <f t="shared" si="1"/>
        <v>4.4184157099230823E-4</v>
      </c>
      <c r="DV13" s="13">
        <f t="shared" si="1"/>
        <v>1.1832323614087285E-2</v>
      </c>
      <c r="DW13" s="13">
        <f t="shared" si="1"/>
        <v>3.5489800304535951E-3</v>
      </c>
      <c r="DX13" s="13">
        <f t="shared" si="1"/>
        <v>1.8517266135324756E-2</v>
      </c>
      <c r="DY13" s="13">
        <f t="shared" si="1"/>
        <v>2.756663407826349E-3</v>
      </c>
      <c r="DZ13" s="13">
        <f t="shared" si="1"/>
        <v>3.6166358585892062E-3</v>
      </c>
      <c r="EA13" s="13">
        <f t="shared" si="1"/>
        <v>1.6876789326386653E-2</v>
      </c>
      <c r="EB13" s="13">
        <f t="shared" ref="EB13:EF15" si="2">(EB3-EB9)^2</f>
        <v>7.3047383035422834E-4</v>
      </c>
      <c r="EC13" s="13">
        <f t="shared" si="2"/>
        <v>1.6517994019029619E-3</v>
      </c>
      <c r="ED13" s="13">
        <f t="shared" si="2"/>
        <v>3.6696580622976357E-2</v>
      </c>
      <c r="EE13" s="13">
        <f t="shared" si="2"/>
        <v>2.9264200514043113E-3</v>
      </c>
      <c r="EF13" s="13">
        <f t="shared" si="2"/>
        <v>1.4751062444789461E-3</v>
      </c>
    </row>
    <row r="14" spans="1:137">
      <c r="A14" s="12"/>
      <c r="B14" s="14" t="s">
        <v>137</v>
      </c>
      <c r="C14" s="13">
        <f t="shared" ref="C14:BN15" si="3">(C4-C10)^2</f>
        <v>3.9176001460343737E-2</v>
      </c>
      <c r="D14" s="13">
        <f t="shared" si="3"/>
        <v>4.3874009175650874E-2</v>
      </c>
      <c r="E14" s="13">
        <f t="shared" si="3"/>
        <v>8.5130987524936804E-5</v>
      </c>
      <c r="F14" s="13">
        <f t="shared" si="3"/>
        <v>9.3099617236751236E-3</v>
      </c>
      <c r="G14" s="13">
        <f t="shared" si="3"/>
        <v>4.9381038321888004E-4</v>
      </c>
      <c r="H14" s="13">
        <f t="shared" si="3"/>
        <v>4.5376022921247341E-3</v>
      </c>
      <c r="I14" s="13">
        <f t="shared" si="3"/>
        <v>1.198009802485706E-3</v>
      </c>
      <c r="J14" s="13">
        <f t="shared" si="3"/>
        <v>1.5610002855284012E-2</v>
      </c>
      <c r="K14" s="13">
        <f t="shared" si="3"/>
        <v>1.3800083050066064E-4</v>
      </c>
      <c r="L14" s="13">
        <f t="shared" si="3"/>
        <v>1.6405900354376612E-2</v>
      </c>
      <c r="M14" s="13">
        <f t="shared" si="3"/>
        <v>2.4558376122719511E-4</v>
      </c>
      <c r="N14" s="13">
        <f t="shared" si="3"/>
        <v>3.1112135319305768E-2</v>
      </c>
      <c r="O14" s="13">
        <f t="shared" si="3"/>
        <v>4.0872510447571809E-4</v>
      </c>
      <c r="P14" s="13">
        <f t="shared" si="3"/>
        <v>1.2881262652185478E-2</v>
      </c>
      <c r="Q14" s="13">
        <f t="shared" si="3"/>
        <v>1.121602257545174E-3</v>
      </c>
      <c r="R14" s="13">
        <f t="shared" si="3"/>
        <v>2.5188832074265173E-3</v>
      </c>
      <c r="S14" s="13">
        <f t="shared" si="3"/>
        <v>1.7452671280464509E-2</v>
      </c>
      <c r="T14" s="13">
        <f t="shared" si="3"/>
        <v>2.4930060170572513E-3</v>
      </c>
      <c r="U14" s="13">
        <f t="shared" si="3"/>
        <v>2.52095628696396E-3</v>
      </c>
      <c r="V14" s="13">
        <f t="shared" si="3"/>
        <v>1.283616026671532E-3</v>
      </c>
      <c r="W14" s="13">
        <f t="shared" si="3"/>
        <v>1.0467377913091793E-2</v>
      </c>
      <c r="X14" s="13">
        <f t="shared" si="3"/>
        <v>9.6009618692091084E-5</v>
      </c>
      <c r="Y14" s="13">
        <f t="shared" si="3"/>
        <v>1.470005792729731E-3</v>
      </c>
      <c r="Z14" s="13">
        <f t="shared" si="3"/>
        <v>8.9900570043658496E-4</v>
      </c>
      <c r="AA14" s="13">
        <f t="shared" si="3"/>
        <v>5.6820097511083309E-3</v>
      </c>
      <c r="AB14" s="13">
        <f t="shared" si="3"/>
        <v>2.9241563910958239E-4</v>
      </c>
      <c r="AC14" s="13">
        <f t="shared" si="3"/>
        <v>6.0866566857745283E-4</v>
      </c>
      <c r="AD14" s="13">
        <f t="shared" si="3"/>
        <v>1.0906575330571022E-3</v>
      </c>
      <c r="AE14" s="13">
        <f t="shared" si="3"/>
        <v>2.985679936786655E-2</v>
      </c>
      <c r="AF14" s="13">
        <f t="shared" si="3"/>
        <v>9.7871762791234274E-3</v>
      </c>
      <c r="AG14" s="13">
        <f t="shared" si="3"/>
        <v>3.2832479329016183E-5</v>
      </c>
      <c r="AH14" s="13">
        <f t="shared" si="3"/>
        <v>4.0587116666695734E-4</v>
      </c>
      <c r="AI14" s="13">
        <f t="shared" si="3"/>
        <v>4.3874487116405818E-4</v>
      </c>
      <c r="AJ14" s="13">
        <f t="shared" si="3"/>
        <v>7.0222746149202204E-4</v>
      </c>
      <c r="AK14" s="13">
        <f t="shared" si="3"/>
        <v>5.3972057865065641E-4</v>
      </c>
      <c r="AL14" s="13">
        <f t="shared" si="3"/>
        <v>6.5809364730409214E-3</v>
      </c>
      <c r="AM14" s="13">
        <f t="shared" si="3"/>
        <v>1.0805065895824719E-4</v>
      </c>
      <c r="AN14" s="13">
        <f t="shared" si="3"/>
        <v>8.96664960726796E-3</v>
      </c>
      <c r="AO14" s="13">
        <f t="shared" si="3"/>
        <v>4.0827954046876181E-4</v>
      </c>
      <c r="AP14" s="13">
        <f t="shared" si="3"/>
        <v>4.8670983723261954E-4</v>
      </c>
      <c r="AQ14" s="13">
        <f t="shared" si="3"/>
        <v>3.2620709216740801E-3</v>
      </c>
      <c r="AR14" s="13">
        <f t="shared" si="3"/>
        <v>4.9521509601152224E-3</v>
      </c>
      <c r="AS14" s="13">
        <f t="shared" si="3"/>
        <v>1.0764094235343774E-6</v>
      </c>
      <c r="AT14" s="13">
        <f t="shared" si="3"/>
        <v>1.1533089841611429E-4</v>
      </c>
      <c r="AU14" s="13">
        <f t="shared" si="3"/>
        <v>1.9310146449833174E-2</v>
      </c>
      <c r="AV14" s="13">
        <f t="shared" si="3"/>
        <v>1.348459469891379E-3</v>
      </c>
      <c r="AW14" s="13">
        <f t="shared" si="3"/>
        <v>8.9026748260405742E-5</v>
      </c>
      <c r="AX14" s="13">
        <f t="shared" si="3"/>
        <v>3.5333515193602613E-4</v>
      </c>
      <c r="AY14" s="13">
        <f t="shared" si="3"/>
        <v>3.1283693896092422E-3</v>
      </c>
      <c r="AZ14" s="13">
        <f t="shared" si="3"/>
        <v>1.3959587087197342E-2</v>
      </c>
      <c r="BA14" s="13">
        <f t="shared" si="3"/>
        <v>1.1551452972541395E-2</v>
      </c>
      <c r="BB14" s="13">
        <f t="shared" si="3"/>
        <v>1.4959708574449726E-3</v>
      </c>
      <c r="BC14" s="13">
        <f t="shared" si="3"/>
        <v>2.3152772349139578E-3</v>
      </c>
      <c r="BD14" s="13">
        <f t="shared" si="3"/>
        <v>8.2229308448561415E-3</v>
      </c>
      <c r="BE14" s="13">
        <f t="shared" si="3"/>
        <v>2.7795198367251077E-2</v>
      </c>
      <c r="BF14" s="13">
        <f t="shared" si="3"/>
        <v>4.2604968927169168E-3</v>
      </c>
      <c r="BG14" s="13">
        <f t="shared" si="3"/>
        <v>1.0176360094936955E-4</v>
      </c>
      <c r="BH14" s="13">
        <f t="shared" si="3"/>
        <v>4.2394240274244597E-3</v>
      </c>
      <c r="BI14" s="13">
        <f t="shared" si="3"/>
        <v>3.9058413640592165E-3</v>
      </c>
      <c r="BJ14" s="13">
        <f t="shared" si="3"/>
        <v>6.3278419419333263E-3</v>
      </c>
      <c r="BK14" s="13">
        <f t="shared" si="3"/>
        <v>1.3712735459987647E-2</v>
      </c>
      <c r="BL14" s="13">
        <f t="shared" si="3"/>
        <v>1.7744342023809243E-4</v>
      </c>
      <c r="BM14" s="13">
        <f t="shared" si="3"/>
        <v>6.5060607846521099E-3</v>
      </c>
      <c r="BN14" s="13">
        <f t="shared" si="3"/>
        <v>9.3948927953750126E-3</v>
      </c>
      <c r="BO14" s="13">
        <f t="shared" si="0"/>
        <v>1.4740236314058752E-6</v>
      </c>
      <c r="BP14" s="13">
        <f t="shared" si="1"/>
        <v>1.4139268412408612E-2</v>
      </c>
      <c r="BQ14" s="13">
        <f t="shared" si="1"/>
        <v>6.8079713339996742E-4</v>
      </c>
      <c r="BR14" s="13">
        <f t="shared" si="1"/>
        <v>2.1665629283754389E-3</v>
      </c>
      <c r="BS14" s="13">
        <f t="shared" si="1"/>
        <v>3.2081734016079031E-3</v>
      </c>
      <c r="BT14" s="13">
        <f t="shared" si="1"/>
        <v>1.3216436510027931E-2</v>
      </c>
      <c r="BU14" s="13">
        <f t="shared" si="1"/>
        <v>1.6933241147779419E-2</v>
      </c>
      <c r="BV14" s="13">
        <f t="shared" si="1"/>
        <v>8.3286010863563194E-3</v>
      </c>
      <c r="BW14" s="13">
        <f t="shared" si="1"/>
        <v>1.2432959947721565E-2</v>
      </c>
      <c r="BX14" s="13">
        <f t="shared" si="1"/>
        <v>9.5135251523332436E-4</v>
      </c>
      <c r="BY14" s="13">
        <f t="shared" si="1"/>
        <v>1.4543079843916132E-2</v>
      </c>
      <c r="BZ14" s="13">
        <f t="shared" si="1"/>
        <v>4.6326451631631968E-4</v>
      </c>
      <c r="CA14" s="13">
        <f t="shared" si="1"/>
        <v>4.3827193960252657E-3</v>
      </c>
      <c r="CB14" s="13">
        <f t="shared" si="1"/>
        <v>1.8366639580117049E-2</v>
      </c>
      <c r="CC14" s="13">
        <f t="shared" si="1"/>
        <v>8.9640362174023074E-4</v>
      </c>
      <c r="CD14" s="13">
        <f t="shared" si="1"/>
        <v>1.7089671496169382E-3</v>
      </c>
      <c r="CE14" s="13">
        <f t="shared" si="1"/>
        <v>4.2627258586368975E-2</v>
      </c>
      <c r="CF14" s="13">
        <f t="shared" si="1"/>
        <v>8.8211002096190167E-3</v>
      </c>
      <c r="CG14" s="13">
        <f t="shared" si="1"/>
        <v>3.3169117245526632E-3</v>
      </c>
      <c r="CH14" s="13">
        <f t="shared" si="1"/>
        <v>4.8844511661931154E-4</v>
      </c>
      <c r="CI14" s="13">
        <f t="shared" si="1"/>
        <v>4.3111667400240047E-3</v>
      </c>
      <c r="CJ14" s="13">
        <f t="shared" si="1"/>
        <v>6.7934093187759908E-5</v>
      </c>
      <c r="CK14" s="13">
        <f t="shared" si="1"/>
        <v>3.5758299874042707E-3</v>
      </c>
      <c r="CL14" s="13">
        <f t="shared" si="1"/>
        <v>8.3295222981423175E-4</v>
      </c>
      <c r="CM14" s="13">
        <f t="shared" si="1"/>
        <v>3.9255628533793115E-2</v>
      </c>
      <c r="CN14" s="13">
        <f t="shared" si="1"/>
        <v>2.4963141720996404E-3</v>
      </c>
      <c r="CO14" s="13">
        <f t="shared" si="1"/>
        <v>2.1061550034882314E-2</v>
      </c>
      <c r="CP14" s="13">
        <f t="shared" si="1"/>
        <v>5.0757328841251935E-3</v>
      </c>
      <c r="CQ14" s="13">
        <f t="shared" si="1"/>
        <v>3.3715539019397049E-2</v>
      </c>
      <c r="CR14" s="13">
        <f t="shared" si="1"/>
        <v>4.8239487496341332E-3</v>
      </c>
      <c r="CS14" s="13">
        <f t="shared" si="1"/>
        <v>3.9026027606771838E-6</v>
      </c>
      <c r="CT14" s="13">
        <f t="shared" si="1"/>
        <v>8.3338800482397161E-3</v>
      </c>
      <c r="CU14" s="13">
        <f t="shared" si="1"/>
        <v>1.4140260319010524E-3</v>
      </c>
      <c r="CV14" s="13">
        <f t="shared" si="1"/>
        <v>4.1361233008400494E-4</v>
      </c>
      <c r="CW14" s="13">
        <f t="shared" si="1"/>
        <v>1.3035645073505185E-3</v>
      </c>
      <c r="CX14" s="13">
        <f t="shared" si="1"/>
        <v>7.3088008634144457E-3</v>
      </c>
      <c r="CY14" s="13">
        <f t="shared" si="1"/>
        <v>5.029087789482147E-3</v>
      </c>
      <c r="CZ14" s="13">
        <f t="shared" si="1"/>
        <v>3.2445249484452633E-2</v>
      </c>
      <c r="DA14" s="13">
        <f t="shared" si="1"/>
        <v>4.4537464218150254E-3</v>
      </c>
      <c r="DB14" s="13">
        <f t="shared" si="1"/>
        <v>2.1343814177225001E-2</v>
      </c>
      <c r="DC14" s="13">
        <f t="shared" si="1"/>
        <v>2.5032650234727448E-3</v>
      </c>
      <c r="DD14" s="13">
        <f t="shared" si="1"/>
        <v>2.0920237273611832E-2</v>
      </c>
      <c r="DE14" s="13">
        <f t="shared" si="1"/>
        <v>1.3471355499860029E-2</v>
      </c>
      <c r="DF14" s="13">
        <f t="shared" si="1"/>
        <v>1.9514237444375297E-2</v>
      </c>
      <c r="DG14" s="13">
        <f t="shared" si="1"/>
        <v>6.6301699126885785E-2</v>
      </c>
      <c r="DH14" s="13">
        <f t="shared" si="1"/>
        <v>1.8460577529828409E-2</v>
      </c>
      <c r="DI14" s="13">
        <f t="shared" si="1"/>
        <v>6.9303723254432233E-3</v>
      </c>
      <c r="DJ14" s="13">
        <f t="shared" si="1"/>
        <v>4.0672198992060295E-3</v>
      </c>
      <c r="DK14" s="13">
        <f t="shared" si="1"/>
        <v>1.4372442786532727E-2</v>
      </c>
      <c r="DL14" s="13">
        <f t="shared" si="1"/>
        <v>5.3735255483886794E-4</v>
      </c>
      <c r="DM14" s="13">
        <f t="shared" si="1"/>
        <v>1.028582509726958E-2</v>
      </c>
      <c r="DN14" s="13">
        <f t="shared" si="1"/>
        <v>4.8954516161224049E-4</v>
      </c>
      <c r="DO14" s="13">
        <f t="shared" si="1"/>
        <v>5.729471005716141E-3</v>
      </c>
      <c r="DP14" s="13">
        <f t="shared" si="1"/>
        <v>1.0221508195707447E-2</v>
      </c>
      <c r="DQ14" s="13">
        <f t="shared" si="1"/>
        <v>7.2822950418123724E-3</v>
      </c>
      <c r="DR14" s="13">
        <f t="shared" si="1"/>
        <v>9.2235088954319212E-5</v>
      </c>
      <c r="DS14" s="13">
        <f t="shared" si="1"/>
        <v>1.746024741920341E-2</v>
      </c>
      <c r="DT14" s="13">
        <f t="shared" si="1"/>
        <v>1.430944308936628E-3</v>
      </c>
      <c r="DU14" s="13">
        <f t="shared" si="1"/>
        <v>4.0557244114010772E-2</v>
      </c>
      <c r="DV14" s="13">
        <f t="shared" si="1"/>
        <v>2.9977836214939083E-4</v>
      </c>
      <c r="DW14" s="13">
        <f t="shared" si="1"/>
        <v>6.7890875041272877E-3</v>
      </c>
      <c r="DX14" s="13">
        <f t="shared" si="1"/>
        <v>6.5813686908780034E-4</v>
      </c>
      <c r="DY14" s="13">
        <f t="shared" si="1"/>
        <v>5.4180382980752052E-3</v>
      </c>
      <c r="DZ14" s="13">
        <f t="shared" si="1"/>
        <v>1.467659147372651E-3</v>
      </c>
      <c r="EA14" s="13">
        <f t="shared" si="1"/>
        <v>8.9356535216556805E-3</v>
      </c>
      <c r="EB14" s="13">
        <f t="shared" si="2"/>
        <v>9.2095064625632766E-4</v>
      </c>
      <c r="EC14" s="13">
        <f t="shared" si="2"/>
        <v>8.5551548995607164E-3</v>
      </c>
      <c r="ED14" s="13">
        <f t="shared" si="2"/>
        <v>4.2905061343962297E-3</v>
      </c>
      <c r="EE14" s="13">
        <f t="shared" si="2"/>
        <v>3.2671888907910604E-2</v>
      </c>
      <c r="EF14" s="13">
        <f t="shared" si="2"/>
        <v>1.340000556095337E-2</v>
      </c>
    </row>
    <row r="15" spans="1:137">
      <c r="A15" s="12"/>
      <c r="B15" s="14" t="s">
        <v>138</v>
      </c>
      <c r="C15" s="13">
        <f t="shared" si="3"/>
        <v>3.3451304731529521E-3</v>
      </c>
      <c r="D15" s="13">
        <f t="shared" si="3"/>
        <v>1.8054683175916725E-3</v>
      </c>
      <c r="E15" s="13">
        <f t="shared" si="3"/>
        <v>6.6387540699843612E-4</v>
      </c>
      <c r="F15" s="13">
        <f t="shared" si="3"/>
        <v>9.0489688241783186E-3</v>
      </c>
      <c r="G15" s="13">
        <f t="shared" si="3"/>
        <v>1.0594401415062538E-2</v>
      </c>
      <c r="H15" s="13">
        <f t="shared" si="3"/>
        <v>4.3884932286253211E-5</v>
      </c>
      <c r="I15" s="13">
        <f t="shared" si="3"/>
        <v>9.1873997718134313E-4</v>
      </c>
      <c r="J15" s="13">
        <f t="shared" si="3"/>
        <v>2.6127747661608571E-4</v>
      </c>
      <c r="K15" s="13">
        <f t="shared" si="3"/>
        <v>3.6804126341517546E-3</v>
      </c>
      <c r="L15" s="13">
        <f t="shared" si="3"/>
        <v>9.7171105408760817E-5</v>
      </c>
      <c r="M15" s="13">
        <f t="shared" si="3"/>
        <v>1.1492348091202698E-3</v>
      </c>
      <c r="N15" s="13">
        <f t="shared" si="3"/>
        <v>7.7508776871032621E-3</v>
      </c>
      <c r="O15" s="13">
        <f t="shared" si="3"/>
        <v>2.6514941345921993E-3</v>
      </c>
      <c r="P15" s="13">
        <f t="shared" si="3"/>
        <v>1.6275037645355415E-4</v>
      </c>
      <c r="Q15" s="13">
        <f t="shared" si="3"/>
        <v>3.6971215223631095E-5</v>
      </c>
      <c r="R15" s="13">
        <f t="shared" si="3"/>
        <v>3.5804567250374212E-4</v>
      </c>
      <c r="S15" s="13">
        <f t="shared" si="3"/>
        <v>4.0029690802360847E-4</v>
      </c>
      <c r="T15" s="13">
        <f t="shared" si="3"/>
        <v>1.2837750007982179E-2</v>
      </c>
      <c r="U15" s="13">
        <f t="shared" si="3"/>
        <v>1.5001030982559195E-4</v>
      </c>
      <c r="V15" s="13">
        <f t="shared" si="3"/>
        <v>1.9231645930102594E-5</v>
      </c>
      <c r="W15" s="13">
        <f t="shared" si="3"/>
        <v>1.8869820846066931E-2</v>
      </c>
      <c r="X15" s="13">
        <f t="shared" si="3"/>
        <v>0.10411424246769942</v>
      </c>
      <c r="Y15" s="13">
        <f t="shared" si="3"/>
        <v>9.0838057363907543E-3</v>
      </c>
      <c r="Z15" s="13">
        <f t="shared" si="3"/>
        <v>3.2087140849442822E-2</v>
      </c>
      <c r="AA15" s="13">
        <f t="shared" si="3"/>
        <v>1.2564405181313611E-2</v>
      </c>
      <c r="AB15" s="13">
        <f t="shared" si="3"/>
        <v>2.4284985076521597E-3</v>
      </c>
      <c r="AC15" s="13">
        <f t="shared" si="3"/>
        <v>8.9260835965109583E-3</v>
      </c>
      <c r="AD15" s="13">
        <f t="shared" si="3"/>
        <v>4.8304680464764755E-3</v>
      </c>
      <c r="AE15" s="13">
        <f t="shared" si="3"/>
        <v>3.8941746531111134E-2</v>
      </c>
      <c r="AF15" s="13">
        <f t="shared" si="3"/>
        <v>2.6897811737324785E-2</v>
      </c>
      <c r="AG15" s="13">
        <f t="shared" si="3"/>
        <v>2.1012355758735611E-4</v>
      </c>
      <c r="AH15" s="13">
        <f t="shared" si="3"/>
        <v>4.1356080565905059E-6</v>
      </c>
      <c r="AI15" s="13">
        <f t="shared" si="3"/>
        <v>5.4205068322693984E-4</v>
      </c>
      <c r="AJ15" s="13">
        <f t="shared" si="3"/>
        <v>7.90785092067751E-4</v>
      </c>
      <c r="AK15" s="13">
        <f t="shared" si="3"/>
        <v>2.9608303665730087E-3</v>
      </c>
      <c r="AL15" s="13">
        <f t="shared" si="3"/>
        <v>9.9375494180940025E-3</v>
      </c>
      <c r="AM15" s="13">
        <f t="shared" si="3"/>
        <v>6.4911176107859583E-4</v>
      </c>
      <c r="AN15" s="13">
        <f t="shared" si="3"/>
        <v>3.152715475098251E-3</v>
      </c>
      <c r="AO15" s="13">
        <f t="shared" si="3"/>
        <v>4.5783085820494014E-3</v>
      </c>
      <c r="AP15" s="13">
        <f t="shared" si="3"/>
        <v>9.5517187032676573E-4</v>
      </c>
      <c r="AQ15" s="13">
        <f t="shared" si="3"/>
        <v>1.0924414736081277E-4</v>
      </c>
      <c r="AR15" s="13">
        <f t="shared" si="3"/>
        <v>1.0562901235513116E-3</v>
      </c>
      <c r="AS15" s="13">
        <f t="shared" si="3"/>
        <v>1.5151410671660562E-3</v>
      </c>
      <c r="AT15" s="13">
        <f t="shared" si="3"/>
        <v>1.967771190591491E-2</v>
      </c>
      <c r="AU15" s="13">
        <f t="shared" si="3"/>
        <v>2.5852407203966086E-3</v>
      </c>
      <c r="AV15" s="13">
        <f t="shared" si="3"/>
        <v>1.6338233621939709E-2</v>
      </c>
      <c r="AW15" s="13">
        <f t="shared" si="3"/>
        <v>2.16085661109473E-3</v>
      </c>
      <c r="AX15" s="13">
        <f t="shared" si="3"/>
        <v>2.613868851547026E-2</v>
      </c>
      <c r="AY15" s="13">
        <f t="shared" si="3"/>
        <v>3.794862690821734E-3</v>
      </c>
      <c r="AZ15" s="13">
        <f t="shared" si="3"/>
        <v>4.868359351986336E-3</v>
      </c>
      <c r="BA15" s="13">
        <f t="shared" si="3"/>
        <v>8.7956260317234141E-5</v>
      </c>
      <c r="BB15" s="13">
        <f t="shared" si="3"/>
        <v>2.4353932652443195E-2</v>
      </c>
      <c r="BC15" s="13">
        <f t="shared" si="3"/>
        <v>3.9366755612204249E-3</v>
      </c>
      <c r="BD15" s="13">
        <f t="shared" si="3"/>
        <v>2.3753399710032982E-4</v>
      </c>
      <c r="BE15" s="13">
        <f t="shared" si="3"/>
        <v>2.0819247821717863E-2</v>
      </c>
      <c r="BF15" s="13">
        <f t="shared" si="3"/>
        <v>4.3146762192369369E-2</v>
      </c>
      <c r="BG15" s="13">
        <f t="shared" si="3"/>
        <v>3.2664211373944214E-2</v>
      </c>
      <c r="BH15" s="13">
        <f t="shared" si="3"/>
        <v>5.435334162754212E-3</v>
      </c>
      <c r="BI15" s="13">
        <f t="shared" si="3"/>
        <v>3.8763861208070084E-3</v>
      </c>
      <c r="BJ15" s="13">
        <f t="shared" si="3"/>
        <v>1.9439494246494861E-4</v>
      </c>
      <c r="BK15" s="13">
        <f t="shared" si="3"/>
        <v>2.1154546614424986E-5</v>
      </c>
      <c r="BL15" s="13">
        <f t="shared" si="3"/>
        <v>2.3919560773405738E-2</v>
      </c>
      <c r="BM15" s="13">
        <f t="shared" si="3"/>
        <v>2.9132994824717151E-2</v>
      </c>
      <c r="BN15" s="13">
        <f t="shared" si="3"/>
        <v>6.6910999723623736E-4</v>
      </c>
      <c r="BO15" s="13">
        <f t="shared" si="0"/>
        <v>8.316582016748425E-4</v>
      </c>
      <c r="BP15" s="13">
        <f t="shared" si="1"/>
        <v>2.1402998704986554E-3</v>
      </c>
      <c r="BQ15" s="13">
        <f t="shared" si="1"/>
        <v>5.7752416521767726E-4</v>
      </c>
      <c r="BR15" s="13">
        <f t="shared" si="1"/>
        <v>3.3939776877423437E-2</v>
      </c>
      <c r="BS15" s="13">
        <f t="shared" si="1"/>
        <v>1.2787262520117462E-2</v>
      </c>
      <c r="BT15" s="13">
        <f t="shared" si="1"/>
        <v>1.2479477919810056E-3</v>
      </c>
      <c r="BU15" s="13">
        <f t="shared" si="1"/>
        <v>2.4110948217833162E-3</v>
      </c>
      <c r="BV15" s="13">
        <f t="shared" si="1"/>
        <v>1.5251397581084961E-2</v>
      </c>
      <c r="BW15" s="13">
        <f t="shared" si="1"/>
        <v>2.1523365194357647E-2</v>
      </c>
      <c r="BX15" s="13">
        <f t="shared" si="1"/>
        <v>8.1960559707298319E-6</v>
      </c>
      <c r="BY15" s="13">
        <f t="shared" si="1"/>
        <v>1.8105812132879758E-2</v>
      </c>
      <c r="BZ15" s="13">
        <f t="shared" si="1"/>
        <v>9.201639726077503E-4</v>
      </c>
      <c r="CA15" s="13">
        <f t="shared" si="1"/>
        <v>7.9608169097723444E-4</v>
      </c>
      <c r="CB15" s="13">
        <f t="shared" si="1"/>
        <v>3.3870902052203665E-3</v>
      </c>
      <c r="CC15" s="13">
        <f t="shared" si="1"/>
        <v>2.2890147163622406E-3</v>
      </c>
      <c r="CD15" s="13">
        <f t="shared" si="1"/>
        <v>5.9066166669696114E-3</v>
      </c>
      <c r="CE15" s="13">
        <f t="shared" si="1"/>
        <v>7.026557833154065E-3</v>
      </c>
      <c r="CF15" s="13">
        <f t="shared" si="1"/>
        <v>1.242655071406421E-6</v>
      </c>
      <c r="CG15" s="13">
        <f t="shared" si="1"/>
        <v>1.3798951860476307E-2</v>
      </c>
      <c r="CH15" s="13">
        <f t="shared" si="1"/>
        <v>6.1526337351238303E-4</v>
      </c>
      <c r="CI15" s="13">
        <f t="shared" si="1"/>
        <v>4.7441961293557483E-3</v>
      </c>
      <c r="CJ15" s="13">
        <f t="shared" si="1"/>
        <v>5.6611971719943657E-2</v>
      </c>
      <c r="CK15" s="13">
        <f t="shared" si="1"/>
        <v>1.7975489247378778E-2</v>
      </c>
      <c r="CL15" s="13">
        <f t="shared" si="1"/>
        <v>1.7382818048833588E-2</v>
      </c>
      <c r="CM15" s="13">
        <f t="shared" si="1"/>
        <v>1.3877646215803723E-2</v>
      </c>
      <c r="CN15" s="13">
        <f t="shared" si="1"/>
        <v>4.8671101034002295E-2</v>
      </c>
      <c r="CO15" s="13">
        <f t="shared" si="1"/>
        <v>1.4801069357673814E-2</v>
      </c>
      <c r="CP15" s="13">
        <f t="shared" si="1"/>
        <v>6.6783183677178622E-4</v>
      </c>
      <c r="CQ15" s="13">
        <f t="shared" si="1"/>
        <v>4.6759796985414416E-2</v>
      </c>
      <c r="CR15" s="13">
        <f t="shared" si="1"/>
        <v>1.7630639235925092E-2</v>
      </c>
      <c r="CS15" s="13">
        <f t="shared" si="1"/>
        <v>8.9706489276952257E-3</v>
      </c>
      <c r="CT15" s="13">
        <f t="shared" si="1"/>
        <v>6.193427984354929E-4</v>
      </c>
      <c r="CU15" s="13">
        <f t="shared" si="1"/>
        <v>8.0203463493973892E-2</v>
      </c>
      <c r="CV15" s="13">
        <f t="shared" si="1"/>
        <v>7.2106314447658401E-2</v>
      </c>
      <c r="CW15" s="13">
        <f t="shared" si="1"/>
        <v>1.1018668389112118E-2</v>
      </c>
      <c r="CX15" s="13">
        <f t="shared" si="1"/>
        <v>1.6670740521151171E-2</v>
      </c>
      <c r="CY15" s="13">
        <f t="shared" si="1"/>
        <v>7.5080326428721483E-3</v>
      </c>
      <c r="CZ15" s="13">
        <f t="shared" si="1"/>
        <v>2.2643004072633493E-3</v>
      </c>
      <c r="DA15" s="13">
        <f t="shared" si="1"/>
        <v>6.7667515492104927E-3</v>
      </c>
      <c r="DB15" s="13">
        <f t="shared" si="1"/>
        <v>2.1005649159088931E-2</v>
      </c>
      <c r="DC15" s="13">
        <f t="shared" si="1"/>
        <v>5.5947979047342106E-3</v>
      </c>
      <c r="DD15" s="13">
        <f t="shared" si="1"/>
        <v>3.021764990557177E-2</v>
      </c>
      <c r="DE15" s="13">
        <f t="shared" si="1"/>
        <v>1.0561935796517272E-2</v>
      </c>
      <c r="DF15" s="13">
        <f t="shared" si="1"/>
        <v>4.303922844901613E-3</v>
      </c>
      <c r="DG15" s="13">
        <f t="shared" si="1"/>
        <v>4.8223473213981384E-2</v>
      </c>
      <c r="DH15" s="13">
        <f t="shared" si="1"/>
        <v>5.8773931698727511E-3</v>
      </c>
      <c r="DI15" s="13">
        <f t="shared" si="1"/>
        <v>5.5908217694837633E-3</v>
      </c>
      <c r="DJ15" s="13">
        <f t="shared" si="1"/>
        <v>1.4534939044869695E-2</v>
      </c>
      <c r="DK15" s="13">
        <f t="shared" si="1"/>
        <v>1.5789988188437502E-5</v>
      </c>
      <c r="DL15" s="13">
        <f t="shared" si="1"/>
        <v>4.4166300422233823E-3</v>
      </c>
      <c r="DM15" s="13">
        <f t="shared" si="1"/>
        <v>3.0299688092201034E-4</v>
      </c>
      <c r="DN15" s="13">
        <f t="shared" si="1"/>
        <v>1.3462608543467567E-3</v>
      </c>
      <c r="DO15" s="13">
        <f t="shared" si="1"/>
        <v>1.0100730426855159E-2</v>
      </c>
      <c r="DP15" s="13">
        <f t="shared" si="1"/>
        <v>5.4381665333302236E-2</v>
      </c>
      <c r="DQ15" s="13">
        <f t="shared" si="1"/>
        <v>6.192588839884762E-2</v>
      </c>
      <c r="DR15" s="13">
        <f t="shared" si="1"/>
        <v>5.5053267331728297E-5</v>
      </c>
      <c r="DS15" s="13">
        <f t="shared" si="1"/>
        <v>1.8117299668493052E-2</v>
      </c>
      <c r="DT15" s="13">
        <f t="shared" si="1"/>
        <v>1.3195340056385448E-2</v>
      </c>
      <c r="DU15" s="13">
        <f t="shared" si="1"/>
        <v>9.3529700586345143E-3</v>
      </c>
      <c r="DV15" s="13">
        <f t="shared" si="1"/>
        <v>3.7686557611737461E-3</v>
      </c>
      <c r="DW15" s="13">
        <f t="shared" si="1"/>
        <v>8.7136896348959558E-4</v>
      </c>
      <c r="DX15" s="13">
        <f t="shared" si="1"/>
        <v>2.9148569473060417E-3</v>
      </c>
      <c r="DY15" s="13">
        <f t="shared" si="1"/>
        <v>4.278073602461973E-3</v>
      </c>
      <c r="DZ15" s="13">
        <f t="shared" si="1"/>
        <v>1.2601694437312604E-4</v>
      </c>
      <c r="EA15" s="13">
        <f t="shared" si="1"/>
        <v>8.9642135841299764E-2</v>
      </c>
      <c r="EB15" s="13">
        <f t="shared" si="2"/>
        <v>1.5341857402182494E-2</v>
      </c>
      <c r="EC15" s="13">
        <f t="shared" si="2"/>
        <v>7.5295236451482448E-5</v>
      </c>
      <c r="ED15" s="13">
        <f t="shared" si="2"/>
        <v>4.7418949952625329E-3</v>
      </c>
      <c r="EE15" s="13">
        <f t="shared" si="2"/>
        <v>1.7541489105589197E-2</v>
      </c>
      <c r="EF15" s="13">
        <f t="shared" si="2"/>
        <v>6.8701677430284417E-3</v>
      </c>
    </row>
    <row r="16" spans="1:137">
      <c r="A16" s="12"/>
      <c r="B16" s="12"/>
    </row>
    <row r="17" spans="1:136">
      <c r="A17" s="4" t="s">
        <v>153</v>
      </c>
      <c r="B17" s="14" t="s">
        <v>136</v>
      </c>
      <c r="C17" s="13">
        <f>C9^2</f>
        <v>1.1904082277860264E-2</v>
      </c>
      <c r="D17" s="13">
        <f t="shared" ref="D17:BO19" si="4">D9^2</f>
        <v>2.1247676054046116E-4</v>
      </c>
      <c r="E17" s="13">
        <f t="shared" si="4"/>
        <v>1.3071374994951929E-3</v>
      </c>
      <c r="F17" s="13">
        <f t="shared" si="4"/>
        <v>2.2492264027630889E-5</v>
      </c>
      <c r="G17" s="13">
        <f t="shared" si="4"/>
        <v>3.3036666141783492E-5</v>
      </c>
      <c r="H17" s="13">
        <f t="shared" si="4"/>
        <v>2.4381891708842936E-3</v>
      </c>
      <c r="I17" s="13">
        <f t="shared" si="4"/>
        <v>3.3581210916677484E-2</v>
      </c>
      <c r="J17" s="13">
        <f t="shared" si="4"/>
        <v>1.3569060155122757E-2</v>
      </c>
      <c r="K17" s="13">
        <f t="shared" si="4"/>
        <v>9.3605069620112215E-4</v>
      </c>
      <c r="L17" s="13">
        <f t="shared" si="4"/>
        <v>3.9315162352171023E-4</v>
      </c>
      <c r="M17" s="13">
        <f t="shared" si="4"/>
        <v>4.4095826822239875E-4</v>
      </c>
      <c r="N17" s="13">
        <f t="shared" si="4"/>
        <v>2.2433876085478928E-2</v>
      </c>
      <c r="O17" s="13">
        <f t="shared" si="4"/>
        <v>2.3911693040638534E-4</v>
      </c>
      <c r="P17" s="13">
        <f t="shared" si="4"/>
        <v>8.4258302823047079E-3</v>
      </c>
      <c r="Q17" s="13">
        <f t="shared" si="4"/>
        <v>5.9921553092687051E-3</v>
      </c>
      <c r="R17" s="13">
        <f t="shared" si="4"/>
        <v>3.0004754709051702E-3</v>
      </c>
      <c r="S17" s="13">
        <f t="shared" si="4"/>
        <v>1.5708708491616E-2</v>
      </c>
      <c r="T17" s="13">
        <f t="shared" si="4"/>
        <v>1.4173716945580542E-2</v>
      </c>
      <c r="U17" s="13">
        <f t="shared" si="4"/>
        <v>1.4265767398050631E-3</v>
      </c>
      <c r="V17" s="13">
        <f t="shared" si="4"/>
        <v>6.5908131416074602E-3</v>
      </c>
      <c r="W17" s="13">
        <f t="shared" si="4"/>
        <v>7.0575066817627407E-3</v>
      </c>
      <c r="X17" s="13">
        <f t="shared" si="4"/>
        <v>2.1612338960948319E-2</v>
      </c>
      <c r="Y17" s="13">
        <f t="shared" si="4"/>
        <v>1.5715264241471783E-2</v>
      </c>
      <c r="Z17" s="13">
        <f t="shared" si="4"/>
        <v>3.6846166718653456E-2</v>
      </c>
      <c r="AA17" s="13">
        <f t="shared" si="4"/>
        <v>7.1184289266528374E-3</v>
      </c>
      <c r="AB17" s="13">
        <f t="shared" si="4"/>
        <v>5.3140620982757656E-3</v>
      </c>
      <c r="AC17" s="13">
        <f t="shared" si="4"/>
        <v>1.0527695785516851E-2</v>
      </c>
      <c r="AD17" s="13">
        <f t="shared" si="4"/>
        <v>2.4869817519127077E-4</v>
      </c>
      <c r="AE17" s="13">
        <f t="shared" si="4"/>
        <v>2.3106177330172069E-2</v>
      </c>
      <c r="AF17" s="13">
        <f t="shared" si="4"/>
        <v>3.5105923035905259E-3</v>
      </c>
      <c r="AG17" s="13">
        <f t="shared" si="4"/>
        <v>1.6915301264337771E-2</v>
      </c>
      <c r="AH17" s="13">
        <f t="shared" si="4"/>
        <v>1.328403665826966E-2</v>
      </c>
      <c r="AI17" s="13">
        <f t="shared" si="4"/>
        <v>1.0631917918075163E-3</v>
      </c>
      <c r="AJ17" s="13">
        <f t="shared" si="4"/>
        <v>7.8395043318640434E-4</v>
      </c>
      <c r="AK17" s="13">
        <f t="shared" si="4"/>
        <v>2.1482887422166509E-2</v>
      </c>
      <c r="AL17" s="13">
        <f t="shared" si="4"/>
        <v>1.668062549107739E-3</v>
      </c>
      <c r="AM17" s="13">
        <f t="shared" si="4"/>
        <v>1.7259749824038686E-2</v>
      </c>
      <c r="AN17" s="13">
        <f t="shared" si="4"/>
        <v>4.9032555464976403E-2</v>
      </c>
      <c r="AO17" s="13">
        <f t="shared" si="4"/>
        <v>4.3852711121876225E-4</v>
      </c>
      <c r="AP17" s="13">
        <f t="shared" si="4"/>
        <v>1.8812851996102171E-2</v>
      </c>
      <c r="AQ17" s="13">
        <f t="shared" si="4"/>
        <v>6.1915646627000822E-4</v>
      </c>
      <c r="AR17" s="13">
        <f t="shared" si="4"/>
        <v>2.4068328718584233E-4</v>
      </c>
      <c r="AS17" s="13">
        <f t="shared" si="4"/>
        <v>1.1815056389704321E-3</v>
      </c>
      <c r="AT17" s="13">
        <f t="shared" si="4"/>
        <v>3.9810656089414309E-3</v>
      </c>
      <c r="AU17" s="13">
        <f t="shared" si="4"/>
        <v>1.8694983030806238E-3</v>
      </c>
      <c r="AV17" s="13">
        <f t="shared" si="4"/>
        <v>5.5101474414569638E-3</v>
      </c>
      <c r="AW17" s="13">
        <f t="shared" si="4"/>
        <v>7.8371035043392316E-4</v>
      </c>
      <c r="AX17" s="13">
        <f t="shared" si="4"/>
        <v>1.4367478657017244E-2</v>
      </c>
      <c r="AY17" s="13">
        <f t="shared" si="4"/>
        <v>5.8613679493322605E-3</v>
      </c>
      <c r="AZ17" s="13">
        <f t="shared" si="4"/>
        <v>4.7220968054589304E-4</v>
      </c>
      <c r="BA17" s="13">
        <f t="shared" si="4"/>
        <v>1.5536707046446584E-6</v>
      </c>
      <c r="BB17" s="13">
        <f t="shared" si="4"/>
        <v>1.0200156097581669E-2</v>
      </c>
      <c r="BC17" s="13">
        <f t="shared" si="4"/>
        <v>8.8964574469951819E-4</v>
      </c>
      <c r="BD17" s="13">
        <f t="shared" si="4"/>
        <v>7.5268956977767048E-5</v>
      </c>
      <c r="BE17" s="13">
        <f t="shared" si="4"/>
        <v>4.7000904970756216E-3</v>
      </c>
      <c r="BF17" s="13">
        <f t="shared" si="4"/>
        <v>2.4621562948682934E-2</v>
      </c>
      <c r="BG17" s="13">
        <f t="shared" si="4"/>
        <v>2.5345828645073384E-2</v>
      </c>
      <c r="BH17" s="13">
        <f t="shared" si="4"/>
        <v>3.7358582565093718E-3</v>
      </c>
      <c r="BI17" s="13">
        <f t="shared" si="4"/>
        <v>9.3921007423280172E-3</v>
      </c>
      <c r="BJ17" s="13">
        <f t="shared" si="4"/>
        <v>2.9971517217047563E-3</v>
      </c>
      <c r="BK17" s="13">
        <f t="shared" si="4"/>
        <v>7.6550185977651616E-3</v>
      </c>
      <c r="BL17" s="13">
        <f t="shared" si="4"/>
        <v>8.9164103340217925E-3</v>
      </c>
      <c r="BM17" s="13">
        <f t="shared" si="4"/>
        <v>4.9244308753160887E-4</v>
      </c>
      <c r="BN17" s="13">
        <f t="shared" si="4"/>
        <v>2.4425352677185161E-4</v>
      </c>
      <c r="BO17" s="13">
        <f t="shared" si="4"/>
        <v>6.6289298211247571E-3</v>
      </c>
      <c r="BP17" s="13">
        <f t="shared" ref="BP17:EA19" si="5">BP9^2</f>
        <v>3.4258094968395863E-4</v>
      </c>
      <c r="BQ17" s="13">
        <f t="shared" si="5"/>
        <v>4.7237535213055463E-3</v>
      </c>
      <c r="BR17" s="13">
        <f t="shared" si="5"/>
        <v>9.6246407867516525E-6</v>
      </c>
      <c r="BS17" s="13">
        <f t="shared" si="5"/>
        <v>5.6196639138378088E-3</v>
      </c>
      <c r="BT17" s="13">
        <f t="shared" si="5"/>
        <v>2.0431835304301382E-3</v>
      </c>
      <c r="BU17" s="13">
        <f t="shared" si="5"/>
        <v>6.5932524502488709E-4</v>
      </c>
      <c r="BV17" s="13">
        <f t="shared" si="5"/>
        <v>8.427980119369332E-3</v>
      </c>
      <c r="BW17" s="13">
        <f t="shared" si="5"/>
        <v>6.9453326513524774E-4</v>
      </c>
      <c r="BX17" s="13">
        <f t="shared" si="5"/>
        <v>3.7615951743202121E-4</v>
      </c>
      <c r="BY17" s="13">
        <f t="shared" si="5"/>
        <v>5.9042164483032638E-3</v>
      </c>
      <c r="BZ17" s="13">
        <f t="shared" si="5"/>
        <v>1.2839000623048005E-2</v>
      </c>
      <c r="CA17" s="13">
        <f t="shared" si="5"/>
        <v>1.1525082059920233E-2</v>
      </c>
      <c r="CB17" s="13">
        <f t="shared" si="5"/>
        <v>1.6682967477483388E-3</v>
      </c>
      <c r="CC17" s="13">
        <f t="shared" si="5"/>
        <v>3.9210767823715285E-4</v>
      </c>
      <c r="CD17" s="13">
        <f t="shared" si="5"/>
        <v>3.548592802252902E-2</v>
      </c>
      <c r="CE17" s="13">
        <f t="shared" si="5"/>
        <v>3.0885701458901937E-3</v>
      </c>
      <c r="CF17" s="13">
        <f t="shared" si="5"/>
        <v>5.6058275198580514E-3</v>
      </c>
      <c r="CG17" s="13">
        <f t="shared" si="5"/>
        <v>1.0000038380535725E-2</v>
      </c>
      <c r="CH17" s="13">
        <f t="shared" si="5"/>
        <v>1.850190885600296E-2</v>
      </c>
      <c r="CI17" s="13">
        <f t="shared" si="5"/>
        <v>8.7873778374468071E-3</v>
      </c>
      <c r="CJ17" s="13">
        <f t="shared" si="5"/>
        <v>1.5449609443997168E-5</v>
      </c>
      <c r="CK17" s="13">
        <f t="shared" si="5"/>
        <v>3.1931288133821255E-3</v>
      </c>
      <c r="CL17" s="13">
        <f t="shared" si="5"/>
        <v>6.9456377220562526E-2</v>
      </c>
      <c r="CM17" s="13">
        <f t="shared" si="5"/>
        <v>9.1306336429085243E-5</v>
      </c>
      <c r="CN17" s="13">
        <f t="shared" si="5"/>
        <v>9.9299981066329653E-4</v>
      </c>
      <c r="CO17" s="13">
        <f t="shared" si="5"/>
        <v>5.1162058729769763E-4</v>
      </c>
      <c r="CP17" s="13">
        <f t="shared" si="5"/>
        <v>1.7597510690797149E-2</v>
      </c>
      <c r="CQ17" s="13">
        <f t="shared" si="5"/>
        <v>1.7708364708443211E-2</v>
      </c>
      <c r="CR17" s="13">
        <f t="shared" si="5"/>
        <v>2.2369415134259262E-4</v>
      </c>
      <c r="CS17" s="13">
        <f t="shared" si="5"/>
        <v>1.1168922557625953E-3</v>
      </c>
      <c r="CT17" s="13">
        <f t="shared" si="5"/>
        <v>1.5082808365029206E-4</v>
      </c>
      <c r="CU17" s="13">
        <f t="shared" si="5"/>
        <v>1.3645740385844037E-2</v>
      </c>
      <c r="CV17" s="13">
        <f t="shared" si="5"/>
        <v>9.9789357659655527E-6</v>
      </c>
      <c r="CW17" s="13">
        <f t="shared" si="5"/>
        <v>1.4605970535097568E-3</v>
      </c>
      <c r="CX17" s="13">
        <f t="shared" si="5"/>
        <v>1.9369428669164728E-2</v>
      </c>
      <c r="CY17" s="13">
        <f t="shared" si="5"/>
        <v>5.6227258353762984E-4</v>
      </c>
      <c r="CZ17" s="13">
        <f t="shared" si="5"/>
        <v>4.7677993769128582E-2</v>
      </c>
      <c r="DA17" s="13">
        <f t="shared" si="5"/>
        <v>3.3602150955513014E-3</v>
      </c>
      <c r="DB17" s="13">
        <f t="shared" si="5"/>
        <v>1.9892898007428065E-4</v>
      </c>
      <c r="DC17" s="13">
        <f t="shared" si="5"/>
        <v>1.298598834966512E-2</v>
      </c>
      <c r="DD17" s="13">
        <f t="shared" si="5"/>
        <v>5.5461177913042319E-3</v>
      </c>
      <c r="DE17" s="13">
        <f t="shared" si="5"/>
        <v>8.0944705118043796E-7</v>
      </c>
      <c r="DF17" s="13">
        <f t="shared" si="5"/>
        <v>9.5466930982486662E-7</v>
      </c>
      <c r="DG17" s="13">
        <f t="shared" si="5"/>
        <v>5.3260942765597724E-3</v>
      </c>
      <c r="DH17" s="13">
        <f t="shared" si="5"/>
        <v>5.6859770483571833E-4</v>
      </c>
      <c r="DI17" s="13">
        <f t="shared" si="5"/>
        <v>1.0308477356134783E-2</v>
      </c>
      <c r="DJ17" s="13">
        <f t="shared" si="5"/>
        <v>7.6687657573272126E-4</v>
      </c>
      <c r="DK17" s="13">
        <f t="shared" si="5"/>
        <v>2.4339573117996964E-3</v>
      </c>
      <c r="DL17" s="13">
        <f t="shared" si="5"/>
        <v>3.248267667612629E-5</v>
      </c>
      <c r="DM17" s="13">
        <f t="shared" si="5"/>
        <v>1.3676505773505593E-3</v>
      </c>
      <c r="DN17" s="13">
        <f t="shared" si="5"/>
        <v>1.2058891959025398E-2</v>
      </c>
      <c r="DO17" s="13">
        <f t="shared" si="5"/>
        <v>1.7670946755159902E-3</v>
      </c>
      <c r="DP17" s="13">
        <f t="shared" si="5"/>
        <v>7.1515213376560464E-3</v>
      </c>
      <c r="DQ17" s="13">
        <f t="shared" si="5"/>
        <v>1.2161636684326392E-2</v>
      </c>
      <c r="DR17" s="13">
        <f t="shared" si="5"/>
        <v>8.8979053657027001E-3</v>
      </c>
      <c r="DS17" s="13">
        <f t="shared" si="5"/>
        <v>5.1706040810191528E-3</v>
      </c>
      <c r="DT17" s="13">
        <f t="shared" si="5"/>
        <v>9.2614503642733919E-3</v>
      </c>
      <c r="DU17" s="13">
        <f t="shared" si="5"/>
        <v>5.5016020342108963E-6</v>
      </c>
      <c r="DV17" s="13">
        <f t="shared" si="5"/>
        <v>1.7960669823662546E-2</v>
      </c>
      <c r="DW17" s="13">
        <f t="shared" si="5"/>
        <v>8.9742501777570517E-3</v>
      </c>
      <c r="DX17" s="13">
        <f t="shared" si="5"/>
        <v>1.0768876593012837E-2</v>
      </c>
      <c r="DY17" s="13">
        <f t="shared" si="5"/>
        <v>5.7399040046420165E-3</v>
      </c>
      <c r="DZ17" s="13">
        <f t="shared" si="5"/>
        <v>1.0131311029084758E-3</v>
      </c>
      <c r="EA17" s="13">
        <f t="shared" si="5"/>
        <v>2.6020277100143683E-2</v>
      </c>
      <c r="EB17" s="13">
        <f t="shared" ref="EB17:EF19" si="6">EB9^2</f>
        <v>1.0411208891300061E-4</v>
      </c>
      <c r="EC17" s="13">
        <f t="shared" si="6"/>
        <v>5.4742870589305657E-3</v>
      </c>
      <c r="ED17" s="13">
        <f t="shared" si="6"/>
        <v>2.4767480781445986E-2</v>
      </c>
      <c r="EE17" s="13">
        <f t="shared" si="6"/>
        <v>6.2627523737550815E-3</v>
      </c>
      <c r="EF17" s="13">
        <f t="shared" si="6"/>
        <v>5.2603901117786907E-3</v>
      </c>
    </row>
    <row r="18" spans="1:136">
      <c r="A18" s="12"/>
      <c r="B18" s="14" t="s">
        <v>137</v>
      </c>
      <c r="C18" s="13">
        <f t="shared" ref="C18:BN19" si="7">C10^2</f>
        <v>6.1300693365209831E-2</v>
      </c>
      <c r="D18" s="13">
        <f t="shared" si="7"/>
        <v>7.5456480801886314E-2</v>
      </c>
      <c r="E18" s="13">
        <f t="shared" si="7"/>
        <v>7.1651837964001588E-3</v>
      </c>
      <c r="F18" s="13">
        <f t="shared" si="7"/>
        <v>5.1277567515670423E-4</v>
      </c>
      <c r="G18" s="13">
        <f t="shared" si="7"/>
        <v>2.468175090375373E-3</v>
      </c>
      <c r="H18" s="13">
        <f t="shared" si="7"/>
        <v>1.0152636608545497E-2</v>
      </c>
      <c r="I18" s="13">
        <f t="shared" si="7"/>
        <v>1.5684835207547849E-4</v>
      </c>
      <c r="J18" s="13">
        <f t="shared" si="7"/>
        <v>6.1994465780522614E-3</v>
      </c>
      <c r="K18" s="13">
        <f t="shared" si="7"/>
        <v>1.1685952301120474E-3</v>
      </c>
      <c r="L18" s="13">
        <f t="shared" si="7"/>
        <v>7.8155798268789121E-3</v>
      </c>
      <c r="M18" s="13">
        <f t="shared" si="7"/>
        <v>9.3833398534979199E-6</v>
      </c>
      <c r="N18" s="13">
        <f t="shared" si="7"/>
        <v>4.5036341884672905E-2</v>
      </c>
      <c r="O18" s="13">
        <f t="shared" si="7"/>
        <v>1.3546851094783608E-3</v>
      </c>
      <c r="P18" s="13">
        <f t="shared" si="7"/>
        <v>5.045668483899696E-3</v>
      </c>
      <c r="Q18" s="13">
        <f t="shared" si="7"/>
        <v>5.0783760841303042E-3</v>
      </c>
      <c r="R18" s="13">
        <f t="shared" si="7"/>
        <v>4.6483887613829443E-4</v>
      </c>
      <c r="S18" s="13">
        <f t="shared" si="7"/>
        <v>1.0223359201100256E-2</v>
      </c>
      <c r="T18" s="13">
        <f t="shared" si="7"/>
        <v>1.8684685566325379E-3</v>
      </c>
      <c r="U18" s="13">
        <f t="shared" si="7"/>
        <v>2.2148727044958431E-4</v>
      </c>
      <c r="V18" s="13">
        <f t="shared" si="7"/>
        <v>4.0011379478964094E-5</v>
      </c>
      <c r="W18" s="13">
        <f t="shared" si="7"/>
        <v>2.0607636020461784E-2</v>
      </c>
      <c r="X18" s="13">
        <f t="shared" si="7"/>
        <v>4.1321679975870312E-3</v>
      </c>
      <c r="Y18" s="13">
        <f t="shared" si="7"/>
        <v>3.6227705200640281E-4</v>
      </c>
      <c r="Z18" s="13">
        <f t="shared" si="7"/>
        <v>4.2621705000799601E-4</v>
      </c>
      <c r="AA18" s="13">
        <f t="shared" si="7"/>
        <v>1.0929205462835068E-3</v>
      </c>
      <c r="AB18" s="13">
        <f t="shared" si="7"/>
        <v>3.7708579663085182E-4</v>
      </c>
      <c r="AC18" s="13">
        <f t="shared" si="7"/>
        <v>3.9849659731579093E-3</v>
      </c>
      <c r="AD18" s="13">
        <f t="shared" si="7"/>
        <v>4.3071001413491688E-3</v>
      </c>
      <c r="AE18" s="13">
        <f t="shared" si="7"/>
        <v>1.9042932176832117E-2</v>
      </c>
      <c r="AF18" s="13">
        <f t="shared" si="7"/>
        <v>1.0114252595814038E-2</v>
      </c>
      <c r="AG18" s="13">
        <f t="shared" si="7"/>
        <v>1.4416636265391922E-3</v>
      </c>
      <c r="AH18" s="13">
        <f t="shared" si="7"/>
        <v>2.1012465114822257E-3</v>
      </c>
      <c r="AI18" s="13">
        <f t="shared" si="7"/>
        <v>2.6045996963521916E-3</v>
      </c>
      <c r="AJ18" s="13">
        <f t="shared" si="7"/>
        <v>1.0369016019118986E-5</v>
      </c>
      <c r="AK18" s="13">
        <f t="shared" si="7"/>
        <v>2.3888299664495222E-7</v>
      </c>
      <c r="AL18" s="13">
        <f t="shared" si="7"/>
        <v>1.1330596821655201E-2</v>
      </c>
      <c r="AM18" s="13">
        <f t="shared" si="7"/>
        <v>1.8831454545477483E-4</v>
      </c>
      <c r="AN18" s="13">
        <f t="shared" si="7"/>
        <v>1.4875393207363497E-2</v>
      </c>
      <c r="AO18" s="13">
        <f t="shared" si="7"/>
        <v>2.3609085493613595E-3</v>
      </c>
      <c r="AP18" s="13">
        <f t="shared" si="7"/>
        <v>3.6258931165527219E-6</v>
      </c>
      <c r="AQ18" s="13">
        <f t="shared" si="7"/>
        <v>8.4483342227469613E-4</v>
      </c>
      <c r="AR18" s="13">
        <f t="shared" si="7"/>
        <v>2.7704800669006609E-3</v>
      </c>
      <c r="AS18" s="13">
        <f t="shared" si="7"/>
        <v>1.6622512251336004E-4</v>
      </c>
      <c r="AT18" s="13">
        <f t="shared" si="7"/>
        <v>4.5439685935544372E-6</v>
      </c>
      <c r="AU18" s="13">
        <f t="shared" si="7"/>
        <v>2.4144502235582798E-2</v>
      </c>
      <c r="AV18" s="13">
        <f t="shared" si="7"/>
        <v>1.6082365861874086E-4</v>
      </c>
      <c r="AW18" s="13">
        <f t="shared" si="7"/>
        <v>1.4264597606573177E-4</v>
      </c>
      <c r="AX18" s="13">
        <f t="shared" si="7"/>
        <v>1.8098701093861567E-5</v>
      </c>
      <c r="AY18" s="13">
        <f t="shared" si="7"/>
        <v>8.5850584817288563E-4</v>
      </c>
      <c r="AZ18" s="13">
        <f t="shared" si="7"/>
        <v>1.7990646068161583E-2</v>
      </c>
      <c r="BA18" s="13">
        <f t="shared" si="7"/>
        <v>1.8799572708613422E-2</v>
      </c>
      <c r="BB18" s="13">
        <f t="shared" si="7"/>
        <v>3.0782104439233691E-6</v>
      </c>
      <c r="BC18" s="13">
        <f t="shared" si="7"/>
        <v>6.3084075632681956E-4</v>
      </c>
      <c r="BD18" s="13">
        <f t="shared" si="7"/>
        <v>1.4304754609348245E-2</v>
      </c>
      <c r="BE18" s="13">
        <f t="shared" si="7"/>
        <v>1.8431097254000828E-2</v>
      </c>
      <c r="BF18" s="13">
        <f t="shared" si="7"/>
        <v>2.217508771418737E-3</v>
      </c>
      <c r="BG18" s="13">
        <f t="shared" si="7"/>
        <v>6.7855079524042493E-4</v>
      </c>
      <c r="BH18" s="13">
        <f t="shared" si="7"/>
        <v>1.914240067566068E-3</v>
      </c>
      <c r="BI18" s="13">
        <f t="shared" si="7"/>
        <v>6.6247643467893481E-3</v>
      </c>
      <c r="BJ18" s="13">
        <f t="shared" si="7"/>
        <v>1.0120508057074875E-2</v>
      </c>
      <c r="BK18" s="13">
        <f t="shared" si="7"/>
        <v>8.1883255214717822E-3</v>
      </c>
      <c r="BL18" s="13">
        <f t="shared" si="7"/>
        <v>9.5467050846642545E-4</v>
      </c>
      <c r="BM18" s="13">
        <f t="shared" si="7"/>
        <v>3.4590793038713889E-3</v>
      </c>
      <c r="BN18" s="13">
        <f t="shared" si="7"/>
        <v>6.6170852237410396E-3</v>
      </c>
      <c r="BO18" s="13">
        <f t="shared" si="4"/>
        <v>5.955337496678137E-5</v>
      </c>
      <c r="BP18" s="13">
        <f t="shared" si="5"/>
        <v>1.139273199640704E-2</v>
      </c>
      <c r="BQ18" s="13">
        <f t="shared" si="5"/>
        <v>7.3759718894054029E-4</v>
      </c>
      <c r="BR18" s="13">
        <f t="shared" si="5"/>
        <v>2.9627572516310787E-3</v>
      </c>
      <c r="BS18" s="13">
        <f t="shared" si="5"/>
        <v>4.6551994492967643E-3</v>
      </c>
      <c r="BT18" s="13">
        <f t="shared" si="5"/>
        <v>9.724365655424996E-3</v>
      </c>
      <c r="BU18" s="13">
        <f t="shared" si="5"/>
        <v>1.6486300249823952E-2</v>
      </c>
      <c r="BV18" s="13">
        <f t="shared" si="5"/>
        <v>6.147011800126328E-3</v>
      </c>
      <c r="BW18" s="13">
        <f t="shared" si="5"/>
        <v>1.4192774529095765E-2</v>
      </c>
      <c r="BX18" s="13">
        <f t="shared" si="5"/>
        <v>2.1986156368567528E-3</v>
      </c>
      <c r="BY18" s="13">
        <f t="shared" si="5"/>
        <v>1.0342877441815704E-2</v>
      </c>
      <c r="BZ18" s="13">
        <f t="shared" si="5"/>
        <v>6.5947971264505184E-4</v>
      </c>
      <c r="CA18" s="13">
        <f t="shared" si="5"/>
        <v>6.939270784144815E-3</v>
      </c>
      <c r="CB18" s="13">
        <f t="shared" si="5"/>
        <v>2.490959335564108E-2</v>
      </c>
      <c r="CC18" s="13">
        <f t="shared" si="5"/>
        <v>5.0483940795093335E-3</v>
      </c>
      <c r="CD18" s="13">
        <f t="shared" si="5"/>
        <v>5.4575246498347399E-3</v>
      </c>
      <c r="CE18" s="13">
        <f t="shared" si="5"/>
        <v>5.6068066541751532E-2</v>
      </c>
      <c r="CF18" s="13">
        <f t="shared" si="5"/>
        <v>1.0645552729114708E-3</v>
      </c>
      <c r="CG18" s="13">
        <f t="shared" si="5"/>
        <v>1.8017391270710401E-4</v>
      </c>
      <c r="CH18" s="13">
        <f t="shared" si="5"/>
        <v>7.8224447196087939E-6</v>
      </c>
      <c r="CI18" s="13">
        <f t="shared" si="5"/>
        <v>2.2967642038634207E-3</v>
      </c>
      <c r="CJ18" s="13">
        <f t="shared" si="5"/>
        <v>1.0575126383519084E-5</v>
      </c>
      <c r="CK18" s="13">
        <f t="shared" si="5"/>
        <v>5.7318489118359647E-3</v>
      </c>
      <c r="CL18" s="13">
        <f t="shared" si="5"/>
        <v>1.9711426751466321E-3</v>
      </c>
      <c r="CM18" s="13">
        <f t="shared" si="5"/>
        <v>3.2036892957407311E-2</v>
      </c>
      <c r="CN18" s="13">
        <f t="shared" si="5"/>
        <v>3.3632545843342572E-3</v>
      </c>
      <c r="CO18" s="13">
        <f t="shared" si="5"/>
        <v>1.9429399571266829E-2</v>
      </c>
      <c r="CP18" s="13">
        <f t="shared" si="5"/>
        <v>4.1879066727151335E-3</v>
      </c>
      <c r="CQ18" s="13">
        <f t="shared" si="5"/>
        <v>3.2829365676202364E-2</v>
      </c>
      <c r="CR18" s="13">
        <f t="shared" si="5"/>
        <v>7.8560425574255924E-3</v>
      </c>
      <c r="CS18" s="13">
        <f t="shared" si="5"/>
        <v>6.4125010819445784E-4</v>
      </c>
      <c r="CT18" s="13">
        <f t="shared" si="5"/>
        <v>1.2786955512351617E-2</v>
      </c>
      <c r="CU18" s="13">
        <f t="shared" si="5"/>
        <v>6.5544556247863439E-5</v>
      </c>
      <c r="CV18" s="13">
        <f t="shared" si="5"/>
        <v>2.0430945048694866E-3</v>
      </c>
      <c r="CW18" s="13">
        <f t="shared" si="5"/>
        <v>3.4740313114436836E-3</v>
      </c>
      <c r="CX18" s="13">
        <f t="shared" si="5"/>
        <v>1.1605164974898103E-2</v>
      </c>
      <c r="CY18" s="13">
        <f t="shared" si="5"/>
        <v>9.312810896541136E-3</v>
      </c>
      <c r="CZ18" s="13">
        <f t="shared" si="5"/>
        <v>4.4249942912931411E-2</v>
      </c>
      <c r="DA18" s="13">
        <f t="shared" si="5"/>
        <v>1.2091313670318852E-2</v>
      </c>
      <c r="DB18" s="13">
        <f t="shared" si="5"/>
        <v>3.6412367573211445E-2</v>
      </c>
      <c r="DC18" s="13">
        <f t="shared" si="5"/>
        <v>4.2963910842392348E-4</v>
      </c>
      <c r="DD18" s="13">
        <f t="shared" si="5"/>
        <v>7.5739182630238941E-3</v>
      </c>
      <c r="DE18" s="13">
        <f t="shared" si="5"/>
        <v>6.7279329066841928E-3</v>
      </c>
      <c r="DF18" s="13">
        <f t="shared" si="5"/>
        <v>2.7847988835352395E-2</v>
      </c>
      <c r="DG18" s="13">
        <f t="shared" si="5"/>
        <v>4.9478894658223235E-2</v>
      </c>
      <c r="DH18" s="13">
        <f t="shared" si="5"/>
        <v>2.0821943671107318E-2</v>
      </c>
      <c r="DI18" s="13">
        <f t="shared" si="5"/>
        <v>1.430888192074862E-2</v>
      </c>
      <c r="DJ18" s="13">
        <f t="shared" si="5"/>
        <v>1.0321355567844626E-2</v>
      </c>
      <c r="DK18" s="13">
        <f t="shared" si="5"/>
        <v>8.6220825591038774E-3</v>
      </c>
      <c r="DL18" s="13">
        <f t="shared" si="5"/>
        <v>1.8174265579752006E-3</v>
      </c>
      <c r="DM18" s="13">
        <f t="shared" si="5"/>
        <v>6.8445291155421984E-3</v>
      </c>
      <c r="DN18" s="13">
        <f t="shared" si="5"/>
        <v>9.6410257873325738E-4</v>
      </c>
      <c r="DO18" s="13">
        <f t="shared" si="5"/>
        <v>9.631789703945395E-3</v>
      </c>
      <c r="DP18" s="13">
        <f t="shared" si="5"/>
        <v>1.7053479851931182E-2</v>
      </c>
      <c r="DQ18" s="13">
        <f t="shared" si="5"/>
        <v>2.3673571788458917E-3</v>
      </c>
      <c r="DR18" s="13">
        <f t="shared" si="5"/>
        <v>1.5407303554245343E-3</v>
      </c>
      <c r="DS18" s="13">
        <f t="shared" si="5"/>
        <v>2.5930853978605572E-2</v>
      </c>
      <c r="DT18" s="13">
        <f t="shared" si="5"/>
        <v>6.2226854698026772E-3</v>
      </c>
      <c r="DU18" s="13">
        <f t="shared" si="5"/>
        <v>2.6921435029730965E-2</v>
      </c>
      <c r="DV18" s="13">
        <f t="shared" si="5"/>
        <v>5.6305519824260551E-5</v>
      </c>
      <c r="DW18" s="13">
        <f t="shared" si="5"/>
        <v>1.0331715248239271E-2</v>
      </c>
      <c r="DX18" s="13">
        <f t="shared" si="5"/>
        <v>3.1405009617489106E-3</v>
      </c>
      <c r="DY18" s="13">
        <f t="shared" si="5"/>
        <v>1.1375560020299798E-2</v>
      </c>
      <c r="DZ18" s="13">
        <f t="shared" si="5"/>
        <v>4.7866844070049708E-3</v>
      </c>
      <c r="EA18" s="13">
        <f t="shared" si="5"/>
        <v>1.5923398111714018E-2</v>
      </c>
      <c r="EB18" s="13">
        <f t="shared" si="6"/>
        <v>4.1908523776376079E-3</v>
      </c>
      <c r="EC18" s="13">
        <f t="shared" si="6"/>
        <v>2.6444992717356303E-3</v>
      </c>
      <c r="ED18" s="13">
        <f t="shared" si="6"/>
        <v>1.1900358491667496E-3</v>
      </c>
      <c r="EE18" s="13">
        <f t="shared" si="6"/>
        <v>2.4862206670085589E-2</v>
      </c>
      <c r="EF18" s="13">
        <f t="shared" si="6"/>
        <v>1.6174602969843341E-2</v>
      </c>
    </row>
    <row r="19" spans="1:136">
      <c r="A19" s="12"/>
      <c r="B19" s="14" t="s">
        <v>138</v>
      </c>
      <c r="C19" s="13">
        <f t="shared" si="7"/>
        <v>2.9424962947699911E-3</v>
      </c>
      <c r="D19" s="13">
        <f t="shared" si="7"/>
        <v>2.059074167658151E-3</v>
      </c>
      <c r="E19" s="13">
        <f t="shared" si="7"/>
        <v>3.1514318274691188E-4</v>
      </c>
      <c r="F19" s="13">
        <f t="shared" si="7"/>
        <v>7.6890721339683337E-3</v>
      </c>
      <c r="G19" s="13">
        <f t="shared" si="7"/>
        <v>1.0559465472918014E-2</v>
      </c>
      <c r="H19" s="13">
        <f t="shared" si="7"/>
        <v>6.3069879875624846E-6</v>
      </c>
      <c r="I19" s="13">
        <f t="shared" si="7"/>
        <v>3.3502003352045134E-4</v>
      </c>
      <c r="J19" s="13">
        <f t="shared" si="7"/>
        <v>4.8887532041517415E-4</v>
      </c>
      <c r="K19" s="13">
        <f t="shared" si="7"/>
        <v>5.9688056303032417E-3</v>
      </c>
      <c r="L19" s="13">
        <f t="shared" si="7"/>
        <v>8.7311801112263879E-5</v>
      </c>
      <c r="M19" s="13">
        <f t="shared" si="7"/>
        <v>2.873193829916625E-3</v>
      </c>
      <c r="N19" s="13">
        <f t="shared" si="7"/>
        <v>4.6073356328051786E-3</v>
      </c>
      <c r="O19" s="13">
        <f t="shared" si="7"/>
        <v>4.2158901598624366E-3</v>
      </c>
      <c r="P19" s="13">
        <f t="shared" si="7"/>
        <v>2.3821054386013211E-5</v>
      </c>
      <c r="Q19" s="13">
        <f t="shared" si="7"/>
        <v>3.6855622546895207E-4</v>
      </c>
      <c r="R19" s="13">
        <f t="shared" si="7"/>
        <v>2.9870042368556722E-5</v>
      </c>
      <c r="S19" s="13">
        <f t="shared" si="7"/>
        <v>1.3360097496481892E-3</v>
      </c>
      <c r="T19" s="13">
        <f t="shared" si="7"/>
        <v>1.6688781966867596E-2</v>
      </c>
      <c r="U19" s="13">
        <f t="shared" si="7"/>
        <v>1.8748202760809614E-4</v>
      </c>
      <c r="V19" s="13">
        <f t="shared" si="7"/>
        <v>2.3394473192739536E-4</v>
      </c>
      <c r="W19" s="13">
        <f t="shared" si="7"/>
        <v>1.0959099784052484E-2</v>
      </c>
      <c r="X19" s="13">
        <f t="shared" si="7"/>
        <v>8.6346676822882121E-2</v>
      </c>
      <c r="Y19" s="13">
        <f t="shared" si="7"/>
        <v>3.5061183838375133E-3</v>
      </c>
      <c r="Z19" s="13">
        <f t="shared" si="7"/>
        <v>3.4205878279447842E-2</v>
      </c>
      <c r="AA19" s="13">
        <f t="shared" si="7"/>
        <v>9.6525592252829466E-3</v>
      </c>
      <c r="AB19" s="13">
        <f t="shared" si="7"/>
        <v>4.3209728479720412E-7</v>
      </c>
      <c r="AC19" s="13">
        <f t="shared" si="7"/>
        <v>1.0750810579255237E-2</v>
      </c>
      <c r="AD19" s="13">
        <f t="shared" si="7"/>
        <v>1.2567690104255271E-5</v>
      </c>
      <c r="AE19" s="13">
        <f t="shared" si="7"/>
        <v>3.0835882156048783E-2</v>
      </c>
      <c r="AF19" s="13">
        <f t="shared" si="7"/>
        <v>2.4035262433120905E-2</v>
      </c>
      <c r="AG19" s="13">
        <f t="shared" si="7"/>
        <v>6.9319650662206438E-4</v>
      </c>
      <c r="AH19" s="13">
        <f t="shared" si="7"/>
        <v>2.4988102995418992E-5</v>
      </c>
      <c r="AI19" s="13">
        <f t="shared" si="7"/>
        <v>7.8779660257925624E-4</v>
      </c>
      <c r="AJ19" s="13">
        <f t="shared" si="7"/>
        <v>5.0105213836060746E-4</v>
      </c>
      <c r="AK19" s="13">
        <f t="shared" si="7"/>
        <v>2.2109580205685515E-3</v>
      </c>
      <c r="AL19" s="13">
        <f t="shared" si="7"/>
        <v>1.0314740717783251E-2</v>
      </c>
      <c r="AM19" s="13">
        <f t="shared" si="7"/>
        <v>5.5343262156863572E-4</v>
      </c>
      <c r="AN19" s="13">
        <f t="shared" si="7"/>
        <v>2.7588997976275898E-3</v>
      </c>
      <c r="AO19" s="13">
        <f t="shared" si="7"/>
        <v>3.4225885640141755E-3</v>
      </c>
      <c r="AP19" s="13">
        <f t="shared" si="7"/>
        <v>1.118725626162101E-3</v>
      </c>
      <c r="AQ19" s="13">
        <f t="shared" si="7"/>
        <v>2.0450045203045813E-4</v>
      </c>
      <c r="AR19" s="13">
        <f t="shared" si="7"/>
        <v>1.2890681145068224E-3</v>
      </c>
      <c r="AS19" s="13">
        <f t="shared" si="7"/>
        <v>1.5826302227352094E-3</v>
      </c>
      <c r="AT19" s="13">
        <f t="shared" si="7"/>
        <v>2.2039242020426623E-2</v>
      </c>
      <c r="AU19" s="13">
        <f t="shared" si="7"/>
        <v>1.6636034229909587E-3</v>
      </c>
      <c r="AV19" s="13">
        <f t="shared" si="7"/>
        <v>1.9309590933108238E-2</v>
      </c>
      <c r="AW19" s="13">
        <f t="shared" si="7"/>
        <v>3.5836126990842318E-3</v>
      </c>
      <c r="AX19" s="13">
        <f t="shared" si="7"/>
        <v>2.2436988075031212E-2</v>
      </c>
      <c r="AY19" s="13">
        <f t="shared" si="7"/>
        <v>3.7940489141036855E-3</v>
      </c>
      <c r="AZ19" s="13">
        <f t="shared" si="7"/>
        <v>3.8377717094877179E-3</v>
      </c>
      <c r="BA19" s="13">
        <f t="shared" si="7"/>
        <v>5.7085842824112805E-6</v>
      </c>
      <c r="BB19" s="13">
        <f t="shared" si="7"/>
        <v>2.2162365071883454E-2</v>
      </c>
      <c r="BC19" s="13">
        <f t="shared" si="7"/>
        <v>3.6421850194502817E-3</v>
      </c>
      <c r="BD19" s="13">
        <f t="shared" si="7"/>
        <v>2.1567132814367246E-4</v>
      </c>
      <c r="BE19" s="13">
        <f t="shared" si="7"/>
        <v>2.1466733042722119E-2</v>
      </c>
      <c r="BF19" s="13">
        <f t="shared" si="7"/>
        <v>4.3581843456671758E-2</v>
      </c>
      <c r="BG19" s="13">
        <f t="shared" si="7"/>
        <v>4.0579385301159648E-2</v>
      </c>
      <c r="BH19" s="13">
        <f t="shared" si="7"/>
        <v>1.3935782851325853E-2</v>
      </c>
      <c r="BI19" s="13">
        <f t="shared" si="7"/>
        <v>5.9330934213272886E-3</v>
      </c>
      <c r="BJ19" s="13">
        <f t="shared" si="7"/>
        <v>1.3119113666831017E-3</v>
      </c>
      <c r="BK19" s="13">
        <f t="shared" si="7"/>
        <v>3.5748481064286472E-4</v>
      </c>
      <c r="BL19" s="13">
        <f t="shared" si="7"/>
        <v>2.9328493400993451E-2</v>
      </c>
      <c r="BM19" s="13">
        <f t="shared" si="7"/>
        <v>1.7667061037884114E-2</v>
      </c>
      <c r="BN19" s="13">
        <f t="shared" si="7"/>
        <v>1.2893630347257589E-3</v>
      </c>
      <c r="BO19" s="13">
        <f t="shared" si="4"/>
        <v>4.555884575901441E-4</v>
      </c>
      <c r="BP19" s="13">
        <f t="shared" si="5"/>
        <v>2.4636156414780219E-3</v>
      </c>
      <c r="BQ19" s="13">
        <f t="shared" si="5"/>
        <v>2.9622597057292401E-4</v>
      </c>
      <c r="BR19" s="13">
        <f t="shared" si="5"/>
        <v>3.6034382227143044E-2</v>
      </c>
      <c r="BS19" s="13">
        <f t="shared" si="5"/>
        <v>9.5267433223972416E-3</v>
      </c>
      <c r="BT19" s="13">
        <f t="shared" si="5"/>
        <v>1.4312181655934848E-3</v>
      </c>
      <c r="BU19" s="13">
        <f t="shared" si="5"/>
        <v>3.1369302523255979E-3</v>
      </c>
      <c r="BV19" s="13">
        <f t="shared" si="5"/>
        <v>1.3627535644839506E-2</v>
      </c>
      <c r="BW19" s="13">
        <f t="shared" si="5"/>
        <v>1.9972187007291264E-2</v>
      </c>
      <c r="BX19" s="13">
        <f t="shared" si="5"/>
        <v>1.140430378647656E-5</v>
      </c>
      <c r="BY19" s="13">
        <f t="shared" si="5"/>
        <v>1.6987488721731576E-2</v>
      </c>
      <c r="BZ19" s="13">
        <f t="shared" si="5"/>
        <v>1.0047461557265778E-3</v>
      </c>
      <c r="CA19" s="13">
        <f t="shared" si="5"/>
        <v>1.6447110645557072E-3</v>
      </c>
      <c r="CB19" s="13">
        <f t="shared" si="5"/>
        <v>1.767137228315438E-3</v>
      </c>
      <c r="CC19" s="13">
        <f t="shared" si="5"/>
        <v>2.5013725272755708E-3</v>
      </c>
      <c r="CD19" s="13">
        <f t="shared" si="5"/>
        <v>4.6862621773654262E-3</v>
      </c>
      <c r="CE19" s="13">
        <f t="shared" si="5"/>
        <v>6.5338267870204162E-3</v>
      </c>
      <c r="CF19" s="13">
        <f t="shared" si="5"/>
        <v>3.7959149352106796E-6</v>
      </c>
      <c r="CG19" s="13">
        <f t="shared" si="5"/>
        <v>1.3973368107735227E-2</v>
      </c>
      <c r="CH19" s="13">
        <f t="shared" si="5"/>
        <v>1.3483500252419256E-3</v>
      </c>
      <c r="CI19" s="13">
        <f t="shared" si="5"/>
        <v>6.944354409283488E-3</v>
      </c>
      <c r="CJ19" s="13">
        <f t="shared" si="5"/>
        <v>5.3209971579111864E-2</v>
      </c>
      <c r="CK19" s="13">
        <f t="shared" si="5"/>
        <v>1.7630136062643516E-2</v>
      </c>
      <c r="CL19" s="13">
        <f t="shared" si="5"/>
        <v>1.9962106501869858E-2</v>
      </c>
      <c r="CM19" s="13">
        <f t="shared" si="5"/>
        <v>1.2698898011967283E-2</v>
      </c>
      <c r="CN19" s="13">
        <f t="shared" si="5"/>
        <v>4.9947135394185591E-2</v>
      </c>
      <c r="CO19" s="13">
        <f t="shared" si="5"/>
        <v>1.0903362974249101E-2</v>
      </c>
      <c r="CP19" s="13">
        <f t="shared" si="5"/>
        <v>2.0817366158502797E-4</v>
      </c>
      <c r="CQ19" s="13">
        <f t="shared" si="5"/>
        <v>4.2945670995945519E-2</v>
      </c>
      <c r="CR19" s="13">
        <f t="shared" si="5"/>
        <v>1.818826329983373E-2</v>
      </c>
      <c r="CS19" s="13">
        <f t="shared" si="5"/>
        <v>5.330129925765671E-3</v>
      </c>
      <c r="CT19" s="13">
        <f t="shared" si="5"/>
        <v>9.1315039355651805E-4</v>
      </c>
      <c r="CU19" s="13">
        <f t="shared" si="5"/>
        <v>8.2305398372276378E-2</v>
      </c>
      <c r="CV19" s="13">
        <f t="shared" si="5"/>
        <v>5.323658125231813E-2</v>
      </c>
      <c r="CW19" s="13">
        <f t="shared" si="5"/>
        <v>8.2947828598525283E-3</v>
      </c>
      <c r="CX19" s="13">
        <f t="shared" si="5"/>
        <v>1.5002754583806925E-2</v>
      </c>
      <c r="CY19" s="13">
        <f t="shared" si="5"/>
        <v>6.1437262145754186E-3</v>
      </c>
      <c r="CZ19" s="13">
        <f t="shared" si="5"/>
        <v>2.1114120178055175E-3</v>
      </c>
      <c r="DA19" s="13">
        <f t="shared" si="5"/>
        <v>6.8343561034422563E-3</v>
      </c>
      <c r="DB19" s="13">
        <f t="shared" si="5"/>
        <v>2.2305204479499383E-2</v>
      </c>
      <c r="DC19" s="13">
        <f t="shared" si="5"/>
        <v>2.2847162154111663E-3</v>
      </c>
      <c r="DD19" s="13">
        <f t="shared" si="5"/>
        <v>2.7064678662887049E-2</v>
      </c>
      <c r="DE19" s="13">
        <f t="shared" si="5"/>
        <v>1.2225360760831885E-2</v>
      </c>
      <c r="DF19" s="13">
        <f t="shared" si="5"/>
        <v>3.2966966393763162E-3</v>
      </c>
      <c r="DG19" s="13">
        <f t="shared" si="5"/>
        <v>4.6177804713180344E-2</v>
      </c>
      <c r="DH19" s="13">
        <f t="shared" si="5"/>
        <v>3.9686415441255191E-3</v>
      </c>
      <c r="DI19" s="13">
        <f t="shared" si="5"/>
        <v>4.5861486060873721E-3</v>
      </c>
      <c r="DJ19" s="13">
        <f t="shared" si="5"/>
        <v>1.4113933508686947E-2</v>
      </c>
      <c r="DK19" s="13">
        <f t="shared" si="5"/>
        <v>5.3038165655135587E-5</v>
      </c>
      <c r="DL19" s="13">
        <f t="shared" si="5"/>
        <v>5.0866278425543898E-3</v>
      </c>
      <c r="DM19" s="13">
        <f t="shared" si="5"/>
        <v>4.4192030717479113E-4</v>
      </c>
      <c r="DN19" s="13">
        <f t="shared" si="5"/>
        <v>9.2435602590540443E-4</v>
      </c>
      <c r="DO19" s="13">
        <f t="shared" si="5"/>
        <v>9.3992359170593232E-3</v>
      </c>
      <c r="DP19" s="13">
        <f t="shared" si="5"/>
        <v>5.3211643863895493E-2</v>
      </c>
      <c r="DQ19" s="13">
        <f t="shared" si="5"/>
        <v>5.6731766595356822E-2</v>
      </c>
      <c r="DR19" s="13">
        <f t="shared" si="5"/>
        <v>1.2779732721999408E-5</v>
      </c>
      <c r="DS19" s="13">
        <f t="shared" si="5"/>
        <v>1.7944107252667544E-2</v>
      </c>
      <c r="DT19" s="13">
        <f t="shared" si="5"/>
        <v>1.3249413434882942E-2</v>
      </c>
      <c r="DU19" s="13">
        <f t="shared" si="5"/>
        <v>1.0832602517582508E-2</v>
      </c>
      <c r="DV19" s="13">
        <f t="shared" si="5"/>
        <v>2.9823682090757879E-3</v>
      </c>
      <c r="DW19" s="13">
        <f t="shared" si="5"/>
        <v>1.1082370139875364E-3</v>
      </c>
      <c r="DX19" s="13">
        <f t="shared" si="5"/>
        <v>3.0354498547830525E-3</v>
      </c>
      <c r="DY19" s="13">
        <f t="shared" si="5"/>
        <v>4.7325832565790213E-3</v>
      </c>
      <c r="DZ19" s="13">
        <f t="shared" si="5"/>
        <v>2.0969279010246204E-4</v>
      </c>
      <c r="EA19" s="13">
        <f t="shared" si="5"/>
        <v>8.5929031587546431E-2</v>
      </c>
      <c r="EB19" s="13">
        <f t="shared" si="6"/>
        <v>1.987395609544565E-2</v>
      </c>
      <c r="EC19" s="13">
        <f t="shared" si="6"/>
        <v>1.4906851026839793E-4</v>
      </c>
      <c r="ED19" s="13">
        <f t="shared" si="6"/>
        <v>3.3834798795211859E-3</v>
      </c>
      <c r="EE19" s="13">
        <f t="shared" si="6"/>
        <v>2.0852230305009004E-2</v>
      </c>
      <c r="EF19" s="13">
        <f t="shared" si="6"/>
        <v>9.4107527241881761E-3</v>
      </c>
    </row>
    <row r="20" spans="1:136">
      <c r="A20" s="12"/>
      <c r="B20" s="12"/>
    </row>
    <row r="21" spans="1:136">
      <c r="A21" s="4" t="s">
        <v>154</v>
      </c>
      <c r="B21" s="20">
        <f>1-SUM(C13:EF15)/SUM(C17:EF19)</f>
        <v>3.5301150388564739E-2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預測IC</vt:lpstr>
      <vt:lpstr>RF勝率</vt:lpstr>
      <vt:lpstr>RF累積報酬</vt:lpstr>
      <vt:lpstr>RF累積畫圖</vt:lpstr>
      <vt:lpstr>RF再投資累積報酬 </vt:lpstr>
      <vt:lpstr>RF夏普比率</vt:lpstr>
      <vt:lpstr>RF樣本外R2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陳祥瑋</cp:lastModifiedBy>
  <dcterms:created xsi:type="dcterms:W3CDTF">2015-06-05T18:17:20Z</dcterms:created>
  <dcterms:modified xsi:type="dcterms:W3CDTF">2025-06-02T08:08:42Z</dcterms:modified>
</cp:coreProperties>
</file>