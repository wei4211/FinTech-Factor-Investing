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weixiang/金融/"/>
    </mc:Choice>
  </mc:AlternateContent>
  <xr:revisionPtr revIDLastSave="0" documentId="13_ncr:1_{DB91F339-1699-AA44-BF7B-08C7D534EA0E}" xr6:coauthVersionLast="47" xr6:coauthVersionMax="47" xr10:uidLastSave="{00000000-0000-0000-0000-000000000000}"/>
  <bookViews>
    <workbookView xWindow="0" yWindow="740" windowWidth="30240" windowHeight="17900" activeTab="6" xr2:uid="{00000000-000D-0000-FFFF-FFFF00000000}"/>
  </bookViews>
  <sheets>
    <sheet name="預測IC" sheetId="1" r:id="rId1"/>
    <sheet name="夏普比率" sheetId="2" r:id="rId2"/>
    <sheet name="勝率" sheetId="3" r:id="rId3"/>
    <sheet name="累積報酬" sheetId="4" r:id="rId4"/>
    <sheet name="預測累積畫圖" sheetId="5" r:id="rId5"/>
    <sheet name="OLS樣本外R2" sheetId="6" r:id="rId6"/>
    <sheet name="NN5樣本外R2" sheetId="7" r:id="rId7"/>
    <sheet name="再投資累積報酬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W8" i="8" l="1"/>
  <c r="DV8" i="8"/>
  <c r="DZ7" i="8"/>
  <c r="I7" i="8"/>
  <c r="EF6" i="8"/>
  <c r="EF8" i="8" s="1"/>
  <c r="EF6" i="8" a="1"/>
  <c r="EE6" i="8"/>
  <c r="EE8" i="8" s="1"/>
  <c r="EE6" i="8" a="1"/>
  <c r="ED6" i="8" a="1"/>
  <c r="ED6" i="8" s="1"/>
  <c r="EC6" i="8"/>
  <c r="EC8" i="8" s="1"/>
  <c r="EC6" i="8" a="1"/>
  <c r="EB6" i="8" a="1"/>
  <c r="EB6" i="8" s="1"/>
  <c r="EA6" i="8" a="1"/>
  <c r="EA6" i="8" s="1"/>
  <c r="DZ6" i="8"/>
  <c r="DZ8" i="8" s="1"/>
  <c r="DZ6" i="8" a="1"/>
  <c r="DY6" i="8" a="1"/>
  <c r="DY6" i="8" s="1"/>
  <c r="DX6" i="8" a="1"/>
  <c r="DX6" i="8" s="1"/>
  <c r="DW6" i="8"/>
  <c r="DW7" i="8" s="1"/>
  <c r="DW6" i="8" a="1"/>
  <c r="DV6" i="8"/>
  <c r="DV7" i="8" s="1"/>
  <c r="DV6" i="8" a="1"/>
  <c r="DU6" i="8"/>
  <c r="DU8" i="8" s="1"/>
  <c r="DU6" i="8" a="1"/>
  <c r="DT6" i="8"/>
  <c r="DT8" i="8" s="1"/>
  <c r="DT6" i="8" a="1"/>
  <c r="DS6" i="8" a="1"/>
  <c r="DS6" i="8" s="1"/>
  <c r="DR6" i="8"/>
  <c r="DR8" i="8" s="1"/>
  <c r="DR6" i="8" a="1"/>
  <c r="DQ6" i="8" a="1"/>
  <c r="DQ6" i="8" s="1"/>
  <c r="DP6" i="8" a="1"/>
  <c r="DP6" i="8" s="1"/>
  <c r="DO6" i="8" a="1"/>
  <c r="DO6" i="8" s="1"/>
  <c r="DN6" i="8" a="1"/>
  <c r="DN6" i="8" s="1"/>
  <c r="DM6" i="8" a="1"/>
  <c r="DM6" i="8" s="1"/>
  <c r="DL6" i="8" a="1"/>
  <c r="DL6" i="8" s="1"/>
  <c r="DK6" i="8" a="1"/>
  <c r="DK6" i="8" s="1"/>
  <c r="DJ6" i="8"/>
  <c r="DJ8" i="8" s="1"/>
  <c r="DJ6" i="8" a="1"/>
  <c r="DI6" i="8"/>
  <c r="DI8" i="8" s="1"/>
  <c r="DI6" i="8" a="1"/>
  <c r="DH6" i="8" a="1"/>
  <c r="DH6" i="8" s="1"/>
  <c r="DG6" i="8"/>
  <c r="DG8" i="8" s="1"/>
  <c r="DG6" i="8" a="1"/>
  <c r="DF6" i="8" a="1"/>
  <c r="DF6" i="8" s="1"/>
  <c r="DE6" i="8" a="1"/>
  <c r="DE6" i="8" s="1"/>
  <c r="DD6" i="8" a="1"/>
  <c r="DD6" i="8" s="1"/>
  <c r="DC6" i="8" a="1"/>
  <c r="DC6" i="8" s="1"/>
  <c r="DB6" i="8" a="1"/>
  <c r="DB6" i="8" s="1"/>
  <c r="DA6" i="8" a="1"/>
  <c r="DA6" i="8" s="1"/>
  <c r="CZ6" i="8" a="1"/>
  <c r="CZ6" i="8" s="1"/>
  <c r="CY6" i="8"/>
  <c r="CY8" i="8" s="1"/>
  <c r="CY6" i="8" a="1"/>
  <c r="CX6" i="8"/>
  <c r="CX8" i="8" s="1"/>
  <c r="CX6" i="8" a="1"/>
  <c r="CW6" i="8" a="1"/>
  <c r="CW6" i="8" s="1"/>
  <c r="CV6" i="8"/>
  <c r="CV8" i="8" s="1"/>
  <c r="CV6" i="8" a="1"/>
  <c r="CU6" i="8" a="1"/>
  <c r="CU6" i="8" s="1"/>
  <c r="CT6" i="8" a="1"/>
  <c r="CT6" i="8" s="1"/>
  <c r="CS6" i="8" a="1"/>
  <c r="CS6" i="8" s="1"/>
  <c r="CR6" i="8" a="1"/>
  <c r="CR6" i="8" s="1"/>
  <c r="CQ6" i="8" a="1"/>
  <c r="CQ6" i="8" s="1"/>
  <c r="CP6" i="8" a="1"/>
  <c r="CP6" i="8" s="1"/>
  <c r="CO6" i="8" a="1"/>
  <c r="CO6" i="8" s="1"/>
  <c r="CN6" i="8"/>
  <c r="CN8" i="8" s="1"/>
  <c r="CN6" i="8" a="1"/>
  <c r="CM6" i="8"/>
  <c r="CM8" i="8" s="1"/>
  <c r="CM6" i="8" a="1"/>
  <c r="CL6" i="8" a="1"/>
  <c r="CL6" i="8" s="1"/>
  <c r="CK6" i="8"/>
  <c r="CK8" i="8" s="1"/>
  <c r="CK6" i="8" a="1"/>
  <c r="CJ6" i="8" a="1"/>
  <c r="CJ6" i="8" s="1"/>
  <c r="CI6" i="8" a="1"/>
  <c r="CI6" i="8" s="1"/>
  <c r="CH6" i="8" a="1"/>
  <c r="CH6" i="8" s="1"/>
  <c r="CG6" i="8" a="1"/>
  <c r="CG6" i="8" s="1"/>
  <c r="CF6" i="8" a="1"/>
  <c r="CF6" i="8" s="1"/>
  <c r="CE6" i="8" a="1"/>
  <c r="CE6" i="8" s="1"/>
  <c r="CD6" i="8" a="1"/>
  <c r="CD6" i="8" s="1"/>
  <c r="CC6" i="8"/>
  <c r="CC8" i="8" s="1"/>
  <c r="CC6" i="8" a="1"/>
  <c r="CB6" i="8"/>
  <c r="CB8" i="8" s="1"/>
  <c r="CB6" i="8" a="1"/>
  <c r="CA6" i="8" a="1"/>
  <c r="CA6" i="8" s="1"/>
  <c r="BZ6" i="8"/>
  <c r="BZ8" i="8" s="1"/>
  <c r="BZ6" i="8" a="1"/>
  <c r="BY6" i="8" a="1"/>
  <c r="BY6" i="8" s="1"/>
  <c r="BX6" i="8" a="1"/>
  <c r="BX6" i="8" s="1"/>
  <c r="BW6" i="8" a="1"/>
  <c r="BW6" i="8" s="1"/>
  <c r="BV6" i="8" a="1"/>
  <c r="BV6" i="8" s="1"/>
  <c r="BU6" i="8" a="1"/>
  <c r="BU6" i="8" s="1"/>
  <c r="BT6" i="8" a="1"/>
  <c r="BT6" i="8" s="1"/>
  <c r="BS6" i="8" a="1"/>
  <c r="BS6" i="8" s="1"/>
  <c r="BR6" i="8"/>
  <c r="BR8" i="8" s="1"/>
  <c r="BR6" i="8" a="1"/>
  <c r="BQ6" i="8"/>
  <c r="BQ8" i="8" s="1"/>
  <c r="BQ6" i="8" a="1"/>
  <c r="BP6" i="8" a="1"/>
  <c r="BP6" i="8" s="1"/>
  <c r="BO6" i="8"/>
  <c r="BO8" i="8" s="1"/>
  <c r="BO6" i="8" a="1"/>
  <c r="BN6" i="8" a="1"/>
  <c r="BN6" i="8" s="1"/>
  <c r="BM6" i="8" a="1"/>
  <c r="BM6" i="8" s="1"/>
  <c r="BL6" i="8" a="1"/>
  <c r="BL6" i="8" s="1"/>
  <c r="BK6" i="8" a="1"/>
  <c r="BK6" i="8" s="1"/>
  <c r="BJ6" i="8" a="1"/>
  <c r="BJ6" i="8" s="1"/>
  <c r="BI6" i="8" a="1"/>
  <c r="BI6" i="8" s="1"/>
  <c r="BH6" i="8" a="1"/>
  <c r="BH6" i="8" s="1"/>
  <c r="BG6" i="8"/>
  <c r="BG8" i="8" s="1"/>
  <c r="BG6" i="8" a="1"/>
  <c r="BF6" i="8"/>
  <c r="BF8" i="8" s="1"/>
  <c r="BF6" i="8" a="1"/>
  <c r="BE6" i="8" a="1"/>
  <c r="BE6" i="8" s="1"/>
  <c r="BD6" i="8"/>
  <c r="BD8" i="8" s="1"/>
  <c r="BD6" i="8" a="1"/>
  <c r="BC6" i="8" a="1"/>
  <c r="BC6" i="8" s="1"/>
  <c r="BB6" i="8" a="1"/>
  <c r="BB6" i="8" s="1"/>
  <c r="BA6" i="8" a="1"/>
  <c r="BA6" i="8" s="1"/>
  <c r="AZ6" i="8" a="1"/>
  <c r="AZ6" i="8" s="1"/>
  <c r="AY6" i="8" a="1"/>
  <c r="AY6" i="8" s="1"/>
  <c r="AX6" i="8" a="1"/>
  <c r="AX6" i="8" s="1"/>
  <c r="AW6" i="8" a="1"/>
  <c r="AW6" i="8" s="1"/>
  <c r="AV6" i="8"/>
  <c r="AV8" i="8" s="1"/>
  <c r="AV6" i="8" a="1"/>
  <c r="AU6" i="8"/>
  <c r="AU8" i="8" s="1"/>
  <c r="AU6" i="8" a="1"/>
  <c r="AT6" i="8" a="1"/>
  <c r="AT6" i="8" s="1"/>
  <c r="AS6" i="8"/>
  <c r="AS8" i="8" s="1"/>
  <c r="AS6" i="8" a="1"/>
  <c r="AR6" i="8" a="1"/>
  <c r="AR6" i="8" s="1"/>
  <c r="AQ6" i="8" a="1"/>
  <c r="AQ6" i="8" s="1"/>
  <c r="AP6" i="8" a="1"/>
  <c r="AP6" i="8" s="1"/>
  <c r="AO6" i="8" a="1"/>
  <c r="AO6" i="8" s="1"/>
  <c r="AN6" i="8" a="1"/>
  <c r="AN6" i="8" s="1"/>
  <c r="AM6" i="8" a="1"/>
  <c r="AM6" i="8" s="1"/>
  <c r="AL6" i="8" a="1"/>
  <c r="AL6" i="8" s="1"/>
  <c r="AK6" i="8"/>
  <c r="AK8" i="8" s="1"/>
  <c r="AK6" i="8" a="1"/>
  <c r="AJ6" i="8"/>
  <c r="AJ8" i="8" s="1"/>
  <c r="AJ6" i="8" a="1"/>
  <c r="AI6" i="8" a="1"/>
  <c r="AI6" i="8" s="1"/>
  <c r="AH6" i="8"/>
  <c r="AH8" i="8" s="1"/>
  <c r="AH6" i="8" a="1"/>
  <c r="AG6" i="8" a="1"/>
  <c r="AG6" i="8" s="1"/>
  <c r="AF6" i="8" a="1"/>
  <c r="AF6" i="8" s="1"/>
  <c r="AE6" i="8" a="1"/>
  <c r="AE6" i="8" s="1"/>
  <c r="AD6" i="8" a="1"/>
  <c r="AD6" i="8" s="1"/>
  <c r="AC6" i="8" a="1"/>
  <c r="AC6" i="8" s="1"/>
  <c r="AB6" i="8" a="1"/>
  <c r="AB6" i="8" s="1"/>
  <c r="AA6" i="8" a="1"/>
  <c r="AA6" i="8" s="1"/>
  <c r="Z6" i="8"/>
  <c r="Z8" i="8" s="1"/>
  <c r="Z6" i="8" a="1"/>
  <c r="Y6" i="8"/>
  <c r="Y8" i="8" s="1"/>
  <c r="Y6" i="8" a="1"/>
  <c r="X6" i="8" a="1"/>
  <c r="X6" i="8" s="1"/>
  <c r="W6" i="8"/>
  <c r="W8" i="8" s="1"/>
  <c r="W6" i="8" a="1"/>
  <c r="V6" i="8" a="1"/>
  <c r="V6" i="8" s="1"/>
  <c r="U6" i="8" a="1"/>
  <c r="U6" i="8" s="1"/>
  <c r="T6" i="8" a="1"/>
  <c r="T6" i="8" s="1"/>
  <c r="S6" i="8" a="1"/>
  <c r="S6" i="8" s="1"/>
  <c r="R6" i="8" a="1"/>
  <c r="R6" i="8" s="1"/>
  <c r="Q6" i="8" a="1"/>
  <c r="Q6" i="8" s="1"/>
  <c r="P6" i="8" a="1"/>
  <c r="P6" i="8" s="1"/>
  <c r="O6" i="8"/>
  <c r="O8" i="8" s="1"/>
  <c r="O6" i="8" a="1"/>
  <c r="N6" i="8"/>
  <c r="N8" i="8" s="1"/>
  <c r="N6" i="8" a="1"/>
  <c r="M6" i="8" a="1"/>
  <c r="M6" i="8" s="1"/>
  <c r="L6" i="8"/>
  <c r="L8" i="8" s="1"/>
  <c r="L6" i="8" a="1"/>
  <c r="K6" i="8" a="1"/>
  <c r="K6" i="8" s="1"/>
  <c r="J6" i="8" a="1"/>
  <c r="J6" i="8" s="1"/>
  <c r="I6" i="8"/>
  <c r="I8" i="8" s="1"/>
  <c r="I6" i="8" a="1"/>
  <c r="H6" i="8" a="1"/>
  <c r="H6" i="8" s="1"/>
  <c r="G6" i="8" a="1"/>
  <c r="G6" i="8" s="1"/>
  <c r="F6" i="8" a="1"/>
  <c r="F6" i="8" s="1"/>
  <c r="E6" i="8" a="1"/>
  <c r="E6" i="8" s="1"/>
  <c r="D6" i="8"/>
  <c r="D8" i="8" s="1"/>
  <c r="D6" i="8" a="1"/>
  <c r="C6" i="8"/>
  <c r="C8" i="8" s="1"/>
  <c r="C6" i="8" a="1"/>
  <c r="DW8" i="5"/>
  <c r="DV8" i="5"/>
  <c r="DL8" i="5"/>
  <c r="DA8" i="5"/>
  <c r="CZ8" i="5"/>
  <c r="EF6" i="5" a="1"/>
  <c r="EF6" i="5" s="1"/>
  <c r="EE6" i="5" a="1"/>
  <c r="EE6" i="5" s="1"/>
  <c r="ED6" i="5"/>
  <c r="ED8" i="5" s="1"/>
  <c r="ED6" i="5" a="1"/>
  <c r="EC6" i="5"/>
  <c r="EC8" i="5" s="1"/>
  <c r="EC6" i="5" a="1"/>
  <c r="EB6" i="5" a="1"/>
  <c r="EB6" i="5" s="1"/>
  <c r="EA6" i="5" a="1"/>
  <c r="EA6" i="5" s="1"/>
  <c r="DZ6" i="5"/>
  <c r="DZ8" i="5" s="1"/>
  <c r="DZ6" i="5" a="1"/>
  <c r="DY6" i="5"/>
  <c r="DY8" i="5" s="1"/>
  <c r="DY6" i="5" a="1"/>
  <c r="DX6" i="5" a="1"/>
  <c r="DX6" i="5" s="1"/>
  <c r="DW6" i="5"/>
  <c r="DW7" i="5" s="1"/>
  <c r="DW6" i="5" a="1"/>
  <c r="DV6" i="5"/>
  <c r="DV7" i="5" s="1"/>
  <c r="DV6" i="5" a="1"/>
  <c r="DU6" i="5" a="1"/>
  <c r="DU6" i="5" s="1"/>
  <c r="DT6" i="5" a="1"/>
  <c r="DT6" i="5" s="1"/>
  <c r="DS6" i="5"/>
  <c r="DS8" i="5" s="1"/>
  <c r="DS6" i="5" a="1"/>
  <c r="DR6" i="5"/>
  <c r="DR8" i="5" s="1"/>
  <c r="DR6" i="5" a="1"/>
  <c r="DQ6" i="5" a="1"/>
  <c r="DQ6" i="5" s="1"/>
  <c r="DP6" i="5" a="1"/>
  <c r="DP6" i="5" s="1"/>
  <c r="DO6" i="5"/>
  <c r="DO8" i="5" s="1"/>
  <c r="DO6" i="5" a="1"/>
  <c r="DN6" i="5"/>
  <c r="DN8" i="5" s="1"/>
  <c r="DN6" i="5" a="1"/>
  <c r="DM6" i="5" a="1"/>
  <c r="DM6" i="5" s="1"/>
  <c r="DL6" i="5"/>
  <c r="DL7" i="5" s="1"/>
  <c r="DL6" i="5" a="1"/>
  <c r="DK6" i="5" a="1"/>
  <c r="DK6" i="5" s="1"/>
  <c r="DJ6" i="5" a="1"/>
  <c r="DJ6" i="5" s="1"/>
  <c r="DI6" i="5" a="1"/>
  <c r="DI6" i="5" s="1"/>
  <c r="DH6" i="5"/>
  <c r="DH8" i="5" s="1"/>
  <c r="DH6" i="5" a="1"/>
  <c r="DG6" i="5"/>
  <c r="DG8" i="5" s="1"/>
  <c r="DG6" i="5" a="1"/>
  <c r="DF6" i="5" a="1"/>
  <c r="DF6" i="5" s="1"/>
  <c r="DE6" i="5" a="1"/>
  <c r="DE6" i="5" s="1"/>
  <c r="DD6" i="5"/>
  <c r="DD8" i="5" s="1"/>
  <c r="DD6" i="5" a="1"/>
  <c r="DC6" i="5"/>
  <c r="DC8" i="5" s="1"/>
  <c r="DC6" i="5" a="1"/>
  <c r="DB6" i="5" a="1"/>
  <c r="DB6" i="5" s="1"/>
  <c r="DA6" i="5"/>
  <c r="DA7" i="5" s="1"/>
  <c r="DA6" i="5" a="1"/>
  <c r="CZ6" i="5"/>
  <c r="CZ7" i="5" s="1"/>
  <c r="CZ6" i="5" a="1"/>
  <c r="CY6" i="5" a="1"/>
  <c r="CY6" i="5" s="1"/>
  <c r="CX6" i="5" a="1"/>
  <c r="CX6" i="5" s="1"/>
  <c r="CW6" i="5"/>
  <c r="CW8" i="5" s="1"/>
  <c r="CW6" i="5" a="1"/>
  <c r="CV6" i="5"/>
  <c r="CV8" i="5" s="1"/>
  <c r="CV6" i="5" a="1"/>
  <c r="CU6" i="5" a="1"/>
  <c r="CU6" i="5" s="1"/>
  <c r="CT6" i="5" a="1"/>
  <c r="CT6" i="5" s="1"/>
  <c r="CS6" i="5" a="1"/>
  <c r="CS6" i="5" s="1"/>
  <c r="CR6" i="5" a="1"/>
  <c r="CR6" i="5" s="1"/>
  <c r="CQ6" i="5" a="1"/>
  <c r="CQ6" i="5" s="1"/>
  <c r="CP6" i="5" a="1"/>
  <c r="CP6" i="5" s="1"/>
  <c r="CO6" i="5" a="1"/>
  <c r="CO6" i="5" s="1"/>
  <c r="CN6" i="5" a="1"/>
  <c r="CN6" i="5" s="1"/>
  <c r="CM6" i="5" a="1"/>
  <c r="CM6" i="5" s="1"/>
  <c r="CL6" i="5"/>
  <c r="CL8" i="5" s="1"/>
  <c r="CL6" i="5" a="1"/>
  <c r="CK6" i="5"/>
  <c r="CK8" i="5" s="1"/>
  <c r="CK6" i="5" a="1"/>
  <c r="CJ6" i="5" a="1"/>
  <c r="CJ6" i="5" s="1"/>
  <c r="CI6" i="5" a="1"/>
  <c r="CI6" i="5" s="1"/>
  <c r="CH6" i="5"/>
  <c r="CH8" i="5" s="1"/>
  <c r="CH6" i="5" a="1"/>
  <c r="CG6" i="5" a="1"/>
  <c r="CG6" i="5" s="1"/>
  <c r="CF6" i="5" a="1"/>
  <c r="CF6" i="5" s="1"/>
  <c r="CE6" i="5" a="1"/>
  <c r="CE6" i="5" s="1"/>
  <c r="CD6" i="5" a="1"/>
  <c r="CD6" i="5" s="1"/>
  <c r="CC6" i="5" a="1"/>
  <c r="CC6" i="5" s="1"/>
  <c r="CB6" i="5" a="1"/>
  <c r="CB6" i="5" s="1"/>
  <c r="CA6" i="5"/>
  <c r="CA8" i="5" s="1"/>
  <c r="CA6" i="5" a="1"/>
  <c r="BZ6" i="5"/>
  <c r="BZ8" i="5" s="1"/>
  <c r="BZ6" i="5" a="1"/>
  <c r="BY6" i="5" a="1"/>
  <c r="BY6" i="5" s="1"/>
  <c r="BX6" i="5" a="1"/>
  <c r="BX6" i="5" s="1"/>
  <c r="BW6" i="5"/>
  <c r="BW8" i="5" s="1"/>
  <c r="BW6" i="5" a="1"/>
  <c r="BV6" i="5"/>
  <c r="BV8" i="5" s="1"/>
  <c r="BV6" i="5" a="1"/>
  <c r="BU6" i="5" a="1"/>
  <c r="BU6" i="5" s="1"/>
  <c r="BT6" i="5" a="1"/>
  <c r="BT6" i="5" s="1"/>
  <c r="BS6" i="5" a="1"/>
  <c r="BS6" i="5" s="1"/>
  <c r="BR6" i="5" a="1"/>
  <c r="BR6" i="5" s="1"/>
  <c r="BQ6" i="5" a="1"/>
  <c r="BQ6" i="5" s="1"/>
  <c r="BP6" i="5"/>
  <c r="BP8" i="5" s="1"/>
  <c r="BP6" i="5" a="1"/>
  <c r="BO6" i="5"/>
  <c r="BO8" i="5" s="1"/>
  <c r="BO6" i="5" a="1"/>
  <c r="BN6" i="5" a="1"/>
  <c r="BN6" i="5" s="1"/>
  <c r="BM6" i="5" a="1"/>
  <c r="BM6" i="5" s="1"/>
  <c r="BL6" i="5" a="1"/>
  <c r="BL6" i="5" s="1"/>
  <c r="BK6" i="5" a="1"/>
  <c r="BK6" i="5" s="1"/>
  <c r="BJ6" i="5" a="1"/>
  <c r="BJ6" i="5" s="1"/>
  <c r="BI6" i="5" a="1"/>
  <c r="BI6" i="5" s="1"/>
  <c r="BH6" i="5" a="1"/>
  <c r="BH6" i="5" s="1"/>
  <c r="BG6" i="5" a="1"/>
  <c r="BG6" i="5" s="1"/>
  <c r="BF6" i="5" a="1"/>
  <c r="BF6" i="5" s="1"/>
  <c r="BE6" i="5"/>
  <c r="BE8" i="5" s="1"/>
  <c r="BE6" i="5" a="1"/>
  <c r="BD6" i="5"/>
  <c r="BD8" i="5" s="1"/>
  <c r="BD6" i="5" a="1"/>
  <c r="BC6" i="5" a="1"/>
  <c r="BC6" i="5" s="1"/>
  <c r="BB6" i="5" a="1"/>
  <c r="BB6" i="5" s="1"/>
  <c r="BA6" i="5" a="1"/>
  <c r="BA6" i="5" s="1"/>
  <c r="AZ6" i="5" a="1"/>
  <c r="AZ6" i="5" s="1"/>
  <c r="AY6" i="5" a="1"/>
  <c r="AY6" i="5" s="1"/>
  <c r="AX6" i="5" a="1"/>
  <c r="AX6" i="5" s="1"/>
  <c r="AW6" i="5" a="1"/>
  <c r="AW6" i="5" s="1"/>
  <c r="AV6" i="5" a="1"/>
  <c r="AV6" i="5" s="1"/>
  <c r="AU6" i="5" a="1"/>
  <c r="AU6" i="5" s="1"/>
  <c r="AT6" i="5"/>
  <c r="AT8" i="5" s="1"/>
  <c r="AT6" i="5" a="1"/>
  <c r="AS6" i="5"/>
  <c r="AS8" i="5" s="1"/>
  <c r="AS6" i="5" a="1"/>
  <c r="AR6" i="5" a="1"/>
  <c r="AR6" i="5" s="1"/>
  <c r="AQ6" i="5" a="1"/>
  <c r="AQ6" i="5" s="1"/>
  <c r="AP6" i="5" a="1"/>
  <c r="AP6" i="5" s="1"/>
  <c r="AO6" i="5"/>
  <c r="AO8" i="5" s="1"/>
  <c r="AO6" i="5" a="1"/>
  <c r="AN6" i="5" a="1"/>
  <c r="AN6" i="5" s="1"/>
  <c r="AM6" i="5" a="1"/>
  <c r="AM6" i="5" s="1"/>
  <c r="AL6" i="5" a="1"/>
  <c r="AL6" i="5" s="1"/>
  <c r="AK6" i="5" a="1"/>
  <c r="AK6" i="5" s="1"/>
  <c r="AJ6" i="5" a="1"/>
  <c r="AJ6" i="5" s="1"/>
  <c r="AI6" i="5"/>
  <c r="AI8" i="5" s="1"/>
  <c r="AI6" i="5" a="1"/>
  <c r="AH6" i="5"/>
  <c r="AH8" i="5" s="1"/>
  <c r="AH6" i="5" a="1"/>
  <c r="AG6" i="5" a="1"/>
  <c r="AG6" i="5" s="1"/>
  <c r="AF6" i="5" a="1"/>
  <c r="AF6" i="5" s="1"/>
  <c r="AE6" i="5" a="1"/>
  <c r="AE6" i="5" s="1"/>
  <c r="AD6" i="5"/>
  <c r="AD8" i="5" s="1"/>
  <c r="AD6" i="5" a="1"/>
  <c r="AC6" i="5" a="1"/>
  <c r="AC6" i="5" s="1"/>
  <c r="AB6" i="5" a="1"/>
  <c r="AB6" i="5" s="1"/>
  <c r="AA6" i="5" a="1"/>
  <c r="AA6" i="5" s="1"/>
  <c r="Z6" i="5" a="1"/>
  <c r="Z6" i="5" s="1"/>
  <c r="Y6" i="5" a="1"/>
  <c r="Y6" i="5" s="1"/>
  <c r="X6" i="5"/>
  <c r="X8" i="5" s="1"/>
  <c r="X6" i="5" a="1"/>
  <c r="W6" i="5"/>
  <c r="W8" i="5" s="1"/>
  <c r="W6" i="5" a="1"/>
  <c r="V6" i="5" a="1"/>
  <c r="V6" i="5" s="1"/>
  <c r="U6" i="5" a="1"/>
  <c r="U6" i="5" s="1"/>
  <c r="T6" i="5"/>
  <c r="T8" i="5" s="1"/>
  <c r="T6" i="5" a="1"/>
  <c r="S6" i="5"/>
  <c r="S8" i="5" s="1"/>
  <c r="S6" i="5" a="1"/>
  <c r="R6" i="5" a="1"/>
  <c r="R6" i="5" s="1"/>
  <c r="Q6" i="5" a="1"/>
  <c r="Q6" i="5" s="1"/>
  <c r="P6" i="5" a="1"/>
  <c r="P6" i="5" s="1"/>
  <c r="O6" i="5" a="1"/>
  <c r="O6" i="5" s="1"/>
  <c r="N6" i="5" a="1"/>
  <c r="N6" i="5" s="1"/>
  <c r="M6" i="5"/>
  <c r="M8" i="5" s="1"/>
  <c r="M6" i="5" a="1"/>
  <c r="L6" i="5"/>
  <c r="L8" i="5" s="1"/>
  <c r="L6" i="5" a="1"/>
  <c r="K6" i="5" a="1"/>
  <c r="K6" i="5" s="1"/>
  <c r="J6" i="5" a="1"/>
  <c r="J6" i="5" s="1"/>
  <c r="I6" i="5" a="1"/>
  <c r="I6" i="5" s="1"/>
  <c r="H6" i="5"/>
  <c r="H8" i="5" s="1"/>
  <c r="H6" i="5" a="1"/>
  <c r="G6" i="5" a="1"/>
  <c r="G6" i="5" s="1"/>
  <c r="F6" i="5" a="1"/>
  <c r="F6" i="5" s="1"/>
  <c r="E6" i="5" a="1"/>
  <c r="E6" i="5" s="1"/>
  <c r="D6" i="5" a="1"/>
  <c r="D6" i="5" s="1"/>
  <c r="C6" i="5" a="1"/>
  <c r="C6" i="5" s="1"/>
  <c r="DQ8" i="4"/>
  <c r="DF8" i="4"/>
  <c r="CU8" i="4"/>
  <c r="CJ8" i="4"/>
  <c r="BY8" i="4"/>
  <c r="BN8" i="4"/>
  <c r="BC8" i="4"/>
  <c r="AR8" i="4"/>
  <c r="AG8" i="4"/>
  <c r="V8" i="4"/>
  <c r="K8" i="4"/>
  <c r="DQ7" i="4"/>
  <c r="DF7" i="4"/>
  <c r="CU7" i="4"/>
  <c r="CJ7" i="4"/>
  <c r="BY7" i="4"/>
  <c r="BN7" i="4"/>
  <c r="BC7" i="4"/>
  <c r="AR7" i="4"/>
  <c r="AG7" i="4"/>
  <c r="V7" i="4"/>
  <c r="K7" i="4"/>
  <c r="EF6" i="4"/>
  <c r="EF8" i="4" s="1"/>
  <c r="EF6" i="4" a="1"/>
  <c r="EE6" i="4" a="1"/>
  <c r="EE6" i="4" s="1"/>
  <c r="ED6" i="4" a="1"/>
  <c r="ED6" i="4" s="1"/>
  <c r="EC6" i="4"/>
  <c r="EC8" i="4" s="1"/>
  <c r="EC6" i="4" a="1"/>
  <c r="EB6" i="4" a="1"/>
  <c r="EB6" i="4" s="1"/>
  <c r="EA6" i="4" a="1"/>
  <c r="EA6" i="4" s="1"/>
  <c r="DZ6" i="4" a="1"/>
  <c r="DZ6" i="4" s="1"/>
  <c r="DY6" i="4" a="1"/>
  <c r="DY6" i="4" s="1"/>
  <c r="DX6" i="4" a="1"/>
  <c r="DX6" i="4" s="1"/>
  <c r="DW6" i="4" a="1"/>
  <c r="DW6" i="4" s="1"/>
  <c r="DV6" i="4" a="1"/>
  <c r="DV6" i="4" s="1"/>
  <c r="DU6" i="4"/>
  <c r="DU8" i="4" s="1"/>
  <c r="DU6" i="4" a="1"/>
  <c r="DT6" i="4" a="1"/>
  <c r="DT6" i="4" s="1"/>
  <c r="DS6" i="4" a="1"/>
  <c r="DS6" i="4" s="1"/>
  <c r="DR6" i="4"/>
  <c r="DR8" i="4" s="1"/>
  <c r="DR6" i="4" a="1"/>
  <c r="DQ6" i="4"/>
  <c r="DQ6" i="4" a="1"/>
  <c r="DP6" i="4" a="1"/>
  <c r="DP6" i="4" s="1"/>
  <c r="DO6" i="4" a="1"/>
  <c r="DO6" i="4" s="1"/>
  <c r="DN6" i="4" a="1"/>
  <c r="DN6" i="4" s="1"/>
  <c r="DM6" i="4" a="1"/>
  <c r="DM6" i="4" s="1"/>
  <c r="DL6" i="4" a="1"/>
  <c r="DL6" i="4" s="1"/>
  <c r="DK6" i="4" a="1"/>
  <c r="DK6" i="4" s="1"/>
  <c r="DJ6" i="4"/>
  <c r="DJ8" i="4" s="1"/>
  <c r="DJ6" i="4" a="1"/>
  <c r="DI6" i="4" a="1"/>
  <c r="DI6" i="4" s="1"/>
  <c r="DH6" i="4" a="1"/>
  <c r="DH6" i="4" s="1"/>
  <c r="DG6" i="4"/>
  <c r="DG8" i="4" s="1"/>
  <c r="DG6" i="4" a="1"/>
  <c r="DF6" i="4"/>
  <c r="DF6" i="4" a="1"/>
  <c r="DE6" i="4" a="1"/>
  <c r="DE6" i="4" s="1"/>
  <c r="DD6" i="4" a="1"/>
  <c r="DD6" i="4" s="1"/>
  <c r="DC6" i="4" a="1"/>
  <c r="DC6" i="4" s="1"/>
  <c r="DB6" i="4" a="1"/>
  <c r="DB6" i="4" s="1"/>
  <c r="DA6" i="4" a="1"/>
  <c r="DA6" i="4" s="1"/>
  <c r="CZ6" i="4" a="1"/>
  <c r="CZ6" i="4" s="1"/>
  <c r="CY6" i="4"/>
  <c r="CY8" i="4" s="1"/>
  <c r="CY6" i="4" a="1"/>
  <c r="CX6" i="4" a="1"/>
  <c r="CX6" i="4" s="1"/>
  <c r="CW6" i="4" a="1"/>
  <c r="CW6" i="4" s="1"/>
  <c r="CV6" i="4"/>
  <c r="CV8" i="4" s="1"/>
  <c r="CV6" i="4" a="1"/>
  <c r="CU6" i="4"/>
  <c r="CU6" i="4" a="1"/>
  <c r="CT6" i="4" a="1"/>
  <c r="CT6" i="4" s="1"/>
  <c r="CS6" i="4" a="1"/>
  <c r="CS6" i="4" s="1"/>
  <c r="CR6" i="4" a="1"/>
  <c r="CR6" i="4" s="1"/>
  <c r="CQ6" i="4" a="1"/>
  <c r="CQ6" i="4" s="1"/>
  <c r="CP6" i="4" a="1"/>
  <c r="CP6" i="4" s="1"/>
  <c r="CO6" i="4" a="1"/>
  <c r="CO6" i="4" s="1"/>
  <c r="CN6" i="4"/>
  <c r="CN8" i="4" s="1"/>
  <c r="CN6" i="4" a="1"/>
  <c r="CM6" i="4" a="1"/>
  <c r="CM6" i="4" s="1"/>
  <c r="CL6" i="4" a="1"/>
  <c r="CL6" i="4" s="1"/>
  <c r="CK6" i="4"/>
  <c r="CK8" i="4" s="1"/>
  <c r="CK6" i="4" a="1"/>
  <c r="CJ6" i="4"/>
  <c r="CJ6" i="4" a="1"/>
  <c r="CI6" i="4" a="1"/>
  <c r="CI6" i="4" s="1"/>
  <c r="CH6" i="4" a="1"/>
  <c r="CH6" i="4" s="1"/>
  <c r="CG6" i="4" a="1"/>
  <c r="CG6" i="4" s="1"/>
  <c r="CF6" i="4" a="1"/>
  <c r="CF6" i="4" s="1"/>
  <c r="CE6" i="4" a="1"/>
  <c r="CE6" i="4" s="1"/>
  <c r="CD6" i="4" a="1"/>
  <c r="CD6" i="4" s="1"/>
  <c r="CC6" i="4"/>
  <c r="CC8" i="4" s="1"/>
  <c r="CC6" i="4" a="1"/>
  <c r="CB6" i="4" a="1"/>
  <c r="CB6" i="4" s="1"/>
  <c r="CA6" i="4" a="1"/>
  <c r="CA6" i="4" s="1"/>
  <c r="BZ6" i="4"/>
  <c r="BZ8" i="4" s="1"/>
  <c r="BZ6" i="4" a="1"/>
  <c r="BY6" i="4"/>
  <c r="BY6" i="4" a="1"/>
  <c r="BX6" i="4" a="1"/>
  <c r="BX6" i="4" s="1"/>
  <c r="BW6" i="4" a="1"/>
  <c r="BW6" i="4" s="1"/>
  <c r="BV6" i="4" a="1"/>
  <c r="BV6" i="4" s="1"/>
  <c r="BU6" i="4" a="1"/>
  <c r="BU6" i="4" s="1"/>
  <c r="BT6" i="4" a="1"/>
  <c r="BT6" i="4" s="1"/>
  <c r="BS6" i="4" a="1"/>
  <c r="BS6" i="4" s="1"/>
  <c r="BR6" i="4"/>
  <c r="BR8" i="4" s="1"/>
  <c r="BR6" i="4" a="1"/>
  <c r="BQ6" i="4" a="1"/>
  <c r="BQ6" i="4" s="1"/>
  <c r="BP6" i="4" a="1"/>
  <c r="BP6" i="4" s="1"/>
  <c r="BO6" i="4"/>
  <c r="BO8" i="4" s="1"/>
  <c r="BO6" i="4" a="1"/>
  <c r="BN6" i="4"/>
  <c r="BN6" i="4" a="1"/>
  <c r="BM6" i="4" a="1"/>
  <c r="BM6" i="4" s="1"/>
  <c r="BL6" i="4" a="1"/>
  <c r="BL6" i="4" s="1"/>
  <c r="BK6" i="4" a="1"/>
  <c r="BK6" i="4" s="1"/>
  <c r="BJ6" i="4" a="1"/>
  <c r="BJ6" i="4" s="1"/>
  <c r="BI6" i="4" a="1"/>
  <c r="BI6" i="4" s="1"/>
  <c r="BH6" i="4" a="1"/>
  <c r="BH6" i="4" s="1"/>
  <c r="BG6" i="4"/>
  <c r="BG8" i="4" s="1"/>
  <c r="BG6" i="4" a="1"/>
  <c r="BF6" i="4" a="1"/>
  <c r="BF6" i="4" s="1"/>
  <c r="BE6" i="4" a="1"/>
  <c r="BE6" i="4" s="1"/>
  <c r="BD6" i="4"/>
  <c r="BD8" i="4" s="1"/>
  <c r="BD6" i="4" a="1"/>
  <c r="BC6" i="4"/>
  <c r="BC6" i="4" a="1"/>
  <c r="BB6" i="4" a="1"/>
  <c r="BB6" i="4" s="1"/>
  <c r="BA6" i="4" a="1"/>
  <c r="BA6" i="4" s="1"/>
  <c r="AZ6" i="4" a="1"/>
  <c r="AZ6" i="4" s="1"/>
  <c r="AY6" i="4" a="1"/>
  <c r="AY6" i="4" s="1"/>
  <c r="AX6" i="4" a="1"/>
  <c r="AX6" i="4" s="1"/>
  <c r="AW6" i="4" a="1"/>
  <c r="AW6" i="4" s="1"/>
  <c r="AV6" i="4"/>
  <c r="AV8" i="4" s="1"/>
  <c r="AV6" i="4" a="1"/>
  <c r="AU6" i="4" a="1"/>
  <c r="AU6" i="4" s="1"/>
  <c r="AT6" i="4"/>
  <c r="AT8" i="4" s="1"/>
  <c r="AT6" i="4" a="1"/>
  <c r="AS6" i="4"/>
  <c r="AS8" i="4" s="1"/>
  <c r="AS6" i="4" a="1"/>
  <c r="AR6" i="4"/>
  <c r="AR6" i="4" a="1"/>
  <c r="AQ6" i="4" a="1"/>
  <c r="AQ6" i="4" s="1"/>
  <c r="AP6" i="4" a="1"/>
  <c r="AP6" i="4" s="1"/>
  <c r="AO6" i="4" a="1"/>
  <c r="AO6" i="4" s="1"/>
  <c r="AN6" i="4" a="1"/>
  <c r="AN6" i="4" s="1"/>
  <c r="AM6" i="4" a="1"/>
  <c r="AM6" i="4" s="1"/>
  <c r="AL6" i="4" a="1"/>
  <c r="AL6" i="4" s="1"/>
  <c r="AK6" i="4"/>
  <c r="AK8" i="4" s="1"/>
  <c r="AK6" i="4" a="1"/>
  <c r="AJ6" i="4" a="1"/>
  <c r="AJ6" i="4" s="1"/>
  <c r="AI6" i="4" a="1"/>
  <c r="AI6" i="4" s="1"/>
  <c r="AH6" i="4"/>
  <c r="AH8" i="4" s="1"/>
  <c r="AH6" i="4" a="1"/>
  <c r="AG6" i="4"/>
  <c r="AG6" i="4" a="1"/>
  <c r="AF6" i="4" a="1"/>
  <c r="AF6" i="4" s="1"/>
  <c r="AE6" i="4" a="1"/>
  <c r="AE6" i="4" s="1"/>
  <c r="AD6" i="4" a="1"/>
  <c r="AD6" i="4" s="1"/>
  <c r="AC6" i="4" a="1"/>
  <c r="AC6" i="4" s="1"/>
  <c r="AB6" i="4" a="1"/>
  <c r="AB6" i="4" s="1"/>
  <c r="AA6" i="4" a="1"/>
  <c r="AA6" i="4" s="1"/>
  <c r="Z6" i="4"/>
  <c r="Z8" i="4" s="1"/>
  <c r="Z6" i="4" a="1"/>
  <c r="Y6" i="4" a="1"/>
  <c r="Y6" i="4" s="1"/>
  <c r="X6" i="4" a="1"/>
  <c r="X6" i="4" s="1"/>
  <c r="W6" i="4"/>
  <c r="W8" i="4" s="1"/>
  <c r="W6" i="4" a="1"/>
  <c r="V6" i="4"/>
  <c r="V6" i="4" a="1"/>
  <c r="U6" i="4" a="1"/>
  <c r="U6" i="4" s="1"/>
  <c r="T6" i="4" a="1"/>
  <c r="T6" i="4" s="1"/>
  <c r="S6" i="4" a="1"/>
  <c r="S6" i="4" s="1"/>
  <c r="R6" i="4" a="1"/>
  <c r="R6" i="4" s="1"/>
  <c r="Q6" i="4" a="1"/>
  <c r="Q6" i="4" s="1"/>
  <c r="P6" i="4" a="1"/>
  <c r="P6" i="4" s="1"/>
  <c r="O6" i="4"/>
  <c r="O8" i="4" s="1"/>
  <c r="O6" i="4" a="1"/>
  <c r="N6" i="4" a="1"/>
  <c r="N6" i="4" s="1"/>
  <c r="M6" i="4" a="1"/>
  <c r="M6" i="4" s="1"/>
  <c r="L6" i="4"/>
  <c r="L8" i="4" s="1"/>
  <c r="L6" i="4" a="1"/>
  <c r="K6" i="4"/>
  <c r="K6" i="4" a="1"/>
  <c r="J6" i="4" a="1"/>
  <c r="J6" i="4" s="1"/>
  <c r="I6" i="4" a="1"/>
  <c r="I6" i="4" s="1"/>
  <c r="H6" i="4" a="1"/>
  <c r="H6" i="4" s="1"/>
  <c r="G6" i="4" a="1"/>
  <c r="G6" i="4" s="1"/>
  <c r="F6" i="4" a="1"/>
  <c r="F6" i="4" s="1"/>
  <c r="E6" i="4" a="1"/>
  <c r="E6" i="4" s="1"/>
  <c r="D6" i="4"/>
  <c r="D8" i="4" s="1"/>
  <c r="D6" i="4" a="1"/>
  <c r="C6" i="4" a="1"/>
  <c r="C6" i="4" s="1"/>
  <c r="DW8" i="2"/>
  <c r="DL8" i="2"/>
  <c r="F8" i="2"/>
  <c r="BD7" i="2"/>
  <c r="EF6" i="2" a="1"/>
  <c r="EF6" i="2" s="1"/>
  <c r="EE6" i="2" a="1"/>
  <c r="EE6" i="2" s="1"/>
  <c r="ED6" i="2" a="1"/>
  <c r="ED6" i="2" s="1"/>
  <c r="EC6" i="2" a="1"/>
  <c r="EC6" i="2" s="1"/>
  <c r="EB6" i="2" a="1"/>
  <c r="EB6" i="2" s="1"/>
  <c r="EA6" i="2" a="1"/>
  <c r="EA6" i="2" s="1"/>
  <c r="DZ6" i="2" a="1"/>
  <c r="DZ6" i="2" s="1"/>
  <c r="DY6" i="2"/>
  <c r="DY8" i="2" s="1"/>
  <c r="DY6" i="2" a="1"/>
  <c r="DX6" i="2"/>
  <c r="DX8" i="2" s="1"/>
  <c r="DX6" i="2" a="1"/>
  <c r="DW6" i="2"/>
  <c r="DW7" i="2" s="1"/>
  <c r="DW6" i="2" a="1"/>
  <c r="DV6" i="2"/>
  <c r="DV7" i="2" s="1"/>
  <c r="DV6" i="2" a="1"/>
  <c r="DU6" i="2"/>
  <c r="DU8" i="2" s="1"/>
  <c r="DU6" i="2" a="1"/>
  <c r="DT6" i="2"/>
  <c r="DT8" i="2" s="1"/>
  <c r="DT6" i="2" a="1"/>
  <c r="DS6" i="2" a="1"/>
  <c r="DS6" i="2" s="1"/>
  <c r="DR6" i="2" a="1"/>
  <c r="DR6" i="2" s="1"/>
  <c r="DQ6" i="2" a="1"/>
  <c r="DQ6" i="2" s="1"/>
  <c r="DP6" i="2" a="1"/>
  <c r="DP6" i="2" s="1"/>
  <c r="DO6" i="2" a="1"/>
  <c r="DO6" i="2" s="1"/>
  <c r="DN6" i="2"/>
  <c r="DN8" i="2" s="1"/>
  <c r="DN6" i="2" a="1"/>
  <c r="DM6" i="2"/>
  <c r="DM8" i="2" s="1"/>
  <c r="DM6" i="2" a="1"/>
  <c r="DL6" i="2"/>
  <c r="DL7" i="2" s="1"/>
  <c r="DL6" i="2" a="1"/>
  <c r="DK6" i="2"/>
  <c r="DK7" i="2" s="1"/>
  <c r="DK6" i="2" a="1"/>
  <c r="DJ6" i="2"/>
  <c r="DJ8" i="2" s="1"/>
  <c r="DJ6" i="2" a="1"/>
  <c r="DI6" i="2"/>
  <c r="DI8" i="2" s="1"/>
  <c r="DI6" i="2" a="1"/>
  <c r="DH6" i="2" a="1"/>
  <c r="DH6" i="2" s="1"/>
  <c r="DG6" i="2" a="1"/>
  <c r="DG6" i="2" s="1"/>
  <c r="DF6" i="2" a="1"/>
  <c r="DF6" i="2" s="1"/>
  <c r="DE6" i="2" a="1"/>
  <c r="DE6" i="2" s="1"/>
  <c r="DD6" i="2" a="1"/>
  <c r="DD6" i="2" s="1"/>
  <c r="DC6" i="2"/>
  <c r="DC8" i="2" s="1"/>
  <c r="DC6" i="2" a="1"/>
  <c r="DB6" i="2"/>
  <c r="DB8" i="2" s="1"/>
  <c r="DB6" i="2" a="1"/>
  <c r="DA6" i="2" a="1"/>
  <c r="DA6" i="2" s="1"/>
  <c r="CZ6" i="2" a="1"/>
  <c r="CZ6" i="2" s="1"/>
  <c r="CY6" i="2"/>
  <c r="CY8" i="2" s="1"/>
  <c r="CY6" i="2" a="1"/>
  <c r="CX6" i="2"/>
  <c r="CX8" i="2" s="1"/>
  <c r="CX6" i="2" a="1"/>
  <c r="CW6" i="2" a="1"/>
  <c r="CW6" i="2" s="1"/>
  <c r="CV6" i="2" a="1"/>
  <c r="CV6" i="2" s="1"/>
  <c r="CU6" i="2" a="1"/>
  <c r="CU6" i="2" s="1"/>
  <c r="CT6" i="2" a="1"/>
  <c r="CT6" i="2" s="1"/>
  <c r="CS6" i="2" a="1"/>
  <c r="CS6" i="2" s="1"/>
  <c r="CR6" i="2"/>
  <c r="CR8" i="2" s="1"/>
  <c r="CR6" i="2" a="1"/>
  <c r="CQ6" i="2"/>
  <c r="CQ8" i="2" s="1"/>
  <c r="CQ6" i="2" a="1"/>
  <c r="CP6" i="2" a="1"/>
  <c r="CP6" i="2" s="1"/>
  <c r="CO6" i="2" a="1"/>
  <c r="CO6" i="2" s="1"/>
  <c r="CN6" i="2"/>
  <c r="CN8" i="2" s="1"/>
  <c r="CN6" i="2" a="1"/>
  <c r="CM6" i="2"/>
  <c r="CM8" i="2" s="1"/>
  <c r="CM6" i="2" a="1"/>
  <c r="CL6" i="2" a="1"/>
  <c r="CL6" i="2" s="1"/>
  <c r="CK6" i="2" a="1"/>
  <c r="CK6" i="2" s="1"/>
  <c r="CJ6" i="2" a="1"/>
  <c r="CJ6" i="2" s="1"/>
  <c r="CI6" i="2" a="1"/>
  <c r="CI6" i="2" s="1"/>
  <c r="CH6" i="2" a="1"/>
  <c r="CH6" i="2" s="1"/>
  <c r="CG6" i="2"/>
  <c r="CG8" i="2" s="1"/>
  <c r="CG6" i="2" a="1"/>
  <c r="CF6" i="2"/>
  <c r="CF8" i="2" s="1"/>
  <c r="CF6" i="2" a="1"/>
  <c r="CE6" i="2" a="1"/>
  <c r="CE6" i="2" s="1"/>
  <c r="CD6" i="2" a="1"/>
  <c r="CD6" i="2" s="1"/>
  <c r="CC6" i="2"/>
  <c r="CC8" i="2" s="1"/>
  <c r="CC6" i="2" a="1"/>
  <c r="CB6" i="2"/>
  <c r="CB8" i="2" s="1"/>
  <c r="CB6" i="2" a="1"/>
  <c r="CA6" i="2" a="1"/>
  <c r="CA6" i="2" s="1"/>
  <c r="BZ6" i="2" a="1"/>
  <c r="BZ6" i="2" s="1"/>
  <c r="BY6" i="2" a="1"/>
  <c r="BY6" i="2" s="1"/>
  <c r="BX6" i="2" a="1"/>
  <c r="BX6" i="2" s="1"/>
  <c r="BW6" i="2" a="1"/>
  <c r="BW6" i="2" s="1"/>
  <c r="BV6" i="2"/>
  <c r="BV8" i="2" s="1"/>
  <c r="BV6" i="2" a="1"/>
  <c r="BU6" i="2"/>
  <c r="BU8" i="2" s="1"/>
  <c r="BU6" i="2" a="1"/>
  <c r="BT6" i="2" a="1"/>
  <c r="BT6" i="2" s="1"/>
  <c r="BS6" i="2" a="1"/>
  <c r="BS6" i="2" s="1"/>
  <c r="BR6" i="2"/>
  <c r="BR8" i="2" s="1"/>
  <c r="BR6" i="2" a="1"/>
  <c r="BQ6" i="2"/>
  <c r="BQ8" i="2" s="1"/>
  <c r="BQ6" i="2" a="1"/>
  <c r="BP6" i="2" a="1"/>
  <c r="BP6" i="2" s="1"/>
  <c r="BO6" i="2" a="1"/>
  <c r="BO6" i="2" s="1"/>
  <c r="BN6" i="2" a="1"/>
  <c r="BN6" i="2" s="1"/>
  <c r="BM6" i="2" a="1"/>
  <c r="BM6" i="2" s="1"/>
  <c r="BL6" i="2" a="1"/>
  <c r="BL6" i="2" s="1"/>
  <c r="BK6" i="2"/>
  <c r="BK8" i="2" s="1"/>
  <c r="BK6" i="2" a="1"/>
  <c r="BJ6" i="2"/>
  <c r="BJ8" i="2" s="1"/>
  <c r="BJ6" i="2" a="1"/>
  <c r="BI6" i="2" a="1"/>
  <c r="BI6" i="2" s="1"/>
  <c r="BH6" i="2" a="1"/>
  <c r="BH6" i="2" s="1"/>
  <c r="BG6" i="2"/>
  <c r="BG8" i="2" s="1"/>
  <c r="BG6" i="2" a="1"/>
  <c r="BF6" i="2"/>
  <c r="BF8" i="2" s="1"/>
  <c r="BF6" i="2" a="1"/>
  <c r="BE6" i="2" a="1"/>
  <c r="BE6" i="2" s="1"/>
  <c r="BD6" i="2"/>
  <c r="BD8" i="2" s="1"/>
  <c r="BD6" i="2" a="1"/>
  <c r="BC6" i="2" a="1"/>
  <c r="BC6" i="2" s="1"/>
  <c r="BB6" i="2" a="1"/>
  <c r="BB6" i="2" s="1"/>
  <c r="BA6" i="2" a="1"/>
  <c r="BA6" i="2" s="1"/>
  <c r="AZ6" i="2"/>
  <c r="AZ8" i="2" s="1"/>
  <c r="AZ6" i="2" a="1"/>
  <c r="AY6" i="2"/>
  <c r="AY8" i="2" s="1"/>
  <c r="AY6" i="2" a="1"/>
  <c r="AX6" i="2" a="1"/>
  <c r="AX6" i="2" s="1"/>
  <c r="AW6" i="2" a="1"/>
  <c r="AW6" i="2" s="1"/>
  <c r="AV6" i="2"/>
  <c r="AV8" i="2" s="1"/>
  <c r="AV6" i="2" a="1"/>
  <c r="AU6" i="2"/>
  <c r="AU8" i="2" s="1"/>
  <c r="AU6" i="2" a="1"/>
  <c r="AT6" i="2" a="1"/>
  <c r="AT6" i="2" s="1"/>
  <c r="AS6" i="2" a="1"/>
  <c r="AS6" i="2" s="1"/>
  <c r="AR6" i="2" a="1"/>
  <c r="AR6" i="2" s="1"/>
  <c r="AQ6" i="2" a="1"/>
  <c r="AQ6" i="2" s="1"/>
  <c r="AP6" i="2" a="1"/>
  <c r="AP6" i="2" s="1"/>
  <c r="AO6" i="2"/>
  <c r="AO8" i="2" s="1"/>
  <c r="AO6" i="2" a="1"/>
  <c r="AN6" i="2"/>
  <c r="AN8" i="2" s="1"/>
  <c r="AN6" i="2" a="1"/>
  <c r="AM6" i="2" a="1"/>
  <c r="AM6" i="2" s="1"/>
  <c r="AL6" i="2" a="1"/>
  <c r="AL6" i="2" s="1"/>
  <c r="AK6" i="2" a="1"/>
  <c r="AK6" i="2" s="1"/>
  <c r="AJ6" i="2"/>
  <c r="AJ8" i="2" s="1"/>
  <c r="AJ6" i="2" a="1"/>
  <c r="AI6" i="2" a="1"/>
  <c r="AI6" i="2" s="1"/>
  <c r="AH6" i="2" a="1"/>
  <c r="AH6" i="2" s="1"/>
  <c r="AG6" i="2" a="1"/>
  <c r="AG6" i="2" s="1"/>
  <c r="AF6" i="2" a="1"/>
  <c r="AF6" i="2" s="1"/>
  <c r="AE6" i="2" a="1"/>
  <c r="AE6" i="2" s="1"/>
  <c r="AD6" i="2"/>
  <c r="AD8" i="2" s="1"/>
  <c r="AD6" i="2" a="1"/>
  <c r="AC6" i="2"/>
  <c r="AC8" i="2" s="1"/>
  <c r="AC6" i="2" a="1"/>
  <c r="AB6" i="2" a="1"/>
  <c r="AB6" i="2" s="1"/>
  <c r="AA6" i="2" a="1"/>
  <c r="AA6" i="2" s="1"/>
  <c r="Z6" i="2"/>
  <c r="Z8" i="2" s="1"/>
  <c r="Z6" i="2" a="1"/>
  <c r="Y6" i="2"/>
  <c r="Y8" i="2" s="1"/>
  <c r="Y6" i="2" a="1"/>
  <c r="X6" i="2" a="1"/>
  <c r="X6" i="2" s="1"/>
  <c r="W6" i="2" a="1"/>
  <c r="W6" i="2" s="1"/>
  <c r="V6" i="2" a="1"/>
  <c r="V6" i="2" s="1"/>
  <c r="U6" i="2" a="1"/>
  <c r="U6" i="2" s="1"/>
  <c r="T6" i="2" a="1"/>
  <c r="T6" i="2" s="1"/>
  <c r="S6" i="2"/>
  <c r="S8" i="2" s="1"/>
  <c r="S6" i="2" a="1"/>
  <c r="R6" i="2"/>
  <c r="R8" i="2" s="1"/>
  <c r="R6" i="2" a="1"/>
  <c r="Q6" i="2" a="1"/>
  <c r="Q6" i="2" s="1"/>
  <c r="P6" i="2" a="1"/>
  <c r="P6" i="2" s="1"/>
  <c r="O6" i="2" a="1"/>
  <c r="O6" i="2" s="1"/>
  <c r="N6" i="2"/>
  <c r="N8" i="2" s="1"/>
  <c r="N6" i="2" a="1"/>
  <c r="M6" i="2" a="1"/>
  <c r="M6" i="2" s="1"/>
  <c r="L6" i="2" a="1"/>
  <c r="L6" i="2" s="1"/>
  <c r="K6" i="2" a="1"/>
  <c r="K6" i="2" s="1"/>
  <c r="J6" i="2" a="1"/>
  <c r="J6" i="2" s="1"/>
  <c r="I6" i="2" a="1"/>
  <c r="I6" i="2" s="1"/>
  <c r="H6" i="2"/>
  <c r="H8" i="2" s="1"/>
  <c r="H6" i="2" a="1"/>
  <c r="G6" i="2"/>
  <c r="G8" i="2" s="1"/>
  <c r="G6" i="2" a="1"/>
  <c r="F6" i="2"/>
  <c r="F7" i="2" s="1"/>
  <c r="F6" i="2" a="1"/>
  <c r="E6" i="2" a="1"/>
  <c r="E6" i="2" s="1"/>
  <c r="D6" i="2" a="1"/>
  <c r="D6" i="2" s="1"/>
  <c r="C6" i="2"/>
  <c r="C8" i="2" s="1"/>
  <c r="C6" i="2" a="1"/>
  <c r="EF25" i="8" a="1"/>
  <c r="EF25" i="8" s="1"/>
  <c r="EE25" i="8" a="1"/>
  <c r="EE25" i="8" s="1"/>
  <c r="ED25" i="8" a="1"/>
  <c r="ED25" i="8" s="1"/>
  <c r="EC25" i="8" a="1"/>
  <c r="EC25" i="8" s="1"/>
  <c r="EB25" i="8" a="1"/>
  <c r="EB25" i="8" s="1"/>
  <c r="EA25" i="8" a="1"/>
  <c r="EA25" i="8"/>
  <c r="DZ25" i="8" a="1"/>
  <c r="DZ25" i="8" s="1"/>
  <c r="DY25" i="8" a="1"/>
  <c r="DY25" i="8" s="1"/>
  <c r="DX25" i="8" a="1"/>
  <c r="DX25" i="8"/>
  <c r="DW25" i="8" a="1"/>
  <c r="DW25" i="8" s="1"/>
  <c r="DV25" i="8" a="1"/>
  <c r="DV25" i="8" s="1"/>
  <c r="DU25" i="8" a="1"/>
  <c r="DU25" i="8"/>
  <c r="DT25" i="8" a="1"/>
  <c r="DT25" i="8" s="1"/>
  <c r="DS25" i="8" a="1"/>
  <c r="DS25" i="8" s="1"/>
  <c r="DR25" i="8" a="1"/>
  <c r="DR25" i="8"/>
  <c r="DQ25" i="8" a="1"/>
  <c r="DQ25" i="8" s="1"/>
  <c r="DP25" i="8" a="1"/>
  <c r="DP25" i="8"/>
  <c r="DO25" i="8" a="1"/>
  <c r="DO25" i="8" s="1"/>
  <c r="DN25" i="8" a="1"/>
  <c r="DN25" i="8" s="1"/>
  <c r="DM25" i="8" a="1"/>
  <c r="DM25" i="8"/>
  <c r="DL25" i="8" a="1"/>
  <c r="DL25" i="8" s="1"/>
  <c r="DK25" i="8" a="1"/>
  <c r="DK25" i="8"/>
  <c r="DJ25" i="8" a="1"/>
  <c r="DJ25" i="8"/>
  <c r="DI25" i="8" a="1"/>
  <c r="DI25" i="8" s="1"/>
  <c r="DH25" i="8" a="1"/>
  <c r="DH25" i="8" s="1"/>
  <c r="DG25" i="8" a="1"/>
  <c r="DG25" i="8"/>
  <c r="DF25" i="8" a="1"/>
  <c r="DF25" i="8" s="1"/>
  <c r="DE25" i="8" a="1"/>
  <c r="DE25" i="8"/>
  <c r="DD25" i="8" a="1"/>
  <c r="DD25" i="8" s="1"/>
  <c r="DC25" i="8" a="1"/>
  <c r="DC25" i="8" s="1"/>
  <c r="DB25" i="8" a="1"/>
  <c r="DB25" i="8"/>
  <c r="DA25" i="8" a="1"/>
  <c r="DA25" i="8" s="1"/>
  <c r="CZ25" i="8" a="1"/>
  <c r="CZ25" i="8"/>
  <c r="CY25" i="8" a="1"/>
  <c r="CY25" i="8"/>
  <c r="CX25" i="8" a="1"/>
  <c r="CX25" i="8" s="1"/>
  <c r="CW25" i="8" a="1"/>
  <c r="CW25" i="8" s="1"/>
  <c r="CV25" i="8" a="1"/>
  <c r="CV25" i="8"/>
  <c r="CU25" i="8" a="1"/>
  <c r="CU25" i="8" s="1"/>
  <c r="CT25" i="8" a="1"/>
  <c r="CT25" i="8"/>
  <c r="CS25" i="8" a="1"/>
  <c r="CS25" i="8" s="1"/>
  <c r="CR25" i="8" a="1"/>
  <c r="CR25" i="8" s="1"/>
  <c r="CQ25" i="8" a="1"/>
  <c r="CQ25" i="8"/>
  <c r="CP25" i="8" a="1"/>
  <c r="CP25" i="8" s="1"/>
  <c r="CO25" i="8" a="1"/>
  <c r="CO25" i="8"/>
  <c r="CN25" i="8" a="1"/>
  <c r="CN25" i="8"/>
  <c r="CM25" i="8" a="1"/>
  <c r="CM25" i="8" s="1"/>
  <c r="CL25" i="8" a="1"/>
  <c r="CL25" i="8" s="1"/>
  <c r="CK25" i="8" a="1"/>
  <c r="CK25" i="8"/>
  <c r="CJ25" i="8" a="1"/>
  <c r="CJ25" i="8" s="1"/>
  <c r="CI25" i="8" a="1"/>
  <c r="CI25" i="8"/>
  <c r="CH25" i="8" a="1"/>
  <c r="CH25" i="8" s="1"/>
  <c r="CG25" i="8" a="1"/>
  <c r="CG25" i="8" s="1"/>
  <c r="CF25" i="8" a="1"/>
  <c r="CF25" i="8"/>
  <c r="CE25" i="8" a="1"/>
  <c r="CE25" i="8" s="1"/>
  <c r="CD25" i="8" a="1"/>
  <c r="CD25" i="8"/>
  <c r="CC25" i="8" a="1"/>
  <c r="CC25" i="8"/>
  <c r="CB25" i="8" a="1"/>
  <c r="CB25" i="8" s="1"/>
  <c r="CA25" i="8" a="1"/>
  <c r="CA25" i="8" s="1"/>
  <c r="BZ25" i="8" a="1"/>
  <c r="BZ25" i="8"/>
  <c r="BY25" i="8" a="1"/>
  <c r="BY25" i="8" s="1"/>
  <c r="BX25" i="8" a="1"/>
  <c r="BX25" i="8"/>
  <c r="BW25" i="8" a="1"/>
  <c r="BW25" i="8" s="1"/>
  <c r="BV25" i="8" a="1"/>
  <c r="BV25" i="8" s="1"/>
  <c r="BU25" i="8" a="1"/>
  <c r="BU25" i="8"/>
  <c r="BT25" i="8" a="1"/>
  <c r="BT25" i="8" s="1"/>
  <c r="BS25" i="8" a="1"/>
  <c r="BS25" i="8"/>
  <c r="BR25" i="8" a="1"/>
  <c r="BR25" i="8"/>
  <c r="BQ25" i="8" a="1"/>
  <c r="BQ25" i="8" s="1"/>
  <c r="BP25" i="8" a="1"/>
  <c r="BP25" i="8" s="1"/>
  <c r="BO25" i="8" a="1"/>
  <c r="BO25" i="8"/>
  <c r="BN25" i="8" a="1"/>
  <c r="BN25" i="8" s="1"/>
  <c r="BM25" i="8" a="1"/>
  <c r="BM25" i="8"/>
  <c r="BL25" i="8" a="1"/>
  <c r="BL25" i="8" s="1"/>
  <c r="BK25" i="8" a="1"/>
  <c r="BK25" i="8" s="1"/>
  <c r="BJ25" i="8" a="1"/>
  <c r="BJ25" i="8"/>
  <c r="BI25" i="8" a="1"/>
  <c r="BI25" i="8" s="1"/>
  <c r="BH25" i="8" a="1"/>
  <c r="BH25" i="8"/>
  <c r="BG25" i="8" a="1"/>
  <c r="BG25" i="8"/>
  <c r="BF25" i="8" a="1"/>
  <c r="BF25" i="8" s="1"/>
  <c r="BE25" i="8" a="1"/>
  <c r="BE25" i="8" s="1"/>
  <c r="BD25" i="8" a="1"/>
  <c r="BD25" i="8"/>
  <c r="BC25" i="8" a="1"/>
  <c r="BC25" i="8" s="1"/>
  <c r="BB25" i="8" a="1"/>
  <c r="BB25" i="8"/>
  <c r="BA25" i="8" a="1"/>
  <c r="BA25" i="8" s="1"/>
  <c r="AZ25" i="8" a="1"/>
  <c r="AZ25" i="8" s="1"/>
  <c r="AY25" i="8" a="1"/>
  <c r="AY25" i="8"/>
  <c r="AX25" i="8" a="1"/>
  <c r="AX25" i="8" s="1"/>
  <c r="AW25" i="8" a="1"/>
  <c r="AW25" i="8"/>
  <c r="AV25" i="8" a="1"/>
  <c r="AV25" i="8"/>
  <c r="AU25" i="8" a="1"/>
  <c r="AU25" i="8" s="1"/>
  <c r="AT25" i="8" a="1"/>
  <c r="AT25" i="8" s="1"/>
  <c r="AS25" i="8" a="1"/>
  <c r="AS25" i="8"/>
  <c r="AR25" i="8" a="1"/>
  <c r="AR25" i="8" s="1"/>
  <c r="AQ25" i="8" a="1"/>
  <c r="AQ25" i="8"/>
  <c r="AP25" i="8" a="1"/>
  <c r="AP25" i="8" s="1"/>
  <c r="AO25" i="8" a="1"/>
  <c r="AO25" i="8" s="1"/>
  <c r="AN25" i="8" a="1"/>
  <c r="AN25" i="8"/>
  <c r="AM25" i="8" a="1"/>
  <c r="AM25" i="8" s="1"/>
  <c r="AL25" i="8" a="1"/>
  <c r="AL25" i="8"/>
  <c r="AK25" i="8" a="1"/>
  <c r="AK25" i="8"/>
  <c r="AJ25" i="8" a="1"/>
  <c r="AJ25" i="8" s="1"/>
  <c r="AI25" i="8" a="1"/>
  <c r="AI25" i="8" s="1"/>
  <c r="AH25" i="8" a="1"/>
  <c r="AH25" i="8"/>
  <c r="AG25" i="8" a="1"/>
  <c r="AG25" i="8" s="1"/>
  <c r="AF25" i="8" a="1"/>
  <c r="AF25" i="8"/>
  <c r="AE25" i="8" a="1"/>
  <c r="AE25" i="8" s="1"/>
  <c r="AD25" i="8" a="1"/>
  <c r="AD25" i="8" s="1"/>
  <c r="AC25" i="8" a="1"/>
  <c r="AC25" i="8"/>
  <c r="AB25" i="8" a="1"/>
  <c r="AB25" i="8" s="1"/>
  <c r="AA25" i="8" a="1"/>
  <c r="AA25" i="8"/>
  <c r="Z25" i="8" a="1"/>
  <c r="Z25" i="8"/>
  <c r="Y25" i="8" a="1"/>
  <c r="Y25" i="8" s="1"/>
  <c r="X25" i="8" a="1"/>
  <c r="X25" i="8" s="1"/>
  <c r="W25" i="8" a="1"/>
  <c r="W25" i="8"/>
  <c r="V25" i="8" a="1"/>
  <c r="V25" i="8" s="1"/>
  <c r="U25" i="8" a="1"/>
  <c r="U25" i="8"/>
  <c r="T25" i="8" a="1"/>
  <c r="T25" i="8" s="1"/>
  <c r="S25" i="8" a="1"/>
  <c r="S25" i="8" s="1"/>
  <c r="R25" i="8" a="1"/>
  <c r="R25" i="8"/>
  <c r="Q25" i="8" a="1"/>
  <c r="Q25" i="8" s="1"/>
  <c r="P25" i="8" a="1"/>
  <c r="P25" i="8"/>
  <c r="O25" i="8" a="1"/>
  <c r="O25" i="8"/>
  <c r="N25" i="8" a="1"/>
  <c r="N25" i="8" s="1"/>
  <c r="M25" i="8" a="1"/>
  <c r="M25" i="8" s="1"/>
  <c r="L25" i="8" a="1"/>
  <c r="L25" i="8"/>
  <c r="K25" i="8" a="1"/>
  <c r="K25" i="8" s="1"/>
  <c r="J25" i="8" a="1"/>
  <c r="J25" i="8"/>
  <c r="I25" i="8" a="1"/>
  <c r="I25" i="8" s="1"/>
  <c r="H25" i="8" a="1"/>
  <c r="H25" i="8" s="1"/>
  <c r="G25" i="8" a="1"/>
  <c r="G25" i="8"/>
  <c r="F25" i="8" a="1"/>
  <c r="F25" i="8" s="1"/>
  <c r="E25" i="8" a="1"/>
  <c r="E25" i="8"/>
  <c r="D25" i="8" a="1"/>
  <c r="D25" i="8"/>
  <c r="C25" i="8" a="1"/>
  <c r="C25" i="8" s="1"/>
  <c r="EF24" i="8" a="1"/>
  <c r="EF24" i="8" s="1"/>
  <c r="EE24" i="8" a="1"/>
  <c r="EE24" i="8"/>
  <c r="ED24" i="8" a="1"/>
  <c r="ED24" i="8" s="1"/>
  <c r="EC24" i="8" a="1"/>
  <c r="EC24" i="8"/>
  <c r="EB24" i="8" a="1"/>
  <c r="EB24" i="8" s="1"/>
  <c r="EA24" i="8" a="1"/>
  <c r="EA24" i="8" s="1"/>
  <c r="DZ24" i="8" a="1"/>
  <c r="DZ24" i="8"/>
  <c r="DY24" i="8" a="1"/>
  <c r="DY24" i="8" s="1"/>
  <c r="DX24" i="8" a="1"/>
  <c r="DX24" i="8"/>
  <c r="DW24" i="8" a="1"/>
  <c r="DW24" i="8"/>
  <c r="DV24" i="8" a="1"/>
  <c r="DV24" i="8" s="1"/>
  <c r="DU24" i="8" a="1"/>
  <c r="DU24" i="8" s="1"/>
  <c r="DT24" i="8" a="1"/>
  <c r="DT24" i="8"/>
  <c r="DS24" i="8" a="1"/>
  <c r="DS24" i="8" s="1"/>
  <c r="DR24" i="8" a="1"/>
  <c r="DR24" i="8"/>
  <c r="DQ24" i="8" a="1"/>
  <c r="DQ24" i="8" s="1"/>
  <c r="DP24" i="8" a="1"/>
  <c r="DP24" i="8" s="1"/>
  <c r="DO24" i="8" a="1"/>
  <c r="DO24" i="8"/>
  <c r="DN24" i="8" a="1"/>
  <c r="DN24" i="8" s="1"/>
  <c r="DM24" i="8" a="1"/>
  <c r="DM24" i="8"/>
  <c r="DL24" i="8" a="1"/>
  <c r="DL24" i="8"/>
  <c r="DK24" i="8" a="1"/>
  <c r="DK24" i="8" s="1"/>
  <c r="DJ24" i="8" a="1"/>
  <c r="DJ24" i="8" s="1"/>
  <c r="DI24" i="8" a="1"/>
  <c r="DI24" i="8"/>
  <c r="DH24" i="8" a="1"/>
  <c r="DH24" i="8" s="1"/>
  <c r="DG24" i="8" a="1"/>
  <c r="DG24" i="8"/>
  <c r="DF24" i="8" a="1"/>
  <c r="DF24" i="8" s="1"/>
  <c r="DE24" i="8" a="1"/>
  <c r="DE24" i="8" s="1"/>
  <c r="DD24" i="8" a="1"/>
  <c r="DD24" i="8"/>
  <c r="DC24" i="8" a="1"/>
  <c r="DC24" i="8" s="1"/>
  <c r="DB24" i="8" a="1"/>
  <c r="DB24" i="8"/>
  <c r="DA24" i="8" a="1"/>
  <c r="DA24" i="8"/>
  <c r="CZ24" i="8" a="1"/>
  <c r="CZ24" i="8" s="1"/>
  <c r="CY24" i="8" a="1"/>
  <c r="CY24" i="8" s="1"/>
  <c r="CX24" i="8" a="1"/>
  <c r="CX24" i="8"/>
  <c r="CW24" i="8" a="1"/>
  <c r="CW24" i="8" s="1"/>
  <c r="CV24" i="8" a="1"/>
  <c r="CV24" i="8"/>
  <c r="CU24" i="8" a="1"/>
  <c r="CU24" i="8" s="1"/>
  <c r="CT24" i="8" a="1"/>
  <c r="CT24" i="8" s="1"/>
  <c r="CS24" i="8" a="1"/>
  <c r="CS24" i="8"/>
  <c r="CR24" i="8" a="1"/>
  <c r="CR24" i="8" s="1"/>
  <c r="CQ24" i="8" a="1"/>
  <c r="CQ24" i="8"/>
  <c r="CP24" i="8" a="1"/>
  <c r="CP24" i="8"/>
  <c r="CO24" i="8" a="1"/>
  <c r="CO24" i="8" s="1"/>
  <c r="CN24" i="8" a="1"/>
  <c r="CN24" i="8" s="1"/>
  <c r="CM24" i="8" a="1"/>
  <c r="CM24" i="8"/>
  <c r="CL24" i="8" a="1"/>
  <c r="CL24" i="8" s="1"/>
  <c r="CK24" i="8" a="1"/>
  <c r="CK24" i="8"/>
  <c r="CJ24" i="8" a="1"/>
  <c r="CJ24" i="8" s="1"/>
  <c r="CI24" i="8" a="1"/>
  <c r="CI24" i="8" s="1"/>
  <c r="CH24" i="8" a="1"/>
  <c r="CH24" i="8"/>
  <c r="CG24" i="8" a="1"/>
  <c r="CG24" i="8" s="1"/>
  <c r="CF24" i="8" a="1"/>
  <c r="CF24" i="8"/>
  <c r="CE24" i="8" a="1"/>
  <c r="CE24" i="8"/>
  <c r="CD24" i="8" a="1"/>
  <c r="CD24" i="8" s="1"/>
  <c r="CC24" i="8" a="1"/>
  <c r="CC24" i="8" s="1"/>
  <c r="CB24" i="8" a="1"/>
  <c r="CB24" i="8"/>
  <c r="CA24" i="8" a="1"/>
  <c r="CA24" i="8" s="1"/>
  <c r="BZ24" i="8" a="1"/>
  <c r="BZ24" i="8"/>
  <c r="BY24" i="8" a="1"/>
  <c r="BY24" i="8" s="1"/>
  <c r="BX24" i="8" a="1"/>
  <c r="BX24" i="8" s="1"/>
  <c r="BW24" i="8" a="1"/>
  <c r="BW24" i="8"/>
  <c r="BV24" i="8" a="1"/>
  <c r="BV24" i="8" s="1"/>
  <c r="BU24" i="8" a="1"/>
  <c r="BU24" i="8"/>
  <c r="BT24" i="8" a="1"/>
  <c r="BT24" i="8"/>
  <c r="BS24" i="8" a="1"/>
  <c r="BS24" i="8" s="1"/>
  <c r="BR24" i="8" a="1"/>
  <c r="BR24" i="8" s="1"/>
  <c r="BQ24" i="8" a="1"/>
  <c r="BQ24" i="8"/>
  <c r="BP24" i="8" a="1"/>
  <c r="BP24" i="8" s="1"/>
  <c r="BO24" i="8" a="1"/>
  <c r="BO24" i="8"/>
  <c r="BN24" i="8" a="1"/>
  <c r="BN24" i="8" s="1"/>
  <c r="BM24" i="8" a="1"/>
  <c r="BM24" i="8" s="1"/>
  <c r="BL24" i="8" a="1"/>
  <c r="BL24" i="8"/>
  <c r="BK24" i="8" a="1"/>
  <c r="BK24" i="8" s="1"/>
  <c r="BJ24" i="8" a="1"/>
  <c r="BJ24" i="8"/>
  <c r="BI24" i="8" a="1"/>
  <c r="BI24" i="8"/>
  <c r="BH24" i="8" a="1"/>
  <c r="BH24" i="8" s="1"/>
  <c r="BG24" i="8" a="1"/>
  <c r="BG24" i="8" s="1"/>
  <c r="BF24" i="8" a="1"/>
  <c r="BF24" i="8"/>
  <c r="BE24" i="8" a="1"/>
  <c r="BE24" i="8" s="1"/>
  <c r="BD24" i="8" a="1"/>
  <c r="BD24" i="8"/>
  <c r="BC24" i="8" a="1"/>
  <c r="BC24" i="8" s="1"/>
  <c r="BB24" i="8" a="1"/>
  <c r="BB24" i="8" s="1"/>
  <c r="BA24" i="8" a="1"/>
  <c r="BA24" i="8"/>
  <c r="AZ24" i="8" a="1"/>
  <c r="AZ24" i="8" s="1"/>
  <c r="AY24" i="8" a="1"/>
  <c r="AY24" i="8"/>
  <c r="AX24" i="8" a="1"/>
  <c r="AX24" i="8"/>
  <c r="AW24" i="8" a="1"/>
  <c r="AW24" i="8" s="1"/>
  <c r="AV24" i="8" a="1"/>
  <c r="AV24" i="8" s="1"/>
  <c r="AU24" i="8" a="1"/>
  <c r="AU24" i="8"/>
  <c r="AT24" i="8" a="1"/>
  <c r="AT24" i="8" s="1"/>
  <c r="AS24" i="8" a="1"/>
  <c r="AS24" i="8"/>
  <c r="AR24" i="8" a="1"/>
  <c r="AR24" i="8" s="1"/>
  <c r="AQ24" i="8" a="1"/>
  <c r="AQ24" i="8" s="1"/>
  <c r="AP24" i="8" a="1"/>
  <c r="AP24" i="8"/>
  <c r="AO24" i="8" a="1"/>
  <c r="AO24" i="8" s="1"/>
  <c r="AN24" i="8" a="1"/>
  <c r="AN24" i="8"/>
  <c r="AM24" i="8" a="1"/>
  <c r="AM24" i="8"/>
  <c r="AL24" i="8" a="1"/>
  <c r="AL24" i="8" s="1"/>
  <c r="AK24" i="8" a="1"/>
  <c r="AK24" i="8" s="1"/>
  <c r="AJ24" i="8" a="1"/>
  <c r="AJ24" i="8"/>
  <c r="AI24" i="8" a="1"/>
  <c r="AI24" i="8" s="1"/>
  <c r="AH24" i="8" a="1"/>
  <c r="AH24" i="8"/>
  <c r="AG24" i="8" a="1"/>
  <c r="AG24" i="8" s="1"/>
  <c r="AF24" i="8" a="1"/>
  <c r="AF24" i="8" s="1"/>
  <c r="AE24" i="8" a="1"/>
  <c r="AE24" i="8"/>
  <c r="AD24" i="8" a="1"/>
  <c r="AD24" i="8" s="1"/>
  <c r="AC24" i="8" a="1"/>
  <c r="AC24" i="8"/>
  <c r="AB24" i="8" a="1"/>
  <c r="AB24" i="8"/>
  <c r="AA24" i="8" a="1"/>
  <c r="AA24" i="8" s="1"/>
  <c r="Z24" i="8" a="1"/>
  <c r="Z24" i="8" s="1"/>
  <c r="Y24" i="8" a="1"/>
  <c r="Y24" i="8"/>
  <c r="X24" i="8" a="1"/>
  <c r="X24" i="8" s="1"/>
  <c r="W24" i="8" a="1"/>
  <c r="W24" i="8"/>
  <c r="V24" i="8" a="1"/>
  <c r="V24" i="8" s="1"/>
  <c r="U24" i="8" a="1"/>
  <c r="U24" i="8" s="1"/>
  <c r="T24" i="8" a="1"/>
  <c r="T24" i="8"/>
  <c r="S24" i="8" a="1"/>
  <c r="S24" i="8" s="1"/>
  <c r="R24" i="8" a="1"/>
  <c r="R24" i="8"/>
  <c r="Q24" i="8" a="1"/>
  <c r="Q24" i="8"/>
  <c r="P24" i="8" a="1"/>
  <c r="P24" i="8" s="1"/>
  <c r="O24" i="8" a="1"/>
  <c r="O24" i="8" s="1"/>
  <c r="N24" i="8" a="1"/>
  <c r="N24" i="8"/>
  <c r="M24" i="8" a="1"/>
  <c r="M24" i="8" s="1"/>
  <c r="L24" i="8" a="1"/>
  <c r="L24" i="8"/>
  <c r="K24" i="8" a="1"/>
  <c r="K24" i="8" s="1"/>
  <c r="J24" i="8" a="1"/>
  <c r="J24" i="8" s="1"/>
  <c r="I24" i="8" a="1"/>
  <c r="I24" i="8"/>
  <c r="H24" i="8" a="1"/>
  <c r="H24" i="8" s="1"/>
  <c r="G24" i="8" a="1"/>
  <c r="G24" i="8"/>
  <c r="F24" i="8" a="1"/>
  <c r="F24" i="8"/>
  <c r="E24" i="8" a="1"/>
  <c r="E24" i="8" s="1"/>
  <c r="D24" i="8" a="1"/>
  <c r="D24" i="8" s="1"/>
  <c r="C24" i="8" a="1"/>
  <c r="C24" i="8"/>
  <c r="EF23" i="8" a="1"/>
  <c r="EF23" i="8" s="1"/>
  <c r="EE23" i="8" a="1"/>
  <c r="EE23" i="8"/>
  <c r="ED23" i="8" a="1"/>
  <c r="ED23" i="8" s="1"/>
  <c r="EC23" i="8" a="1"/>
  <c r="EC23" i="8" s="1"/>
  <c r="EB23" i="8" a="1"/>
  <c r="EB23" i="8"/>
  <c r="EA23" i="8" a="1"/>
  <c r="EA23" i="8" s="1"/>
  <c r="DZ23" i="8" a="1"/>
  <c r="DZ23" i="8"/>
  <c r="DY23" i="8" a="1"/>
  <c r="DY23" i="8"/>
  <c r="DX23" i="8" a="1"/>
  <c r="DX23" i="8" s="1"/>
  <c r="DW23" i="8" a="1"/>
  <c r="DW23" i="8" s="1"/>
  <c r="DV23" i="8" a="1"/>
  <c r="DV23" i="8"/>
  <c r="DU23" i="8" a="1"/>
  <c r="DU23" i="8" s="1"/>
  <c r="DT23" i="8" a="1"/>
  <c r="DT23" i="8"/>
  <c r="DS23" i="8" a="1"/>
  <c r="DS23" i="8" s="1"/>
  <c r="DR23" i="8" a="1"/>
  <c r="DR23" i="8" s="1"/>
  <c r="DQ23" i="8" a="1"/>
  <c r="DQ23" i="8"/>
  <c r="DP23" i="8" a="1"/>
  <c r="DP23" i="8" s="1"/>
  <c r="DO23" i="8" a="1"/>
  <c r="DO23" i="8"/>
  <c r="DN23" i="8" a="1"/>
  <c r="DN23" i="8"/>
  <c r="DM23" i="8" a="1"/>
  <c r="DM23" i="8" s="1"/>
  <c r="DL23" i="8" a="1"/>
  <c r="DL23" i="8" s="1"/>
  <c r="DK23" i="8" a="1"/>
  <c r="DK23" i="8"/>
  <c r="DJ23" i="8" a="1"/>
  <c r="DJ23" i="8" s="1"/>
  <c r="DI23" i="8" a="1"/>
  <c r="DI23" i="8"/>
  <c r="DH23" i="8" a="1"/>
  <c r="DH23" i="8" s="1"/>
  <c r="DG23" i="8" a="1"/>
  <c r="DG23" i="8" s="1"/>
  <c r="DF23" i="8" a="1"/>
  <c r="DF23" i="8"/>
  <c r="DE23" i="8" a="1"/>
  <c r="DE23" i="8" s="1"/>
  <c r="DD23" i="8" a="1"/>
  <c r="DD23" i="8"/>
  <c r="DC23" i="8" a="1"/>
  <c r="DC23" i="8" s="1"/>
  <c r="DB23" i="8" a="1"/>
  <c r="DB23" i="8" s="1"/>
  <c r="DA23" i="8" a="1"/>
  <c r="DA23" i="8" s="1"/>
  <c r="CZ23" i="8" a="1"/>
  <c r="CZ23" i="8"/>
  <c r="CY23" i="8" a="1"/>
  <c r="CY23" i="8" s="1"/>
  <c r="CX23" i="8" a="1"/>
  <c r="CX23" i="8"/>
  <c r="CW23" i="8" a="1"/>
  <c r="CW23" i="8" s="1"/>
  <c r="CV23" i="8" a="1"/>
  <c r="CV23" i="8" s="1"/>
  <c r="CU23" i="8" a="1"/>
  <c r="CU23" i="8"/>
  <c r="CT23" i="8" a="1"/>
  <c r="CT23" i="8" s="1"/>
  <c r="CS23" i="8" a="1"/>
  <c r="CS23" i="8"/>
  <c r="CR23" i="8" a="1"/>
  <c r="CR23" i="8" s="1"/>
  <c r="CQ23" i="8" a="1"/>
  <c r="CQ23" i="8" s="1"/>
  <c r="CP23" i="8" a="1"/>
  <c r="CP23" i="8" s="1"/>
  <c r="CO23" i="8" a="1"/>
  <c r="CO23" i="8"/>
  <c r="CN23" i="8" a="1"/>
  <c r="CN23" i="8" s="1"/>
  <c r="CM23" i="8" a="1"/>
  <c r="CM23" i="8"/>
  <c r="CL23" i="8" a="1"/>
  <c r="CL23" i="8" s="1"/>
  <c r="CK23" i="8" a="1"/>
  <c r="CK23" i="8" s="1"/>
  <c r="CJ23" i="8" a="1"/>
  <c r="CJ23" i="8"/>
  <c r="CI23" i="8" a="1"/>
  <c r="CI23" i="8" s="1"/>
  <c r="CH23" i="8" a="1"/>
  <c r="CH23" i="8"/>
  <c r="CG23" i="8" a="1"/>
  <c r="CG23" i="8" s="1"/>
  <c r="CF23" i="8" a="1"/>
  <c r="CF23" i="8" s="1"/>
  <c r="CE23" i="8" a="1"/>
  <c r="CE23" i="8" s="1"/>
  <c r="CD23" i="8" a="1"/>
  <c r="CD23" i="8"/>
  <c r="CC23" i="8" a="1"/>
  <c r="CC23" i="8" s="1"/>
  <c r="CB23" i="8" a="1"/>
  <c r="CB23" i="8"/>
  <c r="CA23" i="8" a="1"/>
  <c r="CA23" i="8" s="1"/>
  <c r="BZ23" i="8" a="1"/>
  <c r="BZ23" i="8" s="1"/>
  <c r="BY23" i="8" a="1"/>
  <c r="BY23" i="8"/>
  <c r="BX23" i="8" a="1"/>
  <c r="BX23" i="8" s="1"/>
  <c r="BW23" i="8" a="1"/>
  <c r="BW23" i="8"/>
  <c r="BV23" i="8" a="1"/>
  <c r="BV23" i="8" s="1"/>
  <c r="BU23" i="8" a="1"/>
  <c r="BU23" i="8" s="1"/>
  <c r="BT23" i="8" a="1"/>
  <c r="BT23" i="8" s="1"/>
  <c r="BS23" i="8" a="1"/>
  <c r="BS23" i="8"/>
  <c r="BR23" i="8" a="1"/>
  <c r="BR23" i="8" s="1"/>
  <c r="BQ23" i="8" a="1"/>
  <c r="BQ23" i="8"/>
  <c r="BP23" i="8" a="1"/>
  <c r="BP23" i="8" s="1"/>
  <c r="BO23" i="8" a="1"/>
  <c r="BO23" i="8" s="1"/>
  <c r="BN23" i="8" a="1"/>
  <c r="BN23" i="8"/>
  <c r="BM23" i="8" a="1"/>
  <c r="BM23" i="8" s="1"/>
  <c r="BL23" i="8" a="1"/>
  <c r="BL23" i="8"/>
  <c r="BK23" i="8" a="1"/>
  <c r="BK23" i="8"/>
  <c r="BJ23" i="8" a="1"/>
  <c r="BJ23" i="8" s="1"/>
  <c r="BI23" i="8" a="1"/>
  <c r="BI23" i="8" s="1"/>
  <c r="BH23" i="8" a="1"/>
  <c r="BH23" i="8"/>
  <c r="BG23" i="8" a="1"/>
  <c r="BG23" i="8" s="1"/>
  <c r="BF23" i="8" a="1"/>
  <c r="BF23" i="8"/>
  <c r="BE23" i="8" a="1"/>
  <c r="BE23" i="8" s="1"/>
  <c r="BD23" i="8" a="1"/>
  <c r="BD23" i="8" s="1"/>
  <c r="BC23" i="8" a="1"/>
  <c r="BC23" i="8"/>
  <c r="BB23" i="8" a="1"/>
  <c r="BB23" i="8" s="1"/>
  <c r="BA23" i="8" a="1"/>
  <c r="BA23" i="8"/>
  <c r="AZ23" i="8" a="1"/>
  <c r="AZ23" i="8"/>
  <c r="AY23" i="8" a="1"/>
  <c r="AY23" i="8" s="1"/>
  <c r="AX23" i="8" a="1"/>
  <c r="AX23" i="8" s="1"/>
  <c r="AW23" i="8" a="1"/>
  <c r="AW23" i="8"/>
  <c r="AV23" i="8" a="1"/>
  <c r="AV23" i="8" s="1"/>
  <c r="AU23" i="8" a="1"/>
  <c r="AU23" i="8"/>
  <c r="AT23" i="8" a="1"/>
  <c r="AT23" i="8" s="1"/>
  <c r="AS23" i="8" a="1"/>
  <c r="AS23" i="8" s="1"/>
  <c r="AR23" i="8" a="1"/>
  <c r="AR23" i="8"/>
  <c r="AQ23" i="8" a="1"/>
  <c r="AQ23" i="8" s="1"/>
  <c r="AP23" i="8" a="1"/>
  <c r="AP23" i="8"/>
  <c r="AO23" i="8" a="1"/>
  <c r="AO23" i="8" s="1"/>
  <c r="AN23" i="8" a="1"/>
  <c r="AN23" i="8" s="1"/>
  <c r="AM23" i="8" a="1"/>
  <c r="AM23" i="8" s="1"/>
  <c r="AL23" i="8" a="1"/>
  <c r="AL23" i="8"/>
  <c r="AK23" i="8" a="1"/>
  <c r="AK23" i="8" s="1"/>
  <c r="AJ23" i="8" a="1"/>
  <c r="AJ23" i="8"/>
  <c r="AI23" i="8" a="1"/>
  <c r="AI23" i="8" s="1"/>
  <c r="AH23" i="8" a="1"/>
  <c r="AH23" i="8" s="1"/>
  <c r="AG23" i="8" a="1"/>
  <c r="AG23" i="8"/>
  <c r="AF23" i="8" a="1"/>
  <c r="AF23" i="8" s="1"/>
  <c r="AE23" i="8" a="1"/>
  <c r="AE23" i="8"/>
  <c r="AD23" i="8" a="1"/>
  <c r="AD23" i="8"/>
  <c r="AC23" i="8" a="1"/>
  <c r="AC23" i="8" s="1"/>
  <c r="AB23" i="8" a="1"/>
  <c r="AB23" i="8" s="1"/>
  <c r="AA23" i="8" a="1"/>
  <c r="AA23" i="8"/>
  <c r="Z23" i="8" a="1"/>
  <c r="Z23" i="8" s="1"/>
  <c r="Y23" i="8" a="1"/>
  <c r="Y23" i="8"/>
  <c r="X23" i="8" a="1"/>
  <c r="X23" i="8" s="1"/>
  <c r="W23" i="8" a="1"/>
  <c r="W23" i="8" s="1"/>
  <c r="V23" i="8" a="1"/>
  <c r="V23" i="8"/>
  <c r="U23" i="8" a="1"/>
  <c r="U23" i="8" s="1"/>
  <c r="T23" i="8" a="1"/>
  <c r="T23" i="8"/>
  <c r="S23" i="8" a="1"/>
  <c r="S23" i="8"/>
  <c r="R23" i="8" a="1"/>
  <c r="R23" i="8" s="1"/>
  <c r="Q23" i="8" a="1"/>
  <c r="Q23" i="8" s="1"/>
  <c r="P23" i="8" a="1"/>
  <c r="P23" i="8"/>
  <c r="O23" i="8" a="1"/>
  <c r="O23" i="8" s="1"/>
  <c r="N23" i="8" a="1"/>
  <c r="N23" i="8"/>
  <c r="M23" i="8" a="1"/>
  <c r="M23" i="8" s="1"/>
  <c r="L23" i="8" a="1"/>
  <c r="L23" i="8" s="1"/>
  <c r="K23" i="8" a="1"/>
  <c r="K23" i="8"/>
  <c r="J23" i="8" a="1"/>
  <c r="J23" i="8" s="1"/>
  <c r="I23" i="8" a="1"/>
  <c r="I23" i="8"/>
  <c r="H23" i="8" a="1"/>
  <c r="H23" i="8"/>
  <c r="G23" i="8" a="1"/>
  <c r="G23" i="8" s="1"/>
  <c r="F23" i="8" a="1"/>
  <c r="F23" i="8"/>
  <c r="E23" i="8" a="1"/>
  <c r="E23" i="8"/>
  <c r="D23" i="8" a="1"/>
  <c r="D23" i="8" s="1"/>
  <c r="C23" i="8" a="1"/>
  <c r="C23" i="8"/>
  <c r="EF22" i="8" a="1"/>
  <c r="EF22" i="8" s="1"/>
  <c r="EE22" i="8" a="1"/>
  <c r="EE22" i="8" s="1"/>
  <c r="ED22" i="8" a="1"/>
  <c r="ED22" i="8"/>
  <c r="EC22" i="8" a="1"/>
  <c r="EC22" i="8" s="1"/>
  <c r="EB22" i="8" a="1"/>
  <c r="EB22" i="8"/>
  <c r="EA22" i="8" a="1"/>
  <c r="EA22" i="8"/>
  <c r="DZ22" i="8" a="1"/>
  <c r="DZ22" i="8" s="1"/>
  <c r="DY22" i="8" a="1"/>
  <c r="DY22" i="8"/>
  <c r="DX22" i="8" a="1"/>
  <c r="DX22" i="8"/>
  <c r="DW22" i="8" a="1"/>
  <c r="DW22" i="8" s="1"/>
  <c r="DV22" i="8" a="1"/>
  <c r="DV22" i="8"/>
  <c r="DU22" i="8" a="1"/>
  <c r="DU22" i="8" s="1"/>
  <c r="DT22" i="8" a="1"/>
  <c r="DT22" i="8" s="1"/>
  <c r="DS22" i="8" a="1"/>
  <c r="DS22" i="8"/>
  <c r="DR22" i="8" a="1"/>
  <c r="DR22" i="8" s="1"/>
  <c r="DQ22" i="8" a="1"/>
  <c r="DQ22" i="8"/>
  <c r="DP22" i="8" a="1"/>
  <c r="DP22" i="8" s="1"/>
  <c r="DO22" i="8" a="1"/>
  <c r="DO22" i="8" s="1"/>
  <c r="DN22" i="8" a="1"/>
  <c r="DN22" i="8"/>
  <c r="DM22" i="8" a="1"/>
  <c r="DM22" i="8"/>
  <c r="DL22" i="8" a="1"/>
  <c r="DL22" i="8" s="1"/>
  <c r="DK22" i="8" a="1"/>
  <c r="DK22" i="8"/>
  <c r="DJ22" i="8" a="1"/>
  <c r="DJ22" i="8"/>
  <c r="DI22" i="8" a="1"/>
  <c r="DI22" i="8" s="1"/>
  <c r="DH22" i="8" a="1"/>
  <c r="DH22" i="8"/>
  <c r="DG22" i="8" a="1"/>
  <c r="DG22" i="8" s="1"/>
  <c r="DF22" i="8" a="1"/>
  <c r="DF22" i="8"/>
  <c r="DE22" i="8" a="1"/>
  <c r="DE22" i="8"/>
  <c r="DD22" i="8" a="1"/>
  <c r="DD22" i="8" s="1"/>
  <c r="DC22" i="8" a="1"/>
  <c r="DC22" i="8"/>
  <c r="DB22" i="8" a="1"/>
  <c r="DB22" i="8"/>
  <c r="DA22" i="8" a="1"/>
  <c r="DA22" i="8" s="1"/>
  <c r="CZ22" i="8" a="1"/>
  <c r="CZ22" i="8" s="1"/>
  <c r="CY22" i="8" a="1"/>
  <c r="CY22" i="8" s="1"/>
  <c r="CX22" i="8" a="1"/>
  <c r="CX22" i="8" s="1"/>
  <c r="CW22" i="8" a="1"/>
  <c r="CW22" i="8"/>
  <c r="CV22" i="8" a="1"/>
  <c r="CV22" i="8" s="1"/>
  <c r="CU22" i="8" a="1"/>
  <c r="CU22" i="8"/>
  <c r="CT22" i="8" a="1"/>
  <c r="CT22" i="8"/>
  <c r="CS22" i="8" a="1"/>
  <c r="CS22" i="8" s="1"/>
  <c r="CR22" i="8" a="1"/>
  <c r="CR22" i="8" s="1"/>
  <c r="CQ22" i="8" a="1"/>
  <c r="CQ22" i="8"/>
  <c r="CP22" i="8" a="1"/>
  <c r="CP22" i="8" s="1"/>
  <c r="CO22" i="8" a="1"/>
  <c r="CO22" i="8"/>
  <c r="CN22" i="8" a="1"/>
  <c r="CN22" i="8"/>
  <c r="CM22" i="8" a="1"/>
  <c r="CM22" i="8" s="1"/>
  <c r="CL22" i="8" a="1"/>
  <c r="CL22" i="8"/>
  <c r="CK22" i="8" a="1"/>
  <c r="CK22" i="8" s="1"/>
  <c r="CJ22" i="8" a="1"/>
  <c r="CJ22" i="8"/>
  <c r="CI22" i="8" a="1"/>
  <c r="CI22" i="8" s="1"/>
  <c r="CH22" i="8" a="1"/>
  <c r="CH22" i="8" s="1"/>
  <c r="CG22" i="8" a="1"/>
  <c r="CG22" i="8" s="1"/>
  <c r="CF22" i="8" a="1"/>
  <c r="CF22" i="8"/>
  <c r="CE22" i="8" a="1"/>
  <c r="CE22" i="8" s="1"/>
  <c r="CD22" i="8" a="1"/>
  <c r="CD22" i="8"/>
  <c r="CC22" i="8" a="1"/>
  <c r="CC22" i="8"/>
  <c r="CB22" i="8" a="1"/>
  <c r="CB22" i="8" s="1"/>
  <c r="CA22" i="8" a="1"/>
  <c r="CA22" i="8"/>
  <c r="BZ22" i="8" a="1"/>
  <c r="BZ22" i="8"/>
  <c r="BY22" i="8" a="1"/>
  <c r="BY22" i="8"/>
  <c r="BX22" i="8" a="1"/>
  <c r="BX22" i="8"/>
  <c r="BW22" i="8" a="1"/>
  <c r="BW22" i="8" s="1"/>
  <c r="BV22" i="8" a="1"/>
  <c r="BV22" i="8" s="1"/>
  <c r="BU22" i="8" a="1"/>
  <c r="BU22" i="8"/>
  <c r="BT22" i="8" a="1"/>
  <c r="BT22" i="8" s="1"/>
  <c r="BS22" i="8" a="1"/>
  <c r="BS22" i="8"/>
  <c r="BR22" i="8" a="1"/>
  <c r="BR22" i="8"/>
  <c r="BQ22" i="8" a="1"/>
  <c r="BQ22" i="8" s="1"/>
  <c r="BP22" i="8" a="1"/>
  <c r="BP22" i="8"/>
  <c r="BO22" i="8" a="1"/>
  <c r="BO22" i="8" s="1"/>
  <c r="BN22" i="8" a="1"/>
  <c r="BN22" i="8"/>
  <c r="BM22" i="8" a="1"/>
  <c r="BM22" i="8"/>
  <c r="BL22" i="8" a="1"/>
  <c r="BL22" i="8" s="1"/>
  <c r="BK22" i="8" a="1"/>
  <c r="BK22" i="8" s="1"/>
  <c r="BJ22" i="8" a="1"/>
  <c r="BJ22" i="8"/>
  <c r="BI22" i="8" a="1"/>
  <c r="BI22" i="8" s="1"/>
  <c r="BH22" i="8" a="1"/>
  <c r="BH22" i="8" s="1"/>
  <c r="BG22" i="8" a="1"/>
  <c r="BG22" i="8"/>
  <c r="BF22" i="8" a="1"/>
  <c r="BF22" i="8" s="1"/>
  <c r="BE22" i="8" a="1"/>
  <c r="BE22" i="8"/>
  <c r="BD22" i="8" a="1"/>
  <c r="BD22" i="8" s="1"/>
  <c r="BC22" i="8" a="1"/>
  <c r="BC22" i="8"/>
  <c r="BB22" i="8" a="1"/>
  <c r="BB22" i="8" s="1"/>
  <c r="BA22" i="8" a="1"/>
  <c r="BA22" i="8" s="1"/>
  <c r="AZ22" i="8" a="1"/>
  <c r="AZ22" i="8"/>
  <c r="AY22" i="8" a="1"/>
  <c r="AY22" i="8"/>
  <c r="AX22" i="8" a="1"/>
  <c r="AX22" i="8" s="1"/>
  <c r="AW22" i="8" a="1"/>
  <c r="AW22" i="8"/>
  <c r="AV22" i="8" a="1"/>
  <c r="AV22" i="8"/>
  <c r="AU22" i="8" a="1"/>
  <c r="AU22" i="8" s="1"/>
  <c r="AT22" i="8" a="1"/>
  <c r="AT22" i="8"/>
  <c r="AS22" i="8" a="1"/>
  <c r="AS22" i="8"/>
  <c r="AR22" i="8" a="1"/>
  <c r="AR22" i="8"/>
  <c r="AQ22" i="8" a="1"/>
  <c r="AQ22" i="8"/>
  <c r="AP22" i="8" a="1"/>
  <c r="AP22" i="8" s="1"/>
  <c r="AO22" i="8" a="1"/>
  <c r="AO22" i="8"/>
  <c r="AN22" i="8" a="1"/>
  <c r="AN22" i="8"/>
  <c r="AM22" i="8" a="1"/>
  <c r="AM22" i="8" s="1"/>
  <c r="AL22" i="8" a="1"/>
  <c r="AL22" i="8"/>
  <c r="AK22" i="8" a="1"/>
  <c r="AK22" i="8" s="1"/>
  <c r="AJ22" i="8" a="1"/>
  <c r="AJ22" i="8" s="1"/>
  <c r="AI22" i="8" a="1"/>
  <c r="AI22" i="8"/>
  <c r="AH22" i="8" a="1"/>
  <c r="AH22" i="8" s="1"/>
  <c r="AG22" i="8" a="1"/>
  <c r="AG22" i="8"/>
  <c r="AF22" i="8" a="1"/>
  <c r="AF22" i="8" s="1"/>
  <c r="AE22" i="8" a="1"/>
  <c r="AE22" i="8" s="1"/>
  <c r="AD22" i="8" a="1"/>
  <c r="AD22" i="8" s="1"/>
  <c r="AC22" i="8" a="1"/>
  <c r="AC22" i="8"/>
  <c r="AB22" i="8" a="1"/>
  <c r="AB22" i="8" s="1"/>
  <c r="AA22" i="8" a="1"/>
  <c r="AA22" i="8" s="1"/>
  <c r="Z22" i="8" a="1"/>
  <c r="Z22" i="8"/>
  <c r="Y22" i="8" a="1"/>
  <c r="Y22" i="8" s="1"/>
  <c r="X22" i="8" a="1"/>
  <c r="X22" i="8"/>
  <c r="W22" i="8" a="1"/>
  <c r="W22" i="8"/>
  <c r="V22" i="8" a="1"/>
  <c r="V22" i="8"/>
  <c r="U22" i="8" a="1"/>
  <c r="U22" i="8" s="1"/>
  <c r="T22" i="8" a="1"/>
  <c r="T22" i="8" s="1"/>
  <c r="S22" i="8" a="1"/>
  <c r="S22" i="8" s="1"/>
  <c r="R22" i="8" a="1"/>
  <c r="R22" i="8"/>
  <c r="Q22" i="8" a="1"/>
  <c r="Q22" i="8" s="1"/>
  <c r="P22" i="8" a="1"/>
  <c r="P22" i="8"/>
  <c r="O22" i="8" a="1"/>
  <c r="O22" i="8"/>
  <c r="N22" i="8" a="1"/>
  <c r="N22" i="8" s="1"/>
  <c r="M22" i="8" a="1"/>
  <c r="M22" i="8"/>
  <c r="L22" i="8" a="1"/>
  <c r="L22" i="8"/>
  <c r="K22" i="8" a="1"/>
  <c r="K22" i="8"/>
  <c r="J22" i="8" a="1"/>
  <c r="J22" i="8"/>
  <c r="I22" i="8" a="1"/>
  <c r="I22" i="8" s="1"/>
  <c r="H22" i="8" a="1"/>
  <c r="H22" i="8" s="1"/>
  <c r="G22" i="8" a="1"/>
  <c r="G22" i="8"/>
  <c r="F22" i="8" a="1"/>
  <c r="F22" i="8" s="1"/>
  <c r="E22" i="8" a="1"/>
  <c r="E22" i="8"/>
  <c r="D22" i="8" a="1"/>
  <c r="D22" i="8"/>
  <c r="C22" i="8" a="1"/>
  <c r="C22" i="8" s="1"/>
  <c r="EF21" i="8" a="1"/>
  <c r="EF21" i="8"/>
  <c r="EE21" i="8" a="1"/>
  <c r="EE21" i="8" s="1"/>
  <c r="ED21" i="8" a="1"/>
  <c r="ED21" i="8"/>
  <c r="EC21" i="8" a="1"/>
  <c r="EC21" i="8"/>
  <c r="EB21" i="8" a="1"/>
  <c r="EB21" i="8" s="1"/>
  <c r="EA21" i="8" a="1"/>
  <c r="EA21" i="8" s="1"/>
  <c r="DZ21" i="8" a="1"/>
  <c r="DZ21" i="8"/>
  <c r="DY21" i="8" a="1"/>
  <c r="DY21" i="8" s="1"/>
  <c r="DX21" i="8" a="1"/>
  <c r="DX21" i="8" s="1"/>
  <c r="DW21" i="8" a="1"/>
  <c r="DW21" i="8"/>
  <c r="DV21" i="8" a="1"/>
  <c r="DV21" i="8" s="1"/>
  <c r="DU21" i="8" a="1"/>
  <c r="DU21" i="8"/>
  <c r="DT21" i="8" a="1"/>
  <c r="DT21" i="8" s="1"/>
  <c r="DS21" i="8" a="1"/>
  <c r="DS21" i="8"/>
  <c r="DR21" i="8" a="1"/>
  <c r="DR21" i="8" s="1"/>
  <c r="DQ21" i="8" a="1"/>
  <c r="DQ21" i="8" s="1"/>
  <c r="DP21" i="8" a="1"/>
  <c r="DP21" i="8" s="1"/>
  <c r="DO21" i="8" a="1"/>
  <c r="DO21" i="8"/>
  <c r="DN21" i="8" a="1"/>
  <c r="DN21" i="8" s="1"/>
  <c r="DM21" i="8" a="1"/>
  <c r="DM21" i="8" s="1"/>
  <c r="DL21" i="8" a="1"/>
  <c r="DL21" i="8" s="1"/>
  <c r="DK21" i="8" a="1"/>
  <c r="DK21" i="8" s="1"/>
  <c r="DJ21" i="8" a="1"/>
  <c r="DJ21" i="8"/>
  <c r="DI21" i="8" a="1"/>
  <c r="DI21" i="8"/>
  <c r="DH21" i="8" a="1"/>
  <c r="DH21" i="8"/>
  <c r="DG21" i="8" a="1"/>
  <c r="DG21" i="8" s="1"/>
  <c r="DF21" i="8" a="1"/>
  <c r="DF21" i="8" s="1"/>
  <c r="DE21" i="8" a="1"/>
  <c r="DE21" i="8"/>
  <c r="DD21" i="8" a="1"/>
  <c r="DD21" i="8"/>
  <c r="DC21" i="8" a="1"/>
  <c r="DC21" i="8" s="1"/>
  <c r="DB21" i="8" a="1"/>
  <c r="DB21" i="8"/>
  <c r="DA21" i="8" a="1"/>
  <c r="DA21" i="8"/>
  <c r="CZ21" i="8" a="1"/>
  <c r="CZ21" i="8" s="1"/>
  <c r="CY21" i="8" a="1"/>
  <c r="CY21" i="8"/>
  <c r="CX21" i="8" a="1"/>
  <c r="CX21" i="8" s="1"/>
  <c r="CW21" i="8" a="1"/>
  <c r="CW21" i="8"/>
  <c r="CV21" i="8" a="1"/>
  <c r="CV21" i="8"/>
  <c r="CU21" i="8" a="1"/>
  <c r="CU21" i="8" s="1"/>
  <c r="CT21" i="8" a="1"/>
  <c r="CT21" i="8"/>
  <c r="CS21" i="8" a="1"/>
  <c r="CS21" i="8"/>
  <c r="CR21" i="8" a="1"/>
  <c r="CR21" i="8" s="1"/>
  <c r="CQ21" i="8" a="1"/>
  <c r="CQ21" i="8" s="1"/>
  <c r="CP21" i="8" a="1"/>
  <c r="CP21" i="8"/>
  <c r="CO21" i="8" a="1"/>
  <c r="CO21" i="8" s="1"/>
  <c r="CN21" i="8" a="1"/>
  <c r="CN21" i="8"/>
  <c r="CM21" i="8" a="1"/>
  <c r="CM21" i="8"/>
  <c r="CL21" i="8" a="1"/>
  <c r="CL21" i="8"/>
  <c r="CK21" i="8" a="1"/>
  <c r="CK21" i="8" s="1"/>
  <c r="CJ21" i="8" a="1"/>
  <c r="CJ21" i="8" s="1"/>
  <c r="CI21" i="8" a="1"/>
  <c r="CI21" i="8"/>
  <c r="CH21" i="8" a="1"/>
  <c r="CH21" i="8"/>
  <c r="CG21" i="8" a="1"/>
  <c r="CG21" i="8" s="1"/>
  <c r="CF21" i="8" a="1"/>
  <c r="CF21" i="8" s="1"/>
  <c r="CE21" i="8" a="1"/>
  <c r="CE21" i="8" s="1"/>
  <c r="CD21" i="8" a="1"/>
  <c r="CD21" i="8" s="1"/>
  <c r="CC21" i="8" a="1"/>
  <c r="CC21" i="8"/>
  <c r="CB21" i="8" a="1"/>
  <c r="CB21" i="8"/>
  <c r="CA21" i="8" a="1"/>
  <c r="CA21" i="8"/>
  <c r="BZ21" i="8" a="1"/>
  <c r="BZ21" i="8" s="1"/>
  <c r="BY21" i="8" a="1"/>
  <c r="BY21" i="8" s="1"/>
  <c r="BX21" i="8" a="1"/>
  <c r="BX21" i="8"/>
  <c r="BW21" i="8" a="1"/>
  <c r="BW21" i="8"/>
  <c r="BV21" i="8" a="1"/>
  <c r="BV21" i="8" s="1"/>
  <c r="BU21" i="8" a="1"/>
  <c r="BU21" i="8"/>
  <c r="BT21" i="8" a="1"/>
  <c r="BT21" i="8"/>
  <c r="BS21" i="8" a="1"/>
  <c r="BS21" i="8" s="1"/>
  <c r="BR21" i="8" a="1"/>
  <c r="BR21" i="8"/>
  <c r="BQ21" i="8" a="1"/>
  <c r="BQ21" i="8"/>
  <c r="BP21" i="8" a="1"/>
  <c r="BP21" i="8"/>
  <c r="BO21" i="8" a="1"/>
  <c r="BO21" i="8"/>
  <c r="BN21" i="8" a="1"/>
  <c r="BN21" i="8" s="1"/>
  <c r="BM21" i="8" a="1"/>
  <c r="BM21" i="8"/>
  <c r="BL21" i="8" a="1"/>
  <c r="BL21" i="8"/>
  <c r="BK21" i="8" a="1"/>
  <c r="BK21" i="8" s="1"/>
  <c r="BJ21" i="8" a="1"/>
  <c r="BJ21" i="8" s="1"/>
  <c r="BI21" i="8" a="1"/>
  <c r="BI21" i="8"/>
  <c r="BH21" i="8" a="1"/>
  <c r="BH21" i="8" s="1"/>
  <c r="BG21" i="8" a="1"/>
  <c r="BG21" i="8"/>
  <c r="BF21" i="8" a="1"/>
  <c r="BF21" i="8"/>
  <c r="BE21" i="8" a="1"/>
  <c r="BE21" i="8"/>
  <c r="BD21" i="8" a="1"/>
  <c r="BD21" i="8" s="1"/>
  <c r="BC21" i="8" a="1"/>
  <c r="BC21" i="8" s="1"/>
  <c r="BB21" i="8" a="1"/>
  <c r="BB21" i="8"/>
  <c r="BA21" i="8" a="1"/>
  <c r="BA21" i="8"/>
  <c r="AZ21" i="8" a="1"/>
  <c r="AZ21" i="8" s="1"/>
  <c r="AY21" i="8" a="1"/>
  <c r="AY21" i="8" s="1"/>
  <c r="AX21" i="8" a="1"/>
  <c r="AX21" i="8"/>
  <c r="AW21" i="8" a="1"/>
  <c r="AW21" i="8" s="1"/>
  <c r="AV21" i="8" a="1"/>
  <c r="AV21" i="8"/>
  <c r="AU21" i="8" a="1"/>
  <c r="AU21" i="8" s="1"/>
  <c r="AT21" i="8" a="1"/>
  <c r="AT21" i="8"/>
  <c r="AS21" i="8" a="1"/>
  <c r="AS21" i="8" s="1"/>
  <c r="AR21" i="8" a="1"/>
  <c r="AR21" i="8" s="1"/>
  <c r="AQ21" i="8" a="1"/>
  <c r="AQ21" i="8"/>
  <c r="AP21" i="8" a="1"/>
  <c r="AP21" i="8"/>
  <c r="AO21" i="8" a="1"/>
  <c r="AO21" i="8" s="1"/>
  <c r="AN21" i="8" a="1"/>
  <c r="AN21" i="8"/>
  <c r="AM21" i="8" a="1"/>
  <c r="AM21" i="8"/>
  <c r="AL21" i="8" a="1"/>
  <c r="AL21" i="8" s="1"/>
  <c r="AK21" i="8" a="1"/>
  <c r="AK21" i="8"/>
  <c r="AJ21" i="8" a="1"/>
  <c r="AJ21" i="8"/>
  <c r="AI21" i="8" a="1"/>
  <c r="AI21" i="8"/>
  <c r="AH21" i="8" a="1"/>
  <c r="AH21" i="8"/>
  <c r="AG21" i="8" a="1"/>
  <c r="AG21" i="8" s="1"/>
  <c r="AF21" i="8" a="1"/>
  <c r="AF21" i="8"/>
  <c r="AE21" i="8" a="1"/>
  <c r="AE21" i="8"/>
  <c r="AD21" i="8" a="1"/>
  <c r="AD21" i="8" s="1"/>
  <c r="AC21" i="8" a="1"/>
  <c r="AC21" i="8"/>
  <c r="AB21" i="8" a="1"/>
  <c r="AB21" i="8" s="1"/>
  <c r="AA21" i="8" a="1"/>
  <c r="AA21" i="8" s="1"/>
  <c r="Z21" i="8" a="1"/>
  <c r="Z21" i="8"/>
  <c r="Y21" i="8" a="1"/>
  <c r="Y21" i="8" s="1"/>
  <c r="X21" i="8" a="1"/>
  <c r="X21" i="8"/>
  <c r="W21" i="8" a="1"/>
  <c r="W21" i="8"/>
  <c r="V21" i="8" a="1"/>
  <c r="V21" i="8" s="1"/>
  <c r="U21" i="8" a="1"/>
  <c r="U21" i="8"/>
  <c r="T21" i="8" a="1"/>
  <c r="T21" i="8"/>
  <c r="S21" i="8" a="1"/>
  <c r="S21" i="8" s="1"/>
  <c r="R21" i="8" a="1"/>
  <c r="R21" i="8"/>
  <c r="Q21" i="8" a="1"/>
  <c r="Q21" i="8"/>
  <c r="P21" i="8" a="1"/>
  <c r="P21" i="8" s="1"/>
  <c r="O21" i="8" a="1"/>
  <c r="O21" i="8"/>
  <c r="N21" i="8" a="1"/>
  <c r="N21" i="8" s="1"/>
  <c r="M21" i="8" a="1"/>
  <c r="M21" i="8"/>
  <c r="L21" i="8" a="1"/>
  <c r="L21" i="8"/>
  <c r="K21" i="8" a="1"/>
  <c r="K21" i="8" s="1"/>
  <c r="J21" i="8" a="1"/>
  <c r="J21" i="8"/>
  <c r="I21" i="8" a="1"/>
  <c r="I21" i="8"/>
  <c r="H21" i="8" a="1"/>
  <c r="H21" i="8" s="1"/>
  <c r="G21" i="8" a="1"/>
  <c r="G21" i="8"/>
  <c r="F21" i="8" a="1"/>
  <c r="F21" i="8" s="1"/>
  <c r="E21" i="8" a="1"/>
  <c r="E21" i="8" s="1"/>
  <c r="D21" i="8" a="1"/>
  <c r="D21" i="8"/>
  <c r="C21" i="8" a="1"/>
  <c r="C21" i="8"/>
  <c r="EF20" i="8" a="1"/>
  <c r="EF20" i="8"/>
  <c r="EE20" i="8" a="1"/>
  <c r="EE20" i="8"/>
  <c r="ED20" i="8" a="1"/>
  <c r="ED20" i="8" s="1"/>
  <c r="EC20" i="8" a="1"/>
  <c r="EC20" i="8"/>
  <c r="EB20" i="8" a="1"/>
  <c r="EB20" i="8"/>
  <c r="EA20" i="8" a="1"/>
  <c r="EA20" i="8" s="1"/>
  <c r="DZ20" i="8" a="1"/>
  <c r="DZ20" i="8" s="1"/>
  <c r="DY20" i="8" a="1"/>
  <c r="DY20" i="8" s="1"/>
  <c r="DX20" i="8" a="1"/>
  <c r="DX20" i="8" s="1"/>
  <c r="DW20" i="8" a="1"/>
  <c r="DW20" i="8"/>
  <c r="DV20" i="8" a="1"/>
  <c r="DV20" i="8" s="1"/>
  <c r="DU20" i="8" a="1"/>
  <c r="DU20" i="8"/>
  <c r="DT20" i="8" a="1"/>
  <c r="DT20" i="8" s="1"/>
  <c r="DS20" i="8" a="1"/>
  <c r="DS20" i="8" s="1"/>
  <c r="DR20" i="8" a="1"/>
  <c r="DR20" i="8"/>
  <c r="DQ20" i="8" a="1"/>
  <c r="DQ20" i="8"/>
  <c r="DP20" i="8" a="1"/>
  <c r="DP20" i="8" s="1"/>
  <c r="DO20" i="8" a="1"/>
  <c r="DO20" i="8"/>
  <c r="DN20" i="8" a="1"/>
  <c r="DN20" i="8"/>
  <c r="DM20" i="8" a="1"/>
  <c r="DM20" i="8" s="1"/>
  <c r="DL20" i="8" a="1"/>
  <c r="DL20" i="8"/>
  <c r="DK20" i="8" a="1"/>
  <c r="DK20" i="8" s="1"/>
  <c r="DJ20" i="8" a="1"/>
  <c r="DJ20" i="8"/>
  <c r="DI20" i="8" a="1"/>
  <c r="DI20" i="8"/>
  <c r="DH20" i="8" a="1"/>
  <c r="DH20" i="8" s="1"/>
  <c r="DG20" i="8" a="1"/>
  <c r="DG20" i="8"/>
  <c r="DF20" i="8" a="1"/>
  <c r="DF20" i="8"/>
  <c r="DE20" i="8" a="1"/>
  <c r="DE20" i="8" s="1"/>
  <c r="DD20" i="8" a="1"/>
  <c r="DD20" i="8" s="1"/>
  <c r="DC20" i="8" a="1"/>
  <c r="DC20" i="8" s="1"/>
  <c r="DB20" i="8" a="1"/>
  <c r="DB20" i="8" s="1"/>
  <c r="DA20" i="8" a="1"/>
  <c r="DA20" i="8"/>
  <c r="CZ20" i="8" a="1"/>
  <c r="CZ20" i="8"/>
  <c r="CY20" i="8" a="1"/>
  <c r="CY20" i="8"/>
  <c r="CX20" i="8" a="1"/>
  <c r="CX20" i="8" s="1"/>
  <c r="CW20" i="8" a="1"/>
  <c r="CW20" i="8" s="1"/>
  <c r="CV20" i="8" a="1"/>
  <c r="CV20" i="8"/>
  <c r="CU20" i="8" a="1"/>
  <c r="CU20" i="8"/>
  <c r="CT20" i="8" a="1"/>
  <c r="CT20" i="8" s="1"/>
  <c r="CS20" i="8" a="1"/>
  <c r="CS20" i="8" s="1"/>
  <c r="CR20" i="8" a="1"/>
  <c r="CR20" i="8" s="1"/>
  <c r="CQ20" i="8" a="1"/>
  <c r="CQ20" i="8" s="1"/>
  <c r="CP20" i="8" a="1"/>
  <c r="CP20" i="8"/>
  <c r="CO20" i="8" a="1"/>
  <c r="CO20" i="8"/>
  <c r="CN20" i="8" a="1"/>
  <c r="CN20" i="8"/>
  <c r="CM20" i="8" a="1"/>
  <c r="CM20" i="8" s="1"/>
  <c r="CL20" i="8" a="1"/>
  <c r="CL20" i="8" s="1"/>
  <c r="CK20" i="8" a="1"/>
  <c r="CK20" i="8" s="1"/>
  <c r="CJ20" i="8" a="1"/>
  <c r="CJ20" i="8"/>
  <c r="CI20" i="8" a="1"/>
  <c r="CI20" i="8" s="1"/>
  <c r="CH20" i="8" a="1"/>
  <c r="CH20" i="8"/>
  <c r="CG20" i="8" a="1"/>
  <c r="CG20" i="8" s="1"/>
  <c r="CF20" i="8" a="1"/>
  <c r="CF20" i="8" s="1"/>
  <c r="CE20" i="8" a="1"/>
  <c r="CE20" i="8"/>
  <c r="CD20" i="8" a="1"/>
  <c r="CD20" i="8" s="1"/>
  <c r="CC20" i="8" a="1"/>
  <c r="CC20" i="8"/>
  <c r="CB20" i="8" a="1"/>
  <c r="CB20" i="8"/>
  <c r="CA20" i="8" a="1"/>
  <c r="CA20" i="8" s="1"/>
  <c r="BZ20" i="8" a="1"/>
  <c r="BZ20" i="8"/>
  <c r="BY20" i="8" a="1"/>
  <c r="BY20" i="8"/>
  <c r="BX20" i="8" a="1"/>
  <c r="BX20" i="8" s="1"/>
  <c r="BW20" i="8" a="1"/>
  <c r="BW20" i="8"/>
  <c r="BV20" i="8" a="1"/>
  <c r="BV20" i="8"/>
  <c r="BU20" i="8" a="1"/>
  <c r="BU20" i="8" s="1"/>
  <c r="BT20" i="8" a="1"/>
  <c r="BT20" i="8"/>
  <c r="BS20" i="8" a="1"/>
  <c r="BS20" i="8" s="1"/>
  <c r="BR20" i="8" a="1"/>
  <c r="BR20" i="8"/>
  <c r="BQ20" i="8" a="1"/>
  <c r="BQ20" i="8"/>
  <c r="BP20" i="8" a="1"/>
  <c r="BP20" i="8" s="1"/>
  <c r="BO20" i="8" a="1"/>
  <c r="BO20" i="8"/>
  <c r="BN20" i="8" a="1"/>
  <c r="BN20" i="8"/>
  <c r="BM20" i="8" a="1"/>
  <c r="BM20" i="8" s="1"/>
  <c r="BL20" i="8" a="1"/>
  <c r="BL20" i="8"/>
  <c r="BK20" i="8" a="1"/>
  <c r="BK20" i="8" s="1"/>
  <c r="BJ20" i="8" a="1"/>
  <c r="BJ20" i="8" s="1"/>
  <c r="BI20" i="8" a="1"/>
  <c r="BI20" i="8"/>
  <c r="BH20" i="8" a="1"/>
  <c r="BH20" i="8"/>
  <c r="BG20" i="8" a="1"/>
  <c r="BG20" i="8"/>
  <c r="BF20" i="8" a="1"/>
  <c r="BF20" i="8"/>
  <c r="BE20" i="8" a="1"/>
  <c r="BE20" i="8" s="1"/>
  <c r="BD20" i="8" a="1"/>
  <c r="BD20" i="8"/>
  <c r="BC20" i="8" a="1"/>
  <c r="BC20" i="8"/>
  <c r="BB20" i="8" a="1"/>
  <c r="BB20" i="8" s="1"/>
  <c r="BA20" i="8" a="1"/>
  <c r="BA20" i="8" s="1"/>
  <c r="AZ20" i="8" a="1"/>
  <c r="AZ20" i="8" s="1"/>
  <c r="AY20" i="8" a="1"/>
  <c r="AY20" i="8" s="1"/>
  <c r="AX20" i="8" a="1"/>
  <c r="AX20" i="8"/>
  <c r="AW20" i="8" a="1"/>
  <c r="AW20" i="8"/>
  <c r="AV20" i="8" a="1"/>
  <c r="AV20" i="8"/>
  <c r="AU20" i="8" a="1"/>
  <c r="AU20" i="8" s="1"/>
  <c r="AT20" i="8" a="1"/>
  <c r="AT20" i="8" s="1"/>
  <c r="AS20" i="8" a="1"/>
  <c r="AS20" i="8"/>
  <c r="AR20" i="8" a="1"/>
  <c r="AR20" i="8"/>
  <c r="AQ20" i="8" a="1"/>
  <c r="AQ20" i="8" s="1"/>
  <c r="AP20" i="8" a="1"/>
  <c r="AP20" i="8"/>
  <c r="AO20" i="8" a="1"/>
  <c r="AO20" i="8"/>
  <c r="AN20" i="8" a="1"/>
  <c r="AN20" i="8" s="1"/>
  <c r="AM20" i="8" a="1"/>
  <c r="AM20" i="8"/>
  <c r="AL20" i="8" a="1"/>
  <c r="AL20" i="8" s="1"/>
  <c r="AK20" i="8" a="1"/>
  <c r="AK20" i="8"/>
  <c r="AJ20" i="8" a="1"/>
  <c r="AJ20" i="8"/>
  <c r="AI20" i="8" a="1"/>
  <c r="AI20" i="8" s="1"/>
  <c r="AH20" i="8" a="1"/>
  <c r="AH20" i="8"/>
  <c r="AG20" i="8" a="1"/>
  <c r="AG20" i="8"/>
  <c r="AF20" i="8" a="1"/>
  <c r="AF20" i="8" s="1"/>
  <c r="AE20" i="8" a="1"/>
  <c r="AE20" i="8" s="1"/>
  <c r="AD20" i="8" a="1"/>
  <c r="AD20" i="8"/>
  <c r="AC20" i="8" a="1"/>
  <c r="AC20" i="8" s="1"/>
  <c r="AB20" i="8" a="1"/>
  <c r="AB20" i="8"/>
  <c r="AA20" i="8" a="1"/>
  <c r="AA20" i="8"/>
  <c r="Z20" i="8" a="1"/>
  <c r="Z20" i="8"/>
  <c r="Y20" i="8" a="1"/>
  <c r="Y20" i="8" s="1"/>
  <c r="X20" i="8" a="1"/>
  <c r="X20" i="8" s="1"/>
  <c r="W20" i="8" a="1"/>
  <c r="W20" i="8"/>
  <c r="V20" i="8" a="1"/>
  <c r="V20" i="8"/>
  <c r="U20" i="8" a="1"/>
  <c r="U20" i="8" s="1"/>
  <c r="T20" i="8" a="1"/>
  <c r="T20" i="8" s="1"/>
  <c r="S20" i="8" a="1"/>
  <c r="S20" i="8" s="1"/>
  <c r="R20" i="8" a="1"/>
  <c r="R20" i="8" s="1"/>
  <c r="Q20" i="8" a="1"/>
  <c r="Q20" i="8"/>
  <c r="P20" i="8" a="1"/>
  <c r="P20" i="8"/>
  <c r="O20" i="8" a="1"/>
  <c r="O20" i="8"/>
  <c r="N20" i="8" a="1"/>
  <c r="N20" i="8" s="1"/>
  <c r="M20" i="8" a="1"/>
  <c r="M20" i="8" s="1"/>
  <c r="L20" i="8" a="1"/>
  <c r="L20" i="8"/>
  <c r="K20" i="8" a="1"/>
  <c r="K20" i="8"/>
  <c r="J20" i="8" a="1"/>
  <c r="J20" i="8" s="1"/>
  <c r="I20" i="8" a="1"/>
  <c r="I20" i="8"/>
  <c r="H20" i="8" a="1"/>
  <c r="H20" i="8"/>
  <c r="G20" i="8" a="1"/>
  <c r="G20" i="8" s="1"/>
  <c r="F20" i="8" a="1"/>
  <c r="F20" i="8"/>
  <c r="E20" i="8" a="1"/>
  <c r="E20" i="8"/>
  <c r="D20" i="8" a="1"/>
  <c r="D20" i="8"/>
  <c r="C20" i="8" a="1"/>
  <c r="C20" i="8"/>
  <c r="EF19" i="8" a="1"/>
  <c r="EF19" i="8" s="1"/>
  <c r="EE19" i="8" a="1"/>
  <c r="EE19" i="8" s="1"/>
  <c r="ED19" i="8" a="1"/>
  <c r="ED19" i="8"/>
  <c r="EC19" i="8" a="1"/>
  <c r="EC19" i="8" s="1"/>
  <c r="EB19" i="8" a="1"/>
  <c r="EB19" i="8"/>
  <c r="EA19" i="8" a="1"/>
  <c r="EA19" i="8"/>
  <c r="DZ19" i="8" a="1"/>
  <c r="DZ19" i="8" s="1"/>
  <c r="DY19" i="8" a="1"/>
  <c r="DY19" i="8"/>
  <c r="DX19" i="8" a="1"/>
  <c r="DX19" i="8" s="1"/>
  <c r="DW19" i="8" a="1"/>
  <c r="DW19" i="8"/>
  <c r="DV19" i="8" a="1"/>
  <c r="DV19" i="8"/>
  <c r="DU19" i="8" a="1"/>
  <c r="DU19" i="8" s="1"/>
  <c r="DT19" i="8" a="1"/>
  <c r="DT19" i="8" s="1"/>
  <c r="DS19" i="8" a="1"/>
  <c r="DS19" i="8"/>
  <c r="DR19" i="8" a="1"/>
  <c r="DR19" i="8" s="1"/>
  <c r="DQ19" i="8" a="1"/>
  <c r="DQ19" i="8" s="1"/>
  <c r="DP19" i="8" a="1"/>
  <c r="DP19" i="8" s="1"/>
  <c r="DO19" i="8" a="1"/>
  <c r="DO19" i="8" s="1"/>
  <c r="DN19" i="8" a="1"/>
  <c r="DN19" i="8"/>
  <c r="DM19" i="8" a="1"/>
  <c r="DM19" i="8"/>
  <c r="DL19" i="8" a="1"/>
  <c r="DL19" i="8"/>
  <c r="DK19" i="8" a="1"/>
  <c r="DK19" i="8" s="1"/>
  <c r="DJ19" i="8" a="1"/>
  <c r="DJ19" i="8" s="1"/>
  <c r="DI19" i="8" a="1"/>
  <c r="DI19" i="8" s="1"/>
  <c r="DH19" i="8" a="1"/>
  <c r="DH19" i="8"/>
  <c r="DG19" i="8" a="1"/>
  <c r="DG19" i="8" s="1"/>
  <c r="DF19" i="8" a="1"/>
  <c r="DF19" i="8"/>
  <c r="DE19" i="8" a="1"/>
  <c r="DE19" i="8"/>
  <c r="DD19" i="8" a="1"/>
  <c r="DD19" i="8" s="1"/>
  <c r="DC19" i="8" a="1"/>
  <c r="DC19" i="8"/>
  <c r="DB19" i="8" a="1"/>
  <c r="DB19" i="8" s="1"/>
  <c r="DA19" i="8" a="1"/>
  <c r="DA19" i="8"/>
  <c r="CZ19" i="8" a="1"/>
  <c r="CZ19" i="8"/>
  <c r="CY19" i="8" a="1"/>
  <c r="CY19" i="8" s="1"/>
  <c r="CX19" i="8" a="1"/>
  <c r="CX19" i="8" s="1"/>
  <c r="CW19" i="8" a="1"/>
  <c r="CW19" i="8"/>
  <c r="CV19" i="8" a="1"/>
  <c r="CV19" i="8" s="1"/>
  <c r="CU19" i="8" a="1"/>
  <c r="CU19" i="8" s="1"/>
  <c r="CT19" i="8" a="1"/>
  <c r="CT19" i="8"/>
  <c r="CS19" i="8" a="1"/>
  <c r="CS19" i="8" s="1"/>
  <c r="CR19" i="8" a="1"/>
  <c r="CR19" i="8"/>
  <c r="CQ19" i="8" a="1"/>
  <c r="CQ19" i="8"/>
  <c r="CP19" i="8" a="1"/>
  <c r="CP19" i="8"/>
  <c r="CO19" i="8" a="1"/>
  <c r="CO19" i="8" s="1"/>
  <c r="CN19" i="8" a="1"/>
  <c r="CN19" i="8" s="1"/>
  <c r="CM19" i="8" a="1"/>
  <c r="CM19" i="8" s="1"/>
  <c r="CL19" i="8" a="1"/>
  <c r="CL19" i="8"/>
  <c r="CK19" i="8" a="1"/>
  <c r="CK19" i="8" s="1"/>
  <c r="CJ19" i="8" a="1"/>
  <c r="CJ19" i="8"/>
  <c r="CI19" i="8" a="1"/>
  <c r="CI19" i="8"/>
  <c r="CH19" i="8" a="1"/>
  <c r="CH19" i="8" s="1"/>
  <c r="CG19" i="8" a="1"/>
  <c r="CG19" i="8"/>
  <c r="CF19" i="8" a="1"/>
  <c r="CF19" i="8"/>
  <c r="CE19" i="8" a="1"/>
  <c r="CE19" i="8"/>
  <c r="CD19" i="8" a="1"/>
  <c r="CD19" i="8"/>
  <c r="CC19" i="8" a="1"/>
  <c r="CC19" i="8" s="1"/>
  <c r="CB19" i="8" a="1"/>
  <c r="CB19" i="8" s="1"/>
  <c r="CA19" i="8" a="1"/>
  <c r="CA19" i="8" s="1"/>
  <c r="BZ19" i="8" a="1"/>
  <c r="BZ19" i="8" s="1"/>
  <c r="BY19" i="8" a="1"/>
  <c r="BY19" i="8"/>
  <c r="BX19" i="8" a="1"/>
  <c r="BX19" i="8" s="1"/>
  <c r="BW19" i="8" a="1"/>
  <c r="BW19" i="8" s="1"/>
  <c r="BV19" i="8" a="1"/>
  <c r="BV19" i="8"/>
  <c r="BU19" i="8" a="1"/>
  <c r="BU19" i="8" s="1"/>
  <c r="BT19" i="8" a="1"/>
  <c r="BT19" i="8"/>
  <c r="BS19" i="8" a="1"/>
  <c r="BS19" i="8"/>
  <c r="BR19" i="8" a="1"/>
  <c r="BR19" i="8" s="1"/>
  <c r="BQ19" i="8" a="1"/>
  <c r="BQ19" i="8" s="1"/>
  <c r="BP19" i="8" a="1"/>
  <c r="BP19" i="8" s="1"/>
  <c r="BO19" i="8" a="1"/>
  <c r="BO19" i="8" s="1"/>
  <c r="BN19" i="8" a="1"/>
  <c r="BN19" i="8" s="1"/>
  <c r="BM19" i="8" a="1"/>
  <c r="BM19" i="8"/>
  <c r="BL19" i="8" a="1"/>
  <c r="BL19" i="8" s="1"/>
  <c r="BK19" i="8" a="1"/>
  <c r="BK19" i="8"/>
  <c r="BJ19" i="8" a="1"/>
  <c r="BJ19" i="8"/>
  <c r="BI19" i="8" a="1"/>
  <c r="BI19" i="8"/>
  <c r="BH19" i="8" a="1"/>
  <c r="BH19" i="8" s="1"/>
  <c r="BG19" i="8" a="1"/>
  <c r="BG19" i="8" s="1"/>
  <c r="BF19" i="8" a="1"/>
  <c r="BF19" i="8" s="1"/>
  <c r="BE19" i="8" a="1"/>
  <c r="BE19" i="8"/>
  <c r="BD19" i="8" a="1"/>
  <c r="BD19" i="8" s="1"/>
  <c r="BC19" i="8" a="1"/>
  <c r="BC19" i="8" s="1"/>
  <c r="BB19" i="8" a="1"/>
  <c r="BB19" i="8" s="1"/>
  <c r="BA19" i="8" a="1"/>
  <c r="BA19" i="8" s="1"/>
  <c r="AZ19" i="8" a="1"/>
  <c r="AZ19" i="8"/>
  <c r="AY19" i="8" a="1"/>
  <c r="AY19" i="8"/>
  <c r="AX19" i="8" a="1"/>
  <c r="AX19" i="8"/>
  <c r="AW19" i="8" a="1"/>
  <c r="AW19" i="8"/>
  <c r="AV19" i="8" a="1"/>
  <c r="AV19" i="8" s="1"/>
  <c r="AU19" i="8" a="1"/>
  <c r="AU19" i="8" s="1"/>
  <c r="AT19" i="8" a="1"/>
  <c r="AT19" i="8" s="1"/>
  <c r="AS19" i="8" a="1"/>
  <c r="AS19" i="8" s="1"/>
  <c r="AR19" i="8" a="1"/>
  <c r="AR19" i="8"/>
  <c r="AQ19" i="8" a="1"/>
  <c r="AQ19" i="8"/>
  <c r="AP19" i="8" a="1"/>
  <c r="AP19" i="8" s="1"/>
  <c r="AO19" i="8" a="1"/>
  <c r="AO19" i="8"/>
  <c r="AN19" i="8" a="1"/>
  <c r="AN19" i="8"/>
  <c r="AM19" i="8" a="1"/>
  <c r="AM19" i="8"/>
  <c r="AL19" i="8" a="1"/>
  <c r="AL19" i="8"/>
  <c r="AK19" i="8" a="1"/>
  <c r="AK19" i="8"/>
  <c r="AJ19" i="8" a="1"/>
  <c r="AJ19" i="8" s="1"/>
  <c r="AI19" i="8" a="1"/>
  <c r="AI19" i="8"/>
  <c r="AH19" i="8" a="1"/>
  <c r="AH19" i="8" s="1"/>
  <c r="AG19" i="8" a="1"/>
  <c r="AG19" i="8" s="1"/>
  <c r="AF19" i="8" a="1"/>
  <c r="AF19" i="8"/>
  <c r="AE19" i="8" a="1"/>
  <c r="AE19" i="8" s="1"/>
  <c r="AD19" i="8" a="1"/>
  <c r="AD19" i="8"/>
  <c r="AC19" i="8" a="1"/>
  <c r="AC19" i="8"/>
  <c r="AB19" i="8" a="1"/>
  <c r="AB19" i="8"/>
  <c r="AA19" i="8" a="1"/>
  <c r="AA19" i="8" s="1"/>
  <c r="Z19" i="8" a="1"/>
  <c r="Z19" i="8"/>
  <c r="Y19" i="8" a="1"/>
  <c r="Y19" i="8" s="1"/>
  <c r="X19" i="8" a="1"/>
  <c r="X19" i="8"/>
  <c r="W19" i="8" a="1"/>
  <c r="W19" i="8"/>
  <c r="V19" i="8" a="1"/>
  <c r="V19" i="8" s="1"/>
  <c r="U19" i="8" a="1"/>
  <c r="U19" i="8" s="1"/>
  <c r="T19" i="8" a="1"/>
  <c r="T19" i="8" s="1"/>
  <c r="S19" i="8" a="1"/>
  <c r="S19" i="8"/>
  <c r="R19" i="8" a="1"/>
  <c r="R19" i="8" s="1"/>
  <c r="Q19" i="8" a="1"/>
  <c r="Q19" i="8"/>
  <c r="P19" i="8" a="1"/>
  <c r="P19" i="8" s="1"/>
  <c r="O19" i="8" a="1"/>
  <c r="O19" i="8" s="1"/>
  <c r="N19" i="8" a="1"/>
  <c r="N19" i="8" s="1"/>
  <c r="M19" i="8" a="1"/>
  <c r="M19" i="8"/>
  <c r="L19" i="8" a="1"/>
  <c r="L19" i="8"/>
  <c r="K19" i="8" a="1"/>
  <c r="K19" i="8" s="1"/>
  <c r="J19" i="8" a="1"/>
  <c r="J19" i="8" s="1"/>
  <c r="I19" i="8" a="1"/>
  <c r="I19" i="8" s="1"/>
  <c r="H19" i="8" a="1"/>
  <c r="H19" i="8"/>
  <c r="G19" i="8" a="1"/>
  <c r="G19" i="8"/>
  <c r="F19" i="8" a="1"/>
  <c r="F19" i="8" s="1"/>
  <c r="E19" i="8" a="1"/>
  <c r="E19" i="8" s="1"/>
  <c r="D19" i="8" a="1"/>
  <c r="D19" i="8" s="1"/>
  <c r="C19" i="8" a="1"/>
  <c r="C19" i="8" s="1"/>
  <c r="EF18" i="8" a="1"/>
  <c r="EF18" i="8" s="1"/>
  <c r="EE18" i="8" a="1"/>
  <c r="EE18" i="8"/>
  <c r="ED18" i="8" a="1"/>
  <c r="ED18" i="8"/>
  <c r="EC18" i="8" a="1"/>
  <c r="EC18" i="8" s="1"/>
  <c r="EB18" i="8" a="1"/>
  <c r="EB18" i="8" s="1"/>
  <c r="EA18" i="8" a="1"/>
  <c r="EA18" i="8"/>
  <c r="DZ18" i="8" a="1"/>
  <c r="DZ18" i="8"/>
  <c r="DY18" i="8" a="1"/>
  <c r="DY18" i="8"/>
  <c r="DX18" i="8" a="1"/>
  <c r="DX18" i="8"/>
  <c r="DW18" i="8" a="1"/>
  <c r="DW18" i="8" s="1"/>
  <c r="DV18" i="8" a="1"/>
  <c r="DV18" i="8"/>
  <c r="DU18" i="8" a="1"/>
  <c r="DU18" i="8" s="1"/>
  <c r="DT18" i="8" a="1"/>
  <c r="DT18" i="8"/>
  <c r="DS18" i="8" a="1"/>
  <c r="DS18" i="8"/>
  <c r="DR18" i="8" a="1"/>
  <c r="DR18" i="8"/>
  <c r="DQ18" i="8" a="1"/>
  <c r="DQ18" i="8" s="1"/>
  <c r="DP18" i="8" a="1"/>
  <c r="DP18" i="8" s="1"/>
  <c r="DO18" i="8" a="1"/>
  <c r="DO18" i="8"/>
  <c r="DN18" i="8" a="1"/>
  <c r="DN18" i="8"/>
  <c r="DM18" i="8" a="1"/>
  <c r="DM18" i="8"/>
  <c r="DL18" i="8" a="1"/>
  <c r="DL18" i="8"/>
  <c r="DK18" i="8" a="1"/>
  <c r="DK18" i="8"/>
  <c r="DJ18" i="8" a="1"/>
  <c r="DJ18" i="8" s="1"/>
  <c r="DI18" i="8" a="1"/>
  <c r="DI18" i="8"/>
  <c r="DH18" i="8" a="1"/>
  <c r="DH18" i="8"/>
  <c r="DG18" i="8" a="1"/>
  <c r="DG18" i="8"/>
  <c r="DF18" i="8" a="1"/>
  <c r="DF18" i="8" s="1"/>
  <c r="DE18" i="8" a="1"/>
  <c r="DE18" i="8" s="1"/>
  <c r="DD18" i="8" a="1"/>
  <c r="DD18" i="8"/>
  <c r="DC18" i="8" a="1"/>
  <c r="DC18" i="8"/>
  <c r="DB18" i="8" a="1"/>
  <c r="DB18" i="8" s="1"/>
  <c r="DA18" i="8" a="1"/>
  <c r="DA18" i="8"/>
  <c r="CZ18" i="8" a="1"/>
  <c r="CZ18" i="8"/>
  <c r="CY18" i="8" a="1"/>
  <c r="CY18" i="8" s="1"/>
  <c r="CX18" i="8" a="1"/>
  <c r="CX18" i="8"/>
  <c r="CW18" i="8" a="1"/>
  <c r="CW18" i="8"/>
  <c r="CV18" i="8" a="1"/>
  <c r="CV18" i="8" s="1"/>
  <c r="CU18" i="8" a="1"/>
  <c r="CU18" i="8" s="1"/>
  <c r="CT18" i="8" a="1"/>
  <c r="CT18" i="8" s="1"/>
  <c r="CS18" i="8" a="1"/>
  <c r="CS18" i="8"/>
  <c r="CR18" i="8" a="1"/>
  <c r="CR18" i="8"/>
  <c r="CQ18" i="8" a="1"/>
  <c r="CQ18" i="8" s="1"/>
  <c r="CP18" i="8" a="1"/>
  <c r="CP18" i="8" s="1"/>
  <c r="CO18" i="8" a="1"/>
  <c r="CO18" i="8"/>
  <c r="CN18" i="8" a="1"/>
  <c r="CN18" i="8" s="1"/>
  <c r="CM18" i="8" a="1"/>
  <c r="CM18" i="8"/>
  <c r="CL18" i="8" a="1"/>
  <c r="CL18" i="8"/>
  <c r="CK18" i="8" a="1"/>
  <c r="CK18" i="8" s="1"/>
  <c r="CJ18" i="8" a="1"/>
  <c r="CJ18" i="8" s="1"/>
  <c r="CI18" i="8" a="1"/>
  <c r="CI18" i="8" s="1"/>
  <c r="CH18" i="8" a="1"/>
  <c r="CH18" i="8"/>
  <c r="CG18" i="8" a="1"/>
  <c r="CG18" i="8"/>
  <c r="CF18" i="8" a="1"/>
  <c r="CF18" i="8"/>
  <c r="CE18" i="8" a="1"/>
  <c r="CE18" i="8"/>
  <c r="CD18" i="8" a="1"/>
  <c r="CD18" i="8"/>
  <c r="CC18" i="8" a="1"/>
  <c r="CC18" i="8" s="1"/>
  <c r="CB18" i="8" a="1"/>
  <c r="CB18" i="8"/>
  <c r="CA18" i="8" a="1"/>
  <c r="CA18" i="8"/>
  <c r="BZ18" i="8" a="1"/>
  <c r="BZ18" i="8"/>
  <c r="BY18" i="8" a="1"/>
  <c r="BY18" i="8" s="1"/>
  <c r="BX18" i="8" a="1"/>
  <c r="BX18" i="8" s="1"/>
  <c r="BW18" i="8" a="1"/>
  <c r="BW18" i="8"/>
  <c r="BV18" i="8" a="1"/>
  <c r="BV18" i="8"/>
  <c r="BU18" i="8" a="1"/>
  <c r="BU18" i="8"/>
  <c r="BT18" i="8" a="1"/>
  <c r="BT18" i="8"/>
  <c r="BS18" i="8" a="1"/>
  <c r="BS18" i="8"/>
  <c r="BR18" i="8" a="1"/>
  <c r="BR18" i="8" s="1"/>
  <c r="BQ18" i="8" a="1"/>
  <c r="BQ18" i="8"/>
  <c r="BP18" i="8" a="1"/>
  <c r="BP18" i="8" s="1"/>
  <c r="BO18" i="8" a="1"/>
  <c r="BO18" i="8"/>
  <c r="BN18" i="8" a="1"/>
  <c r="BN18" i="8" s="1"/>
  <c r="BM18" i="8" a="1"/>
  <c r="BM18" i="8" s="1"/>
  <c r="BL18" i="8" a="1"/>
  <c r="BL18" i="8"/>
  <c r="BK18" i="8" a="1"/>
  <c r="BK18" i="8"/>
  <c r="BJ18" i="8" a="1"/>
  <c r="BJ18" i="8" s="1"/>
  <c r="BI18" i="8" a="1"/>
  <c r="BI18" i="8"/>
  <c r="BH18" i="8" a="1"/>
  <c r="BH18" i="8"/>
  <c r="BG18" i="8" a="1"/>
  <c r="BG18" i="8" s="1"/>
  <c r="BF18" i="8" a="1"/>
  <c r="BF18" i="8"/>
  <c r="BE18" i="8" a="1"/>
  <c r="BE18" i="8" s="1"/>
  <c r="BD18" i="8" a="1"/>
  <c r="BD18" i="8" s="1"/>
  <c r="BC18" i="8" a="1"/>
  <c r="BC18" i="8" s="1"/>
  <c r="BB18" i="8" a="1"/>
  <c r="BB18" i="8" s="1"/>
  <c r="BA18" i="8" a="1"/>
  <c r="BA18" i="8"/>
  <c r="AZ18" i="8" a="1"/>
  <c r="AZ18" i="8"/>
  <c r="AY18" i="8" a="1"/>
  <c r="AY18" i="8"/>
  <c r="AX18" i="8" a="1"/>
  <c r="AX18" i="8"/>
  <c r="AW18" i="8" a="1"/>
  <c r="AW18" i="8"/>
  <c r="AV18" i="8" a="1"/>
  <c r="AV18" i="8" s="1"/>
  <c r="AU18" i="8" a="1"/>
  <c r="AU18" i="8"/>
  <c r="AT18" i="8" a="1"/>
  <c r="AT18" i="8"/>
  <c r="AS18" i="8" a="1"/>
  <c r="AS18" i="8"/>
  <c r="AR18" i="8" a="1"/>
  <c r="AR18" i="8" s="1"/>
  <c r="AQ18" i="8" a="1"/>
  <c r="AQ18" i="8" s="1"/>
  <c r="AP18" i="8" a="1"/>
  <c r="AP18" i="8"/>
  <c r="AO18" i="8" a="1"/>
  <c r="AO18" i="8"/>
  <c r="AN18" i="8" a="1"/>
  <c r="AN18" i="8"/>
  <c r="AM18" i="8" a="1"/>
  <c r="AM18" i="8"/>
  <c r="AL18" i="8" a="1"/>
  <c r="AL18" i="8"/>
  <c r="AK18" i="8" a="1"/>
  <c r="AK18" i="8" s="1"/>
  <c r="AJ18" i="8" a="1"/>
  <c r="AJ18" i="8"/>
  <c r="AI18" i="8" a="1"/>
  <c r="AI18" i="8" s="1"/>
  <c r="AH18" i="8" a="1"/>
  <c r="AH18" i="8"/>
  <c r="AG18" i="8" a="1"/>
  <c r="AG18" i="8" s="1"/>
  <c r="AF18" i="8" a="1"/>
  <c r="AF18" i="8" s="1"/>
  <c r="AE18" i="8" a="1"/>
  <c r="AE18" i="8"/>
  <c r="AD18" i="8" a="1"/>
  <c r="AD18" i="8"/>
  <c r="AC18" i="8" a="1"/>
  <c r="AC18" i="8"/>
  <c r="AB18" i="8" a="1"/>
  <c r="AB18" i="8"/>
  <c r="AA18" i="8" a="1"/>
  <c r="AA18" i="8"/>
  <c r="Z18" i="8" a="1"/>
  <c r="Z18" i="8" s="1"/>
  <c r="Y18" i="8" a="1"/>
  <c r="Y18" i="8"/>
  <c r="X18" i="8" a="1"/>
  <c r="X18" i="8" s="1"/>
  <c r="W18" i="8" a="1"/>
  <c r="W18" i="8"/>
  <c r="V18" i="8" a="1"/>
  <c r="V18" i="8" s="1"/>
  <c r="U18" i="8" a="1"/>
  <c r="U18" i="8" s="1"/>
  <c r="T18" i="8" a="1"/>
  <c r="T18" i="8"/>
  <c r="S18" i="8" a="1"/>
  <c r="S18" i="8"/>
  <c r="R18" i="8" a="1"/>
  <c r="R18" i="8"/>
  <c r="Q18" i="8" a="1"/>
  <c r="Q18" i="8" s="1"/>
  <c r="P18" i="8" a="1"/>
  <c r="P18" i="8"/>
  <c r="O18" i="8" a="1"/>
  <c r="O18" i="8" s="1"/>
  <c r="N18" i="8" a="1"/>
  <c r="N18" i="8"/>
  <c r="M18" i="8" a="1"/>
  <c r="M18" i="8"/>
  <c r="L18" i="8" a="1"/>
  <c r="L18" i="8"/>
  <c r="K18" i="8" a="1"/>
  <c r="K18" i="8" s="1"/>
  <c r="J18" i="8" a="1"/>
  <c r="J18" i="8" s="1"/>
  <c r="I18" i="8" a="1"/>
  <c r="I18" i="8"/>
  <c r="H18" i="8" a="1"/>
  <c r="H18" i="8"/>
  <c r="G18" i="8" a="1"/>
  <c r="G18" i="8"/>
  <c r="F18" i="8" a="1"/>
  <c r="F18" i="8" s="1"/>
  <c r="E18" i="8" a="1"/>
  <c r="E18" i="8"/>
  <c r="D18" i="8" a="1"/>
  <c r="D18" i="8" s="1"/>
  <c r="C18" i="8" a="1"/>
  <c r="C18" i="8"/>
  <c r="EF17" i="8" a="1"/>
  <c r="EF17" i="8"/>
  <c r="EE17" i="8" a="1"/>
  <c r="EE17" i="8"/>
  <c r="ED17" i="8" a="1"/>
  <c r="ED17" i="8" s="1"/>
  <c r="EC17" i="8" a="1"/>
  <c r="EC17" i="8" s="1"/>
  <c r="EB17" i="8" a="1"/>
  <c r="EB17" i="8"/>
  <c r="EA17" i="8" a="1"/>
  <c r="EA17" i="8"/>
  <c r="DZ17" i="8" a="1"/>
  <c r="DZ17" i="8"/>
  <c r="DY17" i="8" a="1"/>
  <c r="DY17" i="8"/>
  <c r="DX17" i="8" a="1"/>
  <c r="DX17" i="8"/>
  <c r="DW17" i="8" a="1"/>
  <c r="DW17" i="8" s="1"/>
  <c r="DV17" i="8" a="1"/>
  <c r="DV17" i="8"/>
  <c r="DU17" i="8" a="1"/>
  <c r="DU17" i="8"/>
  <c r="DT17" i="8" a="1"/>
  <c r="DT17" i="8"/>
  <c r="DS17" i="8" a="1"/>
  <c r="DS17" i="8" s="1"/>
  <c r="DR17" i="8" a="1"/>
  <c r="DR17" i="8" s="1"/>
  <c r="DQ17" i="8" a="1"/>
  <c r="DQ17" i="8"/>
  <c r="DP17" i="8" a="1"/>
  <c r="DP17" i="8"/>
  <c r="DO17" i="8" a="1"/>
  <c r="DO17" i="8" s="1"/>
  <c r="DN17" i="8" a="1"/>
  <c r="DN17" i="8"/>
  <c r="DM17" i="8" a="1"/>
  <c r="DM17" i="8"/>
  <c r="DL17" i="8" a="1"/>
  <c r="DL17" i="8" s="1"/>
  <c r="DK17" i="8" a="1"/>
  <c r="DK17" i="8"/>
  <c r="DJ17" i="8" a="1"/>
  <c r="DJ17" i="8"/>
  <c r="DI17" i="8" a="1"/>
  <c r="DI17" i="8" s="1"/>
  <c r="DH17" i="8" a="1"/>
  <c r="DH17" i="8" s="1"/>
  <c r="DG17" i="8" a="1"/>
  <c r="DG17" i="8" s="1"/>
  <c r="DF17" i="8" a="1"/>
  <c r="DF17" i="8"/>
  <c r="DE17" i="8" a="1"/>
  <c r="DE17" i="8"/>
  <c r="DD17" i="8" a="1"/>
  <c r="DD17" i="8" s="1"/>
  <c r="DC17" i="8" a="1"/>
  <c r="DC17" i="8" s="1"/>
  <c r="DB17" i="8" a="1"/>
  <c r="DB17" i="8"/>
  <c r="DA17" i="8" a="1"/>
  <c r="DA17" i="8" s="1"/>
  <c r="CZ17" i="8" a="1"/>
  <c r="CZ17" i="8"/>
  <c r="CY17" i="8" a="1"/>
  <c r="CY17" i="8"/>
  <c r="CX17" i="8" a="1"/>
  <c r="CX17" i="8" s="1"/>
  <c r="CW17" i="8" a="1"/>
  <c r="CW17" i="8" s="1"/>
  <c r="CV17" i="8" a="1"/>
  <c r="CV17" i="8" s="1"/>
  <c r="CU17" i="8" a="1"/>
  <c r="CU17" i="8"/>
  <c r="CT17" i="8" a="1"/>
  <c r="CT17" i="8"/>
  <c r="CS17" i="8" a="1"/>
  <c r="CS17" i="8"/>
  <c r="CR17" i="8" a="1"/>
  <c r="CR17" i="8"/>
  <c r="CQ17" i="8" a="1"/>
  <c r="CQ17" i="8"/>
  <c r="CP17" i="8" a="1"/>
  <c r="CP17" i="8" s="1"/>
  <c r="CO17" i="8" a="1"/>
  <c r="CO17" i="8"/>
  <c r="CN17" i="8" a="1"/>
  <c r="CN17" i="8"/>
  <c r="CM17" i="8" a="1"/>
  <c r="CM17" i="8"/>
  <c r="CL17" i="8" a="1"/>
  <c r="CL17" i="8" s="1"/>
  <c r="CK17" i="8" a="1"/>
  <c r="CK17" i="8" s="1"/>
  <c r="CJ17" i="8" a="1"/>
  <c r="CJ17" i="8"/>
  <c r="CI17" i="8" a="1"/>
  <c r="CI17" i="8"/>
  <c r="CH17" i="8" a="1"/>
  <c r="CH17" i="8"/>
  <c r="CG17" i="8" a="1"/>
  <c r="CG17" i="8"/>
  <c r="CF17" i="8" a="1"/>
  <c r="CF17" i="8"/>
  <c r="CE17" i="8" a="1"/>
  <c r="CE17" i="8" s="1"/>
  <c r="CD17" i="8" a="1"/>
  <c r="CD17" i="8"/>
  <c r="CC17" i="8" a="1"/>
  <c r="CC17" i="8" s="1"/>
  <c r="CB17" i="8" a="1"/>
  <c r="CB17" i="8"/>
  <c r="CA17" i="8" a="1"/>
  <c r="CA17" i="8" s="1"/>
  <c r="BZ17" i="8" a="1"/>
  <c r="BZ17" i="8" s="1"/>
  <c r="BY17" i="8" a="1"/>
  <c r="BY17" i="8"/>
  <c r="BX17" i="8" a="1"/>
  <c r="BX17" i="8"/>
  <c r="BW17" i="8" a="1"/>
  <c r="BW17" i="8" s="1"/>
  <c r="BV17" i="8" a="1"/>
  <c r="BV17" i="8"/>
  <c r="BU17" i="8" a="1"/>
  <c r="BU17" i="8"/>
  <c r="BT17" i="8" a="1"/>
  <c r="BT17" i="8" s="1"/>
  <c r="BS17" i="8" a="1"/>
  <c r="BS17" i="8"/>
  <c r="BR17" i="8" a="1"/>
  <c r="BR17" i="8" s="1"/>
  <c r="BQ17" i="8" a="1"/>
  <c r="BQ17" i="8" s="1"/>
  <c r="BP17" i="8" a="1"/>
  <c r="BP17" i="8" s="1"/>
  <c r="BO17" i="8" a="1"/>
  <c r="BO17" i="8" s="1"/>
  <c r="BN17" i="8" a="1"/>
  <c r="BN17" i="8"/>
  <c r="BM17" i="8" a="1"/>
  <c r="BM17" i="8"/>
  <c r="BL17" i="8" a="1"/>
  <c r="BL17" i="8"/>
  <c r="BK17" i="8" a="1"/>
  <c r="BK17" i="8"/>
  <c r="BJ17" i="8" a="1"/>
  <c r="BJ17" i="8"/>
  <c r="BI17" i="8" a="1"/>
  <c r="BI17" i="8" s="1"/>
  <c r="BH17" i="8" a="1"/>
  <c r="BH17" i="8"/>
  <c r="BG17" i="8" a="1"/>
  <c r="BG17" i="8"/>
  <c r="BF17" i="8" a="1"/>
  <c r="BF17" i="8"/>
  <c r="BE17" i="8" a="1"/>
  <c r="BE17" i="8" s="1"/>
  <c r="BD17" i="8" a="1"/>
  <c r="BD17" i="8" s="1"/>
  <c r="BC17" i="8" a="1"/>
  <c r="BC17" i="8"/>
  <c r="BB17" i="8" a="1"/>
  <c r="BB17" i="8"/>
  <c r="BA17" i="8" a="1"/>
  <c r="BA17" i="8"/>
  <c r="AZ17" i="8" a="1"/>
  <c r="AZ17" i="8"/>
  <c r="AY17" i="8" a="1"/>
  <c r="AY17" i="8"/>
  <c r="AX17" i="8" a="1"/>
  <c r="AX17" i="8" s="1"/>
  <c r="AW17" i="8" a="1"/>
  <c r="AW17" i="8"/>
  <c r="AV17" i="8" a="1"/>
  <c r="AV17" i="8"/>
  <c r="AU17" i="8" a="1"/>
  <c r="AU17" i="8"/>
  <c r="AT17" i="8" a="1"/>
  <c r="AT17" i="8" s="1"/>
  <c r="AS17" i="8" a="1"/>
  <c r="AS17" i="8" s="1"/>
  <c r="AR17" i="8" a="1"/>
  <c r="AR17" i="8"/>
  <c r="AQ17" i="8" a="1"/>
  <c r="AQ17" i="8"/>
  <c r="AP17" i="8" a="1"/>
  <c r="AP17" i="8"/>
  <c r="AO17" i="8" a="1"/>
  <c r="AO17" i="8"/>
  <c r="AN17" i="8" a="1"/>
  <c r="AN17" i="8"/>
  <c r="AM17" i="8" a="1"/>
  <c r="AM17" i="8" s="1"/>
  <c r="AL17" i="8" a="1"/>
  <c r="AL17" i="8"/>
  <c r="AK17" i="8" a="1"/>
  <c r="AK17" i="8" s="1"/>
  <c r="AJ17" i="8" a="1"/>
  <c r="AJ17" i="8"/>
  <c r="AI17" i="8" a="1"/>
  <c r="AI17" i="8" s="1"/>
  <c r="AH17" i="8" a="1"/>
  <c r="AH17" i="8" s="1"/>
  <c r="AG17" i="8" a="1"/>
  <c r="AG17" i="8"/>
  <c r="AF17" i="8" a="1"/>
  <c r="AF17" i="8"/>
  <c r="AE17" i="8" a="1"/>
  <c r="AE17" i="8"/>
  <c r="AD17" i="8" a="1"/>
  <c r="AD17" i="8" s="1"/>
  <c r="AC17" i="8" a="1"/>
  <c r="AC17" i="8"/>
  <c r="AB17" i="8" a="1"/>
  <c r="AB17" i="8" s="1"/>
  <c r="AA17" i="8" a="1"/>
  <c r="AA17" i="8"/>
  <c r="Z17" i="8" a="1"/>
  <c r="Z17" i="8"/>
  <c r="Y17" i="8" a="1"/>
  <c r="Y17" i="8"/>
  <c r="X17" i="8" a="1"/>
  <c r="X17" i="8" s="1"/>
  <c r="W17" i="8" a="1"/>
  <c r="W17" i="8" s="1"/>
  <c r="V17" i="8" a="1"/>
  <c r="V17" i="8"/>
  <c r="U17" i="8" a="1"/>
  <c r="U17" i="8"/>
  <c r="T17" i="8" a="1"/>
  <c r="T17" i="8"/>
  <c r="S17" i="8" a="1"/>
  <c r="S17" i="8" s="1"/>
  <c r="R17" i="8" a="1"/>
  <c r="R17" i="8"/>
  <c r="Q17" i="8" a="1"/>
  <c r="Q17" i="8" s="1"/>
  <c r="P17" i="8" a="1"/>
  <c r="P17" i="8"/>
  <c r="O17" i="8" a="1"/>
  <c r="O17" i="8"/>
  <c r="N17" i="8" a="1"/>
  <c r="N17" i="8"/>
  <c r="M17" i="8" a="1"/>
  <c r="M17" i="8" s="1"/>
  <c r="L17" i="8" a="1"/>
  <c r="L17" i="8" s="1"/>
  <c r="K17" i="8" a="1"/>
  <c r="K17" i="8"/>
  <c r="J17" i="8" a="1"/>
  <c r="J17" i="8"/>
  <c r="I17" i="8" a="1"/>
  <c r="I17" i="8"/>
  <c r="H17" i="8" a="1"/>
  <c r="H17" i="8"/>
  <c r="G17" i="8" a="1"/>
  <c r="G17" i="8"/>
  <c r="F17" i="8" a="1"/>
  <c r="F17" i="8" s="1"/>
  <c r="E17" i="8" a="1"/>
  <c r="E17" i="8"/>
  <c r="D17" i="8" a="1"/>
  <c r="D17" i="8"/>
  <c r="C17" i="8" a="1"/>
  <c r="C17" i="8"/>
  <c r="EF16" i="8" a="1"/>
  <c r="EF16" i="8" s="1"/>
  <c r="EE16" i="8" a="1"/>
  <c r="EE16" i="8" s="1"/>
  <c r="ED16" i="8" a="1"/>
  <c r="ED16" i="8"/>
  <c r="EC16" i="8" a="1"/>
  <c r="EC16" i="8"/>
  <c r="EB16" i="8" a="1"/>
  <c r="EB16" i="8" s="1"/>
  <c r="EA16" i="8" a="1"/>
  <c r="EA16" i="8"/>
  <c r="DZ16" i="8" a="1"/>
  <c r="DZ16" i="8"/>
  <c r="DY16" i="8" a="1"/>
  <c r="DY16" i="8" s="1"/>
  <c r="DX16" i="8" a="1"/>
  <c r="DX16" i="8"/>
  <c r="DW16" i="8" a="1"/>
  <c r="DW16" i="8"/>
  <c r="DV16" i="8" a="1"/>
  <c r="DV16" i="8" s="1"/>
  <c r="DU16" i="8" a="1"/>
  <c r="DU16" i="8" s="1"/>
  <c r="DT16" i="8" a="1"/>
  <c r="DT16" i="8" s="1"/>
  <c r="DS16" i="8" a="1"/>
  <c r="DS16" i="8"/>
  <c r="DR16" i="8" a="1"/>
  <c r="DR16" i="8"/>
  <c r="DQ16" i="8" a="1"/>
  <c r="DQ16" i="8" s="1"/>
  <c r="DP16" i="8" a="1"/>
  <c r="DP16" i="8" s="1"/>
  <c r="DO16" i="8" a="1"/>
  <c r="DO16" i="8"/>
  <c r="DN16" i="8" a="1"/>
  <c r="DN16" i="8" s="1"/>
  <c r="DM16" i="8" a="1"/>
  <c r="DM16" i="8"/>
  <c r="DL16" i="8" a="1"/>
  <c r="DL16" i="8"/>
  <c r="DK16" i="8" a="1"/>
  <c r="DK16" i="8" s="1"/>
  <c r="DJ16" i="8" a="1"/>
  <c r="DJ16" i="8" s="1"/>
  <c r="DI16" i="8" a="1"/>
  <c r="DI16" i="8" s="1"/>
  <c r="DH16" i="8" a="1"/>
  <c r="DH16" i="8"/>
  <c r="DG16" i="8" a="1"/>
  <c r="DG16" i="8"/>
  <c r="DF16" i="8" a="1"/>
  <c r="DF16" i="8"/>
  <c r="DE16" i="8" a="1"/>
  <c r="DE16" i="8"/>
  <c r="DD16" i="8" a="1"/>
  <c r="DD16" i="8"/>
  <c r="DC16" i="8" a="1"/>
  <c r="DC16" i="8" s="1"/>
  <c r="DB16" i="8" a="1"/>
  <c r="DB16" i="8"/>
  <c r="DA16" i="8" a="1"/>
  <c r="DA16" i="8"/>
  <c r="CZ16" i="8" a="1"/>
  <c r="CZ16" i="8"/>
  <c r="CY16" i="8" a="1"/>
  <c r="CY16" i="8" s="1"/>
  <c r="CX16" i="8" a="1"/>
  <c r="CX16" i="8" s="1"/>
  <c r="CW16" i="8" a="1"/>
  <c r="CW16" i="8"/>
  <c r="CV16" i="8" a="1"/>
  <c r="CV16" i="8"/>
  <c r="CU16" i="8" a="1"/>
  <c r="CU16" i="8"/>
  <c r="CT16" i="8" a="1"/>
  <c r="CT16" i="8"/>
  <c r="CS16" i="8" a="1"/>
  <c r="CS16" i="8"/>
  <c r="CR16" i="8" a="1"/>
  <c r="CR16" i="8" s="1"/>
  <c r="CQ16" i="8" a="1"/>
  <c r="CQ16" i="8"/>
  <c r="CP16" i="8" a="1"/>
  <c r="CP16" i="8" s="1"/>
  <c r="CO16" i="8" a="1"/>
  <c r="CO16" i="8" s="1"/>
  <c r="CN16" i="8" a="1"/>
  <c r="CN16" i="8" s="1"/>
  <c r="CM16" i="8" a="1"/>
  <c r="CM16" i="8" s="1"/>
  <c r="CL16" i="8" a="1"/>
  <c r="CL16" i="8"/>
  <c r="CK16" i="8" a="1"/>
  <c r="CK16" i="8"/>
  <c r="CJ16" i="8" a="1"/>
  <c r="CJ16" i="8" s="1"/>
  <c r="CI16" i="8" a="1"/>
  <c r="CI16" i="8"/>
  <c r="CH16" i="8" a="1"/>
  <c r="CH16" i="8"/>
  <c r="CG16" i="8" a="1"/>
  <c r="CG16" i="8" s="1"/>
  <c r="CF16" i="8" a="1"/>
  <c r="CF16" i="8"/>
  <c r="CE16" i="8" a="1"/>
  <c r="CE16" i="8" s="1"/>
  <c r="CD16" i="8" a="1"/>
  <c r="CD16" i="8" s="1"/>
  <c r="CC16" i="8" a="1"/>
  <c r="CC16" i="8" s="1"/>
  <c r="CB16" i="8" a="1"/>
  <c r="CB16" i="8" s="1"/>
  <c r="CA16" i="8" a="1"/>
  <c r="CA16" i="8"/>
  <c r="BZ16" i="8" a="1"/>
  <c r="BZ16" i="8"/>
  <c r="BY16" i="8" a="1"/>
  <c r="BY16" i="8"/>
  <c r="BX16" i="8" a="1"/>
  <c r="BX16" i="8"/>
  <c r="BW16" i="8" a="1"/>
  <c r="BW16" i="8"/>
  <c r="BV16" i="8" a="1"/>
  <c r="BV16" i="8" s="1"/>
  <c r="BU16" i="8" a="1"/>
  <c r="BU16" i="8"/>
  <c r="BT16" i="8" a="1"/>
  <c r="BT16" i="8"/>
  <c r="BS16" i="8" a="1"/>
  <c r="BS16" i="8" s="1"/>
  <c r="BR16" i="8" a="1"/>
  <c r="BR16" i="8" s="1"/>
  <c r="BQ16" i="8" a="1"/>
  <c r="BQ16" i="8" s="1"/>
  <c r="BP16" i="8" a="1"/>
  <c r="BP16" i="8"/>
  <c r="BO16" i="8" a="1"/>
  <c r="BO16" i="8"/>
  <c r="BN16" i="8" a="1"/>
  <c r="BN16" i="8"/>
  <c r="BM16" i="8" a="1"/>
  <c r="BM16" i="8"/>
  <c r="BL16" i="8" a="1"/>
  <c r="BL16" i="8"/>
  <c r="BK16" i="8" a="1"/>
  <c r="BK16" i="8" s="1"/>
  <c r="BJ16" i="8" a="1"/>
  <c r="BJ16" i="8"/>
  <c r="BI16" i="8" a="1"/>
  <c r="BI16" i="8" s="1"/>
  <c r="BH16" i="8" a="1"/>
  <c r="BH16" i="8"/>
  <c r="BG16" i="8" a="1"/>
  <c r="BG16" i="8" s="1"/>
  <c r="BF16" i="8" a="1"/>
  <c r="BF16" i="8" s="1"/>
  <c r="BE16" i="8" a="1"/>
  <c r="BE16" i="8"/>
  <c r="BD16" i="8" a="1"/>
  <c r="BD16" i="8"/>
  <c r="BC16" i="8" a="1"/>
  <c r="BC16" i="8"/>
  <c r="BB16" i="8" a="1"/>
  <c r="BB16" i="8"/>
  <c r="BA16" i="8" a="1"/>
  <c r="BA16" i="8"/>
  <c r="AZ16" i="8" a="1"/>
  <c r="AZ16" i="8" s="1"/>
  <c r="AY16" i="8" a="1"/>
  <c r="AY16" i="8"/>
  <c r="AX16" i="8" a="1"/>
  <c r="AX16" i="8" s="1"/>
  <c r="AW16" i="8" a="1"/>
  <c r="AW16" i="8"/>
  <c r="AV16" i="8" a="1"/>
  <c r="AV16" i="8" s="1"/>
  <c r="AU16" i="8" a="1"/>
  <c r="AU16" i="8" s="1"/>
  <c r="AT16" i="8" a="1"/>
  <c r="AT16" i="8"/>
  <c r="AS16" i="8" a="1"/>
  <c r="AS16" i="8"/>
  <c r="AR16" i="8" a="1"/>
  <c r="AR16" i="8"/>
  <c r="AQ16" i="8" a="1"/>
  <c r="AQ16" i="8" s="1"/>
  <c r="AP16" i="8" a="1"/>
  <c r="AP16" i="8"/>
  <c r="AO16" i="8" a="1"/>
  <c r="AO16" i="8" s="1"/>
  <c r="AN16" i="8" a="1"/>
  <c r="AN16" i="8"/>
  <c r="AM16" i="8" a="1"/>
  <c r="AM16" i="8" s="1"/>
  <c r="AL16" i="8" a="1"/>
  <c r="AL16" i="8"/>
  <c r="AK16" i="8" a="1"/>
  <c r="AK16" i="8" s="1"/>
  <c r="AJ16" i="8" a="1"/>
  <c r="AJ16" i="8" s="1"/>
  <c r="AI16" i="8" a="1"/>
  <c r="AI16" i="8"/>
  <c r="AH16" i="8" a="1"/>
  <c r="AH16" i="8"/>
  <c r="AG16" i="8" a="1"/>
  <c r="AG16" i="8"/>
  <c r="AF16" i="8" a="1"/>
  <c r="AF16" i="8" s="1"/>
  <c r="AE16" i="8" a="1"/>
  <c r="AE16" i="8"/>
  <c r="AD16" i="8" a="1"/>
  <c r="AD16" i="8" s="1"/>
  <c r="AC16" i="8" a="1"/>
  <c r="AC16" i="8"/>
  <c r="AB16" i="8" a="1"/>
  <c r="AB16" i="8" s="1"/>
  <c r="AA16" i="8" a="1"/>
  <c r="AA16" i="8"/>
  <c r="Z16" i="8" a="1"/>
  <c r="Z16" i="8" s="1"/>
  <c r="Y16" i="8" a="1"/>
  <c r="Y16" i="8" s="1"/>
  <c r="X16" i="8" a="1"/>
  <c r="X16" i="8"/>
  <c r="W16" i="8" a="1"/>
  <c r="W16" i="8"/>
  <c r="V16" i="8" a="1"/>
  <c r="V16" i="8"/>
  <c r="U16" i="8" a="1"/>
  <c r="U16" i="8"/>
  <c r="T16" i="8" a="1"/>
  <c r="T16" i="8"/>
  <c r="S16" i="8" a="1"/>
  <c r="S16" i="8" s="1"/>
  <c r="R16" i="8" a="1"/>
  <c r="R16" i="8"/>
  <c r="Q16" i="8" a="1"/>
  <c r="Q16" i="8"/>
  <c r="P16" i="8" a="1"/>
  <c r="P16" i="8"/>
  <c r="O16" i="8" a="1"/>
  <c r="O16" i="8" s="1"/>
  <c r="N16" i="8" a="1"/>
  <c r="N16" i="8" s="1"/>
  <c r="M16" i="8" a="1"/>
  <c r="M16" i="8"/>
  <c r="L16" i="8" a="1"/>
  <c r="L16" i="8"/>
  <c r="K16" i="8" a="1"/>
  <c r="K16" i="8" s="1"/>
  <c r="J16" i="8" a="1"/>
  <c r="J16" i="8"/>
  <c r="I16" i="8" a="1"/>
  <c r="I16" i="8"/>
  <c r="H16" i="8" a="1"/>
  <c r="H16" i="8" s="1"/>
  <c r="G16" i="8" a="1"/>
  <c r="G16" i="8"/>
  <c r="F16" i="8" a="1"/>
  <c r="F16" i="8"/>
  <c r="E16" i="8" a="1"/>
  <c r="E16" i="8" s="1"/>
  <c r="D16" i="8" a="1"/>
  <c r="D16" i="8" s="1"/>
  <c r="C16" i="8" a="1"/>
  <c r="C16" i="8" s="1"/>
  <c r="EF15" i="8" a="1"/>
  <c r="EF15" i="8"/>
  <c r="EE15" i="8" a="1"/>
  <c r="EE15" i="8"/>
  <c r="ED15" i="8" a="1"/>
  <c r="ED15" i="8" s="1"/>
  <c r="EC15" i="8" a="1"/>
  <c r="EC15" i="8" s="1"/>
  <c r="EB15" i="8" a="1"/>
  <c r="EB15" i="8"/>
  <c r="EA15" i="8" a="1"/>
  <c r="EA15" i="8" s="1"/>
  <c r="DZ15" i="8" a="1"/>
  <c r="DZ15" i="8"/>
  <c r="DY15" i="8" a="1"/>
  <c r="DY15" i="8"/>
  <c r="DX15" i="8" a="1"/>
  <c r="DX15" i="8" s="1"/>
  <c r="DW15" i="8" a="1"/>
  <c r="DW15" i="8" s="1"/>
  <c r="DV15" i="8" a="1"/>
  <c r="DV15" i="8" s="1"/>
  <c r="DU15" i="8" a="1"/>
  <c r="DU15" i="8"/>
  <c r="DT15" i="8" a="1"/>
  <c r="DT15" i="8"/>
  <c r="DS15" i="8" a="1"/>
  <c r="DS15" i="8"/>
  <c r="DR15" i="8" a="1"/>
  <c r="DR15" i="8" s="1"/>
  <c r="DQ15" i="8" a="1"/>
  <c r="DQ15" i="8"/>
  <c r="DP15" i="8" a="1"/>
  <c r="DP15" i="8" s="1"/>
  <c r="DO15" i="8" a="1"/>
  <c r="DO15" i="8"/>
  <c r="DN15" i="8" a="1"/>
  <c r="DN15" i="8"/>
  <c r="DM15" i="8" a="1"/>
  <c r="DM15" i="8"/>
  <c r="DL15" i="8" a="1"/>
  <c r="DL15" i="8" s="1"/>
  <c r="DK15" i="8" a="1"/>
  <c r="DK15" i="8" s="1"/>
  <c r="DJ15" i="8" a="1"/>
  <c r="DJ15" i="8"/>
  <c r="DI15" i="8" a="1"/>
  <c r="DI15" i="8"/>
  <c r="DH15" i="8" a="1"/>
  <c r="DH15" i="8"/>
  <c r="DG15" i="8" a="1"/>
  <c r="DG15" i="8"/>
  <c r="DF15" i="8" a="1"/>
  <c r="DF15" i="8"/>
  <c r="DE15" i="8" a="1"/>
  <c r="DE15" i="8" s="1"/>
  <c r="DD15" i="8" a="1"/>
  <c r="DD15" i="8"/>
  <c r="DC15" i="8" a="1"/>
  <c r="DC15" i="8" s="1"/>
  <c r="DB15" i="8" a="1"/>
  <c r="DB15" i="8" s="1"/>
  <c r="DA15" i="8" a="1"/>
  <c r="DA15" i="8" s="1"/>
  <c r="CZ15" i="8" a="1"/>
  <c r="CZ15" i="8" s="1"/>
  <c r="CY15" i="8" a="1"/>
  <c r="CY15" i="8"/>
  <c r="CX15" i="8" a="1"/>
  <c r="CX15" i="8"/>
  <c r="CW15" i="8" a="1"/>
  <c r="CW15" i="8" s="1"/>
  <c r="CV15" i="8" a="1"/>
  <c r="CV15" i="8"/>
  <c r="CU15" i="8" a="1"/>
  <c r="CU15" i="8"/>
  <c r="CT15" i="8" a="1"/>
  <c r="CT15" i="8" s="1"/>
  <c r="CS15" i="8" a="1"/>
  <c r="CS15" i="8"/>
  <c r="CR15" i="8" a="1"/>
  <c r="CR15" i="8" s="1"/>
  <c r="CQ15" i="8" a="1"/>
  <c r="CQ15" i="8" s="1"/>
  <c r="CP15" i="8" a="1"/>
  <c r="CP15" i="8" s="1"/>
  <c r="CO15" i="8" a="1"/>
  <c r="CO15" i="8" s="1"/>
  <c r="CN15" i="8" a="1"/>
  <c r="CN15" i="8"/>
  <c r="CM15" i="8" a="1"/>
  <c r="CM15" i="8"/>
  <c r="CL15" i="8" a="1"/>
  <c r="CL15" i="8" s="1"/>
  <c r="CK15" i="8" a="1"/>
  <c r="CK15" i="8"/>
  <c r="CJ15" i="8" a="1"/>
  <c r="CJ15" i="8"/>
  <c r="CI15" i="8" a="1"/>
  <c r="CI15" i="8" s="1"/>
  <c r="CH15" i="8" a="1"/>
  <c r="CH15" i="8"/>
  <c r="CG15" i="8" a="1"/>
  <c r="CG15" i="8"/>
  <c r="CF15" i="8" a="1"/>
  <c r="CF15" i="8" s="1"/>
  <c r="CE15" i="8" a="1"/>
  <c r="CE15" i="8" s="1"/>
  <c r="CD15" i="8" a="1"/>
  <c r="CD15" i="8" s="1"/>
  <c r="CC15" i="8" a="1"/>
  <c r="CC15" i="8"/>
  <c r="CB15" i="8" a="1"/>
  <c r="CB15" i="8"/>
  <c r="CA15" i="8" a="1"/>
  <c r="CA15" i="8" s="1"/>
  <c r="BZ15" i="8" a="1"/>
  <c r="BZ15" i="8"/>
  <c r="BY15" i="8" a="1"/>
  <c r="BY15" i="8"/>
  <c r="BX15" i="8" a="1"/>
  <c r="BX15" i="8" s="1"/>
  <c r="BW15" i="8" a="1"/>
  <c r="BW15" i="8"/>
  <c r="BV15" i="8" a="1"/>
  <c r="BV15" i="8" s="1"/>
  <c r="BU15" i="8" a="1"/>
  <c r="BU15" i="8" s="1"/>
  <c r="BT15" i="8" a="1"/>
  <c r="BT15" i="8" s="1"/>
  <c r="BS15" i="8" a="1"/>
  <c r="BS15" i="8" s="1"/>
  <c r="BR15" i="8" a="1"/>
  <c r="BR15" i="8"/>
  <c r="BQ15" i="8" a="1"/>
  <c r="BQ15" i="8"/>
  <c r="BP15" i="8" a="1"/>
  <c r="BP15" i="8"/>
  <c r="BO15" i="8" a="1"/>
  <c r="BO15" i="8"/>
  <c r="BN15" i="8" a="1"/>
  <c r="BN15" i="8"/>
  <c r="BM15" i="8" a="1"/>
  <c r="BM15" i="8" s="1"/>
  <c r="BL15" i="8" a="1"/>
  <c r="BL15" i="8"/>
  <c r="BK15" i="8" a="1"/>
  <c r="BK15" i="8" s="1"/>
  <c r="BJ15" i="8" a="1"/>
  <c r="BJ15" i="8"/>
  <c r="BI15" i="8" a="1"/>
  <c r="BI15" i="8" s="1"/>
  <c r="BH15" i="8" a="1"/>
  <c r="BH15" i="8" s="1"/>
  <c r="BG15" i="8" a="1"/>
  <c r="BG15" i="8"/>
  <c r="BF15" i="8" a="1"/>
  <c r="BF15" i="8"/>
  <c r="BE15" i="8" a="1"/>
  <c r="BE15" i="8"/>
  <c r="BD15" i="8" a="1"/>
  <c r="BD15" i="8" s="1"/>
  <c r="BC15" i="8" a="1"/>
  <c r="BC15" i="8"/>
  <c r="BB15" i="8" a="1"/>
  <c r="BB15" i="8" s="1"/>
  <c r="BA15" i="8" a="1"/>
  <c r="BA15" i="8"/>
  <c r="AZ15" i="8" a="1"/>
  <c r="AZ15" i="8" s="1"/>
  <c r="AY15" i="8" a="1"/>
  <c r="AY15" i="8"/>
  <c r="AX15" i="8" a="1"/>
  <c r="AX15" i="8" s="1"/>
  <c r="AW15" i="8" a="1"/>
  <c r="AW15" i="8" s="1"/>
  <c r="AV15" i="8" a="1"/>
  <c r="AV15" i="8"/>
  <c r="AU15" i="8" a="1"/>
  <c r="AU15" i="8"/>
  <c r="AT15" i="8" a="1"/>
  <c r="AT15" i="8"/>
  <c r="AS15" i="8" a="1"/>
  <c r="AS15" i="8" s="1"/>
  <c r="AR15" i="8" a="1"/>
  <c r="AR15" i="8"/>
  <c r="AQ15" i="8" a="1"/>
  <c r="AQ15" i="8" s="1"/>
  <c r="AP15" i="8" a="1"/>
  <c r="AP15" i="8"/>
  <c r="AO15" i="8" a="1"/>
  <c r="AO15" i="8" s="1"/>
  <c r="AN15" i="8" a="1"/>
  <c r="AN15" i="8"/>
  <c r="AM15" i="8" a="1"/>
  <c r="AM15" i="8" s="1"/>
  <c r="AL15" i="8" a="1"/>
  <c r="AL15" i="8" s="1"/>
  <c r="AK15" i="8" a="1"/>
  <c r="AK15" i="8"/>
  <c r="AJ15" i="8" a="1"/>
  <c r="AJ15" i="8"/>
  <c r="AI15" i="8" a="1"/>
  <c r="AI15" i="8"/>
  <c r="AH15" i="8" a="1"/>
  <c r="AH15" i="8"/>
  <c r="AG15" i="8" a="1"/>
  <c r="AG15" i="8"/>
  <c r="AF15" i="8" a="1"/>
  <c r="AF15" i="8" s="1"/>
  <c r="AE15" i="8" a="1"/>
  <c r="AE15" i="8"/>
  <c r="AD15" i="8" a="1"/>
  <c r="AD15" i="8"/>
  <c r="AC15" i="8" a="1"/>
  <c r="AC15" i="8"/>
  <c r="AB15" i="8" a="1"/>
  <c r="AB15" i="8" s="1"/>
  <c r="AA15" i="8" a="1"/>
  <c r="AA15" i="8" s="1"/>
  <c r="Z15" i="8" a="1"/>
  <c r="Z15" i="8"/>
  <c r="Y15" i="8" a="1"/>
  <c r="Y15" i="8"/>
  <c r="X15" i="8" a="1"/>
  <c r="X15" i="8" s="1"/>
  <c r="W15" i="8" a="1"/>
  <c r="W15" i="8" s="1"/>
  <c r="V15" i="8" a="1"/>
  <c r="V15" i="8"/>
  <c r="U15" i="8" a="1"/>
  <c r="U15" i="8" s="1"/>
  <c r="T15" i="8" a="1"/>
  <c r="T15" i="8"/>
  <c r="S15" i="8" a="1"/>
  <c r="S15" i="8"/>
  <c r="R15" i="8" a="1"/>
  <c r="R15" i="8" s="1"/>
  <c r="Q15" i="8" a="1"/>
  <c r="Q15" i="8" s="1"/>
  <c r="P15" i="8" a="1"/>
  <c r="P15" i="8" s="1"/>
  <c r="O15" i="8" a="1"/>
  <c r="O15" i="8"/>
  <c r="N15" i="8" a="1"/>
  <c r="N15" i="8"/>
  <c r="M15" i="8" a="1"/>
  <c r="M15" i="8" s="1"/>
  <c r="L15" i="8" a="1"/>
  <c r="L15" i="8" s="1"/>
  <c r="K15" i="8" a="1"/>
  <c r="K15" i="8"/>
  <c r="J15" i="8" a="1"/>
  <c r="J15" i="8" s="1"/>
  <c r="I15" i="8" a="1"/>
  <c r="I15" i="8"/>
  <c r="H15" i="8" a="1"/>
  <c r="H15" i="8"/>
  <c r="G15" i="8" a="1"/>
  <c r="G15" i="8" s="1"/>
  <c r="F15" i="8" a="1"/>
  <c r="F15" i="8" s="1"/>
  <c r="E15" i="8" a="1"/>
  <c r="E15" i="8" s="1"/>
  <c r="D15" i="8" a="1"/>
  <c r="D15" i="8"/>
  <c r="C15" i="8" a="1"/>
  <c r="C15" i="8"/>
  <c r="EF14" i="8" a="1"/>
  <c r="EF14" i="8"/>
  <c r="EE14" i="8" a="1"/>
  <c r="EE14" i="8" s="1"/>
  <c r="ED14" i="8" a="1"/>
  <c r="ED14" i="8"/>
  <c r="EC14" i="8" a="1"/>
  <c r="EC14" i="8" s="1"/>
  <c r="EB14" i="8" a="1"/>
  <c r="EB14" i="8"/>
  <c r="EA14" i="8" a="1"/>
  <c r="EA14" i="8"/>
  <c r="DZ14" i="8" a="1"/>
  <c r="DZ14" i="8"/>
  <c r="DY14" i="8" a="1"/>
  <c r="DY14" i="8" s="1"/>
  <c r="DX14" i="8" a="1"/>
  <c r="DX14" i="8" s="1"/>
  <c r="DW14" i="8" a="1"/>
  <c r="DW14" i="8"/>
  <c r="DV14" i="8" a="1"/>
  <c r="DV14" i="8"/>
  <c r="DU14" i="8" a="1"/>
  <c r="DU14" i="8" s="1"/>
  <c r="DT14" i="8" a="1"/>
  <c r="DT14" i="8" s="1"/>
  <c r="DS14" i="8" a="1"/>
  <c r="DS14" i="8"/>
  <c r="DR14" i="8" a="1"/>
  <c r="DR14" i="8" s="1"/>
  <c r="DQ14" i="8" a="1"/>
  <c r="DQ14" i="8"/>
  <c r="DP14" i="8" a="1"/>
  <c r="DP14" i="8" s="1"/>
  <c r="DO14" i="8" a="1"/>
  <c r="DO14" i="8" s="1"/>
  <c r="DN14" i="8" a="1"/>
  <c r="DN14" i="8" s="1"/>
  <c r="DM14" i="8" a="1"/>
  <c r="DM14" i="8" s="1"/>
  <c r="DL14" i="8" a="1"/>
  <c r="DL14" i="8"/>
  <c r="DK14" i="8" a="1"/>
  <c r="DK14" i="8"/>
  <c r="DJ14" i="8" a="1"/>
  <c r="DJ14" i="8" s="1"/>
  <c r="DI14" i="8" a="1"/>
  <c r="DI14" i="8"/>
  <c r="DH14" i="8" a="1"/>
  <c r="DH14" i="8"/>
  <c r="DG14" i="8" a="1"/>
  <c r="DG14" i="8" s="1"/>
  <c r="DF14" i="8" a="1"/>
  <c r="DF14" i="8"/>
  <c r="DE14" i="8" a="1"/>
  <c r="DE14" i="8" s="1"/>
  <c r="DD14" i="8" a="1"/>
  <c r="DD14" i="8" s="1"/>
  <c r="DC14" i="8" a="1"/>
  <c r="DC14" i="8" s="1"/>
  <c r="DB14" i="8" a="1"/>
  <c r="DB14" i="8" s="1"/>
  <c r="DA14" i="8" a="1"/>
  <c r="DA14" i="8"/>
  <c r="CZ14" i="8" a="1"/>
  <c r="CZ14" i="8"/>
  <c r="CY14" i="8" a="1"/>
  <c r="CY14" i="8" s="1"/>
  <c r="CX14" i="8" a="1"/>
  <c r="CX14" i="8"/>
  <c r="CW14" i="8" a="1"/>
  <c r="CW14" i="8"/>
  <c r="CV14" i="8" a="1"/>
  <c r="CV14" i="8" s="1"/>
  <c r="CU14" i="8" a="1"/>
  <c r="CU14" i="8"/>
  <c r="CT14" i="8" a="1"/>
  <c r="CT14" i="8"/>
  <c r="CS14" i="8" a="1"/>
  <c r="CS14" i="8" s="1"/>
  <c r="CR14" i="8" a="1"/>
  <c r="CR14" i="8" s="1"/>
  <c r="CQ14" i="8" a="1"/>
  <c r="CQ14" i="8" s="1"/>
  <c r="CP14" i="8" a="1"/>
  <c r="CP14" i="8"/>
  <c r="CO14" i="8" a="1"/>
  <c r="CO14" i="8"/>
  <c r="CN14" i="8" a="1"/>
  <c r="CN14" i="8" s="1"/>
  <c r="CM14" i="8" a="1"/>
  <c r="CM14" i="8"/>
  <c r="CL14" i="8" a="1"/>
  <c r="CL14" i="8"/>
  <c r="CK14" i="8" a="1"/>
  <c r="CK14" i="8" s="1"/>
  <c r="CJ14" i="8" a="1"/>
  <c r="CJ14" i="8"/>
  <c r="CI14" i="8" a="1"/>
  <c r="CI14" i="8" s="1"/>
  <c r="CH14" i="8" a="1"/>
  <c r="CH14" i="8" s="1"/>
  <c r="CG14" i="8" a="1"/>
  <c r="CG14" i="8" s="1"/>
  <c r="CF14" i="8" a="1"/>
  <c r="CF14" i="8" s="1"/>
  <c r="CE14" i="8" a="1"/>
  <c r="CE14" i="8"/>
  <c r="CD14" i="8" a="1"/>
  <c r="CD14" i="8"/>
  <c r="CC14" i="8" a="1"/>
  <c r="CC14" i="8"/>
  <c r="CB14" i="8" a="1"/>
  <c r="CB14" i="8"/>
  <c r="CA14" i="8" a="1"/>
  <c r="CA14" i="8"/>
  <c r="BZ14" i="8" a="1"/>
  <c r="BZ14" i="8" s="1"/>
  <c r="BY14" i="8" a="1"/>
  <c r="BY14" i="8"/>
  <c r="BX14" i="8" a="1"/>
  <c r="BX14" i="8" s="1"/>
  <c r="BW14" i="8" a="1"/>
  <c r="BW14" i="8"/>
  <c r="BV14" i="8" a="1"/>
  <c r="BV14" i="8" s="1"/>
  <c r="BU14" i="8" a="1"/>
  <c r="BU14" i="8" s="1"/>
  <c r="BT14" i="8" a="1"/>
  <c r="BT14" i="8"/>
  <c r="BS14" i="8" a="1"/>
  <c r="BS14" i="8"/>
  <c r="BR14" i="8" a="1"/>
  <c r="BR14" i="8"/>
  <c r="BQ14" i="8" a="1"/>
  <c r="BQ14" i="8" s="1"/>
  <c r="BP14" i="8" a="1"/>
  <c r="BP14" i="8"/>
  <c r="BO14" i="8" a="1"/>
  <c r="BO14" i="8" s="1"/>
  <c r="BN14" i="8" a="1"/>
  <c r="BN14" i="8"/>
  <c r="BM14" i="8" a="1"/>
  <c r="BM14" i="8" s="1"/>
  <c r="BL14" i="8" a="1"/>
  <c r="BL14" i="8"/>
  <c r="BK14" i="8" a="1"/>
  <c r="BK14" i="8" s="1"/>
  <c r="BJ14" i="8" a="1"/>
  <c r="BJ14" i="8" s="1"/>
  <c r="BI14" i="8" a="1"/>
  <c r="BI14" i="8"/>
  <c r="BH14" i="8" a="1"/>
  <c r="BH14" i="8"/>
  <c r="BG14" i="8" a="1"/>
  <c r="BG14" i="8"/>
  <c r="BF14" i="8" a="1"/>
  <c r="BF14" i="8" s="1"/>
  <c r="BE14" i="8" a="1"/>
  <c r="BE14" i="8"/>
  <c r="BD14" i="8" a="1"/>
  <c r="BD14" i="8" s="1"/>
  <c r="BC14" i="8" a="1"/>
  <c r="BC14" i="8"/>
  <c r="BB14" i="8" a="1"/>
  <c r="BB14" i="8" s="1"/>
  <c r="BA14" i="8" a="1"/>
  <c r="BA14" i="8"/>
  <c r="AZ14" i="8" a="1"/>
  <c r="AZ14" i="8" s="1"/>
  <c r="AY14" i="8" a="1"/>
  <c r="AY14" i="8" s="1"/>
  <c r="AX14" i="8" a="1"/>
  <c r="AX14" i="8"/>
  <c r="AW14" i="8" a="1"/>
  <c r="AW14" i="8"/>
  <c r="AV14" i="8" a="1"/>
  <c r="AV14" i="8"/>
  <c r="AU14" i="8" a="1"/>
  <c r="AU14" i="8"/>
  <c r="AT14" i="8" a="1"/>
  <c r="AT14" i="8"/>
  <c r="AS14" i="8" a="1"/>
  <c r="AS14" i="8" s="1"/>
  <c r="AR14" i="8" a="1"/>
  <c r="AR14" i="8"/>
  <c r="AQ14" i="8" a="1"/>
  <c r="AQ14" i="8"/>
  <c r="AP14" i="8" a="1"/>
  <c r="AP14" i="8"/>
  <c r="AO14" i="8" a="1"/>
  <c r="AO14" i="8" s="1"/>
  <c r="AN14" i="8" a="1"/>
  <c r="AN14" i="8" s="1"/>
  <c r="AM14" i="8" a="1"/>
  <c r="AM14" i="8"/>
  <c r="AL14" i="8" a="1"/>
  <c r="AL14" i="8"/>
  <c r="AK14" i="8" a="1"/>
  <c r="AK14" i="8" s="1"/>
  <c r="AJ14" i="8" a="1"/>
  <c r="AJ14" i="8" s="1"/>
  <c r="AI14" i="8" a="1"/>
  <c r="AI14" i="8"/>
  <c r="AH14" i="8" a="1"/>
  <c r="AH14" i="8" s="1"/>
  <c r="AG14" i="8" a="1"/>
  <c r="AG14" i="8"/>
  <c r="AF14" i="8" a="1"/>
  <c r="AF14" i="8"/>
  <c r="AE14" i="8" a="1"/>
  <c r="AE14" i="8" s="1"/>
  <c r="AD14" i="8" a="1"/>
  <c r="AD14" i="8" s="1"/>
  <c r="AC14" i="8" a="1"/>
  <c r="AC14" i="8" s="1"/>
  <c r="AB14" i="8" a="1"/>
  <c r="AB14" i="8"/>
  <c r="AA14" i="8" a="1"/>
  <c r="AA14" i="8"/>
  <c r="Z14" i="8" a="1"/>
  <c r="Z14" i="8" s="1"/>
  <c r="Y14" i="8" a="1"/>
  <c r="Y14" i="8" s="1"/>
  <c r="X14" i="8" a="1"/>
  <c r="X14" i="8"/>
  <c r="W14" i="8" a="1"/>
  <c r="W14" i="8" s="1"/>
  <c r="V14" i="8" a="1"/>
  <c r="V14" i="8"/>
  <c r="U14" i="8" a="1"/>
  <c r="U14" i="8"/>
  <c r="T14" i="8" a="1"/>
  <c r="T14" i="8" s="1"/>
  <c r="S14" i="8" a="1"/>
  <c r="S14" i="8" s="1"/>
  <c r="R14" i="8" a="1"/>
  <c r="R14" i="8" s="1"/>
  <c r="Q14" i="8" a="1"/>
  <c r="Q14" i="8"/>
  <c r="P14" i="8" a="1"/>
  <c r="P14" i="8"/>
  <c r="O14" i="8" a="1"/>
  <c r="O14" i="8"/>
  <c r="N14" i="8" a="1"/>
  <c r="N14" i="8" s="1"/>
  <c r="M14" i="8" a="1"/>
  <c r="M14" i="8"/>
  <c r="L14" i="8" a="1"/>
  <c r="L14" i="8" s="1"/>
  <c r="K14" i="8" a="1"/>
  <c r="K14" i="8"/>
  <c r="J14" i="8" a="1"/>
  <c r="J14" i="8"/>
  <c r="I14" i="8" a="1"/>
  <c r="I14" i="8"/>
  <c r="H14" i="8" a="1"/>
  <c r="H14" i="8" s="1"/>
  <c r="G14" i="8" a="1"/>
  <c r="G14" i="8" s="1"/>
  <c r="F14" i="8" a="1"/>
  <c r="F14" i="8"/>
  <c r="E14" i="8" a="1"/>
  <c r="E14" i="8"/>
  <c r="D14" i="8" a="1"/>
  <c r="D14" i="8" s="1"/>
  <c r="C14" i="8" a="1"/>
  <c r="C14" i="8" s="1"/>
  <c r="EF13" i="8" a="1"/>
  <c r="EF13" i="8"/>
  <c r="EE13" i="8" a="1"/>
  <c r="EE13" i="8" s="1"/>
  <c r="ED13" i="8" a="1"/>
  <c r="ED13" i="8"/>
  <c r="EC13" i="8" a="1"/>
  <c r="EC13" i="8" s="1"/>
  <c r="EB13" i="8" a="1"/>
  <c r="EB13" i="8" s="1"/>
  <c r="EA13" i="8" a="1"/>
  <c r="EA13" i="8" s="1"/>
  <c r="DZ13" i="8" a="1"/>
  <c r="DZ13" i="8" s="1"/>
  <c r="DY13" i="8" a="1"/>
  <c r="DY13" i="8"/>
  <c r="DX13" i="8" a="1"/>
  <c r="DX13" i="8"/>
  <c r="DW13" i="8" a="1"/>
  <c r="DW13" i="8" s="1"/>
  <c r="DV13" i="8" a="1"/>
  <c r="DV13" i="8" s="1"/>
  <c r="DU13" i="8" a="1"/>
  <c r="DU13" i="8" s="1"/>
  <c r="DT13" i="8" a="1"/>
  <c r="DT13" i="8" s="1"/>
  <c r="DS13" i="8" a="1"/>
  <c r="DS13" i="8" s="1"/>
  <c r="DR13" i="8" a="1"/>
  <c r="DR13" i="8"/>
  <c r="DQ13" i="8" a="1"/>
  <c r="DQ13" i="8" s="1"/>
  <c r="DP13" i="8" a="1"/>
  <c r="DP13" i="8" s="1"/>
  <c r="DO13" i="8" a="1"/>
  <c r="DO13" i="8" s="1"/>
  <c r="DN13" i="8" a="1"/>
  <c r="DN13" i="8"/>
  <c r="DM13" i="8" a="1"/>
  <c r="DM13" i="8" s="1"/>
  <c r="DL13" i="8" a="1"/>
  <c r="DL13" i="8" s="1"/>
  <c r="DK13" i="8" a="1"/>
  <c r="DK13" i="8"/>
  <c r="DJ13" i="8" a="1"/>
  <c r="DJ13" i="8"/>
  <c r="DI13" i="8" a="1"/>
  <c r="DI13" i="8" s="1"/>
  <c r="DH13" i="8" a="1"/>
  <c r="DH13" i="8"/>
  <c r="DG13" i="8" a="1"/>
  <c r="DG13" i="8" s="1"/>
  <c r="DF13" i="8" a="1"/>
  <c r="DF13" i="8" s="1"/>
  <c r="DE13" i="8" a="1"/>
  <c r="DE13" i="8"/>
  <c r="DD13" i="8" a="1"/>
  <c r="DD13" i="8"/>
  <c r="DC13" i="8" a="1"/>
  <c r="DC13" i="8"/>
  <c r="DB13" i="8" a="1"/>
  <c r="DB13" i="8" s="1"/>
  <c r="DA13" i="8" a="1"/>
  <c r="DA13" i="8"/>
  <c r="CZ13" i="8" a="1"/>
  <c r="CZ13" i="8" s="1"/>
  <c r="CY13" i="8" a="1"/>
  <c r="CY13" i="8" s="1"/>
  <c r="CX13" i="8" a="1"/>
  <c r="CX13" i="8" s="1"/>
  <c r="CW13" i="8" a="1"/>
  <c r="CW13" i="8"/>
  <c r="CV13" i="8" a="1"/>
  <c r="CV13" i="8" s="1"/>
  <c r="CU13" i="8" a="1"/>
  <c r="CU13" i="8"/>
  <c r="CT13" i="8" a="1"/>
  <c r="CT13" i="8" s="1"/>
  <c r="CS13" i="8" a="1"/>
  <c r="CS13" i="8" s="1"/>
  <c r="CR13" i="8" a="1"/>
  <c r="CR13" i="8"/>
  <c r="CQ13" i="8" a="1"/>
  <c r="CQ13" i="8"/>
  <c r="CP13" i="8" a="1"/>
  <c r="CP13" i="8" s="1"/>
  <c r="CO13" i="8" a="1"/>
  <c r="CO13" i="8" s="1"/>
  <c r="CN13" i="8" a="1"/>
  <c r="CN13" i="8"/>
  <c r="CM13" i="8" a="1"/>
  <c r="CM13" i="8" s="1"/>
  <c r="CL13" i="8" a="1"/>
  <c r="CL13" i="8" s="1"/>
  <c r="CK13" i="8" a="1"/>
  <c r="CK13" i="8"/>
  <c r="CJ13" i="8" a="1"/>
  <c r="CJ13" i="8" s="1"/>
  <c r="CI13" i="8" a="1"/>
  <c r="CI13" i="8" s="1"/>
  <c r="CH13" i="8" a="1"/>
  <c r="CH13" i="8"/>
  <c r="CG13" i="8" a="1"/>
  <c r="CG13" i="8"/>
  <c r="CF13" i="8" a="1"/>
  <c r="CF13" i="8"/>
  <c r="CE13" i="8" a="1"/>
  <c r="CE13" i="8" s="1"/>
  <c r="CD13" i="8" a="1"/>
  <c r="CD13" i="8"/>
  <c r="CC13" i="8" a="1"/>
  <c r="CC13" i="8" s="1"/>
  <c r="CB13" i="8" a="1"/>
  <c r="CB13" i="8" s="1"/>
  <c r="CA13" i="8" a="1"/>
  <c r="CA13" i="8" s="1"/>
  <c r="BZ13" i="8" a="1"/>
  <c r="BZ13" i="8"/>
  <c r="BY13" i="8" a="1"/>
  <c r="BY13" i="8" s="1"/>
  <c r="BX13" i="8" a="1"/>
  <c r="BX13" i="8" s="1"/>
  <c r="BW13" i="8" a="1"/>
  <c r="BW13" i="8"/>
  <c r="BV13" i="8" a="1"/>
  <c r="BV13" i="8"/>
  <c r="BU13" i="8" a="1"/>
  <c r="BU13" i="8"/>
  <c r="BT13" i="8" a="1"/>
  <c r="BT13" i="8" s="1"/>
  <c r="BS13" i="8" a="1"/>
  <c r="BS13" i="8"/>
  <c r="BR13" i="8" a="1"/>
  <c r="BR13" i="8" s="1"/>
  <c r="BQ13" i="8" a="1"/>
  <c r="BQ13" i="8" s="1"/>
  <c r="BP13" i="8" a="1"/>
  <c r="BP13" i="8" s="1"/>
  <c r="BO13" i="8" a="1"/>
  <c r="BO13" i="8"/>
  <c r="BN13" i="8" a="1"/>
  <c r="BN13" i="8" s="1"/>
  <c r="BM13" i="8" a="1"/>
  <c r="BM13" i="8" s="1"/>
  <c r="BL13" i="8" a="1"/>
  <c r="BL13" i="8"/>
  <c r="BK13" i="8" a="1"/>
  <c r="BK13" i="8"/>
  <c r="BJ13" i="8" a="1"/>
  <c r="BJ13" i="8"/>
  <c r="BI13" i="8" a="1"/>
  <c r="BI13" i="8" s="1"/>
  <c r="BH13" i="8" a="1"/>
  <c r="BH13" i="8"/>
  <c r="BG13" i="8" a="1"/>
  <c r="BG13" i="8" s="1"/>
  <c r="BF13" i="8" a="1"/>
  <c r="BF13" i="8" s="1"/>
  <c r="BE13" i="8" a="1"/>
  <c r="BE13" i="8" s="1"/>
  <c r="BD13" i="8" a="1"/>
  <c r="BD13" i="8"/>
  <c r="BC13" i="8" a="1"/>
  <c r="BC13" i="8" s="1"/>
  <c r="BB13" i="8" a="1"/>
  <c r="BB13" i="8" s="1"/>
  <c r="BA13" i="8" a="1"/>
  <c r="BA13" i="8"/>
  <c r="AZ13" i="8" a="1"/>
  <c r="AZ13" i="8"/>
  <c r="AY13" i="8" a="1"/>
  <c r="AY13" i="8"/>
  <c r="AX13" i="8" a="1"/>
  <c r="AX13" i="8" s="1"/>
  <c r="AW13" i="8" a="1"/>
  <c r="AW13" i="8"/>
  <c r="AV13" i="8" a="1"/>
  <c r="AV13" i="8" s="1"/>
  <c r="AU13" i="8" a="1"/>
  <c r="AU13" i="8" s="1"/>
  <c r="AT13" i="8" a="1"/>
  <c r="AT13" i="8" s="1"/>
  <c r="AS13" i="8" a="1"/>
  <c r="AS13" i="8"/>
  <c r="AR13" i="8" a="1"/>
  <c r="AR13" i="8" s="1"/>
  <c r="AQ13" i="8" a="1"/>
  <c r="AQ13" i="8" s="1"/>
  <c r="AP13" i="8" a="1"/>
  <c r="AP13" i="8"/>
  <c r="AO13" i="8" a="1"/>
  <c r="AO13" i="8"/>
  <c r="AN13" i="8" a="1"/>
  <c r="AN13" i="8"/>
  <c r="AM13" i="8" a="1"/>
  <c r="AM13" i="8" s="1"/>
  <c r="AL13" i="8" a="1"/>
  <c r="AL13" i="8"/>
  <c r="AK13" i="8" a="1"/>
  <c r="AK13" i="8" s="1"/>
  <c r="AJ13" i="8" a="1"/>
  <c r="AJ13" i="8" s="1"/>
  <c r="AI13" i="8" a="1"/>
  <c r="AI13" i="8" s="1"/>
  <c r="AH13" i="8" a="1"/>
  <c r="AH13" i="8"/>
  <c r="AG13" i="8" a="1"/>
  <c r="AG13" i="8" s="1"/>
  <c r="AF13" i="8" a="1"/>
  <c r="AF13" i="8" s="1"/>
  <c r="AE13" i="8" a="1"/>
  <c r="AE13" i="8"/>
  <c r="AD13" i="8" a="1"/>
  <c r="AD13" i="8"/>
  <c r="AC13" i="8" a="1"/>
  <c r="AC13" i="8"/>
  <c r="AB13" i="8" a="1"/>
  <c r="AB13" i="8" s="1"/>
  <c r="AA13" i="8" a="1"/>
  <c r="AA13" i="8"/>
  <c r="Z13" i="8" a="1"/>
  <c r="Z13" i="8" s="1"/>
  <c r="Y13" i="8" a="1"/>
  <c r="Y13" i="8" s="1"/>
  <c r="X13" i="8" a="1"/>
  <c r="X13" i="8" s="1"/>
  <c r="W13" i="8" a="1"/>
  <c r="W13" i="8"/>
  <c r="V13" i="8" a="1"/>
  <c r="V13" i="8" s="1"/>
  <c r="U13" i="8" a="1"/>
  <c r="U13" i="8" s="1"/>
  <c r="T13" i="8" a="1"/>
  <c r="T13" i="8"/>
  <c r="S13" i="8" a="1"/>
  <c r="S13" i="8"/>
  <c r="R13" i="8" a="1"/>
  <c r="R13" i="8"/>
  <c r="Q13" i="8" a="1"/>
  <c r="Q13" i="8" s="1"/>
  <c r="P13" i="8" a="1"/>
  <c r="P13" i="8"/>
  <c r="O13" i="8" a="1"/>
  <c r="O13" i="8" s="1"/>
  <c r="N13" i="8" a="1"/>
  <c r="N13" i="8" s="1"/>
  <c r="M13" i="8" a="1"/>
  <c r="M13" i="8" s="1"/>
  <c r="L13" i="8" a="1"/>
  <c r="L13" i="8"/>
  <c r="K13" i="8" a="1"/>
  <c r="K13" i="8" s="1"/>
  <c r="J13" i="8" a="1"/>
  <c r="J13" i="8" s="1"/>
  <c r="I13" i="8" a="1"/>
  <c r="I13" i="8"/>
  <c r="H13" i="8" a="1"/>
  <c r="H13" i="8"/>
  <c r="G13" i="8" a="1"/>
  <c r="G13" i="8"/>
  <c r="F13" i="8" a="1"/>
  <c r="F13" i="8" s="1"/>
  <c r="E13" i="8" a="1"/>
  <c r="E13" i="8"/>
  <c r="D13" i="8" a="1"/>
  <c r="D13" i="8" s="1"/>
  <c r="C13" i="8" a="1"/>
  <c r="C13" i="8" s="1"/>
  <c r="EF12" i="8" a="1"/>
  <c r="EF12" i="8" s="1"/>
  <c r="EE12" i="8" a="1"/>
  <c r="EE12" i="8"/>
  <c r="ED12" i="8" a="1"/>
  <c r="ED12" i="8" s="1"/>
  <c r="EC12" i="8" a="1"/>
  <c r="EC12" i="8" s="1"/>
  <c r="EB12" i="8" a="1"/>
  <c r="EB12" i="8"/>
  <c r="EA12" i="8" a="1"/>
  <c r="EA12" i="8"/>
  <c r="DZ12" i="8" a="1"/>
  <c r="DZ12" i="8"/>
  <c r="DY12" i="8" a="1"/>
  <c r="DY12" i="8" s="1"/>
  <c r="DX12" i="8" a="1"/>
  <c r="DX12" i="8"/>
  <c r="DW12" i="8" a="1"/>
  <c r="DW12" i="8" s="1"/>
  <c r="DV12" i="8" a="1"/>
  <c r="DV12" i="8" s="1"/>
  <c r="DU12" i="8" a="1"/>
  <c r="DU12" i="8" s="1"/>
  <c r="DT12" i="8" a="1"/>
  <c r="DT12" i="8"/>
  <c r="DS12" i="8" a="1"/>
  <c r="DS12" i="8" s="1"/>
  <c r="DR12" i="8" a="1"/>
  <c r="DR12" i="8" s="1"/>
  <c r="DQ12" i="8" a="1"/>
  <c r="DQ12" i="8"/>
  <c r="DP12" i="8" a="1"/>
  <c r="DP12" i="8"/>
  <c r="DO12" i="8" a="1"/>
  <c r="DO12" i="8"/>
  <c r="DN12" i="8" a="1"/>
  <c r="DN12" i="8" s="1"/>
  <c r="DM12" i="8" a="1"/>
  <c r="DM12" i="8"/>
  <c r="DL12" i="8" a="1"/>
  <c r="DL12" i="8" s="1"/>
  <c r="DK12" i="8" a="1"/>
  <c r="DK12" i="8" s="1"/>
  <c r="DJ12" i="8" a="1"/>
  <c r="DJ12" i="8" s="1"/>
  <c r="DI12" i="8" a="1"/>
  <c r="DI12" i="8"/>
  <c r="DH12" i="8" a="1"/>
  <c r="DH12" i="8" s="1"/>
  <c r="DG12" i="8" a="1"/>
  <c r="DG12" i="8" s="1"/>
  <c r="DF12" i="8" a="1"/>
  <c r="DF12" i="8"/>
  <c r="DE12" i="8" a="1"/>
  <c r="DE12" i="8"/>
  <c r="DD12" i="8" a="1"/>
  <c r="DD12" i="8"/>
  <c r="DC12" i="8" a="1"/>
  <c r="DC12" i="8" s="1"/>
  <c r="DB12" i="8" a="1"/>
  <c r="DB12" i="8"/>
  <c r="DA12" i="8" a="1"/>
  <c r="DA12" i="8" s="1"/>
  <c r="CZ12" i="8" a="1"/>
  <c r="CZ12" i="8" s="1"/>
  <c r="CY12" i="8" a="1"/>
  <c r="CY12" i="8" s="1"/>
  <c r="CX12" i="8" a="1"/>
  <c r="CX12" i="8"/>
  <c r="CW12" i="8" a="1"/>
  <c r="CW12" i="8" s="1"/>
  <c r="CV12" i="8" a="1"/>
  <c r="CV12" i="8" s="1"/>
  <c r="CU12" i="8" a="1"/>
  <c r="CU12" i="8"/>
  <c r="CT12" i="8" a="1"/>
  <c r="CT12" i="8"/>
  <c r="CS12" i="8" a="1"/>
  <c r="CS12" i="8"/>
  <c r="CR12" i="8" a="1"/>
  <c r="CR12" i="8" s="1"/>
  <c r="CQ12" i="8" a="1"/>
  <c r="CQ12" i="8"/>
  <c r="CP12" i="8" a="1"/>
  <c r="CP12" i="8" s="1"/>
  <c r="CO12" i="8" a="1"/>
  <c r="CO12" i="8" s="1"/>
  <c r="CN12" i="8" a="1"/>
  <c r="CN12" i="8" s="1"/>
  <c r="CM12" i="8" a="1"/>
  <c r="CM12" i="8"/>
  <c r="CL12" i="8" a="1"/>
  <c r="CL12" i="8" s="1"/>
  <c r="CK12" i="8" a="1"/>
  <c r="CK12" i="8" s="1"/>
  <c r="CJ12" i="8" a="1"/>
  <c r="CJ12" i="8"/>
  <c r="CI12" i="8" a="1"/>
  <c r="CI12" i="8"/>
  <c r="CH12" i="8" a="1"/>
  <c r="CH12" i="8"/>
  <c r="CG12" i="8" a="1"/>
  <c r="CG12" i="8" s="1"/>
  <c r="CF12" i="8" a="1"/>
  <c r="CF12" i="8"/>
  <c r="CE12" i="8" a="1"/>
  <c r="CE12" i="8" s="1"/>
  <c r="CD12" i="8" a="1"/>
  <c r="CD12" i="8" s="1"/>
  <c r="CC12" i="8" a="1"/>
  <c r="CC12" i="8" s="1"/>
  <c r="CB12" i="8" a="1"/>
  <c r="CB12" i="8"/>
  <c r="CA12" i="8" a="1"/>
  <c r="CA12" i="8" s="1"/>
  <c r="BZ12" i="8" a="1"/>
  <c r="BZ12" i="8" s="1"/>
  <c r="BY12" i="8" a="1"/>
  <c r="BY12" i="8"/>
  <c r="BX12" i="8" a="1"/>
  <c r="BX12" i="8"/>
  <c r="BW12" i="8" a="1"/>
  <c r="BW12" i="8"/>
  <c r="BV12" i="8" a="1"/>
  <c r="BV12" i="8" s="1"/>
  <c r="BU12" i="8" a="1"/>
  <c r="BU12" i="8"/>
  <c r="BT12" i="8" a="1"/>
  <c r="BT12" i="8" s="1"/>
  <c r="BS12" i="8" a="1"/>
  <c r="BS12" i="8" s="1"/>
  <c r="BR12" i="8" a="1"/>
  <c r="BR12" i="8" s="1"/>
  <c r="BQ12" i="8" a="1"/>
  <c r="BQ12" i="8"/>
  <c r="BP12" i="8" a="1"/>
  <c r="BP12" i="8" s="1"/>
  <c r="BO12" i="8" a="1"/>
  <c r="BO12" i="8" s="1"/>
  <c r="BN12" i="8" a="1"/>
  <c r="BN12" i="8"/>
  <c r="BM12" i="8" a="1"/>
  <c r="BM12" i="8"/>
  <c r="BL12" i="8" a="1"/>
  <c r="BL12" i="8"/>
  <c r="BK12" i="8" a="1"/>
  <c r="BK12" i="8" s="1"/>
  <c r="BJ12" i="8" a="1"/>
  <c r="BJ12" i="8"/>
  <c r="BI12" i="8" a="1"/>
  <c r="BI12" i="8" s="1"/>
  <c r="BH12" i="8" a="1"/>
  <c r="BH12" i="8" s="1"/>
  <c r="BG12" i="8" a="1"/>
  <c r="BG12" i="8" s="1"/>
  <c r="BF12" i="8" a="1"/>
  <c r="BF12" i="8"/>
  <c r="BE12" i="8" a="1"/>
  <c r="BE12" i="8" s="1"/>
  <c r="BD12" i="8" a="1"/>
  <c r="BD12" i="8" s="1"/>
  <c r="BC12" i="8" a="1"/>
  <c r="BC12" i="8"/>
  <c r="BB12" i="8" a="1"/>
  <c r="BB12" i="8"/>
  <c r="BA12" i="8" a="1"/>
  <c r="BA12" i="8"/>
  <c r="AZ12" i="8" a="1"/>
  <c r="AZ12" i="8" s="1"/>
  <c r="AY12" i="8" a="1"/>
  <c r="AY12" i="8"/>
  <c r="AX12" i="8" a="1"/>
  <c r="AX12" i="8" s="1"/>
  <c r="AW12" i="8" a="1"/>
  <c r="AW12" i="8" s="1"/>
  <c r="AV12" i="8" a="1"/>
  <c r="AV12" i="8" s="1"/>
  <c r="AU12" i="8" a="1"/>
  <c r="AU12" i="8"/>
  <c r="AT12" i="8" a="1"/>
  <c r="AT12" i="8" s="1"/>
  <c r="AS12" i="8" a="1"/>
  <c r="AS12" i="8" s="1"/>
  <c r="AR12" i="8" a="1"/>
  <c r="AR12" i="8"/>
  <c r="AQ12" i="8" a="1"/>
  <c r="AQ12" i="8"/>
  <c r="AP12" i="8" a="1"/>
  <c r="AP12" i="8"/>
  <c r="AO12" i="8" a="1"/>
  <c r="AO12" i="8" s="1"/>
  <c r="AN12" i="8" a="1"/>
  <c r="AN12" i="8"/>
  <c r="AM12" i="8" a="1"/>
  <c r="AM12" i="8" s="1"/>
  <c r="AL12" i="8" a="1"/>
  <c r="AL12" i="8" s="1"/>
  <c r="AK12" i="8" a="1"/>
  <c r="AK12" i="8" s="1"/>
  <c r="AJ12" i="8" a="1"/>
  <c r="AJ12" i="8"/>
  <c r="AI12" i="8" a="1"/>
  <c r="AI12" i="8" s="1"/>
  <c r="AH12" i="8" a="1"/>
  <c r="AH12" i="8" s="1"/>
  <c r="AG12" i="8" a="1"/>
  <c r="AG12" i="8"/>
  <c r="AF12" i="8" a="1"/>
  <c r="AF12" i="8"/>
  <c r="AE12" i="8" a="1"/>
  <c r="AE12" i="8"/>
  <c r="AD12" i="8" a="1"/>
  <c r="AD12" i="8" s="1"/>
  <c r="AC12" i="8" a="1"/>
  <c r="AC12" i="8"/>
  <c r="AB12" i="8" a="1"/>
  <c r="AB12" i="8" s="1"/>
  <c r="AA12" i="8" a="1"/>
  <c r="AA12" i="8" s="1"/>
  <c r="Z12" i="8" a="1"/>
  <c r="Z12" i="8" s="1"/>
  <c r="Y12" i="8" a="1"/>
  <c r="Y12" i="8"/>
  <c r="X12" i="8" a="1"/>
  <c r="X12" i="8" s="1"/>
  <c r="W12" i="8" a="1"/>
  <c r="W12" i="8" s="1"/>
  <c r="V12" i="8" a="1"/>
  <c r="V12" i="8"/>
  <c r="U12" i="8" a="1"/>
  <c r="U12" i="8"/>
  <c r="T12" i="8" a="1"/>
  <c r="T12" i="8"/>
  <c r="S12" i="8" a="1"/>
  <c r="S12" i="8" s="1"/>
  <c r="R12" i="8" a="1"/>
  <c r="R12" i="8"/>
  <c r="Q12" i="8" a="1"/>
  <c r="Q12" i="8" s="1"/>
  <c r="P12" i="8" a="1"/>
  <c r="P12" i="8" s="1"/>
  <c r="O12" i="8" a="1"/>
  <c r="O12" i="8" s="1"/>
  <c r="N12" i="8" a="1"/>
  <c r="N12" i="8"/>
  <c r="M12" i="8" a="1"/>
  <c r="M12" i="8" s="1"/>
  <c r="L12" i="8" a="1"/>
  <c r="L12" i="8" s="1"/>
  <c r="K12" i="8" a="1"/>
  <c r="K12" i="8"/>
  <c r="J12" i="8" a="1"/>
  <c r="J12" i="8"/>
  <c r="I12" i="8" a="1"/>
  <c r="I12" i="8"/>
  <c r="H12" i="8" a="1"/>
  <c r="H12" i="8" s="1"/>
  <c r="G12" i="8" a="1"/>
  <c r="G12" i="8"/>
  <c r="F12" i="8" a="1"/>
  <c r="F12" i="8" s="1"/>
  <c r="E12" i="8" a="1"/>
  <c r="E12" i="8" s="1"/>
  <c r="D12" i="8" a="1"/>
  <c r="D12" i="8" s="1"/>
  <c r="C12" i="8" a="1"/>
  <c r="C12" i="8"/>
  <c r="EF19" i="7"/>
  <c r="EE19" i="7"/>
  <c r="ED19" i="7"/>
  <c r="EC19" i="7"/>
  <c r="EB19" i="7"/>
  <c r="EA19" i="7"/>
  <c r="DZ19" i="7"/>
  <c r="DY19" i="7"/>
  <c r="DX19" i="7"/>
  <c r="DW19" i="7"/>
  <c r="DV19" i="7"/>
  <c r="DU19" i="7"/>
  <c r="DT19" i="7"/>
  <c r="DS19" i="7"/>
  <c r="DR19" i="7"/>
  <c r="DQ19" i="7"/>
  <c r="DP19" i="7"/>
  <c r="DO19" i="7"/>
  <c r="DN19" i="7"/>
  <c r="DM19" i="7"/>
  <c r="DL19" i="7"/>
  <c r="DK19" i="7"/>
  <c r="DJ19" i="7"/>
  <c r="DI19" i="7"/>
  <c r="DH19" i="7"/>
  <c r="DG19" i="7"/>
  <c r="DF19" i="7"/>
  <c r="DE19" i="7"/>
  <c r="DD19" i="7"/>
  <c r="DC19" i="7"/>
  <c r="DB19" i="7"/>
  <c r="DA19" i="7"/>
  <c r="CZ19" i="7"/>
  <c r="CY19" i="7"/>
  <c r="CX19" i="7"/>
  <c r="CW19" i="7"/>
  <c r="CV19" i="7"/>
  <c r="CU19" i="7"/>
  <c r="CT19" i="7"/>
  <c r="CS19" i="7"/>
  <c r="CR19" i="7"/>
  <c r="CQ19" i="7"/>
  <c r="CP19" i="7"/>
  <c r="CO19" i="7"/>
  <c r="CN19" i="7"/>
  <c r="CM19" i="7"/>
  <c r="CL19" i="7"/>
  <c r="CK19" i="7"/>
  <c r="CJ19" i="7"/>
  <c r="CI19" i="7"/>
  <c r="CH19" i="7"/>
  <c r="CG19" i="7"/>
  <c r="CF19" i="7"/>
  <c r="CE19" i="7"/>
  <c r="CD19" i="7"/>
  <c r="CC19" i="7"/>
  <c r="CB19" i="7"/>
  <c r="CA19" i="7"/>
  <c r="BZ19" i="7"/>
  <c r="BY19" i="7"/>
  <c r="BX19" i="7"/>
  <c r="BW19" i="7"/>
  <c r="BV19" i="7"/>
  <c r="BU19" i="7"/>
  <c r="BT19" i="7"/>
  <c r="BS19" i="7"/>
  <c r="BR19" i="7"/>
  <c r="BQ19" i="7"/>
  <c r="BP19" i="7"/>
  <c r="BO19" i="7"/>
  <c r="BN19" i="7"/>
  <c r="BM19" i="7"/>
  <c r="BL19" i="7"/>
  <c r="BK19" i="7"/>
  <c r="BJ19" i="7"/>
  <c r="BI19" i="7"/>
  <c r="BH19" i="7"/>
  <c r="BG19" i="7"/>
  <c r="BF19" i="7"/>
  <c r="BE19" i="7"/>
  <c r="BD19" i="7"/>
  <c r="BC19" i="7"/>
  <c r="BB19" i="7"/>
  <c r="BA19" i="7"/>
  <c r="AZ19" i="7"/>
  <c r="AY19" i="7"/>
  <c r="AX19" i="7"/>
  <c r="AW19" i="7"/>
  <c r="AV19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EF18" i="7"/>
  <c r="EE18" i="7"/>
  <c r="ED18" i="7"/>
  <c r="EC18" i="7"/>
  <c r="EB18" i="7"/>
  <c r="EA18" i="7"/>
  <c r="DZ18" i="7"/>
  <c r="DY18" i="7"/>
  <c r="DX18" i="7"/>
  <c r="DW18" i="7"/>
  <c r="DV18" i="7"/>
  <c r="DU18" i="7"/>
  <c r="DT18" i="7"/>
  <c r="DS18" i="7"/>
  <c r="DR18" i="7"/>
  <c r="DQ18" i="7"/>
  <c r="DP18" i="7"/>
  <c r="DO18" i="7"/>
  <c r="DN18" i="7"/>
  <c r="DM18" i="7"/>
  <c r="DL18" i="7"/>
  <c r="DK18" i="7"/>
  <c r="DJ18" i="7"/>
  <c r="DI18" i="7"/>
  <c r="DH18" i="7"/>
  <c r="DG18" i="7"/>
  <c r="DF18" i="7"/>
  <c r="DE18" i="7"/>
  <c r="DD18" i="7"/>
  <c r="DC18" i="7"/>
  <c r="DB18" i="7"/>
  <c r="DA18" i="7"/>
  <c r="CZ18" i="7"/>
  <c r="CY18" i="7"/>
  <c r="CX18" i="7"/>
  <c r="CW18" i="7"/>
  <c r="CV18" i="7"/>
  <c r="CU18" i="7"/>
  <c r="CT18" i="7"/>
  <c r="CS18" i="7"/>
  <c r="CR18" i="7"/>
  <c r="CQ18" i="7"/>
  <c r="CP18" i="7"/>
  <c r="CO18" i="7"/>
  <c r="CN18" i="7"/>
  <c r="CM18" i="7"/>
  <c r="CL18" i="7"/>
  <c r="CK18" i="7"/>
  <c r="CJ18" i="7"/>
  <c r="CI18" i="7"/>
  <c r="CH18" i="7"/>
  <c r="CG18" i="7"/>
  <c r="CF18" i="7"/>
  <c r="CE18" i="7"/>
  <c r="CD18" i="7"/>
  <c r="CC18" i="7"/>
  <c r="CB18" i="7"/>
  <c r="CA18" i="7"/>
  <c r="BZ18" i="7"/>
  <c r="BY18" i="7"/>
  <c r="BX18" i="7"/>
  <c r="BW18" i="7"/>
  <c r="BV18" i="7"/>
  <c r="BU18" i="7"/>
  <c r="BT18" i="7"/>
  <c r="BS18" i="7"/>
  <c r="BR18" i="7"/>
  <c r="BQ18" i="7"/>
  <c r="BP18" i="7"/>
  <c r="BO18" i="7"/>
  <c r="BN18" i="7"/>
  <c r="BM18" i="7"/>
  <c r="BL18" i="7"/>
  <c r="BK18" i="7"/>
  <c r="BJ18" i="7"/>
  <c r="BI18" i="7"/>
  <c r="BH18" i="7"/>
  <c r="BG18" i="7"/>
  <c r="BF18" i="7"/>
  <c r="BE18" i="7"/>
  <c r="BD18" i="7"/>
  <c r="BC18" i="7"/>
  <c r="BB18" i="7"/>
  <c r="BA18" i="7"/>
  <c r="AZ18" i="7"/>
  <c r="AY18" i="7"/>
  <c r="AX18" i="7"/>
  <c r="AW18" i="7"/>
  <c r="AV18" i="7"/>
  <c r="AU18" i="7"/>
  <c r="AT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EF17" i="7"/>
  <c r="EE17" i="7"/>
  <c r="ED17" i="7"/>
  <c r="EC17" i="7"/>
  <c r="EB17" i="7"/>
  <c r="EA17" i="7"/>
  <c r="DZ17" i="7"/>
  <c r="DY17" i="7"/>
  <c r="DX17" i="7"/>
  <c r="DW17" i="7"/>
  <c r="DV17" i="7"/>
  <c r="DU17" i="7"/>
  <c r="DT17" i="7"/>
  <c r="DS17" i="7"/>
  <c r="DR17" i="7"/>
  <c r="DQ17" i="7"/>
  <c r="DP17" i="7"/>
  <c r="DO17" i="7"/>
  <c r="DN17" i="7"/>
  <c r="DM17" i="7"/>
  <c r="DL17" i="7"/>
  <c r="DK17" i="7"/>
  <c r="DJ17" i="7"/>
  <c r="DI17" i="7"/>
  <c r="DH17" i="7"/>
  <c r="DG17" i="7"/>
  <c r="DF17" i="7"/>
  <c r="DE17" i="7"/>
  <c r="DD17" i="7"/>
  <c r="DC17" i="7"/>
  <c r="DB17" i="7"/>
  <c r="DA17" i="7"/>
  <c r="CZ17" i="7"/>
  <c r="CY17" i="7"/>
  <c r="CX17" i="7"/>
  <c r="CW17" i="7"/>
  <c r="CV17" i="7"/>
  <c r="CU17" i="7"/>
  <c r="CT17" i="7"/>
  <c r="CS17" i="7"/>
  <c r="CR17" i="7"/>
  <c r="CQ17" i="7"/>
  <c r="CP17" i="7"/>
  <c r="CO17" i="7"/>
  <c r="CN17" i="7"/>
  <c r="CM17" i="7"/>
  <c r="CL17" i="7"/>
  <c r="CK17" i="7"/>
  <c r="CJ17" i="7"/>
  <c r="CI17" i="7"/>
  <c r="CH17" i="7"/>
  <c r="CG17" i="7"/>
  <c r="CF17" i="7"/>
  <c r="CE17" i="7"/>
  <c r="CD17" i="7"/>
  <c r="CC17" i="7"/>
  <c r="CB17" i="7"/>
  <c r="CA17" i="7"/>
  <c r="BZ17" i="7"/>
  <c r="BY17" i="7"/>
  <c r="BX17" i="7"/>
  <c r="BW17" i="7"/>
  <c r="BV17" i="7"/>
  <c r="BU17" i="7"/>
  <c r="BT17" i="7"/>
  <c r="BS17" i="7"/>
  <c r="BR17" i="7"/>
  <c r="BQ17" i="7"/>
  <c r="BP17" i="7"/>
  <c r="BO17" i="7"/>
  <c r="BN17" i="7"/>
  <c r="BM17" i="7"/>
  <c r="BL17" i="7"/>
  <c r="BK17" i="7"/>
  <c r="BJ17" i="7"/>
  <c r="BI17" i="7"/>
  <c r="BH17" i="7"/>
  <c r="BG17" i="7"/>
  <c r="BF17" i="7"/>
  <c r="BE17" i="7"/>
  <c r="BD17" i="7"/>
  <c r="BC17" i="7"/>
  <c r="BB17" i="7"/>
  <c r="BA17" i="7"/>
  <c r="AZ17" i="7"/>
  <c r="AY17" i="7"/>
  <c r="AX17" i="7"/>
  <c r="AW17" i="7"/>
  <c r="AV17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EF15" i="7"/>
  <c r="EE15" i="7"/>
  <c r="ED15" i="7"/>
  <c r="EC15" i="7"/>
  <c r="EB15" i="7"/>
  <c r="EA15" i="7"/>
  <c r="DZ15" i="7"/>
  <c r="DY15" i="7"/>
  <c r="DX15" i="7"/>
  <c r="DW15" i="7"/>
  <c r="DV15" i="7"/>
  <c r="DU15" i="7"/>
  <c r="DT15" i="7"/>
  <c r="DS15" i="7"/>
  <c r="DR15" i="7"/>
  <c r="DQ15" i="7"/>
  <c r="DP15" i="7"/>
  <c r="DO15" i="7"/>
  <c r="DN15" i="7"/>
  <c r="DM15" i="7"/>
  <c r="DL15" i="7"/>
  <c r="DK15" i="7"/>
  <c r="DJ15" i="7"/>
  <c r="DI15" i="7"/>
  <c r="DH15" i="7"/>
  <c r="DG15" i="7"/>
  <c r="DF15" i="7"/>
  <c r="DE15" i="7"/>
  <c r="DD15" i="7"/>
  <c r="DC15" i="7"/>
  <c r="DB15" i="7"/>
  <c r="DA15" i="7"/>
  <c r="CZ15" i="7"/>
  <c r="CY15" i="7"/>
  <c r="CX15" i="7"/>
  <c r="CW15" i="7"/>
  <c r="CV15" i="7"/>
  <c r="CU15" i="7"/>
  <c r="CT15" i="7"/>
  <c r="CS15" i="7"/>
  <c r="CR15" i="7"/>
  <c r="CQ15" i="7"/>
  <c r="CP15" i="7"/>
  <c r="CO15" i="7"/>
  <c r="CN15" i="7"/>
  <c r="CM15" i="7"/>
  <c r="CL15" i="7"/>
  <c r="CK15" i="7"/>
  <c r="CJ15" i="7"/>
  <c r="CI15" i="7"/>
  <c r="CH15" i="7"/>
  <c r="CG15" i="7"/>
  <c r="CF15" i="7"/>
  <c r="CE15" i="7"/>
  <c r="CD15" i="7"/>
  <c r="CC15" i="7"/>
  <c r="CB15" i="7"/>
  <c r="CA15" i="7"/>
  <c r="BZ15" i="7"/>
  <c r="BY15" i="7"/>
  <c r="BX15" i="7"/>
  <c r="BW15" i="7"/>
  <c r="BV15" i="7"/>
  <c r="BU15" i="7"/>
  <c r="BT15" i="7"/>
  <c r="BS15" i="7"/>
  <c r="BR15" i="7"/>
  <c r="BQ15" i="7"/>
  <c r="BP15" i="7"/>
  <c r="BO15" i="7"/>
  <c r="BN15" i="7"/>
  <c r="BM15" i="7"/>
  <c r="BL15" i="7"/>
  <c r="BK15" i="7"/>
  <c r="BJ15" i="7"/>
  <c r="BI15" i="7"/>
  <c r="BH15" i="7"/>
  <c r="BG15" i="7"/>
  <c r="BF15" i="7"/>
  <c r="BE15" i="7"/>
  <c r="BD15" i="7"/>
  <c r="BC15" i="7"/>
  <c r="BB15" i="7"/>
  <c r="BA15" i="7"/>
  <c r="AZ15" i="7"/>
  <c r="AY15" i="7"/>
  <c r="AX15" i="7"/>
  <c r="AW15" i="7"/>
  <c r="AV15" i="7"/>
  <c r="AU15" i="7"/>
  <c r="AT15" i="7"/>
  <c r="AS15" i="7"/>
  <c r="AR15" i="7"/>
  <c r="AQ15" i="7"/>
  <c r="AP15" i="7"/>
  <c r="AO15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EF14" i="7"/>
  <c r="EE14" i="7"/>
  <c r="ED14" i="7"/>
  <c r="EC14" i="7"/>
  <c r="EB14" i="7"/>
  <c r="EA14" i="7"/>
  <c r="DZ14" i="7"/>
  <c r="DY14" i="7"/>
  <c r="DX14" i="7"/>
  <c r="DW14" i="7"/>
  <c r="DV14" i="7"/>
  <c r="DU14" i="7"/>
  <c r="DT14" i="7"/>
  <c r="DS14" i="7"/>
  <c r="DR14" i="7"/>
  <c r="DQ14" i="7"/>
  <c r="DP14" i="7"/>
  <c r="DO14" i="7"/>
  <c r="DN14" i="7"/>
  <c r="DM14" i="7"/>
  <c r="DL14" i="7"/>
  <c r="DK14" i="7"/>
  <c r="DJ14" i="7"/>
  <c r="DI14" i="7"/>
  <c r="DH14" i="7"/>
  <c r="DG14" i="7"/>
  <c r="DF14" i="7"/>
  <c r="DE14" i="7"/>
  <c r="DD14" i="7"/>
  <c r="DC14" i="7"/>
  <c r="DB14" i="7"/>
  <c r="DA14" i="7"/>
  <c r="CZ14" i="7"/>
  <c r="CY14" i="7"/>
  <c r="CX14" i="7"/>
  <c r="CW14" i="7"/>
  <c r="CV14" i="7"/>
  <c r="CU14" i="7"/>
  <c r="CT14" i="7"/>
  <c r="CS14" i="7"/>
  <c r="CR14" i="7"/>
  <c r="CQ14" i="7"/>
  <c r="CP14" i="7"/>
  <c r="CO14" i="7"/>
  <c r="CN14" i="7"/>
  <c r="CM14" i="7"/>
  <c r="CL14" i="7"/>
  <c r="CK14" i="7"/>
  <c r="CJ14" i="7"/>
  <c r="CI14" i="7"/>
  <c r="CH14" i="7"/>
  <c r="CG14" i="7"/>
  <c r="CF14" i="7"/>
  <c r="CE14" i="7"/>
  <c r="CD14" i="7"/>
  <c r="CC14" i="7"/>
  <c r="CB14" i="7"/>
  <c r="CA14" i="7"/>
  <c r="BZ14" i="7"/>
  <c r="BY14" i="7"/>
  <c r="BX14" i="7"/>
  <c r="BW14" i="7"/>
  <c r="BV14" i="7"/>
  <c r="BU14" i="7"/>
  <c r="BT14" i="7"/>
  <c r="BS14" i="7"/>
  <c r="BR14" i="7"/>
  <c r="BQ14" i="7"/>
  <c r="BP14" i="7"/>
  <c r="BO14" i="7"/>
  <c r="BN14" i="7"/>
  <c r="BM14" i="7"/>
  <c r="BL14" i="7"/>
  <c r="BK14" i="7"/>
  <c r="BJ14" i="7"/>
  <c r="BI14" i="7"/>
  <c r="BH14" i="7"/>
  <c r="BG14" i="7"/>
  <c r="BF14" i="7"/>
  <c r="BE14" i="7"/>
  <c r="BD14" i="7"/>
  <c r="BC14" i="7"/>
  <c r="BB14" i="7"/>
  <c r="BA14" i="7"/>
  <c r="AZ14" i="7"/>
  <c r="AY14" i="7"/>
  <c r="AX14" i="7"/>
  <c r="AW14" i="7"/>
  <c r="AV14" i="7"/>
  <c r="AU14" i="7"/>
  <c r="AT14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EF13" i="7"/>
  <c r="EE13" i="7"/>
  <c r="ED13" i="7"/>
  <c r="EC13" i="7"/>
  <c r="EB13" i="7"/>
  <c r="EA13" i="7"/>
  <c r="DZ13" i="7"/>
  <c r="DY13" i="7"/>
  <c r="DX13" i="7"/>
  <c r="DW13" i="7"/>
  <c r="DV13" i="7"/>
  <c r="DU13" i="7"/>
  <c r="DT13" i="7"/>
  <c r="DS13" i="7"/>
  <c r="DR13" i="7"/>
  <c r="DQ13" i="7"/>
  <c r="DP13" i="7"/>
  <c r="DO13" i="7"/>
  <c r="DN13" i="7"/>
  <c r="DM13" i="7"/>
  <c r="DL13" i="7"/>
  <c r="DK13" i="7"/>
  <c r="DJ13" i="7"/>
  <c r="DI13" i="7"/>
  <c r="DH13" i="7"/>
  <c r="DG13" i="7"/>
  <c r="DF13" i="7"/>
  <c r="DE13" i="7"/>
  <c r="DD13" i="7"/>
  <c r="DC13" i="7"/>
  <c r="DB13" i="7"/>
  <c r="DA13" i="7"/>
  <c r="CZ13" i="7"/>
  <c r="CY13" i="7"/>
  <c r="CX13" i="7"/>
  <c r="CW13" i="7"/>
  <c r="CV13" i="7"/>
  <c r="CU13" i="7"/>
  <c r="CT13" i="7"/>
  <c r="CS13" i="7"/>
  <c r="CR13" i="7"/>
  <c r="CQ13" i="7"/>
  <c r="CP13" i="7"/>
  <c r="CO13" i="7"/>
  <c r="CN13" i="7"/>
  <c r="CM13" i="7"/>
  <c r="CL13" i="7"/>
  <c r="CK13" i="7"/>
  <c r="CJ13" i="7"/>
  <c r="CI13" i="7"/>
  <c r="CH13" i="7"/>
  <c r="CG13" i="7"/>
  <c r="CF13" i="7"/>
  <c r="CE13" i="7"/>
  <c r="CD13" i="7"/>
  <c r="CC13" i="7"/>
  <c r="CB13" i="7"/>
  <c r="CA13" i="7"/>
  <c r="BZ13" i="7"/>
  <c r="BY13" i="7"/>
  <c r="BX13" i="7"/>
  <c r="BW13" i="7"/>
  <c r="BV13" i="7"/>
  <c r="BU13" i="7"/>
  <c r="BT13" i="7"/>
  <c r="BS13" i="7"/>
  <c r="BR13" i="7"/>
  <c r="BQ13" i="7"/>
  <c r="BP13" i="7"/>
  <c r="BO13" i="7"/>
  <c r="BN13" i="7"/>
  <c r="BM13" i="7"/>
  <c r="BL13" i="7"/>
  <c r="BK13" i="7"/>
  <c r="BJ13" i="7"/>
  <c r="BI13" i="7"/>
  <c r="BH13" i="7"/>
  <c r="BG13" i="7"/>
  <c r="BF13" i="7"/>
  <c r="BE13" i="7"/>
  <c r="BD13" i="7"/>
  <c r="BC13" i="7"/>
  <c r="BB13" i="7"/>
  <c r="BA13" i="7"/>
  <c r="AZ13" i="7"/>
  <c r="AY13" i="7"/>
  <c r="AX13" i="7"/>
  <c r="AW13" i="7"/>
  <c r="AV13" i="7"/>
  <c r="AU13" i="7"/>
  <c r="AT13" i="7"/>
  <c r="AS13" i="7"/>
  <c r="AR13" i="7"/>
  <c r="AQ13" i="7"/>
  <c r="AP13" i="7"/>
  <c r="AO13" i="7"/>
  <c r="AN13" i="7"/>
  <c r="AM13" i="7"/>
  <c r="AL13" i="7"/>
  <c r="AK13" i="7"/>
  <c r="AJ13" i="7"/>
  <c r="AI13" i="7"/>
  <c r="AH13" i="7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EF19" i="6"/>
  <c r="EE19" i="6"/>
  <c r="ED19" i="6"/>
  <c r="EC19" i="6"/>
  <c r="EB19" i="6"/>
  <c r="EA19" i="6"/>
  <c r="DZ19" i="6"/>
  <c r="DY19" i="6"/>
  <c r="DX19" i="6"/>
  <c r="DW19" i="6"/>
  <c r="DV19" i="6"/>
  <c r="DU19" i="6"/>
  <c r="DT19" i="6"/>
  <c r="DS19" i="6"/>
  <c r="DR19" i="6"/>
  <c r="DQ19" i="6"/>
  <c r="DP19" i="6"/>
  <c r="DO19" i="6"/>
  <c r="DN19" i="6"/>
  <c r="DM19" i="6"/>
  <c r="DL19" i="6"/>
  <c r="DK19" i="6"/>
  <c r="DJ19" i="6"/>
  <c r="DI19" i="6"/>
  <c r="DH19" i="6"/>
  <c r="DG19" i="6"/>
  <c r="DF19" i="6"/>
  <c r="DE19" i="6"/>
  <c r="DD19" i="6"/>
  <c r="DC19" i="6"/>
  <c r="DB19" i="6"/>
  <c r="DA19" i="6"/>
  <c r="CZ19" i="6"/>
  <c r="CY19" i="6"/>
  <c r="CX19" i="6"/>
  <c r="CW19" i="6"/>
  <c r="CV19" i="6"/>
  <c r="CU19" i="6"/>
  <c r="CT19" i="6"/>
  <c r="CS19" i="6"/>
  <c r="CR19" i="6"/>
  <c r="CQ19" i="6"/>
  <c r="CP19" i="6"/>
  <c r="CO19" i="6"/>
  <c r="CN19" i="6"/>
  <c r="CM19" i="6"/>
  <c r="CL19" i="6"/>
  <c r="CK19" i="6"/>
  <c r="CJ19" i="6"/>
  <c r="CI19" i="6"/>
  <c r="CH19" i="6"/>
  <c r="CG19" i="6"/>
  <c r="CF19" i="6"/>
  <c r="CE19" i="6"/>
  <c r="CD19" i="6"/>
  <c r="CC19" i="6"/>
  <c r="CB19" i="6"/>
  <c r="CA19" i="6"/>
  <c r="BZ19" i="6"/>
  <c r="BY19" i="6"/>
  <c r="BX19" i="6"/>
  <c r="BW19" i="6"/>
  <c r="BV19" i="6"/>
  <c r="BU19" i="6"/>
  <c r="BT19" i="6"/>
  <c r="BS19" i="6"/>
  <c r="BR19" i="6"/>
  <c r="BQ19" i="6"/>
  <c r="BP19" i="6"/>
  <c r="BO19" i="6"/>
  <c r="BN19" i="6"/>
  <c r="BM19" i="6"/>
  <c r="BL19" i="6"/>
  <c r="BK19" i="6"/>
  <c r="BJ19" i="6"/>
  <c r="BI19" i="6"/>
  <c r="BH19" i="6"/>
  <c r="BG19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EF18" i="6"/>
  <c r="EE18" i="6"/>
  <c r="ED18" i="6"/>
  <c r="EC18" i="6"/>
  <c r="EB18" i="6"/>
  <c r="EA18" i="6"/>
  <c r="DZ18" i="6"/>
  <c r="DY18" i="6"/>
  <c r="DX18" i="6"/>
  <c r="DW18" i="6"/>
  <c r="DV18" i="6"/>
  <c r="DU18" i="6"/>
  <c r="DT18" i="6"/>
  <c r="DS18" i="6"/>
  <c r="DR18" i="6"/>
  <c r="DQ18" i="6"/>
  <c r="DP18" i="6"/>
  <c r="DO18" i="6"/>
  <c r="DN18" i="6"/>
  <c r="DM18" i="6"/>
  <c r="DL18" i="6"/>
  <c r="DK18" i="6"/>
  <c r="DJ18" i="6"/>
  <c r="DI18" i="6"/>
  <c r="DH18" i="6"/>
  <c r="DG18" i="6"/>
  <c r="DF18" i="6"/>
  <c r="DE18" i="6"/>
  <c r="DD18" i="6"/>
  <c r="DC18" i="6"/>
  <c r="DB18" i="6"/>
  <c r="DA18" i="6"/>
  <c r="CZ18" i="6"/>
  <c r="CY18" i="6"/>
  <c r="CX18" i="6"/>
  <c r="CW18" i="6"/>
  <c r="CV18" i="6"/>
  <c r="CU18" i="6"/>
  <c r="CT18" i="6"/>
  <c r="CS18" i="6"/>
  <c r="CR18" i="6"/>
  <c r="CQ18" i="6"/>
  <c r="CP18" i="6"/>
  <c r="CO18" i="6"/>
  <c r="CN18" i="6"/>
  <c r="CM18" i="6"/>
  <c r="CL18" i="6"/>
  <c r="CK18" i="6"/>
  <c r="CJ18" i="6"/>
  <c r="CI18" i="6"/>
  <c r="CH18" i="6"/>
  <c r="CG18" i="6"/>
  <c r="CF18" i="6"/>
  <c r="CE18" i="6"/>
  <c r="CD18" i="6"/>
  <c r="CC18" i="6"/>
  <c r="CB18" i="6"/>
  <c r="CA18" i="6"/>
  <c r="BZ18" i="6"/>
  <c r="BY18" i="6"/>
  <c r="BX18" i="6"/>
  <c r="BW18" i="6"/>
  <c r="BV18" i="6"/>
  <c r="BU18" i="6"/>
  <c r="BT18" i="6"/>
  <c r="BS18" i="6"/>
  <c r="BR18" i="6"/>
  <c r="BQ18" i="6"/>
  <c r="BP18" i="6"/>
  <c r="BO18" i="6"/>
  <c r="BN18" i="6"/>
  <c r="BM18" i="6"/>
  <c r="BL18" i="6"/>
  <c r="BK18" i="6"/>
  <c r="BJ18" i="6"/>
  <c r="BI18" i="6"/>
  <c r="BH18" i="6"/>
  <c r="BG18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EF17" i="6"/>
  <c r="EE17" i="6"/>
  <c r="ED17" i="6"/>
  <c r="EC17" i="6"/>
  <c r="EB17" i="6"/>
  <c r="EA17" i="6"/>
  <c r="DZ17" i="6"/>
  <c r="DY17" i="6"/>
  <c r="DX17" i="6"/>
  <c r="DW17" i="6"/>
  <c r="DV17" i="6"/>
  <c r="DU17" i="6"/>
  <c r="DT17" i="6"/>
  <c r="DS17" i="6"/>
  <c r="DR17" i="6"/>
  <c r="DQ17" i="6"/>
  <c r="DP17" i="6"/>
  <c r="DO17" i="6"/>
  <c r="DN17" i="6"/>
  <c r="DM17" i="6"/>
  <c r="DL17" i="6"/>
  <c r="DK17" i="6"/>
  <c r="DJ17" i="6"/>
  <c r="DI17" i="6"/>
  <c r="DH17" i="6"/>
  <c r="DG17" i="6"/>
  <c r="DF17" i="6"/>
  <c r="DE17" i="6"/>
  <c r="DD17" i="6"/>
  <c r="DC17" i="6"/>
  <c r="DB17" i="6"/>
  <c r="DA17" i="6"/>
  <c r="CZ17" i="6"/>
  <c r="CY17" i="6"/>
  <c r="CX17" i="6"/>
  <c r="CW17" i="6"/>
  <c r="CV17" i="6"/>
  <c r="CU17" i="6"/>
  <c r="CT17" i="6"/>
  <c r="CS17" i="6"/>
  <c r="CR17" i="6"/>
  <c r="CQ17" i="6"/>
  <c r="CP17" i="6"/>
  <c r="CO17" i="6"/>
  <c r="CN17" i="6"/>
  <c r="CM17" i="6"/>
  <c r="CL17" i="6"/>
  <c r="CK17" i="6"/>
  <c r="CJ17" i="6"/>
  <c r="CI17" i="6"/>
  <c r="CH17" i="6"/>
  <c r="CG17" i="6"/>
  <c r="CF17" i="6"/>
  <c r="CE17" i="6"/>
  <c r="CD17" i="6"/>
  <c r="CC17" i="6"/>
  <c r="CB17" i="6"/>
  <c r="CA17" i="6"/>
  <c r="BZ17" i="6"/>
  <c r="BY17" i="6"/>
  <c r="BX17" i="6"/>
  <c r="BW17" i="6"/>
  <c r="BV17" i="6"/>
  <c r="BU17" i="6"/>
  <c r="BT17" i="6"/>
  <c r="BS17" i="6"/>
  <c r="BR17" i="6"/>
  <c r="BQ17" i="6"/>
  <c r="BP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EF15" i="6"/>
  <c r="EE15" i="6"/>
  <c r="ED15" i="6"/>
  <c r="EC15" i="6"/>
  <c r="EB15" i="6"/>
  <c r="EA15" i="6"/>
  <c r="DZ15" i="6"/>
  <c r="DY15" i="6"/>
  <c r="DX15" i="6"/>
  <c r="DW15" i="6"/>
  <c r="DV15" i="6"/>
  <c r="DU15" i="6"/>
  <c r="DT15" i="6"/>
  <c r="DS15" i="6"/>
  <c r="DR15" i="6"/>
  <c r="DQ15" i="6"/>
  <c r="DP15" i="6"/>
  <c r="DO15" i="6"/>
  <c r="DN15" i="6"/>
  <c r="DM15" i="6"/>
  <c r="DL15" i="6"/>
  <c r="DK15" i="6"/>
  <c r="DJ15" i="6"/>
  <c r="DI15" i="6"/>
  <c r="DH15" i="6"/>
  <c r="DG15" i="6"/>
  <c r="DF15" i="6"/>
  <c r="DE15" i="6"/>
  <c r="DD15" i="6"/>
  <c r="DC15" i="6"/>
  <c r="DB15" i="6"/>
  <c r="DA15" i="6"/>
  <c r="CZ15" i="6"/>
  <c r="CY15" i="6"/>
  <c r="CX15" i="6"/>
  <c r="CW15" i="6"/>
  <c r="CV15" i="6"/>
  <c r="CU15" i="6"/>
  <c r="CT15" i="6"/>
  <c r="CS15" i="6"/>
  <c r="CR15" i="6"/>
  <c r="CQ15" i="6"/>
  <c r="CP15" i="6"/>
  <c r="CO15" i="6"/>
  <c r="CN15" i="6"/>
  <c r="CM15" i="6"/>
  <c r="CL15" i="6"/>
  <c r="CK15" i="6"/>
  <c r="CJ15" i="6"/>
  <c r="CI15" i="6"/>
  <c r="CH15" i="6"/>
  <c r="CG15" i="6"/>
  <c r="CF15" i="6"/>
  <c r="CE15" i="6"/>
  <c r="CD15" i="6"/>
  <c r="CC15" i="6"/>
  <c r="CB15" i="6"/>
  <c r="CA15" i="6"/>
  <c r="BZ15" i="6"/>
  <c r="BY15" i="6"/>
  <c r="BX15" i="6"/>
  <c r="BW15" i="6"/>
  <c r="BV15" i="6"/>
  <c r="BU15" i="6"/>
  <c r="BT15" i="6"/>
  <c r="BS15" i="6"/>
  <c r="BR15" i="6"/>
  <c r="BQ15" i="6"/>
  <c r="BP15" i="6"/>
  <c r="BO15" i="6"/>
  <c r="BN15" i="6"/>
  <c r="BM15" i="6"/>
  <c r="BL15" i="6"/>
  <c r="BK15" i="6"/>
  <c r="BJ15" i="6"/>
  <c r="BI15" i="6"/>
  <c r="BH15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EF14" i="6"/>
  <c r="EE14" i="6"/>
  <c r="ED14" i="6"/>
  <c r="EC14" i="6"/>
  <c r="EB14" i="6"/>
  <c r="EA14" i="6"/>
  <c r="DZ14" i="6"/>
  <c r="DY14" i="6"/>
  <c r="DX14" i="6"/>
  <c r="DW14" i="6"/>
  <c r="DV14" i="6"/>
  <c r="DU14" i="6"/>
  <c r="DT14" i="6"/>
  <c r="DS14" i="6"/>
  <c r="DR14" i="6"/>
  <c r="DQ14" i="6"/>
  <c r="DP14" i="6"/>
  <c r="DO14" i="6"/>
  <c r="DN14" i="6"/>
  <c r="DM14" i="6"/>
  <c r="DL14" i="6"/>
  <c r="DK14" i="6"/>
  <c r="DJ14" i="6"/>
  <c r="DI14" i="6"/>
  <c r="DH14" i="6"/>
  <c r="DG14" i="6"/>
  <c r="DF14" i="6"/>
  <c r="DE14" i="6"/>
  <c r="DD14" i="6"/>
  <c r="DC14" i="6"/>
  <c r="DB14" i="6"/>
  <c r="DA14" i="6"/>
  <c r="CZ14" i="6"/>
  <c r="CY14" i="6"/>
  <c r="CX14" i="6"/>
  <c r="CW14" i="6"/>
  <c r="CV14" i="6"/>
  <c r="CU14" i="6"/>
  <c r="CT14" i="6"/>
  <c r="CS14" i="6"/>
  <c r="CR14" i="6"/>
  <c r="CQ14" i="6"/>
  <c r="CP14" i="6"/>
  <c r="CO14" i="6"/>
  <c r="CN14" i="6"/>
  <c r="CM14" i="6"/>
  <c r="CL14" i="6"/>
  <c r="CK14" i="6"/>
  <c r="CJ14" i="6"/>
  <c r="CI14" i="6"/>
  <c r="CH14" i="6"/>
  <c r="CG14" i="6"/>
  <c r="CF14" i="6"/>
  <c r="CE14" i="6"/>
  <c r="CD14" i="6"/>
  <c r="CC14" i="6"/>
  <c r="CB14" i="6"/>
  <c r="CA14" i="6"/>
  <c r="BZ14" i="6"/>
  <c r="BY14" i="6"/>
  <c r="BX14" i="6"/>
  <c r="BW14" i="6"/>
  <c r="BV14" i="6"/>
  <c r="BU14" i="6"/>
  <c r="BT14" i="6"/>
  <c r="BS14" i="6"/>
  <c r="BR14" i="6"/>
  <c r="BQ14" i="6"/>
  <c r="BP14" i="6"/>
  <c r="BO14" i="6"/>
  <c r="BN14" i="6"/>
  <c r="BM14" i="6"/>
  <c r="BL14" i="6"/>
  <c r="BK14" i="6"/>
  <c r="BJ14" i="6"/>
  <c r="BI14" i="6"/>
  <c r="BH14" i="6"/>
  <c r="BG14" i="6"/>
  <c r="BF14" i="6"/>
  <c r="BE14" i="6"/>
  <c r="BD14" i="6"/>
  <c r="BC14" i="6"/>
  <c r="BB14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EF13" i="6"/>
  <c r="EE13" i="6"/>
  <c r="ED13" i="6"/>
  <c r="EC13" i="6"/>
  <c r="EB13" i="6"/>
  <c r="EA13" i="6"/>
  <c r="DZ13" i="6"/>
  <c r="DY13" i="6"/>
  <c r="DX13" i="6"/>
  <c r="DW13" i="6"/>
  <c r="DV13" i="6"/>
  <c r="DU13" i="6"/>
  <c r="DT13" i="6"/>
  <c r="DS13" i="6"/>
  <c r="DR13" i="6"/>
  <c r="DQ13" i="6"/>
  <c r="DP13" i="6"/>
  <c r="DO13" i="6"/>
  <c r="DN13" i="6"/>
  <c r="DM13" i="6"/>
  <c r="DL13" i="6"/>
  <c r="DK13" i="6"/>
  <c r="DJ13" i="6"/>
  <c r="DI13" i="6"/>
  <c r="DH13" i="6"/>
  <c r="DG13" i="6"/>
  <c r="DF13" i="6"/>
  <c r="DE13" i="6"/>
  <c r="DD13" i="6"/>
  <c r="DC13" i="6"/>
  <c r="DB13" i="6"/>
  <c r="DA13" i="6"/>
  <c r="CZ13" i="6"/>
  <c r="CY13" i="6"/>
  <c r="CX13" i="6"/>
  <c r="CW13" i="6"/>
  <c r="CV13" i="6"/>
  <c r="CU13" i="6"/>
  <c r="CT13" i="6"/>
  <c r="CS13" i="6"/>
  <c r="CR13" i="6"/>
  <c r="CQ13" i="6"/>
  <c r="CP13" i="6"/>
  <c r="CO13" i="6"/>
  <c r="CN13" i="6"/>
  <c r="CM13" i="6"/>
  <c r="CL13" i="6"/>
  <c r="CK13" i="6"/>
  <c r="CJ13" i="6"/>
  <c r="CI13" i="6"/>
  <c r="CH13" i="6"/>
  <c r="CG13" i="6"/>
  <c r="CF13" i="6"/>
  <c r="CE13" i="6"/>
  <c r="CD13" i="6"/>
  <c r="CC13" i="6"/>
  <c r="CB13" i="6"/>
  <c r="CA13" i="6"/>
  <c r="BZ13" i="6"/>
  <c r="BY13" i="6"/>
  <c r="BX13" i="6"/>
  <c r="BW13" i="6"/>
  <c r="BV13" i="6"/>
  <c r="BU13" i="6"/>
  <c r="BT13" i="6"/>
  <c r="BS13" i="6"/>
  <c r="BR13" i="6"/>
  <c r="BQ13" i="6"/>
  <c r="BP13" i="6"/>
  <c r="BO13" i="6"/>
  <c r="BN13" i="6"/>
  <c r="BM13" i="6"/>
  <c r="BL13" i="6"/>
  <c r="BK13" i="6"/>
  <c r="BJ13" i="6"/>
  <c r="BI13" i="6"/>
  <c r="BH13" i="6"/>
  <c r="BG13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E25" i="5"/>
  <c r="F25" i="5" s="1"/>
  <c r="G25" i="5" s="1"/>
  <c r="H25" i="5" s="1"/>
  <c r="I25" i="5" s="1"/>
  <c r="J25" i="5" s="1"/>
  <c r="K25" i="5" s="1"/>
  <c r="L25" i="5" s="1"/>
  <c r="M25" i="5" s="1"/>
  <c r="N25" i="5" s="1"/>
  <c r="O25" i="5" s="1"/>
  <c r="P25" i="5" s="1"/>
  <c r="Q25" i="5" s="1"/>
  <c r="R25" i="5" s="1"/>
  <c r="S25" i="5" s="1"/>
  <c r="T25" i="5" s="1"/>
  <c r="U25" i="5" s="1"/>
  <c r="V25" i="5" s="1"/>
  <c r="W25" i="5" s="1"/>
  <c r="X25" i="5" s="1"/>
  <c r="Y25" i="5" s="1"/>
  <c r="Z25" i="5" s="1"/>
  <c r="AA25" i="5" s="1"/>
  <c r="AB25" i="5" s="1"/>
  <c r="AC25" i="5" s="1"/>
  <c r="AD25" i="5" s="1"/>
  <c r="AE25" i="5" s="1"/>
  <c r="AF25" i="5" s="1"/>
  <c r="AG25" i="5" s="1"/>
  <c r="AH25" i="5" s="1"/>
  <c r="AI25" i="5" s="1"/>
  <c r="AJ25" i="5" s="1"/>
  <c r="AK25" i="5" s="1"/>
  <c r="AL25" i="5" s="1"/>
  <c r="AM25" i="5" s="1"/>
  <c r="AN25" i="5" s="1"/>
  <c r="AO25" i="5" s="1"/>
  <c r="AP25" i="5" s="1"/>
  <c r="AQ25" i="5" s="1"/>
  <c r="AR25" i="5" s="1"/>
  <c r="AS25" i="5" s="1"/>
  <c r="AT25" i="5" s="1"/>
  <c r="AU25" i="5" s="1"/>
  <c r="AV25" i="5" s="1"/>
  <c r="AW25" i="5" s="1"/>
  <c r="AX25" i="5" s="1"/>
  <c r="AY25" i="5" s="1"/>
  <c r="AZ25" i="5" s="1"/>
  <c r="BA25" i="5" s="1"/>
  <c r="BB25" i="5" s="1"/>
  <c r="BC25" i="5" s="1"/>
  <c r="BD25" i="5" s="1"/>
  <c r="BE25" i="5" s="1"/>
  <c r="BF25" i="5" s="1"/>
  <c r="BG25" i="5" s="1"/>
  <c r="BH25" i="5" s="1"/>
  <c r="BI25" i="5" s="1"/>
  <c r="BJ25" i="5" s="1"/>
  <c r="BK25" i="5" s="1"/>
  <c r="BL25" i="5" s="1"/>
  <c r="BM25" i="5" s="1"/>
  <c r="BN25" i="5" s="1"/>
  <c r="BO25" i="5" s="1"/>
  <c r="BP25" i="5" s="1"/>
  <c r="BQ25" i="5" s="1"/>
  <c r="BR25" i="5" s="1"/>
  <c r="BS25" i="5" s="1"/>
  <c r="BT25" i="5" s="1"/>
  <c r="BU25" i="5" s="1"/>
  <c r="BV25" i="5" s="1"/>
  <c r="BW25" i="5" s="1"/>
  <c r="BX25" i="5" s="1"/>
  <c r="BY25" i="5" s="1"/>
  <c r="BZ25" i="5" s="1"/>
  <c r="CA25" i="5" s="1"/>
  <c r="CB25" i="5" s="1"/>
  <c r="CC25" i="5" s="1"/>
  <c r="CD25" i="5" s="1"/>
  <c r="CE25" i="5" s="1"/>
  <c r="CF25" i="5" s="1"/>
  <c r="CG25" i="5" s="1"/>
  <c r="CH25" i="5" s="1"/>
  <c r="CI25" i="5" s="1"/>
  <c r="CJ25" i="5" s="1"/>
  <c r="CK25" i="5" s="1"/>
  <c r="CL25" i="5" s="1"/>
  <c r="CM25" i="5" s="1"/>
  <c r="CN25" i="5" s="1"/>
  <c r="CO25" i="5" s="1"/>
  <c r="CP25" i="5" s="1"/>
  <c r="CQ25" i="5" s="1"/>
  <c r="CR25" i="5" s="1"/>
  <c r="CS25" i="5" s="1"/>
  <c r="CT25" i="5" s="1"/>
  <c r="CU25" i="5" s="1"/>
  <c r="CV25" i="5" s="1"/>
  <c r="CW25" i="5" s="1"/>
  <c r="CX25" i="5" s="1"/>
  <c r="CY25" i="5" s="1"/>
  <c r="CZ25" i="5" s="1"/>
  <c r="DA25" i="5" s="1"/>
  <c r="DB25" i="5" s="1"/>
  <c r="DC25" i="5" s="1"/>
  <c r="DD25" i="5" s="1"/>
  <c r="DE25" i="5" s="1"/>
  <c r="DF25" i="5" s="1"/>
  <c r="DG25" i="5" s="1"/>
  <c r="DH25" i="5" s="1"/>
  <c r="DI25" i="5" s="1"/>
  <c r="DJ25" i="5" s="1"/>
  <c r="DK25" i="5" s="1"/>
  <c r="DL25" i="5" s="1"/>
  <c r="DM25" i="5" s="1"/>
  <c r="DN25" i="5" s="1"/>
  <c r="DO25" i="5" s="1"/>
  <c r="DP25" i="5" s="1"/>
  <c r="DQ25" i="5" s="1"/>
  <c r="DR25" i="5" s="1"/>
  <c r="DS25" i="5" s="1"/>
  <c r="DT25" i="5" s="1"/>
  <c r="DU25" i="5" s="1"/>
  <c r="DV25" i="5" s="1"/>
  <c r="DW25" i="5" s="1"/>
  <c r="DX25" i="5" s="1"/>
  <c r="DY25" i="5" s="1"/>
  <c r="DZ25" i="5" s="1"/>
  <c r="EA25" i="5" s="1"/>
  <c r="EB25" i="5" s="1"/>
  <c r="EC25" i="5" s="1"/>
  <c r="ED25" i="5" s="1"/>
  <c r="EE25" i="5" s="1"/>
  <c r="EF25" i="5" s="1"/>
  <c r="D25" i="5"/>
  <c r="O25" i="4"/>
  <c r="P25" i="4" s="1"/>
  <c r="Q25" i="4" s="1"/>
  <c r="R25" i="4" s="1"/>
  <c r="S25" i="4" s="1"/>
  <c r="T25" i="4" s="1"/>
  <c r="U25" i="4" s="1"/>
  <c r="V25" i="4" s="1"/>
  <c r="W25" i="4" s="1"/>
  <c r="X25" i="4" s="1"/>
  <c r="Y25" i="4" s="1"/>
  <c r="Z25" i="4" s="1"/>
  <c r="AA25" i="4" s="1"/>
  <c r="AB25" i="4" s="1"/>
  <c r="AC25" i="4" s="1"/>
  <c r="AD25" i="4" s="1"/>
  <c r="AE25" i="4" s="1"/>
  <c r="AF25" i="4" s="1"/>
  <c r="AG25" i="4" s="1"/>
  <c r="AH25" i="4" s="1"/>
  <c r="AI25" i="4" s="1"/>
  <c r="AJ25" i="4" s="1"/>
  <c r="AK25" i="4" s="1"/>
  <c r="AL25" i="4" s="1"/>
  <c r="AM25" i="4" s="1"/>
  <c r="AN25" i="4" s="1"/>
  <c r="AO25" i="4" s="1"/>
  <c r="AP25" i="4" s="1"/>
  <c r="AQ25" i="4" s="1"/>
  <c r="AR25" i="4" s="1"/>
  <c r="AS25" i="4" s="1"/>
  <c r="AT25" i="4" s="1"/>
  <c r="AU25" i="4" s="1"/>
  <c r="AV25" i="4" s="1"/>
  <c r="AW25" i="4" s="1"/>
  <c r="AX25" i="4" s="1"/>
  <c r="AY25" i="4" s="1"/>
  <c r="AZ25" i="4" s="1"/>
  <c r="BA25" i="4" s="1"/>
  <c r="BB25" i="4" s="1"/>
  <c r="BC25" i="4" s="1"/>
  <c r="BD25" i="4" s="1"/>
  <c r="BE25" i="4" s="1"/>
  <c r="BF25" i="4" s="1"/>
  <c r="BG25" i="4" s="1"/>
  <c r="BH25" i="4" s="1"/>
  <c r="BI25" i="4" s="1"/>
  <c r="BJ25" i="4" s="1"/>
  <c r="BK25" i="4" s="1"/>
  <c r="BL25" i="4" s="1"/>
  <c r="BM25" i="4" s="1"/>
  <c r="BN25" i="4" s="1"/>
  <c r="BO25" i="4" s="1"/>
  <c r="BP25" i="4" s="1"/>
  <c r="BQ25" i="4" s="1"/>
  <c r="BR25" i="4" s="1"/>
  <c r="BS25" i="4" s="1"/>
  <c r="BT25" i="4" s="1"/>
  <c r="BU25" i="4" s="1"/>
  <c r="BV25" i="4" s="1"/>
  <c r="BW25" i="4" s="1"/>
  <c r="BX25" i="4" s="1"/>
  <c r="BY25" i="4" s="1"/>
  <c r="BZ25" i="4" s="1"/>
  <c r="CA25" i="4" s="1"/>
  <c r="CB25" i="4" s="1"/>
  <c r="CC25" i="4" s="1"/>
  <c r="CD25" i="4" s="1"/>
  <c r="CE25" i="4" s="1"/>
  <c r="CF25" i="4" s="1"/>
  <c r="CG25" i="4" s="1"/>
  <c r="CH25" i="4" s="1"/>
  <c r="CI25" i="4" s="1"/>
  <c r="CJ25" i="4" s="1"/>
  <c r="CK25" i="4" s="1"/>
  <c r="CL25" i="4" s="1"/>
  <c r="CM25" i="4" s="1"/>
  <c r="CN25" i="4" s="1"/>
  <c r="CO25" i="4" s="1"/>
  <c r="CP25" i="4" s="1"/>
  <c r="CQ25" i="4" s="1"/>
  <c r="CR25" i="4" s="1"/>
  <c r="CS25" i="4" s="1"/>
  <c r="CT25" i="4" s="1"/>
  <c r="CU25" i="4" s="1"/>
  <c r="CV25" i="4" s="1"/>
  <c r="CW25" i="4" s="1"/>
  <c r="CX25" i="4" s="1"/>
  <c r="CY25" i="4" s="1"/>
  <c r="CZ25" i="4" s="1"/>
  <c r="DA25" i="4" s="1"/>
  <c r="DB25" i="4" s="1"/>
  <c r="DC25" i="4" s="1"/>
  <c r="DD25" i="4" s="1"/>
  <c r="DE25" i="4" s="1"/>
  <c r="DF25" i="4" s="1"/>
  <c r="DG25" i="4" s="1"/>
  <c r="DH25" i="4" s="1"/>
  <c r="DI25" i="4" s="1"/>
  <c r="DJ25" i="4" s="1"/>
  <c r="DK25" i="4" s="1"/>
  <c r="DL25" i="4" s="1"/>
  <c r="DM25" i="4" s="1"/>
  <c r="DN25" i="4" s="1"/>
  <c r="DO25" i="4" s="1"/>
  <c r="DP25" i="4" s="1"/>
  <c r="DQ25" i="4" s="1"/>
  <c r="DR25" i="4" s="1"/>
  <c r="DS25" i="4" s="1"/>
  <c r="DT25" i="4" s="1"/>
  <c r="DU25" i="4" s="1"/>
  <c r="DV25" i="4" s="1"/>
  <c r="DW25" i="4" s="1"/>
  <c r="DX25" i="4" s="1"/>
  <c r="DY25" i="4" s="1"/>
  <c r="DZ25" i="4" s="1"/>
  <c r="EA25" i="4" s="1"/>
  <c r="EB25" i="4" s="1"/>
  <c r="EC25" i="4" s="1"/>
  <c r="ED25" i="4" s="1"/>
  <c r="EE25" i="4" s="1"/>
  <c r="EF25" i="4" s="1"/>
  <c r="L25" i="4"/>
  <c r="M25" i="4" s="1"/>
  <c r="N25" i="4" s="1"/>
  <c r="D25" i="4"/>
  <c r="E25" i="4" s="1"/>
  <c r="F25" i="4" s="1"/>
  <c r="G25" i="4" s="1"/>
  <c r="H25" i="4" s="1"/>
  <c r="I25" i="4" s="1"/>
  <c r="J25" i="4" s="1"/>
  <c r="K25" i="4" s="1"/>
  <c r="D24" i="4"/>
  <c r="E24" i="4" s="1"/>
  <c r="F24" i="4" s="1"/>
  <c r="G24" i="4" s="1"/>
  <c r="H24" i="4" s="1"/>
  <c r="I24" i="4" s="1"/>
  <c r="J24" i="4" s="1"/>
  <c r="K24" i="4" s="1"/>
  <c r="L24" i="4" s="1"/>
  <c r="M24" i="4" s="1"/>
  <c r="N24" i="4" s="1"/>
  <c r="O24" i="4" s="1"/>
  <c r="P24" i="4" s="1"/>
  <c r="Q24" i="4" s="1"/>
  <c r="R24" i="4" s="1"/>
  <c r="S24" i="4" s="1"/>
  <c r="T24" i="4" s="1"/>
  <c r="U24" i="4" s="1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AF24" i="4" s="1"/>
  <c r="AG24" i="4" s="1"/>
  <c r="AH24" i="4" s="1"/>
  <c r="AI24" i="4" s="1"/>
  <c r="AJ24" i="4" s="1"/>
  <c r="AK24" i="4" s="1"/>
  <c r="AL24" i="4" s="1"/>
  <c r="AM24" i="4" s="1"/>
  <c r="AN24" i="4" s="1"/>
  <c r="AO24" i="4" s="1"/>
  <c r="AP24" i="4" s="1"/>
  <c r="AQ24" i="4" s="1"/>
  <c r="AR24" i="4" s="1"/>
  <c r="AS24" i="4" s="1"/>
  <c r="AT24" i="4" s="1"/>
  <c r="AU24" i="4" s="1"/>
  <c r="AV24" i="4" s="1"/>
  <c r="AW24" i="4" s="1"/>
  <c r="AX24" i="4" s="1"/>
  <c r="AY24" i="4" s="1"/>
  <c r="AZ24" i="4" s="1"/>
  <c r="BA24" i="4" s="1"/>
  <c r="BB24" i="4" s="1"/>
  <c r="BC24" i="4" s="1"/>
  <c r="BD24" i="4" s="1"/>
  <c r="BE24" i="4" s="1"/>
  <c r="BF24" i="4" s="1"/>
  <c r="BG24" i="4" s="1"/>
  <c r="BH24" i="4" s="1"/>
  <c r="BI24" i="4" s="1"/>
  <c r="BJ24" i="4" s="1"/>
  <c r="BK24" i="4" s="1"/>
  <c r="BL24" i="4" s="1"/>
  <c r="BM24" i="4" s="1"/>
  <c r="BN24" i="4" s="1"/>
  <c r="BO24" i="4" s="1"/>
  <c r="BP24" i="4" s="1"/>
  <c r="BQ24" i="4" s="1"/>
  <c r="BR24" i="4" s="1"/>
  <c r="BS24" i="4" s="1"/>
  <c r="BT24" i="4" s="1"/>
  <c r="BU24" i="4" s="1"/>
  <c r="BV24" i="4" s="1"/>
  <c r="BW24" i="4" s="1"/>
  <c r="BX24" i="4" s="1"/>
  <c r="BY24" i="4" s="1"/>
  <c r="BZ24" i="4" s="1"/>
  <c r="CA24" i="4" s="1"/>
  <c r="CB24" i="4" s="1"/>
  <c r="CC24" i="4" s="1"/>
  <c r="CD24" i="4" s="1"/>
  <c r="CE24" i="4" s="1"/>
  <c r="CF24" i="4" s="1"/>
  <c r="CG24" i="4" s="1"/>
  <c r="CH24" i="4" s="1"/>
  <c r="CI24" i="4" s="1"/>
  <c r="CJ24" i="4" s="1"/>
  <c r="CK24" i="4" s="1"/>
  <c r="CL24" i="4" s="1"/>
  <c r="CM24" i="4" s="1"/>
  <c r="CN24" i="4" s="1"/>
  <c r="CO24" i="4" s="1"/>
  <c r="CP24" i="4" s="1"/>
  <c r="CQ24" i="4" s="1"/>
  <c r="CR24" i="4" s="1"/>
  <c r="CS24" i="4" s="1"/>
  <c r="CT24" i="4" s="1"/>
  <c r="CU24" i="4" s="1"/>
  <c r="CV24" i="4" s="1"/>
  <c r="CW24" i="4" s="1"/>
  <c r="CX24" i="4" s="1"/>
  <c r="CY24" i="4" s="1"/>
  <c r="CZ24" i="4" s="1"/>
  <c r="DA24" i="4" s="1"/>
  <c r="DB24" i="4" s="1"/>
  <c r="DC24" i="4" s="1"/>
  <c r="DD24" i="4" s="1"/>
  <c r="DE24" i="4" s="1"/>
  <c r="DF24" i="4" s="1"/>
  <c r="DG24" i="4" s="1"/>
  <c r="DH24" i="4" s="1"/>
  <c r="DI24" i="4" s="1"/>
  <c r="DJ24" i="4" s="1"/>
  <c r="DK24" i="4" s="1"/>
  <c r="DL24" i="4" s="1"/>
  <c r="DM24" i="4" s="1"/>
  <c r="DN24" i="4" s="1"/>
  <c r="DO24" i="4" s="1"/>
  <c r="DP24" i="4" s="1"/>
  <c r="DQ24" i="4" s="1"/>
  <c r="DR24" i="4" s="1"/>
  <c r="DS24" i="4" s="1"/>
  <c r="DT24" i="4" s="1"/>
  <c r="DU24" i="4" s="1"/>
  <c r="DV24" i="4" s="1"/>
  <c r="DW24" i="4" s="1"/>
  <c r="DX24" i="4" s="1"/>
  <c r="DY24" i="4" s="1"/>
  <c r="DZ24" i="4" s="1"/>
  <c r="EA24" i="4" s="1"/>
  <c r="EB24" i="4" s="1"/>
  <c r="EC24" i="4" s="1"/>
  <c r="ED24" i="4" s="1"/>
  <c r="EE24" i="4" s="1"/>
  <c r="EF24" i="4" s="1"/>
  <c r="D23" i="4"/>
  <c r="E23" i="4" s="1"/>
  <c r="F23" i="4" s="1"/>
  <c r="G23" i="4" s="1"/>
  <c r="H23" i="4" s="1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CI23" i="4" s="1"/>
  <c r="CJ23" i="4" s="1"/>
  <c r="CK23" i="4" s="1"/>
  <c r="CL23" i="4" s="1"/>
  <c r="CM23" i="4" s="1"/>
  <c r="CN23" i="4" s="1"/>
  <c r="CO23" i="4" s="1"/>
  <c r="CP23" i="4" s="1"/>
  <c r="CQ23" i="4" s="1"/>
  <c r="CR23" i="4" s="1"/>
  <c r="CS23" i="4" s="1"/>
  <c r="CT23" i="4" s="1"/>
  <c r="CU23" i="4" s="1"/>
  <c r="CV23" i="4" s="1"/>
  <c r="CW23" i="4" s="1"/>
  <c r="CX23" i="4" s="1"/>
  <c r="CY23" i="4" s="1"/>
  <c r="CZ23" i="4" s="1"/>
  <c r="DA23" i="4" s="1"/>
  <c r="DB23" i="4" s="1"/>
  <c r="DC23" i="4" s="1"/>
  <c r="DD23" i="4" s="1"/>
  <c r="DE23" i="4" s="1"/>
  <c r="DF23" i="4" s="1"/>
  <c r="DG23" i="4" s="1"/>
  <c r="DH23" i="4" s="1"/>
  <c r="DI23" i="4" s="1"/>
  <c r="DJ23" i="4" s="1"/>
  <c r="DK23" i="4" s="1"/>
  <c r="DL23" i="4" s="1"/>
  <c r="DM23" i="4" s="1"/>
  <c r="DN23" i="4" s="1"/>
  <c r="DO23" i="4" s="1"/>
  <c r="DP23" i="4" s="1"/>
  <c r="DQ23" i="4" s="1"/>
  <c r="DR23" i="4" s="1"/>
  <c r="DS23" i="4" s="1"/>
  <c r="DT23" i="4" s="1"/>
  <c r="DU23" i="4" s="1"/>
  <c r="DV23" i="4" s="1"/>
  <c r="DW23" i="4" s="1"/>
  <c r="DX23" i="4" s="1"/>
  <c r="DY23" i="4" s="1"/>
  <c r="DZ23" i="4" s="1"/>
  <c r="EA23" i="4" s="1"/>
  <c r="EB23" i="4" s="1"/>
  <c r="EC23" i="4" s="1"/>
  <c r="ED23" i="4" s="1"/>
  <c r="EE23" i="4" s="1"/>
  <c r="EF23" i="4" s="1"/>
  <c r="E22" i="4"/>
  <c r="F22" i="4" s="1"/>
  <c r="G22" i="4" s="1"/>
  <c r="H22" i="4" s="1"/>
  <c r="I22" i="4" s="1"/>
  <c r="J22" i="4" s="1"/>
  <c r="K22" i="4" s="1"/>
  <c r="L22" i="4" s="1"/>
  <c r="M22" i="4" s="1"/>
  <c r="N22" i="4" s="1"/>
  <c r="O22" i="4" s="1"/>
  <c r="P22" i="4" s="1"/>
  <c r="Q22" i="4" s="1"/>
  <c r="R22" i="4" s="1"/>
  <c r="S22" i="4" s="1"/>
  <c r="T22" i="4" s="1"/>
  <c r="U22" i="4" s="1"/>
  <c r="V22" i="4" s="1"/>
  <c r="W22" i="4" s="1"/>
  <c r="X22" i="4" s="1"/>
  <c r="Y22" i="4" s="1"/>
  <c r="Z22" i="4" s="1"/>
  <c r="AA22" i="4" s="1"/>
  <c r="AB22" i="4" s="1"/>
  <c r="AC22" i="4" s="1"/>
  <c r="AD22" i="4" s="1"/>
  <c r="AE22" i="4" s="1"/>
  <c r="AF22" i="4" s="1"/>
  <c r="AG22" i="4" s="1"/>
  <c r="AH22" i="4" s="1"/>
  <c r="AI22" i="4" s="1"/>
  <c r="AJ22" i="4" s="1"/>
  <c r="AK22" i="4" s="1"/>
  <c r="AL22" i="4" s="1"/>
  <c r="AM22" i="4" s="1"/>
  <c r="AN22" i="4" s="1"/>
  <c r="AO22" i="4" s="1"/>
  <c r="AP22" i="4" s="1"/>
  <c r="AQ22" i="4" s="1"/>
  <c r="AR22" i="4" s="1"/>
  <c r="AS22" i="4" s="1"/>
  <c r="AT22" i="4" s="1"/>
  <c r="AU22" i="4" s="1"/>
  <c r="AV22" i="4" s="1"/>
  <c r="AW22" i="4" s="1"/>
  <c r="AX22" i="4" s="1"/>
  <c r="AY22" i="4" s="1"/>
  <c r="AZ22" i="4" s="1"/>
  <c r="BA22" i="4" s="1"/>
  <c r="BB22" i="4" s="1"/>
  <c r="BC22" i="4" s="1"/>
  <c r="BD22" i="4" s="1"/>
  <c r="BE22" i="4" s="1"/>
  <c r="BF22" i="4" s="1"/>
  <c r="BG22" i="4" s="1"/>
  <c r="BH22" i="4" s="1"/>
  <c r="BI22" i="4" s="1"/>
  <c r="BJ22" i="4" s="1"/>
  <c r="BK22" i="4" s="1"/>
  <c r="BL22" i="4" s="1"/>
  <c r="BM22" i="4" s="1"/>
  <c r="BN22" i="4" s="1"/>
  <c r="BO22" i="4" s="1"/>
  <c r="BP22" i="4" s="1"/>
  <c r="BQ22" i="4" s="1"/>
  <c r="BR22" i="4" s="1"/>
  <c r="BS22" i="4" s="1"/>
  <c r="BT22" i="4" s="1"/>
  <c r="BU22" i="4" s="1"/>
  <c r="BV22" i="4" s="1"/>
  <c r="BW22" i="4" s="1"/>
  <c r="BX22" i="4" s="1"/>
  <c r="BY22" i="4" s="1"/>
  <c r="BZ22" i="4" s="1"/>
  <c r="CA22" i="4" s="1"/>
  <c r="CB22" i="4" s="1"/>
  <c r="CC22" i="4" s="1"/>
  <c r="CD22" i="4" s="1"/>
  <c r="CE22" i="4" s="1"/>
  <c r="CF22" i="4" s="1"/>
  <c r="CG22" i="4" s="1"/>
  <c r="CH22" i="4" s="1"/>
  <c r="CI22" i="4" s="1"/>
  <c r="CJ22" i="4" s="1"/>
  <c r="CK22" i="4" s="1"/>
  <c r="CL22" i="4" s="1"/>
  <c r="CM22" i="4" s="1"/>
  <c r="CN22" i="4" s="1"/>
  <c r="CO22" i="4" s="1"/>
  <c r="CP22" i="4" s="1"/>
  <c r="CQ22" i="4" s="1"/>
  <c r="CR22" i="4" s="1"/>
  <c r="CS22" i="4" s="1"/>
  <c r="CT22" i="4" s="1"/>
  <c r="CU22" i="4" s="1"/>
  <c r="CV22" i="4" s="1"/>
  <c r="CW22" i="4" s="1"/>
  <c r="CX22" i="4" s="1"/>
  <c r="CY22" i="4" s="1"/>
  <c r="CZ22" i="4" s="1"/>
  <c r="DA22" i="4" s="1"/>
  <c r="DB22" i="4" s="1"/>
  <c r="DC22" i="4" s="1"/>
  <c r="DD22" i="4" s="1"/>
  <c r="DE22" i="4" s="1"/>
  <c r="DF22" i="4" s="1"/>
  <c r="DG22" i="4" s="1"/>
  <c r="DH22" i="4" s="1"/>
  <c r="DI22" i="4" s="1"/>
  <c r="DJ22" i="4" s="1"/>
  <c r="DK22" i="4" s="1"/>
  <c r="DL22" i="4" s="1"/>
  <c r="DM22" i="4" s="1"/>
  <c r="DN22" i="4" s="1"/>
  <c r="DO22" i="4" s="1"/>
  <c r="DP22" i="4" s="1"/>
  <c r="DQ22" i="4" s="1"/>
  <c r="DR22" i="4" s="1"/>
  <c r="DS22" i="4" s="1"/>
  <c r="DT22" i="4" s="1"/>
  <c r="DU22" i="4" s="1"/>
  <c r="DV22" i="4" s="1"/>
  <c r="DW22" i="4" s="1"/>
  <c r="DX22" i="4" s="1"/>
  <c r="DY22" i="4" s="1"/>
  <c r="DZ22" i="4" s="1"/>
  <c r="EA22" i="4" s="1"/>
  <c r="EB22" i="4" s="1"/>
  <c r="EC22" i="4" s="1"/>
  <c r="ED22" i="4" s="1"/>
  <c r="EE22" i="4" s="1"/>
  <c r="EF22" i="4" s="1"/>
  <c r="D22" i="4"/>
  <c r="D21" i="4"/>
  <c r="E21" i="4" s="1"/>
  <c r="F21" i="4" s="1"/>
  <c r="G21" i="4" s="1"/>
  <c r="H21" i="4" s="1"/>
  <c r="I21" i="4" s="1"/>
  <c r="J21" i="4" s="1"/>
  <c r="K21" i="4" s="1"/>
  <c r="L21" i="4" s="1"/>
  <c r="M21" i="4" s="1"/>
  <c r="N21" i="4" s="1"/>
  <c r="O21" i="4" s="1"/>
  <c r="P21" i="4" s="1"/>
  <c r="Q21" i="4" s="1"/>
  <c r="R21" i="4" s="1"/>
  <c r="S21" i="4" s="1"/>
  <c r="T21" i="4" s="1"/>
  <c r="U21" i="4" s="1"/>
  <c r="V21" i="4" s="1"/>
  <c r="W21" i="4" s="1"/>
  <c r="X21" i="4" s="1"/>
  <c r="Y21" i="4" s="1"/>
  <c r="Z21" i="4" s="1"/>
  <c r="AA21" i="4" s="1"/>
  <c r="AB21" i="4" s="1"/>
  <c r="AC21" i="4" s="1"/>
  <c r="AD21" i="4" s="1"/>
  <c r="AE21" i="4" s="1"/>
  <c r="AF21" i="4" s="1"/>
  <c r="AG21" i="4" s="1"/>
  <c r="AH21" i="4" s="1"/>
  <c r="AI21" i="4" s="1"/>
  <c r="AJ21" i="4" s="1"/>
  <c r="AK21" i="4" s="1"/>
  <c r="AL21" i="4" s="1"/>
  <c r="AM21" i="4" s="1"/>
  <c r="AN21" i="4" s="1"/>
  <c r="AO21" i="4" s="1"/>
  <c r="AP21" i="4" s="1"/>
  <c r="AQ21" i="4" s="1"/>
  <c r="AR21" i="4" s="1"/>
  <c r="AS21" i="4" s="1"/>
  <c r="AT21" i="4" s="1"/>
  <c r="AU21" i="4" s="1"/>
  <c r="AV21" i="4" s="1"/>
  <c r="AW21" i="4" s="1"/>
  <c r="AX21" i="4" s="1"/>
  <c r="AY21" i="4" s="1"/>
  <c r="AZ21" i="4" s="1"/>
  <c r="BA21" i="4" s="1"/>
  <c r="BB21" i="4" s="1"/>
  <c r="BC21" i="4" s="1"/>
  <c r="BD21" i="4" s="1"/>
  <c r="BE21" i="4" s="1"/>
  <c r="BF21" i="4" s="1"/>
  <c r="BG21" i="4" s="1"/>
  <c r="BH21" i="4" s="1"/>
  <c r="BI21" i="4" s="1"/>
  <c r="BJ21" i="4" s="1"/>
  <c r="BK21" i="4" s="1"/>
  <c r="BL21" i="4" s="1"/>
  <c r="BM21" i="4" s="1"/>
  <c r="BN21" i="4" s="1"/>
  <c r="BO21" i="4" s="1"/>
  <c r="BP21" i="4" s="1"/>
  <c r="BQ21" i="4" s="1"/>
  <c r="BR21" i="4" s="1"/>
  <c r="BS21" i="4" s="1"/>
  <c r="BT21" i="4" s="1"/>
  <c r="BU21" i="4" s="1"/>
  <c r="BV21" i="4" s="1"/>
  <c r="BW21" i="4" s="1"/>
  <c r="BX21" i="4" s="1"/>
  <c r="BY21" i="4" s="1"/>
  <c r="BZ21" i="4" s="1"/>
  <c r="CA21" i="4" s="1"/>
  <c r="CB21" i="4" s="1"/>
  <c r="CC21" i="4" s="1"/>
  <c r="CD21" i="4" s="1"/>
  <c r="CE21" i="4" s="1"/>
  <c r="CF21" i="4" s="1"/>
  <c r="CG21" i="4" s="1"/>
  <c r="CH21" i="4" s="1"/>
  <c r="CI21" i="4" s="1"/>
  <c r="CJ21" i="4" s="1"/>
  <c r="CK21" i="4" s="1"/>
  <c r="CL21" i="4" s="1"/>
  <c r="CM21" i="4" s="1"/>
  <c r="CN21" i="4" s="1"/>
  <c r="CO21" i="4" s="1"/>
  <c r="CP21" i="4" s="1"/>
  <c r="CQ21" i="4" s="1"/>
  <c r="CR21" i="4" s="1"/>
  <c r="CS21" i="4" s="1"/>
  <c r="CT21" i="4" s="1"/>
  <c r="CU21" i="4" s="1"/>
  <c r="CV21" i="4" s="1"/>
  <c r="CW21" i="4" s="1"/>
  <c r="CX21" i="4" s="1"/>
  <c r="CY21" i="4" s="1"/>
  <c r="CZ21" i="4" s="1"/>
  <c r="DA21" i="4" s="1"/>
  <c r="DB21" i="4" s="1"/>
  <c r="DC21" i="4" s="1"/>
  <c r="DD21" i="4" s="1"/>
  <c r="DE21" i="4" s="1"/>
  <c r="DF21" i="4" s="1"/>
  <c r="DG21" i="4" s="1"/>
  <c r="DH21" i="4" s="1"/>
  <c r="DI21" i="4" s="1"/>
  <c r="DJ21" i="4" s="1"/>
  <c r="DK21" i="4" s="1"/>
  <c r="DL21" i="4" s="1"/>
  <c r="DM21" i="4" s="1"/>
  <c r="DN21" i="4" s="1"/>
  <c r="DO21" i="4" s="1"/>
  <c r="DP21" i="4" s="1"/>
  <c r="DQ21" i="4" s="1"/>
  <c r="DR21" i="4" s="1"/>
  <c r="DS21" i="4" s="1"/>
  <c r="DT21" i="4" s="1"/>
  <c r="DU21" i="4" s="1"/>
  <c r="DV21" i="4" s="1"/>
  <c r="DW21" i="4" s="1"/>
  <c r="DX21" i="4" s="1"/>
  <c r="DY21" i="4" s="1"/>
  <c r="DZ21" i="4" s="1"/>
  <c r="EA21" i="4" s="1"/>
  <c r="EB21" i="4" s="1"/>
  <c r="EC21" i="4" s="1"/>
  <c r="ED21" i="4" s="1"/>
  <c r="EE21" i="4" s="1"/>
  <c r="EF21" i="4" s="1"/>
  <c r="M20" i="4"/>
  <c r="N20" i="4" s="1"/>
  <c r="O20" i="4" s="1"/>
  <c r="P20" i="4" s="1"/>
  <c r="Q20" i="4" s="1"/>
  <c r="R20" i="4" s="1"/>
  <c r="S20" i="4" s="1"/>
  <c r="T20" i="4" s="1"/>
  <c r="U20" i="4" s="1"/>
  <c r="V20" i="4" s="1"/>
  <c r="W20" i="4" s="1"/>
  <c r="X20" i="4" s="1"/>
  <c r="Y20" i="4" s="1"/>
  <c r="Z20" i="4" s="1"/>
  <c r="AA20" i="4" s="1"/>
  <c r="AB20" i="4" s="1"/>
  <c r="AC20" i="4" s="1"/>
  <c r="AD20" i="4" s="1"/>
  <c r="AE20" i="4" s="1"/>
  <c r="AF20" i="4" s="1"/>
  <c r="AG20" i="4" s="1"/>
  <c r="AH20" i="4" s="1"/>
  <c r="AI20" i="4" s="1"/>
  <c r="AJ20" i="4" s="1"/>
  <c r="AK20" i="4" s="1"/>
  <c r="AL20" i="4" s="1"/>
  <c r="AM20" i="4" s="1"/>
  <c r="AN20" i="4" s="1"/>
  <c r="AO20" i="4" s="1"/>
  <c r="AP20" i="4" s="1"/>
  <c r="AQ20" i="4" s="1"/>
  <c r="AR20" i="4" s="1"/>
  <c r="AS20" i="4" s="1"/>
  <c r="AT20" i="4" s="1"/>
  <c r="AU20" i="4" s="1"/>
  <c r="AV20" i="4" s="1"/>
  <c r="AW20" i="4" s="1"/>
  <c r="AX20" i="4" s="1"/>
  <c r="AY20" i="4" s="1"/>
  <c r="AZ20" i="4" s="1"/>
  <c r="BA20" i="4" s="1"/>
  <c r="BB20" i="4" s="1"/>
  <c r="BC20" i="4" s="1"/>
  <c r="BD20" i="4" s="1"/>
  <c r="BE20" i="4" s="1"/>
  <c r="BF20" i="4" s="1"/>
  <c r="BG20" i="4" s="1"/>
  <c r="BH20" i="4" s="1"/>
  <c r="BI20" i="4" s="1"/>
  <c r="BJ20" i="4" s="1"/>
  <c r="BK20" i="4" s="1"/>
  <c r="BL20" i="4" s="1"/>
  <c r="BM20" i="4" s="1"/>
  <c r="BN20" i="4" s="1"/>
  <c r="BO20" i="4" s="1"/>
  <c r="BP20" i="4" s="1"/>
  <c r="BQ20" i="4" s="1"/>
  <c r="BR20" i="4" s="1"/>
  <c r="BS20" i="4" s="1"/>
  <c r="BT20" i="4" s="1"/>
  <c r="BU20" i="4" s="1"/>
  <c r="BV20" i="4" s="1"/>
  <c r="BW20" i="4" s="1"/>
  <c r="BX20" i="4" s="1"/>
  <c r="BY20" i="4" s="1"/>
  <c r="BZ20" i="4" s="1"/>
  <c r="CA20" i="4" s="1"/>
  <c r="CB20" i="4" s="1"/>
  <c r="CC20" i="4" s="1"/>
  <c r="CD20" i="4" s="1"/>
  <c r="CE20" i="4" s="1"/>
  <c r="CF20" i="4" s="1"/>
  <c r="CG20" i="4" s="1"/>
  <c r="CH20" i="4" s="1"/>
  <c r="CI20" i="4" s="1"/>
  <c r="CJ20" i="4" s="1"/>
  <c r="CK20" i="4" s="1"/>
  <c r="CL20" i="4" s="1"/>
  <c r="CM20" i="4" s="1"/>
  <c r="CN20" i="4" s="1"/>
  <c r="CO20" i="4" s="1"/>
  <c r="CP20" i="4" s="1"/>
  <c r="CQ20" i="4" s="1"/>
  <c r="CR20" i="4" s="1"/>
  <c r="CS20" i="4" s="1"/>
  <c r="CT20" i="4" s="1"/>
  <c r="CU20" i="4" s="1"/>
  <c r="CV20" i="4" s="1"/>
  <c r="CW20" i="4" s="1"/>
  <c r="CX20" i="4" s="1"/>
  <c r="CY20" i="4" s="1"/>
  <c r="CZ20" i="4" s="1"/>
  <c r="DA20" i="4" s="1"/>
  <c r="DB20" i="4" s="1"/>
  <c r="DC20" i="4" s="1"/>
  <c r="DD20" i="4" s="1"/>
  <c r="DE20" i="4" s="1"/>
  <c r="DF20" i="4" s="1"/>
  <c r="DG20" i="4" s="1"/>
  <c r="DH20" i="4" s="1"/>
  <c r="DI20" i="4" s="1"/>
  <c r="DJ20" i="4" s="1"/>
  <c r="DK20" i="4" s="1"/>
  <c r="DL20" i="4" s="1"/>
  <c r="DM20" i="4" s="1"/>
  <c r="DN20" i="4" s="1"/>
  <c r="DO20" i="4" s="1"/>
  <c r="DP20" i="4" s="1"/>
  <c r="DQ20" i="4" s="1"/>
  <c r="DR20" i="4" s="1"/>
  <c r="DS20" i="4" s="1"/>
  <c r="DT20" i="4" s="1"/>
  <c r="DU20" i="4" s="1"/>
  <c r="DV20" i="4" s="1"/>
  <c r="DW20" i="4" s="1"/>
  <c r="DX20" i="4" s="1"/>
  <c r="DY20" i="4" s="1"/>
  <c r="DZ20" i="4" s="1"/>
  <c r="EA20" i="4" s="1"/>
  <c r="EB20" i="4" s="1"/>
  <c r="EC20" i="4" s="1"/>
  <c r="ED20" i="4" s="1"/>
  <c r="EE20" i="4" s="1"/>
  <c r="EF20" i="4" s="1"/>
  <c r="D20" i="4"/>
  <c r="E20" i="4" s="1"/>
  <c r="F20" i="4" s="1"/>
  <c r="G20" i="4" s="1"/>
  <c r="H20" i="4" s="1"/>
  <c r="I20" i="4" s="1"/>
  <c r="J20" i="4" s="1"/>
  <c r="K20" i="4" s="1"/>
  <c r="L20" i="4" s="1"/>
  <c r="D19" i="4"/>
  <c r="E19" i="4" s="1"/>
  <c r="F19" i="4" s="1"/>
  <c r="G19" i="4" s="1"/>
  <c r="H19" i="4" s="1"/>
  <c r="I19" i="4" s="1"/>
  <c r="J19" i="4" s="1"/>
  <c r="K19" i="4" s="1"/>
  <c r="L19" i="4" s="1"/>
  <c r="M19" i="4" s="1"/>
  <c r="N19" i="4" s="1"/>
  <c r="O19" i="4" s="1"/>
  <c r="P19" i="4" s="1"/>
  <c r="Q19" i="4" s="1"/>
  <c r="R19" i="4" s="1"/>
  <c r="S19" i="4" s="1"/>
  <c r="T19" i="4" s="1"/>
  <c r="U19" i="4" s="1"/>
  <c r="V19" i="4" s="1"/>
  <c r="W19" i="4" s="1"/>
  <c r="X19" i="4" s="1"/>
  <c r="Y19" i="4" s="1"/>
  <c r="Z19" i="4" s="1"/>
  <c r="AA19" i="4" s="1"/>
  <c r="AB19" i="4" s="1"/>
  <c r="AC19" i="4" s="1"/>
  <c r="AD19" i="4" s="1"/>
  <c r="AE19" i="4" s="1"/>
  <c r="AF19" i="4" s="1"/>
  <c r="AG19" i="4" s="1"/>
  <c r="AH19" i="4" s="1"/>
  <c r="AI19" i="4" s="1"/>
  <c r="AJ19" i="4" s="1"/>
  <c r="AK19" i="4" s="1"/>
  <c r="AL19" i="4" s="1"/>
  <c r="AM19" i="4" s="1"/>
  <c r="AN19" i="4" s="1"/>
  <c r="AO19" i="4" s="1"/>
  <c r="AP19" i="4" s="1"/>
  <c r="AQ19" i="4" s="1"/>
  <c r="AR19" i="4" s="1"/>
  <c r="AS19" i="4" s="1"/>
  <c r="AT19" i="4" s="1"/>
  <c r="AU19" i="4" s="1"/>
  <c r="AV19" i="4" s="1"/>
  <c r="AW19" i="4" s="1"/>
  <c r="AX19" i="4" s="1"/>
  <c r="AY19" i="4" s="1"/>
  <c r="AZ19" i="4" s="1"/>
  <c r="BA19" i="4" s="1"/>
  <c r="BB19" i="4" s="1"/>
  <c r="BC19" i="4" s="1"/>
  <c r="BD19" i="4" s="1"/>
  <c r="BE19" i="4" s="1"/>
  <c r="BF19" i="4" s="1"/>
  <c r="BG19" i="4" s="1"/>
  <c r="BH19" i="4" s="1"/>
  <c r="BI19" i="4" s="1"/>
  <c r="BJ19" i="4" s="1"/>
  <c r="BK19" i="4" s="1"/>
  <c r="BL19" i="4" s="1"/>
  <c r="BM19" i="4" s="1"/>
  <c r="BN19" i="4" s="1"/>
  <c r="BO19" i="4" s="1"/>
  <c r="BP19" i="4" s="1"/>
  <c r="BQ19" i="4" s="1"/>
  <c r="BR19" i="4" s="1"/>
  <c r="BS19" i="4" s="1"/>
  <c r="BT19" i="4" s="1"/>
  <c r="BU19" i="4" s="1"/>
  <c r="BV19" i="4" s="1"/>
  <c r="BW19" i="4" s="1"/>
  <c r="BX19" i="4" s="1"/>
  <c r="BY19" i="4" s="1"/>
  <c r="BZ19" i="4" s="1"/>
  <c r="CA19" i="4" s="1"/>
  <c r="CB19" i="4" s="1"/>
  <c r="CC19" i="4" s="1"/>
  <c r="CD19" i="4" s="1"/>
  <c r="CE19" i="4" s="1"/>
  <c r="CF19" i="4" s="1"/>
  <c r="CG19" i="4" s="1"/>
  <c r="CH19" i="4" s="1"/>
  <c r="CI19" i="4" s="1"/>
  <c r="CJ19" i="4" s="1"/>
  <c r="CK19" i="4" s="1"/>
  <c r="CL19" i="4" s="1"/>
  <c r="CM19" i="4" s="1"/>
  <c r="CN19" i="4" s="1"/>
  <c r="CO19" i="4" s="1"/>
  <c r="CP19" i="4" s="1"/>
  <c r="CQ19" i="4" s="1"/>
  <c r="CR19" i="4" s="1"/>
  <c r="CS19" i="4" s="1"/>
  <c r="CT19" i="4" s="1"/>
  <c r="CU19" i="4" s="1"/>
  <c r="CV19" i="4" s="1"/>
  <c r="CW19" i="4" s="1"/>
  <c r="CX19" i="4" s="1"/>
  <c r="CY19" i="4" s="1"/>
  <c r="CZ19" i="4" s="1"/>
  <c r="DA19" i="4" s="1"/>
  <c r="DB19" i="4" s="1"/>
  <c r="DC19" i="4" s="1"/>
  <c r="DD19" i="4" s="1"/>
  <c r="DE19" i="4" s="1"/>
  <c r="DF19" i="4" s="1"/>
  <c r="DG19" i="4" s="1"/>
  <c r="DH19" i="4" s="1"/>
  <c r="DI19" i="4" s="1"/>
  <c r="DJ19" i="4" s="1"/>
  <c r="DK19" i="4" s="1"/>
  <c r="DL19" i="4" s="1"/>
  <c r="DM19" i="4" s="1"/>
  <c r="DN19" i="4" s="1"/>
  <c r="DO19" i="4" s="1"/>
  <c r="DP19" i="4" s="1"/>
  <c r="DQ19" i="4" s="1"/>
  <c r="DR19" i="4" s="1"/>
  <c r="DS19" i="4" s="1"/>
  <c r="DT19" i="4" s="1"/>
  <c r="DU19" i="4" s="1"/>
  <c r="DV19" i="4" s="1"/>
  <c r="DW19" i="4" s="1"/>
  <c r="DX19" i="4" s="1"/>
  <c r="DY19" i="4" s="1"/>
  <c r="DZ19" i="4" s="1"/>
  <c r="EA19" i="4" s="1"/>
  <c r="EB19" i="4" s="1"/>
  <c r="EC19" i="4" s="1"/>
  <c r="ED19" i="4" s="1"/>
  <c r="EE19" i="4" s="1"/>
  <c r="EF19" i="4" s="1"/>
  <c r="D18" i="4"/>
  <c r="E18" i="4" s="1"/>
  <c r="F18" i="4" s="1"/>
  <c r="G18" i="4" s="1"/>
  <c r="H18" i="4" s="1"/>
  <c r="I18" i="4" s="1"/>
  <c r="J18" i="4" s="1"/>
  <c r="K18" i="4" s="1"/>
  <c r="L18" i="4" s="1"/>
  <c r="M18" i="4" s="1"/>
  <c r="N18" i="4" s="1"/>
  <c r="O18" i="4" s="1"/>
  <c r="P18" i="4" s="1"/>
  <c r="Q18" i="4" s="1"/>
  <c r="R18" i="4" s="1"/>
  <c r="S18" i="4" s="1"/>
  <c r="T18" i="4" s="1"/>
  <c r="U18" i="4" s="1"/>
  <c r="V18" i="4" s="1"/>
  <c r="W18" i="4" s="1"/>
  <c r="X18" i="4" s="1"/>
  <c r="Y18" i="4" s="1"/>
  <c r="Z18" i="4" s="1"/>
  <c r="AA18" i="4" s="1"/>
  <c r="AB18" i="4" s="1"/>
  <c r="AC18" i="4" s="1"/>
  <c r="AD18" i="4" s="1"/>
  <c r="AE18" i="4" s="1"/>
  <c r="AF18" i="4" s="1"/>
  <c r="AG18" i="4" s="1"/>
  <c r="AH18" i="4" s="1"/>
  <c r="AI18" i="4" s="1"/>
  <c r="AJ18" i="4" s="1"/>
  <c r="AK18" i="4" s="1"/>
  <c r="AL18" i="4" s="1"/>
  <c r="AM18" i="4" s="1"/>
  <c r="AN18" i="4" s="1"/>
  <c r="AO18" i="4" s="1"/>
  <c r="AP18" i="4" s="1"/>
  <c r="AQ18" i="4" s="1"/>
  <c r="AR18" i="4" s="1"/>
  <c r="AS18" i="4" s="1"/>
  <c r="AT18" i="4" s="1"/>
  <c r="AU18" i="4" s="1"/>
  <c r="AV18" i="4" s="1"/>
  <c r="AW18" i="4" s="1"/>
  <c r="AX18" i="4" s="1"/>
  <c r="AY18" i="4" s="1"/>
  <c r="AZ18" i="4" s="1"/>
  <c r="BA18" i="4" s="1"/>
  <c r="BB18" i="4" s="1"/>
  <c r="BC18" i="4" s="1"/>
  <c r="BD18" i="4" s="1"/>
  <c r="BE18" i="4" s="1"/>
  <c r="BF18" i="4" s="1"/>
  <c r="BG18" i="4" s="1"/>
  <c r="BH18" i="4" s="1"/>
  <c r="BI18" i="4" s="1"/>
  <c r="BJ18" i="4" s="1"/>
  <c r="BK18" i="4" s="1"/>
  <c r="BL18" i="4" s="1"/>
  <c r="BM18" i="4" s="1"/>
  <c r="BN18" i="4" s="1"/>
  <c r="BO18" i="4" s="1"/>
  <c r="BP18" i="4" s="1"/>
  <c r="BQ18" i="4" s="1"/>
  <c r="BR18" i="4" s="1"/>
  <c r="BS18" i="4" s="1"/>
  <c r="BT18" i="4" s="1"/>
  <c r="BU18" i="4" s="1"/>
  <c r="BV18" i="4" s="1"/>
  <c r="BW18" i="4" s="1"/>
  <c r="BX18" i="4" s="1"/>
  <c r="BY18" i="4" s="1"/>
  <c r="BZ18" i="4" s="1"/>
  <c r="CA18" i="4" s="1"/>
  <c r="CB18" i="4" s="1"/>
  <c r="CC18" i="4" s="1"/>
  <c r="CD18" i="4" s="1"/>
  <c r="CE18" i="4" s="1"/>
  <c r="CF18" i="4" s="1"/>
  <c r="CG18" i="4" s="1"/>
  <c r="CH18" i="4" s="1"/>
  <c r="CI18" i="4" s="1"/>
  <c r="CJ18" i="4" s="1"/>
  <c r="CK18" i="4" s="1"/>
  <c r="CL18" i="4" s="1"/>
  <c r="CM18" i="4" s="1"/>
  <c r="CN18" i="4" s="1"/>
  <c r="CO18" i="4" s="1"/>
  <c r="CP18" i="4" s="1"/>
  <c r="CQ18" i="4" s="1"/>
  <c r="CR18" i="4" s="1"/>
  <c r="CS18" i="4" s="1"/>
  <c r="CT18" i="4" s="1"/>
  <c r="CU18" i="4" s="1"/>
  <c r="CV18" i="4" s="1"/>
  <c r="CW18" i="4" s="1"/>
  <c r="CX18" i="4" s="1"/>
  <c r="CY18" i="4" s="1"/>
  <c r="CZ18" i="4" s="1"/>
  <c r="DA18" i="4" s="1"/>
  <c r="DB18" i="4" s="1"/>
  <c r="DC18" i="4" s="1"/>
  <c r="DD18" i="4" s="1"/>
  <c r="DE18" i="4" s="1"/>
  <c r="DF18" i="4" s="1"/>
  <c r="DG18" i="4" s="1"/>
  <c r="DH18" i="4" s="1"/>
  <c r="DI18" i="4" s="1"/>
  <c r="DJ18" i="4" s="1"/>
  <c r="DK18" i="4" s="1"/>
  <c r="DL18" i="4" s="1"/>
  <c r="DM18" i="4" s="1"/>
  <c r="DN18" i="4" s="1"/>
  <c r="DO18" i="4" s="1"/>
  <c r="DP18" i="4" s="1"/>
  <c r="DQ18" i="4" s="1"/>
  <c r="DR18" i="4" s="1"/>
  <c r="DS18" i="4" s="1"/>
  <c r="DT18" i="4" s="1"/>
  <c r="DU18" i="4" s="1"/>
  <c r="DV18" i="4" s="1"/>
  <c r="DW18" i="4" s="1"/>
  <c r="DX18" i="4" s="1"/>
  <c r="DY18" i="4" s="1"/>
  <c r="DZ18" i="4" s="1"/>
  <c r="EA18" i="4" s="1"/>
  <c r="EB18" i="4" s="1"/>
  <c r="EC18" i="4" s="1"/>
  <c r="ED18" i="4" s="1"/>
  <c r="EE18" i="4" s="1"/>
  <c r="EF18" i="4" s="1"/>
  <c r="D17" i="4"/>
  <c r="E17" i="4" s="1"/>
  <c r="F17" i="4" s="1"/>
  <c r="G17" i="4" s="1"/>
  <c r="H17" i="4" s="1"/>
  <c r="I17" i="4" s="1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CI17" i="4" s="1"/>
  <c r="CJ17" i="4" s="1"/>
  <c r="CK17" i="4" s="1"/>
  <c r="CL17" i="4" s="1"/>
  <c r="CM17" i="4" s="1"/>
  <c r="CN17" i="4" s="1"/>
  <c r="CO17" i="4" s="1"/>
  <c r="CP17" i="4" s="1"/>
  <c r="CQ17" i="4" s="1"/>
  <c r="CR17" i="4" s="1"/>
  <c r="CS17" i="4" s="1"/>
  <c r="CT17" i="4" s="1"/>
  <c r="CU17" i="4" s="1"/>
  <c r="CV17" i="4" s="1"/>
  <c r="CW17" i="4" s="1"/>
  <c r="CX17" i="4" s="1"/>
  <c r="CY17" i="4" s="1"/>
  <c r="CZ17" i="4" s="1"/>
  <c r="DA17" i="4" s="1"/>
  <c r="DB17" i="4" s="1"/>
  <c r="DC17" i="4" s="1"/>
  <c r="DD17" i="4" s="1"/>
  <c r="DE17" i="4" s="1"/>
  <c r="DF17" i="4" s="1"/>
  <c r="DG17" i="4" s="1"/>
  <c r="DH17" i="4" s="1"/>
  <c r="DI17" i="4" s="1"/>
  <c r="DJ17" i="4" s="1"/>
  <c r="DK17" i="4" s="1"/>
  <c r="DL17" i="4" s="1"/>
  <c r="DM17" i="4" s="1"/>
  <c r="DN17" i="4" s="1"/>
  <c r="DO17" i="4" s="1"/>
  <c r="DP17" i="4" s="1"/>
  <c r="DQ17" i="4" s="1"/>
  <c r="DR17" i="4" s="1"/>
  <c r="DS17" i="4" s="1"/>
  <c r="DT17" i="4" s="1"/>
  <c r="DU17" i="4" s="1"/>
  <c r="DV17" i="4" s="1"/>
  <c r="DW17" i="4" s="1"/>
  <c r="DX17" i="4" s="1"/>
  <c r="DY17" i="4" s="1"/>
  <c r="DZ17" i="4" s="1"/>
  <c r="EA17" i="4" s="1"/>
  <c r="EB17" i="4" s="1"/>
  <c r="EC17" i="4" s="1"/>
  <c r="ED17" i="4" s="1"/>
  <c r="EE17" i="4" s="1"/>
  <c r="EF17" i="4" s="1"/>
  <c r="D16" i="4"/>
  <c r="E16" i="4" s="1"/>
  <c r="F16" i="4" s="1"/>
  <c r="G16" i="4" s="1"/>
  <c r="H16" i="4" s="1"/>
  <c r="I16" i="4" s="1"/>
  <c r="J16" i="4" s="1"/>
  <c r="K16" i="4" s="1"/>
  <c r="L16" i="4" s="1"/>
  <c r="M16" i="4" s="1"/>
  <c r="N16" i="4" s="1"/>
  <c r="O16" i="4" s="1"/>
  <c r="P16" i="4" s="1"/>
  <c r="Q16" i="4" s="1"/>
  <c r="R16" i="4" s="1"/>
  <c r="S16" i="4" s="1"/>
  <c r="T16" i="4" s="1"/>
  <c r="U16" i="4" s="1"/>
  <c r="V16" i="4" s="1"/>
  <c r="W16" i="4" s="1"/>
  <c r="X16" i="4" s="1"/>
  <c r="Y16" i="4" s="1"/>
  <c r="Z16" i="4" s="1"/>
  <c r="AA16" i="4" s="1"/>
  <c r="AB16" i="4" s="1"/>
  <c r="AC16" i="4" s="1"/>
  <c r="AD16" i="4" s="1"/>
  <c r="AE16" i="4" s="1"/>
  <c r="AF16" i="4" s="1"/>
  <c r="AG16" i="4" s="1"/>
  <c r="AH16" i="4" s="1"/>
  <c r="AI16" i="4" s="1"/>
  <c r="AJ16" i="4" s="1"/>
  <c r="AK16" i="4" s="1"/>
  <c r="AL16" i="4" s="1"/>
  <c r="AM16" i="4" s="1"/>
  <c r="AN16" i="4" s="1"/>
  <c r="AO16" i="4" s="1"/>
  <c r="AP16" i="4" s="1"/>
  <c r="AQ16" i="4" s="1"/>
  <c r="AR16" i="4" s="1"/>
  <c r="AS16" i="4" s="1"/>
  <c r="AT16" i="4" s="1"/>
  <c r="AU16" i="4" s="1"/>
  <c r="AV16" i="4" s="1"/>
  <c r="AW16" i="4" s="1"/>
  <c r="AX16" i="4" s="1"/>
  <c r="AY16" i="4" s="1"/>
  <c r="AZ16" i="4" s="1"/>
  <c r="BA16" i="4" s="1"/>
  <c r="BB16" i="4" s="1"/>
  <c r="BC16" i="4" s="1"/>
  <c r="BD16" i="4" s="1"/>
  <c r="BE16" i="4" s="1"/>
  <c r="BF16" i="4" s="1"/>
  <c r="BG16" i="4" s="1"/>
  <c r="BH16" i="4" s="1"/>
  <c r="BI16" i="4" s="1"/>
  <c r="BJ16" i="4" s="1"/>
  <c r="BK16" i="4" s="1"/>
  <c r="BL16" i="4" s="1"/>
  <c r="BM16" i="4" s="1"/>
  <c r="BN16" i="4" s="1"/>
  <c r="BO16" i="4" s="1"/>
  <c r="BP16" i="4" s="1"/>
  <c r="BQ16" i="4" s="1"/>
  <c r="BR16" i="4" s="1"/>
  <c r="BS16" i="4" s="1"/>
  <c r="BT16" i="4" s="1"/>
  <c r="BU16" i="4" s="1"/>
  <c r="BV16" i="4" s="1"/>
  <c r="BW16" i="4" s="1"/>
  <c r="BX16" i="4" s="1"/>
  <c r="BY16" i="4" s="1"/>
  <c r="BZ16" i="4" s="1"/>
  <c r="CA16" i="4" s="1"/>
  <c r="CB16" i="4" s="1"/>
  <c r="CC16" i="4" s="1"/>
  <c r="CD16" i="4" s="1"/>
  <c r="CE16" i="4" s="1"/>
  <c r="CF16" i="4" s="1"/>
  <c r="CG16" i="4" s="1"/>
  <c r="CH16" i="4" s="1"/>
  <c r="CI16" i="4" s="1"/>
  <c r="CJ16" i="4" s="1"/>
  <c r="CK16" i="4" s="1"/>
  <c r="CL16" i="4" s="1"/>
  <c r="CM16" i="4" s="1"/>
  <c r="CN16" i="4" s="1"/>
  <c r="CO16" i="4" s="1"/>
  <c r="CP16" i="4" s="1"/>
  <c r="CQ16" i="4" s="1"/>
  <c r="CR16" i="4" s="1"/>
  <c r="CS16" i="4" s="1"/>
  <c r="CT16" i="4" s="1"/>
  <c r="CU16" i="4" s="1"/>
  <c r="CV16" i="4" s="1"/>
  <c r="CW16" i="4" s="1"/>
  <c r="CX16" i="4" s="1"/>
  <c r="CY16" i="4" s="1"/>
  <c r="CZ16" i="4" s="1"/>
  <c r="DA16" i="4" s="1"/>
  <c r="DB16" i="4" s="1"/>
  <c r="DC16" i="4" s="1"/>
  <c r="DD16" i="4" s="1"/>
  <c r="DE16" i="4" s="1"/>
  <c r="DF16" i="4" s="1"/>
  <c r="DG16" i="4" s="1"/>
  <c r="DH16" i="4" s="1"/>
  <c r="DI16" i="4" s="1"/>
  <c r="DJ16" i="4" s="1"/>
  <c r="DK16" i="4" s="1"/>
  <c r="DL16" i="4" s="1"/>
  <c r="DM16" i="4" s="1"/>
  <c r="DN16" i="4" s="1"/>
  <c r="DO16" i="4" s="1"/>
  <c r="DP16" i="4" s="1"/>
  <c r="DQ16" i="4" s="1"/>
  <c r="DR16" i="4" s="1"/>
  <c r="DS16" i="4" s="1"/>
  <c r="DT16" i="4" s="1"/>
  <c r="DU16" i="4" s="1"/>
  <c r="DV16" i="4" s="1"/>
  <c r="DW16" i="4" s="1"/>
  <c r="DX16" i="4" s="1"/>
  <c r="DY16" i="4" s="1"/>
  <c r="DZ16" i="4" s="1"/>
  <c r="EA16" i="4" s="1"/>
  <c r="EB16" i="4" s="1"/>
  <c r="EC16" i="4" s="1"/>
  <c r="ED16" i="4" s="1"/>
  <c r="EE16" i="4" s="1"/>
  <c r="EF16" i="4" s="1"/>
  <c r="J15" i="4"/>
  <c r="K15" i="4" s="1"/>
  <c r="L15" i="4" s="1"/>
  <c r="M15" i="4" s="1"/>
  <c r="N15" i="4" s="1"/>
  <c r="O15" i="4" s="1"/>
  <c r="P15" i="4" s="1"/>
  <c r="Q15" i="4" s="1"/>
  <c r="R15" i="4" s="1"/>
  <c r="S15" i="4" s="1"/>
  <c r="T15" i="4" s="1"/>
  <c r="U15" i="4" s="1"/>
  <c r="V15" i="4" s="1"/>
  <c r="W15" i="4" s="1"/>
  <c r="X15" i="4" s="1"/>
  <c r="Y15" i="4" s="1"/>
  <c r="Z15" i="4" s="1"/>
  <c r="AA15" i="4" s="1"/>
  <c r="AB15" i="4" s="1"/>
  <c r="AC15" i="4" s="1"/>
  <c r="AD15" i="4" s="1"/>
  <c r="AE15" i="4" s="1"/>
  <c r="AF15" i="4" s="1"/>
  <c r="AG15" i="4" s="1"/>
  <c r="AH15" i="4" s="1"/>
  <c r="AI15" i="4" s="1"/>
  <c r="AJ15" i="4" s="1"/>
  <c r="AK15" i="4" s="1"/>
  <c r="AL15" i="4" s="1"/>
  <c r="AM15" i="4" s="1"/>
  <c r="AN15" i="4" s="1"/>
  <c r="AO15" i="4" s="1"/>
  <c r="AP15" i="4" s="1"/>
  <c r="AQ15" i="4" s="1"/>
  <c r="AR15" i="4" s="1"/>
  <c r="AS15" i="4" s="1"/>
  <c r="AT15" i="4" s="1"/>
  <c r="AU15" i="4" s="1"/>
  <c r="AV15" i="4" s="1"/>
  <c r="AW15" i="4" s="1"/>
  <c r="AX15" i="4" s="1"/>
  <c r="AY15" i="4" s="1"/>
  <c r="AZ15" i="4" s="1"/>
  <c r="BA15" i="4" s="1"/>
  <c r="BB15" i="4" s="1"/>
  <c r="BC15" i="4" s="1"/>
  <c r="BD15" i="4" s="1"/>
  <c r="BE15" i="4" s="1"/>
  <c r="BF15" i="4" s="1"/>
  <c r="BG15" i="4" s="1"/>
  <c r="BH15" i="4" s="1"/>
  <c r="BI15" i="4" s="1"/>
  <c r="BJ15" i="4" s="1"/>
  <c r="BK15" i="4" s="1"/>
  <c r="BL15" i="4" s="1"/>
  <c r="BM15" i="4" s="1"/>
  <c r="BN15" i="4" s="1"/>
  <c r="BO15" i="4" s="1"/>
  <c r="BP15" i="4" s="1"/>
  <c r="BQ15" i="4" s="1"/>
  <c r="BR15" i="4" s="1"/>
  <c r="BS15" i="4" s="1"/>
  <c r="BT15" i="4" s="1"/>
  <c r="BU15" i="4" s="1"/>
  <c r="BV15" i="4" s="1"/>
  <c r="BW15" i="4" s="1"/>
  <c r="BX15" i="4" s="1"/>
  <c r="BY15" i="4" s="1"/>
  <c r="BZ15" i="4" s="1"/>
  <c r="CA15" i="4" s="1"/>
  <c r="CB15" i="4" s="1"/>
  <c r="CC15" i="4" s="1"/>
  <c r="CD15" i="4" s="1"/>
  <c r="CE15" i="4" s="1"/>
  <c r="CF15" i="4" s="1"/>
  <c r="CG15" i="4" s="1"/>
  <c r="CH15" i="4" s="1"/>
  <c r="CI15" i="4" s="1"/>
  <c r="CJ15" i="4" s="1"/>
  <c r="CK15" i="4" s="1"/>
  <c r="CL15" i="4" s="1"/>
  <c r="CM15" i="4" s="1"/>
  <c r="CN15" i="4" s="1"/>
  <c r="CO15" i="4" s="1"/>
  <c r="CP15" i="4" s="1"/>
  <c r="CQ15" i="4" s="1"/>
  <c r="CR15" i="4" s="1"/>
  <c r="CS15" i="4" s="1"/>
  <c r="CT15" i="4" s="1"/>
  <c r="CU15" i="4" s="1"/>
  <c r="CV15" i="4" s="1"/>
  <c r="CW15" i="4" s="1"/>
  <c r="CX15" i="4" s="1"/>
  <c r="CY15" i="4" s="1"/>
  <c r="CZ15" i="4" s="1"/>
  <c r="DA15" i="4" s="1"/>
  <c r="DB15" i="4" s="1"/>
  <c r="DC15" i="4" s="1"/>
  <c r="DD15" i="4" s="1"/>
  <c r="DE15" i="4" s="1"/>
  <c r="DF15" i="4" s="1"/>
  <c r="DG15" i="4" s="1"/>
  <c r="DH15" i="4" s="1"/>
  <c r="DI15" i="4" s="1"/>
  <c r="DJ15" i="4" s="1"/>
  <c r="DK15" i="4" s="1"/>
  <c r="DL15" i="4" s="1"/>
  <c r="DM15" i="4" s="1"/>
  <c r="DN15" i="4" s="1"/>
  <c r="DO15" i="4" s="1"/>
  <c r="DP15" i="4" s="1"/>
  <c r="DQ15" i="4" s="1"/>
  <c r="DR15" i="4" s="1"/>
  <c r="DS15" i="4" s="1"/>
  <c r="DT15" i="4" s="1"/>
  <c r="DU15" i="4" s="1"/>
  <c r="DV15" i="4" s="1"/>
  <c r="DW15" i="4" s="1"/>
  <c r="DX15" i="4" s="1"/>
  <c r="DY15" i="4" s="1"/>
  <c r="DZ15" i="4" s="1"/>
  <c r="EA15" i="4" s="1"/>
  <c r="EB15" i="4" s="1"/>
  <c r="EC15" i="4" s="1"/>
  <c r="ED15" i="4" s="1"/>
  <c r="EE15" i="4" s="1"/>
  <c r="EF15" i="4" s="1"/>
  <c r="D15" i="4"/>
  <c r="E15" i="4" s="1"/>
  <c r="F15" i="4" s="1"/>
  <c r="G15" i="4" s="1"/>
  <c r="H15" i="4" s="1"/>
  <c r="I15" i="4" s="1"/>
  <c r="D14" i="4"/>
  <c r="E14" i="4" s="1"/>
  <c r="F14" i="4" s="1"/>
  <c r="G14" i="4" s="1"/>
  <c r="H14" i="4" s="1"/>
  <c r="I14" i="4" s="1"/>
  <c r="J14" i="4" s="1"/>
  <c r="K14" i="4" s="1"/>
  <c r="L14" i="4" s="1"/>
  <c r="M14" i="4" s="1"/>
  <c r="N14" i="4" s="1"/>
  <c r="O14" i="4" s="1"/>
  <c r="P14" i="4" s="1"/>
  <c r="Q14" i="4" s="1"/>
  <c r="R14" i="4" s="1"/>
  <c r="S14" i="4" s="1"/>
  <c r="T14" i="4" s="1"/>
  <c r="U14" i="4" s="1"/>
  <c r="V14" i="4" s="1"/>
  <c r="W14" i="4" s="1"/>
  <c r="X14" i="4" s="1"/>
  <c r="Y14" i="4" s="1"/>
  <c r="Z14" i="4" s="1"/>
  <c r="AA14" i="4" s="1"/>
  <c r="AB14" i="4" s="1"/>
  <c r="AC14" i="4" s="1"/>
  <c r="AD14" i="4" s="1"/>
  <c r="AE14" i="4" s="1"/>
  <c r="AF14" i="4" s="1"/>
  <c r="AG14" i="4" s="1"/>
  <c r="AH14" i="4" s="1"/>
  <c r="AI14" i="4" s="1"/>
  <c r="AJ14" i="4" s="1"/>
  <c r="AK14" i="4" s="1"/>
  <c r="AL14" i="4" s="1"/>
  <c r="AM14" i="4" s="1"/>
  <c r="AN14" i="4" s="1"/>
  <c r="AO14" i="4" s="1"/>
  <c r="AP14" i="4" s="1"/>
  <c r="AQ14" i="4" s="1"/>
  <c r="AR14" i="4" s="1"/>
  <c r="AS14" i="4" s="1"/>
  <c r="AT14" i="4" s="1"/>
  <c r="AU14" i="4" s="1"/>
  <c r="AV14" i="4" s="1"/>
  <c r="AW14" i="4" s="1"/>
  <c r="AX14" i="4" s="1"/>
  <c r="AY14" i="4" s="1"/>
  <c r="AZ14" i="4" s="1"/>
  <c r="BA14" i="4" s="1"/>
  <c r="BB14" i="4" s="1"/>
  <c r="BC14" i="4" s="1"/>
  <c r="BD14" i="4" s="1"/>
  <c r="BE14" i="4" s="1"/>
  <c r="BF14" i="4" s="1"/>
  <c r="BG14" i="4" s="1"/>
  <c r="BH14" i="4" s="1"/>
  <c r="BI14" i="4" s="1"/>
  <c r="BJ14" i="4" s="1"/>
  <c r="BK14" i="4" s="1"/>
  <c r="BL14" i="4" s="1"/>
  <c r="BM14" i="4" s="1"/>
  <c r="BN14" i="4" s="1"/>
  <c r="BO14" i="4" s="1"/>
  <c r="BP14" i="4" s="1"/>
  <c r="BQ14" i="4" s="1"/>
  <c r="BR14" i="4" s="1"/>
  <c r="BS14" i="4" s="1"/>
  <c r="BT14" i="4" s="1"/>
  <c r="BU14" i="4" s="1"/>
  <c r="BV14" i="4" s="1"/>
  <c r="BW14" i="4" s="1"/>
  <c r="BX14" i="4" s="1"/>
  <c r="BY14" i="4" s="1"/>
  <c r="BZ14" i="4" s="1"/>
  <c r="CA14" i="4" s="1"/>
  <c r="CB14" i="4" s="1"/>
  <c r="CC14" i="4" s="1"/>
  <c r="CD14" i="4" s="1"/>
  <c r="CE14" i="4" s="1"/>
  <c r="CF14" i="4" s="1"/>
  <c r="CG14" i="4" s="1"/>
  <c r="CH14" i="4" s="1"/>
  <c r="CI14" i="4" s="1"/>
  <c r="CJ14" i="4" s="1"/>
  <c r="CK14" i="4" s="1"/>
  <c r="CL14" i="4" s="1"/>
  <c r="CM14" i="4" s="1"/>
  <c r="CN14" i="4" s="1"/>
  <c r="CO14" i="4" s="1"/>
  <c r="CP14" i="4" s="1"/>
  <c r="CQ14" i="4" s="1"/>
  <c r="CR14" i="4" s="1"/>
  <c r="CS14" i="4" s="1"/>
  <c r="CT14" i="4" s="1"/>
  <c r="CU14" i="4" s="1"/>
  <c r="CV14" i="4" s="1"/>
  <c r="CW14" i="4" s="1"/>
  <c r="CX14" i="4" s="1"/>
  <c r="CY14" i="4" s="1"/>
  <c r="CZ14" i="4" s="1"/>
  <c r="DA14" i="4" s="1"/>
  <c r="DB14" i="4" s="1"/>
  <c r="DC14" i="4" s="1"/>
  <c r="DD14" i="4" s="1"/>
  <c r="DE14" i="4" s="1"/>
  <c r="DF14" i="4" s="1"/>
  <c r="DG14" i="4" s="1"/>
  <c r="DH14" i="4" s="1"/>
  <c r="DI14" i="4" s="1"/>
  <c r="DJ14" i="4" s="1"/>
  <c r="DK14" i="4" s="1"/>
  <c r="DL14" i="4" s="1"/>
  <c r="DM14" i="4" s="1"/>
  <c r="DN14" i="4" s="1"/>
  <c r="DO14" i="4" s="1"/>
  <c r="DP14" i="4" s="1"/>
  <c r="DQ14" i="4" s="1"/>
  <c r="DR14" i="4" s="1"/>
  <c r="DS14" i="4" s="1"/>
  <c r="DT14" i="4" s="1"/>
  <c r="DU14" i="4" s="1"/>
  <c r="DV14" i="4" s="1"/>
  <c r="DW14" i="4" s="1"/>
  <c r="DX14" i="4" s="1"/>
  <c r="DY14" i="4" s="1"/>
  <c r="DZ14" i="4" s="1"/>
  <c r="EA14" i="4" s="1"/>
  <c r="EB14" i="4" s="1"/>
  <c r="EC14" i="4" s="1"/>
  <c r="ED14" i="4" s="1"/>
  <c r="EE14" i="4" s="1"/>
  <c r="EF14" i="4" s="1"/>
  <c r="D13" i="4"/>
  <c r="E13" i="4" s="1"/>
  <c r="F13" i="4" s="1"/>
  <c r="G13" i="4" s="1"/>
  <c r="H13" i="4" s="1"/>
  <c r="I13" i="4" s="1"/>
  <c r="J13" i="4" s="1"/>
  <c r="K13" i="4" s="1"/>
  <c r="L13" i="4" s="1"/>
  <c r="M13" i="4" s="1"/>
  <c r="N13" i="4" s="1"/>
  <c r="O13" i="4" s="1"/>
  <c r="P13" i="4" s="1"/>
  <c r="Q13" i="4" s="1"/>
  <c r="R13" i="4" s="1"/>
  <c r="S13" i="4" s="1"/>
  <c r="T13" i="4" s="1"/>
  <c r="U13" i="4" s="1"/>
  <c r="V13" i="4" s="1"/>
  <c r="W13" i="4" s="1"/>
  <c r="X13" i="4" s="1"/>
  <c r="Y13" i="4" s="1"/>
  <c r="Z13" i="4" s="1"/>
  <c r="AA13" i="4" s="1"/>
  <c r="AB13" i="4" s="1"/>
  <c r="AC13" i="4" s="1"/>
  <c r="AD13" i="4" s="1"/>
  <c r="AE13" i="4" s="1"/>
  <c r="AF13" i="4" s="1"/>
  <c r="AG13" i="4" s="1"/>
  <c r="AH13" i="4" s="1"/>
  <c r="AI13" i="4" s="1"/>
  <c r="AJ13" i="4" s="1"/>
  <c r="AK13" i="4" s="1"/>
  <c r="AL13" i="4" s="1"/>
  <c r="AM13" i="4" s="1"/>
  <c r="AN13" i="4" s="1"/>
  <c r="AO13" i="4" s="1"/>
  <c r="AP13" i="4" s="1"/>
  <c r="AQ13" i="4" s="1"/>
  <c r="AR13" i="4" s="1"/>
  <c r="AS13" i="4" s="1"/>
  <c r="AT13" i="4" s="1"/>
  <c r="AU13" i="4" s="1"/>
  <c r="AV13" i="4" s="1"/>
  <c r="AW13" i="4" s="1"/>
  <c r="AX13" i="4" s="1"/>
  <c r="AY13" i="4" s="1"/>
  <c r="AZ13" i="4" s="1"/>
  <c r="BA13" i="4" s="1"/>
  <c r="BB13" i="4" s="1"/>
  <c r="BC13" i="4" s="1"/>
  <c r="BD13" i="4" s="1"/>
  <c r="BE13" i="4" s="1"/>
  <c r="BF13" i="4" s="1"/>
  <c r="BG13" i="4" s="1"/>
  <c r="BH13" i="4" s="1"/>
  <c r="BI13" i="4" s="1"/>
  <c r="BJ13" i="4" s="1"/>
  <c r="BK13" i="4" s="1"/>
  <c r="BL13" i="4" s="1"/>
  <c r="BM13" i="4" s="1"/>
  <c r="BN13" i="4" s="1"/>
  <c r="BO13" i="4" s="1"/>
  <c r="BP13" i="4" s="1"/>
  <c r="BQ13" i="4" s="1"/>
  <c r="BR13" i="4" s="1"/>
  <c r="BS13" i="4" s="1"/>
  <c r="BT13" i="4" s="1"/>
  <c r="BU13" i="4" s="1"/>
  <c r="BV13" i="4" s="1"/>
  <c r="BW13" i="4" s="1"/>
  <c r="BX13" i="4" s="1"/>
  <c r="BY13" i="4" s="1"/>
  <c r="BZ13" i="4" s="1"/>
  <c r="CA13" i="4" s="1"/>
  <c r="CB13" i="4" s="1"/>
  <c r="CC13" i="4" s="1"/>
  <c r="CD13" i="4" s="1"/>
  <c r="CE13" i="4" s="1"/>
  <c r="CF13" i="4" s="1"/>
  <c r="CG13" i="4" s="1"/>
  <c r="CH13" i="4" s="1"/>
  <c r="CI13" i="4" s="1"/>
  <c r="CJ13" i="4" s="1"/>
  <c r="CK13" i="4" s="1"/>
  <c r="CL13" i="4" s="1"/>
  <c r="CM13" i="4" s="1"/>
  <c r="CN13" i="4" s="1"/>
  <c r="CO13" i="4" s="1"/>
  <c r="CP13" i="4" s="1"/>
  <c r="CQ13" i="4" s="1"/>
  <c r="CR13" i="4" s="1"/>
  <c r="CS13" i="4" s="1"/>
  <c r="CT13" i="4" s="1"/>
  <c r="CU13" i="4" s="1"/>
  <c r="CV13" i="4" s="1"/>
  <c r="CW13" i="4" s="1"/>
  <c r="CX13" i="4" s="1"/>
  <c r="CY13" i="4" s="1"/>
  <c r="CZ13" i="4" s="1"/>
  <c r="DA13" i="4" s="1"/>
  <c r="DB13" i="4" s="1"/>
  <c r="DC13" i="4" s="1"/>
  <c r="DD13" i="4" s="1"/>
  <c r="DE13" i="4" s="1"/>
  <c r="DF13" i="4" s="1"/>
  <c r="DG13" i="4" s="1"/>
  <c r="DH13" i="4" s="1"/>
  <c r="DI13" i="4" s="1"/>
  <c r="DJ13" i="4" s="1"/>
  <c r="DK13" i="4" s="1"/>
  <c r="DL13" i="4" s="1"/>
  <c r="DM13" i="4" s="1"/>
  <c r="DN13" i="4" s="1"/>
  <c r="DO13" i="4" s="1"/>
  <c r="DP13" i="4" s="1"/>
  <c r="DQ13" i="4" s="1"/>
  <c r="DR13" i="4" s="1"/>
  <c r="DS13" i="4" s="1"/>
  <c r="DT13" i="4" s="1"/>
  <c r="DU13" i="4" s="1"/>
  <c r="DV13" i="4" s="1"/>
  <c r="DW13" i="4" s="1"/>
  <c r="DX13" i="4" s="1"/>
  <c r="DY13" i="4" s="1"/>
  <c r="DZ13" i="4" s="1"/>
  <c r="EA13" i="4" s="1"/>
  <c r="EB13" i="4" s="1"/>
  <c r="EC13" i="4" s="1"/>
  <c r="ED13" i="4" s="1"/>
  <c r="EE13" i="4" s="1"/>
  <c r="EF13" i="4" s="1"/>
  <c r="D12" i="4"/>
  <c r="E12" i="4" s="1"/>
  <c r="F12" i="4" s="1"/>
  <c r="G12" i="4" s="1"/>
  <c r="H12" i="4" s="1"/>
  <c r="I12" i="4" s="1"/>
  <c r="J12" i="4" s="1"/>
  <c r="K12" i="4" s="1"/>
  <c r="L12" i="4" s="1"/>
  <c r="M12" i="4" s="1"/>
  <c r="N12" i="4" s="1"/>
  <c r="O12" i="4" s="1"/>
  <c r="P12" i="4" s="1"/>
  <c r="Q12" i="4" s="1"/>
  <c r="R12" i="4" s="1"/>
  <c r="S12" i="4" s="1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AK12" i="4" s="1"/>
  <c r="AL12" i="4" s="1"/>
  <c r="AM12" i="4" s="1"/>
  <c r="AN12" i="4" s="1"/>
  <c r="AO12" i="4" s="1"/>
  <c r="AP12" i="4" s="1"/>
  <c r="AQ12" i="4" s="1"/>
  <c r="AR12" i="4" s="1"/>
  <c r="AS12" i="4" s="1"/>
  <c r="AT12" i="4" s="1"/>
  <c r="AU12" i="4" s="1"/>
  <c r="AV12" i="4" s="1"/>
  <c r="AW12" i="4" s="1"/>
  <c r="AX12" i="4" s="1"/>
  <c r="AY12" i="4" s="1"/>
  <c r="AZ12" i="4" s="1"/>
  <c r="BA12" i="4" s="1"/>
  <c r="BB12" i="4" s="1"/>
  <c r="BC12" i="4" s="1"/>
  <c r="BD12" i="4" s="1"/>
  <c r="BE12" i="4" s="1"/>
  <c r="BF12" i="4" s="1"/>
  <c r="BG12" i="4" s="1"/>
  <c r="BH12" i="4" s="1"/>
  <c r="BI12" i="4" s="1"/>
  <c r="BJ12" i="4" s="1"/>
  <c r="BK12" i="4" s="1"/>
  <c r="BL12" i="4" s="1"/>
  <c r="BM12" i="4" s="1"/>
  <c r="BN12" i="4" s="1"/>
  <c r="BO12" i="4" s="1"/>
  <c r="BP12" i="4" s="1"/>
  <c r="BQ12" i="4" s="1"/>
  <c r="BR12" i="4" s="1"/>
  <c r="BS12" i="4" s="1"/>
  <c r="BT12" i="4" s="1"/>
  <c r="BU12" i="4" s="1"/>
  <c r="BV12" i="4" s="1"/>
  <c r="BW12" i="4" s="1"/>
  <c r="BX12" i="4" s="1"/>
  <c r="BY12" i="4" s="1"/>
  <c r="BZ12" i="4" s="1"/>
  <c r="CA12" i="4" s="1"/>
  <c r="CB12" i="4" s="1"/>
  <c r="CC12" i="4" s="1"/>
  <c r="CD12" i="4" s="1"/>
  <c r="CE12" i="4" s="1"/>
  <c r="CF12" i="4" s="1"/>
  <c r="CG12" i="4" s="1"/>
  <c r="CH12" i="4" s="1"/>
  <c r="CI12" i="4" s="1"/>
  <c r="CJ12" i="4" s="1"/>
  <c r="CK12" i="4" s="1"/>
  <c r="CL12" i="4" s="1"/>
  <c r="CM12" i="4" s="1"/>
  <c r="CN12" i="4" s="1"/>
  <c r="CO12" i="4" s="1"/>
  <c r="CP12" i="4" s="1"/>
  <c r="CQ12" i="4" s="1"/>
  <c r="CR12" i="4" s="1"/>
  <c r="CS12" i="4" s="1"/>
  <c r="CT12" i="4" s="1"/>
  <c r="CU12" i="4" s="1"/>
  <c r="CV12" i="4" s="1"/>
  <c r="CW12" i="4" s="1"/>
  <c r="CX12" i="4" s="1"/>
  <c r="CY12" i="4" s="1"/>
  <c r="CZ12" i="4" s="1"/>
  <c r="DA12" i="4" s="1"/>
  <c r="DB12" i="4" s="1"/>
  <c r="DC12" i="4" s="1"/>
  <c r="DD12" i="4" s="1"/>
  <c r="DE12" i="4" s="1"/>
  <c r="DF12" i="4" s="1"/>
  <c r="DG12" i="4" s="1"/>
  <c r="DH12" i="4" s="1"/>
  <c r="DI12" i="4" s="1"/>
  <c r="DJ12" i="4" s="1"/>
  <c r="DK12" i="4" s="1"/>
  <c r="DL12" i="4" s="1"/>
  <c r="DM12" i="4" s="1"/>
  <c r="DN12" i="4" s="1"/>
  <c r="DO12" i="4" s="1"/>
  <c r="DP12" i="4" s="1"/>
  <c r="DQ12" i="4" s="1"/>
  <c r="DR12" i="4" s="1"/>
  <c r="DS12" i="4" s="1"/>
  <c r="DT12" i="4" s="1"/>
  <c r="DU12" i="4" s="1"/>
  <c r="DV12" i="4" s="1"/>
  <c r="DW12" i="4" s="1"/>
  <c r="DX12" i="4" s="1"/>
  <c r="DY12" i="4" s="1"/>
  <c r="DZ12" i="4" s="1"/>
  <c r="EA12" i="4" s="1"/>
  <c r="EB12" i="4" s="1"/>
  <c r="EC12" i="4" s="1"/>
  <c r="ED12" i="4" s="1"/>
  <c r="EE12" i="4" s="1"/>
  <c r="EF12" i="4" s="1"/>
  <c r="EF24" i="3"/>
  <c r="EE24" i="3"/>
  <c r="ED24" i="3"/>
  <c r="EC24" i="3"/>
  <c r="EB24" i="3"/>
  <c r="EA24" i="3"/>
  <c r="DZ24" i="3"/>
  <c r="DY24" i="3"/>
  <c r="DX24" i="3"/>
  <c r="DW24" i="3"/>
  <c r="DV24" i="3"/>
  <c r="DU24" i="3"/>
  <c r="DT24" i="3"/>
  <c r="DS24" i="3"/>
  <c r="DR24" i="3"/>
  <c r="DQ24" i="3"/>
  <c r="DP24" i="3"/>
  <c r="DO24" i="3"/>
  <c r="DN24" i="3"/>
  <c r="DM24" i="3"/>
  <c r="DL24" i="3"/>
  <c r="DK24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EF23" i="3"/>
  <c r="EE23" i="3"/>
  <c r="ED23" i="3"/>
  <c r="EC23" i="3"/>
  <c r="EB23" i="3"/>
  <c r="EA23" i="3"/>
  <c r="DZ23" i="3"/>
  <c r="DY23" i="3"/>
  <c r="DX23" i="3"/>
  <c r="DW23" i="3"/>
  <c r="DV23" i="3"/>
  <c r="DU23" i="3"/>
  <c r="DT23" i="3"/>
  <c r="DS23" i="3"/>
  <c r="DR23" i="3"/>
  <c r="DQ23" i="3"/>
  <c r="DP23" i="3"/>
  <c r="DO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EF22" i="3"/>
  <c r="EE22" i="3"/>
  <c r="ED22" i="3"/>
  <c r="EC22" i="3"/>
  <c r="EB22" i="3"/>
  <c r="EA22" i="3"/>
  <c r="DZ22" i="3"/>
  <c r="DY22" i="3"/>
  <c r="DX22" i="3"/>
  <c r="DW22" i="3"/>
  <c r="DV22" i="3"/>
  <c r="DU22" i="3"/>
  <c r="DT22" i="3"/>
  <c r="DS22" i="3"/>
  <c r="DR22" i="3"/>
  <c r="DQ22" i="3"/>
  <c r="DP22" i="3"/>
  <c r="DO22" i="3"/>
  <c r="DN22" i="3"/>
  <c r="DM22" i="3"/>
  <c r="DL22" i="3"/>
  <c r="DK22" i="3"/>
  <c r="DJ22" i="3"/>
  <c r="DI22" i="3"/>
  <c r="DH22" i="3"/>
  <c r="DG22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H22" i="3" s="1"/>
  <c r="E22" i="3"/>
  <c r="D22" i="3"/>
  <c r="EG22" i="3" s="1"/>
  <c r="C22" i="3"/>
  <c r="EF21" i="3"/>
  <c r="EE21" i="3"/>
  <c r="ED21" i="3"/>
  <c r="EC21" i="3"/>
  <c r="EB21" i="3"/>
  <c r="EA21" i="3"/>
  <c r="DZ21" i="3"/>
  <c r="DY21" i="3"/>
  <c r="DX21" i="3"/>
  <c r="DW21" i="3"/>
  <c r="DV21" i="3"/>
  <c r="DU21" i="3"/>
  <c r="DT21" i="3"/>
  <c r="DS21" i="3"/>
  <c r="DR21" i="3"/>
  <c r="DQ21" i="3"/>
  <c r="DP21" i="3"/>
  <c r="DO21" i="3"/>
  <c r="DN21" i="3"/>
  <c r="DM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EF20" i="3"/>
  <c r="EE20" i="3"/>
  <c r="ED20" i="3"/>
  <c r="EC20" i="3"/>
  <c r="EB20" i="3"/>
  <c r="EA20" i="3"/>
  <c r="DZ20" i="3"/>
  <c r="DY20" i="3"/>
  <c r="DX20" i="3"/>
  <c r="DW20" i="3"/>
  <c r="DV20" i="3"/>
  <c r="DU20" i="3"/>
  <c r="DT20" i="3"/>
  <c r="DS20" i="3"/>
  <c r="DR20" i="3"/>
  <c r="DQ20" i="3"/>
  <c r="DP20" i="3"/>
  <c r="DO20" i="3"/>
  <c r="DN20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EH19" i="3"/>
  <c r="EF19" i="3"/>
  <c r="EE19" i="3"/>
  <c r="ED19" i="3"/>
  <c r="EC19" i="3"/>
  <c r="EB19" i="3"/>
  <c r="EA19" i="3"/>
  <c r="DZ19" i="3"/>
  <c r="DY19" i="3"/>
  <c r="DX19" i="3"/>
  <c r="DW19" i="3"/>
  <c r="DV19" i="3"/>
  <c r="DU19" i="3"/>
  <c r="DT19" i="3"/>
  <c r="DS19" i="3"/>
  <c r="DR19" i="3"/>
  <c r="DQ19" i="3"/>
  <c r="DP19" i="3"/>
  <c r="DO19" i="3"/>
  <c r="DN19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EG19" i="3" s="1"/>
  <c r="D19" i="3"/>
  <c r="C19" i="3"/>
  <c r="EF18" i="3"/>
  <c r="EE18" i="3"/>
  <c r="ED18" i="3"/>
  <c r="EC18" i="3"/>
  <c r="EB18" i="3"/>
  <c r="EA18" i="3"/>
  <c r="DZ18" i="3"/>
  <c r="DY18" i="3"/>
  <c r="DX18" i="3"/>
  <c r="DW18" i="3"/>
  <c r="DV18" i="3"/>
  <c r="DU18" i="3"/>
  <c r="DT18" i="3"/>
  <c r="DS18" i="3"/>
  <c r="DR18" i="3"/>
  <c r="DQ18" i="3"/>
  <c r="DP18" i="3"/>
  <c r="DO18" i="3"/>
  <c r="DN18" i="3"/>
  <c r="DM18" i="3"/>
  <c r="DL18" i="3"/>
  <c r="DK18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H18" i="3" s="1"/>
  <c r="E18" i="3"/>
  <c r="D18" i="3"/>
  <c r="C18" i="3"/>
  <c r="EG18" i="3" s="1"/>
  <c r="EF17" i="3"/>
  <c r="EE17" i="3"/>
  <c r="ED17" i="3"/>
  <c r="EC17" i="3"/>
  <c r="EB17" i="3"/>
  <c r="EA17" i="3"/>
  <c r="DZ17" i="3"/>
  <c r="DY17" i="3"/>
  <c r="DX17" i="3"/>
  <c r="DW17" i="3"/>
  <c r="DV17" i="3"/>
  <c r="DU17" i="3"/>
  <c r="DT17" i="3"/>
  <c r="DS17" i="3"/>
  <c r="DR17" i="3"/>
  <c r="DQ17" i="3"/>
  <c r="DP17" i="3"/>
  <c r="DO17" i="3"/>
  <c r="DN17" i="3"/>
  <c r="DM17" i="3"/>
  <c r="DL17" i="3"/>
  <c r="DK17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EF16" i="3"/>
  <c r="EE16" i="3"/>
  <c r="ED16" i="3"/>
  <c r="EC16" i="3"/>
  <c r="EB16" i="3"/>
  <c r="EA16" i="3"/>
  <c r="DZ16" i="3"/>
  <c r="DY16" i="3"/>
  <c r="DX16" i="3"/>
  <c r="DW16" i="3"/>
  <c r="DV16" i="3"/>
  <c r="DU16" i="3"/>
  <c r="DT16" i="3"/>
  <c r="DS16" i="3"/>
  <c r="DR16" i="3"/>
  <c r="DQ16" i="3"/>
  <c r="DP16" i="3"/>
  <c r="DO16" i="3"/>
  <c r="DN16" i="3"/>
  <c r="DM16" i="3"/>
  <c r="DL16" i="3"/>
  <c r="DK16" i="3"/>
  <c r="DJ16" i="3"/>
  <c r="DI16" i="3"/>
  <c r="DH16" i="3"/>
  <c r="DG16" i="3"/>
  <c r="DF16" i="3"/>
  <c r="DE16" i="3"/>
  <c r="DD16" i="3"/>
  <c r="DC16" i="3"/>
  <c r="DB16" i="3"/>
  <c r="DA16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EH16" i="3" s="1"/>
  <c r="D16" i="3"/>
  <c r="C16" i="3"/>
  <c r="EF15" i="3"/>
  <c r="EE15" i="3"/>
  <c r="ED15" i="3"/>
  <c r="EC15" i="3"/>
  <c r="EB15" i="3"/>
  <c r="EA15" i="3"/>
  <c r="DZ15" i="3"/>
  <c r="DY15" i="3"/>
  <c r="DX15" i="3"/>
  <c r="DW15" i="3"/>
  <c r="DV15" i="3"/>
  <c r="DU15" i="3"/>
  <c r="DT15" i="3"/>
  <c r="DS15" i="3"/>
  <c r="DR15" i="3"/>
  <c r="DQ15" i="3"/>
  <c r="DP15" i="3"/>
  <c r="DO15" i="3"/>
  <c r="DN15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EF14" i="3"/>
  <c r="EE14" i="3"/>
  <c r="ED14" i="3"/>
  <c r="EC14" i="3"/>
  <c r="EB14" i="3"/>
  <c r="EA14" i="3"/>
  <c r="DZ14" i="3"/>
  <c r="DY14" i="3"/>
  <c r="DX14" i="3"/>
  <c r="DW14" i="3"/>
  <c r="DV14" i="3"/>
  <c r="DU14" i="3"/>
  <c r="DT14" i="3"/>
  <c r="DS14" i="3"/>
  <c r="DR14" i="3"/>
  <c r="DQ14" i="3"/>
  <c r="DP14" i="3"/>
  <c r="DO14" i="3"/>
  <c r="DN14" i="3"/>
  <c r="DM14" i="3"/>
  <c r="DL14" i="3"/>
  <c r="DK14" i="3"/>
  <c r="DJ14" i="3"/>
  <c r="DI14" i="3"/>
  <c r="DH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EH13" i="3"/>
  <c r="EF13" i="3"/>
  <c r="EE13" i="3"/>
  <c r="ED13" i="3"/>
  <c r="EC13" i="3"/>
  <c r="EB13" i="3"/>
  <c r="EA13" i="3"/>
  <c r="DZ13" i="3"/>
  <c r="DY13" i="3"/>
  <c r="DX13" i="3"/>
  <c r="DW13" i="3"/>
  <c r="DV13" i="3"/>
  <c r="DU13" i="3"/>
  <c r="DT13" i="3"/>
  <c r="DS13" i="3"/>
  <c r="DR13" i="3"/>
  <c r="DQ13" i="3"/>
  <c r="DP13" i="3"/>
  <c r="DO13" i="3"/>
  <c r="DN13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EG13" i="3" s="1"/>
  <c r="C13" i="3"/>
  <c r="EF12" i="3"/>
  <c r="EE12" i="3"/>
  <c r="ED12" i="3"/>
  <c r="EC12" i="3"/>
  <c r="EB12" i="3"/>
  <c r="EA12" i="3"/>
  <c r="DZ12" i="3"/>
  <c r="DY12" i="3"/>
  <c r="DX12" i="3"/>
  <c r="DW12" i="3"/>
  <c r="DV12" i="3"/>
  <c r="DU12" i="3"/>
  <c r="DT12" i="3"/>
  <c r="DS12" i="3"/>
  <c r="DR12" i="3"/>
  <c r="DQ12" i="3"/>
  <c r="DP12" i="3"/>
  <c r="DO12" i="3"/>
  <c r="DN12" i="3"/>
  <c r="DM12" i="3"/>
  <c r="DL12" i="3"/>
  <c r="DK12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EH12" i="3" s="1"/>
  <c r="EH26" i="2"/>
  <c r="EG26" i="2"/>
  <c r="EH24" i="2"/>
  <c r="EI24" i="2" s="1"/>
  <c r="EG24" i="2"/>
  <c r="EH23" i="2"/>
  <c r="EG23" i="2"/>
  <c r="EI23" i="2" s="1"/>
  <c r="EH22" i="2"/>
  <c r="EG22" i="2"/>
  <c r="EI22" i="2" s="1"/>
  <c r="EH21" i="2"/>
  <c r="EG21" i="2"/>
  <c r="EI21" i="2" s="1"/>
  <c r="EH20" i="2"/>
  <c r="EG20" i="2"/>
  <c r="EH19" i="2"/>
  <c r="EG19" i="2"/>
  <c r="EH18" i="2"/>
  <c r="EG18" i="2"/>
  <c r="EI18" i="2" s="1"/>
  <c r="EH17" i="2"/>
  <c r="EG17" i="2"/>
  <c r="EI17" i="2" s="1"/>
  <c r="EH16" i="2"/>
  <c r="EG16" i="2"/>
  <c r="EH15" i="2"/>
  <c r="EG15" i="2"/>
  <c r="EI15" i="2" s="1"/>
  <c r="EH14" i="2"/>
  <c r="EG14" i="2"/>
  <c r="EI14" i="2" s="1"/>
  <c r="EH13" i="2"/>
  <c r="EG13" i="2"/>
  <c r="EH12" i="2"/>
  <c r="EI12" i="2" s="1"/>
  <c r="EG12" i="2"/>
  <c r="EF8" i="1"/>
  <c r="EA8" i="1"/>
  <c r="DZ8" i="1"/>
  <c r="DW8" i="1"/>
  <c r="DU8" i="1"/>
  <c r="DJ8" i="1"/>
  <c r="CY8" i="1"/>
  <c r="CS8" i="1"/>
  <c r="CQ8" i="1"/>
  <c r="CP8" i="1"/>
  <c r="CN8" i="1"/>
  <c r="CH8" i="1"/>
  <c r="CC8" i="1"/>
  <c r="BR8" i="1"/>
  <c r="BL8" i="1"/>
  <c r="BI8" i="1"/>
  <c r="BG8" i="1"/>
  <c r="AV8" i="1"/>
  <c r="AM8" i="1"/>
  <c r="AK8" i="1"/>
  <c r="AE8" i="1"/>
  <c r="AC8" i="1"/>
  <c r="AB8" i="1"/>
  <c r="Z8" i="1"/>
  <c r="O8" i="1"/>
  <c r="G8" i="1"/>
  <c r="F8" i="1"/>
  <c r="D8" i="1"/>
  <c r="EB7" i="1"/>
  <c r="EA7" i="1"/>
  <c r="DQ7" i="1"/>
  <c r="DN7" i="1"/>
  <c r="DL7" i="1"/>
  <c r="DF7" i="1"/>
  <c r="DD7" i="1"/>
  <c r="DC7" i="1"/>
  <c r="DA7" i="1"/>
  <c r="CU7" i="1"/>
  <c r="CJ7" i="1"/>
  <c r="CE7" i="1"/>
  <c r="BY7" i="1"/>
  <c r="BW7" i="1"/>
  <c r="BN7" i="1"/>
  <c r="BC7" i="1"/>
  <c r="AX7" i="1"/>
  <c r="AR7" i="1"/>
  <c r="AP7" i="1"/>
  <c r="AG7" i="1"/>
  <c r="V7" i="1"/>
  <c r="T7" i="1"/>
  <c r="S7" i="1"/>
  <c r="K7" i="1"/>
  <c r="EF6" i="1" a="1"/>
  <c r="EF6" i="1"/>
  <c r="EF7" i="1" s="1"/>
  <c r="EE6" i="1" a="1"/>
  <c r="EE6" i="1" s="1"/>
  <c r="ED6" i="1" a="1"/>
  <c r="ED6" i="1" s="1"/>
  <c r="EC6" i="1" a="1"/>
  <c r="EC6" i="1"/>
  <c r="EB6" i="1" a="1"/>
  <c r="EB6" i="1"/>
  <c r="EB8" i="1" s="1"/>
  <c r="EA6" i="1" a="1"/>
  <c r="EA6" i="1"/>
  <c r="DZ6" i="1" a="1"/>
  <c r="DZ6" i="1"/>
  <c r="DZ7" i="1" s="1"/>
  <c r="DY6" i="1" a="1"/>
  <c r="DY6" i="1"/>
  <c r="DY8" i="1" s="1"/>
  <c r="DX6" i="1" a="1"/>
  <c r="DX6" i="1" s="1"/>
  <c r="DW6" i="1" a="1"/>
  <c r="DW6" i="1" s="1"/>
  <c r="DW7" i="1" s="1"/>
  <c r="DV6" i="1" a="1"/>
  <c r="DV6" i="1" s="1"/>
  <c r="DU6" i="1" a="1"/>
  <c r="DU6" i="1"/>
  <c r="DU7" i="1" s="1"/>
  <c r="DT6" i="1" a="1"/>
  <c r="DT6" i="1" s="1"/>
  <c r="DS6" i="1" a="1"/>
  <c r="DS6" i="1"/>
  <c r="DR6" i="1" a="1"/>
  <c r="DR6" i="1"/>
  <c r="DQ6" i="1" a="1"/>
  <c r="DQ6" i="1"/>
  <c r="DQ8" i="1" s="1"/>
  <c r="DP6" i="1" a="1"/>
  <c r="DP6" i="1" s="1"/>
  <c r="DO6" i="1" a="1"/>
  <c r="DO6" i="1"/>
  <c r="DO8" i="1" s="1"/>
  <c r="DN6" i="1" a="1"/>
  <c r="DN6" i="1"/>
  <c r="DN8" i="1" s="1"/>
  <c r="DM6" i="1" a="1"/>
  <c r="DM6" i="1" s="1"/>
  <c r="DL6" i="1" a="1"/>
  <c r="DL6" i="1" s="1"/>
  <c r="DL8" i="1" s="1"/>
  <c r="DK6" i="1" a="1"/>
  <c r="DK6" i="1" s="1"/>
  <c r="DJ6" i="1" a="1"/>
  <c r="DJ6" i="1"/>
  <c r="DJ7" i="1" s="1"/>
  <c r="DI6" i="1" a="1"/>
  <c r="DI6" i="1" s="1"/>
  <c r="DH6" i="1" a="1"/>
  <c r="DH6" i="1"/>
  <c r="DG6" i="1" a="1"/>
  <c r="DG6" i="1"/>
  <c r="DF6" i="1" a="1"/>
  <c r="DF6" i="1"/>
  <c r="DF8" i="1" s="1"/>
  <c r="DE6" i="1" a="1"/>
  <c r="DE6" i="1" s="1"/>
  <c r="DD6" i="1" a="1"/>
  <c r="DD6" i="1"/>
  <c r="DD8" i="1" s="1"/>
  <c r="DC6" i="1" a="1"/>
  <c r="DC6" i="1"/>
  <c r="DC8" i="1" s="1"/>
  <c r="DB6" i="1" a="1"/>
  <c r="DB6" i="1" s="1"/>
  <c r="DA6" i="1" a="1"/>
  <c r="DA6" i="1" s="1"/>
  <c r="DA8" i="1" s="1"/>
  <c r="CZ6" i="1" a="1"/>
  <c r="CZ6" i="1" s="1"/>
  <c r="CY6" i="1" a="1"/>
  <c r="CY6" i="1"/>
  <c r="CY7" i="1" s="1"/>
  <c r="CX6" i="1" a="1"/>
  <c r="CX6" i="1" s="1"/>
  <c r="CW6" i="1" a="1"/>
  <c r="CW6" i="1"/>
  <c r="CV6" i="1" a="1"/>
  <c r="CV6" i="1"/>
  <c r="CU6" i="1" a="1"/>
  <c r="CU6" i="1"/>
  <c r="CU8" i="1" s="1"/>
  <c r="CT6" i="1" a="1"/>
  <c r="CT6" i="1" s="1"/>
  <c r="CS6" i="1" a="1"/>
  <c r="CS6" i="1"/>
  <c r="CS7" i="1" s="1"/>
  <c r="CR6" i="1" a="1"/>
  <c r="CR6" i="1"/>
  <c r="CR8" i="1" s="1"/>
  <c r="CQ6" i="1" a="1"/>
  <c r="CQ6" i="1"/>
  <c r="CQ7" i="1" s="1"/>
  <c r="CP6" i="1" a="1"/>
  <c r="CP6" i="1" s="1"/>
  <c r="CP7" i="1" s="1"/>
  <c r="CO6" i="1" a="1"/>
  <c r="CO6" i="1" s="1"/>
  <c r="CN6" i="1" a="1"/>
  <c r="CN6" i="1"/>
  <c r="CN7" i="1" s="1"/>
  <c r="CM6" i="1" a="1"/>
  <c r="CM6" i="1"/>
  <c r="CL6" i="1" a="1"/>
  <c r="CL6" i="1" s="1"/>
  <c r="CK6" i="1" a="1"/>
  <c r="CK6" i="1"/>
  <c r="CJ6" i="1" a="1"/>
  <c r="CJ6" i="1"/>
  <c r="CJ8" i="1" s="1"/>
  <c r="CI6" i="1" a="1"/>
  <c r="CI6" i="1" s="1"/>
  <c r="CH6" i="1" a="1"/>
  <c r="CH6" i="1"/>
  <c r="CH7" i="1" s="1"/>
  <c r="CG6" i="1" a="1"/>
  <c r="CG6" i="1"/>
  <c r="CG8" i="1" s="1"/>
  <c r="CF6" i="1" a="1"/>
  <c r="CF6" i="1" s="1"/>
  <c r="CE6" i="1" a="1"/>
  <c r="CE6" i="1" s="1"/>
  <c r="CE8" i="1" s="1"/>
  <c r="CD6" i="1" a="1"/>
  <c r="CD6" i="1" s="1"/>
  <c r="CC6" i="1" a="1"/>
  <c r="CC6" i="1"/>
  <c r="CC7" i="1" s="1"/>
  <c r="CB6" i="1" a="1"/>
  <c r="CB6" i="1" s="1"/>
  <c r="CA6" i="1" a="1"/>
  <c r="CA6" i="1"/>
  <c r="BZ6" i="1" a="1"/>
  <c r="BZ6" i="1" s="1"/>
  <c r="BY6" i="1" a="1"/>
  <c r="BY6" i="1"/>
  <c r="BY8" i="1" s="1"/>
  <c r="BX6" i="1" a="1"/>
  <c r="BX6" i="1" s="1"/>
  <c r="BW6" i="1" a="1"/>
  <c r="BW6" i="1"/>
  <c r="BW8" i="1" s="1"/>
  <c r="BV6" i="1" a="1"/>
  <c r="BV6" i="1" s="1"/>
  <c r="BU6" i="1" a="1"/>
  <c r="BU6" i="1"/>
  <c r="BU7" i="1" s="1"/>
  <c r="BT6" i="1" a="1"/>
  <c r="BT6" i="1" s="1"/>
  <c r="BT7" i="1" s="1"/>
  <c r="BS6" i="1" a="1"/>
  <c r="BS6" i="1" s="1"/>
  <c r="BR6" i="1" a="1"/>
  <c r="BR6" i="1"/>
  <c r="BR7" i="1" s="1"/>
  <c r="BQ6" i="1" a="1"/>
  <c r="BQ6" i="1"/>
  <c r="BP6" i="1" a="1"/>
  <c r="BP6" i="1"/>
  <c r="BO6" i="1" a="1"/>
  <c r="BO6" i="1"/>
  <c r="BN6" i="1" a="1"/>
  <c r="BN6" i="1"/>
  <c r="BN8" i="1" s="1"/>
  <c r="BM6" i="1" a="1"/>
  <c r="BM6" i="1" s="1"/>
  <c r="BL6" i="1" a="1"/>
  <c r="BL6" i="1"/>
  <c r="BL7" i="1" s="1"/>
  <c r="BK6" i="1" a="1"/>
  <c r="BK6" i="1"/>
  <c r="BK8" i="1" s="1"/>
  <c r="BJ6" i="1" a="1"/>
  <c r="BJ6" i="1"/>
  <c r="BJ7" i="1" s="1"/>
  <c r="BI6" i="1" a="1"/>
  <c r="BI6" i="1" s="1"/>
  <c r="BI7" i="1" s="1"/>
  <c r="BH6" i="1" a="1"/>
  <c r="BH6" i="1" s="1"/>
  <c r="BG6" i="1" a="1"/>
  <c r="BG6" i="1"/>
  <c r="BG7" i="1" s="1"/>
  <c r="BF6" i="1" a="1"/>
  <c r="BF6" i="1" s="1"/>
  <c r="BE6" i="1" a="1"/>
  <c r="BE6" i="1"/>
  <c r="BD6" i="1" a="1"/>
  <c r="BD6" i="1"/>
  <c r="BC6" i="1" a="1"/>
  <c r="BC6" i="1"/>
  <c r="BC8" i="1" s="1"/>
  <c r="BB6" i="1" a="1"/>
  <c r="BB6" i="1" s="1"/>
  <c r="BA6" i="1" a="1"/>
  <c r="BA6" i="1"/>
  <c r="BA8" i="1" s="1"/>
  <c r="AZ6" i="1" a="1"/>
  <c r="AZ6" i="1" s="1"/>
  <c r="AY6" i="1" a="1"/>
  <c r="AY6" i="1"/>
  <c r="AY7" i="1" s="1"/>
  <c r="AX6" i="1" a="1"/>
  <c r="AX6" i="1" s="1"/>
  <c r="AX8" i="1" s="1"/>
  <c r="AW6" i="1" a="1"/>
  <c r="AW6" i="1" s="1"/>
  <c r="AV6" i="1" a="1"/>
  <c r="AV6" i="1"/>
  <c r="AV7" i="1" s="1"/>
  <c r="AU6" i="1" a="1"/>
  <c r="AU6" i="1"/>
  <c r="AT6" i="1" a="1"/>
  <c r="AT6" i="1" s="1"/>
  <c r="AS6" i="1" a="1"/>
  <c r="AS6" i="1"/>
  <c r="AR6" i="1" a="1"/>
  <c r="AR6" i="1"/>
  <c r="AR8" i="1" s="1"/>
  <c r="AQ6" i="1" a="1"/>
  <c r="AQ6" i="1" s="1"/>
  <c r="AP6" i="1" a="1"/>
  <c r="AP6" i="1"/>
  <c r="AP8" i="1" s="1"/>
  <c r="AO6" i="1" a="1"/>
  <c r="AO6" i="1"/>
  <c r="AO8" i="1" s="1"/>
  <c r="AN6" i="1" a="1"/>
  <c r="AN6" i="1" s="1"/>
  <c r="AM6" i="1" a="1"/>
  <c r="AM6" i="1" s="1"/>
  <c r="AM7" i="1" s="1"/>
  <c r="AL6" i="1" a="1"/>
  <c r="AL6" i="1" s="1"/>
  <c r="AK6" i="1" a="1"/>
  <c r="AK6" i="1"/>
  <c r="AK7" i="1" s="1"/>
  <c r="AJ6" i="1" a="1"/>
  <c r="AJ6" i="1"/>
  <c r="AI6" i="1" a="1"/>
  <c r="AI6" i="1"/>
  <c r="AH6" i="1" a="1"/>
  <c r="AH6" i="1"/>
  <c r="AG6" i="1" a="1"/>
  <c r="AG6" i="1"/>
  <c r="AG8" i="1" s="1"/>
  <c r="AF6" i="1" a="1"/>
  <c r="AF6" i="1" s="1"/>
  <c r="AE6" i="1" a="1"/>
  <c r="AE6" i="1"/>
  <c r="AE7" i="1" s="1"/>
  <c r="AD6" i="1" a="1"/>
  <c r="AD6" i="1"/>
  <c r="AD8" i="1" s="1"/>
  <c r="AC6" i="1" a="1"/>
  <c r="AC6" i="1"/>
  <c r="AC7" i="1" s="1"/>
  <c r="AB6" i="1" a="1"/>
  <c r="AB6" i="1" s="1"/>
  <c r="AB7" i="1" s="1"/>
  <c r="AA6" i="1" a="1"/>
  <c r="AA6" i="1" s="1"/>
  <c r="Z6" i="1" a="1"/>
  <c r="Z6" i="1"/>
  <c r="Z7" i="1" s="1"/>
  <c r="Y6" i="1" a="1"/>
  <c r="Y6" i="1"/>
  <c r="X6" i="1" a="1"/>
  <c r="X6" i="1"/>
  <c r="W6" i="1" a="1"/>
  <c r="W6" i="1" s="1"/>
  <c r="V6" i="1" a="1"/>
  <c r="V6" i="1"/>
  <c r="V8" i="1" s="1"/>
  <c r="U6" i="1" a="1"/>
  <c r="U6" i="1" s="1"/>
  <c r="T6" i="1" a="1"/>
  <c r="T6" i="1"/>
  <c r="T8" i="1" s="1"/>
  <c r="S6" i="1" a="1"/>
  <c r="S6" i="1"/>
  <c r="S8" i="1" s="1"/>
  <c r="R6" i="1" a="1"/>
  <c r="R6" i="1"/>
  <c r="R7" i="1" s="1"/>
  <c r="Q6" i="1" a="1"/>
  <c r="Q6" i="1" s="1"/>
  <c r="Q8" i="1" s="1"/>
  <c r="P6" i="1" a="1"/>
  <c r="P6" i="1" s="1"/>
  <c r="O6" i="1" a="1"/>
  <c r="O6" i="1"/>
  <c r="O7" i="1" s="1"/>
  <c r="N6" i="1" a="1"/>
  <c r="N6" i="1" s="1"/>
  <c r="M6" i="1" a="1"/>
  <c r="M6" i="1"/>
  <c r="L6" i="1" a="1"/>
  <c r="L6" i="1"/>
  <c r="K6" i="1" a="1"/>
  <c r="K6" i="1"/>
  <c r="K8" i="1" s="1"/>
  <c r="J6" i="1" a="1"/>
  <c r="J6" i="1" s="1"/>
  <c r="I6" i="1" a="1"/>
  <c r="I6" i="1"/>
  <c r="I7" i="1" s="1"/>
  <c r="H6" i="1" a="1"/>
  <c r="H6" i="1" s="1"/>
  <c r="G6" i="1" a="1"/>
  <c r="G6" i="1"/>
  <c r="G7" i="1" s="1"/>
  <c r="F6" i="1" a="1"/>
  <c r="F6" i="1" s="1"/>
  <c r="F7" i="1" s="1"/>
  <c r="E6" i="1" a="1"/>
  <c r="E6" i="1" s="1"/>
  <c r="D6" i="1" a="1"/>
  <c r="D6" i="1"/>
  <c r="D7" i="1" s="1"/>
  <c r="C6" i="1" a="1"/>
  <c r="C6" i="1"/>
  <c r="EI13" i="2" l="1"/>
  <c r="EI19" i="2"/>
  <c r="EI20" i="2"/>
  <c r="EI16" i="2"/>
  <c r="AM7" i="8"/>
  <c r="AM8" i="8"/>
  <c r="E7" i="8"/>
  <c r="E8" i="8"/>
  <c r="AE8" i="8"/>
  <c r="AE7" i="8"/>
  <c r="F7" i="8"/>
  <c r="F8" i="8"/>
  <c r="AF8" i="8"/>
  <c r="AF7" i="8"/>
  <c r="AN7" i="8"/>
  <c r="AN8" i="8"/>
  <c r="BW8" i="8"/>
  <c r="BW7" i="8"/>
  <c r="CE7" i="8"/>
  <c r="CE8" i="8"/>
  <c r="CW8" i="8"/>
  <c r="CW7" i="8"/>
  <c r="DF8" i="8"/>
  <c r="DF7" i="8"/>
  <c r="DN7" i="8"/>
  <c r="DN8" i="8"/>
  <c r="G7" i="8"/>
  <c r="G8" i="8"/>
  <c r="X8" i="8"/>
  <c r="X7" i="8"/>
  <c r="AG8" i="8"/>
  <c r="AG7" i="8"/>
  <c r="AO7" i="8"/>
  <c r="AO8" i="8"/>
  <c r="AW7" i="8"/>
  <c r="AW8" i="8"/>
  <c r="BX8" i="8"/>
  <c r="BX7" i="8"/>
  <c r="CF7" i="8"/>
  <c r="CF8" i="8"/>
  <c r="DO8" i="8"/>
  <c r="DO7" i="8"/>
  <c r="ED8" i="8"/>
  <c r="ED7" i="8"/>
  <c r="H7" i="8"/>
  <c r="H8" i="8"/>
  <c r="AP8" i="8"/>
  <c r="AP7" i="8"/>
  <c r="AX7" i="8"/>
  <c r="AX8" i="8"/>
  <c r="BP8" i="8"/>
  <c r="BP7" i="8"/>
  <c r="BY8" i="8"/>
  <c r="BY7" i="8"/>
  <c r="CG7" i="8"/>
  <c r="CG8" i="8"/>
  <c r="CO7" i="8"/>
  <c r="CO8" i="8"/>
  <c r="DP8" i="8"/>
  <c r="DP7" i="8"/>
  <c r="DE8" i="8"/>
  <c r="DE7" i="8"/>
  <c r="P7" i="8"/>
  <c r="P8" i="8"/>
  <c r="AQ8" i="8"/>
  <c r="AQ7" i="8"/>
  <c r="AY7" i="8"/>
  <c r="AY8" i="8"/>
  <c r="CH8" i="8"/>
  <c r="CH7" i="8"/>
  <c r="CP7" i="8"/>
  <c r="CP8" i="8"/>
  <c r="DH8" i="8"/>
  <c r="DH7" i="8"/>
  <c r="DQ8" i="8"/>
  <c r="DQ7" i="8"/>
  <c r="DM7" i="8"/>
  <c r="DM8" i="8"/>
  <c r="Q7" i="8"/>
  <c r="Q8" i="8"/>
  <c r="AI8" i="8"/>
  <c r="AI7" i="8"/>
  <c r="AR8" i="8"/>
  <c r="AR7" i="8"/>
  <c r="AZ7" i="8"/>
  <c r="AZ8" i="8"/>
  <c r="BH8" i="8"/>
  <c r="BH7" i="8"/>
  <c r="CI8" i="8"/>
  <c r="CI7" i="8"/>
  <c r="CQ7" i="8"/>
  <c r="CQ8" i="8"/>
  <c r="DX7" i="8"/>
  <c r="DX8" i="8"/>
  <c r="BE8" i="8"/>
  <c r="BE7" i="8"/>
  <c r="J8" i="8"/>
  <c r="J7" i="8"/>
  <c r="R7" i="8"/>
  <c r="R8" i="8"/>
  <c r="BA8" i="8"/>
  <c r="BA7" i="8"/>
  <c r="BI7" i="8"/>
  <c r="BI8" i="8"/>
  <c r="CA8" i="8"/>
  <c r="CA7" i="8"/>
  <c r="CJ8" i="8"/>
  <c r="CJ7" i="8"/>
  <c r="CR7" i="8"/>
  <c r="CR8" i="8"/>
  <c r="CZ7" i="8"/>
  <c r="CZ8" i="8"/>
  <c r="DY7" i="8"/>
  <c r="DY8" i="8"/>
  <c r="K8" i="8"/>
  <c r="K7" i="8"/>
  <c r="S7" i="8"/>
  <c r="S8" i="8"/>
  <c r="AA7" i="8"/>
  <c r="AA8" i="8"/>
  <c r="BB8" i="8"/>
  <c r="BB7" i="8"/>
  <c r="BJ8" i="8"/>
  <c r="BJ7" i="8"/>
  <c r="CS8" i="8"/>
  <c r="CS7" i="8"/>
  <c r="DA7" i="8"/>
  <c r="DA8" i="8"/>
  <c r="DS8" i="8"/>
  <c r="DS7" i="8"/>
  <c r="BN8" i="8"/>
  <c r="BN7" i="8"/>
  <c r="T8" i="8"/>
  <c r="T7" i="8"/>
  <c r="AB7" i="8"/>
  <c r="AB8" i="8"/>
  <c r="AT8" i="8"/>
  <c r="AT7" i="8"/>
  <c r="BC8" i="8"/>
  <c r="BC7" i="8"/>
  <c r="BK7" i="8"/>
  <c r="BK8" i="8"/>
  <c r="BS7" i="8"/>
  <c r="BS8" i="8"/>
  <c r="CT8" i="8"/>
  <c r="CT7" i="8"/>
  <c r="DB8" i="8"/>
  <c r="DB7" i="8"/>
  <c r="BV7" i="8"/>
  <c r="BV8" i="8"/>
  <c r="U8" i="8"/>
  <c r="U7" i="8"/>
  <c r="AC7" i="8"/>
  <c r="AC8" i="8"/>
  <c r="BL8" i="8"/>
  <c r="BL7" i="8"/>
  <c r="BT7" i="8"/>
  <c r="BT8" i="8"/>
  <c r="CL8" i="8"/>
  <c r="CL7" i="8"/>
  <c r="CU8" i="8"/>
  <c r="CU7" i="8"/>
  <c r="DC7" i="8"/>
  <c r="DC8" i="8"/>
  <c r="DK7" i="8"/>
  <c r="DK8" i="8"/>
  <c r="EA8" i="8"/>
  <c r="EA7" i="8"/>
  <c r="CD7" i="8"/>
  <c r="CD8" i="8"/>
  <c r="M8" i="8"/>
  <c r="M7" i="8"/>
  <c r="V8" i="8"/>
  <c r="V7" i="8"/>
  <c r="AD8" i="8"/>
  <c r="AD7" i="8"/>
  <c r="AL7" i="8"/>
  <c r="AL8" i="8"/>
  <c r="BM8" i="8"/>
  <c r="BM7" i="8"/>
  <c r="BU8" i="8"/>
  <c r="BU7" i="8"/>
  <c r="DD8" i="8"/>
  <c r="DD7" i="8"/>
  <c r="DL7" i="8"/>
  <c r="DL8" i="8"/>
  <c r="EB8" i="8"/>
  <c r="EB7" i="8"/>
  <c r="L7" i="8"/>
  <c r="W7" i="8"/>
  <c r="AH7" i="8"/>
  <c r="AS7" i="8"/>
  <c r="BD7" i="8"/>
  <c r="BO7" i="8"/>
  <c r="BZ7" i="8"/>
  <c r="CK7" i="8"/>
  <c r="CV7" i="8"/>
  <c r="DG7" i="8"/>
  <c r="DR7" i="8"/>
  <c r="EC7" i="8"/>
  <c r="C7" i="8"/>
  <c r="N7" i="8"/>
  <c r="Y7" i="8"/>
  <c r="AJ7" i="8"/>
  <c r="AU7" i="8"/>
  <c r="BF7" i="8"/>
  <c r="BQ7" i="8"/>
  <c r="CB7" i="8"/>
  <c r="CM7" i="8"/>
  <c r="CX7" i="8"/>
  <c r="DI7" i="8"/>
  <c r="DT7" i="8"/>
  <c r="EE7" i="8"/>
  <c r="D7" i="8"/>
  <c r="O7" i="8"/>
  <c r="Z7" i="8"/>
  <c r="AK7" i="8"/>
  <c r="AV7" i="8"/>
  <c r="BG7" i="8"/>
  <c r="BR7" i="8"/>
  <c r="CC7" i="8"/>
  <c r="CN7" i="8"/>
  <c r="CY7" i="8"/>
  <c r="DJ7" i="8"/>
  <c r="DU7" i="8"/>
  <c r="EF7" i="8"/>
  <c r="Q7" i="5"/>
  <c r="Q8" i="5"/>
  <c r="AP8" i="5"/>
  <c r="AP7" i="5"/>
  <c r="AY8" i="5"/>
  <c r="AY7" i="5"/>
  <c r="BH7" i="5"/>
  <c r="BH8" i="5"/>
  <c r="BQ8" i="5"/>
  <c r="BQ7" i="5"/>
  <c r="CQ8" i="5"/>
  <c r="CQ7" i="5"/>
  <c r="I8" i="5"/>
  <c r="I7" i="5"/>
  <c r="R8" i="5"/>
  <c r="R7" i="5"/>
  <c r="Y8" i="5"/>
  <c r="Y7" i="5"/>
  <c r="AQ8" i="5"/>
  <c r="AQ7" i="5"/>
  <c r="AZ8" i="5"/>
  <c r="AZ7" i="5"/>
  <c r="BI7" i="5"/>
  <c r="BI8" i="5"/>
  <c r="BR8" i="5"/>
  <c r="BR7" i="5"/>
  <c r="CI8" i="5"/>
  <c r="CI7" i="5"/>
  <c r="CR8" i="5"/>
  <c r="CR7" i="5"/>
  <c r="J8" i="5"/>
  <c r="J7" i="5"/>
  <c r="Z8" i="5"/>
  <c r="Z7" i="5"/>
  <c r="AR8" i="5"/>
  <c r="AR7" i="5"/>
  <c r="BA8" i="5"/>
  <c r="BA7" i="5"/>
  <c r="BJ8" i="5"/>
  <c r="BJ7" i="5"/>
  <c r="BS7" i="5"/>
  <c r="BS8" i="5"/>
  <c r="CJ8" i="5"/>
  <c r="CJ7" i="5"/>
  <c r="CS8" i="5"/>
  <c r="CS7" i="5"/>
  <c r="K8" i="5"/>
  <c r="K7" i="5"/>
  <c r="AA7" i="5"/>
  <c r="AA8" i="5"/>
  <c r="BB8" i="5"/>
  <c r="BB7" i="5"/>
  <c r="BK8" i="5"/>
  <c r="BK7" i="5"/>
  <c r="BT7" i="5"/>
  <c r="BT8" i="5"/>
  <c r="CT8" i="5"/>
  <c r="CT7" i="5"/>
  <c r="DP8" i="5"/>
  <c r="DP7" i="5"/>
  <c r="AB7" i="5"/>
  <c r="AB8" i="5"/>
  <c r="AJ8" i="5"/>
  <c r="AJ7" i="5"/>
  <c r="BC8" i="5"/>
  <c r="BC7" i="5"/>
  <c r="BL8" i="5"/>
  <c r="BL7" i="5"/>
  <c r="BU8" i="5"/>
  <c r="BU7" i="5"/>
  <c r="CB8" i="5"/>
  <c r="CB7" i="5"/>
  <c r="CU8" i="5"/>
  <c r="CU7" i="5"/>
  <c r="DB8" i="5"/>
  <c r="DB7" i="5"/>
  <c r="DI8" i="5"/>
  <c r="DI7" i="5"/>
  <c r="DQ8" i="5"/>
  <c r="DQ7" i="5"/>
  <c r="DX8" i="5"/>
  <c r="DX7" i="5"/>
  <c r="EE8" i="5"/>
  <c r="EE7" i="5"/>
  <c r="C8" i="5"/>
  <c r="C7" i="5"/>
  <c r="AC8" i="5"/>
  <c r="AC7" i="5"/>
  <c r="AK8" i="5"/>
  <c r="AK7" i="5"/>
  <c r="BM8" i="5"/>
  <c r="BM7" i="5"/>
  <c r="CC8" i="5"/>
  <c r="CC7" i="5"/>
  <c r="DJ8" i="5"/>
  <c r="DJ7" i="5"/>
  <c r="EF8" i="5"/>
  <c r="EF7" i="5"/>
  <c r="D8" i="5"/>
  <c r="D7" i="5"/>
  <c r="U8" i="5"/>
  <c r="U7" i="5"/>
  <c r="AL7" i="5"/>
  <c r="AL8" i="5"/>
  <c r="BN8" i="5"/>
  <c r="BN7" i="5"/>
  <c r="CD7" i="5"/>
  <c r="CD8" i="5"/>
  <c r="DK7" i="5"/>
  <c r="DK8" i="5"/>
  <c r="E7" i="5"/>
  <c r="E8" i="5"/>
  <c r="V8" i="5"/>
  <c r="V7" i="5"/>
  <c r="AM7" i="5"/>
  <c r="AM8" i="5"/>
  <c r="AU8" i="5"/>
  <c r="AU7" i="5"/>
  <c r="CE7" i="5"/>
  <c r="CE8" i="5"/>
  <c r="CM8" i="5"/>
  <c r="CM7" i="5"/>
  <c r="F7" i="5"/>
  <c r="F8" i="5"/>
  <c r="N8" i="5"/>
  <c r="N7" i="5"/>
  <c r="AE8" i="5"/>
  <c r="AE7" i="5"/>
  <c r="AN8" i="5"/>
  <c r="AN7" i="5"/>
  <c r="AV8" i="5"/>
  <c r="AV7" i="5"/>
  <c r="CF8" i="5"/>
  <c r="CF7" i="5"/>
  <c r="CN8" i="5"/>
  <c r="CN7" i="5"/>
  <c r="G8" i="5"/>
  <c r="G7" i="5"/>
  <c r="O8" i="5"/>
  <c r="O7" i="5"/>
  <c r="AF8" i="5"/>
  <c r="AF7" i="5"/>
  <c r="AW7" i="5"/>
  <c r="AW8" i="5"/>
  <c r="BF8" i="5"/>
  <c r="BF7" i="5"/>
  <c r="BX8" i="5"/>
  <c r="BX7" i="5"/>
  <c r="CG8" i="5"/>
  <c r="CG7" i="5"/>
  <c r="CO7" i="5"/>
  <c r="CO8" i="5"/>
  <c r="CX8" i="5"/>
  <c r="CX7" i="5"/>
  <c r="DE8" i="5"/>
  <c r="DE7" i="5"/>
  <c r="DM8" i="5"/>
  <c r="DM7" i="5"/>
  <c r="DT8" i="5"/>
  <c r="DT7" i="5"/>
  <c r="EA8" i="5"/>
  <c r="EA7" i="5"/>
  <c r="P7" i="5"/>
  <c r="P8" i="5"/>
  <c r="AG8" i="5"/>
  <c r="AG7" i="5"/>
  <c r="AX7" i="5"/>
  <c r="AX8" i="5"/>
  <c r="BG8" i="5"/>
  <c r="BG7" i="5"/>
  <c r="BY8" i="5"/>
  <c r="BY7" i="5"/>
  <c r="CP7" i="5"/>
  <c r="CP8" i="5"/>
  <c r="CY8" i="5"/>
  <c r="CY7" i="5"/>
  <c r="DF8" i="5"/>
  <c r="DF7" i="5"/>
  <c r="DU8" i="5"/>
  <c r="DU7" i="5"/>
  <c r="EB8" i="5"/>
  <c r="EB7" i="5"/>
  <c r="H7" i="5"/>
  <c r="S7" i="5"/>
  <c r="AD7" i="5"/>
  <c r="AO7" i="5"/>
  <c r="BV7" i="5"/>
  <c r="DC7" i="5"/>
  <c r="DN7" i="5"/>
  <c r="DY7" i="5"/>
  <c r="T7" i="5"/>
  <c r="BW7" i="5"/>
  <c r="CH7" i="5"/>
  <c r="DD7" i="5"/>
  <c r="DO7" i="5"/>
  <c r="DZ7" i="5"/>
  <c r="L7" i="5"/>
  <c r="W7" i="5"/>
  <c r="AH7" i="5"/>
  <c r="AS7" i="5"/>
  <c r="BD7" i="5"/>
  <c r="BO7" i="5"/>
  <c r="BZ7" i="5"/>
  <c r="CK7" i="5"/>
  <c r="CV7" i="5"/>
  <c r="DG7" i="5"/>
  <c r="DR7" i="5"/>
  <c r="EC7" i="5"/>
  <c r="M7" i="5"/>
  <c r="X7" i="5"/>
  <c r="AI7" i="5"/>
  <c r="AT7" i="5"/>
  <c r="BE7" i="5"/>
  <c r="BP7" i="5"/>
  <c r="CA7" i="5"/>
  <c r="CL7" i="5"/>
  <c r="CW7" i="5"/>
  <c r="DH7" i="5"/>
  <c r="DS7" i="5"/>
  <c r="ED7" i="5"/>
  <c r="H7" i="4"/>
  <c r="H8" i="4"/>
  <c r="P7" i="4"/>
  <c r="P8" i="4"/>
  <c r="Y8" i="4"/>
  <c r="Y7" i="4"/>
  <c r="AQ8" i="4"/>
  <c r="AQ7" i="4"/>
  <c r="AX7" i="4"/>
  <c r="AX8" i="4"/>
  <c r="CG7" i="4"/>
  <c r="CG8" i="4"/>
  <c r="CO7" i="4"/>
  <c r="CO8" i="4"/>
  <c r="CX8" i="4"/>
  <c r="CX7" i="4"/>
  <c r="DP8" i="4"/>
  <c r="DP7" i="4"/>
  <c r="DX8" i="4"/>
  <c r="DX7" i="4"/>
  <c r="I8" i="4"/>
  <c r="I7" i="4"/>
  <c r="Q7" i="4"/>
  <c r="Q8" i="4"/>
  <c r="AY7" i="4"/>
  <c r="AY8" i="4"/>
  <c r="BP8" i="4"/>
  <c r="BP7" i="4"/>
  <c r="CH8" i="4"/>
  <c r="CH7" i="4"/>
  <c r="CP7" i="4"/>
  <c r="CP8" i="4"/>
  <c r="DY7" i="4"/>
  <c r="DY8" i="4"/>
  <c r="J8" i="4"/>
  <c r="J7" i="4"/>
  <c r="R8" i="4"/>
  <c r="R7" i="4"/>
  <c r="AI8" i="4"/>
  <c r="AI7" i="4"/>
  <c r="AZ7" i="4"/>
  <c r="AZ8" i="4"/>
  <c r="BH8" i="4"/>
  <c r="BH7" i="4"/>
  <c r="BQ8" i="4"/>
  <c r="BQ7" i="4"/>
  <c r="CI8" i="4"/>
  <c r="CI7" i="4"/>
  <c r="CQ7" i="4"/>
  <c r="CQ8" i="4"/>
  <c r="DH8" i="4"/>
  <c r="DH7" i="4"/>
  <c r="DZ8" i="4"/>
  <c r="DZ7" i="4"/>
  <c r="S8" i="4"/>
  <c r="S7" i="4"/>
  <c r="AA8" i="4"/>
  <c r="AA7" i="4"/>
  <c r="AJ8" i="4"/>
  <c r="AJ7" i="4"/>
  <c r="BA8" i="4"/>
  <c r="BA7" i="4"/>
  <c r="BI7" i="4"/>
  <c r="BI8" i="4"/>
  <c r="CR8" i="4"/>
  <c r="CR7" i="4"/>
  <c r="CZ7" i="4"/>
  <c r="CZ8" i="4"/>
  <c r="DI8" i="4"/>
  <c r="DI7" i="4"/>
  <c r="EA8" i="4"/>
  <c r="EA7" i="4"/>
  <c r="T8" i="4"/>
  <c r="T7" i="4"/>
  <c r="AB7" i="4"/>
  <c r="AB8" i="4"/>
  <c r="BB8" i="4"/>
  <c r="BB7" i="4"/>
  <c r="BJ8" i="4"/>
  <c r="BJ7" i="4"/>
  <c r="CA8" i="4"/>
  <c r="CA7" i="4"/>
  <c r="CS8" i="4"/>
  <c r="CS7" i="4"/>
  <c r="DA7" i="4"/>
  <c r="DA8" i="4"/>
  <c r="EB8" i="4"/>
  <c r="EB7" i="4"/>
  <c r="C8" i="4"/>
  <c r="C7" i="4"/>
  <c r="U8" i="4"/>
  <c r="U7" i="4"/>
  <c r="AC7" i="4"/>
  <c r="AC8" i="4"/>
  <c r="BK8" i="4"/>
  <c r="BK7" i="4"/>
  <c r="BS7" i="4"/>
  <c r="BS8" i="4"/>
  <c r="CB8" i="4"/>
  <c r="CB7" i="4"/>
  <c r="CT8" i="4"/>
  <c r="CT7" i="4"/>
  <c r="DB8" i="4"/>
  <c r="DB7" i="4"/>
  <c r="DS8" i="4"/>
  <c r="DS7" i="4"/>
  <c r="AD7" i="4"/>
  <c r="AD8" i="4"/>
  <c r="AL7" i="4"/>
  <c r="AL8" i="4"/>
  <c r="BL8" i="4"/>
  <c r="BL7" i="4"/>
  <c r="BT7" i="4"/>
  <c r="BT8" i="4"/>
  <c r="DC7" i="4"/>
  <c r="DC8" i="4"/>
  <c r="DK7" i="4"/>
  <c r="DK8" i="4"/>
  <c r="DT8" i="4"/>
  <c r="DT7" i="4"/>
  <c r="BM8" i="4"/>
  <c r="BM7" i="4"/>
  <c r="CL8" i="4"/>
  <c r="CL7" i="4"/>
  <c r="E8" i="4"/>
  <c r="E7" i="4"/>
  <c r="N8" i="4"/>
  <c r="N7" i="4"/>
  <c r="AF8" i="4"/>
  <c r="AF7" i="4"/>
  <c r="AN8" i="4"/>
  <c r="AN7" i="4"/>
  <c r="BV8" i="4"/>
  <c r="BV7" i="4"/>
  <c r="CD7" i="4"/>
  <c r="CD8" i="4"/>
  <c r="CM8" i="4"/>
  <c r="CM7" i="4"/>
  <c r="DE8" i="4"/>
  <c r="DE7" i="4"/>
  <c r="DM7" i="4"/>
  <c r="DM8" i="4"/>
  <c r="EE8" i="4"/>
  <c r="EE7" i="4"/>
  <c r="AM7" i="4"/>
  <c r="AM8" i="4"/>
  <c r="DD8" i="4"/>
  <c r="DD7" i="4"/>
  <c r="DL7" i="4"/>
  <c r="DL8" i="4"/>
  <c r="ED8" i="4"/>
  <c r="ED7" i="4"/>
  <c r="F7" i="4"/>
  <c r="F8" i="4"/>
  <c r="AO8" i="4"/>
  <c r="AO7" i="4"/>
  <c r="BE8" i="4"/>
  <c r="BE7" i="4"/>
  <c r="BW8" i="4"/>
  <c r="BW7" i="4"/>
  <c r="CE7" i="4"/>
  <c r="CE8" i="4"/>
  <c r="DN8" i="4"/>
  <c r="DN7" i="4"/>
  <c r="DV8" i="4"/>
  <c r="DV7" i="4"/>
  <c r="M8" i="4"/>
  <c r="M7" i="4"/>
  <c r="AE8" i="4"/>
  <c r="AE7" i="4"/>
  <c r="AU8" i="4"/>
  <c r="AU7" i="4"/>
  <c r="BU7" i="4"/>
  <c r="BU8" i="4"/>
  <c r="G7" i="4"/>
  <c r="G8" i="4"/>
  <c r="X8" i="4"/>
  <c r="X7" i="4"/>
  <c r="AP8" i="4"/>
  <c r="AP7" i="4"/>
  <c r="AW7" i="4"/>
  <c r="AW8" i="4"/>
  <c r="BF8" i="4"/>
  <c r="BF7" i="4"/>
  <c r="BX8" i="4"/>
  <c r="BX7" i="4"/>
  <c r="CF8" i="4"/>
  <c r="CF7" i="4"/>
  <c r="CW8" i="4"/>
  <c r="CW7" i="4"/>
  <c r="DO8" i="4"/>
  <c r="DO7" i="4"/>
  <c r="DW7" i="4"/>
  <c r="DW8" i="4"/>
  <c r="L7" i="4"/>
  <c r="W7" i="4"/>
  <c r="AH7" i="4"/>
  <c r="AS7" i="4"/>
  <c r="BD7" i="4"/>
  <c r="BO7" i="4"/>
  <c r="BZ7" i="4"/>
  <c r="CK7" i="4"/>
  <c r="CV7" i="4"/>
  <c r="DG7" i="4"/>
  <c r="DR7" i="4"/>
  <c r="EC7" i="4"/>
  <c r="AT7" i="4"/>
  <c r="D7" i="4"/>
  <c r="O7" i="4"/>
  <c r="Z7" i="4"/>
  <c r="AK7" i="4"/>
  <c r="AV7" i="4"/>
  <c r="BG7" i="4"/>
  <c r="BR7" i="4"/>
  <c r="CC7" i="4"/>
  <c r="CN7" i="4"/>
  <c r="CY7" i="4"/>
  <c r="DJ7" i="4"/>
  <c r="DU7" i="4"/>
  <c r="EF7" i="4"/>
  <c r="D8" i="2"/>
  <c r="D7" i="2"/>
  <c r="L8" i="2"/>
  <c r="L7" i="2"/>
  <c r="T8" i="2"/>
  <c r="T7" i="2"/>
  <c r="AK8" i="2"/>
  <c r="AK7" i="2"/>
  <c r="AT8" i="2"/>
  <c r="AT7" i="2"/>
  <c r="BA8" i="2"/>
  <c r="BA7" i="2"/>
  <c r="BI7" i="2"/>
  <c r="BI8" i="2"/>
  <c r="BY8" i="2"/>
  <c r="BY7" i="2"/>
  <c r="CO7" i="2"/>
  <c r="CO8" i="2"/>
  <c r="DE8" i="2"/>
  <c r="DE7" i="2"/>
  <c r="DZ8" i="2"/>
  <c r="DZ7" i="2"/>
  <c r="E7" i="2"/>
  <c r="E8" i="2"/>
  <c r="M8" i="2"/>
  <c r="M7" i="2"/>
  <c r="U8" i="2"/>
  <c r="U7" i="2"/>
  <c r="AL7" i="2"/>
  <c r="AL8" i="2"/>
  <c r="BB8" i="2"/>
  <c r="BB7" i="2"/>
  <c r="BZ8" i="2"/>
  <c r="BZ7" i="2"/>
  <c r="CP7" i="2"/>
  <c r="CP8" i="2"/>
  <c r="DF8" i="2"/>
  <c r="DF7" i="2"/>
  <c r="EA8" i="2"/>
  <c r="EA7" i="2"/>
  <c r="V8" i="2"/>
  <c r="V7" i="2"/>
  <c r="AM7" i="2"/>
  <c r="AM8" i="2"/>
  <c r="BC8" i="2"/>
  <c r="BC7" i="2"/>
  <c r="CA8" i="2"/>
  <c r="CA7" i="2"/>
  <c r="CH8" i="2"/>
  <c r="CH7" i="2"/>
  <c r="DG8" i="2"/>
  <c r="DG7" i="2"/>
  <c r="EB8" i="2"/>
  <c r="EB7" i="2"/>
  <c r="W8" i="2"/>
  <c r="W7" i="2"/>
  <c r="BS7" i="2"/>
  <c r="BS8" i="2"/>
  <c r="CI8" i="2"/>
  <c r="CI7" i="2"/>
  <c r="DH8" i="2"/>
  <c r="DH7" i="2"/>
  <c r="EC8" i="2"/>
  <c r="EC7" i="2"/>
  <c r="O8" i="2"/>
  <c r="O7" i="2"/>
  <c r="X8" i="2"/>
  <c r="X7" i="2"/>
  <c r="AE8" i="2"/>
  <c r="AE7" i="2"/>
  <c r="BT7" i="2"/>
  <c r="BT8" i="2"/>
  <c r="CJ8" i="2"/>
  <c r="CJ7" i="2"/>
  <c r="CZ7" i="2"/>
  <c r="CZ8" i="2"/>
  <c r="ED8" i="2"/>
  <c r="ED7" i="2"/>
  <c r="P7" i="2"/>
  <c r="P8" i="2"/>
  <c r="AF8" i="2"/>
  <c r="AF7" i="2"/>
  <c r="AW7" i="2"/>
  <c r="AW8" i="2"/>
  <c r="BE8" i="2"/>
  <c r="BE7" i="2"/>
  <c r="BL8" i="2"/>
  <c r="BL7" i="2"/>
  <c r="CK8" i="2"/>
  <c r="CK7" i="2"/>
  <c r="DA7" i="2"/>
  <c r="DA8" i="2"/>
  <c r="DO8" i="2"/>
  <c r="DO7" i="2"/>
  <c r="EE8" i="2"/>
  <c r="EE7" i="2"/>
  <c r="Q7" i="2"/>
  <c r="Q8" i="2"/>
  <c r="AG8" i="2"/>
  <c r="AG7" i="2"/>
  <c r="AX7" i="2"/>
  <c r="AX8" i="2"/>
  <c r="BM8" i="2"/>
  <c r="BM7" i="2"/>
  <c r="CL8" i="2"/>
  <c r="CL7" i="2"/>
  <c r="CS8" i="2"/>
  <c r="CS7" i="2"/>
  <c r="DP8" i="2"/>
  <c r="DP7" i="2"/>
  <c r="EF8" i="2"/>
  <c r="EF7" i="2"/>
  <c r="AH8" i="2"/>
  <c r="AH7" i="2"/>
  <c r="AP8" i="2"/>
  <c r="AP7" i="2"/>
  <c r="BN8" i="2"/>
  <c r="BN7" i="2"/>
  <c r="CD7" i="2"/>
  <c r="CD8" i="2"/>
  <c r="CT8" i="2"/>
  <c r="CT7" i="2"/>
  <c r="DQ8" i="2"/>
  <c r="DQ7" i="2"/>
  <c r="I8" i="2"/>
  <c r="I7" i="2"/>
  <c r="AI8" i="2"/>
  <c r="AI7" i="2"/>
  <c r="AQ8" i="2"/>
  <c r="AQ7" i="2"/>
  <c r="BO8" i="2"/>
  <c r="BO7" i="2"/>
  <c r="CE7" i="2"/>
  <c r="CE8" i="2"/>
  <c r="CU8" i="2"/>
  <c r="CU7" i="2"/>
  <c r="DR8" i="2"/>
  <c r="DR7" i="2"/>
  <c r="J8" i="2"/>
  <c r="J7" i="2"/>
  <c r="AA7" i="2"/>
  <c r="AA8" i="2"/>
  <c r="AR8" i="2"/>
  <c r="AR7" i="2"/>
  <c r="BP8" i="2"/>
  <c r="BP7" i="2"/>
  <c r="BW8" i="2"/>
  <c r="BW7" i="2"/>
  <c r="CV8" i="2"/>
  <c r="CV7" i="2"/>
  <c r="DS8" i="2"/>
  <c r="DS7" i="2"/>
  <c r="K8" i="2"/>
  <c r="K7" i="2"/>
  <c r="AB7" i="2"/>
  <c r="AB8" i="2"/>
  <c r="AS8" i="2"/>
  <c r="AS7" i="2"/>
  <c r="BH7" i="2"/>
  <c r="BH8" i="2"/>
  <c r="BX8" i="2"/>
  <c r="BX7" i="2"/>
  <c r="CW8" i="2"/>
  <c r="CW7" i="2"/>
  <c r="DD8" i="2"/>
  <c r="DD7" i="2"/>
  <c r="G7" i="2"/>
  <c r="R7" i="2"/>
  <c r="AC7" i="2"/>
  <c r="AN7" i="2"/>
  <c r="AY7" i="2"/>
  <c r="BJ7" i="2"/>
  <c r="BU7" i="2"/>
  <c r="CF7" i="2"/>
  <c r="CQ7" i="2"/>
  <c r="DB7" i="2"/>
  <c r="DM7" i="2"/>
  <c r="DX7" i="2"/>
  <c r="DK8" i="2"/>
  <c r="DV8" i="2"/>
  <c r="H7" i="2"/>
  <c r="S7" i="2"/>
  <c r="AD7" i="2"/>
  <c r="AO7" i="2"/>
  <c r="AZ7" i="2"/>
  <c r="BK7" i="2"/>
  <c r="BV7" i="2"/>
  <c r="CG7" i="2"/>
  <c r="CR7" i="2"/>
  <c r="DC7" i="2"/>
  <c r="DN7" i="2"/>
  <c r="DY7" i="2"/>
  <c r="C7" i="2"/>
  <c r="N7" i="2"/>
  <c r="Y7" i="2"/>
  <c r="AJ7" i="2"/>
  <c r="AU7" i="2"/>
  <c r="BF7" i="2"/>
  <c r="BQ7" i="2"/>
  <c r="CB7" i="2"/>
  <c r="CM7" i="2"/>
  <c r="CX7" i="2"/>
  <c r="DI7" i="2"/>
  <c r="DT7" i="2"/>
  <c r="Z7" i="2"/>
  <c r="AV7" i="2"/>
  <c r="BG7" i="2"/>
  <c r="BR7" i="2"/>
  <c r="CC7" i="2"/>
  <c r="CN7" i="2"/>
  <c r="CY7" i="2"/>
  <c r="DJ7" i="2"/>
  <c r="DU7" i="2"/>
  <c r="CB7" i="1"/>
  <c r="CB8" i="1"/>
  <c r="BF7" i="1"/>
  <c r="BF8" i="1"/>
  <c r="AZ8" i="1"/>
  <c r="AZ7" i="1"/>
  <c r="AT7" i="1"/>
  <c r="AT8" i="1"/>
  <c r="AN7" i="1"/>
  <c r="AN8" i="1"/>
  <c r="BV8" i="1"/>
  <c r="BV7" i="1"/>
  <c r="N7" i="1"/>
  <c r="N8" i="1"/>
  <c r="CL7" i="1"/>
  <c r="CL8" i="1"/>
  <c r="CF7" i="1"/>
  <c r="CF8" i="1"/>
  <c r="H8" i="1"/>
  <c r="H7" i="1"/>
  <c r="W8" i="1"/>
  <c r="W7" i="1"/>
  <c r="BZ8" i="1"/>
  <c r="BZ7" i="1"/>
  <c r="ED7" i="1"/>
  <c r="ED8" i="1"/>
  <c r="AU7" i="1"/>
  <c r="AU8" i="1"/>
  <c r="CA7" i="1"/>
  <c r="CA8" i="1"/>
  <c r="CT8" i="1"/>
  <c r="CT7" i="1"/>
  <c r="DH7" i="1"/>
  <c r="DH8" i="1"/>
  <c r="DV8" i="1"/>
  <c r="DV7" i="1"/>
  <c r="EC8" i="1"/>
  <c r="EC7" i="1"/>
  <c r="Q7" i="1"/>
  <c r="EH17" i="3"/>
  <c r="EG17" i="3"/>
  <c r="C7" i="1"/>
  <c r="C8" i="1"/>
  <c r="AI7" i="1"/>
  <c r="AI8" i="1"/>
  <c r="BB8" i="1"/>
  <c r="BB7" i="1"/>
  <c r="BH8" i="1"/>
  <c r="BH7" i="1"/>
  <c r="BO8" i="1"/>
  <c r="BO7" i="1"/>
  <c r="DB8" i="1"/>
  <c r="DB7" i="1"/>
  <c r="DP8" i="1"/>
  <c r="DP7" i="1"/>
  <c r="BJ8" i="1"/>
  <c r="J8" i="1"/>
  <c r="J7" i="1"/>
  <c r="P8" i="1"/>
  <c r="P7" i="1"/>
  <c r="DI7" i="1"/>
  <c r="DI8" i="1"/>
  <c r="DX8" i="1"/>
  <c r="DX7" i="1"/>
  <c r="EH23" i="3"/>
  <c r="EG23" i="3"/>
  <c r="X7" i="1"/>
  <c r="X8" i="1"/>
  <c r="AQ8" i="1"/>
  <c r="AQ7" i="1"/>
  <c r="AW8" i="1"/>
  <c r="AW7" i="1"/>
  <c r="BD8" i="1"/>
  <c r="BD7" i="1"/>
  <c r="AJ7" i="1"/>
  <c r="AJ8" i="1"/>
  <c r="BP7" i="1"/>
  <c r="BP8" i="1"/>
  <c r="CI8" i="1"/>
  <c r="CI7" i="1"/>
  <c r="CO8" i="1"/>
  <c r="CO7" i="1"/>
  <c r="CV8" i="1"/>
  <c r="CV7" i="1"/>
  <c r="BA7" i="1"/>
  <c r="Y7" i="1"/>
  <c r="Y8" i="1"/>
  <c r="BX8" i="1"/>
  <c r="BX7" i="1"/>
  <c r="DS7" i="1"/>
  <c r="DS8" i="1"/>
  <c r="EH14" i="3"/>
  <c r="EG14" i="3"/>
  <c r="M7" i="1"/>
  <c r="M8" i="1"/>
  <c r="AF8" i="1"/>
  <c r="AF7" i="1"/>
  <c r="AL8" i="1"/>
  <c r="AL7" i="1"/>
  <c r="AS8" i="1"/>
  <c r="AS7" i="1"/>
  <c r="CX7" i="1"/>
  <c r="CX8" i="1"/>
  <c r="DM8" i="1"/>
  <c r="DM7" i="1"/>
  <c r="CR7" i="1"/>
  <c r="R8" i="1"/>
  <c r="EH15" i="3"/>
  <c r="EH20" i="3"/>
  <c r="U8" i="1"/>
  <c r="U7" i="1"/>
  <c r="AA8" i="1"/>
  <c r="AA7" i="1"/>
  <c r="AH8" i="1"/>
  <c r="AH7" i="1"/>
  <c r="CG7" i="1"/>
  <c r="BU8" i="1"/>
  <c r="BE7" i="1"/>
  <c r="BE8" i="1"/>
  <c r="CD8" i="1"/>
  <c r="CD7" i="1"/>
  <c r="CK8" i="1"/>
  <c r="CK7" i="1"/>
  <c r="DE8" i="1"/>
  <c r="DE7" i="1"/>
  <c r="BK7" i="1"/>
  <c r="DT7" i="1"/>
  <c r="DT8" i="1"/>
  <c r="DY7" i="1"/>
  <c r="AY8" i="1"/>
  <c r="EI26" i="2"/>
  <c r="CM7" i="1"/>
  <c r="CM8" i="1"/>
  <c r="CZ8" i="1"/>
  <c r="CZ7" i="1"/>
  <c r="DR8" i="1"/>
  <c r="DR7" i="1"/>
  <c r="EE7" i="1"/>
  <c r="EE8" i="1"/>
  <c r="I8" i="1"/>
  <c r="BT8" i="1"/>
  <c r="E8" i="1"/>
  <c r="E7" i="1"/>
  <c r="L8" i="1"/>
  <c r="L7" i="1"/>
  <c r="BQ7" i="1"/>
  <c r="BQ8" i="1"/>
  <c r="CW7" i="1"/>
  <c r="CW8" i="1"/>
  <c r="DK8" i="1"/>
  <c r="DK7" i="1"/>
  <c r="AD7" i="1"/>
  <c r="DO7" i="1"/>
  <c r="BM8" i="1"/>
  <c r="BM7" i="1"/>
  <c r="BS8" i="1"/>
  <c r="BS7" i="1"/>
  <c r="DG8" i="1"/>
  <c r="DG7" i="1"/>
  <c r="AO7" i="1"/>
  <c r="EG16" i="3"/>
  <c r="B21" i="6"/>
  <c r="EG20" i="3"/>
  <c r="EG12" i="3"/>
  <c r="EH24" i="3"/>
  <c r="EG15" i="3"/>
  <c r="EG21" i="3"/>
  <c r="EH21" i="3"/>
  <c r="EG24" i="3"/>
  <c r="B21" i="7"/>
</calcChain>
</file>

<file path=xl/sharedStrings.xml><?xml version="1.0" encoding="utf-8"?>
<sst xmlns="http://schemas.openxmlformats.org/spreadsheetml/2006/main" count="2689" uniqueCount="210">
  <si>
    <t>Time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</si>
  <si>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</si>
  <si>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</si>
  <si>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</si>
  <si>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</si>
  <si>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</si>
  <si>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</si>
  <si>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</si>
  <si>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</si>
  <si>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</si>
  <si>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</si>
  <si>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</si>
  <si>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</si>
  <si>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</si>
  <si>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</si>
  <si>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</si>
  <si>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</si>
  <si>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</si>
  <si>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</si>
  <si>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</si>
  <si>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</si>
  <si>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</si>
  <si>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</si>
  <si>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</si>
  <si>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</si>
  <si>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</si>
  <si>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</si>
  <si>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</si>
  <si>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</si>
  <si>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</si>
  <si>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</si>
  <si>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</si>
  <si>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</si>
  <si>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</si>
  <si>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</si>
  <si>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</si>
  <si>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</si>
  <si>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</si>
  <si>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</si>
  <si>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</si>
  <si>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</si>
  <si>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</si>
  <si>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</si>
  <si>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</si>
  <si>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</si>
  <si>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</si>
  <si>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</si>
  <si>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</si>
  <si>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</si>
  <si>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</si>
  <si>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</si>
  <si>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</si>
  <si>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</si>
  <si>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</si>
  <si>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</si>
  <si>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</si>
  <si>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</si>
  <si>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</si>
  <si>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</si>
  <si>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</si>
  <si>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</si>
  <si>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</si>
  <si>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</si>
  <si>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</si>
  <si>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</si>
  <si>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</si>
  <si>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</si>
  <si>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</si>
  <si>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</si>
  <si>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</si>
  <si>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</si>
  <si>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</si>
  <si>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</si>
  <si>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</si>
  <si>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</si>
  <si>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</si>
  <si>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</si>
  <si>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</si>
  <si>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</si>
  <si>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</si>
  <si>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</si>
  <si>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</si>
  <si>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</si>
  <si>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</si>
  <si>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</si>
  <si>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</si>
  <si>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</si>
  <si>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</si>
  <si>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</si>
  <si>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</si>
  <si>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</si>
  <si>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</si>
  <si>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</si>
  <si>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</si>
  <si>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</si>
  <si>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</si>
  <si>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</si>
  <si>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</si>
  <si>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</si>
  <si>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</si>
  <si>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</si>
  <si>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</si>
  <si>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</si>
  <si>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</si>
  <si>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</si>
  <si>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</si>
  <si>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</si>
  <si>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</si>
  <si>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</si>
  <si>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</si>
  <si>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</si>
  <si>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</si>
  <si>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</si>
  <si>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</si>
  <si>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</si>
  <si>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</si>
  <si>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</si>
  <si>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</si>
  <si>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</si>
  <si>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</si>
  <si>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</si>
  <si>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</si>
  <si>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</si>
  <si>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</si>
  <si>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</si>
  <si>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</si>
  <si>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</si>
  <si>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</si>
  <si>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</si>
  <si>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</si>
  <si>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</si>
  <si>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</si>
  <si>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</si>
  <si>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</si>
  <si>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</si>
  <si>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bm</t>
  </si>
  <si>
    <t>size</t>
  </si>
  <si>
    <t>mom</t>
  </si>
  <si>
    <t>選絕對值最大</t>
  </si>
  <si>
    <t xml:space="preserve">投資組合                  </t>
  </si>
  <si>
    <t>公司數</t>
  </si>
  <si>
    <t>等分</t>
  </si>
  <si>
    <t>分數</t>
  </si>
  <si>
    <t>2025/02</t>
  </si>
  <si>
    <t>大盤</t>
  </si>
  <si>
    <t>TWII</t>
  </si>
  <si>
    <t>低</t>
  </si>
  <si>
    <t>公司名稱</t>
  </si>
  <si>
    <t>愛山林</t>
  </si>
  <si>
    <t>久威</t>
  </si>
  <si>
    <t>立康</t>
  </si>
  <si>
    <t>洛碁</t>
  </si>
  <si>
    <t>昇益</t>
  </si>
  <si>
    <t>飛寶企業</t>
  </si>
  <si>
    <t>天瀚</t>
  </si>
  <si>
    <t>網家</t>
  </si>
  <si>
    <t>沛亨</t>
  </si>
  <si>
    <t>科風</t>
  </si>
  <si>
    <t>印鉐</t>
  </si>
  <si>
    <t>中茂</t>
  </si>
  <si>
    <t>元隆</t>
  </si>
  <si>
    <t>華冠</t>
  </si>
  <si>
    <t>泰偉</t>
  </si>
  <si>
    <t>巨虹</t>
  </si>
  <si>
    <t>華城</t>
  </si>
  <si>
    <t>皇家美食</t>
  </si>
  <si>
    <t>世紀</t>
  </si>
  <si>
    <t>高</t>
  </si>
  <si>
    <t>華新科</t>
  </si>
  <si>
    <t>中環</t>
  </si>
  <si>
    <t>中石化</t>
  </si>
  <si>
    <t>台積電</t>
  </si>
  <si>
    <t>海灣</t>
  </si>
  <si>
    <t>寶隆</t>
  </si>
  <si>
    <t>福華</t>
  </si>
  <si>
    <t>裕隆</t>
  </si>
  <si>
    <t>友達</t>
  </si>
  <si>
    <t>閎暉</t>
  </si>
  <si>
    <t>東訊</t>
  </si>
  <si>
    <t>四維航</t>
  </si>
  <si>
    <t>如興</t>
  </si>
  <si>
    <t>藍天</t>
  </si>
  <si>
    <t>長榮</t>
  </si>
  <si>
    <t>國喬</t>
  </si>
  <si>
    <t>平均值</t>
  </si>
  <si>
    <t>標準差</t>
  </si>
  <si>
    <t>夏普比率</t>
  </si>
  <si>
    <t>Sum</t>
  </si>
  <si>
    <t>勝率</t>
  </si>
  <si>
    <t>10等分</t>
  </si>
  <si>
    <t>20等分</t>
  </si>
  <si>
    <t>50等分</t>
  </si>
  <si>
    <t>100等分</t>
  </si>
  <si>
    <t>107等分</t>
  </si>
  <si>
    <t>120等分</t>
  </si>
  <si>
    <t>137等分</t>
  </si>
  <si>
    <t>160等分</t>
  </si>
  <si>
    <t>192等分</t>
  </si>
  <si>
    <t>241等分</t>
  </si>
  <si>
    <t>321等分</t>
  </si>
  <si>
    <t>482等分</t>
  </si>
  <si>
    <t>964等分</t>
  </si>
  <si>
    <t>OLS</t>
  </si>
  <si>
    <t>Real</t>
  </si>
  <si>
    <t>(預測-真實)^2</t>
  </si>
  <si>
    <t>真實^2</t>
  </si>
  <si>
    <t>R^2</t>
  </si>
  <si>
    <t>家數</t>
  </si>
  <si>
    <t>GBRT</t>
  </si>
  <si>
    <t>GBRT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</si>
</sst>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C00000"/>
      <name val="新細明體"/>
      <family val="2"/>
      <charset val="136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B5C1"/>
        <bgColor indexed="64"/>
      </patternFill>
    </fill>
    <fill>
      <patternFill patternType="solid">
        <fgColor rgb="FFF7E4C8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/>
    <xf numFmtId="0" fontId="0" fillId="2" borderId="1" xfId="0" applyFill="1" applyBorder="1">
      <alignment vertical="center"/>
    </xf>
    <xf numFmtId="0" fontId="2" fillId="0" borderId="3" xfId="0" applyFont="1" applyBorder="1" applyAlignment="1"/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3" fillId="7" borderId="0" xfId="0" applyFont="1" applyFill="1">
      <alignment vertical="center"/>
    </xf>
    <xf numFmtId="0" fontId="0" fillId="0" borderId="0" xfId="0" applyAlignment="1"/>
    <xf numFmtId="0" fontId="0" fillId="8" borderId="1" xfId="0" applyFill="1" applyBorder="1">
      <alignment vertical="center"/>
    </xf>
    <xf numFmtId="0" fontId="0" fillId="8" borderId="2" xfId="0" applyFill="1" applyBorder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2" fillId="0" borderId="1" xfId="0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XGB</a:t>
            </a:r>
            <a:r>
              <a:rPr lang="zh-TW" altLang="en-US"/>
              <a:t>累積報酬</a:t>
            </a:r>
            <a:endParaRPr lang="en-US" altLang="zh-TW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預測累積畫圖!$B$12</c:f>
              <c:strCache>
                <c:ptCount val="1"/>
                <c:pt idx="0">
                  <c:v>10等分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預測累積畫圖!$C$12:$EF$12</c:f>
              <c:numCache>
                <c:formatCode>General</c:formatCode>
                <c:ptCount val="134"/>
                <c:pt idx="0">
                  <c:v>-4.701350899422875E-2</c:v>
                </c:pt>
                <c:pt idx="1">
                  <c:v>-6.7835304266107052E-2</c:v>
                </c:pt>
                <c:pt idx="2">
                  <c:v>-1.9809023016107055E-2</c:v>
                </c:pt>
                <c:pt idx="3">
                  <c:v>5.9801931799285252E-5</c:v>
                </c:pt>
                <c:pt idx="4">
                  <c:v>-7.8445448141290751E-3</c:v>
                </c:pt>
                <c:pt idx="5">
                  <c:v>3.0686173935870937E-2</c:v>
                </c:pt>
                <c:pt idx="6">
                  <c:v>-5.6177629131810743E-3</c:v>
                </c:pt>
                <c:pt idx="7">
                  <c:v>-3.5025564996514415E-2</c:v>
                </c:pt>
                <c:pt idx="8">
                  <c:v>-2.4037161143692302E-2</c:v>
                </c:pt>
                <c:pt idx="9">
                  <c:v>-2.1759930362729031E-2</c:v>
                </c:pt>
                <c:pt idx="10">
                  <c:v>-2.2156617862729027E-2</c:v>
                </c:pt>
                <c:pt idx="11">
                  <c:v>-7.4230725538088141E-2</c:v>
                </c:pt>
                <c:pt idx="12">
                  <c:v>-5.6989881788088143E-2</c:v>
                </c:pt>
                <c:pt idx="13">
                  <c:v>-5.6759548454754817E-2</c:v>
                </c:pt>
                <c:pt idx="14">
                  <c:v>-2.1489079704754839E-2</c:v>
                </c:pt>
                <c:pt idx="15">
                  <c:v>-3.4886585944690567E-2</c:v>
                </c:pt>
                <c:pt idx="16">
                  <c:v>3.6167311149916483E-2</c:v>
                </c:pt>
                <c:pt idx="17">
                  <c:v>2.8426925733249814E-2</c:v>
                </c:pt>
                <c:pt idx="18">
                  <c:v>4.8794146286380805E-2</c:v>
                </c:pt>
                <c:pt idx="19">
                  <c:v>5.4998948369714126E-2</c:v>
                </c:pt>
                <c:pt idx="20">
                  <c:v>7.7277390343025873E-2</c:v>
                </c:pt>
                <c:pt idx="21">
                  <c:v>0.12579666512334034</c:v>
                </c:pt>
                <c:pt idx="22">
                  <c:v>0.14123676929000703</c:v>
                </c:pt>
                <c:pt idx="23">
                  <c:v>0.14640281095667371</c:v>
                </c:pt>
                <c:pt idx="24">
                  <c:v>0.13489024845667372</c:v>
                </c:pt>
                <c:pt idx="25">
                  <c:v>0.13117892554000704</c:v>
                </c:pt>
                <c:pt idx="26">
                  <c:v>0.13634637345667369</c:v>
                </c:pt>
                <c:pt idx="27">
                  <c:v>0.14573835262334037</c:v>
                </c:pt>
                <c:pt idx="28">
                  <c:v>8.7421342206673705E-2</c:v>
                </c:pt>
                <c:pt idx="29">
                  <c:v>0.13360326929000704</c:v>
                </c:pt>
                <c:pt idx="30">
                  <c:v>0.14568245679000705</c:v>
                </c:pt>
                <c:pt idx="31">
                  <c:v>0.15908826143964028</c:v>
                </c:pt>
                <c:pt idx="32">
                  <c:v>0.18233521977297362</c:v>
                </c:pt>
                <c:pt idx="33">
                  <c:v>0.1953189673190282</c:v>
                </c:pt>
                <c:pt idx="34">
                  <c:v>0.24344267147116261</c:v>
                </c:pt>
                <c:pt idx="35">
                  <c:v>0.26130167449308467</c:v>
                </c:pt>
                <c:pt idx="36">
                  <c:v>0.28150749740975134</c:v>
                </c:pt>
                <c:pt idx="37">
                  <c:v>0.33864095574308467</c:v>
                </c:pt>
                <c:pt idx="38">
                  <c:v>0.34086974878275772</c:v>
                </c:pt>
                <c:pt idx="39">
                  <c:v>0.33623608211609107</c:v>
                </c:pt>
                <c:pt idx="40">
                  <c:v>0.32955443628275777</c:v>
                </c:pt>
                <c:pt idx="41">
                  <c:v>0.32205007169942446</c:v>
                </c:pt>
                <c:pt idx="42">
                  <c:v>0.31620670711609111</c:v>
                </c:pt>
                <c:pt idx="43">
                  <c:v>0.29391041544942442</c:v>
                </c:pt>
                <c:pt idx="44">
                  <c:v>0.35732060294942442</c:v>
                </c:pt>
                <c:pt idx="45">
                  <c:v>0.33553070711609106</c:v>
                </c:pt>
                <c:pt idx="46">
                  <c:v>0.3331741029494244</c:v>
                </c:pt>
                <c:pt idx="47">
                  <c:v>0.32451612378275774</c:v>
                </c:pt>
                <c:pt idx="48">
                  <c:v>0.31680226961609109</c:v>
                </c:pt>
                <c:pt idx="49">
                  <c:v>0.38336651961609114</c:v>
                </c:pt>
                <c:pt idx="50">
                  <c:v>0.45464282169942449</c:v>
                </c:pt>
                <c:pt idx="51">
                  <c:v>0.46042789461609118</c:v>
                </c:pt>
                <c:pt idx="52">
                  <c:v>0.4640034466994245</c:v>
                </c:pt>
                <c:pt idx="53">
                  <c:v>0.51323739461609119</c:v>
                </c:pt>
                <c:pt idx="54">
                  <c:v>0.53184620445547648</c:v>
                </c:pt>
                <c:pt idx="55">
                  <c:v>0.59963855693867663</c:v>
                </c:pt>
                <c:pt idx="56">
                  <c:v>0.60964235902200992</c:v>
                </c:pt>
                <c:pt idx="57">
                  <c:v>0.5847206715220099</c:v>
                </c:pt>
                <c:pt idx="58">
                  <c:v>0.60555870277200985</c:v>
                </c:pt>
                <c:pt idx="59">
                  <c:v>0.64898167152200981</c:v>
                </c:pt>
                <c:pt idx="60">
                  <c:v>0.62890584860534315</c:v>
                </c:pt>
                <c:pt idx="61">
                  <c:v>0.65361509443549182</c:v>
                </c:pt>
                <c:pt idx="62">
                  <c:v>0.64844600247926198</c:v>
                </c:pt>
                <c:pt idx="63">
                  <c:v>0.62894375247926204</c:v>
                </c:pt>
                <c:pt idx="64">
                  <c:v>0.65319006273549896</c:v>
                </c:pt>
                <c:pt idx="65">
                  <c:v>0.64268107743020486</c:v>
                </c:pt>
                <c:pt idx="66">
                  <c:v>0.6511042649302049</c:v>
                </c:pt>
                <c:pt idx="67">
                  <c:v>0.67095773368020495</c:v>
                </c:pt>
                <c:pt idx="68">
                  <c:v>0.68982102706460091</c:v>
                </c:pt>
                <c:pt idx="69">
                  <c:v>0.71185249574204512</c:v>
                </c:pt>
                <c:pt idx="70">
                  <c:v>0.66376929782537841</c:v>
                </c:pt>
                <c:pt idx="71">
                  <c:v>0.6958226103253784</c:v>
                </c:pt>
                <c:pt idx="72">
                  <c:v>0.75131016240871173</c:v>
                </c:pt>
                <c:pt idx="73">
                  <c:v>0.76729447490871172</c:v>
                </c:pt>
                <c:pt idx="74">
                  <c:v>0.7214775165753784</c:v>
                </c:pt>
                <c:pt idx="75">
                  <c:v>0.72525490199204512</c:v>
                </c:pt>
                <c:pt idx="76">
                  <c:v>0.73983548532537846</c:v>
                </c:pt>
                <c:pt idx="77">
                  <c:v>0.81231120407537849</c:v>
                </c:pt>
                <c:pt idx="78">
                  <c:v>0.87787724574204518</c:v>
                </c:pt>
                <c:pt idx="79">
                  <c:v>0.92213576657537855</c:v>
                </c:pt>
                <c:pt idx="80">
                  <c:v>0.91051635813314935</c:v>
                </c:pt>
                <c:pt idx="81">
                  <c:v>0.88274877471937718</c:v>
                </c:pt>
                <c:pt idx="82">
                  <c:v>0.88305757680271058</c:v>
                </c:pt>
                <c:pt idx="83">
                  <c:v>0.87360478513604389</c:v>
                </c:pt>
                <c:pt idx="84">
                  <c:v>0.84926355596937719</c:v>
                </c:pt>
                <c:pt idx="85">
                  <c:v>0.85283192055271051</c:v>
                </c:pt>
                <c:pt idx="86">
                  <c:v>0.88734694138604386</c:v>
                </c:pt>
                <c:pt idx="87">
                  <c:v>0.76933133371643347</c:v>
                </c:pt>
                <c:pt idx="88">
                  <c:v>0.78455105988377427</c:v>
                </c:pt>
                <c:pt idx="89">
                  <c:v>0.76124380988377427</c:v>
                </c:pt>
                <c:pt idx="90">
                  <c:v>0.78850993676388004</c:v>
                </c:pt>
                <c:pt idx="91">
                  <c:v>0.77571412426388009</c:v>
                </c:pt>
                <c:pt idx="92">
                  <c:v>0.84569127009721345</c:v>
                </c:pt>
                <c:pt idx="93">
                  <c:v>0.84357339166656098</c:v>
                </c:pt>
                <c:pt idx="94">
                  <c:v>0.85877503935360655</c:v>
                </c:pt>
                <c:pt idx="95">
                  <c:v>0.89088899768693985</c:v>
                </c:pt>
                <c:pt idx="96">
                  <c:v>0.85526528202474461</c:v>
                </c:pt>
                <c:pt idx="97">
                  <c:v>0.84715265564920761</c:v>
                </c:pt>
                <c:pt idx="98">
                  <c:v>0.84160473090467536</c:v>
                </c:pt>
                <c:pt idx="99">
                  <c:v>0.78061484836768358</c:v>
                </c:pt>
                <c:pt idx="100">
                  <c:v>0.82668750461768359</c:v>
                </c:pt>
                <c:pt idx="101">
                  <c:v>0.91524997336768354</c:v>
                </c:pt>
                <c:pt idx="102">
                  <c:v>0.90964618929732299</c:v>
                </c:pt>
                <c:pt idx="103">
                  <c:v>0.9986280434639897</c:v>
                </c:pt>
                <c:pt idx="104">
                  <c:v>1.0101010955473231</c:v>
                </c:pt>
                <c:pt idx="105">
                  <c:v>0.97100967888065637</c:v>
                </c:pt>
                <c:pt idx="106">
                  <c:v>0.93377419971398978</c:v>
                </c:pt>
                <c:pt idx="107">
                  <c:v>0.98926030388065644</c:v>
                </c:pt>
                <c:pt idx="108">
                  <c:v>0.94285032471398977</c:v>
                </c:pt>
                <c:pt idx="109">
                  <c:v>1.0040457517973231</c:v>
                </c:pt>
                <c:pt idx="110">
                  <c:v>1.0637947622139898</c:v>
                </c:pt>
                <c:pt idx="111">
                  <c:v>1.0789134392973232</c:v>
                </c:pt>
                <c:pt idx="112">
                  <c:v>1.0469852309639898</c:v>
                </c:pt>
                <c:pt idx="113">
                  <c:v>1.0500748767973231</c:v>
                </c:pt>
                <c:pt idx="114">
                  <c:v>1.0308372622139899</c:v>
                </c:pt>
                <c:pt idx="115">
                  <c:v>1.0732476276000547</c:v>
                </c:pt>
                <c:pt idx="116">
                  <c:v>1.1038048880167213</c:v>
                </c:pt>
                <c:pt idx="117">
                  <c:v>1.1363893376170184</c:v>
                </c:pt>
                <c:pt idx="118">
                  <c:v>1.102527285533685</c:v>
                </c:pt>
                <c:pt idx="119">
                  <c:v>1.1195922855336851</c:v>
                </c:pt>
                <c:pt idx="120">
                  <c:v>1.0838661300819872</c:v>
                </c:pt>
                <c:pt idx="121">
                  <c:v>1.1089839946653206</c:v>
                </c:pt>
                <c:pt idx="122">
                  <c:v>1.051753765498654</c:v>
                </c:pt>
                <c:pt idx="123">
                  <c:v>1.0812946404986539</c:v>
                </c:pt>
                <c:pt idx="124">
                  <c:v>1.1250202047186912</c:v>
                </c:pt>
                <c:pt idx="125">
                  <c:v>1.1460487463853579</c:v>
                </c:pt>
                <c:pt idx="126">
                  <c:v>1.199194058885358</c:v>
                </c:pt>
                <c:pt idx="127">
                  <c:v>1.2033297843655355</c:v>
                </c:pt>
                <c:pt idx="128">
                  <c:v>1.2544274822822021</c:v>
                </c:pt>
                <c:pt idx="129">
                  <c:v>1.2602136489488689</c:v>
                </c:pt>
                <c:pt idx="130">
                  <c:v>1.2868651585285342</c:v>
                </c:pt>
                <c:pt idx="131">
                  <c:v>1.3473733113370183</c:v>
                </c:pt>
                <c:pt idx="132">
                  <c:v>1.3354562150645308</c:v>
                </c:pt>
                <c:pt idx="133">
                  <c:v>1.2962228670257352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D6-3A47-A2DF-C9E44FE8FE88}"/>
            </c:ext>
          </c:extLst>
        </c:ser>
        <c:ser>
          <c:idx val="1"/>
          <c:order val="1"/>
          <c:tx>
            <c:strRef>
              <c:f>預測累積畫圖!$B$13</c:f>
              <c:strCache>
                <c:ptCount val="1"/>
                <c:pt idx="0">
                  <c:v>20等分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預測累積畫圖!$C$13:$EF$13</c:f>
              <c:numCache>
                <c:formatCode>General</c:formatCode>
                <c:ptCount val="134"/>
                <c:pt idx="0">
                  <c:v>-4.2506117601795589E-2</c:v>
                </c:pt>
                <c:pt idx="1">
                  <c:v>-7.2383728206354372E-2</c:v>
                </c:pt>
                <c:pt idx="2">
                  <c:v>-2.5224365396877141E-3</c:v>
                </c:pt>
                <c:pt idx="3">
                  <c:v>3.2399719342966787E-2</c:v>
                </c:pt>
                <c:pt idx="4">
                  <c:v>4.7307699100270176E-2</c:v>
                </c:pt>
                <c:pt idx="5">
                  <c:v>7.7298053266936825E-2</c:v>
                </c:pt>
                <c:pt idx="6">
                  <c:v>4.4615190282214487E-2</c:v>
                </c:pt>
                <c:pt idx="7">
                  <c:v>7.1637778221446402E-4</c:v>
                </c:pt>
                <c:pt idx="8">
                  <c:v>4.6047368024433467E-2</c:v>
                </c:pt>
                <c:pt idx="9">
                  <c:v>7.5183037061878941E-2</c:v>
                </c:pt>
                <c:pt idx="10">
                  <c:v>0.10087032872854561</c:v>
                </c:pt>
                <c:pt idx="11">
                  <c:v>5.7718376504778755E-2</c:v>
                </c:pt>
                <c:pt idx="12">
                  <c:v>9.750775150477875E-2</c:v>
                </c:pt>
                <c:pt idx="13">
                  <c:v>0.11429989733811208</c:v>
                </c:pt>
                <c:pt idx="14">
                  <c:v>0.1875249181714454</c:v>
                </c:pt>
                <c:pt idx="15">
                  <c:v>0.18103500799537101</c:v>
                </c:pt>
                <c:pt idx="16">
                  <c:v>0.30395030599892159</c:v>
                </c:pt>
                <c:pt idx="17">
                  <c:v>0.28184582683225495</c:v>
                </c:pt>
                <c:pt idx="18">
                  <c:v>0.3360069018739491</c:v>
                </c:pt>
                <c:pt idx="19">
                  <c:v>0.31591277687394914</c:v>
                </c:pt>
                <c:pt idx="20">
                  <c:v>0.34701586475831903</c:v>
                </c:pt>
                <c:pt idx="21">
                  <c:v>0.41676683352737559</c:v>
                </c:pt>
                <c:pt idx="22">
                  <c:v>0.43068720852737558</c:v>
                </c:pt>
                <c:pt idx="23">
                  <c:v>0.45127112519404222</c:v>
                </c:pt>
                <c:pt idx="24">
                  <c:v>0.43483108352737559</c:v>
                </c:pt>
                <c:pt idx="25">
                  <c:v>0.41879510436070894</c:v>
                </c:pt>
                <c:pt idx="26">
                  <c:v>0.42682637519404226</c:v>
                </c:pt>
                <c:pt idx="27">
                  <c:v>0.44836945852737559</c:v>
                </c:pt>
                <c:pt idx="28">
                  <c:v>0.38264997936070888</c:v>
                </c:pt>
                <c:pt idx="29">
                  <c:v>0.43458597936070886</c:v>
                </c:pt>
                <c:pt idx="30">
                  <c:v>0.43786843769404221</c:v>
                </c:pt>
                <c:pt idx="31">
                  <c:v>0.44750977693355859</c:v>
                </c:pt>
                <c:pt idx="32">
                  <c:v>0.46741981860022525</c:v>
                </c:pt>
                <c:pt idx="33">
                  <c:v>0.45113934861194954</c:v>
                </c:pt>
                <c:pt idx="34">
                  <c:v>0.51712726142260557</c:v>
                </c:pt>
                <c:pt idx="35">
                  <c:v>0.54027869001777662</c:v>
                </c:pt>
                <c:pt idx="36">
                  <c:v>0.53740591918444325</c:v>
                </c:pt>
                <c:pt idx="37">
                  <c:v>0.60865106501777655</c:v>
                </c:pt>
                <c:pt idx="38">
                  <c:v>0.61796225291719153</c:v>
                </c:pt>
                <c:pt idx="39">
                  <c:v>0.61137444041719158</c:v>
                </c:pt>
                <c:pt idx="40">
                  <c:v>0.60029254458385828</c:v>
                </c:pt>
                <c:pt idx="41">
                  <c:v>0.60954296125052498</c:v>
                </c:pt>
                <c:pt idx="42">
                  <c:v>0.60760654458385832</c:v>
                </c:pt>
                <c:pt idx="43">
                  <c:v>0.60929750291719165</c:v>
                </c:pt>
                <c:pt idx="44">
                  <c:v>0.68608148208385833</c:v>
                </c:pt>
                <c:pt idx="45">
                  <c:v>0.67512266958385836</c:v>
                </c:pt>
                <c:pt idx="46">
                  <c:v>0.70073898208385832</c:v>
                </c:pt>
                <c:pt idx="47">
                  <c:v>0.68885835708385834</c:v>
                </c:pt>
                <c:pt idx="48">
                  <c:v>0.66518591958385831</c:v>
                </c:pt>
                <c:pt idx="49">
                  <c:v>0.72063610708385828</c:v>
                </c:pt>
                <c:pt idx="50">
                  <c:v>0.80046537791719163</c:v>
                </c:pt>
                <c:pt idx="51">
                  <c:v>0.82651135708385826</c:v>
                </c:pt>
                <c:pt idx="52">
                  <c:v>0.82799529458385823</c:v>
                </c:pt>
                <c:pt idx="53">
                  <c:v>0.86967202375052488</c:v>
                </c:pt>
                <c:pt idx="54">
                  <c:v>0.89706383005616641</c:v>
                </c:pt>
                <c:pt idx="55">
                  <c:v>0.98099324536366317</c:v>
                </c:pt>
                <c:pt idx="56">
                  <c:v>0.9893241620303298</c:v>
                </c:pt>
                <c:pt idx="57">
                  <c:v>0.95538009953032987</c:v>
                </c:pt>
                <c:pt idx="58">
                  <c:v>0.98121280786366316</c:v>
                </c:pt>
                <c:pt idx="59">
                  <c:v>1.0326653703636632</c:v>
                </c:pt>
                <c:pt idx="60">
                  <c:v>1.00753934953033</c:v>
                </c:pt>
                <c:pt idx="61">
                  <c:v>1.0394872097435051</c:v>
                </c:pt>
                <c:pt idx="62">
                  <c:v>1.0564058253623867</c:v>
                </c:pt>
                <c:pt idx="63">
                  <c:v>1.06126365869572</c:v>
                </c:pt>
                <c:pt idx="64">
                  <c:v>1.0921423749291941</c:v>
                </c:pt>
                <c:pt idx="65">
                  <c:v>1.1015750706238456</c:v>
                </c:pt>
                <c:pt idx="66">
                  <c:v>1.1411516331238456</c:v>
                </c:pt>
                <c:pt idx="67">
                  <c:v>1.1464165289571788</c:v>
                </c:pt>
                <c:pt idx="68">
                  <c:v>1.1538360007973985</c:v>
                </c:pt>
                <c:pt idx="69">
                  <c:v>1.1921795064138712</c:v>
                </c:pt>
                <c:pt idx="70">
                  <c:v>1.1175213397472046</c:v>
                </c:pt>
                <c:pt idx="71">
                  <c:v>1.1489615689138712</c:v>
                </c:pt>
                <c:pt idx="72">
                  <c:v>1.2351919022472047</c:v>
                </c:pt>
                <c:pt idx="73">
                  <c:v>1.2366690064138712</c:v>
                </c:pt>
                <c:pt idx="74">
                  <c:v>1.205840423080538</c:v>
                </c:pt>
                <c:pt idx="75">
                  <c:v>1.1920817147472045</c:v>
                </c:pt>
                <c:pt idx="76">
                  <c:v>1.2160939022472044</c:v>
                </c:pt>
                <c:pt idx="77">
                  <c:v>1.3365208189138711</c:v>
                </c:pt>
                <c:pt idx="78">
                  <c:v>1.4566387355805377</c:v>
                </c:pt>
                <c:pt idx="79">
                  <c:v>1.511894568913871</c:v>
                </c:pt>
                <c:pt idx="80">
                  <c:v>1.5026735845884571</c:v>
                </c:pt>
                <c:pt idx="81">
                  <c:v>1.4581593178633878</c:v>
                </c:pt>
                <c:pt idx="82">
                  <c:v>1.4657197136967213</c:v>
                </c:pt>
                <c:pt idx="83">
                  <c:v>1.4400619636967213</c:v>
                </c:pt>
                <c:pt idx="84">
                  <c:v>1.4321667970300547</c:v>
                </c:pt>
                <c:pt idx="85">
                  <c:v>1.4530480261967214</c:v>
                </c:pt>
                <c:pt idx="86">
                  <c:v>1.4849081511967213</c:v>
                </c:pt>
                <c:pt idx="87">
                  <c:v>1.4034547850945405</c:v>
                </c:pt>
                <c:pt idx="88">
                  <c:v>1.4137515888509355</c:v>
                </c:pt>
                <c:pt idx="89">
                  <c:v>1.3836209221842688</c:v>
                </c:pt>
                <c:pt idx="90">
                  <c:v>1.3970783807474962</c:v>
                </c:pt>
                <c:pt idx="91">
                  <c:v>1.3627009224141629</c:v>
                </c:pt>
                <c:pt idx="92">
                  <c:v>1.4298137349141629</c:v>
                </c:pt>
                <c:pt idx="93">
                  <c:v>1.4215339539165144</c:v>
                </c:pt>
                <c:pt idx="94">
                  <c:v>1.4107009028012398</c:v>
                </c:pt>
                <c:pt idx="95">
                  <c:v>1.4541630694679066</c:v>
                </c:pt>
                <c:pt idx="96">
                  <c:v>1.4170016671855954</c:v>
                </c:pt>
                <c:pt idx="97">
                  <c:v>1.4199549793588533</c:v>
                </c:pt>
                <c:pt idx="98">
                  <c:v>1.4139779485026072</c:v>
                </c:pt>
                <c:pt idx="99">
                  <c:v>1.3539446932625541</c:v>
                </c:pt>
                <c:pt idx="100">
                  <c:v>1.4162413390958875</c:v>
                </c:pt>
                <c:pt idx="101">
                  <c:v>1.5065319640958874</c:v>
                </c:pt>
                <c:pt idx="102">
                  <c:v>1.5121156410217087</c:v>
                </c:pt>
                <c:pt idx="103">
                  <c:v>1.6183508910217088</c:v>
                </c:pt>
                <c:pt idx="104">
                  <c:v>1.6418920160217088</c:v>
                </c:pt>
                <c:pt idx="105">
                  <c:v>1.5904857243550421</c:v>
                </c:pt>
                <c:pt idx="106">
                  <c:v>1.5479218285217087</c:v>
                </c:pt>
                <c:pt idx="107">
                  <c:v>1.6310445160217086</c:v>
                </c:pt>
                <c:pt idx="108">
                  <c:v>1.5833152035217086</c:v>
                </c:pt>
                <c:pt idx="109">
                  <c:v>1.6720359118550419</c:v>
                </c:pt>
                <c:pt idx="110">
                  <c:v>1.7617840368550419</c:v>
                </c:pt>
                <c:pt idx="111">
                  <c:v>1.7677678910217085</c:v>
                </c:pt>
                <c:pt idx="112">
                  <c:v>1.7483814951883752</c:v>
                </c:pt>
                <c:pt idx="113">
                  <c:v>1.7755044326883751</c:v>
                </c:pt>
                <c:pt idx="114">
                  <c:v>1.7760363910217085</c:v>
                </c:pt>
                <c:pt idx="115">
                  <c:v>1.7875359689442216</c:v>
                </c:pt>
                <c:pt idx="116">
                  <c:v>1.8253998231108883</c:v>
                </c:pt>
                <c:pt idx="117">
                  <c:v>1.8741864589671577</c:v>
                </c:pt>
                <c:pt idx="118">
                  <c:v>1.8402199173004912</c:v>
                </c:pt>
                <c:pt idx="119">
                  <c:v>1.8553887298004912</c:v>
                </c:pt>
                <c:pt idx="120">
                  <c:v>1.8165011019608213</c:v>
                </c:pt>
                <c:pt idx="121">
                  <c:v>1.867332456127488</c:v>
                </c:pt>
                <c:pt idx="122">
                  <c:v>1.8343264977941547</c:v>
                </c:pt>
                <c:pt idx="123">
                  <c:v>1.877582831127488</c:v>
                </c:pt>
                <c:pt idx="124">
                  <c:v>1.9220006207518383</c:v>
                </c:pt>
                <c:pt idx="125">
                  <c:v>1.9618780582518383</c:v>
                </c:pt>
                <c:pt idx="126">
                  <c:v>2.0188592040851714</c:v>
                </c:pt>
                <c:pt idx="127">
                  <c:v>2.0334680185723895</c:v>
                </c:pt>
                <c:pt idx="128">
                  <c:v>2.0955864352390563</c:v>
                </c:pt>
                <c:pt idx="129">
                  <c:v>2.0957874560723897</c:v>
                </c:pt>
                <c:pt idx="130">
                  <c:v>2.1374472095076187</c:v>
                </c:pt>
                <c:pt idx="131">
                  <c:v>2.2031293031668535</c:v>
                </c:pt>
                <c:pt idx="132">
                  <c:v>2.1951767095918888</c:v>
                </c:pt>
                <c:pt idx="133">
                  <c:v>2.1285994942283324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D6-3A47-A2DF-C9E44FE8FE88}"/>
            </c:ext>
          </c:extLst>
        </c:ser>
        <c:ser>
          <c:idx val="2"/>
          <c:order val="2"/>
          <c:tx>
            <c:strRef>
              <c:f>預測累積畫圖!$B$14</c:f>
              <c:strCache>
                <c:ptCount val="1"/>
                <c:pt idx="0">
                  <c:v>50等分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預測累積畫圖!$C$14:$EF$14</c:f>
              <c:numCache>
                <c:formatCode>General</c:formatCode>
                <c:ptCount val="134"/>
                <c:pt idx="0">
                  <c:v>3.7017512404591897E-2</c:v>
                </c:pt>
                <c:pt idx="1">
                  <c:v>-4.6329799138709486E-2</c:v>
                </c:pt>
                <c:pt idx="2">
                  <c:v>5.2438358756027363E-2</c:v>
                </c:pt>
                <c:pt idx="3">
                  <c:v>0.10089250155588722</c:v>
                </c:pt>
                <c:pt idx="4">
                  <c:v>0.14191241805381266</c:v>
                </c:pt>
                <c:pt idx="5">
                  <c:v>0.20150136542223368</c:v>
                </c:pt>
                <c:pt idx="6">
                  <c:v>0.15771400559909138</c:v>
                </c:pt>
                <c:pt idx="7">
                  <c:v>5.2620426651722979E-2</c:v>
                </c:pt>
                <c:pt idx="8">
                  <c:v>0.18679913036577647</c:v>
                </c:pt>
                <c:pt idx="9">
                  <c:v>0.18195193317806968</c:v>
                </c:pt>
                <c:pt idx="10">
                  <c:v>0.10600056475701705</c:v>
                </c:pt>
                <c:pt idx="11">
                  <c:v>2.3241580062917919E-2</c:v>
                </c:pt>
                <c:pt idx="12">
                  <c:v>6.2883948483970553E-2</c:v>
                </c:pt>
                <c:pt idx="13">
                  <c:v>0.11066389585239159</c:v>
                </c:pt>
                <c:pt idx="14">
                  <c:v>0.16890294848397056</c:v>
                </c:pt>
                <c:pt idx="15">
                  <c:v>0.18484413578107237</c:v>
                </c:pt>
                <c:pt idx="16">
                  <c:v>0.35073736296578106</c:v>
                </c:pt>
                <c:pt idx="17">
                  <c:v>0.33337562612367577</c:v>
                </c:pt>
                <c:pt idx="18">
                  <c:v>0.43764229075932337</c:v>
                </c:pt>
                <c:pt idx="19">
                  <c:v>0.39926797496984967</c:v>
                </c:pt>
                <c:pt idx="20">
                  <c:v>0.47327613435810267</c:v>
                </c:pt>
                <c:pt idx="21">
                  <c:v>0.58653924267037216</c:v>
                </c:pt>
                <c:pt idx="22">
                  <c:v>0.5697756637230037</c:v>
                </c:pt>
                <c:pt idx="23">
                  <c:v>0.59102766372300375</c:v>
                </c:pt>
                <c:pt idx="24">
                  <c:v>0.58840197951247741</c:v>
                </c:pt>
                <c:pt idx="25">
                  <c:v>0.51341934793353006</c:v>
                </c:pt>
                <c:pt idx="26">
                  <c:v>0.48412671635458271</c:v>
                </c:pt>
                <c:pt idx="27">
                  <c:v>0.52345466372300375</c:v>
                </c:pt>
                <c:pt idx="28">
                  <c:v>0.51943561109142478</c:v>
                </c:pt>
                <c:pt idx="29">
                  <c:v>0.60375340056510896</c:v>
                </c:pt>
                <c:pt idx="30">
                  <c:v>0.61014397951247734</c:v>
                </c:pt>
                <c:pt idx="31">
                  <c:v>0.61539425744298337</c:v>
                </c:pt>
                <c:pt idx="32">
                  <c:v>0.62635957323245706</c:v>
                </c:pt>
                <c:pt idx="33">
                  <c:v>0.64141860931560801</c:v>
                </c:pt>
                <c:pt idx="34">
                  <c:v>0.71833004017391</c:v>
                </c:pt>
                <c:pt idx="35">
                  <c:v>0.75629922989637066</c:v>
                </c:pt>
                <c:pt idx="36">
                  <c:v>0.75944765094900224</c:v>
                </c:pt>
                <c:pt idx="37">
                  <c:v>0.86977112463321271</c:v>
                </c:pt>
                <c:pt idx="38">
                  <c:v>0.93067683009862268</c:v>
                </c:pt>
                <c:pt idx="39">
                  <c:v>0.93773198799335955</c:v>
                </c:pt>
                <c:pt idx="40">
                  <c:v>0.92960556694072793</c:v>
                </c:pt>
                <c:pt idx="41">
                  <c:v>0.94777604062493848</c:v>
                </c:pt>
                <c:pt idx="42">
                  <c:v>0.95703298799335956</c:v>
                </c:pt>
                <c:pt idx="43">
                  <c:v>0.93862625115125431</c:v>
                </c:pt>
                <c:pt idx="44">
                  <c:v>1.0764793564144122</c:v>
                </c:pt>
                <c:pt idx="45">
                  <c:v>1.0849061985196753</c:v>
                </c:pt>
                <c:pt idx="46">
                  <c:v>1.1286350406249384</c:v>
                </c:pt>
                <c:pt idx="47">
                  <c:v>1.129457409045991</c:v>
                </c:pt>
                <c:pt idx="48">
                  <c:v>1.0706180932565172</c:v>
                </c:pt>
                <c:pt idx="49">
                  <c:v>1.0962470932565171</c:v>
                </c:pt>
                <c:pt idx="50">
                  <c:v>1.1925845143091487</c:v>
                </c:pt>
                <c:pt idx="51">
                  <c:v>1.2944825143091487</c:v>
                </c:pt>
                <c:pt idx="52">
                  <c:v>1.3065570406249383</c:v>
                </c:pt>
                <c:pt idx="53">
                  <c:v>1.3229759353617805</c:v>
                </c:pt>
                <c:pt idx="54">
                  <c:v>1.3667629978972675</c:v>
                </c:pt>
                <c:pt idx="55">
                  <c:v>1.4075335194429572</c:v>
                </c:pt>
                <c:pt idx="56">
                  <c:v>1.4180303615482204</c:v>
                </c:pt>
                <c:pt idx="57">
                  <c:v>1.3242808352324309</c:v>
                </c:pt>
                <c:pt idx="58">
                  <c:v>1.3565517299692731</c:v>
                </c:pt>
                <c:pt idx="59">
                  <c:v>1.3805696247061152</c:v>
                </c:pt>
                <c:pt idx="60">
                  <c:v>1.4138068352324309</c:v>
                </c:pt>
                <c:pt idx="61">
                  <c:v>1.4735446020748013</c:v>
                </c:pt>
                <c:pt idx="62">
                  <c:v>1.5128018172812283</c:v>
                </c:pt>
                <c:pt idx="63">
                  <c:v>1.5593786593864916</c:v>
                </c:pt>
                <c:pt idx="64">
                  <c:v>1.592987705063756</c:v>
                </c:pt>
                <c:pt idx="65">
                  <c:v>1.6086614385567151</c:v>
                </c:pt>
                <c:pt idx="66">
                  <c:v>1.6562240701356625</c:v>
                </c:pt>
                <c:pt idx="67">
                  <c:v>1.6206827017146099</c:v>
                </c:pt>
                <c:pt idx="68">
                  <c:v>1.5791887465700321</c:v>
                </c:pt>
                <c:pt idx="69">
                  <c:v>1.6532017089063433</c:v>
                </c:pt>
                <c:pt idx="70">
                  <c:v>1.5420416036431854</c:v>
                </c:pt>
                <c:pt idx="71">
                  <c:v>1.5833238141695012</c:v>
                </c:pt>
                <c:pt idx="72">
                  <c:v>1.701732024695817</c:v>
                </c:pt>
                <c:pt idx="73">
                  <c:v>1.7014246562747644</c:v>
                </c:pt>
                <c:pt idx="74">
                  <c:v>1.6210236562747644</c:v>
                </c:pt>
                <c:pt idx="75">
                  <c:v>1.6720094457484487</c:v>
                </c:pt>
                <c:pt idx="76">
                  <c:v>1.7054640773273961</c:v>
                </c:pt>
                <c:pt idx="77">
                  <c:v>1.8699298668010802</c:v>
                </c:pt>
                <c:pt idx="78">
                  <c:v>1.9905250773273959</c:v>
                </c:pt>
                <c:pt idx="79">
                  <c:v>2.0384464457484484</c:v>
                </c:pt>
                <c:pt idx="80">
                  <c:v>2.1106031649601462</c:v>
                </c:pt>
                <c:pt idx="81">
                  <c:v>2.0182724816780846</c:v>
                </c:pt>
                <c:pt idx="82">
                  <c:v>2.1571993764149267</c:v>
                </c:pt>
                <c:pt idx="83">
                  <c:v>2.1612529027307161</c:v>
                </c:pt>
                <c:pt idx="84">
                  <c:v>2.1574247448359793</c:v>
                </c:pt>
                <c:pt idx="85">
                  <c:v>2.1774912711517689</c:v>
                </c:pt>
                <c:pt idx="86">
                  <c:v>2.1770284816780845</c:v>
                </c:pt>
                <c:pt idx="87">
                  <c:v>2.1147585267992479</c:v>
                </c:pt>
                <c:pt idx="88">
                  <c:v>2.0827185164309308</c:v>
                </c:pt>
                <c:pt idx="89">
                  <c:v>2.0633174111677728</c:v>
                </c:pt>
                <c:pt idx="90">
                  <c:v>2.1369051312066656</c:v>
                </c:pt>
                <c:pt idx="91">
                  <c:v>2.0314253943645602</c:v>
                </c:pt>
                <c:pt idx="92">
                  <c:v>2.1109624996277181</c:v>
                </c:pt>
                <c:pt idx="93">
                  <c:v>2.0550533620032168</c:v>
                </c:pt>
                <c:pt idx="94">
                  <c:v>1.9960262417395611</c:v>
                </c:pt>
                <c:pt idx="95">
                  <c:v>2.057898452265877</c:v>
                </c:pt>
                <c:pt idx="96">
                  <c:v>2.1018155549630917</c:v>
                </c:pt>
                <c:pt idx="97">
                  <c:v>2.0790698398248364</c:v>
                </c:pt>
                <c:pt idx="98">
                  <c:v>2.0824682222883073</c:v>
                </c:pt>
                <c:pt idx="99">
                  <c:v>2.046168813400068</c:v>
                </c:pt>
                <c:pt idx="100">
                  <c:v>2.0963068660316471</c:v>
                </c:pt>
                <c:pt idx="101">
                  <c:v>2.2324794976105946</c:v>
                </c:pt>
                <c:pt idx="102">
                  <c:v>2.2567837867811793</c:v>
                </c:pt>
                <c:pt idx="103">
                  <c:v>2.3613918394127582</c:v>
                </c:pt>
                <c:pt idx="104">
                  <c:v>2.3761457341496004</c:v>
                </c:pt>
                <c:pt idx="105">
                  <c:v>2.3222468394127582</c:v>
                </c:pt>
                <c:pt idx="106">
                  <c:v>2.2911892604653898</c:v>
                </c:pt>
                <c:pt idx="107">
                  <c:v>2.4927537341496002</c:v>
                </c:pt>
                <c:pt idx="108">
                  <c:v>2.4471701025706527</c:v>
                </c:pt>
                <c:pt idx="109">
                  <c:v>2.505912681518021</c:v>
                </c:pt>
                <c:pt idx="110">
                  <c:v>2.5925594709917053</c:v>
                </c:pt>
                <c:pt idx="111">
                  <c:v>2.6084572604653893</c:v>
                </c:pt>
                <c:pt idx="112">
                  <c:v>2.5268355762548631</c:v>
                </c:pt>
                <c:pt idx="113">
                  <c:v>2.5175628920443369</c:v>
                </c:pt>
                <c:pt idx="114">
                  <c:v>2.5164422078338107</c:v>
                </c:pt>
                <c:pt idx="115">
                  <c:v>2.5591047037270749</c:v>
                </c:pt>
                <c:pt idx="116">
                  <c:v>2.6616967037270749</c:v>
                </c:pt>
                <c:pt idx="117">
                  <c:v>2.7052364200847268</c:v>
                </c:pt>
                <c:pt idx="118">
                  <c:v>2.6492172095584108</c:v>
                </c:pt>
                <c:pt idx="119">
                  <c:v>2.6570118411373582</c:v>
                </c:pt>
                <c:pt idx="120">
                  <c:v>2.6219669348664416</c:v>
                </c:pt>
                <c:pt idx="121">
                  <c:v>2.7396392506559155</c:v>
                </c:pt>
                <c:pt idx="122">
                  <c:v>2.6708429874980206</c:v>
                </c:pt>
                <c:pt idx="123">
                  <c:v>2.6902785138138099</c:v>
                </c:pt>
                <c:pt idx="124">
                  <c:v>2.7886228808315878</c:v>
                </c:pt>
                <c:pt idx="125">
                  <c:v>2.8273810387263247</c:v>
                </c:pt>
                <c:pt idx="126">
                  <c:v>2.9016388808315878</c:v>
                </c:pt>
                <c:pt idx="127">
                  <c:v>2.9235204541500499</c:v>
                </c:pt>
                <c:pt idx="128">
                  <c:v>3.0310459804658394</c:v>
                </c:pt>
                <c:pt idx="129">
                  <c:v>3.00593545415005</c:v>
                </c:pt>
                <c:pt idx="130">
                  <c:v>3.0120148362981829</c:v>
                </c:pt>
                <c:pt idx="131">
                  <c:v>3.1146445454843699</c:v>
                </c:pt>
                <c:pt idx="132">
                  <c:v>3.0957773886394775</c:v>
                </c:pt>
                <c:pt idx="133">
                  <c:v>3.0258209681409194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D6-3A47-A2DF-C9E44FE8FE88}"/>
            </c:ext>
          </c:extLst>
        </c:ser>
        <c:ser>
          <c:idx val="3"/>
          <c:order val="3"/>
          <c:tx>
            <c:strRef>
              <c:f>預測累積畫圖!$B$15</c:f>
              <c:strCache>
                <c:ptCount val="1"/>
                <c:pt idx="0">
                  <c:v>100等分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預測累積畫圖!$C$15:$EF$15</c:f>
              <c:numCache>
                <c:formatCode>General</c:formatCode>
                <c:ptCount val="134"/>
                <c:pt idx="0">
                  <c:v>9.6503141994516081E-2</c:v>
                </c:pt>
                <c:pt idx="1">
                  <c:v>7.9550277202450337E-2</c:v>
                </c:pt>
                <c:pt idx="2">
                  <c:v>0.14159487720245034</c:v>
                </c:pt>
                <c:pt idx="3">
                  <c:v>0.25015717057564024</c:v>
                </c:pt>
                <c:pt idx="4">
                  <c:v>0.31079409924717449</c:v>
                </c:pt>
                <c:pt idx="5">
                  <c:v>0.42963849924717451</c:v>
                </c:pt>
                <c:pt idx="6">
                  <c:v>0.37120705496730899</c:v>
                </c:pt>
                <c:pt idx="7">
                  <c:v>0.30668285496730896</c:v>
                </c:pt>
                <c:pt idx="8">
                  <c:v>0.59327748270367953</c:v>
                </c:pt>
                <c:pt idx="9">
                  <c:v>0.56071897754649491</c:v>
                </c:pt>
                <c:pt idx="10">
                  <c:v>0.37222757754649494</c:v>
                </c:pt>
                <c:pt idx="11">
                  <c:v>0.25135942338551387</c:v>
                </c:pt>
                <c:pt idx="12">
                  <c:v>0.29746292338551389</c:v>
                </c:pt>
                <c:pt idx="13">
                  <c:v>0.3504463233855139</c:v>
                </c:pt>
                <c:pt idx="14">
                  <c:v>0.45082312338551389</c:v>
                </c:pt>
                <c:pt idx="15">
                  <c:v>0.50295281349063137</c:v>
                </c:pt>
                <c:pt idx="16">
                  <c:v>0.7729607085727852</c:v>
                </c:pt>
                <c:pt idx="17">
                  <c:v>0.72362100857278522</c:v>
                </c:pt>
                <c:pt idx="18">
                  <c:v>0.86058907024005404</c:v>
                </c:pt>
                <c:pt idx="19">
                  <c:v>0.77490867024005405</c:v>
                </c:pt>
                <c:pt idx="20">
                  <c:v>0.8774522642227971</c:v>
                </c:pt>
                <c:pt idx="21">
                  <c:v>1.0042955956864703</c:v>
                </c:pt>
                <c:pt idx="22">
                  <c:v>0.98010589568647033</c:v>
                </c:pt>
                <c:pt idx="23">
                  <c:v>0.95644969568647031</c:v>
                </c:pt>
                <c:pt idx="24">
                  <c:v>1.0030385956864702</c:v>
                </c:pt>
                <c:pt idx="25">
                  <c:v>0.9290431956864702</c:v>
                </c:pt>
                <c:pt idx="26">
                  <c:v>0.88898839568647015</c:v>
                </c:pt>
                <c:pt idx="27">
                  <c:v>0.92867879568647016</c:v>
                </c:pt>
                <c:pt idx="28">
                  <c:v>0.9759643956864702</c:v>
                </c:pt>
                <c:pt idx="29">
                  <c:v>1.0257378956864702</c:v>
                </c:pt>
                <c:pt idx="30">
                  <c:v>1.0159928956864703</c:v>
                </c:pt>
                <c:pt idx="31">
                  <c:v>0.98238852232879381</c:v>
                </c:pt>
                <c:pt idx="32">
                  <c:v>1.0566659223287937</c:v>
                </c:pt>
                <c:pt idx="33">
                  <c:v>1.0661307822962696</c:v>
                </c:pt>
                <c:pt idx="34">
                  <c:v>1.1278904019547145</c:v>
                </c:pt>
                <c:pt idx="35">
                  <c:v>1.172322064450529</c:v>
                </c:pt>
                <c:pt idx="36">
                  <c:v>1.1742655644505291</c:v>
                </c:pt>
                <c:pt idx="37">
                  <c:v>1.2350003644505292</c:v>
                </c:pt>
                <c:pt idx="38">
                  <c:v>1.2983701769139964</c:v>
                </c:pt>
                <c:pt idx="39">
                  <c:v>1.3109523769139964</c:v>
                </c:pt>
                <c:pt idx="40">
                  <c:v>1.2912050769139964</c:v>
                </c:pt>
                <c:pt idx="41">
                  <c:v>1.3157553769139965</c:v>
                </c:pt>
                <c:pt idx="42">
                  <c:v>1.2933245769139965</c:v>
                </c:pt>
                <c:pt idx="43">
                  <c:v>1.3001808769139964</c:v>
                </c:pt>
                <c:pt idx="44">
                  <c:v>1.4672898769139964</c:v>
                </c:pt>
                <c:pt idx="45">
                  <c:v>1.5005148769139964</c:v>
                </c:pt>
                <c:pt idx="46">
                  <c:v>1.5890738769139965</c:v>
                </c:pt>
                <c:pt idx="47">
                  <c:v>1.5932358769139965</c:v>
                </c:pt>
                <c:pt idx="48">
                  <c:v>1.5500928769139966</c:v>
                </c:pt>
                <c:pt idx="49">
                  <c:v>1.5869409769139966</c:v>
                </c:pt>
                <c:pt idx="50">
                  <c:v>1.7446292769139966</c:v>
                </c:pt>
                <c:pt idx="51">
                  <c:v>1.8534177769139966</c:v>
                </c:pt>
                <c:pt idx="52">
                  <c:v>1.8149268769139966</c:v>
                </c:pt>
                <c:pt idx="53">
                  <c:v>1.8222915769139965</c:v>
                </c:pt>
                <c:pt idx="54">
                  <c:v>1.8707342979316597</c:v>
                </c:pt>
                <c:pt idx="55">
                  <c:v>1.9183972773884119</c:v>
                </c:pt>
                <c:pt idx="56">
                  <c:v>1.9321736773884119</c:v>
                </c:pt>
                <c:pt idx="57">
                  <c:v>1.8774646773884118</c:v>
                </c:pt>
                <c:pt idx="58">
                  <c:v>1.9038164773884119</c:v>
                </c:pt>
                <c:pt idx="59">
                  <c:v>1.9789714773884119</c:v>
                </c:pt>
                <c:pt idx="60">
                  <c:v>2.0518406773884119</c:v>
                </c:pt>
                <c:pt idx="61">
                  <c:v>2.1112445487297604</c:v>
                </c:pt>
                <c:pt idx="62">
                  <c:v>2.1780693700964897</c:v>
                </c:pt>
                <c:pt idx="63">
                  <c:v>2.2441242700964898</c:v>
                </c:pt>
                <c:pt idx="64">
                  <c:v>2.271858746051421</c:v>
                </c:pt>
                <c:pt idx="65">
                  <c:v>2.2860429667592257</c:v>
                </c:pt>
                <c:pt idx="66">
                  <c:v>2.3107164667592257</c:v>
                </c:pt>
                <c:pt idx="67">
                  <c:v>2.3186152667592257</c:v>
                </c:pt>
                <c:pt idx="68">
                  <c:v>2.3017914893089393</c:v>
                </c:pt>
                <c:pt idx="69">
                  <c:v>2.3908516950402738</c:v>
                </c:pt>
                <c:pt idx="70">
                  <c:v>2.3053051950402739</c:v>
                </c:pt>
                <c:pt idx="71">
                  <c:v>2.3914852950402739</c:v>
                </c:pt>
                <c:pt idx="72">
                  <c:v>2.5956307950402739</c:v>
                </c:pt>
                <c:pt idx="73">
                  <c:v>2.6195807950402741</c:v>
                </c:pt>
                <c:pt idx="74">
                  <c:v>2.5262418950402741</c:v>
                </c:pt>
                <c:pt idx="75">
                  <c:v>2.5936020950402741</c:v>
                </c:pt>
                <c:pt idx="76">
                  <c:v>2.6235649950402742</c:v>
                </c:pt>
                <c:pt idx="77">
                  <c:v>2.7546565950402742</c:v>
                </c:pt>
                <c:pt idx="78">
                  <c:v>2.9283061950402742</c:v>
                </c:pt>
                <c:pt idx="79">
                  <c:v>3.0173997950402742</c:v>
                </c:pt>
                <c:pt idx="80">
                  <c:v>3.1339163641103949</c:v>
                </c:pt>
                <c:pt idx="81">
                  <c:v>3.0395597137169745</c:v>
                </c:pt>
                <c:pt idx="82">
                  <c:v>3.2652914137169748</c:v>
                </c:pt>
                <c:pt idx="83">
                  <c:v>3.225311913716975</c:v>
                </c:pt>
                <c:pt idx="84">
                  <c:v>3.1559769137169749</c:v>
                </c:pt>
                <c:pt idx="85">
                  <c:v>3.163359513716975</c:v>
                </c:pt>
                <c:pt idx="86">
                  <c:v>3.1976410137169751</c:v>
                </c:pt>
                <c:pt idx="87">
                  <c:v>3.1662190387237268</c:v>
                </c:pt>
                <c:pt idx="88">
                  <c:v>3.0915879225952732</c:v>
                </c:pt>
                <c:pt idx="89">
                  <c:v>3.0918055225952732</c:v>
                </c:pt>
                <c:pt idx="90">
                  <c:v>3.2212545474773147</c:v>
                </c:pt>
                <c:pt idx="91">
                  <c:v>3.1868611474773147</c:v>
                </c:pt>
                <c:pt idx="92">
                  <c:v>3.3264656474773147</c:v>
                </c:pt>
                <c:pt idx="93">
                  <c:v>3.2782285771891502</c:v>
                </c:pt>
                <c:pt idx="94">
                  <c:v>3.2180434047255555</c:v>
                </c:pt>
                <c:pt idx="95">
                  <c:v>3.2502603047255554</c:v>
                </c:pt>
                <c:pt idx="96">
                  <c:v>3.3134389646403282</c:v>
                </c:pt>
                <c:pt idx="97">
                  <c:v>3.3195808115451371</c:v>
                </c:pt>
                <c:pt idx="98">
                  <c:v>3.3320654717255773</c:v>
                </c:pt>
                <c:pt idx="99">
                  <c:v>3.3080258646722465</c:v>
                </c:pt>
                <c:pt idx="100">
                  <c:v>3.3637587646722467</c:v>
                </c:pt>
                <c:pt idx="101">
                  <c:v>3.4791254646722467</c:v>
                </c:pt>
                <c:pt idx="102">
                  <c:v>3.5055013001141231</c:v>
                </c:pt>
                <c:pt idx="103">
                  <c:v>3.6025490001141232</c:v>
                </c:pt>
                <c:pt idx="104">
                  <c:v>3.6792755001141231</c:v>
                </c:pt>
                <c:pt idx="105">
                  <c:v>3.611750400114123</c:v>
                </c:pt>
                <c:pt idx="106">
                  <c:v>3.5461425001141231</c:v>
                </c:pt>
                <c:pt idx="107">
                  <c:v>3.8488641001141231</c:v>
                </c:pt>
                <c:pt idx="108">
                  <c:v>3.800946300114123</c:v>
                </c:pt>
                <c:pt idx="109">
                  <c:v>3.9305698001141232</c:v>
                </c:pt>
                <c:pt idx="110">
                  <c:v>3.9733808001141231</c:v>
                </c:pt>
                <c:pt idx="111">
                  <c:v>4.0209473001141234</c:v>
                </c:pt>
                <c:pt idx="112">
                  <c:v>3.9206183001141235</c:v>
                </c:pt>
                <c:pt idx="113">
                  <c:v>3.9283575001141235</c:v>
                </c:pt>
                <c:pt idx="114">
                  <c:v>3.9301310001141236</c:v>
                </c:pt>
                <c:pt idx="115">
                  <c:v>3.9741274975377432</c:v>
                </c:pt>
                <c:pt idx="116">
                  <c:v>4.1336730975377431</c:v>
                </c:pt>
                <c:pt idx="117">
                  <c:v>4.1574086995446358</c:v>
                </c:pt>
                <c:pt idx="118">
                  <c:v>4.0844708995446357</c:v>
                </c:pt>
                <c:pt idx="119">
                  <c:v>4.0624354995446357</c:v>
                </c:pt>
                <c:pt idx="120">
                  <c:v>3.9861935911328383</c:v>
                </c:pt>
                <c:pt idx="121">
                  <c:v>4.0204902911328384</c:v>
                </c:pt>
                <c:pt idx="122">
                  <c:v>3.9033617911328382</c:v>
                </c:pt>
                <c:pt idx="123">
                  <c:v>3.954491691132838</c:v>
                </c:pt>
                <c:pt idx="124">
                  <c:v>3.9800303182796708</c:v>
                </c:pt>
                <c:pt idx="125">
                  <c:v>4.0079900182796706</c:v>
                </c:pt>
                <c:pt idx="126">
                  <c:v>4.1515996182796702</c:v>
                </c:pt>
                <c:pt idx="127">
                  <c:v>4.1705198623490549</c:v>
                </c:pt>
                <c:pt idx="128">
                  <c:v>4.279697562349055</c:v>
                </c:pt>
                <c:pt idx="129">
                  <c:v>4.2235685623490546</c:v>
                </c:pt>
                <c:pt idx="130">
                  <c:v>4.2896504183970015</c:v>
                </c:pt>
                <c:pt idx="131">
                  <c:v>4.4030074743323127</c:v>
                </c:pt>
                <c:pt idx="132">
                  <c:v>4.4192528888684013</c:v>
                </c:pt>
                <c:pt idx="133">
                  <c:v>4.3535518977295586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D6-3A47-A2DF-C9E44FE8FE88}"/>
            </c:ext>
          </c:extLst>
        </c:ser>
        <c:ser>
          <c:idx val="4"/>
          <c:order val="4"/>
          <c:tx>
            <c:strRef>
              <c:f>預測累積畫圖!$B$16</c:f>
              <c:strCache>
                <c:ptCount val="1"/>
                <c:pt idx="0">
                  <c:v>107等分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預測累積畫圖!$C$16:$EF$16</c:f>
              <c:numCache>
                <c:formatCode>General</c:formatCode>
                <c:ptCount val="134"/>
                <c:pt idx="0">
                  <c:v>2.7383644610379052E-2</c:v>
                </c:pt>
                <c:pt idx="1">
                  <c:v>2.8103893277696107E-2</c:v>
                </c:pt>
                <c:pt idx="2">
                  <c:v>9.3108782166585011E-2</c:v>
                </c:pt>
                <c:pt idx="3">
                  <c:v>0.19249127502207208</c:v>
                </c:pt>
                <c:pt idx="4">
                  <c:v>0.26618754014899593</c:v>
                </c:pt>
                <c:pt idx="5">
                  <c:v>0.33903631792677369</c:v>
                </c:pt>
                <c:pt idx="6">
                  <c:v>0.28150569926115226</c:v>
                </c:pt>
                <c:pt idx="7">
                  <c:v>0.21281225481670782</c:v>
                </c:pt>
                <c:pt idx="8">
                  <c:v>0.49748280504323994</c:v>
                </c:pt>
                <c:pt idx="9">
                  <c:v>0.48759627045537113</c:v>
                </c:pt>
                <c:pt idx="10">
                  <c:v>0.29272049267759337</c:v>
                </c:pt>
                <c:pt idx="11">
                  <c:v>0.16704986713484307</c:v>
                </c:pt>
                <c:pt idx="12">
                  <c:v>0.18267097824595419</c:v>
                </c:pt>
                <c:pt idx="13">
                  <c:v>0.24465075602373196</c:v>
                </c:pt>
                <c:pt idx="14">
                  <c:v>0.34127064491262082</c:v>
                </c:pt>
                <c:pt idx="15">
                  <c:v>0.39026162319554736</c:v>
                </c:pt>
                <c:pt idx="16">
                  <c:v>0.67732464359434208</c:v>
                </c:pt>
                <c:pt idx="17">
                  <c:v>0.65409719914989761</c:v>
                </c:pt>
                <c:pt idx="18">
                  <c:v>0.78415967057964209</c:v>
                </c:pt>
                <c:pt idx="19">
                  <c:v>0.67984444835741986</c:v>
                </c:pt>
                <c:pt idx="20">
                  <c:v>0.78151012440523171</c:v>
                </c:pt>
                <c:pt idx="21">
                  <c:v>0.90591990811371848</c:v>
                </c:pt>
                <c:pt idx="22">
                  <c:v>0.90163135255816296</c:v>
                </c:pt>
                <c:pt idx="23">
                  <c:v>0.88155557478038515</c:v>
                </c:pt>
                <c:pt idx="24">
                  <c:v>0.93178324144705182</c:v>
                </c:pt>
                <c:pt idx="25">
                  <c:v>0.86076724144705186</c:v>
                </c:pt>
                <c:pt idx="26">
                  <c:v>0.81972713033594069</c:v>
                </c:pt>
                <c:pt idx="27">
                  <c:v>0.85453813033594073</c:v>
                </c:pt>
                <c:pt idx="28">
                  <c:v>0.9060721303359407</c:v>
                </c:pt>
                <c:pt idx="29">
                  <c:v>0.92108246366927404</c:v>
                </c:pt>
                <c:pt idx="30">
                  <c:v>0.91278090811371848</c:v>
                </c:pt>
                <c:pt idx="31">
                  <c:v>0.88101550766427794</c:v>
                </c:pt>
                <c:pt idx="32">
                  <c:v>0.97153861877538905</c:v>
                </c:pt>
                <c:pt idx="33">
                  <c:v>0.96451265270351305</c:v>
                </c:pt>
                <c:pt idx="34">
                  <c:v>1.0289340535358851</c:v>
                </c:pt>
                <c:pt idx="35">
                  <c:v>1.0776229866404083</c:v>
                </c:pt>
                <c:pt idx="36">
                  <c:v>1.101355542195964</c:v>
                </c:pt>
                <c:pt idx="37">
                  <c:v>1.1540676533070751</c:v>
                </c:pt>
                <c:pt idx="38">
                  <c:v>1.2154923251329874</c:v>
                </c:pt>
                <c:pt idx="39">
                  <c:v>1.2207327695774319</c:v>
                </c:pt>
                <c:pt idx="40">
                  <c:v>1.1967002140218763</c:v>
                </c:pt>
                <c:pt idx="41">
                  <c:v>1.2291924362440985</c:v>
                </c:pt>
                <c:pt idx="42">
                  <c:v>1.2011137695774319</c:v>
                </c:pt>
                <c:pt idx="43">
                  <c:v>1.2050529917996542</c:v>
                </c:pt>
                <c:pt idx="44">
                  <c:v>1.3752895473552098</c:v>
                </c:pt>
                <c:pt idx="45">
                  <c:v>1.3988981029107654</c:v>
                </c:pt>
                <c:pt idx="46">
                  <c:v>1.4919558806885431</c:v>
                </c:pt>
                <c:pt idx="47">
                  <c:v>1.4851003251329875</c:v>
                </c:pt>
                <c:pt idx="48">
                  <c:v>1.4504275473552097</c:v>
                </c:pt>
                <c:pt idx="49">
                  <c:v>1.4972554362440986</c:v>
                </c:pt>
                <c:pt idx="50">
                  <c:v>1.6572465473552098</c:v>
                </c:pt>
                <c:pt idx="51">
                  <c:v>1.7897205473552098</c:v>
                </c:pt>
                <c:pt idx="52">
                  <c:v>1.750083880688543</c:v>
                </c:pt>
                <c:pt idx="53">
                  <c:v>1.7563679917996542</c:v>
                </c:pt>
                <c:pt idx="54">
                  <c:v>1.8077789861941291</c:v>
                </c:pt>
                <c:pt idx="55">
                  <c:v>1.8720470405138474</c:v>
                </c:pt>
                <c:pt idx="56">
                  <c:v>1.8913782627360696</c:v>
                </c:pt>
                <c:pt idx="57">
                  <c:v>1.8293382627360695</c:v>
                </c:pt>
                <c:pt idx="58">
                  <c:v>1.8549591516249584</c:v>
                </c:pt>
                <c:pt idx="59">
                  <c:v>1.9363880405138474</c:v>
                </c:pt>
                <c:pt idx="60">
                  <c:v>2.0411612627360696</c:v>
                </c:pt>
                <c:pt idx="61">
                  <c:v>2.1117848284435929</c:v>
                </c:pt>
                <c:pt idx="62">
                  <c:v>2.1933087034855578</c:v>
                </c:pt>
                <c:pt idx="63">
                  <c:v>2.2605080368188912</c:v>
                </c:pt>
                <c:pt idx="64">
                  <c:v>2.2823983967725487</c:v>
                </c:pt>
                <c:pt idx="65">
                  <c:v>2.3032415803201292</c:v>
                </c:pt>
                <c:pt idx="66">
                  <c:v>2.3311078025423515</c:v>
                </c:pt>
                <c:pt idx="67">
                  <c:v>2.3433674692090181</c:v>
                </c:pt>
                <c:pt idx="68">
                  <c:v>2.330175896061554</c:v>
                </c:pt>
                <c:pt idx="69">
                  <c:v>2.4156590873293537</c:v>
                </c:pt>
                <c:pt idx="70">
                  <c:v>2.3141218651071314</c:v>
                </c:pt>
                <c:pt idx="71">
                  <c:v>2.4086323095515758</c:v>
                </c:pt>
                <c:pt idx="72">
                  <c:v>2.6325773095515759</c:v>
                </c:pt>
                <c:pt idx="73">
                  <c:v>2.6566561984404649</c:v>
                </c:pt>
                <c:pt idx="74">
                  <c:v>2.5376607539960205</c:v>
                </c:pt>
                <c:pt idx="75">
                  <c:v>2.6302903095515759</c:v>
                </c:pt>
                <c:pt idx="76">
                  <c:v>2.6577213095515759</c:v>
                </c:pt>
                <c:pt idx="77">
                  <c:v>2.7970303095515758</c:v>
                </c:pt>
                <c:pt idx="78">
                  <c:v>2.841416642884909</c:v>
                </c:pt>
                <c:pt idx="79">
                  <c:v>2.9291666428849092</c:v>
                </c:pt>
                <c:pt idx="80">
                  <c:v>3.0617617036784206</c:v>
                </c:pt>
                <c:pt idx="81">
                  <c:v>2.9565604396686695</c:v>
                </c:pt>
                <c:pt idx="82">
                  <c:v>3.1027571063353365</c:v>
                </c:pt>
                <c:pt idx="83">
                  <c:v>3.0842356618908919</c:v>
                </c:pt>
                <c:pt idx="84">
                  <c:v>3.0258923285575587</c:v>
                </c:pt>
                <c:pt idx="85">
                  <c:v>3.0536925507797812</c:v>
                </c:pt>
                <c:pt idx="86">
                  <c:v>3.1244253285575589</c:v>
                </c:pt>
                <c:pt idx="87">
                  <c:v>3.1085466462228495</c:v>
                </c:pt>
                <c:pt idx="88">
                  <c:v>3.0195580180733379</c:v>
                </c:pt>
                <c:pt idx="89">
                  <c:v>3.0291675736288934</c:v>
                </c:pt>
                <c:pt idx="90">
                  <c:v>3.2116195281687228</c:v>
                </c:pt>
                <c:pt idx="91">
                  <c:v>3.180934972613167</c:v>
                </c:pt>
                <c:pt idx="92">
                  <c:v>3.3493859726131672</c:v>
                </c:pt>
                <c:pt idx="93">
                  <c:v>3.3010862059298507</c:v>
                </c:pt>
                <c:pt idx="94">
                  <c:v>3.2345270460557769</c:v>
                </c:pt>
                <c:pt idx="95">
                  <c:v>3.2834309349446658</c:v>
                </c:pt>
                <c:pt idx="96">
                  <c:v>3.3468655893036403</c:v>
                </c:pt>
                <c:pt idx="97">
                  <c:v>3.3636166733843611</c:v>
                </c:pt>
                <c:pt idx="98">
                  <c:v>3.3728108329169828</c:v>
                </c:pt>
                <c:pt idx="99">
                  <c:v>3.360570548162733</c:v>
                </c:pt>
                <c:pt idx="100">
                  <c:v>3.4191251037182884</c:v>
                </c:pt>
                <c:pt idx="101">
                  <c:v>3.5853458814960661</c:v>
                </c:pt>
                <c:pt idx="102">
                  <c:v>3.6151506754633016</c:v>
                </c:pt>
                <c:pt idx="103">
                  <c:v>3.7131673421299682</c:v>
                </c:pt>
                <c:pt idx="104">
                  <c:v>3.7769074532410793</c:v>
                </c:pt>
                <c:pt idx="105">
                  <c:v>3.7025373421299683</c:v>
                </c:pt>
                <c:pt idx="106">
                  <c:v>3.6462120087966352</c:v>
                </c:pt>
                <c:pt idx="107">
                  <c:v>3.9717928976855239</c:v>
                </c:pt>
                <c:pt idx="108">
                  <c:v>3.9261158976855239</c:v>
                </c:pt>
                <c:pt idx="109">
                  <c:v>4.0632653421299683</c:v>
                </c:pt>
                <c:pt idx="110">
                  <c:v>4.1110941199077464</c:v>
                </c:pt>
                <c:pt idx="111">
                  <c:v>4.1628472310188576</c:v>
                </c:pt>
                <c:pt idx="112">
                  <c:v>4.0665928976855241</c:v>
                </c:pt>
                <c:pt idx="113">
                  <c:v>4.0679597865744128</c:v>
                </c:pt>
                <c:pt idx="114">
                  <c:v>4.1060951199077458</c:v>
                </c:pt>
                <c:pt idx="115">
                  <c:v>4.1485329732671525</c:v>
                </c:pt>
                <c:pt idx="116">
                  <c:v>4.3181236399338196</c:v>
                </c:pt>
                <c:pt idx="117">
                  <c:v>4.3379655885130459</c:v>
                </c:pt>
                <c:pt idx="118">
                  <c:v>4.2704055885130456</c:v>
                </c:pt>
                <c:pt idx="119">
                  <c:v>4.2592272551797121</c:v>
                </c:pt>
                <c:pt idx="120">
                  <c:v>4.1654751901899578</c:v>
                </c:pt>
                <c:pt idx="121">
                  <c:v>4.1975345235232915</c:v>
                </c:pt>
                <c:pt idx="122">
                  <c:v>4.0747615235232919</c:v>
                </c:pt>
                <c:pt idx="123">
                  <c:v>4.1199133013010698</c:v>
                </c:pt>
                <c:pt idx="124">
                  <c:v>4.160831031000761</c:v>
                </c:pt>
                <c:pt idx="125">
                  <c:v>4.1983381421118722</c:v>
                </c:pt>
                <c:pt idx="126">
                  <c:v>4.3559099198896503</c:v>
                </c:pt>
                <c:pt idx="127">
                  <c:v>4.3871869997143271</c:v>
                </c:pt>
                <c:pt idx="128">
                  <c:v>4.5269868886032159</c:v>
                </c:pt>
                <c:pt idx="129">
                  <c:v>4.4561091108254383</c:v>
                </c:pt>
                <c:pt idx="130">
                  <c:v>4.5196411774600076</c:v>
                </c:pt>
                <c:pt idx="131">
                  <c:v>4.6350579249589288</c:v>
                </c:pt>
                <c:pt idx="132">
                  <c:v>4.6581486364835403</c:v>
                </c:pt>
                <c:pt idx="133">
                  <c:v>4.6156742349896334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AD6-3A47-A2DF-C9E44FE8FE88}"/>
            </c:ext>
          </c:extLst>
        </c:ser>
        <c:ser>
          <c:idx val="5"/>
          <c:order val="5"/>
          <c:tx>
            <c:strRef>
              <c:f>預測累積畫圖!$B$17</c:f>
              <c:strCache>
                <c:ptCount val="1"/>
                <c:pt idx="0">
                  <c:v>120等分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預測累積畫圖!$C$17:$EF$17</c:f>
              <c:numCache>
                <c:formatCode>General</c:formatCode>
                <c:ptCount val="134"/>
                <c:pt idx="0">
                  <c:v>4.1028984252961823E-2</c:v>
                </c:pt>
                <c:pt idx="1">
                  <c:v>5.8363358986049621E-2</c:v>
                </c:pt>
                <c:pt idx="2">
                  <c:v>0.13795135898604965</c:v>
                </c:pt>
                <c:pt idx="3">
                  <c:v>0.25078887410334538</c:v>
                </c:pt>
                <c:pt idx="4">
                  <c:v>0.32201164098152713</c:v>
                </c:pt>
                <c:pt idx="5">
                  <c:v>0.42700639098152715</c:v>
                </c:pt>
                <c:pt idx="6">
                  <c:v>0.31328136317933963</c:v>
                </c:pt>
                <c:pt idx="7">
                  <c:v>0.19798298817933963</c:v>
                </c:pt>
                <c:pt idx="8">
                  <c:v>0.49480953927990201</c:v>
                </c:pt>
                <c:pt idx="9">
                  <c:v>0.48509864977174399</c:v>
                </c:pt>
                <c:pt idx="10">
                  <c:v>0.25815877477174398</c:v>
                </c:pt>
                <c:pt idx="11">
                  <c:v>0.12221034271895878</c:v>
                </c:pt>
                <c:pt idx="12">
                  <c:v>0.14684246771895879</c:v>
                </c:pt>
                <c:pt idx="13">
                  <c:v>0.22375809271895877</c:v>
                </c:pt>
                <c:pt idx="14">
                  <c:v>0.33019046771895877</c:v>
                </c:pt>
                <c:pt idx="15">
                  <c:v>0.38224807662348598</c:v>
                </c:pt>
                <c:pt idx="16">
                  <c:v>0.69290150927878424</c:v>
                </c:pt>
                <c:pt idx="17">
                  <c:v>0.66939313427878422</c:v>
                </c:pt>
                <c:pt idx="18">
                  <c:v>0.8106642768173411</c:v>
                </c:pt>
                <c:pt idx="19">
                  <c:v>0.6943091518173411</c:v>
                </c:pt>
                <c:pt idx="20">
                  <c:v>0.81391313582964864</c:v>
                </c:pt>
                <c:pt idx="21">
                  <c:v>0.93075933377045228</c:v>
                </c:pt>
                <c:pt idx="22">
                  <c:v>0.93225845877045233</c:v>
                </c:pt>
                <c:pt idx="23">
                  <c:v>0.91064995877045229</c:v>
                </c:pt>
                <c:pt idx="24">
                  <c:v>0.97290608377045229</c:v>
                </c:pt>
                <c:pt idx="25">
                  <c:v>0.91457170877045224</c:v>
                </c:pt>
                <c:pt idx="26">
                  <c:v>0.87377258377045219</c:v>
                </c:pt>
                <c:pt idx="27">
                  <c:v>0.94239245877045219</c:v>
                </c:pt>
                <c:pt idx="28">
                  <c:v>1.0018357087704521</c:v>
                </c:pt>
                <c:pt idx="29">
                  <c:v>1.0102483337704522</c:v>
                </c:pt>
                <c:pt idx="30">
                  <c:v>1.0088970837704523</c:v>
                </c:pt>
                <c:pt idx="31">
                  <c:v>0.97342446459756338</c:v>
                </c:pt>
                <c:pt idx="32">
                  <c:v>1.0882895895975633</c:v>
                </c:pt>
                <c:pt idx="33">
                  <c:v>1.0456869590786064</c:v>
                </c:pt>
                <c:pt idx="34">
                  <c:v>1.119403233817643</c:v>
                </c:pt>
                <c:pt idx="35">
                  <c:v>1.1701276395661995</c:v>
                </c:pt>
                <c:pt idx="36">
                  <c:v>1.1979967645661995</c:v>
                </c:pt>
                <c:pt idx="37">
                  <c:v>1.2473571395661995</c:v>
                </c:pt>
                <c:pt idx="38">
                  <c:v>1.2599894741619238</c:v>
                </c:pt>
                <c:pt idx="39">
                  <c:v>1.2637487241619239</c:v>
                </c:pt>
                <c:pt idx="40">
                  <c:v>1.2545183491619238</c:v>
                </c:pt>
                <c:pt idx="41">
                  <c:v>1.2895149741619238</c:v>
                </c:pt>
                <c:pt idx="42">
                  <c:v>1.2599989741619237</c:v>
                </c:pt>
                <c:pt idx="43">
                  <c:v>1.2614313491619238</c:v>
                </c:pt>
                <c:pt idx="44">
                  <c:v>1.4389939741619238</c:v>
                </c:pt>
                <c:pt idx="45">
                  <c:v>1.4665573491619237</c:v>
                </c:pt>
                <c:pt idx="46">
                  <c:v>1.5785598491619237</c:v>
                </c:pt>
                <c:pt idx="47">
                  <c:v>1.5891522241619238</c:v>
                </c:pt>
                <c:pt idx="48">
                  <c:v>1.5423410991619237</c:v>
                </c:pt>
                <c:pt idx="49">
                  <c:v>1.5903224741619237</c:v>
                </c:pt>
                <c:pt idx="50">
                  <c:v>1.7531289741619238</c:v>
                </c:pt>
                <c:pt idx="51">
                  <c:v>1.9063997241619237</c:v>
                </c:pt>
                <c:pt idx="52">
                  <c:v>1.8486347241619236</c:v>
                </c:pt>
                <c:pt idx="53">
                  <c:v>1.8680488491619236</c:v>
                </c:pt>
                <c:pt idx="54">
                  <c:v>1.9453990913999839</c:v>
                </c:pt>
                <c:pt idx="55">
                  <c:v>2.0005965880089378</c:v>
                </c:pt>
                <c:pt idx="56">
                  <c:v>1.9874428380089377</c:v>
                </c:pt>
                <c:pt idx="57">
                  <c:v>1.9387040880089377</c:v>
                </c:pt>
                <c:pt idx="58">
                  <c:v>1.9961548380089376</c:v>
                </c:pt>
                <c:pt idx="59">
                  <c:v>2.0853473380089378</c:v>
                </c:pt>
                <c:pt idx="60">
                  <c:v>2.2001634630089377</c:v>
                </c:pt>
                <c:pt idx="61">
                  <c:v>2.2776464298088839</c:v>
                </c:pt>
                <c:pt idx="62">
                  <c:v>2.353644200254744</c:v>
                </c:pt>
                <c:pt idx="63">
                  <c:v>2.427302200254744</c:v>
                </c:pt>
                <c:pt idx="64">
                  <c:v>2.4624818156714676</c:v>
                </c:pt>
                <c:pt idx="65">
                  <c:v>2.4984777953259485</c:v>
                </c:pt>
                <c:pt idx="66">
                  <c:v>2.5471232953259486</c:v>
                </c:pt>
                <c:pt idx="67">
                  <c:v>2.5821279203259486</c:v>
                </c:pt>
                <c:pt idx="68">
                  <c:v>2.5780244512153421</c:v>
                </c:pt>
                <c:pt idx="69">
                  <c:v>2.6874408300857655</c:v>
                </c:pt>
                <c:pt idx="70">
                  <c:v>2.5829164550857655</c:v>
                </c:pt>
                <c:pt idx="71">
                  <c:v>2.6895603300857656</c:v>
                </c:pt>
                <c:pt idx="72">
                  <c:v>2.9167947050857657</c:v>
                </c:pt>
                <c:pt idx="73">
                  <c:v>2.9238912050857655</c:v>
                </c:pt>
                <c:pt idx="74">
                  <c:v>2.8280288300857657</c:v>
                </c:pt>
                <c:pt idx="75">
                  <c:v>2.9349808300857658</c:v>
                </c:pt>
                <c:pt idx="76">
                  <c:v>2.962176955085766</c:v>
                </c:pt>
                <c:pt idx="77">
                  <c:v>3.111810330085766</c:v>
                </c:pt>
                <c:pt idx="78">
                  <c:v>3.1535688300857658</c:v>
                </c:pt>
                <c:pt idx="79">
                  <c:v>3.217673455085766</c:v>
                </c:pt>
                <c:pt idx="80">
                  <c:v>3.3927897005918175</c:v>
                </c:pt>
                <c:pt idx="81">
                  <c:v>3.2940435031656188</c:v>
                </c:pt>
                <c:pt idx="82">
                  <c:v>3.4710788781656188</c:v>
                </c:pt>
                <c:pt idx="83">
                  <c:v>3.4483242531656186</c:v>
                </c:pt>
                <c:pt idx="84">
                  <c:v>3.3658730031656185</c:v>
                </c:pt>
                <c:pt idx="85">
                  <c:v>3.4041947531656187</c:v>
                </c:pt>
                <c:pt idx="86">
                  <c:v>3.4799387531656185</c:v>
                </c:pt>
                <c:pt idx="87">
                  <c:v>3.48936509793465</c:v>
                </c:pt>
                <c:pt idx="88">
                  <c:v>3.3547957535030757</c:v>
                </c:pt>
                <c:pt idx="89">
                  <c:v>3.3684265035030756</c:v>
                </c:pt>
                <c:pt idx="90">
                  <c:v>3.5709651307660653</c:v>
                </c:pt>
                <c:pt idx="91">
                  <c:v>3.5493551307660653</c:v>
                </c:pt>
                <c:pt idx="92">
                  <c:v>3.7224860057660654</c:v>
                </c:pt>
                <c:pt idx="93">
                  <c:v>3.6718095150638423</c:v>
                </c:pt>
                <c:pt idx="94">
                  <c:v>3.5749678837642724</c:v>
                </c:pt>
                <c:pt idx="95">
                  <c:v>3.6336221337642725</c:v>
                </c:pt>
                <c:pt idx="96">
                  <c:v>3.7080304413475265</c:v>
                </c:pt>
                <c:pt idx="97">
                  <c:v>3.7041508334075992</c:v>
                </c:pt>
                <c:pt idx="98">
                  <c:v>3.7239126873169521</c:v>
                </c:pt>
                <c:pt idx="99">
                  <c:v>3.7131402927930042</c:v>
                </c:pt>
                <c:pt idx="100">
                  <c:v>3.7726384177930044</c:v>
                </c:pt>
                <c:pt idx="101">
                  <c:v>3.9567742927930043</c:v>
                </c:pt>
                <c:pt idx="102">
                  <c:v>4.0006701519381389</c:v>
                </c:pt>
                <c:pt idx="103">
                  <c:v>4.1049411519381387</c:v>
                </c:pt>
                <c:pt idx="104">
                  <c:v>4.1588286519381388</c:v>
                </c:pt>
                <c:pt idx="105">
                  <c:v>4.1106986519381392</c:v>
                </c:pt>
                <c:pt idx="106">
                  <c:v>4.0590332769381394</c:v>
                </c:pt>
                <c:pt idx="107">
                  <c:v>4.4112606519381394</c:v>
                </c:pt>
                <c:pt idx="108">
                  <c:v>4.3640495269381399</c:v>
                </c:pt>
                <c:pt idx="109">
                  <c:v>4.5274829019381402</c:v>
                </c:pt>
                <c:pt idx="110">
                  <c:v>4.5976641519381403</c:v>
                </c:pt>
                <c:pt idx="111">
                  <c:v>4.6548105269381406</c:v>
                </c:pt>
                <c:pt idx="112">
                  <c:v>4.5520306519381402</c:v>
                </c:pt>
                <c:pt idx="113">
                  <c:v>4.5462409019381402</c:v>
                </c:pt>
                <c:pt idx="114">
                  <c:v>4.5888044019381402</c:v>
                </c:pt>
                <c:pt idx="115">
                  <c:v>4.6242934346524791</c:v>
                </c:pt>
                <c:pt idx="116">
                  <c:v>4.8040554346524793</c:v>
                </c:pt>
                <c:pt idx="117">
                  <c:v>4.7875369263958554</c:v>
                </c:pt>
                <c:pt idx="118">
                  <c:v>4.7222929263958555</c:v>
                </c:pt>
                <c:pt idx="119">
                  <c:v>4.6965664263958553</c:v>
                </c:pt>
                <c:pt idx="120">
                  <c:v>4.5722502665910447</c:v>
                </c:pt>
                <c:pt idx="121">
                  <c:v>4.5889932665910447</c:v>
                </c:pt>
                <c:pt idx="122">
                  <c:v>4.4594992665910445</c:v>
                </c:pt>
                <c:pt idx="123">
                  <c:v>4.5217716415910445</c:v>
                </c:pt>
                <c:pt idx="124">
                  <c:v>4.5704531250051943</c:v>
                </c:pt>
                <c:pt idx="125">
                  <c:v>4.6145750000051944</c:v>
                </c:pt>
                <c:pt idx="126">
                  <c:v>4.7218572500051943</c:v>
                </c:pt>
                <c:pt idx="127">
                  <c:v>4.7536854226049803</c:v>
                </c:pt>
                <c:pt idx="128">
                  <c:v>4.9182577976049799</c:v>
                </c:pt>
                <c:pt idx="129">
                  <c:v>4.84447417260498</c:v>
                </c:pt>
                <c:pt idx="130">
                  <c:v>4.8608993898210411</c:v>
                </c:pt>
                <c:pt idx="131">
                  <c:v>4.9892238337499535</c:v>
                </c:pt>
                <c:pt idx="132">
                  <c:v>5.0146371940599872</c:v>
                </c:pt>
                <c:pt idx="133">
                  <c:v>4.9669274270501358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AD6-3A47-A2DF-C9E44FE8FE88}"/>
            </c:ext>
          </c:extLst>
        </c:ser>
        <c:ser>
          <c:idx val="6"/>
          <c:order val="6"/>
          <c:tx>
            <c:strRef>
              <c:f>預測累積畫圖!$B$18</c:f>
              <c:strCache>
                <c:ptCount val="1"/>
                <c:pt idx="0">
                  <c:v>137等分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預測累積畫圖!$C$18:$EF$18</c:f>
              <c:numCache>
                <c:formatCode>General</c:formatCode>
                <c:ptCount val="134"/>
                <c:pt idx="0">
                  <c:v>5.3942228163147227E-2</c:v>
                </c:pt>
                <c:pt idx="1">
                  <c:v>6.2129695244539956E-2</c:v>
                </c:pt>
                <c:pt idx="2">
                  <c:v>0.11556755238739712</c:v>
                </c:pt>
                <c:pt idx="3">
                  <c:v>0.2499819268207828</c:v>
                </c:pt>
                <c:pt idx="4">
                  <c:v>0.33077617384164265</c:v>
                </c:pt>
                <c:pt idx="5">
                  <c:v>0.45931617384164264</c:v>
                </c:pt>
                <c:pt idx="6">
                  <c:v>0.32381599361840152</c:v>
                </c:pt>
                <c:pt idx="7">
                  <c:v>0.19865513647554431</c:v>
                </c:pt>
                <c:pt idx="8">
                  <c:v>0.55733723498344401</c:v>
                </c:pt>
                <c:pt idx="9">
                  <c:v>0.54435474813646245</c:v>
                </c:pt>
                <c:pt idx="10">
                  <c:v>0.29084189099360525</c:v>
                </c:pt>
                <c:pt idx="11">
                  <c:v>0.14784946370883414</c:v>
                </c:pt>
                <c:pt idx="12">
                  <c:v>0.17217360656597699</c:v>
                </c:pt>
                <c:pt idx="13">
                  <c:v>0.22674332085169127</c:v>
                </c:pt>
                <c:pt idx="14">
                  <c:v>0.34848203513740555</c:v>
                </c:pt>
                <c:pt idx="15">
                  <c:v>0.40997427300938055</c:v>
                </c:pt>
                <c:pt idx="16">
                  <c:v>0.7937069019412748</c:v>
                </c:pt>
                <c:pt idx="17">
                  <c:v>0.78867733051270339</c:v>
                </c:pt>
                <c:pt idx="18">
                  <c:v>0.92117235494252236</c:v>
                </c:pt>
                <c:pt idx="19">
                  <c:v>0.7899193549425223</c:v>
                </c:pt>
                <c:pt idx="20">
                  <c:v>0.9278365928582285</c:v>
                </c:pt>
                <c:pt idx="21">
                  <c:v>1.0712881104930692</c:v>
                </c:pt>
                <c:pt idx="22">
                  <c:v>1.0954999676359263</c:v>
                </c:pt>
                <c:pt idx="23">
                  <c:v>1.0785943962073548</c:v>
                </c:pt>
                <c:pt idx="24">
                  <c:v>1.1333999676359261</c:v>
                </c:pt>
                <c:pt idx="25">
                  <c:v>1.0716859676359261</c:v>
                </c:pt>
                <c:pt idx="26">
                  <c:v>0.99696611049306894</c:v>
                </c:pt>
                <c:pt idx="27">
                  <c:v>1.093251967635926</c:v>
                </c:pt>
                <c:pt idx="28">
                  <c:v>1.1704529676359261</c:v>
                </c:pt>
                <c:pt idx="29">
                  <c:v>1.1687033962073547</c:v>
                </c:pt>
                <c:pt idx="30">
                  <c:v>1.1600855390644975</c:v>
                </c:pt>
                <c:pt idx="31">
                  <c:v>1.1198880780959828</c:v>
                </c:pt>
                <c:pt idx="32">
                  <c:v>1.2379745066674115</c:v>
                </c:pt>
                <c:pt idx="33">
                  <c:v>1.1905807505009625</c:v>
                </c:pt>
                <c:pt idx="34">
                  <c:v>1.2207332310985886</c:v>
                </c:pt>
                <c:pt idx="35">
                  <c:v>1.2682609947308463</c:v>
                </c:pt>
                <c:pt idx="36">
                  <c:v>1.2781199947308464</c:v>
                </c:pt>
                <c:pt idx="37">
                  <c:v>1.3317815661594179</c:v>
                </c:pt>
                <c:pt idx="38">
                  <c:v>1.3372091011271108</c:v>
                </c:pt>
                <c:pt idx="39">
                  <c:v>1.339224815412825</c:v>
                </c:pt>
                <c:pt idx="40">
                  <c:v>1.3560129582699678</c:v>
                </c:pt>
                <c:pt idx="41">
                  <c:v>1.4177073868413963</c:v>
                </c:pt>
                <c:pt idx="42">
                  <c:v>1.3723341011271106</c:v>
                </c:pt>
                <c:pt idx="43">
                  <c:v>1.4019876725556821</c:v>
                </c:pt>
                <c:pt idx="44">
                  <c:v>1.598647815412825</c:v>
                </c:pt>
                <c:pt idx="45">
                  <c:v>1.633705815412825</c:v>
                </c:pt>
                <c:pt idx="46">
                  <c:v>1.7757486725556821</c:v>
                </c:pt>
                <c:pt idx="47">
                  <c:v>1.8093529582699679</c:v>
                </c:pt>
                <c:pt idx="48">
                  <c:v>1.766575815412825</c:v>
                </c:pt>
                <c:pt idx="49">
                  <c:v>1.8329178154128249</c:v>
                </c:pt>
                <c:pt idx="50">
                  <c:v>2.0133976725556821</c:v>
                </c:pt>
                <c:pt idx="51">
                  <c:v>2.1806549582699679</c:v>
                </c:pt>
                <c:pt idx="52">
                  <c:v>2.128201815412825</c:v>
                </c:pt>
                <c:pt idx="53">
                  <c:v>2.1484795296985393</c:v>
                </c:pt>
                <c:pt idx="54">
                  <c:v>2.2168407429367023</c:v>
                </c:pt>
                <c:pt idx="55">
                  <c:v>2.2627252792362813</c:v>
                </c:pt>
                <c:pt idx="56">
                  <c:v>2.26041670780771</c:v>
                </c:pt>
                <c:pt idx="57">
                  <c:v>2.1974809935219959</c:v>
                </c:pt>
                <c:pt idx="58">
                  <c:v>2.2309705649505673</c:v>
                </c:pt>
                <c:pt idx="59">
                  <c:v>2.3305032792362814</c:v>
                </c:pt>
                <c:pt idx="60">
                  <c:v>2.4039594220934242</c:v>
                </c:pt>
                <c:pt idx="61">
                  <c:v>2.4851170959136284</c:v>
                </c:pt>
                <c:pt idx="62">
                  <c:v>2.5878910349770679</c:v>
                </c:pt>
                <c:pt idx="63">
                  <c:v>2.6661011778342107</c:v>
                </c:pt>
                <c:pt idx="64">
                  <c:v>2.6863286739405852</c:v>
                </c:pt>
                <c:pt idx="65">
                  <c:v>2.7331862142752672</c:v>
                </c:pt>
                <c:pt idx="66">
                  <c:v>2.7914739285609813</c:v>
                </c:pt>
                <c:pt idx="67">
                  <c:v>2.817762214275267</c:v>
                </c:pt>
                <c:pt idx="68">
                  <c:v>2.8137785891781477</c:v>
                </c:pt>
                <c:pt idx="69">
                  <c:v>2.9290153372140342</c:v>
                </c:pt>
                <c:pt idx="70">
                  <c:v>2.8175531943568912</c:v>
                </c:pt>
                <c:pt idx="71">
                  <c:v>2.9330587657854625</c:v>
                </c:pt>
                <c:pt idx="72">
                  <c:v>3.1940980514997483</c:v>
                </c:pt>
                <c:pt idx="73">
                  <c:v>3.1782873372140341</c:v>
                </c:pt>
                <c:pt idx="74">
                  <c:v>3.1155989086426055</c:v>
                </c:pt>
                <c:pt idx="75">
                  <c:v>3.2254140514997482</c:v>
                </c:pt>
                <c:pt idx="76">
                  <c:v>3.2586999086426052</c:v>
                </c:pt>
                <c:pt idx="77">
                  <c:v>3.3655461943568907</c:v>
                </c:pt>
                <c:pt idx="78">
                  <c:v>3.4702059086426051</c:v>
                </c:pt>
                <c:pt idx="79">
                  <c:v>3.520650908642605</c:v>
                </c:pt>
                <c:pt idx="80">
                  <c:v>3.6985772649514823</c:v>
                </c:pt>
                <c:pt idx="81">
                  <c:v>3.626759673251108</c:v>
                </c:pt>
                <c:pt idx="82">
                  <c:v>3.8534018161082511</c:v>
                </c:pt>
                <c:pt idx="83">
                  <c:v>3.8279612446796798</c:v>
                </c:pt>
                <c:pt idx="84">
                  <c:v>3.7102376732511084</c:v>
                </c:pt>
                <c:pt idx="85">
                  <c:v>3.7389223875368227</c:v>
                </c:pt>
                <c:pt idx="86">
                  <c:v>3.8121435303939655</c:v>
                </c:pt>
                <c:pt idx="87">
                  <c:v>3.8431330754521587</c:v>
                </c:pt>
                <c:pt idx="88">
                  <c:v>3.699484532287765</c:v>
                </c:pt>
                <c:pt idx="89">
                  <c:v>3.6708676751449079</c:v>
                </c:pt>
                <c:pt idx="90">
                  <c:v>3.9024415536943371</c:v>
                </c:pt>
                <c:pt idx="91">
                  <c:v>3.8869434108371941</c:v>
                </c:pt>
                <c:pt idx="92">
                  <c:v>4.0966861251229085</c:v>
                </c:pt>
                <c:pt idx="93">
                  <c:v>4.0415299964063163</c:v>
                </c:pt>
                <c:pt idx="94">
                  <c:v>3.9635027496743449</c:v>
                </c:pt>
                <c:pt idx="95">
                  <c:v>4.0403736068172016</c:v>
                </c:pt>
                <c:pt idx="96">
                  <c:v>4.1120222980223113</c:v>
                </c:pt>
                <c:pt idx="97">
                  <c:v>4.0209820157920229</c:v>
                </c:pt>
                <c:pt idx="98">
                  <c:v>4.0294381013565488</c:v>
                </c:pt>
                <c:pt idx="99">
                  <c:v>3.9678779155227706</c:v>
                </c:pt>
                <c:pt idx="100">
                  <c:v>4.0393100583799137</c:v>
                </c:pt>
                <c:pt idx="101">
                  <c:v>4.2437224869513424</c:v>
                </c:pt>
                <c:pt idx="102">
                  <c:v>4.2911034264700358</c:v>
                </c:pt>
                <c:pt idx="103">
                  <c:v>4.4092174264700361</c:v>
                </c:pt>
                <c:pt idx="104">
                  <c:v>4.4584259978986074</c:v>
                </c:pt>
                <c:pt idx="105">
                  <c:v>4.3873547121843215</c:v>
                </c:pt>
                <c:pt idx="106">
                  <c:v>4.3480479978986075</c:v>
                </c:pt>
                <c:pt idx="107">
                  <c:v>4.7147415693271792</c:v>
                </c:pt>
                <c:pt idx="108">
                  <c:v>4.6599708550414647</c:v>
                </c:pt>
                <c:pt idx="109">
                  <c:v>4.8523734264700362</c:v>
                </c:pt>
                <c:pt idx="110">
                  <c:v>4.9503362836128932</c:v>
                </c:pt>
                <c:pt idx="111">
                  <c:v>5.0009912836128931</c:v>
                </c:pt>
                <c:pt idx="112">
                  <c:v>4.8944654264700365</c:v>
                </c:pt>
                <c:pt idx="113">
                  <c:v>4.8710558550414653</c:v>
                </c:pt>
                <c:pt idx="114">
                  <c:v>4.92951256932718</c:v>
                </c:pt>
                <c:pt idx="115">
                  <c:v>4.9127905052491583</c:v>
                </c:pt>
                <c:pt idx="116">
                  <c:v>5.1331100766777293</c:v>
                </c:pt>
                <c:pt idx="117">
                  <c:v>5.1125053902108633</c:v>
                </c:pt>
                <c:pt idx="118">
                  <c:v>5.0505506759251491</c:v>
                </c:pt>
                <c:pt idx="119">
                  <c:v>5.0400989616394352</c:v>
                </c:pt>
                <c:pt idx="120">
                  <c:v>4.8923769631877025</c:v>
                </c:pt>
                <c:pt idx="121">
                  <c:v>4.8849692489019887</c:v>
                </c:pt>
                <c:pt idx="122">
                  <c:v>4.7262538203305597</c:v>
                </c:pt>
                <c:pt idx="123">
                  <c:v>4.8116596774734166</c:v>
                </c:pt>
                <c:pt idx="124">
                  <c:v>4.8935683697577899</c:v>
                </c:pt>
                <c:pt idx="125">
                  <c:v>4.9553520840435041</c:v>
                </c:pt>
                <c:pt idx="126">
                  <c:v>5.0921843697577902</c:v>
                </c:pt>
                <c:pt idx="127">
                  <c:v>5.1677007290541557</c:v>
                </c:pt>
                <c:pt idx="128">
                  <c:v>5.3666480147684412</c:v>
                </c:pt>
                <c:pt idx="129">
                  <c:v>5.2696030147684416</c:v>
                </c:pt>
                <c:pt idx="130">
                  <c:v>5.2723671301938131</c:v>
                </c:pt>
                <c:pt idx="131">
                  <c:v>5.3828451520595788</c:v>
                </c:pt>
                <c:pt idx="132">
                  <c:v>5.3966989060340858</c:v>
                </c:pt>
                <c:pt idx="133">
                  <c:v>5.3477438889236693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AD6-3A47-A2DF-C9E44FE8FE88}"/>
            </c:ext>
          </c:extLst>
        </c:ser>
        <c:ser>
          <c:idx val="7"/>
          <c:order val="7"/>
          <c:tx>
            <c:strRef>
              <c:f>預測累積畫圖!$B$19</c:f>
              <c:strCache>
                <c:ptCount val="1"/>
                <c:pt idx="0">
                  <c:v>160等分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預測累積畫圖!$C$19:$EF$19</c:f>
              <c:numCache>
                <c:formatCode>General</c:formatCode>
                <c:ptCount val="134"/>
                <c:pt idx="0">
                  <c:v>7.7959416087486216E-2</c:v>
                </c:pt>
                <c:pt idx="1">
                  <c:v>9.813021554168197E-2</c:v>
                </c:pt>
                <c:pt idx="2">
                  <c:v>0.16394271554168197</c:v>
                </c:pt>
                <c:pt idx="3">
                  <c:v>0.20258939742792603</c:v>
                </c:pt>
                <c:pt idx="4">
                  <c:v>0.30010148798952618</c:v>
                </c:pt>
                <c:pt idx="5">
                  <c:v>0.47771165465619292</c:v>
                </c:pt>
                <c:pt idx="6">
                  <c:v>0.34305732176472642</c:v>
                </c:pt>
                <c:pt idx="7">
                  <c:v>0.18682815509805972</c:v>
                </c:pt>
                <c:pt idx="8">
                  <c:v>0.605166006067694</c:v>
                </c:pt>
                <c:pt idx="9">
                  <c:v>0.56211704843252797</c:v>
                </c:pt>
                <c:pt idx="10">
                  <c:v>0.30057538176586129</c:v>
                </c:pt>
                <c:pt idx="11">
                  <c:v>0.20522749607588039</c:v>
                </c:pt>
                <c:pt idx="12">
                  <c:v>0.18543049607588039</c:v>
                </c:pt>
                <c:pt idx="13">
                  <c:v>0.20821582940921371</c:v>
                </c:pt>
                <c:pt idx="14">
                  <c:v>0.37868016274254701</c:v>
                </c:pt>
                <c:pt idx="15">
                  <c:v>0.46897925337340329</c:v>
                </c:pt>
                <c:pt idx="16">
                  <c:v>0.6531393700710113</c:v>
                </c:pt>
                <c:pt idx="17">
                  <c:v>0.54361253673767806</c:v>
                </c:pt>
                <c:pt idx="18">
                  <c:v>0.67931087536960133</c:v>
                </c:pt>
                <c:pt idx="19">
                  <c:v>0.56062737536960139</c:v>
                </c:pt>
                <c:pt idx="20">
                  <c:v>0.7072483660871115</c:v>
                </c:pt>
                <c:pt idx="21">
                  <c:v>0.82388741135120491</c:v>
                </c:pt>
                <c:pt idx="22">
                  <c:v>0.84794957801787163</c:v>
                </c:pt>
                <c:pt idx="23">
                  <c:v>0.82572657801787164</c:v>
                </c:pt>
                <c:pt idx="24">
                  <c:v>0.87302824468453832</c:v>
                </c:pt>
                <c:pt idx="25">
                  <c:v>0.81226574468453827</c:v>
                </c:pt>
                <c:pt idx="26">
                  <c:v>0.7287529113512049</c:v>
                </c:pt>
                <c:pt idx="27">
                  <c:v>0.82474574468453821</c:v>
                </c:pt>
                <c:pt idx="28">
                  <c:v>0.93997691135120487</c:v>
                </c:pt>
                <c:pt idx="29">
                  <c:v>0.94024074468453822</c:v>
                </c:pt>
                <c:pt idx="30">
                  <c:v>0.95953924468453822</c:v>
                </c:pt>
                <c:pt idx="31">
                  <c:v>0.90298152946283472</c:v>
                </c:pt>
                <c:pt idx="32">
                  <c:v>0.99453086279616809</c:v>
                </c:pt>
                <c:pt idx="33">
                  <c:v>0.9429855724689058</c:v>
                </c:pt>
                <c:pt idx="34">
                  <c:v>0.95053761497485856</c:v>
                </c:pt>
                <c:pt idx="35">
                  <c:v>1.0208085606456641</c:v>
                </c:pt>
                <c:pt idx="36">
                  <c:v>1.0313410606456641</c:v>
                </c:pt>
                <c:pt idx="37">
                  <c:v>1.0934523939789975</c:v>
                </c:pt>
                <c:pt idx="38">
                  <c:v>1.119345297024412</c:v>
                </c:pt>
                <c:pt idx="39">
                  <c:v>1.1290582970244121</c:v>
                </c:pt>
                <c:pt idx="40">
                  <c:v>1.1839861303577455</c:v>
                </c:pt>
                <c:pt idx="41">
                  <c:v>1.2586029636910787</c:v>
                </c:pt>
                <c:pt idx="42">
                  <c:v>1.2549159636910787</c:v>
                </c:pt>
                <c:pt idx="43">
                  <c:v>1.2660996303577454</c:v>
                </c:pt>
                <c:pt idx="44">
                  <c:v>1.5049447970244121</c:v>
                </c:pt>
                <c:pt idx="45">
                  <c:v>1.5476224636910787</c:v>
                </c:pt>
                <c:pt idx="46">
                  <c:v>1.672485297024412</c:v>
                </c:pt>
                <c:pt idx="47">
                  <c:v>1.736550297024412</c:v>
                </c:pt>
                <c:pt idx="48">
                  <c:v>1.6756976303577453</c:v>
                </c:pt>
                <c:pt idx="49">
                  <c:v>1.7597299636910786</c:v>
                </c:pt>
                <c:pt idx="50">
                  <c:v>1.9467269636910787</c:v>
                </c:pt>
                <c:pt idx="51">
                  <c:v>2.148528797024412</c:v>
                </c:pt>
                <c:pt idx="52">
                  <c:v>2.0874572970244119</c:v>
                </c:pt>
                <c:pt idx="53">
                  <c:v>2.0873864636910784</c:v>
                </c:pt>
                <c:pt idx="54">
                  <c:v>2.138518337654745</c:v>
                </c:pt>
                <c:pt idx="55">
                  <c:v>2.1520893118038837</c:v>
                </c:pt>
                <c:pt idx="56">
                  <c:v>2.1530526451372172</c:v>
                </c:pt>
                <c:pt idx="57">
                  <c:v>2.095917645137217</c:v>
                </c:pt>
                <c:pt idx="58">
                  <c:v>2.1218561451372171</c:v>
                </c:pt>
                <c:pt idx="59">
                  <c:v>2.1736763118038835</c:v>
                </c:pt>
                <c:pt idx="60">
                  <c:v>2.270715145137217</c:v>
                </c:pt>
                <c:pt idx="61">
                  <c:v>2.3506798032837199</c:v>
                </c:pt>
                <c:pt idx="62">
                  <c:v>2.4649304035424158</c:v>
                </c:pt>
                <c:pt idx="63">
                  <c:v>2.5463455702090823</c:v>
                </c:pt>
                <c:pt idx="64">
                  <c:v>2.5720745314741977</c:v>
                </c:pt>
                <c:pt idx="65">
                  <c:v>2.6348933390083298</c:v>
                </c:pt>
                <c:pt idx="66">
                  <c:v>2.61388783900833</c:v>
                </c:pt>
                <c:pt idx="67">
                  <c:v>2.6379500056749965</c:v>
                </c:pt>
                <c:pt idx="68">
                  <c:v>2.6136936669305144</c:v>
                </c:pt>
                <c:pt idx="69">
                  <c:v>2.7553263467840878</c:v>
                </c:pt>
                <c:pt idx="70">
                  <c:v>2.6246555134507545</c:v>
                </c:pt>
                <c:pt idx="71">
                  <c:v>2.7247408467840879</c:v>
                </c:pt>
                <c:pt idx="72">
                  <c:v>3.0207166801174212</c:v>
                </c:pt>
                <c:pt idx="73">
                  <c:v>2.9843195134507545</c:v>
                </c:pt>
                <c:pt idx="74">
                  <c:v>2.956641346784088</c:v>
                </c:pt>
                <c:pt idx="75">
                  <c:v>3.1013840134507547</c:v>
                </c:pt>
                <c:pt idx="76">
                  <c:v>3.1369941801174215</c:v>
                </c:pt>
                <c:pt idx="77">
                  <c:v>3.2648326801174217</c:v>
                </c:pt>
                <c:pt idx="78">
                  <c:v>3.2873383467840882</c:v>
                </c:pt>
                <c:pt idx="79">
                  <c:v>3.3750025134507551</c:v>
                </c:pt>
                <c:pt idx="80">
                  <c:v>3.5732683426277143</c:v>
                </c:pt>
                <c:pt idx="81">
                  <c:v>3.493363945421665</c:v>
                </c:pt>
                <c:pt idx="82">
                  <c:v>3.757257945421665</c:v>
                </c:pt>
                <c:pt idx="83">
                  <c:v>3.7496981120883319</c:v>
                </c:pt>
                <c:pt idx="84">
                  <c:v>3.5844974454216652</c:v>
                </c:pt>
                <c:pt idx="85">
                  <c:v>3.5834589454216652</c:v>
                </c:pt>
                <c:pt idx="86">
                  <c:v>3.6580452787549986</c:v>
                </c:pt>
                <c:pt idx="87">
                  <c:v>3.7012855587297886</c:v>
                </c:pt>
                <c:pt idx="88">
                  <c:v>3.5259379171480738</c:v>
                </c:pt>
                <c:pt idx="89">
                  <c:v>3.5099947504814071</c:v>
                </c:pt>
                <c:pt idx="90">
                  <c:v>3.7824491551099135</c:v>
                </c:pt>
                <c:pt idx="91">
                  <c:v>3.7534121551099133</c:v>
                </c:pt>
                <c:pt idx="92">
                  <c:v>3.9754271551099132</c:v>
                </c:pt>
                <c:pt idx="93">
                  <c:v>3.9257329655575104</c:v>
                </c:pt>
                <c:pt idx="94">
                  <c:v>3.8650321146589723</c:v>
                </c:pt>
                <c:pt idx="95">
                  <c:v>3.8914541146589725</c:v>
                </c:pt>
                <c:pt idx="96">
                  <c:v>3.9748905117728657</c:v>
                </c:pt>
                <c:pt idx="97">
                  <c:v>3.8729106502564621</c:v>
                </c:pt>
                <c:pt idx="98">
                  <c:v>3.8948124580383605</c:v>
                </c:pt>
                <c:pt idx="99">
                  <c:v>3.8371777316701756</c:v>
                </c:pt>
                <c:pt idx="100">
                  <c:v>3.9103285650035091</c:v>
                </c:pt>
                <c:pt idx="101">
                  <c:v>4.0683430650035088</c:v>
                </c:pt>
                <c:pt idx="102">
                  <c:v>4.1265669417067459</c:v>
                </c:pt>
                <c:pt idx="103">
                  <c:v>4.2745279417067454</c:v>
                </c:pt>
                <c:pt idx="104">
                  <c:v>4.3048046083734119</c:v>
                </c:pt>
                <c:pt idx="105">
                  <c:v>4.2412572750400788</c:v>
                </c:pt>
                <c:pt idx="106">
                  <c:v>4.2352517750400791</c:v>
                </c:pt>
                <c:pt idx="107">
                  <c:v>4.4407546083734122</c:v>
                </c:pt>
                <c:pt idx="108">
                  <c:v>4.374380108373412</c:v>
                </c:pt>
                <c:pt idx="109">
                  <c:v>4.5989714417067455</c:v>
                </c:pt>
                <c:pt idx="110">
                  <c:v>4.7074331083734124</c:v>
                </c:pt>
                <c:pt idx="111">
                  <c:v>4.7879334417067456</c:v>
                </c:pt>
                <c:pt idx="112">
                  <c:v>4.6664927750400791</c:v>
                </c:pt>
                <c:pt idx="113">
                  <c:v>4.6431799417067454</c:v>
                </c:pt>
                <c:pt idx="114">
                  <c:v>4.7004797750400789</c:v>
                </c:pt>
                <c:pt idx="115">
                  <c:v>4.7029548981377172</c:v>
                </c:pt>
                <c:pt idx="116">
                  <c:v>4.952216064804384</c:v>
                </c:pt>
                <c:pt idx="117">
                  <c:v>4.9800540792873775</c:v>
                </c:pt>
                <c:pt idx="118">
                  <c:v>4.9294315792873773</c:v>
                </c:pt>
                <c:pt idx="119">
                  <c:v>4.9118862459540438</c:v>
                </c:pt>
                <c:pt idx="120">
                  <c:v>4.7338906990000735</c:v>
                </c:pt>
                <c:pt idx="121">
                  <c:v>4.7308141990000738</c:v>
                </c:pt>
                <c:pt idx="122">
                  <c:v>4.5802316990000742</c:v>
                </c:pt>
                <c:pt idx="123">
                  <c:v>4.6183588656667407</c:v>
                </c:pt>
                <c:pt idx="124">
                  <c:v>4.6789680050074249</c:v>
                </c:pt>
                <c:pt idx="125">
                  <c:v>4.7872325050074247</c:v>
                </c:pt>
                <c:pt idx="126">
                  <c:v>4.926480505007425</c:v>
                </c:pt>
                <c:pt idx="127">
                  <c:v>5.038401333871418</c:v>
                </c:pt>
                <c:pt idx="128">
                  <c:v>5.2714490005380847</c:v>
                </c:pt>
                <c:pt idx="129">
                  <c:v>5.1652005005380843</c:v>
                </c:pt>
                <c:pt idx="130">
                  <c:v>5.153010457314382</c:v>
                </c:pt>
                <c:pt idx="131">
                  <c:v>5.3039457743045393</c:v>
                </c:pt>
                <c:pt idx="132">
                  <c:v>5.2913117313641171</c:v>
                </c:pt>
                <c:pt idx="133">
                  <c:v>5.2743337764893479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AD6-3A47-A2DF-C9E44FE8FE88}"/>
            </c:ext>
          </c:extLst>
        </c:ser>
        <c:ser>
          <c:idx val="8"/>
          <c:order val="8"/>
          <c:tx>
            <c:strRef>
              <c:f>預測累積畫圖!$B$20</c:f>
              <c:strCache>
                <c:ptCount val="1"/>
                <c:pt idx="0">
                  <c:v>192等分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預測累積畫圖!$C$20:$EF$20</c:f>
              <c:numCache>
                <c:formatCode>General</c:formatCode>
                <c:ptCount val="134"/>
                <c:pt idx="0">
                  <c:v>0.13932460396499161</c:v>
                </c:pt>
                <c:pt idx="1">
                  <c:v>0.13897288570124605</c:v>
                </c:pt>
                <c:pt idx="2">
                  <c:v>0.19630808570124605</c:v>
                </c:pt>
                <c:pt idx="3">
                  <c:v>0.28752650787329204</c:v>
                </c:pt>
                <c:pt idx="4">
                  <c:v>0.38789241979215594</c:v>
                </c:pt>
                <c:pt idx="5">
                  <c:v>0.53182461979215589</c:v>
                </c:pt>
                <c:pt idx="6">
                  <c:v>0.37367505719105421</c:v>
                </c:pt>
                <c:pt idx="7">
                  <c:v>0.24046885719105421</c:v>
                </c:pt>
                <c:pt idx="8">
                  <c:v>0.3305775113137282</c:v>
                </c:pt>
                <c:pt idx="9">
                  <c:v>0.23486887580919247</c:v>
                </c:pt>
                <c:pt idx="10">
                  <c:v>-3.3825124190807521E-2</c:v>
                </c:pt>
                <c:pt idx="11">
                  <c:v>-0.13575005323644743</c:v>
                </c:pt>
                <c:pt idx="12">
                  <c:v>-0.24586385323644744</c:v>
                </c:pt>
                <c:pt idx="13">
                  <c:v>-0.20583485323644743</c:v>
                </c:pt>
                <c:pt idx="14">
                  <c:v>1.8991746763552558E-2</c:v>
                </c:pt>
                <c:pt idx="15">
                  <c:v>0.12824480240102137</c:v>
                </c:pt>
                <c:pt idx="16">
                  <c:v>0.28342742072876398</c:v>
                </c:pt>
                <c:pt idx="17">
                  <c:v>0.18258162072876399</c:v>
                </c:pt>
                <c:pt idx="18">
                  <c:v>0.3312313008465389</c:v>
                </c:pt>
                <c:pt idx="19">
                  <c:v>0.1949431008465389</c:v>
                </c:pt>
                <c:pt idx="20">
                  <c:v>0.36802847702411978</c:v>
                </c:pt>
                <c:pt idx="21">
                  <c:v>0.51672567828125338</c:v>
                </c:pt>
                <c:pt idx="22">
                  <c:v>0.51186767828125335</c:v>
                </c:pt>
                <c:pt idx="23">
                  <c:v>0.54102607828125338</c:v>
                </c:pt>
                <c:pt idx="24">
                  <c:v>0.6079900782812534</c:v>
                </c:pt>
                <c:pt idx="25">
                  <c:v>0.54756707828125339</c:v>
                </c:pt>
                <c:pt idx="26">
                  <c:v>0.45125887828125338</c:v>
                </c:pt>
                <c:pt idx="27">
                  <c:v>0.58110147828125336</c:v>
                </c:pt>
                <c:pt idx="28">
                  <c:v>0.59841167828125341</c:v>
                </c:pt>
                <c:pt idx="29">
                  <c:v>0.59194407828125339</c:v>
                </c:pt>
                <c:pt idx="30">
                  <c:v>0.58570447828125338</c:v>
                </c:pt>
                <c:pt idx="31">
                  <c:v>0.49552627756647072</c:v>
                </c:pt>
                <c:pt idx="32">
                  <c:v>0.61186347756647075</c:v>
                </c:pt>
                <c:pt idx="33">
                  <c:v>0.54987344301892316</c:v>
                </c:pt>
                <c:pt idx="34">
                  <c:v>0.53627832752292026</c:v>
                </c:pt>
                <c:pt idx="35">
                  <c:v>0.60917177955989721</c:v>
                </c:pt>
                <c:pt idx="36">
                  <c:v>0.64191037955989716</c:v>
                </c:pt>
                <c:pt idx="37">
                  <c:v>0.60899357955989719</c:v>
                </c:pt>
                <c:pt idx="38">
                  <c:v>0.65427866152458558</c:v>
                </c:pt>
                <c:pt idx="39">
                  <c:v>0.66688426152458558</c:v>
                </c:pt>
                <c:pt idx="40">
                  <c:v>0.59398566152458554</c:v>
                </c:pt>
                <c:pt idx="41">
                  <c:v>0.60727486152458554</c:v>
                </c:pt>
                <c:pt idx="42">
                  <c:v>0.59013206152458553</c:v>
                </c:pt>
                <c:pt idx="43">
                  <c:v>0.58728146152458549</c:v>
                </c:pt>
                <c:pt idx="44">
                  <c:v>0.86898046152458552</c:v>
                </c:pt>
                <c:pt idx="45">
                  <c:v>0.94045486152458557</c:v>
                </c:pt>
                <c:pt idx="46">
                  <c:v>1.0867668615245856</c:v>
                </c:pt>
                <c:pt idx="47">
                  <c:v>1.1726556615245856</c:v>
                </c:pt>
                <c:pt idx="48">
                  <c:v>1.1103698615245856</c:v>
                </c:pt>
                <c:pt idx="49">
                  <c:v>1.2101740615245855</c:v>
                </c:pt>
                <c:pt idx="50">
                  <c:v>1.3615120615245855</c:v>
                </c:pt>
                <c:pt idx="51">
                  <c:v>1.5927254615245854</c:v>
                </c:pt>
                <c:pt idx="52">
                  <c:v>1.5228404615245854</c:v>
                </c:pt>
                <c:pt idx="53">
                  <c:v>1.5312040615245854</c:v>
                </c:pt>
                <c:pt idx="54">
                  <c:v>1.5252572643853251</c:v>
                </c:pt>
                <c:pt idx="55">
                  <c:v>1.5309458467166537</c:v>
                </c:pt>
                <c:pt idx="56">
                  <c:v>1.4792188467166536</c:v>
                </c:pt>
                <c:pt idx="57">
                  <c:v>1.4273188467166535</c:v>
                </c:pt>
                <c:pt idx="58">
                  <c:v>1.4504924467166536</c:v>
                </c:pt>
                <c:pt idx="59">
                  <c:v>1.5056502467166535</c:v>
                </c:pt>
                <c:pt idx="60">
                  <c:v>1.6233012467166534</c:v>
                </c:pt>
                <c:pt idx="61">
                  <c:v>1.7095934778931081</c:v>
                </c:pt>
                <c:pt idx="62">
                  <c:v>1.8465111392215463</c:v>
                </c:pt>
                <c:pt idx="63">
                  <c:v>1.8278751392215462</c:v>
                </c:pt>
                <c:pt idx="64">
                  <c:v>1.7894134217055671</c:v>
                </c:pt>
                <c:pt idx="65">
                  <c:v>1.8498209424685221</c:v>
                </c:pt>
                <c:pt idx="66">
                  <c:v>1.837358342468522</c:v>
                </c:pt>
                <c:pt idx="67">
                  <c:v>1.8555489424685221</c:v>
                </c:pt>
                <c:pt idx="68">
                  <c:v>1.8609564486597132</c:v>
                </c:pt>
                <c:pt idx="69">
                  <c:v>2.0087594818383603</c:v>
                </c:pt>
                <c:pt idx="70">
                  <c:v>1.8593184818383603</c:v>
                </c:pt>
                <c:pt idx="71">
                  <c:v>1.9930282818383604</c:v>
                </c:pt>
                <c:pt idx="72">
                  <c:v>2.3350704818383603</c:v>
                </c:pt>
                <c:pt idx="73">
                  <c:v>2.2822118818383603</c:v>
                </c:pt>
                <c:pt idx="74">
                  <c:v>2.2390240818383602</c:v>
                </c:pt>
                <c:pt idx="75">
                  <c:v>2.42374988183836</c:v>
                </c:pt>
                <c:pt idx="76">
                  <c:v>2.47396608183836</c:v>
                </c:pt>
                <c:pt idx="77">
                  <c:v>2.60046148183836</c:v>
                </c:pt>
                <c:pt idx="78">
                  <c:v>2.6133762818383599</c:v>
                </c:pt>
                <c:pt idx="79">
                  <c:v>2.7094398818383598</c:v>
                </c:pt>
                <c:pt idx="80">
                  <c:v>2.9534036773080929</c:v>
                </c:pt>
                <c:pt idx="81">
                  <c:v>2.8724457401094163</c:v>
                </c:pt>
                <c:pt idx="82">
                  <c:v>3.1943851401094161</c:v>
                </c:pt>
                <c:pt idx="83">
                  <c:v>3.2435789401094159</c:v>
                </c:pt>
                <c:pt idx="84">
                  <c:v>3.1120951401094161</c:v>
                </c:pt>
                <c:pt idx="85">
                  <c:v>3.0997719401094161</c:v>
                </c:pt>
                <c:pt idx="86">
                  <c:v>3.1620491401094162</c:v>
                </c:pt>
                <c:pt idx="87">
                  <c:v>3.2542340742985454</c:v>
                </c:pt>
                <c:pt idx="88">
                  <c:v>3.0651829091279246</c:v>
                </c:pt>
                <c:pt idx="89">
                  <c:v>3.0458355091279246</c:v>
                </c:pt>
                <c:pt idx="90">
                  <c:v>3.461806844296937</c:v>
                </c:pt>
                <c:pt idx="91">
                  <c:v>3.469231044296937</c:v>
                </c:pt>
                <c:pt idx="92">
                  <c:v>3.5517532442969371</c:v>
                </c:pt>
                <c:pt idx="93">
                  <c:v>3.4786369997910866</c:v>
                </c:pt>
                <c:pt idx="94">
                  <c:v>3.3902727227788252</c:v>
                </c:pt>
                <c:pt idx="95">
                  <c:v>3.4186881227788253</c:v>
                </c:pt>
                <c:pt idx="96">
                  <c:v>3.5135557810453375</c:v>
                </c:pt>
                <c:pt idx="97">
                  <c:v>3.4210447053499116</c:v>
                </c:pt>
                <c:pt idx="98">
                  <c:v>3.4110916424286288</c:v>
                </c:pt>
                <c:pt idx="99">
                  <c:v>3.3207930915608643</c:v>
                </c:pt>
                <c:pt idx="100">
                  <c:v>3.4295252915608643</c:v>
                </c:pt>
                <c:pt idx="101">
                  <c:v>3.5578286915608643</c:v>
                </c:pt>
                <c:pt idx="102">
                  <c:v>3.605300584716042</c:v>
                </c:pt>
                <c:pt idx="103">
                  <c:v>3.6822675847160418</c:v>
                </c:pt>
                <c:pt idx="104">
                  <c:v>3.7111695847160417</c:v>
                </c:pt>
                <c:pt idx="105">
                  <c:v>3.6430067847160417</c:v>
                </c:pt>
                <c:pt idx="106">
                  <c:v>3.6125403847160418</c:v>
                </c:pt>
                <c:pt idx="107">
                  <c:v>3.8581157847160417</c:v>
                </c:pt>
                <c:pt idx="108">
                  <c:v>3.8057699847160418</c:v>
                </c:pt>
                <c:pt idx="109">
                  <c:v>4.0840695847160422</c:v>
                </c:pt>
                <c:pt idx="110">
                  <c:v>4.2216655847160425</c:v>
                </c:pt>
                <c:pt idx="111">
                  <c:v>4.3029429847160428</c:v>
                </c:pt>
                <c:pt idx="112">
                  <c:v>4.2177583847160429</c:v>
                </c:pt>
                <c:pt idx="113">
                  <c:v>4.2279449847160429</c:v>
                </c:pt>
                <c:pt idx="114">
                  <c:v>4.297280784716043</c:v>
                </c:pt>
                <c:pt idx="115">
                  <c:v>4.3552999913702424</c:v>
                </c:pt>
                <c:pt idx="116">
                  <c:v>4.6133009913702425</c:v>
                </c:pt>
                <c:pt idx="117">
                  <c:v>4.6231315227611303</c:v>
                </c:pt>
                <c:pt idx="118">
                  <c:v>4.5845925227611302</c:v>
                </c:pt>
                <c:pt idx="119">
                  <c:v>4.5290347227611303</c:v>
                </c:pt>
                <c:pt idx="120">
                  <c:v>4.3229536251827758</c:v>
                </c:pt>
                <c:pt idx="121">
                  <c:v>4.3277824251827761</c:v>
                </c:pt>
                <c:pt idx="122">
                  <c:v>4.1514066251827764</c:v>
                </c:pt>
                <c:pt idx="123">
                  <c:v>4.1212164251827765</c:v>
                </c:pt>
                <c:pt idx="124">
                  <c:v>4.1902766291408158</c:v>
                </c:pt>
                <c:pt idx="125">
                  <c:v>4.3362608291408158</c:v>
                </c:pt>
                <c:pt idx="126">
                  <c:v>4.457851429140816</c:v>
                </c:pt>
                <c:pt idx="127">
                  <c:v>4.5423260074505079</c:v>
                </c:pt>
                <c:pt idx="128">
                  <c:v>4.8360172074505074</c:v>
                </c:pt>
                <c:pt idx="129">
                  <c:v>4.7297028074505079</c:v>
                </c:pt>
                <c:pt idx="130">
                  <c:v>4.7637523888644493</c:v>
                </c:pt>
                <c:pt idx="131">
                  <c:v>4.9406712499314596</c:v>
                </c:pt>
                <c:pt idx="132">
                  <c:v>4.9383040190040779</c:v>
                </c:pt>
                <c:pt idx="133">
                  <c:v>4.918022602388171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AD6-3A47-A2DF-C9E44FE8FE88}"/>
            </c:ext>
          </c:extLst>
        </c:ser>
        <c:ser>
          <c:idx val="9"/>
          <c:order val="9"/>
          <c:tx>
            <c:strRef>
              <c:f>預測累積畫圖!$B$21</c:f>
              <c:strCache>
                <c:ptCount val="1"/>
                <c:pt idx="0">
                  <c:v>241等分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預測累積畫圖!$C$21:$EF$21</c:f>
              <c:numCache>
                <c:formatCode>General</c:formatCode>
                <c:ptCount val="134"/>
                <c:pt idx="0">
                  <c:v>0.19764916434148611</c:v>
                </c:pt>
                <c:pt idx="1">
                  <c:v>0.19801687373664528</c:v>
                </c:pt>
                <c:pt idx="2">
                  <c:v>0.18432537373664529</c:v>
                </c:pt>
                <c:pt idx="3">
                  <c:v>0.23542285758305351</c:v>
                </c:pt>
                <c:pt idx="4">
                  <c:v>0.24271899561090496</c:v>
                </c:pt>
                <c:pt idx="5">
                  <c:v>0.40488299561090496</c:v>
                </c:pt>
                <c:pt idx="6">
                  <c:v>0.25762738748343195</c:v>
                </c:pt>
                <c:pt idx="7">
                  <c:v>0.12088588748343196</c:v>
                </c:pt>
                <c:pt idx="8">
                  <c:v>0.20985890483745401</c:v>
                </c:pt>
                <c:pt idx="9">
                  <c:v>0.10017929738322411</c:v>
                </c:pt>
                <c:pt idx="10">
                  <c:v>-9.9705702616775901E-2</c:v>
                </c:pt>
                <c:pt idx="11">
                  <c:v>-0.19929311473971748</c:v>
                </c:pt>
                <c:pt idx="12">
                  <c:v>-0.33857036473971747</c:v>
                </c:pt>
                <c:pt idx="13">
                  <c:v>-0.29314261473971748</c:v>
                </c:pt>
                <c:pt idx="14">
                  <c:v>-1.9056864739717461E-2</c:v>
                </c:pt>
                <c:pt idx="15">
                  <c:v>7.6518446366912754E-2</c:v>
                </c:pt>
                <c:pt idx="16">
                  <c:v>0.20510873181686973</c:v>
                </c:pt>
                <c:pt idx="17">
                  <c:v>7.3988731816869741E-2</c:v>
                </c:pt>
                <c:pt idx="18">
                  <c:v>0.16026714942862774</c:v>
                </c:pt>
                <c:pt idx="19">
                  <c:v>2.8516899428627729E-2</c:v>
                </c:pt>
                <c:pt idx="20">
                  <c:v>0.18630537904409034</c:v>
                </c:pt>
                <c:pt idx="21">
                  <c:v>0.38364255762773702</c:v>
                </c:pt>
                <c:pt idx="22">
                  <c:v>0.37349505762773705</c:v>
                </c:pt>
                <c:pt idx="23">
                  <c:v>0.41295405762773707</c:v>
                </c:pt>
                <c:pt idx="24">
                  <c:v>0.44098955762773706</c:v>
                </c:pt>
                <c:pt idx="25">
                  <c:v>0.37570255762773708</c:v>
                </c:pt>
                <c:pt idx="26">
                  <c:v>0.21616130762773708</c:v>
                </c:pt>
                <c:pt idx="27">
                  <c:v>0.34498580762773712</c:v>
                </c:pt>
                <c:pt idx="28">
                  <c:v>0.3552965576277371</c:v>
                </c:pt>
                <c:pt idx="29">
                  <c:v>0.32173105762773713</c:v>
                </c:pt>
                <c:pt idx="30">
                  <c:v>0.31116305762773711</c:v>
                </c:pt>
                <c:pt idx="31">
                  <c:v>0.2035816950629388</c:v>
                </c:pt>
                <c:pt idx="32">
                  <c:v>0.3057059450629388</c:v>
                </c:pt>
                <c:pt idx="33">
                  <c:v>0.23530060311647011</c:v>
                </c:pt>
                <c:pt idx="34">
                  <c:v>0.19949743549836005</c:v>
                </c:pt>
                <c:pt idx="35">
                  <c:v>0.26487725823147068</c:v>
                </c:pt>
                <c:pt idx="36">
                  <c:v>0.30158800823147069</c:v>
                </c:pt>
                <c:pt idx="37">
                  <c:v>0.28289175823147067</c:v>
                </c:pt>
                <c:pt idx="38">
                  <c:v>0.33061815387519733</c:v>
                </c:pt>
                <c:pt idx="39">
                  <c:v>0.34956190387519731</c:v>
                </c:pt>
                <c:pt idx="40">
                  <c:v>0.2163379038751973</c:v>
                </c:pt>
                <c:pt idx="41">
                  <c:v>0.16834965387519729</c:v>
                </c:pt>
                <c:pt idx="42">
                  <c:v>0.1853976538751973</c:v>
                </c:pt>
                <c:pt idx="43">
                  <c:v>0.1219521538751973</c:v>
                </c:pt>
                <c:pt idx="44">
                  <c:v>0.46843340387519733</c:v>
                </c:pt>
                <c:pt idx="45">
                  <c:v>0.51933265387519734</c:v>
                </c:pt>
                <c:pt idx="46">
                  <c:v>0.69228015387519737</c:v>
                </c:pt>
                <c:pt idx="47">
                  <c:v>0.75828865387519739</c:v>
                </c:pt>
                <c:pt idx="48">
                  <c:v>0.63941215387519734</c:v>
                </c:pt>
                <c:pt idx="49">
                  <c:v>0.74791515387519736</c:v>
                </c:pt>
                <c:pt idx="50">
                  <c:v>0.88750765387519737</c:v>
                </c:pt>
                <c:pt idx="51">
                  <c:v>1.1820209038751974</c:v>
                </c:pt>
                <c:pt idx="52">
                  <c:v>1.1019739038751974</c:v>
                </c:pt>
                <c:pt idx="53">
                  <c:v>1.1401964038751975</c:v>
                </c:pt>
                <c:pt idx="54">
                  <c:v>1.1465469372725989</c:v>
                </c:pt>
                <c:pt idx="55">
                  <c:v>1.1501240374530337</c:v>
                </c:pt>
                <c:pt idx="56">
                  <c:v>1.0715992874530338</c:v>
                </c:pt>
                <c:pt idx="57">
                  <c:v>1.0036817874530337</c:v>
                </c:pt>
                <c:pt idx="58">
                  <c:v>1.0499587874530336</c:v>
                </c:pt>
                <c:pt idx="59">
                  <c:v>1.0723550374530335</c:v>
                </c:pt>
                <c:pt idx="60">
                  <c:v>1.1450787874530335</c:v>
                </c:pt>
                <c:pt idx="61">
                  <c:v>1.2877998800993833</c:v>
                </c:pt>
                <c:pt idx="62">
                  <c:v>1.4429198840204831</c:v>
                </c:pt>
                <c:pt idx="63">
                  <c:v>1.4171316340204831</c:v>
                </c:pt>
                <c:pt idx="64">
                  <c:v>1.3532743976068029</c:v>
                </c:pt>
                <c:pt idx="65">
                  <c:v>1.4577835270262172</c:v>
                </c:pt>
                <c:pt idx="66">
                  <c:v>1.4144827770262172</c:v>
                </c:pt>
                <c:pt idx="67">
                  <c:v>1.4257710270262172</c:v>
                </c:pt>
                <c:pt idx="68">
                  <c:v>1.4316311997813933</c:v>
                </c:pt>
                <c:pt idx="69">
                  <c:v>1.5638758937558361</c:v>
                </c:pt>
                <c:pt idx="70">
                  <c:v>1.3931378937558361</c:v>
                </c:pt>
                <c:pt idx="71">
                  <c:v>1.412378143755836</c:v>
                </c:pt>
                <c:pt idx="72">
                  <c:v>1.8145083937558359</c:v>
                </c:pt>
                <c:pt idx="73">
                  <c:v>1.737345143755836</c:v>
                </c:pt>
                <c:pt idx="74">
                  <c:v>1.722425393755836</c:v>
                </c:pt>
                <c:pt idx="75">
                  <c:v>1.973827893755836</c:v>
                </c:pt>
                <c:pt idx="76">
                  <c:v>2.0688878937558361</c:v>
                </c:pt>
                <c:pt idx="77">
                  <c:v>2.2767581437558362</c:v>
                </c:pt>
                <c:pt idx="78">
                  <c:v>2.2687386437558361</c:v>
                </c:pt>
                <c:pt idx="79">
                  <c:v>2.3531608937558359</c:v>
                </c:pt>
                <c:pt idx="80">
                  <c:v>2.7482368362208813</c:v>
                </c:pt>
                <c:pt idx="81">
                  <c:v>2.6169711594198088</c:v>
                </c:pt>
                <c:pt idx="82">
                  <c:v>2.9371389094198088</c:v>
                </c:pt>
                <c:pt idx="83">
                  <c:v>2.8658004094198088</c:v>
                </c:pt>
                <c:pt idx="84">
                  <c:v>2.7425081594198089</c:v>
                </c:pt>
                <c:pt idx="85">
                  <c:v>2.730552409419809</c:v>
                </c:pt>
                <c:pt idx="86">
                  <c:v>2.7391166594198091</c:v>
                </c:pt>
                <c:pt idx="87">
                  <c:v>2.8730070840427739</c:v>
                </c:pt>
                <c:pt idx="88">
                  <c:v>2.6475040956394027</c:v>
                </c:pt>
                <c:pt idx="89">
                  <c:v>2.6362238456394027</c:v>
                </c:pt>
                <c:pt idx="90">
                  <c:v>3.1510890942369953</c:v>
                </c:pt>
                <c:pt idx="91">
                  <c:v>3.0548363442369952</c:v>
                </c:pt>
                <c:pt idx="92">
                  <c:v>2.9954355942369952</c:v>
                </c:pt>
                <c:pt idx="93">
                  <c:v>2.9046113162573155</c:v>
                </c:pt>
                <c:pt idx="94">
                  <c:v>2.8349649201105436</c:v>
                </c:pt>
                <c:pt idx="95">
                  <c:v>2.8829596701105435</c:v>
                </c:pt>
                <c:pt idx="96">
                  <c:v>2.945633230280035</c:v>
                </c:pt>
                <c:pt idx="97">
                  <c:v>2.847407598258648</c:v>
                </c:pt>
                <c:pt idx="98">
                  <c:v>2.7824021809776593</c:v>
                </c:pt>
                <c:pt idx="99">
                  <c:v>2.6802800053202525</c:v>
                </c:pt>
                <c:pt idx="100">
                  <c:v>2.7827852553202526</c:v>
                </c:pt>
                <c:pt idx="101">
                  <c:v>2.9730820053202525</c:v>
                </c:pt>
                <c:pt idx="102">
                  <c:v>2.9718897488635205</c:v>
                </c:pt>
                <c:pt idx="103">
                  <c:v>3.0433492488635205</c:v>
                </c:pt>
                <c:pt idx="104">
                  <c:v>3.0916592488635204</c:v>
                </c:pt>
                <c:pt idx="105">
                  <c:v>3.0246322488635204</c:v>
                </c:pt>
                <c:pt idx="106">
                  <c:v>2.9699132488635205</c:v>
                </c:pt>
                <c:pt idx="107">
                  <c:v>3.2710649988635203</c:v>
                </c:pt>
                <c:pt idx="108">
                  <c:v>3.2116542488635202</c:v>
                </c:pt>
                <c:pt idx="109">
                  <c:v>3.2930912488635204</c:v>
                </c:pt>
                <c:pt idx="110">
                  <c:v>3.4729312488635204</c:v>
                </c:pt>
                <c:pt idx="111">
                  <c:v>3.5462344988635204</c:v>
                </c:pt>
                <c:pt idx="112">
                  <c:v>3.4553412488635202</c:v>
                </c:pt>
                <c:pt idx="113">
                  <c:v>3.4875489988635202</c:v>
                </c:pt>
                <c:pt idx="114">
                  <c:v>3.51253724886352</c:v>
                </c:pt>
                <c:pt idx="115">
                  <c:v>3.5837348613575131</c:v>
                </c:pt>
                <c:pt idx="116">
                  <c:v>3.9153611113575133</c:v>
                </c:pt>
                <c:pt idx="117">
                  <c:v>3.9396272664510792</c:v>
                </c:pt>
                <c:pt idx="118">
                  <c:v>3.9114120164510791</c:v>
                </c:pt>
                <c:pt idx="119">
                  <c:v>3.8578552664510792</c:v>
                </c:pt>
                <c:pt idx="120">
                  <c:v>3.6570157926137838</c:v>
                </c:pt>
                <c:pt idx="121">
                  <c:v>3.6473062926137838</c:v>
                </c:pt>
                <c:pt idx="122">
                  <c:v>3.4986915426137837</c:v>
                </c:pt>
                <c:pt idx="123">
                  <c:v>3.4490305426137837</c:v>
                </c:pt>
                <c:pt idx="124">
                  <c:v>3.5772784112779048</c:v>
                </c:pt>
                <c:pt idx="125">
                  <c:v>3.6917931612779049</c:v>
                </c:pt>
                <c:pt idx="126">
                  <c:v>3.8585231612779047</c:v>
                </c:pt>
                <c:pt idx="127">
                  <c:v>3.9113672278381935</c:v>
                </c:pt>
                <c:pt idx="128">
                  <c:v>4.1774249778381938</c:v>
                </c:pt>
                <c:pt idx="129">
                  <c:v>4.0741269778381941</c:v>
                </c:pt>
                <c:pt idx="130">
                  <c:v>4.0881640329362359</c:v>
                </c:pt>
                <c:pt idx="131">
                  <c:v>4.1426628892844164</c:v>
                </c:pt>
                <c:pt idx="132">
                  <c:v>4.1282340371759982</c:v>
                </c:pt>
                <c:pt idx="133">
                  <c:v>4.1470053012181172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AD6-3A47-A2DF-C9E44FE8FE88}"/>
            </c:ext>
          </c:extLst>
        </c:ser>
        <c:ser>
          <c:idx val="10"/>
          <c:order val="10"/>
          <c:tx>
            <c:strRef>
              <c:f>預測累積畫圖!$B$22</c:f>
              <c:strCache>
                <c:ptCount val="1"/>
                <c:pt idx="0">
                  <c:v>321等分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預測累積畫圖!$C$22:$EF$22</c:f>
              <c:numCache>
                <c:formatCode>General</c:formatCode>
                <c:ptCount val="134"/>
                <c:pt idx="0">
                  <c:v>-6.4235717628454689E-2</c:v>
                </c:pt>
                <c:pt idx="1">
                  <c:v>-1.9554820724968169E-2</c:v>
                </c:pt>
                <c:pt idx="2">
                  <c:v>-3.6911487391634842E-2</c:v>
                </c:pt>
                <c:pt idx="3">
                  <c:v>6.0522508187351609E-2</c:v>
                </c:pt>
                <c:pt idx="4">
                  <c:v>9.3477332437150229E-2</c:v>
                </c:pt>
                <c:pt idx="5">
                  <c:v>0.21765533243715024</c:v>
                </c:pt>
                <c:pt idx="6">
                  <c:v>9.4162163099080445E-2</c:v>
                </c:pt>
                <c:pt idx="7">
                  <c:v>-1.0089836900919552E-2</c:v>
                </c:pt>
                <c:pt idx="8">
                  <c:v>0.14319693375358974</c:v>
                </c:pt>
                <c:pt idx="9">
                  <c:v>-2.7986425672311466E-2</c:v>
                </c:pt>
                <c:pt idx="10">
                  <c:v>-0.21264975900564476</c:v>
                </c:pt>
                <c:pt idx="11">
                  <c:v>-0.34593017802889126</c:v>
                </c:pt>
                <c:pt idx="12">
                  <c:v>-0.41237251136222458</c:v>
                </c:pt>
                <c:pt idx="13">
                  <c:v>-0.32174217802889127</c:v>
                </c:pt>
                <c:pt idx="14">
                  <c:v>-0.19446751136222468</c:v>
                </c:pt>
                <c:pt idx="15">
                  <c:v>-0.15783907709063663</c:v>
                </c:pt>
                <c:pt idx="16">
                  <c:v>1.1807478467303956E-2</c:v>
                </c:pt>
                <c:pt idx="17">
                  <c:v>-9.3040521532696041E-2</c:v>
                </c:pt>
                <c:pt idx="18">
                  <c:v>1.7549501869808165E-2</c:v>
                </c:pt>
                <c:pt idx="19">
                  <c:v>-0.15807416479685854</c:v>
                </c:pt>
                <c:pt idx="20">
                  <c:v>4.9406102227438853E-2</c:v>
                </c:pt>
                <c:pt idx="21">
                  <c:v>0.26430614995700386</c:v>
                </c:pt>
                <c:pt idx="22">
                  <c:v>0.19444881662367053</c:v>
                </c:pt>
                <c:pt idx="23">
                  <c:v>0.21831681662367053</c:v>
                </c:pt>
                <c:pt idx="24">
                  <c:v>0.33643948329033724</c:v>
                </c:pt>
                <c:pt idx="25">
                  <c:v>0.29816614995700391</c:v>
                </c:pt>
                <c:pt idx="26">
                  <c:v>0.12095481662367061</c:v>
                </c:pt>
                <c:pt idx="27">
                  <c:v>0.13452614995700393</c:v>
                </c:pt>
                <c:pt idx="28">
                  <c:v>4.937714995700393E-2</c:v>
                </c:pt>
                <c:pt idx="29">
                  <c:v>-3.7026183376329402E-2</c:v>
                </c:pt>
                <c:pt idx="30">
                  <c:v>-8.2996516709662738E-2</c:v>
                </c:pt>
                <c:pt idx="31">
                  <c:v>-0.18886247613013543</c:v>
                </c:pt>
                <c:pt idx="32">
                  <c:v>-7.7857809463468736E-2</c:v>
                </c:pt>
                <c:pt idx="33">
                  <c:v>-0.109557658789877</c:v>
                </c:pt>
                <c:pt idx="34">
                  <c:v>-8.2690980494812966E-3</c:v>
                </c:pt>
                <c:pt idx="35">
                  <c:v>3.207186875741911E-2</c:v>
                </c:pt>
                <c:pt idx="36">
                  <c:v>7.3545202090752437E-2</c:v>
                </c:pt>
                <c:pt idx="37">
                  <c:v>3.828020209075244E-2</c:v>
                </c:pt>
                <c:pt idx="38">
                  <c:v>0.11299757548445805</c:v>
                </c:pt>
                <c:pt idx="39">
                  <c:v>0.13349090881779138</c:v>
                </c:pt>
                <c:pt idx="40">
                  <c:v>2.336157548445808E-2</c:v>
                </c:pt>
                <c:pt idx="41">
                  <c:v>-4.4563091182208581E-2</c:v>
                </c:pt>
                <c:pt idx="42">
                  <c:v>0.12002757548445811</c:v>
                </c:pt>
                <c:pt idx="43">
                  <c:v>0.12109957548445811</c:v>
                </c:pt>
                <c:pt idx="44">
                  <c:v>0.55045457548445809</c:v>
                </c:pt>
                <c:pt idx="45">
                  <c:v>0.61010224215112474</c:v>
                </c:pt>
                <c:pt idx="46">
                  <c:v>0.8423132421511248</c:v>
                </c:pt>
                <c:pt idx="47">
                  <c:v>0.73455557548445816</c:v>
                </c:pt>
                <c:pt idx="48">
                  <c:v>0.57083090881779142</c:v>
                </c:pt>
                <c:pt idx="49">
                  <c:v>0.72601957548445806</c:v>
                </c:pt>
                <c:pt idx="50">
                  <c:v>0.77579424215112469</c:v>
                </c:pt>
                <c:pt idx="51">
                  <c:v>1.1453455754844579</c:v>
                </c:pt>
                <c:pt idx="52">
                  <c:v>1.0580129088177912</c:v>
                </c:pt>
                <c:pt idx="53">
                  <c:v>1.1372769088177912</c:v>
                </c:pt>
                <c:pt idx="54">
                  <c:v>1.1594930922122717</c:v>
                </c:pt>
                <c:pt idx="55">
                  <c:v>1.1731319095505914</c:v>
                </c:pt>
                <c:pt idx="56">
                  <c:v>1.0769522428839249</c:v>
                </c:pt>
                <c:pt idx="57">
                  <c:v>1.0689555762172582</c:v>
                </c:pt>
                <c:pt idx="58">
                  <c:v>1.1513049095505916</c:v>
                </c:pt>
                <c:pt idx="59">
                  <c:v>1.1921982428839248</c:v>
                </c:pt>
                <c:pt idx="60">
                  <c:v>1.2405139095505915</c:v>
                </c:pt>
                <c:pt idx="61">
                  <c:v>1.4022942486216268</c:v>
                </c:pt>
                <c:pt idx="62">
                  <c:v>1.5940912880776739</c:v>
                </c:pt>
                <c:pt idx="63">
                  <c:v>1.5111569547443406</c:v>
                </c:pt>
                <c:pt idx="64">
                  <c:v>1.4606725256315902</c:v>
                </c:pt>
                <c:pt idx="65">
                  <c:v>1.5355080757866966</c:v>
                </c:pt>
                <c:pt idx="66">
                  <c:v>1.4533624091200299</c:v>
                </c:pt>
                <c:pt idx="67">
                  <c:v>1.4730057424533631</c:v>
                </c:pt>
                <c:pt idx="68">
                  <c:v>1.456632960076564</c:v>
                </c:pt>
                <c:pt idx="69">
                  <c:v>1.5871636634131101</c:v>
                </c:pt>
                <c:pt idx="70">
                  <c:v>1.48281266341311</c:v>
                </c:pt>
                <c:pt idx="71">
                  <c:v>1.4834933300797768</c:v>
                </c:pt>
                <c:pt idx="72">
                  <c:v>1.91120866341311</c:v>
                </c:pt>
                <c:pt idx="73">
                  <c:v>1.7981819967464434</c:v>
                </c:pt>
                <c:pt idx="74">
                  <c:v>1.8305323300797767</c:v>
                </c:pt>
                <c:pt idx="75">
                  <c:v>2.1101623300797767</c:v>
                </c:pt>
                <c:pt idx="76">
                  <c:v>2.2542426634131099</c:v>
                </c:pt>
                <c:pt idx="77">
                  <c:v>2.5089826634131098</c:v>
                </c:pt>
                <c:pt idx="78">
                  <c:v>2.3838776634131098</c:v>
                </c:pt>
                <c:pt idx="79">
                  <c:v>2.479395996746443</c:v>
                </c:pt>
                <c:pt idx="80">
                  <c:v>2.8727833358507211</c:v>
                </c:pt>
                <c:pt idx="81">
                  <c:v>2.6839835500904439</c:v>
                </c:pt>
                <c:pt idx="82">
                  <c:v>3.1277842167571106</c:v>
                </c:pt>
                <c:pt idx="83">
                  <c:v>3.1010222167571104</c:v>
                </c:pt>
                <c:pt idx="84">
                  <c:v>2.8705742167571104</c:v>
                </c:pt>
                <c:pt idx="85">
                  <c:v>2.8543322167571104</c:v>
                </c:pt>
                <c:pt idx="86">
                  <c:v>2.8271815500904438</c:v>
                </c:pt>
                <c:pt idx="87">
                  <c:v>3.0678333487154847</c:v>
                </c:pt>
                <c:pt idx="88">
                  <c:v>2.7474013450576593</c:v>
                </c:pt>
                <c:pt idx="89">
                  <c:v>2.7692526783909925</c:v>
                </c:pt>
                <c:pt idx="90">
                  <c:v>3.4192091466401484</c:v>
                </c:pt>
                <c:pt idx="91">
                  <c:v>3.3378874799734817</c:v>
                </c:pt>
                <c:pt idx="92">
                  <c:v>3.2634241466401486</c:v>
                </c:pt>
                <c:pt idx="93">
                  <c:v>3.1015737253387567</c:v>
                </c:pt>
                <c:pt idx="94">
                  <c:v>3.1167759088601796</c:v>
                </c:pt>
                <c:pt idx="95">
                  <c:v>3.1550405755268462</c:v>
                </c:pt>
                <c:pt idx="96">
                  <c:v>3.2752722874909441</c:v>
                </c:pt>
                <c:pt idx="97">
                  <c:v>3.1630385922838897</c:v>
                </c:pt>
                <c:pt idx="98">
                  <c:v>3.1265873389577243</c:v>
                </c:pt>
                <c:pt idx="99">
                  <c:v>3.1228377456898753</c:v>
                </c:pt>
                <c:pt idx="100">
                  <c:v>3.2273487456898753</c:v>
                </c:pt>
                <c:pt idx="101">
                  <c:v>3.4340457456898754</c:v>
                </c:pt>
                <c:pt idx="102">
                  <c:v>3.4380374995717995</c:v>
                </c:pt>
                <c:pt idx="103">
                  <c:v>3.4920781662384663</c:v>
                </c:pt>
                <c:pt idx="104">
                  <c:v>3.5644214995717998</c:v>
                </c:pt>
                <c:pt idx="105">
                  <c:v>3.5484581662384667</c:v>
                </c:pt>
                <c:pt idx="106">
                  <c:v>3.4151024995718</c:v>
                </c:pt>
                <c:pt idx="107">
                  <c:v>3.8047704995717999</c:v>
                </c:pt>
                <c:pt idx="108">
                  <c:v>3.7328794995718</c:v>
                </c:pt>
                <c:pt idx="109">
                  <c:v>3.8143348329051334</c:v>
                </c:pt>
                <c:pt idx="110">
                  <c:v>3.8744571662384666</c:v>
                </c:pt>
                <c:pt idx="111">
                  <c:v>3.9172348329051334</c:v>
                </c:pt>
                <c:pt idx="112">
                  <c:v>3.8258071662384667</c:v>
                </c:pt>
                <c:pt idx="113">
                  <c:v>3.8474874995718</c:v>
                </c:pt>
                <c:pt idx="114">
                  <c:v>3.8793718329051332</c:v>
                </c:pt>
                <c:pt idx="115">
                  <c:v>3.9261351611091406</c:v>
                </c:pt>
                <c:pt idx="116">
                  <c:v>4.0018504944424738</c:v>
                </c:pt>
                <c:pt idx="117">
                  <c:v>4.0120777522953777</c:v>
                </c:pt>
                <c:pt idx="118">
                  <c:v>3.9602284189620445</c:v>
                </c:pt>
                <c:pt idx="119">
                  <c:v>3.8889924189620446</c:v>
                </c:pt>
                <c:pt idx="120">
                  <c:v>3.6919414973996854</c:v>
                </c:pt>
                <c:pt idx="121">
                  <c:v>3.648259164066352</c:v>
                </c:pt>
                <c:pt idx="122">
                  <c:v>3.4867134973996854</c:v>
                </c:pt>
                <c:pt idx="123">
                  <c:v>3.5400854973996854</c:v>
                </c:pt>
                <c:pt idx="124">
                  <c:v>3.6184752211066824</c:v>
                </c:pt>
                <c:pt idx="125">
                  <c:v>3.7957382211066824</c:v>
                </c:pt>
                <c:pt idx="126">
                  <c:v>3.9156945544400155</c:v>
                </c:pt>
                <c:pt idx="127">
                  <c:v>4.0194425353855729</c:v>
                </c:pt>
                <c:pt idx="128">
                  <c:v>4.159798868718906</c:v>
                </c:pt>
                <c:pt idx="129">
                  <c:v>4.0168685353855729</c:v>
                </c:pt>
                <c:pt idx="130">
                  <c:v>4.0383636369612113</c:v>
                </c:pt>
                <c:pt idx="131">
                  <c:v>4.1157772040188183</c:v>
                </c:pt>
                <c:pt idx="132">
                  <c:v>4.0823309002066051</c:v>
                </c:pt>
                <c:pt idx="133">
                  <c:v>4.1171211465787776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AD6-3A47-A2DF-C9E44FE8FE88}"/>
            </c:ext>
          </c:extLst>
        </c:ser>
        <c:ser>
          <c:idx val="11"/>
          <c:order val="11"/>
          <c:tx>
            <c:strRef>
              <c:f>預測累積畫圖!$B$23</c:f>
              <c:strCache>
                <c:ptCount val="1"/>
                <c:pt idx="0">
                  <c:v>482等分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預測累積畫圖!$C$23:$EF$23</c:f>
              <c:numCache>
                <c:formatCode>General</c:formatCode>
                <c:ptCount val="134"/>
                <c:pt idx="0">
                  <c:v>3.4987009286289193E-2</c:v>
                </c:pt>
                <c:pt idx="1">
                  <c:v>6.4797676971711279E-2</c:v>
                </c:pt>
                <c:pt idx="2">
                  <c:v>0.19780267697171128</c:v>
                </c:pt>
                <c:pt idx="3">
                  <c:v>0.33946758602361299</c:v>
                </c:pt>
                <c:pt idx="4">
                  <c:v>0.39169175987011134</c:v>
                </c:pt>
                <c:pt idx="5">
                  <c:v>0.37350325987011135</c:v>
                </c:pt>
                <c:pt idx="6">
                  <c:v>0.22535123126981735</c:v>
                </c:pt>
                <c:pt idx="7">
                  <c:v>0.11047573126981734</c:v>
                </c:pt>
                <c:pt idx="8">
                  <c:v>0.31496520774205095</c:v>
                </c:pt>
                <c:pt idx="9">
                  <c:v>0.26092167796645233</c:v>
                </c:pt>
                <c:pt idx="10">
                  <c:v>0.11363217796645234</c:v>
                </c:pt>
                <c:pt idx="11">
                  <c:v>-4.2787059669560451E-2</c:v>
                </c:pt>
                <c:pt idx="12">
                  <c:v>-0.16568705966956043</c:v>
                </c:pt>
                <c:pt idx="13">
                  <c:v>-0.11100555966956044</c:v>
                </c:pt>
                <c:pt idx="14">
                  <c:v>0.18017194033043954</c:v>
                </c:pt>
                <c:pt idx="15">
                  <c:v>0.23638308364369459</c:v>
                </c:pt>
                <c:pt idx="16">
                  <c:v>0.35010761647095667</c:v>
                </c:pt>
                <c:pt idx="17">
                  <c:v>0.26543061647095667</c:v>
                </c:pt>
                <c:pt idx="18">
                  <c:v>0.35918803891175105</c:v>
                </c:pt>
                <c:pt idx="19">
                  <c:v>0.12671253891175105</c:v>
                </c:pt>
                <c:pt idx="20">
                  <c:v>0.45833168916089556</c:v>
                </c:pt>
                <c:pt idx="21">
                  <c:v>0.72241738412419287</c:v>
                </c:pt>
                <c:pt idx="22">
                  <c:v>0.65446288412419285</c:v>
                </c:pt>
                <c:pt idx="23">
                  <c:v>0.69551488412419282</c:v>
                </c:pt>
                <c:pt idx="24">
                  <c:v>0.84716688412419283</c:v>
                </c:pt>
                <c:pt idx="25">
                  <c:v>0.79941888412419282</c:v>
                </c:pt>
                <c:pt idx="26">
                  <c:v>0.56541038412419287</c:v>
                </c:pt>
                <c:pt idx="27">
                  <c:v>0.63703738412419286</c:v>
                </c:pt>
                <c:pt idx="28">
                  <c:v>0.41532038412419287</c:v>
                </c:pt>
                <c:pt idx="29">
                  <c:v>0.39002088412419289</c:v>
                </c:pt>
                <c:pt idx="30">
                  <c:v>0.3879653841241929</c:v>
                </c:pt>
                <c:pt idx="31">
                  <c:v>0.30379379960100966</c:v>
                </c:pt>
                <c:pt idx="32">
                  <c:v>0.51294579960100961</c:v>
                </c:pt>
                <c:pt idx="33">
                  <c:v>0.51858893744916379</c:v>
                </c:pt>
                <c:pt idx="34">
                  <c:v>0.63270003679635478</c:v>
                </c:pt>
                <c:pt idx="35">
                  <c:v>0.76413174998889044</c:v>
                </c:pt>
                <c:pt idx="36">
                  <c:v>0.85082674998889041</c:v>
                </c:pt>
                <c:pt idx="37">
                  <c:v>0.72319574998889036</c:v>
                </c:pt>
                <c:pt idx="38">
                  <c:v>0.71785879779746631</c:v>
                </c:pt>
                <c:pt idx="39">
                  <c:v>0.55259229779746633</c:v>
                </c:pt>
                <c:pt idx="40">
                  <c:v>0.45321329779746633</c:v>
                </c:pt>
                <c:pt idx="41">
                  <c:v>0.30707729779746634</c:v>
                </c:pt>
                <c:pt idx="42">
                  <c:v>0.33924629779746635</c:v>
                </c:pt>
                <c:pt idx="43">
                  <c:v>0.35619729779746634</c:v>
                </c:pt>
                <c:pt idx="44">
                  <c:v>0.96452929779746632</c:v>
                </c:pt>
                <c:pt idx="45">
                  <c:v>0.86777329779746637</c:v>
                </c:pt>
                <c:pt idx="46">
                  <c:v>1.1942037977974664</c:v>
                </c:pt>
                <c:pt idx="47">
                  <c:v>1.2593427977974665</c:v>
                </c:pt>
                <c:pt idx="48">
                  <c:v>1.0961962977974664</c:v>
                </c:pt>
                <c:pt idx="49">
                  <c:v>1.1742672977974664</c:v>
                </c:pt>
                <c:pt idx="50">
                  <c:v>1.2282652977974664</c:v>
                </c:pt>
                <c:pt idx="51">
                  <c:v>1.7950927977974662</c:v>
                </c:pt>
                <c:pt idx="52">
                  <c:v>1.6220937977974663</c:v>
                </c:pt>
                <c:pt idx="53">
                  <c:v>1.7480732977974662</c:v>
                </c:pt>
                <c:pt idx="54">
                  <c:v>1.6766425354001697</c:v>
                </c:pt>
                <c:pt idx="55">
                  <c:v>1.6537955447954835</c:v>
                </c:pt>
                <c:pt idx="56">
                  <c:v>1.6088860447954836</c:v>
                </c:pt>
                <c:pt idx="57">
                  <c:v>1.6624810447954836</c:v>
                </c:pt>
                <c:pt idx="58">
                  <c:v>1.7836900447954835</c:v>
                </c:pt>
                <c:pt idx="59">
                  <c:v>1.8411850447954836</c:v>
                </c:pt>
                <c:pt idx="60">
                  <c:v>1.8890370447954836</c:v>
                </c:pt>
                <c:pt idx="61">
                  <c:v>2.0385713410457234</c:v>
                </c:pt>
                <c:pt idx="62">
                  <c:v>2.2277520278328771</c:v>
                </c:pt>
                <c:pt idx="63">
                  <c:v>2.189302027832877</c:v>
                </c:pt>
                <c:pt idx="64">
                  <c:v>2.2258269695788759</c:v>
                </c:pt>
                <c:pt idx="65">
                  <c:v>2.3240933687903325</c:v>
                </c:pt>
                <c:pt idx="66">
                  <c:v>2.2018748687903327</c:v>
                </c:pt>
                <c:pt idx="67">
                  <c:v>2.2102298687903326</c:v>
                </c:pt>
                <c:pt idx="68">
                  <c:v>2.1369544801324207</c:v>
                </c:pt>
                <c:pt idx="69">
                  <c:v>2.2806042861584177</c:v>
                </c:pt>
                <c:pt idx="70">
                  <c:v>2.1749177861584177</c:v>
                </c:pt>
                <c:pt idx="71">
                  <c:v>2.1578972861584176</c:v>
                </c:pt>
                <c:pt idx="72">
                  <c:v>2.7588952861584177</c:v>
                </c:pt>
                <c:pt idx="73">
                  <c:v>2.6901652861584178</c:v>
                </c:pt>
                <c:pt idx="74">
                  <c:v>2.7301012861584177</c:v>
                </c:pt>
                <c:pt idx="75">
                  <c:v>3.0825002861584179</c:v>
                </c:pt>
                <c:pt idx="76">
                  <c:v>3.2888757861584179</c:v>
                </c:pt>
                <c:pt idx="77">
                  <c:v>3.6050432861584181</c:v>
                </c:pt>
                <c:pt idx="78">
                  <c:v>3.5204982861584182</c:v>
                </c:pt>
                <c:pt idx="79">
                  <c:v>3.6617407861584184</c:v>
                </c:pt>
                <c:pt idx="80">
                  <c:v>3.7783653929548797</c:v>
                </c:pt>
                <c:pt idx="81">
                  <c:v>3.6212304831637145</c:v>
                </c:pt>
                <c:pt idx="82">
                  <c:v>3.9141339831637145</c:v>
                </c:pt>
                <c:pt idx="83">
                  <c:v>3.9360844831637145</c:v>
                </c:pt>
                <c:pt idx="84">
                  <c:v>3.8769619831637145</c:v>
                </c:pt>
                <c:pt idx="85">
                  <c:v>3.9152174831637145</c:v>
                </c:pt>
                <c:pt idx="86">
                  <c:v>3.8586259831637144</c:v>
                </c:pt>
                <c:pt idx="87">
                  <c:v>4.2672869958311326</c:v>
                </c:pt>
                <c:pt idx="88">
                  <c:v>3.8805540493082233</c:v>
                </c:pt>
                <c:pt idx="89">
                  <c:v>3.9305260493082232</c:v>
                </c:pt>
                <c:pt idx="90">
                  <c:v>4.8394493366738427</c:v>
                </c:pt>
                <c:pt idx="91">
                  <c:v>4.7197318366738426</c:v>
                </c:pt>
                <c:pt idx="92">
                  <c:v>4.6524218366738426</c:v>
                </c:pt>
                <c:pt idx="93">
                  <c:v>4.6408240328527643</c:v>
                </c:pt>
                <c:pt idx="94">
                  <c:v>4.6777982518440426</c:v>
                </c:pt>
                <c:pt idx="95">
                  <c:v>4.7431897518440422</c:v>
                </c:pt>
                <c:pt idx="96">
                  <c:v>4.7642463475573296</c:v>
                </c:pt>
                <c:pt idx="97">
                  <c:v>4.7864914850461355</c:v>
                </c:pt>
                <c:pt idx="98">
                  <c:v>4.6855901532437167</c:v>
                </c:pt>
                <c:pt idx="99">
                  <c:v>4.7743071473402434</c:v>
                </c:pt>
                <c:pt idx="100">
                  <c:v>4.9280576473402435</c:v>
                </c:pt>
                <c:pt idx="101">
                  <c:v>5.0940631473402433</c:v>
                </c:pt>
                <c:pt idx="102">
                  <c:v>5.1250452835661537</c:v>
                </c:pt>
                <c:pt idx="103">
                  <c:v>5.1437932835661542</c:v>
                </c:pt>
                <c:pt idx="104">
                  <c:v>5.2162082835661545</c:v>
                </c:pt>
                <c:pt idx="105">
                  <c:v>5.1977982835661543</c:v>
                </c:pt>
                <c:pt idx="106">
                  <c:v>5.0563537835661538</c:v>
                </c:pt>
                <c:pt idx="107">
                  <c:v>5.4651512835661542</c:v>
                </c:pt>
                <c:pt idx="108">
                  <c:v>5.3975287835661545</c:v>
                </c:pt>
                <c:pt idx="109">
                  <c:v>5.5367567835661546</c:v>
                </c:pt>
                <c:pt idx="110">
                  <c:v>5.6327977835661542</c:v>
                </c:pt>
                <c:pt idx="111">
                  <c:v>5.5989747835661543</c:v>
                </c:pt>
                <c:pt idx="112">
                  <c:v>5.5077312835661543</c:v>
                </c:pt>
                <c:pt idx="113">
                  <c:v>5.4511252835661539</c:v>
                </c:pt>
                <c:pt idx="114">
                  <c:v>5.4976022835661542</c:v>
                </c:pt>
                <c:pt idx="115">
                  <c:v>5.5040994796101241</c:v>
                </c:pt>
                <c:pt idx="116">
                  <c:v>5.6281674796101244</c:v>
                </c:pt>
                <c:pt idx="117">
                  <c:v>5.6752557122658471</c:v>
                </c:pt>
                <c:pt idx="118">
                  <c:v>5.5541252122658475</c:v>
                </c:pt>
                <c:pt idx="119">
                  <c:v>5.4516997122658477</c:v>
                </c:pt>
                <c:pt idx="120">
                  <c:v>5.1636031353468015</c:v>
                </c:pt>
                <c:pt idx="121">
                  <c:v>5.1093526353468013</c:v>
                </c:pt>
                <c:pt idx="122">
                  <c:v>5.0537146353468012</c:v>
                </c:pt>
                <c:pt idx="123">
                  <c:v>5.0618476353468012</c:v>
                </c:pt>
                <c:pt idx="124">
                  <c:v>5.2030758679296394</c:v>
                </c:pt>
                <c:pt idx="125">
                  <c:v>5.5225243679296394</c:v>
                </c:pt>
                <c:pt idx="126">
                  <c:v>5.4685993679296399</c:v>
                </c:pt>
                <c:pt idx="127">
                  <c:v>5.5714723865561524</c:v>
                </c:pt>
                <c:pt idx="128">
                  <c:v>5.5427153865561527</c:v>
                </c:pt>
                <c:pt idx="129">
                  <c:v>5.4044868865561524</c:v>
                </c:pt>
                <c:pt idx="130">
                  <c:v>5.3679025702303393</c:v>
                </c:pt>
                <c:pt idx="131">
                  <c:v>5.4593284748501203</c:v>
                </c:pt>
                <c:pt idx="132">
                  <c:v>5.40027779096188</c:v>
                </c:pt>
                <c:pt idx="133">
                  <c:v>5.4480600695535397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AD6-3A47-A2DF-C9E44FE8FE88}"/>
            </c:ext>
          </c:extLst>
        </c:ser>
        <c:ser>
          <c:idx val="12"/>
          <c:order val="12"/>
          <c:tx>
            <c:strRef>
              <c:f>預測累積畫圖!$B$24</c:f>
              <c:strCache>
                <c:ptCount val="1"/>
                <c:pt idx="0">
                  <c:v>964等分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預測累積畫圖!$C$24:$EF$24</c:f>
              <c:numCache>
                <c:formatCode>General</c:formatCode>
                <c:ptCount val="134"/>
                <c:pt idx="0">
                  <c:v>-0.162993136931085</c:v>
                </c:pt>
                <c:pt idx="1">
                  <c:v>-5.89441269586721E-2</c:v>
                </c:pt>
                <c:pt idx="2">
                  <c:v>0.22556787304132789</c:v>
                </c:pt>
                <c:pt idx="3">
                  <c:v>0.45272741967807673</c:v>
                </c:pt>
                <c:pt idx="4">
                  <c:v>0.22696739662050433</c:v>
                </c:pt>
                <c:pt idx="5">
                  <c:v>0.26282339662050436</c:v>
                </c:pt>
                <c:pt idx="6">
                  <c:v>0.26493532982364787</c:v>
                </c:pt>
                <c:pt idx="7">
                  <c:v>0.14947432982364789</c:v>
                </c:pt>
                <c:pt idx="8">
                  <c:v>0.170989608178608</c:v>
                </c:pt>
                <c:pt idx="9">
                  <c:v>7.5366357669925887E-2</c:v>
                </c:pt>
                <c:pt idx="10">
                  <c:v>-0.14241964233007412</c:v>
                </c:pt>
                <c:pt idx="11">
                  <c:v>-0.2865500947305073</c:v>
                </c:pt>
                <c:pt idx="12">
                  <c:v>-0.53083009473050735</c:v>
                </c:pt>
                <c:pt idx="13">
                  <c:v>-0.52909409473050739</c:v>
                </c:pt>
                <c:pt idx="14">
                  <c:v>-0.53193409473050735</c:v>
                </c:pt>
                <c:pt idx="15">
                  <c:v>-0.28623672395124766</c:v>
                </c:pt>
                <c:pt idx="16">
                  <c:v>6.6277737108916712E-2</c:v>
                </c:pt>
                <c:pt idx="17">
                  <c:v>-0.22154226289108331</c:v>
                </c:pt>
                <c:pt idx="18">
                  <c:v>-7.3023588667165296E-2</c:v>
                </c:pt>
                <c:pt idx="19">
                  <c:v>-0.17170358866716529</c:v>
                </c:pt>
                <c:pt idx="20">
                  <c:v>0.32400839728877734</c:v>
                </c:pt>
                <c:pt idx="21">
                  <c:v>0.44203082979478125</c:v>
                </c:pt>
                <c:pt idx="22">
                  <c:v>0.32171182979478125</c:v>
                </c:pt>
                <c:pt idx="23">
                  <c:v>0.29731682979478125</c:v>
                </c:pt>
                <c:pt idx="24">
                  <c:v>0.39167882979478125</c:v>
                </c:pt>
                <c:pt idx="25">
                  <c:v>0.20742982979478125</c:v>
                </c:pt>
                <c:pt idx="26">
                  <c:v>-3.8740170205218749E-2</c:v>
                </c:pt>
                <c:pt idx="27">
                  <c:v>6.2433829794781251E-2</c:v>
                </c:pt>
                <c:pt idx="28">
                  <c:v>-0.11283717020521876</c:v>
                </c:pt>
                <c:pt idx="29">
                  <c:v>-0.27853917020521873</c:v>
                </c:pt>
                <c:pt idx="30">
                  <c:v>-0.17263817020521874</c:v>
                </c:pt>
                <c:pt idx="31">
                  <c:v>-0.22933553027300832</c:v>
                </c:pt>
                <c:pt idx="32">
                  <c:v>8.1078469726991703E-2</c:v>
                </c:pt>
                <c:pt idx="33">
                  <c:v>1.8722572761631362E-4</c:v>
                </c:pt>
                <c:pt idx="34">
                  <c:v>8.5071178795808611E-2</c:v>
                </c:pt>
                <c:pt idx="35">
                  <c:v>3.0394243305173228E-2</c:v>
                </c:pt>
                <c:pt idx="36">
                  <c:v>0.10899324330517324</c:v>
                </c:pt>
                <c:pt idx="37">
                  <c:v>-5.3948756694826766E-2</c:v>
                </c:pt>
                <c:pt idx="38">
                  <c:v>1.2141355134163256E-2</c:v>
                </c:pt>
                <c:pt idx="39">
                  <c:v>-0.15234364486583674</c:v>
                </c:pt>
                <c:pt idx="40">
                  <c:v>-0.36946764486583672</c:v>
                </c:pt>
                <c:pt idx="41">
                  <c:v>-0.54030064486583673</c:v>
                </c:pt>
                <c:pt idx="42">
                  <c:v>-0.30246864486583674</c:v>
                </c:pt>
                <c:pt idx="43">
                  <c:v>-0.29654064486583676</c:v>
                </c:pt>
                <c:pt idx="44">
                  <c:v>0.18051335513416322</c:v>
                </c:pt>
                <c:pt idx="45">
                  <c:v>0.16099135513416321</c:v>
                </c:pt>
                <c:pt idx="46">
                  <c:v>0.28129735513416321</c:v>
                </c:pt>
                <c:pt idx="47">
                  <c:v>0.25573935513416318</c:v>
                </c:pt>
                <c:pt idx="48">
                  <c:v>-0.18773164486583682</c:v>
                </c:pt>
                <c:pt idx="49">
                  <c:v>-6.9109644865836817E-2</c:v>
                </c:pt>
                <c:pt idx="50">
                  <c:v>-1.8618644865836816E-2</c:v>
                </c:pt>
                <c:pt idx="51">
                  <c:v>0.67215735513416308</c:v>
                </c:pt>
                <c:pt idx="52">
                  <c:v>0.46640735513416309</c:v>
                </c:pt>
                <c:pt idx="53">
                  <c:v>0.48504735513416308</c:v>
                </c:pt>
                <c:pt idx="54">
                  <c:v>0.43898300110247623</c:v>
                </c:pt>
                <c:pt idx="55">
                  <c:v>0.52663433715656849</c:v>
                </c:pt>
                <c:pt idx="56">
                  <c:v>0.35001033715656849</c:v>
                </c:pt>
                <c:pt idx="57">
                  <c:v>0.35958033715656851</c:v>
                </c:pt>
                <c:pt idx="58">
                  <c:v>0.52884833715656854</c:v>
                </c:pt>
                <c:pt idx="59">
                  <c:v>0.72848833715656858</c:v>
                </c:pt>
                <c:pt idx="60">
                  <c:v>0.7633183371565686</c:v>
                </c:pt>
                <c:pt idx="61">
                  <c:v>1.0804826310812852</c:v>
                </c:pt>
                <c:pt idx="62">
                  <c:v>1.0919556501990224</c:v>
                </c:pt>
                <c:pt idx="63">
                  <c:v>0.98304465019902243</c:v>
                </c:pt>
                <c:pt idx="64">
                  <c:v>0.82193495910338055</c:v>
                </c:pt>
                <c:pt idx="65">
                  <c:v>0.94528614023270241</c:v>
                </c:pt>
                <c:pt idx="66">
                  <c:v>0.65343314023270249</c:v>
                </c:pt>
                <c:pt idx="67">
                  <c:v>0.64373314023270245</c:v>
                </c:pt>
                <c:pt idx="68">
                  <c:v>0.64244842274824554</c:v>
                </c:pt>
                <c:pt idx="69">
                  <c:v>0.75871911880243281</c:v>
                </c:pt>
                <c:pt idx="70">
                  <c:v>0.74997011880243281</c:v>
                </c:pt>
                <c:pt idx="71">
                  <c:v>0.54666311880243279</c:v>
                </c:pt>
                <c:pt idx="72">
                  <c:v>1.6556781188024328</c:v>
                </c:pt>
                <c:pt idx="73">
                  <c:v>1.5517281188024328</c:v>
                </c:pt>
                <c:pt idx="74">
                  <c:v>1.2613881188024327</c:v>
                </c:pt>
                <c:pt idx="75">
                  <c:v>2.0753461188024325</c:v>
                </c:pt>
                <c:pt idx="76">
                  <c:v>2.1753741188024325</c:v>
                </c:pt>
                <c:pt idx="77">
                  <c:v>2.8150731188024327</c:v>
                </c:pt>
                <c:pt idx="78">
                  <c:v>2.6326031188024328</c:v>
                </c:pt>
                <c:pt idx="79">
                  <c:v>2.6625571188024328</c:v>
                </c:pt>
                <c:pt idx="80">
                  <c:v>2.8726785540385213</c:v>
                </c:pt>
                <c:pt idx="81">
                  <c:v>2.6509571917931329</c:v>
                </c:pt>
                <c:pt idx="82">
                  <c:v>2.8882341917931331</c:v>
                </c:pt>
                <c:pt idx="83">
                  <c:v>3.0338771917931333</c:v>
                </c:pt>
                <c:pt idx="84">
                  <c:v>2.9753691917931335</c:v>
                </c:pt>
                <c:pt idx="85">
                  <c:v>3.0325431917931334</c:v>
                </c:pt>
                <c:pt idx="86">
                  <c:v>3.0644031917931334</c:v>
                </c:pt>
                <c:pt idx="87">
                  <c:v>2.9226478584205928</c:v>
                </c:pt>
                <c:pt idx="88">
                  <c:v>2.3730607484614925</c:v>
                </c:pt>
                <c:pt idx="89">
                  <c:v>2.3879817484614927</c:v>
                </c:pt>
                <c:pt idx="90">
                  <c:v>3.164634966797724</c:v>
                </c:pt>
                <c:pt idx="91">
                  <c:v>2.9152979667977239</c:v>
                </c:pt>
                <c:pt idx="92">
                  <c:v>2.7376979667977239</c:v>
                </c:pt>
                <c:pt idx="93">
                  <c:v>2.6766131285581674</c:v>
                </c:pt>
                <c:pt idx="94">
                  <c:v>2.762508361304973</c:v>
                </c:pt>
                <c:pt idx="95">
                  <c:v>2.642966361304973</c:v>
                </c:pt>
                <c:pt idx="96">
                  <c:v>2.7157177089616829</c:v>
                </c:pt>
                <c:pt idx="97">
                  <c:v>2.7006536614223076</c:v>
                </c:pt>
                <c:pt idx="98">
                  <c:v>2.5255364953503001</c:v>
                </c:pt>
                <c:pt idx="99">
                  <c:v>2.470329301641613</c:v>
                </c:pt>
                <c:pt idx="100">
                  <c:v>2.791477301641613</c:v>
                </c:pt>
                <c:pt idx="101">
                  <c:v>3.1140683016416131</c:v>
                </c:pt>
                <c:pt idx="102">
                  <c:v>3.0895570974788584</c:v>
                </c:pt>
                <c:pt idx="103">
                  <c:v>3.0730570974788582</c:v>
                </c:pt>
                <c:pt idx="104">
                  <c:v>3.2526070974788581</c:v>
                </c:pt>
                <c:pt idx="105">
                  <c:v>3.3019070974788582</c:v>
                </c:pt>
                <c:pt idx="106">
                  <c:v>2.9952680974788581</c:v>
                </c:pt>
                <c:pt idx="107">
                  <c:v>3.5208560974788581</c:v>
                </c:pt>
                <c:pt idx="108">
                  <c:v>3.4013110974788581</c:v>
                </c:pt>
                <c:pt idx="109">
                  <c:v>3.6671160974788579</c:v>
                </c:pt>
                <c:pt idx="110">
                  <c:v>3.7043010974788579</c:v>
                </c:pt>
                <c:pt idx="111">
                  <c:v>3.7253810974788579</c:v>
                </c:pt>
                <c:pt idx="112">
                  <c:v>3.6057020974788578</c:v>
                </c:pt>
                <c:pt idx="113">
                  <c:v>3.5739530974788578</c:v>
                </c:pt>
                <c:pt idx="114">
                  <c:v>3.5743630974788578</c:v>
                </c:pt>
                <c:pt idx="115">
                  <c:v>3.8076976682535539</c:v>
                </c:pt>
                <c:pt idx="116">
                  <c:v>3.923312668253554</c:v>
                </c:pt>
                <c:pt idx="117">
                  <c:v>4.037686093739568</c:v>
                </c:pt>
                <c:pt idx="118">
                  <c:v>3.9872000937395682</c:v>
                </c:pt>
                <c:pt idx="119">
                  <c:v>3.9638080937395683</c:v>
                </c:pt>
                <c:pt idx="120">
                  <c:v>3.7475465527067229</c:v>
                </c:pt>
                <c:pt idx="121">
                  <c:v>3.6728135527067227</c:v>
                </c:pt>
                <c:pt idx="122">
                  <c:v>3.6945955527067227</c:v>
                </c:pt>
                <c:pt idx="123">
                  <c:v>3.7926425527067229</c:v>
                </c:pt>
                <c:pt idx="124">
                  <c:v>3.9014996425980533</c:v>
                </c:pt>
                <c:pt idx="125">
                  <c:v>4.1874286425980536</c:v>
                </c:pt>
                <c:pt idx="126">
                  <c:v>4.1841886425980537</c:v>
                </c:pt>
                <c:pt idx="127">
                  <c:v>4.2346578250011699</c:v>
                </c:pt>
                <c:pt idx="128">
                  <c:v>4.1797408250011703</c:v>
                </c:pt>
                <c:pt idx="129">
                  <c:v>4.07050982500117</c:v>
                </c:pt>
                <c:pt idx="130">
                  <c:v>4.056199906230491</c:v>
                </c:pt>
                <c:pt idx="131">
                  <c:v>4.1123727515288531</c:v>
                </c:pt>
                <c:pt idx="132">
                  <c:v>3.9989433123376341</c:v>
                </c:pt>
                <c:pt idx="133">
                  <c:v>3.9316666352936656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AD6-3A47-A2DF-C9E44FE8FE88}"/>
            </c:ext>
          </c:extLst>
        </c:ser>
        <c:ser>
          <c:idx val="13"/>
          <c:order val="13"/>
          <c:tx>
            <c:strRef>
              <c:f>預測累積畫圖!$B$25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預測累積畫圖!$C$25:$EF$25</c:f>
              <c:numCache>
                <c:formatCode>General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AD6-3A47-A2DF-C9E44FE8F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0720191"/>
        <c:axId val="720729791"/>
      </c:lineChart>
      <c:catAx>
        <c:axId val="72072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20729791"/>
        <c:crosses val="autoZero"/>
        <c:auto val="1"/>
        <c:lblAlgn val="ctr"/>
        <c:lblOffset val="100"/>
        <c:noMultiLvlLbl val="0"/>
      </c:catAx>
      <c:valAx>
        <c:axId val="72072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2072019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NN5</a:t>
            </a:r>
            <a:r>
              <a:rPr lang="zh-TW" altLang="en-US"/>
              <a:t>再投資累積報酬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再投資累積報酬!$A$12:$B$12</c:f>
              <c:strCache>
                <c:ptCount val="2"/>
                <c:pt idx="0">
                  <c:v>96</c:v>
                </c:pt>
                <c:pt idx="1">
                  <c:v>10等分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再投資累積報酬!$C$12:$EF$12</c:f>
              <c:numCache>
                <c:formatCode>General</c:formatCode>
                <c:ptCount val="134"/>
                <c:pt idx="0">
                  <c:v>-4.7013508994228737E-2</c:v>
                </c:pt>
                <c:pt idx="1">
                  <c:v>-6.6856398606816581E-2</c:v>
                </c:pt>
                <c:pt idx="2">
                  <c:v>-2.2040981559669603E-2</c:v>
                </c:pt>
                <c:pt idx="3">
                  <c:v>-2.6100850160523104E-3</c:v>
                </c:pt>
                <c:pt idx="4">
                  <c:v>-1.0493800744977411E-2</c:v>
                </c:pt>
                <c:pt idx="5">
                  <c:v>2.7632584319899234E-2</c:v>
                </c:pt>
                <c:pt idx="6">
                  <c:v>-9.6745241252784719E-3</c:v>
                </c:pt>
                <c:pt idx="7">
                  <c:v>-3.8797819717885207E-2</c:v>
                </c:pt>
                <c:pt idx="8">
                  <c:v>-2.8235741976732287E-2</c:v>
                </c:pt>
                <c:pt idx="9">
                  <c:v>-2.6022810496521775E-2</c:v>
                </c:pt>
                <c:pt idx="10">
                  <c:v>-2.6409175072882984E-2</c:v>
                </c:pt>
                <c:pt idx="11">
                  <c:v>-7.7108048521879358E-2</c:v>
                </c:pt>
                <c:pt idx="12">
                  <c:v>-6.1196612588312438E-2</c:v>
                </c:pt>
                <c:pt idx="13">
                  <c:v>-6.098037487474528E-2</c:v>
                </c:pt>
                <c:pt idx="14">
                  <c:v>-2.7860712531128207E-2</c:v>
                </c:pt>
                <c:pt idx="15">
                  <c:v>-4.0884954701079113E-2</c:v>
                </c:pt>
                <c:pt idx="16">
                  <c:v>2.7263907029479784E-2</c:v>
                </c:pt>
                <c:pt idx="17">
                  <c:v>1.9312488464440891E-2</c:v>
                </c:pt>
                <c:pt idx="18">
                  <c:v>4.0073050729556803E-2</c:v>
                </c:pt>
                <c:pt idx="19">
                  <c:v>4.6526498161542529E-2</c:v>
                </c:pt>
                <c:pt idx="20">
                  <c:v>6.9841478024367687E-2</c:v>
                </c:pt>
                <c:pt idx="21">
                  <c:v>0.12174941066800971</c:v>
                </c:pt>
                <c:pt idx="22">
                  <c:v>0.1390693384176207</c:v>
                </c:pt>
                <c:pt idx="23">
                  <c:v>0.14495381808110852</c:v>
                </c:pt>
                <c:pt idx="24">
                  <c:v>0.13177246569083612</c:v>
                </c:pt>
                <c:pt idx="25">
                  <c:v>0.12757209260246549</c:v>
                </c:pt>
                <c:pt idx="26">
                  <c:v>0.13339876266327555</c:v>
                </c:pt>
                <c:pt idx="27">
                  <c:v>0.14404362022973505</c:v>
                </c:pt>
                <c:pt idx="28">
                  <c:v>7.7326416511676488E-2</c:v>
                </c:pt>
                <c:pt idx="29">
                  <c:v>0.12707942652396764</c:v>
                </c:pt>
                <c:pt idx="30">
                  <c:v>0.14069363024434312</c:v>
                </c:pt>
                <c:pt idx="31">
                  <c:v>0.15598554621647986</c:v>
                </c:pt>
                <c:pt idx="32">
                  <c:v>0.1828586940433099</c:v>
                </c:pt>
                <c:pt idx="33">
                  <c:v>0.19821663270942413</c:v>
                </c:pt>
                <c:pt idx="34">
                  <c:v>0.25587925545209922</c:v>
                </c:pt>
                <c:pt idx="35">
                  <c:v>0.27830800687038759</c:v>
                </c:pt>
                <c:pt idx="36">
                  <c:v>0.30413727209016761</c:v>
                </c:pt>
                <c:pt idx="37">
                  <c:v>0.37864714458607818</c:v>
                </c:pt>
                <c:pt idx="38">
                  <c:v>0.38171986374609701</c:v>
                </c:pt>
                <c:pt idx="39">
                  <c:v>0.37531743447078547</c:v>
                </c:pt>
                <c:pt idx="40">
                  <c:v>0.3661280504652431</c:v>
                </c:pt>
                <c:pt idx="41">
                  <c:v>0.35587612750703346</c:v>
                </c:pt>
                <c:pt idx="42">
                  <c:v>0.34795324896417168</c:v>
                </c:pt>
                <c:pt idx="43">
                  <c:v>0.31789889017223549</c:v>
                </c:pt>
                <c:pt idx="44">
                  <c:v>0.40146710590409884</c:v>
                </c:pt>
                <c:pt idx="45">
                  <c:v>0.37092928365260547</c:v>
                </c:pt>
                <c:pt idx="46">
                  <c:v>0.36769854599054441</c:v>
                </c:pt>
                <c:pt idx="47">
                  <c:v>0.35585704047307809</c:v>
                </c:pt>
                <c:pt idx="48">
                  <c:v>0.34539815699202037</c:v>
                </c:pt>
                <c:pt idx="49">
                  <c:v>0.43495357626357656</c:v>
                </c:pt>
                <c:pt idx="50">
                  <c:v>0.53723176084089874</c:v>
                </c:pt>
                <c:pt idx="51">
                  <c:v>0.54612475866717913</c:v>
                </c:pt>
                <c:pt idx="52">
                  <c:v>0.55165300826912489</c:v>
                </c:pt>
                <c:pt idx="53">
                  <c:v>0.62804701166298593</c:v>
                </c:pt>
                <c:pt idx="54">
                  <c:v>0.65834302891260199</c:v>
                </c:pt>
                <c:pt idx="55">
                  <c:v>0.77076600406670259</c:v>
                </c:pt>
                <c:pt idx="56">
                  <c:v>0.78848039670728087</c:v>
                </c:pt>
                <c:pt idx="57">
                  <c:v>0.74390844716066606</c:v>
                </c:pt>
                <c:pt idx="58">
                  <c:v>0.78024806587973905</c:v>
                </c:pt>
                <c:pt idx="59">
                  <c:v>0.85755172201168306</c:v>
                </c:pt>
                <c:pt idx="60">
                  <c:v>0.82025984258202733</c:v>
                </c:pt>
                <c:pt idx="61">
                  <c:v>0.86523709050713404</c:v>
                </c:pt>
                <c:pt idx="62">
                  <c:v>0.85559550846613197</c:v>
                </c:pt>
                <c:pt idx="63">
                  <c:v>0.81940722096114849</c:v>
                </c:pt>
                <c:pt idx="64">
                  <c:v>0.86352113292301036</c:v>
                </c:pt>
                <c:pt idx="65">
                  <c:v>0.84393741672101741</c:v>
                </c:pt>
                <c:pt idx="66">
                  <c:v>0.85946924732032426</c:v>
                </c:pt>
                <c:pt idx="67">
                  <c:v>0.89638616191358444</c:v>
                </c:pt>
                <c:pt idx="68">
                  <c:v>0.93215825045586898</c:v>
                </c:pt>
                <c:pt idx="69">
                  <c:v>0.97472653443065305</c:v>
                </c:pt>
                <c:pt idx="70">
                  <c:v>0.87977536764433051</c:v>
                </c:pt>
                <c:pt idx="71">
                  <c:v>0.94002839493323664</c:v>
                </c:pt>
                <c:pt idx="72">
                  <c:v>1.0476758215402402</c:v>
                </c:pt>
                <c:pt idx="73">
                  <c:v>1.080406511770434</c:v>
                </c:pt>
                <c:pt idx="74">
                  <c:v>0.9850886133042529</c:v>
                </c:pt>
                <c:pt idx="75">
                  <c:v>0.99258705808293946</c:v>
                </c:pt>
                <c:pt idx="76">
                  <c:v>1.0216401397322392</c:v>
                </c:pt>
                <c:pt idx="77">
                  <c:v>1.1681599619131839</c:v>
                </c:pt>
                <c:pt idx="78">
                  <c:v>1.3103176283159819</c:v>
                </c:pt>
                <c:pt idx="79">
                  <c:v>1.4125688692004217</c:v>
                </c:pt>
                <c:pt idx="80">
                  <c:v>1.384536246114175</c:v>
                </c:pt>
                <c:pt idx="81">
                  <c:v>1.3183234369970367</c:v>
                </c:pt>
                <c:pt idx="82">
                  <c:v>1.3190393401042217</c:v>
                </c:pt>
                <c:pt idx="83">
                  <c:v>1.2971179443554122</c:v>
                </c:pt>
                <c:pt idx="84">
                  <c:v>1.2412032700489948</c:v>
                </c:pt>
                <c:pt idx="85">
                  <c:v>1.2492007004218886</c:v>
                </c:pt>
                <c:pt idx="86">
                  <c:v>1.3268319094552981</c:v>
                </c:pt>
                <c:pt idx="87">
                  <c:v>1.0522294277158912</c:v>
                </c:pt>
                <c:pt idx="88">
                  <c:v>1.0834637976382857</c:v>
                </c:pt>
                <c:pt idx="89">
                  <c:v>1.0349039860407809</c:v>
                </c:pt>
                <c:pt idx="90">
                  <c:v>1.090387936313002</c:v>
                </c:pt>
                <c:pt idx="91">
                  <c:v>1.0636397242276789</c:v>
                </c:pt>
                <c:pt idx="92">
                  <c:v>1.2080473421574189</c:v>
                </c:pt>
                <c:pt idx="93">
                  <c:v>1.2033709663176042</c:v>
                </c:pt>
                <c:pt idx="94">
                  <c:v>1.2368658354714297</c:v>
                </c:pt>
                <c:pt idx="95">
                  <c:v>1.3087004517090164</c:v>
                </c:pt>
                <c:pt idx="96">
                  <c:v>1.2264559632681529</c:v>
                </c:pt>
                <c:pt idx="97">
                  <c:v>1.2083935578965721</c:v>
                </c:pt>
                <c:pt idx="98">
                  <c:v>1.1961415566310523</c:v>
                </c:pt>
                <c:pt idx="99">
                  <c:v>1.0621991410575182</c:v>
                </c:pt>
                <c:pt idx="100">
                  <c:v>1.1572101332025064</c:v>
                </c:pt>
                <c:pt idx="101">
                  <c:v>1.3482579882114365</c:v>
                </c:pt>
                <c:pt idx="102">
                  <c:v>1.3350988575040001</c:v>
                </c:pt>
                <c:pt idx="103">
                  <c:v>1.5428802835071713</c:v>
                </c:pt>
                <c:pt idx="104">
                  <c:v>1.5720548814415305</c:v>
                </c:pt>
                <c:pt idx="105">
                  <c:v>1.4715096123815656</c:v>
                </c:pt>
                <c:pt idx="106">
                  <c:v>1.3794817676995157</c:v>
                </c:pt>
                <c:pt idx="107">
                  <c:v>1.5115099409247748</c:v>
                </c:pt>
                <c:pt idx="108">
                  <c:v>1.3949508168895797</c:v>
                </c:pt>
                <c:pt idx="109">
                  <c:v>1.5415108549727154</c:v>
                </c:pt>
                <c:pt idx="110">
                  <c:v>1.6933636135205519</c:v>
                </c:pt>
                <c:pt idx="111">
                  <c:v>1.7340837082613691</c:v>
                </c:pt>
                <c:pt idx="112">
                  <c:v>1.6467893140232275</c:v>
                </c:pt>
                <c:pt idx="113">
                  <c:v>1.6549669555990105</c:v>
                </c:pt>
                <c:pt idx="114">
                  <c:v>1.6038917245757109</c:v>
                </c:pt>
                <c:pt idx="115">
                  <c:v>1.7143237240407174</c:v>
                </c:pt>
                <c:pt idx="116">
                  <c:v>1.797266020931366</c:v>
                </c:pt>
                <c:pt idx="117">
                  <c:v>1.888413394609028</c:v>
                </c:pt>
                <c:pt idx="118">
                  <c:v>1.7906057898025796</c:v>
                </c:pt>
                <c:pt idx="119">
                  <c:v>1.8382274776055607</c:v>
                </c:pt>
                <c:pt idx="120">
                  <c:v>1.7368285215333445</c:v>
                </c:pt>
                <c:pt idx="121">
                  <c:v>1.8055718097250235</c:v>
                </c:pt>
                <c:pt idx="122">
                  <c:v>1.6450082921109206</c:v>
                </c:pt>
                <c:pt idx="123">
                  <c:v>1.7231441514421326</c:v>
                </c:pt>
                <c:pt idx="124">
                  <c:v>1.8422151659164347</c:v>
                </c:pt>
                <c:pt idx="125">
                  <c:v>1.9019828059585406</c:v>
                </c:pt>
                <c:pt idx="126">
                  <c:v>2.0562095890508343</c:v>
                </c:pt>
                <c:pt idx="127">
                  <c:v>2.0688492329210346</c:v>
                </c:pt>
                <c:pt idx="128">
                  <c:v>2.2256603639766279</c:v>
                </c:pt>
                <c:pt idx="129">
                  <c:v>2.2443245724526575</c:v>
                </c:pt>
                <c:pt idx="130">
                  <c:v>2.3307907198749231</c:v>
                </c:pt>
                <c:pt idx="131">
                  <c:v>2.5323307137261959</c:v>
                </c:pt>
                <c:pt idx="132">
                  <c:v>2.4902355885444569</c:v>
                </c:pt>
                <c:pt idx="133">
                  <c:v>2.3533019609617014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CD-1345-8442-68C1CD29CA7C}"/>
            </c:ext>
          </c:extLst>
        </c:ser>
        <c:ser>
          <c:idx val="1"/>
          <c:order val="1"/>
          <c:tx>
            <c:strRef>
              <c:f>再投資累積報酬!$A$13:$B$13</c:f>
              <c:strCache>
                <c:ptCount val="2"/>
                <c:pt idx="0">
                  <c:v>48</c:v>
                </c:pt>
                <c:pt idx="1">
                  <c:v>20等分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再投資累積報酬!$C$13:$EF$13</c:f>
              <c:numCache>
                <c:formatCode>General</c:formatCode>
                <c:ptCount val="134"/>
                <c:pt idx="0">
                  <c:v>-4.2506117601795568E-2</c:v>
                </c:pt>
                <c:pt idx="1">
                  <c:v>-7.1113746976336323E-2</c:v>
                </c:pt>
                <c:pt idx="2">
                  <c:v>-6.2205535286928848E-3</c:v>
                </c:pt>
                <c:pt idx="3">
                  <c:v>2.8484367213956086E-2</c:v>
                </c:pt>
                <c:pt idx="4">
                  <c:v>4.3816991341084632E-2</c:v>
                </c:pt>
                <c:pt idx="5">
                  <c:v>7.51214325965881E-2</c:v>
                </c:pt>
                <c:pt idx="6">
                  <c:v>3.9983386123095377E-2</c:v>
                </c:pt>
                <c:pt idx="7">
                  <c:v>-5.6706495474375673E-3</c:v>
                </c:pt>
                <c:pt idx="8">
                  <c:v>3.9403284535479477E-2</c:v>
                </c:pt>
                <c:pt idx="9">
                  <c:v>6.9686994630139054E-2</c:v>
                </c:pt>
                <c:pt idx="10">
                  <c:v>9.7164356453243395E-2</c:v>
                </c:pt>
                <c:pt idx="11">
                  <c:v>4.9819572561953018E-2</c:v>
                </c:pt>
                <c:pt idx="12">
                  <c:v>9.1591237216960275E-2</c:v>
                </c:pt>
                <c:pt idx="13">
                  <c:v>0.10992139646269616</c:v>
                </c:pt>
                <c:pt idx="14">
                  <c:v>0.19119541384203953</c:v>
                </c:pt>
                <c:pt idx="15">
                  <c:v>0.18346466260405303</c:v>
                </c:pt>
                <c:pt idx="16">
                  <c:v>0.32893057428470174</c:v>
                </c:pt>
                <c:pt idx="17">
                  <c:v>0.29955525609147915</c:v>
                </c:pt>
                <c:pt idx="18">
                  <c:v>0.3699405658374777</c:v>
                </c:pt>
                <c:pt idx="19">
                  <c:v>0.34241280886496872</c:v>
                </c:pt>
                <c:pt idx="20">
                  <c:v>0.38416599243619975</c:v>
                </c:pt>
                <c:pt idx="21">
                  <c:v>0.48071291134580729</c:v>
                </c:pt>
                <c:pt idx="22">
                  <c:v>0.50132499033908284</c:v>
                </c:pt>
                <c:pt idx="23">
                  <c:v>0.53222813882980646</c:v>
                </c:pt>
                <c:pt idx="24">
                  <c:v>0.50703824438460532</c:v>
                </c:pt>
                <c:pt idx="25">
                  <c:v>0.48287141049428395</c:v>
                </c:pt>
                <c:pt idx="26">
                  <c:v>0.49478075240297081</c:v>
                </c:pt>
                <c:pt idx="27">
                  <c:v>0.52698293871705082</c:v>
                </c:pt>
                <c:pt idx="28">
                  <c:v>0.42663041528818013</c:v>
                </c:pt>
                <c:pt idx="29">
                  <c:v>0.50072389253658711</c:v>
                </c:pt>
                <c:pt idx="30">
                  <c:v>0.50564995618367625</c:v>
                </c:pt>
                <c:pt idx="31">
                  <c:v>0.5201664381872062</c:v>
                </c:pt>
                <c:pt idx="32">
                  <c:v>0.55043301531178179</c:v>
                </c:pt>
                <c:pt idx="33">
                  <c:v>0.52519123713716653</c:v>
                </c:pt>
                <c:pt idx="34">
                  <c:v>0.62583542351295041</c:v>
                </c:pt>
                <c:pt idx="35">
                  <c:v>0.66347583622791007</c:v>
                </c:pt>
                <c:pt idx="36">
                  <c:v>0.65869705136363965</c:v>
                </c:pt>
                <c:pt idx="37">
                  <c:v>0.77687116468136219</c:v>
                </c:pt>
                <c:pt idx="38">
                  <c:v>0.79341594596876264</c:v>
                </c:pt>
                <c:pt idx="39">
                  <c:v>0.78160125798221047</c:v>
                </c:pt>
                <c:pt idx="40">
                  <c:v>0.76185773842471605</c:v>
                </c:pt>
                <c:pt idx="41">
                  <c:v>0.77815565661253583</c:v>
                </c:pt>
                <c:pt idx="42">
                  <c:v>0.77471240636314365</c:v>
                </c:pt>
                <c:pt idx="43">
                  <c:v>0.7777133710959534</c:v>
                </c:pt>
                <c:pt idx="44">
                  <c:v>0.91421327754648996</c:v>
                </c:pt>
                <c:pt idx="45">
                  <c:v>0.89323577315284752</c:v>
                </c:pt>
                <c:pt idx="46">
                  <c:v>0.94173349235410986</c:v>
                </c:pt>
                <c:pt idx="47">
                  <c:v>0.91866448488151042</c:v>
                </c:pt>
                <c:pt idx="48">
                  <c:v>0.87324501977968305</c:v>
                </c:pt>
                <c:pt idx="49">
                  <c:v>0.97711680735990769</c:v>
                </c:pt>
                <c:pt idx="50">
                  <c:v>1.134948600443777</c:v>
                </c:pt>
                <c:pt idx="51">
                  <c:v>1.19055542721284</c:v>
                </c:pt>
                <c:pt idx="52">
                  <c:v>1.1938060745571097</c:v>
                </c:pt>
                <c:pt idx="53">
                  <c:v>1.2852367361706145</c:v>
                </c:pt>
                <c:pt idx="54">
                  <c:v>1.3478334982103366</c:v>
                </c:pt>
                <c:pt idx="55">
                  <c:v>1.5448857909544849</c:v>
                </c:pt>
                <c:pt idx="56">
                  <c:v>1.5660870224051111</c:v>
                </c:pt>
                <c:pt idx="57">
                  <c:v>1.478983604136153</c:v>
                </c:pt>
                <c:pt idx="58">
                  <c:v>1.5430224645449178</c:v>
                </c:pt>
                <c:pt idx="59">
                  <c:v>1.6738674868408192</c:v>
                </c:pt>
                <c:pt idx="60">
                  <c:v>1.606683836660884</c:v>
                </c:pt>
                <c:pt idx="61">
                  <c:v>1.6899618074944689</c:v>
                </c:pt>
                <c:pt idx="62">
                  <c:v>1.7354722373449398</c:v>
                </c:pt>
                <c:pt idx="63">
                  <c:v>1.7487607055619221</c:v>
                </c:pt>
                <c:pt idx="64">
                  <c:v>1.8336389073826926</c:v>
                </c:pt>
                <c:pt idx="65">
                  <c:v>1.8603677609045586</c:v>
                </c:pt>
                <c:pt idx="66">
                  <c:v>1.9735712843669826</c:v>
                </c:pt>
                <c:pt idx="67">
                  <c:v>1.9892268274321658</c:v>
                </c:pt>
                <c:pt idx="68">
                  <c:v>2.0114053117023278</c:v>
                </c:pt>
                <c:pt idx="69">
                  <c:v>2.1268731481850622</c:v>
                </c:pt>
                <c:pt idx="70">
                  <c:v>1.8934265315423371</c:v>
                </c:pt>
                <c:pt idx="71">
                  <c:v>1.9843965247709416</c:v>
                </c:pt>
                <c:pt idx="72">
                  <c:v>2.2417420319007819</c:v>
                </c:pt>
                <c:pt idx="73">
                  <c:v>2.2465304225633607</c:v>
                </c:pt>
                <c:pt idx="74">
                  <c:v>2.1464444888871639</c:v>
                </c:pt>
                <c:pt idx="75">
                  <c:v>2.1031534768775413</c:v>
                </c:pt>
                <c:pt idx="76">
                  <c:v>2.1776669800056014</c:v>
                </c:pt>
                <c:pt idx="77">
                  <c:v>2.5603436166011546</c:v>
                </c:pt>
                <c:pt idx="78">
                  <c:v>2.9880046744447504</c:v>
                </c:pt>
                <c:pt idx="79">
                  <c:v>3.2083651960684234</c:v>
                </c:pt>
                <c:pt idx="80">
                  <c:v>3.1695599265598595</c:v>
                </c:pt>
                <c:pt idx="81">
                  <c:v>2.9839550238628139</c:v>
                </c:pt>
                <c:pt idx="82">
                  <c:v>3.0140753008254144</c:v>
                </c:pt>
                <c:pt idx="83">
                  <c:v>2.9110831602756608</c:v>
                </c:pt>
                <c:pt idx="84">
                  <c:v>2.880204506878091</c:v>
                </c:pt>
                <c:pt idx="85">
                  <c:v>2.9612279463997453</c:v>
                </c:pt>
                <c:pt idx="86">
                  <c:v>3.0874331639255344</c:v>
                </c:pt>
                <c:pt idx="87">
                  <c:v>2.7544979740061128</c:v>
                </c:pt>
                <c:pt idx="88">
                  <c:v>2.7931573028482366</c:v>
                </c:pt>
                <c:pt idx="89">
                  <c:v>2.678866944541884</c:v>
                </c:pt>
                <c:pt idx="90">
                  <c:v>2.7283751440076838</c:v>
                </c:pt>
                <c:pt idx="91">
                  <c:v>2.6002030828435236</c:v>
                </c:pt>
                <c:pt idx="92">
                  <c:v>2.8418228373043228</c:v>
                </c:pt>
                <c:pt idx="93">
                  <c:v>2.8100133855796785</c:v>
                </c:pt>
                <c:pt idx="94">
                  <c:v>2.7687393158238134</c:v>
                </c:pt>
                <c:pt idx="95">
                  <c:v>2.9325368920913677</c:v>
                </c:pt>
                <c:pt idx="96">
                  <c:v>2.7863983066543305</c:v>
                </c:pt>
                <c:pt idx="97">
                  <c:v>2.7975807228661758</c:v>
                </c:pt>
                <c:pt idx="98">
                  <c:v>2.774882465706519</c:v>
                </c:pt>
                <c:pt idx="99">
                  <c:v>2.5482639831415588</c:v>
                </c:pt>
                <c:pt idx="100">
                  <c:v>2.7693089278225012</c:v>
                </c:pt>
                <c:pt idx="101">
                  <c:v>3.1096421867336748</c:v>
                </c:pt>
                <c:pt idx="102">
                  <c:v>3.132589100985121</c:v>
                </c:pt>
                <c:pt idx="103">
                  <c:v>3.5716157372755513</c:v>
                </c:pt>
                <c:pt idx="104">
                  <c:v>3.6792367147987219</c:v>
                </c:pt>
                <c:pt idx="105">
                  <c:v>3.4386945074604034</c:v>
                </c:pt>
                <c:pt idx="106">
                  <c:v>3.2497663768088696</c:v>
                </c:pt>
                <c:pt idx="107">
                  <c:v>3.6030183792963602</c:v>
                </c:pt>
                <c:pt idx="108">
                  <c:v>3.3833194766276806</c:v>
                </c:pt>
                <c:pt idx="109">
                  <c:v>3.7722106854453843</c:v>
                </c:pt>
                <c:pt idx="110">
                  <c:v>4.2005076465690729</c:v>
                </c:pt>
                <c:pt idx="111">
                  <c:v>4.231626725918777</c:v>
                </c:pt>
                <c:pt idx="112">
                  <c:v>4.1302043393578698</c:v>
                </c:pt>
                <c:pt idx="113">
                  <c:v>4.269350551016502</c:v>
                </c:pt>
                <c:pt idx="114">
                  <c:v>4.2721536259533703</c:v>
                </c:pt>
                <c:pt idx="115">
                  <c:v>4.3327811673944812</c:v>
                </c:pt>
                <c:pt idx="116">
                  <c:v>4.5347008158194528</c:v>
                </c:pt>
                <c:pt idx="117">
                  <c:v>4.8047202490942338</c:v>
                </c:pt>
                <c:pt idx="118">
                  <c:v>4.6075539768900304</c:v>
                </c:pt>
                <c:pt idx="119">
                  <c:v>4.6926139117491044</c:v>
                </c:pt>
                <c:pt idx="120">
                  <c:v>4.4712416605140781</c:v>
                </c:pt>
                <c:pt idx="121">
                  <c:v>4.749352283091091</c:v>
                </c:pt>
                <c:pt idx="122">
                  <c:v>4.5595894011917322</c:v>
                </c:pt>
                <c:pt idx="123">
                  <c:v>4.8000768535261491</c:v>
                </c:pt>
                <c:pt idx="124">
                  <c:v>5.0577034470111375</c:v>
                </c:pt>
                <c:pt idx="125">
                  <c:v>5.2992691376128587</c:v>
                </c:pt>
                <c:pt idx="126">
                  <c:v>5.6582087109865933</c:v>
                </c:pt>
                <c:pt idx="127">
                  <c:v>5.7554772468625774</c:v>
                </c:pt>
                <c:pt idx="128">
                  <c:v>6.1751167972653729</c:v>
                </c:pt>
                <c:pt idx="129">
                  <c:v>6.1765591452232238</c:v>
                </c:pt>
                <c:pt idx="130">
                  <c:v>6.4755328297265606</c:v>
                </c:pt>
                <c:pt idx="131">
                  <c:v>6.9665414772013472</c:v>
                </c:pt>
                <c:pt idx="132">
                  <c:v>6.9031868106350682</c:v>
                </c:pt>
                <c:pt idx="133">
                  <c:v>6.3770146402850001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CD-1345-8442-68C1CD29CA7C}"/>
            </c:ext>
          </c:extLst>
        </c:ser>
        <c:ser>
          <c:idx val="2"/>
          <c:order val="2"/>
          <c:tx>
            <c:strRef>
              <c:f>再投資累積報酬!$A$14:$B$14</c:f>
              <c:strCache>
                <c:ptCount val="2"/>
                <c:pt idx="0">
                  <c:v>19</c:v>
                </c:pt>
                <c:pt idx="1">
                  <c:v>50等分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再投資累積報酬!$C$14:$EF$14</c:f>
              <c:numCache>
                <c:formatCode>General</c:formatCode>
                <c:ptCount val="134"/>
                <c:pt idx="0">
                  <c:v>3.7017512404591946E-2</c:v>
                </c:pt>
                <c:pt idx="1">
                  <c:v>-4.9415109277653024E-2</c:v>
                </c:pt>
                <c:pt idx="2">
                  <c:v>4.4472409301562932E-2</c:v>
                </c:pt>
                <c:pt idx="3">
                  <c:v>9.5081424572374562E-2</c:v>
                </c:pt>
                <c:pt idx="4">
                  <c:v>0.14000157316676254</c:v>
                </c:pt>
                <c:pt idx="5">
                  <c:v>0.20793306691011382</c:v>
                </c:pt>
                <c:pt idx="6">
                  <c:v>0.15504086706704889</c:v>
                </c:pt>
                <c:pt idx="7">
                  <c:v>3.3653488516501184E-2</c:v>
                </c:pt>
                <c:pt idx="8">
                  <c:v>0.17234777369515464</c:v>
                </c:pt>
                <c:pt idx="9">
                  <c:v>0.16666517286348514</c:v>
                </c:pt>
                <c:pt idx="10">
                  <c:v>7.8055356495319472E-2</c:v>
                </c:pt>
                <c:pt idx="11">
                  <c:v>-1.1163410252268302E-2</c:v>
                </c:pt>
                <c:pt idx="12">
                  <c:v>2.8036414146728639E-2</c:v>
                </c:pt>
                <c:pt idx="13">
                  <c:v>7.7155939907479709E-2</c:v>
                </c:pt>
                <c:pt idx="14">
                  <c:v>0.13988848138416943</c:v>
                </c:pt>
                <c:pt idx="15">
                  <c:v>0.15805965716372339</c:v>
                </c:pt>
                <c:pt idx="16">
                  <c:v>0.35017391096303085</c:v>
                </c:pt>
                <c:pt idx="17">
                  <c:v>0.32673254682981456</c:v>
                </c:pt>
                <c:pt idx="18">
                  <c:v>0.46506652435131746</c:v>
                </c:pt>
                <c:pt idx="19">
                  <c:v>0.40884559889327332</c:v>
                </c:pt>
                <c:pt idx="20">
                  <c:v>0.51311166852960532</c:v>
                </c:pt>
                <c:pt idx="21">
                  <c:v>0.68449139933083281</c:v>
                </c:pt>
                <c:pt idx="22">
                  <c:v>0.65625329477198724</c:v>
                </c:pt>
                <c:pt idx="23">
                  <c:v>0.69145198979248157</c:v>
                </c:pt>
                <c:pt idx="24">
                  <c:v>0.68701077101002017</c:v>
                </c:pt>
                <c:pt idx="25">
                  <c:v>0.5605142638976599</c:v>
                </c:pt>
                <c:pt idx="26">
                  <c:v>0.51480269449161353</c:v>
                </c:pt>
                <c:pt idx="27">
                  <c:v>0.57437677513412222</c:v>
                </c:pt>
                <c:pt idx="28">
                  <c:v>0.56804927201292266</c:v>
                </c:pt>
                <c:pt idx="29">
                  <c:v>0.70026372041487206</c:v>
                </c:pt>
                <c:pt idx="30">
                  <c:v>0.71112938995152963</c:v>
                </c:pt>
                <c:pt idx="31">
                  <c:v>0.72011329482383224</c:v>
                </c:pt>
                <c:pt idx="32">
                  <c:v>0.73897488029524738</c:v>
                </c:pt>
                <c:pt idx="33">
                  <c:v>0.76516216576530671</c:v>
                </c:pt>
                <c:pt idx="34">
                  <c:v>0.900923313631256</c:v>
                </c:pt>
                <c:pt idx="35">
                  <c:v>0.97309983157436997</c:v>
                </c:pt>
                <c:pt idx="36">
                  <c:v>0.97931198062304259</c:v>
                </c:pt>
                <c:pt idx="37">
                  <c:v>1.1976765538301515</c:v>
                </c:pt>
                <c:pt idx="38">
                  <c:v>1.3315275947259675</c:v>
                </c:pt>
                <c:pt idx="39">
                  <c:v>1.3479768900426952</c:v>
                </c:pt>
                <c:pt idx="40">
                  <c:v>1.3288962412123597</c:v>
                </c:pt>
                <c:pt idx="41">
                  <c:v>1.3712133890765656</c:v>
                </c:pt>
                <c:pt idx="42">
                  <c:v>1.3931635866185426</c:v>
                </c:pt>
                <c:pt idx="43">
                  <c:v>1.3491132542595463</c:v>
                </c:pt>
                <c:pt idx="44">
                  <c:v>1.6729458109740669</c:v>
                </c:pt>
                <c:pt idx="45">
                  <c:v>1.6954703032790697</c:v>
                </c:pt>
                <c:pt idx="46">
                  <c:v>1.8133400985705856</c:v>
                </c:pt>
                <c:pt idx="47">
                  <c:v>1.8156537006253313</c:v>
                </c:pt>
                <c:pt idx="48">
                  <c:v>1.6499825633804375</c:v>
                </c:pt>
                <c:pt idx="49">
                  <c:v>1.7178989664973146</c:v>
                </c:pt>
                <c:pt idx="50">
                  <c:v>1.9797343436112786</c:v>
                </c:pt>
                <c:pt idx="51">
                  <c:v>2.2833633137565807</c:v>
                </c:pt>
                <c:pt idx="52">
                  <c:v>2.3230083704928326</c:v>
                </c:pt>
                <c:pt idx="53">
                  <c:v>2.3775684951375999</c:v>
                </c:pt>
                <c:pt idx="54">
                  <c:v>2.5254622980520809</c:v>
                </c:pt>
                <c:pt idx="55">
                  <c:v>2.6691972346333301</c:v>
                </c:pt>
                <c:pt idx="56">
                  <c:v>2.7077122186583442</c:v>
                </c:pt>
                <c:pt idx="57">
                  <c:v>2.3601159544438595</c:v>
                </c:pt>
                <c:pt idx="58">
                  <c:v>2.4685499027133013</c:v>
                </c:pt>
                <c:pt idx="59">
                  <c:v>2.5518571691661536</c:v>
                </c:pt>
                <c:pt idx="60">
                  <c:v>2.6699109936571328</c:v>
                </c:pt>
                <c:pt idx="61">
                  <c:v>2.8891432809284745</c:v>
                </c:pt>
                <c:pt idx="62">
                  <c:v>3.0418202156765135</c:v>
                </c:pt>
                <c:pt idx="63">
                  <c:v>3.2300754376799397</c:v>
                </c:pt>
                <c:pt idx="64">
                  <c:v>3.3722442362831986</c:v>
                </c:pt>
                <c:pt idx="65">
                  <c:v>3.4407736272088281</c:v>
                </c:pt>
                <c:pt idx="66">
                  <c:v>3.6519885071652674</c:v>
                </c:pt>
                <c:pt idx="67">
                  <c:v>3.4866504697416039</c:v>
                </c:pt>
                <c:pt idx="68">
                  <c:v>3.3004815964007461</c:v>
                </c:pt>
                <c:pt idx="69">
                  <c:v>3.618772978823154</c:v>
                </c:pt>
                <c:pt idx="70">
                  <c:v>3.1053496883105431</c:v>
                </c:pt>
                <c:pt idx="71">
                  <c:v>3.2748275984275237</c:v>
                </c:pt>
                <c:pt idx="72">
                  <c:v>3.7810022846658349</c:v>
                </c:pt>
                <c:pt idx="73">
                  <c:v>3.7795327555425482</c:v>
                </c:pt>
                <c:pt idx="74">
                  <c:v>3.3952535424641717</c:v>
                </c:pt>
                <c:pt idx="75">
                  <c:v>3.6193490142637152</c:v>
                </c:pt>
                <c:pt idx="76">
                  <c:v>3.7738876336704816</c:v>
                </c:pt>
                <c:pt idx="77">
                  <c:v>4.5590288322007551</c:v>
                </c:pt>
                <c:pt idx="78">
                  <c:v>5.2294210845418645</c:v>
                </c:pt>
                <c:pt idx="79">
                  <c:v>5.5279434673840688</c:v>
                </c:pt>
                <c:pt idx="80">
                  <c:v>5.998978451189938</c:v>
                </c:pt>
                <c:pt idx="81">
                  <c:v>5.3527579885151457</c:v>
                </c:pt>
                <c:pt idx="82">
                  <c:v>6.2353269288742217</c:v>
                </c:pt>
                <c:pt idx="83">
                  <c:v>6.2646555169837539</c:v>
                </c:pt>
                <c:pt idx="84">
                  <c:v>6.2368452686138696</c:v>
                </c:pt>
                <c:pt idx="85">
                  <c:v>6.3820636146398071</c:v>
                </c:pt>
                <c:pt idx="86">
                  <c:v>6.3786472733048845</c:v>
                </c:pt>
                <c:pt idx="87">
                  <c:v>5.9191792405293393</c:v>
                </c:pt>
                <c:pt idx="88">
                  <c:v>5.6974886659225348</c:v>
                </c:pt>
                <c:pt idx="89">
                  <c:v>5.567549983316165</c:v>
                </c:pt>
                <c:pt idx="90">
                  <c:v>6.0508410128298715</c:v>
                </c:pt>
                <c:pt idx="91">
                  <c:v>5.3071201582810534</c:v>
                </c:pt>
                <c:pt idx="92">
                  <c:v>5.8087702382176385</c:v>
                </c:pt>
                <c:pt idx="93">
                  <c:v>5.4280977659155196</c:v>
                </c:pt>
                <c:pt idx="94">
                  <c:v>5.0486656660202875</c:v>
                </c:pt>
                <c:pt idx="95">
                  <c:v>5.4229099815115935</c:v>
                </c:pt>
                <c:pt idx="96">
                  <c:v>5.704985578784604</c:v>
                </c:pt>
                <c:pt idx="97">
                  <c:v>5.5524758868034594</c:v>
                </c:pt>
                <c:pt idx="98">
                  <c:v>5.5747437059494871</c:v>
                </c:pt>
                <c:pt idx="99">
                  <c:v>5.3360843958318505</c:v>
                </c:pt>
                <c:pt idx="100">
                  <c:v>5.6537633287481937</c:v>
                </c:pt>
                <c:pt idx="101">
                  <c:v>6.5598237911273314</c:v>
                </c:pt>
                <c:pt idx="102">
                  <c:v>6.7435599346255541</c:v>
                </c:pt>
                <c:pt idx="103">
                  <c:v>7.553598659822649</c:v>
                </c:pt>
                <c:pt idx="104">
                  <c:v>7.6797975540708663</c:v>
                </c:pt>
                <c:pt idx="105">
                  <c:v>7.211966059366901</c:v>
                </c:pt>
                <c:pt idx="106">
                  <c:v>6.9569222751650042</c:v>
                </c:pt>
                <c:pt idx="107">
                  <c:v>8.5607551257048087</c:v>
                </c:pt>
                <c:pt idx="108">
                  <c:v>8.1249411864381482</c:v>
                </c:pt>
                <c:pt idx="109">
                  <c:v>8.6609637644725836</c:v>
                </c:pt>
                <c:pt idx="110">
                  <c:v>9.4980552578857314</c:v>
                </c:pt>
                <c:pt idx="111">
                  <c:v>9.6649511302587019</c:v>
                </c:pt>
                <c:pt idx="112">
                  <c:v>8.7944598569840302</c:v>
                </c:pt>
                <c:pt idx="113">
                  <c:v>8.7036389237175413</c:v>
                </c:pt>
                <c:pt idx="114">
                  <c:v>8.6927642087910826</c:v>
                </c:pt>
                <c:pt idx="115">
                  <c:v>9.1062817220430112</c:v>
                </c:pt>
                <c:pt idx="116">
                  <c:v>10.143105376470848</c:v>
                </c:pt>
                <c:pt idx="117">
                  <c:v>10.628273023905816</c:v>
                </c:pt>
                <c:pt idx="118">
                  <c:v>9.9768663493221581</c:v>
                </c:pt>
                <c:pt idx="119">
                  <c:v>10.062426978406471</c:v>
                </c:pt>
                <c:pt idx="120">
                  <c:v>9.6747452618193552</c:v>
                </c:pt>
                <c:pt idx="121">
                  <c:v>10.930867257240351</c:v>
                </c:pt>
                <c:pt idx="122">
                  <c:v>10.110068173709333</c:v>
                </c:pt>
                <c:pt idx="123">
                  <c:v>10.325998196069676</c:v>
                </c:pt>
                <c:pt idx="124">
                  <c:v>11.439846319506641</c:v>
                </c:pt>
                <c:pt idx="125">
                  <c:v>11.921991847344341</c:v>
                </c:pt>
                <c:pt idx="126">
                  <c:v>12.881551077629934</c:v>
                </c:pt>
                <c:pt idx="127">
                  <c:v>13.185301255309072</c:v>
                </c:pt>
                <c:pt idx="128">
                  <c:v>14.710583238734209</c:v>
                </c:pt>
                <c:pt idx="129">
                  <c:v>14.316082224881573</c:v>
                </c:pt>
                <c:pt idx="130">
                  <c:v>14.409194541738856</c:v>
                </c:pt>
                <c:pt idx="131">
                  <c:v>15.990635696350893</c:v>
                </c:pt>
                <c:pt idx="132">
                  <c:v>15.670070707773412</c:v>
                </c:pt>
                <c:pt idx="133">
                  <c:v>14.503892231599719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CD-1345-8442-68C1CD29CA7C}"/>
            </c:ext>
          </c:extLst>
        </c:ser>
        <c:ser>
          <c:idx val="3"/>
          <c:order val="3"/>
          <c:tx>
            <c:strRef>
              <c:f>再投資累積報酬!$A$15:$B$15</c:f>
              <c:strCache>
                <c:ptCount val="2"/>
                <c:pt idx="0">
                  <c:v>10</c:v>
                </c:pt>
                <c:pt idx="1">
                  <c:v>100等分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再投資累積報酬!$C$15:$EF$15</c:f>
              <c:numCache>
                <c:formatCode>General</c:formatCode>
                <c:ptCount val="134"/>
                <c:pt idx="0">
                  <c:v>9.6503141994516151E-2</c:v>
                </c:pt>
                <c:pt idx="1">
                  <c:v>7.7914272484207903E-2</c:v>
                </c:pt>
                <c:pt idx="2">
                  <c:v>0.14479303235478169</c:v>
                </c:pt>
                <c:pt idx="3">
                  <c:v>0.26907438938486505</c:v>
                </c:pt>
                <c:pt idx="4">
                  <c:v>0.34602716261286592</c:v>
                </c:pt>
                <c:pt idx="5">
                  <c:v>0.50599495313729426</c:v>
                </c:pt>
                <c:pt idx="6">
                  <c:v>0.4179974929472936</c:v>
                </c:pt>
                <c:pt idx="7">
                  <c:v>0.32650233911286386</c:v>
                </c:pt>
                <c:pt idx="8">
                  <c:v>0.70667078318234</c:v>
                </c:pt>
                <c:pt idx="9">
                  <c:v>0.65110413368648157</c:v>
                </c:pt>
                <c:pt idx="10">
                  <c:v>0.33988520398212962</c:v>
                </c:pt>
                <c:pt idx="11">
                  <c:v>0.17793575258920002</c:v>
                </c:pt>
                <c:pt idx="12">
                  <c:v>0.23224271355869619</c:v>
                </c:pt>
                <c:pt idx="13">
                  <c:v>0.29753112214826194</c:v>
                </c:pt>
                <c:pt idx="14">
                  <c:v>0.42777314408991374</c:v>
                </c:pt>
                <c:pt idx="15">
                  <c:v>0.50220251563173002</c:v>
                </c:pt>
                <c:pt idx="16">
                  <c:v>0.90780905486456964</c:v>
                </c:pt>
                <c:pt idx="17">
                  <c:v>0.81367832844026822</c:v>
                </c:pt>
                <c:pt idx="18">
                  <c:v>1.062094333574664</c:v>
                </c:pt>
                <c:pt idx="19">
                  <c:v>0.88541326623625327</c:v>
                </c:pt>
                <c:pt idx="20">
                  <c:v>1.078750318698861</c:v>
                </c:pt>
                <c:pt idx="21">
                  <c:v>1.3424259344037965</c:v>
                </c:pt>
                <c:pt idx="22">
                  <c:v>1.285763353778349</c:v>
                </c:pt>
                <c:pt idx="23">
                  <c:v>1.2316908787286978</c:v>
                </c:pt>
                <c:pt idx="24">
                  <c:v>1.3356629019087012</c:v>
                </c:pt>
                <c:pt idx="25">
                  <c:v>1.1628345912168059</c:v>
                </c:pt>
                <c:pt idx="26">
                  <c:v>1.076202684232535</c:v>
                </c:pt>
                <c:pt idx="27">
                  <c:v>1.158607999250798</c:v>
                </c:pt>
                <c:pt idx="28">
                  <c:v>1.2606790736601714</c:v>
                </c:pt>
                <c:pt idx="29">
                  <c:v>1.3732009835329957</c:v>
                </c:pt>
                <c:pt idx="30">
                  <c:v>1.3500741399484668</c:v>
                </c:pt>
                <c:pt idx="31">
                  <c:v>1.2711013711314179</c:v>
                </c:pt>
                <c:pt idx="32">
                  <c:v>1.4397928761154946</c:v>
                </c:pt>
                <c:pt idx="33">
                  <c:v>1.4628851740375728</c:v>
                </c:pt>
                <c:pt idx="34">
                  <c:v>1.6149920256485562</c:v>
                </c:pt>
                <c:pt idx="35">
                  <c:v>1.7311804687614192</c:v>
                </c:pt>
                <c:pt idx="36">
                  <c:v>1.7364885180024574</c:v>
                </c:pt>
                <c:pt idx="37">
                  <c:v>1.9026886008456332</c:v>
                </c:pt>
                <c:pt idx="38">
                  <c:v>2.0866314331210649</c:v>
                </c:pt>
                <c:pt idx="39">
                  <c:v>2.1254680471388809</c:v>
                </c:pt>
                <c:pt idx="40">
                  <c:v>2.0637484919716154</c:v>
                </c:pt>
                <c:pt idx="41">
                  <c:v>2.1389644365740663</c:v>
                </c:pt>
                <c:pt idx="42">
                  <c:v>2.0685549530901608</c:v>
                </c:pt>
                <c:pt idx="43">
                  <c:v>2.0895938864150327</c:v>
                </c:pt>
                <c:pt idx="44">
                  <c:v>2.6058928311799625</c:v>
                </c:pt>
                <c:pt idx="45">
                  <c:v>2.7256986204959168</c:v>
                </c:pt>
                <c:pt idx="46">
                  <c:v>3.0556427646284146</c:v>
                </c:pt>
                <c:pt idx="47">
                  <c:v>3.0725223498147978</c:v>
                </c:pt>
                <c:pt idx="48">
                  <c:v>2.8968215180767376</c:v>
                </c:pt>
                <c:pt idx="49">
                  <c:v>3.0404119870569808</c:v>
                </c:pt>
                <c:pt idx="50">
                  <c:v>3.6775376845956185</c:v>
                </c:pt>
                <c:pt idx="51">
                  <c:v>4.1863999929962485</c:v>
                </c:pt>
                <c:pt idx="52">
                  <c:v>3.9867707895058295</c:v>
                </c:pt>
                <c:pt idx="53">
                  <c:v>4.0234968603393035</c:v>
                </c:pt>
                <c:pt idx="54">
                  <c:v>4.2668487172778278</c:v>
                </c:pt>
                <c:pt idx="55">
                  <c:v>4.5178824194912623</c:v>
                </c:pt>
                <c:pt idx="56">
                  <c:v>4.5938989748551418</c:v>
                </c:pt>
                <c:pt idx="57">
                  <c:v>4.2878623558397919</c:v>
                </c:pt>
                <c:pt idx="58">
                  <c:v>4.4272070470684115</c:v>
                </c:pt>
                <c:pt idx="59">
                  <c:v>4.8350887926908381</c:v>
                </c:pt>
                <c:pt idx="60">
                  <c:v>5.2602870449431851</c:v>
                </c:pt>
                <c:pt idx="61">
                  <c:v>5.6321723311209011</c:v>
                </c:pt>
                <c:pt idx="62">
                  <c:v>6.0753660624214199</c:v>
                </c:pt>
                <c:pt idx="63">
                  <c:v>6.5427286601380601</c:v>
                </c:pt>
                <c:pt idx="64">
                  <c:v>6.7519222867972273</c:v>
                </c:pt>
                <c:pt idx="65">
                  <c:v>6.861877263422909</c:v>
                </c:pt>
                <c:pt idx="66">
                  <c:v>7.0558572920819742</c:v>
                </c:pt>
                <c:pt idx="67">
                  <c:v>7.1194888976606716</c:v>
                </c:pt>
                <c:pt idx="68">
                  <c:v>6.982888423436358</c:v>
                </c:pt>
                <c:pt idx="69">
                  <c:v>7.6938461087578869</c:v>
                </c:pt>
                <c:pt idx="70">
                  <c:v>6.9501180026150307</c:v>
                </c:pt>
                <c:pt idx="71">
                  <c:v>7.6352599670921943</c:v>
                </c:pt>
                <c:pt idx="72">
                  <c:v>9.3981094307042152</c:v>
                </c:pt>
                <c:pt idx="73">
                  <c:v>9.6471441515695808</c:v>
                </c:pt>
                <c:pt idx="74">
                  <c:v>8.6533514283206436</c:v>
                </c:pt>
                <c:pt idx="75">
                  <c:v>9.303603111202607</c:v>
                </c:pt>
                <c:pt idx="76">
                  <c:v>9.6123289408632591</c:v>
                </c:pt>
                <c:pt idx="77">
                  <c:v>11.003516121447328</c:v>
                </c:pt>
                <c:pt idx="78">
                  <c:v>13.08792189453021</c:v>
                </c:pt>
                <c:pt idx="79">
                  <c:v>14.343065572632726</c:v>
                </c:pt>
                <c:pt idx="80">
                  <c:v>16.130786932173777</c:v>
                </c:pt>
                <c:pt idx="81">
                  <c:v>14.514383258650486</c:v>
                </c:pt>
                <c:pt idx="82">
                  <c:v>18.016471366077202</c:v>
                </c:pt>
                <c:pt idx="83">
                  <c:v>17.256202349097119</c:v>
                </c:pt>
                <c:pt idx="84">
                  <c:v>15.99040855922247</c:v>
                </c:pt>
                <c:pt idx="85">
                  <c:v>16.115841949451784</c:v>
                </c:pt>
                <c:pt idx="86">
                  <c:v>16.702598685241917</c:v>
                </c:pt>
                <c:pt idx="87">
                  <c:v>16.146348072038734</c:v>
                </c:pt>
                <c:pt idx="88">
                  <c:v>14.866696977895522</c:v>
                </c:pt>
                <c:pt idx="89">
                  <c:v>14.870149571157913</c:v>
                </c:pt>
                <c:pt idx="90">
                  <c:v>16.924524957876454</c:v>
                </c:pt>
                <c:pt idx="91">
                  <c:v>16.308039601190224</c:v>
                </c:pt>
                <c:pt idx="92">
                  <c:v>18.724319815694582</c:v>
                </c:pt>
                <c:pt idx="93">
                  <c:v>17.772876414358691</c:v>
                </c:pt>
                <c:pt idx="94">
                  <c:v>16.643027609722765</c:v>
                </c:pt>
                <c:pt idx="95">
                  <c:v>17.211431265922442</c:v>
                </c:pt>
                <c:pt idx="96">
                  <c:v>18.362005088433417</c:v>
                </c:pt>
                <c:pt idx="97">
                  <c:v>18.480923559456706</c:v>
                </c:pt>
                <c:pt idx="98">
                  <c:v>18.724136270097656</c:v>
                </c:pt>
                <c:pt idx="99">
                  <c:v>18.249975784698155</c:v>
                </c:pt>
                <c:pt idx="100">
                  <c:v>19.322832760109158</c:v>
                </c:pt>
                <c:pt idx="101">
                  <c:v>21.667410910294844</c:v>
                </c:pt>
                <c:pt idx="102">
                  <c:v>22.26528281035818</c:v>
                </c:pt>
                <c:pt idx="103">
                  <c:v>24.52312499695298</c:v>
                </c:pt>
                <c:pt idx="104">
                  <c:v>26.481425047031692</c:v>
                </c:pt>
                <c:pt idx="105">
                  <c:v>24.625739072588374</c:v>
                </c:pt>
                <c:pt idx="106">
                  <c:v>22.944488146087902</c:v>
                </c:pt>
                <c:pt idx="107">
                  <c:v>30.193001908852665</c:v>
                </c:pt>
                <c:pt idx="108">
                  <c:v>28.698301881984644</c:v>
                </c:pt>
                <c:pt idx="109">
                  <c:v>32.547899715984087</c:v>
                </c:pt>
                <c:pt idx="110">
                  <c:v>33.984118850725082</c:v>
                </c:pt>
                <c:pt idx="111">
                  <c:v>35.648190940038099</c:v>
                </c:pt>
                <c:pt idx="112">
                  <c:v>31.97131459121502</c:v>
                </c:pt>
                <c:pt idx="113">
                  <c:v>32.226486189099354</c:v>
                </c:pt>
                <c:pt idx="114">
                  <c:v>32.285413362355726</c:v>
                </c:pt>
                <c:pt idx="115">
                  <c:v>33.749854965596718</c:v>
                </c:pt>
                <c:pt idx="116">
                  <c:v>39.294041425995822</c:v>
                </c:pt>
                <c:pt idx="117">
                  <c:v>40.250444756532502</c:v>
                </c:pt>
                <c:pt idx="118">
                  <c:v>37.241728066969486</c:v>
                </c:pt>
                <c:pt idx="119">
                  <c:v>36.399056292322584</c:v>
                </c:pt>
                <c:pt idx="120">
                  <c:v>33.547680867795684</c:v>
                </c:pt>
                <c:pt idx="121">
                  <c:v>34.732552314214217</c:v>
                </c:pt>
                <c:pt idx="122">
                  <c:v>30.54725206047878</c:v>
                </c:pt>
                <c:pt idx="123">
                  <c:v>32.160259903605855</c:v>
                </c:pt>
                <c:pt idx="124">
                  <c:v>33.007127417376104</c:v>
                </c:pt>
                <c:pt idx="125">
                  <c:v>33.957956497827716</c:v>
                </c:pt>
                <c:pt idx="126">
                  <c:v>38.978254647298158</c:v>
                </c:pt>
                <c:pt idx="127">
                  <c:v>39.734652982693035</c:v>
                </c:pt>
                <c:pt idx="128">
                  <c:v>44.181968705641602</c:v>
                </c:pt>
                <c:pt idx="129">
                  <c:v>41.645949984162648</c:v>
                </c:pt>
                <c:pt idx="130">
                  <c:v>44.464073512044003</c:v>
                </c:pt>
                <c:pt idx="131">
                  <c:v>49.617747036195887</c:v>
                </c:pt>
                <c:pt idx="132">
                  <c:v>50.440053319681738</c:v>
                </c:pt>
                <c:pt idx="133">
                  <c:v>47.060390832343757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CD-1345-8442-68C1CD29CA7C}"/>
            </c:ext>
          </c:extLst>
        </c:ser>
        <c:ser>
          <c:idx val="4"/>
          <c:order val="4"/>
          <c:tx>
            <c:strRef>
              <c:f>再投資累積報酬!$A$16:$B$16</c:f>
              <c:strCache>
                <c:ptCount val="2"/>
                <c:pt idx="0">
                  <c:v>9</c:v>
                </c:pt>
                <c:pt idx="1">
                  <c:v>107等分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再投資累積報酬!$C$16:$EF$16</c:f>
              <c:numCache>
                <c:formatCode>General</c:formatCode>
                <c:ptCount val="134"/>
                <c:pt idx="0">
                  <c:v>2.738364461037901E-2</c:v>
                </c:pt>
                <c:pt idx="1">
                  <c:v>2.8123616311232835E-2</c:v>
                </c:pt>
                <c:pt idx="2">
                  <c:v>9.4956677753587293E-2</c:v>
                </c:pt>
                <c:pt idx="3">
                  <c:v>0.20377620195750112</c:v>
                </c:pt>
                <c:pt idx="4">
                  <c:v>0.29249001209044279</c:v>
                </c:pt>
                <c:pt idx="5">
                  <c:v>0.38664632976121682</c:v>
                </c:pt>
                <c:pt idx="6">
                  <c:v>0.30687170853964063</c:v>
                </c:pt>
                <c:pt idx="7">
                  <c:v>0.21709818943305659</c:v>
                </c:pt>
                <c:pt idx="8">
                  <c:v>0.56357020069868069</c:v>
                </c:pt>
                <c:pt idx="9">
                  <c:v>0.54811190982891222</c:v>
                </c:pt>
                <c:pt idx="10">
                  <c:v>0.24642239731396209</c:v>
                </c:pt>
                <c:pt idx="11">
                  <c:v>8.9783714953022065E-2</c:v>
                </c:pt>
                <c:pt idx="12">
                  <c:v>0.10680734745138265</c:v>
                </c:pt>
                <c:pt idx="13">
                  <c:v>0.17540702088923088</c:v>
                </c:pt>
                <c:pt idx="14">
                  <c:v>0.28897471664676844</c:v>
                </c:pt>
                <c:pt idx="15">
                  <c:v>0.35212284899725166</c:v>
                </c:pt>
                <c:pt idx="16">
                  <c:v>0.74026731798062606</c:v>
                </c:pt>
                <c:pt idx="17">
                  <c:v>0.69984535553374871</c:v>
                </c:pt>
                <c:pt idx="18">
                  <c:v>0.92093144352284084</c:v>
                </c:pt>
                <c:pt idx="19">
                  <c:v>0.72054905311810158</c:v>
                </c:pt>
                <c:pt idx="20">
                  <c:v>0.89546983577677586</c:v>
                </c:pt>
                <c:pt idx="21">
                  <c:v>1.1312848280717254</c:v>
                </c:pt>
                <c:pt idx="22">
                  <c:v>1.1221446946818272</c:v>
                </c:pt>
                <c:pt idx="23">
                  <c:v>1.0795409893791046</c:v>
                </c:pt>
                <c:pt idx="24">
                  <c:v>1.1839914810133085</c:v>
                </c:pt>
                <c:pt idx="25">
                  <c:v>1.0288931419976675</c:v>
                </c:pt>
                <c:pt idx="26">
                  <c:v>0.94562714201751175</c:v>
                </c:pt>
                <c:pt idx="27">
                  <c:v>1.0133563684582834</c:v>
                </c:pt>
                <c:pt idx="28">
                  <c:v>1.1171126755504126</c:v>
                </c:pt>
                <c:pt idx="29">
                  <c:v>1.1488912425146496</c:v>
                </c:pt>
                <c:pt idx="30">
                  <c:v>1.1310521024820672</c:v>
                </c:pt>
                <c:pt idx="31">
                  <c:v>1.0633583790681023</c:v>
                </c:pt>
                <c:pt idx="32">
                  <c:v>1.250139998878526</c:v>
                </c:pt>
                <c:pt idx="33">
                  <c:v>1.2343305915894343</c:v>
                </c:pt>
                <c:pt idx="34">
                  <c:v>1.3782692982222482</c:v>
                </c:pt>
                <c:pt idx="35">
                  <c:v>1.4940646929879327</c:v>
                </c:pt>
                <c:pt idx="36">
                  <c:v>1.5532552218734188</c:v>
                </c:pt>
                <c:pt idx="37">
                  <c:v>1.6878426948238352</c:v>
                </c:pt>
                <c:pt idx="38">
                  <c:v>1.8529425502730654</c:v>
                </c:pt>
                <c:pt idx="39">
                  <c:v>1.8678932372109633</c:v>
                </c:pt>
                <c:pt idx="40">
                  <c:v>1.7989704336602887</c:v>
                </c:pt>
                <c:pt idx="41">
                  <c:v>1.8899152029842083</c:v>
                </c:pt>
                <c:pt idx="42">
                  <c:v>1.8087702373046821</c:v>
                </c:pt>
                <c:pt idx="43">
                  <c:v>1.8198346074405896</c:v>
                </c:pt>
                <c:pt idx="44">
                  <c:v>2.2998735382476276</c:v>
                </c:pt>
                <c:pt idx="45">
                  <c:v>2.3777787860016546</c:v>
                </c:pt>
                <c:pt idx="46">
                  <c:v>2.6921073736518881</c:v>
                </c:pt>
                <c:pt idx="47">
                  <c:v>2.6667959264347409</c:v>
                </c:pt>
                <c:pt idx="48">
                  <c:v>2.5396579261210084</c:v>
                </c:pt>
                <c:pt idx="49">
                  <c:v>2.7054126341900777</c:v>
                </c:pt>
                <c:pt idx="50">
                  <c:v>3.2982457186592979</c:v>
                </c:pt>
                <c:pt idx="51">
                  <c:v>3.8676515219929701</c:v>
                </c:pt>
                <c:pt idx="52">
                  <c:v>3.6747140411662418</c:v>
                </c:pt>
                <c:pt idx="53">
                  <c:v>3.7040904636136016</c:v>
                </c:pt>
                <c:pt idx="54">
                  <c:v>3.9459324320695437</c:v>
                </c:pt>
                <c:pt idx="55">
                  <c:v>4.2637978862754453</c:v>
                </c:pt>
                <c:pt idx="56">
                  <c:v>4.3655535329478994</c:v>
                </c:pt>
                <c:pt idx="57">
                  <c:v>4.0326745917638114</c:v>
                </c:pt>
                <c:pt idx="58">
                  <c:v>4.1616161882933262</c:v>
                </c:pt>
                <c:pt idx="59">
                  <c:v>4.5819208593769538</c:v>
                </c:pt>
                <c:pt idx="60">
                  <c:v>5.1667566940033129</c:v>
                </c:pt>
                <c:pt idx="61">
                  <c:v>5.6022750405845638</c:v>
                </c:pt>
                <c:pt idx="62">
                  <c:v>6.1405180859858648</c:v>
                </c:pt>
                <c:pt idx="63">
                  <c:v>6.6203561410187248</c:v>
                </c:pt>
                <c:pt idx="64">
                  <c:v>6.7871684799206911</c:v>
                </c:pt>
                <c:pt idx="65">
                  <c:v>6.9494778618636124</c:v>
                </c:pt>
                <c:pt idx="66">
                  <c:v>7.1709997785129396</c:v>
                </c:pt>
                <c:pt idx="67">
                  <c:v>7.2711735121309147</c:v>
                </c:pt>
                <c:pt idx="68">
                  <c:v>7.1620637217302718</c:v>
                </c:pt>
                <c:pt idx="69">
                  <c:v>7.8597829759949089</c:v>
                </c:pt>
                <c:pt idx="70">
                  <c:v>6.9601852231206527</c:v>
                </c:pt>
                <c:pt idx="71">
                  <c:v>7.7125058664178852</c:v>
                </c:pt>
                <c:pt idx="72">
                  <c:v>9.6636279926728381</c:v>
                </c:pt>
                <c:pt idx="73">
                  <c:v>9.9203963062608533</c:v>
                </c:pt>
                <c:pt idx="74">
                  <c:v>8.6209188942878718</c:v>
                </c:pt>
                <c:pt idx="75">
                  <c:v>9.5121003355018043</c:v>
                </c:pt>
                <c:pt idx="76">
                  <c:v>9.8004577598049547</c:v>
                </c:pt>
                <c:pt idx="77">
                  <c:v>11.305058729865623</c:v>
                </c:pt>
                <c:pt idx="78">
                  <c:v>11.851235168335682</c:v>
                </c:pt>
                <c:pt idx="79">
                  <c:v>12.978931054357139</c:v>
                </c:pt>
                <c:pt idx="80">
                  <c:v>14.832468267337926</c:v>
                </c:pt>
                <c:pt idx="81">
                  <c:v>13.166872593219704</c:v>
                </c:pt>
                <c:pt idx="82">
                  <c:v>15.238022143439782</c:v>
                </c:pt>
                <c:pt idx="83">
                  <c:v>14.937270518422405</c:v>
                </c:pt>
                <c:pt idx="84">
                  <c:v>14.007437032142581</c:v>
                </c:pt>
                <c:pt idx="85">
                  <c:v>14.424647116622152</c:v>
                </c:pt>
                <c:pt idx="86">
                  <c:v>15.515675253422827</c:v>
                </c:pt>
                <c:pt idx="87">
                  <c:v>15.253428092530505</c:v>
                </c:pt>
                <c:pt idx="88">
                  <c:v>13.807057823849481</c:v>
                </c:pt>
                <c:pt idx="89">
                  <c:v>13.949347068622087</c:v>
                </c:pt>
                <c:pt idx="90">
                  <c:v>16.676884660386456</c:v>
                </c:pt>
                <c:pt idx="91">
                  <c:v>16.134477310975679</c:v>
                </c:pt>
                <c:pt idx="92">
                  <c:v>19.020797148486842</c:v>
                </c:pt>
                <c:pt idx="93">
                  <c:v>18.053797317400917</c:v>
                </c:pt>
                <c:pt idx="94">
                  <c:v>16.785592575543831</c:v>
                </c:pt>
                <c:pt idx="95">
                  <c:v>17.655377218681274</c:v>
                </c:pt>
                <c:pt idx="96">
                  <c:v>18.838774624484611</c:v>
                </c:pt>
                <c:pt idx="97">
                  <c:v>19.171095606277824</c:v>
                </c:pt>
                <c:pt idx="98">
                  <c:v>19.356551877229705</c:v>
                </c:pt>
                <c:pt idx="99">
                  <c:v>19.10738188563775</c:v>
                </c:pt>
                <c:pt idx="100">
                  <c:v>20.284760695337098</c:v>
                </c:pt>
                <c:pt idx="101">
                  <c:v>23.822730172929905</c:v>
                </c:pt>
                <c:pt idx="102">
                  <c:v>24.56256653143836</c:v>
                </c:pt>
                <c:pt idx="103">
                  <c:v>27.068124094294841</c:v>
                </c:pt>
                <c:pt idx="104">
                  <c:v>28.85718944274565</c:v>
                </c:pt>
                <c:pt idx="105">
                  <c:v>26.636706946423161</c:v>
                </c:pt>
                <c:pt idx="106">
                  <c:v>25.080060215430226</c:v>
                </c:pt>
                <c:pt idx="107">
                  <c:v>33.571229402645749</c:v>
                </c:pt>
                <c:pt idx="108">
                  <c:v>31.9921193572211</c:v>
                </c:pt>
                <c:pt idx="109">
                  <c:v>36.51697019810878</c:v>
                </c:pt>
                <c:pt idx="110">
                  <c:v>38.311361028609632</c:v>
                </c:pt>
                <c:pt idx="111">
                  <c:v>40.345846263852273</c:v>
                </c:pt>
                <c:pt idx="112">
                  <c:v>36.366129395622679</c:v>
                </c:pt>
                <c:pt idx="113">
                  <c:v>36.41720474271434</c:v>
                </c:pt>
                <c:pt idx="114">
                  <c:v>37.844122317979334</c:v>
                </c:pt>
                <c:pt idx="115">
                  <c:v>39.492583484784618</c:v>
                </c:pt>
                <c:pt idx="116">
                  <c:v>46.359747713024895</c:v>
                </c:pt>
                <c:pt idx="117">
                  <c:v>47.299457391871854</c:v>
                </c:pt>
                <c:pt idx="118">
                  <c:v>44.036346050476993</c:v>
                </c:pt>
                <c:pt idx="119">
                  <c:v>43.532914762209415</c:v>
                </c:pt>
                <c:pt idx="120">
                  <c:v>39.357862043239571</c:v>
                </c:pt>
                <c:pt idx="121">
                  <c:v>40.651708195104462</c:v>
                </c:pt>
                <c:pt idx="122">
                  <c:v>35.538003024866903</c:v>
                </c:pt>
                <c:pt idx="123">
                  <c:v>37.18775881788946</c:v>
                </c:pt>
                <c:pt idx="124">
                  <c:v>38.750315211036842</c:v>
                </c:pt>
                <c:pt idx="125">
                  <c:v>40.241234700358895</c:v>
                </c:pt>
                <c:pt idx="126">
                  <c:v>46.739689369845031</c:v>
                </c:pt>
                <c:pt idx="127">
                  <c:v>48.232847445070931</c:v>
                </c:pt>
                <c:pt idx="128">
                  <c:v>55.11559404757547</c:v>
                </c:pt>
                <c:pt idx="129">
                  <c:v>51.138245442803424</c:v>
                </c:pt>
                <c:pt idx="130">
                  <c:v>54.450695926485167</c:v>
                </c:pt>
                <c:pt idx="131">
                  <c:v>60.85063489687176</c:v>
                </c:pt>
                <c:pt idx="132">
                  <c:v>62.278810064889498</c:v>
                </c:pt>
                <c:pt idx="133">
                  <c:v>59.591080480136682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8CD-1345-8442-68C1CD29CA7C}"/>
            </c:ext>
          </c:extLst>
        </c:ser>
        <c:ser>
          <c:idx val="5"/>
          <c:order val="5"/>
          <c:tx>
            <c:strRef>
              <c:f>再投資累積報酬!$A$17:$B$17</c:f>
              <c:strCache>
                <c:ptCount val="2"/>
                <c:pt idx="0">
                  <c:v>8</c:v>
                </c:pt>
                <c:pt idx="1">
                  <c:v>120等分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再投資累積報酬!$C$17:$EF$17</c:f>
              <c:numCache>
                <c:formatCode>General</c:formatCode>
                <c:ptCount val="134"/>
                <c:pt idx="0">
                  <c:v>4.1028984252961864E-2</c:v>
                </c:pt>
                <c:pt idx="1">
                  <c:v>5.9074570774008572E-2</c:v>
                </c:pt>
                <c:pt idx="2">
                  <c:v>0.14336419771277042</c:v>
                </c:pt>
                <c:pt idx="3">
                  <c:v>0.27237857265676002</c:v>
                </c:pt>
                <c:pt idx="4">
                  <c:v>0.36300089511788602</c:v>
                </c:pt>
                <c:pt idx="5">
                  <c:v>0.50610883335056456</c:v>
                </c:pt>
                <c:pt idx="6">
                  <c:v>0.33482656440465131</c:v>
                </c:pt>
                <c:pt idx="7">
                  <c:v>0.18092323062196214</c:v>
                </c:pt>
                <c:pt idx="8">
                  <c:v>0.53145260028201324</c:v>
                </c:pt>
                <c:pt idx="9">
                  <c:v>0.51658083329369342</c:v>
                </c:pt>
                <c:pt idx="10">
                  <c:v>0.17240816855862673</c:v>
                </c:pt>
                <c:pt idx="11">
                  <c:v>1.302111631720404E-2</c:v>
                </c:pt>
                <c:pt idx="12">
                  <c:v>3.7973979081968867E-2</c:v>
                </c:pt>
                <c:pt idx="13">
                  <c:v>0.11781039641679558</c:v>
                </c:pt>
                <c:pt idx="14">
                  <c:v>0.23678161170712664</c:v>
                </c:pt>
                <c:pt idx="15">
                  <c:v>0.3011655051496871</c:v>
                </c:pt>
                <c:pt idx="16">
                  <c:v>0.70537703577710231</c:v>
                </c:pt>
                <c:pt idx="17">
                  <c:v>0.66528639290366565</c:v>
                </c:pt>
                <c:pt idx="18">
                  <c:v>0.90054330428307861</c:v>
                </c:pt>
                <c:pt idx="19">
                  <c:v>0.67940535054530793</c:v>
                </c:pt>
                <c:pt idx="20">
                  <c:v>0.88026892124211265</c:v>
                </c:pt>
                <c:pt idx="21">
                  <c:v>1.0999711957955096</c:v>
                </c:pt>
                <c:pt idx="22">
                  <c:v>1.1031193151144065</c:v>
                </c:pt>
                <c:pt idx="23">
                  <c:v>1.0576740613937567</c:v>
                </c:pt>
                <c:pt idx="24">
                  <c:v>1.185776874969144</c:v>
                </c:pt>
                <c:pt idx="25">
                  <c:v>1.0582709470783658</c:v>
                </c:pt>
                <c:pt idx="26">
                  <c:v>0.97429529342464716</c:v>
                </c:pt>
                <c:pt idx="27">
                  <c:v>1.1097711896725349</c:v>
                </c:pt>
                <c:pt idx="28">
                  <c:v>1.2351828459430365</c:v>
                </c:pt>
                <c:pt idx="29">
                  <c:v>1.2539866010323881</c:v>
                </c:pt>
                <c:pt idx="30">
                  <c:v>1.2509409016377431</c:v>
                </c:pt>
                <c:pt idx="31">
                  <c:v>1.1710941322532684</c:v>
                </c:pt>
                <c:pt idx="32">
                  <c:v>1.4204771311413062</c:v>
                </c:pt>
                <c:pt idx="33">
                  <c:v>1.3173584382437085</c:v>
                </c:pt>
                <c:pt idx="34">
                  <c:v>1.4881854695461061</c:v>
                </c:pt>
                <c:pt idx="35">
                  <c:v>1.6143971988810253</c:v>
                </c:pt>
                <c:pt idx="36">
                  <c:v>1.6872581612162905</c:v>
                </c:pt>
                <c:pt idx="37">
                  <c:v>1.8199022317757372</c:v>
                </c:pt>
                <c:pt idx="38">
                  <c:v>1.8555241802947577</c:v>
                </c:pt>
                <c:pt idx="39">
                  <c:v>1.8662588095695312</c:v>
                </c:pt>
                <c:pt idx="40">
                  <c:v>1.8398021659101507</c:v>
                </c:pt>
                <c:pt idx="41">
                  <c:v>1.9391856573846962</c:v>
                </c:pt>
                <c:pt idx="42">
                  <c:v>1.8524326535213294</c:v>
                </c:pt>
                <c:pt idx="43">
                  <c:v>1.8565184067434171</c:v>
                </c:pt>
                <c:pt idx="44">
                  <c:v>2.3637293134055959</c:v>
                </c:pt>
                <c:pt idx="45">
                  <c:v>2.4564450458694869</c:v>
                </c:pt>
                <c:pt idx="46">
                  <c:v>2.843575532119484</c:v>
                </c:pt>
                <c:pt idx="47">
                  <c:v>2.8842881254965187</c:v>
                </c:pt>
                <c:pt idx="48">
                  <c:v>2.7024602285178854</c:v>
                </c:pt>
                <c:pt idx="49">
                  <c:v>2.8801093611649877</c:v>
                </c:pt>
                <c:pt idx="50">
                  <c:v>3.5118163858734954</c:v>
                </c:pt>
                <c:pt idx="51">
                  <c:v>4.2033458671986148</c:v>
                </c:pt>
                <c:pt idx="52">
                  <c:v>3.9027745931798874</c:v>
                </c:pt>
                <c:pt idx="53">
                  <c:v>3.997957671978706</c:v>
                </c:pt>
                <c:pt idx="54">
                  <c:v>4.3845509086018311</c:v>
                </c:pt>
                <c:pt idx="55">
                  <c:v>4.6817646391201189</c:v>
                </c:pt>
                <c:pt idx="56">
                  <c:v>4.6070281274982925</c:v>
                </c:pt>
                <c:pt idx="57">
                  <c:v>4.3337485853491851</c:v>
                </c:pt>
                <c:pt idx="58">
                  <c:v>4.6401764418889337</c:v>
                </c:pt>
                <c:pt idx="59">
                  <c:v>5.1432378791821129</c:v>
                </c:pt>
                <c:pt idx="60">
                  <c:v>5.8485806474230211</c:v>
                </c:pt>
                <c:pt idx="61">
                  <c:v>6.3792289943540528</c:v>
                </c:pt>
                <c:pt idx="62">
                  <c:v>6.9400339455344051</c:v>
                </c:pt>
                <c:pt idx="63">
                  <c:v>7.5248809658945781</c:v>
                </c:pt>
                <c:pt idx="64">
                  <c:v>7.8247829997480967</c:v>
                </c:pt>
                <c:pt idx="65">
                  <c:v>8.1424397090622378</c:v>
                </c:pt>
                <c:pt idx="66">
                  <c:v>8.5871782599294235</c:v>
                </c:pt>
                <c:pt idx="67">
                  <c:v>8.9227738397264051</c:v>
                </c:pt>
                <c:pt idx="68">
                  <c:v>8.8820560437835532</c:v>
                </c:pt>
                <c:pt idx="69">
                  <c:v>9.9633148318889297</c:v>
                </c:pt>
                <c:pt idx="70">
                  <c:v>8.8173812011575095</c:v>
                </c:pt>
                <c:pt idx="71">
                  <c:v>9.8643447748011006</c:v>
                </c:pt>
                <c:pt idx="72">
                  <c:v>12.333097369487545</c:v>
                </c:pt>
                <c:pt idx="73">
                  <c:v>12.427715694970114</c:v>
                </c:pt>
                <c:pt idx="74">
                  <c:v>11.140502977625504</c:v>
                </c:pt>
                <c:pt idx="75">
                  <c:v>12.438954052088507</c:v>
                </c:pt>
                <c:pt idx="76">
                  <c:v>12.80444152635836</c:v>
                </c:pt>
                <c:pt idx="77">
                  <c:v>14.870046701937515</c:v>
                </c:pt>
                <c:pt idx="78">
                  <c:v>15.532756047140374</c:v>
                </c:pt>
                <c:pt idx="79">
                  <c:v>16.592582173758789</c:v>
                </c:pt>
                <c:pt idx="80">
                  <c:v>19.673329112784117</c:v>
                </c:pt>
                <c:pt idx="81">
                  <c:v>17.631916474756359</c:v>
                </c:pt>
                <c:pt idx="82">
                  <c:v>20.930424794833527</c:v>
                </c:pt>
                <c:pt idx="83">
                  <c:v>20.431406202536387</c:v>
                </c:pt>
                <c:pt idx="84">
                  <c:v>18.664359971879509</c:v>
                </c:pt>
                <c:pt idx="85">
                  <c:v>19.41793265863188</c:v>
                </c:pt>
                <c:pt idx="86">
                  <c:v>20.964468549927293</c:v>
                </c:pt>
                <c:pt idx="87">
                  <c:v>21.171513203147452</c:v>
                </c:pt>
                <c:pt idx="88">
                  <c:v>18.187907206343905</c:v>
                </c:pt>
                <c:pt idx="89">
                  <c:v>18.449452772496777</c:v>
                </c:pt>
                <c:pt idx="90">
                  <c:v>22.388718238054619</c:v>
                </c:pt>
                <c:pt idx="91">
                  <c:v>21.883288036930256</c:v>
                </c:pt>
                <c:pt idx="92">
                  <c:v>25.845091717641026</c:v>
                </c:pt>
                <c:pt idx="93">
                  <c:v>24.484676676811663</c:v>
                </c:pt>
                <c:pt idx="94">
                  <c:v>22.016699014287124</c:v>
                </c:pt>
                <c:pt idx="95">
                  <c:v>23.366726232445874</c:v>
                </c:pt>
                <c:pt idx="96">
                  <c:v>25.179813092746652</c:v>
                </c:pt>
                <c:pt idx="97">
                  <c:v>25.078245682006216</c:v>
                </c:pt>
                <c:pt idx="98">
                  <c:v>25.593600163386235</c:v>
                </c:pt>
                <c:pt idx="99">
                  <c:v>25.307123410614114</c:v>
                </c:pt>
                <c:pt idx="100">
                  <c:v>26.872347927689258</c:v>
                </c:pt>
                <c:pt idx="101">
                  <c:v>32.004647101658755</c:v>
                </c:pt>
                <c:pt idx="102">
                  <c:v>33.453414441968029</c:v>
                </c:pt>
                <c:pt idx="103">
                  <c:v>37.045906419246478</c:v>
                </c:pt>
                <c:pt idx="104">
                  <c:v>39.096105201413629</c:v>
                </c:pt>
                <c:pt idx="105">
                  <c:v>37.166279658069591</c:v>
                </c:pt>
                <c:pt idx="106">
                  <c:v>35.19440450718055</c:v>
                </c:pt>
                <c:pt idx="107">
                  <c:v>47.943064596432926</c:v>
                </c:pt>
                <c:pt idx="108">
                  <c:v>45.632407455887659</c:v>
                </c:pt>
                <c:pt idx="109">
                  <c:v>53.253699190778534</c:v>
                </c:pt>
                <c:pt idx="110">
                  <c:v>57.061291617111365</c:v>
                </c:pt>
                <c:pt idx="111">
                  <c:v>60.379283960847175</c:v>
                </c:pt>
                <c:pt idx="112">
                  <c:v>54.070728827761798</c:v>
                </c:pt>
                <c:pt idx="113">
                  <c:v>53.751883075531261</c:v>
                </c:pt>
                <c:pt idx="114">
                  <c:v>56.082314850816637</c:v>
                </c:pt>
                <c:pt idx="115">
                  <c:v>58.108110989967464</c:v>
                </c:pt>
                <c:pt idx="116">
                  <c:v>68.733503237745992</c:v>
                </c:pt>
                <c:pt idx="117">
                  <c:v>67.581609788750001</c:v>
                </c:pt>
                <c:pt idx="118">
                  <c:v>63.1070712396928</c:v>
                </c:pt>
                <c:pt idx="119">
                  <c:v>61.457820671444843</c:v>
                </c:pt>
                <c:pt idx="120">
                  <c:v>53.693304255793279</c:v>
                </c:pt>
                <c:pt idx="121">
                  <c:v>54.609034248948021</c:v>
                </c:pt>
                <c:pt idx="122">
                  <c:v>47.407997967914746</c:v>
                </c:pt>
                <c:pt idx="123">
                  <c:v>50.422478970371969</c:v>
                </c:pt>
                <c:pt idx="124">
                  <c:v>52.925801527482619</c:v>
                </c:pt>
                <c:pt idx="125">
                  <c:v>55.305109001753024</c:v>
                </c:pt>
                <c:pt idx="126">
                  <c:v>61.345647781956337</c:v>
                </c:pt>
                <c:pt idx="127">
                  <c:v>63.329995820405927</c:v>
                </c:pt>
                <c:pt idx="128">
                  <c:v>73.916936016310217</c:v>
                </c:pt>
                <c:pt idx="129">
                  <c:v>68.389292903133793</c:v>
                </c:pt>
                <c:pt idx="130">
                  <c:v>69.529027111536621</c:v>
                </c:pt>
                <c:pt idx="131">
                  <c:v>78.579625296471761</c:v>
                </c:pt>
                <c:pt idx="132">
                  <c:v>80.602010987468489</c:v>
                </c:pt>
                <c:pt idx="133">
                  <c:v>76.70879805572099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8CD-1345-8442-68C1CD29CA7C}"/>
            </c:ext>
          </c:extLst>
        </c:ser>
        <c:ser>
          <c:idx val="6"/>
          <c:order val="6"/>
          <c:tx>
            <c:strRef>
              <c:f>再投資累積報酬!$A$18:$B$18</c:f>
              <c:strCache>
                <c:ptCount val="2"/>
                <c:pt idx="0">
                  <c:v>7</c:v>
                </c:pt>
                <c:pt idx="1">
                  <c:v>137等分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再投資累積報酬!$C$18:$EF$18</c:f>
              <c:numCache>
                <c:formatCode>General</c:formatCode>
                <c:ptCount val="134"/>
                <c:pt idx="0">
                  <c:v>5.3942228163147199E-2</c:v>
                </c:pt>
                <c:pt idx="1">
                  <c:v>6.2571345461922556E-2</c:v>
                </c:pt>
                <c:pt idx="2">
                  <c:v>0.11935288122481014</c:v>
                </c:pt>
                <c:pt idx="3">
                  <c:v>0.26980999852485077</c:v>
                </c:pt>
                <c:pt idx="4">
                  <c:v>0.37240334121522523</c:v>
                </c:pt>
                <c:pt idx="5">
                  <c:v>0.54881206669503046</c:v>
                </c:pt>
                <c:pt idx="6">
                  <c:v>0.33894775252592346</c:v>
                </c:pt>
                <c:pt idx="7">
                  <c:v>0.17136390415027658</c:v>
                </c:pt>
                <c:pt idx="8">
                  <c:v>0.59151116740730414</c:v>
                </c:pt>
                <c:pt idx="9">
                  <c:v>0.57084939460961448</c:v>
                </c:pt>
                <c:pt idx="10">
                  <c:v>0.17261887644100349</c:v>
                </c:pt>
                <c:pt idx="11">
                  <c:v>4.9432570187633029E-3</c:v>
                </c:pt>
                <c:pt idx="12">
                  <c:v>2.9387640365809986E-2</c:v>
                </c:pt>
                <c:pt idx="13">
                  <c:v>8.5561029789817722E-2</c:v>
                </c:pt>
                <c:pt idx="14">
                  <c:v>0.21771583383510618</c:v>
                </c:pt>
                <c:pt idx="15">
                  <c:v>0.29259590554976467</c:v>
                </c:pt>
                <c:pt idx="16">
                  <c:v>0.78860713053297848</c:v>
                </c:pt>
                <c:pt idx="17">
                  <c:v>0.77961120321231081</c:v>
                </c:pt>
                <c:pt idx="18">
                  <c:v>1.0154008330575057</c:v>
                </c:pt>
                <c:pt idx="19">
                  <c:v>0.75087342751620878</c:v>
                </c:pt>
                <c:pt idx="20">
                  <c:v>0.99234905457924949</c:v>
                </c:pt>
                <c:pt idx="21">
                  <c:v>1.2781545501169824</c:v>
                </c:pt>
                <c:pt idx="22">
                  <c:v>1.3333129026337649</c:v>
                </c:pt>
                <c:pt idx="23">
                  <c:v>1.2938669146930826</c:v>
                </c:pt>
                <c:pt idx="24">
                  <c:v>1.4195836017339309</c:v>
                </c:pt>
                <c:pt idx="25">
                  <c:v>1.2702614193365229</c:v>
                </c:pt>
                <c:pt idx="26">
                  <c:v>1.1006278104067579</c:v>
                </c:pt>
                <c:pt idx="27">
                  <c:v>1.3028885596698956</c:v>
                </c:pt>
                <c:pt idx="28">
                  <c:v>1.4806738593649715</c:v>
                </c:pt>
                <c:pt idx="29">
                  <c:v>1.4763337432570225</c:v>
                </c:pt>
                <c:pt idx="30">
                  <c:v>1.4549930528195967</c:v>
                </c:pt>
                <c:pt idx="31">
                  <c:v>1.3563085654009059</c:v>
                </c:pt>
                <c:pt idx="32">
                  <c:v>1.6345566285013655</c:v>
                </c:pt>
                <c:pt idx="33">
                  <c:v>1.5096950940434692</c:v>
                </c:pt>
                <c:pt idx="34">
                  <c:v>1.5853686266725724</c:v>
                </c:pt>
                <c:pt idx="35">
                  <c:v>1.7082454156633213</c:v>
                </c:pt>
                <c:pt idx="36">
                  <c:v>1.7349460072163461</c:v>
                </c:pt>
                <c:pt idx="37">
                  <c:v>1.8817075077358725</c:v>
                </c:pt>
                <c:pt idx="38">
                  <c:v>1.8973480760007719</c:v>
                </c:pt>
                <c:pt idx="39">
                  <c:v>1.9031883019082532</c:v>
                </c:pt>
                <c:pt idx="40">
                  <c:v>1.9519274418618746</c:v>
                </c:pt>
                <c:pt idx="41">
                  <c:v>2.1340449185718615</c:v>
                </c:pt>
                <c:pt idx="42">
                  <c:v>1.9918430030400951</c:v>
                </c:pt>
                <c:pt idx="43">
                  <c:v>2.0805618332338165</c:v>
                </c:pt>
                <c:pt idx="44">
                  <c:v>2.6863855634378409</c:v>
                </c:pt>
                <c:pt idx="45">
                  <c:v>2.8156228685208449</c:v>
                </c:pt>
                <c:pt idx="46">
                  <c:v>3.3576048425451699</c:v>
                </c:pt>
                <c:pt idx="47">
                  <c:v>3.5040390407040132</c:v>
                </c:pt>
                <c:pt idx="48">
                  <c:v>3.3113691192256693</c:v>
                </c:pt>
                <c:pt idx="49">
                  <c:v>3.5973939693333383</c:v>
                </c:pt>
                <c:pt idx="50">
                  <c:v>4.4271309761480522</c:v>
                </c:pt>
                <c:pt idx="51">
                  <c:v>5.3348581724344974</c:v>
                </c:pt>
                <c:pt idx="52">
                  <c:v>5.0025749517360518</c:v>
                </c:pt>
                <c:pt idx="53">
                  <c:v>5.12429345158594</c:v>
                </c:pt>
                <c:pt idx="54">
                  <c:v>5.5429575821628907</c:v>
                </c:pt>
                <c:pt idx="55">
                  <c:v>5.8431781568482482</c:v>
                </c:pt>
                <c:pt idx="56">
                  <c:v>5.8273801912747238</c:v>
                </c:pt>
                <c:pt idx="57">
                  <c:v>5.3976941422367126</c:v>
                </c:pt>
                <c:pt idx="58">
                  <c:v>5.6119501771913018</c:v>
                </c:pt>
                <c:pt idx="59">
                  <c:v>6.2700555250490622</c:v>
                </c:pt>
                <c:pt idx="60">
                  <c:v>6.8040857622764257</c:v>
                </c:pt>
                <c:pt idx="61">
                  <c:v>7.4374472090361543</c:v>
                </c:pt>
                <c:pt idx="62">
                  <c:v>8.3045968943486255</c:v>
                </c:pt>
                <c:pt idx="63">
                  <c:v>9.0323107466837591</c:v>
                </c:pt>
                <c:pt idx="64">
                  <c:v>9.2352392732502455</c:v>
                </c:pt>
                <c:pt idx="65">
                  <c:v>9.7148374103316897</c:v>
                </c:pt>
                <c:pt idx="66">
                  <c:v>10.339380791922986</c:v>
                </c:pt>
                <c:pt idx="67">
                  <c:v>10.63747367400414</c:v>
                </c:pt>
                <c:pt idx="68">
                  <c:v>10.591114341809313</c:v>
                </c:pt>
                <c:pt idx="69">
                  <c:v>11.926836664671544</c:v>
                </c:pt>
                <c:pt idx="70">
                  <c:v>10.485983749662973</c:v>
                </c:pt>
                <c:pt idx="71">
                  <c:v>11.812678866087079</c:v>
                </c:pt>
                <c:pt idx="72">
                  <c:v>15.157291405376977</c:v>
                </c:pt>
                <c:pt idx="73">
                  <c:v>14.901833087335536</c:v>
                </c:pt>
                <c:pt idx="74">
                  <c:v>13.904972159685322</c:v>
                </c:pt>
                <c:pt idx="75">
                  <c:v>15.541763806682901</c:v>
                </c:pt>
                <c:pt idx="76">
                  <c:v>16.092370593643032</c:v>
                </c:pt>
                <c:pt idx="77">
                  <c:v>17.918626905625871</c:v>
                </c:pt>
                <c:pt idx="78">
                  <c:v>19.898644992246705</c:v>
                </c:pt>
                <c:pt idx="79">
                  <c:v>20.952877138880591</c:v>
                </c:pt>
                <c:pt idx="80">
                  <c:v>24.858872578698065</c:v>
                </c:pt>
                <c:pt idx="81">
                  <c:v>23.00175062600913</c:v>
                </c:pt>
                <c:pt idx="82">
                  <c:v>28.441558820210613</c:v>
                </c:pt>
                <c:pt idx="83">
                  <c:v>27.692548740076557</c:v>
                </c:pt>
                <c:pt idx="84">
                  <c:v>24.31475942900639</c:v>
                </c:pt>
                <c:pt idx="85">
                  <c:v>25.040906070439028</c:v>
                </c:pt>
                <c:pt idx="86">
                  <c:v>26.947650973952079</c:v>
                </c:pt>
                <c:pt idx="87">
                  <c:v>27.813735963080024</c:v>
                </c:pt>
                <c:pt idx="88">
                  <c:v>23.674684768860082</c:v>
                </c:pt>
                <c:pt idx="89">
                  <c:v>22.968572839784581</c:v>
                </c:pt>
                <c:pt idx="90">
                  <c:v>28.519068215588003</c:v>
                </c:pt>
                <c:pt idx="91">
                  <c:v>28.061577479373074</c:v>
                </c:pt>
                <c:pt idx="92">
                  <c:v>34.157031621321366</c:v>
                </c:pt>
                <c:pt idx="93">
                  <c:v>32.217905859922467</c:v>
                </c:pt>
                <c:pt idx="94">
                  <c:v>29.626004123470903</c:v>
                </c:pt>
                <c:pt idx="95">
                  <c:v>31.980251311302787</c:v>
                </c:pt>
                <c:pt idx="96">
                  <c:v>34.343243153373244</c:v>
                </c:pt>
                <c:pt idx="97">
                  <c:v>31.125584321756428</c:v>
                </c:pt>
                <c:pt idx="98">
                  <c:v>31.397241011591582</c:v>
                </c:pt>
                <c:pt idx="99">
                  <c:v>29.402860834416309</c:v>
                </c:pt>
                <c:pt idx="100">
                  <c:v>31.574602332806172</c:v>
                </c:pt>
                <c:pt idx="101">
                  <c:v>38.233255905403603</c:v>
                </c:pt>
                <c:pt idx="102">
                  <c:v>40.092164430578954</c:v>
                </c:pt>
                <c:pt idx="103">
                  <c:v>44.945724340132358</c:v>
                </c:pt>
                <c:pt idx="104">
                  <c:v>47.206647798161214</c:v>
                </c:pt>
                <c:pt idx="105">
                  <c:v>43.780539359170156</c:v>
                </c:pt>
                <c:pt idx="106">
                  <c:v>42.020363493019069</c:v>
                </c:pt>
                <c:pt idx="107">
                  <c:v>57.795654226429569</c:v>
                </c:pt>
                <c:pt idx="108">
                  <c:v>54.575374247552148</c:v>
                </c:pt>
                <c:pt idx="109">
                  <c:v>65.268219160886389</c:v>
                </c:pt>
                <c:pt idx="110">
                  <c:v>71.760043247655844</c:v>
                </c:pt>
                <c:pt idx="111">
                  <c:v>75.445703238365837</c:v>
                </c:pt>
                <c:pt idx="112">
                  <c:v>67.302259176010423</c:v>
                </c:pt>
                <c:pt idx="113">
                  <c:v>65.703332561096801</c:v>
                </c:pt>
                <c:pt idx="114">
                  <c:v>69.602590214525819</c:v>
                </c:pt>
                <c:pt idx="115">
                  <c:v>68.421969176884247</c:v>
                </c:pt>
                <c:pt idx="116">
                  <c:v>83.716987673662885</c:v>
                </c:pt>
                <c:pt idx="117">
                  <c:v>81.971420704229729</c:v>
                </c:pt>
                <c:pt idx="118">
                  <c:v>76.830950040619371</c:v>
                </c:pt>
                <c:pt idx="119">
                  <c:v>76.017483188209113</c:v>
                </c:pt>
                <c:pt idx="120">
                  <c:v>64.640306655924135</c:v>
                </c:pt>
                <c:pt idx="121">
                  <c:v>64.15406201859038</c:v>
                </c:pt>
                <c:pt idx="122">
                  <c:v>53.813107142140368</c:v>
                </c:pt>
                <c:pt idx="123">
                  <c:v>58.49446754027813</c:v>
                </c:pt>
                <c:pt idx="124">
                  <c:v>63.367581574657407</c:v>
                </c:pt>
                <c:pt idx="125">
                  <c:v>67.344449843928444</c:v>
                </c:pt>
                <c:pt idx="126">
                  <c:v>76.696177131958521</c:v>
                </c:pt>
                <c:pt idx="127">
                  <c:v>82.563509560209567</c:v>
                </c:pt>
                <c:pt idx="128">
                  <c:v>99.188242971973025</c:v>
                </c:pt>
                <c:pt idx="129">
                  <c:v>89.4654749327579</c:v>
                </c:pt>
                <c:pt idx="130">
                  <c:v>89.715531947483086</c:v>
                </c:pt>
                <c:pt idx="131">
                  <c:v>99.737604469541665</c:v>
                </c:pt>
                <c:pt idx="132">
                  <c:v>101.1331984578439</c:v>
                </c:pt>
                <c:pt idx="133">
                  <c:v>96.133265979798594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8CD-1345-8442-68C1CD29CA7C}"/>
            </c:ext>
          </c:extLst>
        </c:ser>
        <c:ser>
          <c:idx val="7"/>
          <c:order val="7"/>
          <c:tx>
            <c:strRef>
              <c:f>再投資累積報酬!$A$19:$B$19</c:f>
              <c:strCache>
                <c:ptCount val="2"/>
                <c:pt idx="0">
                  <c:v>6</c:v>
                </c:pt>
                <c:pt idx="1">
                  <c:v>160等分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再投資累積報酬!$C$19:$EF$19</c:f>
              <c:numCache>
                <c:formatCode>General</c:formatCode>
                <c:ptCount val="134"/>
                <c:pt idx="0">
                  <c:v>7.7959416087486133E-2</c:v>
                </c:pt>
                <c:pt idx="1">
                  <c:v>9.9702719289148867E-2</c:v>
                </c:pt>
                <c:pt idx="2">
                  <c:v>0.17207690450236601</c:v>
                </c:pt>
                <c:pt idx="3">
                  <c:v>0.21737378777688265</c:v>
                </c:pt>
                <c:pt idx="4">
                  <c:v>0.33608245081790011</c:v>
                </c:pt>
                <c:pt idx="5">
                  <c:v>0.57338427758807597</c:v>
                </c:pt>
                <c:pt idx="6">
                  <c:v>0.36152126730753165</c:v>
                </c:pt>
                <c:pt idx="7">
                  <c:v>0.14881193431713213</c:v>
                </c:pt>
                <c:pt idx="8">
                  <c:v>0.62940345008762977</c:v>
                </c:pt>
                <c:pt idx="9">
                  <c:v>0.55925932999421413</c:v>
                </c:pt>
                <c:pt idx="10">
                  <c:v>0.15144804606197737</c:v>
                </c:pt>
                <c:pt idx="11">
                  <c:v>4.1659909388108041E-2</c:v>
                </c:pt>
                <c:pt idx="12">
                  <c:v>2.1038168161951809E-2</c:v>
                </c:pt>
                <c:pt idx="13">
                  <c:v>4.4302863169577877E-2</c:v>
                </c:pt>
                <c:pt idx="14">
                  <c:v>0.22231925453787116</c:v>
                </c:pt>
                <c:pt idx="15">
                  <c:v>0.33269357168322711</c:v>
                </c:pt>
                <c:pt idx="16">
                  <c:v>0.5781225753665622</c:v>
                </c:pt>
                <c:pt idx="17">
                  <c:v>0.40527580707481814</c:v>
                </c:pt>
                <c:pt idx="18">
                  <c:v>0.59596939941450611</c:v>
                </c:pt>
                <c:pt idx="19">
                  <c:v>0.40655416519909471</c:v>
                </c:pt>
                <c:pt idx="20">
                  <c:v>0.61278453039842651</c:v>
                </c:pt>
                <c:pt idx="21">
                  <c:v>0.80089817824079801</c:v>
                </c:pt>
                <c:pt idx="22">
                  <c:v>0.84423169035532464</c:v>
                </c:pt>
                <c:pt idx="23">
                  <c:v>0.80324732950055822</c:v>
                </c:pt>
                <c:pt idx="24">
                  <c:v>0.8885439335981502</c:v>
                </c:pt>
                <c:pt idx="25">
                  <c:v>0.77379128283289256</c:v>
                </c:pt>
                <c:pt idx="26">
                  <c:v>0.62565694706154962</c:v>
                </c:pt>
                <c:pt idx="27">
                  <c:v>0.78170836343800443</c:v>
                </c:pt>
                <c:pt idx="28">
                  <c:v>0.98701669681672288</c:v>
                </c:pt>
                <c:pt idx="29">
                  <c:v>0.98754093805523313</c:v>
                </c:pt>
                <c:pt idx="30">
                  <c:v>1.0258974968482923</c:v>
                </c:pt>
                <c:pt idx="31">
                  <c:v>0.91131736315318435</c:v>
                </c:pt>
                <c:pt idx="32">
                  <c:v>1.0862971935382828</c:v>
                </c:pt>
                <c:pt idx="33">
                  <c:v>0.97875839898839945</c:v>
                </c:pt>
                <c:pt idx="34">
                  <c:v>0.99370206652657078</c:v>
                </c:pt>
                <c:pt idx="35">
                  <c:v>1.133801396127232</c:v>
                </c:pt>
                <c:pt idx="36">
                  <c:v>1.1562756593319423</c:v>
                </c:pt>
                <c:pt idx="37">
                  <c:v>1.2902048155672619</c:v>
                </c:pt>
                <c:pt idx="38">
                  <c:v>1.3495048668108862</c:v>
                </c:pt>
                <c:pt idx="39">
                  <c:v>1.3723256075822206</c:v>
                </c:pt>
                <c:pt idx="40">
                  <c:v>1.5026323131678958</c:v>
                </c:pt>
                <c:pt idx="41">
                  <c:v>1.6893708113741588</c:v>
                </c:pt>
                <c:pt idx="42">
                  <c:v>1.6794551011926222</c:v>
                </c:pt>
                <c:pt idx="43">
                  <c:v>1.7094212338926602</c:v>
                </c:pt>
                <c:pt idx="44">
                  <c:v>2.3565534000719581</c:v>
                </c:pt>
                <c:pt idx="45">
                  <c:v>2.4998032672290957</c:v>
                </c:pt>
                <c:pt idx="46">
                  <c:v>2.9367986192845774</c:v>
                </c:pt>
                <c:pt idx="47">
                  <c:v>3.1890096228290439</c:v>
                </c:pt>
                <c:pt idx="48">
                  <c:v>2.9340972165875692</c:v>
                </c:pt>
                <c:pt idx="49">
                  <c:v>3.264688585257594</c:v>
                </c:pt>
                <c:pt idx="50">
                  <c:v>4.0621725566350086</c:v>
                </c:pt>
                <c:pt idx="51">
                  <c:v>5.0837282592136406</c:v>
                </c:pt>
                <c:pt idx="52">
                  <c:v>4.7121858488310755</c:v>
                </c:pt>
                <c:pt idx="53">
                  <c:v>4.7117812356667832</c:v>
                </c:pt>
                <c:pt idx="54">
                  <c:v>5.0038353139169329</c:v>
                </c:pt>
                <c:pt idx="55">
                  <c:v>5.0853132077577845</c:v>
                </c:pt>
                <c:pt idx="56">
                  <c:v>5.0911753928145913</c:v>
                </c:pt>
                <c:pt idx="57">
                  <c:v>4.7431560867461293</c:v>
                </c:pt>
                <c:pt idx="58">
                  <c:v>4.8921249409021943</c:v>
                </c:pt>
                <c:pt idx="59">
                  <c:v>5.1974558373605699</c:v>
                </c:pt>
                <c:pt idx="60">
                  <c:v>5.7988497214528962</c:v>
                </c:pt>
                <c:pt idx="61">
                  <c:v>6.3425174152183246</c:v>
                </c:pt>
                <c:pt idx="62">
                  <c:v>7.1814044373169441</c:v>
                </c:pt>
                <c:pt idx="63">
                  <c:v>7.8474948431485103</c:v>
                </c:pt>
                <c:pt idx="64">
                  <c:v>8.075131695261188</c:v>
                </c:pt>
                <c:pt idx="65">
                  <c:v>8.6452206465727013</c:v>
                </c:pt>
                <c:pt idx="66">
                  <c:v>8.4426179642811174</c:v>
                </c:pt>
                <c:pt idx="67">
                  <c:v>8.6698278115073109</c:v>
                </c:pt>
                <c:pt idx="68">
                  <c:v>8.4352731925105751</c:v>
                </c:pt>
                <c:pt idx="69">
                  <c:v>9.7716162199164298</c:v>
                </c:pt>
                <c:pt idx="70">
                  <c:v>8.3640801521131003</c:v>
                </c:pt>
                <c:pt idx="71">
                  <c:v>9.3012872354973908</c:v>
                </c:pt>
                <c:pt idx="72">
                  <c:v>12.350219309429761</c:v>
                </c:pt>
                <c:pt idx="73">
                  <c:v>11.864309152187895</c:v>
                </c:pt>
                <c:pt idx="74">
                  <c:v>11.508248659422113</c:v>
                </c:pt>
                <c:pt idx="75">
                  <c:v>13.318725925716629</c:v>
                </c:pt>
                <c:pt idx="76">
                  <c:v>13.828618142385718</c:v>
                </c:pt>
                <c:pt idx="77">
                  <c:v>15.724286442781093</c:v>
                </c:pt>
                <c:pt idx="78">
                  <c:v>16.100677658700178</c:v>
                </c:pt>
                <c:pt idx="79">
                  <c:v>17.599794315085415</c:v>
                </c:pt>
                <c:pt idx="80">
                  <c:v>21.287497957486718</c:v>
                </c:pt>
                <c:pt idx="81">
                  <c:v>19.506628867962686</c:v>
                </c:pt>
                <c:pt idx="82">
                  <c:v>24.918205186444833</c:v>
                </c:pt>
                <c:pt idx="83">
                  <c:v>24.722267874936176</c:v>
                </c:pt>
                <c:pt idx="84">
                  <c:v>20.472932073818136</c:v>
                </c:pt>
                <c:pt idx="85">
                  <c:v>20.450632433859475</c:v>
                </c:pt>
                <c:pt idx="86">
                  <c:v>22.050556454782132</c:v>
                </c:pt>
                <c:pt idx="87">
                  <c:v>23.047268969461612</c:v>
                </c:pt>
                <c:pt idx="88">
                  <c:v>18.830637069185361</c:v>
                </c:pt>
                <c:pt idx="89">
                  <c:v>18.514473917285162</c:v>
                </c:pt>
                <c:pt idx="90">
                  <c:v>23.831278290057607</c:v>
                </c:pt>
                <c:pt idx="91">
                  <c:v>23.110252462349205</c:v>
                </c:pt>
                <c:pt idx="92">
                  <c:v>28.463090162777664</c:v>
                </c:pt>
                <c:pt idx="93">
                  <c:v>26.99894577542906</c:v>
                </c:pt>
                <c:pt idx="94">
                  <c:v>25.299385942598487</c:v>
                </c:pt>
                <c:pt idx="95">
                  <c:v>25.994268317973823</c:v>
                </c:pt>
                <c:pt idx="96">
                  <c:v>28.246572809151267</c:v>
                </c:pt>
                <c:pt idx="97">
                  <c:v>25.264011364244606</c:v>
                </c:pt>
                <c:pt idx="98">
                  <c:v>25.839240692725895</c:v>
                </c:pt>
                <c:pt idx="99">
                  <c:v>24.292368399470785</c:v>
                </c:pt>
                <c:pt idx="100">
                  <c:v>26.142526224865737</c:v>
                </c:pt>
                <c:pt idx="101">
                  <c:v>30.431438935024783</c:v>
                </c:pt>
                <c:pt idx="102">
                  <c:v>32.261499160182986</c:v>
                </c:pt>
                <c:pt idx="103">
                  <c:v>37.18290383742282</c:v>
                </c:pt>
                <c:pt idx="104">
                  <c:v>38.338954889273865</c:v>
                </c:pt>
                <c:pt idx="105">
                  <c:v>35.83906920994022</c:v>
                </c:pt>
                <c:pt idx="106">
                  <c:v>35.617832179799926</c:v>
                </c:pt>
                <c:pt idx="107">
                  <c:v>43.142900443273319</c:v>
                </c:pt>
                <c:pt idx="108">
                  <c:v>40.212937497801278</c:v>
                </c:pt>
                <c:pt idx="109">
                  <c:v>49.469006081015799</c:v>
                </c:pt>
                <c:pt idx="110">
                  <c:v>54.942958595572911</c:v>
                </c:pt>
                <c:pt idx="111">
                  <c:v>59.446385410169398</c:v>
                </c:pt>
                <c:pt idx="112">
                  <c:v>52.105736068368145</c:v>
                </c:pt>
                <c:pt idx="113">
                  <c:v>50.867690894362291</c:v>
                </c:pt>
                <c:pt idx="114">
                  <c:v>53.83970093799411</c:v>
                </c:pt>
                <c:pt idx="115">
                  <c:v>53.975435948453331</c:v>
                </c:pt>
                <c:pt idx="116">
                  <c:v>67.678677250973408</c:v>
                </c:pt>
                <c:pt idx="117">
                  <c:v>69.590555262958858</c:v>
                </c:pt>
                <c:pt idx="118">
                  <c:v>66.017084879159725</c:v>
                </c:pt>
                <c:pt idx="119">
                  <c:v>64.841247785926583</c:v>
                </c:pt>
                <c:pt idx="120">
                  <c:v>53.121798874138697</c:v>
                </c:pt>
                <c:pt idx="121">
                  <c:v>52.955293159902411</c:v>
                </c:pt>
                <c:pt idx="122">
                  <c:v>44.8305702276514</c:v>
                </c:pt>
                <c:pt idx="123">
                  <c:v>46.577960017149437</c:v>
                </c:pt>
                <c:pt idx="124">
                  <c:v>49.461619225374349</c:v>
                </c:pt>
                <c:pt idx="125">
                  <c:v>54.92482119999989</c:v>
                </c:pt>
                <c:pt idx="126">
                  <c:v>62.712240702457478</c:v>
                </c:pt>
                <c:pt idx="127">
                  <c:v>69.842967490658751</c:v>
                </c:pt>
                <c:pt idx="128">
                  <c:v>86.3527557640993</c:v>
                </c:pt>
                <c:pt idx="129">
                  <c:v>77.071656493297397</c:v>
                </c:pt>
                <c:pt idx="130">
                  <c:v>76.119959626098066</c:v>
                </c:pt>
                <c:pt idx="131">
                  <c:v>87.76008517853127</c:v>
                </c:pt>
                <c:pt idx="132">
                  <c:v>86.63868645099015</c:v>
                </c:pt>
                <c:pt idx="133">
                  <c:v>85.150760787141195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8CD-1345-8442-68C1CD29CA7C}"/>
            </c:ext>
          </c:extLst>
        </c:ser>
        <c:ser>
          <c:idx val="8"/>
          <c:order val="8"/>
          <c:tx>
            <c:strRef>
              <c:f>再投資累積報酬!$A$20:$B$20</c:f>
              <c:strCache>
                <c:ptCount val="2"/>
                <c:pt idx="0">
                  <c:v>5</c:v>
                </c:pt>
                <c:pt idx="1">
                  <c:v>192等分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再投資累積報酬!$C$20:$EF$20</c:f>
              <c:numCache>
                <c:formatCode>General</c:formatCode>
                <c:ptCount val="134"/>
                <c:pt idx="0">
                  <c:v>0.13932460396499158</c:v>
                </c:pt>
                <c:pt idx="1">
                  <c:v>0.13892388269344247</c:v>
                </c:pt>
                <c:pt idx="2">
                  <c:v>0.20422431129244756</c:v>
                </c:pt>
                <c:pt idx="3">
                  <c:v>0.31407175290976341</c:v>
                </c:pt>
                <c:pt idx="4">
                  <c:v>0.44595976271737192</c:v>
                </c:pt>
                <c:pt idx="5">
                  <c:v>0.65407993247676144</c:v>
                </c:pt>
                <c:pt idx="6">
                  <c:v>0.39248791464830179</c:v>
                </c:pt>
                <c:pt idx="7">
                  <c:v>0.20699989099207716</c:v>
                </c:pt>
                <c:pt idx="8">
                  <c:v>0.31576102669558725</c:v>
                </c:pt>
                <c:pt idx="9">
                  <c:v>0.18983133418050557</c:v>
                </c:pt>
                <c:pt idx="10">
                  <c:v>-0.12986920632579113</c:v>
                </c:pt>
                <c:pt idx="11">
                  <c:v>-0.21855722573146119</c:v>
                </c:pt>
                <c:pt idx="12">
                  <c:v>-0.30460485908871227</c:v>
                </c:pt>
                <c:pt idx="13">
                  <c:v>-0.27676888699317426</c:v>
                </c:pt>
                <c:pt idx="14">
                  <c:v>-0.11416729484163379</c:v>
                </c:pt>
                <c:pt idx="15">
                  <c:v>-1.7387365019477241E-2</c:v>
                </c:pt>
                <c:pt idx="16">
                  <c:v>0.13509703647872273</c:v>
                </c:pt>
                <c:pt idx="17">
                  <c:v>2.0627267757396872E-2</c:v>
                </c:pt>
                <c:pt idx="18">
                  <c:v>0.17234318462901244</c:v>
                </c:pt>
                <c:pt idx="19">
                  <c:v>1.2566642213656776E-2</c:v>
                </c:pt>
                <c:pt idx="20">
                  <c:v>0.18782712038607774</c:v>
                </c:pt>
                <c:pt idx="21">
                  <c:v>0.36445368876480777</c:v>
                </c:pt>
                <c:pt idx="22">
                  <c:v>0.35782517274478831</c:v>
                </c:pt>
                <c:pt idx="23">
                  <c:v>0.39741718226175005</c:v>
                </c:pt>
                <c:pt idx="24">
                  <c:v>0.490993826454726</c:v>
                </c:pt>
                <c:pt idx="25">
                  <c:v>0.40090350647885198</c:v>
                </c:pt>
                <c:pt idx="26">
                  <c:v>0.26598501139618547</c:v>
                </c:pt>
                <c:pt idx="27">
                  <c:v>0.43036379683689563</c:v>
                </c:pt>
                <c:pt idx="28">
                  <c:v>0.45512368023290173</c:v>
                </c:pt>
                <c:pt idx="29">
                  <c:v>0.44571252231862735</c:v>
                </c:pt>
                <c:pt idx="30">
                  <c:v>0.43669185446436809</c:v>
                </c:pt>
                <c:pt idx="31">
                  <c:v>0.30713356804718694</c:v>
                </c:pt>
                <c:pt idx="32">
                  <c:v>0.45920182737980619</c:v>
                </c:pt>
                <c:pt idx="33">
                  <c:v>0.36874585568868734</c:v>
                </c:pt>
                <c:pt idx="34">
                  <c:v>0.35013759769592423</c:v>
                </c:pt>
                <c:pt idx="35">
                  <c:v>0.44855378791689127</c:v>
                </c:pt>
                <c:pt idx="36">
                  <c:v>0.49597741095798731</c:v>
                </c:pt>
                <c:pt idx="37">
                  <c:v>0.44673462171696543</c:v>
                </c:pt>
                <c:pt idx="38">
                  <c:v>0.51225011764257067</c:v>
                </c:pt>
                <c:pt idx="39">
                  <c:v>0.53131293772552612</c:v>
                </c:pt>
                <c:pt idx="40">
                  <c:v>0.41968236840344808</c:v>
                </c:pt>
                <c:pt idx="41">
                  <c:v>0.4385488113336351</c:v>
                </c:pt>
                <c:pt idx="42">
                  <c:v>0.41388805677070484</c:v>
                </c:pt>
                <c:pt idx="43">
                  <c:v>0.40985762747607413</c:v>
                </c:pt>
                <c:pt idx="44">
                  <c:v>0.80701311127845665</c:v>
                </c:pt>
                <c:pt idx="45">
                  <c:v>0.93616828919921757</c:v>
                </c:pt>
                <c:pt idx="46">
                  <c:v>1.2194529439285335</c:v>
                </c:pt>
                <c:pt idx="47">
                  <c:v>1.4100790939390224</c:v>
                </c:pt>
                <c:pt idx="48">
                  <c:v>1.2599653895097553</c:v>
                </c:pt>
                <c:pt idx="49">
                  <c:v>1.4855194272374646</c:v>
                </c:pt>
                <c:pt idx="50">
                  <c:v>1.861672966316728</c:v>
                </c:pt>
                <c:pt idx="51">
                  <c:v>2.5233301025469044</c:v>
                </c:pt>
                <c:pt idx="52">
                  <c:v>2.2771021783304142</c:v>
                </c:pt>
                <c:pt idx="53">
                  <c:v>2.3045105501090983</c:v>
                </c:pt>
                <c:pt idx="54">
                  <c:v>2.2848592962230536</c:v>
                </c:pt>
                <c:pt idx="55">
                  <c:v>2.3035454887764488</c:v>
                </c:pt>
                <c:pt idx="56">
                  <c:v>2.1326629912785098</c:v>
                </c:pt>
                <c:pt idx="57">
                  <c:v>1.9700777820311552</c:v>
                </c:pt>
                <c:pt idx="58">
                  <c:v>2.0389051765208324</c:v>
                </c:pt>
                <c:pt idx="59">
                  <c:v>2.2065245004663327</c:v>
                </c:pt>
                <c:pt idx="60">
                  <c:v>2.5837753144706972</c:v>
                </c:pt>
                <c:pt idx="61">
                  <c:v>2.8930272823914742</c:v>
                </c:pt>
                <c:pt idx="62">
                  <c:v>3.4260514733843204</c:v>
                </c:pt>
                <c:pt idx="63">
                  <c:v>3.3435675781263301</c:v>
                </c:pt>
                <c:pt idx="64">
                  <c:v>3.1765065089248692</c:v>
                </c:pt>
                <c:pt idx="65">
                  <c:v>3.4287989125793654</c:v>
                </c:pt>
                <c:pt idx="66">
                  <c:v>3.3736045632514537</c:v>
                </c:pt>
                <c:pt idx="67">
                  <c:v>3.4531630544197363</c:v>
                </c:pt>
                <c:pt idx="68">
                  <c:v>3.4772435612068948</c:v>
                </c:pt>
                <c:pt idx="69">
                  <c:v>4.1389937398328422</c:v>
                </c:pt>
                <c:pt idx="70">
                  <c:v>3.3710173763584832</c:v>
                </c:pt>
                <c:pt idx="71">
                  <c:v>3.9554652355479014</c:v>
                </c:pt>
                <c:pt idx="72">
                  <c:v>5.6504434667382242</c:v>
                </c:pt>
                <c:pt idx="73">
                  <c:v>5.2989103357072951</c:v>
                </c:pt>
                <c:pt idx="74">
                  <c:v>5.0268742559108359</c:v>
                </c:pt>
                <c:pt idx="75">
                  <c:v>6.1401934243333702</c:v>
                </c:pt>
                <c:pt idx="76">
                  <c:v>6.4987468053683788</c:v>
                </c:pt>
                <c:pt idx="77">
                  <c:v>7.4473037820121739</c:v>
                </c:pt>
                <c:pt idx="78">
                  <c:v>7.5563990208961034</c:v>
                </c:pt>
                <c:pt idx="79">
                  <c:v>8.3783575138798572</c:v>
                </c:pt>
                <c:pt idx="80">
                  <c:v>10.666337208238078</c:v>
                </c:pt>
                <c:pt idx="81">
                  <c:v>9.7218546131949548</c:v>
                </c:pt>
                <c:pt idx="82">
                  <c:v>13.17364205425417</c:v>
                </c:pt>
                <c:pt idx="83">
                  <c:v>13.87089736674274</c:v>
                </c:pt>
                <c:pt idx="84">
                  <c:v>11.91561527155341</c:v>
                </c:pt>
                <c:pt idx="85">
                  <c:v>11.756453561439002</c:v>
                </c:pt>
                <c:pt idx="86">
                  <c:v>12.550889771175452</c:v>
                </c:pt>
                <c:pt idx="87">
                  <c:v>13.800077652935402</c:v>
                </c:pt>
                <c:pt idx="88">
                  <c:v>11.002105728032298</c:v>
                </c:pt>
                <c:pt idx="89">
                  <c:v>10.769896187669765</c:v>
                </c:pt>
                <c:pt idx="90">
                  <c:v>15.665835619655425</c:v>
                </c:pt>
                <c:pt idx="91">
                  <c:v>15.789566116462872</c:v>
                </c:pt>
                <c:pt idx="92">
                  <c:v>17.175078049438845</c:v>
                </c:pt>
                <c:pt idx="93">
                  <c:v>15.846184598863161</c:v>
                </c:pt>
                <c:pt idx="94">
                  <c:v>14.357583676369524</c:v>
                </c:pt>
                <c:pt idx="95">
                  <c:v>14.793975559567032</c:v>
                </c:pt>
                <c:pt idx="96">
                  <c:v>16.292313035621689</c:v>
                </c:pt>
                <c:pt idx="97">
                  <c:v>14.692582555434287</c:v>
                </c:pt>
                <c:pt idx="98">
                  <c:v>14.536393293862627</c:v>
                </c:pt>
                <c:pt idx="99">
                  <c:v>13.133479493715177</c:v>
                </c:pt>
                <c:pt idx="100">
                  <c:v>14.670243812721713</c:v>
                </c:pt>
                <c:pt idx="101">
                  <c:v>16.680789372722874</c:v>
                </c:pt>
                <c:pt idx="102">
                  <c:v>17.520129916723974</c:v>
                </c:pt>
                <c:pt idx="103">
                  <c:v>18.945568756024468</c:v>
                </c:pt>
                <c:pt idx="104">
                  <c:v>19.522035584211086</c:v>
                </c:pt>
                <c:pt idx="105">
                  <c:v>18.123196177091621</c:v>
                </c:pt>
                <c:pt idx="106">
                  <c:v>17.540581233081877</c:v>
                </c:pt>
                <c:pt idx="107">
                  <c:v>22.093691885628449</c:v>
                </c:pt>
                <c:pt idx="108">
                  <c:v>20.884834108921719</c:v>
                </c:pt>
                <c:pt idx="109">
                  <c:v>26.975374687500988</c:v>
                </c:pt>
                <c:pt idx="110">
                  <c:v>30.824674343002375</c:v>
                </c:pt>
                <c:pt idx="111">
                  <c:v>33.411301129448319</c:v>
                </c:pt>
                <c:pt idx="112">
                  <c:v>30.479988207256714</c:v>
                </c:pt>
                <c:pt idx="113">
                  <c:v>30.800662255128753</c:v>
                </c:pt>
                <c:pt idx="114">
                  <c:v>33.005586613117906</c:v>
                </c:pt>
                <c:pt idx="115">
                  <c:v>34.978563770221662</c:v>
                </c:pt>
                <c:pt idx="116">
                  <c:v>44.261069201502615</c:v>
                </c:pt>
                <c:pt idx="117">
                  <c:v>44.70600956307311</c:v>
                </c:pt>
                <c:pt idx="118">
                  <c:v>42.944545660521833</c:v>
                </c:pt>
                <c:pt idx="119">
                  <c:v>40.503083381623696</c:v>
                </c:pt>
                <c:pt idx="120">
                  <c:v>31.950082405452711</c:v>
                </c:pt>
                <c:pt idx="121">
                  <c:v>32.109191763372166</c:v>
                </c:pt>
                <c:pt idx="122">
                  <c:v>26.269531578753991</c:v>
                </c:pt>
                <c:pt idx="123">
                  <c:v>25.44625896648509</c:v>
                </c:pt>
                <c:pt idx="124">
                  <c:v>27.272643004637686</c:v>
                </c:pt>
                <c:pt idx="125">
                  <c:v>31.400002175555315</c:v>
                </c:pt>
                <c:pt idx="126">
                  <c:v>35.339537880082389</c:v>
                </c:pt>
                <c:pt idx="127">
                  <c:v>38.409305018471429</c:v>
                </c:pt>
                <c:pt idx="128">
                  <c:v>49.983471100512325</c:v>
                </c:pt>
                <c:pt idx="129">
                  <c:v>44.563193960544019</c:v>
                </c:pt>
                <c:pt idx="130">
                  <c:v>46.114601642782787</c:v>
                </c:pt>
                <c:pt idx="131">
                  <c:v>54.45006330504981</c:v>
                </c:pt>
                <c:pt idx="132">
                  <c:v>54.318800200268811</c:v>
                </c:pt>
                <c:pt idx="133">
                  <c:v>53.196856566715027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8CD-1345-8442-68C1CD29CA7C}"/>
            </c:ext>
          </c:extLst>
        </c:ser>
        <c:ser>
          <c:idx val="9"/>
          <c:order val="9"/>
          <c:tx>
            <c:strRef>
              <c:f>再投資累積報酬!$A$21:$B$21</c:f>
              <c:strCache>
                <c:ptCount val="2"/>
                <c:pt idx="0">
                  <c:v>4</c:v>
                </c:pt>
                <c:pt idx="1">
                  <c:v>241等分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再投資累積報酬!$C$21:$EF$21</c:f>
              <c:numCache>
                <c:formatCode>General</c:formatCode>
                <c:ptCount val="134"/>
                <c:pt idx="0">
                  <c:v>0.19764916434148616</c:v>
                </c:pt>
                <c:pt idx="1">
                  <c:v>0.19808955119131921</c:v>
                </c:pt>
                <c:pt idx="2">
                  <c:v>0.18168590810118324</c:v>
                </c:pt>
                <c:pt idx="3">
                  <c:v>0.24206708470191174</c:v>
                </c:pt>
                <c:pt idx="4">
                  <c:v>0.25112937759174803</c:v>
                </c:pt>
                <c:pt idx="5">
                  <c:v>0.45401752197953615</c:v>
                </c:pt>
                <c:pt idx="6">
                  <c:v>0.23990528755243834</c:v>
                </c:pt>
                <c:pt idx="7">
                  <c:v>7.0358778674586731E-2</c:v>
                </c:pt>
                <c:pt idx="8">
                  <c:v>0.16559182886463053</c:v>
                </c:pt>
                <c:pt idx="9">
                  <c:v>3.7750174622899868E-2</c:v>
                </c:pt>
                <c:pt idx="10">
                  <c:v>-0.16968051903159842</c:v>
                </c:pt>
                <c:pt idx="11">
                  <c:v>-0.25236988737650556</c:v>
                </c:pt>
                <c:pt idx="12">
                  <c:v>-0.35649775347989621</c:v>
                </c:pt>
                <c:pt idx="13">
                  <c:v>-0.32726489430054262</c:v>
                </c:pt>
                <c:pt idx="14">
                  <c:v>-0.14287778830357756</c:v>
                </c:pt>
                <c:pt idx="15">
                  <c:v>-6.0958066264289013E-2</c:v>
                </c:pt>
                <c:pt idx="16">
                  <c:v>5.9793604044265702E-2</c:v>
                </c:pt>
                <c:pt idx="17">
                  <c:v>-7.9166533318018484E-2</c:v>
                </c:pt>
                <c:pt idx="18">
                  <c:v>2.8152107125234416E-4</c:v>
                </c:pt>
                <c:pt idx="19">
                  <c:v>-0.13150581940026551</c:v>
                </c:pt>
                <c:pt idx="20">
                  <c:v>5.532556911443498E-3</c:v>
                </c:pt>
                <c:pt idx="21">
                  <c:v>0.20396151466634782</c:v>
                </c:pt>
                <c:pt idx="22">
                  <c:v>0.191744315196271</c:v>
                </c:pt>
                <c:pt idx="23">
                  <c:v>0.23876935412960054</c:v>
                </c:pt>
                <c:pt idx="24">
                  <c:v>0.27349887235730108</c:v>
                </c:pt>
                <c:pt idx="25">
                  <c:v>0.19035595147771001</c:v>
                </c:pt>
                <c:pt idx="26">
                  <c:v>4.4507503401680637E-4</c:v>
                </c:pt>
                <c:pt idx="27">
                  <c:v>0.12932691160273646</c:v>
                </c:pt>
                <c:pt idx="28">
                  <c:v>0.14097111905654436</c:v>
                </c:pt>
                <c:pt idx="29">
                  <c:v>0.10267385295985187</c:v>
                </c:pt>
                <c:pt idx="30">
                  <c:v>9.1020795681772126E-2</c:v>
                </c:pt>
                <c:pt idx="31">
                  <c:v>-2.6352708104203315E-2</c:v>
                </c:pt>
                <c:pt idx="32">
                  <c:v>7.308029134518601E-2</c:v>
                </c:pt>
                <c:pt idx="33">
                  <c:v>-2.4702935029881079E-3</c:v>
                </c:pt>
                <c:pt idx="34">
                  <c:v>-3.8185016788744752E-2</c:v>
                </c:pt>
                <c:pt idx="35">
                  <c:v>2.4698276315656909E-2</c:v>
                </c:pt>
                <c:pt idx="36">
                  <c:v>6.2315718562911737E-2</c:v>
                </c:pt>
                <c:pt idx="37">
                  <c:v>4.2454398309729857E-2</c:v>
                </c:pt>
                <c:pt idx="38">
                  <c:v>9.2206989364002956E-2</c:v>
                </c:pt>
                <c:pt idx="39">
                  <c:v>0.11289748551876744</c:v>
                </c:pt>
                <c:pt idx="40">
                  <c:v>-3.5367169091984896E-2</c:v>
                </c:pt>
                <c:pt idx="41">
                  <c:v>-8.1658210539806375E-2</c:v>
                </c:pt>
                <c:pt idx="42">
                  <c:v>-6.6002319713089008E-2</c:v>
                </c:pt>
                <c:pt idx="43">
                  <c:v>-0.12526026953773228</c:v>
                </c:pt>
                <c:pt idx="44">
                  <c:v>0.17782064569749734</c:v>
                </c:pt>
                <c:pt idx="45">
                  <c:v>0.23777083319801573</c:v>
                </c:pt>
                <c:pt idx="46">
                  <c:v>0.45184020437252959</c:v>
                </c:pt>
                <c:pt idx="47">
                  <c:v>0.54767399850285359</c:v>
                </c:pt>
                <c:pt idx="48">
                  <c:v>0.36369193041982895</c:v>
                </c:pt>
                <c:pt idx="49">
                  <c:v>0.51165659594617163</c:v>
                </c:pt>
                <c:pt idx="50">
                  <c:v>0.72267251931578769</c:v>
                </c:pt>
                <c:pt idx="51">
                  <c:v>1.2300224016651682</c:v>
                </c:pt>
                <c:pt idx="52">
                  <c:v>1.0515157984790764</c:v>
                </c:pt>
                <c:pt idx="53">
                  <c:v>1.1299298610864428</c:v>
                </c:pt>
                <c:pt idx="54">
                  <c:v>1.1434560518033949</c:v>
                </c:pt>
                <c:pt idx="55">
                  <c:v>1.1511234088330551</c:v>
                </c:pt>
                <c:pt idx="56">
                  <c:v>0.98220698093529157</c:v>
                </c:pt>
                <c:pt idx="57">
                  <c:v>0.84758043830761909</c:v>
                </c:pt>
                <c:pt idx="58">
                  <c:v>0.93308091825118056</c:v>
                </c:pt>
                <c:pt idx="59">
                  <c:v>0.97637468176656328</c:v>
                </c:pt>
                <c:pt idx="60">
                  <c:v>1.1201040600296843</c:v>
                </c:pt>
                <c:pt idx="61">
                  <c:v>1.4226876280010834</c:v>
                </c:pt>
                <c:pt idx="62">
                  <c:v>1.7984949423562115</c:v>
                </c:pt>
                <c:pt idx="63">
                  <c:v>1.726326655158994</c:v>
                </c:pt>
                <c:pt idx="64">
                  <c:v>1.5522309693995879</c:v>
                </c:pt>
                <c:pt idx="65">
                  <c:v>1.8189624060888065</c:v>
                </c:pt>
                <c:pt idx="66">
                  <c:v>1.6968992196833566</c:v>
                </c:pt>
                <c:pt idx="67">
                  <c:v>1.7273424922999472</c:v>
                </c:pt>
                <c:pt idx="68">
                  <c:v>1.7433251904673575</c:v>
                </c:pt>
                <c:pt idx="69">
                  <c:v>2.1061153907530934</c:v>
                </c:pt>
                <c:pt idx="70">
                  <c:v>1.5757834611666914</c:v>
                </c:pt>
                <c:pt idx="71">
                  <c:v>1.6253421789054037</c:v>
                </c:pt>
                <c:pt idx="72">
                  <c:v>2.6810716856441781</c:v>
                </c:pt>
                <c:pt idx="73">
                  <c:v>2.3970282308968951</c:v>
                </c:pt>
                <c:pt idx="74">
                  <c:v>2.346345418948971</c:v>
                </c:pt>
                <c:pt idx="75">
                  <c:v>3.1876250231362899</c:v>
                </c:pt>
                <c:pt idx="76">
                  <c:v>3.5857006578356252</c:v>
                </c:pt>
                <c:pt idx="77">
                  <c:v>4.5389314000050813</c:v>
                </c:pt>
                <c:pt idx="78">
                  <c:v>4.4945119396427406</c:v>
                </c:pt>
                <c:pt idx="79">
                  <c:v>4.9583710002392456</c:v>
                </c:pt>
                <c:pt idx="80">
                  <c:v>7.3123800387151601</c:v>
                </c:pt>
                <c:pt idx="81">
                  <c:v>6.2212498471054909</c:v>
                </c:pt>
                <c:pt idx="82">
                  <c:v>8.5332611628411001</c:v>
                </c:pt>
                <c:pt idx="83">
                  <c:v>7.8531726113757614</c:v>
                </c:pt>
                <c:pt idx="84">
                  <c:v>6.7616450404808681</c:v>
                </c:pt>
                <c:pt idx="85">
                  <c:v>6.668848752788139</c:v>
                </c:pt>
                <c:pt idx="86">
                  <c:v>6.7345266907192052</c:v>
                </c:pt>
                <c:pt idx="87">
                  <c:v>7.7701057535972531</c:v>
                </c:pt>
                <c:pt idx="88">
                  <c:v>5.7924206975474721</c:v>
                </c:pt>
                <c:pt idx="89">
                  <c:v>5.7158004939739619</c:v>
                </c:pt>
                <c:pt idx="90">
                  <c:v>9.173532784835702</c:v>
                </c:pt>
                <c:pt idx="91">
                  <c:v>8.1943022770801068</c:v>
                </c:pt>
                <c:pt idx="92">
                  <c:v>7.6481538260948412</c:v>
                </c:pt>
                <c:pt idx="93">
                  <c:v>6.8626914989825725</c:v>
                </c:pt>
                <c:pt idx="94">
                  <c:v>6.3150833720645778</c:v>
                </c:pt>
                <c:pt idx="95">
                  <c:v>6.6661689697359741</c:v>
                </c:pt>
                <c:pt idx="96">
                  <c:v>7.1466350719302074</c:v>
                </c:pt>
                <c:pt idx="97">
                  <c:v>6.3464266931422664</c:v>
                </c:pt>
                <c:pt idx="98">
                  <c:v>5.8688691604303598</c:v>
                </c:pt>
                <c:pt idx="99">
                  <c:v>5.1674052974611442</c:v>
                </c:pt>
                <c:pt idx="100">
                  <c:v>5.7995967193287239</c:v>
                </c:pt>
                <c:pt idx="101">
                  <c:v>7.0935378763276411</c:v>
                </c:pt>
                <c:pt idx="102">
                  <c:v>7.0838883035367868</c:v>
                </c:pt>
                <c:pt idx="103">
                  <c:v>7.6615589197633742</c:v>
                </c:pt>
                <c:pt idx="104">
                  <c:v>8.0799988311771429</c:v>
                </c:pt>
                <c:pt idx="105">
                  <c:v>7.4713937495198337</c:v>
                </c:pt>
                <c:pt idx="106">
                  <c:v>7.0078475549398576</c:v>
                </c:pt>
                <c:pt idx="107">
                  <c:v>9.4194248598432164</c:v>
                </c:pt>
                <c:pt idx="108">
                  <c:v>8.8003990143512851</c:v>
                </c:pt>
                <c:pt idx="109">
                  <c:v>9.5985141088830108</c:v>
                </c:pt>
                <c:pt idx="110">
                  <c:v>11.504550886224532</c:v>
                </c:pt>
                <c:pt idx="111">
                  <c:v>12.42117510597517</c:v>
                </c:pt>
                <c:pt idx="112">
                  <c:v>11.201280881773991</c:v>
                </c:pt>
                <c:pt idx="113">
                  <c:v>11.594256686093948</c:v>
                </c:pt>
                <c:pt idx="114">
                  <c:v>11.908965120730235</c:v>
                </c:pt>
                <c:pt idx="115">
                  <c:v>12.828052617094459</c:v>
                </c:pt>
                <c:pt idx="116">
                  <c:v>17.413797851304182</c:v>
                </c:pt>
                <c:pt idx="117">
                  <c:v>17.860629925825503</c:v>
                </c:pt>
                <c:pt idx="118">
                  <c:v>17.328472537310855</c:v>
                </c:pt>
                <c:pt idx="119">
                  <c:v>16.346859115748231</c:v>
                </c:pt>
                <c:pt idx="120">
                  <c:v>12.862925058211662</c:v>
                </c:pt>
                <c:pt idx="121">
                  <c:v>12.728322987358956</c:v>
                </c:pt>
                <c:pt idx="122">
                  <c:v>10.688091698673352</c:v>
                </c:pt>
                <c:pt idx="123">
                  <c:v>10.107649376825535</c:v>
                </c:pt>
                <c:pt idx="124">
                  <c:v>11.532181735271763</c:v>
                </c:pt>
                <c:pt idx="125">
                  <c:v>12.967301393640977</c:v>
                </c:pt>
                <c:pt idx="126">
                  <c:v>15.296069555002738</c:v>
                </c:pt>
                <c:pt idx="127">
                  <c:v>16.157220139238401</c:v>
                </c:pt>
                <c:pt idx="128">
                  <c:v>20.722031525738853</c:v>
                </c:pt>
                <c:pt idx="129">
                  <c:v>18.478189113193082</c:v>
                </c:pt>
                <c:pt idx="130">
                  <c:v>18.751605526985056</c:v>
                </c:pt>
                <c:pt idx="131">
                  <c:v>19.828045439246146</c:v>
                </c:pt>
                <c:pt idx="132">
                  <c:v>19.527520651895852</c:v>
                </c:pt>
                <c:pt idx="133">
                  <c:v>19.912848162182645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8CD-1345-8442-68C1CD29CA7C}"/>
            </c:ext>
          </c:extLst>
        </c:ser>
        <c:ser>
          <c:idx val="10"/>
          <c:order val="10"/>
          <c:tx>
            <c:strRef>
              <c:f>再投資累積報酬!$A$22:$B$22</c:f>
              <c:strCache>
                <c:ptCount val="2"/>
                <c:pt idx="0">
                  <c:v>3</c:v>
                </c:pt>
                <c:pt idx="1">
                  <c:v>321等分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再投資累積報酬!$C$22:$EF$22</c:f>
              <c:numCache>
                <c:formatCode>General</c:formatCode>
                <c:ptCount val="134"/>
                <c:pt idx="0">
                  <c:v>-6.4235717628454703E-2</c:v>
                </c:pt>
                <c:pt idx="1">
                  <c:v>-2.2424930201846771E-2</c:v>
                </c:pt>
                <c:pt idx="2">
                  <c:v>-3.9392374829976706E-2</c:v>
                </c:pt>
                <c:pt idx="3">
                  <c:v>5.4203464273979929E-2</c:v>
                </c:pt>
                <c:pt idx="4">
                  <c:v>8.8944554162657674E-2</c:v>
                </c:pt>
                <c:pt idx="5">
                  <c:v>0.22416751100946808</c:v>
                </c:pt>
                <c:pt idx="6">
                  <c:v>7.2991185274212445E-2</c:v>
                </c:pt>
                <c:pt idx="7">
                  <c:v>-3.8870291772994725E-2</c:v>
                </c:pt>
                <c:pt idx="8">
                  <c:v>0.10845817738123364</c:v>
                </c:pt>
                <c:pt idx="9">
                  <c:v>-8.1291417205997418E-2</c:v>
                </c:pt>
                <c:pt idx="10">
                  <c:v>-0.25094320646668056</c:v>
                </c:pt>
                <c:pt idx="11">
                  <c:v>-0.35077780978101081</c:v>
                </c:pt>
                <c:pt idx="12">
                  <c:v>-0.39391364695093756</c:v>
                </c:pt>
                <c:pt idx="13">
                  <c:v>-0.33898383874531668</c:v>
                </c:pt>
                <c:pt idx="14">
                  <c:v>-0.25485322716034731</c:v>
                </c:pt>
                <c:pt idx="15">
                  <c:v>-0.22755966756870405</c:v>
                </c:pt>
                <c:pt idx="16">
                  <c:v>-9.6517825797704182E-2</c:v>
                </c:pt>
                <c:pt idx="17">
                  <c:v>-0.19124612479846659</c:v>
                </c:pt>
                <c:pt idx="18">
                  <c:v>-0.10180601481306306</c:v>
                </c:pt>
                <c:pt idx="19">
                  <c:v>-0.25955013586953868</c:v>
                </c:pt>
                <c:pt idx="20">
                  <c:v>-0.10592140034164577</c:v>
                </c:pt>
                <c:pt idx="21">
                  <c:v>8.6216133398917316E-2</c:v>
                </c:pt>
                <c:pt idx="22">
                  <c:v>1.0335970896024671E-2</c:v>
                </c:pt>
                <c:pt idx="23">
                  <c:v>3.4450669849370952E-2</c:v>
                </c:pt>
                <c:pt idx="24">
                  <c:v>0.15664274150709812</c:v>
                </c:pt>
                <c:pt idx="25">
                  <c:v>0.11237416831381641</c:v>
                </c:pt>
                <c:pt idx="26">
                  <c:v>-8.4751141218632697E-2</c:v>
                </c:pt>
                <c:pt idx="27">
                  <c:v>-7.232999387315775E-2</c:v>
                </c:pt>
                <c:pt idx="28">
                  <c:v>-0.15132016722485231</c:v>
                </c:pt>
                <c:pt idx="29">
                  <c:v>-0.22464893370940098</c:v>
                </c:pt>
                <c:pt idx="30">
                  <c:v>-0.26029208067713527</c:v>
                </c:pt>
                <c:pt idx="31">
                  <c:v>-0.33860196924717201</c:v>
                </c:pt>
                <c:pt idx="32">
                  <c:v>-0.26518370130946456</c:v>
                </c:pt>
                <c:pt idx="33">
                  <c:v>-0.28847726726054357</c:v>
                </c:pt>
                <c:pt idx="34">
                  <c:v>-0.21640815372729083</c:v>
                </c:pt>
                <c:pt idx="35">
                  <c:v>-0.18479730106664571</c:v>
                </c:pt>
                <c:pt idx="36">
                  <c:v>-0.15098812779954984</c:v>
                </c:pt>
                <c:pt idx="37">
                  <c:v>-0.18092853147269872</c:v>
                </c:pt>
                <c:pt idx="38">
                  <c:v>-0.11972966272261354</c:v>
                </c:pt>
                <c:pt idx="39">
                  <c:v>-0.10168998927734241</c:v>
                </c:pt>
                <c:pt idx="40">
                  <c:v>-0.20062027188488818</c:v>
                </c:pt>
                <c:pt idx="41">
                  <c:v>-0.25491787345719774</c:v>
                </c:pt>
                <c:pt idx="42">
                  <c:v>-0.13228430952810011</c:v>
                </c:pt>
                <c:pt idx="43">
                  <c:v>-0.13135411830791421</c:v>
                </c:pt>
                <c:pt idx="44">
                  <c:v>0.24160333422599112</c:v>
                </c:pt>
                <c:pt idx="45">
                  <c:v>0.31566207603812502</c:v>
                </c:pt>
                <c:pt idx="46">
                  <c:v>0.62117328237701397</c:v>
                </c:pt>
                <c:pt idx="47">
                  <c:v>0.44647943220572595</c:v>
                </c:pt>
                <c:pt idx="48">
                  <c:v>0.20965506932765399</c:v>
                </c:pt>
                <c:pt idx="49">
                  <c:v>0.39737982666318672</c:v>
                </c:pt>
                <c:pt idx="50">
                  <c:v>0.46693394174207148</c:v>
                </c:pt>
                <c:pt idx="51">
                  <c:v>1.0090413358247763</c:v>
                </c:pt>
                <c:pt idx="52">
                  <c:v>0.83358639852363647</c:v>
                </c:pt>
                <c:pt idx="53">
                  <c:v>0.97892379081621406</c:v>
                </c:pt>
                <c:pt idx="54">
                  <c:v>1.0228879246766875</c:v>
                </c:pt>
                <c:pt idx="55">
                  <c:v>1.0504777235772451</c:v>
                </c:pt>
                <c:pt idx="56">
                  <c:v>0.85326345961616012</c:v>
                </c:pt>
                <c:pt idx="57">
                  <c:v>0.83844352948409617</c:v>
                </c:pt>
                <c:pt idx="58">
                  <c:v>0.98983812850809194</c:v>
                </c:pt>
                <c:pt idx="59">
                  <c:v>1.0712092423765496</c:v>
                </c:pt>
                <c:pt idx="60">
                  <c:v>1.171281097728134</c:v>
                </c:pt>
                <c:pt idx="61">
                  <c:v>1.5225516899371212</c:v>
                </c:pt>
                <c:pt idx="62">
                  <c:v>2.0063696359419096</c:v>
                </c:pt>
                <c:pt idx="63">
                  <c:v>1.7570383744314912</c:v>
                </c:pt>
                <c:pt idx="64">
                  <c:v>1.6178508660563722</c:v>
                </c:pt>
                <c:pt idx="65">
                  <c:v>1.8137591758417222</c:v>
                </c:pt>
                <c:pt idx="66">
                  <c:v>1.5826210525027533</c:v>
                </c:pt>
                <c:pt idx="67">
                  <c:v>1.6333523387107487</c:v>
                </c:pt>
                <c:pt idx="68">
                  <c:v>1.5902370339476026</c:v>
                </c:pt>
                <c:pt idx="69">
                  <c:v>1.9283424957971524</c:v>
                </c:pt>
                <c:pt idx="70">
                  <c:v>1.6227670280182238</c:v>
                </c:pt>
                <c:pt idx="71">
                  <c:v>1.6245522581086287</c:v>
                </c:pt>
                <c:pt idx="72">
                  <c:v>2.7471135020363131</c:v>
                </c:pt>
                <c:pt idx="73">
                  <c:v>2.3235897532794887</c:v>
                </c:pt>
                <c:pt idx="74">
                  <c:v>2.4311089896613312</c:v>
                </c:pt>
                <c:pt idx="75">
                  <c:v>3.3905499964403294</c:v>
                </c:pt>
                <c:pt idx="76">
                  <c:v>4.0231419034441176</c:v>
                </c:pt>
                <c:pt idx="77">
                  <c:v>5.3027370719274716</c:v>
                </c:pt>
                <c:pt idx="78">
                  <c:v>4.5142331505439852</c:v>
                </c:pt>
                <c:pt idx="79">
                  <c:v>5.0409435106953628</c:v>
                </c:pt>
                <c:pt idx="80">
                  <c:v>7.4173742040470678</c:v>
                </c:pt>
                <c:pt idx="81">
                  <c:v>5.8281757576588955</c:v>
                </c:pt>
                <c:pt idx="82">
                  <c:v>8.8585247110250851</c:v>
                </c:pt>
                <c:pt idx="83">
                  <c:v>8.5946908727086306</c:v>
                </c:pt>
                <c:pt idx="84">
                  <c:v>6.3836135504746725</c:v>
                </c:pt>
                <c:pt idx="85">
                  <c:v>6.263688899187863</c:v>
                </c:pt>
                <c:pt idx="86">
                  <c:v>6.0664749031156466</c:v>
                </c:pt>
                <c:pt idx="87">
                  <c:v>7.7670347984891368</c:v>
                </c:pt>
                <c:pt idx="88">
                  <c:v>4.9577962718713842</c:v>
                </c:pt>
                <c:pt idx="89">
                  <c:v>5.0879820641401361</c:v>
                </c:pt>
                <c:pt idx="90">
                  <c:v>9.0449053853128643</c:v>
                </c:pt>
                <c:pt idx="91">
                  <c:v>8.2280369378702467</c:v>
                </c:pt>
                <c:pt idx="92">
                  <c:v>7.5408865473533027</c:v>
                </c:pt>
                <c:pt idx="93">
                  <c:v>6.1585404613767789</c:v>
                </c:pt>
                <c:pt idx="94">
                  <c:v>6.2673659072161598</c:v>
                </c:pt>
                <c:pt idx="95">
                  <c:v>6.5454492412004832</c:v>
                </c:pt>
                <c:pt idx="96">
                  <c:v>7.4526515210082209</c:v>
                </c:pt>
                <c:pt idx="97">
                  <c:v>6.5039792065079416</c:v>
                </c:pt>
                <c:pt idx="98">
                  <c:v>6.2304497594972448</c:v>
                </c:pt>
                <c:pt idx="99">
                  <c:v>6.2033385137555141</c:v>
                </c:pt>
                <c:pt idx="100">
                  <c:v>6.9561666251666168</c:v>
                </c:pt>
                <c:pt idx="101">
                  <c:v>8.6006823980886811</c:v>
                </c:pt>
                <c:pt idx="102">
                  <c:v>8.6390059593203716</c:v>
                </c:pt>
                <c:pt idx="103">
                  <c:v>9.1599042673660165</c:v>
                </c:pt>
                <c:pt idx="104">
                  <c:v>9.8949056084148328</c:v>
                </c:pt>
                <c:pt idx="105">
                  <c:v>9.7209865985525035</c:v>
                </c:pt>
                <c:pt idx="106">
                  <c:v>8.2912822833781359</c:v>
                </c:pt>
                <c:pt idx="107">
                  <c:v>11.911797668177526</c:v>
                </c:pt>
                <c:pt idx="108">
                  <c:v>10.983555622014574</c:v>
                </c:pt>
                <c:pt idx="109">
                  <c:v>11.959680139724313</c:v>
                </c:pt>
                <c:pt idx="110">
                  <c:v>12.738846348978198</c:v>
                </c:pt>
                <c:pt idx="111">
                  <c:v>13.326562138479337</c:v>
                </c:pt>
                <c:pt idx="112">
                  <c:v>12.01671799080316</c:v>
                </c:pt>
                <c:pt idx="113">
                  <c:v>12.29892477574977</c:v>
                </c:pt>
                <c:pt idx="114">
                  <c:v>12.722952126274702</c:v>
                </c:pt>
                <c:pt idx="115">
                  <c:v>13.364683040483568</c:v>
                </c:pt>
                <c:pt idx="116">
                  <c:v>14.452309805121462</c:v>
                </c:pt>
                <c:pt idx="117">
                  <c:v>14.610344561921394</c:v>
                </c:pt>
                <c:pt idx="118">
                  <c:v>13.800958603282146</c:v>
                </c:pt>
                <c:pt idx="119">
                  <c:v>12.746597516218738</c:v>
                </c:pt>
                <c:pt idx="120">
                  <c:v>10.037817807300996</c:v>
                </c:pt>
                <c:pt idx="121">
                  <c:v>9.5556601705698707</c:v>
                </c:pt>
                <c:pt idx="122">
                  <c:v>7.8504390112083797</c:v>
                </c:pt>
                <c:pt idx="123">
                  <c:v>8.322804642114594</c:v>
                </c:pt>
                <c:pt idx="124">
                  <c:v>9.0536167221842661</c:v>
                </c:pt>
                <c:pt idx="125">
                  <c:v>10.835750983208815</c:v>
                </c:pt>
                <c:pt idx="126">
                  <c:v>12.255524273400939</c:v>
                </c:pt>
                <c:pt idx="127">
                  <c:v>13.630758153141114</c:v>
                </c:pt>
                <c:pt idx="128">
                  <c:v>15.684277721402772</c:v>
                </c:pt>
                <c:pt idx="129">
                  <c:v>13.299588345256767</c:v>
                </c:pt>
                <c:pt idx="130">
                  <c:v>13.606959449227872</c:v>
                </c:pt>
                <c:pt idx="131">
                  <c:v>14.737736284058428</c:v>
                </c:pt>
                <c:pt idx="132">
                  <c:v>14.211367174985316</c:v>
                </c:pt>
                <c:pt idx="133">
                  <c:v>14.740574386660629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8CD-1345-8442-68C1CD29CA7C}"/>
            </c:ext>
          </c:extLst>
        </c:ser>
        <c:ser>
          <c:idx val="11"/>
          <c:order val="11"/>
          <c:tx>
            <c:strRef>
              <c:f>再投資累積報酬!$A$23:$B$23</c:f>
              <c:strCache>
                <c:ptCount val="2"/>
                <c:pt idx="0">
                  <c:v>2</c:v>
                </c:pt>
                <c:pt idx="1">
                  <c:v>482等分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再投資累積報酬!$C$23:$EF$23</c:f>
              <c:numCache>
                <c:formatCode>General</c:formatCode>
                <c:ptCount val="134"/>
                <c:pt idx="0">
                  <c:v>3.4987009286289172E-2</c:v>
                </c:pt>
                <c:pt idx="1">
                  <c:v>6.5840663078851724E-2</c:v>
                </c:pt>
                <c:pt idx="2">
                  <c:v>0.20760280047165436</c:v>
                </c:pt>
                <c:pt idx="3">
                  <c:v>0.37867774137129318</c:v>
                </c:pt>
                <c:pt idx="4">
                  <c:v>0.4506780474149652</c:v>
                </c:pt>
                <c:pt idx="5">
                  <c:v>0.42429238974955807</c:v>
                </c:pt>
                <c:pt idx="6">
                  <c:v>0.21328058288820051</c:v>
                </c:pt>
                <c:pt idx="7">
                  <c:v>7.3904369288626981E-2</c:v>
                </c:pt>
                <c:pt idx="8">
                  <c:v>0.29350651154570251</c:v>
                </c:pt>
                <c:pt idx="9">
                  <c:v>0.22360085387405149</c:v>
                </c:pt>
                <c:pt idx="10">
                  <c:v>4.3377295907369495E-2</c:v>
                </c:pt>
                <c:pt idx="11">
                  <c:v>-0.11982698528518576</c:v>
                </c:pt>
                <c:pt idx="12">
                  <c:v>-0.22800024879363645</c:v>
                </c:pt>
                <c:pt idx="13">
                  <c:v>-0.18578614439804564</c:v>
                </c:pt>
                <c:pt idx="14">
                  <c:v>5.1294610541492425E-2</c:v>
                </c:pt>
                <c:pt idx="15">
                  <c:v>0.11038908255909297</c:v>
                </c:pt>
                <c:pt idx="16">
                  <c:v>0.23666756222961793</c:v>
                </c:pt>
                <c:pt idx="17">
                  <c:v>0.13195026306270052</c:v>
                </c:pt>
                <c:pt idx="18">
                  <c:v>0.23807900205863852</c:v>
                </c:pt>
                <c:pt idx="19">
                  <c:v>-4.9744032984444519E-2</c:v>
                </c:pt>
                <c:pt idx="20">
                  <c:v>0.26537904331643314</c:v>
                </c:pt>
                <c:pt idx="21">
                  <c:v>0.59954754736264571</c:v>
                </c:pt>
                <c:pt idx="22">
                  <c:v>0.49085109355539069</c:v>
                </c:pt>
                <c:pt idx="23">
                  <c:v>0.55205351264802682</c:v>
                </c:pt>
                <c:pt idx="24">
                  <c:v>0.78742553194812515</c:v>
                </c:pt>
                <c:pt idx="25">
                  <c:v>0.70207953764866615</c:v>
                </c:pt>
                <c:pt idx="26">
                  <c:v>0.30377845816280824</c:v>
                </c:pt>
                <c:pt idx="27">
                  <c:v>0.3971641977856355</c:v>
                </c:pt>
                <c:pt idx="28">
                  <c:v>8.7389143345197873E-2</c:v>
                </c:pt>
                <c:pt idx="29">
                  <c:v>5.9878741713135897E-2</c:v>
                </c:pt>
                <c:pt idx="30">
                  <c:v>5.7700160959544666E-2</c:v>
                </c:pt>
                <c:pt idx="31">
                  <c:v>-3.1328137538846113E-2</c:v>
                </c:pt>
                <c:pt idx="32">
                  <c:v>0.1712715198386292</c:v>
                </c:pt>
                <c:pt idx="33">
                  <c:v>0.17788116648269581</c:v>
                </c:pt>
                <c:pt idx="34">
                  <c:v>0.31229048129038794</c:v>
                </c:pt>
                <c:pt idx="35">
                  <c:v>0.48476706745264075</c:v>
                </c:pt>
                <c:pt idx="36">
                  <c:v>0.61348894836544732</c:v>
                </c:pt>
                <c:pt idx="37">
                  <c:v>0.40755774039661685</c:v>
                </c:pt>
                <c:pt idx="38">
                  <c:v>0.40004567202945118</c:v>
                </c:pt>
                <c:pt idx="39">
                  <c:v>0.16866502397299588</c:v>
                </c:pt>
                <c:pt idx="40">
                  <c:v>5.2524262555583512E-2</c:v>
                </c:pt>
                <c:pt idx="41">
                  <c:v>-0.10128742307723926</c:v>
                </c:pt>
                <c:pt idx="42">
                  <c:v>-7.2376738190210843E-2</c:v>
                </c:pt>
                <c:pt idx="43">
                  <c:v>-5.6652596279273215E-2</c:v>
                </c:pt>
                <c:pt idx="44">
                  <c:v>0.51721581652096393</c:v>
                </c:pt>
                <c:pt idx="45">
                  <c:v>0.37041608297766171</c:v>
                </c:pt>
                <c:pt idx="46">
                  <c:v>0.81776169015210143</c:v>
                </c:pt>
                <c:pt idx="47">
                  <c:v>0.93616886888691919</c:v>
                </c:pt>
                <c:pt idx="48">
                  <c:v>0.62028969451905946</c:v>
                </c:pt>
                <c:pt idx="49">
                  <c:v>0.74678733125985697</c:v>
                </c:pt>
                <c:pt idx="50">
                  <c:v>0.84111035357322672</c:v>
                </c:pt>
                <c:pt idx="51">
                  <c:v>1.884702332513255</c:v>
                </c:pt>
                <c:pt idx="52">
                  <c:v>1.3856517136907942</c:v>
                </c:pt>
                <c:pt idx="53">
                  <c:v>1.6861949237557035</c:v>
                </c:pt>
                <c:pt idx="54">
                  <c:v>1.4943179724040854</c:v>
                </c:pt>
                <c:pt idx="55">
                  <c:v>1.4373303131234691</c:v>
                </c:pt>
                <c:pt idx="56">
                  <c:v>1.3278710274262511</c:v>
                </c:pt>
                <c:pt idx="57">
                  <c:v>1.452633275141161</c:v>
                </c:pt>
                <c:pt idx="58">
                  <c:v>1.749914501787746</c:v>
                </c:pt>
                <c:pt idx="59">
                  <c:v>1.9080208360680326</c:v>
                </c:pt>
                <c:pt idx="60">
                  <c:v>2.04717544911556</c:v>
                </c:pt>
                <c:pt idx="61">
                  <c:v>2.5028326854500627</c:v>
                </c:pt>
                <c:pt idx="62">
                  <c:v>3.1655009785839967</c:v>
                </c:pt>
                <c:pt idx="63">
                  <c:v>3.0053374659574423</c:v>
                </c:pt>
                <c:pt idx="64">
                  <c:v>3.1516321835746046</c:v>
                </c:pt>
                <c:pt idx="65">
                  <c:v>3.5595981291048773</c:v>
                </c:pt>
                <c:pt idx="66">
                  <c:v>3.0023308851628725</c:v>
                </c:pt>
                <c:pt idx="67">
                  <c:v>3.0357703597084083</c:v>
                </c:pt>
                <c:pt idx="68">
                  <c:v>2.7400477180666938</c:v>
                </c:pt>
                <c:pt idx="69">
                  <c:v>3.277304847294948</c:v>
                </c:pt>
                <c:pt idx="70">
                  <c:v>2.8252514685513104</c:v>
                </c:pt>
                <c:pt idx="71">
                  <c:v>2.7601437759308327</c:v>
                </c:pt>
                <c:pt idx="72">
                  <c:v>5.0199826649777117</c:v>
                </c:pt>
                <c:pt idx="73">
                  <c:v>4.6062292564137941</c:v>
                </c:pt>
                <c:pt idx="74">
                  <c:v>4.8301196279979353</c:v>
                </c:pt>
                <c:pt idx="75">
                  <c:v>6.8846479547847803</c:v>
                </c:pt>
                <c:pt idx="76">
                  <c:v>8.5118461187774663</c:v>
                </c:pt>
                <c:pt idx="77">
                  <c:v>11.519182726536041</c:v>
                </c:pt>
                <c:pt idx="78">
                  <c:v>10.460748422921052</c:v>
                </c:pt>
                <c:pt idx="79">
                  <c:v>12.079493182045477</c:v>
                </c:pt>
                <c:pt idx="80">
                  <c:v>13.604883931498527</c:v>
                </c:pt>
                <c:pt idx="81">
                  <c:v>11.309946812412072</c:v>
                </c:pt>
                <c:pt idx="82">
                  <c:v>14.91557331858141</c:v>
                </c:pt>
                <c:pt idx="83">
                  <c:v>15.26492811071093</c:v>
                </c:pt>
                <c:pt idx="84">
                  <c:v>14.303304898485424</c:v>
                </c:pt>
                <c:pt idx="85">
                  <c:v>14.888740479029433</c:v>
                </c:pt>
                <c:pt idx="86">
                  <c:v>13.989572822210439</c:v>
                </c:pt>
                <c:pt idx="87">
                  <c:v>20.11522683118697</c:v>
                </c:pt>
                <c:pt idx="88">
                  <c:v>11.949272942262436</c:v>
                </c:pt>
                <c:pt idx="89">
                  <c:v>12.596374009733173</c:v>
                </c:pt>
                <c:pt idx="90">
                  <c:v>24.954434970912324</c:v>
                </c:pt>
                <c:pt idx="91">
                  <c:v>21.847234902282128</c:v>
                </c:pt>
                <c:pt idx="92">
                  <c:v>20.309387521009519</c:v>
                </c:pt>
                <c:pt idx="93">
                  <c:v>20.06224542499351</c:v>
                </c:pt>
                <c:pt idx="94">
                  <c:v>20.841005499785272</c:v>
                </c:pt>
                <c:pt idx="95">
                  <c:v>22.269221610924482</c:v>
                </c:pt>
                <c:pt idx="96">
                  <c:v>22.759192202948604</c:v>
                </c:pt>
                <c:pt idx="97">
                  <c:v>23.287718700126156</c:v>
                </c:pt>
                <c:pt idx="98">
                  <c:v>20.837055536840921</c:v>
                </c:pt>
                <c:pt idx="99">
                  <c:v>22.774373463988354</c:v>
                </c:pt>
                <c:pt idx="100">
                  <c:v>26.429695271263299</c:v>
                </c:pt>
                <c:pt idx="101">
                  <c:v>30.983175549616998</c:v>
                </c:pt>
                <c:pt idx="102">
                  <c:v>31.97408265143244</c:v>
                </c:pt>
                <c:pt idx="103">
                  <c:v>32.592280752981495</c:v>
                </c:pt>
                <c:pt idx="104">
                  <c:v>35.024865763708647</c:v>
                </c:pt>
                <c:pt idx="105">
                  <c:v>34.361647984998768</c:v>
                </c:pt>
                <c:pt idx="106">
                  <c:v>29.35993736658461</c:v>
                </c:pt>
                <c:pt idx="107">
                  <c:v>41.771003862200978</c:v>
                </c:pt>
                <c:pt idx="108">
                  <c:v>38.87872165352929</c:v>
                </c:pt>
                <c:pt idx="109">
                  <c:v>44.430956311906861</c:v>
                </c:pt>
                <c:pt idx="110">
                  <c:v>48.79419078705871</c:v>
                </c:pt>
                <c:pt idx="111">
                  <c:v>47.110001872068018</c:v>
                </c:pt>
                <c:pt idx="112">
                  <c:v>42.720276916253979</c:v>
                </c:pt>
                <c:pt idx="113">
                  <c:v>40.245446921132505</c:v>
                </c:pt>
                <c:pt idx="114">
                  <c:v>42.162411557685985</c:v>
                </c:pt>
                <c:pt idx="115">
                  <c:v>42.442846207306793</c:v>
                </c:pt>
                <c:pt idx="116">
                  <c:v>47.832713250554939</c:v>
                </c:pt>
                <c:pt idx="117">
                  <c:v>50.132159413307271</c:v>
                </c:pt>
                <c:pt idx="118">
                  <c:v>43.938495377493652</c:v>
                </c:pt>
                <c:pt idx="119">
                  <c:v>39.335647519206177</c:v>
                </c:pt>
                <c:pt idx="120">
                  <c:v>27.715085541109659</c:v>
                </c:pt>
                <c:pt idx="121">
                  <c:v>26.15727779296169</c:v>
                </c:pt>
                <c:pt idx="122">
                  <c:v>24.646301171116889</c:v>
                </c:pt>
                <c:pt idx="123">
                  <c:v>24.854882538541581</c:v>
                </c:pt>
                <c:pt idx="124">
                  <c:v>28.506321903096705</c:v>
                </c:pt>
                <c:pt idx="125">
                  <c:v>37.932072175558091</c:v>
                </c:pt>
                <c:pt idx="126">
                  <c:v>35.832660183491122</c:v>
                </c:pt>
                <c:pt idx="127">
                  <c:v>39.62174712061141</c:v>
                </c:pt>
                <c:pt idx="128">
                  <c:v>38.453587538663989</c:v>
                </c:pt>
                <c:pt idx="129">
                  <c:v>32.999977313575776</c:v>
                </c:pt>
                <c:pt idx="130">
                  <c:v>31.756111388465442</c:v>
                </c:pt>
                <c:pt idx="131">
                  <c:v>34.750868503982204</c:v>
                </c:pt>
                <c:pt idx="132">
                  <c:v>32.639755269223507</c:v>
                </c:pt>
                <c:pt idx="133">
                  <c:v>34.247139427252797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8CD-1345-8442-68C1CD29CA7C}"/>
            </c:ext>
          </c:extLst>
        </c:ser>
        <c:ser>
          <c:idx val="12"/>
          <c:order val="12"/>
          <c:tx>
            <c:strRef>
              <c:f>再投資累積報酬!$A$24:$B$24</c:f>
              <c:strCache>
                <c:ptCount val="2"/>
                <c:pt idx="0">
                  <c:v>1</c:v>
                </c:pt>
                <c:pt idx="1">
                  <c:v>964等分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再投資累積報酬!$C$24:$EF$24</c:f>
              <c:numCache>
                <c:formatCode>General</c:formatCode>
                <c:ptCount val="134"/>
                <c:pt idx="0">
                  <c:v>-0.16299313693108497</c:v>
                </c:pt>
                <c:pt idx="1">
                  <c:v>-7.590340148864938E-2</c:v>
                </c:pt>
                <c:pt idx="2">
                  <c:v>0.18701316994701189</c:v>
                </c:pt>
                <c:pt idx="3">
                  <c:v>0.45665454348402523</c:v>
                </c:pt>
                <c:pt idx="4">
                  <c:v>0.12780018016015404</c:v>
                </c:pt>
                <c:pt idx="5">
                  <c:v>0.16823858341997666</c:v>
                </c:pt>
                <c:pt idx="6">
                  <c:v>0.17070582527349454</c:v>
                </c:pt>
                <c:pt idx="7">
                  <c:v>3.5534959981591507E-2</c:v>
                </c:pt>
                <c:pt idx="8">
                  <c:v>5.7814782891888017E-2</c:v>
                </c:pt>
                <c:pt idx="9">
                  <c:v>-4.3336905084370159E-2</c:v>
                </c:pt>
                <c:pt idx="10">
                  <c:v>-0.25168473387366552</c:v>
                </c:pt>
                <c:pt idx="11">
                  <c:v>-0.35953975171860464</c:v>
                </c:pt>
                <c:pt idx="12">
                  <c:v>-0.51599138116878396</c:v>
                </c:pt>
                <c:pt idx="13">
                  <c:v>-0.51515114220649294</c:v>
                </c:pt>
                <c:pt idx="14">
                  <c:v>-0.51652811296262646</c:v>
                </c:pt>
                <c:pt idx="15">
                  <c:v>-0.39774034147185655</c:v>
                </c:pt>
                <c:pt idx="16">
                  <c:v>-0.18543510252752937</c:v>
                </c:pt>
                <c:pt idx="17">
                  <c:v>-0.41988317131805586</c:v>
                </c:pt>
                <c:pt idx="18">
                  <c:v>-0.3337249890272298</c:v>
                </c:pt>
                <c:pt idx="19">
                  <c:v>-0.39947300711002276</c:v>
                </c:pt>
                <c:pt idx="20">
                  <c:v>-0.10178457884438186</c:v>
                </c:pt>
                <c:pt idx="21">
                  <c:v>4.2249900748090319E-3</c:v>
                </c:pt>
                <c:pt idx="22">
                  <c:v>-0.11660235650600181</c:v>
                </c:pt>
                <c:pt idx="23">
                  <c:v>-0.13815284201903788</c:v>
                </c:pt>
                <c:pt idx="24">
                  <c:v>-5.6827220497638331E-2</c:v>
                </c:pt>
                <c:pt idx="25">
                  <c:v>-0.23060586194816901</c:v>
                </c:pt>
                <c:pt idx="26">
                  <c:v>-0.42000761691238819</c:v>
                </c:pt>
                <c:pt idx="27">
                  <c:v>-0.36132746754588208</c:v>
                </c:pt>
                <c:pt idx="28">
                  <c:v>-0.47326824098164777</c:v>
                </c:pt>
                <c:pt idx="29">
                  <c:v>-0.56054874691450673</c:v>
                </c:pt>
                <c:pt idx="30">
                  <c:v>-0.51401041976149997</c:v>
                </c:pt>
                <c:pt idx="31">
                  <c:v>-0.54156474598147608</c:v>
                </c:pt>
                <c:pt idx="32">
                  <c:v>-0.39926002504057012</c:v>
                </c:pt>
                <c:pt idx="33">
                  <c:v>-0.44785462893519201</c:v>
                </c:pt>
                <c:pt idx="34">
                  <c:v>-0.4009863471709072</c:v>
                </c:pt>
                <c:pt idx="35">
                  <c:v>-0.43373857802465332</c:v>
                </c:pt>
                <c:pt idx="36">
                  <c:v>-0.38923099651881299</c:v>
                </c:pt>
                <c:pt idx="37">
                  <c:v>-0.48875091948404459</c:v>
                </c:pt>
                <c:pt idx="38">
                  <c:v>-0.45496241058027675</c:v>
                </c:pt>
                <c:pt idx="39">
                  <c:v>-0.54461291847597992</c:v>
                </c:pt>
                <c:pt idx="40">
                  <c:v>-0.64348838316480128</c:v>
                </c:pt>
                <c:pt idx="41">
                  <c:v>-0.70439233220360875</c:v>
                </c:pt>
                <c:pt idx="42">
                  <c:v>-0.63408736935625742</c:v>
                </c:pt>
                <c:pt idx="43">
                  <c:v>-0.63191823928180135</c:v>
                </c:pt>
                <c:pt idx="44">
                  <c:v>-0.45632336300414189</c:v>
                </c:pt>
                <c:pt idx="45">
                  <c:v>-0.46693701831157508</c:v>
                </c:pt>
                <c:pt idx="46">
                  <c:v>-0.40280634323656739</c:v>
                </c:pt>
                <c:pt idx="47">
                  <c:v>-0.41806941871612713</c:v>
                </c:pt>
                <c:pt idx="48">
                  <c:v>-0.67613875552866753</c:v>
                </c:pt>
                <c:pt idx="49">
                  <c:v>-0.63772168698698906</c:v>
                </c:pt>
                <c:pt idx="50">
                  <c:v>-0.6194298926846491</c:v>
                </c:pt>
                <c:pt idx="51">
                  <c:v>-0.35654119623378022</c:v>
                </c:pt>
                <c:pt idx="52">
                  <c:v>-0.48893284510867996</c:v>
                </c:pt>
                <c:pt idx="53">
                  <c:v>-0.47940655334150573</c:v>
                </c:pt>
                <c:pt idx="54">
                  <c:v>-0.50338735417495872</c:v>
                </c:pt>
                <c:pt idx="55">
                  <c:v>-0.45985859226703607</c:v>
                </c:pt>
                <c:pt idx="56">
                  <c:v>-0.5552605282664631</c:v>
                </c:pt>
                <c:pt idx="57">
                  <c:v>-0.55100437152197312</c:v>
                </c:pt>
                <c:pt idx="58">
                  <c:v>-0.47500377948075445</c:v>
                </c:pt>
                <c:pt idx="59">
                  <c:v>-0.37019353401629229</c:v>
                </c:pt>
                <c:pt idx="60">
                  <c:v>-0.34825737480607977</c:v>
                </c:pt>
                <c:pt idx="61">
                  <c:v>-0.14154788526580886</c:v>
                </c:pt>
                <c:pt idx="62">
                  <c:v>-0.13169884774180152</c:v>
                </c:pt>
                <c:pt idx="63">
                  <c:v>-0.2262663945353941</c:v>
                </c:pt>
                <c:pt idx="64">
                  <c:v>-0.35092237670211401</c:v>
                </c:pt>
                <c:pt idx="65">
                  <c:v>-0.27085788522370668</c:v>
                </c:pt>
                <c:pt idx="66">
                  <c:v>-0.48366019884751221</c:v>
                </c:pt>
                <c:pt idx="67">
                  <c:v>-0.48866869491869136</c:v>
                </c:pt>
                <c:pt idx="68">
                  <c:v>-0.4893256111866795</c:v>
                </c:pt>
                <c:pt idx="69">
                  <c:v>-0.42994914454230804</c:v>
                </c:pt>
                <c:pt idx="70">
                  <c:v>-0.43493651947670742</c:v>
                </c:pt>
                <c:pt idx="71">
                  <c:v>-0.54981788051145641</c:v>
                </c:pt>
                <c:pt idx="72">
                  <c:v>-5.0559157266869215E-2</c:v>
                </c:pt>
                <c:pt idx="73">
                  <c:v>-0.14925353286897813</c:v>
                </c:pt>
                <c:pt idx="74">
                  <c:v>-0.3962592621357991</c:v>
                </c:pt>
                <c:pt idx="75">
                  <c:v>9.5160341374670221E-2</c:v>
                </c:pt>
                <c:pt idx="76">
                  <c:v>0.20470704000169571</c:v>
                </c:pt>
                <c:pt idx="77">
                  <c:v>0.97535692878374047</c:v>
                </c:pt>
                <c:pt idx="78">
                  <c:v>0.6149135499885714</c:v>
                </c:pt>
                <c:pt idx="79">
                  <c:v>0.66328667046492917</c:v>
                </c:pt>
                <c:pt idx="80">
                  <c:v>1.0127788528720751</c:v>
                </c:pt>
                <c:pt idx="81">
                  <c:v>0.56650278371456864</c:v>
                </c:pt>
                <c:pt idx="82">
                  <c:v>0.9381978647260103</c:v>
                </c:pt>
                <c:pt idx="83">
                  <c:v>1.2204828163383006</c:v>
                </c:pt>
                <c:pt idx="84">
                  <c:v>1.0905668077199793</c:v>
                </c:pt>
                <c:pt idx="85">
                  <c:v>1.2100928743845616</c:v>
                </c:pt>
                <c:pt idx="86">
                  <c:v>1.2805064333624538</c:v>
                </c:pt>
                <c:pt idx="87">
                  <c:v>0.95723248364293534</c:v>
                </c:pt>
                <c:pt idx="88">
                  <c:v>-0.11843726056045734</c:v>
                </c:pt>
                <c:pt idx="89">
                  <c:v>-0.1052834629252799</c:v>
                </c:pt>
                <c:pt idx="90">
                  <c:v>0.58960101509244933</c:v>
                </c:pt>
                <c:pt idx="91">
                  <c:v>0.19325466679234315</c:v>
                </c:pt>
                <c:pt idx="92">
                  <c:v>-1.8667362029976986E-2</c:v>
                </c:pt>
                <c:pt idx="93">
                  <c:v>-7.8611907479573251E-2</c:v>
                </c:pt>
                <c:pt idx="94">
                  <c:v>5.3093717760432924E-4</c:v>
                </c:pt>
                <c:pt idx="95">
                  <c:v>-0.11907453211448094</c:v>
                </c:pt>
                <c:pt idx="96">
                  <c:v>-5.4986017140691512E-2</c:v>
                </c:pt>
                <c:pt idx="97">
                  <c:v>-6.9221752703858552E-2</c:v>
                </c:pt>
                <c:pt idx="98">
                  <c:v>-0.23221700161182901</c:v>
                </c:pt>
                <c:pt idx="99">
                  <c:v>-0.27460414633008134</c:v>
                </c:pt>
                <c:pt idx="100">
                  <c:v>-4.1644718715694307E-2</c:v>
                </c:pt>
                <c:pt idx="101">
                  <c:v>0.26751206982909115</c:v>
                </c:pt>
                <c:pt idx="102">
                  <c:v>0.23644382270675424</c:v>
                </c:pt>
                <c:pt idx="103">
                  <c:v>0.21604249963209288</c:v>
                </c:pt>
                <c:pt idx="104">
                  <c:v>0.43438293044103493</c:v>
                </c:pt>
                <c:pt idx="105">
                  <c:v>0.50509800891177781</c:v>
                </c:pt>
                <c:pt idx="106">
                  <c:v>4.3576260557079083E-2</c:v>
                </c:pt>
                <c:pt idx="107">
                  <c:v>0.5920674201907532</c:v>
                </c:pt>
                <c:pt idx="108">
                  <c:v>0.40174372044404949</c:v>
                </c:pt>
                <c:pt idx="109">
                  <c:v>0.77433421005668013</c:v>
                </c:pt>
                <c:pt idx="110">
                  <c:v>0.84031282765763793</c:v>
                </c:pt>
                <c:pt idx="111">
                  <c:v>0.87910662206466084</c:v>
                </c:pt>
                <c:pt idx="112">
                  <c:v>0.65421702064258436</c:v>
                </c:pt>
                <c:pt idx="113">
                  <c:v>0.60169728445420301</c:v>
                </c:pt>
                <c:pt idx="114">
                  <c:v>0.60235398034082932</c:v>
                </c:pt>
                <c:pt idx="115">
                  <c:v>0.97623855857278263</c:v>
                </c:pt>
                <c:pt idx="116">
                  <c:v>1.2047213795221747</c:v>
                </c:pt>
                <c:pt idx="117">
                  <c:v>1.4568829159403758</c:v>
                </c:pt>
                <c:pt idx="118">
                  <c:v>1.3328447250462099</c:v>
                </c:pt>
                <c:pt idx="119">
                  <c:v>1.2782748212379289</c:v>
                </c:pt>
                <c:pt idx="120">
                  <c:v>0.78557159750068362</c:v>
                </c:pt>
                <c:pt idx="121">
                  <c:v>0.65213047530466506</c:v>
                </c:pt>
                <c:pt idx="122">
                  <c:v>0.68811718131775113</c:v>
                </c:pt>
                <c:pt idx="123">
                  <c:v>0.85363200659441274</c:v>
                </c:pt>
                <c:pt idx="124">
                  <c:v>1.055412992561708</c:v>
                </c:pt>
                <c:pt idx="125">
                  <c:v>1.6431151741118843</c:v>
                </c:pt>
                <c:pt idx="126">
                  <c:v>1.6345514809477617</c:v>
                </c:pt>
                <c:pt idx="127">
                  <c:v>1.7675151401901155</c:v>
                </c:pt>
                <c:pt idx="128">
                  <c:v>1.6155315112362949</c:v>
                </c:pt>
                <c:pt idx="129">
                  <c:v>1.3298343887324431</c:v>
                </c:pt>
                <c:pt idx="130">
                  <c:v>1.2964946478805475</c:v>
                </c:pt>
                <c:pt idx="131">
                  <c:v>1.4254952864644581</c:v>
                </c:pt>
                <c:pt idx="132">
                  <c:v>1.1503727163598501</c:v>
                </c:pt>
                <c:pt idx="133">
                  <c:v>1.0057027855971477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8CD-1345-8442-68C1CD29CA7C}"/>
            </c:ext>
          </c:extLst>
        </c:ser>
        <c:ser>
          <c:idx val="13"/>
          <c:order val="13"/>
          <c:tx>
            <c:strRef>
              <c:f>再投資累積報酬!$A$25:$B$25</c:f>
              <c:strCache>
                <c:ptCount val="2"/>
                <c:pt idx="0">
                  <c:v>大盤</c:v>
                </c:pt>
                <c:pt idx="1">
                  <c:v>TWII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再投資累積報酬!$C$25:$EF$25</c:f>
              <c:numCache>
                <c:formatCode>General</c:formatCode>
                <c:ptCount val="134"/>
                <c:pt idx="0">
                  <c:v>-1.7446770539390366E-2</c:v>
                </c:pt>
                <c:pt idx="1">
                  <c:v>2.893123339404724E-3</c:v>
                </c:pt>
                <c:pt idx="2">
                  <c:v>2.6944635852046872E-2</c:v>
                </c:pt>
                <c:pt idx="3">
                  <c:v>2.0210365301730038E-2</c:v>
                </c:pt>
                <c:pt idx="4">
                  <c:v>5.269909680859941E-2</c:v>
                </c:pt>
                <c:pt idx="5">
                  <c:v>8.8857766197530053E-2</c:v>
                </c:pt>
                <c:pt idx="6">
                  <c:v>7.9869318529145472E-2</c:v>
                </c:pt>
                <c:pt idx="7">
                  <c:v>9.3738646464063713E-2</c:v>
                </c:pt>
                <c:pt idx="8">
                  <c:v>3.7937714394164157E-2</c:v>
                </c:pt>
                <c:pt idx="9">
                  <c:v>3.8844812525307137E-2</c:v>
                </c:pt>
                <c:pt idx="10">
                  <c:v>6.3142951706360639E-2</c:v>
                </c:pt>
                <c:pt idx="11">
                  <c:v>7.6952085951054405E-2</c:v>
                </c:pt>
                <c:pt idx="12">
                  <c:v>8.3257197491512391E-2</c:v>
                </c:pt>
                <c:pt idx="13">
                  <c:v>0.11295275081672607</c:v>
                </c:pt>
                <c:pt idx="14">
                  <c:v>0.10882042835093308</c:v>
                </c:pt>
                <c:pt idx="15">
                  <c:v>0.13551706985268064</c:v>
                </c:pt>
                <c:pt idx="16">
                  <c:v>0.12167508804368476</c:v>
                </c:pt>
                <c:pt idx="17">
                  <c:v>7.7088976461827885E-2</c:v>
                </c:pt>
                <c:pt idx="18">
                  <c:v>-1.7059521199481731E-3</c:v>
                </c:pt>
                <c:pt idx="19">
                  <c:v>-5.9866792867339091E-2</c:v>
                </c:pt>
                <c:pt idx="20">
                  <c:v>-5.9140260213613516E-2</c:v>
                </c:pt>
                <c:pt idx="21">
                  <c:v>-1.7185893241652206E-2</c:v>
                </c:pt>
                <c:pt idx="22">
                  <c:v>-4.4409529547694393E-2</c:v>
                </c:pt>
                <c:pt idx="23">
                  <c:v>-4.2407561826578566E-2</c:v>
                </c:pt>
                <c:pt idx="24">
                  <c:v>-6.481575250614946E-2</c:v>
                </c:pt>
                <c:pt idx="25">
                  <c:v>-3.4768870774049443E-2</c:v>
                </c:pt>
                <c:pt idx="26">
                  <c:v>2.7817794451217015E-3</c:v>
                </c:pt>
                <c:pt idx="27">
                  <c:v>-4.0202844765013457E-2</c:v>
                </c:pt>
                <c:pt idx="28">
                  <c:v>-2.2305320482664204E-2</c:v>
                </c:pt>
                <c:pt idx="29">
                  <c:v>-7.4152570234460313E-3</c:v>
                </c:pt>
                <c:pt idx="30">
                  <c:v>2.8334274381314417E-2</c:v>
                </c:pt>
                <c:pt idx="31">
                  <c:v>3.7953941892352683E-2</c:v>
                </c:pt>
                <c:pt idx="32">
                  <c:v>4.9110131735873752E-2</c:v>
                </c:pt>
                <c:pt idx="33">
                  <c:v>6.3123886850196875E-2</c:v>
                </c:pt>
                <c:pt idx="34">
                  <c:v>5.7454515782098925E-2</c:v>
                </c:pt>
                <c:pt idx="35">
                  <c:v>5.8917118987427575E-2</c:v>
                </c:pt>
                <c:pt idx="36">
                  <c:v>8.0938283596681648E-2</c:v>
                </c:pt>
                <c:pt idx="37">
                  <c:v>0.11500697453770203</c:v>
                </c:pt>
                <c:pt idx="38">
                  <c:v>0.12196653200545171</c:v>
                </c:pt>
                <c:pt idx="39">
                  <c:v>0.12886130991117528</c:v>
                </c:pt>
                <c:pt idx="40">
                  <c:v>0.14799139743631429</c:v>
                </c:pt>
                <c:pt idx="41">
                  <c:v>0.18780698843660248</c:v>
                </c:pt>
                <c:pt idx="42">
                  <c:v>0.19148751365039929</c:v>
                </c:pt>
                <c:pt idx="43">
                  <c:v>0.20945675046088996</c:v>
                </c:pt>
                <c:pt idx="44">
                  <c:v>0.18617324550329584</c:v>
                </c:pt>
                <c:pt idx="45">
                  <c:v>0.23209180697664689</c:v>
                </c:pt>
                <c:pt idx="46">
                  <c:v>0.20516203655681697</c:v>
                </c:pt>
                <c:pt idx="47">
                  <c:v>0.21453132863303215</c:v>
                </c:pt>
                <c:pt idx="48">
                  <c:v>0.2660241129922889</c:v>
                </c:pt>
                <c:pt idx="49">
                  <c:v>0.23271631642995261</c:v>
                </c:pt>
                <c:pt idx="50">
                  <c:v>0.24451556797958407</c:v>
                </c:pt>
                <c:pt idx="51">
                  <c:v>0.21433638745422812</c:v>
                </c:pt>
                <c:pt idx="52">
                  <c:v>0.23882150637103883</c:v>
                </c:pt>
                <c:pt idx="53">
                  <c:v>0.23447943849994912</c:v>
                </c:pt>
                <c:pt idx="54">
                  <c:v>0.25935658802508499</c:v>
                </c:pt>
                <c:pt idx="55">
                  <c:v>0.26008869763716325</c:v>
                </c:pt>
                <c:pt idx="56">
                  <c:v>0.2535114114609236</c:v>
                </c:pt>
                <c:pt idx="57">
                  <c:v>0.10826483627727623</c:v>
                </c:pt>
                <c:pt idx="58">
                  <c:v>0.11793469710078752</c:v>
                </c:pt>
                <c:pt idx="59">
                  <c:v>9.9625988810205346E-2</c:v>
                </c:pt>
                <c:pt idx="60">
                  <c:v>0.12254260303831388</c:v>
                </c:pt>
                <c:pt idx="61">
                  <c:v>0.17302993558173996</c:v>
                </c:pt>
                <c:pt idx="62">
                  <c:v>0.20112905370185397</c:v>
                </c:pt>
                <c:pt idx="63">
                  <c:v>0.23745011694095197</c:v>
                </c:pt>
                <c:pt idx="64">
                  <c:v>0.18334151222801376</c:v>
                </c:pt>
                <c:pt idx="65">
                  <c:v>0.20924423024871497</c:v>
                </c:pt>
                <c:pt idx="66">
                  <c:v>0.21967690051673561</c:v>
                </c:pt>
                <c:pt idx="67">
                  <c:v>0.1962676978767699</c:v>
                </c:pt>
                <c:pt idx="68">
                  <c:v>0.21987619627534571</c:v>
                </c:pt>
                <c:pt idx="69">
                  <c:v>0.27805738326883356</c:v>
                </c:pt>
                <c:pt idx="70">
                  <c:v>0.29269729646247922</c:v>
                </c:pt>
                <c:pt idx="71">
                  <c:v>0.34857881761669129</c:v>
                </c:pt>
                <c:pt idx="72">
                  <c:v>0.2909305384219143</c:v>
                </c:pt>
                <c:pt idx="73">
                  <c:v>0.26793739709811137</c:v>
                </c:pt>
                <c:pt idx="74">
                  <c:v>7.628473289061688E-2</c:v>
                </c:pt>
                <c:pt idx="75">
                  <c:v>0.20998513144491437</c:v>
                </c:pt>
                <c:pt idx="76">
                  <c:v>0.20447092205281336</c:v>
                </c:pt>
                <c:pt idx="77">
                  <c:v>0.27699361006036605</c:v>
                </c:pt>
                <c:pt idx="78">
                  <c:v>0.38680488733361829</c:v>
                </c:pt>
                <c:pt idx="79">
                  <c:v>0.37874965946081551</c:v>
                </c:pt>
                <c:pt idx="80">
                  <c:v>0.37042015435709108</c:v>
                </c:pt>
                <c:pt idx="81">
                  <c:v>0.37378086910184649</c:v>
                </c:pt>
                <c:pt idx="82">
                  <c:v>0.49692143719092186</c:v>
                </c:pt>
                <c:pt idx="83">
                  <c:v>0.603191980394987</c:v>
                </c:pt>
                <c:pt idx="84">
                  <c:v>0.64675173719730239</c:v>
                </c:pt>
                <c:pt idx="85">
                  <c:v>0.73315421285472704</c:v>
                </c:pt>
                <c:pt idx="86">
                  <c:v>0.7842487445659152</c:v>
                </c:pt>
                <c:pt idx="87">
                  <c:v>0.90348131155309508</c:v>
                </c:pt>
                <c:pt idx="88">
                  <c:v>0.8487139113221478</c:v>
                </c:pt>
                <c:pt idx="89">
                  <c:v>0.92166881344527685</c:v>
                </c:pt>
                <c:pt idx="90">
                  <c:v>0.86588067898046694</c:v>
                </c:pt>
                <c:pt idx="91">
                  <c:v>0.89197293519067467</c:v>
                </c:pt>
                <c:pt idx="92">
                  <c:v>0.83090579105751727</c:v>
                </c:pt>
                <c:pt idx="93">
                  <c:v>0.83658814745105547</c:v>
                </c:pt>
                <c:pt idx="94">
                  <c:v>0.88358984642415717</c:v>
                </c:pt>
                <c:pt idx="95">
                  <c:v>0.9672059526983301</c:v>
                </c:pt>
                <c:pt idx="96">
                  <c:v>0.90752297284093331</c:v>
                </c:pt>
                <c:pt idx="97">
                  <c:v>0.90512335385454468</c:v>
                </c:pt>
                <c:pt idx="98">
                  <c:v>0.90957440110152876</c:v>
                </c:pt>
                <c:pt idx="99">
                  <c:v>0.78685723504233995</c:v>
                </c:pt>
                <c:pt idx="100">
                  <c:v>0.80992516787144164</c:v>
                </c:pt>
                <c:pt idx="101">
                  <c:v>0.58282101623526672</c:v>
                </c:pt>
                <c:pt idx="102">
                  <c:v>0.60132527488651344</c:v>
                </c:pt>
                <c:pt idx="103">
                  <c:v>0.61147422419279152</c:v>
                </c:pt>
                <c:pt idx="104">
                  <c:v>0.42243966588262949</c:v>
                </c:pt>
                <c:pt idx="105">
                  <c:v>0.37121637307647259</c:v>
                </c:pt>
                <c:pt idx="106">
                  <c:v>0.5616938276257708</c:v>
                </c:pt>
                <c:pt idx="107">
                  <c:v>0.48182332962932128</c:v>
                </c:pt>
                <c:pt idx="108">
                  <c:v>0.59552577817978314</c:v>
                </c:pt>
                <c:pt idx="109">
                  <c:v>0.62027043996328524</c:v>
                </c:pt>
                <c:pt idx="110">
                  <c:v>0.65789923395288952</c:v>
                </c:pt>
                <c:pt idx="111">
                  <c:v>0.62743885630809859</c:v>
                </c:pt>
                <c:pt idx="112">
                  <c:v>0.72866394865424411</c:v>
                </c:pt>
                <c:pt idx="113">
                  <c:v>0.76340716304992284</c:v>
                </c:pt>
                <c:pt idx="114">
                  <c:v>0.78721129009524526</c:v>
                </c:pt>
                <c:pt idx="115">
                  <c:v>0.73314419395664854</c:v>
                </c:pt>
                <c:pt idx="116">
                  <c:v>0.7036411650845571</c:v>
                </c:pt>
                <c:pt idx="117">
                  <c:v>0.666521339911188</c:v>
                </c:pt>
                <c:pt idx="118">
                  <c:v>0.80941825308633253</c:v>
                </c:pt>
                <c:pt idx="119">
                  <c:v>0.86027510799998974</c:v>
                </c:pt>
                <c:pt idx="120">
                  <c:v>0.85599059714061299</c:v>
                </c:pt>
                <c:pt idx="121">
                  <c:v>0.9645125910761998</c:v>
                </c:pt>
                <c:pt idx="122">
                  <c:v>1.0974294483812512</c:v>
                </c:pt>
                <c:pt idx="123">
                  <c:v>1.1079601605760616</c:v>
                </c:pt>
                <c:pt idx="124">
                  <c:v>1.1868319851241949</c:v>
                </c:pt>
                <c:pt idx="125">
                  <c:v>1.3707686184169408</c:v>
                </c:pt>
                <c:pt idx="126">
                  <c:v>1.2834475238077694</c:v>
                </c:pt>
                <c:pt idx="127">
                  <c:v>1.2905072649494538</c:v>
                </c:pt>
                <c:pt idx="128">
                  <c:v>1.2860233033025419</c:v>
                </c:pt>
                <c:pt idx="129">
                  <c:v>1.3465094307246845</c:v>
                </c:pt>
                <c:pt idx="130">
                  <c:v>1.2884273650883467</c:v>
                </c:pt>
                <c:pt idx="131">
                  <c:v>1.3664981882262612</c:v>
                </c:pt>
                <c:pt idx="132">
                  <c:v>1.4163413115117764</c:v>
                </c:pt>
                <c:pt idx="133">
                  <c:v>1.367344209826507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8CD-1345-8442-68C1CD29C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0814144"/>
        <c:axId val="576364432"/>
      </c:lineChart>
      <c:catAx>
        <c:axId val="174081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76364432"/>
        <c:crosses val="autoZero"/>
        <c:auto val="1"/>
        <c:lblAlgn val="ctr"/>
        <c:lblOffset val="100"/>
        <c:noMultiLvlLbl val="0"/>
      </c:catAx>
      <c:valAx>
        <c:axId val="57636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4081414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579967</xdr:colOff>
      <xdr:row>26</xdr:row>
      <xdr:rowOff>190501</xdr:rowOff>
    </xdr:from>
    <xdr:to>
      <xdr:col>9</xdr:col>
      <xdr:colOff>338667</xdr:colOff>
      <xdr:row>42</xdr:row>
      <xdr:rowOff>127001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118</xdr:col>
      <xdr:colOff>609600</xdr:colOff>
      <xdr:row>29</xdr:row>
      <xdr:rowOff>48114</xdr:rowOff>
    </xdr:from>
    <xdr:to>
      <xdr:col>130</xdr:col>
      <xdr:colOff>584200</xdr:colOff>
      <xdr:row>54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31"/>
  <sheetViews>
    <sheetView zoomScale="158" zoomScaleNormal="80" workbookViewId="0">
      <selection activeCell="C12" sqref="C12:EF24"/>
    </sheetView>
  </sheetViews>
  <sheetFormatPr baseColWidth="10" defaultColWidth="8.83203125" defaultRowHeight="15"/>
  <sheetData>
    <row r="1" spans="1:136" s="1" customFormat="1">
      <c r="A1" s="2" t="s">
        <v>209</v>
      </c>
    </row>
    <row r="2" spans="1:136" s="1" customFormat="1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  <c r="CN2" s="3" t="s">
        <v>90</v>
      </c>
      <c r="CO2" s="3" t="s">
        <v>91</v>
      </c>
      <c r="CP2" s="3" t="s">
        <v>92</v>
      </c>
      <c r="CQ2" s="3" t="s">
        <v>93</v>
      </c>
      <c r="CR2" s="3" t="s">
        <v>94</v>
      </c>
      <c r="CS2" s="3" t="s">
        <v>95</v>
      </c>
      <c r="CT2" s="3" t="s">
        <v>96</v>
      </c>
      <c r="CU2" s="3" t="s">
        <v>97</v>
      </c>
      <c r="CV2" s="3" t="s">
        <v>98</v>
      </c>
      <c r="CW2" s="3" t="s">
        <v>99</v>
      </c>
      <c r="CX2" s="3" t="s">
        <v>100</v>
      </c>
      <c r="CY2" s="3" t="s">
        <v>101</v>
      </c>
      <c r="CZ2" s="3" t="s">
        <v>102</v>
      </c>
      <c r="DA2" s="3" t="s">
        <v>103</v>
      </c>
      <c r="DB2" s="3" t="s">
        <v>104</v>
      </c>
      <c r="DC2" s="3" t="s">
        <v>105</v>
      </c>
      <c r="DD2" s="3" t="s">
        <v>106</v>
      </c>
      <c r="DE2" s="3" t="s">
        <v>107</v>
      </c>
      <c r="DF2" s="3" t="s">
        <v>108</v>
      </c>
      <c r="DG2" s="3" t="s">
        <v>109</v>
      </c>
      <c r="DH2" s="3" t="s">
        <v>110</v>
      </c>
      <c r="DI2" s="3" t="s">
        <v>111</v>
      </c>
      <c r="DJ2" s="3" t="s">
        <v>112</v>
      </c>
      <c r="DK2" s="3" t="s">
        <v>113</v>
      </c>
      <c r="DL2" s="3" t="s">
        <v>114</v>
      </c>
      <c r="DM2" s="3" t="s">
        <v>115</v>
      </c>
      <c r="DN2" s="3" t="s">
        <v>116</v>
      </c>
      <c r="DO2" s="3" t="s">
        <v>117</v>
      </c>
      <c r="DP2" s="3" t="s">
        <v>118</v>
      </c>
      <c r="DQ2" s="3" t="s">
        <v>119</v>
      </c>
      <c r="DR2" s="3" t="s">
        <v>120</v>
      </c>
      <c r="DS2" s="3" t="s">
        <v>121</v>
      </c>
      <c r="DT2" s="3" t="s">
        <v>122</v>
      </c>
      <c r="DU2" s="3" t="s">
        <v>123</v>
      </c>
      <c r="DV2" s="3" t="s">
        <v>124</v>
      </c>
      <c r="DW2" s="3" t="s">
        <v>125</v>
      </c>
      <c r="DX2" s="3" t="s">
        <v>126</v>
      </c>
      <c r="DY2" s="3" t="s">
        <v>127</v>
      </c>
      <c r="DZ2" s="3" t="s">
        <v>128</v>
      </c>
      <c r="EA2" s="3" t="s">
        <v>129</v>
      </c>
      <c r="EB2" s="3" t="s">
        <v>130</v>
      </c>
      <c r="EC2" s="3" t="s">
        <v>131</v>
      </c>
      <c r="ED2" s="3" t="s">
        <v>132</v>
      </c>
      <c r="EE2" s="3" t="s">
        <v>133</v>
      </c>
      <c r="EF2" s="3" t="s">
        <v>134</v>
      </c>
    </row>
    <row r="3" spans="1:136" s="1" customFormat="1">
      <c r="B3" s="2" t="s">
        <v>135</v>
      </c>
      <c r="C3" s="12">
        <v>-7.7981240861112869E-2</v>
      </c>
      <c r="D3" s="12">
        <v>-9.1720816001217079E-2</v>
      </c>
      <c r="E3" s="12">
        <v>-5.2859258612292397E-2</v>
      </c>
      <c r="F3" s="12">
        <v>-0.1154504478657486</v>
      </c>
      <c r="G3" s="12">
        <v>-8.3443116291576969E-2</v>
      </c>
      <c r="H3" s="12">
        <v>-2.6287928720926321E-3</v>
      </c>
      <c r="I3" s="12">
        <v>-9.17061944524626E-2</v>
      </c>
      <c r="J3" s="12">
        <v>-5.6085756879479871E-2</v>
      </c>
      <c r="K3" s="12">
        <v>-0.1008329194598508</v>
      </c>
      <c r="L3" s="12">
        <v>-0.10378006478536519</v>
      </c>
      <c r="M3" s="12">
        <v>5.5829241941196268E-2</v>
      </c>
      <c r="N3" s="12">
        <v>-0.1158619637464291</v>
      </c>
      <c r="O3" s="12">
        <v>-5.8513967337472099E-2</v>
      </c>
      <c r="P3" s="12">
        <v>-6.0458244885088289E-2</v>
      </c>
      <c r="Q3" s="12">
        <v>-5.3239297079499662E-2</v>
      </c>
      <c r="R3" s="12">
        <v>-0.1169489926289226</v>
      </c>
      <c r="S3" s="12">
        <v>-0.17262516521577451</v>
      </c>
      <c r="T3" s="12">
        <v>-3.5612527967292071E-2</v>
      </c>
      <c r="U3" s="12">
        <v>-0.1047373820130289</v>
      </c>
      <c r="V3" s="12">
        <v>5.4728173269898657E-2</v>
      </c>
      <c r="W3" s="12">
        <v>0.1104845400782864</v>
      </c>
      <c r="X3" s="12">
        <v>7.7152949246108812E-2</v>
      </c>
      <c r="Y3" s="12">
        <v>-2.1197940496231121E-2</v>
      </c>
      <c r="Z3" s="12">
        <v>-1.220412867494485E-2</v>
      </c>
      <c r="AA3" s="12">
        <v>5.8940158702571167E-2</v>
      </c>
      <c r="AB3" s="12">
        <v>1.704920567122593E-2</v>
      </c>
      <c r="AC3" s="12">
        <v>-2.8623729777447999E-2</v>
      </c>
      <c r="AD3" s="12">
        <v>3.8597994743491432E-2</v>
      </c>
      <c r="AE3" s="12">
        <v>4.5421821361275698E-2</v>
      </c>
      <c r="AF3" s="12">
        <v>-7.0671769100140664E-3</v>
      </c>
      <c r="AG3" s="12">
        <v>-8.8710520129031845E-3</v>
      </c>
      <c r="AH3" s="12">
        <v>0.1009192396033949</v>
      </c>
      <c r="AI3" s="12">
        <v>5.2187010509938972E-2</v>
      </c>
      <c r="AJ3" s="12">
        <v>0.1019691755674634</v>
      </c>
      <c r="AK3" s="12">
        <v>0.13211315672161919</v>
      </c>
      <c r="AL3" s="12">
        <v>8.0841310267837335E-2</v>
      </c>
      <c r="AM3" s="12">
        <v>6.6073941505882944E-2</v>
      </c>
      <c r="AN3" s="12">
        <v>4.5849550313755157E-2</v>
      </c>
      <c r="AO3" s="12">
        <v>0.1344236211085432</v>
      </c>
      <c r="AP3" s="12">
        <v>-5.4866828387549187E-2</v>
      </c>
      <c r="AQ3" s="12">
        <v>4.8332448898150193E-2</v>
      </c>
      <c r="AR3" s="12">
        <v>5.4465942771725943E-2</v>
      </c>
      <c r="AS3" s="12">
        <v>6.0627286759379943E-2</v>
      </c>
      <c r="AT3" s="12">
        <v>2.2903338702745881E-2</v>
      </c>
      <c r="AU3" s="12">
        <v>2.878024844402479E-2</v>
      </c>
      <c r="AV3" s="12">
        <v>-1.129205212894535E-2</v>
      </c>
      <c r="AW3" s="12">
        <v>6.7409820754134268E-3</v>
      </c>
      <c r="AX3" s="12">
        <v>6.9445703072046949E-2</v>
      </c>
      <c r="AY3" s="12">
        <v>7.2293980578513314E-2</v>
      </c>
      <c r="AZ3" s="12">
        <v>5.6782553627262748E-2</v>
      </c>
      <c r="BA3" s="12">
        <v>5.6751851388712939E-3</v>
      </c>
      <c r="BB3" s="12">
        <v>7.2435676593229636E-2</v>
      </c>
      <c r="BC3" s="12">
        <v>2.4104231358940049E-3</v>
      </c>
      <c r="BD3" s="12">
        <v>4.4457778288968727E-2</v>
      </c>
      <c r="BE3" s="12">
        <v>0.15640720996344051</v>
      </c>
      <c r="BF3" s="12">
        <v>8.961422115098705E-2</v>
      </c>
      <c r="BG3" s="12">
        <v>-4.5499959267627739E-2</v>
      </c>
      <c r="BH3" s="12">
        <v>1.473996831732775E-2</v>
      </c>
      <c r="BI3" s="12">
        <v>1.1467767379862339E-3</v>
      </c>
      <c r="BJ3" s="12">
        <v>3.82060916655452E-2</v>
      </c>
      <c r="BK3" s="12">
        <v>6.9204193024136371E-2</v>
      </c>
      <c r="BL3" s="12">
        <v>0.14599637517714301</v>
      </c>
      <c r="BM3" s="12">
        <v>7.7671454044817706E-2</v>
      </c>
      <c r="BN3" s="12">
        <v>-1.4934546848394969E-3</v>
      </c>
      <c r="BO3" s="12">
        <v>0.15075036572727429</v>
      </c>
      <c r="BP3" s="12">
        <v>0.1068808738908148</v>
      </c>
      <c r="BQ3" s="12">
        <v>1.221444016343416E-2</v>
      </c>
      <c r="BR3" s="12">
        <v>3.2309492446798579E-2</v>
      </c>
      <c r="BS3" s="12">
        <v>7.5715218722114425E-2</v>
      </c>
      <c r="BT3" s="12">
        <v>0.1476948601503042</v>
      </c>
      <c r="BU3" s="12">
        <v>1.817214867790248E-2</v>
      </c>
      <c r="BV3" s="12">
        <v>6.6489869867815826E-2</v>
      </c>
      <c r="BW3" s="12">
        <v>3.8195592237729163E-2</v>
      </c>
      <c r="BX3" s="12">
        <v>4.7621234363544103E-2</v>
      </c>
      <c r="BY3" s="12">
        <v>3.3277385006537187E-2</v>
      </c>
      <c r="BZ3" s="12">
        <v>-6.0454023977282903E-2</v>
      </c>
      <c r="CA3" s="12">
        <v>5.2148142226918692E-4</v>
      </c>
      <c r="CB3" s="12">
        <v>2.326190927136889E-2</v>
      </c>
      <c r="CC3" s="12">
        <v>-2.6286266288861861E-2</v>
      </c>
      <c r="CD3" s="12">
        <v>5.2057462476054299E-2</v>
      </c>
      <c r="CE3" s="12">
        <v>-0.1062476229187161</v>
      </c>
      <c r="CF3" s="12">
        <v>-0.1195660454549131</v>
      </c>
      <c r="CG3" s="12">
        <v>-1.0499463273261581E-2</v>
      </c>
      <c r="CH3" s="12">
        <v>-2.3835366421230391E-2</v>
      </c>
      <c r="CI3" s="12">
        <v>-4.3365220517483233E-3</v>
      </c>
      <c r="CJ3" s="12">
        <v>5.8870363779287586E-3</v>
      </c>
      <c r="CK3" s="12">
        <v>2.2369140646099479E-2</v>
      </c>
      <c r="CL3" s="12">
        <v>-8.2212452947380901E-2</v>
      </c>
      <c r="CM3" s="12">
        <v>-0.12682704685249099</v>
      </c>
      <c r="CN3" s="12">
        <v>-8.4592786355010396E-3</v>
      </c>
      <c r="CO3" s="12">
        <v>-0.13500465547665971</v>
      </c>
      <c r="CP3" s="12">
        <v>1.33854440155954E-2</v>
      </c>
      <c r="CQ3" s="12">
        <v>-5.12789058806579E-2</v>
      </c>
      <c r="CR3" s="12">
        <v>-9.4660334746213826E-2</v>
      </c>
      <c r="CS3" s="12">
        <v>-7.7501744984071919E-2</v>
      </c>
      <c r="CT3" s="12">
        <v>6.3427668130038306E-2</v>
      </c>
      <c r="CU3" s="12">
        <v>-0.10211731197922071</v>
      </c>
      <c r="CV3" s="12">
        <v>-0.1210008636864883</v>
      </c>
      <c r="CW3" s="12">
        <v>-8.3771057290789874E-2</v>
      </c>
      <c r="CX3" s="12">
        <v>-0.108143131485795</v>
      </c>
      <c r="CY3" s="12">
        <v>-4.0161757016129222E-2</v>
      </c>
      <c r="CZ3" s="12">
        <v>-1.5386044424255171E-3</v>
      </c>
      <c r="DA3" s="12">
        <v>-7.7524493053387863E-2</v>
      </c>
      <c r="DB3" s="12">
        <v>-7.879063134946046E-3</v>
      </c>
      <c r="DC3" s="12">
        <v>-2.6882932084816711E-2</v>
      </c>
      <c r="DD3" s="12">
        <v>6.9093120815518799E-2</v>
      </c>
      <c r="DE3" s="12">
        <v>-4.3347804073038947E-2</v>
      </c>
      <c r="DF3" s="12">
        <v>5.87554125627009E-2</v>
      </c>
      <c r="DG3" s="12">
        <v>6.4753773039743015E-2</v>
      </c>
      <c r="DH3" s="12">
        <v>-1.287213930098646E-3</v>
      </c>
      <c r="DI3" s="12">
        <v>2.1640077633277799E-2</v>
      </c>
      <c r="DJ3" s="12">
        <v>-4.5030711038867167E-2</v>
      </c>
      <c r="DK3" s="12">
        <v>-1.3122204761795811E-2</v>
      </c>
      <c r="DL3" s="12">
        <v>-6.044882202770601E-2</v>
      </c>
      <c r="DM3" s="12">
        <v>-1.0592752749389599E-2</v>
      </c>
      <c r="DN3" s="12">
        <v>7.7435014643364664E-2</v>
      </c>
      <c r="DO3" s="12">
        <v>-5.4992856655808733E-2</v>
      </c>
      <c r="DP3" s="12">
        <v>7.556841599905624E-2</v>
      </c>
      <c r="DQ3" s="12">
        <v>4.187756543775777E-3</v>
      </c>
      <c r="DR3" s="12">
        <v>-5.5104292662403291E-2</v>
      </c>
      <c r="DS3" s="12">
        <v>0.10263669436748039</v>
      </c>
      <c r="DT3" s="12">
        <v>-4.0717186288007967E-2</v>
      </c>
      <c r="DU3" s="12">
        <v>7.639250584652096E-3</v>
      </c>
      <c r="DV3" s="12">
        <v>-6.6126173971523872E-2</v>
      </c>
      <c r="DW3" s="12">
        <v>7.8117337673435386E-2</v>
      </c>
      <c r="DX3" s="12">
        <v>1.6019937584861629E-2</v>
      </c>
      <c r="DY3" s="12">
        <v>1.4410244062000451E-2</v>
      </c>
      <c r="DZ3" s="12">
        <v>-0.1079887966876449</v>
      </c>
      <c r="EA3" s="12">
        <v>1.1807195335730179E-2</v>
      </c>
      <c r="EB3" s="12">
        <v>6.3675145630864198E-3</v>
      </c>
      <c r="EC3" s="12">
        <v>0.1146690600079793</v>
      </c>
      <c r="ED3" s="12">
        <v>-0.13301760440885349</v>
      </c>
      <c r="EE3" s="12">
        <v>-8.3212161647068517E-2</v>
      </c>
      <c r="EF3" s="12">
        <v>-7.4711540898400819E-2</v>
      </c>
    </row>
    <row r="4" spans="1:136" s="1" customFormat="1">
      <c r="B4" s="2" t="s">
        <v>136</v>
      </c>
      <c r="C4" s="12">
        <v>-7.4711540898400819E-2</v>
      </c>
      <c r="D4" s="12">
        <v>-7.4711540898400819E-2</v>
      </c>
      <c r="E4" s="12">
        <v>-7.4711540898400819E-2</v>
      </c>
      <c r="F4" s="12">
        <v>-7.4711540898400819E-2</v>
      </c>
      <c r="G4" s="12">
        <v>-7.4711540898400819E-2</v>
      </c>
      <c r="H4" s="12">
        <v>-7.4711540898400819E-2</v>
      </c>
      <c r="I4" s="12">
        <v>-7.4711540898400819E-2</v>
      </c>
      <c r="J4" s="12">
        <v>-7.4711540898400819E-2</v>
      </c>
      <c r="K4" s="12">
        <v>-7.4711540898400819E-2</v>
      </c>
      <c r="L4" s="12">
        <v>-7.4711540898400819E-2</v>
      </c>
      <c r="M4" s="12">
        <v>-7.4711540898400819E-2</v>
      </c>
      <c r="N4" s="12">
        <v>-7.4711540898400819E-2</v>
      </c>
      <c r="O4" s="12">
        <v>-7.4711540898400819E-2</v>
      </c>
      <c r="P4" s="12">
        <v>-7.4711540898400819E-2</v>
      </c>
      <c r="Q4" s="12">
        <v>-7.4711540898400819E-2</v>
      </c>
      <c r="R4" s="12">
        <v>-7.4711540898400819E-2</v>
      </c>
      <c r="S4" s="12">
        <v>-7.4711540898400819E-2</v>
      </c>
      <c r="T4" s="12">
        <v>-7.4711540898400819E-2</v>
      </c>
      <c r="U4" s="12">
        <v>-7.4711540898400819E-2</v>
      </c>
      <c r="V4" s="12">
        <v>-7.4711540898400819E-2</v>
      </c>
      <c r="W4" s="12">
        <v>-7.4711540898400819E-2</v>
      </c>
      <c r="X4" s="12">
        <v>-7.4711540898400819E-2</v>
      </c>
      <c r="Y4" s="12">
        <v>-7.4711540898400819E-2</v>
      </c>
      <c r="Z4" s="12">
        <v>-7.4711540898400819E-2</v>
      </c>
      <c r="AA4" s="12">
        <v>-7.4711540898400819E-2</v>
      </c>
      <c r="AB4" s="12">
        <v>-7.4711540898400819E-2</v>
      </c>
      <c r="AC4" s="12">
        <v>-7.4711540898400819E-2</v>
      </c>
      <c r="AD4" s="12">
        <v>-7.4711540898400819E-2</v>
      </c>
      <c r="AE4" s="12">
        <v>-7.4711540898400819E-2</v>
      </c>
      <c r="AF4" s="12">
        <v>-7.4711540898400819E-2</v>
      </c>
      <c r="AG4" s="12">
        <v>-7.4711540898400819E-2</v>
      </c>
      <c r="AH4" s="12">
        <v>-7.4711540898400819E-2</v>
      </c>
      <c r="AI4" s="12">
        <v>-7.4711540898400819E-2</v>
      </c>
      <c r="AJ4" s="12">
        <v>-7.4711540898400819E-2</v>
      </c>
      <c r="AK4" s="12">
        <v>-7.4711540898400819E-2</v>
      </c>
      <c r="AL4" s="12">
        <v>-7.4711540898400819E-2</v>
      </c>
      <c r="AM4" s="12">
        <v>-7.4711540898400819E-2</v>
      </c>
      <c r="AN4" s="12">
        <v>-7.4711540898400819E-2</v>
      </c>
      <c r="AO4" s="12">
        <v>-7.4711540898400819E-2</v>
      </c>
      <c r="AP4" s="12">
        <v>-7.4711540898400819E-2</v>
      </c>
      <c r="AQ4" s="12">
        <v>-7.4711540898400819E-2</v>
      </c>
      <c r="AR4" s="12">
        <v>-7.4711540898400819E-2</v>
      </c>
      <c r="AS4" s="12">
        <v>-7.4711540898400819E-2</v>
      </c>
      <c r="AT4" s="12">
        <v>-7.4711540898400819E-2</v>
      </c>
      <c r="AU4" s="12">
        <v>-7.4711540898400819E-2</v>
      </c>
      <c r="AV4" s="12">
        <v>-7.4711540898400819E-2</v>
      </c>
      <c r="AW4" s="12">
        <v>-7.4711540898400819E-2</v>
      </c>
      <c r="AX4" s="12">
        <v>-7.4711540898400819E-2</v>
      </c>
      <c r="AY4" s="12">
        <v>-7.4711540898400819E-2</v>
      </c>
      <c r="AZ4" s="12">
        <v>-7.4711540898400819E-2</v>
      </c>
      <c r="BA4" s="12">
        <v>-7.4711540898400819E-2</v>
      </c>
      <c r="BB4" s="12">
        <v>-7.4711540898400819E-2</v>
      </c>
      <c r="BC4" s="12">
        <v>-7.4711540898400819E-2</v>
      </c>
      <c r="BD4" s="12">
        <v>-7.4711540898400819E-2</v>
      </c>
      <c r="BE4" s="12">
        <v>-7.4711540898400819E-2</v>
      </c>
      <c r="BF4" s="12">
        <v>-7.4711540898400819E-2</v>
      </c>
      <c r="BG4" s="12">
        <v>-7.4711540898400819E-2</v>
      </c>
      <c r="BH4" s="12">
        <v>-7.4711540898400819E-2</v>
      </c>
      <c r="BI4" s="12">
        <v>-7.4711540898400819E-2</v>
      </c>
      <c r="BJ4" s="12">
        <v>-7.4711540898400819E-2</v>
      </c>
      <c r="BK4" s="12">
        <v>-7.4711540898400819E-2</v>
      </c>
      <c r="BL4" s="12">
        <v>-7.4711540898400819E-2</v>
      </c>
      <c r="BM4" s="12">
        <v>-7.4711540898400819E-2</v>
      </c>
      <c r="BN4" s="12">
        <v>-7.4711540898400819E-2</v>
      </c>
      <c r="BO4" s="12">
        <v>-7.4711540898400819E-2</v>
      </c>
      <c r="BP4" s="12">
        <v>-7.4711540898400819E-2</v>
      </c>
      <c r="BQ4" s="12">
        <v>-7.4711540898400819E-2</v>
      </c>
      <c r="BR4" s="12">
        <v>-7.4711540898400819E-2</v>
      </c>
      <c r="BS4" s="12">
        <v>-7.4711540898400819E-2</v>
      </c>
      <c r="BT4" s="12">
        <v>-7.4711540898400819E-2</v>
      </c>
      <c r="BU4" s="12">
        <v>-7.4711540898400819E-2</v>
      </c>
      <c r="BV4" s="12">
        <v>-7.4711540898400819E-2</v>
      </c>
      <c r="BW4" s="12">
        <v>-7.4711540898400819E-2</v>
      </c>
      <c r="BX4" s="12">
        <v>-7.4711540898400819E-2</v>
      </c>
      <c r="BY4" s="12">
        <v>-7.4711540898400819E-2</v>
      </c>
      <c r="BZ4" s="12">
        <v>-7.4711540898400819E-2</v>
      </c>
      <c r="CA4" s="12">
        <v>-7.4711540898400819E-2</v>
      </c>
      <c r="CB4" s="12">
        <v>-7.4711540898400819E-2</v>
      </c>
      <c r="CC4" s="12">
        <v>-7.4711540898400819E-2</v>
      </c>
      <c r="CD4" s="12">
        <v>-7.4711540898400819E-2</v>
      </c>
      <c r="CE4" s="12">
        <v>-7.4711540898400819E-2</v>
      </c>
      <c r="CF4" s="12">
        <v>-7.4711540898400819E-2</v>
      </c>
      <c r="CG4" s="12">
        <v>-7.4711540898400819E-2</v>
      </c>
      <c r="CH4" s="12">
        <v>-7.4711540898400819E-2</v>
      </c>
      <c r="CI4" s="12">
        <v>-7.4711540898400819E-2</v>
      </c>
      <c r="CJ4" s="12">
        <v>-7.4711540898400819E-2</v>
      </c>
      <c r="CK4" s="12">
        <v>-7.4711540898400819E-2</v>
      </c>
      <c r="CL4" s="12">
        <v>-7.4711540898400819E-2</v>
      </c>
      <c r="CM4" s="12">
        <v>-7.4711540898400819E-2</v>
      </c>
      <c r="CN4" s="12">
        <v>-7.4711540898400819E-2</v>
      </c>
      <c r="CO4" s="12">
        <v>-7.4711540898400819E-2</v>
      </c>
      <c r="CP4" s="12">
        <v>-7.4711540898400819E-2</v>
      </c>
      <c r="CQ4" s="12">
        <v>-7.4711540898400819E-2</v>
      </c>
      <c r="CR4" s="12">
        <v>-7.4711540898400819E-2</v>
      </c>
      <c r="CS4" s="12">
        <v>-7.4711540898400819E-2</v>
      </c>
      <c r="CT4" s="12">
        <v>-7.4711540898400819E-2</v>
      </c>
      <c r="CU4" s="12">
        <v>-7.4711540898400819E-2</v>
      </c>
      <c r="CV4" s="12">
        <v>-7.4711540898400819E-2</v>
      </c>
      <c r="CW4" s="12">
        <v>-7.4711540898400819E-2</v>
      </c>
      <c r="CX4" s="12">
        <v>-7.4711540898400819E-2</v>
      </c>
      <c r="CY4" s="12">
        <v>-7.4711540898400819E-2</v>
      </c>
      <c r="CZ4" s="12">
        <v>-7.4711540898400819E-2</v>
      </c>
      <c r="DA4" s="12">
        <v>-7.4711540898400819E-2</v>
      </c>
      <c r="DB4" s="12">
        <v>-7.4711540898400819E-2</v>
      </c>
      <c r="DC4" s="12">
        <v>-7.4711540898400819E-2</v>
      </c>
      <c r="DD4" s="12">
        <v>-7.4711540898400819E-2</v>
      </c>
      <c r="DE4" s="12">
        <v>-7.4711540898400819E-2</v>
      </c>
      <c r="DF4" s="12">
        <v>-7.4711540898400819E-2</v>
      </c>
      <c r="DG4" s="12">
        <v>-7.4711540898400819E-2</v>
      </c>
      <c r="DH4" s="12">
        <v>-7.4711540898400819E-2</v>
      </c>
      <c r="DI4" s="12">
        <v>-7.4711540898400819E-2</v>
      </c>
      <c r="DJ4" s="12">
        <v>-7.4711540898400819E-2</v>
      </c>
      <c r="DK4" s="12">
        <v>-7.4711540898400819E-2</v>
      </c>
      <c r="DL4" s="12">
        <v>-7.4711540898400819E-2</v>
      </c>
      <c r="DM4" s="12">
        <v>-7.4711540898400819E-2</v>
      </c>
      <c r="DN4" s="12">
        <v>-7.4711540898400819E-2</v>
      </c>
      <c r="DO4" s="12">
        <v>-7.4711540898400819E-2</v>
      </c>
      <c r="DP4" s="12">
        <v>-7.4711540898400819E-2</v>
      </c>
      <c r="DQ4" s="12">
        <v>-7.4711540898400819E-2</v>
      </c>
      <c r="DR4" s="12">
        <v>-7.4711540898400819E-2</v>
      </c>
      <c r="DS4" s="12">
        <v>-7.4711540898400819E-2</v>
      </c>
      <c r="DT4" s="12">
        <v>-7.4711540898400819E-2</v>
      </c>
      <c r="DU4" s="12">
        <v>-7.4711540898400819E-2</v>
      </c>
      <c r="DV4" s="12">
        <v>-7.4711540898400819E-2</v>
      </c>
      <c r="DW4" s="12">
        <v>-7.4711540898400819E-2</v>
      </c>
      <c r="DX4" s="12">
        <v>-7.4711540898400819E-2</v>
      </c>
      <c r="DY4" s="12">
        <v>-7.4711540898400819E-2</v>
      </c>
      <c r="DZ4" s="12">
        <v>-7.4711540898400819E-2</v>
      </c>
      <c r="EA4" s="12">
        <v>-7.4711540898400819E-2</v>
      </c>
      <c r="EB4" s="12">
        <v>-7.4711540898400819E-2</v>
      </c>
      <c r="EC4" s="12">
        <v>-7.4711540898400819E-2</v>
      </c>
      <c r="ED4" s="12">
        <v>-7.4711540898400819E-2</v>
      </c>
      <c r="EE4" s="12">
        <v>-7.4711540898400819E-2</v>
      </c>
      <c r="EF4" s="12">
        <v>-7.4711540898400819E-2</v>
      </c>
    </row>
    <row r="5" spans="1:136" s="1" customFormat="1">
      <c r="B5" s="2" t="s">
        <v>137</v>
      </c>
      <c r="C5" s="12">
        <v>-7.4711540898400819E-2</v>
      </c>
      <c r="D5" s="12">
        <v>-7.4711540898400819E-2</v>
      </c>
      <c r="E5" s="12">
        <v>-7.4711540898400819E-2</v>
      </c>
      <c r="F5" s="12">
        <v>-7.4711540898400819E-2</v>
      </c>
      <c r="G5" s="12">
        <v>-7.4711540898400819E-2</v>
      </c>
      <c r="H5" s="12">
        <v>-7.4711540898400819E-2</v>
      </c>
      <c r="I5" s="12">
        <v>-7.4711540898400819E-2</v>
      </c>
      <c r="J5" s="12">
        <v>-7.4711540898400819E-2</v>
      </c>
      <c r="K5" s="12">
        <v>-7.4711540898400819E-2</v>
      </c>
      <c r="L5" s="12">
        <v>-7.4711540898400819E-2</v>
      </c>
      <c r="M5" s="12">
        <v>-7.4711540898400819E-2</v>
      </c>
      <c r="N5" s="12">
        <v>-7.4711540898400819E-2</v>
      </c>
      <c r="O5" s="12">
        <v>-7.4711540898400819E-2</v>
      </c>
      <c r="P5" s="12">
        <v>-7.4711540898400819E-2</v>
      </c>
      <c r="Q5" s="12">
        <v>-7.4711540898400819E-2</v>
      </c>
      <c r="R5" s="12">
        <v>-7.4711540898400819E-2</v>
      </c>
      <c r="S5" s="12">
        <v>-7.4711540898400819E-2</v>
      </c>
      <c r="T5" s="12">
        <v>-7.4711540898400819E-2</v>
      </c>
      <c r="U5" s="12">
        <v>-7.4711540898400819E-2</v>
      </c>
      <c r="V5" s="12">
        <v>-7.4711540898400819E-2</v>
      </c>
      <c r="W5" s="12">
        <v>-7.4711540898400819E-2</v>
      </c>
      <c r="X5" s="12">
        <v>-7.4711540898400819E-2</v>
      </c>
      <c r="Y5" s="12">
        <v>-7.4711540898400819E-2</v>
      </c>
      <c r="Z5" s="12">
        <v>-7.4711540898400819E-2</v>
      </c>
      <c r="AA5" s="12">
        <v>-7.4711540898400819E-2</v>
      </c>
      <c r="AB5" s="12">
        <v>-7.4711540898400819E-2</v>
      </c>
      <c r="AC5" s="12">
        <v>-7.4711540898400819E-2</v>
      </c>
      <c r="AD5" s="12">
        <v>-7.4711540898400819E-2</v>
      </c>
      <c r="AE5" s="12">
        <v>-7.4711540898400819E-2</v>
      </c>
      <c r="AF5" s="12">
        <v>-7.4711540898400819E-2</v>
      </c>
      <c r="AG5" s="12">
        <v>-7.4711540898400819E-2</v>
      </c>
      <c r="AH5" s="12">
        <v>-7.4711540898400819E-2</v>
      </c>
      <c r="AI5" s="12">
        <v>-7.4711540898400819E-2</v>
      </c>
      <c r="AJ5" s="12">
        <v>-7.4711540898400819E-2</v>
      </c>
      <c r="AK5" s="12">
        <v>-7.4711540898400819E-2</v>
      </c>
      <c r="AL5" s="12">
        <v>-7.4711540898400819E-2</v>
      </c>
      <c r="AM5" s="12">
        <v>-7.4711540898400819E-2</v>
      </c>
      <c r="AN5" s="12">
        <v>-7.4711540898400819E-2</v>
      </c>
      <c r="AO5" s="12">
        <v>-7.4711540898400819E-2</v>
      </c>
      <c r="AP5" s="12">
        <v>-7.4711540898400819E-2</v>
      </c>
      <c r="AQ5" s="12">
        <v>-7.4711540898400819E-2</v>
      </c>
      <c r="AR5" s="12">
        <v>-7.4711540898400819E-2</v>
      </c>
      <c r="AS5" s="12">
        <v>-7.4711540898400819E-2</v>
      </c>
      <c r="AT5" s="12">
        <v>-7.4711540898400819E-2</v>
      </c>
      <c r="AU5" s="12">
        <v>-7.4711540898400819E-2</v>
      </c>
      <c r="AV5" s="12">
        <v>-7.4711540898400819E-2</v>
      </c>
      <c r="AW5" s="12">
        <v>-7.4711540898400819E-2</v>
      </c>
      <c r="AX5" s="12">
        <v>-7.4711540898400819E-2</v>
      </c>
      <c r="AY5" s="12">
        <v>-7.4711540898400819E-2</v>
      </c>
      <c r="AZ5" s="12">
        <v>-7.4711540898400819E-2</v>
      </c>
      <c r="BA5" s="12">
        <v>-7.4711540898400819E-2</v>
      </c>
      <c r="BB5" s="12">
        <v>-7.4711540898400819E-2</v>
      </c>
      <c r="BC5" s="12">
        <v>-7.4711540898400819E-2</v>
      </c>
      <c r="BD5" s="12">
        <v>-7.4711540898400819E-2</v>
      </c>
      <c r="BE5" s="12">
        <v>-7.4711540898400819E-2</v>
      </c>
      <c r="BF5" s="12">
        <v>-7.4711540898400819E-2</v>
      </c>
      <c r="BG5" s="12">
        <v>-7.4711540898400819E-2</v>
      </c>
      <c r="BH5" s="12">
        <v>-7.4711540898400819E-2</v>
      </c>
      <c r="BI5" s="12">
        <v>-7.4711540898400819E-2</v>
      </c>
      <c r="BJ5" s="12">
        <v>-7.4711540898400819E-2</v>
      </c>
      <c r="BK5" s="12">
        <v>-7.4711540898400819E-2</v>
      </c>
      <c r="BL5" s="12">
        <v>-7.4711540898400819E-2</v>
      </c>
      <c r="BM5" s="12">
        <v>-7.4711540898400819E-2</v>
      </c>
      <c r="BN5" s="12">
        <v>-7.4711540898400819E-2</v>
      </c>
      <c r="BO5" s="12">
        <v>-7.4711540898400819E-2</v>
      </c>
      <c r="BP5" s="12">
        <v>-7.4711540898400819E-2</v>
      </c>
      <c r="BQ5" s="12">
        <v>-7.4711540898400819E-2</v>
      </c>
      <c r="BR5" s="12">
        <v>-7.4711540898400819E-2</v>
      </c>
      <c r="BS5" s="12">
        <v>-7.4711540898400819E-2</v>
      </c>
      <c r="BT5" s="12">
        <v>-7.4711540898400819E-2</v>
      </c>
      <c r="BU5" s="12">
        <v>-7.4711540898400819E-2</v>
      </c>
      <c r="BV5" s="12">
        <v>-7.4711540898400819E-2</v>
      </c>
      <c r="BW5" s="12">
        <v>-7.4711540898400819E-2</v>
      </c>
      <c r="BX5" s="12">
        <v>-7.4711540898400819E-2</v>
      </c>
      <c r="BY5" s="12">
        <v>-7.4711540898400819E-2</v>
      </c>
      <c r="BZ5" s="12">
        <v>-7.4711540898400819E-2</v>
      </c>
      <c r="CA5" s="12">
        <v>-7.4711540898400819E-2</v>
      </c>
      <c r="CB5" s="12">
        <v>-7.4711540898400819E-2</v>
      </c>
      <c r="CC5" s="12">
        <v>-7.4711540898400819E-2</v>
      </c>
      <c r="CD5" s="12">
        <v>-7.4711540898400819E-2</v>
      </c>
      <c r="CE5" s="12">
        <v>-7.4711540898400819E-2</v>
      </c>
      <c r="CF5" s="12">
        <v>-7.4711540898400819E-2</v>
      </c>
      <c r="CG5" s="12">
        <v>-7.4711540898400819E-2</v>
      </c>
      <c r="CH5" s="12">
        <v>-7.4711540898400819E-2</v>
      </c>
      <c r="CI5" s="12">
        <v>-7.4711540898400819E-2</v>
      </c>
      <c r="CJ5" s="12">
        <v>-7.4711540898400819E-2</v>
      </c>
      <c r="CK5" s="12">
        <v>-7.4711540898400819E-2</v>
      </c>
      <c r="CL5" s="12">
        <v>-7.4711540898400819E-2</v>
      </c>
      <c r="CM5" s="12">
        <v>-7.4711540898400819E-2</v>
      </c>
      <c r="CN5" s="12">
        <v>-7.4711540898400819E-2</v>
      </c>
      <c r="CO5" s="12">
        <v>-7.4711540898400819E-2</v>
      </c>
      <c r="CP5" s="12">
        <v>-7.4711540898400819E-2</v>
      </c>
      <c r="CQ5" s="12">
        <v>-7.4711540898400819E-2</v>
      </c>
      <c r="CR5" s="12">
        <v>-7.4711540898400819E-2</v>
      </c>
      <c r="CS5" s="12">
        <v>-7.4711540898400819E-2</v>
      </c>
      <c r="CT5" s="12">
        <v>-7.4711540898400819E-2</v>
      </c>
      <c r="CU5" s="12">
        <v>-7.4711540898400819E-2</v>
      </c>
      <c r="CV5" s="12">
        <v>-7.4711540898400819E-2</v>
      </c>
      <c r="CW5" s="12">
        <v>-7.4711540898400819E-2</v>
      </c>
      <c r="CX5" s="12">
        <v>-7.4711540898400819E-2</v>
      </c>
      <c r="CY5" s="12">
        <v>-7.4711540898400819E-2</v>
      </c>
      <c r="CZ5" s="12">
        <v>-7.4711540898400819E-2</v>
      </c>
      <c r="DA5" s="12">
        <v>-7.4711540898400819E-2</v>
      </c>
      <c r="DB5" s="12">
        <v>-7.4711540898400819E-2</v>
      </c>
      <c r="DC5" s="12">
        <v>-7.4711540898400819E-2</v>
      </c>
      <c r="DD5" s="12">
        <v>-7.4711540898400819E-2</v>
      </c>
      <c r="DE5" s="12">
        <v>-7.4711540898400819E-2</v>
      </c>
      <c r="DF5" s="12">
        <v>-7.4711540898400819E-2</v>
      </c>
      <c r="DG5" s="12">
        <v>-7.4711540898400819E-2</v>
      </c>
      <c r="DH5" s="12">
        <v>-7.4711540898400819E-2</v>
      </c>
      <c r="DI5" s="12">
        <v>-7.4711540898400819E-2</v>
      </c>
      <c r="DJ5" s="12">
        <v>-7.4711540898400819E-2</v>
      </c>
      <c r="DK5" s="12">
        <v>-7.4711540898400819E-2</v>
      </c>
      <c r="DL5" s="12">
        <v>-7.4711540898400819E-2</v>
      </c>
      <c r="DM5" s="12">
        <v>-7.4711540898400819E-2</v>
      </c>
      <c r="DN5" s="12">
        <v>-7.4711540898400819E-2</v>
      </c>
      <c r="DO5" s="12">
        <v>-7.4711540898400819E-2</v>
      </c>
      <c r="DP5" s="12">
        <v>-7.4711540898400819E-2</v>
      </c>
      <c r="DQ5" s="12">
        <v>-7.4711540898400819E-2</v>
      </c>
      <c r="DR5" s="12">
        <v>-7.4711540898400819E-2</v>
      </c>
      <c r="DS5" s="12">
        <v>-7.4711540898400819E-2</v>
      </c>
      <c r="DT5" s="12">
        <v>-7.4711540898400819E-2</v>
      </c>
      <c r="DU5" s="12">
        <v>-7.4711540898400819E-2</v>
      </c>
      <c r="DV5" s="12">
        <v>-7.4711540898400819E-2</v>
      </c>
      <c r="DW5" s="12">
        <v>-7.4711540898400819E-2</v>
      </c>
      <c r="DX5" s="12">
        <v>-7.4711540898400819E-2</v>
      </c>
      <c r="DY5" s="12">
        <v>-7.4711540898400819E-2</v>
      </c>
      <c r="DZ5" s="12">
        <v>-7.4711540898400819E-2</v>
      </c>
      <c r="EA5" s="12">
        <v>-7.4711540898400819E-2</v>
      </c>
      <c r="EB5" s="12">
        <v>-7.4711540898400819E-2</v>
      </c>
      <c r="EC5" s="12">
        <v>-7.4711540898400819E-2</v>
      </c>
      <c r="ED5" s="12">
        <v>-7.4711540898400819E-2</v>
      </c>
      <c r="EE5" s="12">
        <v>-7.4711540898400819E-2</v>
      </c>
      <c r="EF5" s="12">
        <v>-7.4711540898400819E-2</v>
      </c>
    </row>
    <row r="6" spans="1:136" s="1" customFormat="1">
      <c r="A6" s="2" t="s">
        <v>138</v>
      </c>
      <c r="C6" s="12">
        <f t="array" ref="C6">MATCH(MAX(ABS(C3:C5)),ABS(C3:C5),0)</f>
        <v>1</v>
      </c>
      <c r="D6" s="12">
        <f t="array" ref="D6">MATCH(MAX(ABS(D3:D5)),ABS(D3:D5),0)</f>
        <v>1</v>
      </c>
      <c r="E6" s="12">
        <f t="array" ref="E6">MATCH(MAX(ABS(E3:E5)),ABS(E3:E5),0)</f>
        <v>2</v>
      </c>
      <c r="F6" s="12">
        <f t="array" ref="F6">MATCH(MAX(ABS(F3:F5)),ABS(F3:F5),0)</f>
        <v>1</v>
      </c>
      <c r="G6" s="12">
        <f t="array" ref="G6">MATCH(MAX(ABS(G3:G5)),ABS(G3:G5),0)</f>
        <v>1</v>
      </c>
      <c r="H6" s="12">
        <f t="array" ref="H6">MATCH(MAX(ABS(H3:H5)),ABS(H3:H5),0)</f>
        <v>2</v>
      </c>
      <c r="I6" s="12">
        <f t="array" ref="I6">MATCH(MAX(ABS(I3:I5)),ABS(I3:I5),0)</f>
        <v>1</v>
      </c>
      <c r="J6" s="12">
        <f t="array" ref="J6">MATCH(MAX(ABS(J3:J5)),ABS(J3:J5),0)</f>
        <v>2</v>
      </c>
      <c r="K6" s="12">
        <f t="array" ref="K6">MATCH(MAX(ABS(K3:K5)),ABS(K3:K5),0)</f>
        <v>1</v>
      </c>
      <c r="L6" s="12">
        <f t="array" ref="L6">MATCH(MAX(ABS(L3:L5)),ABS(L3:L5),0)</f>
        <v>1</v>
      </c>
      <c r="M6" s="12">
        <f t="array" ref="M6">MATCH(MAX(ABS(M3:M5)),ABS(M3:M5),0)</f>
        <v>2</v>
      </c>
      <c r="N6" s="12">
        <f t="array" ref="N6">MATCH(MAX(ABS(N3:N5)),ABS(N3:N5),0)</f>
        <v>1</v>
      </c>
      <c r="O6" s="12">
        <f t="array" ref="O6">MATCH(MAX(ABS(O3:O5)),ABS(O3:O5),0)</f>
        <v>2</v>
      </c>
      <c r="P6" s="12">
        <f t="array" ref="P6">MATCH(MAX(ABS(P3:P5)),ABS(P3:P5),0)</f>
        <v>2</v>
      </c>
      <c r="Q6" s="12">
        <f t="array" ref="Q6">MATCH(MAX(ABS(Q3:Q5)),ABS(Q3:Q5),0)</f>
        <v>2</v>
      </c>
      <c r="R6" s="12">
        <f t="array" ref="R6">MATCH(MAX(ABS(R3:R5)),ABS(R3:R5),0)</f>
        <v>1</v>
      </c>
      <c r="S6" s="12">
        <f t="array" ref="S6">MATCH(MAX(ABS(S3:S5)),ABS(S3:S5),0)</f>
        <v>1</v>
      </c>
      <c r="T6" s="12">
        <f t="array" ref="T6">MATCH(MAX(ABS(T3:T5)),ABS(T3:T5),0)</f>
        <v>2</v>
      </c>
      <c r="U6" s="12">
        <f t="array" ref="U6">MATCH(MAX(ABS(U3:U5)),ABS(U3:U5),0)</f>
        <v>1</v>
      </c>
      <c r="V6" s="12">
        <f t="array" ref="V6">MATCH(MAX(ABS(V3:V5)),ABS(V3:V5),0)</f>
        <v>2</v>
      </c>
      <c r="W6" s="12">
        <f t="array" ref="W6">MATCH(MAX(ABS(W3:W5)),ABS(W3:W5),0)</f>
        <v>1</v>
      </c>
      <c r="X6" s="12">
        <f t="array" ref="X6">MATCH(MAX(ABS(X3:X5)),ABS(X3:X5),0)</f>
        <v>1</v>
      </c>
      <c r="Y6" s="12">
        <f t="array" ref="Y6">MATCH(MAX(ABS(Y3:Y5)),ABS(Y3:Y5),0)</f>
        <v>2</v>
      </c>
      <c r="Z6" s="12">
        <f t="array" ref="Z6">MATCH(MAX(ABS(Z3:Z5)),ABS(Z3:Z5),0)</f>
        <v>2</v>
      </c>
      <c r="AA6" s="12">
        <f t="array" ref="AA6">MATCH(MAX(ABS(AA3:AA5)),ABS(AA3:AA5),0)</f>
        <v>2</v>
      </c>
      <c r="AB6" s="12">
        <f t="array" ref="AB6">MATCH(MAX(ABS(AB3:AB5)),ABS(AB3:AB5),0)</f>
        <v>2</v>
      </c>
      <c r="AC6" s="12">
        <f t="array" ref="AC6">MATCH(MAX(ABS(AC3:AC5)),ABS(AC3:AC5),0)</f>
        <v>2</v>
      </c>
      <c r="AD6" s="12">
        <f t="array" ref="AD6">MATCH(MAX(ABS(AD3:AD5)),ABS(AD3:AD5),0)</f>
        <v>2</v>
      </c>
      <c r="AE6" s="12">
        <f t="array" ref="AE6">MATCH(MAX(ABS(AE3:AE5)),ABS(AE3:AE5),0)</f>
        <v>2</v>
      </c>
      <c r="AF6" s="12">
        <f t="array" ref="AF6">MATCH(MAX(ABS(AF3:AF5)),ABS(AF3:AF5),0)</f>
        <v>2</v>
      </c>
      <c r="AG6" s="12">
        <f t="array" ref="AG6">MATCH(MAX(ABS(AG3:AG5)),ABS(AG3:AG5),0)</f>
        <v>2</v>
      </c>
      <c r="AH6" s="12">
        <f t="array" ref="AH6">MATCH(MAX(ABS(AH3:AH5)),ABS(AH3:AH5),0)</f>
        <v>1</v>
      </c>
      <c r="AI6" s="12">
        <f t="array" ref="AI6">MATCH(MAX(ABS(AI3:AI5)),ABS(AI3:AI5),0)</f>
        <v>2</v>
      </c>
      <c r="AJ6" s="12">
        <f t="array" ref="AJ6">MATCH(MAX(ABS(AJ3:AJ5)),ABS(AJ3:AJ5),0)</f>
        <v>1</v>
      </c>
      <c r="AK6" s="12">
        <f t="array" ref="AK6">MATCH(MAX(ABS(AK3:AK5)),ABS(AK3:AK5),0)</f>
        <v>1</v>
      </c>
      <c r="AL6" s="12">
        <f t="array" ref="AL6">MATCH(MAX(ABS(AL3:AL5)),ABS(AL3:AL5),0)</f>
        <v>1</v>
      </c>
      <c r="AM6" s="12">
        <f t="array" ref="AM6">MATCH(MAX(ABS(AM3:AM5)),ABS(AM3:AM5),0)</f>
        <v>2</v>
      </c>
      <c r="AN6" s="12">
        <f t="array" ref="AN6">MATCH(MAX(ABS(AN3:AN5)),ABS(AN3:AN5),0)</f>
        <v>2</v>
      </c>
      <c r="AO6" s="12">
        <f t="array" ref="AO6">MATCH(MAX(ABS(AO3:AO5)),ABS(AO3:AO5),0)</f>
        <v>1</v>
      </c>
      <c r="AP6" s="12">
        <f t="array" ref="AP6">MATCH(MAX(ABS(AP3:AP5)),ABS(AP3:AP5),0)</f>
        <v>2</v>
      </c>
      <c r="AQ6" s="12">
        <f t="array" ref="AQ6">MATCH(MAX(ABS(AQ3:AQ5)),ABS(AQ3:AQ5),0)</f>
        <v>2</v>
      </c>
      <c r="AR6" s="12">
        <f t="array" ref="AR6">MATCH(MAX(ABS(AR3:AR5)),ABS(AR3:AR5),0)</f>
        <v>2</v>
      </c>
      <c r="AS6" s="12">
        <f t="array" ref="AS6">MATCH(MAX(ABS(AS3:AS5)),ABS(AS3:AS5),0)</f>
        <v>2</v>
      </c>
      <c r="AT6" s="12">
        <f t="array" ref="AT6">MATCH(MAX(ABS(AT3:AT5)),ABS(AT3:AT5),0)</f>
        <v>2</v>
      </c>
      <c r="AU6" s="12">
        <f t="array" ref="AU6">MATCH(MAX(ABS(AU3:AU5)),ABS(AU3:AU5),0)</f>
        <v>2</v>
      </c>
      <c r="AV6" s="12">
        <f t="array" ref="AV6">MATCH(MAX(ABS(AV3:AV5)),ABS(AV3:AV5),0)</f>
        <v>2</v>
      </c>
      <c r="AW6" s="12">
        <f t="array" ref="AW6">MATCH(MAX(ABS(AW3:AW5)),ABS(AW3:AW5),0)</f>
        <v>2</v>
      </c>
      <c r="AX6" s="12">
        <f t="array" ref="AX6">MATCH(MAX(ABS(AX3:AX5)),ABS(AX3:AX5),0)</f>
        <v>2</v>
      </c>
      <c r="AY6" s="12">
        <f t="array" ref="AY6">MATCH(MAX(ABS(AY3:AY5)),ABS(AY3:AY5),0)</f>
        <v>2</v>
      </c>
      <c r="AZ6" s="12">
        <f t="array" ref="AZ6">MATCH(MAX(ABS(AZ3:AZ5)),ABS(AZ3:AZ5),0)</f>
        <v>2</v>
      </c>
      <c r="BA6" s="12">
        <f t="array" ref="BA6">MATCH(MAX(ABS(BA3:BA5)),ABS(BA3:BA5),0)</f>
        <v>2</v>
      </c>
      <c r="BB6" s="12">
        <f t="array" ref="BB6">MATCH(MAX(ABS(BB3:BB5)),ABS(BB3:BB5),0)</f>
        <v>2</v>
      </c>
      <c r="BC6" s="12">
        <f t="array" ref="BC6">MATCH(MAX(ABS(BC3:BC5)),ABS(BC3:BC5),0)</f>
        <v>2</v>
      </c>
      <c r="BD6" s="12">
        <f t="array" ref="BD6">MATCH(MAX(ABS(BD3:BD5)),ABS(BD3:BD5),0)</f>
        <v>2</v>
      </c>
      <c r="BE6" s="12">
        <f t="array" ref="BE6">MATCH(MAX(ABS(BE3:BE5)),ABS(BE3:BE5),0)</f>
        <v>1</v>
      </c>
      <c r="BF6" s="12">
        <f t="array" ref="BF6">MATCH(MAX(ABS(BF3:BF5)),ABS(BF3:BF5),0)</f>
        <v>1</v>
      </c>
      <c r="BG6" s="12">
        <f t="array" ref="BG6">MATCH(MAX(ABS(BG3:BG5)),ABS(BG3:BG5),0)</f>
        <v>2</v>
      </c>
      <c r="BH6" s="12">
        <f t="array" ref="BH6">MATCH(MAX(ABS(BH3:BH5)),ABS(BH3:BH5),0)</f>
        <v>2</v>
      </c>
      <c r="BI6" s="12">
        <f t="array" ref="BI6">MATCH(MAX(ABS(BI3:BI5)),ABS(BI3:BI5),0)</f>
        <v>2</v>
      </c>
      <c r="BJ6" s="12">
        <f t="array" ref="BJ6">MATCH(MAX(ABS(BJ3:BJ5)),ABS(BJ3:BJ5),0)</f>
        <v>2</v>
      </c>
      <c r="BK6" s="12">
        <f t="array" ref="BK6">MATCH(MAX(ABS(BK3:BK5)),ABS(BK3:BK5),0)</f>
        <v>2</v>
      </c>
      <c r="BL6" s="12">
        <f t="array" ref="BL6">MATCH(MAX(ABS(BL3:BL5)),ABS(BL3:BL5),0)</f>
        <v>1</v>
      </c>
      <c r="BM6" s="12">
        <f t="array" ref="BM6">MATCH(MAX(ABS(BM3:BM5)),ABS(BM3:BM5),0)</f>
        <v>1</v>
      </c>
      <c r="BN6" s="12">
        <f t="array" ref="BN6">MATCH(MAX(ABS(BN3:BN5)),ABS(BN3:BN5),0)</f>
        <v>2</v>
      </c>
      <c r="BO6" s="12">
        <f t="array" ref="BO6">MATCH(MAX(ABS(BO3:BO5)),ABS(BO3:BO5),0)</f>
        <v>1</v>
      </c>
      <c r="BP6" s="12">
        <f t="array" ref="BP6">MATCH(MAX(ABS(BP3:BP5)),ABS(BP3:BP5),0)</f>
        <v>1</v>
      </c>
      <c r="BQ6" s="12">
        <f t="array" ref="BQ6">MATCH(MAX(ABS(BQ3:BQ5)),ABS(BQ3:BQ5),0)</f>
        <v>2</v>
      </c>
      <c r="BR6" s="12">
        <f t="array" ref="BR6">MATCH(MAX(ABS(BR3:BR5)),ABS(BR3:BR5),0)</f>
        <v>2</v>
      </c>
      <c r="BS6" s="12">
        <f t="array" ref="BS6">MATCH(MAX(ABS(BS3:BS5)),ABS(BS3:BS5),0)</f>
        <v>1</v>
      </c>
      <c r="BT6" s="12">
        <f t="array" ref="BT6">MATCH(MAX(ABS(BT3:BT5)),ABS(BT3:BT5),0)</f>
        <v>1</v>
      </c>
      <c r="BU6" s="12">
        <f t="array" ref="BU6">MATCH(MAX(ABS(BU3:BU5)),ABS(BU3:BU5),0)</f>
        <v>2</v>
      </c>
      <c r="BV6" s="12">
        <f t="array" ref="BV6">MATCH(MAX(ABS(BV3:BV5)),ABS(BV3:BV5),0)</f>
        <v>2</v>
      </c>
      <c r="BW6" s="12">
        <f t="array" ref="BW6">MATCH(MAX(ABS(BW3:BW5)),ABS(BW3:BW5),0)</f>
        <v>2</v>
      </c>
      <c r="BX6" s="12">
        <f t="array" ref="BX6">MATCH(MAX(ABS(BX3:BX5)),ABS(BX3:BX5),0)</f>
        <v>2</v>
      </c>
      <c r="BY6" s="12">
        <f t="array" ref="BY6">MATCH(MAX(ABS(BY3:BY5)),ABS(BY3:BY5),0)</f>
        <v>2</v>
      </c>
      <c r="BZ6" s="12">
        <f t="array" ref="BZ6">MATCH(MAX(ABS(BZ3:BZ5)),ABS(BZ3:BZ5),0)</f>
        <v>2</v>
      </c>
      <c r="CA6" s="12">
        <f t="array" ref="CA6">MATCH(MAX(ABS(CA3:CA5)),ABS(CA3:CA5),0)</f>
        <v>2</v>
      </c>
      <c r="CB6" s="12">
        <f t="array" ref="CB6">MATCH(MAX(ABS(CB3:CB5)),ABS(CB3:CB5),0)</f>
        <v>2</v>
      </c>
      <c r="CC6" s="12">
        <f t="array" ref="CC6">MATCH(MAX(ABS(CC3:CC5)),ABS(CC3:CC5),0)</f>
        <v>2</v>
      </c>
      <c r="CD6" s="12">
        <f t="array" ref="CD6">MATCH(MAX(ABS(CD3:CD5)),ABS(CD3:CD5),0)</f>
        <v>2</v>
      </c>
      <c r="CE6" s="12">
        <f t="array" ref="CE6">MATCH(MAX(ABS(CE3:CE5)),ABS(CE3:CE5),0)</f>
        <v>1</v>
      </c>
      <c r="CF6" s="12">
        <f t="array" ref="CF6">MATCH(MAX(ABS(CF3:CF5)),ABS(CF3:CF5),0)</f>
        <v>1</v>
      </c>
      <c r="CG6" s="12">
        <f t="array" ref="CG6">MATCH(MAX(ABS(CG3:CG5)),ABS(CG3:CG5),0)</f>
        <v>2</v>
      </c>
      <c r="CH6" s="12">
        <f t="array" ref="CH6">MATCH(MAX(ABS(CH3:CH5)),ABS(CH3:CH5),0)</f>
        <v>2</v>
      </c>
      <c r="CI6" s="12">
        <f t="array" ref="CI6">MATCH(MAX(ABS(CI3:CI5)),ABS(CI3:CI5),0)</f>
        <v>2</v>
      </c>
      <c r="CJ6" s="12">
        <f t="array" ref="CJ6">MATCH(MAX(ABS(CJ3:CJ5)),ABS(CJ3:CJ5),0)</f>
        <v>2</v>
      </c>
      <c r="CK6" s="12">
        <f t="array" ref="CK6">MATCH(MAX(ABS(CK3:CK5)),ABS(CK3:CK5),0)</f>
        <v>2</v>
      </c>
      <c r="CL6" s="12">
        <f t="array" ref="CL6">MATCH(MAX(ABS(CL3:CL5)),ABS(CL3:CL5),0)</f>
        <v>1</v>
      </c>
      <c r="CM6" s="12">
        <f t="array" ref="CM6">MATCH(MAX(ABS(CM3:CM5)),ABS(CM3:CM5),0)</f>
        <v>1</v>
      </c>
      <c r="CN6" s="12">
        <f t="array" ref="CN6">MATCH(MAX(ABS(CN3:CN5)),ABS(CN3:CN5),0)</f>
        <v>2</v>
      </c>
      <c r="CO6" s="12">
        <f t="array" ref="CO6">MATCH(MAX(ABS(CO3:CO5)),ABS(CO3:CO5),0)</f>
        <v>1</v>
      </c>
      <c r="CP6" s="12">
        <f t="array" ref="CP6">MATCH(MAX(ABS(CP3:CP5)),ABS(CP3:CP5),0)</f>
        <v>2</v>
      </c>
      <c r="CQ6" s="12">
        <f t="array" ref="CQ6">MATCH(MAX(ABS(CQ3:CQ5)),ABS(CQ3:CQ5),0)</f>
        <v>2</v>
      </c>
      <c r="CR6" s="12">
        <f t="array" ref="CR6">MATCH(MAX(ABS(CR3:CR5)),ABS(CR3:CR5),0)</f>
        <v>1</v>
      </c>
      <c r="CS6" s="12">
        <f t="array" ref="CS6">MATCH(MAX(ABS(CS3:CS5)),ABS(CS3:CS5),0)</f>
        <v>1</v>
      </c>
      <c r="CT6" s="12">
        <f t="array" ref="CT6">MATCH(MAX(ABS(CT3:CT5)),ABS(CT3:CT5),0)</f>
        <v>2</v>
      </c>
      <c r="CU6" s="12">
        <f t="array" ref="CU6">MATCH(MAX(ABS(CU3:CU5)),ABS(CU3:CU5),0)</f>
        <v>1</v>
      </c>
      <c r="CV6" s="12">
        <f t="array" ref="CV6">MATCH(MAX(ABS(CV3:CV5)),ABS(CV3:CV5),0)</f>
        <v>1</v>
      </c>
      <c r="CW6" s="12">
        <f t="array" ref="CW6">MATCH(MAX(ABS(CW3:CW5)),ABS(CW3:CW5),0)</f>
        <v>1</v>
      </c>
      <c r="CX6" s="12">
        <f t="array" ref="CX6">MATCH(MAX(ABS(CX3:CX5)),ABS(CX3:CX5),0)</f>
        <v>1</v>
      </c>
      <c r="CY6" s="12">
        <f t="array" ref="CY6">MATCH(MAX(ABS(CY3:CY5)),ABS(CY3:CY5),0)</f>
        <v>2</v>
      </c>
      <c r="CZ6" s="12">
        <f t="array" ref="CZ6">MATCH(MAX(ABS(CZ3:CZ5)),ABS(CZ3:CZ5),0)</f>
        <v>2</v>
      </c>
      <c r="DA6" s="12">
        <f t="array" ref="DA6">MATCH(MAX(ABS(DA3:DA5)),ABS(DA3:DA5),0)</f>
        <v>1</v>
      </c>
      <c r="DB6" s="12">
        <f t="array" ref="DB6">MATCH(MAX(ABS(DB3:DB5)),ABS(DB3:DB5),0)</f>
        <v>2</v>
      </c>
      <c r="DC6" s="12">
        <f t="array" ref="DC6">MATCH(MAX(ABS(DC3:DC5)),ABS(DC3:DC5),0)</f>
        <v>2</v>
      </c>
      <c r="DD6" s="12">
        <f t="array" ref="DD6">MATCH(MAX(ABS(DD3:DD5)),ABS(DD3:DD5),0)</f>
        <v>2</v>
      </c>
      <c r="DE6" s="12">
        <f t="array" ref="DE6">MATCH(MAX(ABS(DE3:DE5)),ABS(DE3:DE5),0)</f>
        <v>2</v>
      </c>
      <c r="DF6" s="12">
        <f t="array" ref="DF6">MATCH(MAX(ABS(DF3:DF5)),ABS(DF3:DF5),0)</f>
        <v>2</v>
      </c>
      <c r="DG6" s="12">
        <f t="array" ref="DG6">MATCH(MAX(ABS(DG3:DG5)),ABS(DG3:DG5),0)</f>
        <v>2</v>
      </c>
      <c r="DH6" s="12">
        <f t="array" ref="DH6">MATCH(MAX(ABS(DH3:DH5)),ABS(DH3:DH5),0)</f>
        <v>2</v>
      </c>
      <c r="DI6" s="12">
        <f t="array" ref="DI6">MATCH(MAX(ABS(DI3:DI5)),ABS(DI3:DI5),0)</f>
        <v>2</v>
      </c>
      <c r="DJ6" s="12">
        <f t="array" ref="DJ6">MATCH(MAX(ABS(DJ3:DJ5)),ABS(DJ3:DJ5),0)</f>
        <v>2</v>
      </c>
      <c r="DK6" s="12">
        <f t="array" ref="DK6">MATCH(MAX(ABS(DK3:DK5)),ABS(DK3:DK5),0)</f>
        <v>2</v>
      </c>
      <c r="DL6" s="12">
        <f t="array" ref="DL6">MATCH(MAX(ABS(DL3:DL5)),ABS(DL3:DL5),0)</f>
        <v>2</v>
      </c>
      <c r="DM6" s="12">
        <f t="array" ref="DM6">MATCH(MAX(ABS(DM3:DM5)),ABS(DM3:DM5),0)</f>
        <v>2</v>
      </c>
      <c r="DN6" s="12">
        <f t="array" ref="DN6">MATCH(MAX(ABS(DN3:DN5)),ABS(DN3:DN5),0)</f>
        <v>1</v>
      </c>
      <c r="DO6" s="12">
        <f t="array" ref="DO6">MATCH(MAX(ABS(DO3:DO5)),ABS(DO3:DO5),0)</f>
        <v>2</v>
      </c>
      <c r="DP6" s="12">
        <f t="array" ref="DP6">MATCH(MAX(ABS(DP3:DP5)),ABS(DP3:DP5),0)</f>
        <v>1</v>
      </c>
      <c r="DQ6" s="12">
        <f t="array" ref="DQ6">MATCH(MAX(ABS(DQ3:DQ5)),ABS(DQ3:DQ5),0)</f>
        <v>2</v>
      </c>
      <c r="DR6" s="12">
        <f t="array" ref="DR6">MATCH(MAX(ABS(DR3:DR5)),ABS(DR3:DR5),0)</f>
        <v>2</v>
      </c>
      <c r="DS6" s="12">
        <f t="array" ref="DS6">MATCH(MAX(ABS(DS3:DS5)),ABS(DS3:DS5),0)</f>
        <v>1</v>
      </c>
      <c r="DT6" s="12">
        <f t="array" ref="DT6">MATCH(MAX(ABS(DT3:DT5)),ABS(DT3:DT5),0)</f>
        <v>2</v>
      </c>
      <c r="DU6" s="12">
        <f t="array" ref="DU6">MATCH(MAX(ABS(DU3:DU5)),ABS(DU3:DU5),0)</f>
        <v>2</v>
      </c>
      <c r="DV6" s="12">
        <f t="array" ref="DV6">MATCH(MAX(ABS(DV3:DV5)),ABS(DV3:DV5),0)</f>
        <v>2</v>
      </c>
      <c r="DW6" s="12">
        <f t="array" ref="DW6">MATCH(MAX(ABS(DW3:DW5)),ABS(DW3:DW5),0)</f>
        <v>1</v>
      </c>
      <c r="DX6" s="12">
        <f t="array" ref="DX6">MATCH(MAX(ABS(DX3:DX5)),ABS(DX3:DX5),0)</f>
        <v>2</v>
      </c>
      <c r="DY6" s="12">
        <f t="array" ref="DY6">MATCH(MAX(ABS(DY3:DY5)),ABS(DY3:DY5),0)</f>
        <v>2</v>
      </c>
      <c r="DZ6" s="12">
        <f t="array" ref="DZ6">MATCH(MAX(ABS(DZ3:DZ5)),ABS(DZ3:DZ5),0)</f>
        <v>1</v>
      </c>
      <c r="EA6" s="12">
        <f t="array" ref="EA6">MATCH(MAX(ABS(EA3:EA5)),ABS(EA3:EA5),0)</f>
        <v>2</v>
      </c>
      <c r="EB6" s="12">
        <f t="array" ref="EB6">MATCH(MAX(ABS(EB3:EB5)),ABS(EB3:EB5),0)</f>
        <v>2</v>
      </c>
      <c r="EC6" s="12">
        <f t="array" ref="EC6">MATCH(MAX(ABS(EC3:EC5)),ABS(EC3:EC5),0)</f>
        <v>1</v>
      </c>
      <c r="ED6" s="12">
        <f t="array" ref="ED6">MATCH(MAX(ABS(ED3:ED5)),ABS(ED3:ED5),0)</f>
        <v>1</v>
      </c>
      <c r="EE6" s="12">
        <f t="array" ref="EE6">MATCH(MAX(ABS(EE3:EE5)),ABS(EE3:EE5),0)</f>
        <v>1</v>
      </c>
      <c r="EF6" s="12">
        <f t="array" ref="EF6">MATCH(MAX(ABS(EF3:EF5)),ABS(EF3:EF5),0)</f>
        <v>1</v>
      </c>
    </row>
    <row r="7" spans="1:136">
      <c r="C7" s="13" t="str">
        <f t="shared" ref="C7:AH7" si="0">IF(C6=1,"bm",IF(C6=2,"size",IF(C6=3,"mom")))</f>
        <v>bm</v>
      </c>
      <c r="D7" s="13" t="str">
        <f t="shared" si="0"/>
        <v>bm</v>
      </c>
      <c r="E7" s="13" t="str">
        <f t="shared" si="0"/>
        <v>size</v>
      </c>
      <c r="F7" s="13" t="str">
        <f t="shared" si="0"/>
        <v>bm</v>
      </c>
      <c r="G7" s="13" t="str">
        <f t="shared" si="0"/>
        <v>bm</v>
      </c>
      <c r="H7" s="13" t="str">
        <f t="shared" si="0"/>
        <v>size</v>
      </c>
      <c r="I7" s="13" t="str">
        <f t="shared" si="0"/>
        <v>bm</v>
      </c>
      <c r="J7" s="13" t="str">
        <f t="shared" si="0"/>
        <v>size</v>
      </c>
      <c r="K7" s="13" t="str">
        <f t="shared" si="0"/>
        <v>bm</v>
      </c>
      <c r="L7" s="13" t="str">
        <f t="shared" si="0"/>
        <v>bm</v>
      </c>
      <c r="M7" s="13" t="str">
        <f t="shared" si="0"/>
        <v>size</v>
      </c>
      <c r="N7" s="13" t="str">
        <f t="shared" si="0"/>
        <v>bm</v>
      </c>
      <c r="O7" s="13" t="str">
        <f t="shared" si="0"/>
        <v>size</v>
      </c>
      <c r="P7" s="13" t="str">
        <f t="shared" si="0"/>
        <v>size</v>
      </c>
      <c r="Q7" s="13" t="str">
        <f t="shared" si="0"/>
        <v>size</v>
      </c>
      <c r="R7" s="13" t="str">
        <f t="shared" si="0"/>
        <v>bm</v>
      </c>
      <c r="S7" s="13" t="str">
        <f t="shared" si="0"/>
        <v>bm</v>
      </c>
      <c r="T7" s="13" t="str">
        <f t="shared" si="0"/>
        <v>size</v>
      </c>
      <c r="U7" s="13" t="str">
        <f t="shared" si="0"/>
        <v>bm</v>
      </c>
      <c r="V7" s="13" t="str">
        <f t="shared" si="0"/>
        <v>size</v>
      </c>
      <c r="W7" s="13" t="str">
        <f t="shared" si="0"/>
        <v>bm</v>
      </c>
      <c r="X7" s="13" t="str">
        <f t="shared" si="0"/>
        <v>bm</v>
      </c>
      <c r="Y7" s="13" t="str">
        <f t="shared" si="0"/>
        <v>size</v>
      </c>
      <c r="Z7" s="13" t="str">
        <f t="shared" si="0"/>
        <v>size</v>
      </c>
      <c r="AA7" s="13" t="str">
        <f t="shared" si="0"/>
        <v>size</v>
      </c>
      <c r="AB7" s="13" t="str">
        <f t="shared" si="0"/>
        <v>size</v>
      </c>
      <c r="AC7" s="13" t="str">
        <f t="shared" si="0"/>
        <v>size</v>
      </c>
      <c r="AD7" s="13" t="str">
        <f t="shared" si="0"/>
        <v>size</v>
      </c>
      <c r="AE7" s="13" t="str">
        <f t="shared" si="0"/>
        <v>size</v>
      </c>
      <c r="AF7" s="13" t="str">
        <f t="shared" si="0"/>
        <v>size</v>
      </c>
      <c r="AG7" s="13" t="str">
        <f t="shared" si="0"/>
        <v>size</v>
      </c>
      <c r="AH7" s="13" t="str">
        <f t="shared" si="0"/>
        <v>bm</v>
      </c>
      <c r="AI7" s="13" t="str">
        <f t="shared" ref="AI7:BN7" si="1">IF(AI6=1,"bm",IF(AI6=2,"size",IF(AI6=3,"mom")))</f>
        <v>size</v>
      </c>
      <c r="AJ7" s="13" t="str">
        <f t="shared" si="1"/>
        <v>bm</v>
      </c>
      <c r="AK7" s="13" t="str">
        <f t="shared" si="1"/>
        <v>bm</v>
      </c>
      <c r="AL7" s="13" t="str">
        <f t="shared" si="1"/>
        <v>bm</v>
      </c>
      <c r="AM7" s="13" t="str">
        <f t="shared" si="1"/>
        <v>size</v>
      </c>
      <c r="AN7" s="13" t="str">
        <f t="shared" si="1"/>
        <v>size</v>
      </c>
      <c r="AO7" s="13" t="str">
        <f t="shared" si="1"/>
        <v>bm</v>
      </c>
      <c r="AP7" s="13" t="str">
        <f t="shared" si="1"/>
        <v>size</v>
      </c>
      <c r="AQ7" s="13" t="str">
        <f t="shared" si="1"/>
        <v>size</v>
      </c>
      <c r="AR7" s="13" t="str">
        <f t="shared" si="1"/>
        <v>size</v>
      </c>
      <c r="AS7" s="13" t="str">
        <f t="shared" si="1"/>
        <v>size</v>
      </c>
      <c r="AT7" s="13" t="str">
        <f t="shared" si="1"/>
        <v>size</v>
      </c>
      <c r="AU7" s="13" t="str">
        <f t="shared" si="1"/>
        <v>size</v>
      </c>
      <c r="AV7" s="13" t="str">
        <f t="shared" si="1"/>
        <v>size</v>
      </c>
      <c r="AW7" s="13" t="str">
        <f t="shared" si="1"/>
        <v>size</v>
      </c>
      <c r="AX7" s="13" t="str">
        <f t="shared" si="1"/>
        <v>size</v>
      </c>
      <c r="AY7" s="13" t="str">
        <f t="shared" si="1"/>
        <v>size</v>
      </c>
      <c r="AZ7" s="13" t="str">
        <f t="shared" si="1"/>
        <v>size</v>
      </c>
      <c r="BA7" s="13" t="str">
        <f t="shared" si="1"/>
        <v>size</v>
      </c>
      <c r="BB7" s="13" t="str">
        <f t="shared" si="1"/>
        <v>size</v>
      </c>
      <c r="BC7" s="13" t="str">
        <f t="shared" si="1"/>
        <v>size</v>
      </c>
      <c r="BD7" s="13" t="str">
        <f t="shared" si="1"/>
        <v>size</v>
      </c>
      <c r="BE7" s="13" t="str">
        <f t="shared" si="1"/>
        <v>bm</v>
      </c>
      <c r="BF7" s="13" t="str">
        <f t="shared" si="1"/>
        <v>bm</v>
      </c>
      <c r="BG7" s="13" t="str">
        <f t="shared" si="1"/>
        <v>size</v>
      </c>
      <c r="BH7" s="13" t="str">
        <f t="shared" si="1"/>
        <v>size</v>
      </c>
      <c r="BI7" s="13" t="str">
        <f t="shared" si="1"/>
        <v>size</v>
      </c>
      <c r="BJ7" s="13" t="str">
        <f t="shared" si="1"/>
        <v>size</v>
      </c>
      <c r="BK7" s="13" t="str">
        <f t="shared" si="1"/>
        <v>size</v>
      </c>
      <c r="BL7" s="13" t="str">
        <f t="shared" si="1"/>
        <v>bm</v>
      </c>
      <c r="BM7" s="13" t="str">
        <f t="shared" si="1"/>
        <v>bm</v>
      </c>
      <c r="BN7" s="13" t="str">
        <f t="shared" si="1"/>
        <v>size</v>
      </c>
      <c r="BO7" s="13" t="str">
        <f t="shared" ref="BO7:CT7" si="2">IF(BO6=1,"bm",IF(BO6=2,"size",IF(BO6=3,"mom")))</f>
        <v>bm</v>
      </c>
      <c r="BP7" s="13" t="str">
        <f t="shared" si="2"/>
        <v>bm</v>
      </c>
      <c r="BQ7" s="13" t="str">
        <f t="shared" si="2"/>
        <v>size</v>
      </c>
      <c r="BR7" s="13" t="str">
        <f t="shared" si="2"/>
        <v>size</v>
      </c>
      <c r="BS7" s="13" t="str">
        <f t="shared" si="2"/>
        <v>bm</v>
      </c>
      <c r="BT7" s="13" t="str">
        <f t="shared" si="2"/>
        <v>bm</v>
      </c>
      <c r="BU7" s="13" t="str">
        <f t="shared" si="2"/>
        <v>size</v>
      </c>
      <c r="BV7" s="13" t="str">
        <f t="shared" si="2"/>
        <v>size</v>
      </c>
      <c r="BW7" s="13" t="str">
        <f t="shared" si="2"/>
        <v>size</v>
      </c>
      <c r="BX7" s="13" t="str">
        <f t="shared" si="2"/>
        <v>size</v>
      </c>
      <c r="BY7" s="13" t="str">
        <f t="shared" si="2"/>
        <v>size</v>
      </c>
      <c r="BZ7" s="13" t="str">
        <f t="shared" si="2"/>
        <v>size</v>
      </c>
      <c r="CA7" s="13" t="str">
        <f t="shared" si="2"/>
        <v>size</v>
      </c>
      <c r="CB7" s="13" t="str">
        <f t="shared" si="2"/>
        <v>size</v>
      </c>
      <c r="CC7" s="13" t="str">
        <f t="shared" si="2"/>
        <v>size</v>
      </c>
      <c r="CD7" s="13" t="str">
        <f t="shared" si="2"/>
        <v>size</v>
      </c>
      <c r="CE7" s="13" t="str">
        <f t="shared" si="2"/>
        <v>bm</v>
      </c>
      <c r="CF7" s="13" t="str">
        <f t="shared" si="2"/>
        <v>bm</v>
      </c>
      <c r="CG7" s="13" t="str">
        <f t="shared" si="2"/>
        <v>size</v>
      </c>
      <c r="CH7" s="13" t="str">
        <f t="shared" si="2"/>
        <v>size</v>
      </c>
      <c r="CI7" s="13" t="str">
        <f t="shared" si="2"/>
        <v>size</v>
      </c>
      <c r="CJ7" s="13" t="str">
        <f t="shared" si="2"/>
        <v>size</v>
      </c>
      <c r="CK7" s="13" t="str">
        <f t="shared" si="2"/>
        <v>size</v>
      </c>
      <c r="CL7" s="13" t="str">
        <f t="shared" si="2"/>
        <v>bm</v>
      </c>
      <c r="CM7" s="13" t="str">
        <f t="shared" si="2"/>
        <v>bm</v>
      </c>
      <c r="CN7" s="13" t="str">
        <f t="shared" si="2"/>
        <v>size</v>
      </c>
      <c r="CO7" s="13" t="str">
        <f t="shared" si="2"/>
        <v>bm</v>
      </c>
      <c r="CP7" s="13" t="str">
        <f t="shared" si="2"/>
        <v>size</v>
      </c>
      <c r="CQ7" s="13" t="str">
        <f t="shared" si="2"/>
        <v>size</v>
      </c>
      <c r="CR7" s="13" t="str">
        <f t="shared" si="2"/>
        <v>bm</v>
      </c>
      <c r="CS7" s="13" t="str">
        <f t="shared" si="2"/>
        <v>bm</v>
      </c>
      <c r="CT7" s="13" t="str">
        <f t="shared" si="2"/>
        <v>size</v>
      </c>
      <c r="CU7" s="13" t="str">
        <f t="shared" ref="CU7:DZ7" si="3">IF(CU6=1,"bm",IF(CU6=2,"size",IF(CU6=3,"mom")))</f>
        <v>bm</v>
      </c>
      <c r="CV7" s="13" t="str">
        <f t="shared" si="3"/>
        <v>bm</v>
      </c>
      <c r="CW7" s="13" t="str">
        <f t="shared" si="3"/>
        <v>bm</v>
      </c>
      <c r="CX7" s="13" t="str">
        <f t="shared" si="3"/>
        <v>bm</v>
      </c>
      <c r="CY7" s="13" t="str">
        <f t="shared" si="3"/>
        <v>size</v>
      </c>
      <c r="CZ7" s="13" t="str">
        <f t="shared" si="3"/>
        <v>size</v>
      </c>
      <c r="DA7" s="13" t="str">
        <f t="shared" si="3"/>
        <v>bm</v>
      </c>
      <c r="DB7" s="13" t="str">
        <f t="shared" si="3"/>
        <v>size</v>
      </c>
      <c r="DC7" s="13" t="str">
        <f t="shared" si="3"/>
        <v>size</v>
      </c>
      <c r="DD7" s="13" t="str">
        <f t="shared" si="3"/>
        <v>size</v>
      </c>
      <c r="DE7" s="13" t="str">
        <f t="shared" si="3"/>
        <v>size</v>
      </c>
      <c r="DF7" s="13" t="str">
        <f t="shared" si="3"/>
        <v>size</v>
      </c>
      <c r="DG7" s="13" t="str">
        <f t="shared" si="3"/>
        <v>size</v>
      </c>
      <c r="DH7" s="13" t="str">
        <f t="shared" si="3"/>
        <v>size</v>
      </c>
      <c r="DI7" s="13" t="str">
        <f t="shared" si="3"/>
        <v>size</v>
      </c>
      <c r="DJ7" s="13" t="str">
        <f t="shared" si="3"/>
        <v>size</v>
      </c>
      <c r="DK7" s="13" t="str">
        <f t="shared" si="3"/>
        <v>size</v>
      </c>
      <c r="DL7" s="13" t="str">
        <f t="shared" si="3"/>
        <v>size</v>
      </c>
      <c r="DM7" s="13" t="str">
        <f t="shared" si="3"/>
        <v>size</v>
      </c>
      <c r="DN7" s="13" t="str">
        <f t="shared" si="3"/>
        <v>bm</v>
      </c>
      <c r="DO7" s="13" t="str">
        <f t="shared" si="3"/>
        <v>size</v>
      </c>
      <c r="DP7" s="13" t="str">
        <f t="shared" si="3"/>
        <v>bm</v>
      </c>
      <c r="DQ7" s="13" t="str">
        <f t="shared" si="3"/>
        <v>size</v>
      </c>
      <c r="DR7" s="13" t="str">
        <f t="shared" si="3"/>
        <v>size</v>
      </c>
      <c r="DS7" s="13" t="str">
        <f t="shared" si="3"/>
        <v>bm</v>
      </c>
      <c r="DT7" s="13" t="str">
        <f t="shared" si="3"/>
        <v>size</v>
      </c>
      <c r="DU7" s="13" t="str">
        <f t="shared" si="3"/>
        <v>size</v>
      </c>
      <c r="DV7" s="13" t="str">
        <f t="shared" si="3"/>
        <v>size</v>
      </c>
      <c r="DW7" s="13" t="str">
        <f t="shared" si="3"/>
        <v>bm</v>
      </c>
      <c r="DX7" s="13" t="str">
        <f t="shared" si="3"/>
        <v>size</v>
      </c>
      <c r="DY7" s="13" t="str">
        <f t="shared" si="3"/>
        <v>size</v>
      </c>
      <c r="DZ7" s="13" t="str">
        <f t="shared" si="3"/>
        <v>bm</v>
      </c>
      <c r="EA7" s="13" t="str">
        <f t="shared" ref="EA7:EF7" si="4">IF(EA6=1,"bm",IF(EA6=2,"size",IF(EA6=3,"mom")))</f>
        <v>size</v>
      </c>
      <c r="EB7" s="13" t="str">
        <f t="shared" si="4"/>
        <v>size</v>
      </c>
      <c r="EC7" s="13" t="str">
        <f t="shared" si="4"/>
        <v>bm</v>
      </c>
      <c r="ED7" s="13" t="str">
        <f t="shared" si="4"/>
        <v>bm</v>
      </c>
      <c r="EE7" s="13" t="str">
        <f t="shared" si="4"/>
        <v>bm</v>
      </c>
      <c r="EF7" s="13" t="str">
        <f t="shared" si="4"/>
        <v>bm</v>
      </c>
    </row>
    <row r="8" spans="1:136">
      <c r="C8" s="12">
        <f t="shared" ref="C8:AH8" si="5">IF(C6=1,C3,IF(C6=2,C4,IF(C6=3,C5)))</f>
        <v>-7.7981240861112869E-2</v>
      </c>
      <c r="D8" s="12">
        <f t="shared" si="5"/>
        <v>-9.1720816001217079E-2</v>
      </c>
      <c r="E8" s="12">
        <f t="shared" si="5"/>
        <v>-7.4711540898400819E-2</v>
      </c>
      <c r="F8" s="12">
        <f t="shared" si="5"/>
        <v>-0.1154504478657486</v>
      </c>
      <c r="G8" s="12">
        <f t="shared" si="5"/>
        <v>-8.3443116291576969E-2</v>
      </c>
      <c r="H8" s="12">
        <f t="shared" si="5"/>
        <v>-7.4711540898400819E-2</v>
      </c>
      <c r="I8" s="12">
        <f t="shared" si="5"/>
        <v>-9.17061944524626E-2</v>
      </c>
      <c r="J8" s="12">
        <f t="shared" si="5"/>
        <v>-7.4711540898400819E-2</v>
      </c>
      <c r="K8" s="12">
        <f t="shared" si="5"/>
        <v>-0.1008329194598508</v>
      </c>
      <c r="L8" s="12">
        <f t="shared" si="5"/>
        <v>-0.10378006478536519</v>
      </c>
      <c r="M8" s="12">
        <f t="shared" si="5"/>
        <v>-7.4711540898400819E-2</v>
      </c>
      <c r="N8" s="12">
        <f t="shared" si="5"/>
        <v>-0.1158619637464291</v>
      </c>
      <c r="O8" s="12">
        <f t="shared" si="5"/>
        <v>-7.4711540898400819E-2</v>
      </c>
      <c r="P8" s="12">
        <f t="shared" si="5"/>
        <v>-7.4711540898400819E-2</v>
      </c>
      <c r="Q8" s="12">
        <f t="shared" si="5"/>
        <v>-7.4711540898400819E-2</v>
      </c>
      <c r="R8" s="12">
        <f t="shared" si="5"/>
        <v>-0.1169489926289226</v>
      </c>
      <c r="S8" s="12">
        <f t="shared" si="5"/>
        <v>-0.17262516521577451</v>
      </c>
      <c r="T8" s="12">
        <f t="shared" si="5"/>
        <v>-7.4711540898400819E-2</v>
      </c>
      <c r="U8" s="12">
        <f t="shared" si="5"/>
        <v>-0.1047373820130289</v>
      </c>
      <c r="V8" s="12">
        <f t="shared" si="5"/>
        <v>-7.4711540898400819E-2</v>
      </c>
      <c r="W8" s="12">
        <f t="shared" si="5"/>
        <v>0.1104845400782864</v>
      </c>
      <c r="X8" s="12">
        <f t="shared" si="5"/>
        <v>7.7152949246108812E-2</v>
      </c>
      <c r="Y8" s="12">
        <f t="shared" si="5"/>
        <v>-7.4711540898400819E-2</v>
      </c>
      <c r="Z8" s="12">
        <f t="shared" si="5"/>
        <v>-7.4711540898400819E-2</v>
      </c>
      <c r="AA8" s="12">
        <f t="shared" si="5"/>
        <v>-7.4711540898400819E-2</v>
      </c>
      <c r="AB8" s="12">
        <f t="shared" si="5"/>
        <v>-7.4711540898400819E-2</v>
      </c>
      <c r="AC8" s="12">
        <f t="shared" si="5"/>
        <v>-7.4711540898400819E-2</v>
      </c>
      <c r="AD8" s="12">
        <f t="shared" si="5"/>
        <v>-7.4711540898400819E-2</v>
      </c>
      <c r="AE8" s="12">
        <f t="shared" si="5"/>
        <v>-7.4711540898400819E-2</v>
      </c>
      <c r="AF8" s="12">
        <f t="shared" si="5"/>
        <v>-7.4711540898400819E-2</v>
      </c>
      <c r="AG8" s="12">
        <f t="shared" si="5"/>
        <v>-7.4711540898400819E-2</v>
      </c>
      <c r="AH8" s="12">
        <f t="shared" si="5"/>
        <v>0.1009192396033949</v>
      </c>
      <c r="AI8" s="12">
        <f t="shared" ref="AI8:BN8" si="6">IF(AI6=1,AI3,IF(AI6=2,AI4,IF(AI6=3,AI5)))</f>
        <v>-7.4711540898400819E-2</v>
      </c>
      <c r="AJ8" s="12">
        <f t="shared" si="6"/>
        <v>0.1019691755674634</v>
      </c>
      <c r="AK8" s="12">
        <f t="shared" si="6"/>
        <v>0.13211315672161919</v>
      </c>
      <c r="AL8" s="12">
        <f t="shared" si="6"/>
        <v>8.0841310267837335E-2</v>
      </c>
      <c r="AM8" s="12">
        <f t="shared" si="6"/>
        <v>-7.4711540898400819E-2</v>
      </c>
      <c r="AN8" s="12">
        <f t="shared" si="6"/>
        <v>-7.4711540898400819E-2</v>
      </c>
      <c r="AO8" s="12">
        <f t="shared" si="6"/>
        <v>0.1344236211085432</v>
      </c>
      <c r="AP8" s="12">
        <f t="shared" si="6"/>
        <v>-7.4711540898400819E-2</v>
      </c>
      <c r="AQ8" s="12">
        <f t="shared" si="6"/>
        <v>-7.4711540898400819E-2</v>
      </c>
      <c r="AR8" s="12">
        <f t="shared" si="6"/>
        <v>-7.4711540898400819E-2</v>
      </c>
      <c r="AS8" s="12">
        <f t="shared" si="6"/>
        <v>-7.4711540898400819E-2</v>
      </c>
      <c r="AT8" s="12">
        <f t="shared" si="6"/>
        <v>-7.4711540898400819E-2</v>
      </c>
      <c r="AU8" s="12">
        <f t="shared" si="6"/>
        <v>-7.4711540898400819E-2</v>
      </c>
      <c r="AV8" s="12">
        <f t="shared" si="6"/>
        <v>-7.4711540898400819E-2</v>
      </c>
      <c r="AW8" s="12">
        <f t="shared" si="6"/>
        <v>-7.4711540898400819E-2</v>
      </c>
      <c r="AX8" s="12">
        <f t="shared" si="6"/>
        <v>-7.4711540898400819E-2</v>
      </c>
      <c r="AY8" s="12">
        <f t="shared" si="6"/>
        <v>-7.4711540898400819E-2</v>
      </c>
      <c r="AZ8" s="12">
        <f t="shared" si="6"/>
        <v>-7.4711540898400819E-2</v>
      </c>
      <c r="BA8" s="12">
        <f t="shared" si="6"/>
        <v>-7.4711540898400819E-2</v>
      </c>
      <c r="BB8" s="12">
        <f t="shared" si="6"/>
        <v>-7.4711540898400819E-2</v>
      </c>
      <c r="BC8" s="12">
        <f t="shared" si="6"/>
        <v>-7.4711540898400819E-2</v>
      </c>
      <c r="BD8" s="12">
        <f t="shared" si="6"/>
        <v>-7.4711540898400819E-2</v>
      </c>
      <c r="BE8" s="12">
        <f t="shared" si="6"/>
        <v>0.15640720996344051</v>
      </c>
      <c r="BF8" s="12">
        <f t="shared" si="6"/>
        <v>8.961422115098705E-2</v>
      </c>
      <c r="BG8" s="12">
        <f t="shared" si="6"/>
        <v>-7.4711540898400819E-2</v>
      </c>
      <c r="BH8" s="12">
        <f t="shared" si="6"/>
        <v>-7.4711540898400819E-2</v>
      </c>
      <c r="BI8" s="12">
        <f t="shared" si="6"/>
        <v>-7.4711540898400819E-2</v>
      </c>
      <c r="BJ8" s="12">
        <f t="shared" si="6"/>
        <v>-7.4711540898400819E-2</v>
      </c>
      <c r="BK8" s="12">
        <f t="shared" si="6"/>
        <v>-7.4711540898400819E-2</v>
      </c>
      <c r="BL8" s="12">
        <f t="shared" si="6"/>
        <v>0.14599637517714301</v>
      </c>
      <c r="BM8" s="12">
        <f t="shared" si="6"/>
        <v>7.7671454044817706E-2</v>
      </c>
      <c r="BN8" s="12">
        <f t="shared" si="6"/>
        <v>-7.4711540898400819E-2</v>
      </c>
      <c r="BO8" s="12">
        <f t="shared" ref="BO8:CT8" si="7">IF(BO6=1,BO3,IF(BO6=2,BO4,IF(BO6=3,BO5)))</f>
        <v>0.15075036572727429</v>
      </c>
      <c r="BP8" s="12">
        <f t="shared" si="7"/>
        <v>0.1068808738908148</v>
      </c>
      <c r="BQ8" s="12">
        <f t="shared" si="7"/>
        <v>-7.4711540898400819E-2</v>
      </c>
      <c r="BR8" s="12">
        <f t="shared" si="7"/>
        <v>-7.4711540898400819E-2</v>
      </c>
      <c r="BS8" s="12">
        <f t="shared" si="7"/>
        <v>7.5715218722114425E-2</v>
      </c>
      <c r="BT8" s="12">
        <f t="shared" si="7"/>
        <v>0.1476948601503042</v>
      </c>
      <c r="BU8" s="12">
        <f t="shared" si="7"/>
        <v>-7.4711540898400819E-2</v>
      </c>
      <c r="BV8" s="12">
        <f t="shared" si="7"/>
        <v>-7.4711540898400819E-2</v>
      </c>
      <c r="BW8" s="12">
        <f t="shared" si="7"/>
        <v>-7.4711540898400819E-2</v>
      </c>
      <c r="BX8" s="12">
        <f t="shared" si="7"/>
        <v>-7.4711540898400819E-2</v>
      </c>
      <c r="BY8" s="12">
        <f t="shared" si="7"/>
        <v>-7.4711540898400819E-2</v>
      </c>
      <c r="BZ8" s="12">
        <f t="shared" si="7"/>
        <v>-7.4711540898400819E-2</v>
      </c>
      <c r="CA8" s="12">
        <f t="shared" si="7"/>
        <v>-7.4711540898400819E-2</v>
      </c>
      <c r="CB8" s="12">
        <f t="shared" si="7"/>
        <v>-7.4711540898400819E-2</v>
      </c>
      <c r="CC8" s="12">
        <f t="shared" si="7"/>
        <v>-7.4711540898400819E-2</v>
      </c>
      <c r="CD8" s="12">
        <f t="shared" si="7"/>
        <v>-7.4711540898400819E-2</v>
      </c>
      <c r="CE8" s="12">
        <f t="shared" si="7"/>
        <v>-0.1062476229187161</v>
      </c>
      <c r="CF8" s="12">
        <f t="shared" si="7"/>
        <v>-0.1195660454549131</v>
      </c>
      <c r="CG8" s="12">
        <f t="shared" si="7"/>
        <v>-7.4711540898400819E-2</v>
      </c>
      <c r="CH8" s="12">
        <f t="shared" si="7"/>
        <v>-7.4711540898400819E-2</v>
      </c>
      <c r="CI8" s="12">
        <f t="shared" si="7"/>
        <v>-7.4711540898400819E-2</v>
      </c>
      <c r="CJ8" s="12">
        <f t="shared" si="7"/>
        <v>-7.4711540898400819E-2</v>
      </c>
      <c r="CK8" s="12">
        <f t="shared" si="7"/>
        <v>-7.4711540898400819E-2</v>
      </c>
      <c r="CL8" s="12">
        <f t="shared" si="7"/>
        <v>-8.2212452947380901E-2</v>
      </c>
      <c r="CM8" s="12">
        <f t="shared" si="7"/>
        <v>-0.12682704685249099</v>
      </c>
      <c r="CN8" s="12">
        <f t="shared" si="7"/>
        <v>-7.4711540898400819E-2</v>
      </c>
      <c r="CO8" s="12">
        <f t="shared" si="7"/>
        <v>-0.13500465547665971</v>
      </c>
      <c r="CP8" s="12">
        <f t="shared" si="7"/>
        <v>-7.4711540898400819E-2</v>
      </c>
      <c r="CQ8" s="12">
        <f t="shared" si="7"/>
        <v>-7.4711540898400819E-2</v>
      </c>
      <c r="CR8" s="12">
        <f t="shared" si="7"/>
        <v>-9.4660334746213826E-2</v>
      </c>
      <c r="CS8" s="12">
        <f t="shared" si="7"/>
        <v>-7.7501744984071919E-2</v>
      </c>
      <c r="CT8" s="12">
        <f t="shared" si="7"/>
        <v>-7.4711540898400819E-2</v>
      </c>
      <c r="CU8" s="12">
        <f t="shared" ref="CU8:DZ8" si="8">IF(CU6=1,CU3,IF(CU6=2,CU4,IF(CU6=3,CU5)))</f>
        <v>-0.10211731197922071</v>
      </c>
      <c r="CV8" s="12">
        <f t="shared" si="8"/>
        <v>-0.1210008636864883</v>
      </c>
      <c r="CW8" s="12">
        <f t="shared" si="8"/>
        <v>-8.3771057290789874E-2</v>
      </c>
      <c r="CX8" s="12">
        <f t="shared" si="8"/>
        <v>-0.108143131485795</v>
      </c>
      <c r="CY8" s="12">
        <f t="shared" si="8"/>
        <v>-7.4711540898400819E-2</v>
      </c>
      <c r="CZ8" s="12">
        <f t="shared" si="8"/>
        <v>-7.4711540898400819E-2</v>
      </c>
      <c r="DA8" s="12">
        <f t="shared" si="8"/>
        <v>-7.7524493053387863E-2</v>
      </c>
      <c r="DB8" s="12">
        <f t="shared" si="8"/>
        <v>-7.4711540898400819E-2</v>
      </c>
      <c r="DC8" s="12">
        <f t="shared" si="8"/>
        <v>-7.4711540898400819E-2</v>
      </c>
      <c r="DD8" s="12">
        <f t="shared" si="8"/>
        <v>-7.4711540898400819E-2</v>
      </c>
      <c r="DE8" s="12">
        <f t="shared" si="8"/>
        <v>-7.4711540898400819E-2</v>
      </c>
      <c r="DF8" s="12">
        <f t="shared" si="8"/>
        <v>-7.4711540898400819E-2</v>
      </c>
      <c r="DG8" s="12">
        <f t="shared" si="8"/>
        <v>-7.4711540898400819E-2</v>
      </c>
      <c r="DH8" s="12">
        <f t="shared" si="8"/>
        <v>-7.4711540898400819E-2</v>
      </c>
      <c r="DI8" s="12">
        <f t="shared" si="8"/>
        <v>-7.4711540898400819E-2</v>
      </c>
      <c r="DJ8" s="12">
        <f t="shared" si="8"/>
        <v>-7.4711540898400819E-2</v>
      </c>
      <c r="DK8" s="12">
        <f t="shared" si="8"/>
        <v>-7.4711540898400819E-2</v>
      </c>
      <c r="DL8" s="12">
        <f t="shared" si="8"/>
        <v>-7.4711540898400819E-2</v>
      </c>
      <c r="DM8" s="12">
        <f t="shared" si="8"/>
        <v>-7.4711540898400819E-2</v>
      </c>
      <c r="DN8" s="12">
        <f t="shared" si="8"/>
        <v>7.7435014643364664E-2</v>
      </c>
      <c r="DO8" s="12">
        <f t="shared" si="8"/>
        <v>-7.4711540898400819E-2</v>
      </c>
      <c r="DP8" s="12">
        <f t="shared" si="8"/>
        <v>7.556841599905624E-2</v>
      </c>
      <c r="DQ8" s="12">
        <f t="shared" si="8"/>
        <v>-7.4711540898400819E-2</v>
      </c>
      <c r="DR8" s="12">
        <f t="shared" si="8"/>
        <v>-7.4711540898400819E-2</v>
      </c>
      <c r="DS8" s="12">
        <f t="shared" si="8"/>
        <v>0.10263669436748039</v>
      </c>
      <c r="DT8" s="12">
        <f t="shared" si="8"/>
        <v>-7.4711540898400819E-2</v>
      </c>
      <c r="DU8" s="12">
        <f t="shared" si="8"/>
        <v>-7.4711540898400819E-2</v>
      </c>
      <c r="DV8" s="12">
        <f t="shared" si="8"/>
        <v>-7.4711540898400819E-2</v>
      </c>
      <c r="DW8" s="12">
        <f t="shared" si="8"/>
        <v>7.8117337673435386E-2</v>
      </c>
      <c r="DX8" s="12">
        <f t="shared" si="8"/>
        <v>-7.4711540898400819E-2</v>
      </c>
      <c r="DY8" s="12">
        <f t="shared" si="8"/>
        <v>-7.4711540898400819E-2</v>
      </c>
      <c r="DZ8" s="12">
        <f t="shared" si="8"/>
        <v>-0.1079887966876449</v>
      </c>
      <c r="EA8" s="12">
        <f t="shared" ref="EA8:EF8" si="9">IF(EA6=1,EA3,IF(EA6=2,EA4,IF(EA6=3,EA5)))</f>
        <v>-7.4711540898400819E-2</v>
      </c>
      <c r="EB8" s="12">
        <f t="shared" si="9"/>
        <v>-7.4711540898400819E-2</v>
      </c>
      <c r="EC8" s="12">
        <f t="shared" si="9"/>
        <v>0.1146690600079793</v>
      </c>
      <c r="ED8" s="12">
        <f t="shared" si="9"/>
        <v>-0.13301760440885349</v>
      </c>
      <c r="EE8" s="12">
        <f t="shared" si="9"/>
        <v>-8.3212161647068517E-2</v>
      </c>
      <c r="EF8" s="12">
        <f t="shared" si="9"/>
        <v>-7.4711540898400819E-2</v>
      </c>
    </row>
    <row r="10" spans="1:136">
      <c r="A10" s="2" t="s">
        <v>139</v>
      </c>
      <c r="B10" s="1"/>
      <c r="C10" s="2" t="s">
        <v>140</v>
      </c>
      <c r="D10" s="2">
        <v>964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</row>
    <row r="11" spans="1:136">
      <c r="A11" s="2" t="s">
        <v>141</v>
      </c>
      <c r="B11" s="2" t="s">
        <v>142</v>
      </c>
      <c r="C11" s="3" t="s">
        <v>2</v>
      </c>
      <c r="D11" s="3" t="s">
        <v>3</v>
      </c>
      <c r="E11" s="3" t="s">
        <v>4</v>
      </c>
      <c r="F11" s="3" t="s">
        <v>5</v>
      </c>
      <c r="G11" s="3" t="s">
        <v>6</v>
      </c>
      <c r="H11" s="3" t="s">
        <v>7</v>
      </c>
      <c r="I11" s="3" t="s">
        <v>8</v>
      </c>
      <c r="J11" s="3" t="s">
        <v>9</v>
      </c>
      <c r="K11" s="3" t="s">
        <v>10</v>
      </c>
      <c r="L11" s="3" t="s">
        <v>11</v>
      </c>
      <c r="M11" s="3" t="s">
        <v>12</v>
      </c>
      <c r="N11" s="3" t="s">
        <v>13</v>
      </c>
      <c r="O11" s="3" t="s">
        <v>14</v>
      </c>
      <c r="P11" s="3" t="s">
        <v>15</v>
      </c>
      <c r="Q11" s="3" t="s">
        <v>16</v>
      </c>
      <c r="R11" s="3" t="s">
        <v>17</v>
      </c>
      <c r="S11" s="3" t="s">
        <v>18</v>
      </c>
      <c r="T11" s="3" t="s">
        <v>19</v>
      </c>
      <c r="U11" s="3" t="s">
        <v>20</v>
      </c>
      <c r="V11" s="3" t="s">
        <v>21</v>
      </c>
      <c r="W11" s="3" t="s">
        <v>22</v>
      </c>
      <c r="X11" s="3" t="s">
        <v>23</v>
      </c>
      <c r="Y11" s="3" t="s">
        <v>24</v>
      </c>
      <c r="Z11" s="3" t="s">
        <v>25</v>
      </c>
      <c r="AA11" s="3" t="s">
        <v>26</v>
      </c>
      <c r="AB11" s="3" t="s">
        <v>27</v>
      </c>
      <c r="AC11" s="3" t="s">
        <v>28</v>
      </c>
      <c r="AD11" s="3" t="s">
        <v>29</v>
      </c>
      <c r="AE11" s="3" t="s">
        <v>30</v>
      </c>
      <c r="AF11" s="3" t="s">
        <v>31</v>
      </c>
      <c r="AG11" s="3" t="s">
        <v>32</v>
      </c>
      <c r="AH11" s="3" t="s">
        <v>33</v>
      </c>
      <c r="AI11" s="3" t="s">
        <v>34</v>
      </c>
      <c r="AJ11" s="3" t="s">
        <v>35</v>
      </c>
      <c r="AK11" s="3" t="s">
        <v>36</v>
      </c>
      <c r="AL11" s="3" t="s">
        <v>37</v>
      </c>
      <c r="AM11" s="3" t="s">
        <v>38</v>
      </c>
      <c r="AN11" s="3" t="s">
        <v>39</v>
      </c>
      <c r="AO11" s="3" t="s">
        <v>40</v>
      </c>
      <c r="AP11" s="3" t="s">
        <v>41</v>
      </c>
      <c r="AQ11" s="3" t="s">
        <v>42</v>
      </c>
      <c r="AR11" s="3" t="s">
        <v>43</v>
      </c>
      <c r="AS11" s="3" t="s">
        <v>44</v>
      </c>
      <c r="AT11" s="3" t="s">
        <v>45</v>
      </c>
      <c r="AU11" s="3" t="s">
        <v>46</v>
      </c>
      <c r="AV11" s="3" t="s">
        <v>47</v>
      </c>
      <c r="AW11" s="3" t="s">
        <v>48</v>
      </c>
      <c r="AX11" s="3" t="s">
        <v>49</v>
      </c>
      <c r="AY11" s="3" t="s">
        <v>50</v>
      </c>
      <c r="AZ11" s="3" t="s">
        <v>51</v>
      </c>
      <c r="BA11" s="3" t="s">
        <v>52</v>
      </c>
      <c r="BB11" s="3" t="s">
        <v>53</v>
      </c>
      <c r="BC11" s="3" t="s">
        <v>54</v>
      </c>
      <c r="BD11" s="3" t="s">
        <v>55</v>
      </c>
      <c r="BE11" s="3" t="s">
        <v>56</v>
      </c>
      <c r="BF11" s="3" t="s">
        <v>57</v>
      </c>
      <c r="BG11" s="3" t="s">
        <v>58</v>
      </c>
      <c r="BH11" s="3" t="s">
        <v>59</v>
      </c>
      <c r="BI11" s="3" t="s">
        <v>60</v>
      </c>
      <c r="BJ11" s="3" t="s">
        <v>61</v>
      </c>
      <c r="BK11" s="3" t="s">
        <v>62</v>
      </c>
      <c r="BL11" s="3" t="s">
        <v>63</v>
      </c>
      <c r="BM11" s="3" t="s">
        <v>64</v>
      </c>
      <c r="BN11" s="3" t="s">
        <v>65</v>
      </c>
      <c r="BO11" s="3" t="s">
        <v>66</v>
      </c>
      <c r="BP11" s="3" t="s">
        <v>67</v>
      </c>
      <c r="BQ11" s="3" t="s">
        <v>68</v>
      </c>
      <c r="BR11" s="3" t="s">
        <v>69</v>
      </c>
      <c r="BS11" s="3" t="s">
        <v>70</v>
      </c>
      <c r="BT11" s="3" t="s">
        <v>71</v>
      </c>
      <c r="BU11" s="3" t="s">
        <v>72</v>
      </c>
      <c r="BV11" s="3" t="s">
        <v>73</v>
      </c>
      <c r="BW11" s="3" t="s">
        <v>74</v>
      </c>
      <c r="BX11" s="3" t="s">
        <v>75</v>
      </c>
      <c r="BY11" s="3" t="s">
        <v>76</v>
      </c>
      <c r="BZ11" s="3" t="s">
        <v>77</v>
      </c>
      <c r="CA11" s="3" t="s">
        <v>78</v>
      </c>
      <c r="CB11" s="3" t="s">
        <v>79</v>
      </c>
      <c r="CC11" s="3" t="s">
        <v>80</v>
      </c>
      <c r="CD11" s="3" t="s">
        <v>81</v>
      </c>
      <c r="CE11" s="3" t="s">
        <v>82</v>
      </c>
      <c r="CF11" s="3" t="s">
        <v>83</v>
      </c>
      <c r="CG11" s="3" t="s">
        <v>84</v>
      </c>
      <c r="CH11" s="3" t="s">
        <v>85</v>
      </c>
      <c r="CI11" s="3" t="s">
        <v>86</v>
      </c>
      <c r="CJ11" s="3" t="s">
        <v>87</v>
      </c>
      <c r="CK11" s="3" t="s">
        <v>88</v>
      </c>
      <c r="CL11" s="3" t="s">
        <v>89</v>
      </c>
      <c r="CM11" s="3" t="s">
        <v>90</v>
      </c>
      <c r="CN11" s="3" t="s">
        <v>91</v>
      </c>
      <c r="CO11" s="3" t="s">
        <v>92</v>
      </c>
      <c r="CP11" s="3" t="s">
        <v>93</v>
      </c>
      <c r="CQ11" s="3" t="s">
        <v>94</v>
      </c>
      <c r="CR11" s="3" t="s">
        <v>95</v>
      </c>
      <c r="CS11" s="3" t="s">
        <v>96</v>
      </c>
      <c r="CT11" s="3" t="s">
        <v>97</v>
      </c>
      <c r="CU11" s="3" t="s">
        <v>98</v>
      </c>
      <c r="CV11" s="3" t="s">
        <v>99</v>
      </c>
      <c r="CW11" s="3" t="s">
        <v>100</v>
      </c>
      <c r="CX11" s="3" t="s">
        <v>101</v>
      </c>
      <c r="CY11" s="3" t="s">
        <v>102</v>
      </c>
      <c r="CZ11" s="3" t="s">
        <v>103</v>
      </c>
      <c r="DA11" s="3" t="s">
        <v>104</v>
      </c>
      <c r="DB11" s="3" t="s">
        <v>105</v>
      </c>
      <c r="DC11" s="3" t="s">
        <v>106</v>
      </c>
      <c r="DD11" s="3" t="s">
        <v>107</v>
      </c>
      <c r="DE11" s="3" t="s">
        <v>108</v>
      </c>
      <c r="DF11" s="3" t="s">
        <v>109</v>
      </c>
      <c r="DG11" s="3" t="s">
        <v>110</v>
      </c>
      <c r="DH11" s="3" t="s">
        <v>111</v>
      </c>
      <c r="DI11" s="3" t="s">
        <v>112</v>
      </c>
      <c r="DJ11" s="3" t="s">
        <v>113</v>
      </c>
      <c r="DK11" s="3" t="s">
        <v>114</v>
      </c>
      <c r="DL11" s="3" t="s">
        <v>115</v>
      </c>
      <c r="DM11" s="3" t="s">
        <v>116</v>
      </c>
      <c r="DN11" s="3" t="s">
        <v>117</v>
      </c>
      <c r="DO11" s="3" t="s">
        <v>118</v>
      </c>
      <c r="DP11" s="3" t="s">
        <v>119</v>
      </c>
      <c r="DQ11" s="3" t="s">
        <v>120</v>
      </c>
      <c r="DR11" s="3" t="s">
        <v>121</v>
      </c>
      <c r="DS11" s="3" t="s">
        <v>122</v>
      </c>
      <c r="DT11" s="3" t="s">
        <v>123</v>
      </c>
      <c r="DU11" s="3" t="s">
        <v>124</v>
      </c>
      <c r="DV11" s="3" t="s">
        <v>125</v>
      </c>
      <c r="DW11" s="3" t="s">
        <v>126</v>
      </c>
      <c r="DX11" s="3" t="s">
        <v>127</v>
      </c>
      <c r="DY11" s="3" t="s">
        <v>128</v>
      </c>
      <c r="DZ11" s="3" t="s">
        <v>129</v>
      </c>
      <c r="EA11" s="3" t="s">
        <v>130</v>
      </c>
      <c r="EB11" s="3" t="s">
        <v>131</v>
      </c>
      <c r="EC11" s="3" t="s">
        <v>132</v>
      </c>
      <c r="ED11" s="3" t="s">
        <v>133</v>
      </c>
      <c r="EE11" s="3" t="s">
        <v>134</v>
      </c>
      <c r="EF11" s="3" t="s">
        <v>143</v>
      </c>
    </row>
    <row r="12" spans="1:136">
      <c r="A12" s="2">
        <v>10</v>
      </c>
      <c r="B12" s="2">
        <v>96</v>
      </c>
      <c r="C12" s="12">
        <v>-4.701350899422875E-2</v>
      </c>
      <c r="D12" s="12">
        <v>-2.0821795271878302E-2</v>
      </c>
      <c r="E12" s="12">
        <v>4.8026281249999997E-2</v>
      </c>
      <c r="F12" s="12">
        <v>1.986882494790634E-2</v>
      </c>
      <c r="G12" s="12">
        <v>-7.9043467459283603E-3</v>
      </c>
      <c r="H12" s="12">
        <v>3.8530718750000012E-2</v>
      </c>
      <c r="I12" s="12">
        <v>-3.6303936849052011E-2</v>
      </c>
      <c r="J12" s="12">
        <v>-2.940780208333334E-2</v>
      </c>
      <c r="K12" s="12">
        <v>1.0988403852822111E-2</v>
      </c>
      <c r="L12" s="12">
        <v>2.2772307809632709E-3</v>
      </c>
      <c r="M12" s="12">
        <v>-3.9668749999999768E-4</v>
      </c>
      <c r="N12" s="12">
        <v>-5.2074107675359117E-2</v>
      </c>
      <c r="O12" s="12">
        <v>1.7240843749999998E-2</v>
      </c>
      <c r="P12" s="12">
        <v>2.3033333333332889E-4</v>
      </c>
      <c r="Q12" s="12">
        <v>3.5270468749999978E-2</v>
      </c>
      <c r="R12" s="12">
        <v>-1.3397506239935729E-2</v>
      </c>
      <c r="S12" s="12">
        <v>7.1053897094607049E-2</v>
      </c>
      <c r="T12" s="12">
        <v>-7.7403854166666688E-3</v>
      </c>
      <c r="U12" s="12">
        <v>2.0367220553130991E-2</v>
      </c>
      <c r="V12" s="12">
        <v>6.2048020833333217E-3</v>
      </c>
      <c r="W12" s="12">
        <v>2.227844197331175E-2</v>
      </c>
      <c r="X12" s="12">
        <v>4.851927478031446E-2</v>
      </c>
      <c r="Y12" s="12">
        <v>1.544010416666668E-2</v>
      </c>
      <c r="Z12" s="12">
        <v>5.166041666666666E-3</v>
      </c>
      <c r="AA12" s="12">
        <v>-1.1512562499999979E-2</v>
      </c>
      <c r="AB12" s="12">
        <v>-3.7113229166666761E-3</v>
      </c>
      <c r="AC12" s="12">
        <v>5.1674479166666544E-3</v>
      </c>
      <c r="AD12" s="12">
        <v>9.3919791666666787E-3</v>
      </c>
      <c r="AE12" s="12">
        <v>-5.8317010416666662E-2</v>
      </c>
      <c r="AF12" s="12">
        <v>4.6181927083333352E-2</v>
      </c>
      <c r="AG12" s="12">
        <v>1.207918750000001E-2</v>
      </c>
      <c r="AH12" s="12">
        <v>1.3405804649633229E-2</v>
      </c>
      <c r="AI12" s="12">
        <v>2.3246958333333331E-2</v>
      </c>
      <c r="AJ12" s="12">
        <v>1.298374754605458E-2</v>
      </c>
      <c r="AK12" s="12">
        <v>4.8123704152134412E-2</v>
      </c>
      <c r="AL12" s="12">
        <v>1.7859003021922081E-2</v>
      </c>
      <c r="AM12" s="12">
        <v>2.0205822916666651E-2</v>
      </c>
      <c r="AN12" s="12">
        <v>5.7133458333333317E-2</v>
      </c>
      <c r="AO12" s="12">
        <v>2.228793039673051E-3</v>
      </c>
      <c r="AP12" s="12">
        <v>-4.6336666666666696E-3</v>
      </c>
      <c r="AQ12" s="12">
        <v>-6.6816458333333302E-3</v>
      </c>
      <c r="AR12" s="12">
        <v>-7.5043645833333256E-3</v>
      </c>
      <c r="AS12" s="12">
        <v>-5.8433645833333436E-3</v>
      </c>
      <c r="AT12" s="12">
        <v>-2.2296291666666669E-2</v>
      </c>
      <c r="AU12" s="12">
        <v>6.3410187500000006E-2</v>
      </c>
      <c r="AV12" s="12">
        <v>-2.178989583333333E-2</v>
      </c>
      <c r="AW12" s="12">
        <v>-2.356604166666667E-3</v>
      </c>
      <c r="AX12" s="12">
        <v>-8.6579791666666663E-3</v>
      </c>
      <c r="AY12" s="12">
        <v>-7.7138541666666623E-3</v>
      </c>
      <c r="AZ12" s="12">
        <v>6.6564250000000019E-2</v>
      </c>
      <c r="BA12" s="12">
        <v>7.1276302083333326E-2</v>
      </c>
      <c r="BB12" s="12">
        <v>5.7850729166666658E-3</v>
      </c>
      <c r="BC12" s="12">
        <v>3.575552083333329E-3</v>
      </c>
      <c r="BD12" s="12">
        <v>4.9233947916666673E-2</v>
      </c>
      <c r="BE12" s="12">
        <v>1.860880983938528E-2</v>
      </c>
      <c r="BF12" s="12">
        <v>6.7792352483200119E-2</v>
      </c>
      <c r="BG12" s="12">
        <v>1.0003802083333339E-2</v>
      </c>
      <c r="BH12" s="12">
        <v>-2.4921687500000039E-2</v>
      </c>
      <c r="BI12" s="12">
        <v>2.0838031249999951E-2</v>
      </c>
      <c r="BJ12" s="12">
        <v>4.3422968749999992E-2</v>
      </c>
      <c r="BK12" s="12">
        <v>-2.0075822916666659E-2</v>
      </c>
      <c r="BL12" s="12">
        <v>2.4709245830148639E-2</v>
      </c>
      <c r="BM12" s="12">
        <v>-5.1690919562298789E-3</v>
      </c>
      <c r="BN12" s="12">
        <v>-1.9502249999999999E-2</v>
      </c>
      <c r="BO12" s="12">
        <v>2.4246310256236889E-2</v>
      </c>
      <c r="BP12" s="12">
        <v>-1.0508985305294091E-2</v>
      </c>
      <c r="BQ12" s="12">
        <v>8.4231874999999949E-3</v>
      </c>
      <c r="BR12" s="12">
        <v>1.9853468750000009E-2</v>
      </c>
      <c r="BS12" s="12">
        <v>1.886329338439598E-2</v>
      </c>
      <c r="BT12" s="12">
        <v>2.2031468677444231E-2</v>
      </c>
      <c r="BU12" s="12">
        <v>-4.808319791666666E-2</v>
      </c>
      <c r="BV12" s="12">
        <v>3.2053312499999979E-2</v>
      </c>
      <c r="BW12" s="12">
        <v>5.5487552083333308E-2</v>
      </c>
      <c r="BX12" s="12">
        <v>1.598431249999999E-2</v>
      </c>
      <c r="BY12" s="12">
        <v>-4.5816958333333269E-2</v>
      </c>
      <c r="BZ12" s="12">
        <v>3.777385416666668E-3</v>
      </c>
      <c r="CA12" s="12">
        <v>1.4580583333333331E-2</v>
      </c>
      <c r="CB12" s="12">
        <v>7.2475718750000029E-2</v>
      </c>
      <c r="CC12" s="12">
        <v>6.5566041666666686E-2</v>
      </c>
      <c r="CD12" s="12">
        <v>4.4258520833333322E-2</v>
      </c>
      <c r="CE12" s="12">
        <v>-1.161940844222922E-2</v>
      </c>
      <c r="CF12" s="12">
        <v>-2.776758341377213E-2</v>
      </c>
      <c r="CG12" s="12">
        <v>3.0880208333335102E-4</v>
      </c>
      <c r="CH12" s="12">
        <v>-9.4527916666666614E-3</v>
      </c>
      <c r="CI12" s="12">
        <v>-2.4341229166666659E-2</v>
      </c>
      <c r="CJ12" s="12">
        <v>3.5683645833333171E-3</v>
      </c>
      <c r="CK12" s="12">
        <v>3.4515020833333333E-2</v>
      </c>
      <c r="CL12" s="12">
        <v>-0.1180156076696104</v>
      </c>
      <c r="CM12" s="12">
        <v>1.5219726167340819E-2</v>
      </c>
      <c r="CN12" s="12">
        <v>-2.3307249999999981E-2</v>
      </c>
      <c r="CO12" s="12">
        <v>2.7266126880105788E-2</v>
      </c>
      <c r="CP12" s="12">
        <v>-1.27958125E-2</v>
      </c>
      <c r="CQ12" s="12">
        <v>6.9977145833333351E-2</v>
      </c>
      <c r="CR12" s="12">
        <v>-2.1178784306524409E-3</v>
      </c>
      <c r="CS12" s="12">
        <v>1.5201647687045549E-2</v>
      </c>
      <c r="CT12" s="12">
        <v>3.2113958333333317E-2</v>
      </c>
      <c r="CU12" s="12">
        <v>-3.5623715662195188E-2</v>
      </c>
      <c r="CV12" s="12">
        <v>-8.1126263755370142E-3</v>
      </c>
      <c r="CW12" s="12">
        <v>-5.5479247445322649E-3</v>
      </c>
      <c r="CX12" s="12">
        <v>-6.098988253699178E-2</v>
      </c>
      <c r="CY12" s="12">
        <v>4.6072656250000003E-2</v>
      </c>
      <c r="CZ12" s="12">
        <v>8.8562468749999998E-2</v>
      </c>
      <c r="DA12" s="12">
        <v>-5.6037840703605252E-3</v>
      </c>
      <c r="DB12" s="12">
        <v>8.8981854166666707E-2</v>
      </c>
      <c r="DC12" s="12">
        <v>1.147305208333335E-2</v>
      </c>
      <c r="DD12" s="12">
        <v>-3.909141666666667E-2</v>
      </c>
      <c r="DE12" s="12">
        <v>-3.7235479166666613E-2</v>
      </c>
      <c r="DF12" s="12">
        <v>5.5486104166666647E-2</v>
      </c>
      <c r="DG12" s="12">
        <v>-4.6409979166666671E-2</v>
      </c>
      <c r="DH12" s="12">
        <v>6.1195427083333309E-2</v>
      </c>
      <c r="DI12" s="12">
        <v>5.9749010416666679E-2</v>
      </c>
      <c r="DJ12" s="12">
        <v>1.511867708333333E-2</v>
      </c>
      <c r="DK12" s="12">
        <v>-3.1928208333333333E-2</v>
      </c>
      <c r="DL12" s="12">
        <v>3.0896458333333349E-3</v>
      </c>
      <c r="DM12" s="12">
        <v>-1.923761458333334E-2</v>
      </c>
      <c r="DN12" s="12">
        <v>4.2410365386064831E-2</v>
      </c>
      <c r="DO12" s="12">
        <v>3.0557260416666669E-2</v>
      </c>
      <c r="DP12" s="12">
        <v>3.2584449600297112E-2</v>
      </c>
      <c r="DQ12" s="12">
        <v>-3.3862052083333379E-2</v>
      </c>
      <c r="DR12" s="12">
        <v>1.7065E-2</v>
      </c>
      <c r="DS12" s="12">
        <v>-3.5726155451697807E-2</v>
      </c>
      <c r="DT12" s="12">
        <v>2.5117864583333378E-2</v>
      </c>
      <c r="DU12" s="12">
        <v>-5.7230229166666681E-2</v>
      </c>
      <c r="DV12" s="12">
        <v>2.9540874999999991E-2</v>
      </c>
      <c r="DW12" s="12">
        <v>4.3725564220037427E-2</v>
      </c>
      <c r="DX12" s="12">
        <v>2.1028541666666681E-2</v>
      </c>
      <c r="DY12" s="12">
        <v>5.3145312500000007E-2</v>
      </c>
      <c r="DZ12" s="12">
        <v>4.1357254801773907E-3</v>
      </c>
      <c r="EA12" s="12">
        <v>5.1097697916666678E-2</v>
      </c>
      <c r="EB12" s="12">
        <v>5.7861666666666738E-3</v>
      </c>
      <c r="EC12" s="12">
        <v>2.6651509579665299E-2</v>
      </c>
      <c r="ED12" s="12">
        <v>6.050815280848415E-2</v>
      </c>
      <c r="EE12" s="12">
        <v>-1.1917096272487391E-2</v>
      </c>
      <c r="EF12" s="12">
        <v>-3.9233348038795662E-2</v>
      </c>
    </row>
    <row r="13" spans="1:136">
      <c r="A13" s="2">
        <v>20</v>
      </c>
      <c r="B13" s="2">
        <v>48</v>
      </c>
      <c r="C13" s="12">
        <v>-4.2506117601795589E-2</v>
      </c>
      <c r="D13" s="12">
        <v>-2.987761060455878E-2</v>
      </c>
      <c r="E13" s="12">
        <v>6.9861291666666658E-2</v>
      </c>
      <c r="F13" s="12">
        <v>3.4922155882654501E-2</v>
      </c>
      <c r="G13" s="12">
        <v>1.490797975730339E-2</v>
      </c>
      <c r="H13" s="12">
        <v>2.999035416666665E-2</v>
      </c>
      <c r="I13" s="12">
        <v>-3.2682862984722338E-2</v>
      </c>
      <c r="J13" s="12">
        <v>-4.3898812500000023E-2</v>
      </c>
      <c r="K13" s="12">
        <v>4.5330990242219003E-2</v>
      </c>
      <c r="L13" s="12">
        <v>2.913566903744547E-2</v>
      </c>
      <c r="M13" s="12">
        <v>2.5687291666666671E-2</v>
      </c>
      <c r="N13" s="12">
        <v>-4.3151952223766853E-2</v>
      </c>
      <c r="O13" s="12">
        <v>3.9789374999999988E-2</v>
      </c>
      <c r="P13" s="12">
        <v>1.6792145833333331E-2</v>
      </c>
      <c r="Q13" s="12">
        <v>7.3225020833333321E-2</v>
      </c>
      <c r="R13" s="12">
        <v>-6.4899101760743979E-3</v>
      </c>
      <c r="S13" s="12">
        <v>0.1229152980035506</v>
      </c>
      <c r="T13" s="12">
        <v>-2.2104479166666649E-2</v>
      </c>
      <c r="U13" s="12">
        <v>5.4161075041694179E-2</v>
      </c>
      <c r="V13" s="12">
        <v>-2.009412499999998E-2</v>
      </c>
      <c r="W13" s="12">
        <v>3.1103087884369891E-2</v>
      </c>
      <c r="X13" s="12">
        <v>6.9750968769056565E-2</v>
      </c>
      <c r="Y13" s="12">
        <v>1.392037499999999E-2</v>
      </c>
      <c r="Z13" s="12">
        <v>2.058391666666666E-2</v>
      </c>
      <c r="AA13" s="12">
        <v>-1.6440041666666641E-2</v>
      </c>
      <c r="AB13" s="12">
        <v>-1.6035979166666669E-2</v>
      </c>
      <c r="AC13" s="12">
        <v>8.031270833333326E-3</v>
      </c>
      <c r="AD13" s="12">
        <v>2.1543083333333331E-2</v>
      </c>
      <c r="AE13" s="12">
        <v>-6.5719479166666678E-2</v>
      </c>
      <c r="AF13" s="12">
        <v>5.1936000000000003E-2</v>
      </c>
      <c r="AG13" s="12">
        <v>3.2824583333333321E-3</v>
      </c>
      <c r="AH13" s="12">
        <v>9.6413392395163916E-3</v>
      </c>
      <c r="AI13" s="12">
        <v>1.9910041666666659E-2</v>
      </c>
      <c r="AJ13" s="12">
        <v>-1.628046998827572E-2</v>
      </c>
      <c r="AK13" s="12">
        <v>6.5987912810655996E-2</v>
      </c>
      <c r="AL13" s="12">
        <v>2.3151428595171029E-2</v>
      </c>
      <c r="AM13" s="12">
        <v>-2.87277083333334E-3</v>
      </c>
      <c r="AN13" s="12">
        <v>7.1245145833333329E-2</v>
      </c>
      <c r="AO13" s="12">
        <v>9.3111878994149404E-3</v>
      </c>
      <c r="AP13" s="12">
        <v>-6.5878125000000034E-3</v>
      </c>
      <c r="AQ13" s="12">
        <v>-1.1081895833333331E-2</v>
      </c>
      <c r="AR13" s="12">
        <v>9.2504166666666568E-3</v>
      </c>
      <c r="AS13" s="12">
        <v>-1.9364166666666701E-3</v>
      </c>
      <c r="AT13" s="12">
        <v>1.690958333333329E-3</v>
      </c>
      <c r="AU13" s="12">
        <v>7.6783979166666669E-2</v>
      </c>
      <c r="AV13" s="12">
        <v>-1.0958812499999989E-2</v>
      </c>
      <c r="AW13" s="12">
        <v>2.5616312499999992E-2</v>
      </c>
      <c r="AX13" s="12">
        <v>-1.1880625000000001E-2</v>
      </c>
      <c r="AY13" s="12">
        <v>-2.3672437500000001E-2</v>
      </c>
      <c r="AZ13" s="12">
        <v>5.5450187500000012E-2</v>
      </c>
      <c r="BA13" s="12">
        <v>7.9829270833333327E-2</v>
      </c>
      <c r="BB13" s="12">
        <v>2.604597916666667E-2</v>
      </c>
      <c r="BC13" s="12">
        <v>1.483937500000018E-3</v>
      </c>
      <c r="BD13" s="12">
        <v>4.1676729166666669E-2</v>
      </c>
      <c r="BE13" s="12">
        <v>2.7391806305641558E-2</v>
      </c>
      <c r="BF13" s="12">
        <v>8.3929415307496771E-2</v>
      </c>
      <c r="BG13" s="12">
        <v>8.3309166666666636E-3</v>
      </c>
      <c r="BH13" s="12">
        <v>-3.3944062499999983E-2</v>
      </c>
      <c r="BI13" s="12">
        <v>2.5832708333333339E-2</v>
      </c>
      <c r="BJ13" s="12">
        <v>5.1452562499999993E-2</v>
      </c>
      <c r="BK13" s="12">
        <v>-2.5126020833333328E-2</v>
      </c>
      <c r="BL13" s="12">
        <v>3.1947860213175139E-2</v>
      </c>
      <c r="BM13" s="12">
        <v>1.6918615618881649E-2</v>
      </c>
      <c r="BN13" s="12">
        <v>4.8578333333333251E-3</v>
      </c>
      <c r="BO13" s="12">
        <v>3.0878716233474109E-2</v>
      </c>
      <c r="BP13" s="12">
        <v>9.4326956946515182E-3</v>
      </c>
      <c r="BQ13" s="12">
        <v>3.9576562500000002E-2</v>
      </c>
      <c r="BR13" s="12">
        <v>5.264895833333335E-3</v>
      </c>
      <c r="BS13" s="12">
        <v>7.4194718402196772E-3</v>
      </c>
      <c r="BT13" s="12">
        <v>3.8343505616472817E-2</v>
      </c>
      <c r="BU13" s="12">
        <v>-7.4658166666666678E-2</v>
      </c>
      <c r="BV13" s="12">
        <v>3.144022916666666E-2</v>
      </c>
      <c r="BW13" s="12">
        <v>8.6230333333333353E-2</v>
      </c>
      <c r="BX13" s="12">
        <v>1.47710416666667E-3</v>
      </c>
      <c r="BY13" s="12">
        <v>-3.0828583333333329E-2</v>
      </c>
      <c r="BZ13" s="12">
        <v>-1.3758708333333369E-2</v>
      </c>
      <c r="CA13" s="12">
        <v>2.4012187500000001E-2</v>
      </c>
      <c r="CB13" s="12">
        <v>0.1204269166666667</v>
      </c>
      <c r="CC13" s="12">
        <v>0.1201179166666667</v>
      </c>
      <c r="CD13" s="12">
        <v>5.525583333333333E-2</v>
      </c>
      <c r="CE13" s="12">
        <v>-9.2209843254137634E-3</v>
      </c>
      <c r="CF13" s="12">
        <v>-4.4514266725069238E-2</v>
      </c>
      <c r="CG13" s="12">
        <v>7.5603958333333721E-3</v>
      </c>
      <c r="CH13" s="12">
        <v>-2.565775000000001E-2</v>
      </c>
      <c r="CI13" s="12">
        <v>-7.8951666666666753E-3</v>
      </c>
      <c r="CJ13" s="12">
        <v>2.0881229166666661E-2</v>
      </c>
      <c r="CK13" s="12">
        <v>3.1860124999999982E-2</v>
      </c>
      <c r="CL13" s="12">
        <v>-8.1453366102180805E-2</v>
      </c>
      <c r="CM13" s="12">
        <v>1.0296803756394969E-2</v>
      </c>
      <c r="CN13" s="12">
        <v>-3.013066666666666E-2</v>
      </c>
      <c r="CO13" s="12">
        <v>1.345745856322739E-2</v>
      </c>
      <c r="CP13" s="12">
        <v>-3.4377458333333333E-2</v>
      </c>
      <c r="CQ13" s="12">
        <v>6.7112812499999994E-2</v>
      </c>
      <c r="CR13" s="12">
        <v>-8.2797809976485181E-3</v>
      </c>
      <c r="CS13" s="12">
        <v>-1.0833051115274659E-2</v>
      </c>
      <c r="CT13" s="12">
        <v>4.3462166666666698E-2</v>
      </c>
      <c r="CU13" s="12">
        <v>-3.7161402282311212E-2</v>
      </c>
      <c r="CV13" s="12">
        <v>2.9533121732579042E-3</v>
      </c>
      <c r="CW13" s="12">
        <v>-5.97703085624611E-3</v>
      </c>
      <c r="CX13" s="12">
        <v>-6.0033255240053027E-2</v>
      </c>
      <c r="CY13" s="12">
        <v>6.2296645833333331E-2</v>
      </c>
      <c r="CZ13" s="12">
        <v>9.0290624999999999E-2</v>
      </c>
      <c r="DA13" s="12">
        <v>5.583676925821391E-3</v>
      </c>
      <c r="DB13" s="12">
        <v>0.10623525</v>
      </c>
      <c r="DC13" s="12">
        <v>2.354112500000001E-2</v>
      </c>
      <c r="DD13" s="12">
        <v>-5.1406291666666652E-2</v>
      </c>
      <c r="DE13" s="12">
        <v>-4.2563895833333379E-2</v>
      </c>
      <c r="DF13" s="12">
        <v>8.3122687499999987E-2</v>
      </c>
      <c r="DG13" s="12">
        <v>-4.772931250000001E-2</v>
      </c>
      <c r="DH13" s="12">
        <v>8.8720708333333301E-2</v>
      </c>
      <c r="DI13" s="12">
        <v>8.9748124999999984E-2</v>
      </c>
      <c r="DJ13" s="12">
        <v>5.983854166666666E-3</v>
      </c>
      <c r="DK13" s="12">
        <v>-1.9386395833333341E-2</v>
      </c>
      <c r="DL13" s="12">
        <v>2.7122937499999989E-2</v>
      </c>
      <c r="DM13" s="12">
        <v>5.319583333333322E-4</v>
      </c>
      <c r="DN13" s="12">
        <v>1.1499577922513139E-2</v>
      </c>
      <c r="DO13" s="12">
        <v>3.7863854166666669E-2</v>
      </c>
      <c r="DP13" s="12">
        <v>4.8786635856269467E-2</v>
      </c>
      <c r="DQ13" s="12">
        <v>-3.3966541666666669E-2</v>
      </c>
      <c r="DR13" s="12">
        <v>1.5168812499999971E-2</v>
      </c>
      <c r="DS13" s="12">
        <v>-3.8887627839669842E-2</v>
      </c>
      <c r="DT13" s="12">
        <v>5.083135416666669E-2</v>
      </c>
      <c r="DU13" s="12">
        <v>-3.3005958333333342E-2</v>
      </c>
      <c r="DV13" s="12">
        <v>4.3256333333333341E-2</v>
      </c>
      <c r="DW13" s="12">
        <v>4.4417789624350307E-2</v>
      </c>
      <c r="DX13" s="12">
        <v>3.9877437500000022E-2</v>
      </c>
      <c r="DY13" s="12">
        <v>5.698114583333333E-2</v>
      </c>
      <c r="DZ13" s="12">
        <v>1.460881448721826E-2</v>
      </c>
      <c r="EA13" s="12">
        <v>6.2118416666666669E-2</v>
      </c>
      <c r="EB13" s="12">
        <v>2.0102083333333259E-4</v>
      </c>
      <c r="EC13" s="12">
        <v>4.1659753435228923E-2</v>
      </c>
      <c r="ED13" s="12">
        <v>6.5682093659234955E-2</v>
      </c>
      <c r="EE13" s="12">
        <v>-7.9525935749644935E-3</v>
      </c>
      <c r="EF13" s="12">
        <v>-6.6577215363556236E-2</v>
      </c>
    </row>
    <row r="14" spans="1:136">
      <c r="A14" s="2">
        <v>50</v>
      </c>
      <c r="B14" s="2">
        <v>19</v>
      </c>
      <c r="C14" s="12">
        <v>3.7017512404591897E-2</v>
      </c>
      <c r="D14" s="12">
        <v>-8.3347311543301383E-2</v>
      </c>
      <c r="E14" s="12">
        <v>9.8768157894736849E-2</v>
      </c>
      <c r="F14" s="12">
        <v>4.8454142799859858E-2</v>
      </c>
      <c r="G14" s="12">
        <v>4.1019916497925447E-2</v>
      </c>
      <c r="H14" s="12">
        <v>5.9588947368421033E-2</v>
      </c>
      <c r="I14" s="12">
        <v>-4.3787359823142302E-2</v>
      </c>
      <c r="J14" s="12">
        <v>-0.1050935789473684</v>
      </c>
      <c r="K14" s="12">
        <v>0.13417870371405349</v>
      </c>
      <c r="L14" s="12">
        <v>-4.847197187706806E-3</v>
      </c>
      <c r="M14" s="12">
        <v>-7.5951368421052629E-2</v>
      </c>
      <c r="N14" s="12">
        <v>-8.2758984694099133E-2</v>
      </c>
      <c r="O14" s="12">
        <v>3.9642368421052628E-2</v>
      </c>
      <c r="P14" s="12">
        <v>4.7779947368421033E-2</v>
      </c>
      <c r="Q14" s="12">
        <v>5.8239052631578962E-2</v>
      </c>
      <c r="R14" s="12">
        <v>1.5941187297101821E-2</v>
      </c>
      <c r="S14" s="12">
        <v>0.1658932271847087</v>
      </c>
      <c r="T14" s="12">
        <v>-1.736173684210527E-2</v>
      </c>
      <c r="U14" s="12">
        <v>0.1042666646356476</v>
      </c>
      <c r="V14" s="12">
        <v>-3.837431578947368E-2</v>
      </c>
      <c r="W14" s="12">
        <v>7.4008159388253003E-2</v>
      </c>
      <c r="X14" s="12">
        <v>0.1132631083122695</v>
      </c>
      <c r="Y14" s="12">
        <v>-1.6763578947368431E-2</v>
      </c>
      <c r="Z14" s="12">
        <v>2.1252E-2</v>
      </c>
      <c r="AA14" s="12">
        <v>-2.6256842105263178E-3</v>
      </c>
      <c r="AB14" s="12">
        <v>-7.498263157894737E-2</v>
      </c>
      <c r="AC14" s="12">
        <v>-2.9292631578947369E-2</v>
      </c>
      <c r="AD14" s="12">
        <v>3.9327947368421053E-2</v>
      </c>
      <c r="AE14" s="12">
        <v>-4.019052631578951E-3</v>
      </c>
      <c r="AF14" s="12">
        <v>8.4317789473684207E-2</v>
      </c>
      <c r="AG14" s="12">
        <v>6.3905789473684242E-3</v>
      </c>
      <c r="AH14" s="12">
        <v>5.250277930506024E-3</v>
      </c>
      <c r="AI14" s="12">
        <v>1.0965315789473681E-2</v>
      </c>
      <c r="AJ14" s="12">
        <v>1.505903608315101E-2</v>
      </c>
      <c r="AK14" s="12">
        <v>7.6911430858302002E-2</v>
      </c>
      <c r="AL14" s="12">
        <v>3.7969189722460717E-2</v>
      </c>
      <c r="AM14" s="12">
        <v>3.1484210526315781E-3</v>
      </c>
      <c r="AN14" s="12">
        <v>0.1103234736842105</v>
      </c>
      <c r="AO14" s="12">
        <v>6.0905705465409951E-2</v>
      </c>
      <c r="AP14" s="12">
        <v>7.0551578947368413E-3</v>
      </c>
      <c r="AQ14" s="12">
        <v>-8.1264210526315814E-3</v>
      </c>
      <c r="AR14" s="12">
        <v>1.8170473684210521E-2</v>
      </c>
      <c r="AS14" s="12">
        <v>9.2569473684210521E-3</v>
      </c>
      <c r="AT14" s="12">
        <v>-1.8406736842105271E-2</v>
      </c>
      <c r="AU14" s="12">
        <v>0.13785310526315789</v>
      </c>
      <c r="AV14" s="12">
        <v>8.4268421052631631E-3</v>
      </c>
      <c r="AW14" s="12">
        <v>4.3728842105263163E-2</v>
      </c>
      <c r="AX14" s="12">
        <v>8.223684210526324E-4</v>
      </c>
      <c r="AY14" s="12">
        <v>-5.8839315789473677E-2</v>
      </c>
      <c r="AZ14" s="12">
        <v>2.5628999999999999E-2</v>
      </c>
      <c r="BA14" s="12">
        <v>9.6337421052631572E-2</v>
      </c>
      <c r="BB14" s="12">
        <v>0.101898</v>
      </c>
      <c r="BC14" s="12">
        <v>1.207452631578948E-2</v>
      </c>
      <c r="BD14" s="12">
        <v>1.6418894736842111E-2</v>
      </c>
      <c r="BE14" s="12">
        <v>4.3787062535487017E-2</v>
      </c>
      <c r="BF14" s="12">
        <v>4.0770521545689782E-2</v>
      </c>
      <c r="BG14" s="12">
        <v>1.049684210526316E-2</v>
      </c>
      <c r="BH14" s="12">
        <v>-9.374952631578945E-2</v>
      </c>
      <c r="BI14" s="12">
        <v>3.2270894736842103E-2</v>
      </c>
      <c r="BJ14" s="12">
        <v>2.401789473684211E-2</v>
      </c>
      <c r="BK14" s="12">
        <v>3.3237210526315772E-2</v>
      </c>
      <c r="BL14" s="12">
        <v>5.9737766842370338E-2</v>
      </c>
      <c r="BM14" s="12">
        <v>3.9257215206427082E-2</v>
      </c>
      <c r="BN14" s="12">
        <v>4.657684210526316E-2</v>
      </c>
      <c r="BO14" s="12">
        <v>3.3609045677264478E-2</v>
      </c>
      <c r="BP14" s="12">
        <v>1.5673733492959141E-2</v>
      </c>
      <c r="BQ14" s="12">
        <v>4.7562631578947363E-2</v>
      </c>
      <c r="BR14" s="12">
        <v>-3.5541368421052641E-2</v>
      </c>
      <c r="BS14" s="12">
        <v>-4.1493955144577897E-2</v>
      </c>
      <c r="BT14" s="12">
        <v>7.4012962336311328E-2</v>
      </c>
      <c r="BU14" s="12">
        <v>-0.11116010526315789</v>
      </c>
      <c r="BV14" s="12">
        <v>4.1282210526315803E-2</v>
      </c>
      <c r="BW14" s="12">
        <v>0.1184082105263158</v>
      </c>
      <c r="BX14" s="12">
        <v>-3.0736842105263262E-4</v>
      </c>
      <c r="BY14" s="12">
        <v>-8.0401000000000056E-2</v>
      </c>
      <c r="BZ14" s="12">
        <v>5.0985789473684179E-2</v>
      </c>
      <c r="CA14" s="12">
        <v>3.3454631578947368E-2</v>
      </c>
      <c r="CB14" s="12">
        <v>0.16446578947368409</v>
      </c>
      <c r="CC14" s="12">
        <v>0.1205952105263158</v>
      </c>
      <c r="CD14" s="12">
        <v>4.7921368421052629E-2</v>
      </c>
      <c r="CE14" s="12">
        <v>7.2156719211697945E-2</v>
      </c>
      <c r="CF14" s="12">
        <v>-9.2330683282061565E-2</v>
      </c>
      <c r="CG14" s="12">
        <v>0.13892689473684211</v>
      </c>
      <c r="CH14" s="12">
        <v>4.0535263157894519E-3</v>
      </c>
      <c r="CI14" s="12">
        <v>-3.828157894736822E-3</v>
      </c>
      <c r="CJ14" s="12">
        <v>2.0066526315789451E-2</v>
      </c>
      <c r="CK14" s="12">
        <v>-4.6278947368420109E-4</v>
      </c>
      <c r="CL14" s="12">
        <v>-6.2269954878836478E-2</v>
      </c>
      <c r="CM14" s="12">
        <v>-3.2040010368317121E-2</v>
      </c>
      <c r="CN14" s="12">
        <v>-1.940110526315789E-2</v>
      </c>
      <c r="CO14" s="12">
        <v>7.3587720038892968E-2</v>
      </c>
      <c r="CP14" s="12">
        <v>-0.10547973684210531</v>
      </c>
      <c r="CQ14" s="12">
        <v>7.9537105263157895E-2</v>
      </c>
      <c r="CR14" s="12">
        <v>-5.590913762450133E-2</v>
      </c>
      <c r="CS14" s="12">
        <v>-5.9027120263655718E-2</v>
      </c>
      <c r="CT14" s="12">
        <v>6.1872210526315793E-2</v>
      </c>
      <c r="CU14" s="12">
        <v>4.3917102697214612E-2</v>
      </c>
      <c r="CV14" s="12">
        <v>-2.274571513825533E-2</v>
      </c>
      <c r="CW14" s="12">
        <v>3.3983824634707719E-3</v>
      </c>
      <c r="CX14" s="12">
        <v>-3.6299408888239168E-2</v>
      </c>
      <c r="CY14" s="12">
        <v>5.0138052631578972E-2</v>
      </c>
      <c r="CZ14" s="12">
        <v>0.13617263157894741</v>
      </c>
      <c r="DA14" s="12">
        <v>2.4304289170584491E-2</v>
      </c>
      <c r="DB14" s="12">
        <v>0.104608052631579</v>
      </c>
      <c r="DC14" s="12">
        <v>1.47538947368421E-2</v>
      </c>
      <c r="DD14" s="12">
        <v>-5.3898894736842097E-2</v>
      </c>
      <c r="DE14" s="12">
        <v>-3.1057578947368419E-2</v>
      </c>
      <c r="DF14" s="12">
        <v>0.20156447368421049</v>
      </c>
      <c r="DG14" s="12">
        <v>-4.5583631578947383E-2</v>
      </c>
      <c r="DH14" s="12">
        <v>5.8742578947368403E-2</v>
      </c>
      <c r="DI14" s="12">
        <v>8.6646789473684205E-2</v>
      </c>
      <c r="DJ14" s="12">
        <v>1.5897789473684209E-2</v>
      </c>
      <c r="DK14" s="12">
        <v>-8.1621684210526332E-2</v>
      </c>
      <c r="DL14" s="12">
        <v>-9.2726842105263149E-3</v>
      </c>
      <c r="DM14" s="12">
        <v>-1.120684210526305E-3</v>
      </c>
      <c r="DN14" s="12">
        <v>4.2662495893264311E-2</v>
      </c>
      <c r="DO14" s="12">
        <v>0.102592</v>
      </c>
      <c r="DP14" s="12">
        <v>4.3539716357652018E-2</v>
      </c>
      <c r="DQ14" s="12">
        <v>-5.6019210526315803E-2</v>
      </c>
      <c r="DR14" s="12">
        <v>7.7946315789473707E-3</v>
      </c>
      <c r="DS14" s="12">
        <v>-3.5044906270916831E-2</v>
      </c>
      <c r="DT14" s="12">
        <v>0.11767231578947369</v>
      </c>
      <c r="DU14" s="12">
        <v>-6.8796263157894735E-2</v>
      </c>
      <c r="DV14" s="12">
        <v>1.9435526315789469E-2</v>
      </c>
      <c r="DW14" s="12">
        <v>9.8344367017777726E-2</v>
      </c>
      <c r="DX14" s="12">
        <v>3.8758157894736828E-2</v>
      </c>
      <c r="DY14" s="12">
        <v>7.4257842105263164E-2</v>
      </c>
      <c r="DZ14" s="12">
        <v>2.1881573318462251E-2</v>
      </c>
      <c r="EA14" s="12">
        <v>0.1075255263157895</v>
      </c>
      <c r="EB14" s="12">
        <v>-2.5110526315789479E-2</v>
      </c>
      <c r="EC14" s="12">
        <v>6.0793821481329897E-3</v>
      </c>
      <c r="ED14" s="12">
        <v>0.102629709186187</v>
      </c>
      <c r="EE14" s="12">
        <v>-1.886715684489253E-2</v>
      </c>
      <c r="EF14" s="12">
        <v>-6.9956420498558061E-2</v>
      </c>
    </row>
    <row r="15" spans="1:136">
      <c r="A15" s="2">
        <v>100</v>
      </c>
      <c r="B15" s="2">
        <v>10</v>
      </c>
      <c r="C15" s="12">
        <v>9.6503141994516081E-2</v>
      </c>
      <c r="D15" s="12">
        <v>-1.6952864792065741E-2</v>
      </c>
      <c r="E15" s="12">
        <v>6.2044600000000012E-2</v>
      </c>
      <c r="F15" s="12">
        <v>0.1085622933731899</v>
      </c>
      <c r="G15" s="12">
        <v>6.0636928671534279E-2</v>
      </c>
      <c r="H15" s="12">
        <v>0.1188444</v>
      </c>
      <c r="I15" s="12">
        <v>-5.843144427986554E-2</v>
      </c>
      <c r="J15" s="12">
        <v>-6.4524200000000004E-2</v>
      </c>
      <c r="K15" s="12">
        <v>0.28659462773637062</v>
      </c>
      <c r="L15" s="12">
        <v>-3.2558505157184642E-2</v>
      </c>
      <c r="M15" s="12">
        <v>-0.1884914</v>
      </c>
      <c r="N15" s="12">
        <v>-0.12086815416098109</v>
      </c>
      <c r="O15" s="12">
        <v>4.6103499999999999E-2</v>
      </c>
      <c r="P15" s="12">
        <v>5.2983399999999993E-2</v>
      </c>
      <c r="Q15" s="12">
        <v>0.1003768</v>
      </c>
      <c r="R15" s="12">
        <v>5.2129690105117463E-2</v>
      </c>
      <c r="S15" s="12">
        <v>0.27000789508215378</v>
      </c>
      <c r="T15" s="12">
        <v>-4.9339700000000007E-2</v>
      </c>
      <c r="U15" s="12">
        <v>0.1369680616672688</v>
      </c>
      <c r="V15" s="12">
        <v>-8.568039999999999E-2</v>
      </c>
      <c r="W15" s="12">
        <v>0.1025435939827431</v>
      </c>
      <c r="X15" s="12">
        <v>0.1268433314636731</v>
      </c>
      <c r="Y15" s="12">
        <v>-2.4189700000000001E-2</v>
      </c>
      <c r="Z15" s="12">
        <v>-2.3656199999999999E-2</v>
      </c>
      <c r="AA15" s="12">
        <v>4.6588900000000003E-2</v>
      </c>
      <c r="AB15" s="12">
        <v>-7.3995400000000003E-2</v>
      </c>
      <c r="AC15" s="12">
        <v>-4.0054800000000002E-2</v>
      </c>
      <c r="AD15" s="12">
        <v>3.9690400000000001E-2</v>
      </c>
      <c r="AE15" s="12">
        <v>4.728559999999999E-2</v>
      </c>
      <c r="AF15" s="12">
        <v>4.9773500000000012E-2</v>
      </c>
      <c r="AG15" s="12">
        <v>-9.7449999999999967E-3</v>
      </c>
      <c r="AH15" s="12">
        <v>-3.3604373357676472E-2</v>
      </c>
      <c r="AI15" s="12">
        <v>7.4277400000000007E-2</v>
      </c>
      <c r="AJ15" s="12">
        <v>9.4648599674757375E-3</v>
      </c>
      <c r="AK15" s="12">
        <v>6.1759619658444932E-2</v>
      </c>
      <c r="AL15" s="12">
        <v>4.4431662495814539E-2</v>
      </c>
      <c r="AM15" s="12">
        <v>1.943500000000004E-3</v>
      </c>
      <c r="AN15" s="12">
        <v>6.0734800000000012E-2</v>
      </c>
      <c r="AO15" s="12">
        <v>6.3369812463467096E-2</v>
      </c>
      <c r="AP15" s="12">
        <v>1.25822E-2</v>
      </c>
      <c r="AQ15" s="12">
        <v>-1.9747299999999999E-2</v>
      </c>
      <c r="AR15" s="12">
        <v>2.4550300000000001E-2</v>
      </c>
      <c r="AS15" s="12">
        <v>-2.2430800000000001E-2</v>
      </c>
      <c r="AT15" s="12">
        <v>6.8562999999999957E-3</v>
      </c>
      <c r="AU15" s="12">
        <v>0.16710900000000001</v>
      </c>
      <c r="AV15" s="12">
        <v>3.3224999999999998E-2</v>
      </c>
      <c r="AW15" s="12">
        <v>8.8558999999999999E-2</v>
      </c>
      <c r="AX15" s="12">
        <v>4.161999999999993E-3</v>
      </c>
      <c r="AY15" s="12">
        <v>-4.3143000000000008E-2</v>
      </c>
      <c r="AZ15" s="12">
        <v>3.6848099999999988E-2</v>
      </c>
      <c r="BA15" s="12">
        <v>0.1576883</v>
      </c>
      <c r="BB15" s="12">
        <v>0.1087885</v>
      </c>
      <c r="BC15" s="12">
        <v>-3.8490899999999988E-2</v>
      </c>
      <c r="BD15" s="12">
        <v>7.3647000000000018E-3</v>
      </c>
      <c r="BE15" s="12">
        <v>4.8442721017663122E-2</v>
      </c>
      <c r="BF15" s="12">
        <v>4.7662979456752137E-2</v>
      </c>
      <c r="BG15" s="12">
        <v>1.377640000000001E-2</v>
      </c>
      <c r="BH15" s="12">
        <v>-5.4709000000000008E-2</v>
      </c>
      <c r="BI15" s="12">
        <v>2.6351799999999991E-2</v>
      </c>
      <c r="BJ15" s="12">
        <v>7.5155000000000013E-2</v>
      </c>
      <c r="BK15" s="12">
        <v>7.2869199999999995E-2</v>
      </c>
      <c r="BL15" s="12">
        <v>5.940387134134844E-2</v>
      </c>
      <c r="BM15" s="12">
        <v>6.6824821366729223E-2</v>
      </c>
      <c r="BN15" s="12">
        <v>6.60549E-2</v>
      </c>
      <c r="BO15" s="12">
        <v>2.773447595493098E-2</v>
      </c>
      <c r="BP15" s="12">
        <v>1.4184220707804779E-2</v>
      </c>
      <c r="BQ15" s="12">
        <v>2.4673500000000001E-2</v>
      </c>
      <c r="BR15" s="12">
        <v>7.898799999999994E-3</v>
      </c>
      <c r="BS15" s="12">
        <v>-1.682377745028631E-2</v>
      </c>
      <c r="BT15" s="12">
        <v>8.9060205731334427E-2</v>
      </c>
      <c r="BU15" s="12">
        <v>-8.5546499999999998E-2</v>
      </c>
      <c r="BV15" s="12">
        <v>8.6180100000000009E-2</v>
      </c>
      <c r="BW15" s="12">
        <v>0.20414550000000001</v>
      </c>
      <c r="BX15" s="12">
        <v>2.3949999999999999E-2</v>
      </c>
      <c r="BY15" s="12">
        <v>-9.3338900000000002E-2</v>
      </c>
      <c r="BZ15" s="12">
        <v>6.7360199999999995E-2</v>
      </c>
      <c r="CA15" s="12">
        <v>2.9962900000000001E-2</v>
      </c>
      <c r="CB15" s="12">
        <v>0.1310916</v>
      </c>
      <c r="CC15" s="12">
        <v>0.17364959999999999</v>
      </c>
      <c r="CD15" s="12">
        <v>8.9093600000000009E-2</v>
      </c>
      <c r="CE15" s="12">
        <v>0.1165165690701207</v>
      </c>
      <c r="CF15" s="12">
        <v>-9.435665039342013E-2</v>
      </c>
      <c r="CG15" s="12">
        <v>0.22573170000000009</v>
      </c>
      <c r="CH15" s="12">
        <v>-3.9979499999999987E-2</v>
      </c>
      <c r="CI15" s="12">
        <v>-6.9334999999999994E-2</v>
      </c>
      <c r="CJ15" s="12">
        <v>7.382600000000003E-3</v>
      </c>
      <c r="CK15" s="12">
        <v>3.4281499999999999E-2</v>
      </c>
      <c r="CL15" s="12">
        <v>-3.1421974993248308E-2</v>
      </c>
      <c r="CM15" s="12">
        <v>-7.4631116128453773E-2</v>
      </c>
      <c r="CN15" s="12">
        <v>2.1760000000000171E-4</v>
      </c>
      <c r="CO15" s="12">
        <v>0.12944902488204141</v>
      </c>
      <c r="CP15" s="12">
        <v>-3.4393400000000011E-2</v>
      </c>
      <c r="CQ15" s="12">
        <v>0.13960449999999999</v>
      </c>
      <c r="CR15" s="12">
        <v>-4.8237070288164277E-2</v>
      </c>
      <c r="CS15" s="12">
        <v>-6.0185172463594637E-2</v>
      </c>
      <c r="CT15" s="12">
        <v>3.22169E-2</v>
      </c>
      <c r="CU15" s="12">
        <v>6.3178659914772728E-2</v>
      </c>
      <c r="CV15" s="12">
        <v>6.1418469048089008E-3</v>
      </c>
      <c r="CW15" s="12">
        <v>1.248466018044017E-2</v>
      </c>
      <c r="CX15" s="12">
        <v>-2.4039607053330959E-2</v>
      </c>
      <c r="CY15" s="12">
        <v>5.5732899999999988E-2</v>
      </c>
      <c r="CZ15" s="12">
        <v>0.1153667</v>
      </c>
      <c r="DA15" s="12">
        <v>2.6375835441876511E-2</v>
      </c>
      <c r="DB15" s="12">
        <v>9.7047700000000001E-2</v>
      </c>
      <c r="DC15" s="12">
        <v>7.6726499999999989E-2</v>
      </c>
      <c r="DD15" s="12">
        <v>-6.7525099999999977E-2</v>
      </c>
      <c r="DE15" s="12">
        <v>-6.5607900000000011E-2</v>
      </c>
      <c r="DF15" s="12">
        <v>0.30272159999999998</v>
      </c>
      <c r="DG15" s="12">
        <v>-4.7917800000000003E-2</v>
      </c>
      <c r="DH15" s="12">
        <v>0.1296235</v>
      </c>
      <c r="DI15" s="12">
        <v>4.2810999999999988E-2</v>
      </c>
      <c r="DJ15" s="12">
        <v>4.7566499999999998E-2</v>
      </c>
      <c r="DK15" s="12">
        <v>-0.100329</v>
      </c>
      <c r="DL15" s="12">
        <v>7.7391999999999999E-3</v>
      </c>
      <c r="DM15" s="12">
        <v>1.773500000000004E-3</v>
      </c>
      <c r="DN15" s="12">
        <v>4.3996497423619649E-2</v>
      </c>
      <c r="DO15" s="12">
        <v>0.15954560000000001</v>
      </c>
      <c r="DP15" s="12">
        <v>2.3735602006892551E-2</v>
      </c>
      <c r="DQ15" s="12">
        <v>-7.2937799999999997E-2</v>
      </c>
      <c r="DR15" s="12">
        <v>-2.20354E-2</v>
      </c>
      <c r="DS15" s="12">
        <v>-7.6241908411797149E-2</v>
      </c>
      <c r="DT15" s="12">
        <v>3.4296700000000013E-2</v>
      </c>
      <c r="DU15" s="12">
        <v>-0.1171285</v>
      </c>
      <c r="DV15" s="12">
        <v>5.1129900000000013E-2</v>
      </c>
      <c r="DW15" s="12">
        <v>2.5538627146832551E-2</v>
      </c>
      <c r="DX15" s="12">
        <v>2.7959700000000021E-2</v>
      </c>
      <c r="DY15" s="12">
        <v>0.1436096</v>
      </c>
      <c r="DZ15" s="12">
        <v>1.8920244069384411E-2</v>
      </c>
      <c r="EA15" s="12">
        <v>0.1091777</v>
      </c>
      <c r="EB15" s="12">
        <v>-5.6128999999999998E-2</v>
      </c>
      <c r="EC15" s="12">
        <v>6.6081856047946447E-2</v>
      </c>
      <c r="ED15" s="12">
        <v>0.1133570559353114</v>
      </c>
      <c r="EE15" s="12">
        <v>1.6245414536088298E-2</v>
      </c>
      <c r="EF15" s="12">
        <v>-6.5700991138842244E-2</v>
      </c>
    </row>
    <row r="16" spans="1:136">
      <c r="A16" s="2">
        <v>107</v>
      </c>
      <c r="B16" s="2">
        <v>9</v>
      </c>
      <c r="C16" s="12">
        <v>2.7383644610379052E-2</v>
      </c>
      <c r="D16" s="12">
        <v>7.202486673170555E-4</v>
      </c>
      <c r="E16" s="12">
        <v>6.5004888888888904E-2</v>
      </c>
      <c r="F16" s="12">
        <v>9.9382492855487087E-2</v>
      </c>
      <c r="G16" s="12">
        <v>7.3696265126923857E-2</v>
      </c>
      <c r="H16" s="12">
        <v>7.2848777777777762E-2</v>
      </c>
      <c r="I16" s="12">
        <v>-5.7530618665621432E-2</v>
      </c>
      <c r="J16" s="12">
        <v>-6.8693444444444446E-2</v>
      </c>
      <c r="K16" s="12">
        <v>0.28467055022653209</v>
      </c>
      <c r="L16" s="12">
        <v>-9.8865345878687977E-3</v>
      </c>
      <c r="M16" s="12">
        <v>-0.19487577777777779</v>
      </c>
      <c r="N16" s="12">
        <v>-0.1256706255427503</v>
      </c>
      <c r="O16" s="12">
        <v>1.562111111111111E-2</v>
      </c>
      <c r="P16" s="12">
        <v>6.1979777777777773E-2</v>
      </c>
      <c r="Q16" s="12">
        <v>9.6619888888888894E-2</v>
      </c>
      <c r="R16" s="12">
        <v>4.899097828292652E-2</v>
      </c>
      <c r="S16" s="12">
        <v>0.28706302039879478</v>
      </c>
      <c r="T16" s="12">
        <v>-2.322744444444445E-2</v>
      </c>
      <c r="U16" s="12">
        <v>0.1300624714297445</v>
      </c>
      <c r="V16" s="12">
        <v>-0.1043152222222222</v>
      </c>
      <c r="W16" s="12">
        <v>0.10166567604781181</v>
      </c>
      <c r="X16" s="12">
        <v>0.12440978370848681</v>
      </c>
      <c r="Y16" s="12">
        <v>-4.2885555555555559E-3</v>
      </c>
      <c r="Z16" s="12">
        <v>-2.0075777777777779E-2</v>
      </c>
      <c r="AA16" s="12">
        <v>5.022766666666667E-2</v>
      </c>
      <c r="AB16" s="12">
        <v>-7.1015999999999996E-2</v>
      </c>
      <c r="AC16" s="12">
        <v>-4.1040111111111117E-2</v>
      </c>
      <c r="AD16" s="12">
        <v>3.4810999999999988E-2</v>
      </c>
      <c r="AE16" s="12">
        <v>5.153399999999999E-2</v>
      </c>
      <c r="AF16" s="12">
        <v>1.5010333333333341E-2</v>
      </c>
      <c r="AG16" s="12">
        <v>-8.3015555555555516E-3</v>
      </c>
      <c r="AH16" s="12">
        <v>-3.1765400449440553E-2</v>
      </c>
      <c r="AI16" s="12">
        <v>9.052311111111111E-2</v>
      </c>
      <c r="AJ16" s="12">
        <v>-7.0259660718760518E-3</v>
      </c>
      <c r="AK16" s="12">
        <v>6.4421400832372078E-2</v>
      </c>
      <c r="AL16" s="12">
        <v>4.8688933104523248E-2</v>
      </c>
      <c r="AM16" s="12">
        <v>2.3732555555555559E-2</v>
      </c>
      <c r="AN16" s="12">
        <v>5.2712111111111133E-2</v>
      </c>
      <c r="AO16" s="12">
        <v>6.1424671825912318E-2</v>
      </c>
      <c r="AP16" s="12">
        <v>5.2404444444444451E-3</v>
      </c>
      <c r="AQ16" s="12">
        <v>-2.403255555555555E-2</v>
      </c>
      <c r="AR16" s="12">
        <v>3.2492222222222207E-2</v>
      </c>
      <c r="AS16" s="12">
        <v>-2.8078666666666661E-2</v>
      </c>
      <c r="AT16" s="12">
        <v>3.9392222222222146E-3</v>
      </c>
      <c r="AU16" s="12">
        <v>0.17023655555555561</v>
      </c>
      <c r="AV16" s="12">
        <v>2.360855555555556E-2</v>
      </c>
      <c r="AW16" s="12">
        <v>9.3057777777777767E-2</v>
      </c>
      <c r="AX16" s="12">
        <v>-6.8555555555555609E-3</v>
      </c>
      <c r="AY16" s="12">
        <v>-3.4672777777777768E-2</v>
      </c>
      <c r="AZ16" s="12">
        <v>4.6827888888888877E-2</v>
      </c>
      <c r="BA16" s="12">
        <v>0.15999111111111111</v>
      </c>
      <c r="BB16" s="12">
        <v>0.13247400000000001</v>
      </c>
      <c r="BC16" s="12">
        <v>-3.963666666666666E-2</v>
      </c>
      <c r="BD16" s="12">
        <v>6.2841111111111118E-3</v>
      </c>
      <c r="BE16" s="12">
        <v>5.1410994394474947E-2</v>
      </c>
      <c r="BF16" s="12">
        <v>6.4268054319718215E-2</v>
      </c>
      <c r="BG16" s="12">
        <v>1.9331222222222229E-2</v>
      </c>
      <c r="BH16" s="12">
        <v>-6.2040000000000012E-2</v>
      </c>
      <c r="BI16" s="12">
        <v>2.5620888888888881E-2</v>
      </c>
      <c r="BJ16" s="12">
        <v>8.1428888888888912E-2</v>
      </c>
      <c r="BK16" s="12">
        <v>0.1047732222222222</v>
      </c>
      <c r="BL16" s="12">
        <v>7.0623565707523178E-2</v>
      </c>
      <c r="BM16" s="12">
        <v>8.1523875041965066E-2</v>
      </c>
      <c r="BN16" s="12">
        <v>6.7199333333333333E-2</v>
      </c>
      <c r="BO16" s="12">
        <v>2.1890359953657689E-2</v>
      </c>
      <c r="BP16" s="12">
        <v>2.0843183547580579E-2</v>
      </c>
      <c r="BQ16" s="12">
        <v>2.786622222222223E-2</v>
      </c>
      <c r="BR16" s="12">
        <v>1.225966666666666E-2</v>
      </c>
      <c r="BS16" s="12">
        <v>-1.319157314746418E-2</v>
      </c>
      <c r="BT16" s="12">
        <v>8.5483191267799616E-2</v>
      </c>
      <c r="BU16" s="12">
        <v>-0.1015372222222222</v>
      </c>
      <c r="BV16" s="12">
        <v>9.4510444444444452E-2</v>
      </c>
      <c r="BW16" s="12">
        <v>0.22394500000000001</v>
      </c>
      <c r="BX16" s="12">
        <v>2.4078888888888889E-2</v>
      </c>
      <c r="BY16" s="12">
        <v>-0.1189954444444445</v>
      </c>
      <c r="BZ16" s="12">
        <v>9.2629555555555548E-2</v>
      </c>
      <c r="CA16" s="12">
        <v>2.7431000000000001E-2</v>
      </c>
      <c r="CB16" s="12">
        <v>0.13930899999999999</v>
      </c>
      <c r="CC16" s="12">
        <v>4.4386333333333347E-2</v>
      </c>
      <c r="CD16" s="12">
        <v>8.7750000000000009E-2</v>
      </c>
      <c r="CE16" s="12">
        <v>0.13259506079351141</v>
      </c>
      <c r="CF16" s="12">
        <v>-0.10520126400975099</v>
      </c>
      <c r="CG16" s="12">
        <v>0.14619666666666681</v>
      </c>
      <c r="CH16" s="12">
        <v>-1.852144444444442E-2</v>
      </c>
      <c r="CI16" s="12">
        <v>-5.834333333333333E-2</v>
      </c>
      <c r="CJ16" s="12">
        <v>2.780022222222224E-2</v>
      </c>
      <c r="CK16" s="12">
        <v>7.0732777777777783E-2</v>
      </c>
      <c r="CL16" s="12">
        <v>-1.5878682334709331E-2</v>
      </c>
      <c r="CM16" s="12">
        <v>-8.8988628149511667E-2</v>
      </c>
      <c r="CN16" s="12">
        <v>9.6095555555555569E-3</v>
      </c>
      <c r="CO16" s="12">
        <v>0.18245195453982929</v>
      </c>
      <c r="CP16" s="12">
        <v>-3.0684555555555559E-2</v>
      </c>
      <c r="CQ16" s="12">
        <v>0.16845099999999999</v>
      </c>
      <c r="CR16" s="12">
        <v>-4.829976668331655E-2</v>
      </c>
      <c r="CS16" s="12">
        <v>-6.6559159874073834E-2</v>
      </c>
      <c r="CT16" s="12">
        <v>4.8903888888888879E-2</v>
      </c>
      <c r="CU16" s="12">
        <v>6.343465435897469E-2</v>
      </c>
      <c r="CV16" s="12">
        <v>1.6751084080720881E-2</v>
      </c>
      <c r="CW16" s="12">
        <v>9.1941595326216954E-3</v>
      </c>
      <c r="CX16" s="12">
        <v>-1.224028475424996E-2</v>
      </c>
      <c r="CY16" s="12">
        <v>5.8554555555555547E-2</v>
      </c>
      <c r="CZ16" s="12">
        <v>0.1662207777777778</v>
      </c>
      <c r="DA16" s="12">
        <v>2.9804793967235531E-2</v>
      </c>
      <c r="DB16" s="12">
        <v>9.8016666666666655E-2</v>
      </c>
      <c r="DC16" s="12">
        <v>6.3740111111111108E-2</v>
      </c>
      <c r="DD16" s="12">
        <v>-7.4370111111111095E-2</v>
      </c>
      <c r="DE16" s="12">
        <v>-5.6325333333333331E-2</v>
      </c>
      <c r="DF16" s="12">
        <v>0.32558088888888892</v>
      </c>
      <c r="DG16" s="12">
        <v>-4.5677000000000002E-2</v>
      </c>
      <c r="DH16" s="12">
        <v>0.13714944444444449</v>
      </c>
      <c r="DI16" s="12">
        <v>4.7828777777777769E-2</v>
      </c>
      <c r="DJ16" s="12">
        <v>5.1753111111111111E-2</v>
      </c>
      <c r="DK16" s="12">
        <v>-9.6254333333333331E-2</v>
      </c>
      <c r="DL16" s="12">
        <v>1.3668888888888899E-3</v>
      </c>
      <c r="DM16" s="12">
        <v>3.8135333333333327E-2</v>
      </c>
      <c r="DN16" s="12">
        <v>4.2437853359407113E-2</v>
      </c>
      <c r="DO16" s="12">
        <v>0.1695906666666667</v>
      </c>
      <c r="DP16" s="12">
        <v>1.9841948579226051E-2</v>
      </c>
      <c r="DQ16" s="12">
        <v>-6.7559999999999995E-2</v>
      </c>
      <c r="DR16" s="12">
        <v>-1.117833333333333E-2</v>
      </c>
      <c r="DS16" s="12">
        <v>-9.3752064989754288E-2</v>
      </c>
      <c r="DT16" s="12">
        <v>3.2059333333333329E-2</v>
      </c>
      <c r="DU16" s="12">
        <v>-0.12277299999999999</v>
      </c>
      <c r="DV16" s="12">
        <v>4.5151777777777777E-2</v>
      </c>
      <c r="DW16" s="12">
        <v>4.0917729699690833E-2</v>
      </c>
      <c r="DX16" s="12">
        <v>3.7507111111111102E-2</v>
      </c>
      <c r="DY16" s="12">
        <v>0.15757177777777781</v>
      </c>
      <c r="DZ16" s="12">
        <v>3.1277079824676451E-2</v>
      </c>
      <c r="EA16" s="12">
        <v>0.13979988888888889</v>
      </c>
      <c r="EB16" s="12">
        <v>-7.0877777777777762E-2</v>
      </c>
      <c r="EC16" s="12">
        <v>6.3532066634569728E-2</v>
      </c>
      <c r="ED16" s="12">
        <v>0.1154167474989211</v>
      </c>
      <c r="EE16" s="12">
        <v>2.3090711524611399E-2</v>
      </c>
      <c r="EF16" s="12">
        <v>-4.2474401493907223E-2</v>
      </c>
    </row>
    <row r="17" spans="1:136">
      <c r="A17" s="2">
        <v>120</v>
      </c>
      <c r="B17" s="2">
        <v>8</v>
      </c>
      <c r="C17" s="12">
        <v>4.1028984252961823E-2</v>
      </c>
      <c r="D17" s="12">
        <v>1.7334374733087798E-2</v>
      </c>
      <c r="E17" s="12">
        <v>7.958800000000002E-2</v>
      </c>
      <c r="F17" s="12">
        <v>0.1128375151172957</v>
      </c>
      <c r="G17" s="12">
        <v>7.122276687818177E-2</v>
      </c>
      <c r="H17" s="12">
        <v>0.10499475</v>
      </c>
      <c r="I17" s="12">
        <v>-0.1137250278021875</v>
      </c>
      <c r="J17" s="12">
        <v>-0.11529837499999999</v>
      </c>
      <c r="K17" s="12">
        <v>0.29682655110056239</v>
      </c>
      <c r="L17" s="12">
        <v>-9.7108895081580021E-3</v>
      </c>
      <c r="M17" s="12">
        <v>-0.22693987500000001</v>
      </c>
      <c r="N17" s="12">
        <v>-0.1359484320527852</v>
      </c>
      <c r="O17" s="12">
        <v>2.4632125000000001E-2</v>
      </c>
      <c r="P17" s="12">
        <v>7.6915624999999987E-2</v>
      </c>
      <c r="Q17" s="12">
        <v>0.106432375</v>
      </c>
      <c r="R17" s="12">
        <v>5.2057608904527208E-2</v>
      </c>
      <c r="S17" s="12">
        <v>0.31065343265529821</v>
      </c>
      <c r="T17" s="12">
        <v>-2.3508375000000001E-2</v>
      </c>
      <c r="U17" s="12">
        <v>0.14127114253855691</v>
      </c>
      <c r="V17" s="12">
        <v>-0.116355125</v>
      </c>
      <c r="W17" s="12">
        <v>0.1196039840123075</v>
      </c>
      <c r="X17" s="12">
        <v>0.1168461979408036</v>
      </c>
      <c r="Y17" s="12">
        <v>1.4991250000000039E-3</v>
      </c>
      <c r="Z17" s="12">
        <v>-2.1608499999999999E-2</v>
      </c>
      <c r="AA17" s="12">
        <v>6.2256125000000002E-2</v>
      </c>
      <c r="AB17" s="12">
        <v>-5.8334375000000008E-2</v>
      </c>
      <c r="AC17" s="12">
        <v>-4.0799124999999999E-2</v>
      </c>
      <c r="AD17" s="12">
        <v>6.8619874999999997E-2</v>
      </c>
      <c r="AE17" s="12">
        <v>5.9443249999999989E-2</v>
      </c>
      <c r="AF17" s="12">
        <v>8.412625E-3</v>
      </c>
      <c r="AG17" s="12">
        <v>-1.3512499999999981E-3</v>
      </c>
      <c r="AH17" s="12">
        <v>-3.5472619172888853E-2</v>
      </c>
      <c r="AI17" s="12">
        <v>0.114865125</v>
      </c>
      <c r="AJ17" s="12">
        <v>-4.2602630518956887E-2</v>
      </c>
      <c r="AK17" s="12">
        <v>7.3716274739036441E-2</v>
      </c>
      <c r="AL17" s="12">
        <v>5.0724405748556509E-2</v>
      </c>
      <c r="AM17" s="12">
        <v>2.7869125000000002E-2</v>
      </c>
      <c r="AN17" s="12">
        <v>4.9360374999999998E-2</v>
      </c>
      <c r="AO17" s="12">
        <v>1.2632334595724191E-2</v>
      </c>
      <c r="AP17" s="12">
        <v>3.7592499999999991E-3</v>
      </c>
      <c r="AQ17" s="12">
        <v>-9.2303749999999955E-3</v>
      </c>
      <c r="AR17" s="12">
        <v>3.4996625000000003E-2</v>
      </c>
      <c r="AS17" s="12">
        <v>-2.951599999999999E-2</v>
      </c>
      <c r="AT17" s="12">
        <v>1.4323749999999929E-3</v>
      </c>
      <c r="AU17" s="12">
        <v>0.177562625</v>
      </c>
      <c r="AV17" s="12">
        <v>2.7563375000000011E-2</v>
      </c>
      <c r="AW17" s="12">
        <v>0.1120025</v>
      </c>
      <c r="AX17" s="12">
        <v>1.0592374999999999E-2</v>
      </c>
      <c r="AY17" s="12">
        <v>-4.6811125000000009E-2</v>
      </c>
      <c r="AZ17" s="12">
        <v>4.7981374999999993E-2</v>
      </c>
      <c r="BA17" s="12">
        <v>0.16280649999999999</v>
      </c>
      <c r="BB17" s="12">
        <v>0.15327075000000001</v>
      </c>
      <c r="BC17" s="12">
        <v>-5.7764999999999997E-2</v>
      </c>
      <c r="BD17" s="12">
        <v>1.9414125000000001E-2</v>
      </c>
      <c r="BE17" s="12">
        <v>7.7350242238060404E-2</v>
      </c>
      <c r="BF17" s="12">
        <v>5.5197496608953713E-2</v>
      </c>
      <c r="BG17" s="12">
        <v>-1.3153750000000001E-2</v>
      </c>
      <c r="BH17" s="12">
        <v>-4.8738750000000011E-2</v>
      </c>
      <c r="BI17" s="12">
        <v>5.7450749999999988E-2</v>
      </c>
      <c r="BJ17" s="12">
        <v>8.9192500000000008E-2</v>
      </c>
      <c r="BK17" s="12">
        <v>0.114816125</v>
      </c>
      <c r="BL17" s="12">
        <v>7.7482966799946165E-2</v>
      </c>
      <c r="BM17" s="12">
        <v>7.5997770445859966E-2</v>
      </c>
      <c r="BN17" s="12">
        <v>7.3658000000000001E-2</v>
      </c>
      <c r="BO17" s="12">
        <v>3.5179615416723611E-2</v>
      </c>
      <c r="BP17" s="12">
        <v>3.5995979654480911E-2</v>
      </c>
      <c r="BQ17" s="12">
        <v>4.8645500000000001E-2</v>
      </c>
      <c r="BR17" s="12">
        <v>3.5004624999999991E-2</v>
      </c>
      <c r="BS17" s="12">
        <v>-4.1034691106065987E-3</v>
      </c>
      <c r="BT17" s="12">
        <v>0.1094163788704233</v>
      </c>
      <c r="BU17" s="12">
        <v>-0.104524375</v>
      </c>
      <c r="BV17" s="12">
        <v>0.106643875</v>
      </c>
      <c r="BW17" s="12">
        <v>0.22723437499999999</v>
      </c>
      <c r="BX17" s="12">
        <v>7.0964999999999986E-3</v>
      </c>
      <c r="BY17" s="12">
        <v>-9.5862375000000014E-2</v>
      </c>
      <c r="BZ17" s="12">
        <v>0.10695200000000001</v>
      </c>
      <c r="CA17" s="12">
        <v>2.7196125000000002E-2</v>
      </c>
      <c r="CB17" s="12">
        <v>0.14963337500000001</v>
      </c>
      <c r="CC17" s="12">
        <v>4.1758499999999997E-2</v>
      </c>
      <c r="CD17" s="12">
        <v>6.4104625000000012E-2</v>
      </c>
      <c r="CE17" s="12">
        <v>0.17511624550605151</v>
      </c>
      <c r="CF17" s="12">
        <v>-9.8746197426198501E-2</v>
      </c>
      <c r="CG17" s="12">
        <v>0.17703537500000011</v>
      </c>
      <c r="CH17" s="12">
        <v>-2.2754625000000001E-2</v>
      </c>
      <c r="CI17" s="12">
        <v>-8.2451250000000004E-2</v>
      </c>
      <c r="CJ17" s="12">
        <v>3.8321750000000009E-2</v>
      </c>
      <c r="CK17" s="12">
        <v>7.5744000000000006E-2</v>
      </c>
      <c r="CL17" s="12">
        <v>9.426344769031314E-3</v>
      </c>
      <c r="CM17" s="12">
        <v>-0.13456934443157431</v>
      </c>
      <c r="CN17" s="12">
        <v>1.3630750000000001E-2</v>
      </c>
      <c r="CO17" s="12">
        <v>0.20253862726298949</v>
      </c>
      <c r="CP17" s="12">
        <v>-2.1610000000000001E-2</v>
      </c>
      <c r="CQ17" s="12">
        <v>0.17313087499999999</v>
      </c>
      <c r="CR17" s="12">
        <v>-5.0676490702223173E-2</v>
      </c>
      <c r="CS17" s="12">
        <v>-9.6841631299569769E-2</v>
      </c>
      <c r="CT17" s="12">
        <v>5.8654249999999991E-2</v>
      </c>
      <c r="CU17" s="12">
        <v>7.440830758325391E-2</v>
      </c>
      <c r="CV17" s="12">
        <v>-3.8796079399274282E-3</v>
      </c>
      <c r="CW17" s="12">
        <v>1.976185390935294E-2</v>
      </c>
      <c r="CX17" s="12">
        <v>-1.0772394523947831E-2</v>
      </c>
      <c r="CY17" s="12">
        <v>5.9498124999999999E-2</v>
      </c>
      <c r="CZ17" s="12">
        <v>0.184135875</v>
      </c>
      <c r="DA17" s="12">
        <v>4.3895859145134192E-2</v>
      </c>
      <c r="DB17" s="12">
        <v>0.104271</v>
      </c>
      <c r="DC17" s="12">
        <v>5.3887499999999991E-2</v>
      </c>
      <c r="DD17" s="12">
        <v>-4.8129999999999992E-2</v>
      </c>
      <c r="DE17" s="12">
        <v>-5.1665374999999999E-2</v>
      </c>
      <c r="DF17" s="12">
        <v>0.35222737500000001</v>
      </c>
      <c r="DG17" s="12">
        <v>-4.7211125000000007E-2</v>
      </c>
      <c r="DH17" s="12">
        <v>0.16343337499999999</v>
      </c>
      <c r="DI17" s="12">
        <v>7.0181249999999987E-2</v>
      </c>
      <c r="DJ17" s="12">
        <v>5.7146374999999999E-2</v>
      </c>
      <c r="DK17" s="12">
        <v>-0.10277987500000001</v>
      </c>
      <c r="DL17" s="12">
        <v>-5.7897499999999998E-3</v>
      </c>
      <c r="DM17" s="12">
        <v>4.2563499999999997E-2</v>
      </c>
      <c r="DN17" s="12">
        <v>3.5489032714339008E-2</v>
      </c>
      <c r="DO17" s="12">
        <v>0.17976200000000001</v>
      </c>
      <c r="DP17" s="12">
        <v>-1.651850825662354E-2</v>
      </c>
      <c r="DQ17" s="12">
        <v>-6.5243999999999996E-2</v>
      </c>
      <c r="DR17" s="12">
        <v>-2.5726499999999999E-2</v>
      </c>
      <c r="DS17" s="12">
        <v>-0.12431615980481089</v>
      </c>
      <c r="DT17" s="12">
        <v>1.6743000000000001E-2</v>
      </c>
      <c r="DU17" s="12">
        <v>-0.129494</v>
      </c>
      <c r="DV17" s="12">
        <v>6.2272374999999998E-2</v>
      </c>
      <c r="DW17" s="12">
        <v>4.8681483414150163E-2</v>
      </c>
      <c r="DX17" s="12">
        <v>4.4121874999999998E-2</v>
      </c>
      <c r="DY17" s="12">
        <v>0.10728225</v>
      </c>
      <c r="DZ17" s="12">
        <v>3.1828172599786188E-2</v>
      </c>
      <c r="EA17" s="12">
        <v>0.16457237499999999</v>
      </c>
      <c r="EB17" s="12">
        <v>-7.3783624999999992E-2</v>
      </c>
      <c r="EC17" s="12">
        <v>1.6425217216060651E-2</v>
      </c>
      <c r="ED17" s="12">
        <v>0.12832444392891271</v>
      </c>
      <c r="EE17" s="12">
        <v>2.5413360310033831E-2</v>
      </c>
      <c r="EF17" s="12">
        <v>-4.7709767009851849E-2</v>
      </c>
    </row>
    <row r="18" spans="1:136">
      <c r="A18" s="2">
        <v>137</v>
      </c>
      <c r="B18" s="2">
        <v>7</v>
      </c>
      <c r="C18" s="12">
        <v>5.3942228163147227E-2</v>
      </c>
      <c r="D18" s="12">
        <v>8.1874670813927297E-3</v>
      </c>
      <c r="E18" s="12">
        <v>5.3437857142857162E-2</v>
      </c>
      <c r="F18" s="12">
        <v>0.13441437443338569</v>
      </c>
      <c r="G18" s="12">
        <v>8.0794247020859855E-2</v>
      </c>
      <c r="H18" s="12">
        <v>0.12853999999999999</v>
      </c>
      <c r="I18" s="12">
        <v>-0.13550018022324109</v>
      </c>
      <c r="J18" s="12">
        <v>-0.12516085714285721</v>
      </c>
      <c r="K18" s="12">
        <v>0.35868209850789973</v>
      </c>
      <c r="L18" s="12">
        <v>-1.298248684698161E-2</v>
      </c>
      <c r="M18" s="12">
        <v>-0.25351285714285721</v>
      </c>
      <c r="N18" s="12">
        <v>-0.1429924272847711</v>
      </c>
      <c r="O18" s="12">
        <v>2.432414285714286E-2</v>
      </c>
      <c r="P18" s="12">
        <v>5.4569714285714277E-2</v>
      </c>
      <c r="Q18" s="12">
        <v>0.1217387142857143</v>
      </c>
      <c r="R18" s="12">
        <v>6.149223787197499E-2</v>
      </c>
      <c r="S18" s="12">
        <v>0.3837326289318943</v>
      </c>
      <c r="T18" s="12">
        <v>-5.0295714285714301E-3</v>
      </c>
      <c r="U18" s="12">
        <v>0.132495024429819</v>
      </c>
      <c r="V18" s="12">
        <v>-0.13125300000000001</v>
      </c>
      <c r="W18" s="12">
        <v>0.1379172379157062</v>
      </c>
      <c r="X18" s="12">
        <v>0.1434515176348406</v>
      </c>
      <c r="Y18" s="12">
        <v>2.4211857142857139E-2</v>
      </c>
      <c r="Z18" s="12">
        <v>-1.690557142857143E-2</v>
      </c>
      <c r="AA18" s="12">
        <v>5.4805571428571433E-2</v>
      </c>
      <c r="AB18" s="12">
        <v>-6.1713999999999991E-2</v>
      </c>
      <c r="AC18" s="12">
        <v>-7.4719857142857143E-2</v>
      </c>
      <c r="AD18" s="12">
        <v>9.6285857142857145E-2</v>
      </c>
      <c r="AE18" s="12">
        <v>7.7200999999999978E-2</v>
      </c>
      <c r="AF18" s="12">
        <v>-1.749571428571428E-3</v>
      </c>
      <c r="AG18" s="12">
        <v>-8.6178571428571424E-3</v>
      </c>
      <c r="AH18" s="12">
        <v>-4.0197460968514703E-2</v>
      </c>
      <c r="AI18" s="12">
        <v>0.11808642857142861</v>
      </c>
      <c r="AJ18" s="12">
        <v>-4.7393756166449127E-2</v>
      </c>
      <c r="AK18" s="12">
        <v>3.0152480597625989E-2</v>
      </c>
      <c r="AL18" s="12">
        <v>4.7527763632257733E-2</v>
      </c>
      <c r="AM18" s="12">
        <v>9.8589999999999962E-3</v>
      </c>
      <c r="AN18" s="12">
        <v>5.3661571428571427E-2</v>
      </c>
      <c r="AO18" s="12">
        <v>5.4275349676927882E-3</v>
      </c>
      <c r="AP18" s="12">
        <v>2.0157142857142869E-3</v>
      </c>
      <c r="AQ18" s="12">
        <v>1.6788142857142859E-2</v>
      </c>
      <c r="AR18" s="12">
        <v>6.169442857142856E-2</v>
      </c>
      <c r="AS18" s="12">
        <v>-4.5373285714285699E-2</v>
      </c>
      <c r="AT18" s="12">
        <v>2.9653571428571422E-2</v>
      </c>
      <c r="AU18" s="12">
        <v>0.19666014285714281</v>
      </c>
      <c r="AV18" s="12">
        <v>3.5058000000000013E-2</v>
      </c>
      <c r="AW18" s="12">
        <v>0.14204285714285711</v>
      </c>
      <c r="AX18" s="12">
        <v>3.3604285714285712E-2</v>
      </c>
      <c r="AY18" s="12">
        <v>-4.2777142857142847E-2</v>
      </c>
      <c r="AZ18" s="12">
        <v>6.6341999999999998E-2</v>
      </c>
      <c r="BA18" s="12">
        <v>0.18047985714285711</v>
      </c>
      <c r="BB18" s="12">
        <v>0.16725728571428569</v>
      </c>
      <c r="BC18" s="12">
        <v>-5.2453142857142851E-2</v>
      </c>
      <c r="BD18" s="12">
        <v>2.0277714285714281E-2</v>
      </c>
      <c r="BE18" s="12">
        <v>6.8361213238162841E-2</v>
      </c>
      <c r="BF18" s="12">
        <v>4.5884536299578838E-2</v>
      </c>
      <c r="BG18" s="12">
        <v>-2.3085714285714242E-3</v>
      </c>
      <c r="BH18" s="12">
        <v>-6.2935714285714275E-2</v>
      </c>
      <c r="BI18" s="12">
        <v>3.3489571428571417E-2</v>
      </c>
      <c r="BJ18" s="12">
        <v>9.9532714285714308E-2</v>
      </c>
      <c r="BK18" s="12">
        <v>7.3456142857142859E-2</v>
      </c>
      <c r="BL18" s="12">
        <v>8.1157673820204085E-2</v>
      </c>
      <c r="BM18" s="12">
        <v>0.1027739390634396</v>
      </c>
      <c r="BN18" s="12">
        <v>7.8210142857142853E-2</v>
      </c>
      <c r="BO18" s="12">
        <v>2.0227496106374639E-2</v>
      </c>
      <c r="BP18" s="12">
        <v>4.6857540334682007E-2</v>
      </c>
      <c r="BQ18" s="12">
        <v>5.8287714285714283E-2</v>
      </c>
      <c r="BR18" s="12">
        <v>2.6288285714285708E-2</v>
      </c>
      <c r="BS18" s="12">
        <v>-3.9836250971192512E-3</v>
      </c>
      <c r="BT18" s="12">
        <v>0.1152367480358866</v>
      </c>
      <c r="BU18" s="12">
        <v>-0.1114621428571428</v>
      </c>
      <c r="BV18" s="12">
        <v>0.1155055714285714</v>
      </c>
      <c r="BW18" s="12">
        <v>0.2610392857142857</v>
      </c>
      <c r="BX18" s="12">
        <v>-1.5810714285714289E-2</v>
      </c>
      <c r="BY18" s="12">
        <v>-6.2688428571428589E-2</v>
      </c>
      <c r="BZ18" s="12">
        <v>0.10981514285714281</v>
      </c>
      <c r="CA18" s="12">
        <v>3.3285857142857138E-2</v>
      </c>
      <c r="CB18" s="12">
        <v>0.1068462857142857</v>
      </c>
      <c r="CC18" s="12">
        <v>0.1046597142857143</v>
      </c>
      <c r="CD18" s="12">
        <v>5.0445000000000011E-2</v>
      </c>
      <c r="CE18" s="12">
        <v>0.1779263563088774</v>
      </c>
      <c r="CF18" s="12">
        <v>-7.1817591700374064E-2</v>
      </c>
      <c r="CG18" s="12">
        <v>0.2266421428571429</v>
      </c>
      <c r="CH18" s="12">
        <v>-2.5440571428571441E-2</v>
      </c>
      <c r="CI18" s="12">
        <v>-0.1177235714285714</v>
      </c>
      <c r="CJ18" s="12">
        <v>2.8684714285714289E-2</v>
      </c>
      <c r="CK18" s="12">
        <v>7.3221142857142874E-2</v>
      </c>
      <c r="CL18" s="12">
        <v>3.0989545058193121E-2</v>
      </c>
      <c r="CM18" s="12">
        <v>-0.14364854316439371</v>
      </c>
      <c r="CN18" s="12">
        <v>-2.8616857142857138E-2</v>
      </c>
      <c r="CO18" s="12">
        <v>0.23157387854942929</v>
      </c>
      <c r="CP18" s="12">
        <v>-1.549814285714286E-2</v>
      </c>
      <c r="CQ18" s="12">
        <v>0.20974271428571431</v>
      </c>
      <c r="CR18" s="12">
        <v>-5.5156128716592027E-2</v>
      </c>
      <c r="CS18" s="12">
        <v>-7.802724673197127E-2</v>
      </c>
      <c r="CT18" s="12">
        <v>7.687085714285713E-2</v>
      </c>
      <c r="CU18" s="12">
        <v>7.1648691205109999E-2</v>
      </c>
      <c r="CV18" s="12">
        <v>-9.1040282230288663E-2</v>
      </c>
      <c r="CW18" s="12">
        <v>8.4560855645258066E-3</v>
      </c>
      <c r="CX18" s="12">
        <v>-6.1560185833778078E-2</v>
      </c>
      <c r="CY18" s="12">
        <v>7.1432142857142861E-2</v>
      </c>
      <c r="CZ18" s="12">
        <v>0.20441242857142861</v>
      </c>
      <c r="DA18" s="12">
        <v>4.7380939518693557E-2</v>
      </c>
      <c r="DB18" s="12">
        <v>0.118114</v>
      </c>
      <c r="DC18" s="12">
        <v>4.9208571428571428E-2</v>
      </c>
      <c r="DD18" s="12">
        <v>-7.1071285714285712E-2</v>
      </c>
      <c r="DE18" s="12">
        <v>-3.9306714285714278E-2</v>
      </c>
      <c r="DF18" s="12">
        <v>0.36669357142857151</v>
      </c>
      <c r="DG18" s="12">
        <v>-5.4770714285714277E-2</v>
      </c>
      <c r="DH18" s="12">
        <v>0.1924025714285714</v>
      </c>
      <c r="DI18" s="12">
        <v>9.7962857142857129E-2</v>
      </c>
      <c r="DJ18" s="12">
        <v>5.0654999999999999E-2</v>
      </c>
      <c r="DK18" s="12">
        <v>-0.1065258571428571</v>
      </c>
      <c r="DL18" s="12">
        <v>-2.3409571428571429E-2</v>
      </c>
      <c r="DM18" s="12">
        <v>5.8456714285714292E-2</v>
      </c>
      <c r="DN18" s="12">
        <v>-1.6722064078021251E-2</v>
      </c>
      <c r="DO18" s="12">
        <v>0.22031957142857139</v>
      </c>
      <c r="DP18" s="12">
        <v>-2.0604686466865741E-2</v>
      </c>
      <c r="DQ18" s="12">
        <v>-6.1954714285714287E-2</v>
      </c>
      <c r="DR18" s="12">
        <v>-1.0451714285714279E-2</v>
      </c>
      <c r="DS18" s="12">
        <v>-0.1477219984517327</v>
      </c>
      <c r="DT18" s="12">
        <v>-7.4077142857142883E-3</v>
      </c>
      <c r="DU18" s="12">
        <v>-0.15871542857142859</v>
      </c>
      <c r="DV18" s="12">
        <v>8.5405857142857144E-2</v>
      </c>
      <c r="DW18" s="12">
        <v>8.1908692284373169E-2</v>
      </c>
      <c r="DX18" s="12">
        <v>6.1783714285714289E-2</v>
      </c>
      <c r="DY18" s="12">
        <v>0.13683228571428571</v>
      </c>
      <c r="DZ18" s="12">
        <v>7.5516359296365659E-2</v>
      </c>
      <c r="EA18" s="12">
        <v>0.19894728571428569</v>
      </c>
      <c r="EB18" s="12">
        <v>-9.7044999999999992E-2</v>
      </c>
      <c r="EC18" s="12">
        <v>2.764115425371385E-3</v>
      </c>
      <c r="ED18" s="12">
        <v>0.11047802186576559</v>
      </c>
      <c r="EE18" s="12">
        <v>1.385375397450707E-2</v>
      </c>
      <c r="EF18" s="12">
        <v>-4.8955017110416547E-2</v>
      </c>
    </row>
    <row r="19" spans="1:136">
      <c r="A19" s="2">
        <v>160</v>
      </c>
      <c r="B19" s="2">
        <v>6</v>
      </c>
      <c r="C19" s="12">
        <v>7.7959416087486216E-2</v>
      </c>
      <c r="D19" s="12">
        <v>2.017079945419575E-2</v>
      </c>
      <c r="E19" s="12">
        <v>6.5812499999999996E-2</v>
      </c>
      <c r="F19" s="12">
        <v>3.864668188624408E-2</v>
      </c>
      <c r="G19" s="12">
        <v>9.7512090561600123E-2</v>
      </c>
      <c r="H19" s="12">
        <v>0.17761016666666671</v>
      </c>
      <c r="I19" s="12">
        <v>-0.1346543328914665</v>
      </c>
      <c r="J19" s="12">
        <v>-0.1562291666666667</v>
      </c>
      <c r="K19" s="12">
        <v>0.41833785096963422</v>
      </c>
      <c r="L19" s="12">
        <v>-4.3048957635166023E-2</v>
      </c>
      <c r="M19" s="12">
        <v>-0.26154166666666667</v>
      </c>
      <c r="N19" s="12">
        <v>-9.5347885689980899E-2</v>
      </c>
      <c r="O19" s="12">
        <v>-1.9796999999999999E-2</v>
      </c>
      <c r="P19" s="12">
        <v>2.2785333333333321E-2</v>
      </c>
      <c r="Q19" s="12">
        <v>0.1704643333333333</v>
      </c>
      <c r="R19" s="12">
        <v>9.0299090630856282E-2</v>
      </c>
      <c r="S19" s="12">
        <v>0.18416011669760801</v>
      </c>
      <c r="T19" s="12">
        <v>-0.1095268333333333</v>
      </c>
      <c r="U19" s="12">
        <v>0.13569833863192321</v>
      </c>
      <c r="V19" s="12">
        <v>-0.1186835</v>
      </c>
      <c r="W19" s="12">
        <v>0.14662099071751011</v>
      </c>
      <c r="X19" s="12">
        <v>0.1166390452640934</v>
      </c>
      <c r="Y19" s="12">
        <v>2.4062166666666669E-2</v>
      </c>
      <c r="Z19" s="12">
        <v>-2.2223E-2</v>
      </c>
      <c r="AA19" s="12">
        <v>4.7301666666666672E-2</v>
      </c>
      <c r="AB19" s="12">
        <v>-6.0762499999999997E-2</v>
      </c>
      <c r="AC19" s="12">
        <v>-8.3512833333333328E-2</v>
      </c>
      <c r="AD19" s="12">
        <v>9.5992833333333333E-2</v>
      </c>
      <c r="AE19" s="12">
        <v>0.11523116666666661</v>
      </c>
      <c r="AF19" s="12">
        <v>2.6383333333333288E-4</v>
      </c>
      <c r="AG19" s="12">
        <v>1.92985E-2</v>
      </c>
      <c r="AH19" s="12">
        <v>-5.6557715221703553E-2</v>
      </c>
      <c r="AI19" s="12">
        <v>9.154933333333333E-2</v>
      </c>
      <c r="AJ19" s="12">
        <v>-5.1545290327262273E-2</v>
      </c>
      <c r="AK19" s="12">
        <v>7.5520425059527104E-3</v>
      </c>
      <c r="AL19" s="12">
        <v>7.0270945670805551E-2</v>
      </c>
      <c r="AM19" s="12">
        <v>1.05325E-2</v>
      </c>
      <c r="AN19" s="12">
        <v>6.2111333333333338E-2</v>
      </c>
      <c r="AO19" s="12">
        <v>2.589290304541441E-2</v>
      </c>
      <c r="AP19" s="12">
        <v>9.7129999999999959E-3</v>
      </c>
      <c r="AQ19" s="12">
        <v>5.4927833333333342E-2</v>
      </c>
      <c r="AR19" s="12">
        <v>7.4616833333333327E-2</v>
      </c>
      <c r="AS19" s="12">
        <v>-3.6869999999999841E-3</v>
      </c>
      <c r="AT19" s="12">
        <v>1.1183666666666659E-2</v>
      </c>
      <c r="AU19" s="12">
        <v>0.23884516666666669</v>
      </c>
      <c r="AV19" s="12">
        <v>4.2677666666666669E-2</v>
      </c>
      <c r="AW19" s="12">
        <v>0.1248628333333333</v>
      </c>
      <c r="AX19" s="12">
        <v>6.4064999999999997E-2</v>
      </c>
      <c r="AY19" s="12">
        <v>-6.0852666666666673E-2</v>
      </c>
      <c r="AZ19" s="12">
        <v>8.403233333333332E-2</v>
      </c>
      <c r="BA19" s="12">
        <v>0.186997</v>
      </c>
      <c r="BB19" s="12">
        <v>0.20180183333333329</v>
      </c>
      <c r="BC19" s="12">
        <v>-6.1071499999999987E-2</v>
      </c>
      <c r="BD19" s="12">
        <v>-7.0833333333334206E-5</v>
      </c>
      <c r="BE19" s="12">
        <v>5.1131873963666558E-2</v>
      </c>
      <c r="BF19" s="12">
        <v>1.3570974149138619E-2</v>
      </c>
      <c r="BG19" s="12">
        <v>9.6333333333333687E-4</v>
      </c>
      <c r="BH19" s="12">
        <v>-5.7135000000000012E-2</v>
      </c>
      <c r="BI19" s="12">
        <v>2.5938499999999989E-2</v>
      </c>
      <c r="BJ19" s="12">
        <v>5.1820166666666667E-2</v>
      </c>
      <c r="BK19" s="12">
        <v>9.7038833333333324E-2</v>
      </c>
      <c r="BL19" s="12">
        <v>7.9964658146503109E-2</v>
      </c>
      <c r="BM19" s="12">
        <v>0.1142506002586957</v>
      </c>
      <c r="BN19" s="12">
        <v>8.1415166666666677E-2</v>
      </c>
      <c r="BO19" s="12">
        <v>2.5728961265115379E-2</v>
      </c>
      <c r="BP19" s="12">
        <v>6.2818807534132146E-2</v>
      </c>
      <c r="BQ19" s="12">
        <v>-2.10055E-2</v>
      </c>
      <c r="BR19" s="12">
        <v>2.4062166666666659E-2</v>
      </c>
      <c r="BS19" s="12">
        <v>-2.4256338744482069E-2</v>
      </c>
      <c r="BT19" s="12">
        <v>0.14163267985357339</v>
      </c>
      <c r="BU19" s="12">
        <v>-0.13067083333333329</v>
      </c>
      <c r="BV19" s="12">
        <v>0.1000853333333333</v>
      </c>
      <c r="BW19" s="12">
        <v>0.29597583333333338</v>
      </c>
      <c r="BX19" s="12">
        <v>-3.6397166666666668E-2</v>
      </c>
      <c r="BY19" s="12">
        <v>-2.767816666666666E-2</v>
      </c>
      <c r="BZ19" s="12">
        <v>0.1447426666666666</v>
      </c>
      <c r="CA19" s="12">
        <v>3.5610166666666658E-2</v>
      </c>
      <c r="CB19" s="12">
        <v>0.12783849999999999</v>
      </c>
      <c r="CC19" s="12">
        <v>2.250566666666666E-2</v>
      </c>
      <c r="CD19" s="12">
        <v>8.7664166666666668E-2</v>
      </c>
      <c r="CE19" s="12">
        <v>0.1982658291769592</v>
      </c>
      <c r="CF19" s="12">
        <v>-7.9904397206049291E-2</v>
      </c>
      <c r="CG19" s="12">
        <v>0.26389400000000002</v>
      </c>
      <c r="CH19" s="12">
        <v>-7.5598333333333212E-3</v>
      </c>
      <c r="CI19" s="12">
        <v>-0.16520066666666669</v>
      </c>
      <c r="CJ19" s="12">
        <v>-1.038500000000001E-3</v>
      </c>
      <c r="CK19" s="12">
        <v>7.4586333333333338E-2</v>
      </c>
      <c r="CL19" s="12">
        <v>4.3240279974789908E-2</v>
      </c>
      <c r="CM19" s="12">
        <v>-0.17534764158171501</v>
      </c>
      <c r="CN19" s="12">
        <v>-1.5943166666666671E-2</v>
      </c>
      <c r="CO19" s="12">
        <v>0.27245440462850651</v>
      </c>
      <c r="CP19" s="12">
        <v>-2.9037000000000011E-2</v>
      </c>
      <c r="CQ19" s="12">
        <v>0.22201499999999999</v>
      </c>
      <c r="CR19" s="12">
        <v>-4.9694189552402651E-2</v>
      </c>
      <c r="CS19" s="12">
        <v>-6.0700850898538133E-2</v>
      </c>
      <c r="CT19" s="12">
        <v>2.642199999999998E-2</v>
      </c>
      <c r="CU19" s="12">
        <v>8.3436397113892974E-2</v>
      </c>
      <c r="CV19" s="12">
        <v>-0.10197986151640361</v>
      </c>
      <c r="CW19" s="12">
        <v>2.190180778189859E-2</v>
      </c>
      <c r="CX19" s="12">
        <v>-5.7634726368184938E-2</v>
      </c>
      <c r="CY19" s="12">
        <v>7.3150833333333332E-2</v>
      </c>
      <c r="CZ19" s="12">
        <v>0.1580145</v>
      </c>
      <c r="DA19" s="12">
        <v>5.8223876703236761E-2</v>
      </c>
      <c r="DB19" s="12">
        <v>0.14796100000000001</v>
      </c>
      <c r="DC19" s="12">
        <v>3.027666666666666E-2</v>
      </c>
      <c r="DD19" s="12">
        <v>-6.3547333333333317E-2</v>
      </c>
      <c r="DE19" s="12">
        <v>-6.0054999999999831E-3</v>
      </c>
      <c r="DF19" s="12">
        <v>0.2055028333333333</v>
      </c>
      <c r="DG19" s="12">
        <v>-6.6374499999999989E-2</v>
      </c>
      <c r="DH19" s="12">
        <v>0.22459133333333331</v>
      </c>
      <c r="DI19" s="12">
        <v>0.10846166666666671</v>
      </c>
      <c r="DJ19" s="12">
        <v>8.050033333333334E-2</v>
      </c>
      <c r="DK19" s="12">
        <v>-0.1214406666666667</v>
      </c>
      <c r="DL19" s="12">
        <v>-2.3312833333333331E-2</v>
      </c>
      <c r="DM19" s="12">
        <v>5.7299833333333328E-2</v>
      </c>
      <c r="DN19" s="12">
        <v>2.4751230976385011E-3</v>
      </c>
      <c r="DO19" s="12">
        <v>0.2492611666666667</v>
      </c>
      <c r="DP19" s="12">
        <v>2.783801448299373E-2</v>
      </c>
      <c r="DQ19" s="12">
        <v>-5.0622500000000001E-2</v>
      </c>
      <c r="DR19" s="12">
        <v>-1.7545333333333329E-2</v>
      </c>
      <c r="DS19" s="12">
        <v>-0.1779955469539703</v>
      </c>
      <c r="DT19" s="12">
        <v>-3.0765000000000028E-3</v>
      </c>
      <c r="DU19" s="12">
        <v>-0.15058250000000001</v>
      </c>
      <c r="DV19" s="12">
        <v>3.8127166666666677E-2</v>
      </c>
      <c r="DW19" s="12">
        <v>6.0609139340684293E-2</v>
      </c>
      <c r="DX19" s="12">
        <v>0.1082645</v>
      </c>
      <c r="DY19" s="12">
        <v>0.13924800000000001</v>
      </c>
      <c r="DZ19" s="12">
        <v>0.1119208288639931</v>
      </c>
      <c r="EA19" s="12">
        <v>0.23304766666666671</v>
      </c>
      <c r="EB19" s="12">
        <v>-0.1062485</v>
      </c>
      <c r="EC19" s="12">
        <v>-1.2190043223702179E-2</v>
      </c>
      <c r="ED19" s="12">
        <v>0.15093531699015689</v>
      </c>
      <c r="EE19" s="12">
        <v>-1.2634042940422471E-2</v>
      </c>
      <c r="EF19" s="12">
        <v>-1.697795487476916E-2</v>
      </c>
    </row>
    <row r="20" spans="1:136">
      <c r="A20" s="2">
        <v>192</v>
      </c>
      <c r="B20" s="2">
        <v>5</v>
      </c>
      <c r="C20" s="12">
        <v>0.13932460396499161</v>
      </c>
      <c r="D20" s="12">
        <v>-3.5171826374555398E-4</v>
      </c>
      <c r="E20" s="12">
        <v>5.7335200000000003E-2</v>
      </c>
      <c r="F20" s="12">
        <v>9.1218422172045968E-2</v>
      </c>
      <c r="G20" s="12">
        <v>0.1003659119188639</v>
      </c>
      <c r="H20" s="12">
        <v>0.14393220000000001</v>
      </c>
      <c r="I20" s="12">
        <v>-0.15814956260110169</v>
      </c>
      <c r="J20" s="12">
        <v>-0.1332062</v>
      </c>
      <c r="K20" s="12">
        <v>9.0108654122673978E-2</v>
      </c>
      <c r="L20" s="12">
        <v>-9.5708635504535719E-2</v>
      </c>
      <c r="M20" s="12">
        <v>-0.26869399999999999</v>
      </c>
      <c r="N20" s="12">
        <v>-0.10192492904563991</v>
      </c>
      <c r="O20" s="12">
        <v>-0.1101138</v>
      </c>
      <c r="P20" s="12">
        <v>4.0029000000000002E-2</v>
      </c>
      <c r="Q20" s="12">
        <v>0.22482659999999999</v>
      </c>
      <c r="R20" s="12">
        <v>0.1092530556374688</v>
      </c>
      <c r="S20" s="12">
        <v>0.15518261832774261</v>
      </c>
      <c r="T20" s="12">
        <v>-0.1008458</v>
      </c>
      <c r="U20" s="12">
        <v>0.14864968011777491</v>
      </c>
      <c r="V20" s="12">
        <v>-0.1362882</v>
      </c>
      <c r="W20" s="12">
        <v>0.17308537617758091</v>
      </c>
      <c r="X20" s="12">
        <v>0.14869720125713359</v>
      </c>
      <c r="Y20" s="12">
        <v>-4.8579999999999977E-3</v>
      </c>
      <c r="Z20" s="12">
        <v>2.9158400000000001E-2</v>
      </c>
      <c r="AA20" s="12">
        <v>6.6963999999999996E-2</v>
      </c>
      <c r="AB20" s="12">
        <v>-6.0422999999999998E-2</v>
      </c>
      <c r="AC20" s="12">
        <v>-9.6308199999999997E-2</v>
      </c>
      <c r="AD20" s="12">
        <v>0.1298426</v>
      </c>
      <c r="AE20" s="12">
        <v>1.7310200000000001E-2</v>
      </c>
      <c r="AF20" s="12">
        <v>-6.4676000000000004E-3</v>
      </c>
      <c r="AG20" s="12">
        <v>-6.2396000000000014E-3</v>
      </c>
      <c r="AH20" s="12">
        <v>-9.0178200714782636E-2</v>
      </c>
      <c r="AI20" s="12">
        <v>0.1163372</v>
      </c>
      <c r="AJ20" s="12">
        <v>-6.1990034547547639E-2</v>
      </c>
      <c r="AK20" s="12">
        <v>-1.359511549600285E-2</v>
      </c>
      <c r="AL20" s="12">
        <v>7.2893452036976947E-2</v>
      </c>
      <c r="AM20" s="12">
        <v>3.2738599999999993E-2</v>
      </c>
      <c r="AN20" s="12">
        <v>-3.2916800000000003E-2</v>
      </c>
      <c r="AO20" s="12">
        <v>4.528508196468839E-2</v>
      </c>
      <c r="AP20" s="12">
        <v>1.26056E-2</v>
      </c>
      <c r="AQ20" s="12">
        <v>-7.2898600000000008E-2</v>
      </c>
      <c r="AR20" s="12">
        <v>1.3289199999999999E-2</v>
      </c>
      <c r="AS20" s="12">
        <v>-1.7142799999999989E-2</v>
      </c>
      <c r="AT20" s="12">
        <v>-2.8506000000000022E-3</v>
      </c>
      <c r="AU20" s="12">
        <v>0.28169899999999998</v>
      </c>
      <c r="AV20" s="12">
        <v>7.1474400000000007E-2</v>
      </c>
      <c r="AW20" s="12">
        <v>0.146312</v>
      </c>
      <c r="AX20" s="12">
        <v>8.5888799999999987E-2</v>
      </c>
      <c r="AY20" s="12">
        <v>-6.2285800000000002E-2</v>
      </c>
      <c r="AZ20" s="12">
        <v>9.9804199999999982E-2</v>
      </c>
      <c r="BA20" s="12">
        <v>0.151338</v>
      </c>
      <c r="BB20" s="12">
        <v>0.23121340000000001</v>
      </c>
      <c r="BC20" s="12">
        <v>-6.9884999999999989E-2</v>
      </c>
      <c r="BD20" s="12">
        <v>8.3636000000000005E-3</v>
      </c>
      <c r="BE20" s="12">
        <v>-5.9467971392603326E-3</v>
      </c>
      <c r="BF20" s="12">
        <v>5.6885823313286886E-3</v>
      </c>
      <c r="BG20" s="12">
        <v>-5.1727000000000002E-2</v>
      </c>
      <c r="BH20" s="12">
        <v>-5.1899999999999988E-2</v>
      </c>
      <c r="BI20" s="12">
        <v>2.3173599999999999E-2</v>
      </c>
      <c r="BJ20" s="12">
        <v>5.51578E-2</v>
      </c>
      <c r="BK20" s="12">
        <v>0.11765100000000001</v>
      </c>
      <c r="BL20" s="12">
        <v>8.6292231176454737E-2</v>
      </c>
      <c r="BM20" s="12">
        <v>0.1369176613284383</v>
      </c>
      <c r="BN20" s="12">
        <v>-1.863600000000001E-2</v>
      </c>
      <c r="BO20" s="12">
        <v>-3.8461717515979203E-2</v>
      </c>
      <c r="BP20" s="12">
        <v>6.0407520762954983E-2</v>
      </c>
      <c r="BQ20" s="12">
        <v>-1.2462600000000001E-2</v>
      </c>
      <c r="BR20" s="12">
        <v>1.8190599999999991E-2</v>
      </c>
      <c r="BS20" s="12">
        <v>5.4075061911911179E-3</v>
      </c>
      <c r="BT20" s="12">
        <v>0.14780303317864721</v>
      </c>
      <c r="BU20" s="12">
        <v>-0.14944099999999999</v>
      </c>
      <c r="BV20" s="12">
        <v>0.13370979999999999</v>
      </c>
      <c r="BW20" s="12">
        <v>0.34204220000000002</v>
      </c>
      <c r="BX20" s="12">
        <v>-5.2858599999999992E-2</v>
      </c>
      <c r="BY20" s="12">
        <v>-4.3187799999999998E-2</v>
      </c>
      <c r="BZ20" s="12">
        <v>0.1847258</v>
      </c>
      <c r="CA20" s="12">
        <v>5.0216200000000003E-2</v>
      </c>
      <c r="CB20" s="12">
        <v>0.12649540000000001</v>
      </c>
      <c r="CC20" s="12">
        <v>1.2914800000000001E-2</v>
      </c>
      <c r="CD20" s="12">
        <v>9.6063599999999999E-2</v>
      </c>
      <c r="CE20" s="12">
        <v>0.2439637954697331</v>
      </c>
      <c r="CF20" s="12">
        <v>-8.0957937198676569E-2</v>
      </c>
      <c r="CG20" s="12">
        <v>0.32193939999999999</v>
      </c>
      <c r="CH20" s="12">
        <v>4.919380000000001E-2</v>
      </c>
      <c r="CI20" s="12">
        <v>-0.13148380000000001</v>
      </c>
      <c r="CJ20" s="12">
        <v>-1.2323199999999999E-2</v>
      </c>
      <c r="CK20" s="12">
        <v>6.2277199999999998E-2</v>
      </c>
      <c r="CL20" s="12">
        <v>9.2184934189128986E-2</v>
      </c>
      <c r="CM20" s="12">
        <v>-0.18905116517062071</v>
      </c>
      <c r="CN20" s="12">
        <v>-1.9347400000000001E-2</v>
      </c>
      <c r="CO20" s="12">
        <v>0.41597133516901241</v>
      </c>
      <c r="CP20" s="12">
        <v>7.424199999999991E-3</v>
      </c>
      <c r="CQ20" s="12">
        <v>8.252219999999999E-2</v>
      </c>
      <c r="CR20" s="12">
        <v>-7.3116244505850386E-2</v>
      </c>
      <c r="CS20" s="12">
        <v>-8.8364277012261461E-2</v>
      </c>
      <c r="CT20" s="12">
        <v>2.8415399999999969E-2</v>
      </c>
      <c r="CU20" s="12">
        <v>9.4867658266512403E-2</v>
      </c>
      <c r="CV20" s="12">
        <v>-9.2511075695426118E-2</v>
      </c>
      <c r="CW20" s="12">
        <v>-9.9530629212826391E-3</v>
      </c>
      <c r="CX20" s="12">
        <v>-9.0298550867764463E-2</v>
      </c>
      <c r="CY20" s="12">
        <v>0.1087322</v>
      </c>
      <c r="CZ20" s="12">
        <v>0.12830340000000001</v>
      </c>
      <c r="DA20" s="12">
        <v>4.7471893155177573E-2</v>
      </c>
      <c r="DB20" s="12">
        <v>7.6966999999999994E-2</v>
      </c>
      <c r="DC20" s="12">
        <v>2.890199999999998E-2</v>
      </c>
      <c r="DD20" s="12">
        <v>-6.8162799999999996E-2</v>
      </c>
      <c r="DE20" s="12">
        <v>-3.0466399999999991E-2</v>
      </c>
      <c r="DF20" s="12">
        <v>0.2455754</v>
      </c>
      <c r="DG20" s="12">
        <v>-5.2345800000000012E-2</v>
      </c>
      <c r="DH20" s="12">
        <v>0.27829959999999998</v>
      </c>
      <c r="DI20" s="12">
        <v>0.137596</v>
      </c>
      <c r="DJ20" s="12">
        <v>8.12774E-2</v>
      </c>
      <c r="DK20" s="12">
        <v>-8.5184599999999999E-2</v>
      </c>
      <c r="DL20" s="12">
        <v>1.0186600000000001E-2</v>
      </c>
      <c r="DM20" s="12">
        <v>6.9335800000000003E-2</v>
      </c>
      <c r="DN20" s="12">
        <v>5.8019206654199171E-2</v>
      </c>
      <c r="DO20" s="12">
        <v>0.25800099999999998</v>
      </c>
      <c r="DP20" s="12">
        <v>9.8305313908873052E-3</v>
      </c>
      <c r="DQ20" s="12">
        <v>-3.853899999999999E-2</v>
      </c>
      <c r="DR20" s="12">
        <v>-5.5557799999999997E-2</v>
      </c>
      <c r="DS20" s="12">
        <v>-0.20608109757835469</v>
      </c>
      <c r="DT20" s="12">
        <v>4.8288000000000011E-3</v>
      </c>
      <c r="DU20" s="12">
        <v>-0.1763758</v>
      </c>
      <c r="DV20" s="12">
        <v>-3.01902E-2</v>
      </c>
      <c r="DW20" s="12">
        <v>6.9060203958039607E-2</v>
      </c>
      <c r="DX20" s="12">
        <v>0.14598420000000001</v>
      </c>
      <c r="DY20" s="12">
        <v>0.12159059999999999</v>
      </c>
      <c r="DZ20" s="12">
        <v>8.4474578309692155E-2</v>
      </c>
      <c r="EA20" s="12">
        <v>0.29369119999999999</v>
      </c>
      <c r="EB20" s="12">
        <v>-0.1063144</v>
      </c>
      <c r="EC20" s="12">
        <v>3.4049581413941779E-2</v>
      </c>
      <c r="ED20" s="12">
        <v>0.17691886106701021</v>
      </c>
      <c r="EE20" s="12">
        <v>-2.3672309273819309E-3</v>
      </c>
      <c r="EF20" s="12">
        <v>-2.0281416615907238E-2</v>
      </c>
    </row>
    <row r="21" spans="1:136">
      <c r="A21" s="2">
        <v>241</v>
      </c>
      <c r="B21" s="2">
        <v>4</v>
      </c>
      <c r="C21" s="12">
        <v>0.19764916434148611</v>
      </c>
      <c r="D21" s="12">
        <v>3.6770939515919088E-4</v>
      </c>
      <c r="E21" s="12">
        <v>-1.3691500000000001E-2</v>
      </c>
      <c r="F21" s="12">
        <v>5.1097483846408213E-2</v>
      </c>
      <c r="G21" s="12">
        <v>7.2961380278514509E-3</v>
      </c>
      <c r="H21" s="12">
        <v>0.162164</v>
      </c>
      <c r="I21" s="12">
        <v>-0.14725560812747299</v>
      </c>
      <c r="J21" s="12">
        <v>-0.13674149999999999</v>
      </c>
      <c r="K21" s="12">
        <v>8.8973017354022049E-2</v>
      </c>
      <c r="L21" s="12">
        <v>-0.1096796074542299</v>
      </c>
      <c r="M21" s="12">
        <v>-0.19988500000000001</v>
      </c>
      <c r="N21" s="12">
        <v>-9.9587412122941574E-2</v>
      </c>
      <c r="O21" s="12">
        <v>-0.13927724999999999</v>
      </c>
      <c r="P21" s="12">
        <v>4.5427749999999989E-2</v>
      </c>
      <c r="Q21" s="12">
        <v>0.27408575000000002</v>
      </c>
      <c r="R21" s="12">
        <v>9.5575311106630215E-2</v>
      </c>
      <c r="S21" s="12">
        <v>0.12859028544995699</v>
      </c>
      <c r="T21" s="12">
        <v>-0.13111999999999999</v>
      </c>
      <c r="U21" s="12">
        <v>8.6278417611758002E-2</v>
      </c>
      <c r="V21" s="12">
        <v>-0.13175025000000001</v>
      </c>
      <c r="W21" s="12">
        <v>0.15778847961546261</v>
      </c>
      <c r="X21" s="12">
        <v>0.19733717858364669</v>
      </c>
      <c r="Y21" s="12">
        <v>-1.01475E-2</v>
      </c>
      <c r="Z21" s="12">
        <v>3.9459000000000001E-2</v>
      </c>
      <c r="AA21" s="12">
        <v>2.8035500000000001E-2</v>
      </c>
      <c r="AB21" s="12">
        <v>-6.5286999999999998E-2</v>
      </c>
      <c r="AC21" s="12">
        <v>-0.15954125</v>
      </c>
      <c r="AD21" s="12">
        <v>0.12882450000000001</v>
      </c>
      <c r="AE21" s="12">
        <v>1.031074999999999E-2</v>
      </c>
      <c r="AF21" s="12">
        <v>-3.3565499999999998E-2</v>
      </c>
      <c r="AG21" s="12">
        <v>-1.0567999999999999E-2</v>
      </c>
      <c r="AH21" s="12">
        <v>-0.10758136256479831</v>
      </c>
      <c r="AI21" s="12">
        <v>0.10212425</v>
      </c>
      <c r="AJ21" s="12">
        <v>-7.0405341946468691E-2</v>
      </c>
      <c r="AK21" s="12">
        <v>-3.5803167618110053E-2</v>
      </c>
      <c r="AL21" s="12">
        <v>6.5379822733110632E-2</v>
      </c>
      <c r="AM21" s="12">
        <v>3.6710749999999993E-2</v>
      </c>
      <c r="AN21" s="12">
        <v>-1.8696250000000001E-2</v>
      </c>
      <c r="AO21" s="12">
        <v>4.7726395643726653E-2</v>
      </c>
      <c r="AP21" s="12">
        <v>1.8943749999999999E-2</v>
      </c>
      <c r="AQ21" s="12">
        <v>-0.13322400000000001</v>
      </c>
      <c r="AR21" s="12">
        <v>-4.7988250000000003E-2</v>
      </c>
      <c r="AS21" s="12">
        <v>1.7048000000000021E-2</v>
      </c>
      <c r="AT21" s="12">
        <v>-6.3445500000000002E-2</v>
      </c>
      <c r="AU21" s="12">
        <v>0.34648125000000002</v>
      </c>
      <c r="AV21" s="12">
        <v>5.0899250000000007E-2</v>
      </c>
      <c r="AW21" s="12">
        <v>0.1729475</v>
      </c>
      <c r="AX21" s="12">
        <v>6.6008499999999998E-2</v>
      </c>
      <c r="AY21" s="12">
        <v>-0.1188765</v>
      </c>
      <c r="AZ21" s="12">
        <v>0.108503</v>
      </c>
      <c r="BA21" s="12">
        <v>0.13959250000000001</v>
      </c>
      <c r="BB21" s="12">
        <v>0.29451325</v>
      </c>
      <c r="BC21" s="12">
        <v>-8.0046999999999979E-2</v>
      </c>
      <c r="BD21" s="12">
        <v>3.8222500000000013E-2</v>
      </c>
      <c r="BE21" s="12">
        <v>6.3505333974014731E-3</v>
      </c>
      <c r="BF21" s="12">
        <v>3.5771001804346838E-3</v>
      </c>
      <c r="BG21" s="12">
        <v>-7.8524750000000004E-2</v>
      </c>
      <c r="BH21" s="12">
        <v>-6.7917499999999992E-2</v>
      </c>
      <c r="BI21" s="12">
        <v>4.6276999999999992E-2</v>
      </c>
      <c r="BJ21" s="12">
        <v>2.2396249999999999E-2</v>
      </c>
      <c r="BK21" s="12">
        <v>7.272374999999999E-2</v>
      </c>
      <c r="BL21" s="12">
        <v>0.1427210926463498</v>
      </c>
      <c r="BM21" s="12">
        <v>0.15512000392109981</v>
      </c>
      <c r="BN21" s="12">
        <v>-2.5788249999999999E-2</v>
      </c>
      <c r="BO21" s="12">
        <v>-6.3857236413680254E-2</v>
      </c>
      <c r="BP21" s="12">
        <v>0.1045091294194143</v>
      </c>
      <c r="BQ21" s="12">
        <v>-4.3300749999999999E-2</v>
      </c>
      <c r="BR21" s="12">
        <v>1.128825E-2</v>
      </c>
      <c r="BS21" s="12">
        <v>5.8601727551761719E-3</v>
      </c>
      <c r="BT21" s="12">
        <v>0.13224469397444291</v>
      </c>
      <c r="BU21" s="12">
        <v>-0.170738</v>
      </c>
      <c r="BV21" s="12">
        <v>1.924025E-2</v>
      </c>
      <c r="BW21" s="12">
        <v>0.40213025000000002</v>
      </c>
      <c r="BX21" s="12">
        <v>-7.7163250000000003E-2</v>
      </c>
      <c r="BY21" s="12">
        <v>-1.4919750000000009E-2</v>
      </c>
      <c r="BZ21" s="12">
        <v>0.25140249999999997</v>
      </c>
      <c r="CA21" s="12">
        <v>9.5060000000000006E-2</v>
      </c>
      <c r="CB21" s="12">
        <v>0.20787025000000001</v>
      </c>
      <c r="CC21" s="12">
        <v>-8.0194999999999989E-3</v>
      </c>
      <c r="CD21" s="12">
        <v>8.4422250000000004E-2</v>
      </c>
      <c r="CE21" s="12">
        <v>0.39507594246504552</v>
      </c>
      <c r="CF21" s="12">
        <v>-0.13126567680107229</v>
      </c>
      <c r="CG21" s="12">
        <v>0.32016774999999997</v>
      </c>
      <c r="CH21" s="12">
        <v>-7.1338500000000013E-2</v>
      </c>
      <c r="CI21" s="12">
        <v>-0.12329225000000001</v>
      </c>
      <c r="CJ21" s="12">
        <v>-1.1955749999999999E-2</v>
      </c>
      <c r="CK21" s="12">
        <v>8.5642500000000024E-3</v>
      </c>
      <c r="CL21" s="12">
        <v>0.13389042462296469</v>
      </c>
      <c r="CM21" s="12">
        <v>-0.2255029884033713</v>
      </c>
      <c r="CN21" s="12">
        <v>-1.128025E-2</v>
      </c>
      <c r="CO21" s="12">
        <v>0.51486524859759264</v>
      </c>
      <c r="CP21" s="12">
        <v>-9.6252750000000012E-2</v>
      </c>
      <c r="CQ21" s="12">
        <v>-5.9400750000000002E-2</v>
      </c>
      <c r="CR21" s="12">
        <v>-9.0824277979679707E-2</v>
      </c>
      <c r="CS21" s="12">
        <v>-6.9646396146771747E-2</v>
      </c>
      <c r="CT21" s="12">
        <v>4.7994749999999982E-2</v>
      </c>
      <c r="CU21" s="12">
        <v>6.2673560169491313E-2</v>
      </c>
      <c r="CV21" s="12">
        <v>-9.8225632021386913E-2</v>
      </c>
      <c r="CW21" s="12">
        <v>-6.5005417280988659E-2</v>
      </c>
      <c r="CX21" s="12">
        <v>-0.1021221756574071</v>
      </c>
      <c r="CY21" s="12">
        <v>0.10250525000000001</v>
      </c>
      <c r="CZ21" s="12">
        <v>0.19029674999999999</v>
      </c>
      <c r="DA21" s="12">
        <v>-1.192256456731756E-3</v>
      </c>
      <c r="DB21" s="12">
        <v>7.1459500000000009E-2</v>
      </c>
      <c r="DC21" s="12">
        <v>4.8309999999999992E-2</v>
      </c>
      <c r="DD21" s="12">
        <v>-6.7026999999999989E-2</v>
      </c>
      <c r="DE21" s="12">
        <v>-5.4718999999999997E-2</v>
      </c>
      <c r="DF21" s="12">
        <v>0.30115175</v>
      </c>
      <c r="DG21" s="12">
        <v>-5.9410750000000012E-2</v>
      </c>
      <c r="DH21" s="12">
        <v>8.1436999999999996E-2</v>
      </c>
      <c r="DI21" s="12">
        <v>0.17984</v>
      </c>
      <c r="DJ21" s="12">
        <v>7.330325E-2</v>
      </c>
      <c r="DK21" s="12">
        <v>-9.0893250000000009E-2</v>
      </c>
      <c r="DL21" s="12">
        <v>3.2207750000000007E-2</v>
      </c>
      <c r="DM21" s="12">
        <v>2.498825E-2</v>
      </c>
      <c r="DN21" s="12">
        <v>7.1197612493993062E-2</v>
      </c>
      <c r="DO21" s="12">
        <v>0.33162625000000001</v>
      </c>
      <c r="DP21" s="12">
        <v>2.426615509356601E-2</v>
      </c>
      <c r="DQ21" s="12">
        <v>-2.8215250000000001E-2</v>
      </c>
      <c r="DR21" s="12">
        <v>-5.355675E-2</v>
      </c>
      <c r="DS21" s="12">
        <v>-0.20083947383729561</v>
      </c>
      <c r="DT21" s="12">
        <v>-9.7094999999999959E-3</v>
      </c>
      <c r="DU21" s="12">
        <v>-0.14861474999999999</v>
      </c>
      <c r="DV21" s="12">
        <v>-4.9660999999999997E-2</v>
      </c>
      <c r="DW21" s="12">
        <v>0.12824786866412111</v>
      </c>
      <c r="DX21" s="12">
        <v>0.11451475</v>
      </c>
      <c r="DY21" s="12">
        <v>0.16672999999999999</v>
      </c>
      <c r="DZ21" s="12">
        <v>5.2844066560288887E-2</v>
      </c>
      <c r="EA21" s="12">
        <v>0.26605774999999998</v>
      </c>
      <c r="EB21" s="12">
        <v>-0.103298</v>
      </c>
      <c r="EC21" s="12">
        <v>1.403705509804205E-2</v>
      </c>
      <c r="ED21" s="12">
        <v>5.4498856348180663E-2</v>
      </c>
      <c r="EE21" s="12">
        <v>-1.4428852108417999E-2</v>
      </c>
      <c r="EF21" s="12">
        <v>1.8771264042119089E-2</v>
      </c>
    </row>
    <row r="22" spans="1:136">
      <c r="A22" s="2">
        <v>321</v>
      </c>
      <c r="B22" s="2">
        <v>3</v>
      </c>
      <c r="C22" s="12">
        <v>-6.4235717628454689E-2</v>
      </c>
      <c r="D22" s="12">
        <v>4.4680896903486519E-2</v>
      </c>
      <c r="E22" s="12">
        <v>-1.735666666666667E-2</v>
      </c>
      <c r="F22" s="12">
        <v>9.7433995578986451E-2</v>
      </c>
      <c r="G22" s="12">
        <v>3.2954824249798613E-2</v>
      </c>
      <c r="H22" s="12">
        <v>0.124178</v>
      </c>
      <c r="I22" s="12">
        <v>-0.12349316933806979</v>
      </c>
      <c r="J22" s="12">
        <v>-0.104252</v>
      </c>
      <c r="K22" s="12">
        <v>0.1532867706545093</v>
      </c>
      <c r="L22" s="12">
        <v>-0.17118335942590121</v>
      </c>
      <c r="M22" s="12">
        <v>-0.18466333333333329</v>
      </c>
      <c r="N22" s="12">
        <v>-0.1332804190232465</v>
      </c>
      <c r="O22" s="12">
        <v>-6.6442333333333325E-2</v>
      </c>
      <c r="P22" s="12">
        <v>9.0630333333333327E-2</v>
      </c>
      <c r="Q22" s="12">
        <v>0.12727466666666659</v>
      </c>
      <c r="R22" s="12">
        <v>3.6628434271588052E-2</v>
      </c>
      <c r="S22" s="12">
        <v>0.16964655555794059</v>
      </c>
      <c r="T22" s="12">
        <v>-0.104848</v>
      </c>
      <c r="U22" s="12">
        <v>0.11059002340250421</v>
      </c>
      <c r="V22" s="12">
        <v>-0.17562366666666671</v>
      </c>
      <c r="W22" s="12">
        <v>0.20748026702429739</v>
      </c>
      <c r="X22" s="12">
        <v>0.214900047729565</v>
      </c>
      <c r="Y22" s="12">
        <v>-6.9857333333333327E-2</v>
      </c>
      <c r="Z22" s="12">
        <v>2.3868E-2</v>
      </c>
      <c r="AA22" s="12">
        <v>0.1181226666666667</v>
      </c>
      <c r="AB22" s="12">
        <v>-3.8273333333333333E-2</v>
      </c>
      <c r="AC22" s="12">
        <v>-0.1772113333333333</v>
      </c>
      <c r="AD22" s="12">
        <v>1.3571333333333329E-2</v>
      </c>
      <c r="AE22" s="12">
        <v>-8.5149000000000002E-2</v>
      </c>
      <c r="AF22" s="12">
        <v>-8.6403333333333332E-2</v>
      </c>
      <c r="AG22" s="12">
        <v>-4.5970333333333342E-2</v>
      </c>
      <c r="AH22" s="12">
        <v>-0.10586595942047269</v>
      </c>
      <c r="AI22" s="12">
        <v>0.1110046666666667</v>
      </c>
      <c r="AJ22" s="12">
        <v>-3.1699849326408271E-2</v>
      </c>
      <c r="AK22" s="12">
        <v>0.1012885607403957</v>
      </c>
      <c r="AL22" s="12">
        <v>4.0340966806900407E-2</v>
      </c>
      <c r="AM22" s="12">
        <v>4.1473333333333327E-2</v>
      </c>
      <c r="AN22" s="12">
        <v>-3.5264999999999998E-2</v>
      </c>
      <c r="AO22" s="12">
        <v>7.4717373393705613E-2</v>
      </c>
      <c r="AP22" s="12">
        <v>2.0493333333333329E-2</v>
      </c>
      <c r="AQ22" s="12">
        <v>-0.1101293333333333</v>
      </c>
      <c r="AR22" s="12">
        <v>-6.7924666666666661E-2</v>
      </c>
      <c r="AS22" s="12">
        <v>0.16459066666666669</v>
      </c>
      <c r="AT22" s="12">
        <v>1.072E-3</v>
      </c>
      <c r="AU22" s="12">
        <v>0.42935499999999999</v>
      </c>
      <c r="AV22" s="12">
        <v>5.9647666666666682E-2</v>
      </c>
      <c r="AW22" s="12">
        <v>0.232211</v>
      </c>
      <c r="AX22" s="12">
        <v>-0.1077576666666667</v>
      </c>
      <c r="AY22" s="12">
        <v>-0.16372466666666671</v>
      </c>
      <c r="AZ22" s="12">
        <v>0.15518866666666661</v>
      </c>
      <c r="BA22" s="12">
        <v>4.9774666666666662E-2</v>
      </c>
      <c r="BB22" s="12">
        <v>0.36955133333333329</v>
      </c>
      <c r="BC22" s="12">
        <v>-8.7332666666666656E-2</v>
      </c>
      <c r="BD22" s="12">
        <v>7.9264000000000001E-2</v>
      </c>
      <c r="BE22" s="12">
        <v>2.221618339448047E-2</v>
      </c>
      <c r="BF22" s="12">
        <v>1.363881733831962E-2</v>
      </c>
      <c r="BG22" s="12">
        <v>-9.6179666666666663E-2</v>
      </c>
      <c r="BH22" s="12">
        <v>-7.9966666666666519E-3</v>
      </c>
      <c r="BI22" s="12">
        <v>8.234933333333333E-2</v>
      </c>
      <c r="BJ22" s="12">
        <v>4.0893333333333337E-2</v>
      </c>
      <c r="BK22" s="12">
        <v>4.8315666666666673E-2</v>
      </c>
      <c r="BL22" s="12">
        <v>0.16178033907103531</v>
      </c>
      <c r="BM22" s="12">
        <v>0.19179703945604709</v>
      </c>
      <c r="BN22" s="12">
        <v>-8.2934333333333332E-2</v>
      </c>
      <c r="BO22" s="12">
        <v>-5.0484429112750417E-2</v>
      </c>
      <c r="BP22" s="12">
        <v>7.4835550155106345E-2</v>
      </c>
      <c r="BQ22" s="12">
        <v>-8.2145666666666672E-2</v>
      </c>
      <c r="BR22" s="12">
        <v>1.9643333333333329E-2</v>
      </c>
      <c r="BS22" s="12">
        <v>-1.637278237679916E-2</v>
      </c>
      <c r="BT22" s="12">
        <v>0.13053070333654609</v>
      </c>
      <c r="BU22" s="12">
        <v>-0.104351</v>
      </c>
      <c r="BV22" s="12">
        <v>6.806666666666697E-4</v>
      </c>
      <c r="BW22" s="12">
        <v>0.42771533333333328</v>
      </c>
      <c r="BX22" s="12">
        <v>-0.11302666666666671</v>
      </c>
      <c r="BY22" s="12">
        <v>3.2350333333333328E-2</v>
      </c>
      <c r="BZ22" s="12">
        <v>0.27962999999999999</v>
      </c>
      <c r="CA22" s="12">
        <v>0.14408033333333331</v>
      </c>
      <c r="CB22" s="12">
        <v>0.25474000000000002</v>
      </c>
      <c r="CC22" s="12">
        <v>-0.12510499999999999</v>
      </c>
      <c r="CD22" s="12">
        <v>9.5518333333333344E-2</v>
      </c>
      <c r="CE22" s="12">
        <v>0.39338733910427809</v>
      </c>
      <c r="CF22" s="12">
        <v>-0.18879978576027739</v>
      </c>
      <c r="CG22" s="12">
        <v>0.44380066666666668</v>
      </c>
      <c r="CH22" s="12">
        <v>-2.6762000000000011E-2</v>
      </c>
      <c r="CI22" s="12">
        <v>-0.23044799999999999</v>
      </c>
      <c r="CJ22" s="12">
        <v>-1.6241999999999999E-2</v>
      </c>
      <c r="CK22" s="12">
        <v>-2.715066666666667E-2</v>
      </c>
      <c r="CL22" s="12">
        <v>0.2406517986250408</v>
      </c>
      <c r="CM22" s="12">
        <v>-0.32043200365782532</v>
      </c>
      <c r="CN22" s="12">
        <v>2.185133333333333E-2</v>
      </c>
      <c r="CO22" s="12">
        <v>0.64995646824915565</v>
      </c>
      <c r="CP22" s="12">
        <v>-8.1321666666666681E-2</v>
      </c>
      <c r="CQ22" s="12">
        <v>-7.4463333333333326E-2</v>
      </c>
      <c r="CR22" s="12">
        <v>-0.16185042130139199</v>
      </c>
      <c r="CS22" s="12">
        <v>1.5202183521422779E-2</v>
      </c>
      <c r="CT22" s="12">
        <v>3.8264666666666662E-2</v>
      </c>
      <c r="CU22" s="12">
        <v>0.1202317119640979</v>
      </c>
      <c r="CV22" s="12">
        <v>-0.1122336952070542</v>
      </c>
      <c r="CW22" s="12">
        <v>-3.6451253326165209E-2</v>
      </c>
      <c r="CX22" s="12">
        <v>-3.749593267848913E-3</v>
      </c>
      <c r="CY22" s="12">
        <v>0.10451100000000001</v>
      </c>
      <c r="CZ22" s="12">
        <v>0.20669699999999999</v>
      </c>
      <c r="DA22" s="12">
        <v>3.9917538819241108E-3</v>
      </c>
      <c r="DB22" s="12">
        <v>5.4040666666666667E-2</v>
      </c>
      <c r="DC22" s="12">
        <v>7.2343333333333343E-2</v>
      </c>
      <c r="DD22" s="12">
        <v>-1.5963333333333329E-2</v>
      </c>
      <c r="DE22" s="12">
        <v>-0.13335566666666671</v>
      </c>
      <c r="DF22" s="12">
        <v>0.38966800000000001</v>
      </c>
      <c r="DG22" s="12">
        <v>-7.1890999999999997E-2</v>
      </c>
      <c r="DH22" s="12">
        <v>8.1455333333333324E-2</v>
      </c>
      <c r="DI22" s="12">
        <v>6.0122333333333333E-2</v>
      </c>
      <c r="DJ22" s="12">
        <v>4.2777666666666672E-2</v>
      </c>
      <c r="DK22" s="12">
        <v>-9.1427666666666671E-2</v>
      </c>
      <c r="DL22" s="12">
        <v>2.168033333333334E-2</v>
      </c>
      <c r="DM22" s="12">
        <v>3.1884333333333327E-2</v>
      </c>
      <c r="DN22" s="12">
        <v>4.6763328204007498E-2</v>
      </c>
      <c r="DO22" s="12">
        <v>7.5715333333333343E-2</v>
      </c>
      <c r="DP22" s="12">
        <v>1.022725785290381E-2</v>
      </c>
      <c r="DQ22" s="12">
        <v>-5.1849333333333317E-2</v>
      </c>
      <c r="DR22" s="12">
        <v>-7.1235999999999994E-2</v>
      </c>
      <c r="DS22" s="12">
        <v>-0.19705092156235929</v>
      </c>
      <c r="DT22" s="12">
        <v>-4.3682333333333337E-2</v>
      </c>
      <c r="DU22" s="12">
        <v>-0.1615456666666667</v>
      </c>
      <c r="DV22" s="12">
        <v>5.3372000000000003E-2</v>
      </c>
      <c r="DW22" s="12">
        <v>7.838972370699715E-2</v>
      </c>
      <c r="DX22" s="12">
        <v>0.177263</v>
      </c>
      <c r="DY22" s="12">
        <v>0.1199563333333333</v>
      </c>
      <c r="DZ22" s="12">
        <v>0.10374798094555759</v>
      </c>
      <c r="EA22" s="12">
        <v>0.14035633333333331</v>
      </c>
      <c r="EB22" s="12">
        <v>-0.1429303333333333</v>
      </c>
      <c r="EC22" s="12">
        <v>2.1495101575638179E-2</v>
      </c>
      <c r="ED22" s="12">
        <v>7.7413567057607463E-2</v>
      </c>
      <c r="EE22" s="12">
        <v>-3.344630381221339E-2</v>
      </c>
      <c r="EF22" s="12">
        <v>3.4790246372172352E-2</v>
      </c>
    </row>
    <row r="23" spans="1:136">
      <c r="A23" s="2">
        <v>482</v>
      </c>
      <c r="B23" s="2">
        <v>2</v>
      </c>
      <c r="C23" s="12">
        <v>3.4987009286289193E-2</v>
      </c>
      <c r="D23" s="12">
        <v>2.981066768542209E-2</v>
      </c>
      <c r="E23" s="12">
        <v>0.13300500000000001</v>
      </c>
      <c r="F23" s="12">
        <v>0.14166490905190171</v>
      </c>
      <c r="G23" s="12">
        <v>5.2224173846498377E-2</v>
      </c>
      <c r="H23" s="12">
        <v>-1.81885E-2</v>
      </c>
      <c r="I23" s="12">
        <v>-0.148152028600294</v>
      </c>
      <c r="J23" s="12">
        <v>-0.11487550000000001</v>
      </c>
      <c r="K23" s="12">
        <v>0.20448947647223359</v>
      </c>
      <c r="L23" s="12">
        <v>-5.4043529775598627E-2</v>
      </c>
      <c r="M23" s="12">
        <v>-0.14728949999999999</v>
      </c>
      <c r="N23" s="12">
        <v>-0.15641923763601279</v>
      </c>
      <c r="O23" s="12">
        <v>-0.1229</v>
      </c>
      <c r="P23" s="12">
        <v>5.4681500000000001E-2</v>
      </c>
      <c r="Q23" s="12">
        <v>0.29117749999999998</v>
      </c>
      <c r="R23" s="12">
        <v>5.6211143313255052E-2</v>
      </c>
      <c r="S23" s="12">
        <v>0.1137245328272621</v>
      </c>
      <c r="T23" s="12">
        <v>-8.4677000000000002E-2</v>
      </c>
      <c r="U23" s="12">
        <v>9.3757422440794366E-2</v>
      </c>
      <c r="V23" s="12">
        <v>-0.2324755</v>
      </c>
      <c r="W23" s="12">
        <v>0.33161915024914451</v>
      </c>
      <c r="X23" s="12">
        <v>0.26408569496329731</v>
      </c>
      <c r="Y23" s="12">
        <v>-6.7954499999999987E-2</v>
      </c>
      <c r="Z23" s="12">
        <v>4.1052000000000012E-2</v>
      </c>
      <c r="AA23" s="12">
        <v>0.15165200000000001</v>
      </c>
      <c r="AB23" s="12">
        <v>-4.7747999999999999E-2</v>
      </c>
      <c r="AC23" s="12">
        <v>-0.23400850000000001</v>
      </c>
      <c r="AD23" s="12">
        <v>7.1626999999999996E-2</v>
      </c>
      <c r="AE23" s="12">
        <v>-0.221717</v>
      </c>
      <c r="AF23" s="12">
        <v>-2.5299499999999999E-2</v>
      </c>
      <c r="AG23" s="12">
        <v>-2.0555000000000091E-3</v>
      </c>
      <c r="AH23" s="12">
        <v>-8.417158452318324E-2</v>
      </c>
      <c r="AI23" s="12">
        <v>0.209152</v>
      </c>
      <c r="AJ23" s="12">
        <v>5.6431378481542303E-3</v>
      </c>
      <c r="AK23" s="12">
        <v>0.11411109934719101</v>
      </c>
      <c r="AL23" s="12">
        <v>0.1314317131925356</v>
      </c>
      <c r="AM23" s="12">
        <v>8.6694999999999994E-2</v>
      </c>
      <c r="AN23" s="12">
        <v>-0.12763099999999999</v>
      </c>
      <c r="AO23" s="12">
        <v>-5.3369521914240978E-3</v>
      </c>
      <c r="AP23" s="12">
        <v>-0.16526650000000001</v>
      </c>
      <c r="AQ23" s="12">
        <v>-9.9379000000000009E-2</v>
      </c>
      <c r="AR23" s="12">
        <v>-0.14613599999999999</v>
      </c>
      <c r="AS23" s="12">
        <v>3.2169000000000017E-2</v>
      </c>
      <c r="AT23" s="12">
        <v>1.6951000000000001E-2</v>
      </c>
      <c r="AU23" s="12">
        <v>0.60833199999999998</v>
      </c>
      <c r="AV23" s="12">
        <v>-9.6755999999999995E-2</v>
      </c>
      <c r="AW23" s="12">
        <v>0.32643050000000001</v>
      </c>
      <c r="AX23" s="12">
        <v>6.5139000000000002E-2</v>
      </c>
      <c r="AY23" s="12">
        <v>-0.1631465</v>
      </c>
      <c r="AZ23" s="12">
        <v>7.8071000000000002E-2</v>
      </c>
      <c r="BA23" s="12">
        <v>5.3997999999999997E-2</v>
      </c>
      <c r="BB23" s="12">
        <v>0.56682749999999993</v>
      </c>
      <c r="BC23" s="12">
        <v>-0.17299900000000001</v>
      </c>
      <c r="BD23" s="12">
        <v>0.12597949999999999</v>
      </c>
      <c r="BE23" s="12">
        <v>-7.1430762397296579E-2</v>
      </c>
      <c r="BF23" s="12">
        <v>-2.284699060468626E-2</v>
      </c>
      <c r="BG23" s="12">
        <v>-4.4909499999999991E-2</v>
      </c>
      <c r="BH23" s="12">
        <v>5.3594999999999997E-2</v>
      </c>
      <c r="BI23" s="12">
        <v>0.121209</v>
      </c>
      <c r="BJ23" s="12">
        <v>5.7494999999999997E-2</v>
      </c>
      <c r="BK23" s="12">
        <v>4.7852000000000013E-2</v>
      </c>
      <c r="BL23" s="12">
        <v>0.14953429625023959</v>
      </c>
      <c r="BM23" s="12">
        <v>0.18918068678715391</v>
      </c>
      <c r="BN23" s="12">
        <v>-3.8449999999999998E-2</v>
      </c>
      <c r="BO23" s="12">
        <v>3.6524941745999073E-2</v>
      </c>
      <c r="BP23" s="12">
        <v>9.8266399211456468E-2</v>
      </c>
      <c r="BQ23" s="12">
        <v>-0.12221849999999999</v>
      </c>
      <c r="BR23" s="12">
        <v>8.3550000000000013E-3</v>
      </c>
      <c r="BS23" s="12">
        <v>-7.3275388657911791E-2</v>
      </c>
      <c r="BT23" s="12">
        <v>0.14364980602599711</v>
      </c>
      <c r="BU23" s="12">
        <v>-0.1056865</v>
      </c>
      <c r="BV23" s="12">
        <v>-1.702049999999999E-2</v>
      </c>
      <c r="BW23" s="12">
        <v>0.60099800000000003</v>
      </c>
      <c r="BX23" s="12">
        <v>-6.8729999999999999E-2</v>
      </c>
      <c r="BY23" s="12">
        <v>3.9935999999999972E-2</v>
      </c>
      <c r="BZ23" s="12">
        <v>0.35239900000000002</v>
      </c>
      <c r="CA23" s="12">
        <v>0.20637549999999999</v>
      </c>
      <c r="CB23" s="12">
        <v>0.31616749999999999</v>
      </c>
      <c r="CC23" s="12">
        <v>-8.4545000000000009E-2</v>
      </c>
      <c r="CD23" s="12">
        <v>0.14124249999999999</v>
      </c>
      <c r="CE23" s="12">
        <v>0.1166246067964614</v>
      </c>
      <c r="CF23" s="12">
        <v>-0.15713490979116501</v>
      </c>
      <c r="CG23" s="12">
        <v>0.29290349999999998</v>
      </c>
      <c r="CH23" s="12">
        <v>2.195049999999998E-2</v>
      </c>
      <c r="CI23" s="12">
        <v>-5.9122499999999981E-2</v>
      </c>
      <c r="CJ23" s="12">
        <v>3.8255499999999998E-2</v>
      </c>
      <c r="CK23" s="12">
        <v>-5.6591500000000003E-2</v>
      </c>
      <c r="CL23" s="12">
        <v>0.40866101266741839</v>
      </c>
      <c r="CM23" s="12">
        <v>-0.3867329465229094</v>
      </c>
      <c r="CN23" s="12">
        <v>4.9972000000000003E-2</v>
      </c>
      <c r="CO23" s="12">
        <v>0.90892328736561978</v>
      </c>
      <c r="CP23" s="12">
        <v>-0.1197175</v>
      </c>
      <c r="CQ23" s="12">
        <v>-6.7309999999999995E-2</v>
      </c>
      <c r="CR23" s="12">
        <v>-1.159780382107861E-2</v>
      </c>
      <c r="CS23" s="12">
        <v>3.697421899127859E-2</v>
      </c>
      <c r="CT23" s="12">
        <v>6.5391499999999977E-2</v>
      </c>
      <c r="CU23" s="12">
        <v>2.1056595713287041E-2</v>
      </c>
      <c r="CV23" s="12">
        <v>2.2245137488805671E-2</v>
      </c>
      <c r="CW23" s="12">
        <v>-0.1009013318024186</v>
      </c>
      <c r="CX23" s="12">
        <v>8.8716994096526336E-2</v>
      </c>
      <c r="CY23" s="12">
        <v>0.15375050000000001</v>
      </c>
      <c r="CZ23" s="12">
        <v>0.1660055</v>
      </c>
      <c r="DA23" s="12">
        <v>3.0982136225910391E-2</v>
      </c>
      <c r="DB23" s="12">
        <v>1.8748000000000001E-2</v>
      </c>
      <c r="DC23" s="12">
        <v>7.2414999999999993E-2</v>
      </c>
      <c r="DD23" s="12">
        <v>-1.8409999999999999E-2</v>
      </c>
      <c r="DE23" s="12">
        <v>-0.1414445</v>
      </c>
      <c r="DF23" s="12">
        <v>0.40879749999999998</v>
      </c>
      <c r="DG23" s="12">
        <v>-6.7622500000000002E-2</v>
      </c>
      <c r="DH23" s="12">
        <v>0.13922799999999999</v>
      </c>
      <c r="DI23" s="12">
        <v>9.6041000000000015E-2</v>
      </c>
      <c r="DJ23" s="12">
        <v>-3.3823000000000013E-2</v>
      </c>
      <c r="DK23" s="12">
        <v>-9.1243500000000005E-2</v>
      </c>
      <c r="DL23" s="12">
        <v>-5.6605999999999997E-2</v>
      </c>
      <c r="DM23" s="12">
        <v>4.6476999999999997E-2</v>
      </c>
      <c r="DN23" s="12">
        <v>6.4971960439702253E-3</v>
      </c>
      <c r="DO23" s="12">
        <v>0.124068</v>
      </c>
      <c r="DP23" s="12">
        <v>4.7088232655722921E-2</v>
      </c>
      <c r="DQ23" s="12">
        <v>-0.1211305</v>
      </c>
      <c r="DR23" s="12">
        <v>-0.1024255</v>
      </c>
      <c r="DS23" s="12">
        <v>-0.28809657691904628</v>
      </c>
      <c r="DT23" s="12">
        <v>-5.4250499999999993E-2</v>
      </c>
      <c r="DU23" s="12">
        <v>-5.5638E-2</v>
      </c>
      <c r="DV23" s="12">
        <v>8.1330000000000013E-3</v>
      </c>
      <c r="DW23" s="12">
        <v>0.14122823258283859</v>
      </c>
      <c r="DX23" s="12">
        <v>0.31944850000000008</v>
      </c>
      <c r="DY23" s="12">
        <v>-5.3925000000000001E-2</v>
      </c>
      <c r="DZ23" s="12">
        <v>0.10287301862651251</v>
      </c>
      <c r="EA23" s="12">
        <v>-2.8757000000000001E-2</v>
      </c>
      <c r="EB23" s="12">
        <v>-0.1382285</v>
      </c>
      <c r="EC23" s="12">
        <v>-3.6584316325813361E-2</v>
      </c>
      <c r="ED23" s="12">
        <v>9.1425904619781034E-2</v>
      </c>
      <c r="EE23" s="12">
        <v>-5.9050683888240307E-2</v>
      </c>
      <c r="EF23" s="12">
        <v>4.7782278591659677E-2</v>
      </c>
    </row>
    <row r="24" spans="1:136">
      <c r="A24" s="2">
        <v>964</v>
      </c>
      <c r="B24" s="2">
        <v>1</v>
      </c>
      <c r="C24" s="12">
        <v>-0.162993136931085</v>
      </c>
      <c r="D24" s="12">
        <v>0.1040490099724129</v>
      </c>
      <c r="E24" s="12">
        <v>0.28451199999999999</v>
      </c>
      <c r="F24" s="12">
        <v>0.22715954663674881</v>
      </c>
      <c r="G24" s="12">
        <v>-0.2257600230575724</v>
      </c>
      <c r="H24" s="12">
        <v>3.5856000000000013E-2</v>
      </c>
      <c r="I24" s="12">
        <v>2.111933203143501E-3</v>
      </c>
      <c r="J24" s="12">
        <v>-0.11546099999999999</v>
      </c>
      <c r="K24" s="12">
        <v>2.1515278354960109E-2</v>
      </c>
      <c r="L24" s="12">
        <v>-9.5623250508682117E-2</v>
      </c>
      <c r="M24" s="12">
        <v>-0.21778600000000001</v>
      </c>
      <c r="N24" s="12">
        <v>-0.14413045240043321</v>
      </c>
      <c r="O24" s="12">
        <v>-0.24428</v>
      </c>
      <c r="P24" s="12">
        <v>1.736000000000001E-3</v>
      </c>
      <c r="Q24" s="12">
        <v>-2.8400000000000018E-3</v>
      </c>
      <c r="R24" s="12">
        <v>0.24569737077925971</v>
      </c>
      <c r="S24" s="12">
        <v>0.35251446106016437</v>
      </c>
      <c r="T24" s="12">
        <v>-0.28782000000000002</v>
      </c>
      <c r="U24" s="12">
        <v>0.14851867422391801</v>
      </c>
      <c r="V24" s="12">
        <v>-9.8680000000000004E-2</v>
      </c>
      <c r="W24" s="12">
        <v>0.49571198595594262</v>
      </c>
      <c r="X24" s="12">
        <v>0.1180224325060039</v>
      </c>
      <c r="Y24" s="12">
        <v>-0.120319</v>
      </c>
      <c r="Z24" s="12">
        <v>-2.4395E-2</v>
      </c>
      <c r="AA24" s="12">
        <v>9.4362000000000001E-2</v>
      </c>
      <c r="AB24" s="12">
        <v>-0.184249</v>
      </c>
      <c r="AC24" s="12">
        <v>-0.24617</v>
      </c>
      <c r="AD24" s="12">
        <v>0.101174</v>
      </c>
      <c r="AE24" s="12">
        <v>-0.17527100000000001</v>
      </c>
      <c r="AF24" s="12">
        <v>-0.16570199999999999</v>
      </c>
      <c r="AG24" s="12">
        <v>0.105901</v>
      </c>
      <c r="AH24" s="12">
        <v>-5.6697360067789589E-2</v>
      </c>
      <c r="AI24" s="12">
        <v>0.31041400000000002</v>
      </c>
      <c r="AJ24" s="12">
        <v>-8.089124399937539E-2</v>
      </c>
      <c r="AK24" s="12">
        <v>8.4883953068192297E-2</v>
      </c>
      <c r="AL24" s="12">
        <v>-5.4676935490635382E-2</v>
      </c>
      <c r="AM24" s="12">
        <v>7.8599000000000002E-2</v>
      </c>
      <c r="AN24" s="12">
        <v>-0.162942</v>
      </c>
      <c r="AO24" s="12">
        <v>6.6090111828990022E-2</v>
      </c>
      <c r="AP24" s="12">
        <v>-0.16448499999999999</v>
      </c>
      <c r="AQ24" s="12">
        <v>-0.21712400000000001</v>
      </c>
      <c r="AR24" s="12">
        <v>-0.17083300000000001</v>
      </c>
      <c r="AS24" s="12">
        <v>0.23783199999999999</v>
      </c>
      <c r="AT24" s="12">
        <v>5.928000000000001E-3</v>
      </c>
      <c r="AU24" s="12">
        <v>0.47705399999999998</v>
      </c>
      <c r="AV24" s="12">
        <v>-1.9522000000000001E-2</v>
      </c>
      <c r="AW24" s="12">
        <v>0.120306</v>
      </c>
      <c r="AX24" s="12">
        <v>-2.5558000000000001E-2</v>
      </c>
      <c r="AY24" s="12">
        <v>-0.443471</v>
      </c>
      <c r="AZ24" s="12">
        <v>0.11862200000000001</v>
      </c>
      <c r="BA24" s="12">
        <v>5.0491000000000001E-2</v>
      </c>
      <c r="BB24" s="12">
        <v>0.69077599999999995</v>
      </c>
      <c r="BC24" s="12">
        <v>-0.20574999999999999</v>
      </c>
      <c r="BD24" s="12">
        <v>1.864E-2</v>
      </c>
      <c r="BE24" s="12">
        <v>-4.606435403168687E-2</v>
      </c>
      <c r="BF24" s="12">
        <v>8.765133605409231E-2</v>
      </c>
      <c r="BG24" s="12">
        <v>-0.176624</v>
      </c>
      <c r="BH24" s="12">
        <v>9.5700000000000091E-3</v>
      </c>
      <c r="BI24" s="12">
        <v>0.169268</v>
      </c>
      <c r="BJ24" s="12">
        <v>0.19964000000000001</v>
      </c>
      <c r="BK24" s="12">
        <v>3.483E-2</v>
      </c>
      <c r="BL24" s="12">
        <v>0.31716429392471662</v>
      </c>
      <c r="BM24" s="12">
        <v>1.1473019117737151E-2</v>
      </c>
      <c r="BN24" s="12">
        <v>-0.10891099999999999</v>
      </c>
      <c r="BO24" s="12">
        <v>-0.16110969109564191</v>
      </c>
      <c r="BP24" s="12">
        <v>0.1233511811293219</v>
      </c>
      <c r="BQ24" s="12">
        <v>-0.29185299999999997</v>
      </c>
      <c r="BR24" s="12">
        <v>-9.7000000000000003E-3</v>
      </c>
      <c r="BS24" s="12">
        <v>-1.284717484456964E-3</v>
      </c>
      <c r="BT24" s="12">
        <v>0.1162706960541873</v>
      </c>
      <c r="BU24" s="12">
        <v>-8.7489999999999981E-3</v>
      </c>
      <c r="BV24" s="12">
        <v>-0.20330699999999999</v>
      </c>
      <c r="BW24" s="12">
        <v>1.1090150000000001</v>
      </c>
      <c r="BX24" s="12">
        <v>-0.10395</v>
      </c>
      <c r="BY24" s="12">
        <v>-0.29033999999999999</v>
      </c>
      <c r="BZ24" s="12">
        <v>0.81395799999999996</v>
      </c>
      <c r="CA24" s="12">
        <v>0.10002800000000001</v>
      </c>
      <c r="CB24" s="12">
        <v>0.63969900000000002</v>
      </c>
      <c r="CC24" s="12">
        <v>-0.18246999999999999</v>
      </c>
      <c r="CD24" s="12">
        <v>2.9954000000000001E-2</v>
      </c>
      <c r="CE24" s="12">
        <v>0.21012143523608839</v>
      </c>
      <c r="CF24" s="12">
        <v>-0.2217213622453883</v>
      </c>
      <c r="CG24" s="12">
        <v>0.23727699999999999</v>
      </c>
      <c r="CH24" s="12">
        <v>0.14564299999999999</v>
      </c>
      <c r="CI24" s="12">
        <v>-5.8507999999999998E-2</v>
      </c>
      <c r="CJ24" s="12">
        <v>5.7174000000000003E-2</v>
      </c>
      <c r="CK24" s="12">
        <v>3.1859999999999999E-2</v>
      </c>
      <c r="CL24" s="12">
        <v>-0.1417553333725407</v>
      </c>
      <c r="CM24" s="12">
        <v>-0.54958710995910021</v>
      </c>
      <c r="CN24" s="12">
        <v>1.4921E-2</v>
      </c>
      <c r="CO24" s="12">
        <v>0.77665321833623113</v>
      </c>
      <c r="CP24" s="12">
        <v>-0.249337</v>
      </c>
      <c r="CQ24" s="12">
        <v>-0.17760000000000001</v>
      </c>
      <c r="CR24" s="12">
        <v>-6.1084838239556717E-2</v>
      </c>
      <c r="CS24" s="12">
        <v>8.5895232746805786E-2</v>
      </c>
      <c r="CT24" s="12">
        <v>-0.119542</v>
      </c>
      <c r="CU24" s="12">
        <v>7.2751347656710041E-2</v>
      </c>
      <c r="CV24" s="12">
        <v>-1.5064047539375311E-2</v>
      </c>
      <c r="CW24" s="12">
        <v>-0.17511716607200739</v>
      </c>
      <c r="CX24" s="12">
        <v>-5.5207193708687041E-2</v>
      </c>
      <c r="CY24" s="12">
        <v>0.32114799999999999</v>
      </c>
      <c r="CZ24" s="12">
        <v>0.32259100000000002</v>
      </c>
      <c r="DA24" s="12">
        <v>-2.451120416275485E-2</v>
      </c>
      <c r="DB24" s="12">
        <v>-1.6500000000000001E-2</v>
      </c>
      <c r="DC24" s="12">
        <v>0.17954999999999999</v>
      </c>
      <c r="DD24" s="12">
        <v>4.9299999999999997E-2</v>
      </c>
      <c r="DE24" s="12">
        <v>-0.30663899999999999</v>
      </c>
      <c r="DF24" s="12">
        <v>0.52558799999999994</v>
      </c>
      <c r="DG24" s="12">
        <v>-0.119545</v>
      </c>
      <c r="DH24" s="12">
        <v>0.26580500000000001</v>
      </c>
      <c r="DI24" s="12">
        <v>3.7185000000000003E-2</v>
      </c>
      <c r="DJ24" s="12">
        <v>2.1080000000000002E-2</v>
      </c>
      <c r="DK24" s="12">
        <v>-0.11967899999999999</v>
      </c>
      <c r="DL24" s="12">
        <v>-3.1748999999999999E-2</v>
      </c>
      <c r="DM24" s="12">
        <v>4.0999999999999723E-4</v>
      </c>
      <c r="DN24" s="12">
        <v>0.23333457077469619</v>
      </c>
      <c r="DO24" s="12">
        <v>0.115615</v>
      </c>
      <c r="DP24" s="12">
        <v>0.1143734254860139</v>
      </c>
      <c r="DQ24" s="12">
        <v>-5.0486000000000003E-2</v>
      </c>
      <c r="DR24" s="12">
        <v>-2.3392E-2</v>
      </c>
      <c r="DS24" s="12">
        <v>-0.21626154103284559</v>
      </c>
      <c r="DT24" s="12">
        <v>-7.4732999999999994E-2</v>
      </c>
      <c r="DU24" s="12">
        <v>2.178200000000001E-2</v>
      </c>
      <c r="DV24" s="12">
        <v>9.8046999999999995E-2</v>
      </c>
      <c r="DW24" s="12">
        <v>0.10885708989133031</v>
      </c>
      <c r="DX24" s="12">
        <v>0.28592899999999999</v>
      </c>
      <c r="DY24" s="12">
        <v>-3.2399999999999998E-3</v>
      </c>
      <c r="DZ24" s="12">
        <v>5.0469182403116652E-2</v>
      </c>
      <c r="EA24" s="12">
        <v>-5.4917000000000001E-2</v>
      </c>
      <c r="EB24" s="12">
        <v>-0.10923099999999999</v>
      </c>
      <c r="EC24" s="12">
        <v>-1.4309918770678909E-2</v>
      </c>
      <c r="ED24" s="12">
        <v>5.6172845298362112E-2</v>
      </c>
      <c r="EE24" s="12">
        <v>-0.1134294391912188</v>
      </c>
      <c r="EF24" s="12">
        <v>-6.7276677043968364E-2</v>
      </c>
    </row>
    <row r="26" spans="1:136">
      <c r="A26" s="2" t="s">
        <v>144</v>
      </c>
      <c r="B26" s="2" t="s">
        <v>145</v>
      </c>
      <c r="C26" s="4">
        <v>-1.7446770539390338E-2</v>
      </c>
      <c r="D26" s="4">
        <v>2.070106053181563E-2</v>
      </c>
      <c r="E26" s="4">
        <v>2.3982129254766709E-2</v>
      </c>
      <c r="F26" s="4">
        <v>-6.557578972823077E-3</v>
      </c>
      <c r="G26" s="4">
        <v>3.1845129800519692E-2</v>
      </c>
      <c r="H26" s="4">
        <v>3.4348532736990518E-2</v>
      </c>
      <c r="I26" s="4">
        <v>-8.2549327813252367E-3</v>
      </c>
      <c r="J26" s="4">
        <v>1.2843524394052759E-2</v>
      </c>
      <c r="K26" s="4">
        <v>-5.1018524626790823E-2</v>
      </c>
      <c r="L26" s="4">
        <v>8.7394274103658827E-4</v>
      </c>
      <c r="M26" s="4">
        <v>2.3389575505495919E-2</v>
      </c>
      <c r="N26" s="4">
        <v>1.2988972200332851E-2</v>
      </c>
      <c r="O26" s="4">
        <v>5.8545887256348812E-3</v>
      </c>
      <c r="P26" s="4">
        <v>2.7413206571790558E-2</v>
      </c>
      <c r="Q26" s="4">
        <v>-3.7129361176928542E-3</v>
      </c>
      <c r="R26" s="4">
        <v>2.4076614047823328E-2</v>
      </c>
      <c r="S26" s="4">
        <v>-1.219002529903996E-2</v>
      </c>
      <c r="T26" s="4">
        <v>-3.9749578159589592E-2</v>
      </c>
      <c r="U26" s="4">
        <v>-7.3155449831649552E-2</v>
      </c>
      <c r="V26" s="4">
        <v>-5.8260229910114661E-2</v>
      </c>
      <c r="W26" s="4">
        <v>7.7279756550837221E-4</v>
      </c>
      <c r="X26" s="4">
        <v>4.459152113521897E-2</v>
      </c>
      <c r="Y26" s="4">
        <v>-2.7699680050213091E-2</v>
      </c>
      <c r="Z26" s="4">
        <v>2.0950059497436462E-3</v>
      </c>
      <c r="AA26" s="4">
        <v>-2.340055099256411E-2</v>
      </c>
      <c r="AB26" s="4">
        <v>3.2129371097322189E-2</v>
      </c>
      <c r="AC26" s="4">
        <v>3.890327309406643E-2</v>
      </c>
      <c r="AD26" s="4">
        <v>-4.286538217110427E-2</v>
      </c>
      <c r="AE26" s="4">
        <v>1.8647194550152159E-2</v>
      </c>
      <c r="AF26" s="4">
        <v>1.5229768322528949E-2</v>
      </c>
      <c r="AG26" s="4">
        <v>3.6016603778892417E-2</v>
      </c>
      <c r="AH26" s="4">
        <v>9.3546113853161701E-3</v>
      </c>
      <c r="AI26" s="4">
        <v>1.0748251336838139E-2</v>
      </c>
      <c r="AJ26" s="4">
        <v>1.335775405308097E-2</v>
      </c>
      <c r="AK26" s="4">
        <v>-5.3327473290953921E-3</v>
      </c>
      <c r="AL26" s="4">
        <v>1.383135807261675E-3</v>
      </c>
      <c r="AM26" s="4">
        <v>2.079592842007446E-2</v>
      </c>
      <c r="AN26" s="4">
        <v>3.1517702220390638E-2</v>
      </c>
      <c r="AO26" s="4">
        <v>6.2417165333294418E-3</v>
      </c>
      <c r="AP26" s="4">
        <v>6.1452616535713897E-3</v>
      </c>
      <c r="AQ26" s="4">
        <v>1.694635767669651E-2</v>
      </c>
      <c r="AR26" s="4">
        <v>3.4682830454308228E-2</v>
      </c>
      <c r="AS26" s="4">
        <v>3.0985886171969678E-3</v>
      </c>
      <c r="AT26" s="4">
        <v>1.508134714348611E-2</v>
      </c>
      <c r="AU26" s="4">
        <v>-1.9251209229863991E-2</v>
      </c>
      <c r="AV26" s="4">
        <v>3.8711513387631437E-2</v>
      </c>
      <c r="AW26" s="4">
        <v>-2.1856951135736599E-2</v>
      </c>
      <c r="AX26" s="4">
        <v>7.7743007097896798E-3</v>
      </c>
      <c r="AY26" s="4">
        <v>4.2397246695325942E-2</v>
      </c>
      <c r="AZ26" s="4">
        <v>-2.630897486115975E-2</v>
      </c>
      <c r="BA26" s="4">
        <v>9.5717493087162323E-3</v>
      </c>
      <c r="BB26" s="4">
        <v>-2.424974126627483E-2</v>
      </c>
      <c r="BC26" s="4">
        <v>2.0163374143915822E-2</v>
      </c>
      <c r="BD26" s="4">
        <v>-3.5049987821160239E-3</v>
      </c>
      <c r="BE26" s="4">
        <v>2.0151935098542271E-2</v>
      </c>
      <c r="BF26" s="4">
        <v>5.8133623077027128E-4</v>
      </c>
      <c r="BG26" s="4">
        <v>-5.2197009532526043E-3</v>
      </c>
      <c r="BH26" s="4">
        <v>-0.11587176140213</v>
      </c>
      <c r="BI26" s="4">
        <v>8.7252256924373536E-3</v>
      </c>
      <c r="BJ26" s="4">
        <v>-1.6377260977822151E-2</v>
      </c>
      <c r="BK26" s="4">
        <v>2.0840371600260421E-2</v>
      </c>
      <c r="BL26" s="4">
        <v>4.4975872102114713E-2</v>
      </c>
      <c r="BM26" s="4">
        <v>2.3954306081863871E-2</v>
      </c>
      <c r="BN26" s="4">
        <v>3.0239101391442601E-2</v>
      </c>
      <c r="BO26" s="4">
        <v>-4.372588759108751E-2</v>
      </c>
      <c r="BP26" s="4">
        <v>2.1889469568198618E-2</v>
      </c>
      <c r="BQ26" s="4">
        <v>8.6274302635084028E-3</v>
      </c>
      <c r="BR26" s="4">
        <v>-1.9192953994658781E-2</v>
      </c>
      <c r="BS26" s="4">
        <v>1.973512988813305E-2</v>
      </c>
      <c r="BT26" s="4">
        <v>4.7694337483699438E-2</v>
      </c>
      <c r="BU26" s="4">
        <v>1.145481680658339E-2</v>
      </c>
      <c r="BV26" s="4">
        <v>4.3228620735213191E-2</v>
      </c>
      <c r="BW26" s="4">
        <v>-4.2747430436922793E-2</v>
      </c>
      <c r="BX26" s="4">
        <v>-1.781129242779457E-2</v>
      </c>
      <c r="BY26" s="4">
        <v>-0.1511530968690756</v>
      </c>
      <c r="BZ26" s="4">
        <v>0.12422400361957529</v>
      </c>
      <c r="CA26" s="4">
        <v>-4.5572538445296431E-3</v>
      </c>
      <c r="CB26" s="4">
        <v>6.0211240204911178E-2</v>
      </c>
      <c r="CC26" s="4">
        <v>8.5992033482502284E-2</v>
      </c>
      <c r="CD26" s="4">
        <v>-5.8084795823660634E-3</v>
      </c>
      <c r="CE26" s="4">
        <v>-6.0413469889680736E-3</v>
      </c>
      <c r="CF26" s="4">
        <v>2.4523243722520739E-3</v>
      </c>
      <c r="CG26" s="4">
        <v>8.963625193702289E-2</v>
      </c>
      <c r="CH26" s="4">
        <v>7.099273252675789E-2</v>
      </c>
      <c r="CI26" s="4">
        <v>2.7170642901783448E-2</v>
      </c>
      <c r="CJ26" s="4">
        <v>5.2468428425330033E-2</v>
      </c>
      <c r="CK26" s="4">
        <v>2.9480660943049509E-2</v>
      </c>
      <c r="CL26" s="4">
        <v>6.6825081060201283E-2</v>
      </c>
      <c r="CM26" s="4">
        <v>-2.8772229019816971E-2</v>
      </c>
      <c r="CN26" s="4">
        <v>3.9462515901637851E-2</v>
      </c>
      <c r="CO26" s="4">
        <v>-2.9031086977359909E-2</v>
      </c>
      <c r="CP26" s="4">
        <v>1.3983882519467901E-2</v>
      </c>
      <c r="CQ26" s="4">
        <v>-3.2276964959333833E-2</v>
      </c>
      <c r="CR26" s="4">
        <v>3.1035766128940231E-3</v>
      </c>
      <c r="CS26" s="4">
        <v>2.5591855767083171E-2</v>
      </c>
      <c r="CT26" s="4">
        <v>4.4391886287193302E-2</v>
      </c>
      <c r="CU26" s="4">
        <v>-3.0338958549577438E-2</v>
      </c>
      <c r="CV26" s="4">
        <v>-1.2579764545717069E-3</v>
      </c>
      <c r="CW26" s="4">
        <v>2.336356455857952E-3</v>
      </c>
      <c r="CX26" s="4">
        <v>-6.4264144925906069E-2</v>
      </c>
      <c r="CY26" s="4">
        <v>1.2909779458992439E-2</v>
      </c>
      <c r="CZ26" s="4">
        <v>-0.12547709467085871</v>
      </c>
      <c r="DA26" s="4">
        <v>1.1690682939792569E-2</v>
      </c>
      <c r="DB26" s="4">
        <v>6.3378437007417512E-3</v>
      </c>
      <c r="DC26" s="4">
        <v>-0.1173053564693855</v>
      </c>
      <c r="DD26" s="4">
        <v>-3.6010872049446613E-2</v>
      </c>
      <c r="DE26" s="4">
        <v>0.1389113040722679</v>
      </c>
      <c r="DF26" s="4">
        <v>-5.1143506226105737E-2</v>
      </c>
      <c r="DG26" s="4">
        <v>7.6731447181969059E-2</v>
      </c>
      <c r="DH26" s="4">
        <v>1.550878219700816E-2</v>
      </c>
      <c r="DI26" s="4">
        <v>2.3223773674755831E-2</v>
      </c>
      <c r="DJ26" s="4">
        <v>-1.8372876361227891E-2</v>
      </c>
      <c r="DK26" s="4">
        <v>6.2199014085099431E-2</v>
      </c>
      <c r="DL26" s="4">
        <v>2.0098304486957191E-2</v>
      </c>
      <c r="DM26" s="4">
        <v>1.349893974806809E-2</v>
      </c>
      <c r="DN26" s="4">
        <v>-3.025221272842088E-2</v>
      </c>
      <c r="DO26" s="4">
        <v>-1.7022835708053841E-2</v>
      </c>
      <c r="DP26" s="4">
        <v>-2.1788523272461981E-2</v>
      </c>
      <c r="DQ26" s="4">
        <v>8.5745624585137223E-2</v>
      </c>
      <c r="DR26" s="4">
        <v>2.8106743604973752E-2</v>
      </c>
      <c r="DS26" s="4">
        <v>-2.3031598073594501E-3</v>
      </c>
      <c r="DT26" s="4">
        <v>5.8471198131487503E-2</v>
      </c>
      <c r="DU26" s="4">
        <v>6.7658949048647651E-2</v>
      </c>
      <c r="DV26" s="4">
        <v>5.0207706404322644E-3</v>
      </c>
      <c r="DW26" s="4">
        <v>3.7416183675207063E-2</v>
      </c>
      <c r="DX26" s="4">
        <v>8.4111003746042121E-2</v>
      </c>
      <c r="DY26" s="4">
        <v>-3.6832398544012837E-2</v>
      </c>
      <c r="DZ26" s="4">
        <v>3.0917028169369942E-3</v>
      </c>
      <c r="EA26" s="4">
        <v>-1.957628214294549E-3</v>
      </c>
      <c r="EB26" s="4">
        <v>2.6459103603519739E-2</v>
      </c>
      <c r="EC26" s="4">
        <v>-2.4752538760690269E-2</v>
      </c>
      <c r="ED26" s="4">
        <v>3.4115490982559941E-2</v>
      </c>
      <c r="EE26" s="4">
        <v>2.1061973989032982E-2</v>
      </c>
      <c r="EF26" s="4">
        <v>-2.0277392706005919E-2</v>
      </c>
    </row>
    <row r="28" spans="1:136">
      <c r="B28" s="16" t="s">
        <v>146</v>
      </c>
      <c r="C28" s="17">
        <v>2540</v>
      </c>
      <c r="D28" s="17">
        <v>2540</v>
      </c>
      <c r="E28" s="17">
        <v>2540</v>
      </c>
      <c r="F28" s="17">
        <v>2540</v>
      </c>
      <c r="G28" s="17">
        <v>2540</v>
      </c>
      <c r="H28" s="17">
        <v>2540</v>
      </c>
      <c r="I28" s="17">
        <v>6114</v>
      </c>
      <c r="J28" s="17">
        <v>6242</v>
      </c>
      <c r="K28" s="17">
        <v>6242</v>
      </c>
      <c r="L28" s="17">
        <v>6242</v>
      </c>
      <c r="M28" s="17">
        <v>8077</v>
      </c>
      <c r="N28" s="17">
        <v>8077</v>
      </c>
      <c r="O28" s="17">
        <v>5455</v>
      </c>
      <c r="P28" s="17">
        <v>5455</v>
      </c>
      <c r="Q28" s="17">
        <v>5455</v>
      </c>
      <c r="R28" s="17">
        <v>5455</v>
      </c>
      <c r="S28" s="17">
        <v>5455</v>
      </c>
      <c r="T28" s="17">
        <v>5455</v>
      </c>
      <c r="U28" s="17">
        <v>4413</v>
      </c>
      <c r="V28" s="17">
        <v>4413</v>
      </c>
      <c r="W28" s="17">
        <v>4413</v>
      </c>
      <c r="X28" s="17">
        <v>6225</v>
      </c>
      <c r="Y28" s="17">
        <v>8044</v>
      </c>
      <c r="Z28" s="17">
        <v>6225</v>
      </c>
      <c r="AA28" s="17">
        <v>6225</v>
      </c>
      <c r="AB28" s="17">
        <v>6225</v>
      </c>
      <c r="AC28" s="17">
        <v>6225</v>
      </c>
      <c r="AD28" s="17">
        <v>6225</v>
      </c>
      <c r="AE28" s="17">
        <v>6225</v>
      </c>
      <c r="AF28" s="17">
        <v>6225</v>
      </c>
      <c r="AG28" s="17">
        <v>6225</v>
      </c>
      <c r="AH28" s="17">
        <v>6225</v>
      </c>
      <c r="AI28" s="17">
        <v>6291</v>
      </c>
      <c r="AJ28" s="17">
        <v>6291</v>
      </c>
      <c r="AK28" s="17">
        <v>6225</v>
      </c>
      <c r="AL28" s="17">
        <v>6225</v>
      </c>
      <c r="AM28" s="17">
        <v>6225</v>
      </c>
      <c r="AN28" s="17">
        <v>6225</v>
      </c>
      <c r="AO28" s="17">
        <v>6225</v>
      </c>
      <c r="AP28" s="17">
        <v>6225</v>
      </c>
      <c r="AQ28" s="17">
        <v>6225</v>
      </c>
      <c r="AR28" s="17">
        <v>6225</v>
      </c>
      <c r="AS28" s="17">
        <v>6225</v>
      </c>
      <c r="AT28" s="17">
        <v>6225</v>
      </c>
      <c r="AU28" s="17">
        <v>6225</v>
      </c>
      <c r="AV28" s="17">
        <v>6225</v>
      </c>
      <c r="AW28" s="17">
        <v>3043</v>
      </c>
      <c r="AX28" s="17">
        <v>3043</v>
      </c>
      <c r="AY28" s="17">
        <v>6225</v>
      </c>
      <c r="AZ28" s="17">
        <v>6225</v>
      </c>
      <c r="BA28" s="17">
        <v>6225</v>
      </c>
      <c r="BB28" s="17">
        <v>6225</v>
      </c>
      <c r="BC28" s="17">
        <v>6225</v>
      </c>
      <c r="BD28" s="17">
        <v>6225</v>
      </c>
      <c r="BE28" s="17">
        <v>6225</v>
      </c>
      <c r="BF28" s="17">
        <v>6225</v>
      </c>
      <c r="BG28" s="17">
        <v>6225</v>
      </c>
      <c r="BH28" s="17">
        <v>6225</v>
      </c>
      <c r="BI28" s="17">
        <v>6225</v>
      </c>
      <c r="BJ28" s="17">
        <v>6225</v>
      </c>
      <c r="BK28" s="17">
        <v>6225</v>
      </c>
      <c r="BL28" s="17">
        <v>6225</v>
      </c>
      <c r="BM28" s="17">
        <v>6225</v>
      </c>
      <c r="BN28" s="17">
        <v>6225</v>
      </c>
      <c r="BO28" s="17">
        <v>6225</v>
      </c>
      <c r="BP28" s="17">
        <v>6225</v>
      </c>
      <c r="BQ28" s="17">
        <v>6225</v>
      </c>
      <c r="BR28" s="17">
        <v>6225</v>
      </c>
      <c r="BS28" s="17">
        <v>6225</v>
      </c>
      <c r="BT28" s="17">
        <v>6225</v>
      </c>
      <c r="BU28" s="17">
        <v>8080</v>
      </c>
      <c r="BV28" s="17">
        <v>6225</v>
      </c>
      <c r="BW28" s="17">
        <v>5205</v>
      </c>
      <c r="BX28" s="17">
        <v>8080</v>
      </c>
      <c r="BY28" s="17">
        <v>8080</v>
      </c>
      <c r="BZ28" s="17">
        <v>8080</v>
      </c>
      <c r="CA28" s="17">
        <v>8080</v>
      </c>
      <c r="CB28" s="17">
        <v>8080</v>
      </c>
      <c r="CC28" s="17">
        <v>5205</v>
      </c>
      <c r="CD28" s="17">
        <v>5205</v>
      </c>
      <c r="CE28" s="17">
        <v>5205</v>
      </c>
      <c r="CF28" s="17">
        <v>5205</v>
      </c>
      <c r="CG28" s="17">
        <v>5205</v>
      </c>
      <c r="CH28" s="17">
        <v>5205</v>
      </c>
      <c r="CI28" s="17">
        <v>5205</v>
      </c>
      <c r="CJ28" s="17">
        <v>8080</v>
      </c>
      <c r="CK28" s="17">
        <v>8080</v>
      </c>
      <c r="CL28" s="17">
        <v>8080</v>
      </c>
      <c r="CM28" s="17">
        <v>5205</v>
      </c>
      <c r="CN28" s="17">
        <v>6287</v>
      </c>
      <c r="CO28" s="17">
        <v>6287</v>
      </c>
      <c r="CP28" s="17">
        <v>6287</v>
      </c>
      <c r="CQ28" s="17">
        <v>6287</v>
      </c>
      <c r="CR28" s="17">
        <v>6287</v>
      </c>
      <c r="CS28" s="17">
        <v>6287</v>
      </c>
      <c r="CT28" s="17">
        <v>6287</v>
      </c>
      <c r="CU28" s="17">
        <v>8101</v>
      </c>
      <c r="CV28" s="17">
        <v>8101</v>
      </c>
      <c r="CW28" s="17">
        <v>8101</v>
      </c>
      <c r="CX28" s="17">
        <v>8101</v>
      </c>
      <c r="CY28" s="17">
        <v>8101</v>
      </c>
      <c r="CZ28" s="17">
        <v>8101</v>
      </c>
      <c r="DA28" s="17">
        <v>6225</v>
      </c>
      <c r="DB28" s="17">
        <v>6225</v>
      </c>
      <c r="DC28" s="17">
        <v>6225</v>
      </c>
      <c r="DD28" s="17">
        <v>6225</v>
      </c>
      <c r="DE28" s="17">
        <v>6225</v>
      </c>
      <c r="DF28" s="17">
        <v>3064</v>
      </c>
      <c r="DG28" s="17">
        <v>6225</v>
      </c>
      <c r="DH28" s="17">
        <v>6225</v>
      </c>
      <c r="DI28" s="17">
        <v>6225</v>
      </c>
      <c r="DJ28" s="17">
        <v>6225</v>
      </c>
      <c r="DK28" s="17">
        <v>6225</v>
      </c>
      <c r="DL28" s="17">
        <v>6225</v>
      </c>
      <c r="DM28" s="17">
        <v>8084</v>
      </c>
      <c r="DN28" s="17">
        <v>8084</v>
      </c>
      <c r="DO28" s="17">
        <v>1519</v>
      </c>
      <c r="DP28" s="17">
        <v>1519</v>
      </c>
      <c r="DQ28" s="17">
        <v>8084</v>
      </c>
      <c r="DR28" s="17">
        <v>4419</v>
      </c>
      <c r="DS28" s="17">
        <v>4419</v>
      </c>
      <c r="DT28" s="17">
        <v>4419</v>
      </c>
      <c r="DU28" s="17">
        <v>4419</v>
      </c>
      <c r="DV28" s="17">
        <v>4419</v>
      </c>
      <c r="DW28" s="17">
        <v>4419</v>
      </c>
      <c r="DX28" s="17">
        <v>4419</v>
      </c>
      <c r="DY28" s="17">
        <v>1519</v>
      </c>
      <c r="DZ28" s="17">
        <v>1519</v>
      </c>
      <c r="EA28" s="17">
        <v>1519</v>
      </c>
      <c r="EB28" s="17">
        <v>1519</v>
      </c>
      <c r="EC28" s="17">
        <v>6287</v>
      </c>
      <c r="ED28" s="17">
        <v>6287</v>
      </c>
      <c r="EE28" s="17">
        <v>5314</v>
      </c>
      <c r="EF28" s="17">
        <v>5314</v>
      </c>
    </row>
    <row r="29" spans="1:136">
      <c r="B29" s="16" t="s">
        <v>147</v>
      </c>
      <c r="C29" s="17" t="s">
        <v>148</v>
      </c>
      <c r="D29" s="17" t="s">
        <v>148</v>
      </c>
      <c r="E29" s="17" t="s">
        <v>148</v>
      </c>
      <c r="F29" s="17" t="s">
        <v>148</v>
      </c>
      <c r="G29" s="17" t="s">
        <v>148</v>
      </c>
      <c r="H29" s="17" t="s">
        <v>148</v>
      </c>
      <c r="I29" s="17" t="s">
        <v>149</v>
      </c>
      <c r="J29" s="17" t="s">
        <v>150</v>
      </c>
      <c r="K29" s="17" t="s">
        <v>150</v>
      </c>
      <c r="L29" s="17" t="s">
        <v>150</v>
      </c>
      <c r="M29" s="17" t="s">
        <v>151</v>
      </c>
      <c r="N29" s="17" t="s">
        <v>151</v>
      </c>
      <c r="O29" s="17" t="s">
        <v>152</v>
      </c>
      <c r="P29" s="17" t="s">
        <v>152</v>
      </c>
      <c r="Q29" s="17" t="s">
        <v>152</v>
      </c>
      <c r="R29" s="17" t="s">
        <v>152</v>
      </c>
      <c r="S29" s="17" t="s">
        <v>152</v>
      </c>
      <c r="T29" s="17" t="s">
        <v>152</v>
      </c>
      <c r="U29" s="17" t="s">
        <v>153</v>
      </c>
      <c r="V29" s="17" t="s">
        <v>153</v>
      </c>
      <c r="W29" s="17" t="s">
        <v>153</v>
      </c>
      <c r="X29" s="17" t="s">
        <v>154</v>
      </c>
      <c r="Y29" s="17" t="s">
        <v>155</v>
      </c>
      <c r="Z29" s="17" t="s">
        <v>154</v>
      </c>
      <c r="AA29" s="17" t="s">
        <v>154</v>
      </c>
      <c r="AB29" s="17" t="s">
        <v>154</v>
      </c>
      <c r="AC29" s="17" t="s">
        <v>154</v>
      </c>
      <c r="AD29" s="17" t="s">
        <v>154</v>
      </c>
      <c r="AE29" s="17" t="s">
        <v>154</v>
      </c>
      <c r="AF29" s="17" t="s">
        <v>154</v>
      </c>
      <c r="AG29" s="17" t="s">
        <v>154</v>
      </c>
      <c r="AH29" s="17" t="s">
        <v>154</v>
      </c>
      <c r="AI29" s="17" t="s">
        <v>156</v>
      </c>
      <c r="AJ29" s="17" t="s">
        <v>156</v>
      </c>
      <c r="AK29" s="17" t="s">
        <v>154</v>
      </c>
      <c r="AL29" s="17" t="s">
        <v>154</v>
      </c>
      <c r="AM29" s="17" t="s">
        <v>154</v>
      </c>
      <c r="AN29" s="17" t="s">
        <v>154</v>
      </c>
      <c r="AO29" s="17" t="s">
        <v>154</v>
      </c>
      <c r="AP29" s="17" t="s">
        <v>154</v>
      </c>
      <c r="AQ29" s="17" t="s">
        <v>154</v>
      </c>
      <c r="AR29" s="17" t="s">
        <v>154</v>
      </c>
      <c r="AS29" s="17" t="s">
        <v>154</v>
      </c>
      <c r="AT29" s="17" t="s">
        <v>154</v>
      </c>
      <c r="AU29" s="17" t="s">
        <v>154</v>
      </c>
      <c r="AV29" s="17" t="s">
        <v>154</v>
      </c>
      <c r="AW29" s="17" t="s">
        <v>157</v>
      </c>
      <c r="AX29" s="17" t="s">
        <v>157</v>
      </c>
      <c r="AY29" s="17" t="s">
        <v>154</v>
      </c>
      <c r="AZ29" s="17" t="s">
        <v>154</v>
      </c>
      <c r="BA29" s="17" t="s">
        <v>154</v>
      </c>
      <c r="BB29" s="17" t="s">
        <v>154</v>
      </c>
      <c r="BC29" s="17" t="s">
        <v>154</v>
      </c>
      <c r="BD29" s="17" t="s">
        <v>154</v>
      </c>
      <c r="BE29" s="17" t="s">
        <v>154</v>
      </c>
      <c r="BF29" s="17" t="s">
        <v>154</v>
      </c>
      <c r="BG29" s="17" t="s">
        <v>154</v>
      </c>
      <c r="BH29" s="17" t="s">
        <v>154</v>
      </c>
      <c r="BI29" s="17" t="s">
        <v>154</v>
      </c>
      <c r="BJ29" s="17" t="s">
        <v>154</v>
      </c>
      <c r="BK29" s="17" t="s">
        <v>154</v>
      </c>
      <c r="BL29" s="17" t="s">
        <v>154</v>
      </c>
      <c r="BM29" s="17" t="s">
        <v>154</v>
      </c>
      <c r="BN29" s="17" t="s">
        <v>154</v>
      </c>
      <c r="BO29" s="17" t="s">
        <v>154</v>
      </c>
      <c r="BP29" s="17" t="s">
        <v>154</v>
      </c>
      <c r="BQ29" s="17" t="s">
        <v>154</v>
      </c>
      <c r="BR29" s="17" t="s">
        <v>154</v>
      </c>
      <c r="BS29" s="17" t="s">
        <v>154</v>
      </c>
      <c r="BT29" s="17" t="s">
        <v>154</v>
      </c>
      <c r="BU29" s="17" t="s">
        <v>158</v>
      </c>
      <c r="BV29" s="17" t="s">
        <v>154</v>
      </c>
      <c r="BW29" s="17" t="s">
        <v>159</v>
      </c>
      <c r="BX29" s="17" t="s">
        <v>158</v>
      </c>
      <c r="BY29" s="17" t="s">
        <v>158</v>
      </c>
      <c r="BZ29" s="17" t="s">
        <v>158</v>
      </c>
      <c r="CA29" s="17" t="s">
        <v>158</v>
      </c>
      <c r="CB29" s="17" t="s">
        <v>158</v>
      </c>
      <c r="CC29" s="17" t="s">
        <v>159</v>
      </c>
      <c r="CD29" s="17" t="s">
        <v>159</v>
      </c>
      <c r="CE29" s="17" t="s">
        <v>159</v>
      </c>
      <c r="CF29" s="17" t="s">
        <v>159</v>
      </c>
      <c r="CG29" s="17" t="s">
        <v>159</v>
      </c>
      <c r="CH29" s="17" t="s">
        <v>159</v>
      </c>
      <c r="CI29" s="17" t="s">
        <v>159</v>
      </c>
      <c r="CJ29" s="17" t="s">
        <v>158</v>
      </c>
      <c r="CK29" s="17" t="s">
        <v>158</v>
      </c>
      <c r="CL29" s="17" t="s">
        <v>158</v>
      </c>
      <c r="CM29" s="17" t="s">
        <v>159</v>
      </c>
      <c r="CN29" s="17" t="s">
        <v>160</v>
      </c>
      <c r="CO29" s="17" t="s">
        <v>160</v>
      </c>
      <c r="CP29" s="17" t="s">
        <v>160</v>
      </c>
      <c r="CQ29" s="17" t="s">
        <v>160</v>
      </c>
      <c r="CR29" s="17" t="s">
        <v>160</v>
      </c>
      <c r="CS29" s="17" t="s">
        <v>160</v>
      </c>
      <c r="CT29" s="17" t="s">
        <v>160</v>
      </c>
      <c r="CU29" s="17" t="s">
        <v>161</v>
      </c>
      <c r="CV29" s="17" t="s">
        <v>161</v>
      </c>
      <c r="CW29" s="17" t="s">
        <v>161</v>
      </c>
      <c r="CX29" s="17" t="s">
        <v>161</v>
      </c>
      <c r="CY29" s="17" t="s">
        <v>161</v>
      </c>
      <c r="CZ29" s="17" t="s">
        <v>161</v>
      </c>
      <c r="DA29" s="17" t="s">
        <v>154</v>
      </c>
      <c r="DB29" s="17" t="s">
        <v>154</v>
      </c>
      <c r="DC29" s="17" t="s">
        <v>154</v>
      </c>
      <c r="DD29" s="17" t="s">
        <v>154</v>
      </c>
      <c r="DE29" s="17" t="s">
        <v>154</v>
      </c>
      <c r="DF29" s="17" t="s">
        <v>162</v>
      </c>
      <c r="DG29" s="17" t="s">
        <v>154</v>
      </c>
      <c r="DH29" s="17" t="s">
        <v>154</v>
      </c>
      <c r="DI29" s="17" t="s">
        <v>154</v>
      </c>
      <c r="DJ29" s="17" t="s">
        <v>154</v>
      </c>
      <c r="DK29" s="17" t="s">
        <v>154</v>
      </c>
      <c r="DL29" s="17" t="s">
        <v>154</v>
      </c>
      <c r="DM29" s="17" t="s">
        <v>163</v>
      </c>
      <c r="DN29" s="17" t="s">
        <v>163</v>
      </c>
      <c r="DO29" s="17" t="s">
        <v>164</v>
      </c>
      <c r="DP29" s="17" t="s">
        <v>164</v>
      </c>
      <c r="DQ29" s="17" t="s">
        <v>163</v>
      </c>
      <c r="DR29" s="17" t="s">
        <v>165</v>
      </c>
      <c r="DS29" s="17" t="s">
        <v>165</v>
      </c>
      <c r="DT29" s="17" t="s">
        <v>165</v>
      </c>
      <c r="DU29" s="17" t="s">
        <v>165</v>
      </c>
      <c r="DV29" s="17" t="s">
        <v>165</v>
      </c>
      <c r="DW29" s="17" t="s">
        <v>165</v>
      </c>
      <c r="DX29" s="17" t="s">
        <v>165</v>
      </c>
      <c r="DY29" s="17" t="s">
        <v>164</v>
      </c>
      <c r="DZ29" s="17" t="s">
        <v>164</v>
      </c>
      <c r="EA29" s="17" t="s">
        <v>164</v>
      </c>
      <c r="EB29" s="17" t="s">
        <v>164</v>
      </c>
      <c r="EC29" s="17" t="s">
        <v>160</v>
      </c>
      <c r="ED29" s="17" t="s">
        <v>160</v>
      </c>
      <c r="EE29" s="17" t="s">
        <v>166</v>
      </c>
      <c r="EF29" s="17" t="s">
        <v>166</v>
      </c>
    </row>
    <row r="30" spans="1:136">
      <c r="B30" s="16" t="s">
        <v>167</v>
      </c>
      <c r="C30" s="17">
        <v>2492</v>
      </c>
      <c r="D30" s="17">
        <v>2323</v>
      </c>
      <c r="E30" s="17">
        <v>2323</v>
      </c>
      <c r="F30" s="17">
        <v>2323</v>
      </c>
      <c r="G30" s="17">
        <v>2323</v>
      </c>
      <c r="H30" s="17">
        <v>2323</v>
      </c>
      <c r="I30" s="17">
        <v>2323</v>
      </c>
      <c r="J30" s="17">
        <v>2323</v>
      </c>
      <c r="K30" s="17">
        <v>2323</v>
      </c>
      <c r="L30" s="17">
        <v>2323</v>
      </c>
      <c r="M30" s="17">
        <v>2323</v>
      </c>
      <c r="N30" s="17">
        <v>2323</v>
      </c>
      <c r="O30" s="17">
        <v>2323</v>
      </c>
      <c r="P30" s="17">
        <v>2323</v>
      </c>
      <c r="Q30" s="17">
        <v>2323</v>
      </c>
      <c r="R30" s="17">
        <v>2323</v>
      </c>
      <c r="S30" s="17">
        <v>2323</v>
      </c>
      <c r="T30" s="17">
        <v>2323</v>
      </c>
      <c r="U30" s="17">
        <v>2323</v>
      </c>
      <c r="V30" s="17">
        <v>2323</v>
      </c>
      <c r="W30" s="17">
        <v>2323</v>
      </c>
      <c r="X30" s="17">
        <v>2323</v>
      </c>
      <c r="Y30" s="17">
        <v>2323</v>
      </c>
      <c r="Z30" s="17">
        <v>2323</v>
      </c>
      <c r="AA30" s="17">
        <v>2323</v>
      </c>
      <c r="AB30" s="17">
        <v>2323</v>
      </c>
      <c r="AC30" s="17">
        <v>2323</v>
      </c>
      <c r="AD30" s="17">
        <v>2323</v>
      </c>
      <c r="AE30" s="17">
        <v>2323</v>
      </c>
      <c r="AF30" s="17">
        <v>2323</v>
      </c>
      <c r="AG30" s="17">
        <v>1314</v>
      </c>
      <c r="AH30" s="17">
        <v>2323</v>
      </c>
      <c r="AI30" s="17">
        <v>2330</v>
      </c>
      <c r="AJ30" s="17">
        <v>2330</v>
      </c>
      <c r="AK30" s="17">
        <v>2323</v>
      </c>
      <c r="AL30" s="17">
        <v>2323</v>
      </c>
      <c r="AM30" s="17">
        <v>2323</v>
      </c>
      <c r="AN30" s="17">
        <v>2323</v>
      </c>
      <c r="AO30" s="17">
        <v>2323</v>
      </c>
      <c r="AP30" s="17">
        <v>2323</v>
      </c>
      <c r="AQ30" s="17">
        <v>2323</v>
      </c>
      <c r="AR30" s="17">
        <v>2323</v>
      </c>
      <c r="AS30" s="17">
        <v>2323</v>
      </c>
      <c r="AT30" s="17">
        <v>2323</v>
      </c>
      <c r="AU30" s="17">
        <v>2323</v>
      </c>
      <c r="AV30" s="17">
        <v>2323</v>
      </c>
      <c r="AW30" s="17">
        <v>3252</v>
      </c>
      <c r="AX30" s="17">
        <v>3252</v>
      </c>
      <c r="AY30" s="17">
        <v>3252</v>
      </c>
      <c r="AZ30" s="17">
        <v>3252</v>
      </c>
      <c r="BA30" s="17">
        <v>3252</v>
      </c>
      <c r="BB30" s="17">
        <v>3252</v>
      </c>
      <c r="BC30" s="17">
        <v>1906</v>
      </c>
      <c r="BD30" s="17">
        <v>1906</v>
      </c>
      <c r="BE30" s="17">
        <v>1906</v>
      </c>
      <c r="BF30" s="17">
        <v>3252</v>
      </c>
      <c r="BG30" s="17">
        <v>1906</v>
      </c>
      <c r="BH30" s="17">
        <v>1906</v>
      </c>
      <c r="BI30" s="17">
        <v>1906</v>
      </c>
      <c r="BJ30" s="17">
        <v>1906</v>
      </c>
      <c r="BK30" s="17">
        <v>8085</v>
      </c>
      <c r="BL30" s="17">
        <v>8085</v>
      </c>
      <c r="BM30" s="17">
        <v>2201</v>
      </c>
      <c r="BN30" s="17">
        <v>8085</v>
      </c>
      <c r="BO30" s="17">
        <v>8085</v>
      </c>
      <c r="BP30" s="17">
        <v>8085</v>
      </c>
      <c r="BQ30" s="17">
        <v>3252</v>
      </c>
      <c r="BR30" s="17">
        <v>2409</v>
      </c>
      <c r="BS30" s="17">
        <v>3252</v>
      </c>
      <c r="BT30" s="17">
        <v>3311</v>
      </c>
      <c r="BU30" s="17">
        <v>3311</v>
      </c>
      <c r="BV30" s="17">
        <v>2321</v>
      </c>
      <c r="BW30" s="17">
        <v>3252</v>
      </c>
      <c r="BX30" s="17">
        <v>3252</v>
      </c>
      <c r="BY30" s="17">
        <v>3252</v>
      </c>
      <c r="BZ30" s="17">
        <v>5608</v>
      </c>
      <c r="CA30" s="17">
        <v>5608</v>
      </c>
      <c r="CB30" s="17">
        <v>5608</v>
      </c>
      <c r="CC30" s="17">
        <v>1314</v>
      </c>
      <c r="CD30" s="17">
        <v>5608</v>
      </c>
      <c r="CE30" s="17">
        <v>1314</v>
      </c>
      <c r="CF30" s="17">
        <v>1314</v>
      </c>
      <c r="CG30" s="17">
        <v>1314</v>
      </c>
      <c r="CH30" s="17">
        <v>1314</v>
      </c>
      <c r="CI30" s="17">
        <v>3252</v>
      </c>
      <c r="CJ30" s="17">
        <v>3252</v>
      </c>
      <c r="CK30" s="17">
        <v>3252</v>
      </c>
      <c r="CL30" s="17">
        <v>3252</v>
      </c>
      <c r="CM30" s="17">
        <v>3252</v>
      </c>
      <c r="CN30" s="17">
        <v>3252</v>
      </c>
      <c r="CO30" s="17">
        <v>3252</v>
      </c>
      <c r="CP30" s="17">
        <v>3252</v>
      </c>
      <c r="CQ30" s="17">
        <v>3252</v>
      </c>
      <c r="CR30" s="17">
        <v>3252</v>
      </c>
      <c r="CS30" s="17">
        <v>1906</v>
      </c>
      <c r="CT30" s="17">
        <v>1906</v>
      </c>
      <c r="CU30" s="17">
        <v>1906</v>
      </c>
      <c r="CV30" s="17">
        <v>1906</v>
      </c>
      <c r="CW30" s="17">
        <v>1906</v>
      </c>
      <c r="CX30" s="17">
        <v>1906</v>
      </c>
      <c r="CY30" s="17">
        <v>1906</v>
      </c>
      <c r="CZ30" s="17">
        <v>1906</v>
      </c>
      <c r="DA30" s="17">
        <v>1314</v>
      </c>
      <c r="DB30" s="17">
        <v>4414</v>
      </c>
      <c r="DC30" s="17">
        <v>1314</v>
      </c>
      <c r="DD30" s="17">
        <v>1906</v>
      </c>
      <c r="DE30" s="17">
        <v>2323</v>
      </c>
      <c r="DF30" s="17">
        <v>2323</v>
      </c>
      <c r="DG30" s="17">
        <v>2362</v>
      </c>
      <c r="DH30" s="17">
        <v>2362</v>
      </c>
      <c r="DI30" s="17">
        <v>2362</v>
      </c>
      <c r="DJ30" s="17">
        <v>2362</v>
      </c>
      <c r="DK30" s="17">
        <v>3252</v>
      </c>
      <c r="DL30" s="17">
        <v>1314</v>
      </c>
      <c r="DM30" s="17">
        <v>2603</v>
      </c>
      <c r="DN30" s="17">
        <v>2603</v>
      </c>
      <c r="DO30" s="17">
        <v>2603</v>
      </c>
      <c r="DP30" s="17">
        <v>2603</v>
      </c>
      <c r="DQ30" s="17">
        <v>1906</v>
      </c>
      <c r="DR30" s="17">
        <v>1906</v>
      </c>
      <c r="DS30" s="17">
        <v>1314</v>
      </c>
      <c r="DT30" s="17">
        <v>1314</v>
      </c>
      <c r="DU30" s="17">
        <v>1314</v>
      </c>
      <c r="DV30" s="17">
        <v>1314</v>
      </c>
      <c r="DW30" s="17">
        <v>1312</v>
      </c>
      <c r="DX30" s="17">
        <v>1314</v>
      </c>
      <c r="DY30" s="17">
        <v>1312</v>
      </c>
      <c r="DZ30" s="17">
        <v>1312</v>
      </c>
      <c r="EA30" s="17">
        <v>1312</v>
      </c>
      <c r="EB30" s="17">
        <v>1314</v>
      </c>
      <c r="EC30" s="17">
        <v>1314</v>
      </c>
      <c r="ED30" s="17">
        <v>1312</v>
      </c>
      <c r="EE30" s="17">
        <v>1312</v>
      </c>
      <c r="EF30" s="17">
        <v>1314</v>
      </c>
    </row>
    <row r="31" spans="1:136">
      <c r="B31" s="16" t="s">
        <v>147</v>
      </c>
      <c r="C31" s="17" t="s">
        <v>168</v>
      </c>
      <c r="D31" s="17" t="s">
        <v>169</v>
      </c>
      <c r="E31" s="17" t="s">
        <v>169</v>
      </c>
      <c r="F31" s="17" t="s">
        <v>169</v>
      </c>
      <c r="G31" s="17" t="s">
        <v>169</v>
      </c>
      <c r="H31" s="17" t="s">
        <v>169</v>
      </c>
      <c r="I31" s="17" t="s">
        <v>169</v>
      </c>
      <c r="J31" s="17" t="s">
        <v>169</v>
      </c>
      <c r="K31" s="17" t="s">
        <v>169</v>
      </c>
      <c r="L31" s="17" t="s">
        <v>169</v>
      </c>
      <c r="M31" s="17" t="s">
        <v>169</v>
      </c>
      <c r="N31" s="17" t="s">
        <v>169</v>
      </c>
      <c r="O31" s="17" t="s">
        <v>169</v>
      </c>
      <c r="P31" s="17" t="s">
        <v>169</v>
      </c>
      <c r="Q31" s="17" t="s">
        <v>169</v>
      </c>
      <c r="R31" s="17" t="s">
        <v>169</v>
      </c>
      <c r="S31" s="17" t="s">
        <v>169</v>
      </c>
      <c r="T31" s="17" t="s">
        <v>169</v>
      </c>
      <c r="U31" s="17" t="s">
        <v>169</v>
      </c>
      <c r="V31" s="17" t="s">
        <v>169</v>
      </c>
      <c r="W31" s="17" t="s">
        <v>169</v>
      </c>
      <c r="X31" s="17" t="s">
        <v>169</v>
      </c>
      <c r="Y31" s="17" t="s">
        <v>169</v>
      </c>
      <c r="Z31" s="17" t="s">
        <v>169</v>
      </c>
      <c r="AA31" s="17" t="s">
        <v>169</v>
      </c>
      <c r="AB31" s="17" t="s">
        <v>169</v>
      </c>
      <c r="AC31" s="17" t="s">
        <v>169</v>
      </c>
      <c r="AD31" s="17" t="s">
        <v>169</v>
      </c>
      <c r="AE31" s="17" t="s">
        <v>169</v>
      </c>
      <c r="AF31" s="17" t="s">
        <v>169</v>
      </c>
      <c r="AG31" s="17" t="s">
        <v>170</v>
      </c>
      <c r="AH31" s="17" t="s">
        <v>169</v>
      </c>
      <c r="AI31" s="17" t="s">
        <v>171</v>
      </c>
      <c r="AJ31" s="17" t="s">
        <v>171</v>
      </c>
      <c r="AK31" s="17" t="s">
        <v>169</v>
      </c>
      <c r="AL31" s="17" t="s">
        <v>169</v>
      </c>
      <c r="AM31" s="17" t="s">
        <v>169</v>
      </c>
      <c r="AN31" s="17" t="s">
        <v>169</v>
      </c>
      <c r="AO31" s="17" t="s">
        <v>169</v>
      </c>
      <c r="AP31" s="17" t="s">
        <v>169</v>
      </c>
      <c r="AQ31" s="17" t="s">
        <v>169</v>
      </c>
      <c r="AR31" s="17" t="s">
        <v>169</v>
      </c>
      <c r="AS31" s="17" t="s">
        <v>169</v>
      </c>
      <c r="AT31" s="17" t="s">
        <v>169</v>
      </c>
      <c r="AU31" s="17" t="s">
        <v>169</v>
      </c>
      <c r="AV31" s="17" t="s">
        <v>169</v>
      </c>
      <c r="AW31" s="17" t="s">
        <v>172</v>
      </c>
      <c r="AX31" s="17" t="s">
        <v>172</v>
      </c>
      <c r="AY31" s="17" t="s">
        <v>172</v>
      </c>
      <c r="AZ31" s="17" t="s">
        <v>172</v>
      </c>
      <c r="BA31" s="17" t="s">
        <v>172</v>
      </c>
      <c r="BB31" s="17" t="s">
        <v>172</v>
      </c>
      <c r="BC31" s="17" t="s">
        <v>173</v>
      </c>
      <c r="BD31" s="17" t="s">
        <v>173</v>
      </c>
      <c r="BE31" s="17" t="s">
        <v>173</v>
      </c>
      <c r="BF31" s="17" t="s">
        <v>172</v>
      </c>
      <c r="BG31" s="17" t="s">
        <v>173</v>
      </c>
      <c r="BH31" s="17" t="s">
        <v>173</v>
      </c>
      <c r="BI31" s="17" t="s">
        <v>173</v>
      </c>
      <c r="BJ31" s="17" t="s">
        <v>173</v>
      </c>
      <c r="BK31" s="17" t="s">
        <v>174</v>
      </c>
      <c r="BL31" s="17" t="s">
        <v>174</v>
      </c>
      <c r="BM31" s="17" t="s">
        <v>175</v>
      </c>
      <c r="BN31" s="17" t="s">
        <v>174</v>
      </c>
      <c r="BO31" s="17" t="s">
        <v>174</v>
      </c>
      <c r="BP31" s="17" t="s">
        <v>174</v>
      </c>
      <c r="BQ31" s="17" t="s">
        <v>172</v>
      </c>
      <c r="BR31" s="17" t="s">
        <v>176</v>
      </c>
      <c r="BS31" s="17" t="s">
        <v>172</v>
      </c>
      <c r="BT31" s="17" t="s">
        <v>177</v>
      </c>
      <c r="BU31" s="17" t="s">
        <v>177</v>
      </c>
      <c r="BV31" s="17" t="s">
        <v>178</v>
      </c>
      <c r="BW31" s="17" t="s">
        <v>172</v>
      </c>
      <c r="BX31" s="17" t="s">
        <v>172</v>
      </c>
      <c r="BY31" s="17" t="s">
        <v>172</v>
      </c>
      <c r="BZ31" s="17" t="s">
        <v>179</v>
      </c>
      <c r="CA31" s="17" t="s">
        <v>179</v>
      </c>
      <c r="CB31" s="17" t="s">
        <v>179</v>
      </c>
      <c r="CC31" s="17" t="s">
        <v>170</v>
      </c>
      <c r="CD31" s="17" t="s">
        <v>179</v>
      </c>
      <c r="CE31" s="17" t="s">
        <v>170</v>
      </c>
      <c r="CF31" s="17" t="s">
        <v>170</v>
      </c>
      <c r="CG31" s="17" t="s">
        <v>170</v>
      </c>
      <c r="CH31" s="17" t="s">
        <v>170</v>
      </c>
      <c r="CI31" s="17" t="s">
        <v>172</v>
      </c>
      <c r="CJ31" s="17" t="s">
        <v>172</v>
      </c>
      <c r="CK31" s="17" t="s">
        <v>172</v>
      </c>
      <c r="CL31" s="17" t="s">
        <v>172</v>
      </c>
      <c r="CM31" s="17" t="s">
        <v>172</v>
      </c>
      <c r="CN31" s="17" t="s">
        <v>172</v>
      </c>
      <c r="CO31" s="17" t="s">
        <v>172</v>
      </c>
      <c r="CP31" s="17" t="s">
        <v>172</v>
      </c>
      <c r="CQ31" s="17" t="s">
        <v>172</v>
      </c>
      <c r="CR31" s="17" t="s">
        <v>172</v>
      </c>
      <c r="CS31" s="17" t="s">
        <v>173</v>
      </c>
      <c r="CT31" s="17" t="s">
        <v>173</v>
      </c>
      <c r="CU31" s="17" t="s">
        <v>173</v>
      </c>
      <c r="CV31" s="17" t="s">
        <v>173</v>
      </c>
      <c r="CW31" s="17" t="s">
        <v>173</v>
      </c>
      <c r="CX31" s="17" t="s">
        <v>173</v>
      </c>
      <c r="CY31" s="17" t="s">
        <v>173</v>
      </c>
      <c r="CZ31" s="17" t="s">
        <v>173</v>
      </c>
      <c r="DA31" s="17" t="s">
        <v>170</v>
      </c>
      <c r="DB31" s="17" t="s">
        <v>180</v>
      </c>
      <c r="DC31" s="17" t="s">
        <v>170</v>
      </c>
      <c r="DD31" s="17" t="s">
        <v>173</v>
      </c>
      <c r="DE31" s="17" t="s">
        <v>169</v>
      </c>
      <c r="DF31" s="17" t="s">
        <v>169</v>
      </c>
      <c r="DG31" s="17" t="s">
        <v>181</v>
      </c>
      <c r="DH31" s="17" t="s">
        <v>181</v>
      </c>
      <c r="DI31" s="17" t="s">
        <v>181</v>
      </c>
      <c r="DJ31" s="17" t="s">
        <v>181</v>
      </c>
      <c r="DK31" s="17" t="s">
        <v>172</v>
      </c>
      <c r="DL31" s="17" t="s">
        <v>170</v>
      </c>
      <c r="DM31" s="17" t="s">
        <v>182</v>
      </c>
      <c r="DN31" s="17" t="s">
        <v>182</v>
      </c>
      <c r="DO31" s="17" t="s">
        <v>182</v>
      </c>
      <c r="DP31" s="17" t="s">
        <v>182</v>
      </c>
      <c r="DQ31" s="17" t="s">
        <v>173</v>
      </c>
      <c r="DR31" s="17" t="s">
        <v>173</v>
      </c>
      <c r="DS31" s="17" t="s">
        <v>170</v>
      </c>
      <c r="DT31" s="17" t="s">
        <v>170</v>
      </c>
      <c r="DU31" s="17" t="s">
        <v>170</v>
      </c>
      <c r="DV31" s="17" t="s">
        <v>170</v>
      </c>
      <c r="DW31" s="17" t="s">
        <v>183</v>
      </c>
      <c r="DX31" s="17" t="s">
        <v>170</v>
      </c>
      <c r="DY31" s="17" t="s">
        <v>183</v>
      </c>
      <c r="DZ31" s="17" t="s">
        <v>183</v>
      </c>
      <c r="EA31" s="17" t="s">
        <v>183</v>
      </c>
      <c r="EB31" s="17" t="s">
        <v>170</v>
      </c>
      <c r="EC31" s="17" t="s">
        <v>170</v>
      </c>
      <c r="ED31" s="17" t="s">
        <v>183</v>
      </c>
      <c r="EE31" s="17" t="s">
        <v>183</v>
      </c>
      <c r="EF31" s="17" t="s">
        <v>170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I26"/>
  <sheetViews>
    <sheetView topLeftCell="EB6" zoomScale="198" zoomScaleNormal="85" workbookViewId="0">
      <selection activeCell="EI24" sqref="EI24"/>
    </sheetView>
  </sheetViews>
  <sheetFormatPr baseColWidth="10" defaultColWidth="8.83203125" defaultRowHeight="15"/>
  <sheetData>
    <row r="1" spans="1:139">
      <c r="A1" s="2" t="s">
        <v>209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</row>
    <row r="2" spans="1:139">
      <c r="A2" s="1"/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  <c r="CN2" s="3" t="s">
        <v>90</v>
      </c>
      <c r="CO2" s="3" t="s">
        <v>91</v>
      </c>
      <c r="CP2" s="3" t="s">
        <v>92</v>
      </c>
      <c r="CQ2" s="3" t="s">
        <v>93</v>
      </c>
      <c r="CR2" s="3" t="s">
        <v>94</v>
      </c>
      <c r="CS2" s="3" t="s">
        <v>95</v>
      </c>
      <c r="CT2" s="3" t="s">
        <v>96</v>
      </c>
      <c r="CU2" s="3" t="s">
        <v>97</v>
      </c>
      <c r="CV2" s="3" t="s">
        <v>98</v>
      </c>
      <c r="CW2" s="3" t="s">
        <v>99</v>
      </c>
      <c r="CX2" s="3" t="s">
        <v>100</v>
      </c>
      <c r="CY2" s="3" t="s">
        <v>101</v>
      </c>
      <c r="CZ2" s="3" t="s">
        <v>102</v>
      </c>
      <c r="DA2" s="3" t="s">
        <v>103</v>
      </c>
      <c r="DB2" s="3" t="s">
        <v>104</v>
      </c>
      <c r="DC2" s="3" t="s">
        <v>105</v>
      </c>
      <c r="DD2" s="3" t="s">
        <v>106</v>
      </c>
      <c r="DE2" s="3" t="s">
        <v>107</v>
      </c>
      <c r="DF2" s="3" t="s">
        <v>108</v>
      </c>
      <c r="DG2" s="3" t="s">
        <v>109</v>
      </c>
      <c r="DH2" s="3" t="s">
        <v>110</v>
      </c>
      <c r="DI2" s="3" t="s">
        <v>111</v>
      </c>
      <c r="DJ2" s="3" t="s">
        <v>112</v>
      </c>
      <c r="DK2" s="3" t="s">
        <v>113</v>
      </c>
      <c r="DL2" s="3" t="s">
        <v>114</v>
      </c>
      <c r="DM2" s="3" t="s">
        <v>115</v>
      </c>
      <c r="DN2" s="3" t="s">
        <v>116</v>
      </c>
      <c r="DO2" s="3" t="s">
        <v>117</v>
      </c>
      <c r="DP2" s="3" t="s">
        <v>118</v>
      </c>
      <c r="DQ2" s="3" t="s">
        <v>119</v>
      </c>
      <c r="DR2" s="3" t="s">
        <v>120</v>
      </c>
      <c r="DS2" s="3" t="s">
        <v>121</v>
      </c>
      <c r="DT2" s="3" t="s">
        <v>122</v>
      </c>
      <c r="DU2" s="3" t="s">
        <v>123</v>
      </c>
      <c r="DV2" s="3" t="s">
        <v>124</v>
      </c>
      <c r="DW2" s="3" t="s">
        <v>125</v>
      </c>
      <c r="DX2" s="3" t="s">
        <v>126</v>
      </c>
      <c r="DY2" s="3" t="s">
        <v>127</v>
      </c>
      <c r="DZ2" s="3" t="s">
        <v>128</v>
      </c>
      <c r="EA2" s="3" t="s">
        <v>129</v>
      </c>
      <c r="EB2" s="3" t="s">
        <v>130</v>
      </c>
      <c r="EC2" s="3" t="s">
        <v>131</v>
      </c>
      <c r="ED2" s="3" t="s">
        <v>132</v>
      </c>
      <c r="EE2" s="3" t="s">
        <v>133</v>
      </c>
      <c r="EF2" s="3" t="s">
        <v>134</v>
      </c>
    </row>
    <row r="3" spans="1:139">
      <c r="A3" s="1"/>
      <c r="B3" s="2" t="s">
        <v>135</v>
      </c>
      <c r="C3" s="12">
        <v>-7.7981240861112869E-2</v>
      </c>
      <c r="D3" s="12">
        <v>-9.1720816001217079E-2</v>
      </c>
      <c r="E3" s="12">
        <v>-5.2859258612292397E-2</v>
      </c>
      <c r="F3" s="12">
        <v>-0.1154504478657486</v>
      </c>
      <c r="G3" s="12">
        <v>-8.3443116291576969E-2</v>
      </c>
      <c r="H3" s="12">
        <v>-2.6287928720926321E-3</v>
      </c>
      <c r="I3" s="12">
        <v>-9.17061944524626E-2</v>
      </c>
      <c r="J3" s="12">
        <v>-5.6085756879479871E-2</v>
      </c>
      <c r="K3" s="12">
        <v>-0.1008329194598508</v>
      </c>
      <c r="L3" s="12">
        <v>-0.10378006478536519</v>
      </c>
      <c r="M3" s="12">
        <v>5.5829241941196268E-2</v>
      </c>
      <c r="N3" s="12">
        <v>-0.1158619637464291</v>
      </c>
      <c r="O3" s="12">
        <v>-5.8513967337472099E-2</v>
      </c>
      <c r="P3" s="12">
        <v>-6.0458244885088289E-2</v>
      </c>
      <c r="Q3" s="12">
        <v>-5.3239297079499662E-2</v>
      </c>
      <c r="R3" s="12">
        <v>-0.1169489926289226</v>
      </c>
      <c r="S3" s="12">
        <v>-0.17262516521577451</v>
      </c>
      <c r="T3" s="12">
        <v>-3.5612527967292071E-2</v>
      </c>
      <c r="U3" s="12">
        <v>-0.1047373820130289</v>
      </c>
      <c r="V3" s="12">
        <v>5.4728173269898657E-2</v>
      </c>
      <c r="W3" s="12">
        <v>0.1104845400782864</v>
      </c>
      <c r="X3" s="12">
        <v>7.7152949246108812E-2</v>
      </c>
      <c r="Y3" s="12">
        <v>-2.1197940496231121E-2</v>
      </c>
      <c r="Z3" s="12">
        <v>-1.220412867494485E-2</v>
      </c>
      <c r="AA3" s="12">
        <v>5.8940158702571167E-2</v>
      </c>
      <c r="AB3" s="12">
        <v>1.704920567122593E-2</v>
      </c>
      <c r="AC3" s="12">
        <v>-2.8623729777447999E-2</v>
      </c>
      <c r="AD3" s="12">
        <v>3.8597994743491432E-2</v>
      </c>
      <c r="AE3" s="12">
        <v>4.5421821361275698E-2</v>
      </c>
      <c r="AF3" s="12">
        <v>-7.0671769100140664E-3</v>
      </c>
      <c r="AG3" s="12">
        <v>-8.8710520129031845E-3</v>
      </c>
      <c r="AH3" s="12">
        <v>0.1009192396033949</v>
      </c>
      <c r="AI3" s="12">
        <v>5.2187010509938972E-2</v>
      </c>
      <c r="AJ3" s="12">
        <v>0.1019691755674634</v>
      </c>
      <c r="AK3" s="12">
        <v>0.13211315672161919</v>
      </c>
      <c r="AL3" s="12">
        <v>8.0841310267837335E-2</v>
      </c>
      <c r="AM3" s="12">
        <v>6.6073941505882944E-2</v>
      </c>
      <c r="AN3" s="12">
        <v>4.5849550313755157E-2</v>
      </c>
      <c r="AO3" s="12">
        <v>0.1344236211085432</v>
      </c>
      <c r="AP3" s="12">
        <v>-5.4866828387549187E-2</v>
      </c>
      <c r="AQ3" s="12">
        <v>4.8332448898150193E-2</v>
      </c>
      <c r="AR3" s="12">
        <v>5.4465942771725943E-2</v>
      </c>
      <c r="AS3" s="12">
        <v>6.0627286759379943E-2</v>
      </c>
      <c r="AT3" s="12">
        <v>2.2903338702745881E-2</v>
      </c>
      <c r="AU3" s="12">
        <v>2.878024844402479E-2</v>
      </c>
      <c r="AV3" s="12">
        <v>-1.129205212894535E-2</v>
      </c>
      <c r="AW3" s="12">
        <v>6.7409820754134268E-3</v>
      </c>
      <c r="AX3" s="12">
        <v>6.9445703072046949E-2</v>
      </c>
      <c r="AY3" s="12">
        <v>7.2293980578513314E-2</v>
      </c>
      <c r="AZ3" s="12">
        <v>5.6782553627262748E-2</v>
      </c>
      <c r="BA3" s="12">
        <v>5.6751851388712939E-3</v>
      </c>
      <c r="BB3" s="12">
        <v>7.2435676593229636E-2</v>
      </c>
      <c r="BC3" s="12">
        <v>2.4104231358940049E-3</v>
      </c>
      <c r="BD3" s="12">
        <v>4.4457778288968727E-2</v>
      </c>
      <c r="BE3" s="12">
        <v>0.15640720996344051</v>
      </c>
      <c r="BF3" s="12">
        <v>8.961422115098705E-2</v>
      </c>
      <c r="BG3" s="12">
        <v>-4.5499959267627739E-2</v>
      </c>
      <c r="BH3" s="12">
        <v>1.473996831732775E-2</v>
      </c>
      <c r="BI3" s="12">
        <v>1.1467767379862339E-3</v>
      </c>
      <c r="BJ3" s="12">
        <v>3.82060916655452E-2</v>
      </c>
      <c r="BK3" s="12">
        <v>6.9204193024136371E-2</v>
      </c>
      <c r="BL3" s="12">
        <v>0.14599637517714301</v>
      </c>
      <c r="BM3" s="12">
        <v>7.7671454044817706E-2</v>
      </c>
      <c r="BN3" s="12">
        <v>-1.4934546848394969E-3</v>
      </c>
      <c r="BO3" s="12">
        <v>0.15075036572727429</v>
      </c>
      <c r="BP3" s="12">
        <v>0.1068808738908148</v>
      </c>
      <c r="BQ3" s="12">
        <v>1.221444016343416E-2</v>
      </c>
      <c r="BR3" s="12">
        <v>3.2309492446798579E-2</v>
      </c>
      <c r="BS3" s="12">
        <v>7.5715218722114425E-2</v>
      </c>
      <c r="BT3" s="12">
        <v>0.1476948601503042</v>
      </c>
      <c r="BU3" s="12">
        <v>1.817214867790248E-2</v>
      </c>
      <c r="BV3" s="12">
        <v>6.6489869867815826E-2</v>
      </c>
      <c r="BW3" s="12">
        <v>3.8195592237729163E-2</v>
      </c>
      <c r="BX3" s="12">
        <v>4.7621234363544103E-2</v>
      </c>
      <c r="BY3" s="12">
        <v>3.3277385006537187E-2</v>
      </c>
      <c r="BZ3" s="12">
        <v>-6.0454023977282903E-2</v>
      </c>
      <c r="CA3" s="12">
        <v>5.2148142226918692E-4</v>
      </c>
      <c r="CB3" s="12">
        <v>2.326190927136889E-2</v>
      </c>
      <c r="CC3" s="12">
        <v>-2.6286266288861861E-2</v>
      </c>
      <c r="CD3" s="12">
        <v>5.2057462476054299E-2</v>
      </c>
      <c r="CE3" s="12">
        <v>-0.1062476229187161</v>
      </c>
      <c r="CF3" s="12">
        <v>-0.1195660454549131</v>
      </c>
      <c r="CG3" s="12">
        <v>-1.0499463273261581E-2</v>
      </c>
      <c r="CH3" s="12">
        <v>-2.3835366421230391E-2</v>
      </c>
      <c r="CI3" s="12">
        <v>-4.3365220517483233E-3</v>
      </c>
      <c r="CJ3" s="12">
        <v>5.8870363779287586E-3</v>
      </c>
      <c r="CK3" s="12">
        <v>2.2369140646099479E-2</v>
      </c>
      <c r="CL3" s="12">
        <v>-8.2212452947380901E-2</v>
      </c>
      <c r="CM3" s="12">
        <v>-0.12682704685249099</v>
      </c>
      <c r="CN3" s="12">
        <v>-8.4592786355010396E-3</v>
      </c>
      <c r="CO3" s="12">
        <v>-0.13500465547665971</v>
      </c>
      <c r="CP3" s="12">
        <v>1.33854440155954E-2</v>
      </c>
      <c r="CQ3" s="12">
        <v>-5.12789058806579E-2</v>
      </c>
      <c r="CR3" s="12">
        <v>-9.4660334746213826E-2</v>
      </c>
      <c r="CS3" s="12">
        <v>-7.7501744984071919E-2</v>
      </c>
      <c r="CT3" s="12">
        <v>6.3427668130038306E-2</v>
      </c>
      <c r="CU3" s="12">
        <v>-0.10211731197922071</v>
      </c>
      <c r="CV3" s="12">
        <v>-0.1210008636864883</v>
      </c>
      <c r="CW3" s="12">
        <v>-8.3771057290789874E-2</v>
      </c>
      <c r="CX3" s="12">
        <v>-0.108143131485795</v>
      </c>
      <c r="CY3" s="12">
        <v>-4.0161757016129222E-2</v>
      </c>
      <c r="CZ3" s="12">
        <v>-1.5386044424255171E-3</v>
      </c>
      <c r="DA3" s="12">
        <v>-7.7524493053387863E-2</v>
      </c>
      <c r="DB3" s="12">
        <v>-7.879063134946046E-3</v>
      </c>
      <c r="DC3" s="12">
        <v>-2.6882932084816711E-2</v>
      </c>
      <c r="DD3" s="12">
        <v>6.9093120815518799E-2</v>
      </c>
      <c r="DE3" s="12">
        <v>-4.3347804073038947E-2</v>
      </c>
      <c r="DF3" s="12">
        <v>5.87554125627009E-2</v>
      </c>
      <c r="DG3" s="12">
        <v>6.4753773039743015E-2</v>
      </c>
      <c r="DH3" s="12">
        <v>-1.287213930098646E-3</v>
      </c>
      <c r="DI3" s="12">
        <v>2.1640077633277799E-2</v>
      </c>
      <c r="DJ3" s="12">
        <v>-4.5030711038867167E-2</v>
      </c>
      <c r="DK3" s="12">
        <v>-1.3122204761795811E-2</v>
      </c>
      <c r="DL3" s="12">
        <v>-6.044882202770601E-2</v>
      </c>
      <c r="DM3" s="12">
        <v>-1.0592752749389599E-2</v>
      </c>
      <c r="DN3" s="12">
        <v>7.7435014643364664E-2</v>
      </c>
      <c r="DO3" s="12">
        <v>-5.4992856655808733E-2</v>
      </c>
      <c r="DP3" s="12">
        <v>7.556841599905624E-2</v>
      </c>
      <c r="DQ3" s="12">
        <v>4.187756543775777E-3</v>
      </c>
      <c r="DR3" s="12">
        <v>-5.5104292662403291E-2</v>
      </c>
      <c r="DS3" s="12">
        <v>0.10263669436748039</v>
      </c>
      <c r="DT3" s="12">
        <v>-4.0717186288007967E-2</v>
      </c>
      <c r="DU3" s="12">
        <v>7.639250584652096E-3</v>
      </c>
      <c r="DV3" s="12">
        <v>-6.6126173971523872E-2</v>
      </c>
      <c r="DW3" s="12">
        <v>7.8117337673435386E-2</v>
      </c>
      <c r="DX3" s="12">
        <v>1.6019937584861629E-2</v>
      </c>
      <c r="DY3" s="12">
        <v>1.4410244062000451E-2</v>
      </c>
      <c r="DZ3" s="12">
        <v>-0.1079887966876449</v>
      </c>
      <c r="EA3" s="12">
        <v>1.1807195335730179E-2</v>
      </c>
      <c r="EB3" s="12">
        <v>6.3675145630864198E-3</v>
      </c>
      <c r="EC3" s="12">
        <v>0.1146690600079793</v>
      </c>
      <c r="ED3" s="12">
        <v>-0.13301760440885349</v>
      </c>
      <c r="EE3" s="12">
        <v>-8.3212161647068517E-2</v>
      </c>
      <c r="EF3" s="12">
        <v>-7.4711540898400819E-2</v>
      </c>
    </row>
    <row r="4" spans="1:139">
      <c r="A4" s="1"/>
      <c r="B4" s="2" t="s">
        <v>136</v>
      </c>
      <c r="C4" s="12">
        <v>-7.4711540898400819E-2</v>
      </c>
      <c r="D4" s="12">
        <v>-7.4711540898400819E-2</v>
      </c>
      <c r="E4" s="12">
        <v>-7.4711540898400819E-2</v>
      </c>
      <c r="F4" s="12">
        <v>-7.4711540898400819E-2</v>
      </c>
      <c r="G4" s="12">
        <v>-7.4711540898400819E-2</v>
      </c>
      <c r="H4" s="12">
        <v>-7.4711540898400819E-2</v>
      </c>
      <c r="I4" s="12">
        <v>-7.4711540898400819E-2</v>
      </c>
      <c r="J4" s="12">
        <v>-7.4711540898400819E-2</v>
      </c>
      <c r="K4" s="12">
        <v>-7.4711540898400819E-2</v>
      </c>
      <c r="L4" s="12">
        <v>-7.4711540898400819E-2</v>
      </c>
      <c r="M4" s="12">
        <v>-7.4711540898400819E-2</v>
      </c>
      <c r="N4" s="12">
        <v>-7.4711540898400819E-2</v>
      </c>
      <c r="O4" s="12">
        <v>-7.4711540898400819E-2</v>
      </c>
      <c r="P4" s="12">
        <v>-7.4711540898400819E-2</v>
      </c>
      <c r="Q4" s="12">
        <v>-7.4711540898400819E-2</v>
      </c>
      <c r="R4" s="12">
        <v>-7.4711540898400819E-2</v>
      </c>
      <c r="S4" s="12">
        <v>-7.4711540898400819E-2</v>
      </c>
      <c r="T4" s="12">
        <v>-7.4711540898400819E-2</v>
      </c>
      <c r="U4" s="12">
        <v>-7.4711540898400819E-2</v>
      </c>
      <c r="V4" s="12">
        <v>-7.4711540898400819E-2</v>
      </c>
      <c r="W4" s="12">
        <v>-7.4711540898400819E-2</v>
      </c>
      <c r="X4" s="12">
        <v>-7.4711540898400819E-2</v>
      </c>
      <c r="Y4" s="12">
        <v>-7.4711540898400819E-2</v>
      </c>
      <c r="Z4" s="12">
        <v>-7.4711540898400819E-2</v>
      </c>
      <c r="AA4" s="12">
        <v>-7.4711540898400819E-2</v>
      </c>
      <c r="AB4" s="12">
        <v>-7.4711540898400819E-2</v>
      </c>
      <c r="AC4" s="12">
        <v>-7.4711540898400819E-2</v>
      </c>
      <c r="AD4" s="12">
        <v>-7.4711540898400819E-2</v>
      </c>
      <c r="AE4" s="12">
        <v>-7.4711540898400819E-2</v>
      </c>
      <c r="AF4" s="12">
        <v>-7.4711540898400819E-2</v>
      </c>
      <c r="AG4" s="12">
        <v>-7.4711540898400819E-2</v>
      </c>
      <c r="AH4" s="12">
        <v>-7.4711540898400819E-2</v>
      </c>
      <c r="AI4" s="12">
        <v>-7.4711540898400819E-2</v>
      </c>
      <c r="AJ4" s="12">
        <v>-7.4711540898400819E-2</v>
      </c>
      <c r="AK4" s="12">
        <v>-7.4711540898400819E-2</v>
      </c>
      <c r="AL4" s="12">
        <v>-7.4711540898400819E-2</v>
      </c>
      <c r="AM4" s="12">
        <v>-7.4711540898400819E-2</v>
      </c>
      <c r="AN4" s="12">
        <v>-7.4711540898400819E-2</v>
      </c>
      <c r="AO4" s="12">
        <v>-7.4711540898400819E-2</v>
      </c>
      <c r="AP4" s="12">
        <v>-7.4711540898400819E-2</v>
      </c>
      <c r="AQ4" s="12">
        <v>-7.4711540898400819E-2</v>
      </c>
      <c r="AR4" s="12">
        <v>-7.4711540898400819E-2</v>
      </c>
      <c r="AS4" s="12">
        <v>-7.4711540898400819E-2</v>
      </c>
      <c r="AT4" s="12">
        <v>-7.4711540898400819E-2</v>
      </c>
      <c r="AU4" s="12">
        <v>-7.4711540898400819E-2</v>
      </c>
      <c r="AV4" s="12">
        <v>-7.4711540898400819E-2</v>
      </c>
      <c r="AW4" s="12">
        <v>-7.4711540898400819E-2</v>
      </c>
      <c r="AX4" s="12">
        <v>-7.4711540898400819E-2</v>
      </c>
      <c r="AY4" s="12">
        <v>-7.4711540898400819E-2</v>
      </c>
      <c r="AZ4" s="12">
        <v>-7.4711540898400819E-2</v>
      </c>
      <c r="BA4" s="12">
        <v>-7.4711540898400819E-2</v>
      </c>
      <c r="BB4" s="12">
        <v>-7.4711540898400819E-2</v>
      </c>
      <c r="BC4" s="12">
        <v>-7.4711540898400819E-2</v>
      </c>
      <c r="BD4" s="12">
        <v>-7.4711540898400819E-2</v>
      </c>
      <c r="BE4" s="12">
        <v>-7.4711540898400819E-2</v>
      </c>
      <c r="BF4" s="12">
        <v>-7.4711540898400819E-2</v>
      </c>
      <c r="BG4" s="12">
        <v>-7.4711540898400819E-2</v>
      </c>
      <c r="BH4" s="12">
        <v>-7.4711540898400819E-2</v>
      </c>
      <c r="BI4" s="12">
        <v>-7.4711540898400819E-2</v>
      </c>
      <c r="BJ4" s="12">
        <v>-7.4711540898400819E-2</v>
      </c>
      <c r="BK4" s="12">
        <v>-7.4711540898400819E-2</v>
      </c>
      <c r="BL4" s="12">
        <v>-7.4711540898400819E-2</v>
      </c>
      <c r="BM4" s="12">
        <v>-7.4711540898400819E-2</v>
      </c>
      <c r="BN4" s="12">
        <v>-7.4711540898400819E-2</v>
      </c>
      <c r="BO4" s="12">
        <v>-7.4711540898400819E-2</v>
      </c>
      <c r="BP4" s="12">
        <v>-7.4711540898400819E-2</v>
      </c>
      <c r="BQ4" s="12">
        <v>-7.4711540898400819E-2</v>
      </c>
      <c r="BR4" s="12">
        <v>-7.4711540898400819E-2</v>
      </c>
      <c r="BS4" s="12">
        <v>-7.4711540898400819E-2</v>
      </c>
      <c r="BT4" s="12">
        <v>-7.4711540898400819E-2</v>
      </c>
      <c r="BU4" s="12">
        <v>-7.4711540898400819E-2</v>
      </c>
      <c r="BV4" s="12">
        <v>-7.4711540898400819E-2</v>
      </c>
      <c r="BW4" s="12">
        <v>-7.4711540898400819E-2</v>
      </c>
      <c r="BX4" s="12">
        <v>-7.4711540898400819E-2</v>
      </c>
      <c r="BY4" s="12">
        <v>-7.4711540898400819E-2</v>
      </c>
      <c r="BZ4" s="12">
        <v>-7.4711540898400819E-2</v>
      </c>
      <c r="CA4" s="12">
        <v>-7.4711540898400819E-2</v>
      </c>
      <c r="CB4" s="12">
        <v>-7.4711540898400819E-2</v>
      </c>
      <c r="CC4" s="12">
        <v>-7.4711540898400819E-2</v>
      </c>
      <c r="CD4" s="12">
        <v>-7.4711540898400819E-2</v>
      </c>
      <c r="CE4" s="12">
        <v>-7.4711540898400819E-2</v>
      </c>
      <c r="CF4" s="12">
        <v>-7.4711540898400819E-2</v>
      </c>
      <c r="CG4" s="12">
        <v>-7.4711540898400819E-2</v>
      </c>
      <c r="CH4" s="12">
        <v>-7.4711540898400819E-2</v>
      </c>
      <c r="CI4" s="12">
        <v>-7.4711540898400819E-2</v>
      </c>
      <c r="CJ4" s="12">
        <v>-7.4711540898400819E-2</v>
      </c>
      <c r="CK4" s="12">
        <v>-7.4711540898400819E-2</v>
      </c>
      <c r="CL4" s="12">
        <v>-7.4711540898400819E-2</v>
      </c>
      <c r="CM4" s="12">
        <v>-7.4711540898400819E-2</v>
      </c>
      <c r="CN4" s="12">
        <v>-7.4711540898400819E-2</v>
      </c>
      <c r="CO4" s="12">
        <v>-7.4711540898400819E-2</v>
      </c>
      <c r="CP4" s="12">
        <v>-7.4711540898400819E-2</v>
      </c>
      <c r="CQ4" s="12">
        <v>-7.4711540898400819E-2</v>
      </c>
      <c r="CR4" s="12">
        <v>-7.4711540898400819E-2</v>
      </c>
      <c r="CS4" s="12">
        <v>-7.4711540898400819E-2</v>
      </c>
      <c r="CT4" s="12">
        <v>-7.4711540898400819E-2</v>
      </c>
      <c r="CU4" s="12">
        <v>-7.4711540898400819E-2</v>
      </c>
      <c r="CV4" s="12">
        <v>-7.4711540898400819E-2</v>
      </c>
      <c r="CW4" s="12">
        <v>-7.4711540898400819E-2</v>
      </c>
      <c r="CX4" s="12">
        <v>-7.4711540898400819E-2</v>
      </c>
      <c r="CY4" s="12">
        <v>-7.4711540898400819E-2</v>
      </c>
      <c r="CZ4" s="12">
        <v>-7.4711540898400819E-2</v>
      </c>
      <c r="DA4" s="12">
        <v>-7.4711540898400819E-2</v>
      </c>
      <c r="DB4" s="12">
        <v>-7.4711540898400819E-2</v>
      </c>
      <c r="DC4" s="12">
        <v>-7.4711540898400819E-2</v>
      </c>
      <c r="DD4" s="12">
        <v>-7.4711540898400819E-2</v>
      </c>
      <c r="DE4" s="12">
        <v>-7.4711540898400819E-2</v>
      </c>
      <c r="DF4" s="12">
        <v>-7.4711540898400819E-2</v>
      </c>
      <c r="DG4" s="12">
        <v>-7.4711540898400819E-2</v>
      </c>
      <c r="DH4" s="12">
        <v>-7.4711540898400819E-2</v>
      </c>
      <c r="DI4" s="12">
        <v>-7.4711540898400819E-2</v>
      </c>
      <c r="DJ4" s="12">
        <v>-7.4711540898400819E-2</v>
      </c>
      <c r="DK4" s="12">
        <v>-7.4711540898400819E-2</v>
      </c>
      <c r="DL4" s="12">
        <v>-7.4711540898400819E-2</v>
      </c>
      <c r="DM4" s="12">
        <v>-7.4711540898400819E-2</v>
      </c>
      <c r="DN4" s="12">
        <v>-7.4711540898400819E-2</v>
      </c>
      <c r="DO4" s="12">
        <v>-7.4711540898400819E-2</v>
      </c>
      <c r="DP4" s="12">
        <v>-7.4711540898400819E-2</v>
      </c>
      <c r="DQ4" s="12">
        <v>-7.4711540898400819E-2</v>
      </c>
      <c r="DR4" s="12">
        <v>-7.4711540898400819E-2</v>
      </c>
      <c r="DS4" s="12">
        <v>-7.4711540898400819E-2</v>
      </c>
      <c r="DT4" s="12">
        <v>-7.4711540898400819E-2</v>
      </c>
      <c r="DU4" s="12">
        <v>-7.4711540898400819E-2</v>
      </c>
      <c r="DV4" s="12">
        <v>-7.4711540898400819E-2</v>
      </c>
      <c r="DW4" s="12">
        <v>-7.4711540898400819E-2</v>
      </c>
      <c r="DX4" s="12">
        <v>-7.4711540898400819E-2</v>
      </c>
      <c r="DY4" s="12">
        <v>-7.4711540898400819E-2</v>
      </c>
      <c r="DZ4" s="12">
        <v>-7.4711540898400819E-2</v>
      </c>
      <c r="EA4" s="12">
        <v>-7.4711540898400819E-2</v>
      </c>
      <c r="EB4" s="12">
        <v>-7.4711540898400819E-2</v>
      </c>
      <c r="EC4" s="12">
        <v>-7.4711540898400819E-2</v>
      </c>
      <c r="ED4" s="12">
        <v>-7.4711540898400819E-2</v>
      </c>
      <c r="EE4" s="12">
        <v>-7.4711540898400819E-2</v>
      </c>
      <c r="EF4" s="12">
        <v>-7.4711540898400819E-2</v>
      </c>
    </row>
    <row r="5" spans="1:139">
      <c r="A5" s="1"/>
      <c r="B5" s="2" t="s">
        <v>137</v>
      </c>
      <c r="C5" s="12">
        <v>-7.4711540898400819E-2</v>
      </c>
      <c r="D5" s="12">
        <v>-7.4711540898400819E-2</v>
      </c>
      <c r="E5" s="12">
        <v>-7.4711540898400819E-2</v>
      </c>
      <c r="F5" s="12">
        <v>-7.4711540898400819E-2</v>
      </c>
      <c r="G5" s="12">
        <v>-7.4711540898400819E-2</v>
      </c>
      <c r="H5" s="12">
        <v>-7.4711540898400819E-2</v>
      </c>
      <c r="I5" s="12">
        <v>-7.4711540898400819E-2</v>
      </c>
      <c r="J5" s="12">
        <v>-7.4711540898400819E-2</v>
      </c>
      <c r="K5" s="12">
        <v>-7.4711540898400819E-2</v>
      </c>
      <c r="L5" s="12">
        <v>-7.4711540898400819E-2</v>
      </c>
      <c r="M5" s="12">
        <v>-7.4711540898400819E-2</v>
      </c>
      <c r="N5" s="12">
        <v>-7.4711540898400819E-2</v>
      </c>
      <c r="O5" s="12">
        <v>-7.4711540898400819E-2</v>
      </c>
      <c r="P5" s="12">
        <v>-7.4711540898400819E-2</v>
      </c>
      <c r="Q5" s="12">
        <v>-7.4711540898400819E-2</v>
      </c>
      <c r="R5" s="12">
        <v>-7.4711540898400819E-2</v>
      </c>
      <c r="S5" s="12">
        <v>-7.4711540898400819E-2</v>
      </c>
      <c r="T5" s="12">
        <v>-7.4711540898400819E-2</v>
      </c>
      <c r="U5" s="12">
        <v>-7.4711540898400819E-2</v>
      </c>
      <c r="V5" s="12">
        <v>-7.4711540898400819E-2</v>
      </c>
      <c r="W5" s="12">
        <v>-7.4711540898400819E-2</v>
      </c>
      <c r="X5" s="12">
        <v>-7.4711540898400819E-2</v>
      </c>
      <c r="Y5" s="12">
        <v>-7.4711540898400819E-2</v>
      </c>
      <c r="Z5" s="12">
        <v>-7.4711540898400819E-2</v>
      </c>
      <c r="AA5" s="12">
        <v>-7.4711540898400819E-2</v>
      </c>
      <c r="AB5" s="12">
        <v>-7.4711540898400819E-2</v>
      </c>
      <c r="AC5" s="12">
        <v>-7.4711540898400819E-2</v>
      </c>
      <c r="AD5" s="12">
        <v>-7.4711540898400819E-2</v>
      </c>
      <c r="AE5" s="12">
        <v>-7.4711540898400819E-2</v>
      </c>
      <c r="AF5" s="12">
        <v>-7.4711540898400819E-2</v>
      </c>
      <c r="AG5" s="12">
        <v>-7.4711540898400819E-2</v>
      </c>
      <c r="AH5" s="12">
        <v>-7.4711540898400819E-2</v>
      </c>
      <c r="AI5" s="12">
        <v>-7.4711540898400819E-2</v>
      </c>
      <c r="AJ5" s="12">
        <v>-7.4711540898400819E-2</v>
      </c>
      <c r="AK5" s="12">
        <v>-7.4711540898400819E-2</v>
      </c>
      <c r="AL5" s="12">
        <v>-7.4711540898400819E-2</v>
      </c>
      <c r="AM5" s="12">
        <v>-7.4711540898400819E-2</v>
      </c>
      <c r="AN5" s="12">
        <v>-7.4711540898400819E-2</v>
      </c>
      <c r="AO5" s="12">
        <v>-7.4711540898400819E-2</v>
      </c>
      <c r="AP5" s="12">
        <v>-7.4711540898400819E-2</v>
      </c>
      <c r="AQ5" s="12">
        <v>-7.4711540898400819E-2</v>
      </c>
      <c r="AR5" s="12">
        <v>-7.4711540898400819E-2</v>
      </c>
      <c r="AS5" s="12">
        <v>-7.4711540898400819E-2</v>
      </c>
      <c r="AT5" s="12">
        <v>-7.4711540898400819E-2</v>
      </c>
      <c r="AU5" s="12">
        <v>-7.4711540898400819E-2</v>
      </c>
      <c r="AV5" s="12">
        <v>-7.4711540898400819E-2</v>
      </c>
      <c r="AW5" s="12">
        <v>-7.4711540898400819E-2</v>
      </c>
      <c r="AX5" s="12">
        <v>-7.4711540898400819E-2</v>
      </c>
      <c r="AY5" s="12">
        <v>-7.4711540898400819E-2</v>
      </c>
      <c r="AZ5" s="12">
        <v>-7.4711540898400819E-2</v>
      </c>
      <c r="BA5" s="12">
        <v>-7.4711540898400819E-2</v>
      </c>
      <c r="BB5" s="12">
        <v>-7.4711540898400819E-2</v>
      </c>
      <c r="BC5" s="12">
        <v>-7.4711540898400819E-2</v>
      </c>
      <c r="BD5" s="12">
        <v>-7.4711540898400819E-2</v>
      </c>
      <c r="BE5" s="12">
        <v>-7.4711540898400819E-2</v>
      </c>
      <c r="BF5" s="12">
        <v>-7.4711540898400819E-2</v>
      </c>
      <c r="BG5" s="12">
        <v>-7.4711540898400819E-2</v>
      </c>
      <c r="BH5" s="12">
        <v>-7.4711540898400819E-2</v>
      </c>
      <c r="BI5" s="12">
        <v>-7.4711540898400819E-2</v>
      </c>
      <c r="BJ5" s="12">
        <v>-7.4711540898400819E-2</v>
      </c>
      <c r="BK5" s="12">
        <v>-7.4711540898400819E-2</v>
      </c>
      <c r="BL5" s="12">
        <v>-7.4711540898400819E-2</v>
      </c>
      <c r="BM5" s="12">
        <v>-7.4711540898400819E-2</v>
      </c>
      <c r="BN5" s="12">
        <v>-7.4711540898400819E-2</v>
      </c>
      <c r="BO5" s="12">
        <v>-7.4711540898400819E-2</v>
      </c>
      <c r="BP5" s="12">
        <v>-7.4711540898400819E-2</v>
      </c>
      <c r="BQ5" s="12">
        <v>-7.4711540898400819E-2</v>
      </c>
      <c r="BR5" s="12">
        <v>-7.4711540898400819E-2</v>
      </c>
      <c r="BS5" s="12">
        <v>-7.4711540898400819E-2</v>
      </c>
      <c r="BT5" s="12">
        <v>-7.4711540898400819E-2</v>
      </c>
      <c r="BU5" s="12">
        <v>-7.4711540898400819E-2</v>
      </c>
      <c r="BV5" s="12">
        <v>-7.4711540898400819E-2</v>
      </c>
      <c r="BW5" s="12">
        <v>-7.4711540898400819E-2</v>
      </c>
      <c r="BX5" s="12">
        <v>-7.4711540898400819E-2</v>
      </c>
      <c r="BY5" s="12">
        <v>-7.4711540898400819E-2</v>
      </c>
      <c r="BZ5" s="12">
        <v>-7.4711540898400819E-2</v>
      </c>
      <c r="CA5" s="12">
        <v>-7.4711540898400819E-2</v>
      </c>
      <c r="CB5" s="12">
        <v>-7.4711540898400819E-2</v>
      </c>
      <c r="CC5" s="12">
        <v>-7.4711540898400819E-2</v>
      </c>
      <c r="CD5" s="12">
        <v>-7.4711540898400819E-2</v>
      </c>
      <c r="CE5" s="12">
        <v>-7.4711540898400819E-2</v>
      </c>
      <c r="CF5" s="12">
        <v>-7.4711540898400819E-2</v>
      </c>
      <c r="CG5" s="12">
        <v>-7.4711540898400819E-2</v>
      </c>
      <c r="CH5" s="12">
        <v>-7.4711540898400819E-2</v>
      </c>
      <c r="CI5" s="12">
        <v>-7.4711540898400819E-2</v>
      </c>
      <c r="CJ5" s="12">
        <v>-7.4711540898400819E-2</v>
      </c>
      <c r="CK5" s="12">
        <v>-7.4711540898400819E-2</v>
      </c>
      <c r="CL5" s="12">
        <v>-7.4711540898400819E-2</v>
      </c>
      <c r="CM5" s="12">
        <v>-7.4711540898400819E-2</v>
      </c>
      <c r="CN5" s="12">
        <v>-7.4711540898400819E-2</v>
      </c>
      <c r="CO5" s="12">
        <v>-7.4711540898400819E-2</v>
      </c>
      <c r="CP5" s="12">
        <v>-7.4711540898400819E-2</v>
      </c>
      <c r="CQ5" s="12">
        <v>-7.4711540898400819E-2</v>
      </c>
      <c r="CR5" s="12">
        <v>-7.4711540898400819E-2</v>
      </c>
      <c r="CS5" s="12">
        <v>-7.4711540898400819E-2</v>
      </c>
      <c r="CT5" s="12">
        <v>-7.4711540898400819E-2</v>
      </c>
      <c r="CU5" s="12">
        <v>-7.4711540898400819E-2</v>
      </c>
      <c r="CV5" s="12">
        <v>-7.4711540898400819E-2</v>
      </c>
      <c r="CW5" s="12">
        <v>-7.4711540898400819E-2</v>
      </c>
      <c r="CX5" s="12">
        <v>-7.4711540898400819E-2</v>
      </c>
      <c r="CY5" s="12">
        <v>-7.4711540898400819E-2</v>
      </c>
      <c r="CZ5" s="12">
        <v>-7.4711540898400819E-2</v>
      </c>
      <c r="DA5" s="12">
        <v>-7.4711540898400819E-2</v>
      </c>
      <c r="DB5" s="12">
        <v>-7.4711540898400819E-2</v>
      </c>
      <c r="DC5" s="12">
        <v>-7.4711540898400819E-2</v>
      </c>
      <c r="DD5" s="12">
        <v>-7.4711540898400819E-2</v>
      </c>
      <c r="DE5" s="12">
        <v>-7.4711540898400819E-2</v>
      </c>
      <c r="DF5" s="12">
        <v>-7.4711540898400819E-2</v>
      </c>
      <c r="DG5" s="12">
        <v>-7.4711540898400819E-2</v>
      </c>
      <c r="DH5" s="12">
        <v>-7.4711540898400819E-2</v>
      </c>
      <c r="DI5" s="12">
        <v>-7.4711540898400819E-2</v>
      </c>
      <c r="DJ5" s="12">
        <v>-7.4711540898400819E-2</v>
      </c>
      <c r="DK5" s="12">
        <v>-7.4711540898400819E-2</v>
      </c>
      <c r="DL5" s="12">
        <v>-7.4711540898400819E-2</v>
      </c>
      <c r="DM5" s="12">
        <v>-7.4711540898400819E-2</v>
      </c>
      <c r="DN5" s="12">
        <v>-7.4711540898400819E-2</v>
      </c>
      <c r="DO5" s="12">
        <v>-7.4711540898400819E-2</v>
      </c>
      <c r="DP5" s="12">
        <v>-7.4711540898400819E-2</v>
      </c>
      <c r="DQ5" s="12">
        <v>-7.4711540898400819E-2</v>
      </c>
      <c r="DR5" s="12">
        <v>-7.4711540898400819E-2</v>
      </c>
      <c r="DS5" s="12">
        <v>-7.4711540898400819E-2</v>
      </c>
      <c r="DT5" s="12">
        <v>-7.4711540898400819E-2</v>
      </c>
      <c r="DU5" s="12">
        <v>-7.4711540898400819E-2</v>
      </c>
      <c r="DV5" s="12">
        <v>-7.4711540898400819E-2</v>
      </c>
      <c r="DW5" s="12">
        <v>-7.4711540898400819E-2</v>
      </c>
      <c r="DX5" s="12">
        <v>-7.4711540898400819E-2</v>
      </c>
      <c r="DY5" s="12">
        <v>-7.4711540898400819E-2</v>
      </c>
      <c r="DZ5" s="12">
        <v>-7.4711540898400819E-2</v>
      </c>
      <c r="EA5" s="12">
        <v>-7.4711540898400819E-2</v>
      </c>
      <c r="EB5" s="12">
        <v>-7.4711540898400819E-2</v>
      </c>
      <c r="EC5" s="12">
        <v>-7.4711540898400819E-2</v>
      </c>
      <c r="ED5" s="12">
        <v>-7.4711540898400819E-2</v>
      </c>
      <c r="EE5" s="12">
        <v>-7.4711540898400819E-2</v>
      </c>
      <c r="EF5" s="12">
        <v>-7.4711540898400819E-2</v>
      </c>
    </row>
    <row r="6" spans="1:139">
      <c r="A6" s="2" t="s">
        <v>138</v>
      </c>
      <c r="B6" s="1"/>
      <c r="C6" s="12">
        <f t="array" ref="C6">MATCH(MAX(ABS(C3:C5)),ABS(C3:C5),0)</f>
        <v>1</v>
      </c>
      <c r="D6" s="12">
        <f t="array" ref="D6">MATCH(MAX(ABS(D3:D5)),ABS(D3:D5),0)</f>
        <v>1</v>
      </c>
      <c r="E6" s="12">
        <f t="array" ref="E6">MATCH(MAX(ABS(E3:E5)),ABS(E3:E5),0)</f>
        <v>2</v>
      </c>
      <c r="F6" s="12">
        <f t="array" ref="F6">MATCH(MAX(ABS(F3:F5)),ABS(F3:F5),0)</f>
        <v>1</v>
      </c>
      <c r="G6" s="12">
        <f t="array" ref="G6">MATCH(MAX(ABS(G3:G5)),ABS(G3:G5),0)</f>
        <v>1</v>
      </c>
      <c r="H6" s="12">
        <f t="array" ref="H6">MATCH(MAX(ABS(H3:H5)),ABS(H3:H5),0)</f>
        <v>2</v>
      </c>
      <c r="I6" s="12">
        <f t="array" ref="I6">MATCH(MAX(ABS(I3:I5)),ABS(I3:I5),0)</f>
        <v>1</v>
      </c>
      <c r="J6" s="12">
        <f t="array" ref="J6">MATCH(MAX(ABS(J3:J5)),ABS(J3:J5),0)</f>
        <v>2</v>
      </c>
      <c r="K6" s="12">
        <f t="array" ref="K6">MATCH(MAX(ABS(K3:K5)),ABS(K3:K5),0)</f>
        <v>1</v>
      </c>
      <c r="L6" s="12">
        <f t="array" ref="L6">MATCH(MAX(ABS(L3:L5)),ABS(L3:L5),0)</f>
        <v>1</v>
      </c>
      <c r="M6" s="12">
        <f t="array" ref="M6">MATCH(MAX(ABS(M3:M5)),ABS(M3:M5),0)</f>
        <v>2</v>
      </c>
      <c r="N6" s="12">
        <f t="array" ref="N6">MATCH(MAX(ABS(N3:N5)),ABS(N3:N5),0)</f>
        <v>1</v>
      </c>
      <c r="O6" s="12">
        <f t="array" ref="O6">MATCH(MAX(ABS(O3:O5)),ABS(O3:O5),0)</f>
        <v>2</v>
      </c>
      <c r="P6" s="12">
        <f t="array" ref="P6">MATCH(MAX(ABS(P3:P5)),ABS(P3:P5),0)</f>
        <v>2</v>
      </c>
      <c r="Q6" s="12">
        <f t="array" ref="Q6">MATCH(MAX(ABS(Q3:Q5)),ABS(Q3:Q5),0)</f>
        <v>2</v>
      </c>
      <c r="R6" s="12">
        <f t="array" ref="R6">MATCH(MAX(ABS(R3:R5)),ABS(R3:R5),0)</f>
        <v>1</v>
      </c>
      <c r="S6" s="12">
        <f t="array" ref="S6">MATCH(MAX(ABS(S3:S5)),ABS(S3:S5),0)</f>
        <v>1</v>
      </c>
      <c r="T6" s="12">
        <f t="array" ref="T6">MATCH(MAX(ABS(T3:T5)),ABS(T3:T5),0)</f>
        <v>2</v>
      </c>
      <c r="U6" s="12">
        <f t="array" ref="U6">MATCH(MAX(ABS(U3:U5)),ABS(U3:U5),0)</f>
        <v>1</v>
      </c>
      <c r="V6" s="12">
        <f t="array" ref="V6">MATCH(MAX(ABS(V3:V5)),ABS(V3:V5),0)</f>
        <v>2</v>
      </c>
      <c r="W6" s="12">
        <f t="array" ref="W6">MATCH(MAX(ABS(W3:W5)),ABS(W3:W5),0)</f>
        <v>1</v>
      </c>
      <c r="X6" s="12">
        <f t="array" ref="X6">MATCH(MAX(ABS(X3:X5)),ABS(X3:X5),0)</f>
        <v>1</v>
      </c>
      <c r="Y6" s="12">
        <f t="array" ref="Y6">MATCH(MAX(ABS(Y3:Y5)),ABS(Y3:Y5),0)</f>
        <v>2</v>
      </c>
      <c r="Z6" s="12">
        <f t="array" ref="Z6">MATCH(MAX(ABS(Z3:Z5)),ABS(Z3:Z5),0)</f>
        <v>2</v>
      </c>
      <c r="AA6" s="12">
        <f t="array" ref="AA6">MATCH(MAX(ABS(AA3:AA5)),ABS(AA3:AA5),0)</f>
        <v>2</v>
      </c>
      <c r="AB6" s="12">
        <f t="array" ref="AB6">MATCH(MAX(ABS(AB3:AB5)),ABS(AB3:AB5),0)</f>
        <v>2</v>
      </c>
      <c r="AC6" s="12">
        <f t="array" ref="AC6">MATCH(MAX(ABS(AC3:AC5)),ABS(AC3:AC5),0)</f>
        <v>2</v>
      </c>
      <c r="AD6" s="12">
        <f t="array" ref="AD6">MATCH(MAX(ABS(AD3:AD5)),ABS(AD3:AD5),0)</f>
        <v>2</v>
      </c>
      <c r="AE6" s="12">
        <f t="array" ref="AE6">MATCH(MAX(ABS(AE3:AE5)),ABS(AE3:AE5),0)</f>
        <v>2</v>
      </c>
      <c r="AF6" s="12">
        <f t="array" ref="AF6">MATCH(MAX(ABS(AF3:AF5)),ABS(AF3:AF5),0)</f>
        <v>2</v>
      </c>
      <c r="AG6" s="12">
        <f t="array" ref="AG6">MATCH(MAX(ABS(AG3:AG5)),ABS(AG3:AG5),0)</f>
        <v>2</v>
      </c>
      <c r="AH6" s="12">
        <f t="array" ref="AH6">MATCH(MAX(ABS(AH3:AH5)),ABS(AH3:AH5),0)</f>
        <v>1</v>
      </c>
      <c r="AI6" s="12">
        <f t="array" ref="AI6">MATCH(MAX(ABS(AI3:AI5)),ABS(AI3:AI5),0)</f>
        <v>2</v>
      </c>
      <c r="AJ6" s="12">
        <f t="array" ref="AJ6">MATCH(MAX(ABS(AJ3:AJ5)),ABS(AJ3:AJ5),0)</f>
        <v>1</v>
      </c>
      <c r="AK6" s="12">
        <f t="array" ref="AK6">MATCH(MAX(ABS(AK3:AK5)),ABS(AK3:AK5),0)</f>
        <v>1</v>
      </c>
      <c r="AL6" s="12">
        <f t="array" ref="AL6">MATCH(MAX(ABS(AL3:AL5)),ABS(AL3:AL5),0)</f>
        <v>1</v>
      </c>
      <c r="AM6" s="12">
        <f t="array" ref="AM6">MATCH(MAX(ABS(AM3:AM5)),ABS(AM3:AM5),0)</f>
        <v>2</v>
      </c>
      <c r="AN6" s="12">
        <f t="array" ref="AN6">MATCH(MAX(ABS(AN3:AN5)),ABS(AN3:AN5),0)</f>
        <v>2</v>
      </c>
      <c r="AO6" s="12">
        <f t="array" ref="AO6">MATCH(MAX(ABS(AO3:AO5)),ABS(AO3:AO5),0)</f>
        <v>1</v>
      </c>
      <c r="AP6" s="12">
        <f t="array" ref="AP6">MATCH(MAX(ABS(AP3:AP5)),ABS(AP3:AP5),0)</f>
        <v>2</v>
      </c>
      <c r="AQ6" s="12">
        <f t="array" ref="AQ6">MATCH(MAX(ABS(AQ3:AQ5)),ABS(AQ3:AQ5),0)</f>
        <v>2</v>
      </c>
      <c r="AR6" s="12">
        <f t="array" ref="AR6">MATCH(MAX(ABS(AR3:AR5)),ABS(AR3:AR5),0)</f>
        <v>2</v>
      </c>
      <c r="AS6" s="12">
        <f t="array" ref="AS6">MATCH(MAX(ABS(AS3:AS5)),ABS(AS3:AS5),0)</f>
        <v>2</v>
      </c>
      <c r="AT6" s="12">
        <f t="array" ref="AT6">MATCH(MAX(ABS(AT3:AT5)),ABS(AT3:AT5),0)</f>
        <v>2</v>
      </c>
      <c r="AU6" s="12">
        <f t="array" ref="AU6">MATCH(MAX(ABS(AU3:AU5)),ABS(AU3:AU5),0)</f>
        <v>2</v>
      </c>
      <c r="AV6" s="12">
        <f t="array" ref="AV6">MATCH(MAX(ABS(AV3:AV5)),ABS(AV3:AV5),0)</f>
        <v>2</v>
      </c>
      <c r="AW6" s="12">
        <f t="array" ref="AW6">MATCH(MAX(ABS(AW3:AW5)),ABS(AW3:AW5),0)</f>
        <v>2</v>
      </c>
      <c r="AX6" s="12">
        <f t="array" ref="AX6">MATCH(MAX(ABS(AX3:AX5)),ABS(AX3:AX5),0)</f>
        <v>2</v>
      </c>
      <c r="AY6" s="12">
        <f t="array" ref="AY6">MATCH(MAX(ABS(AY3:AY5)),ABS(AY3:AY5),0)</f>
        <v>2</v>
      </c>
      <c r="AZ6" s="12">
        <f t="array" ref="AZ6">MATCH(MAX(ABS(AZ3:AZ5)),ABS(AZ3:AZ5),0)</f>
        <v>2</v>
      </c>
      <c r="BA6" s="12">
        <f t="array" ref="BA6">MATCH(MAX(ABS(BA3:BA5)),ABS(BA3:BA5),0)</f>
        <v>2</v>
      </c>
      <c r="BB6" s="12">
        <f t="array" ref="BB6">MATCH(MAX(ABS(BB3:BB5)),ABS(BB3:BB5),0)</f>
        <v>2</v>
      </c>
      <c r="BC6" s="12">
        <f t="array" ref="BC6">MATCH(MAX(ABS(BC3:BC5)),ABS(BC3:BC5),0)</f>
        <v>2</v>
      </c>
      <c r="BD6" s="12">
        <f t="array" ref="BD6">MATCH(MAX(ABS(BD3:BD5)),ABS(BD3:BD5),0)</f>
        <v>2</v>
      </c>
      <c r="BE6" s="12">
        <f t="array" ref="BE6">MATCH(MAX(ABS(BE3:BE5)),ABS(BE3:BE5),0)</f>
        <v>1</v>
      </c>
      <c r="BF6" s="12">
        <f t="array" ref="BF6">MATCH(MAX(ABS(BF3:BF5)),ABS(BF3:BF5),0)</f>
        <v>1</v>
      </c>
      <c r="BG6" s="12">
        <f t="array" ref="BG6">MATCH(MAX(ABS(BG3:BG5)),ABS(BG3:BG5),0)</f>
        <v>2</v>
      </c>
      <c r="BH6" s="12">
        <f t="array" ref="BH6">MATCH(MAX(ABS(BH3:BH5)),ABS(BH3:BH5),0)</f>
        <v>2</v>
      </c>
      <c r="BI6" s="12">
        <f t="array" ref="BI6">MATCH(MAX(ABS(BI3:BI5)),ABS(BI3:BI5),0)</f>
        <v>2</v>
      </c>
      <c r="BJ6" s="12">
        <f t="array" ref="BJ6">MATCH(MAX(ABS(BJ3:BJ5)),ABS(BJ3:BJ5),0)</f>
        <v>2</v>
      </c>
      <c r="BK6" s="12">
        <f t="array" ref="BK6">MATCH(MAX(ABS(BK3:BK5)),ABS(BK3:BK5),0)</f>
        <v>2</v>
      </c>
      <c r="BL6" s="12">
        <f t="array" ref="BL6">MATCH(MAX(ABS(BL3:BL5)),ABS(BL3:BL5),0)</f>
        <v>1</v>
      </c>
      <c r="BM6" s="12">
        <f t="array" ref="BM6">MATCH(MAX(ABS(BM3:BM5)),ABS(BM3:BM5),0)</f>
        <v>1</v>
      </c>
      <c r="BN6" s="12">
        <f t="array" ref="BN6">MATCH(MAX(ABS(BN3:BN5)),ABS(BN3:BN5),0)</f>
        <v>2</v>
      </c>
      <c r="BO6" s="12">
        <f t="array" ref="BO6">MATCH(MAX(ABS(BO3:BO5)),ABS(BO3:BO5),0)</f>
        <v>1</v>
      </c>
      <c r="BP6" s="12">
        <f t="array" ref="BP6">MATCH(MAX(ABS(BP3:BP5)),ABS(BP3:BP5),0)</f>
        <v>1</v>
      </c>
      <c r="BQ6" s="12">
        <f t="array" ref="BQ6">MATCH(MAX(ABS(BQ3:BQ5)),ABS(BQ3:BQ5),0)</f>
        <v>2</v>
      </c>
      <c r="BR6" s="12">
        <f t="array" ref="BR6">MATCH(MAX(ABS(BR3:BR5)),ABS(BR3:BR5),0)</f>
        <v>2</v>
      </c>
      <c r="BS6" s="12">
        <f t="array" ref="BS6">MATCH(MAX(ABS(BS3:BS5)),ABS(BS3:BS5),0)</f>
        <v>1</v>
      </c>
      <c r="BT6" s="12">
        <f t="array" ref="BT6">MATCH(MAX(ABS(BT3:BT5)),ABS(BT3:BT5),0)</f>
        <v>1</v>
      </c>
      <c r="BU6" s="12">
        <f t="array" ref="BU6">MATCH(MAX(ABS(BU3:BU5)),ABS(BU3:BU5),0)</f>
        <v>2</v>
      </c>
      <c r="BV6" s="12">
        <f t="array" ref="BV6">MATCH(MAX(ABS(BV3:BV5)),ABS(BV3:BV5),0)</f>
        <v>2</v>
      </c>
      <c r="BW6" s="12">
        <f t="array" ref="BW6">MATCH(MAX(ABS(BW3:BW5)),ABS(BW3:BW5),0)</f>
        <v>2</v>
      </c>
      <c r="BX6" s="12">
        <f t="array" ref="BX6">MATCH(MAX(ABS(BX3:BX5)),ABS(BX3:BX5),0)</f>
        <v>2</v>
      </c>
      <c r="BY6" s="12">
        <f t="array" ref="BY6">MATCH(MAX(ABS(BY3:BY5)),ABS(BY3:BY5),0)</f>
        <v>2</v>
      </c>
      <c r="BZ6" s="12">
        <f t="array" ref="BZ6">MATCH(MAX(ABS(BZ3:BZ5)),ABS(BZ3:BZ5),0)</f>
        <v>2</v>
      </c>
      <c r="CA6" s="12">
        <f t="array" ref="CA6">MATCH(MAX(ABS(CA3:CA5)),ABS(CA3:CA5),0)</f>
        <v>2</v>
      </c>
      <c r="CB6" s="12">
        <f t="array" ref="CB6">MATCH(MAX(ABS(CB3:CB5)),ABS(CB3:CB5),0)</f>
        <v>2</v>
      </c>
      <c r="CC6" s="12">
        <f t="array" ref="CC6">MATCH(MAX(ABS(CC3:CC5)),ABS(CC3:CC5),0)</f>
        <v>2</v>
      </c>
      <c r="CD6" s="12">
        <f t="array" ref="CD6">MATCH(MAX(ABS(CD3:CD5)),ABS(CD3:CD5),0)</f>
        <v>2</v>
      </c>
      <c r="CE6" s="12">
        <f t="array" ref="CE6">MATCH(MAX(ABS(CE3:CE5)),ABS(CE3:CE5),0)</f>
        <v>1</v>
      </c>
      <c r="CF6" s="12">
        <f t="array" ref="CF6">MATCH(MAX(ABS(CF3:CF5)),ABS(CF3:CF5),0)</f>
        <v>1</v>
      </c>
      <c r="CG6" s="12">
        <f t="array" ref="CG6">MATCH(MAX(ABS(CG3:CG5)),ABS(CG3:CG5),0)</f>
        <v>2</v>
      </c>
      <c r="CH6" s="12">
        <f t="array" ref="CH6">MATCH(MAX(ABS(CH3:CH5)),ABS(CH3:CH5),0)</f>
        <v>2</v>
      </c>
      <c r="CI6" s="12">
        <f t="array" ref="CI6">MATCH(MAX(ABS(CI3:CI5)),ABS(CI3:CI5),0)</f>
        <v>2</v>
      </c>
      <c r="CJ6" s="12">
        <f t="array" ref="CJ6">MATCH(MAX(ABS(CJ3:CJ5)),ABS(CJ3:CJ5),0)</f>
        <v>2</v>
      </c>
      <c r="CK6" s="12">
        <f t="array" ref="CK6">MATCH(MAX(ABS(CK3:CK5)),ABS(CK3:CK5),0)</f>
        <v>2</v>
      </c>
      <c r="CL6" s="12">
        <f t="array" ref="CL6">MATCH(MAX(ABS(CL3:CL5)),ABS(CL3:CL5),0)</f>
        <v>1</v>
      </c>
      <c r="CM6" s="12">
        <f t="array" ref="CM6">MATCH(MAX(ABS(CM3:CM5)),ABS(CM3:CM5),0)</f>
        <v>1</v>
      </c>
      <c r="CN6" s="12">
        <f t="array" ref="CN6">MATCH(MAX(ABS(CN3:CN5)),ABS(CN3:CN5),0)</f>
        <v>2</v>
      </c>
      <c r="CO6" s="12">
        <f t="array" ref="CO6">MATCH(MAX(ABS(CO3:CO5)),ABS(CO3:CO5),0)</f>
        <v>1</v>
      </c>
      <c r="CP6" s="12">
        <f t="array" ref="CP6">MATCH(MAX(ABS(CP3:CP5)),ABS(CP3:CP5),0)</f>
        <v>2</v>
      </c>
      <c r="CQ6" s="12">
        <f t="array" ref="CQ6">MATCH(MAX(ABS(CQ3:CQ5)),ABS(CQ3:CQ5),0)</f>
        <v>2</v>
      </c>
      <c r="CR6" s="12">
        <f t="array" ref="CR6">MATCH(MAX(ABS(CR3:CR5)),ABS(CR3:CR5),0)</f>
        <v>1</v>
      </c>
      <c r="CS6" s="12">
        <f t="array" ref="CS6">MATCH(MAX(ABS(CS3:CS5)),ABS(CS3:CS5),0)</f>
        <v>1</v>
      </c>
      <c r="CT6" s="12">
        <f t="array" ref="CT6">MATCH(MAX(ABS(CT3:CT5)),ABS(CT3:CT5),0)</f>
        <v>2</v>
      </c>
      <c r="CU6" s="12">
        <f t="array" ref="CU6">MATCH(MAX(ABS(CU3:CU5)),ABS(CU3:CU5),0)</f>
        <v>1</v>
      </c>
      <c r="CV6" s="12">
        <f t="array" ref="CV6">MATCH(MAX(ABS(CV3:CV5)),ABS(CV3:CV5),0)</f>
        <v>1</v>
      </c>
      <c r="CW6" s="12">
        <f t="array" ref="CW6">MATCH(MAX(ABS(CW3:CW5)),ABS(CW3:CW5),0)</f>
        <v>1</v>
      </c>
      <c r="CX6" s="12">
        <f t="array" ref="CX6">MATCH(MAX(ABS(CX3:CX5)),ABS(CX3:CX5),0)</f>
        <v>1</v>
      </c>
      <c r="CY6" s="12">
        <f t="array" ref="CY6">MATCH(MAX(ABS(CY3:CY5)),ABS(CY3:CY5),0)</f>
        <v>2</v>
      </c>
      <c r="CZ6" s="12">
        <f t="array" ref="CZ6">MATCH(MAX(ABS(CZ3:CZ5)),ABS(CZ3:CZ5),0)</f>
        <v>2</v>
      </c>
      <c r="DA6" s="12">
        <f t="array" ref="DA6">MATCH(MAX(ABS(DA3:DA5)),ABS(DA3:DA5),0)</f>
        <v>1</v>
      </c>
      <c r="DB6" s="12">
        <f t="array" ref="DB6">MATCH(MAX(ABS(DB3:DB5)),ABS(DB3:DB5),0)</f>
        <v>2</v>
      </c>
      <c r="DC6" s="12">
        <f t="array" ref="DC6">MATCH(MAX(ABS(DC3:DC5)),ABS(DC3:DC5),0)</f>
        <v>2</v>
      </c>
      <c r="DD6" s="12">
        <f t="array" ref="DD6">MATCH(MAX(ABS(DD3:DD5)),ABS(DD3:DD5),0)</f>
        <v>2</v>
      </c>
      <c r="DE6" s="12">
        <f t="array" ref="DE6">MATCH(MAX(ABS(DE3:DE5)),ABS(DE3:DE5),0)</f>
        <v>2</v>
      </c>
      <c r="DF6" s="12">
        <f t="array" ref="DF6">MATCH(MAX(ABS(DF3:DF5)),ABS(DF3:DF5),0)</f>
        <v>2</v>
      </c>
      <c r="DG6" s="12">
        <f t="array" ref="DG6">MATCH(MAX(ABS(DG3:DG5)),ABS(DG3:DG5),0)</f>
        <v>2</v>
      </c>
      <c r="DH6" s="12">
        <f t="array" ref="DH6">MATCH(MAX(ABS(DH3:DH5)),ABS(DH3:DH5),0)</f>
        <v>2</v>
      </c>
      <c r="DI6" s="12">
        <f t="array" ref="DI6">MATCH(MAX(ABS(DI3:DI5)),ABS(DI3:DI5),0)</f>
        <v>2</v>
      </c>
      <c r="DJ6" s="12">
        <f t="array" ref="DJ6">MATCH(MAX(ABS(DJ3:DJ5)),ABS(DJ3:DJ5),0)</f>
        <v>2</v>
      </c>
      <c r="DK6" s="12">
        <f t="array" ref="DK6">MATCH(MAX(ABS(DK3:DK5)),ABS(DK3:DK5),0)</f>
        <v>2</v>
      </c>
      <c r="DL6" s="12">
        <f t="array" ref="DL6">MATCH(MAX(ABS(DL3:DL5)),ABS(DL3:DL5),0)</f>
        <v>2</v>
      </c>
      <c r="DM6" s="12">
        <f t="array" ref="DM6">MATCH(MAX(ABS(DM3:DM5)),ABS(DM3:DM5),0)</f>
        <v>2</v>
      </c>
      <c r="DN6" s="12">
        <f t="array" ref="DN6">MATCH(MAX(ABS(DN3:DN5)),ABS(DN3:DN5),0)</f>
        <v>1</v>
      </c>
      <c r="DO6" s="12">
        <f t="array" ref="DO6">MATCH(MAX(ABS(DO3:DO5)),ABS(DO3:DO5),0)</f>
        <v>2</v>
      </c>
      <c r="DP6" s="12">
        <f t="array" ref="DP6">MATCH(MAX(ABS(DP3:DP5)),ABS(DP3:DP5),0)</f>
        <v>1</v>
      </c>
      <c r="DQ6" s="12">
        <f t="array" ref="DQ6">MATCH(MAX(ABS(DQ3:DQ5)),ABS(DQ3:DQ5),0)</f>
        <v>2</v>
      </c>
      <c r="DR6" s="12">
        <f t="array" ref="DR6">MATCH(MAX(ABS(DR3:DR5)),ABS(DR3:DR5),0)</f>
        <v>2</v>
      </c>
      <c r="DS6" s="12">
        <f t="array" ref="DS6">MATCH(MAX(ABS(DS3:DS5)),ABS(DS3:DS5),0)</f>
        <v>1</v>
      </c>
      <c r="DT6" s="12">
        <f t="array" ref="DT6">MATCH(MAX(ABS(DT3:DT5)),ABS(DT3:DT5),0)</f>
        <v>2</v>
      </c>
      <c r="DU6" s="12">
        <f t="array" ref="DU6">MATCH(MAX(ABS(DU3:DU5)),ABS(DU3:DU5),0)</f>
        <v>2</v>
      </c>
      <c r="DV6" s="12">
        <f t="array" ref="DV6">MATCH(MAX(ABS(DV3:DV5)),ABS(DV3:DV5),0)</f>
        <v>2</v>
      </c>
      <c r="DW6" s="12">
        <f t="array" ref="DW6">MATCH(MAX(ABS(DW3:DW5)),ABS(DW3:DW5),0)</f>
        <v>1</v>
      </c>
      <c r="DX6" s="12">
        <f t="array" ref="DX6">MATCH(MAX(ABS(DX3:DX5)),ABS(DX3:DX5),0)</f>
        <v>2</v>
      </c>
      <c r="DY6" s="12">
        <f t="array" ref="DY6">MATCH(MAX(ABS(DY3:DY5)),ABS(DY3:DY5),0)</f>
        <v>2</v>
      </c>
      <c r="DZ6" s="12">
        <f t="array" ref="DZ6">MATCH(MAX(ABS(DZ3:DZ5)),ABS(DZ3:DZ5),0)</f>
        <v>1</v>
      </c>
      <c r="EA6" s="12">
        <f t="array" ref="EA6">MATCH(MAX(ABS(EA3:EA5)),ABS(EA3:EA5),0)</f>
        <v>2</v>
      </c>
      <c r="EB6" s="12">
        <f t="array" ref="EB6">MATCH(MAX(ABS(EB3:EB5)),ABS(EB3:EB5),0)</f>
        <v>2</v>
      </c>
      <c r="EC6" s="12">
        <f t="array" ref="EC6">MATCH(MAX(ABS(EC3:EC5)),ABS(EC3:EC5),0)</f>
        <v>1</v>
      </c>
      <c r="ED6" s="12">
        <f t="array" ref="ED6">MATCH(MAX(ABS(ED3:ED5)),ABS(ED3:ED5),0)</f>
        <v>1</v>
      </c>
      <c r="EE6" s="12">
        <f t="array" ref="EE6">MATCH(MAX(ABS(EE3:EE5)),ABS(EE3:EE5),0)</f>
        <v>1</v>
      </c>
      <c r="EF6" s="12">
        <f t="array" ref="EF6">MATCH(MAX(ABS(EF3:EF5)),ABS(EF3:EF5),0)</f>
        <v>1</v>
      </c>
    </row>
    <row r="7" spans="1:139">
      <c r="C7" s="13" t="str">
        <f t="shared" ref="C7:BN7" si="0">IF(C6=1,"bm",IF(C6=2,"size",IF(C6=3,"mom")))</f>
        <v>bm</v>
      </c>
      <c r="D7" s="13" t="str">
        <f t="shared" si="0"/>
        <v>bm</v>
      </c>
      <c r="E7" s="13" t="str">
        <f t="shared" si="0"/>
        <v>size</v>
      </c>
      <c r="F7" s="13" t="str">
        <f t="shared" si="0"/>
        <v>bm</v>
      </c>
      <c r="G7" s="13" t="str">
        <f t="shared" si="0"/>
        <v>bm</v>
      </c>
      <c r="H7" s="13" t="str">
        <f t="shared" si="0"/>
        <v>size</v>
      </c>
      <c r="I7" s="13" t="str">
        <f t="shared" si="0"/>
        <v>bm</v>
      </c>
      <c r="J7" s="13" t="str">
        <f t="shared" si="0"/>
        <v>size</v>
      </c>
      <c r="K7" s="13" t="str">
        <f t="shared" si="0"/>
        <v>bm</v>
      </c>
      <c r="L7" s="13" t="str">
        <f t="shared" si="0"/>
        <v>bm</v>
      </c>
      <c r="M7" s="13" t="str">
        <f t="shared" si="0"/>
        <v>size</v>
      </c>
      <c r="N7" s="13" t="str">
        <f t="shared" si="0"/>
        <v>bm</v>
      </c>
      <c r="O7" s="13" t="str">
        <f t="shared" si="0"/>
        <v>size</v>
      </c>
      <c r="P7" s="13" t="str">
        <f t="shared" si="0"/>
        <v>size</v>
      </c>
      <c r="Q7" s="13" t="str">
        <f t="shared" si="0"/>
        <v>size</v>
      </c>
      <c r="R7" s="13" t="str">
        <f t="shared" si="0"/>
        <v>bm</v>
      </c>
      <c r="S7" s="13" t="str">
        <f t="shared" si="0"/>
        <v>bm</v>
      </c>
      <c r="T7" s="13" t="str">
        <f t="shared" si="0"/>
        <v>size</v>
      </c>
      <c r="U7" s="13" t="str">
        <f t="shared" si="0"/>
        <v>bm</v>
      </c>
      <c r="V7" s="13" t="str">
        <f t="shared" si="0"/>
        <v>size</v>
      </c>
      <c r="W7" s="13" t="str">
        <f t="shared" si="0"/>
        <v>bm</v>
      </c>
      <c r="X7" s="13" t="str">
        <f t="shared" si="0"/>
        <v>bm</v>
      </c>
      <c r="Y7" s="13" t="str">
        <f t="shared" si="0"/>
        <v>size</v>
      </c>
      <c r="Z7" s="13" t="str">
        <f t="shared" si="0"/>
        <v>size</v>
      </c>
      <c r="AA7" s="13" t="str">
        <f t="shared" si="0"/>
        <v>size</v>
      </c>
      <c r="AB7" s="13" t="str">
        <f t="shared" si="0"/>
        <v>size</v>
      </c>
      <c r="AC7" s="13" t="str">
        <f t="shared" si="0"/>
        <v>size</v>
      </c>
      <c r="AD7" s="13" t="str">
        <f t="shared" si="0"/>
        <v>size</v>
      </c>
      <c r="AE7" s="13" t="str">
        <f t="shared" si="0"/>
        <v>size</v>
      </c>
      <c r="AF7" s="13" t="str">
        <f t="shared" si="0"/>
        <v>size</v>
      </c>
      <c r="AG7" s="13" t="str">
        <f t="shared" si="0"/>
        <v>size</v>
      </c>
      <c r="AH7" s="13" t="str">
        <f t="shared" si="0"/>
        <v>bm</v>
      </c>
      <c r="AI7" s="13" t="str">
        <f t="shared" si="0"/>
        <v>size</v>
      </c>
      <c r="AJ7" s="13" t="str">
        <f t="shared" si="0"/>
        <v>bm</v>
      </c>
      <c r="AK7" s="13" t="str">
        <f t="shared" si="0"/>
        <v>bm</v>
      </c>
      <c r="AL7" s="13" t="str">
        <f t="shared" si="0"/>
        <v>bm</v>
      </c>
      <c r="AM7" s="13" t="str">
        <f t="shared" si="0"/>
        <v>size</v>
      </c>
      <c r="AN7" s="13" t="str">
        <f t="shared" si="0"/>
        <v>size</v>
      </c>
      <c r="AO7" s="13" t="str">
        <f t="shared" si="0"/>
        <v>bm</v>
      </c>
      <c r="AP7" s="13" t="str">
        <f t="shared" si="0"/>
        <v>size</v>
      </c>
      <c r="AQ7" s="13" t="str">
        <f t="shared" si="0"/>
        <v>size</v>
      </c>
      <c r="AR7" s="13" t="str">
        <f t="shared" si="0"/>
        <v>size</v>
      </c>
      <c r="AS7" s="13" t="str">
        <f t="shared" si="0"/>
        <v>size</v>
      </c>
      <c r="AT7" s="13" t="str">
        <f t="shared" si="0"/>
        <v>size</v>
      </c>
      <c r="AU7" s="13" t="str">
        <f t="shared" si="0"/>
        <v>size</v>
      </c>
      <c r="AV7" s="13" t="str">
        <f t="shared" si="0"/>
        <v>size</v>
      </c>
      <c r="AW7" s="13" t="str">
        <f t="shared" si="0"/>
        <v>size</v>
      </c>
      <c r="AX7" s="13" t="str">
        <f t="shared" si="0"/>
        <v>size</v>
      </c>
      <c r="AY7" s="13" t="str">
        <f t="shared" si="0"/>
        <v>size</v>
      </c>
      <c r="AZ7" s="13" t="str">
        <f t="shared" si="0"/>
        <v>size</v>
      </c>
      <c r="BA7" s="13" t="str">
        <f t="shared" si="0"/>
        <v>size</v>
      </c>
      <c r="BB7" s="13" t="str">
        <f t="shared" si="0"/>
        <v>size</v>
      </c>
      <c r="BC7" s="13" t="str">
        <f t="shared" si="0"/>
        <v>size</v>
      </c>
      <c r="BD7" s="13" t="str">
        <f t="shared" si="0"/>
        <v>size</v>
      </c>
      <c r="BE7" s="13" t="str">
        <f t="shared" si="0"/>
        <v>bm</v>
      </c>
      <c r="BF7" s="13" t="str">
        <f t="shared" si="0"/>
        <v>bm</v>
      </c>
      <c r="BG7" s="13" t="str">
        <f t="shared" si="0"/>
        <v>size</v>
      </c>
      <c r="BH7" s="13" t="str">
        <f t="shared" si="0"/>
        <v>size</v>
      </c>
      <c r="BI7" s="13" t="str">
        <f t="shared" si="0"/>
        <v>size</v>
      </c>
      <c r="BJ7" s="13" t="str">
        <f t="shared" si="0"/>
        <v>size</v>
      </c>
      <c r="BK7" s="13" t="str">
        <f t="shared" si="0"/>
        <v>size</v>
      </c>
      <c r="BL7" s="13" t="str">
        <f t="shared" si="0"/>
        <v>bm</v>
      </c>
      <c r="BM7" s="13" t="str">
        <f t="shared" si="0"/>
        <v>bm</v>
      </c>
      <c r="BN7" s="13" t="str">
        <f t="shared" si="0"/>
        <v>size</v>
      </c>
      <c r="BO7" s="13" t="str">
        <f t="shared" ref="BO7:DZ7" si="1">IF(BO6=1,"bm",IF(BO6=2,"size",IF(BO6=3,"mom")))</f>
        <v>bm</v>
      </c>
      <c r="BP7" s="13" t="str">
        <f t="shared" si="1"/>
        <v>bm</v>
      </c>
      <c r="BQ7" s="13" t="str">
        <f t="shared" si="1"/>
        <v>size</v>
      </c>
      <c r="BR7" s="13" t="str">
        <f t="shared" si="1"/>
        <v>size</v>
      </c>
      <c r="BS7" s="13" t="str">
        <f t="shared" si="1"/>
        <v>bm</v>
      </c>
      <c r="BT7" s="13" t="str">
        <f t="shared" si="1"/>
        <v>bm</v>
      </c>
      <c r="BU7" s="13" t="str">
        <f t="shared" si="1"/>
        <v>size</v>
      </c>
      <c r="BV7" s="13" t="str">
        <f t="shared" si="1"/>
        <v>size</v>
      </c>
      <c r="BW7" s="13" t="str">
        <f t="shared" si="1"/>
        <v>size</v>
      </c>
      <c r="BX7" s="13" t="str">
        <f t="shared" si="1"/>
        <v>size</v>
      </c>
      <c r="BY7" s="13" t="str">
        <f t="shared" si="1"/>
        <v>size</v>
      </c>
      <c r="BZ7" s="13" t="str">
        <f t="shared" si="1"/>
        <v>size</v>
      </c>
      <c r="CA7" s="13" t="str">
        <f t="shared" si="1"/>
        <v>size</v>
      </c>
      <c r="CB7" s="13" t="str">
        <f t="shared" si="1"/>
        <v>size</v>
      </c>
      <c r="CC7" s="13" t="str">
        <f t="shared" si="1"/>
        <v>size</v>
      </c>
      <c r="CD7" s="13" t="str">
        <f t="shared" si="1"/>
        <v>size</v>
      </c>
      <c r="CE7" s="13" t="str">
        <f t="shared" si="1"/>
        <v>bm</v>
      </c>
      <c r="CF7" s="13" t="str">
        <f t="shared" si="1"/>
        <v>bm</v>
      </c>
      <c r="CG7" s="13" t="str">
        <f t="shared" si="1"/>
        <v>size</v>
      </c>
      <c r="CH7" s="13" t="str">
        <f t="shared" si="1"/>
        <v>size</v>
      </c>
      <c r="CI7" s="13" t="str">
        <f t="shared" si="1"/>
        <v>size</v>
      </c>
      <c r="CJ7" s="13" t="str">
        <f t="shared" si="1"/>
        <v>size</v>
      </c>
      <c r="CK7" s="13" t="str">
        <f t="shared" si="1"/>
        <v>size</v>
      </c>
      <c r="CL7" s="13" t="str">
        <f t="shared" si="1"/>
        <v>bm</v>
      </c>
      <c r="CM7" s="13" t="str">
        <f t="shared" si="1"/>
        <v>bm</v>
      </c>
      <c r="CN7" s="13" t="str">
        <f t="shared" si="1"/>
        <v>size</v>
      </c>
      <c r="CO7" s="13" t="str">
        <f t="shared" si="1"/>
        <v>bm</v>
      </c>
      <c r="CP7" s="13" t="str">
        <f t="shared" si="1"/>
        <v>size</v>
      </c>
      <c r="CQ7" s="13" t="str">
        <f t="shared" si="1"/>
        <v>size</v>
      </c>
      <c r="CR7" s="13" t="str">
        <f t="shared" si="1"/>
        <v>bm</v>
      </c>
      <c r="CS7" s="13" t="str">
        <f t="shared" si="1"/>
        <v>bm</v>
      </c>
      <c r="CT7" s="13" t="str">
        <f t="shared" si="1"/>
        <v>size</v>
      </c>
      <c r="CU7" s="13" t="str">
        <f t="shared" si="1"/>
        <v>bm</v>
      </c>
      <c r="CV7" s="13" t="str">
        <f t="shared" si="1"/>
        <v>bm</v>
      </c>
      <c r="CW7" s="13" t="str">
        <f t="shared" si="1"/>
        <v>bm</v>
      </c>
      <c r="CX7" s="13" t="str">
        <f t="shared" si="1"/>
        <v>bm</v>
      </c>
      <c r="CY7" s="13" t="str">
        <f t="shared" si="1"/>
        <v>size</v>
      </c>
      <c r="CZ7" s="13" t="str">
        <f t="shared" si="1"/>
        <v>size</v>
      </c>
      <c r="DA7" s="13" t="str">
        <f t="shared" si="1"/>
        <v>bm</v>
      </c>
      <c r="DB7" s="13" t="str">
        <f t="shared" si="1"/>
        <v>size</v>
      </c>
      <c r="DC7" s="13" t="str">
        <f t="shared" si="1"/>
        <v>size</v>
      </c>
      <c r="DD7" s="13" t="str">
        <f t="shared" si="1"/>
        <v>size</v>
      </c>
      <c r="DE7" s="13" t="str">
        <f t="shared" si="1"/>
        <v>size</v>
      </c>
      <c r="DF7" s="13" t="str">
        <f t="shared" si="1"/>
        <v>size</v>
      </c>
      <c r="DG7" s="13" t="str">
        <f t="shared" si="1"/>
        <v>size</v>
      </c>
      <c r="DH7" s="13" t="str">
        <f t="shared" si="1"/>
        <v>size</v>
      </c>
      <c r="DI7" s="13" t="str">
        <f t="shared" si="1"/>
        <v>size</v>
      </c>
      <c r="DJ7" s="13" t="str">
        <f t="shared" si="1"/>
        <v>size</v>
      </c>
      <c r="DK7" s="13" t="str">
        <f t="shared" si="1"/>
        <v>size</v>
      </c>
      <c r="DL7" s="13" t="str">
        <f t="shared" si="1"/>
        <v>size</v>
      </c>
      <c r="DM7" s="13" t="str">
        <f t="shared" si="1"/>
        <v>size</v>
      </c>
      <c r="DN7" s="13" t="str">
        <f t="shared" si="1"/>
        <v>bm</v>
      </c>
      <c r="DO7" s="13" t="str">
        <f t="shared" si="1"/>
        <v>size</v>
      </c>
      <c r="DP7" s="13" t="str">
        <f t="shared" si="1"/>
        <v>bm</v>
      </c>
      <c r="DQ7" s="13" t="str">
        <f t="shared" si="1"/>
        <v>size</v>
      </c>
      <c r="DR7" s="13" t="str">
        <f t="shared" si="1"/>
        <v>size</v>
      </c>
      <c r="DS7" s="13" t="str">
        <f t="shared" si="1"/>
        <v>bm</v>
      </c>
      <c r="DT7" s="13" t="str">
        <f t="shared" si="1"/>
        <v>size</v>
      </c>
      <c r="DU7" s="13" t="str">
        <f t="shared" si="1"/>
        <v>size</v>
      </c>
      <c r="DV7" s="13" t="str">
        <f t="shared" si="1"/>
        <v>size</v>
      </c>
      <c r="DW7" s="13" t="str">
        <f t="shared" si="1"/>
        <v>bm</v>
      </c>
      <c r="DX7" s="13" t="str">
        <f t="shared" si="1"/>
        <v>size</v>
      </c>
      <c r="DY7" s="13" t="str">
        <f t="shared" si="1"/>
        <v>size</v>
      </c>
      <c r="DZ7" s="13" t="str">
        <f t="shared" si="1"/>
        <v>bm</v>
      </c>
      <c r="EA7" s="13" t="str">
        <f t="shared" ref="EA7:EF7" si="2">IF(EA6=1,"bm",IF(EA6=2,"size",IF(EA6=3,"mom")))</f>
        <v>size</v>
      </c>
      <c r="EB7" s="13" t="str">
        <f t="shared" si="2"/>
        <v>size</v>
      </c>
      <c r="EC7" s="13" t="str">
        <f t="shared" si="2"/>
        <v>bm</v>
      </c>
      <c r="ED7" s="13" t="str">
        <f t="shared" si="2"/>
        <v>bm</v>
      </c>
      <c r="EE7" s="13" t="str">
        <f t="shared" si="2"/>
        <v>bm</v>
      </c>
      <c r="EF7" s="13" t="str">
        <f t="shared" si="2"/>
        <v>bm</v>
      </c>
    </row>
    <row r="8" spans="1:139">
      <c r="C8" s="12">
        <f t="shared" ref="C8:BN8" si="3">IF(C6=1,C3,IF(C6=2,C4,IF(C6=3,C5)))</f>
        <v>-7.7981240861112869E-2</v>
      </c>
      <c r="D8" s="12">
        <f t="shared" si="3"/>
        <v>-9.1720816001217079E-2</v>
      </c>
      <c r="E8" s="12">
        <f t="shared" si="3"/>
        <v>-7.4711540898400819E-2</v>
      </c>
      <c r="F8" s="12">
        <f t="shared" si="3"/>
        <v>-0.1154504478657486</v>
      </c>
      <c r="G8" s="12">
        <f t="shared" si="3"/>
        <v>-8.3443116291576969E-2</v>
      </c>
      <c r="H8" s="12">
        <f t="shared" si="3"/>
        <v>-7.4711540898400819E-2</v>
      </c>
      <c r="I8" s="12">
        <f t="shared" si="3"/>
        <v>-9.17061944524626E-2</v>
      </c>
      <c r="J8" s="12">
        <f t="shared" si="3"/>
        <v>-7.4711540898400819E-2</v>
      </c>
      <c r="K8" s="12">
        <f t="shared" si="3"/>
        <v>-0.1008329194598508</v>
      </c>
      <c r="L8" s="12">
        <f t="shared" si="3"/>
        <v>-0.10378006478536519</v>
      </c>
      <c r="M8" s="12">
        <f t="shared" si="3"/>
        <v>-7.4711540898400819E-2</v>
      </c>
      <c r="N8" s="12">
        <f t="shared" si="3"/>
        <v>-0.1158619637464291</v>
      </c>
      <c r="O8" s="12">
        <f t="shared" si="3"/>
        <v>-7.4711540898400819E-2</v>
      </c>
      <c r="P8" s="12">
        <f t="shared" si="3"/>
        <v>-7.4711540898400819E-2</v>
      </c>
      <c r="Q8" s="12">
        <f t="shared" si="3"/>
        <v>-7.4711540898400819E-2</v>
      </c>
      <c r="R8" s="12">
        <f t="shared" si="3"/>
        <v>-0.1169489926289226</v>
      </c>
      <c r="S8" s="12">
        <f t="shared" si="3"/>
        <v>-0.17262516521577451</v>
      </c>
      <c r="T8" s="12">
        <f t="shared" si="3"/>
        <v>-7.4711540898400819E-2</v>
      </c>
      <c r="U8" s="12">
        <f t="shared" si="3"/>
        <v>-0.1047373820130289</v>
      </c>
      <c r="V8" s="12">
        <f t="shared" si="3"/>
        <v>-7.4711540898400819E-2</v>
      </c>
      <c r="W8" s="12">
        <f t="shared" si="3"/>
        <v>0.1104845400782864</v>
      </c>
      <c r="X8" s="12">
        <f t="shared" si="3"/>
        <v>7.7152949246108812E-2</v>
      </c>
      <c r="Y8" s="12">
        <f t="shared" si="3"/>
        <v>-7.4711540898400819E-2</v>
      </c>
      <c r="Z8" s="12">
        <f t="shared" si="3"/>
        <v>-7.4711540898400819E-2</v>
      </c>
      <c r="AA8" s="12">
        <f t="shared" si="3"/>
        <v>-7.4711540898400819E-2</v>
      </c>
      <c r="AB8" s="12">
        <f t="shared" si="3"/>
        <v>-7.4711540898400819E-2</v>
      </c>
      <c r="AC8" s="12">
        <f t="shared" si="3"/>
        <v>-7.4711540898400819E-2</v>
      </c>
      <c r="AD8" s="12">
        <f t="shared" si="3"/>
        <v>-7.4711540898400819E-2</v>
      </c>
      <c r="AE8" s="12">
        <f t="shared" si="3"/>
        <v>-7.4711540898400819E-2</v>
      </c>
      <c r="AF8" s="12">
        <f t="shared" si="3"/>
        <v>-7.4711540898400819E-2</v>
      </c>
      <c r="AG8" s="12">
        <f t="shared" si="3"/>
        <v>-7.4711540898400819E-2</v>
      </c>
      <c r="AH8" s="12">
        <f t="shared" si="3"/>
        <v>0.1009192396033949</v>
      </c>
      <c r="AI8" s="12">
        <f t="shared" si="3"/>
        <v>-7.4711540898400819E-2</v>
      </c>
      <c r="AJ8" s="12">
        <f t="shared" si="3"/>
        <v>0.1019691755674634</v>
      </c>
      <c r="AK8" s="12">
        <f t="shared" si="3"/>
        <v>0.13211315672161919</v>
      </c>
      <c r="AL8" s="12">
        <f t="shared" si="3"/>
        <v>8.0841310267837335E-2</v>
      </c>
      <c r="AM8" s="12">
        <f t="shared" si="3"/>
        <v>-7.4711540898400819E-2</v>
      </c>
      <c r="AN8" s="12">
        <f t="shared" si="3"/>
        <v>-7.4711540898400819E-2</v>
      </c>
      <c r="AO8" s="12">
        <f t="shared" si="3"/>
        <v>0.1344236211085432</v>
      </c>
      <c r="AP8" s="12">
        <f t="shared" si="3"/>
        <v>-7.4711540898400819E-2</v>
      </c>
      <c r="AQ8" s="12">
        <f t="shared" si="3"/>
        <v>-7.4711540898400819E-2</v>
      </c>
      <c r="AR8" s="12">
        <f t="shared" si="3"/>
        <v>-7.4711540898400819E-2</v>
      </c>
      <c r="AS8" s="12">
        <f t="shared" si="3"/>
        <v>-7.4711540898400819E-2</v>
      </c>
      <c r="AT8" s="12">
        <f t="shared" si="3"/>
        <v>-7.4711540898400819E-2</v>
      </c>
      <c r="AU8" s="12">
        <f t="shared" si="3"/>
        <v>-7.4711540898400819E-2</v>
      </c>
      <c r="AV8" s="12">
        <f t="shared" si="3"/>
        <v>-7.4711540898400819E-2</v>
      </c>
      <c r="AW8" s="12">
        <f t="shared" si="3"/>
        <v>-7.4711540898400819E-2</v>
      </c>
      <c r="AX8" s="12">
        <f t="shared" si="3"/>
        <v>-7.4711540898400819E-2</v>
      </c>
      <c r="AY8" s="12">
        <f t="shared" si="3"/>
        <v>-7.4711540898400819E-2</v>
      </c>
      <c r="AZ8" s="12">
        <f t="shared" si="3"/>
        <v>-7.4711540898400819E-2</v>
      </c>
      <c r="BA8" s="12">
        <f t="shared" si="3"/>
        <v>-7.4711540898400819E-2</v>
      </c>
      <c r="BB8" s="12">
        <f t="shared" si="3"/>
        <v>-7.4711540898400819E-2</v>
      </c>
      <c r="BC8" s="12">
        <f t="shared" si="3"/>
        <v>-7.4711540898400819E-2</v>
      </c>
      <c r="BD8" s="12">
        <f t="shared" si="3"/>
        <v>-7.4711540898400819E-2</v>
      </c>
      <c r="BE8" s="12">
        <f t="shared" si="3"/>
        <v>0.15640720996344051</v>
      </c>
      <c r="BF8" s="12">
        <f t="shared" si="3"/>
        <v>8.961422115098705E-2</v>
      </c>
      <c r="BG8" s="12">
        <f t="shared" si="3"/>
        <v>-7.4711540898400819E-2</v>
      </c>
      <c r="BH8" s="12">
        <f t="shared" si="3"/>
        <v>-7.4711540898400819E-2</v>
      </c>
      <c r="BI8" s="12">
        <f t="shared" si="3"/>
        <v>-7.4711540898400819E-2</v>
      </c>
      <c r="BJ8" s="12">
        <f t="shared" si="3"/>
        <v>-7.4711540898400819E-2</v>
      </c>
      <c r="BK8" s="12">
        <f t="shared" si="3"/>
        <v>-7.4711540898400819E-2</v>
      </c>
      <c r="BL8" s="12">
        <f t="shared" si="3"/>
        <v>0.14599637517714301</v>
      </c>
      <c r="BM8" s="12">
        <f t="shared" si="3"/>
        <v>7.7671454044817706E-2</v>
      </c>
      <c r="BN8" s="12">
        <f t="shared" si="3"/>
        <v>-7.4711540898400819E-2</v>
      </c>
      <c r="BO8" s="12">
        <f t="shared" ref="BO8:DZ8" si="4">IF(BO6=1,BO3,IF(BO6=2,BO4,IF(BO6=3,BO5)))</f>
        <v>0.15075036572727429</v>
      </c>
      <c r="BP8" s="12">
        <f t="shared" si="4"/>
        <v>0.1068808738908148</v>
      </c>
      <c r="BQ8" s="12">
        <f t="shared" si="4"/>
        <v>-7.4711540898400819E-2</v>
      </c>
      <c r="BR8" s="12">
        <f t="shared" si="4"/>
        <v>-7.4711540898400819E-2</v>
      </c>
      <c r="BS8" s="12">
        <f t="shared" si="4"/>
        <v>7.5715218722114425E-2</v>
      </c>
      <c r="BT8" s="12">
        <f t="shared" si="4"/>
        <v>0.1476948601503042</v>
      </c>
      <c r="BU8" s="12">
        <f t="shared" si="4"/>
        <v>-7.4711540898400819E-2</v>
      </c>
      <c r="BV8" s="12">
        <f t="shared" si="4"/>
        <v>-7.4711540898400819E-2</v>
      </c>
      <c r="BW8" s="12">
        <f t="shared" si="4"/>
        <v>-7.4711540898400819E-2</v>
      </c>
      <c r="BX8" s="12">
        <f t="shared" si="4"/>
        <v>-7.4711540898400819E-2</v>
      </c>
      <c r="BY8" s="12">
        <f t="shared" si="4"/>
        <v>-7.4711540898400819E-2</v>
      </c>
      <c r="BZ8" s="12">
        <f t="shared" si="4"/>
        <v>-7.4711540898400819E-2</v>
      </c>
      <c r="CA8" s="12">
        <f t="shared" si="4"/>
        <v>-7.4711540898400819E-2</v>
      </c>
      <c r="CB8" s="12">
        <f t="shared" si="4"/>
        <v>-7.4711540898400819E-2</v>
      </c>
      <c r="CC8" s="12">
        <f t="shared" si="4"/>
        <v>-7.4711540898400819E-2</v>
      </c>
      <c r="CD8" s="12">
        <f t="shared" si="4"/>
        <v>-7.4711540898400819E-2</v>
      </c>
      <c r="CE8" s="12">
        <f t="shared" si="4"/>
        <v>-0.1062476229187161</v>
      </c>
      <c r="CF8" s="12">
        <f t="shared" si="4"/>
        <v>-0.1195660454549131</v>
      </c>
      <c r="CG8" s="12">
        <f t="shared" si="4"/>
        <v>-7.4711540898400819E-2</v>
      </c>
      <c r="CH8" s="12">
        <f t="shared" si="4"/>
        <v>-7.4711540898400819E-2</v>
      </c>
      <c r="CI8" s="12">
        <f t="shared" si="4"/>
        <v>-7.4711540898400819E-2</v>
      </c>
      <c r="CJ8" s="12">
        <f t="shared" si="4"/>
        <v>-7.4711540898400819E-2</v>
      </c>
      <c r="CK8" s="12">
        <f t="shared" si="4"/>
        <v>-7.4711540898400819E-2</v>
      </c>
      <c r="CL8" s="12">
        <f t="shared" si="4"/>
        <v>-8.2212452947380901E-2</v>
      </c>
      <c r="CM8" s="12">
        <f t="shared" si="4"/>
        <v>-0.12682704685249099</v>
      </c>
      <c r="CN8" s="12">
        <f t="shared" si="4"/>
        <v>-7.4711540898400819E-2</v>
      </c>
      <c r="CO8" s="12">
        <f t="shared" si="4"/>
        <v>-0.13500465547665971</v>
      </c>
      <c r="CP8" s="12">
        <f t="shared" si="4"/>
        <v>-7.4711540898400819E-2</v>
      </c>
      <c r="CQ8" s="12">
        <f t="shared" si="4"/>
        <v>-7.4711540898400819E-2</v>
      </c>
      <c r="CR8" s="12">
        <f t="shared" si="4"/>
        <v>-9.4660334746213826E-2</v>
      </c>
      <c r="CS8" s="12">
        <f t="shared" si="4"/>
        <v>-7.7501744984071919E-2</v>
      </c>
      <c r="CT8" s="12">
        <f t="shared" si="4"/>
        <v>-7.4711540898400819E-2</v>
      </c>
      <c r="CU8" s="12">
        <f t="shared" si="4"/>
        <v>-0.10211731197922071</v>
      </c>
      <c r="CV8" s="12">
        <f t="shared" si="4"/>
        <v>-0.1210008636864883</v>
      </c>
      <c r="CW8" s="12">
        <f t="shared" si="4"/>
        <v>-8.3771057290789874E-2</v>
      </c>
      <c r="CX8" s="12">
        <f t="shared" si="4"/>
        <v>-0.108143131485795</v>
      </c>
      <c r="CY8" s="12">
        <f t="shared" si="4"/>
        <v>-7.4711540898400819E-2</v>
      </c>
      <c r="CZ8" s="12">
        <f t="shared" si="4"/>
        <v>-7.4711540898400819E-2</v>
      </c>
      <c r="DA8" s="12">
        <f t="shared" si="4"/>
        <v>-7.7524493053387863E-2</v>
      </c>
      <c r="DB8" s="12">
        <f t="shared" si="4"/>
        <v>-7.4711540898400819E-2</v>
      </c>
      <c r="DC8" s="12">
        <f t="shared" si="4"/>
        <v>-7.4711540898400819E-2</v>
      </c>
      <c r="DD8" s="12">
        <f t="shared" si="4"/>
        <v>-7.4711540898400819E-2</v>
      </c>
      <c r="DE8" s="12">
        <f t="shared" si="4"/>
        <v>-7.4711540898400819E-2</v>
      </c>
      <c r="DF8" s="12">
        <f t="shared" si="4"/>
        <v>-7.4711540898400819E-2</v>
      </c>
      <c r="DG8" s="12">
        <f t="shared" si="4"/>
        <v>-7.4711540898400819E-2</v>
      </c>
      <c r="DH8" s="12">
        <f t="shared" si="4"/>
        <v>-7.4711540898400819E-2</v>
      </c>
      <c r="DI8" s="12">
        <f t="shared" si="4"/>
        <v>-7.4711540898400819E-2</v>
      </c>
      <c r="DJ8" s="12">
        <f t="shared" si="4"/>
        <v>-7.4711540898400819E-2</v>
      </c>
      <c r="DK8" s="12">
        <f t="shared" si="4"/>
        <v>-7.4711540898400819E-2</v>
      </c>
      <c r="DL8" s="12">
        <f t="shared" si="4"/>
        <v>-7.4711540898400819E-2</v>
      </c>
      <c r="DM8" s="12">
        <f t="shared" si="4"/>
        <v>-7.4711540898400819E-2</v>
      </c>
      <c r="DN8" s="12">
        <f t="shared" si="4"/>
        <v>7.7435014643364664E-2</v>
      </c>
      <c r="DO8" s="12">
        <f t="shared" si="4"/>
        <v>-7.4711540898400819E-2</v>
      </c>
      <c r="DP8" s="12">
        <f t="shared" si="4"/>
        <v>7.556841599905624E-2</v>
      </c>
      <c r="DQ8" s="12">
        <f t="shared" si="4"/>
        <v>-7.4711540898400819E-2</v>
      </c>
      <c r="DR8" s="12">
        <f t="shared" si="4"/>
        <v>-7.4711540898400819E-2</v>
      </c>
      <c r="DS8" s="12">
        <f t="shared" si="4"/>
        <v>0.10263669436748039</v>
      </c>
      <c r="DT8" s="12">
        <f t="shared" si="4"/>
        <v>-7.4711540898400819E-2</v>
      </c>
      <c r="DU8" s="12">
        <f t="shared" si="4"/>
        <v>-7.4711540898400819E-2</v>
      </c>
      <c r="DV8" s="12">
        <f t="shared" si="4"/>
        <v>-7.4711540898400819E-2</v>
      </c>
      <c r="DW8" s="12">
        <f t="shared" si="4"/>
        <v>7.8117337673435386E-2</v>
      </c>
      <c r="DX8" s="12">
        <f t="shared" si="4"/>
        <v>-7.4711540898400819E-2</v>
      </c>
      <c r="DY8" s="12">
        <f t="shared" si="4"/>
        <v>-7.4711540898400819E-2</v>
      </c>
      <c r="DZ8" s="12">
        <f t="shared" si="4"/>
        <v>-0.1079887966876449</v>
      </c>
      <c r="EA8" s="12">
        <f t="shared" ref="EA8:EF8" si="5">IF(EA6=1,EA3,IF(EA6=2,EA4,IF(EA6=3,EA5)))</f>
        <v>-7.4711540898400819E-2</v>
      </c>
      <c r="EB8" s="12">
        <f t="shared" si="5"/>
        <v>-7.4711540898400819E-2</v>
      </c>
      <c r="EC8" s="12">
        <f t="shared" si="5"/>
        <v>0.1146690600079793</v>
      </c>
      <c r="ED8" s="12">
        <f t="shared" si="5"/>
        <v>-0.13301760440885349</v>
      </c>
      <c r="EE8" s="12">
        <f t="shared" si="5"/>
        <v>-8.3212161647068517E-2</v>
      </c>
      <c r="EF8" s="12">
        <f t="shared" si="5"/>
        <v>-7.4711540898400819E-2</v>
      </c>
    </row>
    <row r="10" spans="1:139">
      <c r="A10" t="s">
        <v>139</v>
      </c>
      <c r="C10" t="s">
        <v>140</v>
      </c>
      <c r="D10">
        <v>964</v>
      </c>
    </row>
    <row r="11" spans="1:139">
      <c r="A11" t="s">
        <v>141</v>
      </c>
      <c r="B11" t="s">
        <v>142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J11" t="s">
        <v>9</v>
      </c>
      <c r="K11" t="s">
        <v>10</v>
      </c>
      <c r="L11" t="s">
        <v>11</v>
      </c>
      <c r="M11" t="s">
        <v>12</v>
      </c>
      <c r="N11" t="s">
        <v>13</v>
      </c>
      <c r="O11" t="s">
        <v>14</v>
      </c>
      <c r="P11" t="s">
        <v>15</v>
      </c>
      <c r="Q11" t="s">
        <v>16</v>
      </c>
      <c r="R11" t="s">
        <v>17</v>
      </c>
      <c r="S11" t="s">
        <v>18</v>
      </c>
      <c r="T11" t="s">
        <v>19</v>
      </c>
      <c r="U11" t="s">
        <v>20</v>
      </c>
      <c r="V11" t="s">
        <v>21</v>
      </c>
      <c r="W11" t="s">
        <v>22</v>
      </c>
      <c r="X11" t="s">
        <v>23</v>
      </c>
      <c r="Y11" t="s">
        <v>24</v>
      </c>
      <c r="Z11" t="s">
        <v>25</v>
      </c>
      <c r="AA11" t="s">
        <v>26</v>
      </c>
      <c r="AB11" t="s">
        <v>27</v>
      </c>
      <c r="AC11" t="s">
        <v>28</v>
      </c>
      <c r="AD11" t="s">
        <v>29</v>
      </c>
      <c r="AE11" t="s">
        <v>30</v>
      </c>
      <c r="AF11" t="s">
        <v>31</v>
      </c>
      <c r="AG11" t="s">
        <v>32</v>
      </c>
      <c r="AH11" t="s">
        <v>33</v>
      </c>
      <c r="AI11" t="s">
        <v>34</v>
      </c>
      <c r="AJ11" t="s">
        <v>35</v>
      </c>
      <c r="AK11" t="s">
        <v>36</v>
      </c>
      <c r="AL11" t="s">
        <v>37</v>
      </c>
      <c r="AM11" t="s">
        <v>38</v>
      </c>
      <c r="AN11" t="s">
        <v>39</v>
      </c>
      <c r="AO11" t="s">
        <v>40</v>
      </c>
      <c r="AP11" t="s">
        <v>41</v>
      </c>
      <c r="AQ11" t="s">
        <v>42</v>
      </c>
      <c r="AR11" t="s">
        <v>43</v>
      </c>
      <c r="AS11" t="s">
        <v>44</v>
      </c>
      <c r="AT11" t="s">
        <v>45</v>
      </c>
      <c r="AU11" t="s">
        <v>46</v>
      </c>
      <c r="AV11" t="s">
        <v>47</v>
      </c>
      <c r="AW11" t="s">
        <v>48</v>
      </c>
      <c r="AX11" t="s">
        <v>49</v>
      </c>
      <c r="AY11" t="s">
        <v>50</v>
      </c>
      <c r="AZ11" t="s">
        <v>51</v>
      </c>
      <c r="BA11" t="s">
        <v>52</v>
      </c>
      <c r="BB11" t="s">
        <v>53</v>
      </c>
      <c r="BC11" t="s">
        <v>54</v>
      </c>
      <c r="BD11" t="s">
        <v>55</v>
      </c>
      <c r="BE11" t="s">
        <v>56</v>
      </c>
      <c r="BF11" t="s">
        <v>57</v>
      </c>
      <c r="BG11" t="s">
        <v>58</v>
      </c>
      <c r="BH11" t="s">
        <v>59</v>
      </c>
      <c r="BI11" t="s">
        <v>60</v>
      </c>
      <c r="BJ11" t="s">
        <v>61</v>
      </c>
      <c r="BK11" t="s">
        <v>62</v>
      </c>
      <c r="BL11" t="s">
        <v>63</v>
      </c>
      <c r="BM11" t="s">
        <v>64</v>
      </c>
      <c r="BN11" t="s">
        <v>65</v>
      </c>
      <c r="BO11" t="s">
        <v>66</v>
      </c>
      <c r="BP11" t="s">
        <v>67</v>
      </c>
      <c r="BQ11" t="s">
        <v>68</v>
      </c>
      <c r="BR11" t="s">
        <v>69</v>
      </c>
      <c r="BS11" t="s">
        <v>70</v>
      </c>
      <c r="BT11" t="s">
        <v>71</v>
      </c>
      <c r="BU11" t="s">
        <v>72</v>
      </c>
      <c r="BV11" t="s">
        <v>73</v>
      </c>
      <c r="BW11" t="s">
        <v>74</v>
      </c>
      <c r="BX11" t="s">
        <v>75</v>
      </c>
      <c r="BY11" t="s">
        <v>76</v>
      </c>
      <c r="BZ11" t="s">
        <v>77</v>
      </c>
      <c r="CA11" t="s">
        <v>78</v>
      </c>
      <c r="CB11" t="s">
        <v>79</v>
      </c>
      <c r="CC11" t="s">
        <v>80</v>
      </c>
      <c r="CD11" t="s">
        <v>81</v>
      </c>
      <c r="CE11" t="s">
        <v>82</v>
      </c>
      <c r="CF11" t="s">
        <v>83</v>
      </c>
      <c r="CG11" t="s">
        <v>84</v>
      </c>
      <c r="CH11" t="s">
        <v>85</v>
      </c>
      <c r="CI11" t="s">
        <v>86</v>
      </c>
      <c r="CJ11" t="s">
        <v>87</v>
      </c>
      <c r="CK11" t="s">
        <v>88</v>
      </c>
      <c r="CL11" t="s">
        <v>89</v>
      </c>
      <c r="CM11" t="s">
        <v>90</v>
      </c>
      <c r="CN11" t="s">
        <v>91</v>
      </c>
      <c r="CO11" t="s">
        <v>92</v>
      </c>
      <c r="CP11" t="s">
        <v>93</v>
      </c>
      <c r="CQ11" t="s">
        <v>94</v>
      </c>
      <c r="CR11" t="s">
        <v>95</v>
      </c>
      <c r="CS11" t="s">
        <v>96</v>
      </c>
      <c r="CT11" t="s">
        <v>97</v>
      </c>
      <c r="CU11" t="s">
        <v>98</v>
      </c>
      <c r="CV11" t="s">
        <v>99</v>
      </c>
      <c r="CW11" t="s">
        <v>100</v>
      </c>
      <c r="CX11" t="s">
        <v>101</v>
      </c>
      <c r="CY11" t="s">
        <v>102</v>
      </c>
      <c r="CZ11" t="s">
        <v>103</v>
      </c>
      <c r="DA11" t="s">
        <v>104</v>
      </c>
      <c r="DB11" t="s">
        <v>105</v>
      </c>
      <c r="DC11" t="s">
        <v>106</v>
      </c>
      <c r="DD11" t="s">
        <v>107</v>
      </c>
      <c r="DE11" t="s">
        <v>108</v>
      </c>
      <c r="DF11" t="s">
        <v>109</v>
      </c>
      <c r="DG11" t="s">
        <v>110</v>
      </c>
      <c r="DH11" t="s">
        <v>111</v>
      </c>
      <c r="DI11" t="s">
        <v>112</v>
      </c>
      <c r="DJ11" t="s">
        <v>113</v>
      </c>
      <c r="DK11" t="s">
        <v>114</v>
      </c>
      <c r="DL11" t="s">
        <v>115</v>
      </c>
      <c r="DM11" t="s">
        <v>116</v>
      </c>
      <c r="DN11" t="s">
        <v>117</v>
      </c>
      <c r="DO11" t="s">
        <v>118</v>
      </c>
      <c r="DP11" t="s">
        <v>119</v>
      </c>
      <c r="DQ11" t="s">
        <v>120</v>
      </c>
      <c r="DR11" t="s">
        <v>121</v>
      </c>
      <c r="DS11" t="s">
        <v>122</v>
      </c>
      <c r="DT11" t="s">
        <v>123</v>
      </c>
      <c r="DU11" t="s">
        <v>124</v>
      </c>
      <c r="DV11" t="s">
        <v>125</v>
      </c>
      <c r="DW11" t="s">
        <v>126</v>
      </c>
      <c r="DX11" t="s">
        <v>127</v>
      </c>
      <c r="DY11" t="s">
        <v>128</v>
      </c>
      <c r="DZ11" t="s">
        <v>129</v>
      </c>
      <c r="EA11" t="s">
        <v>130</v>
      </c>
      <c r="EB11" t="s">
        <v>131</v>
      </c>
      <c r="EC11" t="s">
        <v>132</v>
      </c>
      <c r="ED11" t="s">
        <v>133</v>
      </c>
      <c r="EE11" t="s">
        <v>134</v>
      </c>
      <c r="EF11" t="s">
        <v>143</v>
      </c>
      <c r="EG11" t="s">
        <v>184</v>
      </c>
      <c r="EH11" t="s">
        <v>185</v>
      </c>
      <c r="EI11" t="s">
        <v>186</v>
      </c>
    </row>
    <row r="12" spans="1:139">
      <c r="A12">
        <v>10</v>
      </c>
      <c r="B12">
        <v>96</v>
      </c>
      <c r="C12" s="12">
        <v>-4.701350899422875E-2</v>
      </c>
      <c r="D12" s="12">
        <v>-2.0821795271878302E-2</v>
      </c>
      <c r="E12" s="12">
        <v>4.8026281249999997E-2</v>
      </c>
      <c r="F12" s="12">
        <v>1.986882494790634E-2</v>
      </c>
      <c r="G12" s="12">
        <v>-7.9043467459283603E-3</v>
      </c>
      <c r="H12" s="12">
        <v>3.8530718750000012E-2</v>
      </c>
      <c r="I12" s="12">
        <v>-3.6303936849052011E-2</v>
      </c>
      <c r="J12" s="12">
        <v>-2.940780208333334E-2</v>
      </c>
      <c r="K12" s="12">
        <v>1.0988403852822111E-2</v>
      </c>
      <c r="L12" s="12">
        <v>2.2772307809632709E-3</v>
      </c>
      <c r="M12" s="12">
        <v>-3.9668749999999768E-4</v>
      </c>
      <c r="N12" s="12">
        <v>-5.2074107675359117E-2</v>
      </c>
      <c r="O12" s="12">
        <v>1.7240843749999998E-2</v>
      </c>
      <c r="P12" s="12">
        <v>2.3033333333332889E-4</v>
      </c>
      <c r="Q12" s="12">
        <v>3.5270468749999978E-2</v>
      </c>
      <c r="R12" s="12">
        <v>-1.3397506239935729E-2</v>
      </c>
      <c r="S12" s="12">
        <v>7.1053897094607049E-2</v>
      </c>
      <c r="T12" s="12">
        <v>-7.7403854166666688E-3</v>
      </c>
      <c r="U12" s="12">
        <v>2.0367220553130991E-2</v>
      </c>
      <c r="V12" s="12">
        <v>6.2048020833333217E-3</v>
      </c>
      <c r="W12" s="12">
        <v>2.227844197331175E-2</v>
      </c>
      <c r="X12" s="12">
        <v>4.851927478031446E-2</v>
      </c>
      <c r="Y12" s="12">
        <v>1.544010416666668E-2</v>
      </c>
      <c r="Z12" s="12">
        <v>5.166041666666666E-3</v>
      </c>
      <c r="AA12" s="12">
        <v>-1.1512562499999979E-2</v>
      </c>
      <c r="AB12" s="12">
        <v>-3.7113229166666761E-3</v>
      </c>
      <c r="AC12" s="12">
        <v>5.1674479166666544E-3</v>
      </c>
      <c r="AD12" s="12">
        <v>9.3919791666666787E-3</v>
      </c>
      <c r="AE12" s="12">
        <v>-5.8317010416666662E-2</v>
      </c>
      <c r="AF12" s="12">
        <v>4.6181927083333352E-2</v>
      </c>
      <c r="AG12" s="12">
        <v>1.207918750000001E-2</v>
      </c>
      <c r="AH12" s="12">
        <v>1.3405804649633229E-2</v>
      </c>
      <c r="AI12" s="12">
        <v>2.3246958333333331E-2</v>
      </c>
      <c r="AJ12" s="12">
        <v>1.298374754605458E-2</v>
      </c>
      <c r="AK12" s="12">
        <v>4.8123704152134412E-2</v>
      </c>
      <c r="AL12" s="12">
        <v>1.7859003021922081E-2</v>
      </c>
      <c r="AM12" s="12">
        <v>2.0205822916666651E-2</v>
      </c>
      <c r="AN12" s="12">
        <v>5.7133458333333317E-2</v>
      </c>
      <c r="AO12" s="12">
        <v>2.228793039673051E-3</v>
      </c>
      <c r="AP12" s="12">
        <v>-4.6336666666666696E-3</v>
      </c>
      <c r="AQ12" s="12">
        <v>-6.6816458333333302E-3</v>
      </c>
      <c r="AR12" s="12">
        <v>-7.5043645833333256E-3</v>
      </c>
      <c r="AS12" s="12">
        <v>-5.8433645833333436E-3</v>
      </c>
      <c r="AT12" s="12">
        <v>-2.2296291666666669E-2</v>
      </c>
      <c r="AU12" s="12">
        <v>6.3410187500000006E-2</v>
      </c>
      <c r="AV12" s="12">
        <v>-2.178989583333333E-2</v>
      </c>
      <c r="AW12" s="12">
        <v>-2.356604166666667E-3</v>
      </c>
      <c r="AX12" s="12">
        <v>-8.6579791666666663E-3</v>
      </c>
      <c r="AY12" s="12">
        <v>-7.7138541666666623E-3</v>
      </c>
      <c r="AZ12" s="12">
        <v>6.6564250000000019E-2</v>
      </c>
      <c r="BA12" s="12">
        <v>7.1276302083333326E-2</v>
      </c>
      <c r="BB12" s="12">
        <v>5.7850729166666658E-3</v>
      </c>
      <c r="BC12" s="12">
        <v>3.575552083333329E-3</v>
      </c>
      <c r="BD12" s="12">
        <v>4.9233947916666673E-2</v>
      </c>
      <c r="BE12" s="12">
        <v>1.860880983938528E-2</v>
      </c>
      <c r="BF12" s="12">
        <v>6.7792352483200119E-2</v>
      </c>
      <c r="BG12" s="12">
        <v>1.0003802083333339E-2</v>
      </c>
      <c r="BH12" s="12">
        <v>-2.4921687500000039E-2</v>
      </c>
      <c r="BI12" s="12">
        <v>2.0838031249999951E-2</v>
      </c>
      <c r="BJ12" s="12">
        <v>4.3422968749999992E-2</v>
      </c>
      <c r="BK12" s="12">
        <v>-2.0075822916666659E-2</v>
      </c>
      <c r="BL12" s="12">
        <v>2.4709245830148639E-2</v>
      </c>
      <c r="BM12" s="12">
        <v>-5.1690919562298789E-3</v>
      </c>
      <c r="BN12" s="12">
        <v>-1.9502249999999999E-2</v>
      </c>
      <c r="BO12" s="12">
        <v>2.4246310256236889E-2</v>
      </c>
      <c r="BP12" s="12">
        <v>-1.0508985305294091E-2</v>
      </c>
      <c r="BQ12" s="12">
        <v>8.4231874999999949E-3</v>
      </c>
      <c r="BR12" s="12">
        <v>1.9853468750000009E-2</v>
      </c>
      <c r="BS12" s="12">
        <v>1.886329338439598E-2</v>
      </c>
      <c r="BT12" s="12">
        <v>2.2031468677444231E-2</v>
      </c>
      <c r="BU12" s="12">
        <v>-4.808319791666666E-2</v>
      </c>
      <c r="BV12" s="12">
        <v>3.2053312499999979E-2</v>
      </c>
      <c r="BW12" s="12">
        <v>5.5487552083333308E-2</v>
      </c>
      <c r="BX12" s="12">
        <v>1.598431249999999E-2</v>
      </c>
      <c r="BY12" s="12">
        <v>-4.5816958333333269E-2</v>
      </c>
      <c r="BZ12" s="12">
        <v>3.777385416666668E-3</v>
      </c>
      <c r="CA12" s="12">
        <v>1.4580583333333331E-2</v>
      </c>
      <c r="CB12" s="12">
        <v>7.2475718750000029E-2</v>
      </c>
      <c r="CC12" s="12">
        <v>6.5566041666666686E-2</v>
      </c>
      <c r="CD12" s="12">
        <v>4.4258520833333322E-2</v>
      </c>
      <c r="CE12" s="12">
        <v>-1.161940844222922E-2</v>
      </c>
      <c r="CF12" s="12">
        <v>-2.776758341377213E-2</v>
      </c>
      <c r="CG12" s="12">
        <v>3.0880208333335102E-4</v>
      </c>
      <c r="CH12" s="12">
        <v>-9.4527916666666614E-3</v>
      </c>
      <c r="CI12" s="12">
        <v>-2.4341229166666659E-2</v>
      </c>
      <c r="CJ12" s="12">
        <v>3.5683645833333171E-3</v>
      </c>
      <c r="CK12" s="12">
        <v>3.4515020833333333E-2</v>
      </c>
      <c r="CL12" s="12">
        <v>-0.1180156076696104</v>
      </c>
      <c r="CM12" s="12">
        <v>1.5219726167340819E-2</v>
      </c>
      <c r="CN12" s="12">
        <v>-2.3307249999999981E-2</v>
      </c>
      <c r="CO12" s="12">
        <v>2.7266126880105788E-2</v>
      </c>
      <c r="CP12" s="12">
        <v>-1.27958125E-2</v>
      </c>
      <c r="CQ12" s="12">
        <v>6.9977145833333351E-2</v>
      </c>
      <c r="CR12" s="12">
        <v>-2.1178784306524409E-3</v>
      </c>
      <c r="CS12" s="12">
        <v>1.5201647687045549E-2</v>
      </c>
      <c r="CT12" s="12">
        <v>3.2113958333333317E-2</v>
      </c>
      <c r="CU12" s="12">
        <v>-3.5623715662195188E-2</v>
      </c>
      <c r="CV12" s="12">
        <v>-8.1126263755370142E-3</v>
      </c>
      <c r="CW12" s="12">
        <v>-5.5479247445322649E-3</v>
      </c>
      <c r="CX12" s="12">
        <v>-6.098988253699178E-2</v>
      </c>
      <c r="CY12" s="12">
        <v>4.6072656250000003E-2</v>
      </c>
      <c r="CZ12" s="12">
        <v>8.8562468749999998E-2</v>
      </c>
      <c r="DA12" s="12">
        <v>-5.6037840703605252E-3</v>
      </c>
      <c r="DB12" s="12">
        <v>8.8981854166666707E-2</v>
      </c>
      <c r="DC12" s="12">
        <v>1.147305208333335E-2</v>
      </c>
      <c r="DD12" s="12">
        <v>-3.909141666666667E-2</v>
      </c>
      <c r="DE12" s="12">
        <v>-3.7235479166666613E-2</v>
      </c>
      <c r="DF12" s="12">
        <v>5.5486104166666647E-2</v>
      </c>
      <c r="DG12" s="12">
        <v>-4.6409979166666671E-2</v>
      </c>
      <c r="DH12" s="12">
        <v>6.1195427083333309E-2</v>
      </c>
      <c r="DI12" s="12">
        <v>5.9749010416666679E-2</v>
      </c>
      <c r="DJ12" s="12">
        <v>1.511867708333333E-2</v>
      </c>
      <c r="DK12" s="12">
        <v>-3.1928208333333333E-2</v>
      </c>
      <c r="DL12" s="12">
        <v>3.0896458333333349E-3</v>
      </c>
      <c r="DM12" s="12">
        <v>-1.923761458333334E-2</v>
      </c>
      <c r="DN12" s="12">
        <v>4.2410365386064831E-2</v>
      </c>
      <c r="DO12" s="12">
        <v>3.0557260416666669E-2</v>
      </c>
      <c r="DP12" s="12">
        <v>3.2584449600297112E-2</v>
      </c>
      <c r="DQ12" s="12">
        <v>-3.3862052083333379E-2</v>
      </c>
      <c r="DR12" s="12">
        <v>1.7065E-2</v>
      </c>
      <c r="DS12" s="12">
        <v>-3.5726155451697807E-2</v>
      </c>
      <c r="DT12" s="12">
        <v>2.5117864583333378E-2</v>
      </c>
      <c r="DU12" s="12">
        <v>-5.7230229166666681E-2</v>
      </c>
      <c r="DV12" s="12">
        <v>2.9540874999999991E-2</v>
      </c>
      <c r="DW12" s="12">
        <v>4.3725564220037427E-2</v>
      </c>
      <c r="DX12" s="12">
        <v>2.1028541666666681E-2</v>
      </c>
      <c r="DY12" s="12">
        <v>5.3145312500000007E-2</v>
      </c>
      <c r="DZ12" s="12">
        <v>4.1357254801773907E-3</v>
      </c>
      <c r="EA12" s="12">
        <v>5.1097697916666678E-2</v>
      </c>
      <c r="EB12" s="12">
        <v>5.7861666666666738E-3</v>
      </c>
      <c r="EC12" s="12">
        <v>2.6651509579665299E-2</v>
      </c>
      <c r="ED12" s="12">
        <v>6.050815280848415E-2</v>
      </c>
      <c r="EE12" s="12">
        <v>-1.1917096272487391E-2</v>
      </c>
      <c r="EF12" s="12">
        <v>-3.9233348038795662E-2</v>
      </c>
      <c r="EG12" s="10">
        <f t="shared" ref="EG12:EG24" si="6">AVERAGE(C12:EF12)</f>
        <v>9.6733049778039946E-3</v>
      </c>
      <c r="EH12" s="10">
        <f t="shared" ref="EH12:EH24" si="7">STDEV(C12:EF12)</f>
        <v>3.4908129593577128E-2</v>
      </c>
      <c r="EI12" s="10">
        <f t="shared" ref="EI12:EI24" si="8">EG12/EH12</f>
        <v>0.27710751307580284</v>
      </c>
    </row>
    <row r="13" spans="1:139">
      <c r="A13">
        <v>20</v>
      </c>
      <c r="B13">
        <v>48</v>
      </c>
      <c r="C13" s="12">
        <v>-4.2506117601795589E-2</v>
      </c>
      <c r="D13" s="12">
        <v>-2.987761060455878E-2</v>
      </c>
      <c r="E13" s="12">
        <v>6.9861291666666658E-2</v>
      </c>
      <c r="F13" s="12">
        <v>3.4922155882654501E-2</v>
      </c>
      <c r="G13" s="12">
        <v>1.490797975730339E-2</v>
      </c>
      <c r="H13" s="12">
        <v>2.999035416666665E-2</v>
      </c>
      <c r="I13" s="12">
        <v>-3.2682862984722338E-2</v>
      </c>
      <c r="J13" s="12">
        <v>-4.3898812500000023E-2</v>
      </c>
      <c r="K13" s="12">
        <v>4.5330990242219003E-2</v>
      </c>
      <c r="L13" s="12">
        <v>2.913566903744547E-2</v>
      </c>
      <c r="M13" s="12">
        <v>2.5687291666666671E-2</v>
      </c>
      <c r="N13" s="12">
        <v>-4.3151952223766853E-2</v>
      </c>
      <c r="O13" s="12">
        <v>3.9789374999999988E-2</v>
      </c>
      <c r="P13" s="12">
        <v>1.6792145833333331E-2</v>
      </c>
      <c r="Q13" s="12">
        <v>7.3225020833333321E-2</v>
      </c>
      <c r="R13" s="12">
        <v>-6.4899101760743979E-3</v>
      </c>
      <c r="S13" s="12">
        <v>0.1229152980035506</v>
      </c>
      <c r="T13" s="12">
        <v>-2.2104479166666649E-2</v>
      </c>
      <c r="U13" s="12">
        <v>5.4161075041694179E-2</v>
      </c>
      <c r="V13" s="12">
        <v>-2.009412499999998E-2</v>
      </c>
      <c r="W13" s="12">
        <v>3.1103087884369891E-2</v>
      </c>
      <c r="X13" s="12">
        <v>6.9750968769056565E-2</v>
      </c>
      <c r="Y13" s="12">
        <v>1.392037499999999E-2</v>
      </c>
      <c r="Z13" s="12">
        <v>2.058391666666666E-2</v>
      </c>
      <c r="AA13" s="12">
        <v>-1.6440041666666641E-2</v>
      </c>
      <c r="AB13" s="12">
        <v>-1.6035979166666669E-2</v>
      </c>
      <c r="AC13" s="12">
        <v>8.031270833333326E-3</v>
      </c>
      <c r="AD13" s="12">
        <v>2.1543083333333331E-2</v>
      </c>
      <c r="AE13" s="12">
        <v>-6.5719479166666678E-2</v>
      </c>
      <c r="AF13" s="12">
        <v>5.1936000000000003E-2</v>
      </c>
      <c r="AG13" s="12">
        <v>3.2824583333333321E-3</v>
      </c>
      <c r="AH13" s="12">
        <v>9.6413392395163916E-3</v>
      </c>
      <c r="AI13" s="12">
        <v>1.9910041666666659E-2</v>
      </c>
      <c r="AJ13" s="12">
        <v>-1.628046998827572E-2</v>
      </c>
      <c r="AK13" s="12">
        <v>6.5987912810655996E-2</v>
      </c>
      <c r="AL13" s="12">
        <v>2.3151428595171029E-2</v>
      </c>
      <c r="AM13" s="12">
        <v>-2.87277083333334E-3</v>
      </c>
      <c r="AN13" s="12">
        <v>7.1245145833333329E-2</v>
      </c>
      <c r="AO13" s="12">
        <v>9.3111878994149404E-3</v>
      </c>
      <c r="AP13" s="12">
        <v>-6.5878125000000034E-3</v>
      </c>
      <c r="AQ13" s="12">
        <v>-1.1081895833333331E-2</v>
      </c>
      <c r="AR13" s="12">
        <v>9.2504166666666568E-3</v>
      </c>
      <c r="AS13" s="12">
        <v>-1.9364166666666701E-3</v>
      </c>
      <c r="AT13" s="12">
        <v>1.690958333333329E-3</v>
      </c>
      <c r="AU13" s="12">
        <v>7.6783979166666669E-2</v>
      </c>
      <c r="AV13" s="12">
        <v>-1.0958812499999989E-2</v>
      </c>
      <c r="AW13" s="12">
        <v>2.5616312499999992E-2</v>
      </c>
      <c r="AX13" s="12">
        <v>-1.1880625000000001E-2</v>
      </c>
      <c r="AY13" s="12">
        <v>-2.3672437500000001E-2</v>
      </c>
      <c r="AZ13" s="12">
        <v>5.5450187500000012E-2</v>
      </c>
      <c r="BA13" s="12">
        <v>7.9829270833333327E-2</v>
      </c>
      <c r="BB13" s="12">
        <v>2.604597916666667E-2</v>
      </c>
      <c r="BC13" s="12">
        <v>1.483937500000018E-3</v>
      </c>
      <c r="BD13" s="12">
        <v>4.1676729166666669E-2</v>
      </c>
      <c r="BE13" s="12">
        <v>2.7391806305641558E-2</v>
      </c>
      <c r="BF13" s="12">
        <v>8.3929415307496771E-2</v>
      </c>
      <c r="BG13" s="12">
        <v>8.3309166666666636E-3</v>
      </c>
      <c r="BH13" s="12">
        <v>-3.3944062499999983E-2</v>
      </c>
      <c r="BI13" s="12">
        <v>2.5832708333333339E-2</v>
      </c>
      <c r="BJ13" s="12">
        <v>5.1452562499999993E-2</v>
      </c>
      <c r="BK13" s="12">
        <v>-2.5126020833333328E-2</v>
      </c>
      <c r="BL13" s="12">
        <v>3.1947860213175139E-2</v>
      </c>
      <c r="BM13" s="12">
        <v>1.6918615618881649E-2</v>
      </c>
      <c r="BN13" s="12">
        <v>4.8578333333333251E-3</v>
      </c>
      <c r="BO13" s="12">
        <v>3.0878716233474109E-2</v>
      </c>
      <c r="BP13" s="12">
        <v>9.4326956946515182E-3</v>
      </c>
      <c r="BQ13" s="12">
        <v>3.9576562500000002E-2</v>
      </c>
      <c r="BR13" s="12">
        <v>5.264895833333335E-3</v>
      </c>
      <c r="BS13" s="12">
        <v>7.4194718402196772E-3</v>
      </c>
      <c r="BT13" s="12">
        <v>3.8343505616472817E-2</v>
      </c>
      <c r="BU13" s="12">
        <v>-7.4658166666666678E-2</v>
      </c>
      <c r="BV13" s="12">
        <v>3.144022916666666E-2</v>
      </c>
      <c r="BW13" s="12">
        <v>8.6230333333333353E-2</v>
      </c>
      <c r="BX13" s="12">
        <v>1.47710416666667E-3</v>
      </c>
      <c r="BY13" s="12">
        <v>-3.0828583333333329E-2</v>
      </c>
      <c r="BZ13" s="12">
        <v>-1.3758708333333369E-2</v>
      </c>
      <c r="CA13" s="12">
        <v>2.4012187500000001E-2</v>
      </c>
      <c r="CB13" s="12">
        <v>0.1204269166666667</v>
      </c>
      <c r="CC13" s="12">
        <v>0.1201179166666667</v>
      </c>
      <c r="CD13" s="12">
        <v>5.525583333333333E-2</v>
      </c>
      <c r="CE13" s="12">
        <v>-9.2209843254137634E-3</v>
      </c>
      <c r="CF13" s="12">
        <v>-4.4514266725069238E-2</v>
      </c>
      <c r="CG13" s="12">
        <v>7.5603958333333721E-3</v>
      </c>
      <c r="CH13" s="12">
        <v>-2.565775000000001E-2</v>
      </c>
      <c r="CI13" s="12">
        <v>-7.8951666666666753E-3</v>
      </c>
      <c r="CJ13" s="12">
        <v>2.0881229166666661E-2</v>
      </c>
      <c r="CK13" s="12">
        <v>3.1860124999999982E-2</v>
      </c>
      <c r="CL13" s="12">
        <v>-8.1453366102180805E-2</v>
      </c>
      <c r="CM13" s="12">
        <v>1.0296803756394969E-2</v>
      </c>
      <c r="CN13" s="12">
        <v>-3.013066666666666E-2</v>
      </c>
      <c r="CO13" s="12">
        <v>1.345745856322739E-2</v>
      </c>
      <c r="CP13" s="12">
        <v>-3.4377458333333333E-2</v>
      </c>
      <c r="CQ13" s="12">
        <v>6.7112812499999994E-2</v>
      </c>
      <c r="CR13" s="12">
        <v>-8.2797809976485181E-3</v>
      </c>
      <c r="CS13" s="12">
        <v>-1.0833051115274659E-2</v>
      </c>
      <c r="CT13" s="12">
        <v>4.3462166666666698E-2</v>
      </c>
      <c r="CU13" s="12">
        <v>-3.7161402282311212E-2</v>
      </c>
      <c r="CV13" s="12">
        <v>2.9533121732579042E-3</v>
      </c>
      <c r="CW13" s="12">
        <v>-5.97703085624611E-3</v>
      </c>
      <c r="CX13" s="12">
        <v>-6.0033255240053027E-2</v>
      </c>
      <c r="CY13" s="12">
        <v>6.2296645833333331E-2</v>
      </c>
      <c r="CZ13" s="12">
        <v>9.0290624999999999E-2</v>
      </c>
      <c r="DA13" s="12">
        <v>5.583676925821391E-3</v>
      </c>
      <c r="DB13" s="12">
        <v>0.10623525</v>
      </c>
      <c r="DC13" s="12">
        <v>2.354112500000001E-2</v>
      </c>
      <c r="DD13" s="12">
        <v>-5.1406291666666652E-2</v>
      </c>
      <c r="DE13" s="12">
        <v>-4.2563895833333379E-2</v>
      </c>
      <c r="DF13" s="12">
        <v>8.3122687499999987E-2</v>
      </c>
      <c r="DG13" s="12">
        <v>-4.772931250000001E-2</v>
      </c>
      <c r="DH13" s="12">
        <v>8.8720708333333301E-2</v>
      </c>
      <c r="DI13" s="12">
        <v>8.9748124999999984E-2</v>
      </c>
      <c r="DJ13" s="12">
        <v>5.983854166666666E-3</v>
      </c>
      <c r="DK13" s="12">
        <v>-1.9386395833333341E-2</v>
      </c>
      <c r="DL13" s="12">
        <v>2.7122937499999989E-2</v>
      </c>
      <c r="DM13" s="12">
        <v>5.319583333333322E-4</v>
      </c>
      <c r="DN13" s="12">
        <v>1.1499577922513139E-2</v>
      </c>
      <c r="DO13" s="12">
        <v>3.7863854166666669E-2</v>
      </c>
      <c r="DP13" s="12">
        <v>4.8786635856269467E-2</v>
      </c>
      <c r="DQ13" s="12">
        <v>-3.3966541666666669E-2</v>
      </c>
      <c r="DR13" s="12">
        <v>1.5168812499999971E-2</v>
      </c>
      <c r="DS13" s="12">
        <v>-3.8887627839669842E-2</v>
      </c>
      <c r="DT13" s="12">
        <v>5.083135416666669E-2</v>
      </c>
      <c r="DU13" s="12">
        <v>-3.3005958333333342E-2</v>
      </c>
      <c r="DV13" s="12">
        <v>4.3256333333333341E-2</v>
      </c>
      <c r="DW13" s="12">
        <v>4.4417789624350307E-2</v>
      </c>
      <c r="DX13" s="12">
        <v>3.9877437500000022E-2</v>
      </c>
      <c r="DY13" s="12">
        <v>5.698114583333333E-2</v>
      </c>
      <c r="DZ13" s="12">
        <v>1.460881448721826E-2</v>
      </c>
      <c r="EA13" s="12">
        <v>6.2118416666666669E-2</v>
      </c>
      <c r="EB13" s="12">
        <v>2.0102083333333259E-4</v>
      </c>
      <c r="EC13" s="12">
        <v>4.1659753435228923E-2</v>
      </c>
      <c r="ED13" s="12">
        <v>6.5682093659234955E-2</v>
      </c>
      <c r="EE13" s="12">
        <v>-7.9525935749644935E-3</v>
      </c>
      <c r="EF13" s="12">
        <v>-6.6577215363556236E-2</v>
      </c>
      <c r="EG13" s="10">
        <f t="shared" si="6"/>
        <v>1.588507085245024E-2</v>
      </c>
      <c r="EH13">
        <f t="shared" si="7"/>
        <v>4.2042108240099782E-2</v>
      </c>
      <c r="EI13" s="10">
        <f t="shared" si="8"/>
        <v>0.37783716177437199</v>
      </c>
    </row>
    <row r="14" spans="1:139">
      <c r="A14">
        <v>50</v>
      </c>
      <c r="B14">
        <v>19</v>
      </c>
      <c r="C14" s="12">
        <v>3.7017512404591897E-2</v>
      </c>
      <c r="D14" s="12">
        <v>-8.3347311543301383E-2</v>
      </c>
      <c r="E14" s="12">
        <v>9.8768157894736849E-2</v>
      </c>
      <c r="F14" s="12">
        <v>4.8454142799859858E-2</v>
      </c>
      <c r="G14" s="12">
        <v>4.1019916497925447E-2</v>
      </c>
      <c r="H14" s="12">
        <v>5.9588947368421033E-2</v>
      </c>
      <c r="I14" s="12">
        <v>-4.3787359823142302E-2</v>
      </c>
      <c r="J14" s="12">
        <v>-0.1050935789473684</v>
      </c>
      <c r="K14" s="12">
        <v>0.13417870371405349</v>
      </c>
      <c r="L14" s="12">
        <v>-4.847197187706806E-3</v>
      </c>
      <c r="M14" s="12">
        <v>-7.5951368421052629E-2</v>
      </c>
      <c r="N14" s="12">
        <v>-8.2758984694099133E-2</v>
      </c>
      <c r="O14" s="12">
        <v>3.9642368421052628E-2</v>
      </c>
      <c r="P14" s="12">
        <v>4.7779947368421033E-2</v>
      </c>
      <c r="Q14" s="12">
        <v>5.8239052631578962E-2</v>
      </c>
      <c r="R14" s="12">
        <v>1.5941187297101821E-2</v>
      </c>
      <c r="S14" s="12">
        <v>0.1658932271847087</v>
      </c>
      <c r="T14" s="12">
        <v>-1.736173684210527E-2</v>
      </c>
      <c r="U14" s="12">
        <v>0.1042666646356476</v>
      </c>
      <c r="V14" s="12">
        <v>-3.837431578947368E-2</v>
      </c>
      <c r="W14" s="12">
        <v>7.4008159388253003E-2</v>
      </c>
      <c r="X14" s="12">
        <v>0.1132631083122695</v>
      </c>
      <c r="Y14" s="12">
        <v>-1.6763578947368431E-2</v>
      </c>
      <c r="Z14" s="12">
        <v>2.1252E-2</v>
      </c>
      <c r="AA14" s="12">
        <v>-2.6256842105263178E-3</v>
      </c>
      <c r="AB14" s="12">
        <v>-7.498263157894737E-2</v>
      </c>
      <c r="AC14" s="12">
        <v>-2.9292631578947369E-2</v>
      </c>
      <c r="AD14" s="12">
        <v>3.9327947368421053E-2</v>
      </c>
      <c r="AE14" s="12">
        <v>-4.019052631578951E-3</v>
      </c>
      <c r="AF14" s="12">
        <v>8.4317789473684207E-2</v>
      </c>
      <c r="AG14" s="12">
        <v>6.3905789473684242E-3</v>
      </c>
      <c r="AH14" s="12">
        <v>5.250277930506024E-3</v>
      </c>
      <c r="AI14" s="12">
        <v>1.0965315789473681E-2</v>
      </c>
      <c r="AJ14" s="12">
        <v>1.505903608315101E-2</v>
      </c>
      <c r="AK14" s="12">
        <v>7.6911430858302002E-2</v>
      </c>
      <c r="AL14" s="12">
        <v>3.7969189722460717E-2</v>
      </c>
      <c r="AM14" s="12">
        <v>3.1484210526315781E-3</v>
      </c>
      <c r="AN14" s="12">
        <v>0.1103234736842105</v>
      </c>
      <c r="AO14" s="12">
        <v>6.0905705465409951E-2</v>
      </c>
      <c r="AP14" s="12">
        <v>7.0551578947368413E-3</v>
      </c>
      <c r="AQ14" s="12">
        <v>-8.1264210526315814E-3</v>
      </c>
      <c r="AR14" s="12">
        <v>1.8170473684210521E-2</v>
      </c>
      <c r="AS14" s="12">
        <v>9.2569473684210521E-3</v>
      </c>
      <c r="AT14" s="12">
        <v>-1.8406736842105271E-2</v>
      </c>
      <c r="AU14" s="12">
        <v>0.13785310526315789</v>
      </c>
      <c r="AV14" s="12">
        <v>8.4268421052631631E-3</v>
      </c>
      <c r="AW14" s="12">
        <v>4.3728842105263163E-2</v>
      </c>
      <c r="AX14" s="12">
        <v>8.223684210526324E-4</v>
      </c>
      <c r="AY14" s="12">
        <v>-5.8839315789473677E-2</v>
      </c>
      <c r="AZ14" s="12">
        <v>2.5628999999999999E-2</v>
      </c>
      <c r="BA14" s="12">
        <v>9.6337421052631572E-2</v>
      </c>
      <c r="BB14" s="12">
        <v>0.101898</v>
      </c>
      <c r="BC14" s="12">
        <v>1.207452631578948E-2</v>
      </c>
      <c r="BD14" s="12">
        <v>1.6418894736842111E-2</v>
      </c>
      <c r="BE14" s="12">
        <v>4.3787062535487017E-2</v>
      </c>
      <c r="BF14" s="12">
        <v>4.0770521545689782E-2</v>
      </c>
      <c r="BG14" s="12">
        <v>1.049684210526316E-2</v>
      </c>
      <c r="BH14" s="12">
        <v>-9.374952631578945E-2</v>
      </c>
      <c r="BI14" s="12">
        <v>3.2270894736842103E-2</v>
      </c>
      <c r="BJ14" s="12">
        <v>2.401789473684211E-2</v>
      </c>
      <c r="BK14" s="12">
        <v>3.3237210526315772E-2</v>
      </c>
      <c r="BL14" s="12">
        <v>5.9737766842370338E-2</v>
      </c>
      <c r="BM14" s="12">
        <v>3.9257215206427082E-2</v>
      </c>
      <c r="BN14" s="12">
        <v>4.657684210526316E-2</v>
      </c>
      <c r="BO14" s="12">
        <v>3.3609045677264478E-2</v>
      </c>
      <c r="BP14" s="12">
        <v>1.5673733492959141E-2</v>
      </c>
      <c r="BQ14" s="12">
        <v>4.7562631578947363E-2</v>
      </c>
      <c r="BR14" s="12">
        <v>-3.5541368421052641E-2</v>
      </c>
      <c r="BS14" s="12">
        <v>-4.1493955144577897E-2</v>
      </c>
      <c r="BT14" s="12">
        <v>7.4012962336311328E-2</v>
      </c>
      <c r="BU14" s="12">
        <v>-0.11116010526315789</v>
      </c>
      <c r="BV14" s="12">
        <v>4.1282210526315803E-2</v>
      </c>
      <c r="BW14" s="12">
        <v>0.1184082105263158</v>
      </c>
      <c r="BX14" s="12">
        <v>-3.0736842105263262E-4</v>
      </c>
      <c r="BY14" s="12">
        <v>-8.0401000000000056E-2</v>
      </c>
      <c r="BZ14" s="12">
        <v>5.0985789473684179E-2</v>
      </c>
      <c r="CA14" s="12">
        <v>3.3454631578947368E-2</v>
      </c>
      <c r="CB14" s="12">
        <v>0.16446578947368409</v>
      </c>
      <c r="CC14" s="12">
        <v>0.1205952105263158</v>
      </c>
      <c r="CD14" s="12">
        <v>4.7921368421052629E-2</v>
      </c>
      <c r="CE14" s="12">
        <v>7.2156719211697945E-2</v>
      </c>
      <c r="CF14" s="12">
        <v>-9.2330683282061565E-2</v>
      </c>
      <c r="CG14" s="12">
        <v>0.13892689473684211</v>
      </c>
      <c r="CH14" s="12">
        <v>4.0535263157894519E-3</v>
      </c>
      <c r="CI14" s="12">
        <v>-3.828157894736822E-3</v>
      </c>
      <c r="CJ14" s="12">
        <v>2.0066526315789451E-2</v>
      </c>
      <c r="CK14" s="12">
        <v>-4.6278947368420109E-4</v>
      </c>
      <c r="CL14" s="12">
        <v>-6.2269954878836478E-2</v>
      </c>
      <c r="CM14" s="12">
        <v>-3.2040010368317121E-2</v>
      </c>
      <c r="CN14" s="12">
        <v>-1.940110526315789E-2</v>
      </c>
      <c r="CO14" s="12">
        <v>7.3587720038892968E-2</v>
      </c>
      <c r="CP14" s="12">
        <v>-0.10547973684210531</v>
      </c>
      <c r="CQ14" s="12">
        <v>7.9537105263157895E-2</v>
      </c>
      <c r="CR14" s="12">
        <v>-5.590913762450133E-2</v>
      </c>
      <c r="CS14" s="12">
        <v>-5.9027120263655718E-2</v>
      </c>
      <c r="CT14" s="12">
        <v>6.1872210526315793E-2</v>
      </c>
      <c r="CU14" s="12">
        <v>4.3917102697214612E-2</v>
      </c>
      <c r="CV14" s="12">
        <v>-2.274571513825533E-2</v>
      </c>
      <c r="CW14" s="12">
        <v>3.3983824634707719E-3</v>
      </c>
      <c r="CX14" s="12">
        <v>-3.6299408888239168E-2</v>
      </c>
      <c r="CY14" s="12">
        <v>5.0138052631578972E-2</v>
      </c>
      <c r="CZ14" s="12">
        <v>0.13617263157894741</v>
      </c>
      <c r="DA14" s="12">
        <v>2.4304289170584491E-2</v>
      </c>
      <c r="DB14" s="12">
        <v>0.104608052631579</v>
      </c>
      <c r="DC14" s="12">
        <v>1.47538947368421E-2</v>
      </c>
      <c r="DD14" s="12">
        <v>-5.3898894736842097E-2</v>
      </c>
      <c r="DE14" s="12">
        <v>-3.1057578947368419E-2</v>
      </c>
      <c r="DF14" s="12">
        <v>0.20156447368421049</v>
      </c>
      <c r="DG14" s="12">
        <v>-4.5583631578947383E-2</v>
      </c>
      <c r="DH14" s="12">
        <v>5.8742578947368403E-2</v>
      </c>
      <c r="DI14" s="12">
        <v>8.6646789473684205E-2</v>
      </c>
      <c r="DJ14" s="12">
        <v>1.5897789473684209E-2</v>
      </c>
      <c r="DK14" s="12">
        <v>-8.1621684210526332E-2</v>
      </c>
      <c r="DL14" s="12">
        <v>-9.2726842105263149E-3</v>
      </c>
      <c r="DM14" s="12">
        <v>-1.120684210526305E-3</v>
      </c>
      <c r="DN14" s="12">
        <v>4.2662495893264311E-2</v>
      </c>
      <c r="DO14" s="12">
        <v>0.102592</v>
      </c>
      <c r="DP14" s="12">
        <v>4.3539716357652018E-2</v>
      </c>
      <c r="DQ14" s="12">
        <v>-5.6019210526315803E-2</v>
      </c>
      <c r="DR14" s="12">
        <v>7.7946315789473707E-3</v>
      </c>
      <c r="DS14" s="12">
        <v>-3.5044906270916831E-2</v>
      </c>
      <c r="DT14" s="12">
        <v>0.11767231578947369</v>
      </c>
      <c r="DU14" s="12">
        <v>-6.8796263157894735E-2</v>
      </c>
      <c r="DV14" s="12">
        <v>1.9435526315789469E-2</v>
      </c>
      <c r="DW14" s="12">
        <v>9.8344367017777726E-2</v>
      </c>
      <c r="DX14" s="12">
        <v>3.8758157894736828E-2</v>
      </c>
      <c r="DY14" s="12">
        <v>7.4257842105263164E-2</v>
      </c>
      <c r="DZ14" s="12">
        <v>2.1881573318462251E-2</v>
      </c>
      <c r="EA14" s="12">
        <v>0.1075255263157895</v>
      </c>
      <c r="EB14" s="12">
        <v>-2.5110526315789479E-2</v>
      </c>
      <c r="EC14" s="12">
        <v>6.0793821481329897E-3</v>
      </c>
      <c r="ED14" s="12">
        <v>0.102629709186187</v>
      </c>
      <c r="EE14" s="12">
        <v>-1.886715684489253E-2</v>
      </c>
      <c r="EF14" s="12">
        <v>-6.9956420498558061E-2</v>
      </c>
      <c r="EG14" s="10">
        <f t="shared" si="6"/>
        <v>2.258075349358895E-2</v>
      </c>
      <c r="EH14">
        <f t="shared" si="7"/>
        <v>6.2841806770995753E-2</v>
      </c>
      <c r="EI14" s="10">
        <f t="shared" si="8"/>
        <v>0.35932692985541204</v>
      </c>
    </row>
    <row r="15" spans="1:139">
      <c r="A15">
        <v>100</v>
      </c>
      <c r="B15">
        <v>10</v>
      </c>
      <c r="C15" s="12">
        <v>9.6503141994516081E-2</v>
      </c>
      <c r="D15" s="12">
        <v>-1.6952864792065741E-2</v>
      </c>
      <c r="E15" s="12">
        <v>6.2044600000000012E-2</v>
      </c>
      <c r="F15" s="12">
        <v>0.1085622933731899</v>
      </c>
      <c r="G15" s="12">
        <v>6.0636928671534279E-2</v>
      </c>
      <c r="H15" s="12">
        <v>0.1188444</v>
      </c>
      <c r="I15" s="12">
        <v>-5.843144427986554E-2</v>
      </c>
      <c r="J15" s="12">
        <v>-6.4524200000000004E-2</v>
      </c>
      <c r="K15" s="12">
        <v>0.28659462773637062</v>
      </c>
      <c r="L15" s="12">
        <v>-3.2558505157184642E-2</v>
      </c>
      <c r="M15" s="12">
        <v>-0.1884914</v>
      </c>
      <c r="N15" s="12">
        <v>-0.12086815416098109</v>
      </c>
      <c r="O15" s="12">
        <v>4.6103499999999999E-2</v>
      </c>
      <c r="P15" s="12">
        <v>5.2983399999999993E-2</v>
      </c>
      <c r="Q15" s="12">
        <v>0.1003768</v>
      </c>
      <c r="R15" s="12">
        <v>5.2129690105117463E-2</v>
      </c>
      <c r="S15" s="12">
        <v>0.27000789508215378</v>
      </c>
      <c r="T15" s="12">
        <v>-4.9339700000000007E-2</v>
      </c>
      <c r="U15" s="12">
        <v>0.1369680616672688</v>
      </c>
      <c r="V15" s="12">
        <v>-8.568039999999999E-2</v>
      </c>
      <c r="W15" s="12">
        <v>0.1025435939827431</v>
      </c>
      <c r="X15" s="12">
        <v>0.1268433314636731</v>
      </c>
      <c r="Y15" s="12">
        <v>-2.4189700000000001E-2</v>
      </c>
      <c r="Z15" s="12">
        <v>-2.3656199999999999E-2</v>
      </c>
      <c r="AA15" s="12">
        <v>4.6588900000000003E-2</v>
      </c>
      <c r="AB15" s="12">
        <v>-7.3995400000000003E-2</v>
      </c>
      <c r="AC15" s="12">
        <v>-4.0054800000000002E-2</v>
      </c>
      <c r="AD15" s="12">
        <v>3.9690400000000001E-2</v>
      </c>
      <c r="AE15" s="12">
        <v>4.728559999999999E-2</v>
      </c>
      <c r="AF15" s="12">
        <v>4.9773500000000012E-2</v>
      </c>
      <c r="AG15" s="12">
        <v>-9.7449999999999967E-3</v>
      </c>
      <c r="AH15" s="12">
        <v>-3.3604373357676472E-2</v>
      </c>
      <c r="AI15" s="12">
        <v>7.4277400000000007E-2</v>
      </c>
      <c r="AJ15" s="12">
        <v>9.4648599674757375E-3</v>
      </c>
      <c r="AK15" s="12">
        <v>6.1759619658444932E-2</v>
      </c>
      <c r="AL15" s="12">
        <v>4.4431662495814539E-2</v>
      </c>
      <c r="AM15" s="12">
        <v>1.943500000000004E-3</v>
      </c>
      <c r="AN15" s="12">
        <v>6.0734800000000012E-2</v>
      </c>
      <c r="AO15" s="12">
        <v>6.3369812463467096E-2</v>
      </c>
      <c r="AP15" s="12">
        <v>1.25822E-2</v>
      </c>
      <c r="AQ15" s="12">
        <v>-1.9747299999999999E-2</v>
      </c>
      <c r="AR15" s="12">
        <v>2.4550300000000001E-2</v>
      </c>
      <c r="AS15" s="12">
        <v>-2.2430800000000001E-2</v>
      </c>
      <c r="AT15" s="12">
        <v>6.8562999999999957E-3</v>
      </c>
      <c r="AU15" s="12">
        <v>0.16710900000000001</v>
      </c>
      <c r="AV15" s="12">
        <v>3.3224999999999998E-2</v>
      </c>
      <c r="AW15" s="12">
        <v>8.8558999999999999E-2</v>
      </c>
      <c r="AX15" s="12">
        <v>4.161999999999993E-3</v>
      </c>
      <c r="AY15" s="12">
        <v>-4.3143000000000008E-2</v>
      </c>
      <c r="AZ15" s="12">
        <v>3.6848099999999988E-2</v>
      </c>
      <c r="BA15" s="12">
        <v>0.1576883</v>
      </c>
      <c r="BB15" s="12">
        <v>0.1087885</v>
      </c>
      <c r="BC15" s="12">
        <v>-3.8490899999999988E-2</v>
      </c>
      <c r="BD15" s="12">
        <v>7.3647000000000018E-3</v>
      </c>
      <c r="BE15" s="12">
        <v>4.8442721017663122E-2</v>
      </c>
      <c r="BF15" s="12">
        <v>4.7662979456752137E-2</v>
      </c>
      <c r="BG15" s="12">
        <v>1.377640000000001E-2</v>
      </c>
      <c r="BH15" s="12">
        <v>-5.4709000000000008E-2</v>
      </c>
      <c r="BI15" s="12">
        <v>2.6351799999999991E-2</v>
      </c>
      <c r="BJ15" s="12">
        <v>7.5155000000000013E-2</v>
      </c>
      <c r="BK15" s="12">
        <v>7.2869199999999995E-2</v>
      </c>
      <c r="BL15" s="12">
        <v>5.940387134134844E-2</v>
      </c>
      <c r="BM15" s="12">
        <v>6.6824821366729223E-2</v>
      </c>
      <c r="BN15" s="12">
        <v>6.60549E-2</v>
      </c>
      <c r="BO15" s="12">
        <v>2.773447595493098E-2</v>
      </c>
      <c r="BP15" s="12">
        <v>1.4184220707804779E-2</v>
      </c>
      <c r="BQ15" s="12">
        <v>2.4673500000000001E-2</v>
      </c>
      <c r="BR15" s="12">
        <v>7.898799999999994E-3</v>
      </c>
      <c r="BS15" s="12">
        <v>-1.682377745028631E-2</v>
      </c>
      <c r="BT15" s="12">
        <v>8.9060205731334427E-2</v>
      </c>
      <c r="BU15" s="12">
        <v>-8.5546499999999998E-2</v>
      </c>
      <c r="BV15" s="12">
        <v>8.6180100000000009E-2</v>
      </c>
      <c r="BW15" s="12">
        <v>0.20414550000000001</v>
      </c>
      <c r="BX15" s="12">
        <v>2.3949999999999999E-2</v>
      </c>
      <c r="BY15" s="12">
        <v>-9.3338900000000002E-2</v>
      </c>
      <c r="BZ15" s="12">
        <v>6.7360199999999995E-2</v>
      </c>
      <c r="CA15" s="12">
        <v>2.9962900000000001E-2</v>
      </c>
      <c r="CB15" s="12">
        <v>0.1310916</v>
      </c>
      <c r="CC15" s="12">
        <v>0.17364959999999999</v>
      </c>
      <c r="CD15" s="12">
        <v>8.9093600000000009E-2</v>
      </c>
      <c r="CE15" s="12">
        <v>0.1165165690701207</v>
      </c>
      <c r="CF15" s="12">
        <v>-9.435665039342013E-2</v>
      </c>
      <c r="CG15" s="12">
        <v>0.22573170000000009</v>
      </c>
      <c r="CH15" s="12">
        <v>-3.9979499999999987E-2</v>
      </c>
      <c r="CI15" s="12">
        <v>-6.9334999999999994E-2</v>
      </c>
      <c r="CJ15" s="12">
        <v>7.382600000000003E-3</v>
      </c>
      <c r="CK15" s="12">
        <v>3.4281499999999999E-2</v>
      </c>
      <c r="CL15" s="12">
        <v>-3.1421974993248308E-2</v>
      </c>
      <c r="CM15" s="12">
        <v>-7.4631116128453773E-2</v>
      </c>
      <c r="CN15" s="12">
        <v>2.1760000000000171E-4</v>
      </c>
      <c r="CO15" s="12">
        <v>0.12944902488204141</v>
      </c>
      <c r="CP15" s="12">
        <v>-3.4393400000000011E-2</v>
      </c>
      <c r="CQ15" s="12">
        <v>0.13960449999999999</v>
      </c>
      <c r="CR15" s="12">
        <v>-4.8237070288164277E-2</v>
      </c>
      <c r="CS15" s="12">
        <v>-6.0185172463594637E-2</v>
      </c>
      <c r="CT15" s="12">
        <v>3.22169E-2</v>
      </c>
      <c r="CU15" s="12">
        <v>6.3178659914772728E-2</v>
      </c>
      <c r="CV15" s="12">
        <v>6.1418469048089008E-3</v>
      </c>
      <c r="CW15" s="12">
        <v>1.248466018044017E-2</v>
      </c>
      <c r="CX15" s="12">
        <v>-2.4039607053330959E-2</v>
      </c>
      <c r="CY15" s="12">
        <v>5.5732899999999988E-2</v>
      </c>
      <c r="CZ15" s="12">
        <v>0.1153667</v>
      </c>
      <c r="DA15" s="12">
        <v>2.6375835441876511E-2</v>
      </c>
      <c r="DB15" s="12">
        <v>9.7047700000000001E-2</v>
      </c>
      <c r="DC15" s="12">
        <v>7.6726499999999989E-2</v>
      </c>
      <c r="DD15" s="12">
        <v>-6.7525099999999977E-2</v>
      </c>
      <c r="DE15" s="12">
        <v>-6.5607900000000011E-2</v>
      </c>
      <c r="DF15" s="12">
        <v>0.30272159999999998</v>
      </c>
      <c r="DG15" s="12">
        <v>-4.7917800000000003E-2</v>
      </c>
      <c r="DH15" s="12">
        <v>0.1296235</v>
      </c>
      <c r="DI15" s="12">
        <v>4.2810999999999988E-2</v>
      </c>
      <c r="DJ15" s="12">
        <v>4.7566499999999998E-2</v>
      </c>
      <c r="DK15" s="12">
        <v>-0.100329</v>
      </c>
      <c r="DL15" s="12">
        <v>7.7391999999999999E-3</v>
      </c>
      <c r="DM15" s="12">
        <v>1.773500000000004E-3</v>
      </c>
      <c r="DN15" s="12">
        <v>4.3996497423619649E-2</v>
      </c>
      <c r="DO15" s="12">
        <v>0.15954560000000001</v>
      </c>
      <c r="DP15" s="12">
        <v>2.3735602006892551E-2</v>
      </c>
      <c r="DQ15" s="12">
        <v>-7.2937799999999997E-2</v>
      </c>
      <c r="DR15" s="12">
        <v>-2.20354E-2</v>
      </c>
      <c r="DS15" s="12">
        <v>-7.6241908411797149E-2</v>
      </c>
      <c r="DT15" s="12">
        <v>3.4296700000000013E-2</v>
      </c>
      <c r="DU15" s="12">
        <v>-0.1171285</v>
      </c>
      <c r="DV15" s="12">
        <v>5.1129900000000013E-2</v>
      </c>
      <c r="DW15" s="12">
        <v>2.5538627146832551E-2</v>
      </c>
      <c r="DX15" s="12">
        <v>2.7959700000000021E-2</v>
      </c>
      <c r="DY15" s="12">
        <v>0.1436096</v>
      </c>
      <c r="DZ15" s="12">
        <v>1.8920244069384411E-2</v>
      </c>
      <c r="EA15" s="12">
        <v>0.1091777</v>
      </c>
      <c r="EB15" s="12">
        <v>-5.6128999999999998E-2</v>
      </c>
      <c r="EC15" s="12">
        <v>6.6081856047946447E-2</v>
      </c>
      <c r="ED15" s="12">
        <v>0.1133570559353114</v>
      </c>
      <c r="EE15" s="12">
        <v>1.6245414536088298E-2</v>
      </c>
      <c r="EF15" s="12">
        <v>-6.5700991138842244E-2</v>
      </c>
      <c r="EG15" s="10">
        <f t="shared" si="6"/>
        <v>3.2489193266638496E-2</v>
      </c>
      <c r="EH15">
        <f t="shared" si="7"/>
        <v>8.1933104836453385E-2</v>
      </c>
      <c r="EI15" s="10">
        <f t="shared" si="8"/>
        <v>0.39653316362769547</v>
      </c>
    </row>
    <row r="16" spans="1:139">
      <c r="A16">
        <v>107</v>
      </c>
      <c r="B16">
        <v>9</v>
      </c>
      <c r="C16" s="12">
        <v>2.7383644610379052E-2</v>
      </c>
      <c r="D16" s="12">
        <v>7.202486673170555E-4</v>
      </c>
      <c r="E16" s="12">
        <v>6.5004888888888904E-2</v>
      </c>
      <c r="F16" s="12">
        <v>9.9382492855487087E-2</v>
      </c>
      <c r="G16" s="12">
        <v>7.3696265126923857E-2</v>
      </c>
      <c r="H16" s="12">
        <v>7.2848777777777762E-2</v>
      </c>
      <c r="I16" s="12">
        <v>-5.7530618665621432E-2</v>
      </c>
      <c r="J16" s="12">
        <v>-6.8693444444444446E-2</v>
      </c>
      <c r="K16" s="12">
        <v>0.28467055022653209</v>
      </c>
      <c r="L16" s="12">
        <v>-9.8865345878687977E-3</v>
      </c>
      <c r="M16" s="12">
        <v>-0.19487577777777779</v>
      </c>
      <c r="N16" s="12">
        <v>-0.1256706255427503</v>
      </c>
      <c r="O16" s="12">
        <v>1.562111111111111E-2</v>
      </c>
      <c r="P16" s="12">
        <v>6.1979777777777773E-2</v>
      </c>
      <c r="Q16" s="12">
        <v>9.6619888888888894E-2</v>
      </c>
      <c r="R16" s="12">
        <v>4.899097828292652E-2</v>
      </c>
      <c r="S16" s="12">
        <v>0.28706302039879478</v>
      </c>
      <c r="T16" s="12">
        <v>-2.322744444444445E-2</v>
      </c>
      <c r="U16" s="12">
        <v>0.1300624714297445</v>
      </c>
      <c r="V16" s="12">
        <v>-0.1043152222222222</v>
      </c>
      <c r="W16" s="12">
        <v>0.10166567604781181</v>
      </c>
      <c r="X16" s="12">
        <v>0.12440978370848681</v>
      </c>
      <c r="Y16" s="12">
        <v>-4.2885555555555559E-3</v>
      </c>
      <c r="Z16" s="12">
        <v>-2.0075777777777779E-2</v>
      </c>
      <c r="AA16" s="12">
        <v>5.022766666666667E-2</v>
      </c>
      <c r="AB16" s="12">
        <v>-7.1015999999999996E-2</v>
      </c>
      <c r="AC16" s="12">
        <v>-4.1040111111111117E-2</v>
      </c>
      <c r="AD16" s="12">
        <v>3.4810999999999988E-2</v>
      </c>
      <c r="AE16" s="12">
        <v>5.153399999999999E-2</v>
      </c>
      <c r="AF16" s="12">
        <v>1.5010333333333341E-2</v>
      </c>
      <c r="AG16" s="12">
        <v>-8.3015555555555516E-3</v>
      </c>
      <c r="AH16" s="12">
        <v>-3.1765400449440553E-2</v>
      </c>
      <c r="AI16" s="12">
        <v>9.052311111111111E-2</v>
      </c>
      <c r="AJ16" s="12">
        <v>-7.0259660718760518E-3</v>
      </c>
      <c r="AK16" s="12">
        <v>6.4421400832372078E-2</v>
      </c>
      <c r="AL16" s="12">
        <v>4.8688933104523248E-2</v>
      </c>
      <c r="AM16" s="12">
        <v>2.3732555555555559E-2</v>
      </c>
      <c r="AN16" s="12">
        <v>5.2712111111111133E-2</v>
      </c>
      <c r="AO16" s="12">
        <v>6.1424671825912318E-2</v>
      </c>
      <c r="AP16" s="12">
        <v>5.2404444444444451E-3</v>
      </c>
      <c r="AQ16" s="12">
        <v>-2.403255555555555E-2</v>
      </c>
      <c r="AR16" s="12">
        <v>3.2492222222222207E-2</v>
      </c>
      <c r="AS16" s="12">
        <v>-2.8078666666666661E-2</v>
      </c>
      <c r="AT16" s="12">
        <v>3.9392222222222146E-3</v>
      </c>
      <c r="AU16" s="12">
        <v>0.17023655555555561</v>
      </c>
      <c r="AV16" s="12">
        <v>2.360855555555556E-2</v>
      </c>
      <c r="AW16" s="12">
        <v>9.3057777777777767E-2</v>
      </c>
      <c r="AX16" s="12">
        <v>-6.8555555555555609E-3</v>
      </c>
      <c r="AY16" s="12">
        <v>-3.4672777777777768E-2</v>
      </c>
      <c r="AZ16" s="12">
        <v>4.6827888888888877E-2</v>
      </c>
      <c r="BA16" s="12">
        <v>0.15999111111111111</v>
      </c>
      <c r="BB16" s="12">
        <v>0.13247400000000001</v>
      </c>
      <c r="BC16" s="12">
        <v>-3.963666666666666E-2</v>
      </c>
      <c r="BD16" s="12">
        <v>6.2841111111111118E-3</v>
      </c>
      <c r="BE16" s="12">
        <v>5.1410994394474947E-2</v>
      </c>
      <c r="BF16" s="12">
        <v>6.4268054319718215E-2</v>
      </c>
      <c r="BG16" s="12">
        <v>1.9331222222222229E-2</v>
      </c>
      <c r="BH16" s="12">
        <v>-6.2040000000000012E-2</v>
      </c>
      <c r="BI16" s="12">
        <v>2.5620888888888881E-2</v>
      </c>
      <c r="BJ16" s="12">
        <v>8.1428888888888912E-2</v>
      </c>
      <c r="BK16" s="12">
        <v>0.1047732222222222</v>
      </c>
      <c r="BL16" s="12">
        <v>7.0623565707523178E-2</v>
      </c>
      <c r="BM16" s="12">
        <v>8.1523875041965066E-2</v>
      </c>
      <c r="BN16" s="12">
        <v>6.7199333333333333E-2</v>
      </c>
      <c r="BO16" s="12">
        <v>2.1890359953657689E-2</v>
      </c>
      <c r="BP16" s="12">
        <v>2.0843183547580579E-2</v>
      </c>
      <c r="BQ16" s="12">
        <v>2.786622222222223E-2</v>
      </c>
      <c r="BR16" s="12">
        <v>1.225966666666666E-2</v>
      </c>
      <c r="BS16" s="12">
        <v>-1.319157314746418E-2</v>
      </c>
      <c r="BT16" s="12">
        <v>8.5483191267799616E-2</v>
      </c>
      <c r="BU16" s="12">
        <v>-0.1015372222222222</v>
      </c>
      <c r="BV16" s="12">
        <v>9.4510444444444452E-2</v>
      </c>
      <c r="BW16" s="12">
        <v>0.22394500000000001</v>
      </c>
      <c r="BX16" s="12">
        <v>2.4078888888888889E-2</v>
      </c>
      <c r="BY16" s="12">
        <v>-0.1189954444444445</v>
      </c>
      <c r="BZ16" s="12">
        <v>9.2629555555555548E-2</v>
      </c>
      <c r="CA16" s="12">
        <v>2.7431000000000001E-2</v>
      </c>
      <c r="CB16" s="12">
        <v>0.13930899999999999</v>
      </c>
      <c r="CC16" s="12">
        <v>4.4386333333333347E-2</v>
      </c>
      <c r="CD16" s="12">
        <v>8.7750000000000009E-2</v>
      </c>
      <c r="CE16" s="12">
        <v>0.13259506079351141</v>
      </c>
      <c r="CF16" s="12">
        <v>-0.10520126400975099</v>
      </c>
      <c r="CG16" s="12">
        <v>0.14619666666666681</v>
      </c>
      <c r="CH16" s="12">
        <v>-1.852144444444442E-2</v>
      </c>
      <c r="CI16" s="12">
        <v>-5.834333333333333E-2</v>
      </c>
      <c r="CJ16" s="12">
        <v>2.780022222222224E-2</v>
      </c>
      <c r="CK16" s="12">
        <v>7.0732777777777783E-2</v>
      </c>
      <c r="CL16" s="12">
        <v>-1.5878682334709331E-2</v>
      </c>
      <c r="CM16" s="12">
        <v>-8.8988628149511667E-2</v>
      </c>
      <c r="CN16" s="12">
        <v>9.6095555555555569E-3</v>
      </c>
      <c r="CO16" s="12">
        <v>0.18245195453982929</v>
      </c>
      <c r="CP16" s="12">
        <v>-3.0684555555555559E-2</v>
      </c>
      <c r="CQ16" s="12">
        <v>0.16845099999999999</v>
      </c>
      <c r="CR16" s="12">
        <v>-4.829976668331655E-2</v>
      </c>
      <c r="CS16" s="12">
        <v>-6.6559159874073834E-2</v>
      </c>
      <c r="CT16" s="12">
        <v>4.8903888888888879E-2</v>
      </c>
      <c r="CU16" s="12">
        <v>6.343465435897469E-2</v>
      </c>
      <c r="CV16" s="12">
        <v>1.6751084080720881E-2</v>
      </c>
      <c r="CW16" s="12">
        <v>9.1941595326216954E-3</v>
      </c>
      <c r="CX16" s="12">
        <v>-1.224028475424996E-2</v>
      </c>
      <c r="CY16" s="12">
        <v>5.8554555555555547E-2</v>
      </c>
      <c r="CZ16" s="12">
        <v>0.1662207777777778</v>
      </c>
      <c r="DA16" s="12">
        <v>2.9804793967235531E-2</v>
      </c>
      <c r="DB16" s="12">
        <v>9.8016666666666655E-2</v>
      </c>
      <c r="DC16" s="12">
        <v>6.3740111111111108E-2</v>
      </c>
      <c r="DD16" s="12">
        <v>-7.4370111111111095E-2</v>
      </c>
      <c r="DE16" s="12">
        <v>-5.6325333333333331E-2</v>
      </c>
      <c r="DF16" s="12">
        <v>0.32558088888888892</v>
      </c>
      <c r="DG16" s="12">
        <v>-4.5677000000000002E-2</v>
      </c>
      <c r="DH16" s="12">
        <v>0.13714944444444449</v>
      </c>
      <c r="DI16" s="12">
        <v>4.7828777777777769E-2</v>
      </c>
      <c r="DJ16" s="12">
        <v>5.1753111111111111E-2</v>
      </c>
      <c r="DK16" s="12">
        <v>-9.6254333333333331E-2</v>
      </c>
      <c r="DL16" s="12">
        <v>1.3668888888888899E-3</v>
      </c>
      <c r="DM16" s="12">
        <v>3.8135333333333327E-2</v>
      </c>
      <c r="DN16" s="12">
        <v>4.2437853359407113E-2</v>
      </c>
      <c r="DO16" s="12">
        <v>0.1695906666666667</v>
      </c>
      <c r="DP16" s="12">
        <v>1.9841948579226051E-2</v>
      </c>
      <c r="DQ16" s="12">
        <v>-6.7559999999999995E-2</v>
      </c>
      <c r="DR16" s="12">
        <v>-1.117833333333333E-2</v>
      </c>
      <c r="DS16" s="12">
        <v>-9.3752064989754288E-2</v>
      </c>
      <c r="DT16" s="12">
        <v>3.2059333333333329E-2</v>
      </c>
      <c r="DU16" s="12">
        <v>-0.12277299999999999</v>
      </c>
      <c r="DV16" s="12">
        <v>4.5151777777777777E-2</v>
      </c>
      <c r="DW16" s="12">
        <v>4.0917729699690833E-2</v>
      </c>
      <c r="DX16" s="12">
        <v>3.7507111111111102E-2</v>
      </c>
      <c r="DY16" s="12">
        <v>0.15757177777777781</v>
      </c>
      <c r="DZ16" s="12">
        <v>3.1277079824676451E-2</v>
      </c>
      <c r="EA16" s="12">
        <v>0.13979988888888889</v>
      </c>
      <c r="EB16" s="12">
        <v>-7.0877777777777762E-2</v>
      </c>
      <c r="EC16" s="12">
        <v>6.3532066634569728E-2</v>
      </c>
      <c r="ED16" s="12">
        <v>0.1154167474989211</v>
      </c>
      <c r="EE16" s="12">
        <v>2.3090711524611399E-2</v>
      </c>
      <c r="EF16" s="12">
        <v>-4.2474401493907223E-2</v>
      </c>
      <c r="EG16" s="10">
        <f t="shared" si="6"/>
        <v>3.4445330111862939E-2</v>
      </c>
      <c r="EH16">
        <f t="shared" si="7"/>
        <v>8.4136949661802504E-2</v>
      </c>
      <c r="EI16" s="10">
        <f t="shared" si="8"/>
        <v>0.40939599367839741</v>
      </c>
    </row>
    <row r="17" spans="1:139">
      <c r="A17">
        <v>120</v>
      </c>
      <c r="B17">
        <v>8</v>
      </c>
      <c r="C17" s="12">
        <v>4.1028984252961823E-2</v>
      </c>
      <c r="D17" s="12">
        <v>1.7334374733087798E-2</v>
      </c>
      <c r="E17" s="12">
        <v>7.958800000000002E-2</v>
      </c>
      <c r="F17" s="12">
        <v>0.1128375151172957</v>
      </c>
      <c r="G17" s="12">
        <v>7.122276687818177E-2</v>
      </c>
      <c r="H17" s="12">
        <v>0.10499475</v>
      </c>
      <c r="I17" s="12">
        <v>-0.1137250278021875</v>
      </c>
      <c r="J17" s="12">
        <v>-0.11529837499999999</v>
      </c>
      <c r="K17" s="12">
        <v>0.29682655110056239</v>
      </c>
      <c r="L17" s="12">
        <v>-9.7108895081580021E-3</v>
      </c>
      <c r="M17" s="12">
        <v>-0.22693987500000001</v>
      </c>
      <c r="N17" s="12">
        <v>-0.1359484320527852</v>
      </c>
      <c r="O17" s="12">
        <v>2.4632125000000001E-2</v>
      </c>
      <c r="P17" s="12">
        <v>7.6915624999999987E-2</v>
      </c>
      <c r="Q17" s="12">
        <v>0.106432375</v>
      </c>
      <c r="R17" s="12">
        <v>5.2057608904527208E-2</v>
      </c>
      <c r="S17" s="12">
        <v>0.31065343265529821</v>
      </c>
      <c r="T17" s="12">
        <v>-2.3508375000000001E-2</v>
      </c>
      <c r="U17" s="12">
        <v>0.14127114253855691</v>
      </c>
      <c r="V17" s="12">
        <v>-0.116355125</v>
      </c>
      <c r="W17" s="12">
        <v>0.1196039840123075</v>
      </c>
      <c r="X17" s="12">
        <v>0.1168461979408036</v>
      </c>
      <c r="Y17" s="12">
        <v>1.4991250000000039E-3</v>
      </c>
      <c r="Z17" s="12">
        <v>-2.1608499999999999E-2</v>
      </c>
      <c r="AA17" s="12">
        <v>6.2256125000000002E-2</v>
      </c>
      <c r="AB17" s="12">
        <v>-5.8334375000000008E-2</v>
      </c>
      <c r="AC17" s="12">
        <v>-4.0799124999999999E-2</v>
      </c>
      <c r="AD17" s="12">
        <v>6.8619874999999997E-2</v>
      </c>
      <c r="AE17" s="12">
        <v>5.9443249999999989E-2</v>
      </c>
      <c r="AF17" s="12">
        <v>8.412625E-3</v>
      </c>
      <c r="AG17" s="12">
        <v>-1.3512499999999981E-3</v>
      </c>
      <c r="AH17" s="12">
        <v>-3.5472619172888853E-2</v>
      </c>
      <c r="AI17" s="12">
        <v>0.114865125</v>
      </c>
      <c r="AJ17" s="12">
        <v>-4.2602630518956887E-2</v>
      </c>
      <c r="AK17" s="12">
        <v>7.3716274739036441E-2</v>
      </c>
      <c r="AL17" s="12">
        <v>5.0724405748556509E-2</v>
      </c>
      <c r="AM17" s="12">
        <v>2.7869125000000002E-2</v>
      </c>
      <c r="AN17" s="12">
        <v>4.9360374999999998E-2</v>
      </c>
      <c r="AO17" s="12">
        <v>1.2632334595724191E-2</v>
      </c>
      <c r="AP17" s="12">
        <v>3.7592499999999991E-3</v>
      </c>
      <c r="AQ17" s="12">
        <v>-9.2303749999999955E-3</v>
      </c>
      <c r="AR17" s="12">
        <v>3.4996625000000003E-2</v>
      </c>
      <c r="AS17" s="12">
        <v>-2.951599999999999E-2</v>
      </c>
      <c r="AT17" s="12">
        <v>1.4323749999999929E-3</v>
      </c>
      <c r="AU17" s="12">
        <v>0.177562625</v>
      </c>
      <c r="AV17" s="12">
        <v>2.7563375000000011E-2</v>
      </c>
      <c r="AW17" s="12">
        <v>0.1120025</v>
      </c>
      <c r="AX17" s="12">
        <v>1.0592374999999999E-2</v>
      </c>
      <c r="AY17" s="12">
        <v>-4.6811125000000009E-2</v>
      </c>
      <c r="AZ17" s="12">
        <v>4.7981374999999993E-2</v>
      </c>
      <c r="BA17" s="12">
        <v>0.16280649999999999</v>
      </c>
      <c r="BB17" s="12">
        <v>0.15327075000000001</v>
      </c>
      <c r="BC17" s="12">
        <v>-5.7764999999999997E-2</v>
      </c>
      <c r="BD17" s="12">
        <v>1.9414125000000001E-2</v>
      </c>
      <c r="BE17" s="12">
        <v>7.7350242238060404E-2</v>
      </c>
      <c r="BF17" s="12">
        <v>5.5197496608953713E-2</v>
      </c>
      <c r="BG17" s="12">
        <v>-1.3153750000000001E-2</v>
      </c>
      <c r="BH17" s="12">
        <v>-4.8738750000000011E-2</v>
      </c>
      <c r="BI17" s="12">
        <v>5.7450749999999988E-2</v>
      </c>
      <c r="BJ17" s="12">
        <v>8.9192500000000008E-2</v>
      </c>
      <c r="BK17" s="12">
        <v>0.114816125</v>
      </c>
      <c r="BL17" s="12">
        <v>7.7482966799946165E-2</v>
      </c>
      <c r="BM17" s="12">
        <v>7.5997770445859966E-2</v>
      </c>
      <c r="BN17" s="12">
        <v>7.3658000000000001E-2</v>
      </c>
      <c r="BO17" s="12">
        <v>3.5179615416723611E-2</v>
      </c>
      <c r="BP17" s="12">
        <v>3.5995979654480911E-2</v>
      </c>
      <c r="BQ17" s="12">
        <v>4.8645500000000001E-2</v>
      </c>
      <c r="BR17" s="12">
        <v>3.5004624999999991E-2</v>
      </c>
      <c r="BS17" s="12">
        <v>-4.1034691106065987E-3</v>
      </c>
      <c r="BT17" s="12">
        <v>0.1094163788704233</v>
      </c>
      <c r="BU17" s="12">
        <v>-0.104524375</v>
      </c>
      <c r="BV17" s="12">
        <v>0.106643875</v>
      </c>
      <c r="BW17" s="12">
        <v>0.22723437499999999</v>
      </c>
      <c r="BX17" s="12">
        <v>7.0964999999999986E-3</v>
      </c>
      <c r="BY17" s="12">
        <v>-9.5862375000000014E-2</v>
      </c>
      <c r="BZ17" s="12">
        <v>0.10695200000000001</v>
      </c>
      <c r="CA17" s="12">
        <v>2.7196125000000002E-2</v>
      </c>
      <c r="CB17" s="12">
        <v>0.14963337500000001</v>
      </c>
      <c r="CC17" s="12">
        <v>4.1758499999999997E-2</v>
      </c>
      <c r="CD17" s="12">
        <v>6.4104625000000012E-2</v>
      </c>
      <c r="CE17" s="12">
        <v>0.17511624550605151</v>
      </c>
      <c r="CF17" s="12">
        <v>-9.8746197426198501E-2</v>
      </c>
      <c r="CG17" s="12">
        <v>0.17703537500000011</v>
      </c>
      <c r="CH17" s="12">
        <v>-2.2754625000000001E-2</v>
      </c>
      <c r="CI17" s="12">
        <v>-8.2451250000000004E-2</v>
      </c>
      <c r="CJ17" s="12">
        <v>3.8321750000000009E-2</v>
      </c>
      <c r="CK17" s="12">
        <v>7.5744000000000006E-2</v>
      </c>
      <c r="CL17" s="12">
        <v>9.426344769031314E-3</v>
      </c>
      <c r="CM17" s="12">
        <v>-0.13456934443157431</v>
      </c>
      <c r="CN17" s="12">
        <v>1.3630750000000001E-2</v>
      </c>
      <c r="CO17" s="12">
        <v>0.20253862726298949</v>
      </c>
      <c r="CP17" s="12">
        <v>-2.1610000000000001E-2</v>
      </c>
      <c r="CQ17" s="12">
        <v>0.17313087499999999</v>
      </c>
      <c r="CR17" s="12">
        <v>-5.0676490702223173E-2</v>
      </c>
      <c r="CS17" s="12">
        <v>-9.6841631299569769E-2</v>
      </c>
      <c r="CT17" s="12">
        <v>5.8654249999999991E-2</v>
      </c>
      <c r="CU17" s="12">
        <v>7.440830758325391E-2</v>
      </c>
      <c r="CV17" s="12">
        <v>-3.8796079399274282E-3</v>
      </c>
      <c r="CW17" s="12">
        <v>1.976185390935294E-2</v>
      </c>
      <c r="CX17" s="12">
        <v>-1.0772394523947831E-2</v>
      </c>
      <c r="CY17" s="12">
        <v>5.9498124999999999E-2</v>
      </c>
      <c r="CZ17" s="12">
        <v>0.184135875</v>
      </c>
      <c r="DA17" s="12">
        <v>4.3895859145134192E-2</v>
      </c>
      <c r="DB17" s="12">
        <v>0.104271</v>
      </c>
      <c r="DC17" s="12">
        <v>5.3887499999999991E-2</v>
      </c>
      <c r="DD17" s="12">
        <v>-4.8129999999999992E-2</v>
      </c>
      <c r="DE17" s="12">
        <v>-5.1665374999999999E-2</v>
      </c>
      <c r="DF17" s="12">
        <v>0.35222737500000001</v>
      </c>
      <c r="DG17" s="12">
        <v>-4.7211125000000007E-2</v>
      </c>
      <c r="DH17" s="12">
        <v>0.16343337499999999</v>
      </c>
      <c r="DI17" s="12">
        <v>7.0181249999999987E-2</v>
      </c>
      <c r="DJ17" s="12">
        <v>5.7146374999999999E-2</v>
      </c>
      <c r="DK17" s="12">
        <v>-0.10277987500000001</v>
      </c>
      <c r="DL17" s="12">
        <v>-5.7897499999999998E-3</v>
      </c>
      <c r="DM17" s="12">
        <v>4.2563499999999997E-2</v>
      </c>
      <c r="DN17" s="12">
        <v>3.5489032714339008E-2</v>
      </c>
      <c r="DO17" s="12">
        <v>0.17976200000000001</v>
      </c>
      <c r="DP17" s="12">
        <v>-1.651850825662354E-2</v>
      </c>
      <c r="DQ17" s="12">
        <v>-6.5243999999999996E-2</v>
      </c>
      <c r="DR17" s="12">
        <v>-2.5726499999999999E-2</v>
      </c>
      <c r="DS17" s="12">
        <v>-0.12431615980481089</v>
      </c>
      <c r="DT17" s="12">
        <v>1.6743000000000001E-2</v>
      </c>
      <c r="DU17" s="12">
        <v>-0.129494</v>
      </c>
      <c r="DV17" s="12">
        <v>6.2272374999999998E-2</v>
      </c>
      <c r="DW17" s="12">
        <v>4.8681483414150163E-2</v>
      </c>
      <c r="DX17" s="12">
        <v>4.4121874999999998E-2</v>
      </c>
      <c r="DY17" s="12">
        <v>0.10728225</v>
      </c>
      <c r="DZ17" s="12">
        <v>3.1828172599786188E-2</v>
      </c>
      <c r="EA17" s="12">
        <v>0.16457237499999999</v>
      </c>
      <c r="EB17" s="12">
        <v>-7.3783624999999992E-2</v>
      </c>
      <c r="EC17" s="12">
        <v>1.6425217216060651E-2</v>
      </c>
      <c r="ED17" s="12">
        <v>0.12832444392891271</v>
      </c>
      <c r="EE17" s="12">
        <v>2.5413360310033831E-2</v>
      </c>
      <c r="EF17" s="12">
        <v>-4.7709767009851849E-2</v>
      </c>
      <c r="EG17" s="10">
        <f t="shared" si="6"/>
        <v>3.7066622589926386E-2</v>
      </c>
      <c r="EH17">
        <f t="shared" si="7"/>
        <v>9.2405583148621254E-2</v>
      </c>
      <c r="EI17" s="10">
        <f t="shared" si="8"/>
        <v>0.4011296863990349</v>
      </c>
    </row>
    <row r="18" spans="1:139">
      <c r="A18">
        <v>137</v>
      </c>
      <c r="B18">
        <v>7</v>
      </c>
      <c r="C18" s="12">
        <v>5.3942228163147227E-2</v>
      </c>
      <c r="D18" s="12">
        <v>8.1874670813927297E-3</v>
      </c>
      <c r="E18" s="12">
        <v>5.3437857142857162E-2</v>
      </c>
      <c r="F18" s="12">
        <v>0.13441437443338569</v>
      </c>
      <c r="G18" s="12">
        <v>8.0794247020859855E-2</v>
      </c>
      <c r="H18" s="12">
        <v>0.12853999999999999</v>
      </c>
      <c r="I18" s="12">
        <v>-0.13550018022324109</v>
      </c>
      <c r="J18" s="12">
        <v>-0.12516085714285721</v>
      </c>
      <c r="K18" s="12">
        <v>0.35868209850789973</v>
      </c>
      <c r="L18" s="12">
        <v>-1.298248684698161E-2</v>
      </c>
      <c r="M18" s="12">
        <v>-0.25351285714285721</v>
      </c>
      <c r="N18" s="12">
        <v>-0.1429924272847711</v>
      </c>
      <c r="O18" s="12">
        <v>2.432414285714286E-2</v>
      </c>
      <c r="P18" s="12">
        <v>5.4569714285714277E-2</v>
      </c>
      <c r="Q18" s="12">
        <v>0.1217387142857143</v>
      </c>
      <c r="R18" s="12">
        <v>6.149223787197499E-2</v>
      </c>
      <c r="S18" s="12">
        <v>0.3837326289318943</v>
      </c>
      <c r="T18" s="12">
        <v>-5.0295714285714301E-3</v>
      </c>
      <c r="U18" s="12">
        <v>0.132495024429819</v>
      </c>
      <c r="V18" s="12">
        <v>-0.13125300000000001</v>
      </c>
      <c r="W18" s="12">
        <v>0.1379172379157062</v>
      </c>
      <c r="X18" s="12">
        <v>0.1434515176348406</v>
      </c>
      <c r="Y18" s="12">
        <v>2.4211857142857139E-2</v>
      </c>
      <c r="Z18" s="12">
        <v>-1.690557142857143E-2</v>
      </c>
      <c r="AA18" s="12">
        <v>5.4805571428571433E-2</v>
      </c>
      <c r="AB18" s="12">
        <v>-6.1713999999999991E-2</v>
      </c>
      <c r="AC18" s="12">
        <v>-7.4719857142857143E-2</v>
      </c>
      <c r="AD18" s="12">
        <v>9.6285857142857145E-2</v>
      </c>
      <c r="AE18" s="12">
        <v>7.7200999999999978E-2</v>
      </c>
      <c r="AF18" s="12">
        <v>-1.749571428571428E-3</v>
      </c>
      <c r="AG18" s="12">
        <v>-8.6178571428571424E-3</v>
      </c>
      <c r="AH18" s="12">
        <v>-4.0197460968514703E-2</v>
      </c>
      <c r="AI18" s="12">
        <v>0.11808642857142861</v>
      </c>
      <c r="AJ18" s="12">
        <v>-4.7393756166449127E-2</v>
      </c>
      <c r="AK18" s="12">
        <v>3.0152480597625989E-2</v>
      </c>
      <c r="AL18" s="12">
        <v>4.7527763632257733E-2</v>
      </c>
      <c r="AM18" s="12">
        <v>9.8589999999999962E-3</v>
      </c>
      <c r="AN18" s="12">
        <v>5.3661571428571427E-2</v>
      </c>
      <c r="AO18" s="12">
        <v>5.4275349676927882E-3</v>
      </c>
      <c r="AP18" s="12">
        <v>2.0157142857142869E-3</v>
      </c>
      <c r="AQ18" s="12">
        <v>1.6788142857142859E-2</v>
      </c>
      <c r="AR18" s="12">
        <v>6.169442857142856E-2</v>
      </c>
      <c r="AS18" s="12">
        <v>-4.5373285714285699E-2</v>
      </c>
      <c r="AT18" s="12">
        <v>2.9653571428571422E-2</v>
      </c>
      <c r="AU18" s="12">
        <v>0.19666014285714281</v>
      </c>
      <c r="AV18" s="12">
        <v>3.5058000000000013E-2</v>
      </c>
      <c r="AW18" s="12">
        <v>0.14204285714285711</v>
      </c>
      <c r="AX18" s="12">
        <v>3.3604285714285712E-2</v>
      </c>
      <c r="AY18" s="12">
        <v>-4.2777142857142847E-2</v>
      </c>
      <c r="AZ18" s="12">
        <v>6.6341999999999998E-2</v>
      </c>
      <c r="BA18" s="12">
        <v>0.18047985714285711</v>
      </c>
      <c r="BB18" s="12">
        <v>0.16725728571428569</v>
      </c>
      <c r="BC18" s="12">
        <v>-5.2453142857142851E-2</v>
      </c>
      <c r="BD18" s="12">
        <v>2.0277714285714281E-2</v>
      </c>
      <c r="BE18" s="12">
        <v>6.8361213238162841E-2</v>
      </c>
      <c r="BF18" s="12">
        <v>4.5884536299578838E-2</v>
      </c>
      <c r="BG18" s="12">
        <v>-2.3085714285714242E-3</v>
      </c>
      <c r="BH18" s="12">
        <v>-6.2935714285714275E-2</v>
      </c>
      <c r="BI18" s="12">
        <v>3.3489571428571417E-2</v>
      </c>
      <c r="BJ18" s="12">
        <v>9.9532714285714308E-2</v>
      </c>
      <c r="BK18" s="12">
        <v>7.3456142857142859E-2</v>
      </c>
      <c r="BL18" s="12">
        <v>8.1157673820204085E-2</v>
      </c>
      <c r="BM18" s="12">
        <v>0.1027739390634396</v>
      </c>
      <c r="BN18" s="12">
        <v>7.8210142857142853E-2</v>
      </c>
      <c r="BO18" s="12">
        <v>2.0227496106374639E-2</v>
      </c>
      <c r="BP18" s="12">
        <v>4.6857540334682007E-2</v>
      </c>
      <c r="BQ18" s="12">
        <v>5.8287714285714283E-2</v>
      </c>
      <c r="BR18" s="12">
        <v>2.6288285714285708E-2</v>
      </c>
      <c r="BS18" s="12">
        <v>-3.9836250971192512E-3</v>
      </c>
      <c r="BT18" s="12">
        <v>0.1152367480358866</v>
      </c>
      <c r="BU18" s="12">
        <v>-0.1114621428571428</v>
      </c>
      <c r="BV18" s="12">
        <v>0.1155055714285714</v>
      </c>
      <c r="BW18" s="12">
        <v>0.2610392857142857</v>
      </c>
      <c r="BX18" s="12">
        <v>-1.5810714285714289E-2</v>
      </c>
      <c r="BY18" s="12">
        <v>-6.2688428571428589E-2</v>
      </c>
      <c r="BZ18" s="12">
        <v>0.10981514285714281</v>
      </c>
      <c r="CA18" s="12">
        <v>3.3285857142857138E-2</v>
      </c>
      <c r="CB18" s="12">
        <v>0.1068462857142857</v>
      </c>
      <c r="CC18" s="12">
        <v>0.1046597142857143</v>
      </c>
      <c r="CD18" s="12">
        <v>5.0445000000000011E-2</v>
      </c>
      <c r="CE18" s="12">
        <v>0.1779263563088774</v>
      </c>
      <c r="CF18" s="12">
        <v>-7.1817591700374064E-2</v>
      </c>
      <c r="CG18" s="12">
        <v>0.2266421428571429</v>
      </c>
      <c r="CH18" s="12">
        <v>-2.5440571428571441E-2</v>
      </c>
      <c r="CI18" s="12">
        <v>-0.1177235714285714</v>
      </c>
      <c r="CJ18" s="12">
        <v>2.8684714285714289E-2</v>
      </c>
      <c r="CK18" s="12">
        <v>7.3221142857142874E-2</v>
      </c>
      <c r="CL18" s="12">
        <v>3.0989545058193121E-2</v>
      </c>
      <c r="CM18" s="12">
        <v>-0.14364854316439371</v>
      </c>
      <c r="CN18" s="12">
        <v>-2.8616857142857138E-2</v>
      </c>
      <c r="CO18" s="12">
        <v>0.23157387854942929</v>
      </c>
      <c r="CP18" s="12">
        <v>-1.549814285714286E-2</v>
      </c>
      <c r="CQ18" s="12">
        <v>0.20974271428571431</v>
      </c>
      <c r="CR18" s="12">
        <v>-5.5156128716592027E-2</v>
      </c>
      <c r="CS18" s="12">
        <v>-7.802724673197127E-2</v>
      </c>
      <c r="CT18" s="12">
        <v>7.687085714285713E-2</v>
      </c>
      <c r="CU18" s="12">
        <v>7.1648691205109999E-2</v>
      </c>
      <c r="CV18" s="12">
        <v>-9.1040282230288663E-2</v>
      </c>
      <c r="CW18" s="12">
        <v>8.4560855645258066E-3</v>
      </c>
      <c r="CX18" s="12">
        <v>-6.1560185833778078E-2</v>
      </c>
      <c r="CY18" s="12">
        <v>7.1432142857142861E-2</v>
      </c>
      <c r="CZ18" s="12">
        <v>0.20441242857142861</v>
      </c>
      <c r="DA18" s="12">
        <v>4.7380939518693557E-2</v>
      </c>
      <c r="DB18" s="12">
        <v>0.118114</v>
      </c>
      <c r="DC18" s="12">
        <v>4.9208571428571428E-2</v>
      </c>
      <c r="DD18" s="12">
        <v>-7.1071285714285712E-2</v>
      </c>
      <c r="DE18" s="12">
        <v>-3.9306714285714278E-2</v>
      </c>
      <c r="DF18" s="12">
        <v>0.36669357142857151</v>
      </c>
      <c r="DG18" s="12">
        <v>-5.4770714285714277E-2</v>
      </c>
      <c r="DH18" s="12">
        <v>0.1924025714285714</v>
      </c>
      <c r="DI18" s="12">
        <v>9.7962857142857129E-2</v>
      </c>
      <c r="DJ18" s="12">
        <v>5.0654999999999999E-2</v>
      </c>
      <c r="DK18" s="12">
        <v>-0.1065258571428571</v>
      </c>
      <c r="DL18" s="12">
        <v>-2.3409571428571429E-2</v>
      </c>
      <c r="DM18" s="12">
        <v>5.8456714285714292E-2</v>
      </c>
      <c r="DN18" s="12">
        <v>-1.6722064078021251E-2</v>
      </c>
      <c r="DO18" s="12">
        <v>0.22031957142857139</v>
      </c>
      <c r="DP18" s="12">
        <v>-2.0604686466865741E-2</v>
      </c>
      <c r="DQ18" s="12">
        <v>-6.1954714285714287E-2</v>
      </c>
      <c r="DR18" s="12">
        <v>-1.0451714285714279E-2</v>
      </c>
      <c r="DS18" s="12">
        <v>-0.1477219984517327</v>
      </c>
      <c r="DT18" s="12">
        <v>-7.4077142857142883E-3</v>
      </c>
      <c r="DU18" s="12">
        <v>-0.15871542857142859</v>
      </c>
      <c r="DV18" s="12">
        <v>8.5405857142857144E-2</v>
      </c>
      <c r="DW18" s="12">
        <v>8.1908692284373169E-2</v>
      </c>
      <c r="DX18" s="12">
        <v>6.1783714285714289E-2</v>
      </c>
      <c r="DY18" s="12">
        <v>0.13683228571428571</v>
      </c>
      <c r="DZ18" s="12">
        <v>7.5516359296365659E-2</v>
      </c>
      <c r="EA18" s="12">
        <v>0.19894728571428569</v>
      </c>
      <c r="EB18" s="12">
        <v>-9.7044999999999992E-2</v>
      </c>
      <c r="EC18" s="12">
        <v>2.764115425371385E-3</v>
      </c>
      <c r="ED18" s="12">
        <v>0.11047802186576559</v>
      </c>
      <c r="EE18" s="12">
        <v>1.385375397450707E-2</v>
      </c>
      <c r="EF18" s="12">
        <v>-4.8955017110416547E-2</v>
      </c>
      <c r="EG18" s="10">
        <f t="shared" si="6"/>
        <v>3.9908536484504993E-2</v>
      </c>
      <c r="EH18">
        <f t="shared" si="7"/>
        <v>0.10491968273556944</v>
      </c>
      <c r="EI18" s="10">
        <f t="shared" si="8"/>
        <v>0.38037225660591295</v>
      </c>
    </row>
    <row r="19" spans="1:139">
      <c r="A19">
        <v>160</v>
      </c>
      <c r="B19">
        <v>6</v>
      </c>
      <c r="C19" s="12">
        <v>7.7959416087486216E-2</v>
      </c>
      <c r="D19" s="12">
        <v>2.017079945419575E-2</v>
      </c>
      <c r="E19" s="12">
        <v>6.5812499999999996E-2</v>
      </c>
      <c r="F19" s="12">
        <v>3.864668188624408E-2</v>
      </c>
      <c r="G19" s="12">
        <v>9.7512090561600123E-2</v>
      </c>
      <c r="H19" s="12">
        <v>0.17761016666666671</v>
      </c>
      <c r="I19" s="12">
        <v>-0.1346543328914665</v>
      </c>
      <c r="J19" s="12">
        <v>-0.1562291666666667</v>
      </c>
      <c r="K19" s="12">
        <v>0.41833785096963422</v>
      </c>
      <c r="L19" s="12">
        <v>-4.3048957635166023E-2</v>
      </c>
      <c r="M19" s="12">
        <v>-0.26154166666666667</v>
      </c>
      <c r="N19" s="12">
        <v>-9.5347885689980899E-2</v>
      </c>
      <c r="O19" s="12">
        <v>-1.9796999999999999E-2</v>
      </c>
      <c r="P19" s="12">
        <v>2.2785333333333321E-2</v>
      </c>
      <c r="Q19" s="12">
        <v>0.1704643333333333</v>
      </c>
      <c r="R19" s="12">
        <v>9.0299090630856282E-2</v>
      </c>
      <c r="S19" s="12">
        <v>0.18416011669760801</v>
      </c>
      <c r="T19" s="12">
        <v>-0.1095268333333333</v>
      </c>
      <c r="U19" s="12">
        <v>0.13569833863192321</v>
      </c>
      <c r="V19" s="12">
        <v>-0.1186835</v>
      </c>
      <c r="W19" s="12">
        <v>0.14662099071751011</v>
      </c>
      <c r="X19" s="12">
        <v>0.1166390452640934</v>
      </c>
      <c r="Y19" s="12">
        <v>2.4062166666666669E-2</v>
      </c>
      <c r="Z19" s="12">
        <v>-2.2223E-2</v>
      </c>
      <c r="AA19" s="12">
        <v>4.7301666666666672E-2</v>
      </c>
      <c r="AB19" s="12">
        <v>-6.0762499999999997E-2</v>
      </c>
      <c r="AC19" s="12">
        <v>-8.3512833333333328E-2</v>
      </c>
      <c r="AD19" s="12">
        <v>9.5992833333333333E-2</v>
      </c>
      <c r="AE19" s="12">
        <v>0.11523116666666661</v>
      </c>
      <c r="AF19" s="12">
        <v>2.6383333333333288E-4</v>
      </c>
      <c r="AG19" s="12">
        <v>1.92985E-2</v>
      </c>
      <c r="AH19" s="12">
        <v>-5.6557715221703553E-2</v>
      </c>
      <c r="AI19" s="12">
        <v>9.154933333333333E-2</v>
      </c>
      <c r="AJ19" s="12">
        <v>-5.1545290327262273E-2</v>
      </c>
      <c r="AK19" s="12">
        <v>7.5520425059527104E-3</v>
      </c>
      <c r="AL19" s="12">
        <v>7.0270945670805551E-2</v>
      </c>
      <c r="AM19" s="12">
        <v>1.05325E-2</v>
      </c>
      <c r="AN19" s="12">
        <v>6.2111333333333338E-2</v>
      </c>
      <c r="AO19" s="12">
        <v>2.589290304541441E-2</v>
      </c>
      <c r="AP19" s="12">
        <v>9.7129999999999959E-3</v>
      </c>
      <c r="AQ19" s="12">
        <v>5.4927833333333342E-2</v>
      </c>
      <c r="AR19" s="12">
        <v>7.4616833333333327E-2</v>
      </c>
      <c r="AS19" s="12">
        <v>-3.6869999999999841E-3</v>
      </c>
      <c r="AT19" s="12">
        <v>1.1183666666666659E-2</v>
      </c>
      <c r="AU19" s="12">
        <v>0.23884516666666669</v>
      </c>
      <c r="AV19" s="12">
        <v>4.2677666666666669E-2</v>
      </c>
      <c r="AW19" s="12">
        <v>0.1248628333333333</v>
      </c>
      <c r="AX19" s="12">
        <v>6.4064999999999997E-2</v>
      </c>
      <c r="AY19" s="12">
        <v>-6.0852666666666673E-2</v>
      </c>
      <c r="AZ19" s="12">
        <v>8.403233333333332E-2</v>
      </c>
      <c r="BA19" s="12">
        <v>0.186997</v>
      </c>
      <c r="BB19" s="12">
        <v>0.20180183333333329</v>
      </c>
      <c r="BC19" s="12">
        <v>-6.1071499999999987E-2</v>
      </c>
      <c r="BD19" s="12">
        <v>-7.0833333333334206E-5</v>
      </c>
      <c r="BE19" s="12">
        <v>5.1131873963666558E-2</v>
      </c>
      <c r="BF19" s="12">
        <v>1.3570974149138619E-2</v>
      </c>
      <c r="BG19" s="12">
        <v>9.6333333333333687E-4</v>
      </c>
      <c r="BH19" s="12">
        <v>-5.7135000000000012E-2</v>
      </c>
      <c r="BI19" s="12">
        <v>2.5938499999999989E-2</v>
      </c>
      <c r="BJ19" s="12">
        <v>5.1820166666666667E-2</v>
      </c>
      <c r="BK19" s="12">
        <v>9.7038833333333324E-2</v>
      </c>
      <c r="BL19" s="12">
        <v>7.9964658146503109E-2</v>
      </c>
      <c r="BM19" s="12">
        <v>0.1142506002586957</v>
      </c>
      <c r="BN19" s="12">
        <v>8.1415166666666677E-2</v>
      </c>
      <c r="BO19" s="12">
        <v>2.5728961265115379E-2</v>
      </c>
      <c r="BP19" s="12">
        <v>6.2818807534132146E-2</v>
      </c>
      <c r="BQ19" s="12">
        <v>-2.10055E-2</v>
      </c>
      <c r="BR19" s="12">
        <v>2.4062166666666659E-2</v>
      </c>
      <c r="BS19" s="12">
        <v>-2.4256338744482069E-2</v>
      </c>
      <c r="BT19" s="12">
        <v>0.14163267985357339</v>
      </c>
      <c r="BU19" s="12">
        <v>-0.13067083333333329</v>
      </c>
      <c r="BV19" s="12">
        <v>0.1000853333333333</v>
      </c>
      <c r="BW19" s="12">
        <v>0.29597583333333338</v>
      </c>
      <c r="BX19" s="12">
        <v>-3.6397166666666668E-2</v>
      </c>
      <c r="BY19" s="12">
        <v>-2.767816666666666E-2</v>
      </c>
      <c r="BZ19" s="12">
        <v>0.1447426666666666</v>
      </c>
      <c r="CA19" s="12">
        <v>3.5610166666666658E-2</v>
      </c>
      <c r="CB19" s="12">
        <v>0.12783849999999999</v>
      </c>
      <c r="CC19" s="12">
        <v>2.250566666666666E-2</v>
      </c>
      <c r="CD19" s="12">
        <v>8.7664166666666668E-2</v>
      </c>
      <c r="CE19" s="12">
        <v>0.1982658291769592</v>
      </c>
      <c r="CF19" s="12">
        <v>-7.9904397206049291E-2</v>
      </c>
      <c r="CG19" s="12">
        <v>0.26389400000000002</v>
      </c>
      <c r="CH19" s="12">
        <v>-7.5598333333333212E-3</v>
      </c>
      <c r="CI19" s="12">
        <v>-0.16520066666666669</v>
      </c>
      <c r="CJ19" s="12">
        <v>-1.038500000000001E-3</v>
      </c>
      <c r="CK19" s="12">
        <v>7.4586333333333338E-2</v>
      </c>
      <c r="CL19" s="12">
        <v>4.3240279974789908E-2</v>
      </c>
      <c r="CM19" s="12">
        <v>-0.17534764158171501</v>
      </c>
      <c r="CN19" s="12">
        <v>-1.5943166666666671E-2</v>
      </c>
      <c r="CO19" s="12">
        <v>0.27245440462850651</v>
      </c>
      <c r="CP19" s="12">
        <v>-2.9037000000000011E-2</v>
      </c>
      <c r="CQ19" s="12">
        <v>0.22201499999999999</v>
      </c>
      <c r="CR19" s="12">
        <v>-4.9694189552402651E-2</v>
      </c>
      <c r="CS19" s="12">
        <v>-6.0700850898538133E-2</v>
      </c>
      <c r="CT19" s="12">
        <v>2.642199999999998E-2</v>
      </c>
      <c r="CU19" s="12">
        <v>8.3436397113892974E-2</v>
      </c>
      <c r="CV19" s="12">
        <v>-0.10197986151640361</v>
      </c>
      <c r="CW19" s="12">
        <v>2.190180778189859E-2</v>
      </c>
      <c r="CX19" s="12">
        <v>-5.7634726368184938E-2</v>
      </c>
      <c r="CY19" s="12">
        <v>7.3150833333333332E-2</v>
      </c>
      <c r="CZ19" s="12">
        <v>0.1580145</v>
      </c>
      <c r="DA19" s="12">
        <v>5.8223876703236761E-2</v>
      </c>
      <c r="DB19" s="12">
        <v>0.14796100000000001</v>
      </c>
      <c r="DC19" s="12">
        <v>3.027666666666666E-2</v>
      </c>
      <c r="DD19" s="12">
        <v>-6.3547333333333317E-2</v>
      </c>
      <c r="DE19" s="12">
        <v>-6.0054999999999831E-3</v>
      </c>
      <c r="DF19" s="12">
        <v>0.2055028333333333</v>
      </c>
      <c r="DG19" s="12">
        <v>-6.6374499999999989E-2</v>
      </c>
      <c r="DH19" s="12">
        <v>0.22459133333333331</v>
      </c>
      <c r="DI19" s="12">
        <v>0.10846166666666671</v>
      </c>
      <c r="DJ19" s="12">
        <v>8.050033333333334E-2</v>
      </c>
      <c r="DK19" s="12">
        <v>-0.1214406666666667</v>
      </c>
      <c r="DL19" s="12">
        <v>-2.3312833333333331E-2</v>
      </c>
      <c r="DM19" s="12">
        <v>5.7299833333333328E-2</v>
      </c>
      <c r="DN19" s="12">
        <v>2.4751230976385011E-3</v>
      </c>
      <c r="DO19" s="12">
        <v>0.2492611666666667</v>
      </c>
      <c r="DP19" s="12">
        <v>2.783801448299373E-2</v>
      </c>
      <c r="DQ19" s="12">
        <v>-5.0622500000000001E-2</v>
      </c>
      <c r="DR19" s="12">
        <v>-1.7545333333333329E-2</v>
      </c>
      <c r="DS19" s="12">
        <v>-0.1779955469539703</v>
      </c>
      <c r="DT19" s="12">
        <v>-3.0765000000000028E-3</v>
      </c>
      <c r="DU19" s="12">
        <v>-0.15058250000000001</v>
      </c>
      <c r="DV19" s="12">
        <v>3.8127166666666677E-2</v>
      </c>
      <c r="DW19" s="12">
        <v>6.0609139340684293E-2</v>
      </c>
      <c r="DX19" s="12">
        <v>0.1082645</v>
      </c>
      <c r="DY19" s="12">
        <v>0.13924800000000001</v>
      </c>
      <c r="DZ19" s="12">
        <v>0.1119208288639931</v>
      </c>
      <c r="EA19" s="12">
        <v>0.23304766666666671</v>
      </c>
      <c r="EB19" s="12">
        <v>-0.1062485</v>
      </c>
      <c r="EC19" s="12">
        <v>-1.2190043223702179E-2</v>
      </c>
      <c r="ED19" s="12">
        <v>0.15093531699015689</v>
      </c>
      <c r="EE19" s="12">
        <v>-1.2634042940422471E-2</v>
      </c>
      <c r="EF19" s="12">
        <v>-1.697795487476916E-2</v>
      </c>
      <c r="EG19" s="10">
        <f t="shared" si="6"/>
        <v>3.9360699824547374E-2</v>
      </c>
      <c r="EH19">
        <f t="shared" si="7"/>
        <v>0.10806506785008473</v>
      </c>
      <c r="EI19" s="10">
        <f t="shared" si="8"/>
        <v>0.36423148208402772</v>
      </c>
    </row>
    <row r="20" spans="1:139">
      <c r="A20">
        <v>192</v>
      </c>
      <c r="B20">
        <v>5</v>
      </c>
      <c r="C20" s="12">
        <v>0.13932460396499161</v>
      </c>
      <c r="D20" s="12">
        <v>-3.5171826374555398E-4</v>
      </c>
      <c r="E20" s="12">
        <v>5.7335200000000003E-2</v>
      </c>
      <c r="F20" s="12">
        <v>9.1218422172045968E-2</v>
      </c>
      <c r="G20" s="12">
        <v>0.1003659119188639</v>
      </c>
      <c r="H20" s="12">
        <v>0.14393220000000001</v>
      </c>
      <c r="I20" s="12">
        <v>-0.15814956260110169</v>
      </c>
      <c r="J20" s="12">
        <v>-0.1332062</v>
      </c>
      <c r="K20" s="12">
        <v>9.0108654122673978E-2</v>
      </c>
      <c r="L20" s="12">
        <v>-9.5708635504535719E-2</v>
      </c>
      <c r="M20" s="12">
        <v>-0.26869399999999999</v>
      </c>
      <c r="N20" s="12">
        <v>-0.10192492904563991</v>
      </c>
      <c r="O20" s="12">
        <v>-0.1101138</v>
      </c>
      <c r="P20" s="12">
        <v>4.0029000000000002E-2</v>
      </c>
      <c r="Q20" s="12">
        <v>0.22482659999999999</v>
      </c>
      <c r="R20" s="12">
        <v>0.1092530556374688</v>
      </c>
      <c r="S20" s="12">
        <v>0.15518261832774261</v>
      </c>
      <c r="T20" s="12">
        <v>-0.1008458</v>
      </c>
      <c r="U20" s="12">
        <v>0.14864968011777491</v>
      </c>
      <c r="V20" s="12">
        <v>-0.1362882</v>
      </c>
      <c r="W20" s="12">
        <v>0.17308537617758091</v>
      </c>
      <c r="X20" s="12">
        <v>0.14869720125713359</v>
      </c>
      <c r="Y20" s="12">
        <v>-4.8579999999999977E-3</v>
      </c>
      <c r="Z20" s="12">
        <v>2.9158400000000001E-2</v>
      </c>
      <c r="AA20" s="12">
        <v>6.6963999999999996E-2</v>
      </c>
      <c r="AB20" s="12">
        <v>-6.0422999999999998E-2</v>
      </c>
      <c r="AC20" s="12">
        <v>-9.6308199999999997E-2</v>
      </c>
      <c r="AD20" s="12">
        <v>0.1298426</v>
      </c>
      <c r="AE20" s="12">
        <v>1.7310200000000001E-2</v>
      </c>
      <c r="AF20" s="12">
        <v>-6.4676000000000004E-3</v>
      </c>
      <c r="AG20" s="12">
        <v>-6.2396000000000014E-3</v>
      </c>
      <c r="AH20" s="12">
        <v>-9.0178200714782636E-2</v>
      </c>
      <c r="AI20" s="12">
        <v>0.1163372</v>
      </c>
      <c r="AJ20" s="12">
        <v>-6.1990034547547639E-2</v>
      </c>
      <c r="AK20" s="12">
        <v>-1.359511549600285E-2</v>
      </c>
      <c r="AL20" s="12">
        <v>7.2893452036976947E-2</v>
      </c>
      <c r="AM20" s="12">
        <v>3.2738599999999993E-2</v>
      </c>
      <c r="AN20" s="12">
        <v>-3.2916800000000003E-2</v>
      </c>
      <c r="AO20" s="12">
        <v>4.528508196468839E-2</v>
      </c>
      <c r="AP20" s="12">
        <v>1.26056E-2</v>
      </c>
      <c r="AQ20" s="12">
        <v>-7.2898600000000008E-2</v>
      </c>
      <c r="AR20" s="12">
        <v>1.3289199999999999E-2</v>
      </c>
      <c r="AS20" s="12">
        <v>-1.7142799999999989E-2</v>
      </c>
      <c r="AT20" s="12">
        <v>-2.8506000000000022E-3</v>
      </c>
      <c r="AU20" s="12">
        <v>0.28169899999999998</v>
      </c>
      <c r="AV20" s="12">
        <v>7.1474400000000007E-2</v>
      </c>
      <c r="AW20" s="12">
        <v>0.146312</v>
      </c>
      <c r="AX20" s="12">
        <v>8.5888799999999987E-2</v>
      </c>
      <c r="AY20" s="12">
        <v>-6.2285800000000002E-2</v>
      </c>
      <c r="AZ20" s="12">
        <v>9.9804199999999982E-2</v>
      </c>
      <c r="BA20" s="12">
        <v>0.151338</v>
      </c>
      <c r="BB20" s="12">
        <v>0.23121340000000001</v>
      </c>
      <c r="BC20" s="12">
        <v>-6.9884999999999989E-2</v>
      </c>
      <c r="BD20" s="12">
        <v>8.3636000000000005E-3</v>
      </c>
      <c r="BE20" s="12">
        <v>-5.9467971392603326E-3</v>
      </c>
      <c r="BF20" s="12">
        <v>5.6885823313286886E-3</v>
      </c>
      <c r="BG20" s="12">
        <v>-5.1727000000000002E-2</v>
      </c>
      <c r="BH20" s="12">
        <v>-5.1899999999999988E-2</v>
      </c>
      <c r="BI20" s="12">
        <v>2.3173599999999999E-2</v>
      </c>
      <c r="BJ20" s="12">
        <v>5.51578E-2</v>
      </c>
      <c r="BK20" s="12">
        <v>0.11765100000000001</v>
      </c>
      <c r="BL20" s="12">
        <v>8.6292231176454737E-2</v>
      </c>
      <c r="BM20" s="12">
        <v>0.1369176613284383</v>
      </c>
      <c r="BN20" s="12">
        <v>-1.863600000000001E-2</v>
      </c>
      <c r="BO20" s="12">
        <v>-3.8461717515979203E-2</v>
      </c>
      <c r="BP20" s="12">
        <v>6.0407520762954983E-2</v>
      </c>
      <c r="BQ20" s="12">
        <v>-1.2462600000000001E-2</v>
      </c>
      <c r="BR20" s="12">
        <v>1.8190599999999991E-2</v>
      </c>
      <c r="BS20" s="12">
        <v>5.4075061911911179E-3</v>
      </c>
      <c r="BT20" s="12">
        <v>0.14780303317864721</v>
      </c>
      <c r="BU20" s="12">
        <v>-0.14944099999999999</v>
      </c>
      <c r="BV20" s="12">
        <v>0.13370979999999999</v>
      </c>
      <c r="BW20" s="12">
        <v>0.34204220000000002</v>
      </c>
      <c r="BX20" s="12">
        <v>-5.2858599999999992E-2</v>
      </c>
      <c r="BY20" s="12">
        <v>-4.3187799999999998E-2</v>
      </c>
      <c r="BZ20" s="12">
        <v>0.1847258</v>
      </c>
      <c r="CA20" s="12">
        <v>5.0216200000000003E-2</v>
      </c>
      <c r="CB20" s="12">
        <v>0.12649540000000001</v>
      </c>
      <c r="CC20" s="12">
        <v>1.2914800000000001E-2</v>
      </c>
      <c r="CD20" s="12">
        <v>9.6063599999999999E-2</v>
      </c>
      <c r="CE20" s="12">
        <v>0.2439637954697331</v>
      </c>
      <c r="CF20" s="12">
        <v>-8.0957937198676569E-2</v>
      </c>
      <c r="CG20" s="12">
        <v>0.32193939999999999</v>
      </c>
      <c r="CH20" s="12">
        <v>4.919380000000001E-2</v>
      </c>
      <c r="CI20" s="12">
        <v>-0.13148380000000001</v>
      </c>
      <c r="CJ20" s="12">
        <v>-1.2323199999999999E-2</v>
      </c>
      <c r="CK20" s="12">
        <v>6.2277199999999998E-2</v>
      </c>
      <c r="CL20" s="12">
        <v>9.2184934189128986E-2</v>
      </c>
      <c r="CM20" s="12">
        <v>-0.18905116517062071</v>
      </c>
      <c r="CN20" s="12">
        <v>-1.9347400000000001E-2</v>
      </c>
      <c r="CO20" s="12">
        <v>0.41597133516901241</v>
      </c>
      <c r="CP20" s="12">
        <v>7.424199999999991E-3</v>
      </c>
      <c r="CQ20" s="12">
        <v>8.252219999999999E-2</v>
      </c>
      <c r="CR20" s="12">
        <v>-7.3116244505850386E-2</v>
      </c>
      <c r="CS20" s="12">
        <v>-8.8364277012261461E-2</v>
      </c>
      <c r="CT20" s="12">
        <v>2.8415399999999969E-2</v>
      </c>
      <c r="CU20" s="12">
        <v>9.4867658266512403E-2</v>
      </c>
      <c r="CV20" s="12">
        <v>-9.2511075695426118E-2</v>
      </c>
      <c r="CW20" s="12">
        <v>-9.9530629212826391E-3</v>
      </c>
      <c r="CX20" s="12">
        <v>-9.0298550867764463E-2</v>
      </c>
      <c r="CY20" s="12">
        <v>0.1087322</v>
      </c>
      <c r="CZ20" s="12">
        <v>0.12830340000000001</v>
      </c>
      <c r="DA20" s="12">
        <v>4.7471893155177573E-2</v>
      </c>
      <c r="DB20" s="12">
        <v>7.6966999999999994E-2</v>
      </c>
      <c r="DC20" s="12">
        <v>2.890199999999998E-2</v>
      </c>
      <c r="DD20" s="12">
        <v>-6.8162799999999996E-2</v>
      </c>
      <c r="DE20" s="12">
        <v>-3.0466399999999991E-2</v>
      </c>
      <c r="DF20" s="12">
        <v>0.2455754</v>
      </c>
      <c r="DG20" s="12">
        <v>-5.2345800000000012E-2</v>
      </c>
      <c r="DH20" s="12">
        <v>0.27829959999999998</v>
      </c>
      <c r="DI20" s="12">
        <v>0.137596</v>
      </c>
      <c r="DJ20" s="12">
        <v>8.12774E-2</v>
      </c>
      <c r="DK20" s="12">
        <v>-8.5184599999999999E-2</v>
      </c>
      <c r="DL20" s="12">
        <v>1.0186600000000001E-2</v>
      </c>
      <c r="DM20" s="12">
        <v>6.9335800000000003E-2</v>
      </c>
      <c r="DN20" s="12">
        <v>5.8019206654199171E-2</v>
      </c>
      <c r="DO20" s="12">
        <v>0.25800099999999998</v>
      </c>
      <c r="DP20" s="12">
        <v>9.8305313908873052E-3</v>
      </c>
      <c r="DQ20" s="12">
        <v>-3.853899999999999E-2</v>
      </c>
      <c r="DR20" s="12">
        <v>-5.5557799999999997E-2</v>
      </c>
      <c r="DS20" s="12">
        <v>-0.20608109757835469</v>
      </c>
      <c r="DT20" s="12">
        <v>4.8288000000000011E-3</v>
      </c>
      <c r="DU20" s="12">
        <v>-0.1763758</v>
      </c>
      <c r="DV20" s="12">
        <v>-3.01902E-2</v>
      </c>
      <c r="DW20" s="12">
        <v>6.9060203958039607E-2</v>
      </c>
      <c r="DX20" s="12">
        <v>0.14598420000000001</v>
      </c>
      <c r="DY20" s="12">
        <v>0.12159059999999999</v>
      </c>
      <c r="DZ20" s="12">
        <v>8.4474578309692155E-2</v>
      </c>
      <c r="EA20" s="12">
        <v>0.29369119999999999</v>
      </c>
      <c r="EB20" s="12">
        <v>-0.1063144</v>
      </c>
      <c r="EC20" s="12">
        <v>3.4049581413941779E-2</v>
      </c>
      <c r="ED20" s="12">
        <v>0.17691886106701021</v>
      </c>
      <c r="EE20" s="12">
        <v>-2.3672309273819309E-3</v>
      </c>
      <c r="EF20" s="12">
        <v>-2.0281416615907238E-2</v>
      </c>
      <c r="EG20" s="10">
        <f t="shared" si="6"/>
        <v>3.6701661211852026E-2</v>
      </c>
      <c r="EH20">
        <f t="shared" si="7"/>
        <v>0.11695957231268804</v>
      </c>
      <c r="EI20" s="10">
        <f t="shared" si="8"/>
        <v>0.31379784045149545</v>
      </c>
    </row>
    <row r="21" spans="1:139">
      <c r="A21">
        <v>241</v>
      </c>
      <c r="B21">
        <v>4</v>
      </c>
      <c r="C21" s="12">
        <v>0.19764916434148611</v>
      </c>
      <c r="D21" s="12">
        <v>3.6770939515919088E-4</v>
      </c>
      <c r="E21" s="12">
        <v>-1.3691500000000001E-2</v>
      </c>
      <c r="F21" s="12">
        <v>5.1097483846408213E-2</v>
      </c>
      <c r="G21" s="12">
        <v>7.2961380278514509E-3</v>
      </c>
      <c r="H21" s="12">
        <v>0.162164</v>
      </c>
      <c r="I21" s="12">
        <v>-0.14725560812747299</v>
      </c>
      <c r="J21" s="12">
        <v>-0.13674149999999999</v>
      </c>
      <c r="K21" s="12">
        <v>8.8973017354022049E-2</v>
      </c>
      <c r="L21" s="12">
        <v>-0.1096796074542299</v>
      </c>
      <c r="M21" s="12">
        <v>-0.19988500000000001</v>
      </c>
      <c r="N21" s="12">
        <v>-9.9587412122941574E-2</v>
      </c>
      <c r="O21" s="12">
        <v>-0.13927724999999999</v>
      </c>
      <c r="P21" s="12">
        <v>4.5427749999999989E-2</v>
      </c>
      <c r="Q21" s="12">
        <v>0.27408575000000002</v>
      </c>
      <c r="R21" s="12">
        <v>9.5575311106630215E-2</v>
      </c>
      <c r="S21" s="12">
        <v>0.12859028544995699</v>
      </c>
      <c r="T21" s="12">
        <v>-0.13111999999999999</v>
      </c>
      <c r="U21" s="12">
        <v>8.6278417611758002E-2</v>
      </c>
      <c r="V21" s="12">
        <v>-0.13175025000000001</v>
      </c>
      <c r="W21" s="12">
        <v>0.15778847961546261</v>
      </c>
      <c r="X21" s="12">
        <v>0.19733717858364669</v>
      </c>
      <c r="Y21" s="12">
        <v>-1.01475E-2</v>
      </c>
      <c r="Z21" s="12">
        <v>3.9459000000000001E-2</v>
      </c>
      <c r="AA21" s="12">
        <v>2.8035500000000001E-2</v>
      </c>
      <c r="AB21" s="12">
        <v>-6.5286999999999998E-2</v>
      </c>
      <c r="AC21" s="12">
        <v>-0.15954125</v>
      </c>
      <c r="AD21" s="12">
        <v>0.12882450000000001</v>
      </c>
      <c r="AE21" s="12">
        <v>1.031074999999999E-2</v>
      </c>
      <c r="AF21" s="12">
        <v>-3.3565499999999998E-2</v>
      </c>
      <c r="AG21" s="12">
        <v>-1.0567999999999999E-2</v>
      </c>
      <c r="AH21" s="12">
        <v>-0.10758136256479831</v>
      </c>
      <c r="AI21" s="12">
        <v>0.10212425</v>
      </c>
      <c r="AJ21" s="12">
        <v>-7.0405341946468691E-2</v>
      </c>
      <c r="AK21" s="12">
        <v>-3.5803167618110053E-2</v>
      </c>
      <c r="AL21" s="12">
        <v>6.5379822733110632E-2</v>
      </c>
      <c r="AM21" s="12">
        <v>3.6710749999999993E-2</v>
      </c>
      <c r="AN21" s="12">
        <v>-1.8696250000000001E-2</v>
      </c>
      <c r="AO21" s="12">
        <v>4.7726395643726653E-2</v>
      </c>
      <c r="AP21" s="12">
        <v>1.8943749999999999E-2</v>
      </c>
      <c r="AQ21" s="12">
        <v>-0.13322400000000001</v>
      </c>
      <c r="AR21" s="12">
        <v>-4.7988250000000003E-2</v>
      </c>
      <c r="AS21" s="12">
        <v>1.7048000000000021E-2</v>
      </c>
      <c r="AT21" s="12">
        <v>-6.3445500000000002E-2</v>
      </c>
      <c r="AU21" s="12">
        <v>0.34648125000000002</v>
      </c>
      <c r="AV21" s="12">
        <v>5.0899250000000007E-2</v>
      </c>
      <c r="AW21" s="12">
        <v>0.1729475</v>
      </c>
      <c r="AX21" s="12">
        <v>6.6008499999999998E-2</v>
      </c>
      <c r="AY21" s="12">
        <v>-0.1188765</v>
      </c>
      <c r="AZ21" s="12">
        <v>0.108503</v>
      </c>
      <c r="BA21" s="12">
        <v>0.13959250000000001</v>
      </c>
      <c r="BB21" s="12">
        <v>0.29451325</v>
      </c>
      <c r="BC21" s="12">
        <v>-8.0046999999999979E-2</v>
      </c>
      <c r="BD21" s="12">
        <v>3.8222500000000013E-2</v>
      </c>
      <c r="BE21" s="12">
        <v>6.3505333974014731E-3</v>
      </c>
      <c r="BF21" s="12">
        <v>3.5771001804346838E-3</v>
      </c>
      <c r="BG21" s="12">
        <v>-7.8524750000000004E-2</v>
      </c>
      <c r="BH21" s="12">
        <v>-6.7917499999999992E-2</v>
      </c>
      <c r="BI21" s="12">
        <v>4.6276999999999992E-2</v>
      </c>
      <c r="BJ21" s="12">
        <v>2.2396249999999999E-2</v>
      </c>
      <c r="BK21" s="12">
        <v>7.272374999999999E-2</v>
      </c>
      <c r="BL21" s="12">
        <v>0.1427210926463498</v>
      </c>
      <c r="BM21" s="12">
        <v>0.15512000392109981</v>
      </c>
      <c r="BN21" s="12">
        <v>-2.5788249999999999E-2</v>
      </c>
      <c r="BO21" s="12">
        <v>-6.3857236413680254E-2</v>
      </c>
      <c r="BP21" s="12">
        <v>0.1045091294194143</v>
      </c>
      <c r="BQ21" s="12">
        <v>-4.3300749999999999E-2</v>
      </c>
      <c r="BR21" s="12">
        <v>1.128825E-2</v>
      </c>
      <c r="BS21" s="12">
        <v>5.8601727551761719E-3</v>
      </c>
      <c r="BT21" s="12">
        <v>0.13224469397444291</v>
      </c>
      <c r="BU21" s="12">
        <v>-0.170738</v>
      </c>
      <c r="BV21" s="12">
        <v>1.924025E-2</v>
      </c>
      <c r="BW21" s="12">
        <v>0.40213025000000002</v>
      </c>
      <c r="BX21" s="12">
        <v>-7.7163250000000003E-2</v>
      </c>
      <c r="BY21" s="12">
        <v>-1.4919750000000009E-2</v>
      </c>
      <c r="BZ21" s="12">
        <v>0.25140249999999997</v>
      </c>
      <c r="CA21" s="12">
        <v>9.5060000000000006E-2</v>
      </c>
      <c r="CB21" s="12">
        <v>0.20787025000000001</v>
      </c>
      <c r="CC21" s="12">
        <v>-8.0194999999999989E-3</v>
      </c>
      <c r="CD21" s="12">
        <v>8.4422250000000004E-2</v>
      </c>
      <c r="CE21" s="12">
        <v>0.39507594246504552</v>
      </c>
      <c r="CF21" s="12">
        <v>-0.13126567680107229</v>
      </c>
      <c r="CG21" s="12">
        <v>0.32016774999999997</v>
      </c>
      <c r="CH21" s="12">
        <v>-7.1338500000000013E-2</v>
      </c>
      <c r="CI21" s="12">
        <v>-0.12329225000000001</v>
      </c>
      <c r="CJ21" s="12">
        <v>-1.1955749999999999E-2</v>
      </c>
      <c r="CK21" s="12">
        <v>8.5642500000000024E-3</v>
      </c>
      <c r="CL21" s="12">
        <v>0.13389042462296469</v>
      </c>
      <c r="CM21" s="12">
        <v>-0.2255029884033713</v>
      </c>
      <c r="CN21" s="12">
        <v>-1.128025E-2</v>
      </c>
      <c r="CO21" s="12">
        <v>0.51486524859759264</v>
      </c>
      <c r="CP21" s="12">
        <v>-9.6252750000000012E-2</v>
      </c>
      <c r="CQ21" s="12">
        <v>-5.9400750000000002E-2</v>
      </c>
      <c r="CR21" s="12">
        <v>-9.0824277979679707E-2</v>
      </c>
      <c r="CS21" s="12">
        <v>-6.9646396146771747E-2</v>
      </c>
      <c r="CT21" s="12">
        <v>4.7994749999999982E-2</v>
      </c>
      <c r="CU21" s="12">
        <v>6.2673560169491313E-2</v>
      </c>
      <c r="CV21" s="12">
        <v>-9.8225632021386913E-2</v>
      </c>
      <c r="CW21" s="12">
        <v>-6.5005417280988659E-2</v>
      </c>
      <c r="CX21" s="12">
        <v>-0.1021221756574071</v>
      </c>
      <c r="CY21" s="12">
        <v>0.10250525000000001</v>
      </c>
      <c r="CZ21" s="12">
        <v>0.19029674999999999</v>
      </c>
      <c r="DA21" s="12">
        <v>-1.192256456731756E-3</v>
      </c>
      <c r="DB21" s="12">
        <v>7.1459500000000009E-2</v>
      </c>
      <c r="DC21" s="12">
        <v>4.8309999999999992E-2</v>
      </c>
      <c r="DD21" s="12">
        <v>-6.7026999999999989E-2</v>
      </c>
      <c r="DE21" s="12">
        <v>-5.4718999999999997E-2</v>
      </c>
      <c r="DF21" s="12">
        <v>0.30115175</v>
      </c>
      <c r="DG21" s="12">
        <v>-5.9410750000000012E-2</v>
      </c>
      <c r="DH21" s="12">
        <v>8.1436999999999996E-2</v>
      </c>
      <c r="DI21" s="12">
        <v>0.17984</v>
      </c>
      <c r="DJ21" s="12">
        <v>7.330325E-2</v>
      </c>
      <c r="DK21" s="12">
        <v>-9.0893250000000009E-2</v>
      </c>
      <c r="DL21" s="12">
        <v>3.2207750000000007E-2</v>
      </c>
      <c r="DM21" s="12">
        <v>2.498825E-2</v>
      </c>
      <c r="DN21" s="12">
        <v>7.1197612493993062E-2</v>
      </c>
      <c r="DO21" s="12">
        <v>0.33162625000000001</v>
      </c>
      <c r="DP21" s="12">
        <v>2.426615509356601E-2</v>
      </c>
      <c r="DQ21" s="12">
        <v>-2.8215250000000001E-2</v>
      </c>
      <c r="DR21" s="12">
        <v>-5.355675E-2</v>
      </c>
      <c r="DS21" s="12">
        <v>-0.20083947383729561</v>
      </c>
      <c r="DT21" s="12">
        <v>-9.7094999999999959E-3</v>
      </c>
      <c r="DU21" s="12">
        <v>-0.14861474999999999</v>
      </c>
      <c r="DV21" s="12">
        <v>-4.9660999999999997E-2</v>
      </c>
      <c r="DW21" s="12">
        <v>0.12824786866412111</v>
      </c>
      <c r="DX21" s="12">
        <v>0.11451475</v>
      </c>
      <c r="DY21" s="12">
        <v>0.16672999999999999</v>
      </c>
      <c r="DZ21" s="12">
        <v>5.2844066560288887E-2</v>
      </c>
      <c r="EA21" s="12">
        <v>0.26605774999999998</v>
      </c>
      <c r="EB21" s="12">
        <v>-0.103298</v>
      </c>
      <c r="EC21" s="12">
        <v>1.403705509804205E-2</v>
      </c>
      <c r="ED21" s="12">
        <v>5.4498856348180663E-2</v>
      </c>
      <c r="EE21" s="12">
        <v>-1.4428852108417999E-2</v>
      </c>
      <c r="EF21" s="12">
        <v>1.8771264042119089E-2</v>
      </c>
      <c r="EG21" s="10">
        <f t="shared" si="6"/>
        <v>3.0947800755359082E-2</v>
      </c>
      <c r="EH21">
        <f t="shared" si="7"/>
        <v>0.13239637341991273</v>
      </c>
      <c r="EI21" s="10">
        <f t="shared" si="8"/>
        <v>0.23375112139366544</v>
      </c>
    </row>
    <row r="22" spans="1:139">
      <c r="A22">
        <v>321</v>
      </c>
      <c r="B22">
        <v>3</v>
      </c>
      <c r="C22" s="12">
        <v>-6.4235717628454689E-2</v>
      </c>
      <c r="D22" s="12">
        <v>4.4680896903486519E-2</v>
      </c>
      <c r="E22" s="12">
        <v>-1.735666666666667E-2</v>
      </c>
      <c r="F22" s="12">
        <v>9.7433995578986451E-2</v>
      </c>
      <c r="G22" s="12">
        <v>3.2954824249798613E-2</v>
      </c>
      <c r="H22" s="12">
        <v>0.124178</v>
      </c>
      <c r="I22" s="12">
        <v>-0.12349316933806979</v>
      </c>
      <c r="J22" s="12">
        <v>-0.104252</v>
      </c>
      <c r="K22" s="12">
        <v>0.1532867706545093</v>
      </c>
      <c r="L22" s="12">
        <v>-0.17118335942590121</v>
      </c>
      <c r="M22" s="12">
        <v>-0.18466333333333329</v>
      </c>
      <c r="N22" s="12">
        <v>-0.1332804190232465</v>
      </c>
      <c r="O22" s="12">
        <v>-6.6442333333333325E-2</v>
      </c>
      <c r="P22" s="12">
        <v>9.0630333333333327E-2</v>
      </c>
      <c r="Q22" s="12">
        <v>0.12727466666666659</v>
      </c>
      <c r="R22" s="12">
        <v>3.6628434271588052E-2</v>
      </c>
      <c r="S22" s="12">
        <v>0.16964655555794059</v>
      </c>
      <c r="T22" s="12">
        <v>-0.104848</v>
      </c>
      <c r="U22" s="12">
        <v>0.11059002340250421</v>
      </c>
      <c r="V22" s="12">
        <v>-0.17562366666666671</v>
      </c>
      <c r="W22" s="12">
        <v>0.20748026702429739</v>
      </c>
      <c r="X22" s="12">
        <v>0.214900047729565</v>
      </c>
      <c r="Y22" s="12">
        <v>-6.9857333333333327E-2</v>
      </c>
      <c r="Z22" s="12">
        <v>2.3868E-2</v>
      </c>
      <c r="AA22" s="12">
        <v>0.1181226666666667</v>
      </c>
      <c r="AB22" s="12">
        <v>-3.8273333333333333E-2</v>
      </c>
      <c r="AC22" s="12">
        <v>-0.1772113333333333</v>
      </c>
      <c r="AD22" s="12">
        <v>1.3571333333333329E-2</v>
      </c>
      <c r="AE22" s="12">
        <v>-8.5149000000000002E-2</v>
      </c>
      <c r="AF22" s="12">
        <v>-8.6403333333333332E-2</v>
      </c>
      <c r="AG22" s="12">
        <v>-4.5970333333333342E-2</v>
      </c>
      <c r="AH22" s="12">
        <v>-0.10586595942047269</v>
      </c>
      <c r="AI22" s="12">
        <v>0.1110046666666667</v>
      </c>
      <c r="AJ22" s="12">
        <v>-3.1699849326408271E-2</v>
      </c>
      <c r="AK22" s="12">
        <v>0.1012885607403957</v>
      </c>
      <c r="AL22" s="12">
        <v>4.0340966806900407E-2</v>
      </c>
      <c r="AM22" s="12">
        <v>4.1473333333333327E-2</v>
      </c>
      <c r="AN22" s="12">
        <v>-3.5264999999999998E-2</v>
      </c>
      <c r="AO22" s="12">
        <v>7.4717373393705613E-2</v>
      </c>
      <c r="AP22" s="12">
        <v>2.0493333333333329E-2</v>
      </c>
      <c r="AQ22" s="12">
        <v>-0.1101293333333333</v>
      </c>
      <c r="AR22" s="12">
        <v>-6.7924666666666661E-2</v>
      </c>
      <c r="AS22" s="12">
        <v>0.16459066666666669</v>
      </c>
      <c r="AT22" s="12">
        <v>1.072E-3</v>
      </c>
      <c r="AU22" s="12">
        <v>0.42935499999999999</v>
      </c>
      <c r="AV22" s="12">
        <v>5.9647666666666682E-2</v>
      </c>
      <c r="AW22" s="12">
        <v>0.232211</v>
      </c>
      <c r="AX22" s="12">
        <v>-0.1077576666666667</v>
      </c>
      <c r="AY22" s="12">
        <v>-0.16372466666666671</v>
      </c>
      <c r="AZ22" s="12">
        <v>0.15518866666666661</v>
      </c>
      <c r="BA22" s="12">
        <v>4.9774666666666662E-2</v>
      </c>
      <c r="BB22" s="12">
        <v>0.36955133333333329</v>
      </c>
      <c r="BC22" s="12">
        <v>-8.7332666666666656E-2</v>
      </c>
      <c r="BD22" s="12">
        <v>7.9264000000000001E-2</v>
      </c>
      <c r="BE22" s="12">
        <v>2.221618339448047E-2</v>
      </c>
      <c r="BF22" s="12">
        <v>1.363881733831962E-2</v>
      </c>
      <c r="BG22" s="12">
        <v>-9.6179666666666663E-2</v>
      </c>
      <c r="BH22" s="12">
        <v>-7.9966666666666519E-3</v>
      </c>
      <c r="BI22" s="12">
        <v>8.234933333333333E-2</v>
      </c>
      <c r="BJ22" s="12">
        <v>4.0893333333333337E-2</v>
      </c>
      <c r="BK22" s="12">
        <v>4.8315666666666673E-2</v>
      </c>
      <c r="BL22" s="12">
        <v>0.16178033907103531</v>
      </c>
      <c r="BM22" s="12">
        <v>0.19179703945604709</v>
      </c>
      <c r="BN22" s="12">
        <v>-8.2934333333333332E-2</v>
      </c>
      <c r="BO22" s="12">
        <v>-5.0484429112750417E-2</v>
      </c>
      <c r="BP22" s="12">
        <v>7.4835550155106345E-2</v>
      </c>
      <c r="BQ22" s="12">
        <v>-8.2145666666666672E-2</v>
      </c>
      <c r="BR22" s="12">
        <v>1.9643333333333329E-2</v>
      </c>
      <c r="BS22" s="12">
        <v>-1.637278237679916E-2</v>
      </c>
      <c r="BT22" s="12">
        <v>0.13053070333654609</v>
      </c>
      <c r="BU22" s="12">
        <v>-0.104351</v>
      </c>
      <c r="BV22" s="12">
        <v>6.806666666666697E-4</v>
      </c>
      <c r="BW22" s="12">
        <v>0.42771533333333328</v>
      </c>
      <c r="BX22" s="12">
        <v>-0.11302666666666671</v>
      </c>
      <c r="BY22" s="12">
        <v>3.2350333333333328E-2</v>
      </c>
      <c r="BZ22" s="12">
        <v>0.27962999999999999</v>
      </c>
      <c r="CA22" s="12">
        <v>0.14408033333333331</v>
      </c>
      <c r="CB22" s="12">
        <v>0.25474000000000002</v>
      </c>
      <c r="CC22" s="12">
        <v>-0.12510499999999999</v>
      </c>
      <c r="CD22" s="12">
        <v>9.5518333333333344E-2</v>
      </c>
      <c r="CE22" s="12">
        <v>0.39338733910427809</v>
      </c>
      <c r="CF22" s="12">
        <v>-0.18879978576027739</v>
      </c>
      <c r="CG22" s="12">
        <v>0.44380066666666668</v>
      </c>
      <c r="CH22" s="12">
        <v>-2.6762000000000011E-2</v>
      </c>
      <c r="CI22" s="12">
        <v>-0.23044799999999999</v>
      </c>
      <c r="CJ22" s="12">
        <v>-1.6241999999999999E-2</v>
      </c>
      <c r="CK22" s="12">
        <v>-2.715066666666667E-2</v>
      </c>
      <c r="CL22" s="12">
        <v>0.2406517986250408</v>
      </c>
      <c r="CM22" s="12">
        <v>-0.32043200365782532</v>
      </c>
      <c r="CN22" s="12">
        <v>2.185133333333333E-2</v>
      </c>
      <c r="CO22" s="12">
        <v>0.64995646824915565</v>
      </c>
      <c r="CP22" s="12">
        <v>-8.1321666666666681E-2</v>
      </c>
      <c r="CQ22" s="12">
        <v>-7.4463333333333326E-2</v>
      </c>
      <c r="CR22" s="12">
        <v>-0.16185042130139199</v>
      </c>
      <c r="CS22" s="12">
        <v>1.5202183521422779E-2</v>
      </c>
      <c r="CT22" s="12">
        <v>3.8264666666666662E-2</v>
      </c>
      <c r="CU22" s="12">
        <v>0.1202317119640979</v>
      </c>
      <c r="CV22" s="12">
        <v>-0.1122336952070542</v>
      </c>
      <c r="CW22" s="12">
        <v>-3.6451253326165209E-2</v>
      </c>
      <c r="CX22" s="12">
        <v>-3.749593267848913E-3</v>
      </c>
      <c r="CY22" s="12">
        <v>0.10451100000000001</v>
      </c>
      <c r="CZ22" s="12">
        <v>0.20669699999999999</v>
      </c>
      <c r="DA22" s="12">
        <v>3.9917538819241108E-3</v>
      </c>
      <c r="DB22" s="12">
        <v>5.4040666666666667E-2</v>
      </c>
      <c r="DC22" s="12">
        <v>7.2343333333333343E-2</v>
      </c>
      <c r="DD22" s="12">
        <v>-1.5963333333333329E-2</v>
      </c>
      <c r="DE22" s="12">
        <v>-0.13335566666666671</v>
      </c>
      <c r="DF22" s="12">
        <v>0.38966800000000001</v>
      </c>
      <c r="DG22" s="12">
        <v>-7.1890999999999997E-2</v>
      </c>
      <c r="DH22" s="12">
        <v>8.1455333333333324E-2</v>
      </c>
      <c r="DI22" s="12">
        <v>6.0122333333333333E-2</v>
      </c>
      <c r="DJ22" s="12">
        <v>4.2777666666666672E-2</v>
      </c>
      <c r="DK22" s="12">
        <v>-9.1427666666666671E-2</v>
      </c>
      <c r="DL22" s="12">
        <v>2.168033333333334E-2</v>
      </c>
      <c r="DM22" s="12">
        <v>3.1884333333333327E-2</v>
      </c>
      <c r="DN22" s="12">
        <v>4.6763328204007498E-2</v>
      </c>
      <c r="DO22" s="12">
        <v>7.5715333333333343E-2</v>
      </c>
      <c r="DP22" s="12">
        <v>1.022725785290381E-2</v>
      </c>
      <c r="DQ22" s="12">
        <v>-5.1849333333333317E-2</v>
      </c>
      <c r="DR22" s="12">
        <v>-7.1235999999999994E-2</v>
      </c>
      <c r="DS22" s="12">
        <v>-0.19705092156235929</v>
      </c>
      <c r="DT22" s="12">
        <v>-4.3682333333333337E-2</v>
      </c>
      <c r="DU22" s="12">
        <v>-0.1615456666666667</v>
      </c>
      <c r="DV22" s="12">
        <v>5.3372000000000003E-2</v>
      </c>
      <c r="DW22" s="12">
        <v>7.838972370699715E-2</v>
      </c>
      <c r="DX22" s="12">
        <v>0.177263</v>
      </c>
      <c r="DY22" s="12">
        <v>0.1199563333333333</v>
      </c>
      <c r="DZ22" s="12">
        <v>0.10374798094555759</v>
      </c>
      <c r="EA22" s="12">
        <v>0.14035633333333331</v>
      </c>
      <c r="EB22" s="12">
        <v>-0.1429303333333333</v>
      </c>
      <c r="EC22" s="12">
        <v>2.1495101575638179E-2</v>
      </c>
      <c r="ED22" s="12">
        <v>7.7413567057607463E-2</v>
      </c>
      <c r="EE22" s="12">
        <v>-3.344630381221339E-2</v>
      </c>
      <c r="EF22" s="12">
        <v>3.4790246372172352E-2</v>
      </c>
      <c r="EG22" s="10">
        <f t="shared" si="6"/>
        <v>3.0724784675961028E-2</v>
      </c>
      <c r="EH22">
        <f t="shared" si="7"/>
        <v>0.14827963945679756</v>
      </c>
      <c r="EI22" s="10">
        <f t="shared" si="8"/>
        <v>0.20720838537588254</v>
      </c>
    </row>
    <row r="23" spans="1:139">
      <c r="A23">
        <v>482</v>
      </c>
      <c r="B23">
        <v>2</v>
      </c>
      <c r="C23" s="12">
        <v>3.4987009286289193E-2</v>
      </c>
      <c r="D23" s="12">
        <v>2.981066768542209E-2</v>
      </c>
      <c r="E23" s="12">
        <v>0.13300500000000001</v>
      </c>
      <c r="F23" s="12">
        <v>0.14166490905190171</v>
      </c>
      <c r="G23" s="12">
        <v>5.2224173846498377E-2</v>
      </c>
      <c r="H23" s="12">
        <v>-1.81885E-2</v>
      </c>
      <c r="I23" s="12">
        <v>-0.148152028600294</v>
      </c>
      <c r="J23" s="12">
        <v>-0.11487550000000001</v>
      </c>
      <c r="K23" s="12">
        <v>0.20448947647223359</v>
      </c>
      <c r="L23" s="12">
        <v>-5.4043529775598627E-2</v>
      </c>
      <c r="M23" s="12">
        <v>-0.14728949999999999</v>
      </c>
      <c r="N23" s="12">
        <v>-0.15641923763601279</v>
      </c>
      <c r="O23" s="12">
        <v>-0.1229</v>
      </c>
      <c r="P23" s="12">
        <v>5.4681500000000001E-2</v>
      </c>
      <c r="Q23" s="12">
        <v>0.29117749999999998</v>
      </c>
      <c r="R23" s="12">
        <v>5.6211143313255052E-2</v>
      </c>
      <c r="S23" s="12">
        <v>0.1137245328272621</v>
      </c>
      <c r="T23" s="12">
        <v>-8.4677000000000002E-2</v>
      </c>
      <c r="U23" s="12">
        <v>9.3757422440794366E-2</v>
      </c>
      <c r="V23" s="12">
        <v>-0.2324755</v>
      </c>
      <c r="W23" s="12">
        <v>0.33161915024914451</v>
      </c>
      <c r="X23" s="12">
        <v>0.26408569496329731</v>
      </c>
      <c r="Y23" s="12">
        <v>-6.7954499999999987E-2</v>
      </c>
      <c r="Z23" s="12">
        <v>4.1052000000000012E-2</v>
      </c>
      <c r="AA23" s="12">
        <v>0.15165200000000001</v>
      </c>
      <c r="AB23" s="12">
        <v>-4.7747999999999999E-2</v>
      </c>
      <c r="AC23" s="12">
        <v>-0.23400850000000001</v>
      </c>
      <c r="AD23" s="12">
        <v>7.1626999999999996E-2</v>
      </c>
      <c r="AE23" s="12">
        <v>-0.221717</v>
      </c>
      <c r="AF23" s="12">
        <v>-2.5299499999999999E-2</v>
      </c>
      <c r="AG23" s="12">
        <v>-2.0555000000000091E-3</v>
      </c>
      <c r="AH23" s="12">
        <v>-8.417158452318324E-2</v>
      </c>
      <c r="AI23" s="12">
        <v>0.209152</v>
      </c>
      <c r="AJ23" s="12">
        <v>5.6431378481542303E-3</v>
      </c>
      <c r="AK23" s="12">
        <v>0.11411109934719101</v>
      </c>
      <c r="AL23" s="12">
        <v>0.1314317131925356</v>
      </c>
      <c r="AM23" s="12">
        <v>8.6694999999999994E-2</v>
      </c>
      <c r="AN23" s="12">
        <v>-0.12763099999999999</v>
      </c>
      <c r="AO23" s="12">
        <v>-5.3369521914240978E-3</v>
      </c>
      <c r="AP23" s="12">
        <v>-0.16526650000000001</v>
      </c>
      <c r="AQ23" s="12">
        <v>-9.9379000000000009E-2</v>
      </c>
      <c r="AR23" s="12">
        <v>-0.14613599999999999</v>
      </c>
      <c r="AS23" s="12">
        <v>3.2169000000000017E-2</v>
      </c>
      <c r="AT23" s="12">
        <v>1.6951000000000001E-2</v>
      </c>
      <c r="AU23" s="12">
        <v>0.60833199999999998</v>
      </c>
      <c r="AV23" s="12">
        <v>-9.6755999999999995E-2</v>
      </c>
      <c r="AW23" s="12">
        <v>0.32643050000000001</v>
      </c>
      <c r="AX23" s="12">
        <v>6.5139000000000002E-2</v>
      </c>
      <c r="AY23" s="12">
        <v>-0.1631465</v>
      </c>
      <c r="AZ23" s="12">
        <v>7.8071000000000002E-2</v>
      </c>
      <c r="BA23" s="12">
        <v>5.3997999999999997E-2</v>
      </c>
      <c r="BB23" s="12">
        <v>0.56682749999999993</v>
      </c>
      <c r="BC23" s="12">
        <v>-0.17299900000000001</v>
      </c>
      <c r="BD23" s="12">
        <v>0.12597949999999999</v>
      </c>
      <c r="BE23" s="12">
        <v>-7.1430762397296579E-2</v>
      </c>
      <c r="BF23" s="12">
        <v>-2.284699060468626E-2</v>
      </c>
      <c r="BG23" s="12">
        <v>-4.4909499999999991E-2</v>
      </c>
      <c r="BH23" s="12">
        <v>5.3594999999999997E-2</v>
      </c>
      <c r="BI23" s="12">
        <v>0.121209</v>
      </c>
      <c r="BJ23" s="12">
        <v>5.7494999999999997E-2</v>
      </c>
      <c r="BK23" s="12">
        <v>4.7852000000000013E-2</v>
      </c>
      <c r="BL23" s="12">
        <v>0.14953429625023959</v>
      </c>
      <c r="BM23" s="12">
        <v>0.18918068678715391</v>
      </c>
      <c r="BN23" s="12">
        <v>-3.8449999999999998E-2</v>
      </c>
      <c r="BO23" s="12">
        <v>3.6524941745999073E-2</v>
      </c>
      <c r="BP23" s="12">
        <v>9.8266399211456468E-2</v>
      </c>
      <c r="BQ23" s="12">
        <v>-0.12221849999999999</v>
      </c>
      <c r="BR23" s="12">
        <v>8.3550000000000013E-3</v>
      </c>
      <c r="BS23" s="12">
        <v>-7.3275388657911791E-2</v>
      </c>
      <c r="BT23" s="12">
        <v>0.14364980602599711</v>
      </c>
      <c r="BU23" s="12">
        <v>-0.1056865</v>
      </c>
      <c r="BV23" s="12">
        <v>-1.702049999999999E-2</v>
      </c>
      <c r="BW23" s="12">
        <v>0.60099800000000003</v>
      </c>
      <c r="BX23" s="12">
        <v>-6.8729999999999999E-2</v>
      </c>
      <c r="BY23" s="12">
        <v>3.9935999999999972E-2</v>
      </c>
      <c r="BZ23" s="12">
        <v>0.35239900000000002</v>
      </c>
      <c r="CA23" s="12">
        <v>0.20637549999999999</v>
      </c>
      <c r="CB23" s="12">
        <v>0.31616749999999999</v>
      </c>
      <c r="CC23" s="12">
        <v>-8.4545000000000009E-2</v>
      </c>
      <c r="CD23" s="12">
        <v>0.14124249999999999</v>
      </c>
      <c r="CE23" s="12">
        <v>0.1166246067964614</v>
      </c>
      <c r="CF23" s="12">
        <v>-0.15713490979116501</v>
      </c>
      <c r="CG23" s="12">
        <v>0.29290349999999998</v>
      </c>
      <c r="CH23" s="12">
        <v>2.195049999999998E-2</v>
      </c>
      <c r="CI23" s="12">
        <v>-5.9122499999999981E-2</v>
      </c>
      <c r="CJ23" s="12">
        <v>3.8255499999999998E-2</v>
      </c>
      <c r="CK23" s="12">
        <v>-5.6591500000000003E-2</v>
      </c>
      <c r="CL23" s="12">
        <v>0.40866101266741839</v>
      </c>
      <c r="CM23" s="12">
        <v>-0.3867329465229094</v>
      </c>
      <c r="CN23" s="12">
        <v>4.9972000000000003E-2</v>
      </c>
      <c r="CO23" s="12">
        <v>0.90892328736561978</v>
      </c>
      <c r="CP23" s="12">
        <v>-0.1197175</v>
      </c>
      <c r="CQ23" s="12">
        <v>-6.7309999999999995E-2</v>
      </c>
      <c r="CR23" s="12">
        <v>-1.159780382107861E-2</v>
      </c>
      <c r="CS23" s="12">
        <v>3.697421899127859E-2</v>
      </c>
      <c r="CT23" s="12">
        <v>6.5391499999999977E-2</v>
      </c>
      <c r="CU23" s="12">
        <v>2.1056595713287041E-2</v>
      </c>
      <c r="CV23" s="12">
        <v>2.2245137488805671E-2</v>
      </c>
      <c r="CW23" s="12">
        <v>-0.1009013318024186</v>
      </c>
      <c r="CX23" s="12">
        <v>8.8716994096526336E-2</v>
      </c>
      <c r="CY23" s="12">
        <v>0.15375050000000001</v>
      </c>
      <c r="CZ23" s="12">
        <v>0.1660055</v>
      </c>
      <c r="DA23" s="12">
        <v>3.0982136225910391E-2</v>
      </c>
      <c r="DB23" s="12">
        <v>1.8748000000000001E-2</v>
      </c>
      <c r="DC23" s="12">
        <v>7.2414999999999993E-2</v>
      </c>
      <c r="DD23" s="12">
        <v>-1.8409999999999999E-2</v>
      </c>
      <c r="DE23" s="12">
        <v>-0.1414445</v>
      </c>
      <c r="DF23" s="12">
        <v>0.40879749999999998</v>
      </c>
      <c r="DG23" s="12">
        <v>-6.7622500000000002E-2</v>
      </c>
      <c r="DH23" s="12">
        <v>0.13922799999999999</v>
      </c>
      <c r="DI23" s="12">
        <v>9.6041000000000015E-2</v>
      </c>
      <c r="DJ23" s="12">
        <v>-3.3823000000000013E-2</v>
      </c>
      <c r="DK23" s="12">
        <v>-9.1243500000000005E-2</v>
      </c>
      <c r="DL23" s="12">
        <v>-5.6605999999999997E-2</v>
      </c>
      <c r="DM23" s="12">
        <v>4.6476999999999997E-2</v>
      </c>
      <c r="DN23" s="12">
        <v>6.4971960439702253E-3</v>
      </c>
      <c r="DO23" s="12">
        <v>0.124068</v>
      </c>
      <c r="DP23" s="12">
        <v>4.7088232655722921E-2</v>
      </c>
      <c r="DQ23" s="12">
        <v>-0.1211305</v>
      </c>
      <c r="DR23" s="12">
        <v>-0.1024255</v>
      </c>
      <c r="DS23" s="12">
        <v>-0.28809657691904628</v>
      </c>
      <c r="DT23" s="12">
        <v>-5.4250499999999993E-2</v>
      </c>
      <c r="DU23" s="12">
        <v>-5.5638E-2</v>
      </c>
      <c r="DV23" s="12">
        <v>8.1330000000000013E-3</v>
      </c>
      <c r="DW23" s="12">
        <v>0.14122823258283859</v>
      </c>
      <c r="DX23" s="12">
        <v>0.31944850000000008</v>
      </c>
      <c r="DY23" s="12">
        <v>-5.3925000000000001E-2</v>
      </c>
      <c r="DZ23" s="12">
        <v>0.10287301862651251</v>
      </c>
      <c r="EA23" s="12">
        <v>-2.8757000000000001E-2</v>
      </c>
      <c r="EB23" s="12">
        <v>-0.1382285</v>
      </c>
      <c r="EC23" s="12">
        <v>-3.6584316325813361E-2</v>
      </c>
      <c r="ED23" s="12">
        <v>9.1425904619781034E-2</v>
      </c>
      <c r="EE23" s="12">
        <v>-5.9050683888240307E-2</v>
      </c>
      <c r="EF23" s="12">
        <v>4.7782278591659677E-2</v>
      </c>
      <c r="EG23" s="10">
        <f t="shared" si="6"/>
        <v>4.0657164698160747E-2</v>
      </c>
      <c r="EH23">
        <f t="shared" si="7"/>
        <v>0.1787189876213256</v>
      </c>
      <c r="EI23">
        <f t="shared" si="8"/>
        <v>0.22749213857626699</v>
      </c>
    </row>
    <row r="24" spans="1:139">
      <c r="A24">
        <v>964</v>
      </c>
      <c r="B24">
        <v>1</v>
      </c>
      <c r="C24" s="12">
        <v>-0.162993136931085</v>
      </c>
      <c r="D24" s="12">
        <v>0.1040490099724129</v>
      </c>
      <c r="E24" s="12">
        <v>0.28451199999999999</v>
      </c>
      <c r="F24" s="12">
        <v>0.22715954663674881</v>
      </c>
      <c r="G24" s="12">
        <v>-0.2257600230575724</v>
      </c>
      <c r="H24" s="12">
        <v>3.5856000000000013E-2</v>
      </c>
      <c r="I24" s="12">
        <v>2.111933203143501E-3</v>
      </c>
      <c r="J24" s="12">
        <v>-0.11546099999999999</v>
      </c>
      <c r="K24" s="12">
        <v>2.1515278354960109E-2</v>
      </c>
      <c r="L24" s="12">
        <v>-9.5623250508682117E-2</v>
      </c>
      <c r="M24" s="12">
        <v>-0.21778600000000001</v>
      </c>
      <c r="N24" s="12">
        <v>-0.14413045240043321</v>
      </c>
      <c r="O24" s="12">
        <v>-0.24428</v>
      </c>
      <c r="P24" s="12">
        <v>1.736000000000001E-3</v>
      </c>
      <c r="Q24" s="12">
        <v>-2.8400000000000018E-3</v>
      </c>
      <c r="R24" s="12">
        <v>0.24569737077925971</v>
      </c>
      <c r="S24" s="12">
        <v>0.35251446106016437</v>
      </c>
      <c r="T24" s="12">
        <v>-0.28782000000000002</v>
      </c>
      <c r="U24" s="12">
        <v>0.14851867422391801</v>
      </c>
      <c r="V24" s="12">
        <v>-9.8680000000000004E-2</v>
      </c>
      <c r="W24" s="12">
        <v>0.49571198595594262</v>
      </c>
      <c r="X24" s="12">
        <v>0.1180224325060039</v>
      </c>
      <c r="Y24" s="12">
        <v>-0.120319</v>
      </c>
      <c r="Z24" s="12">
        <v>-2.4395E-2</v>
      </c>
      <c r="AA24" s="12">
        <v>9.4362000000000001E-2</v>
      </c>
      <c r="AB24" s="12">
        <v>-0.184249</v>
      </c>
      <c r="AC24" s="12">
        <v>-0.24617</v>
      </c>
      <c r="AD24" s="12">
        <v>0.101174</v>
      </c>
      <c r="AE24" s="12">
        <v>-0.17527100000000001</v>
      </c>
      <c r="AF24" s="12">
        <v>-0.16570199999999999</v>
      </c>
      <c r="AG24" s="12">
        <v>0.105901</v>
      </c>
      <c r="AH24" s="12">
        <v>-5.6697360067789589E-2</v>
      </c>
      <c r="AI24" s="12">
        <v>0.31041400000000002</v>
      </c>
      <c r="AJ24" s="12">
        <v>-8.089124399937539E-2</v>
      </c>
      <c r="AK24" s="12">
        <v>8.4883953068192297E-2</v>
      </c>
      <c r="AL24" s="12">
        <v>-5.4676935490635382E-2</v>
      </c>
      <c r="AM24" s="12">
        <v>7.8599000000000002E-2</v>
      </c>
      <c r="AN24" s="12">
        <v>-0.162942</v>
      </c>
      <c r="AO24" s="12">
        <v>6.6090111828990022E-2</v>
      </c>
      <c r="AP24" s="12">
        <v>-0.16448499999999999</v>
      </c>
      <c r="AQ24" s="12">
        <v>-0.21712400000000001</v>
      </c>
      <c r="AR24" s="12">
        <v>-0.17083300000000001</v>
      </c>
      <c r="AS24" s="12">
        <v>0.23783199999999999</v>
      </c>
      <c r="AT24" s="12">
        <v>5.928000000000001E-3</v>
      </c>
      <c r="AU24" s="12">
        <v>0.47705399999999998</v>
      </c>
      <c r="AV24" s="12">
        <v>-1.9522000000000001E-2</v>
      </c>
      <c r="AW24" s="12">
        <v>0.120306</v>
      </c>
      <c r="AX24" s="12">
        <v>-2.5558000000000001E-2</v>
      </c>
      <c r="AY24" s="12">
        <v>-0.443471</v>
      </c>
      <c r="AZ24" s="12">
        <v>0.11862200000000001</v>
      </c>
      <c r="BA24" s="12">
        <v>5.0491000000000001E-2</v>
      </c>
      <c r="BB24" s="12">
        <v>0.69077599999999995</v>
      </c>
      <c r="BC24" s="12">
        <v>-0.20574999999999999</v>
      </c>
      <c r="BD24" s="12">
        <v>1.864E-2</v>
      </c>
      <c r="BE24" s="12">
        <v>-4.606435403168687E-2</v>
      </c>
      <c r="BF24" s="12">
        <v>8.765133605409231E-2</v>
      </c>
      <c r="BG24" s="12">
        <v>-0.176624</v>
      </c>
      <c r="BH24" s="12">
        <v>9.5700000000000091E-3</v>
      </c>
      <c r="BI24" s="12">
        <v>0.169268</v>
      </c>
      <c r="BJ24" s="12">
        <v>0.19964000000000001</v>
      </c>
      <c r="BK24" s="12">
        <v>3.483E-2</v>
      </c>
      <c r="BL24" s="12">
        <v>0.31716429392471662</v>
      </c>
      <c r="BM24" s="12">
        <v>1.1473019117737151E-2</v>
      </c>
      <c r="BN24" s="12">
        <v>-0.10891099999999999</v>
      </c>
      <c r="BO24" s="12">
        <v>-0.16110969109564191</v>
      </c>
      <c r="BP24" s="12">
        <v>0.1233511811293219</v>
      </c>
      <c r="BQ24" s="12">
        <v>-0.29185299999999997</v>
      </c>
      <c r="BR24" s="12">
        <v>-9.7000000000000003E-3</v>
      </c>
      <c r="BS24" s="12">
        <v>-1.284717484456964E-3</v>
      </c>
      <c r="BT24" s="12">
        <v>0.1162706960541873</v>
      </c>
      <c r="BU24" s="12">
        <v>-8.7489999999999981E-3</v>
      </c>
      <c r="BV24" s="12">
        <v>-0.20330699999999999</v>
      </c>
      <c r="BW24" s="12">
        <v>1.1090150000000001</v>
      </c>
      <c r="BX24" s="12">
        <v>-0.10395</v>
      </c>
      <c r="BY24" s="12">
        <v>-0.29033999999999999</v>
      </c>
      <c r="BZ24" s="12">
        <v>0.81395799999999996</v>
      </c>
      <c r="CA24" s="12">
        <v>0.10002800000000001</v>
      </c>
      <c r="CB24" s="12">
        <v>0.63969900000000002</v>
      </c>
      <c r="CC24" s="12">
        <v>-0.18246999999999999</v>
      </c>
      <c r="CD24" s="12">
        <v>2.9954000000000001E-2</v>
      </c>
      <c r="CE24" s="12">
        <v>0.21012143523608839</v>
      </c>
      <c r="CF24" s="12">
        <v>-0.2217213622453883</v>
      </c>
      <c r="CG24" s="12">
        <v>0.23727699999999999</v>
      </c>
      <c r="CH24" s="12">
        <v>0.14564299999999999</v>
      </c>
      <c r="CI24" s="12">
        <v>-5.8507999999999998E-2</v>
      </c>
      <c r="CJ24" s="12">
        <v>5.7174000000000003E-2</v>
      </c>
      <c r="CK24" s="12">
        <v>3.1859999999999999E-2</v>
      </c>
      <c r="CL24" s="12">
        <v>-0.1417553333725407</v>
      </c>
      <c r="CM24" s="12">
        <v>-0.54958710995910021</v>
      </c>
      <c r="CN24" s="12">
        <v>1.4921E-2</v>
      </c>
      <c r="CO24" s="12">
        <v>0.77665321833623113</v>
      </c>
      <c r="CP24" s="12">
        <v>-0.249337</v>
      </c>
      <c r="CQ24" s="12">
        <v>-0.17760000000000001</v>
      </c>
      <c r="CR24" s="12">
        <v>-6.1084838239556717E-2</v>
      </c>
      <c r="CS24" s="12">
        <v>8.5895232746805786E-2</v>
      </c>
      <c r="CT24" s="12">
        <v>-0.119542</v>
      </c>
      <c r="CU24" s="12">
        <v>7.2751347656710041E-2</v>
      </c>
      <c r="CV24" s="12">
        <v>-1.5064047539375311E-2</v>
      </c>
      <c r="CW24" s="12">
        <v>-0.17511716607200739</v>
      </c>
      <c r="CX24" s="12">
        <v>-5.5207193708687041E-2</v>
      </c>
      <c r="CY24" s="12">
        <v>0.32114799999999999</v>
      </c>
      <c r="CZ24" s="12">
        <v>0.32259100000000002</v>
      </c>
      <c r="DA24" s="12">
        <v>-2.451120416275485E-2</v>
      </c>
      <c r="DB24" s="12">
        <v>-1.6500000000000001E-2</v>
      </c>
      <c r="DC24" s="12">
        <v>0.17954999999999999</v>
      </c>
      <c r="DD24" s="12">
        <v>4.9299999999999997E-2</v>
      </c>
      <c r="DE24" s="12">
        <v>-0.30663899999999999</v>
      </c>
      <c r="DF24" s="12">
        <v>0.52558799999999994</v>
      </c>
      <c r="DG24" s="12">
        <v>-0.119545</v>
      </c>
      <c r="DH24" s="12">
        <v>0.26580500000000001</v>
      </c>
      <c r="DI24" s="12">
        <v>3.7185000000000003E-2</v>
      </c>
      <c r="DJ24" s="12">
        <v>2.1080000000000002E-2</v>
      </c>
      <c r="DK24" s="12">
        <v>-0.11967899999999999</v>
      </c>
      <c r="DL24" s="12">
        <v>-3.1748999999999999E-2</v>
      </c>
      <c r="DM24" s="12">
        <v>4.0999999999999723E-4</v>
      </c>
      <c r="DN24" s="12">
        <v>0.23333457077469619</v>
      </c>
      <c r="DO24" s="12">
        <v>0.115615</v>
      </c>
      <c r="DP24" s="12">
        <v>0.1143734254860139</v>
      </c>
      <c r="DQ24" s="12">
        <v>-5.0486000000000003E-2</v>
      </c>
      <c r="DR24" s="12">
        <v>-2.3392E-2</v>
      </c>
      <c r="DS24" s="12">
        <v>-0.21626154103284559</v>
      </c>
      <c r="DT24" s="12">
        <v>-7.4732999999999994E-2</v>
      </c>
      <c r="DU24" s="12">
        <v>2.178200000000001E-2</v>
      </c>
      <c r="DV24" s="12">
        <v>9.8046999999999995E-2</v>
      </c>
      <c r="DW24" s="12">
        <v>0.10885708989133031</v>
      </c>
      <c r="DX24" s="12">
        <v>0.28592899999999999</v>
      </c>
      <c r="DY24" s="12">
        <v>-3.2399999999999998E-3</v>
      </c>
      <c r="DZ24" s="12">
        <v>5.0469182403116652E-2</v>
      </c>
      <c r="EA24" s="12">
        <v>-5.4917000000000001E-2</v>
      </c>
      <c r="EB24" s="12">
        <v>-0.10923099999999999</v>
      </c>
      <c r="EC24" s="12">
        <v>-1.4309918770678909E-2</v>
      </c>
      <c r="ED24" s="12">
        <v>5.6172845298362112E-2</v>
      </c>
      <c r="EE24" s="12">
        <v>-0.1134294391912188</v>
      </c>
      <c r="EF24" s="12">
        <v>-6.7276677043968364E-2</v>
      </c>
      <c r="EG24" s="10">
        <f t="shared" si="6"/>
        <v>2.9340795785773623E-2</v>
      </c>
      <c r="EH24">
        <f t="shared" si="7"/>
        <v>0.2359739156261921</v>
      </c>
      <c r="EI24" s="10">
        <f t="shared" si="8"/>
        <v>0.12433914870596366</v>
      </c>
    </row>
    <row r="26" spans="1:139">
      <c r="A26" t="s">
        <v>144</v>
      </c>
      <c r="B26" t="s">
        <v>145</v>
      </c>
      <c r="C26" s="7">
        <v>-1.7446770539390338E-2</v>
      </c>
      <c r="D26" s="7">
        <v>2.070106053181563E-2</v>
      </c>
      <c r="E26" s="7">
        <v>2.3982129254766709E-2</v>
      </c>
      <c r="F26" s="7">
        <v>-6.557578972823077E-3</v>
      </c>
      <c r="G26" s="7">
        <v>3.1845129800519692E-2</v>
      </c>
      <c r="H26" s="7">
        <v>3.4348532736990518E-2</v>
      </c>
      <c r="I26" s="7">
        <v>-8.2549327813252367E-3</v>
      </c>
      <c r="J26" s="7">
        <v>1.2843524394052759E-2</v>
      </c>
      <c r="K26" s="7">
        <v>-5.1018524626790823E-2</v>
      </c>
      <c r="L26" s="7">
        <v>8.7394274103658827E-4</v>
      </c>
      <c r="M26" s="7">
        <v>2.3389575505495919E-2</v>
      </c>
      <c r="N26" s="7">
        <v>1.2988972200332851E-2</v>
      </c>
      <c r="O26" s="7">
        <v>5.8545887256348812E-3</v>
      </c>
      <c r="P26" s="7">
        <v>2.7413206571790558E-2</v>
      </c>
      <c r="Q26" s="7">
        <v>-3.7129361176928542E-3</v>
      </c>
      <c r="R26" s="7">
        <v>2.4076614047823328E-2</v>
      </c>
      <c r="S26" s="7">
        <v>-1.219002529903996E-2</v>
      </c>
      <c r="T26" s="7">
        <v>-3.9749578159589592E-2</v>
      </c>
      <c r="U26" s="7">
        <v>-7.3155449831649552E-2</v>
      </c>
      <c r="V26" s="7">
        <v>-5.8260229910114661E-2</v>
      </c>
      <c r="W26" s="7">
        <v>7.7279756550837221E-4</v>
      </c>
      <c r="X26" s="7">
        <v>4.459152113521897E-2</v>
      </c>
      <c r="Y26" s="7">
        <v>-2.7699680050213091E-2</v>
      </c>
      <c r="Z26" s="7">
        <v>2.0950059497436462E-3</v>
      </c>
      <c r="AA26" s="7">
        <v>-2.340055099256411E-2</v>
      </c>
      <c r="AB26" s="7">
        <v>3.2129371097322189E-2</v>
      </c>
      <c r="AC26" s="7">
        <v>3.890327309406643E-2</v>
      </c>
      <c r="AD26" s="7">
        <v>-4.286538217110427E-2</v>
      </c>
      <c r="AE26" s="7">
        <v>1.8647194550152159E-2</v>
      </c>
      <c r="AF26" s="7">
        <v>1.5229768322528949E-2</v>
      </c>
      <c r="AG26" s="7">
        <v>3.6016603778892417E-2</v>
      </c>
      <c r="AH26" s="7">
        <v>9.3546113853161701E-3</v>
      </c>
      <c r="AI26" s="7">
        <v>1.0748251336838139E-2</v>
      </c>
      <c r="AJ26" s="7">
        <v>1.335775405308097E-2</v>
      </c>
      <c r="AK26" s="7">
        <v>-5.3327473290953921E-3</v>
      </c>
      <c r="AL26" s="7">
        <v>1.383135807261675E-3</v>
      </c>
      <c r="AM26" s="7">
        <v>2.079592842007446E-2</v>
      </c>
      <c r="AN26" s="7">
        <v>3.1517702220390638E-2</v>
      </c>
      <c r="AO26" s="7">
        <v>6.2417165333294418E-3</v>
      </c>
      <c r="AP26" s="7">
        <v>6.1452616535713897E-3</v>
      </c>
      <c r="AQ26" s="7">
        <v>1.694635767669651E-2</v>
      </c>
      <c r="AR26" s="7">
        <v>3.4682830454308228E-2</v>
      </c>
      <c r="AS26" s="7">
        <v>3.0985886171969678E-3</v>
      </c>
      <c r="AT26" s="7">
        <v>1.508134714348611E-2</v>
      </c>
      <c r="AU26" s="7">
        <v>-1.9251209229863991E-2</v>
      </c>
      <c r="AV26" s="7">
        <v>3.8711513387631437E-2</v>
      </c>
      <c r="AW26" s="7">
        <v>-2.1856951135736599E-2</v>
      </c>
      <c r="AX26" s="7">
        <v>7.7743007097896798E-3</v>
      </c>
      <c r="AY26" s="7">
        <v>4.2397246695325942E-2</v>
      </c>
      <c r="AZ26" s="7">
        <v>-2.630897486115975E-2</v>
      </c>
      <c r="BA26" s="7">
        <v>9.5717493087162323E-3</v>
      </c>
      <c r="BB26" s="7">
        <v>-2.424974126627483E-2</v>
      </c>
      <c r="BC26" s="7">
        <v>2.0163374143915822E-2</v>
      </c>
      <c r="BD26" s="7">
        <v>-3.5049987821160239E-3</v>
      </c>
      <c r="BE26" s="7">
        <v>2.0151935098542271E-2</v>
      </c>
      <c r="BF26" s="7">
        <v>5.8133623077027128E-4</v>
      </c>
      <c r="BG26" s="7">
        <v>-5.2197009532526043E-3</v>
      </c>
      <c r="BH26" s="7">
        <v>-0.11587176140213</v>
      </c>
      <c r="BI26" s="7">
        <v>8.7252256924373536E-3</v>
      </c>
      <c r="BJ26" s="7">
        <v>-1.6377260977822151E-2</v>
      </c>
      <c r="BK26" s="7">
        <v>2.0840371600260421E-2</v>
      </c>
      <c r="BL26" s="7">
        <v>4.4975872102114713E-2</v>
      </c>
      <c r="BM26" s="7">
        <v>2.3954306081863871E-2</v>
      </c>
      <c r="BN26" s="7">
        <v>3.0239101391442601E-2</v>
      </c>
      <c r="BO26" s="7">
        <v>-4.372588759108751E-2</v>
      </c>
      <c r="BP26" s="7">
        <v>2.1889469568198618E-2</v>
      </c>
      <c r="BQ26" s="7">
        <v>8.6274302635084028E-3</v>
      </c>
      <c r="BR26" s="7">
        <v>-1.9192953994658781E-2</v>
      </c>
      <c r="BS26" s="7">
        <v>1.973512988813305E-2</v>
      </c>
      <c r="BT26" s="7">
        <v>4.7694337483699438E-2</v>
      </c>
      <c r="BU26" s="7">
        <v>1.145481680658339E-2</v>
      </c>
      <c r="BV26" s="7">
        <v>4.3228620735213191E-2</v>
      </c>
      <c r="BW26" s="7">
        <v>-4.2747430436922793E-2</v>
      </c>
      <c r="BX26" s="7">
        <v>-1.781129242779457E-2</v>
      </c>
      <c r="BY26" s="7">
        <v>-0.1511530968690756</v>
      </c>
      <c r="BZ26" s="7">
        <v>0.12422400361957529</v>
      </c>
      <c r="CA26" s="7">
        <v>-4.5572538445296431E-3</v>
      </c>
      <c r="CB26" s="7">
        <v>6.0211240204911178E-2</v>
      </c>
      <c r="CC26" s="7">
        <v>8.5992033482502284E-2</v>
      </c>
      <c r="CD26" s="7">
        <v>-5.8084795823660634E-3</v>
      </c>
      <c r="CE26" s="7">
        <v>-6.0413469889680736E-3</v>
      </c>
      <c r="CF26" s="7">
        <v>2.4523243722520739E-3</v>
      </c>
      <c r="CG26" s="7">
        <v>8.963625193702289E-2</v>
      </c>
      <c r="CH26" s="7">
        <v>7.099273252675789E-2</v>
      </c>
      <c r="CI26" s="7">
        <v>2.7170642901783448E-2</v>
      </c>
      <c r="CJ26" s="7">
        <v>5.2468428425330033E-2</v>
      </c>
      <c r="CK26" s="7">
        <v>2.9480660943049509E-2</v>
      </c>
      <c r="CL26" s="7">
        <v>6.6825081060201283E-2</v>
      </c>
      <c r="CM26" s="7">
        <v>-2.8772229019816971E-2</v>
      </c>
      <c r="CN26" s="7">
        <v>3.9462515901637851E-2</v>
      </c>
      <c r="CO26" s="7">
        <v>-2.9031086977359909E-2</v>
      </c>
      <c r="CP26" s="7">
        <v>1.3983882519467901E-2</v>
      </c>
      <c r="CQ26" s="7">
        <v>-3.2276964959333833E-2</v>
      </c>
      <c r="CR26" s="7">
        <v>3.1035766128940231E-3</v>
      </c>
      <c r="CS26" s="7">
        <v>2.5591855767083171E-2</v>
      </c>
      <c r="CT26" s="7">
        <v>4.4391886287193302E-2</v>
      </c>
      <c r="CU26" s="7">
        <v>-3.0338958549577438E-2</v>
      </c>
      <c r="CV26" s="7">
        <v>-1.2579764545717069E-3</v>
      </c>
      <c r="CW26" s="7">
        <v>2.336356455857952E-3</v>
      </c>
      <c r="CX26" s="7">
        <v>-6.4264144925906069E-2</v>
      </c>
      <c r="CY26" s="7">
        <v>1.2909779458992439E-2</v>
      </c>
      <c r="CZ26" s="7">
        <v>-0.12547709467085871</v>
      </c>
      <c r="DA26" s="7">
        <v>1.1690682939792569E-2</v>
      </c>
      <c r="DB26" s="7">
        <v>6.3378437007417512E-3</v>
      </c>
      <c r="DC26" s="7">
        <v>-0.1173053564693855</v>
      </c>
      <c r="DD26" s="7">
        <v>-3.6010872049446613E-2</v>
      </c>
      <c r="DE26" s="7">
        <v>0.1389113040722679</v>
      </c>
      <c r="DF26" s="7">
        <v>-5.1143506226105737E-2</v>
      </c>
      <c r="DG26" s="7">
        <v>7.6731447181969059E-2</v>
      </c>
      <c r="DH26" s="7">
        <v>1.550878219700816E-2</v>
      </c>
      <c r="DI26" s="7">
        <v>2.3223773674755831E-2</v>
      </c>
      <c r="DJ26" s="7">
        <v>-1.8372876361227891E-2</v>
      </c>
      <c r="DK26" s="7">
        <v>6.2199014085099431E-2</v>
      </c>
      <c r="DL26" s="7">
        <v>2.0098304486957191E-2</v>
      </c>
      <c r="DM26" s="7">
        <v>1.349893974806809E-2</v>
      </c>
      <c r="DN26" s="7">
        <v>-3.025221272842088E-2</v>
      </c>
      <c r="DO26" s="7">
        <v>-1.7022835708053841E-2</v>
      </c>
      <c r="DP26" s="7">
        <v>-2.1788523272461981E-2</v>
      </c>
      <c r="DQ26" s="7">
        <v>8.5745624585137223E-2</v>
      </c>
      <c r="DR26" s="7">
        <v>2.8106743604973752E-2</v>
      </c>
      <c r="DS26" s="7">
        <v>-2.3031598073594501E-3</v>
      </c>
      <c r="DT26" s="7">
        <v>5.8471198131487503E-2</v>
      </c>
      <c r="DU26" s="7">
        <v>6.7658949048647651E-2</v>
      </c>
      <c r="DV26" s="7">
        <v>5.0207706404322644E-3</v>
      </c>
      <c r="DW26" s="7">
        <v>3.7416183675207063E-2</v>
      </c>
      <c r="DX26" s="7">
        <v>8.4111003746042121E-2</v>
      </c>
      <c r="DY26" s="7">
        <v>-3.6832398544012837E-2</v>
      </c>
      <c r="DZ26" s="7">
        <v>3.0917028169369942E-3</v>
      </c>
      <c r="EA26" s="7">
        <v>-1.957628214294549E-3</v>
      </c>
      <c r="EB26" s="7">
        <v>2.6459103603519739E-2</v>
      </c>
      <c r="EC26" s="7">
        <v>-2.4752538760690269E-2</v>
      </c>
      <c r="ED26" s="7">
        <v>3.4115490982559941E-2</v>
      </c>
      <c r="EE26" s="7">
        <v>2.1061973989032982E-2</v>
      </c>
      <c r="EF26" s="7">
        <v>-2.0277392706005919E-2</v>
      </c>
      <c r="EG26" s="7">
        <f>AVERAGE(C26:EF26)</f>
        <v>7.3485376145559517E-3</v>
      </c>
      <c r="EH26" s="7">
        <f>STDEV(C26:EF26)</f>
        <v>4.2276369775976368E-2</v>
      </c>
      <c r="EI26" s="7">
        <f>EG26/EH26</f>
        <v>0.17382139605401439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H26"/>
  <sheetViews>
    <sheetView topLeftCell="BJ4" zoomScale="163" zoomScaleNormal="90" workbookViewId="0">
      <selection activeCell="EI16" sqref="EI16"/>
    </sheetView>
  </sheetViews>
  <sheetFormatPr baseColWidth="10" defaultColWidth="8.83203125" defaultRowHeight="15"/>
  <sheetData>
    <row r="1" spans="1:138" s="1" customFormat="1">
      <c r="A1" s="2" t="s">
        <v>208</v>
      </c>
    </row>
    <row r="2" spans="1:138" s="1" customFormat="1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  <c r="CN2" s="3" t="s">
        <v>90</v>
      </c>
      <c r="CO2" s="3" t="s">
        <v>91</v>
      </c>
      <c r="CP2" s="3" t="s">
        <v>92</v>
      </c>
      <c r="CQ2" s="3" t="s">
        <v>93</v>
      </c>
      <c r="CR2" s="3" t="s">
        <v>94</v>
      </c>
      <c r="CS2" s="3" t="s">
        <v>95</v>
      </c>
      <c r="CT2" s="3" t="s">
        <v>96</v>
      </c>
      <c r="CU2" s="3" t="s">
        <v>97</v>
      </c>
      <c r="CV2" s="3" t="s">
        <v>98</v>
      </c>
      <c r="CW2" s="3" t="s">
        <v>99</v>
      </c>
      <c r="CX2" s="3" t="s">
        <v>100</v>
      </c>
      <c r="CY2" s="3" t="s">
        <v>101</v>
      </c>
      <c r="CZ2" s="3" t="s">
        <v>102</v>
      </c>
      <c r="DA2" s="3" t="s">
        <v>103</v>
      </c>
      <c r="DB2" s="3" t="s">
        <v>104</v>
      </c>
      <c r="DC2" s="3" t="s">
        <v>105</v>
      </c>
      <c r="DD2" s="3" t="s">
        <v>106</v>
      </c>
      <c r="DE2" s="3" t="s">
        <v>107</v>
      </c>
      <c r="DF2" s="3" t="s">
        <v>108</v>
      </c>
      <c r="DG2" s="3" t="s">
        <v>109</v>
      </c>
      <c r="DH2" s="3" t="s">
        <v>110</v>
      </c>
      <c r="DI2" s="3" t="s">
        <v>111</v>
      </c>
      <c r="DJ2" s="3" t="s">
        <v>112</v>
      </c>
      <c r="DK2" s="3" t="s">
        <v>113</v>
      </c>
      <c r="DL2" s="3" t="s">
        <v>114</v>
      </c>
      <c r="DM2" s="3" t="s">
        <v>115</v>
      </c>
      <c r="DN2" s="3" t="s">
        <v>116</v>
      </c>
      <c r="DO2" s="3" t="s">
        <v>117</v>
      </c>
      <c r="DP2" s="3" t="s">
        <v>118</v>
      </c>
      <c r="DQ2" s="3" t="s">
        <v>119</v>
      </c>
      <c r="DR2" s="3" t="s">
        <v>120</v>
      </c>
      <c r="DS2" s="3" t="s">
        <v>121</v>
      </c>
      <c r="DT2" s="3" t="s">
        <v>122</v>
      </c>
      <c r="DU2" s="3" t="s">
        <v>123</v>
      </c>
      <c r="DV2" s="3" t="s">
        <v>124</v>
      </c>
      <c r="DW2" s="3" t="s">
        <v>125</v>
      </c>
      <c r="DX2" s="3" t="s">
        <v>126</v>
      </c>
      <c r="DY2" s="3" t="s">
        <v>127</v>
      </c>
      <c r="DZ2" s="3" t="s">
        <v>128</v>
      </c>
      <c r="EA2" s="3" t="s">
        <v>129</v>
      </c>
      <c r="EB2" s="3" t="s">
        <v>130</v>
      </c>
      <c r="EC2" s="3" t="s">
        <v>131</v>
      </c>
      <c r="ED2" s="3" t="s">
        <v>132</v>
      </c>
      <c r="EE2" s="3" t="s">
        <v>133</v>
      </c>
      <c r="EF2" s="3" t="s">
        <v>134</v>
      </c>
    </row>
    <row r="3" spans="1:138" s="1" customFormat="1">
      <c r="B3" s="2" t="s">
        <v>135</v>
      </c>
      <c r="C3" s="12">
        <v>-7.7981240861112869E-2</v>
      </c>
      <c r="D3" s="12">
        <v>-9.1720816001217079E-2</v>
      </c>
      <c r="E3" s="12">
        <v>-5.2859258612292397E-2</v>
      </c>
      <c r="F3" s="12">
        <v>-0.1154504478657486</v>
      </c>
      <c r="G3" s="12">
        <v>-8.3443116291576969E-2</v>
      </c>
      <c r="H3" s="12">
        <v>-2.6287928720926321E-3</v>
      </c>
      <c r="I3" s="12">
        <v>-9.17061944524626E-2</v>
      </c>
      <c r="J3" s="12">
        <v>-5.6085756879479871E-2</v>
      </c>
      <c r="K3" s="12">
        <v>-0.1008329194598508</v>
      </c>
      <c r="L3" s="12">
        <v>-0.10378006478536519</v>
      </c>
      <c r="M3" s="12">
        <v>5.5829241941196268E-2</v>
      </c>
      <c r="N3" s="12">
        <v>-0.1158619637464291</v>
      </c>
      <c r="O3" s="12">
        <v>-5.8513967337472099E-2</v>
      </c>
      <c r="P3" s="12">
        <v>-6.0458244885088289E-2</v>
      </c>
      <c r="Q3" s="12">
        <v>-5.3239297079499662E-2</v>
      </c>
      <c r="R3" s="12">
        <v>-0.1169489926289226</v>
      </c>
      <c r="S3" s="12">
        <v>-0.17262516521577451</v>
      </c>
      <c r="T3" s="12">
        <v>-3.5612527967292071E-2</v>
      </c>
      <c r="U3" s="12">
        <v>-0.1047373820130289</v>
      </c>
      <c r="V3" s="12">
        <v>5.4728173269898657E-2</v>
      </c>
      <c r="W3" s="12">
        <v>0.1104845400782864</v>
      </c>
      <c r="X3" s="12">
        <v>7.7152949246108812E-2</v>
      </c>
      <c r="Y3" s="12">
        <v>-2.1197940496231121E-2</v>
      </c>
      <c r="Z3" s="12">
        <v>-1.220412867494485E-2</v>
      </c>
      <c r="AA3" s="12">
        <v>5.8940158702571167E-2</v>
      </c>
      <c r="AB3" s="12">
        <v>1.704920567122593E-2</v>
      </c>
      <c r="AC3" s="12">
        <v>-2.8623729777447999E-2</v>
      </c>
      <c r="AD3" s="12">
        <v>3.8597994743491432E-2</v>
      </c>
      <c r="AE3" s="12">
        <v>4.5421821361275698E-2</v>
      </c>
      <c r="AF3" s="12">
        <v>-7.0671769100140664E-3</v>
      </c>
      <c r="AG3" s="12">
        <v>-8.8710520129031845E-3</v>
      </c>
      <c r="AH3" s="12">
        <v>0.1009192396033949</v>
      </c>
      <c r="AI3" s="12">
        <v>5.2187010509938972E-2</v>
      </c>
      <c r="AJ3" s="12">
        <v>0.1019691755674634</v>
      </c>
      <c r="AK3" s="12">
        <v>0.13211315672161919</v>
      </c>
      <c r="AL3" s="12">
        <v>8.0841310267837335E-2</v>
      </c>
      <c r="AM3" s="12">
        <v>6.6073941505882944E-2</v>
      </c>
      <c r="AN3" s="12">
        <v>4.5849550313755157E-2</v>
      </c>
      <c r="AO3" s="12">
        <v>0.1344236211085432</v>
      </c>
      <c r="AP3" s="12">
        <v>-5.4866828387549187E-2</v>
      </c>
      <c r="AQ3" s="12">
        <v>4.8332448898150193E-2</v>
      </c>
      <c r="AR3" s="12">
        <v>5.4465942771725943E-2</v>
      </c>
      <c r="AS3" s="12">
        <v>6.0627286759379943E-2</v>
      </c>
      <c r="AT3" s="12">
        <v>2.2903338702745881E-2</v>
      </c>
      <c r="AU3" s="12">
        <v>2.878024844402479E-2</v>
      </c>
      <c r="AV3" s="12">
        <v>-1.129205212894535E-2</v>
      </c>
      <c r="AW3" s="12">
        <v>6.7409820754134268E-3</v>
      </c>
      <c r="AX3" s="12">
        <v>6.9445703072046949E-2</v>
      </c>
      <c r="AY3" s="12">
        <v>7.2293980578513314E-2</v>
      </c>
      <c r="AZ3" s="12">
        <v>5.6782553627262748E-2</v>
      </c>
      <c r="BA3" s="12">
        <v>5.6751851388712939E-3</v>
      </c>
      <c r="BB3" s="12">
        <v>7.2435676593229636E-2</v>
      </c>
      <c r="BC3" s="12">
        <v>2.4104231358940049E-3</v>
      </c>
      <c r="BD3" s="12">
        <v>4.4457778288968727E-2</v>
      </c>
      <c r="BE3" s="12">
        <v>0.15640720996344051</v>
      </c>
      <c r="BF3" s="12">
        <v>8.961422115098705E-2</v>
      </c>
      <c r="BG3" s="12">
        <v>-4.5499959267627739E-2</v>
      </c>
      <c r="BH3" s="12">
        <v>1.473996831732775E-2</v>
      </c>
      <c r="BI3" s="12">
        <v>1.1467767379862339E-3</v>
      </c>
      <c r="BJ3" s="12">
        <v>3.82060916655452E-2</v>
      </c>
      <c r="BK3" s="12">
        <v>6.9204193024136371E-2</v>
      </c>
      <c r="BL3" s="12">
        <v>0.14599637517714301</v>
      </c>
      <c r="BM3" s="12">
        <v>7.7671454044817706E-2</v>
      </c>
      <c r="BN3" s="12">
        <v>-1.4934546848394969E-3</v>
      </c>
      <c r="BO3" s="12">
        <v>0.15075036572727429</v>
      </c>
      <c r="BP3" s="12">
        <v>0.1068808738908148</v>
      </c>
      <c r="BQ3" s="12">
        <v>1.221444016343416E-2</v>
      </c>
      <c r="BR3" s="12">
        <v>3.2309492446798579E-2</v>
      </c>
      <c r="BS3" s="12">
        <v>7.5715218722114425E-2</v>
      </c>
      <c r="BT3" s="12">
        <v>0.1476948601503042</v>
      </c>
      <c r="BU3" s="12">
        <v>1.817214867790248E-2</v>
      </c>
      <c r="BV3" s="12">
        <v>6.6489869867815826E-2</v>
      </c>
      <c r="BW3" s="12">
        <v>3.8195592237729163E-2</v>
      </c>
      <c r="BX3" s="12">
        <v>4.7621234363544103E-2</v>
      </c>
      <c r="BY3" s="12">
        <v>3.3277385006537187E-2</v>
      </c>
      <c r="BZ3" s="12">
        <v>-6.0454023977282903E-2</v>
      </c>
      <c r="CA3" s="12">
        <v>5.2148142226918692E-4</v>
      </c>
      <c r="CB3" s="12">
        <v>2.326190927136889E-2</v>
      </c>
      <c r="CC3" s="12">
        <v>-2.6286266288861861E-2</v>
      </c>
      <c r="CD3" s="12">
        <v>5.2057462476054299E-2</v>
      </c>
      <c r="CE3" s="12">
        <v>-0.1062476229187161</v>
      </c>
      <c r="CF3" s="12">
        <v>-0.1195660454549131</v>
      </c>
      <c r="CG3" s="12">
        <v>-1.0499463273261581E-2</v>
      </c>
      <c r="CH3" s="12">
        <v>-2.3835366421230391E-2</v>
      </c>
      <c r="CI3" s="12">
        <v>-4.3365220517483233E-3</v>
      </c>
      <c r="CJ3" s="12">
        <v>5.8870363779287586E-3</v>
      </c>
      <c r="CK3" s="12">
        <v>2.2369140646099479E-2</v>
      </c>
      <c r="CL3" s="12">
        <v>-8.2212452947380901E-2</v>
      </c>
      <c r="CM3" s="12">
        <v>-0.12682704685249099</v>
      </c>
      <c r="CN3" s="12">
        <v>-8.4592786355010396E-3</v>
      </c>
      <c r="CO3" s="12">
        <v>-0.13500465547665971</v>
      </c>
      <c r="CP3" s="12">
        <v>1.33854440155954E-2</v>
      </c>
      <c r="CQ3" s="12">
        <v>-5.12789058806579E-2</v>
      </c>
      <c r="CR3" s="12">
        <v>-9.4660334746213826E-2</v>
      </c>
      <c r="CS3" s="12">
        <v>-7.7501744984071919E-2</v>
      </c>
      <c r="CT3" s="12">
        <v>6.3427668130038306E-2</v>
      </c>
      <c r="CU3" s="12">
        <v>-0.10211731197922071</v>
      </c>
      <c r="CV3" s="12">
        <v>-0.1210008636864883</v>
      </c>
      <c r="CW3" s="12">
        <v>-8.3771057290789874E-2</v>
      </c>
      <c r="CX3" s="12">
        <v>-0.108143131485795</v>
      </c>
      <c r="CY3" s="12">
        <v>-4.0161757016129222E-2</v>
      </c>
      <c r="CZ3" s="12">
        <v>-1.5386044424255171E-3</v>
      </c>
      <c r="DA3" s="12">
        <v>-7.7524493053387863E-2</v>
      </c>
      <c r="DB3" s="12">
        <v>-7.879063134946046E-3</v>
      </c>
      <c r="DC3" s="12">
        <v>-2.6882932084816711E-2</v>
      </c>
      <c r="DD3" s="12">
        <v>6.9093120815518799E-2</v>
      </c>
      <c r="DE3" s="12">
        <v>-4.3347804073038947E-2</v>
      </c>
      <c r="DF3" s="12">
        <v>5.87554125627009E-2</v>
      </c>
      <c r="DG3" s="12">
        <v>6.4753773039743015E-2</v>
      </c>
      <c r="DH3" s="12">
        <v>-1.287213930098646E-3</v>
      </c>
      <c r="DI3" s="12">
        <v>2.1640077633277799E-2</v>
      </c>
      <c r="DJ3" s="12">
        <v>-4.5030711038867167E-2</v>
      </c>
      <c r="DK3" s="12">
        <v>-1.3122204761795811E-2</v>
      </c>
      <c r="DL3" s="12">
        <v>-6.044882202770601E-2</v>
      </c>
      <c r="DM3" s="12">
        <v>-1.0592752749389599E-2</v>
      </c>
      <c r="DN3" s="12">
        <v>7.7435014643364664E-2</v>
      </c>
      <c r="DO3" s="12">
        <v>-5.4992856655808733E-2</v>
      </c>
      <c r="DP3" s="12">
        <v>7.556841599905624E-2</v>
      </c>
      <c r="DQ3" s="12">
        <v>4.187756543775777E-3</v>
      </c>
      <c r="DR3" s="12">
        <v>-5.5104292662403291E-2</v>
      </c>
      <c r="DS3" s="12">
        <v>0.10263669436748039</v>
      </c>
      <c r="DT3" s="12">
        <v>-4.0717186288007967E-2</v>
      </c>
      <c r="DU3" s="12">
        <v>7.639250584652096E-3</v>
      </c>
      <c r="DV3" s="12">
        <v>-6.6126173971523872E-2</v>
      </c>
      <c r="DW3" s="12">
        <v>7.8117337673435386E-2</v>
      </c>
      <c r="DX3" s="12">
        <v>1.6019937584861629E-2</v>
      </c>
      <c r="DY3" s="12">
        <v>1.4410244062000451E-2</v>
      </c>
      <c r="DZ3" s="12">
        <v>-0.1079887966876449</v>
      </c>
      <c r="EA3" s="12">
        <v>1.1807195335730179E-2</v>
      </c>
      <c r="EB3" s="12">
        <v>6.3675145630864198E-3</v>
      </c>
      <c r="EC3" s="12">
        <v>0.1146690600079793</v>
      </c>
      <c r="ED3" s="12">
        <v>-0.13301760440885349</v>
      </c>
      <c r="EE3" s="12">
        <v>-8.3212161647068517E-2</v>
      </c>
      <c r="EF3" s="12">
        <v>-7.4711540898400819E-2</v>
      </c>
    </row>
    <row r="4" spans="1:138" s="1" customFormat="1">
      <c r="B4" s="2" t="s">
        <v>136</v>
      </c>
      <c r="C4" s="12">
        <v>-7.4711540898400819E-2</v>
      </c>
      <c r="D4" s="12">
        <v>-7.4711540898400819E-2</v>
      </c>
      <c r="E4" s="12">
        <v>-7.4711540898400819E-2</v>
      </c>
      <c r="F4" s="12">
        <v>-7.4711540898400819E-2</v>
      </c>
      <c r="G4" s="12">
        <v>-7.4711540898400819E-2</v>
      </c>
      <c r="H4" s="12">
        <v>-7.4711540898400819E-2</v>
      </c>
      <c r="I4" s="12">
        <v>-7.4711540898400819E-2</v>
      </c>
      <c r="J4" s="12">
        <v>-7.4711540898400819E-2</v>
      </c>
      <c r="K4" s="12">
        <v>-7.4711540898400819E-2</v>
      </c>
      <c r="L4" s="12">
        <v>-7.4711540898400819E-2</v>
      </c>
      <c r="M4" s="12">
        <v>-7.4711540898400819E-2</v>
      </c>
      <c r="N4" s="12">
        <v>-7.4711540898400819E-2</v>
      </c>
      <c r="O4" s="12">
        <v>-7.4711540898400819E-2</v>
      </c>
      <c r="P4" s="12">
        <v>-7.4711540898400819E-2</v>
      </c>
      <c r="Q4" s="12">
        <v>-7.4711540898400819E-2</v>
      </c>
      <c r="R4" s="12">
        <v>-7.4711540898400819E-2</v>
      </c>
      <c r="S4" s="12">
        <v>-7.4711540898400819E-2</v>
      </c>
      <c r="T4" s="12">
        <v>-7.4711540898400819E-2</v>
      </c>
      <c r="U4" s="12">
        <v>-7.4711540898400819E-2</v>
      </c>
      <c r="V4" s="12">
        <v>-7.4711540898400819E-2</v>
      </c>
      <c r="W4" s="12">
        <v>-7.4711540898400819E-2</v>
      </c>
      <c r="X4" s="12">
        <v>-7.4711540898400819E-2</v>
      </c>
      <c r="Y4" s="12">
        <v>-7.4711540898400819E-2</v>
      </c>
      <c r="Z4" s="12">
        <v>-7.4711540898400819E-2</v>
      </c>
      <c r="AA4" s="12">
        <v>-7.4711540898400819E-2</v>
      </c>
      <c r="AB4" s="12">
        <v>-7.4711540898400819E-2</v>
      </c>
      <c r="AC4" s="12">
        <v>-7.4711540898400819E-2</v>
      </c>
      <c r="AD4" s="12">
        <v>-7.4711540898400819E-2</v>
      </c>
      <c r="AE4" s="12">
        <v>-7.4711540898400819E-2</v>
      </c>
      <c r="AF4" s="12">
        <v>-7.4711540898400819E-2</v>
      </c>
      <c r="AG4" s="12">
        <v>-7.4711540898400819E-2</v>
      </c>
      <c r="AH4" s="12">
        <v>-7.4711540898400819E-2</v>
      </c>
      <c r="AI4" s="12">
        <v>-7.4711540898400819E-2</v>
      </c>
      <c r="AJ4" s="12">
        <v>-7.4711540898400819E-2</v>
      </c>
      <c r="AK4" s="12">
        <v>-7.4711540898400819E-2</v>
      </c>
      <c r="AL4" s="12">
        <v>-7.4711540898400819E-2</v>
      </c>
      <c r="AM4" s="12">
        <v>-7.4711540898400819E-2</v>
      </c>
      <c r="AN4" s="12">
        <v>-7.4711540898400819E-2</v>
      </c>
      <c r="AO4" s="12">
        <v>-7.4711540898400819E-2</v>
      </c>
      <c r="AP4" s="12">
        <v>-7.4711540898400819E-2</v>
      </c>
      <c r="AQ4" s="12">
        <v>-7.4711540898400819E-2</v>
      </c>
      <c r="AR4" s="12">
        <v>-7.4711540898400819E-2</v>
      </c>
      <c r="AS4" s="12">
        <v>-7.4711540898400819E-2</v>
      </c>
      <c r="AT4" s="12">
        <v>-7.4711540898400819E-2</v>
      </c>
      <c r="AU4" s="12">
        <v>-7.4711540898400819E-2</v>
      </c>
      <c r="AV4" s="12">
        <v>-7.4711540898400819E-2</v>
      </c>
      <c r="AW4" s="12">
        <v>-7.4711540898400819E-2</v>
      </c>
      <c r="AX4" s="12">
        <v>-7.4711540898400819E-2</v>
      </c>
      <c r="AY4" s="12">
        <v>-7.4711540898400819E-2</v>
      </c>
      <c r="AZ4" s="12">
        <v>-7.4711540898400819E-2</v>
      </c>
      <c r="BA4" s="12">
        <v>-7.4711540898400819E-2</v>
      </c>
      <c r="BB4" s="12">
        <v>-7.4711540898400819E-2</v>
      </c>
      <c r="BC4" s="12">
        <v>-7.4711540898400819E-2</v>
      </c>
      <c r="BD4" s="12">
        <v>-7.4711540898400819E-2</v>
      </c>
      <c r="BE4" s="12">
        <v>-7.4711540898400819E-2</v>
      </c>
      <c r="BF4" s="12">
        <v>-7.4711540898400819E-2</v>
      </c>
      <c r="BG4" s="12">
        <v>-7.4711540898400819E-2</v>
      </c>
      <c r="BH4" s="12">
        <v>-7.4711540898400819E-2</v>
      </c>
      <c r="BI4" s="12">
        <v>-7.4711540898400819E-2</v>
      </c>
      <c r="BJ4" s="12">
        <v>-7.4711540898400819E-2</v>
      </c>
      <c r="BK4" s="12">
        <v>-7.4711540898400819E-2</v>
      </c>
      <c r="BL4" s="12">
        <v>-7.4711540898400819E-2</v>
      </c>
      <c r="BM4" s="12">
        <v>-7.4711540898400819E-2</v>
      </c>
      <c r="BN4" s="12">
        <v>-7.4711540898400819E-2</v>
      </c>
      <c r="BO4" s="12">
        <v>-7.4711540898400819E-2</v>
      </c>
      <c r="BP4" s="12">
        <v>-7.4711540898400819E-2</v>
      </c>
      <c r="BQ4" s="12">
        <v>-7.4711540898400819E-2</v>
      </c>
      <c r="BR4" s="12">
        <v>-7.4711540898400819E-2</v>
      </c>
      <c r="BS4" s="12">
        <v>-7.4711540898400819E-2</v>
      </c>
      <c r="BT4" s="12">
        <v>-7.4711540898400819E-2</v>
      </c>
      <c r="BU4" s="12">
        <v>-7.4711540898400819E-2</v>
      </c>
      <c r="BV4" s="12">
        <v>-7.4711540898400819E-2</v>
      </c>
      <c r="BW4" s="12">
        <v>-7.4711540898400819E-2</v>
      </c>
      <c r="BX4" s="12">
        <v>-7.4711540898400819E-2</v>
      </c>
      <c r="BY4" s="12">
        <v>-7.4711540898400819E-2</v>
      </c>
      <c r="BZ4" s="12">
        <v>-7.4711540898400819E-2</v>
      </c>
      <c r="CA4" s="12">
        <v>-7.4711540898400819E-2</v>
      </c>
      <c r="CB4" s="12">
        <v>-7.4711540898400819E-2</v>
      </c>
      <c r="CC4" s="12">
        <v>-7.4711540898400819E-2</v>
      </c>
      <c r="CD4" s="12">
        <v>-7.4711540898400819E-2</v>
      </c>
      <c r="CE4" s="12">
        <v>-7.4711540898400819E-2</v>
      </c>
      <c r="CF4" s="12">
        <v>-7.4711540898400819E-2</v>
      </c>
      <c r="CG4" s="12">
        <v>-7.4711540898400819E-2</v>
      </c>
      <c r="CH4" s="12">
        <v>-7.4711540898400819E-2</v>
      </c>
      <c r="CI4" s="12">
        <v>-7.4711540898400819E-2</v>
      </c>
      <c r="CJ4" s="12">
        <v>-7.4711540898400819E-2</v>
      </c>
      <c r="CK4" s="12">
        <v>-7.4711540898400819E-2</v>
      </c>
      <c r="CL4" s="12">
        <v>-7.4711540898400819E-2</v>
      </c>
      <c r="CM4" s="12">
        <v>-7.4711540898400819E-2</v>
      </c>
      <c r="CN4" s="12">
        <v>-7.4711540898400819E-2</v>
      </c>
      <c r="CO4" s="12">
        <v>-7.4711540898400819E-2</v>
      </c>
      <c r="CP4" s="12">
        <v>-7.4711540898400819E-2</v>
      </c>
      <c r="CQ4" s="12">
        <v>-7.4711540898400819E-2</v>
      </c>
      <c r="CR4" s="12">
        <v>-7.4711540898400819E-2</v>
      </c>
      <c r="CS4" s="12">
        <v>-7.4711540898400819E-2</v>
      </c>
      <c r="CT4" s="12">
        <v>-7.4711540898400819E-2</v>
      </c>
      <c r="CU4" s="12">
        <v>-7.4711540898400819E-2</v>
      </c>
      <c r="CV4" s="12">
        <v>-7.4711540898400819E-2</v>
      </c>
      <c r="CW4" s="12">
        <v>-7.4711540898400819E-2</v>
      </c>
      <c r="CX4" s="12">
        <v>-7.4711540898400819E-2</v>
      </c>
      <c r="CY4" s="12">
        <v>-7.4711540898400819E-2</v>
      </c>
      <c r="CZ4" s="12">
        <v>-7.4711540898400819E-2</v>
      </c>
      <c r="DA4" s="12">
        <v>-7.4711540898400819E-2</v>
      </c>
      <c r="DB4" s="12">
        <v>-7.4711540898400819E-2</v>
      </c>
      <c r="DC4" s="12">
        <v>-7.4711540898400819E-2</v>
      </c>
      <c r="DD4" s="12">
        <v>-7.4711540898400819E-2</v>
      </c>
      <c r="DE4" s="12">
        <v>-7.4711540898400819E-2</v>
      </c>
      <c r="DF4" s="12">
        <v>-7.4711540898400819E-2</v>
      </c>
      <c r="DG4" s="12">
        <v>-7.4711540898400819E-2</v>
      </c>
      <c r="DH4" s="12">
        <v>-7.4711540898400819E-2</v>
      </c>
      <c r="DI4" s="12">
        <v>-7.4711540898400819E-2</v>
      </c>
      <c r="DJ4" s="12">
        <v>-7.4711540898400819E-2</v>
      </c>
      <c r="DK4" s="12">
        <v>-7.4711540898400819E-2</v>
      </c>
      <c r="DL4" s="12">
        <v>-7.4711540898400819E-2</v>
      </c>
      <c r="DM4" s="12">
        <v>-7.4711540898400819E-2</v>
      </c>
      <c r="DN4" s="12">
        <v>-7.4711540898400819E-2</v>
      </c>
      <c r="DO4" s="12">
        <v>-7.4711540898400819E-2</v>
      </c>
      <c r="DP4" s="12">
        <v>-7.4711540898400819E-2</v>
      </c>
      <c r="DQ4" s="12">
        <v>-7.4711540898400819E-2</v>
      </c>
      <c r="DR4" s="12">
        <v>-7.4711540898400819E-2</v>
      </c>
      <c r="DS4" s="12">
        <v>-7.4711540898400819E-2</v>
      </c>
      <c r="DT4" s="12">
        <v>-7.4711540898400819E-2</v>
      </c>
      <c r="DU4" s="12">
        <v>-7.4711540898400819E-2</v>
      </c>
      <c r="DV4" s="12">
        <v>-7.4711540898400819E-2</v>
      </c>
      <c r="DW4" s="12">
        <v>-7.4711540898400819E-2</v>
      </c>
      <c r="DX4" s="12">
        <v>-7.4711540898400819E-2</v>
      </c>
      <c r="DY4" s="12">
        <v>-7.4711540898400819E-2</v>
      </c>
      <c r="DZ4" s="12">
        <v>-7.4711540898400819E-2</v>
      </c>
      <c r="EA4" s="12">
        <v>-7.4711540898400819E-2</v>
      </c>
      <c r="EB4" s="12">
        <v>-7.4711540898400819E-2</v>
      </c>
      <c r="EC4" s="12">
        <v>-7.4711540898400819E-2</v>
      </c>
      <c r="ED4" s="12">
        <v>-7.4711540898400819E-2</v>
      </c>
      <c r="EE4" s="12">
        <v>-7.4711540898400819E-2</v>
      </c>
      <c r="EF4" s="12">
        <v>-7.4711540898400819E-2</v>
      </c>
    </row>
    <row r="5" spans="1:138" s="1" customFormat="1">
      <c r="B5" s="2" t="s">
        <v>137</v>
      </c>
      <c r="C5" s="12">
        <v>-7.4711540898400819E-2</v>
      </c>
      <c r="D5" s="12">
        <v>-7.4711540898400819E-2</v>
      </c>
      <c r="E5" s="12">
        <v>-7.4711540898400819E-2</v>
      </c>
      <c r="F5" s="12">
        <v>-7.4711540898400819E-2</v>
      </c>
      <c r="G5" s="12">
        <v>-7.4711540898400819E-2</v>
      </c>
      <c r="H5" s="12">
        <v>-7.4711540898400819E-2</v>
      </c>
      <c r="I5" s="12">
        <v>-7.4711540898400819E-2</v>
      </c>
      <c r="J5" s="12">
        <v>-7.4711540898400819E-2</v>
      </c>
      <c r="K5" s="12">
        <v>-7.4711540898400819E-2</v>
      </c>
      <c r="L5" s="12">
        <v>-7.4711540898400819E-2</v>
      </c>
      <c r="M5" s="12">
        <v>-7.4711540898400819E-2</v>
      </c>
      <c r="N5" s="12">
        <v>-7.4711540898400819E-2</v>
      </c>
      <c r="O5" s="12">
        <v>-7.4711540898400819E-2</v>
      </c>
      <c r="P5" s="12">
        <v>-7.4711540898400819E-2</v>
      </c>
      <c r="Q5" s="12">
        <v>-7.4711540898400819E-2</v>
      </c>
      <c r="R5" s="12">
        <v>-7.4711540898400819E-2</v>
      </c>
      <c r="S5" s="12">
        <v>-7.4711540898400819E-2</v>
      </c>
      <c r="T5" s="12">
        <v>-7.4711540898400819E-2</v>
      </c>
      <c r="U5" s="12">
        <v>-7.4711540898400819E-2</v>
      </c>
      <c r="V5" s="12">
        <v>-7.4711540898400819E-2</v>
      </c>
      <c r="W5" s="12">
        <v>-7.4711540898400819E-2</v>
      </c>
      <c r="X5" s="12">
        <v>-7.4711540898400819E-2</v>
      </c>
      <c r="Y5" s="12">
        <v>-7.4711540898400819E-2</v>
      </c>
      <c r="Z5" s="12">
        <v>-7.4711540898400819E-2</v>
      </c>
      <c r="AA5" s="12">
        <v>-7.4711540898400819E-2</v>
      </c>
      <c r="AB5" s="12">
        <v>-7.4711540898400819E-2</v>
      </c>
      <c r="AC5" s="12">
        <v>-7.4711540898400819E-2</v>
      </c>
      <c r="AD5" s="12">
        <v>-7.4711540898400819E-2</v>
      </c>
      <c r="AE5" s="12">
        <v>-7.4711540898400819E-2</v>
      </c>
      <c r="AF5" s="12">
        <v>-7.4711540898400819E-2</v>
      </c>
      <c r="AG5" s="12">
        <v>-7.4711540898400819E-2</v>
      </c>
      <c r="AH5" s="12">
        <v>-7.4711540898400819E-2</v>
      </c>
      <c r="AI5" s="12">
        <v>-7.4711540898400819E-2</v>
      </c>
      <c r="AJ5" s="12">
        <v>-7.4711540898400819E-2</v>
      </c>
      <c r="AK5" s="12">
        <v>-7.4711540898400819E-2</v>
      </c>
      <c r="AL5" s="12">
        <v>-7.4711540898400819E-2</v>
      </c>
      <c r="AM5" s="12">
        <v>-7.4711540898400819E-2</v>
      </c>
      <c r="AN5" s="12">
        <v>-7.4711540898400819E-2</v>
      </c>
      <c r="AO5" s="12">
        <v>-7.4711540898400819E-2</v>
      </c>
      <c r="AP5" s="12">
        <v>-7.4711540898400819E-2</v>
      </c>
      <c r="AQ5" s="12">
        <v>-7.4711540898400819E-2</v>
      </c>
      <c r="AR5" s="12">
        <v>-7.4711540898400819E-2</v>
      </c>
      <c r="AS5" s="12">
        <v>-7.4711540898400819E-2</v>
      </c>
      <c r="AT5" s="12">
        <v>-7.4711540898400819E-2</v>
      </c>
      <c r="AU5" s="12">
        <v>-7.4711540898400819E-2</v>
      </c>
      <c r="AV5" s="12">
        <v>-7.4711540898400819E-2</v>
      </c>
      <c r="AW5" s="12">
        <v>-7.4711540898400819E-2</v>
      </c>
      <c r="AX5" s="12">
        <v>-7.4711540898400819E-2</v>
      </c>
      <c r="AY5" s="12">
        <v>-7.4711540898400819E-2</v>
      </c>
      <c r="AZ5" s="12">
        <v>-7.4711540898400819E-2</v>
      </c>
      <c r="BA5" s="12">
        <v>-7.4711540898400819E-2</v>
      </c>
      <c r="BB5" s="12">
        <v>-7.4711540898400819E-2</v>
      </c>
      <c r="BC5" s="12">
        <v>-7.4711540898400819E-2</v>
      </c>
      <c r="BD5" s="12">
        <v>-7.4711540898400819E-2</v>
      </c>
      <c r="BE5" s="12">
        <v>-7.4711540898400819E-2</v>
      </c>
      <c r="BF5" s="12">
        <v>-7.4711540898400819E-2</v>
      </c>
      <c r="BG5" s="12">
        <v>-7.4711540898400819E-2</v>
      </c>
      <c r="BH5" s="12">
        <v>-7.4711540898400819E-2</v>
      </c>
      <c r="BI5" s="12">
        <v>-7.4711540898400819E-2</v>
      </c>
      <c r="BJ5" s="12">
        <v>-7.4711540898400819E-2</v>
      </c>
      <c r="BK5" s="12">
        <v>-7.4711540898400819E-2</v>
      </c>
      <c r="BL5" s="12">
        <v>-7.4711540898400819E-2</v>
      </c>
      <c r="BM5" s="12">
        <v>-7.4711540898400819E-2</v>
      </c>
      <c r="BN5" s="12">
        <v>-7.4711540898400819E-2</v>
      </c>
      <c r="BO5" s="12">
        <v>-7.4711540898400819E-2</v>
      </c>
      <c r="BP5" s="12">
        <v>-7.4711540898400819E-2</v>
      </c>
      <c r="BQ5" s="12">
        <v>-7.4711540898400819E-2</v>
      </c>
      <c r="BR5" s="12">
        <v>-7.4711540898400819E-2</v>
      </c>
      <c r="BS5" s="12">
        <v>-7.4711540898400819E-2</v>
      </c>
      <c r="BT5" s="12">
        <v>-7.4711540898400819E-2</v>
      </c>
      <c r="BU5" s="12">
        <v>-7.4711540898400819E-2</v>
      </c>
      <c r="BV5" s="12">
        <v>-7.4711540898400819E-2</v>
      </c>
      <c r="BW5" s="12">
        <v>-7.4711540898400819E-2</v>
      </c>
      <c r="BX5" s="12">
        <v>-7.4711540898400819E-2</v>
      </c>
      <c r="BY5" s="12">
        <v>-7.4711540898400819E-2</v>
      </c>
      <c r="BZ5" s="12">
        <v>-7.4711540898400819E-2</v>
      </c>
      <c r="CA5" s="12">
        <v>-7.4711540898400819E-2</v>
      </c>
      <c r="CB5" s="12">
        <v>-7.4711540898400819E-2</v>
      </c>
      <c r="CC5" s="12">
        <v>-7.4711540898400819E-2</v>
      </c>
      <c r="CD5" s="12">
        <v>-7.4711540898400819E-2</v>
      </c>
      <c r="CE5" s="12">
        <v>-7.4711540898400819E-2</v>
      </c>
      <c r="CF5" s="12">
        <v>-7.4711540898400819E-2</v>
      </c>
      <c r="CG5" s="12">
        <v>-7.4711540898400819E-2</v>
      </c>
      <c r="CH5" s="12">
        <v>-7.4711540898400819E-2</v>
      </c>
      <c r="CI5" s="12">
        <v>-7.4711540898400819E-2</v>
      </c>
      <c r="CJ5" s="12">
        <v>-7.4711540898400819E-2</v>
      </c>
      <c r="CK5" s="12">
        <v>-7.4711540898400819E-2</v>
      </c>
      <c r="CL5" s="12">
        <v>-7.4711540898400819E-2</v>
      </c>
      <c r="CM5" s="12">
        <v>-7.4711540898400819E-2</v>
      </c>
      <c r="CN5" s="12">
        <v>-7.4711540898400819E-2</v>
      </c>
      <c r="CO5" s="12">
        <v>-7.4711540898400819E-2</v>
      </c>
      <c r="CP5" s="12">
        <v>-7.4711540898400819E-2</v>
      </c>
      <c r="CQ5" s="12">
        <v>-7.4711540898400819E-2</v>
      </c>
      <c r="CR5" s="12">
        <v>-7.4711540898400819E-2</v>
      </c>
      <c r="CS5" s="12">
        <v>-7.4711540898400819E-2</v>
      </c>
      <c r="CT5" s="12">
        <v>-7.4711540898400819E-2</v>
      </c>
      <c r="CU5" s="12">
        <v>-7.4711540898400819E-2</v>
      </c>
      <c r="CV5" s="12">
        <v>-7.4711540898400819E-2</v>
      </c>
      <c r="CW5" s="12">
        <v>-7.4711540898400819E-2</v>
      </c>
      <c r="CX5" s="12">
        <v>-7.4711540898400819E-2</v>
      </c>
      <c r="CY5" s="12">
        <v>-7.4711540898400819E-2</v>
      </c>
      <c r="CZ5" s="12">
        <v>-7.4711540898400819E-2</v>
      </c>
      <c r="DA5" s="12">
        <v>-7.4711540898400819E-2</v>
      </c>
      <c r="DB5" s="12">
        <v>-7.4711540898400819E-2</v>
      </c>
      <c r="DC5" s="12">
        <v>-7.4711540898400819E-2</v>
      </c>
      <c r="DD5" s="12">
        <v>-7.4711540898400819E-2</v>
      </c>
      <c r="DE5" s="12">
        <v>-7.4711540898400819E-2</v>
      </c>
      <c r="DF5" s="12">
        <v>-7.4711540898400819E-2</v>
      </c>
      <c r="DG5" s="12">
        <v>-7.4711540898400819E-2</v>
      </c>
      <c r="DH5" s="12">
        <v>-7.4711540898400819E-2</v>
      </c>
      <c r="DI5" s="12">
        <v>-7.4711540898400819E-2</v>
      </c>
      <c r="DJ5" s="12">
        <v>-7.4711540898400819E-2</v>
      </c>
      <c r="DK5" s="12">
        <v>-7.4711540898400819E-2</v>
      </c>
      <c r="DL5" s="12">
        <v>-7.4711540898400819E-2</v>
      </c>
      <c r="DM5" s="12">
        <v>-7.4711540898400819E-2</v>
      </c>
      <c r="DN5" s="12">
        <v>-7.4711540898400819E-2</v>
      </c>
      <c r="DO5" s="12">
        <v>-7.4711540898400819E-2</v>
      </c>
      <c r="DP5" s="12">
        <v>-7.4711540898400819E-2</v>
      </c>
      <c r="DQ5" s="12">
        <v>-7.4711540898400819E-2</v>
      </c>
      <c r="DR5" s="12">
        <v>-7.4711540898400819E-2</v>
      </c>
      <c r="DS5" s="12">
        <v>-7.4711540898400819E-2</v>
      </c>
      <c r="DT5" s="12">
        <v>-7.4711540898400819E-2</v>
      </c>
      <c r="DU5" s="12">
        <v>-7.4711540898400819E-2</v>
      </c>
      <c r="DV5" s="12">
        <v>-7.4711540898400819E-2</v>
      </c>
      <c r="DW5" s="12">
        <v>-7.4711540898400819E-2</v>
      </c>
      <c r="DX5" s="12">
        <v>-7.4711540898400819E-2</v>
      </c>
      <c r="DY5" s="12">
        <v>-7.4711540898400819E-2</v>
      </c>
      <c r="DZ5" s="12">
        <v>-7.4711540898400819E-2</v>
      </c>
      <c r="EA5" s="12">
        <v>-7.4711540898400819E-2</v>
      </c>
      <c r="EB5" s="12">
        <v>-7.4711540898400819E-2</v>
      </c>
      <c r="EC5" s="12">
        <v>-7.4711540898400819E-2</v>
      </c>
      <c r="ED5" s="12">
        <v>-7.4711540898400819E-2</v>
      </c>
      <c r="EE5" s="12">
        <v>-7.4711540898400819E-2</v>
      </c>
      <c r="EF5" s="12">
        <v>-7.4711540898400819E-2</v>
      </c>
    </row>
    <row r="6" spans="1:138" s="1" customFormat="1">
      <c r="A6" s="2" t="s">
        <v>138</v>
      </c>
      <c r="C6" s="12">
        <v>1</v>
      </c>
      <c r="D6" s="12">
        <v>1</v>
      </c>
      <c r="E6" s="12">
        <v>2</v>
      </c>
      <c r="F6" s="12">
        <v>1</v>
      </c>
      <c r="G6" s="12">
        <v>1</v>
      </c>
      <c r="H6" s="12">
        <v>2</v>
      </c>
      <c r="I6" s="12">
        <v>1</v>
      </c>
      <c r="J6" s="12">
        <v>2</v>
      </c>
      <c r="K6" s="12">
        <v>1</v>
      </c>
      <c r="L6" s="12">
        <v>1</v>
      </c>
      <c r="M6" s="12">
        <v>2</v>
      </c>
      <c r="N6" s="12">
        <v>1</v>
      </c>
      <c r="O6" s="12">
        <v>2</v>
      </c>
      <c r="P6" s="12">
        <v>2</v>
      </c>
      <c r="Q6" s="12">
        <v>2</v>
      </c>
      <c r="R6" s="12">
        <v>1</v>
      </c>
      <c r="S6" s="12">
        <v>1</v>
      </c>
      <c r="T6" s="12">
        <v>2</v>
      </c>
      <c r="U6" s="12">
        <v>1</v>
      </c>
      <c r="V6" s="12">
        <v>2</v>
      </c>
      <c r="W6" s="12">
        <v>1</v>
      </c>
      <c r="X6" s="12">
        <v>1</v>
      </c>
      <c r="Y6" s="12">
        <v>2</v>
      </c>
      <c r="Z6" s="12">
        <v>2</v>
      </c>
      <c r="AA6" s="12">
        <v>2</v>
      </c>
      <c r="AB6" s="12">
        <v>2</v>
      </c>
      <c r="AC6" s="12">
        <v>2</v>
      </c>
      <c r="AD6" s="12">
        <v>2</v>
      </c>
      <c r="AE6" s="12">
        <v>2</v>
      </c>
      <c r="AF6" s="12">
        <v>2</v>
      </c>
      <c r="AG6" s="12">
        <v>2</v>
      </c>
      <c r="AH6" s="12">
        <v>1</v>
      </c>
      <c r="AI6" s="12">
        <v>2</v>
      </c>
      <c r="AJ6" s="12">
        <v>1</v>
      </c>
      <c r="AK6" s="12">
        <v>1</v>
      </c>
      <c r="AL6" s="12">
        <v>1</v>
      </c>
      <c r="AM6" s="12">
        <v>2</v>
      </c>
      <c r="AN6" s="12">
        <v>2</v>
      </c>
      <c r="AO6" s="12">
        <v>1</v>
      </c>
      <c r="AP6" s="12">
        <v>2</v>
      </c>
      <c r="AQ6" s="12">
        <v>2</v>
      </c>
      <c r="AR6" s="12">
        <v>2</v>
      </c>
      <c r="AS6" s="12">
        <v>2</v>
      </c>
      <c r="AT6" s="12">
        <v>2</v>
      </c>
      <c r="AU6" s="12">
        <v>2</v>
      </c>
      <c r="AV6" s="12">
        <v>2</v>
      </c>
      <c r="AW6" s="12">
        <v>2</v>
      </c>
      <c r="AX6" s="12">
        <v>2</v>
      </c>
      <c r="AY6" s="12">
        <v>2</v>
      </c>
      <c r="AZ6" s="12">
        <v>2</v>
      </c>
      <c r="BA6" s="12">
        <v>2</v>
      </c>
      <c r="BB6" s="12">
        <v>2</v>
      </c>
      <c r="BC6" s="12">
        <v>2</v>
      </c>
      <c r="BD6" s="12">
        <v>2</v>
      </c>
      <c r="BE6" s="12">
        <v>1</v>
      </c>
      <c r="BF6" s="12">
        <v>1</v>
      </c>
      <c r="BG6" s="12">
        <v>2</v>
      </c>
      <c r="BH6" s="12">
        <v>2</v>
      </c>
      <c r="BI6" s="12">
        <v>2</v>
      </c>
      <c r="BJ6" s="12">
        <v>2</v>
      </c>
      <c r="BK6" s="12">
        <v>2</v>
      </c>
      <c r="BL6" s="12">
        <v>1</v>
      </c>
      <c r="BM6" s="12">
        <v>1</v>
      </c>
      <c r="BN6" s="12">
        <v>2</v>
      </c>
      <c r="BO6" s="12">
        <v>1</v>
      </c>
      <c r="BP6" s="12">
        <v>1</v>
      </c>
      <c r="BQ6" s="12">
        <v>2</v>
      </c>
      <c r="BR6" s="12">
        <v>2</v>
      </c>
      <c r="BS6" s="12">
        <v>1</v>
      </c>
      <c r="BT6" s="12">
        <v>1</v>
      </c>
      <c r="BU6" s="12">
        <v>2</v>
      </c>
      <c r="BV6" s="12">
        <v>2</v>
      </c>
      <c r="BW6" s="12">
        <v>2</v>
      </c>
      <c r="BX6" s="12">
        <v>2</v>
      </c>
      <c r="BY6" s="12">
        <v>2</v>
      </c>
      <c r="BZ6" s="12">
        <v>2</v>
      </c>
      <c r="CA6" s="12">
        <v>2</v>
      </c>
      <c r="CB6" s="12">
        <v>2</v>
      </c>
      <c r="CC6" s="12">
        <v>2</v>
      </c>
      <c r="CD6" s="12">
        <v>2</v>
      </c>
      <c r="CE6" s="12">
        <v>1</v>
      </c>
      <c r="CF6" s="12">
        <v>1</v>
      </c>
      <c r="CG6" s="12">
        <v>2</v>
      </c>
      <c r="CH6" s="12">
        <v>2</v>
      </c>
      <c r="CI6" s="12">
        <v>2</v>
      </c>
      <c r="CJ6" s="12">
        <v>2</v>
      </c>
      <c r="CK6" s="12">
        <v>2</v>
      </c>
      <c r="CL6" s="12">
        <v>1</v>
      </c>
      <c r="CM6" s="12">
        <v>1</v>
      </c>
      <c r="CN6" s="12">
        <v>2</v>
      </c>
      <c r="CO6" s="12">
        <v>1</v>
      </c>
      <c r="CP6" s="12">
        <v>2</v>
      </c>
      <c r="CQ6" s="12">
        <v>2</v>
      </c>
      <c r="CR6" s="12">
        <v>1</v>
      </c>
      <c r="CS6" s="12">
        <v>1</v>
      </c>
      <c r="CT6" s="12">
        <v>2</v>
      </c>
      <c r="CU6" s="12">
        <v>1</v>
      </c>
      <c r="CV6" s="12">
        <v>1</v>
      </c>
      <c r="CW6" s="12">
        <v>1</v>
      </c>
      <c r="CX6" s="12">
        <v>1</v>
      </c>
      <c r="CY6" s="12">
        <v>2</v>
      </c>
      <c r="CZ6" s="12">
        <v>2</v>
      </c>
      <c r="DA6" s="12">
        <v>1</v>
      </c>
      <c r="DB6" s="12">
        <v>2</v>
      </c>
      <c r="DC6" s="12">
        <v>2</v>
      </c>
      <c r="DD6" s="12">
        <v>2</v>
      </c>
      <c r="DE6" s="12">
        <v>2</v>
      </c>
      <c r="DF6" s="12">
        <v>2</v>
      </c>
      <c r="DG6" s="12">
        <v>2</v>
      </c>
      <c r="DH6" s="12">
        <v>2</v>
      </c>
      <c r="DI6" s="12">
        <v>2</v>
      </c>
      <c r="DJ6" s="12">
        <v>2</v>
      </c>
      <c r="DK6" s="12">
        <v>2</v>
      </c>
      <c r="DL6" s="12">
        <v>2</v>
      </c>
      <c r="DM6" s="12">
        <v>2</v>
      </c>
      <c r="DN6" s="12">
        <v>1</v>
      </c>
      <c r="DO6" s="12">
        <v>2</v>
      </c>
      <c r="DP6" s="12">
        <v>1</v>
      </c>
      <c r="DQ6" s="12">
        <v>2</v>
      </c>
      <c r="DR6" s="12">
        <v>2</v>
      </c>
      <c r="DS6" s="12">
        <v>1</v>
      </c>
      <c r="DT6" s="12">
        <v>2</v>
      </c>
      <c r="DU6" s="12">
        <v>2</v>
      </c>
      <c r="DV6" s="12">
        <v>2</v>
      </c>
      <c r="DW6" s="12">
        <v>1</v>
      </c>
      <c r="DX6" s="12">
        <v>2</v>
      </c>
      <c r="DY6" s="12">
        <v>2</v>
      </c>
      <c r="DZ6" s="12">
        <v>1</v>
      </c>
      <c r="EA6" s="12">
        <v>2</v>
      </c>
      <c r="EB6" s="12">
        <v>2</v>
      </c>
      <c r="EC6" s="12">
        <v>1</v>
      </c>
      <c r="ED6" s="12">
        <v>1</v>
      </c>
      <c r="EE6" s="12">
        <v>1</v>
      </c>
      <c r="EF6" s="12">
        <v>1</v>
      </c>
    </row>
    <row r="7" spans="1:138">
      <c r="C7" s="13" t="s">
        <v>135</v>
      </c>
      <c r="D7" s="13" t="s">
        <v>135</v>
      </c>
      <c r="E7" s="13" t="s">
        <v>136</v>
      </c>
      <c r="F7" s="13" t="s">
        <v>135</v>
      </c>
      <c r="G7" s="13" t="s">
        <v>135</v>
      </c>
      <c r="H7" s="13" t="s">
        <v>136</v>
      </c>
      <c r="I7" s="13" t="s">
        <v>135</v>
      </c>
      <c r="J7" s="13" t="s">
        <v>136</v>
      </c>
      <c r="K7" s="13" t="s">
        <v>135</v>
      </c>
      <c r="L7" s="13" t="s">
        <v>135</v>
      </c>
      <c r="M7" s="13" t="s">
        <v>136</v>
      </c>
      <c r="N7" s="13" t="s">
        <v>135</v>
      </c>
      <c r="O7" s="13" t="s">
        <v>136</v>
      </c>
      <c r="P7" s="13" t="s">
        <v>136</v>
      </c>
      <c r="Q7" s="13" t="s">
        <v>136</v>
      </c>
      <c r="R7" s="13" t="s">
        <v>135</v>
      </c>
      <c r="S7" s="13" t="s">
        <v>135</v>
      </c>
      <c r="T7" s="13" t="s">
        <v>136</v>
      </c>
      <c r="U7" s="13" t="s">
        <v>135</v>
      </c>
      <c r="V7" s="13" t="s">
        <v>136</v>
      </c>
      <c r="W7" s="13" t="s">
        <v>135</v>
      </c>
      <c r="X7" s="13" t="s">
        <v>135</v>
      </c>
      <c r="Y7" s="13" t="s">
        <v>136</v>
      </c>
      <c r="Z7" s="13" t="s">
        <v>136</v>
      </c>
      <c r="AA7" s="13" t="s">
        <v>136</v>
      </c>
      <c r="AB7" s="13" t="s">
        <v>136</v>
      </c>
      <c r="AC7" s="13" t="s">
        <v>136</v>
      </c>
      <c r="AD7" s="13" t="s">
        <v>136</v>
      </c>
      <c r="AE7" s="13" t="s">
        <v>136</v>
      </c>
      <c r="AF7" s="13" t="s">
        <v>136</v>
      </c>
      <c r="AG7" s="13" t="s">
        <v>136</v>
      </c>
      <c r="AH7" s="13" t="s">
        <v>135</v>
      </c>
      <c r="AI7" s="13" t="s">
        <v>136</v>
      </c>
      <c r="AJ7" s="13" t="s">
        <v>135</v>
      </c>
      <c r="AK7" s="13" t="s">
        <v>135</v>
      </c>
      <c r="AL7" s="13" t="s">
        <v>135</v>
      </c>
      <c r="AM7" s="13" t="s">
        <v>136</v>
      </c>
      <c r="AN7" s="13" t="s">
        <v>136</v>
      </c>
      <c r="AO7" s="13" t="s">
        <v>135</v>
      </c>
      <c r="AP7" s="13" t="s">
        <v>136</v>
      </c>
      <c r="AQ7" s="13" t="s">
        <v>136</v>
      </c>
      <c r="AR7" s="13" t="s">
        <v>136</v>
      </c>
      <c r="AS7" s="13" t="s">
        <v>136</v>
      </c>
      <c r="AT7" s="13" t="s">
        <v>136</v>
      </c>
      <c r="AU7" s="13" t="s">
        <v>136</v>
      </c>
      <c r="AV7" s="13" t="s">
        <v>136</v>
      </c>
      <c r="AW7" s="13" t="s">
        <v>136</v>
      </c>
      <c r="AX7" s="13" t="s">
        <v>136</v>
      </c>
      <c r="AY7" s="13" t="s">
        <v>136</v>
      </c>
      <c r="AZ7" s="13" t="s">
        <v>136</v>
      </c>
      <c r="BA7" s="13" t="s">
        <v>136</v>
      </c>
      <c r="BB7" s="13" t="s">
        <v>136</v>
      </c>
      <c r="BC7" s="13" t="s">
        <v>136</v>
      </c>
      <c r="BD7" s="13" t="s">
        <v>136</v>
      </c>
      <c r="BE7" s="13" t="s">
        <v>135</v>
      </c>
      <c r="BF7" s="13" t="s">
        <v>135</v>
      </c>
      <c r="BG7" s="13" t="s">
        <v>136</v>
      </c>
      <c r="BH7" s="13" t="s">
        <v>136</v>
      </c>
      <c r="BI7" s="13" t="s">
        <v>136</v>
      </c>
      <c r="BJ7" s="13" t="s">
        <v>136</v>
      </c>
      <c r="BK7" s="13" t="s">
        <v>136</v>
      </c>
      <c r="BL7" s="13" t="s">
        <v>135</v>
      </c>
      <c r="BM7" s="13" t="s">
        <v>135</v>
      </c>
      <c r="BN7" s="13" t="s">
        <v>136</v>
      </c>
      <c r="BO7" s="13" t="s">
        <v>135</v>
      </c>
      <c r="BP7" s="13" t="s">
        <v>135</v>
      </c>
      <c r="BQ7" s="13" t="s">
        <v>136</v>
      </c>
      <c r="BR7" s="13" t="s">
        <v>136</v>
      </c>
      <c r="BS7" s="13" t="s">
        <v>135</v>
      </c>
      <c r="BT7" s="13" t="s">
        <v>135</v>
      </c>
      <c r="BU7" s="13" t="s">
        <v>136</v>
      </c>
      <c r="BV7" s="13" t="s">
        <v>136</v>
      </c>
      <c r="BW7" s="13" t="s">
        <v>136</v>
      </c>
      <c r="BX7" s="13" t="s">
        <v>136</v>
      </c>
      <c r="BY7" s="13" t="s">
        <v>136</v>
      </c>
      <c r="BZ7" s="13" t="s">
        <v>136</v>
      </c>
      <c r="CA7" s="13" t="s">
        <v>136</v>
      </c>
      <c r="CB7" s="13" t="s">
        <v>136</v>
      </c>
      <c r="CC7" s="13" t="s">
        <v>136</v>
      </c>
      <c r="CD7" s="13" t="s">
        <v>136</v>
      </c>
      <c r="CE7" s="13" t="s">
        <v>135</v>
      </c>
      <c r="CF7" s="13" t="s">
        <v>135</v>
      </c>
      <c r="CG7" s="13" t="s">
        <v>136</v>
      </c>
      <c r="CH7" s="13" t="s">
        <v>136</v>
      </c>
      <c r="CI7" s="13" t="s">
        <v>136</v>
      </c>
      <c r="CJ7" s="13" t="s">
        <v>136</v>
      </c>
      <c r="CK7" s="13" t="s">
        <v>136</v>
      </c>
      <c r="CL7" s="13" t="s">
        <v>135</v>
      </c>
      <c r="CM7" s="13" t="s">
        <v>135</v>
      </c>
      <c r="CN7" s="13" t="s">
        <v>136</v>
      </c>
      <c r="CO7" s="13" t="s">
        <v>135</v>
      </c>
      <c r="CP7" s="13" t="s">
        <v>136</v>
      </c>
      <c r="CQ7" s="13" t="s">
        <v>136</v>
      </c>
      <c r="CR7" s="13" t="s">
        <v>135</v>
      </c>
      <c r="CS7" s="13" t="s">
        <v>135</v>
      </c>
      <c r="CT7" s="13" t="s">
        <v>136</v>
      </c>
      <c r="CU7" s="13" t="s">
        <v>135</v>
      </c>
      <c r="CV7" s="13" t="s">
        <v>135</v>
      </c>
      <c r="CW7" s="13" t="s">
        <v>135</v>
      </c>
      <c r="CX7" s="13" t="s">
        <v>135</v>
      </c>
      <c r="CY7" s="13" t="s">
        <v>136</v>
      </c>
      <c r="CZ7" s="13" t="s">
        <v>136</v>
      </c>
      <c r="DA7" s="13" t="s">
        <v>135</v>
      </c>
      <c r="DB7" s="13" t="s">
        <v>136</v>
      </c>
      <c r="DC7" s="13" t="s">
        <v>136</v>
      </c>
      <c r="DD7" s="13" t="s">
        <v>136</v>
      </c>
      <c r="DE7" s="13" t="s">
        <v>136</v>
      </c>
      <c r="DF7" s="13" t="s">
        <v>136</v>
      </c>
      <c r="DG7" s="13" t="s">
        <v>136</v>
      </c>
      <c r="DH7" s="13" t="s">
        <v>136</v>
      </c>
      <c r="DI7" s="13" t="s">
        <v>136</v>
      </c>
      <c r="DJ7" s="13" t="s">
        <v>136</v>
      </c>
      <c r="DK7" s="13" t="s">
        <v>136</v>
      </c>
      <c r="DL7" s="13" t="s">
        <v>136</v>
      </c>
      <c r="DM7" s="13" t="s">
        <v>136</v>
      </c>
      <c r="DN7" s="13" t="s">
        <v>135</v>
      </c>
      <c r="DO7" s="13" t="s">
        <v>136</v>
      </c>
      <c r="DP7" s="13" t="s">
        <v>135</v>
      </c>
      <c r="DQ7" s="13" t="s">
        <v>136</v>
      </c>
      <c r="DR7" s="13" t="s">
        <v>136</v>
      </c>
      <c r="DS7" s="13" t="s">
        <v>135</v>
      </c>
      <c r="DT7" s="13" t="s">
        <v>136</v>
      </c>
      <c r="DU7" s="13" t="s">
        <v>136</v>
      </c>
      <c r="DV7" s="13" t="s">
        <v>136</v>
      </c>
      <c r="DW7" s="13" t="s">
        <v>135</v>
      </c>
      <c r="DX7" s="13" t="s">
        <v>136</v>
      </c>
      <c r="DY7" s="13" t="s">
        <v>136</v>
      </c>
      <c r="DZ7" s="13" t="s">
        <v>135</v>
      </c>
      <c r="EA7" s="13" t="s">
        <v>136</v>
      </c>
      <c r="EB7" s="13" t="s">
        <v>136</v>
      </c>
      <c r="EC7" s="13" t="s">
        <v>135</v>
      </c>
      <c r="ED7" s="13" t="s">
        <v>135</v>
      </c>
      <c r="EE7" s="13" t="s">
        <v>135</v>
      </c>
      <c r="EF7" s="13" t="s">
        <v>135</v>
      </c>
    </row>
    <row r="8" spans="1:138">
      <c r="C8" s="12">
        <v>-7.7981240861112869E-2</v>
      </c>
      <c r="D8" s="12">
        <v>-9.1720816001217079E-2</v>
      </c>
      <c r="E8" s="12">
        <v>-7.4711540898400819E-2</v>
      </c>
      <c r="F8" s="12">
        <v>-0.1154504478657486</v>
      </c>
      <c r="G8" s="12">
        <v>-8.3443116291576969E-2</v>
      </c>
      <c r="H8" s="12">
        <v>-7.4711540898400819E-2</v>
      </c>
      <c r="I8" s="12">
        <v>-9.17061944524626E-2</v>
      </c>
      <c r="J8" s="12">
        <v>-7.4711540898400819E-2</v>
      </c>
      <c r="K8" s="12">
        <v>-0.1008329194598508</v>
      </c>
      <c r="L8" s="12">
        <v>-0.10378006478536519</v>
      </c>
      <c r="M8" s="12">
        <v>-7.4711540898400819E-2</v>
      </c>
      <c r="N8" s="12">
        <v>-0.1158619637464291</v>
      </c>
      <c r="O8" s="12">
        <v>-7.4711540898400819E-2</v>
      </c>
      <c r="P8" s="12">
        <v>-7.4711540898400819E-2</v>
      </c>
      <c r="Q8" s="12">
        <v>-7.4711540898400819E-2</v>
      </c>
      <c r="R8" s="12">
        <v>-0.1169489926289226</v>
      </c>
      <c r="S8" s="12">
        <v>-0.17262516521577451</v>
      </c>
      <c r="T8" s="12">
        <v>-7.4711540898400819E-2</v>
      </c>
      <c r="U8" s="12">
        <v>-0.1047373820130289</v>
      </c>
      <c r="V8" s="12">
        <v>-7.4711540898400819E-2</v>
      </c>
      <c r="W8" s="12">
        <v>0.1104845400782864</v>
      </c>
      <c r="X8" s="12">
        <v>7.7152949246108812E-2</v>
      </c>
      <c r="Y8" s="12">
        <v>-7.4711540898400819E-2</v>
      </c>
      <c r="Z8" s="12">
        <v>-7.4711540898400819E-2</v>
      </c>
      <c r="AA8" s="12">
        <v>-7.4711540898400819E-2</v>
      </c>
      <c r="AB8" s="12">
        <v>-7.4711540898400819E-2</v>
      </c>
      <c r="AC8" s="12">
        <v>-7.4711540898400819E-2</v>
      </c>
      <c r="AD8" s="12">
        <v>-7.4711540898400819E-2</v>
      </c>
      <c r="AE8" s="12">
        <v>-7.4711540898400819E-2</v>
      </c>
      <c r="AF8" s="12">
        <v>-7.4711540898400819E-2</v>
      </c>
      <c r="AG8" s="12">
        <v>-7.4711540898400819E-2</v>
      </c>
      <c r="AH8" s="12">
        <v>0.1009192396033949</v>
      </c>
      <c r="AI8" s="12">
        <v>-7.4711540898400819E-2</v>
      </c>
      <c r="AJ8" s="12">
        <v>0.1019691755674634</v>
      </c>
      <c r="AK8" s="12">
        <v>0.13211315672161919</v>
      </c>
      <c r="AL8" s="12">
        <v>8.0841310267837335E-2</v>
      </c>
      <c r="AM8" s="12">
        <v>-7.4711540898400819E-2</v>
      </c>
      <c r="AN8" s="12">
        <v>-7.4711540898400819E-2</v>
      </c>
      <c r="AO8" s="12">
        <v>0.1344236211085432</v>
      </c>
      <c r="AP8" s="12">
        <v>-7.4711540898400819E-2</v>
      </c>
      <c r="AQ8" s="12">
        <v>-7.4711540898400819E-2</v>
      </c>
      <c r="AR8" s="12">
        <v>-7.4711540898400819E-2</v>
      </c>
      <c r="AS8" s="12">
        <v>-7.4711540898400819E-2</v>
      </c>
      <c r="AT8" s="12">
        <v>-7.4711540898400819E-2</v>
      </c>
      <c r="AU8" s="12">
        <v>-7.4711540898400819E-2</v>
      </c>
      <c r="AV8" s="12">
        <v>-7.4711540898400819E-2</v>
      </c>
      <c r="AW8" s="12">
        <v>-7.4711540898400819E-2</v>
      </c>
      <c r="AX8" s="12">
        <v>-7.4711540898400819E-2</v>
      </c>
      <c r="AY8" s="12">
        <v>-7.4711540898400819E-2</v>
      </c>
      <c r="AZ8" s="12">
        <v>-7.4711540898400819E-2</v>
      </c>
      <c r="BA8" s="12">
        <v>-7.4711540898400819E-2</v>
      </c>
      <c r="BB8" s="12">
        <v>-7.4711540898400819E-2</v>
      </c>
      <c r="BC8" s="12">
        <v>-7.4711540898400819E-2</v>
      </c>
      <c r="BD8" s="12">
        <v>-7.4711540898400819E-2</v>
      </c>
      <c r="BE8" s="12">
        <v>0.15640720996344051</v>
      </c>
      <c r="BF8" s="12">
        <v>8.961422115098705E-2</v>
      </c>
      <c r="BG8" s="12">
        <v>-7.4711540898400819E-2</v>
      </c>
      <c r="BH8" s="12">
        <v>-7.4711540898400819E-2</v>
      </c>
      <c r="BI8" s="12">
        <v>-7.4711540898400819E-2</v>
      </c>
      <c r="BJ8" s="12">
        <v>-7.4711540898400819E-2</v>
      </c>
      <c r="BK8" s="12">
        <v>-7.4711540898400819E-2</v>
      </c>
      <c r="BL8" s="12">
        <v>0.14599637517714301</v>
      </c>
      <c r="BM8" s="12">
        <v>7.7671454044817706E-2</v>
      </c>
      <c r="BN8" s="12">
        <v>-7.4711540898400819E-2</v>
      </c>
      <c r="BO8" s="12">
        <v>0.15075036572727429</v>
      </c>
      <c r="BP8" s="12">
        <v>0.1068808738908148</v>
      </c>
      <c r="BQ8" s="12">
        <v>-7.4711540898400819E-2</v>
      </c>
      <c r="BR8" s="12">
        <v>-7.4711540898400819E-2</v>
      </c>
      <c r="BS8" s="12">
        <v>7.5715218722114425E-2</v>
      </c>
      <c r="BT8" s="12">
        <v>0.1476948601503042</v>
      </c>
      <c r="BU8" s="12">
        <v>-7.4711540898400819E-2</v>
      </c>
      <c r="BV8" s="12">
        <v>-7.4711540898400819E-2</v>
      </c>
      <c r="BW8" s="12">
        <v>-7.4711540898400819E-2</v>
      </c>
      <c r="BX8" s="12">
        <v>-7.4711540898400819E-2</v>
      </c>
      <c r="BY8" s="12">
        <v>-7.4711540898400819E-2</v>
      </c>
      <c r="BZ8" s="12">
        <v>-7.4711540898400819E-2</v>
      </c>
      <c r="CA8" s="12">
        <v>-7.4711540898400819E-2</v>
      </c>
      <c r="CB8" s="12">
        <v>-7.4711540898400819E-2</v>
      </c>
      <c r="CC8" s="12">
        <v>-7.4711540898400819E-2</v>
      </c>
      <c r="CD8" s="12">
        <v>-7.4711540898400819E-2</v>
      </c>
      <c r="CE8" s="12">
        <v>-0.1062476229187161</v>
      </c>
      <c r="CF8" s="12">
        <v>-0.1195660454549131</v>
      </c>
      <c r="CG8" s="12">
        <v>-7.4711540898400819E-2</v>
      </c>
      <c r="CH8" s="12">
        <v>-7.4711540898400819E-2</v>
      </c>
      <c r="CI8" s="12">
        <v>-7.4711540898400819E-2</v>
      </c>
      <c r="CJ8" s="12">
        <v>-7.4711540898400819E-2</v>
      </c>
      <c r="CK8" s="12">
        <v>-7.4711540898400819E-2</v>
      </c>
      <c r="CL8" s="12">
        <v>-8.2212452947380901E-2</v>
      </c>
      <c r="CM8" s="12">
        <v>-0.12682704685249099</v>
      </c>
      <c r="CN8" s="12">
        <v>-7.4711540898400819E-2</v>
      </c>
      <c r="CO8" s="12">
        <v>-0.13500465547665971</v>
      </c>
      <c r="CP8" s="12">
        <v>-7.4711540898400819E-2</v>
      </c>
      <c r="CQ8" s="12">
        <v>-7.4711540898400819E-2</v>
      </c>
      <c r="CR8" s="12">
        <v>-9.4660334746213826E-2</v>
      </c>
      <c r="CS8" s="12">
        <v>-7.7501744984071919E-2</v>
      </c>
      <c r="CT8" s="12">
        <v>-7.4711540898400819E-2</v>
      </c>
      <c r="CU8" s="12">
        <v>-0.10211731197922071</v>
      </c>
      <c r="CV8" s="12">
        <v>-0.1210008636864883</v>
      </c>
      <c r="CW8" s="12">
        <v>-8.3771057290789874E-2</v>
      </c>
      <c r="CX8" s="12">
        <v>-0.108143131485795</v>
      </c>
      <c r="CY8" s="12">
        <v>-7.4711540898400819E-2</v>
      </c>
      <c r="CZ8" s="12">
        <v>-7.4711540898400819E-2</v>
      </c>
      <c r="DA8" s="12">
        <v>-7.7524493053387863E-2</v>
      </c>
      <c r="DB8" s="12">
        <v>-7.4711540898400819E-2</v>
      </c>
      <c r="DC8" s="12">
        <v>-7.4711540898400819E-2</v>
      </c>
      <c r="DD8" s="12">
        <v>-7.4711540898400819E-2</v>
      </c>
      <c r="DE8" s="12">
        <v>-7.4711540898400819E-2</v>
      </c>
      <c r="DF8" s="12">
        <v>-7.4711540898400819E-2</v>
      </c>
      <c r="DG8" s="12">
        <v>-7.4711540898400819E-2</v>
      </c>
      <c r="DH8" s="12">
        <v>-7.4711540898400819E-2</v>
      </c>
      <c r="DI8" s="12">
        <v>-7.4711540898400819E-2</v>
      </c>
      <c r="DJ8" s="12">
        <v>-7.4711540898400819E-2</v>
      </c>
      <c r="DK8" s="12">
        <v>-7.4711540898400819E-2</v>
      </c>
      <c r="DL8" s="12">
        <v>-7.4711540898400819E-2</v>
      </c>
      <c r="DM8" s="12">
        <v>-7.4711540898400819E-2</v>
      </c>
      <c r="DN8" s="12">
        <v>7.7435014643364664E-2</v>
      </c>
      <c r="DO8" s="12">
        <v>-7.4711540898400819E-2</v>
      </c>
      <c r="DP8" s="12">
        <v>7.556841599905624E-2</v>
      </c>
      <c r="DQ8" s="12">
        <v>-7.4711540898400819E-2</v>
      </c>
      <c r="DR8" s="12">
        <v>-7.4711540898400819E-2</v>
      </c>
      <c r="DS8" s="12">
        <v>0.10263669436748039</v>
      </c>
      <c r="DT8" s="12">
        <v>-7.4711540898400819E-2</v>
      </c>
      <c r="DU8" s="12">
        <v>-7.4711540898400819E-2</v>
      </c>
      <c r="DV8" s="12">
        <v>-7.4711540898400819E-2</v>
      </c>
      <c r="DW8" s="12">
        <v>7.8117337673435386E-2</v>
      </c>
      <c r="DX8" s="12">
        <v>-7.4711540898400819E-2</v>
      </c>
      <c r="DY8" s="12">
        <v>-7.4711540898400819E-2</v>
      </c>
      <c r="DZ8" s="12">
        <v>-0.1079887966876449</v>
      </c>
      <c r="EA8" s="12">
        <v>-7.4711540898400819E-2</v>
      </c>
      <c r="EB8" s="12">
        <v>-7.4711540898400819E-2</v>
      </c>
      <c r="EC8" s="12">
        <v>0.1146690600079793</v>
      </c>
      <c r="ED8" s="12">
        <v>-0.13301760440885349</v>
      </c>
      <c r="EE8" s="12">
        <v>-8.3212161647068517E-2</v>
      </c>
      <c r="EF8" s="12">
        <v>-7.4711540898400819E-2</v>
      </c>
    </row>
    <row r="10" spans="1:138">
      <c r="A10" s="2" t="s">
        <v>139</v>
      </c>
      <c r="B10" s="1"/>
      <c r="C10" s="2" t="s">
        <v>140</v>
      </c>
      <c r="D10" s="2">
        <v>964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</row>
    <row r="11" spans="1:138">
      <c r="A11" s="2" t="s">
        <v>141</v>
      </c>
      <c r="B11" s="2" t="s">
        <v>142</v>
      </c>
      <c r="C11" s="3" t="s">
        <v>2</v>
      </c>
      <c r="D11" s="3" t="s">
        <v>3</v>
      </c>
      <c r="E11" s="3" t="s">
        <v>4</v>
      </c>
      <c r="F11" s="3" t="s">
        <v>5</v>
      </c>
      <c r="G11" s="3" t="s">
        <v>6</v>
      </c>
      <c r="H11" s="3" t="s">
        <v>7</v>
      </c>
      <c r="I11" s="3" t="s">
        <v>8</v>
      </c>
      <c r="J11" s="3" t="s">
        <v>9</v>
      </c>
      <c r="K11" s="3" t="s">
        <v>10</v>
      </c>
      <c r="L11" s="3" t="s">
        <v>11</v>
      </c>
      <c r="M11" s="3" t="s">
        <v>12</v>
      </c>
      <c r="N11" s="3" t="s">
        <v>13</v>
      </c>
      <c r="O11" s="3" t="s">
        <v>14</v>
      </c>
      <c r="P11" s="3" t="s">
        <v>15</v>
      </c>
      <c r="Q11" s="3" t="s">
        <v>16</v>
      </c>
      <c r="R11" s="3" t="s">
        <v>17</v>
      </c>
      <c r="S11" s="3" t="s">
        <v>18</v>
      </c>
      <c r="T11" s="3" t="s">
        <v>19</v>
      </c>
      <c r="U11" s="3" t="s">
        <v>20</v>
      </c>
      <c r="V11" s="3" t="s">
        <v>21</v>
      </c>
      <c r="W11" s="3" t="s">
        <v>22</v>
      </c>
      <c r="X11" s="3" t="s">
        <v>23</v>
      </c>
      <c r="Y11" s="3" t="s">
        <v>24</v>
      </c>
      <c r="Z11" s="3" t="s">
        <v>25</v>
      </c>
      <c r="AA11" s="3" t="s">
        <v>26</v>
      </c>
      <c r="AB11" s="3" t="s">
        <v>27</v>
      </c>
      <c r="AC11" s="3" t="s">
        <v>28</v>
      </c>
      <c r="AD11" s="3" t="s">
        <v>29</v>
      </c>
      <c r="AE11" s="3" t="s">
        <v>30</v>
      </c>
      <c r="AF11" s="3" t="s">
        <v>31</v>
      </c>
      <c r="AG11" s="3" t="s">
        <v>32</v>
      </c>
      <c r="AH11" s="3" t="s">
        <v>33</v>
      </c>
      <c r="AI11" s="3" t="s">
        <v>34</v>
      </c>
      <c r="AJ11" s="3" t="s">
        <v>35</v>
      </c>
      <c r="AK11" s="3" t="s">
        <v>36</v>
      </c>
      <c r="AL11" s="3" t="s">
        <v>37</v>
      </c>
      <c r="AM11" s="3" t="s">
        <v>38</v>
      </c>
      <c r="AN11" s="3" t="s">
        <v>39</v>
      </c>
      <c r="AO11" s="3" t="s">
        <v>40</v>
      </c>
      <c r="AP11" s="3" t="s">
        <v>41</v>
      </c>
      <c r="AQ11" s="3" t="s">
        <v>42</v>
      </c>
      <c r="AR11" s="3" t="s">
        <v>43</v>
      </c>
      <c r="AS11" s="3" t="s">
        <v>44</v>
      </c>
      <c r="AT11" s="3" t="s">
        <v>45</v>
      </c>
      <c r="AU11" s="3" t="s">
        <v>46</v>
      </c>
      <c r="AV11" s="3" t="s">
        <v>47</v>
      </c>
      <c r="AW11" s="3" t="s">
        <v>48</v>
      </c>
      <c r="AX11" s="3" t="s">
        <v>49</v>
      </c>
      <c r="AY11" s="3" t="s">
        <v>50</v>
      </c>
      <c r="AZ11" s="3" t="s">
        <v>51</v>
      </c>
      <c r="BA11" s="3" t="s">
        <v>52</v>
      </c>
      <c r="BB11" s="3" t="s">
        <v>53</v>
      </c>
      <c r="BC11" s="3" t="s">
        <v>54</v>
      </c>
      <c r="BD11" s="3" t="s">
        <v>55</v>
      </c>
      <c r="BE11" s="3" t="s">
        <v>56</v>
      </c>
      <c r="BF11" s="3" t="s">
        <v>57</v>
      </c>
      <c r="BG11" s="3" t="s">
        <v>58</v>
      </c>
      <c r="BH11" s="3" t="s">
        <v>59</v>
      </c>
      <c r="BI11" s="3" t="s">
        <v>60</v>
      </c>
      <c r="BJ11" s="3" t="s">
        <v>61</v>
      </c>
      <c r="BK11" s="3" t="s">
        <v>62</v>
      </c>
      <c r="BL11" s="3" t="s">
        <v>63</v>
      </c>
      <c r="BM11" s="3" t="s">
        <v>64</v>
      </c>
      <c r="BN11" s="3" t="s">
        <v>65</v>
      </c>
      <c r="BO11" s="3" t="s">
        <v>66</v>
      </c>
      <c r="BP11" s="3" t="s">
        <v>67</v>
      </c>
      <c r="BQ11" s="3" t="s">
        <v>68</v>
      </c>
      <c r="BR11" s="3" t="s">
        <v>69</v>
      </c>
      <c r="BS11" s="3" t="s">
        <v>70</v>
      </c>
      <c r="BT11" s="3" t="s">
        <v>71</v>
      </c>
      <c r="BU11" s="3" t="s">
        <v>72</v>
      </c>
      <c r="BV11" s="3" t="s">
        <v>73</v>
      </c>
      <c r="BW11" s="3" t="s">
        <v>74</v>
      </c>
      <c r="BX11" s="3" t="s">
        <v>75</v>
      </c>
      <c r="BY11" s="3" t="s">
        <v>76</v>
      </c>
      <c r="BZ11" s="3" t="s">
        <v>77</v>
      </c>
      <c r="CA11" s="3" t="s">
        <v>78</v>
      </c>
      <c r="CB11" s="3" t="s">
        <v>79</v>
      </c>
      <c r="CC11" s="3" t="s">
        <v>80</v>
      </c>
      <c r="CD11" s="3" t="s">
        <v>81</v>
      </c>
      <c r="CE11" s="3" t="s">
        <v>82</v>
      </c>
      <c r="CF11" s="3" t="s">
        <v>83</v>
      </c>
      <c r="CG11" s="3" t="s">
        <v>84</v>
      </c>
      <c r="CH11" s="3" t="s">
        <v>85</v>
      </c>
      <c r="CI11" s="3" t="s">
        <v>86</v>
      </c>
      <c r="CJ11" s="3" t="s">
        <v>87</v>
      </c>
      <c r="CK11" s="3" t="s">
        <v>88</v>
      </c>
      <c r="CL11" s="3" t="s">
        <v>89</v>
      </c>
      <c r="CM11" s="3" t="s">
        <v>90</v>
      </c>
      <c r="CN11" s="3" t="s">
        <v>91</v>
      </c>
      <c r="CO11" s="3" t="s">
        <v>92</v>
      </c>
      <c r="CP11" s="3" t="s">
        <v>93</v>
      </c>
      <c r="CQ11" s="3" t="s">
        <v>94</v>
      </c>
      <c r="CR11" s="3" t="s">
        <v>95</v>
      </c>
      <c r="CS11" s="3" t="s">
        <v>96</v>
      </c>
      <c r="CT11" s="3" t="s">
        <v>97</v>
      </c>
      <c r="CU11" s="3" t="s">
        <v>98</v>
      </c>
      <c r="CV11" s="3" t="s">
        <v>99</v>
      </c>
      <c r="CW11" s="3" t="s">
        <v>100</v>
      </c>
      <c r="CX11" s="3" t="s">
        <v>101</v>
      </c>
      <c r="CY11" s="3" t="s">
        <v>102</v>
      </c>
      <c r="CZ11" s="3" t="s">
        <v>103</v>
      </c>
      <c r="DA11" s="3" t="s">
        <v>104</v>
      </c>
      <c r="DB11" s="3" t="s">
        <v>105</v>
      </c>
      <c r="DC11" s="3" t="s">
        <v>106</v>
      </c>
      <c r="DD11" s="3" t="s">
        <v>107</v>
      </c>
      <c r="DE11" s="3" t="s">
        <v>108</v>
      </c>
      <c r="DF11" s="3" t="s">
        <v>109</v>
      </c>
      <c r="DG11" s="3" t="s">
        <v>110</v>
      </c>
      <c r="DH11" s="3" t="s">
        <v>111</v>
      </c>
      <c r="DI11" s="3" t="s">
        <v>112</v>
      </c>
      <c r="DJ11" s="3" t="s">
        <v>113</v>
      </c>
      <c r="DK11" s="3" t="s">
        <v>114</v>
      </c>
      <c r="DL11" s="3" t="s">
        <v>115</v>
      </c>
      <c r="DM11" s="3" t="s">
        <v>116</v>
      </c>
      <c r="DN11" s="3" t="s">
        <v>117</v>
      </c>
      <c r="DO11" s="3" t="s">
        <v>118</v>
      </c>
      <c r="DP11" s="3" t="s">
        <v>119</v>
      </c>
      <c r="DQ11" s="3" t="s">
        <v>120</v>
      </c>
      <c r="DR11" s="3" t="s">
        <v>121</v>
      </c>
      <c r="DS11" s="3" t="s">
        <v>122</v>
      </c>
      <c r="DT11" s="3" t="s">
        <v>123</v>
      </c>
      <c r="DU11" s="3" t="s">
        <v>124</v>
      </c>
      <c r="DV11" s="3" t="s">
        <v>125</v>
      </c>
      <c r="DW11" s="3" t="s">
        <v>126</v>
      </c>
      <c r="DX11" s="3" t="s">
        <v>127</v>
      </c>
      <c r="DY11" s="3" t="s">
        <v>128</v>
      </c>
      <c r="DZ11" s="3" t="s">
        <v>129</v>
      </c>
      <c r="EA11" s="3" t="s">
        <v>130</v>
      </c>
      <c r="EB11" s="3" t="s">
        <v>131</v>
      </c>
      <c r="EC11" s="3" t="s">
        <v>132</v>
      </c>
      <c r="ED11" s="3" t="s">
        <v>133</v>
      </c>
      <c r="EE11" s="3" t="s">
        <v>134</v>
      </c>
      <c r="EF11" s="3" t="s">
        <v>143</v>
      </c>
      <c r="EG11" s="5" t="s">
        <v>187</v>
      </c>
      <c r="EH11" s="5" t="s">
        <v>188</v>
      </c>
    </row>
    <row r="12" spans="1:138">
      <c r="A12" s="2">
        <v>10</v>
      </c>
      <c r="B12" s="2">
        <v>96</v>
      </c>
      <c r="C12" s="12">
        <f>IF(預測IC!C12&gt;預測IC!C$26,1,0)</f>
        <v>0</v>
      </c>
      <c r="D12" s="12">
        <f>IF(預測IC!D12&gt;預測IC!D$26,1,0)</f>
        <v>0</v>
      </c>
      <c r="E12" s="12">
        <f>IF(預測IC!E12&gt;預測IC!E$26,1,0)</f>
        <v>1</v>
      </c>
      <c r="F12" s="12">
        <f>IF(預測IC!F12&gt;預測IC!F$26,1,0)</f>
        <v>1</v>
      </c>
      <c r="G12" s="12">
        <f>IF(預測IC!G12&gt;預測IC!G$26,1,0)</f>
        <v>0</v>
      </c>
      <c r="H12" s="12">
        <f>IF(預測IC!H12&gt;預測IC!H$26,1,0)</f>
        <v>1</v>
      </c>
      <c r="I12" s="12">
        <f>IF(預測IC!I12&gt;預測IC!I$26,1,0)</f>
        <v>0</v>
      </c>
      <c r="J12" s="12">
        <f>IF(預測IC!J12&gt;預測IC!J$26,1,0)</f>
        <v>0</v>
      </c>
      <c r="K12" s="12">
        <f>IF(預測IC!K12&gt;預測IC!K$26,1,0)</f>
        <v>1</v>
      </c>
      <c r="L12" s="12">
        <f>IF(預測IC!L12&gt;預測IC!L$26,1,0)</f>
        <v>1</v>
      </c>
      <c r="M12" s="12">
        <f>IF(預測IC!M12&gt;預測IC!M$26,1,0)</f>
        <v>0</v>
      </c>
      <c r="N12" s="12">
        <f>IF(預測IC!N12&gt;預測IC!N$26,1,0)</f>
        <v>0</v>
      </c>
      <c r="O12" s="12">
        <f>IF(預測IC!O12&gt;預測IC!O$26,1,0)</f>
        <v>1</v>
      </c>
      <c r="P12" s="12">
        <f>IF(預測IC!P12&gt;預測IC!P$26,1,0)</f>
        <v>0</v>
      </c>
      <c r="Q12" s="12">
        <f>IF(預測IC!Q12&gt;預測IC!Q$26,1,0)</f>
        <v>1</v>
      </c>
      <c r="R12" s="12">
        <f>IF(預測IC!R12&gt;預測IC!R$26,1,0)</f>
        <v>0</v>
      </c>
      <c r="S12" s="12">
        <f>IF(預測IC!S12&gt;預測IC!S$26,1,0)</f>
        <v>1</v>
      </c>
      <c r="T12" s="12">
        <f>IF(預測IC!T12&gt;預測IC!T$26,1,0)</f>
        <v>1</v>
      </c>
      <c r="U12" s="12">
        <f>IF(預測IC!U12&gt;預測IC!U$26,1,0)</f>
        <v>1</v>
      </c>
      <c r="V12" s="12">
        <f>IF(預測IC!V12&gt;預測IC!V$26,1,0)</f>
        <v>1</v>
      </c>
      <c r="W12" s="12">
        <f>IF(預測IC!W12&gt;預測IC!W$26,1,0)</f>
        <v>1</v>
      </c>
      <c r="X12" s="12">
        <f>IF(預測IC!X12&gt;預測IC!X$26,1,0)</f>
        <v>1</v>
      </c>
      <c r="Y12" s="12">
        <f>IF(預測IC!Y12&gt;預測IC!Y$26,1,0)</f>
        <v>1</v>
      </c>
      <c r="Z12" s="12">
        <f>IF(預測IC!Z12&gt;預測IC!Z$26,1,0)</f>
        <v>1</v>
      </c>
      <c r="AA12" s="12">
        <f>IF(預測IC!AA12&gt;預測IC!AA$26,1,0)</f>
        <v>1</v>
      </c>
      <c r="AB12" s="12">
        <f>IF(預測IC!AB12&gt;預測IC!AB$26,1,0)</f>
        <v>0</v>
      </c>
      <c r="AC12" s="12">
        <f>IF(預測IC!AC12&gt;預測IC!AC$26,1,0)</f>
        <v>0</v>
      </c>
      <c r="AD12" s="12">
        <f>IF(預測IC!AD12&gt;預測IC!AD$26,1,0)</f>
        <v>1</v>
      </c>
      <c r="AE12" s="12">
        <f>IF(預測IC!AE12&gt;預測IC!AE$26,1,0)</f>
        <v>0</v>
      </c>
      <c r="AF12" s="12">
        <f>IF(預測IC!AF12&gt;預測IC!AF$26,1,0)</f>
        <v>1</v>
      </c>
      <c r="AG12" s="12">
        <f>IF(預測IC!AG12&gt;預測IC!AG$26,1,0)</f>
        <v>0</v>
      </c>
      <c r="AH12" s="12">
        <f>IF(預測IC!AH12&gt;預測IC!AH$26,1,0)</f>
        <v>1</v>
      </c>
      <c r="AI12" s="12">
        <f>IF(預測IC!AI12&gt;預測IC!AI$26,1,0)</f>
        <v>1</v>
      </c>
      <c r="AJ12" s="12">
        <f>IF(預測IC!AJ12&gt;預測IC!AJ$26,1,0)</f>
        <v>0</v>
      </c>
      <c r="AK12" s="12">
        <f>IF(預測IC!AK12&gt;預測IC!AK$26,1,0)</f>
        <v>1</v>
      </c>
      <c r="AL12" s="12">
        <f>IF(預測IC!AL12&gt;預測IC!AL$26,1,0)</f>
        <v>1</v>
      </c>
      <c r="AM12" s="12">
        <f>IF(預測IC!AM12&gt;預測IC!AM$26,1,0)</f>
        <v>0</v>
      </c>
      <c r="AN12" s="12">
        <f>IF(預測IC!AN12&gt;預測IC!AN$26,1,0)</f>
        <v>1</v>
      </c>
      <c r="AO12" s="12">
        <f>IF(預測IC!AO12&gt;預測IC!AO$26,1,0)</f>
        <v>0</v>
      </c>
      <c r="AP12" s="12">
        <f>IF(預測IC!AP12&gt;預測IC!AP$26,1,0)</f>
        <v>0</v>
      </c>
      <c r="AQ12" s="12">
        <f>IF(預測IC!AQ12&gt;預測IC!AQ$26,1,0)</f>
        <v>0</v>
      </c>
      <c r="AR12" s="12">
        <f>IF(預測IC!AR12&gt;預測IC!AR$26,1,0)</f>
        <v>0</v>
      </c>
      <c r="AS12" s="12">
        <f>IF(預測IC!AS12&gt;預測IC!AS$26,1,0)</f>
        <v>0</v>
      </c>
      <c r="AT12" s="12">
        <f>IF(預測IC!AT12&gt;預測IC!AT$26,1,0)</f>
        <v>0</v>
      </c>
      <c r="AU12" s="12">
        <f>IF(預測IC!AU12&gt;預測IC!AU$26,1,0)</f>
        <v>1</v>
      </c>
      <c r="AV12" s="12">
        <f>IF(預測IC!AV12&gt;預測IC!AV$26,1,0)</f>
        <v>0</v>
      </c>
      <c r="AW12" s="12">
        <f>IF(預測IC!AW12&gt;預測IC!AW$26,1,0)</f>
        <v>1</v>
      </c>
      <c r="AX12" s="12">
        <f>IF(預測IC!AX12&gt;預測IC!AX$26,1,0)</f>
        <v>0</v>
      </c>
      <c r="AY12" s="12">
        <f>IF(預測IC!AY12&gt;預測IC!AY$26,1,0)</f>
        <v>0</v>
      </c>
      <c r="AZ12" s="12">
        <f>IF(預測IC!AZ12&gt;預測IC!AZ$26,1,0)</f>
        <v>1</v>
      </c>
      <c r="BA12" s="12">
        <f>IF(預測IC!BA12&gt;預測IC!BA$26,1,0)</f>
        <v>1</v>
      </c>
      <c r="BB12" s="12">
        <f>IF(預測IC!BB12&gt;預測IC!BB$26,1,0)</f>
        <v>1</v>
      </c>
      <c r="BC12" s="12">
        <f>IF(預測IC!BC12&gt;預測IC!BC$26,1,0)</f>
        <v>0</v>
      </c>
      <c r="BD12" s="12">
        <f>IF(預測IC!BD12&gt;預測IC!BD$26,1,0)</f>
        <v>1</v>
      </c>
      <c r="BE12" s="12">
        <f>IF(預測IC!BE12&gt;預測IC!BE$26,1,0)</f>
        <v>0</v>
      </c>
      <c r="BF12" s="12">
        <f>IF(預測IC!BF12&gt;預測IC!BF$26,1,0)</f>
        <v>1</v>
      </c>
      <c r="BG12" s="12">
        <f>IF(預測IC!BG12&gt;預測IC!BG$26,1,0)</f>
        <v>1</v>
      </c>
      <c r="BH12" s="12">
        <f>IF(預測IC!BH12&gt;預測IC!BH$26,1,0)</f>
        <v>1</v>
      </c>
      <c r="BI12" s="12">
        <f>IF(預測IC!BI12&gt;預測IC!BI$26,1,0)</f>
        <v>1</v>
      </c>
      <c r="BJ12" s="12">
        <f>IF(預測IC!BJ12&gt;預測IC!BJ$26,1,0)</f>
        <v>1</v>
      </c>
      <c r="BK12" s="12">
        <f>IF(預測IC!BK12&gt;預測IC!BK$26,1,0)</f>
        <v>0</v>
      </c>
      <c r="BL12" s="12">
        <f>IF(預測IC!BL12&gt;預測IC!BL$26,1,0)</f>
        <v>0</v>
      </c>
      <c r="BM12" s="12">
        <f>IF(預測IC!BM12&gt;預測IC!BM$26,1,0)</f>
        <v>0</v>
      </c>
      <c r="BN12" s="12">
        <f>IF(預測IC!BN12&gt;預測IC!BN$26,1,0)</f>
        <v>0</v>
      </c>
      <c r="BO12" s="12">
        <f>IF(預測IC!BO12&gt;預測IC!BO$26,1,0)</f>
        <v>1</v>
      </c>
      <c r="BP12" s="12">
        <f>IF(預測IC!BP12&gt;預測IC!BP$26,1,0)</f>
        <v>0</v>
      </c>
      <c r="BQ12" s="12">
        <f>IF(預測IC!BQ12&gt;預測IC!BQ$26,1,0)</f>
        <v>0</v>
      </c>
      <c r="BR12" s="12">
        <f>IF(預測IC!BR12&gt;預測IC!BR$26,1,0)</f>
        <v>1</v>
      </c>
      <c r="BS12" s="12">
        <f>IF(預測IC!BS12&gt;預測IC!BS$26,1,0)</f>
        <v>0</v>
      </c>
      <c r="BT12" s="12">
        <f>IF(預測IC!BT12&gt;預測IC!BT$26,1,0)</f>
        <v>0</v>
      </c>
      <c r="BU12" s="12">
        <f>IF(預測IC!BU12&gt;預測IC!BU$26,1,0)</f>
        <v>0</v>
      </c>
      <c r="BV12" s="12">
        <f>IF(預測IC!BV12&gt;預測IC!BV$26,1,0)</f>
        <v>0</v>
      </c>
      <c r="BW12" s="12">
        <f>IF(預測IC!BW12&gt;預測IC!BW$26,1,0)</f>
        <v>1</v>
      </c>
      <c r="BX12" s="12">
        <f>IF(預測IC!BX12&gt;預測IC!BX$26,1,0)</f>
        <v>1</v>
      </c>
      <c r="BY12" s="12">
        <f>IF(預測IC!BY12&gt;預測IC!BY$26,1,0)</f>
        <v>1</v>
      </c>
      <c r="BZ12" s="12">
        <f>IF(預測IC!BZ12&gt;預測IC!BZ$26,1,0)</f>
        <v>0</v>
      </c>
      <c r="CA12" s="12">
        <f>IF(預測IC!CA12&gt;預測IC!CA$26,1,0)</f>
        <v>1</v>
      </c>
      <c r="CB12" s="12">
        <f>IF(預測IC!CB12&gt;預測IC!CB$26,1,0)</f>
        <v>1</v>
      </c>
      <c r="CC12" s="12">
        <f>IF(預測IC!CC12&gt;預測IC!CC$26,1,0)</f>
        <v>0</v>
      </c>
      <c r="CD12" s="12">
        <f>IF(預測IC!CD12&gt;預測IC!CD$26,1,0)</f>
        <v>1</v>
      </c>
      <c r="CE12" s="12">
        <f>IF(預測IC!CE12&gt;預測IC!CE$26,1,0)</f>
        <v>0</v>
      </c>
      <c r="CF12" s="12">
        <f>IF(預測IC!CF12&gt;預測IC!CF$26,1,0)</f>
        <v>0</v>
      </c>
      <c r="CG12" s="12">
        <f>IF(預測IC!CG12&gt;預測IC!CG$26,1,0)</f>
        <v>0</v>
      </c>
      <c r="CH12" s="12">
        <f>IF(預測IC!CH12&gt;預測IC!CH$26,1,0)</f>
        <v>0</v>
      </c>
      <c r="CI12" s="12">
        <f>IF(預測IC!CI12&gt;預測IC!CI$26,1,0)</f>
        <v>0</v>
      </c>
      <c r="CJ12" s="12">
        <f>IF(預測IC!CJ12&gt;預測IC!CJ$26,1,0)</f>
        <v>0</v>
      </c>
      <c r="CK12" s="12">
        <f>IF(預測IC!CK12&gt;預測IC!CK$26,1,0)</f>
        <v>1</v>
      </c>
      <c r="CL12" s="12">
        <f>IF(預測IC!CL12&gt;預測IC!CL$26,1,0)</f>
        <v>0</v>
      </c>
      <c r="CM12" s="12">
        <f>IF(預測IC!CM12&gt;預測IC!CM$26,1,0)</f>
        <v>1</v>
      </c>
      <c r="CN12" s="12">
        <f>IF(預測IC!CN12&gt;預測IC!CN$26,1,0)</f>
        <v>0</v>
      </c>
      <c r="CO12" s="12">
        <f>IF(預測IC!CO12&gt;預測IC!CO$26,1,0)</f>
        <v>1</v>
      </c>
      <c r="CP12" s="12">
        <f>IF(預測IC!CP12&gt;預測IC!CP$26,1,0)</f>
        <v>0</v>
      </c>
      <c r="CQ12" s="12">
        <f>IF(預測IC!CQ12&gt;預測IC!CQ$26,1,0)</f>
        <v>1</v>
      </c>
      <c r="CR12" s="12">
        <f>IF(預測IC!CR12&gt;預測IC!CR$26,1,0)</f>
        <v>0</v>
      </c>
      <c r="CS12" s="12">
        <f>IF(預測IC!CS12&gt;預測IC!CS$26,1,0)</f>
        <v>0</v>
      </c>
      <c r="CT12" s="12">
        <f>IF(預測IC!CT12&gt;預測IC!CT$26,1,0)</f>
        <v>0</v>
      </c>
      <c r="CU12" s="12">
        <f>IF(預測IC!CU12&gt;預測IC!CU$26,1,0)</f>
        <v>0</v>
      </c>
      <c r="CV12" s="12">
        <f>IF(預測IC!CV12&gt;預測IC!CV$26,1,0)</f>
        <v>0</v>
      </c>
      <c r="CW12" s="12">
        <f>IF(預測IC!CW12&gt;預測IC!CW$26,1,0)</f>
        <v>0</v>
      </c>
      <c r="CX12" s="12">
        <f>IF(預測IC!CX12&gt;預測IC!CX$26,1,0)</f>
        <v>1</v>
      </c>
      <c r="CY12" s="12">
        <f>IF(預測IC!CY12&gt;預測IC!CY$26,1,0)</f>
        <v>1</v>
      </c>
      <c r="CZ12" s="12">
        <f>IF(預測IC!CZ12&gt;預測IC!CZ$26,1,0)</f>
        <v>1</v>
      </c>
      <c r="DA12" s="12">
        <f>IF(預測IC!DA12&gt;預測IC!DA$26,1,0)</f>
        <v>0</v>
      </c>
      <c r="DB12" s="12">
        <f>IF(預測IC!DB12&gt;預測IC!DB$26,1,0)</f>
        <v>1</v>
      </c>
      <c r="DC12" s="12">
        <f>IF(預測IC!DC12&gt;預測IC!DC$26,1,0)</f>
        <v>1</v>
      </c>
      <c r="DD12" s="12">
        <f>IF(預測IC!DD12&gt;預測IC!DD$26,1,0)</f>
        <v>0</v>
      </c>
      <c r="DE12" s="12">
        <f>IF(預測IC!DE12&gt;預測IC!DE$26,1,0)</f>
        <v>0</v>
      </c>
      <c r="DF12" s="12">
        <f>IF(預測IC!DF12&gt;預測IC!DF$26,1,0)</f>
        <v>1</v>
      </c>
      <c r="DG12" s="12">
        <f>IF(預測IC!DG12&gt;預測IC!DG$26,1,0)</f>
        <v>0</v>
      </c>
      <c r="DH12" s="12">
        <f>IF(預測IC!DH12&gt;預測IC!DH$26,1,0)</f>
        <v>1</v>
      </c>
      <c r="DI12" s="12">
        <f>IF(預測IC!DI12&gt;預測IC!DI$26,1,0)</f>
        <v>1</v>
      </c>
      <c r="DJ12" s="12">
        <f>IF(預測IC!DJ12&gt;預測IC!DJ$26,1,0)</f>
        <v>1</v>
      </c>
      <c r="DK12" s="12">
        <f>IF(預測IC!DK12&gt;預測IC!DK$26,1,0)</f>
        <v>0</v>
      </c>
      <c r="DL12" s="12">
        <f>IF(預測IC!DL12&gt;預測IC!DL$26,1,0)</f>
        <v>0</v>
      </c>
      <c r="DM12" s="12">
        <f>IF(預測IC!DM12&gt;預測IC!DM$26,1,0)</f>
        <v>0</v>
      </c>
      <c r="DN12" s="12">
        <f>IF(預測IC!DN12&gt;預測IC!DN$26,1,0)</f>
        <v>1</v>
      </c>
      <c r="DO12" s="12">
        <f>IF(預測IC!DO12&gt;預測IC!DO$26,1,0)</f>
        <v>1</v>
      </c>
      <c r="DP12" s="12">
        <f>IF(預測IC!DP12&gt;預測IC!DP$26,1,0)</f>
        <v>1</v>
      </c>
      <c r="DQ12" s="12">
        <f>IF(預測IC!DQ12&gt;預測IC!DQ$26,1,0)</f>
        <v>0</v>
      </c>
      <c r="DR12" s="12">
        <f>IF(預測IC!DR12&gt;預測IC!DR$26,1,0)</f>
        <v>0</v>
      </c>
      <c r="DS12" s="12">
        <f>IF(預測IC!DS12&gt;預測IC!DS$26,1,0)</f>
        <v>0</v>
      </c>
      <c r="DT12" s="12">
        <f>IF(預測IC!DT12&gt;預測IC!DT$26,1,0)</f>
        <v>0</v>
      </c>
      <c r="DU12" s="12">
        <f>IF(預測IC!DU12&gt;預測IC!DU$26,1,0)</f>
        <v>0</v>
      </c>
      <c r="DV12" s="12">
        <f>IF(預測IC!DV12&gt;預測IC!DV$26,1,0)</f>
        <v>1</v>
      </c>
      <c r="DW12" s="12">
        <f>IF(預測IC!DW12&gt;預測IC!DW$26,1,0)</f>
        <v>1</v>
      </c>
      <c r="DX12" s="12">
        <f>IF(預測IC!DX12&gt;預測IC!DX$26,1,0)</f>
        <v>0</v>
      </c>
      <c r="DY12" s="12">
        <f>IF(預測IC!DY12&gt;預測IC!DY$26,1,0)</f>
        <v>1</v>
      </c>
      <c r="DZ12" s="12">
        <f>IF(預測IC!DZ12&gt;預測IC!DZ$26,1,0)</f>
        <v>1</v>
      </c>
      <c r="EA12" s="12">
        <f>IF(預測IC!EA12&gt;預測IC!EA$26,1,0)</f>
        <v>1</v>
      </c>
      <c r="EB12" s="12">
        <f>IF(預測IC!EB12&gt;預測IC!EB$26,1,0)</f>
        <v>0</v>
      </c>
      <c r="EC12" s="12">
        <f>IF(預測IC!EC12&gt;預測IC!EC$26,1,0)</f>
        <v>1</v>
      </c>
      <c r="ED12" s="12">
        <f>IF(預測IC!ED12&gt;預測IC!ED$26,1,0)</f>
        <v>1</v>
      </c>
      <c r="EE12" s="12">
        <f>IF(預測IC!EE12&gt;預測IC!EE$26,1,0)</f>
        <v>0</v>
      </c>
      <c r="EF12" s="12">
        <f>IF(預測IC!EF12&gt;預測IC!EF$26,1,0)</f>
        <v>0</v>
      </c>
      <c r="EG12">
        <f t="shared" ref="EG12:EG24" si="0">SUM(C12:EF12)</f>
        <v>65</v>
      </c>
      <c r="EH12" s="9">
        <f t="shared" ref="EH12:EH24" si="1">SUM(C12:EF12)/134</f>
        <v>0.48507462686567165</v>
      </c>
    </row>
    <row r="13" spans="1:138">
      <c r="A13" s="2">
        <v>20</v>
      </c>
      <c r="B13" s="2">
        <v>48</v>
      </c>
      <c r="C13" s="12">
        <f>IF(預測IC!C13&gt;預測IC!C$26,1,0)</f>
        <v>0</v>
      </c>
      <c r="D13" s="12">
        <f>IF(預測IC!D13&gt;預測IC!D$26,1,0)</f>
        <v>0</v>
      </c>
      <c r="E13" s="12">
        <f>IF(預測IC!E13&gt;預測IC!E$26,1,0)</f>
        <v>1</v>
      </c>
      <c r="F13" s="12">
        <f>IF(預測IC!F13&gt;預測IC!F$26,1,0)</f>
        <v>1</v>
      </c>
      <c r="G13" s="12">
        <f>IF(預測IC!G13&gt;預測IC!G$26,1,0)</f>
        <v>0</v>
      </c>
      <c r="H13" s="12">
        <f>IF(預測IC!H13&gt;預測IC!H$26,1,0)</f>
        <v>0</v>
      </c>
      <c r="I13" s="12">
        <f>IF(預測IC!I13&gt;預測IC!I$26,1,0)</f>
        <v>0</v>
      </c>
      <c r="J13" s="12">
        <f>IF(預測IC!J13&gt;預測IC!J$26,1,0)</f>
        <v>0</v>
      </c>
      <c r="K13" s="12">
        <f>IF(預測IC!K13&gt;預測IC!K$26,1,0)</f>
        <v>1</v>
      </c>
      <c r="L13" s="12">
        <f>IF(預測IC!L13&gt;預測IC!L$26,1,0)</f>
        <v>1</v>
      </c>
      <c r="M13" s="12">
        <f>IF(預測IC!M13&gt;預測IC!M$26,1,0)</f>
        <v>1</v>
      </c>
      <c r="N13" s="12">
        <f>IF(預測IC!N13&gt;預測IC!N$26,1,0)</f>
        <v>0</v>
      </c>
      <c r="O13" s="12">
        <f>IF(預測IC!O13&gt;預測IC!O$26,1,0)</f>
        <v>1</v>
      </c>
      <c r="P13" s="12">
        <f>IF(預測IC!P13&gt;預測IC!P$26,1,0)</f>
        <v>0</v>
      </c>
      <c r="Q13" s="12">
        <f>IF(預測IC!Q13&gt;預測IC!Q$26,1,0)</f>
        <v>1</v>
      </c>
      <c r="R13" s="12">
        <f>IF(預測IC!R13&gt;預測IC!R$26,1,0)</f>
        <v>0</v>
      </c>
      <c r="S13" s="12">
        <f>IF(預測IC!S13&gt;預測IC!S$26,1,0)</f>
        <v>1</v>
      </c>
      <c r="T13" s="12">
        <f>IF(預測IC!T13&gt;預測IC!T$26,1,0)</f>
        <v>1</v>
      </c>
      <c r="U13" s="12">
        <f>IF(預測IC!U13&gt;預測IC!U$26,1,0)</f>
        <v>1</v>
      </c>
      <c r="V13" s="12">
        <f>IF(預測IC!V13&gt;預測IC!V$26,1,0)</f>
        <v>1</v>
      </c>
      <c r="W13" s="12">
        <f>IF(預測IC!W13&gt;預測IC!W$26,1,0)</f>
        <v>1</v>
      </c>
      <c r="X13" s="12">
        <f>IF(預測IC!X13&gt;預測IC!X$26,1,0)</f>
        <v>1</v>
      </c>
      <c r="Y13" s="12">
        <f>IF(預測IC!Y13&gt;預測IC!Y$26,1,0)</f>
        <v>1</v>
      </c>
      <c r="Z13" s="12">
        <f>IF(預測IC!Z13&gt;預測IC!Z$26,1,0)</f>
        <v>1</v>
      </c>
      <c r="AA13" s="12">
        <f>IF(預測IC!AA13&gt;預測IC!AA$26,1,0)</f>
        <v>1</v>
      </c>
      <c r="AB13" s="12">
        <f>IF(預測IC!AB13&gt;預測IC!AB$26,1,0)</f>
        <v>0</v>
      </c>
      <c r="AC13" s="12">
        <f>IF(預測IC!AC13&gt;預測IC!AC$26,1,0)</f>
        <v>0</v>
      </c>
      <c r="AD13" s="12">
        <f>IF(預測IC!AD13&gt;預測IC!AD$26,1,0)</f>
        <v>1</v>
      </c>
      <c r="AE13" s="12">
        <f>IF(預測IC!AE13&gt;預測IC!AE$26,1,0)</f>
        <v>0</v>
      </c>
      <c r="AF13" s="12">
        <f>IF(預測IC!AF13&gt;預測IC!AF$26,1,0)</f>
        <v>1</v>
      </c>
      <c r="AG13" s="12">
        <f>IF(預測IC!AG13&gt;預測IC!AG$26,1,0)</f>
        <v>0</v>
      </c>
      <c r="AH13" s="12">
        <f>IF(預測IC!AH13&gt;預測IC!AH$26,1,0)</f>
        <v>1</v>
      </c>
      <c r="AI13" s="12">
        <f>IF(預測IC!AI13&gt;預測IC!AI$26,1,0)</f>
        <v>1</v>
      </c>
      <c r="AJ13" s="12">
        <f>IF(預測IC!AJ13&gt;預測IC!AJ$26,1,0)</f>
        <v>0</v>
      </c>
      <c r="AK13" s="12">
        <f>IF(預測IC!AK13&gt;預測IC!AK$26,1,0)</f>
        <v>1</v>
      </c>
      <c r="AL13" s="12">
        <f>IF(預測IC!AL13&gt;預測IC!AL$26,1,0)</f>
        <v>1</v>
      </c>
      <c r="AM13" s="12">
        <f>IF(預測IC!AM13&gt;預測IC!AM$26,1,0)</f>
        <v>0</v>
      </c>
      <c r="AN13" s="12">
        <f>IF(預測IC!AN13&gt;預測IC!AN$26,1,0)</f>
        <v>1</v>
      </c>
      <c r="AO13" s="12">
        <f>IF(預測IC!AO13&gt;預測IC!AO$26,1,0)</f>
        <v>1</v>
      </c>
      <c r="AP13" s="12">
        <f>IF(預測IC!AP13&gt;預測IC!AP$26,1,0)</f>
        <v>0</v>
      </c>
      <c r="AQ13" s="12">
        <f>IF(預測IC!AQ13&gt;預測IC!AQ$26,1,0)</f>
        <v>0</v>
      </c>
      <c r="AR13" s="12">
        <f>IF(預測IC!AR13&gt;預測IC!AR$26,1,0)</f>
        <v>0</v>
      </c>
      <c r="AS13" s="12">
        <f>IF(預測IC!AS13&gt;預測IC!AS$26,1,0)</f>
        <v>0</v>
      </c>
      <c r="AT13" s="12">
        <f>IF(預測IC!AT13&gt;預測IC!AT$26,1,0)</f>
        <v>0</v>
      </c>
      <c r="AU13" s="12">
        <f>IF(預測IC!AU13&gt;預測IC!AU$26,1,0)</f>
        <v>1</v>
      </c>
      <c r="AV13" s="12">
        <f>IF(預測IC!AV13&gt;預測IC!AV$26,1,0)</f>
        <v>0</v>
      </c>
      <c r="AW13" s="12">
        <f>IF(預測IC!AW13&gt;預測IC!AW$26,1,0)</f>
        <v>1</v>
      </c>
      <c r="AX13" s="12">
        <f>IF(預測IC!AX13&gt;預測IC!AX$26,1,0)</f>
        <v>0</v>
      </c>
      <c r="AY13" s="12">
        <f>IF(預測IC!AY13&gt;預測IC!AY$26,1,0)</f>
        <v>0</v>
      </c>
      <c r="AZ13" s="12">
        <f>IF(預測IC!AZ13&gt;預測IC!AZ$26,1,0)</f>
        <v>1</v>
      </c>
      <c r="BA13" s="12">
        <f>IF(預測IC!BA13&gt;預測IC!BA$26,1,0)</f>
        <v>1</v>
      </c>
      <c r="BB13" s="12">
        <f>IF(預測IC!BB13&gt;預測IC!BB$26,1,0)</f>
        <v>1</v>
      </c>
      <c r="BC13" s="12">
        <f>IF(預測IC!BC13&gt;預測IC!BC$26,1,0)</f>
        <v>0</v>
      </c>
      <c r="BD13" s="12">
        <f>IF(預測IC!BD13&gt;預測IC!BD$26,1,0)</f>
        <v>1</v>
      </c>
      <c r="BE13" s="12">
        <f>IF(預測IC!BE13&gt;預測IC!BE$26,1,0)</f>
        <v>1</v>
      </c>
      <c r="BF13" s="12">
        <f>IF(預測IC!BF13&gt;預測IC!BF$26,1,0)</f>
        <v>1</v>
      </c>
      <c r="BG13" s="12">
        <f>IF(預測IC!BG13&gt;預測IC!BG$26,1,0)</f>
        <v>1</v>
      </c>
      <c r="BH13" s="12">
        <f>IF(預測IC!BH13&gt;預測IC!BH$26,1,0)</f>
        <v>1</v>
      </c>
      <c r="BI13" s="12">
        <f>IF(預測IC!BI13&gt;預測IC!BI$26,1,0)</f>
        <v>1</v>
      </c>
      <c r="BJ13" s="12">
        <f>IF(預測IC!BJ13&gt;預測IC!BJ$26,1,0)</f>
        <v>1</v>
      </c>
      <c r="BK13" s="12">
        <f>IF(預測IC!BK13&gt;預測IC!BK$26,1,0)</f>
        <v>0</v>
      </c>
      <c r="BL13" s="12">
        <f>IF(預測IC!BL13&gt;預測IC!BL$26,1,0)</f>
        <v>0</v>
      </c>
      <c r="BM13" s="12">
        <f>IF(預測IC!BM13&gt;預測IC!BM$26,1,0)</f>
        <v>0</v>
      </c>
      <c r="BN13" s="12">
        <f>IF(預測IC!BN13&gt;預測IC!BN$26,1,0)</f>
        <v>0</v>
      </c>
      <c r="BO13" s="12">
        <f>IF(預測IC!BO13&gt;預測IC!BO$26,1,0)</f>
        <v>1</v>
      </c>
      <c r="BP13" s="12">
        <f>IF(預測IC!BP13&gt;預測IC!BP$26,1,0)</f>
        <v>0</v>
      </c>
      <c r="BQ13" s="12">
        <f>IF(預測IC!BQ13&gt;預測IC!BQ$26,1,0)</f>
        <v>1</v>
      </c>
      <c r="BR13" s="12">
        <f>IF(預測IC!BR13&gt;預測IC!BR$26,1,0)</f>
        <v>1</v>
      </c>
      <c r="BS13" s="12">
        <f>IF(預測IC!BS13&gt;預測IC!BS$26,1,0)</f>
        <v>0</v>
      </c>
      <c r="BT13" s="12">
        <f>IF(預測IC!BT13&gt;預測IC!BT$26,1,0)</f>
        <v>0</v>
      </c>
      <c r="BU13" s="12">
        <f>IF(預測IC!BU13&gt;預測IC!BU$26,1,0)</f>
        <v>0</v>
      </c>
      <c r="BV13" s="12">
        <f>IF(預測IC!BV13&gt;預測IC!BV$26,1,0)</f>
        <v>0</v>
      </c>
      <c r="BW13" s="12">
        <f>IF(預測IC!BW13&gt;預測IC!BW$26,1,0)</f>
        <v>1</v>
      </c>
      <c r="BX13" s="12">
        <f>IF(預測IC!BX13&gt;預測IC!BX$26,1,0)</f>
        <v>1</v>
      </c>
      <c r="BY13" s="12">
        <f>IF(預測IC!BY13&gt;預測IC!BY$26,1,0)</f>
        <v>1</v>
      </c>
      <c r="BZ13" s="12">
        <f>IF(預測IC!BZ13&gt;預測IC!BZ$26,1,0)</f>
        <v>0</v>
      </c>
      <c r="CA13" s="12">
        <f>IF(預測IC!CA13&gt;預測IC!CA$26,1,0)</f>
        <v>1</v>
      </c>
      <c r="CB13" s="12">
        <f>IF(預測IC!CB13&gt;預測IC!CB$26,1,0)</f>
        <v>1</v>
      </c>
      <c r="CC13" s="12">
        <f>IF(預測IC!CC13&gt;預測IC!CC$26,1,0)</f>
        <v>1</v>
      </c>
      <c r="CD13" s="12">
        <f>IF(預測IC!CD13&gt;預測IC!CD$26,1,0)</f>
        <v>1</v>
      </c>
      <c r="CE13" s="12">
        <f>IF(預測IC!CE13&gt;預測IC!CE$26,1,0)</f>
        <v>0</v>
      </c>
      <c r="CF13" s="12">
        <f>IF(預測IC!CF13&gt;預測IC!CF$26,1,0)</f>
        <v>0</v>
      </c>
      <c r="CG13" s="12">
        <f>IF(預測IC!CG13&gt;預測IC!CG$26,1,0)</f>
        <v>0</v>
      </c>
      <c r="CH13" s="12">
        <f>IF(預測IC!CH13&gt;預測IC!CH$26,1,0)</f>
        <v>0</v>
      </c>
      <c r="CI13" s="12">
        <f>IF(預測IC!CI13&gt;預測IC!CI$26,1,0)</f>
        <v>0</v>
      </c>
      <c r="CJ13" s="12">
        <f>IF(預測IC!CJ13&gt;預測IC!CJ$26,1,0)</f>
        <v>0</v>
      </c>
      <c r="CK13" s="12">
        <f>IF(預測IC!CK13&gt;預測IC!CK$26,1,0)</f>
        <v>1</v>
      </c>
      <c r="CL13" s="12">
        <f>IF(預測IC!CL13&gt;預測IC!CL$26,1,0)</f>
        <v>0</v>
      </c>
      <c r="CM13" s="12">
        <f>IF(預測IC!CM13&gt;預測IC!CM$26,1,0)</f>
        <v>1</v>
      </c>
      <c r="CN13" s="12">
        <f>IF(預測IC!CN13&gt;預測IC!CN$26,1,0)</f>
        <v>0</v>
      </c>
      <c r="CO13" s="12">
        <f>IF(預測IC!CO13&gt;預測IC!CO$26,1,0)</f>
        <v>1</v>
      </c>
      <c r="CP13" s="12">
        <f>IF(預測IC!CP13&gt;預測IC!CP$26,1,0)</f>
        <v>0</v>
      </c>
      <c r="CQ13" s="12">
        <f>IF(預測IC!CQ13&gt;預測IC!CQ$26,1,0)</f>
        <v>1</v>
      </c>
      <c r="CR13" s="12">
        <f>IF(預測IC!CR13&gt;預測IC!CR$26,1,0)</f>
        <v>0</v>
      </c>
      <c r="CS13" s="12">
        <f>IF(預測IC!CS13&gt;預測IC!CS$26,1,0)</f>
        <v>0</v>
      </c>
      <c r="CT13" s="12">
        <f>IF(預測IC!CT13&gt;預測IC!CT$26,1,0)</f>
        <v>0</v>
      </c>
      <c r="CU13" s="12">
        <f>IF(預測IC!CU13&gt;預測IC!CU$26,1,0)</f>
        <v>0</v>
      </c>
      <c r="CV13" s="12">
        <f>IF(預測IC!CV13&gt;預測IC!CV$26,1,0)</f>
        <v>1</v>
      </c>
      <c r="CW13" s="12">
        <f>IF(預測IC!CW13&gt;預測IC!CW$26,1,0)</f>
        <v>0</v>
      </c>
      <c r="CX13" s="12">
        <f>IF(預測IC!CX13&gt;預測IC!CX$26,1,0)</f>
        <v>1</v>
      </c>
      <c r="CY13" s="12">
        <f>IF(預測IC!CY13&gt;預測IC!CY$26,1,0)</f>
        <v>1</v>
      </c>
      <c r="CZ13" s="12">
        <f>IF(預測IC!CZ13&gt;預測IC!CZ$26,1,0)</f>
        <v>1</v>
      </c>
      <c r="DA13" s="12">
        <f>IF(預測IC!DA13&gt;預測IC!DA$26,1,0)</f>
        <v>0</v>
      </c>
      <c r="DB13" s="12">
        <f>IF(預測IC!DB13&gt;預測IC!DB$26,1,0)</f>
        <v>1</v>
      </c>
      <c r="DC13" s="12">
        <f>IF(預測IC!DC13&gt;預測IC!DC$26,1,0)</f>
        <v>1</v>
      </c>
      <c r="DD13" s="12">
        <f>IF(預測IC!DD13&gt;預測IC!DD$26,1,0)</f>
        <v>0</v>
      </c>
      <c r="DE13" s="12">
        <f>IF(預測IC!DE13&gt;預測IC!DE$26,1,0)</f>
        <v>0</v>
      </c>
      <c r="DF13" s="12">
        <f>IF(預測IC!DF13&gt;預測IC!DF$26,1,0)</f>
        <v>1</v>
      </c>
      <c r="DG13" s="12">
        <f>IF(預測IC!DG13&gt;預測IC!DG$26,1,0)</f>
        <v>0</v>
      </c>
      <c r="DH13" s="12">
        <f>IF(預測IC!DH13&gt;預測IC!DH$26,1,0)</f>
        <v>1</v>
      </c>
      <c r="DI13" s="12">
        <f>IF(預測IC!DI13&gt;預測IC!DI$26,1,0)</f>
        <v>1</v>
      </c>
      <c r="DJ13" s="12">
        <f>IF(預測IC!DJ13&gt;預測IC!DJ$26,1,0)</f>
        <v>1</v>
      </c>
      <c r="DK13" s="12">
        <f>IF(預測IC!DK13&gt;預測IC!DK$26,1,0)</f>
        <v>0</v>
      </c>
      <c r="DL13" s="12">
        <f>IF(預測IC!DL13&gt;預測IC!DL$26,1,0)</f>
        <v>1</v>
      </c>
      <c r="DM13" s="12">
        <f>IF(預測IC!DM13&gt;預測IC!DM$26,1,0)</f>
        <v>0</v>
      </c>
      <c r="DN13" s="12">
        <f>IF(預測IC!DN13&gt;預測IC!DN$26,1,0)</f>
        <v>1</v>
      </c>
      <c r="DO13" s="12">
        <f>IF(預測IC!DO13&gt;預測IC!DO$26,1,0)</f>
        <v>1</v>
      </c>
      <c r="DP13" s="12">
        <f>IF(預測IC!DP13&gt;預測IC!DP$26,1,0)</f>
        <v>1</v>
      </c>
      <c r="DQ13" s="12">
        <f>IF(預測IC!DQ13&gt;預測IC!DQ$26,1,0)</f>
        <v>0</v>
      </c>
      <c r="DR13" s="12">
        <f>IF(預測IC!DR13&gt;預測IC!DR$26,1,0)</f>
        <v>0</v>
      </c>
      <c r="DS13" s="12">
        <f>IF(預測IC!DS13&gt;預測IC!DS$26,1,0)</f>
        <v>0</v>
      </c>
      <c r="DT13" s="12">
        <f>IF(預測IC!DT13&gt;預測IC!DT$26,1,0)</f>
        <v>0</v>
      </c>
      <c r="DU13" s="12">
        <f>IF(預測IC!DU13&gt;預測IC!DU$26,1,0)</f>
        <v>0</v>
      </c>
      <c r="DV13" s="12">
        <f>IF(預測IC!DV13&gt;預測IC!DV$26,1,0)</f>
        <v>1</v>
      </c>
      <c r="DW13" s="12">
        <f>IF(預測IC!DW13&gt;預測IC!DW$26,1,0)</f>
        <v>1</v>
      </c>
      <c r="DX13" s="12">
        <f>IF(預測IC!DX13&gt;預測IC!DX$26,1,0)</f>
        <v>0</v>
      </c>
      <c r="DY13" s="12">
        <f>IF(預測IC!DY13&gt;預測IC!DY$26,1,0)</f>
        <v>1</v>
      </c>
      <c r="DZ13" s="12">
        <f>IF(預測IC!DZ13&gt;預測IC!DZ$26,1,0)</f>
        <v>1</v>
      </c>
      <c r="EA13" s="12">
        <f>IF(預測IC!EA13&gt;預測IC!EA$26,1,0)</f>
        <v>1</v>
      </c>
      <c r="EB13" s="12">
        <f>IF(預測IC!EB13&gt;預測IC!EB$26,1,0)</f>
        <v>0</v>
      </c>
      <c r="EC13" s="12">
        <f>IF(預測IC!EC13&gt;預測IC!EC$26,1,0)</f>
        <v>1</v>
      </c>
      <c r="ED13" s="12">
        <f>IF(預測IC!ED13&gt;預測IC!ED$26,1,0)</f>
        <v>1</v>
      </c>
      <c r="EE13" s="12">
        <f>IF(預測IC!EE13&gt;預測IC!EE$26,1,0)</f>
        <v>0</v>
      </c>
      <c r="EF13" s="12">
        <f>IF(預測IC!EF13&gt;預測IC!EF$26,1,0)</f>
        <v>0</v>
      </c>
      <c r="EG13">
        <f t="shared" si="0"/>
        <v>71</v>
      </c>
      <c r="EH13" s="9">
        <f t="shared" si="1"/>
        <v>0.52985074626865669</v>
      </c>
    </row>
    <row r="14" spans="1:138">
      <c r="A14" s="2">
        <v>50</v>
      </c>
      <c r="B14" s="2">
        <v>19</v>
      </c>
      <c r="C14" s="12">
        <f>IF(預測IC!C14&gt;預測IC!C$26,1,0)</f>
        <v>1</v>
      </c>
      <c r="D14" s="12">
        <f>IF(預測IC!D14&gt;預測IC!D$26,1,0)</f>
        <v>0</v>
      </c>
      <c r="E14" s="12">
        <f>IF(預測IC!E14&gt;預測IC!E$26,1,0)</f>
        <v>1</v>
      </c>
      <c r="F14" s="12">
        <f>IF(預測IC!F14&gt;預測IC!F$26,1,0)</f>
        <v>1</v>
      </c>
      <c r="G14" s="12">
        <f>IF(預測IC!G14&gt;預測IC!G$26,1,0)</f>
        <v>1</v>
      </c>
      <c r="H14" s="12">
        <f>IF(預測IC!H14&gt;預測IC!H$26,1,0)</f>
        <v>1</v>
      </c>
      <c r="I14" s="12">
        <f>IF(預測IC!I14&gt;預測IC!I$26,1,0)</f>
        <v>0</v>
      </c>
      <c r="J14" s="12">
        <f>IF(預測IC!J14&gt;預測IC!J$26,1,0)</f>
        <v>0</v>
      </c>
      <c r="K14" s="12">
        <f>IF(預測IC!K14&gt;預測IC!K$26,1,0)</f>
        <v>1</v>
      </c>
      <c r="L14" s="12">
        <f>IF(預測IC!L14&gt;預測IC!L$26,1,0)</f>
        <v>0</v>
      </c>
      <c r="M14" s="12">
        <f>IF(預測IC!M14&gt;預測IC!M$26,1,0)</f>
        <v>0</v>
      </c>
      <c r="N14" s="12">
        <f>IF(預測IC!N14&gt;預測IC!N$26,1,0)</f>
        <v>0</v>
      </c>
      <c r="O14" s="12">
        <f>IF(預測IC!O14&gt;預測IC!O$26,1,0)</f>
        <v>1</v>
      </c>
      <c r="P14" s="12">
        <f>IF(預測IC!P14&gt;預測IC!P$26,1,0)</f>
        <v>1</v>
      </c>
      <c r="Q14" s="12">
        <f>IF(預測IC!Q14&gt;預測IC!Q$26,1,0)</f>
        <v>1</v>
      </c>
      <c r="R14" s="12">
        <f>IF(預測IC!R14&gt;預測IC!R$26,1,0)</f>
        <v>0</v>
      </c>
      <c r="S14" s="12">
        <f>IF(預測IC!S14&gt;預測IC!S$26,1,0)</f>
        <v>1</v>
      </c>
      <c r="T14" s="12">
        <f>IF(預測IC!T14&gt;預測IC!T$26,1,0)</f>
        <v>1</v>
      </c>
      <c r="U14" s="12">
        <f>IF(預測IC!U14&gt;預測IC!U$26,1,0)</f>
        <v>1</v>
      </c>
      <c r="V14" s="12">
        <f>IF(預測IC!V14&gt;預測IC!V$26,1,0)</f>
        <v>1</v>
      </c>
      <c r="W14" s="12">
        <f>IF(預測IC!W14&gt;預測IC!W$26,1,0)</f>
        <v>1</v>
      </c>
      <c r="X14" s="12">
        <f>IF(預測IC!X14&gt;預測IC!X$26,1,0)</f>
        <v>1</v>
      </c>
      <c r="Y14" s="12">
        <f>IF(預測IC!Y14&gt;預測IC!Y$26,1,0)</f>
        <v>1</v>
      </c>
      <c r="Z14" s="12">
        <f>IF(預測IC!Z14&gt;預測IC!Z$26,1,0)</f>
        <v>1</v>
      </c>
      <c r="AA14" s="12">
        <f>IF(預測IC!AA14&gt;預測IC!AA$26,1,0)</f>
        <v>1</v>
      </c>
      <c r="AB14" s="12">
        <f>IF(預測IC!AB14&gt;預測IC!AB$26,1,0)</f>
        <v>0</v>
      </c>
      <c r="AC14" s="12">
        <f>IF(預測IC!AC14&gt;預測IC!AC$26,1,0)</f>
        <v>0</v>
      </c>
      <c r="AD14" s="12">
        <f>IF(預測IC!AD14&gt;預測IC!AD$26,1,0)</f>
        <v>1</v>
      </c>
      <c r="AE14" s="12">
        <f>IF(預測IC!AE14&gt;預測IC!AE$26,1,0)</f>
        <v>0</v>
      </c>
      <c r="AF14" s="12">
        <f>IF(預測IC!AF14&gt;預測IC!AF$26,1,0)</f>
        <v>1</v>
      </c>
      <c r="AG14" s="12">
        <f>IF(預測IC!AG14&gt;預測IC!AG$26,1,0)</f>
        <v>0</v>
      </c>
      <c r="AH14" s="12">
        <f>IF(預測IC!AH14&gt;預測IC!AH$26,1,0)</f>
        <v>0</v>
      </c>
      <c r="AI14" s="12">
        <f>IF(預測IC!AI14&gt;預測IC!AI$26,1,0)</f>
        <v>1</v>
      </c>
      <c r="AJ14" s="12">
        <f>IF(預測IC!AJ14&gt;預測IC!AJ$26,1,0)</f>
        <v>1</v>
      </c>
      <c r="AK14" s="12">
        <f>IF(預測IC!AK14&gt;預測IC!AK$26,1,0)</f>
        <v>1</v>
      </c>
      <c r="AL14" s="12">
        <f>IF(預測IC!AL14&gt;預測IC!AL$26,1,0)</f>
        <v>1</v>
      </c>
      <c r="AM14" s="12">
        <f>IF(預測IC!AM14&gt;預測IC!AM$26,1,0)</f>
        <v>0</v>
      </c>
      <c r="AN14" s="12">
        <f>IF(預測IC!AN14&gt;預測IC!AN$26,1,0)</f>
        <v>1</v>
      </c>
      <c r="AO14" s="12">
        <f>IF(預測IC!AO14&gt;預測IC!AO$26,1,0)</f>
        <v>1</v>
      </c>
      <c r="AP14" s="12">
        <f>IF(預測IC!AP14&gt;預測IC!AP$26,1,0)</f>
        <v>1</v>
      </c>
      <c r="AQ14" s="12">
        <f>IF(預測IC!AQ14&gt;預測IC!AQ$26,1,0)</f>
        <v>0</v>
      </c>
      <c r="AR14" s="12">
        <f>IF(預測IC!AR14&gt;預測IC!AR$26,1,0)</f>
        <v>0</v>
      </c>
      <c r="AS14" s="12">
        <f>IF(預測IC!AS14&gt;預測IC!AS$26,1,0)</f>
        <v>1</v>
      </c>
      <c r="AT14" s="12">
        <f>IF(預測IC!AT14&gt;預測IC!AT$26,1,0)</f>
        <v>0</v>
      </c>
      <c r="AU14" s="12">
        <f>IF(預測IC!AU14&gt;預測IC!AU$26,1,0)</f>
        <v>1</v>
      </c>
      <c r="AV14" s="12">
        <f>IF(預測IC!AV14&gt;預測IC!AV$26,1,0)</f>
        <v>0</v>
      </c>
      <c r="AW14" s="12">
        <f>IF(預測IC!AW14&gt;預測IC!AW$26,1,0)</f>
        <v>1</v>
      </c>
      <c r="AX14" s="12">
        <f>IF(預測IC!AX14&gt;預測IC!AX$26,1,0)</f>
        <v>0</v>
      </c>
      <c r="AY14" s="12">
        <f>IF(預測IC!AY14&gt;預測IC!AY$26,1,0)</f>
        <v>0</v>
      </c>
      <c r="AZ14" s="12">
        <f>IF(預測IC!AZ14&gt;預測IC!AZ$26,1,0)</f>
        <v>1</v>
      </c>
      <c r="BA14" s="12">
        <f>IF(預測IC!BA14&gt;預測IC!BA$26,1,0)</f>
        <v>1</v>
      </c>
      <c r="BB14" s="12">
        <f>IF(預測IC!BB14&gt;預測IC!BB$26,1,0)</f>
        <v>1</v>
      </c>
      <c r="BC14" s="12">
        <f>IF(預測IC!BC14&gt;預測IC!BC$26,1,0)</f>
        <v>0</v>
      </c>
      <c r="BD14" s="12">
        <f>IF(預測IC!BD14&gt;預測IC!BD$26,1,0)</f>
        <v>1</v>
      </c>
      <c r="BE14" s="12">
        <f>IF(預測IC!BE14&gt;預測IC!BE$26,1,0)</f>
        <v>1</v>
      </c>
      <c r="BF14" s="12">
        <f>IF(預測IC!BF14&gt;預測IC!BF$26,1,0)</f>
        <v>1</v>
      </c>
      <c r="BG14" s="12">
        <f>IF(預測IC!BG14&gt;預測IC!BG$26,1,0)</f>
        <v>1</v>
      </c>
      <c r="BH14" s="12">
        <f>IF(預測IC!BH14&gt;預測IC!BH$26,1,0)</f>
        <v>1</v>
      </c>
      <c r="BI14" s="12">
        <f>IF(預測IC!BI14&gt;預測IC!BI$26,1,0)</f>
        <v>1</v>
      </c>
      <c r="BJ14" s="12">
        <f>IF(預測IC!BJ14&gt;預測IC!BJ$26,1,0)</f>
        <v>1</v>
      </c>
      <c r="BK14" s="12">
        <f>IF(預測IC!BK14&gt;預測IC!BK$26,1,0)</f>
        <v>1</v>
      </c>
      <c r="BL14" s="12">
        <f>IF(預測IC!BL14&gt;預測IC!BL$26,1,0)</f>
        <v>1</v>
      </c>
      <c r="BM14" s="12">
        <f>IF(預測IC!BM14&gt;預測IC!BM$26,1,0)</f>
        <v>1</v>
      </c>
      <c r="BN14" s="12">
        <f>IF(預測IC!BN14&gt;預測IC!BN$26,1,0)</f>
        <v>1</v>
      </c>
      <c r="BO14" s="12">
        <f>IF(預測IC!BO14&gt;預測IC!BO$26,1,0)</f>
        <v>1</v>
      </c>
      <c r="BP14" s="12">
        <f>IF(預測IC!BP14&gt;預測IC!BP$26,1,0)</f>
        <v>0</v>
      </c>
      <c r="BQ14" s="12">
        <f>IF(預測IC!BQ14&gt;預測IC!BQ$26,1,0)</f>
        <v>1</v>
      </c>
      <c r="BR14" s="12">
        <f>IF(預測IC!BR14&gt;預測IC!BR$26,1,0)</f>
        <v>0</v>
      </c>
      <c r="BS14" s="12">
        <f>IF(預測IC!BS14&gt;預測IC!BS$26,1,0)</f>
        <v>0</v>
      </c>
      <c r="BT14" s="12">
        <f>IF(預測IC!BT14&gt;預測IC!BT$26,1,0)</f>
        <v>1</v>
      </c>
      <c r="BU14" s="12">
        <f>IF(預測IC!BU14&gt;預測IC!BU$26,1,0)</f>
        <v>0</v>
      </c>
      <c r="BV14" s="12">
        <f>IF(預測IC!BV14&gt;預測IC!BV$26,1,0)</f>
        <v>0</v>
      </c>
      <c r="BW14" s="12">
        <f>IF(預測IC!BW14&gt;預測IC!BW$26,1,0)</f>
        <v>1</v>
      </c>
      <c r="BX14" s="12">
        <f>IF(預測IC!BX14&gt;預測IC!BX$26,1,0)</f>
        <v>1</v>
      </c>
      <c r="BY14" s="12">
        <f>IF(預測IC!BY14&gt;預測IC!BY$26,1,0)</f>
        <v>1</v>
      </c>
      <c r="BZ14" s="12">
        <f>IF(預測IC!BZ14&gt;預測IC!BZ$26,1,0)</f>
        <v>0</v>
      </c>
      <c r="CA14" s="12">
        <f>IF(預測IC!CA14&gt;預測IC!CA$26,1,0)</f>
        <v>1</v>
      </c>
      <c r="CB14" s="12">
        <f>IF(預測IC!CB14&gt;預測IC!CB$26,1,0)</f>
        <v>1</v>
      </c>
      <c r="CC14" s="12">
        <f>IF(預測IC!CC14&gt;預測IC!CC$26,1,0)</f>
        <v>1</v>
      </c>
      <c r="CD14" s="12">
        <f>IF(預測IC!CD14&gt;預測IC!CD$26,1,0)</f>
        <v>1</v>
      </c>
      <c r="CE14" s="12">
        <f>IF(預測IC!CE14&gt;預測IC!CE$26,1,0)</f>
        <v>1</v>
      </c>
      <c r="CF14" s="12">
        <f>IF(預測IC!CF14&gt;預測IC!CF$26,1,0)</f>
        <v>0</v>
      </c>
      <c r="CG14" s="12">
        <f>IF(預測IC!CG14&gt;預測IC!CG$26,1,0)</f>
        <v>1</v>
      </c>
      <c r="CH14" s="12">
        <f>IF(預測IC!CH14&gt;預測IC!CH$26,1,0)</f>
        <v>0</v>
      </c>
      <c r="CI14" s="12">
        <f>IF(預測IC!CI14&gt;預測IC!CI$26,1,0)</f>
        <v>0</v>
      </c>
      <c r="CJ14" s="12">
        <f>IF(預測IC!CJ14&gt;預測IC!CJ$26,1,0)</f>
        <v>0</v>
      </c>
      <c r="CK14" s="12">
        <f>IF(預測IC!CK14&gt;預測IC!CK$26,1,0)</f>
        <v>0</v>
      </c>
      <c r="CL14" s="12">
        <f>IF(預測IC!CL14&gt;預測IC!CL$26,1,0)</f>
        <v>0</v>
      </c>
      <c r="CM14" s="12">
        <f>IF(預測IC!CM14&gt;預測IC!CM$26,1,0)</f>
        <v>0</v>
      </c>
      <c r="CN14" s="12">
        <f>IF(預測IC!CN14&gt;預測IC!CN$26,1,0)</f>
        <v>0</v>
      </c>
      <c r="CO14" s="12">
        <f>IF(預測IC!CO14&gt;預測IC!CO$26,1,0)</f>
        <v>1</v>
      </c>
      <c r="CP14" s="12">
        <f>IF(預測IC!CP14&gt;預測IC!CP$26,1,0)</f>
        <v>0</v>
      </c>
      <c r="CQ14" s="12">
        <f>IF(預測IC!CQ14&gt;預測IC!CQ$26,1,0)</f>
        <v>1</v>
      </c>
      <c r="CR14" s="12">
        <f>IF(預測IC!CR14&gt;預測IC!CR$26,1,0)</f>
        <v>0</v>
      </c>
      <c r="CS14" s="12">
        <f>IF(預測IC!CS14&gt;預測IC!CS$26,1,0)</f>
        <v>0</v>
      </c>
      <c r="CT14" s="12">
        <f>IF(預測IC!CT14&gt;預測IC!CT$26,1,0)</f>
        <v>1</v>
      </c>
      <c r="CU14" s="12">
        <f>IF(預測IC!CU14&gt;預測IC!CU$26,1,0)</f>
        <v>1</v>
      </c>
      <c r="CV14" s="12">
        <f>IF(預測IC!CV14&gt;預測IC!CV$26,1,0)</f>
        <v>0</v>
      </c>
      <c r="CW14" s="12">
        <f>IF(預測IC!CW14&gt;預測IC!CW$26,1,0)</f>
        <v>1</v>
      </c>
      <c r="CX14" s="12">
        <f>IF(預測IC!CX14&gt;預測IC!CX$26,1,0)</f>
        <v>1</v>
      </c>
      <c r="CY14" s="12">
        <f>IF(預測IC!CY14&gt;預測IC!CY$26,1,0)</f>
        <v>1</v>
      </c>
      <c r="CZ14" s="12">
        <f>IF(預測IC!CZ14&gt;預測IC!CZ$26,1,0)</f>
        <v>1</v>
      </c>
      <c r="DA14" s="12">
        <f>IF(預測IC!DA14&gt;預測IC!DA$26,1,0)</f>
        <v>1</v>
      </c>
      <c r="DB14" s="12">
        <f>IF(預測IC!DB14&gt;預測IC!DB$26,1,0)</f>
        <v>1</v>
      </c>
      <c r="DC14" s="12">
        <f>IF(預測IC!DC14&gt;預測IC!DC$26,1,0)</f>
        <v>1</v>
      </c>
      <c r="DD14" s="12">
        <f>IF(預測IC!DD14&gt;預測IC!DD$26,1,0)</f>
        <v>0</v>
      </c>
      <c r="DE14" s="12">
        <f>IF(預測IC!DE14&gt;預測IC!DE$26,1,0)</f>
        <v>0</v>
      </c>
      <c r="DF14" s="12">
        <f>IF(預測IC!DF14&gt;預測IC!DF$26,1,0)</f>
        <v>1</v>
      </c>
      <c r="DG14" s="12">
        <f>IF(預測IC!DG14&gt;預測IC!DG$26,1,0)</f>
        <v>0</v>
      </c>
      <c r="DH14" s="12">
        <f>IF(預測IC!DH14&gt;預測IC!DH$26,1,0)</f>
        <v>1</v>
      </c>
      <c r="DI14" s="12">
        <f>IF(預測IC!DI14&gt;預測IC!DI$26,1,0)</f>
        <v>1</v>
      </c>
      <c r="DJ14" s="12">
        <f>IF(預測IC!DJ14&gt;預測IC!DJ$26,1,0)</f>
        <v>1</v>
      </c>
      <c r="DK14" s="12">
        <f>IF(預測IC!DK14&gt;預測IC!DK$26,1,0)</f>
        <v>0</v>
      </c>
      <c r="DL14" s="12">
        <f>IF(預測IC!DL14&gt;預測IC!DL$26,1,0)</f>
        <v>0</v>
      </c>
      <c r="DM14" s="12">
        <f>IF(預測IC!DM14&gt;預測IC!DM$26,1,0)</f>
        <v>0</v>
      </c>
      <c r="DN14" s="12">
        <f>IF(預測IC!DN14&gt;預測IC!DN$26,1,0)</f>
        <v>1</v>
      </c>
      <c r="DO14" s="12">
        <f>IF(預測IC!DO14&gt;預測IC!DO$26,1,0)</f>
        <v>1</v>
      </c>
      <c r="DP14" s="12">
        <f>IF(預測IC!DP14&gt;預測IC!DP$26,1,0)</f>
        <v>1</v>
      </c>
      <c r="DQ14" s="12">
        <f>IF(預測IC!DQ14&gt;預測IC!DQ$26,1,0)</f>
        <v>0</v>
      </c>
      <c r="DR14" s="12">
        <f>IF(預測IC!DR14&gt;預測IC!DR$26,1,0)</f>
        <v>0</v>
      </c>
      <c r="DS14" s="12">
        <f>IF(預測IC!DS14&gt;預測IC!DS$26,1,0)</f>
        <v>0</v>
      </c>
      <c r="DT14" s="12">
        <f>IF(預測IC!DT14&gt;預測IC!DT$26,1,0)</f>
        <v>1</v>
      </c>
      <c r="DU14" s="12">
        <f>IF(預測IC!DU14&gt;預測IC!DU$26,1,0)</f>
        <v>0</v>
      </c>
      <c r="DV14" s="12">
        <f>IF(預測IC!DV14&gt;預測IC!DV$26,1,0)</f>
        <v>1</v>
      </c>
      <c r="DW14" s="12">
        <f>IF(預測IC!DW14&gt;預測IC!DW$26,1,0)</f>
        <v>1</v>
      </c>
      <c r="DX14" s="12">
        <f>IF(預測IC!DX14&gt;預測IC!DX$26,1,0)</f>
        <v>0</v>
      </c>
      <c r="DY14" s="12">
        <f>IF(預測IC!DY14&gt;預測IC!DY$26,1,0)</f>
        <v>1</v>
      </c>
      <c r="DZ14" s="12">
        <f>IF(預測IC!DZ14&gt;預測IC!DZ$26,1,0)</f>
        <v>1</v>
      </c>
      <c r="EA14" s="12">
        <f>IF(預測IC!EA14&gt;預測IC!EA$26,1,0)</f>
        <v>1</v>
      </c>
      <c r="EB14" s="12">
        <f>IF(預測IC!EB14&gt;預測IC!EB$26,1,0)</f>
        <v>0</v>
      </c>
      <c r="EC14" s="12">
        <f>IF(預測IC!EC14&gt;預測IC!EC$26,1,0)</f>
        <v>1</v>
      </c>
      <c r="ED14" s="12">
        <f>IF(預測IC!ED14&gt;預測IC!ED$26,1,0)</f>
        <v>1</v>
      </c>
      <c r="EE14" s="12">
        <f>IF(預測IC!EE14&gt;預測IC!EE$26,1,0)</f>
        <v>0</v>
      </c>
      <c r="EF14" s="12">
        <f>IF(預測IC!EF14&gt;預測IC!EF$26,1,0)</f>
        <v>0</v>
      </c>
      <c r="EG14">
        <f t="shared" si="0"/>
        <v>82</v>
      </c>
      <c r="EH14" s="9">
        <f t="shared" si="1"/>
        <v>0.61194029850746268</v>
      </c>
    </row>
    <row r="15" spans="1:138">
      <c r="A15" s="2">
        <v>100</v>
      </c>
      <c r="B15" s="2">
        <v>10</v>
      </c>
      <c r="C15" s="12">
        <f>IF(預測IC!C15&gt;預測IC!C$26,1,0)</f>
        <v>1</v>
      </c>
      <c r="D15" s="12">
        <f>IF(預測IC!D15&gt;預測IC!D$26,1,0)</f>
        <v>0</v>
      </c>
      <c r="E15" s="12">
        <f>IF(預測IC!E15&gt;預測IC!E$26,1,0)</f>
        <v>1</v>
      </c>
      <c r="F15" s="12">
        <f>IF(預測IC!F15&gt;預測IC!F$26,1,0)</f>
        <v>1</v>
      </c>
      <c r="G15" s="12">
        <f>IF(預測IC!G15&gt;預測IC!G$26,1,0)</f>
        <v>1</v>
      </c>
      <c r="H15" s="12">
        <f>IF(預測IC!H15&gt;預測IC!H$26,1,0)</f>
        <v>1</v>
      </c>
      <c r="I15" s="12">
        <f>IF(預測IC!I15&gt;預測IC!I$26,1,0)</f>
        <v>0</v>
      </c>
      <c r="J15" s="12">
        <f>IF(預測IC!J15&gt;預測IC!J$26,1,0)</f>
        <v>0</v>
      </c>
      <c r="K15" s="12">
        <f>IF(預測IC!K15&gt;預測IC!K$26,1,0)</f>
        <v>1</v>
      </c>
      <c r="L15" s="12">
        <f>IF(預測IC!L15&gt;預測IC!L$26,1,0)</f>
        <v>0</v>
      </c>
      <c r="M15" s="12">
        <f>IF(預測IC!M15&gt;預測IC!M$26,1,0)</f>
        <v>0</v>
      </c>
      <c r="N15" s="12">
        <f>IF(預測IC!N15&gt;預測IC!N$26,1,0)</f>
        <v>0</v>
      </c>
      <c r="O15" s="12">
        <f>IF(預測IC!O15&gt;預測IC!O$26,1,0)</f>
        <v>1</v>
      </c>
      <c r="P15" s="12">
        <f>IF(預測IC!P15&gt;預測IC!P$26,1,0)</f>
        <v>1</v>
      </c>
      <c r="Q15" s="12">
        <f>IF(預測IC!Q15&gt;預測IC!Q$26,1,0)</f>
        <v>1</v>
      </c>
      <c r="R15" s="12">
        <f>IF(預測IC!R15&gt;預測IC!R$26,1,0)</f>
        <v>1</v>
      </c>
      <c r="S15" s="12">
        <f>IF(預測IC!S15&gt;預測IC!S$26,1,0)</f>
        <v>1</v>
      </c>
      <c r="T15" s="12">
        <f>IF(預測IC!T15&gt;預測IC!T$26,1,0)</f>
        <v>0</v>
      </c>
      <c r="U15" s="12">
        <f>IF(預測IC!U15&gt;預測IC!U$26,1,0)</f>
        <v>1</v>
      </c>
      <c r="V15" s="12">
        <f>IF(預測IC!V15&gt;預測IC!V$26,1,0)</f>
        <v>0</v>
      </c>
      <c r="W15" s="12">
        <f>IF(預測IC!W15&gt;預測IC!W$26,1,0)</f>
        <v>1</v>
      </c>
      <c r="X15" s="12">
        <f>IF(預測IC!X15&gt;預測IC!X$26,1,0)</f>
        <v>1</v>
      </c>
      <c r="Y15" s="12">
        <f>IF(預測IC!Y15&gt;預測IC!Y$26,1,0)</f>
        <v>1</v>
      </c>
      <c r="Z15" s="12">
        <f>IF(預測IC!Z15&gt;預測IC!Z$26,1,0)</f>
        <v>0</v>
      </c>
      <c r="AA15" s="12">
        <f>IF(預測IC!AA15&gt;預測IC!AA$26,1,0)</f>
        <v>1</v>
      </c>
      <c r="AB15" s="12">
        <f>IF(預測IC!AB15&gt;預測IC!AB$26,1,0)</f>
        <v>0</v>
      </c>
      <c r="AC15" s="12">
        <f>IF(預測IC!AC15&gt;預測IC!AC$26,1,0)</f>
        <v>0</v>
      </c>
      <c r="AD15" s="12">
        <f>IF(預測IC!AD15&gt;預測IC!AD$26,1,0)</f>
        <v>1</v>
      </c>
      <c r="AE15" s="12">
        <f>IF(預測IC!AE15&gt;預測IC!AE$26,1,0)</f>
        <v>1</v>
      </c>
      <c r="AF15" s="12">
        <f>IF(預測IC!AF15&gt;預測IC!AF$26,1,0)</f>
        <v>1</v>
      </c>
      <c r="AG15" s="12">
        <f>IF(預測IC!AG15&gt;預測IC!AG$26,1,0)</f>
        <v>0</v>
      </c>
      <c r="AH15" s="12">
        <f>IF(預測IC!AH15&gt;預測IC!AH$26,1,0)</f>
        <v>0</v>
      </c>
      <c r="AI15" s="12">
        <f>IF(預測IC!AI15&gt;預測IC!AI$26,1,0)</f>
        <v>1</v>
      </c>
      <c r="AJ15" s="12">
        <f>IF(預測IC!AJ15&gt;預測IC!AJ$26,1,0)</f>
        <v>0</v>
      </c>
      <c r="AK15" s="12">
        <f>IF(預測IC!AK15&gt;預測IC!AK$26,1,0)</f>
        <v>1</v>
      </c>
      <c r="AL15" s="12">
        <f>IF(預測IC!AL15&gt;預測IC!AL$26,1,0)</f>
        <v>1</v>
      </c>
      <c r="AM15" s="12">
        <f>IF(預測IC!AM15&gt;預測IC!AM$26,1,0)</f>
        <v>0</v>
      </c>
      <c r="AN15" s="12">
        <f>IF(預測IC!AN15&gt;預測IC!AN$26,1,0)</f>
        <v>1</v>
      </c>
      <c r="AO15" s="12">
        <f>IF(預測IC!AO15&gt;預測IC!AO$26,1,0)</f>
        <v>1</v>
      </c>
      <c r="AP15" s="12">
        <f>IF(預測IC!AP15&gt;預測IC!AP$26,1,0)</f>
        <v>1</v>
      </c>
      <c r="AQ15" s="12">
        <f>IF(預測IC!AQ15&gt;預測IC!AQ$26,1,0)</f>
        <v>0</v>
      </c>
      <c r="AR15" s="12">
        <f>IF(預測IC!AR15&gt;預測IC!AR$26,1,0)</f>
        <v>0</v>
      </c>
      <c r="AS15" s="12">
        <f>IF(預測IC!AS15&gt;預測IC!AS$26,1,0)</f>
        <v>0</v>
      </c>
      <c r="AT15" s="12">
        <f>IF(預測IC!AT15&gt;預測IC!AT$26,1,0)</f>
        <v>0</v>
      </c>
      <c r="AU15" s="12">
        <f>IF(預測IC!AU15&gt;預測IC!AU$26,1,0)</f>
        <v>1</v>
      </c>
      <c r="AV15" s="12">
        <f>IF(預測IC!AV15&gt;預測IC!AV$26,1,0)</f>
        <v>0</v>
      </c>
      <c r="AW15" s="12">
        <f>IF(預測IC!AW15&gt;預測IC!AW$26,1,0)</f>
        <v>1</v>
      </c>
      <c r="AX15" s="12">
        <f>IF(預測IC!AX15&gt;預測IC!AX$26,1,0)</f>
        <v>0</v>
      </c>
      <c r="AY15" s="12">
        <f>IF(預測IC!AY15&gt;預測IC!AY$26,1,0)</f>
        <v>0</v>
      </c>
      <c r="AZ15" s="12">
        <f>IF(預測IC!AZ15&gt;預測IC!AZ$26,1,0)</f>
        <v>1</v>
      </c>
      <c r="BA15" s="12">
        <f>IF(預測IC!BA15&gt;預測IC!BA$26,1,0)</f>
        <v>1</v>
      </c>
      <c r="BB15" s="12">
        <f>IF(預測IC!BB15&gt;預測IC!BB$26,1,0)</f>
        <v>1</v>
      </c>
      <c r="BC15" s="12">
        <f>IF(預測IC!BC15&gt;預測IC!BC$26,1,0)</f>
        <v>0</v>
      </c>
      <c r="BD15" s="12">
        <f>IF(預測IC!BD15&gt;預測IC!BD$26,1,0)</f>
        <v>1</v>
      </c>
      <c r="BE15" s="12">
        <f>IF(預測IC!BE15&gt;預測IC!BE$26,1,0)</f>
        <v>1</v>
      </c>
      <c r="BF15" s="12">
        <f>IF(預測IC!BF15&gt;預測IC!BF$26,1,0)</f>
        <v>1</v>
      </c>
      <c r="BG15" s="12">
        <f>IF(預測IC!BG15&gt;預測IC!BG$26,1,0)</f>
        <v>1</v>
      </c>
      <c r="BH15" s="12">
        <f>IF(預測IC!BH15&gt;預測IC!BH$26,1,0)</f>
        <v>1</v>
      </c>
      <c r="BI15" s="12">
        <f>IF(預測IC!BI15&gt;預測IC!BI$26,1,0)</f>
        <v>1</v>
      </c>
      <c r="BJ15" s="12">
        <f>IF(預測IC!BJ15&gt;預測IC!BJ$26,1,0)</f>
        <v>1</v>
      </c>
      <c r="BK15" s="12">
        <f>IF(預測IC!BK15&gt;預測IC!BK$26,1,0)</f>
        <v>1</v>
      </c>
      <c r="BL15" s="12">
        <f>IF(預測IC!BL15&gt;預測IC!BL$26,1,0)</f>
        <v>1</v>
      </c>
      <c r="BM15" s="12">
        <f>IF(預測IC!BM15&gt;預測IC!BM$26,1,0)</f>
        <v>1</v>
      </c>
      <c r="BN15" s="12">
        <f>IF(預測IC!BN15&gt;預測IC!BN$26,1,0)</f>
        <v>1</v>
      </c>
      <c r="BO15" s="12">
        <f>IF(預測IC!BO15&gt;預測IC!BO$26,1,0)</f>
        <v>1</v>
      </c>
      <c r="BP15" s="12">
        <f>IF(預測IC!BP15&gt;預測IC!BP$26,1,0)</f>
        <v>0</v>
      </c>
      <c r="BQ15" s="12">
        <f>IF(預測IC!BQ15&gt;預測IC!BQ$26,1,0)</f>
        <v>1</v>
      </c>
      <c r="BR15" s="12">
        <f>IF(預測IC!BR15&gt;預測IC!BR$26,1,0)</f>
        <v>1</v>
      </c>
      <c r="BS15" s="12">
        <f>IF(預測IC!BS15&gt;預測IC!BS$26,1,0)</f>
        <v>0</v>
      </c>
      <c r="BT15" s="12">
        <f>IF(預測IC!BT15&gt;預測IC!BT$26,1,0)</f>
        <v>1</v>
      </c>
      <c r="BU15" s="12">
        <f>IF(預測IC!BU15&gt;預測IC!BU$26,1,0)</f>
        <v>0</v>
      </c>
      <c r="BV15" s="12">
        <f>IF(預測IC!BV15&gt;預測IC!BV$26,1,0)</f>
        <v>1</v>
      </c>
      <c r="BW15" s="12">
        <f>IF(預測IC!BW15&gt;預測IC!BW$26,1,0)</f>
        <v>1</v>
      </c>
      <c r="BX15" s="12">
        <f>IF(預測IC!BX15&gt;預測IC!BX$26,1,0)</f>
        <v>1</v>
      </c>
      <c r="BY15" s="12">
        <f>IF(預測IC!BY15&gt;預測IC!BY$26,1,0)</f>
        <v>1</v>
      </c>
      <c r="BZ15" s="12">
        <f>IF(預測IC!BZ15&gt;預測IC!BZ$26,1,0)</f>
        <v>0</v>
      </c>
      <c r="CA15" s="12">
        <f>IF(預測IC!CA15&gt;預測IC!CA$26,1,0)</f>
        <v>1</v>
      </c>
      <c r="CB15" s="12">
        <f>IF(預測IC!CB15&gt;預測IC!CB$26,1,0)</f>
        <v>1</v>
      </c>
      <c r="CC15" s="12">
        <f>IF(預測IC!CC15&gt;預測IC!CC$26,1,0)</f>
        <v>1</v>
      </c>
      <c r="CD15" s="12">
        <f>IF(預測IC!CD15&gt;預測IC!CD$26,1,0)</f>
        <v>1</v>
      </c>
      <c r="CE15" s="12">
        <f>IF(預測IC!CE15&gt;預測IC!CE$26,1,0)</f>
        <v>1</v>
      </c>
      <c r="CF15" s="12">
        <f>IF(預測IC!CF15&gt;預測IC!CF$26,1,0)</f>
        <v>0</v>
      </c>
      <c r="CG15" s="12">
        <f>IF(預測IC!CG15&gt;預測IC!CG$26,1,0)</f>
        <v>1</v>
      </c>
      <c r="CH15" s="12">
        <f>IF(預測IC!CH15&gt;預測IC!CH$26,1,0)</f>
        <v>0</v>
      </c>
      <c r="CI15" s="12">
        <f>IF(預測IC!CI15&gt;預測IC!CI$26,1,0)</f>
        <v>0</v>
      </c>
      <c r="CJ15" s="12">
        <f>IF(預測IC!CJ15&gt;預測IC!CJ$26,1,0)</f>
        <v>0</v>
      </c>
      <c r="CK15" s="12">
        <f>IF(預測IC!CK15&gt;預測IC!CK$26,1,0)</f>
        <v>1</v>
      </c>
      <c r="CL15" s="12">
        <f>IF(預測IC!CL15&gt;預測IC!CL$26,1,0)</f>
        <v>0</v>
      </c>
      <c r="CM15" s="12">
        <f>IF(預測IC!CM15&gt;預測IC!CM$26,1,0)</f>
        <v>0</v>
      </c>
      <c r="CN15" s="12">
        <f>IF(預測IC!CN15&gt;預測IC!CN$26,1,0)</f>
        <v>0</v>
      </c>
      <c r="CO15" s="12">
        <f>IF(預測IC!CO15&gt;預測IC!CO$26,1,0)</f>
        <v>1</v>
      </c>
      <c r="CP15" s="12">
        <f>IF(預測IC!CP15&gt;預測IC!CP$26,1,0)</f>
        <v>0</v>
      </c>
      <c r="CQ15" s="12">
        <f>IF(預測IC!CQ15&gt;預測IC!CQ$26,1,0)</f>
        <v>1</v>
      </c>
      <c r="CR15" s="12">
        <f>IF(預測IC!CR15&gt;預測IC!CR$26,1,0)</f>
        <v>0</v>
      </c>
      <c r="CS15" s="12">
        <f>IF(預測IC!CS15&gt;預測IC!CS$26,1,0)</f>
        <v>0</v>
      </c>
      <c r="CT15" s="12">
        <f>IF(預測IC!CT15&gt;預測IC!CT$26,1,0)</f>
        <v>0</v>
      </c>
      <c r="CU15" s="12">
        <f>IF(預測IC!CU15&gt;預測IC!CU$26,1,0)</f>
        <v>1</v>
      </c>
      <c r="CV15" s="12">
        <f>IF(預測IC!CV15&gt;預測IC!CV$26,1,0)</f>
        <v>1</v>
      </c>
      <c r="CW15" s="12">
        <f>IF(預測IC!CW15&gt;預測IC!CW$26,1,0)</f>
        <v>1</v>
      </c>
      <c r="CX15" s="12">
        <f>IF(預測IC!CX15&gt;預測IC!CX$26,1,0)</f>
        <v>1</v>
      </c>
      <c r="CY15" s="12">
        <f>IF(預測IC!CY15&gt;預測IC!CY$26,1,0)</f>
        <v>1</v>
      </c>
      <c r="CZ15" s="12">
        <f>IF(預測IC!CZ15&gt;預測IC!CZ$26,1,0)</f>
        <v>1</v>
      </c>
      <c r="DA15" s="12">
        <f>IF(預測IC!DA15&gt;預測IC!DA$26,1,0)</f>
        <v>1</v>
      </c>
      <c r="DB15" s="12">
        <f>IF(預測IC!DB15&gt;預測IC!DB$26,1,0)</f>
        <v>1</v>
      </c>
      <c r="DC15" s="12">
        <f>IF(預測IC!DC15&gt;預測IC!DC$26,1,0)</f>
        <v>1</v>
      </c>
      <c r="DD15" s="12">
        <f>IF(預測IC!DD15&gt;預測IC!DD$26,1,0)</f>
        <v>0</v>
      </c>
      <c r="DE15" s="12">
        <f>IF(預測IC!DE15&gt;預測IC!DE$26,1,0)</f>
        <v>0</v>
      </c>
      <c r="DF15" s="12">
        <f>IF(預測IC!DF15&gt;預測IC!DF$26,1,0)</f>
        <v>1</v>
      </c>
      <c r="DG15" s="12">
        <f>IF(預測IC!DG15&gt;預測IC!DG$26,1,0)</f>
        <v>0</v>
      </c>
      <c r="DH15" s="12">
        <f>IF(預測IC!DH15&gt;預測IC!DH$26,1,0)</f>
        <v>1</v>
      </c>
      <c r="DI15" s="12">
        <f>IF(預測IC!DI15&gt;預測IC!DI$26,1,0)</f>
        <v>1</v>
      </c>
      <c r="DJ15" s="12">
        <f>IF(預測IC!DJ15&gt;預測IC!DJ$26,1,0)</f>
        <v>1</v>
      </c>
      <c r="DK15" s="12">
        <f>IF(預測IC!DK15&gt;預測IC!DK$26,1,0)</f>
        <v>0</v>
      </c>
      <c r="DL15" s="12">
        <f>IF(預測IC!DL15&gt;預測IC!DL$26,1,0)</f>
        <v>0</v>
      </c>
      <c r="DM15" s="12">
        <f>IF(預測IC!DM15&gt;預測IC!DM$26,1,0)</f>
        <v>0</v>
      </c>
      <c r="DN15" s="12">
        <f>IF(預測IC!DN15&gt;預測IC!DN$26,1,0)</f>
        <v>1</v>
      </c>
      <c r="DO15" s="12">
        <f>IF(預測IC!DO15&gt;預測IC!DO$26,1,0)</f>
        <v>1</v>
      </c>
      <c r="DP15" s="12">
        <f>IF(預測IC!DP15&gt;預測IC!DP$26,1,0)</f>
        <v>1</v>
      </c>
      <c r="DQ15" s="12">
        <f>IF(預測IC!DQ15&gt;預測IC!DQ$26,1,0)</f>
        <v>0</v>
      </c>
      <c r="DR15" s="12">
        <f>IF(預測IC!DR15&gt;預測IC!DR$26,1,0)</f>
        <v>0</v>
      </c>
      <c r="DS15" s="12">
        <f>IF(預測IC!DS15&gt;預測IC!DS$26,1,0)</f>
        <v>0</v>
      </c>
      <c r="DT15" s="12">
        <f>IF(預測IC!DT15&gt;預測IC!DT$26,1,0)</f>
        <v>0</v>
      </c>
      <c r="DU15" s="12">
        <f>IF(預測IC!DU15&gt;預測IC!DU$26,1,0)</f>
        <v>0</v>
      </c>
      <c r="DV15" s="12">
        <f>IF(預測IC!DV15&gt;預測IC!DV$26,1,0)</f>
        <v>1</v>
      </c>
      <c r="DW15" s="12">
        <f>IF(預測IC!DW15&gt;預測IC!DW$26,1,0)</f>
        <v>0</v>
      </c>
      <c r="DX15" s="12">
        <f>IF(預測IC!DX15&gt;預測IC!DX$26,1,0)</f>
        <v>0</v>
      </c>
      <c r="DY15" s="12">
        <f>IF(預測IC!DY15&gt;預測IC!DY$26,1,0)</f>
        <v>1</v>
      </c>
      <c r="DZ15" s="12">
        <f>IF(預測IC!DZ15&gt;預測IC!DZ$26,1,0)</f>
        <v>1</v>
      </c>
      <c r="EA15" s="12">
        <f>IF(預測IC!EA15&gt;預測IC!EA$26,1,0)</f>
        <v>1</v>
      </c>
      <c r="EB15" s="12">
        <f>IF(預測IC!EB15&gt;預測IC!EB$26,1,0)</f>
        <v>0</v>
      </c>
      <c r="EC15" s="12">
        <f>IF(預測IC!EC15&gt;預測IC!EC$26,1,0)</f>
        <v>1</v>
      </c>
      <c r="ED15" s="12">
        <f>IF(預測IC!ED15&gt;預測IC!ED$26,1,0)</f>
        <v>1</v>
      </c>
      <c r="EE15" s="12">
        <f>IF(預測IC!EE15&gt;預測IC!EE$26,1,0)</f>
        <v>0</v>
      </c>
      <c r="EF15" s="12">
        <f>IF(預測IC!EF15&gt;預測IC!EF$26,1,0)</f>
        <v>0</v>
      </c>
      <c r="EG15">
        <f t="shared" si="0"/>
        <v>80</v>
      </c>
      <c r="EH15" s="10">
        <f t="shared" si="1"/>
        <v>0.59701492537313428</v>
      </c>
    </row>
    <row r="16" spans="1:138">
      <c r="A16" s="2">
        <v>107</v>
      </c>
      <c r="B16" s="2">
        <v>9</v>
      </c>
      <c r="C16" s="12">
        <f>IF(預測IC!C16&gt;預測IC!C$26,1,0)</f>
        <v>1</v>
      </c>
      <c r="D16" s="12">
        <f>IF(預測IC!D16&gt;預測IC!D$26,1,0)</f>
        <v>0</v>
      </c>
      <c r="E16" s="12">
        <f>IF(預測IC!E16&gt;預測IC!E$26,1,0)</f>
        <v>1</v>
      </c>
      <c r="F16" s="12">
        <f>IF(預測IC!F16&gt;預測IC!F$26,1,0)</f>
        <v>1</v>
      </c>
      <c r="G16" s="12">
        <f>IF(預測IC!G16&gt;預測IC!G$26,1,0)</f>
        <v>1</v>
      </c>
      <c r="H16" s="12">
        <f>IF(預測IC!H16&gt;預測IC!H$26,1,0)</f>
        <v>1</v>
      </c>
      <c r="I16" s="12">
        <f>IF(預測IC!I16&gt;預測IC!I$26,1,0)</f>
        <v>0</v>
      </c>
      <c r="J16" s="12">
        <f>IF(預測IC!J16&gt;預測IC!J$26,1,0)</f>
        <v>0</v>
      </c>
      <c r="K16" s="12">
        <f>IF(預測IC!K16&gt;預測IC!K$26,1,0)</f>
        <v>1</v>
      </c>
      <c r="L16" s="12">
        <f>IF(預測IC!L16&gt;預測IC!L$26,1,0)</f>
        <v>0</v>
      </c>
      <c r="M16" s="12">
        <f>IF(預測IC!M16&gt;預測IC!M$26,1,0)</f>
        <v>0</v>
      </c>
      <c r="N16" s="12">
        <f>IF(預測IC!N16&gt;預測IC!N$26,1,0)</f>
        <v>0</v>
      </c>
      <c r="O16" s="12">
        <f>IF(預測IC!O16&gt;預測IC!O$26,1,0)</f>
        <v>1</v>
      </c>
      <c r="P16" s="12">
        <f>IF(預測IC!P16&gt;預測IC!P$26,1,0)</f>
        <v>1</v>
      </c>
      <c r="Q16" s="12">
        <f>IF(預測IC!Q16&gt;預測IC!Q$26,1,0)</f>
        <v>1</v>
      </c>
      <c r="R16" s="12">
        <f>IF(預測IC!R16&gt;預測IC!R$26,1,0)</f>
        <v>1</v>
      </c>
      <c r="S16" s="12">
        <f>IF(預測IC!S16&gt;預測IC!S$26,1,0)</f>
        <v>1</v>
      </c>
      <c r="T16" s="12">
        <f>IF(預測IC!T16&gt;預測IC!T$26,1,0)</f>
        <v>1</v>
      </c>
      <c r="U16" s="12">
        <f>IF(預測IC!U16&gt;預測IC!U$26,1,0)</f>
        <v>1</v>
      </c>
      <c r="V16" s="12">
        <f>IF(預測IC!V16&gt;預測IC!V$26,1,0)</f>
        <v>0</v>
      </c>
      <c r="W16" s="12">
        <f>IF(預測IC!W16&gt;預測IC!W$26,1,0)</f>
        <v>1</v>
      </c>
      <c r="X16" s="12">
        <f>IF(預測IC!X16&gt;預測IC!X$26,1,0)</f>
        <v>1</v>
      </c>
      <c r="Y16" s="12">
        <f>IF(預測IC!Y16&gt;預測IC!Y$26,1,0)</f>
        <v>1</v>
      </c>
      <c r="Z16" s="12">
        <f>IF(預測IC!Z16&gt;預測IC!Z$26,1,0)</f>
        <v>0</v>
      </c>
      <c r="AA16" s="12">
        <f>IF(預測IC!AA16&gt;預測IC!AA$26,1,0)</f>
        <v>1</v>
      </c>
      <c r="AB16" s="12">
        <f>IF(預測IC!AB16&gt;預測IC!AB$26,1,0)</f>
        <v>0</v>
      </c>
      <c r="AC16" s="12">
        <f>IF(預測IC!AC16&gt;預測IC!AC$26,1,0)</f>
        <v>0</v>
      </c>
      <c r="AD16" s="12">
        <f>IF(預測IC!AD16&gt;預測IC!AD$26,1,0)</f>
        <v>1</v>
      </c>
      <c r="AE16" s="12">
        <f>IF(預測IC!AE16&gt;預測IC!AE$26,1,0)</f>
        <v>1</v>
      </c>
      <c r="AF16" s="12">
        <f>IF(預測IC!AF16&gt;預測IC!AF$26,1,0)</f>
        <v>0</v>
      </c>
      <c r="AG16" s="12">
        <f>IF(預測IC!AG16&gt;預測IC!AG$26,1,0)</f>
        <v>0</v>
      </c>
      <c r="AH16" s="12">
        <f>IF(預測IC!AH16&gt;預測IC!AH$26,1,0)</f>
        <v>0</v>
      </c>
      <c r="AI16" s="12">
        <f>IF(預測IC!AI16&gt;預測IC!AI$26,1,0)</f>
        <v>1</v>
      </c>
      <c r="AJ16" s="12">
        <f>IF(預測IC!AJ16&gt;預測IC!AJ$26,1,0)</f>
        <v>0</v>
      </c>
      <c r="AK16" s="12">
        <f>IF(預測IC!AK16&gt;預測IC!AK$26,1,0)</f>
        <v>1</v>
      </c>
      <c r="AL16" s="12">
        <f>IF(預測IC!AL16&gt;預測IC!AL$26,1,0)</f>
        <v>1</v>
      </c>
      <c r="AM16" s="12">
        <f>IF(預測IC!AM16&gt;預測IC!AM$26,1,0)</f>
        <v>1</v>
      </c>
      <c r="AN16" s="12">
        <f>IF(預測IC!AN16&gt;預測IC!AN$26,1,0)</f>
        <v>1</v>
      </c>
      <c r="AO16" s="12">
        <f>IF(預測IC!AO16&gt;預測IC!AO$26,1,0)</f>
        <v>1</v>
      </c>
      <c r="AP16" s="12">
        <f>IF(預測IC!AP16&gt;預測IC!AP$26,1,0)</f>
        <v>0</v>
      </c>
      <c r="AQ16" s="12">
        <f>IF(預測IC!AQ16&gt;預測IC!AQ$26,1,0)</f>
        <v>0</v>
      </c>
      <c r="AR16" s="12">
        <f>IF(預測IC!AR16&gt;預測IC!AR$26,1,0)</f>
        <v>0</v>
      </c>
      <c r="AS16" s="12">
        <f>IF(預測IC!AS16&gt;預測IC!AS$26,1,0)</f>
        <v>0</v>
      </c>
      <c r="AT16" s="12">
        <f>IF(預測IC!AT16&gt;預測IC!AT$26,1,0)</f>
        <v>0</v>
      </c>
      <c r="AU16" s="12">
        <f>IF(預測IC!AU16&gt;預測IC!AU$26,1,0)</f>
        <v>1</v>
      </c>
      <c r="AV16" s="12">
        <f>IF(預測IC!AV16&gt;預測IC!AV$26,1,0)</f>
        <v>0</v>
      </c>
      <c r="AW16" s="12">
        <f>IF(預測IC!AW16&gt;預測IC!AW$26,1,0)</f>
        <v>1</v>
      </c>
      <c r="AX16" s="12">
        <f>IF(預測IC!AX16&gt;預測IC!AX$26,1,0)</f>
        <v>0</v>
      </c>
      <c r="AY16" s="12">
        <f>IF(預測IC!AY16&gt;預測IC!AY$26,1,0)</f>
        <v>0</v>
      </c>
      <c r="AZ16" s="12">
        <f>IF(預測IC!AZ16&gt;預測IC!AZ$26,1,0)</f>
        <v>1</v>
      </c>
      <c r="BA16" s="12">
        <f>IF(預測IC!BA16&gt;預測IC!BA$26,1,0)</f>
        <v>1</v>
      </c>
      <c r="BB16" s="12">
        <f>IF(預測IC!BB16&gt;預測IC!BB$26,1,0)</f>
        <v>1</v>
      </c>
      <c r="BC16" s="12">
        <f>IF(預測IC!BC16&gt;預測IC!BC$26,1,0)</f>
        <v>0</v>
      </c>
      <c r="BD16" s="12">
        <f>IF(預測IC!BD16&gt;預測IC!BD$26,1,0)</f>
        <v>1</v>
      </c>
      <c r="BE16" s="12">
        <f>IF(預測IC!BE16&gt;預測IC!BE$26,1,0)</f>
        <v>1</v>
      </c>
      <c r="BF16" s="12">
        <f>IF(預測IC!BF16&gt;預測IC!BF$26,1,0)</f>
        <v>1</v>
      </c>
      <c r="BG16" s="12">
        <f>IF(預測IC!BG16&gt;預測IC!BG$26,1,0)</f>
        <v>1</v>
      </c>
      <c r="BH16" s="12">
        <f>IF(預測IC!BH16&gt;預測IC!BH$26,1,0)</f>
        <v>1</v>
      </c>
      <c r="BI16" s="12">
        <f>IF(預測IC!BI16&gt;預測IC!BI$26,1,0)</f>
        <v>1</v>
      </c>
      <c r="BJ16" s="12">
        <f>IF(預測IC!BJ16&gt;預測IC!BJ$26,1,0)</f>
        <v>1</v>
      </c>
      <c r="BK16" s="12">
        <f>IF(預測IC!BK16&gt;預測IC!BK$26,1,0)</f>
        <v>1</v>
      </c>
      <c r="BL16" s="12">
        <f>IF(預測IC!BL16&gt;預測IC!BL$26,1,0)</f>
        <v>1</v>
      </c>
      <c r="BM16" s="12">
        <f>IF(預測IC!BM16&gt;預測IC!BM$26,1,0)</f>
        <v>1</v>
      </c>
      <c r="BN16" s="12">
        <f>IF(預測IC!BN16&gt;預測IC!BN$26,1,0)</f>
        <v>1</v>
      </c>
      <c r="BO16" s="12">
        <f>IF(預測IC!BO16&gt;預測IC!BO$26,1,0)</f>
        <v>1</v>
      </c>
      <c r="BP16" s="12">
        <f>IF(預測IC!BP16&gt;預測IC!BP$26,1,0)</f>
        <v>0</v>
      </c>
      <c r="BQ16" s="12">
        <f>IF(預測IC!BQ16&gt;預測IC!BQ$26,1,0)</f>
        <v>1</v>
      </c>
      <c r="BR16" s="12">
        <f>IF(預測IC!BR16&gt;預測IC!BR$26,1,0)</f>
        <v>1</v>
      </c>
      <c r="BS16" s="12">
        <f>IF(預測IC!BS16&gt;預測IC!BS$26,1,0)</f>
        <v>0</v>
      </c>
      <c r="BT16" s="12">
        <f>IF(預測IC!BT16&gt;預測IC!BT$26,1,0)</f>
        <v>1</v>
      </c>
      <c r="BU16" s="12">
        <f>IF(預測IC!BU16&gt;預測IC!BU$26,1,0)</f>
        <v>0</v>
      </c>
      <c r="BV16" s="12">
        <f>IF(預測IC!BV16&gt;預測IC!BV$26,1,0)</f>
        <v>1</v>
      </c>
      <c r="BW16" s="12">
        <f>IF(預測IC!BW16&gt;預測IC!BW$26,1,0)</f>
        <v>1</v>
      </c>
      <c r="BX16" s="12">
        <f>IF(預測IC!BX16&gt;預測IC!BX$26,1,0)</f>
        <v>1</v>
      </c>
      <c r="BY16" s="12">
        <f>IF(預測IC!BY16&gt;預測IC!BY$26,1,0)</f>
        <v>1</v>
      </c>
      <c r="BZ16" s="12">
        <f>IF(預測IC!BZ16&gt;預測IC!BZ$26,1,0)</f>
        <v>0</v>
      </c>
      <c r="CA16" s="12">
        <f>IF(預測IC!CA16&gt;預測IC!CA$26,1,0)</f>
        <v>1</v>
      </c>
      <c r="CB16" s="12">
        <f>IF(預測IC!CB16&gt;預測IC!CB$26,1,0)</f>
        <v>1</v>
      </c>
      <c r="CC16" s="12">
        <f>IF(預測IC!CC16&gt;預測IC!CC$26,1,0)</f>
        <v>0</v>
      </c>
      <c r="CD16" s="12">
        <f>IF(預測IC!CD16&gt;預測IC!CD$26,1,0)</f>
        <v>1</v>
      </c>
      <c r="CE16" s="12">
        <f>IF(預測IC!CE16&gt;預測IC!CE$26,1,0)</f>
        <v>1</v>
      </c>
      <c r="CF16" s="12">
        <f>IF(預測IC!CF16&gt;預測IC!CF$26,1,0)</f>
        <v>0</v>
      </c>
      <c r="CG16" s="12">
        <f>IF(預測IC!CG16&gt;預測IC!CG$26,1,0)</f>
        <v>1</v>
      </c>
      <c r="CH16" s="12">
        <f>IF(預測IC!CH16&gt;預測IC!CH$26,1,0)</f>
        <v>0</v>
      </c>
      <c r="CI16" s="12">
        <f>IF(預測IC!CI16&gt;預測IC!CI$26,1,0)</f>
        <v>0</v>
      </c>
      <c r="CJ16" s="12">
        <f>IF(預測IC!CJ16&gt;預測IC!CJ$26,1,0)</f>
        <v>0</v>
      </c>
      <c r="CK16" s="12">
        <f>IF(預測IC!CK16&gt;預測IC!CK$26,1,0)</f>
        <v>1</v>
      </c>
      <c r="CL16" s="12">
        <f>IF(預測IC!CL16&gt;預測IC!CL$26,1,0)</f>
        <v>0</v>
      </c>
      <c r="CM16" s="12">
        <f>IF(預測IC!CM16&gt;預測IC!CM$26,1,0)</f>
        <v>0</v>
      </c>
      <c r="CN16" s="12">
        <f>IF(預測IC!CN16&gt;預測IC!CN$26,1,0)</f>
        <v>0</v>
      </c>
      <c r="CO16" s="12">
        <f>IF(預測IC!CO16&gt;預測IC!CO$26,1,0)</f>
        <v>1</v>
      </c>
      <c r="CP16" s="12">
        <f>IF(預測IC!CP16&gt;預測IC!CP$26,1,0)</f>
        <v>0</v>
      </c>
      <c r="CQ16" s="12">
        <f>IF(預測IC!CQ16&gt;預測IC!CQ$26,1,0)</f>
        <v>1</v>
      </c>
      <c r="CR16" s="12">
        <f>IF(預測IC!CR16&gt;預測IC!CR$26,1,0)</f>
        <v>0</v>
      </c>
      <c r="CS16" s="12">
        <f>IF(預測IC!CS16&gt;預測IC!CS$26,1,0)</f>
        <v>0</v>
      </c>
      <c r="CT16" s="12">
        <f>IF(預測IC!CT16&gt;預測IC!CT$26,1,0)</f>
        <v>1</v>
      </c>
      <c r="CU16" s="12">
        <f>IF(預測IC!CU16&gt;預測IC!CU$26,1,0)</f>
        <v>1</v>
      </c>
      <c r="CV16" s="12">
        <f>IF(預測IC!CV16&gt;預測IC!CV$26,1,0)</f>
        <v>1</v>
      </c>
      <c r="CW16" s="12">
        <f>IF(預測IC!CW16&gt;預測IC!CW$26,1,0)</f>
        <v>1</v>
      </c>
      <c r="CX16" s="12">
        <f>IF(預測IC!CX16&gt;預測IC!CX$26,1,0)</f>
        <v>1</v>
      </c>
      <c r="CY16" s="12">
        <f>IF(預測IC!CY16&gt;預測IC!CY$26,1,0)</f>
        <v>1</v>
      </c>
      <c r="CZ16" s="12">
        <f>IF(預測IC!CZ16&gt;預測IC!CZ$26,1,0)</f>
        <v>1</v>
      </c>
      <c r="DA16" s="12">
        <f>IF(預測IC!DA16&gt;預測IC!DA$26,1,0)</f>
        <v>1</v>
      </c>
      <c r="DB16" s="12">
        <f>IF(預測IC!DB16&gt;預測IC!DB$26,1,0)</f>
        <v>1</v>
      </c>
      <c r="DC16" s="12">
        <f>IF(預測IC!DC16&gt;預測IC!DC$26,1,0)</f>
        <v>1</v>
      </c>
      <c r="DD16" s="12">
        <f>IF(預測IC!DD16&gt;預測IC!DD$26,1,0)</f>
        <v>0</v>
      </c>
      <c r="DE16" s="12">
        <f>IF(預測IC!DE16&gt;預測IC!DE$26,1,0)</f>
        <v>0</v>
      </c>
      <c r="DF16" s="12">
        <f>IF(預測IC!DF16&gt;預測IC!DF$26,1,0)</f>
        <v>1</v>
      </c>
      <c r="DG16" s="12">
        <f>IF(預測IC!DG16&gt;預測IC!DG$26,1,0)</f>
        <v>0</v>
      </c>
      <c r="DH16" s="12">
        <f>IF(預測IC!DH16&gt;預測IC!DH$26,1,0)</f>
        <v>1</v>
      </c>
      <c r="DI16" s="12">
        <f>IF(預測IC!DI16&gt;預測IC!DI$26,1,0)</f>
        <v>1</v>
      </c>
      <c r="DJ16" s="12">
        <f>IF(預測IC!DJ16&gt;預測IC!DJ$26,1,0)</f>
        <v>1</v>
      </c>
      <c r="DK16" s="12">
        <f>IF(預測IC!DK16&gt;預測IC!DK$26,1,0)</f>
        <v>0</v>
      </c>
      <c r="DL16" s="12">
        <f>IF(預測IC!DL16&gt;預測IC!DL$26,1,0)</f>
        <v>0</v>
      </c>
      <c r="DM16" s="12">
        <f>IF(預測IC!DM16&gt;預測IC!DM$26,1,0)</f>
        <v>1</v>
      </c>
      <c r="DN16" s="12">
        <f>IF(預測IC!DN16&gt;預測IC!DN$26,1,0)</f>
        <v>1</v>
      </c>
      <c r="DO16" s="12">
        <f>IF(預測IC!DO16&gt;預測IC!DO$26,1,0)</f>
        <v>1</v>
      </c>
      <c r="DP16" s="12">
        <f>IF(預測IC!DP16&gt;預測IC!DP$26,1,0)</f>
        <v>1</v>
      </c>
      <c r="DQ16" s="12">
        <f>IF(預測IC!DQ16&gt;預測IC!DQ$26,1,0)</f>
        <v>0</v>
      </c>
      <c r="DR16" s="12">
        <f>IF(預測IC!DR16&gt;預測IC!DR$26,1,0)</f>
        <v>0</v>
      </c>
      <c r="DS16" s="12">
        <f>IF(預測IC!DS16&gt;預測IC!DS$26,1,0)</f>
        <v>0</v>
      </c>
      <c r="DT16" s="12">
        <f>IF(預測IC!DT16&gt;預測IC!DT$26,1,0)</f>
        <v>0</v>
      </c>
      <c r="DU16" s="12">
        <f>IF(預測IC!DU16&gt;預測IC!DU$26,1,0)</f>
        <v>0</v>
      </c>
      <c r="DV16" s="12">
        <f>IF(預測IC!DV16&gt;預測IC!DV$26,1,0)</f>
        <v>1</v>
      </c>
      <c r="DW16" s="12">
        <f>IF(預測IC!DW16&gt;預測IC!DW$26,1,0)</f>
        <v>1</v>
      </c>
      <c r="DX16" s="12">
        <f>IF(預測IC!DX16&gt;預測IC!DX$26,1,0)</f>
        <v>0</v>
      </c>
      <c r="DY16" s="12">
        <f>IF(預測IC!DY16&gt;預測IC!DY$26,1,0)</f>
        <v>1</v>
      </c>
      <c r="DZ16" s="12">
        <f>IF(預測IC!DZ16&gt;預測IC!DZ$26,1,0)</f>
        <v>1</v>
      </c>
      <c r="EA16" s="12">
        <f>IF(預測IC!EA16&gt;預測IC!EA$26,1,0)</f>
        <v>1</v>
      </c>
      <c r="EB16" s="12">
        <f>IF(預測IC!EB16&gt;預測IC!EB$26,1,0)</f>
        <v>0</v>
      </c>
      <c r="EC16" s="12">
        <f>IF(預測IC!EC16&gt;預測IC!EC$26,1,0)</f>
        <v>1</v>
      </c>
      <c r="ED16" s="12">
        <f>IF(預測IC!ED16&gt;預測IC!ED$26,1,0)</f>
        <v>1</v>
      </c>
      <c r="EE16" s="12">
        <f>IF(預測IC!EE16&gt;預測IC!EE$26,1,0)</f>
        <v>1</v>
      </c>
      <c r="EF16" s="12">
        <f>IF(預測IC!EF16&gt;預測IC!EF$26,1,0)</f>
        <v>0</v>
      </c>
      <c r="EG16">
        <f t="shared" si="0"/>
        <v>83</v>
      </c>
      <c r="EH16" s="10">
        <f t="shared" si="1"/>
        <v>0.61940298507462688</v>
      </c>
    </row>
    <row r="17" spans="1:138">
      <c r="A17" s="2">
        <v>120</v>
      </c>
      <c r="B17" s="2">
        <v>8</v>
      </c>
      <c r="C17" s="12">
        <f>IF(預測IC!C17&gt;預測IC!C$26,1,0)</f>
        <v>1</v>
      </c>
      <c r="D17" s="12">
        <f>IF(預測IC!D17&gt;預測IC!D$26,1,0)</f>
        <v>0</v>
      </c>
      <c r="E17" s="12">
        <f>IF(預測IC!E17&gt;預測IC!E$26,1,0)</f>
        <v>1</v>
      </c>
      <c r="F17" s="12">
        <f>IF(預測IC!F17&gt;預測IC!F$26,1,0)</f>
        <v>1</v>
      </c>
      <c r="G17" s="12">
        <f>IF(預測IC!G17&gt;預測IC!G$26,1,0)</f>
        <v>1</v>
      </c>
      <c r="H17" s="12">
        <f>IF(預測IC!H17&gt;預測IC!H$26,1,0)</f>
        <v>1</v>
      </c>
      <c r="I17" s="12">
        <f>IF(預測IC!I17&gt;預測IC!I$26,1,0)</f>
        <v>0</v>
      </c>
      <c r="J17" s="12">
        <f>IF(預測IC!J17&gt;預測IC!J$26,1,0)</f>
        <v>0</v>
      </c>
      <c r="K17" s="12">
        <f>IF(預測IC!K17&gt;預測IC!K$26,1,0)</f>
        <v>1</v>
      </c>
      <c r="L17" s="12">
        <f>IF(預測IC!L17&gt;預測IC!L$26,1,0)</f>
        <v>0</v>
      </c>
      <c r="M17" s="12">
        <f>IF(預測IC!M17&gt;預測IC!M$26,1,0)</f>
        <v>0</v>
      </c>
      <c r="N17" s="12">
        <f>IF(預測IC!N17&gt;預測IC!N$26,1,0)</f>
        <v>0</v>
      </c>
      <c r="O17" s="12">
        <f>IF(預測IC!O17&gt;預測IC!O$26,1,0)</f>
        <v>1</v>
      </c>
      <c r="P17" s="12">
        <f>IF(預測IC!P17&gt;預測IC!P$26,1,0)</f>
        <v>1</v>
      </c>
      <c r="Q17" s="12">
        <f>IF(預測IC!Q17&gt;預測IC!Q$26,1,0)</f>
        <v>1</v>
      </c>
      <c r="R17" s="12">
        <f>IF(預測IC!R17&gt;預測IC!R$26,1,0)</f>
        <v>1</v>
      </c>
      <c r="S17" s="12">
        <f>IF(預測IC!S17&gt;預測IC!S$26,1,0)</f>
        <v>1</v>
      </c>
      <c r="T17" s="12">
        <f>IF(預測IC!T17&gt;預測IC!T$26,1,0)</f>
        <v>1</v>
      </c>
      <c r="U17" s="12">
        <f>IF(預測IC!U17&gt;預測IC!U$26,1,0)</f>
        <v>1</v>
      </c>
      <c r="V17" s="12">
        <f>IF(預測IC!V17&gt;預測IC!V$26,1,0)</f>
        <v>0</v>
      </c>
      <c r="W17" s="12">
        <f>IF(預測IC!W17&gt;預測IC!W$26,1,0)</f>
        <v>1</v>
      </c>
      <c r="X17" s="12">
        <f>IF(預測IC!X17&gt;預測IC!X$26,1,0)</f>
        <v>1</v>
      </c>
      <c r="Y17" s="12">
        <f>IF(預測IC!Y17&gt;預測IC!Y$26,1,0)</f>
        <v>1</v>
      </c>
      <c r="Z17" s="12">
        <f>IF(預測IC!Z17&gt;預測IC!Z$26,1,0)</f>
        <v>0</v>
      </c>
      <c r="AA17" s="12">
        <f>IF(預測IC!AA17&gt;預測IC!AA$26,1,0)</f>
        <v>1</v>
      </c>
      <c r="AB17" s="12">
        <f>IF(預測IC!AB17&gt;預測IC!AB$26,1,0)</f>
        <v>0</v>
      </c>
      <c r="AC17" s="12">
        <f>IF(預測IC!AC17&gt;預測IC!AC$26,1,0)</f>
        <v>0</v>
      </c>
      <c r="AD17" s="12">
        <f>IF(預測IC!AD17&gt;預測IC!AD$26,1,0)</f>
        <v>1</v>
      </c>
      <c r="AE17" s="12">
        <f>IF(預測IC!AE17&gt;預測IC!AE$26,1,0)</f>
        <v>1</v>
      </c>
      <c r="AF17" s="12">
        <f>IF(預測IC!AF17&gt;預測IC!AF$26,1,0)</f>
        <v>0</v>
      </c>
      <c r="AG17" s="12">
        <f>IF(預測IC!AG17&gt;預測IC!AG$26,1,0)</f>
        <v>0</v>
      </c>
      <c r="AH17" s="12">
        <f>IF(預測IC!AH17&gt;預測IC!AH$26,1,0)</f>
        <v>0</v>
      </c>
      <c r="AI17" s="12">
        <f>IF(預測IC!AI17&gt;預測IC!AI$26,1,0)</f>
        <v>1</v>
      </c>
      <c r="AJ17" s="12">
        <f>IF(預測IC!AJ17&gt;預測IC!AJ$26,1,0)</f>
        <v>0</v>
      </c>
      <c r="AK17" s="12">
        <f>IF(預測IC!AK17&gt;預測IC!AK$26,1,0)</f>
        <v>1</v>
      </c>
      <c r="AL17" s="12">
        <f>IF(預測IC!AL17&gt;預測IC!AL$26,1,0)</f>
        <v>1</v>
      </c>
      <c r="AM17" s="12">
        <f>IF(預測IC!AM17&gt;預測IC!AM$26,1,0)</f>
        <v>1</v>
      </c>
      <c r="AN17" s="12">
        <f>IF(預測IC!AN17&gt;預測IC!AN$26,1,0)</f>
        <v>1</v>
      </c>
      <c r="AO17" s="12">
        <f>IF(預測IC!AO17&gt;預測IC!AO$26,1,0)</f>
        <v>1</v>
      </c>
      <c r="AP17" s="12">
        <f>IF(預測IC!AP17&gt;預測IC!AP$26,1,0)</f>
        <v>0</v>
      </c>
      <c r="AQ17" s="12">
        <f>IF(預測IC!AQ17&gt;預測IC!AQ$26,1,0)</f>
        <v>0</v>
      </c>
      <c r="AR17" s="12">
        <f>IF(預測IC!AR17&gt;預測IC!AR$26,1,0)</f>
        <v>1</v>
      </c>
      <c r="AS17" s="12">
        <f>IF(預測IC!AS17&gt;預測IC!AS$26,1,0)</f>
        <v>0</v>
      </c>
      <c r="AT17" s="12">
        <f>IF(預測IC!AT17&gt;預測IC!AT$26,1,0)</f>
        <v>0</v>
      </c>
      <c r="AU17" s="12">
        <f>IF(預測IC!AU17&gt;預測IC!AU$26,1,0)</f>
        <v>1</v>
      </c>
      <c r="AV17" s="12">
        <f>IF(預測IC!AV17&gt;預測IC!AV$26,1,0)</f>
        <v>0</v>
      </c>
      <c r="AW17" s="12">
        <f>IF(預測IC!AW17&gt;預測IC!AW$26,1,0)</f>
        <v>1</v>
      </c>
      <c r="AX17" s="12">
        <f>IF(預測IC!AX17&gt;預測IC!AX$26,1,0)</f>
        <v>1</v>
      </c>
      <c r="AY17" s="12">
        <f>IF(預測IC!AY17&gt;預測IC!AY$26,1,0)</f>
        <v>0</v>
      </c>
      <c r="AZ17" s="12">
        <f>IF(預測IC!AZ17&gt;預測IC!AZ$26,1,0)</f>
        <v>1</v>
      </c>
      <c r="BA17" s="12">
        <f>IF(預測IC!BA17&gt;預測IC!BA$26,1,0)</f>
        <v>1</v>
      </c>
      <c r="BB17" s="12">
        <f>IF(預測IC!BB17&gt;預測IC!BB$26,1,0)</f>
        <v>1</v>
      </c>
      <c r="BC17" s="12">
        <f>IF(預測IC!BC17&gt;預測IC!BC$26,1,0)</f>
        <v>0</v>
      </c>
      <c r="BD17" s="12">
        <f>IF(預測IC!BD17&gt;預測IC!BD$26,1,0)</f>
        <v>1</v>
      </c>
      <c r="BE17" s="12">
        <f>IF(預測IC!BE17&gt;預測IC!BE$26,1,0)</f>
        <v>1</v>
      </c>
      <c r="BF17" s="12">
        <f>IF(預測IC!BF17&gt;預測IC!BF$26,1,0)</f>
        <v>1</v>
      </c>
      <c r="BG17" s="12">
        <f>IF(預測IC!BG17&gt;預測IC!BG$26,1,0)</f>
        <v>0</v>
      </c>
      <c r="BH17" s="12">
        <f>IF(預測IC!BH17&gt;預測IC!BH$26,1,0)</f>
        <v>1</v>
      </c>
      <c r="BI17" s="12">
        <f>IF(預測IC!BI17&gt;預測IC!BI$26,1,0)</f>
        <v>1</v>
      </c>
      <c r="BJ17" s="12">
        <f>IF(預測IC!BJ17&gt;預測IC!BJ$26,1,0)</f>
        <v>1</v>
      </c>
      <c r="BK17" s="12">
        <f>IF(預測IC!BK17&gt;預測IC!BK$26,1,0)</f>
        <v>1</v>
      </c>
      <c r="BL17" s="12">
        <f>IF(預測IC!BL17&gt;預測IC!BL$26,1,0)</f>
        <v>1</v>
      </c>
      <c r="BM17" s="12">
        <f>IF(預測IC!BM17&gt;預測IC!BM$26,1,0)</f>
        <v>1</v>
      </c>
      <c r="BN17" s="12">
        <f>IF(預測IC!BN17&gt;預測IC!BN$26,1,0)</f>
        <v>1</v>
      </c>
      <c r="BO17" s="12">
        <f>IF(預測IC!BO17&gt;預測IC!BO$26,1,0)</f>
        <v>1</v>
      </c>
      <c r="BP17" s="12">
        <f>IF(預測IC!BP17&gt;預測IC!BP$26,1,0)</f>
        <v>1</v>
      </c>
      <c r="BQ17" s="12">
        <f>IF(預測IC!BQ17&gt;預測IC!BQ$26,1,0)</f>
        <v>1</v>
      </c>
      <c r="BR17" s="12">
        <f>IF(預測IC!BR17&gt;預測IC!BR$26,1,0)</f>
        <v>1</v>
      </c>
      <c r="BS17" s="12">
        <f>IF(預測IC!BS17&gt;預測IC!BS$26,1,0)</f>
        <v>0</v>
      </c>
      <c r="BT17" s="12">
        <f>IF(預測IC!BT17&gt;預測IC!BT$26,1,0)</f>
        <v>1</v>
      </c>
      <c r="BU17" s="12">
        <f>IF(預測IC!BU17&gt;預測IC!BU$26,1,0)</f>
        <v>0</v>
      </c>
      <c r="BV17" s="12">
        <f>IF(預測IC!BV17&gt;預測IC!BV$26,1,0)</f>
        <v>1</v>
      </c>
      <c r="BW17" s="12">
        <f>IF(預測IC!BW17&gt;預測IC!BW$26,1,0)</f>
        <v>1</v>
      </c>
      <c r="BX17" s="12">
        <f>IF(預測IC!BX17&gt;預測IC!BX$26,1,0)</f>
        <v>1</v>
      </c>
      <c r="BY17" s="12">
        <f>IF(預測IC!BY17&gt;預測IC!BY$26,1,0)</f>
        <v>1</v>
      </c>
      <c r="BZ17" s="12">
        <f>IF(預測IC!BZ17&gt;預測IC!BZ$26,1,0)</f>
        <v>0</v>
      </c>
      <c r="CA17" s="12">
        <f>IF(預測IC!CA17&gt;預測IC!CA$26,1,0)</f>
        <v>1</v>
      </c>
      <c r="CB17" s="12">
        <f>IF(預測IC!CB17&gt;預測IC!CB$26,1,0)</f>
        <v>1</v>
      </c>
      <c r="CC17" s="12">
        <f>IF(預測IC!CC17&gt;預測IC!CC$26,1,0)</f>
        <v>0</v>
      </c>
      <c r="CD17" s="12">
        <f>IF(預測IC!CD17&gt;預測IC!CD$26,1,0)</f>
        <v>1</v>
      </c>
      <c r="CE17" s="12">
        <f>IF(預測IC!CE17&gt;預測IC!CE$26,1,0)</f>
        <v>1</v>
      </c>
      <c r="CF17" s="12">
        <f>IF(預測IC!CF17&gt;預測IC!CF$26,1,0)</f>
        <v>0</v>
      </c>
      <c r="CG17" s="12">
        <f>IF(預測IC!CG17&gt;預測IC!CG$26,1,0)</f>
        <v>1</v>
      </c>
      <c r="CH17" s="12">
        <f>IF(預測IC!CH17&gt;預測IC!CH$26,1,0)</f>
        <v>0</v>
      </c>
      <c r="CI17" s="12">
        <f>IF(預測IC!CI17&gt;預測IC!CI$26,1,0)</f>
        <v>0</v>
      </c>
      <c r="CJ17" s="12">
        <f>IF(預測IC!CJ17&gt;預測IC!CJ$26,1,0)</f>
        <v>0</v>
      </c>
      <c r="CK17" s="12">
        <f>IF(預測IC!CK17&gt;預測IC!CK$26,1,0)</f>
        <v>1</v>
      </c>
      <c r="CL17" s="12">
        <f>IF(預測IC!CL17&gt;預測IC!CL$26,1,0)</f>
        <v>0</v>
      </c>
      <c r="CM17" s="12">
        <f>IF(預測IC!CM17&gt;預測IC!CM$26,1,0)</f>
        <v>0</v>
      </c>
      <c r="CN17" s="12">
        <f>IF(預測IC!CN17&gt;預測IC!CN$26,1,0)</f>
        <v>0</v>
      </c>
      <c r="CO17" s="12">
        <f>IF(預測IC!CO17&gt;預測IC!CO$26,1,0)</f>
        <v>1</v>
      </c>
      <c r="CP17" s="12">
        <f>IF(預測IC!CP17&gt;預測IC!CP$26,1,0)</f>
        <v>0</v>
      </c>
      <c r="CQ17" s="12">
        <f>IF(預測IC!CQ17&gt;預測IC!CQ$26,1,0)</f>
        <v>1</v>
      </c>
      <c r="CR17" s="12">
        <f>IF(預測IC!CR17&gt;預測IC!CR$26,1,0)</f>
        <v>0</v>
      </c>
      <c r="CS17" s="12">
        <f>IF(預測IC!CS17&gt;預測IC!CS$26,1,0)</f>
        <v>0</v>
      </c>
      <c r="CT17" s="12">
        <f>IF(預測IC!CT17&gt;預測IC!CT$26,1,0)</f>
        <v>1</v>
      </c>
      <c r="CU17" s="12">
        <f>IF(預測IC!CU17&gt;預測IC!CU$26,1,0)</f>
        <v>1</v>
      </c>
      <c r="CV17" s="12">
        <f>IF(預測IC!CV17&gt;預測IC!CV$26,1,0)</f>
        <v>0</v>
      </c>
      <c r="CW17" s="12">
        <f>IF(預測IC!CW17&gt;預測IC!CW$26,1,0)</f>
        <v>1</v>
      </c>
      <c r="CX17" s="12">
        <f>IF(預測IC!CX17&gt;預測IC!CX$26,1,0)</f>
        <v>1</v>
      </c>
      <c r="CY17" s="12">
        <f>IF(預測IC!CY17&gt;預測IC!CY$26,1,0)</f>
        <v>1</v>
      </c>
      <c r="CZ17" s="12">
        <f>IF(預測IC!CZ17&gt;預測IC!CZ$26,1,0)</f>
        <v>1</v>
      </c>
      <c r="DA17" s="12">
        <f>IF(預測IC!DA17&gt;預測IC!DA$26,1,0)</f>
        <v>1</v>
      </c>
      <c r="DB17" s="12">
        <f>IF(預測IC!DB17&gt;預測IC!DB$26,1,0)</f>
        <v>1</v>
      </c>
      <c r="DC17" s="12">
        <f>IF(預測IC!DC17&gt;預測IC!DC$26,1,0)</f>
        <v>1</v>
      </c>
      <c r="DD17" s="12">
        <f>IF(預測IC!DD17&gt;預測IC!DD$26,1,0)</f>
        <v>0</v>
      </c>
      <c r="DE17" s="12">
        <f>IF(預測IC!DE17&gt;預測IC!DE$26,1,0)</f>
        <v>0</v>
      </c>
      <c r="DF17" s="12">
        <f>IF(預測IC!DF17&gt;預測IC!DF$26,1,0)</f>
        <v>1</v>
      </c>
      <c r="DG17" s="12">
        <f>IF(預測IC!DG17&gt;預測IC!DG$26,1,0)</f>
        <v>0</v>
      </c>
      <c r="DH17" s="12">
        <f>IF(預測IC!DH17&gt;預測IC!DH$26,1,0)</f>
        <v>1</v>
      </c>
      <c r="DI17" s="12">
        <f>IF(預測IC!DI17&gt;預測IC!DI$26,1,0)</f>
        <v>1</v>
      </c>
      <c r="DJ17" s="12">
        <f>IF(預測IC!DJ17&gt;預測IC!DJ$26,1,0)</f>
        <v>1</v>
      </c>
      <c r="DK17" s="12">
        <f>IF(預測IC!DK17&gt;預測IC!DK$26,1,0)</f>
        <v>0</v>
      </c>
      <c r="DL17" s="12">
        <f>IF(預測IC!DL17&gt;預測IC!DL$26,1,0)</f>
        <v>0</v>
      </c>
      <c r="DM17" s="12">
        <f>IF(預測IC!DM17&gt;預測IC!DM$26,1,0)</f>
        <v>1</v>
      </c>
      <c r="DN17" s="12">
        <f>IF(預測IC!DN17&gt;預測IC!DN$26,1,0)</f>
        <v>1</v>
      </c>
      <c r="DO17" s="12">
        <f>IF(預測IC!DO17&gt;預測IC!DO$26,1,0)</f>
        <v>1</v>
      </c>
      <c r="DP17" s="12">
        <f>IF(預測IC!DP17&gt;預測IC!DP$26,1,0)</f>
        <v>1</v>
      </c>
      <c r="DQ17" s="12">
        <f>IF(預測IC!DQ17&gt;預測IC!DQ$26,1,0)</f>
        <v>0</v>
      </c>
      <c r="DR17" s="12">
        <f>IF(預測IC!DR17&gt;預測IC!DR$26,1,0)</f>
        <v>0</v>
      </c>
      <c r="DS17" s="12">
        <f>IF(預測IC!DS17&gt;預測IC!DS$26,1,0)</f>
        <v>0</v>
      </c>
      <c r="DT17" s="12">
        <f>IF(預測IC!DT17&gt;預測IC!DT$26,1,0)</f>
        <v>0</v>
      </c>
      <c r="DU17" s="12">
        <f>IF(預測IC!DU17&gt;預測IC!DU$26,1,0)</f>
        <v>0</v>
      </c>
      <c r="DV17" s="12">
        <f>IF(預測IC!DV17&gt;預測IC!DV$26,1,0)</f>
        <v>1</v>
      </c>
      <c r="DW17" s="12">
        <f>IF(預測IC!DW17&gt;預測IC!DW$26,1,0)</f>
        <v>1</v>
      </c>
      <c r="DX17" s="12">
        <f>IF(預測IC!DX17&gt;預測IC!DX$26,1,0)</f>
        <v>0</v>
      </c>
      <c r="DY17" s="12">
        <f>IF(預測IC!DY17&gt;預測IC!DY$26,1,0)</f>
        <v>1</v>
      </c>
      <c r="DZ17" s="12">
        <f>IF(預測IC!DZ17&gt;預測IC!DZ$26,1,0)</f>
        <v>1</v>
      </c>
      <c r="EA17" s="12">
        <f>IF(預測IC!EA17&gt;預測IC!EA$26,1,0)</f>
        <v>1</v>
      </c>
      <c r="EB17" s="12">
        <f>IF(預測IC!EB17&gt;預測IC!EB$26,1,0)</f>
        <v>0</v>
      </c>
      <c r="EC17" s="12">
        <f>IF(預測IC!EC17&gt;預測IC!EC$26,1,0)</f>
        <v>1</v>
      </c>
      <c r="ED17" s="12">
        <f>IF(預測IC!ED17&gt;預測IC!ED$26,1,0)</f>
        <v>1</v>
      </c>
      <c r="EE17" s="12">
        <f>IF(預測IC!EE17&gt;預測IC!EE$26,1,0)</f>
        <v>1</v>
      </c>
      <c r="EF17" s="12">
        <f>IF(預測IC!EF17&gt;預測IC!EF$26,1,0)</f>
        <v>0</v>
      </c>
      <c r="EG17">
        <f t="shared" si="0"/>
        <v>84</v>
      </c>
      <c r="EH17" s="10">
        <f t="shared" si="1"/>
        <v>0.62686567164179108</v>
      </c>
    </row>
    <row r="18" spans="1:138">
      <c r="A18" s="2">
        <v>137</v>
      </c>
      <c r="B18" s="2">
        <v>7</v>
      </c>
      <c r="C18" s="12">
        <f>IF(預測IC!C18&gt;預測IC!C$26,1,0)</f>
        <v>1</v>
      </c>
      <c r="D18" s="12">
        <f>IF(預測IC!D18&gt;預測IC!D$26,1,0)</f>
        <v>0</v>
      </c>
      <c r="E18" s="12">
        <f>IF(預測IC!E18&gt;預測IC!E$26,1,0)</f>
        <v>1</v>
      </c>
      <c r="F18" s="12">
        <f>IF(預測IC!F18&gt;預測IC!F$26,1,0)</f>
        <v>1</v>
      </c>
      <c r="G18" s="12">
        <f>IF(預測IC!G18&gt;預測IC!G$26,1,0)</f>
        <v>1</v>
      </c>
      <c r="H18" s="12">
        <f>IF(預測IC!H18&gt;預測IC!H$26,1,0)</f>
        <v>1</v>
      </c>
      <c r="I18" s="12">
        <f>IF(預測IC!I18&gt;預測IC!I$26,1,0)</f>
        <v>0</v>
      </c>
      <c r="J18" s="12">
        <f>IF(預測IC!J18&gt;預測IC!J$26,1,0)</f>
        <v>0</v>
      </c>
      <c r="K18" s="12">
        <f>IF(預測IC!K18&gt;預測IC!K$26,1,0)</f>
        <v>1</v>
      </c>
      <c r="L18" s="12">
        <f>IF(預測IC!L18&gt;預測IC!L$26,1,0)</f>
        <v>0</v>
      </c>
      <c r="M18" s="12">
        <f>IF(預測IC!M18&gt;預測IC!M$26,1,0)</f>
        <v>0</v>
      </c>
      <c r="N18" s="12">
        <f>IF(預測IC!N18&gt;預測IC!N$26,1,0)</f>
        <v>0</v>
      </c>
      <c r="O18" s="12">
        <f>IF(預測IC!O18&gt;預測IC!O$26,1,0)</f>
        <v>1</v>
      </c>
      <c r="P18" s="12">
        <f>IF(預測IC!P18&gt;預測IC!P$26,1,0)</f>
        <v>1</v>
      </c>
      <c r="Q18" s="12">
        <f>IF(預測IC!Q18&gt;預測IC!Q$26,1,0)</f>
        <v>1</v>
      </c>
      <c r="R18" s="12">
        <f>IF(預測IC!R18&gt;預測IC!R$26,1,0)</f>
        <v>1</v>
      </c>
      <c r="S18" s="12">
        <f>IF(預測IC!S18&gt;預測IC!S$26,1,0)</f>
        <v>1</v>
      </c>
      <c r="T18" s="12">
        <f>IF(預測IC!T18&gt;預測IC!T$26,1,0)</f>
        <v>1</v>
      </c>
      <c r="U18" s="12">
        <f>IF(預測IC!U18&gt;預測IC!U$26,1,0)</f>
        <v>1</v>
      </c>
      <c r="V18" s="12">
        <f>IF(預測IC!V18&gt;預測IC!V$26,1,0)</f>
        <v>0</v>
      </c>
      <c r="W18" s="12">
        <f>IF(預測IC!W18&gt;預測IC!W$26,1,0)</f>
        <v>1</v>
      </c>
      <c r="X18" s="12">
        <f>IF(預測IC!X18&gt;預測IC!X$26,1,0)</f>
        <v>1</v>
      </c>
      <c r="Y18" s="12">
        <f>IF(預測IC!Y18&gt;預測IC!Y$26,1,0)</f>
        <v>1</v>
      </c>
      <c r="Z18" s="12">
        <f>IF(預測IC!Z18&gt;預測IC!Z$26,1,0)</f>
        <v>0</v>
      </c>
      <c r="AA18" s="12">
        <f>IF(預測IC!AA18&gt;預測IC!AA$26,1,0)</f>
        <v>1</v>
      </c>
      <c r="AB18" s="12">
        <f>IF(預測IC!AB18&gt;預測IC!AB$26,1,0)</f>
        <v>0</v>
      </c>
      <c r="AC18" s="12">
        <f>IF(預測IC!AC18&gt;預測IC!AC$26,1,0)</f>
        <v>0</v>
      </c>
      <c r="AD18" s="12">
        <f>IF(預測IC!AD18&gt;預測IC!AD$26,1,0)</f>
        <v>1</v>
      </c>
      <c r="AE18" s="12">
        <f>IF(預測IC!AE18&gt;預測IC!AE$26,1,0)</f>
        <v>1</v>
      </c>
      <c r="AF18" s="12">
        <f>IF(預測IC!AF18&gt;預測IC!AF$26,1,0)</f>
        <v>0</v>
      </c>
      <c r="AG18" s="12">
        <f>IF(預測IC!AG18&gt;預測IC!AG$26,1,0)</f>
        <v>0</v>
      </c>
      <c r="AH18" s="12">
        <f>IF(預測IC!AH18&gt;預測IC!AH$26,1,0)</f>
        <v>0</v>
      </c>
      <c r="AI18" s="12">
        <f>IF(預測IC!AI18&gt;預測IC!AI$26,1,0)</f>
        <v>1</v>
      </c>
      <c r="AJ18" s="12">
        <f>IF(預測IC!AJ18&gt;預測IC!AJ$26,1,0)</f>
        <v>0</v>
      </c>
      <c r="AK18" s="12">
        <f>IF(預測IC!AK18&gt;預測IC!AK$26,1,0)</f>
        <v>1</v>
      </c>
      <c r="AL18" s="12">
        <f>IF(預測IC!AL18&gt;預測IC!AL$26,1,0)</f>
        <v>1</v>
      </c>
      <c r="AM18" s="12">
        <f>IF(預測IC!AM18&gt;預測IC!AM$26,1,0)</f>
        <v>0</v>
      </c>
      <c r="AN18" s="12">
        <f>IF(預測IC!AN18&gt;預測IC!AN$26,1,0)</f>
        <v>1</v>
      </c>
      <c r="AO18" s="12">
        <f>IF(預測IC!AO18&gt;預測IC!AO$26,1,0)</f>
        <v>0</v>
      </c>
      <c r="AP18" s="12">
        <f>IF(預測IC!AP18&gt;預測IC!AP$26,1,0)</f>
        <v>0</v>
      </c>
      <c r="AQ18" s="12">
        <f>IF(預測IC!AQ18&gt;預測IC!AQ$26,1,0)</f>
        <v>0</v>
      </c>
      <c r="AR18" s="12">
        <f>IF(預測IC!AR18&gt;預測IC!AR$26,1,0)</f>
        <v>1</v>
      </c>
      <c r="AS18" s="12">
        <f>IF(預測IC!AS18&gt;預測IC!AS$26,1,0)</f>
        <v>0</v>
      </c>
      <c r="AT18" s="12">
        <f>IF(預測IC!AT18&gt;預測IC!AT$26,1,0)</f>
        <v>1</v>
      </c>
      <c r="AU18" s="12">
        <f>IF(預測IC!AU18&gt;預測IC!AU$26,1,0)</f>
        <v>1</v>
      </c>
      <c r="AV18" s="12">
        <f>IF(預測IC!AV18&gt;預測IC!AV$26,1,0)</f>
        <v>0</v>
      </c>
      <c r="AW18" s="12">
        <f>IF(預測IC!AW18&gt;預測IC!AW$26,1,0)</f>
        <v>1</v>
      </c>
      <c r="AX18" s="12">
        <f>IF(預測IC!AX18&gt;預測IC!AX$26,1,0)</f>
        <v>1</v>
      </c>
      <c r="AY18" s="12">
        <f>IF(預測IC!AY18&gt;預測IC!AY$26,1,0)</f>
        <v>0</v>
      </c>
      <c r="AZ18" s="12">
        <f>IF(預測IC!AZ18&gt;預測IC!AZ$26,1,0)</f>
        <v>1</v>
      </c>
      <c r="BA18" s="12">
        <f>IF(預測IC!BA18&gt;預測IC!BA$26,1,0)</f>
        <v>1</v>
      </c>
      <c r="BB18" s="12">
        <f>IF(預測IC!BB18&gt;預測IC!BB$26,1,0)</f>
        <v>1</v>
      </c>
      <c r="BC18" s="12">
        <f>IF(預測IC!BC18&gt;預測IC!BC$26,1,0)</f>
        <v>0</v>
      </c>
      <c r="BD18" s="12">
        <f>IF(預測IC!BD18&gt;預測IC!BD$26,1,0)</f>
        <v>1</v>
      </c>
      <c r="BE18" s="12">
        <f>IF(預測IC!BE18&gt;預測IC!BE$26,1,0)</f>
        <v>1</v>
      </c>
      <c r="BF18" s="12">
        <f>IF(預測IC!BF18&gt;預測IC!BF$26,1,0)</f>
        <v>1</v>
      </c>
      <c r="BG18" s="12">
        <f>IF(預測IC!BG18&gt;預測IC!BG$26,1,0)</f>
        <v>1</v>
      </c>
      <c r="BH18" s="12">
        <f>IF(預測IC!BH18&gt;預測IC!BH$26,1,0)</f>
        <v>1</v>
      </c>
      <c r="BI18" s="12">
        <f>IF(預測IC!BI18&gt;預測IC!BI$26,1,0)</f>
        <v>1</v>
      </c>
      <c r="BJ18" s="12">
        <f>IF(預測IC!BJ18&gt;預測IC!BJ$26,1,0)</f>
        <v>1</v>
      </c>
      <c r="BK18" s="12">
        <f>IF(預測IC!BK18&gt;預測IC!BK$26,1,0)</f>
        <v>1</v>
      </c>
      <c r="BL18" s="12">
        <f>IF(預測IC!BL18&gt;預測IC!BL$26,1,0)</f>
        <v>1</v>
      </c>
      <c r="BM18" s="12">
        <f>IF(預測IC!BM18&gt;預測IC!BM$26,1,0)</f>
        <v>1</v>
      </c>
      <c r="BN18" s="12">
        <f>IF(預測IC!BN18&gt;預測IC!BN$26,1,0)</f>
        <v>1</v>
      </c>
      <c r="BO18" s="12">
        <f>IF(預測IC!BO18&gt;預測IC!BO$26,1,0)</f>
        <v>1</v>
      </c>
      <c r="BP18" s="12">
        <f>IF(預測IC!BP18&gt;預測IC!BP$26,1,0)</f>
        <v>1</v>
      </c>
      <c r="BQ18" s="12">
        <f>IF(預測IC!BQ18&gt;預測IC!BQ$26,1,0)</f>
        <v>1</v>
      </c>
      <c r="BR18" s="12">
        <f>IF(預測IC!BR18&gt;預測IC!BR$26,1,0)</f>
        <v>1</v>
      </c>
      <c r="BS18" s="12">
        <f>IF(預測IC!BS18&gt;預測IC!BS$26,1,0)</f>
        <v>0</v>
      </c>
      <c r="BT18" s="12">
        <f>IF(預測IC!BT18&gt;預測IC!BT$26,1,0)</f>
        <v>1</v>
      </c>
      <c r="BU18" s="12">
        <f>IF(預測IC!BU18&gt;預測IC!BU$26,1,0)</f>
        <v>0</v>
      </c>
      <c r="BV18" s="12">
        <f>IF(預測IC!BV18&gt;預測IC!BV$26,1,0)</f>
        <v>1</v>
      </c>
      <c r="BW18" s="12">
        <f>IF(預測IC!BW18&gt;預測IC!BW$26,1,0)</f>
        <v>1</v>
      </c>
      <c r="BX18" s="12">
        <f>IF(預測IC!BX18&gt;預測IC!BX$26,1,0)</f>
        <v>1</v>
      </c>
      <c r="BY18" s="12">
        <f>IF(預測IC!BY18&gt;預測IC!BY$26,1,0)</f>
        <v>1</v>
      </c>
      <c r="BZ18" s="12">
        <f>IF(預測IC!BZ18&gt;預測IC!BZ$26,1,0)</f>
        <v>0</v>
      </c>
      <c r="CA18" s="12">
        <f>IF(預測IC!CA18&gt;預測IC!CA$26,1,0)</f>
        <v>1</v>
      </c>
      <c r="CB18" s="12">
        <f>IF(預測IC!CB18&gt;預測IC!CB$26,1,0)</f>
        <v>1</v>
      </c>
      <c r="CC18" s="12">
        <f>IF(預測IC!CC18&gt;預測IC!CC$26,1,0)</f>
        <v>1</v>
      </c>
      <c r="CD18" s="12">
        <f>IF(預測IC!CD18&gt;預測IC!CD$26,1,0)</f>
        <v>1</v>
      </c>
      <c r="CE18" s="12">
        <f>IF(預測IC!CE18&gt;預測IC!CE$26,1,0)</f>
        <v>1</v>
      </c>
      <c r="CF18" s="12">
        <f>IF(預測IC!CF18&gt;預測IC!CF$26,1,0)</f>
        <v>0</v>
      </c>
      <c r="CG18" s="12">
        <f>IF(預測IC!CG18&gt;預測IC!CG$26,1,0)</f>
        <v>1</v>
      </c>
      <c r="CH18" s="12">
        <f>IF(預測IC!CH18&gt;預測IC!CH$26,1,0)</f>
        <v>0</v>
      </c>
      <c r="CI18" s="12">
        <f>IF(預測IC!CI18&gt;預測IC!CI$26,1,0)</f>
        <v>0</v>
      </c>
      <c r="CJ18" s="12">
        <f>IF(預測IC!CJ18&gt;預測IC!CJ$26,1,0)</f>
        <v>0</v>
      </c>
      <c r="CK18" s="12">
        <f>IF(預測IC!CK18&gt;預測IC!CK$26,1,0)</f>
        <v>1</v>
      </c>
      <c r="CL18" s="12">
        <f>IF(預測IC!CL18&gt;預測IC!CL$26,1,0)</f>
        <v>0</v>
      </c>
      <c r="CM18" s="12">
        <f>IF(預測IC!CM18&gt;預測IC!CM$26,1,0)</f>
        <v>0</v>
      </c>
      <c r="CN18" s="12">
        <f>IF(預測IC!CN18&gt;預測IC!CN$26,1,0)</f>
        <v>0</v>
      </c>
      <c r="CO18" s="12">
        <f>IF(預測IC!CO18&gt;預測IC!CO$26,1,0)</f>
        <v>1</v>
      </c>
      <c r="CP18" s="12">
        <f>IF(預測IC!CP18&gt;預測IC!CP$26,1,0)</f>
        <v>0</v>
      </c>
      <c r="CQ18" s="12">
        <f>IF(預測IC!CQ18&gt;預測IC!CQ$26,1,0)</f>
        <v>1</v>
      </c>
      <c r="CR18" s="12">
        <f>IF(預測IC!CR18&gt;預測IC!CR$26,1,0)</f>
        <v>0</v>
      </c>
      <c r="CS18" s="12">
        <f>IF(預測IC!CS18&gt;預測IC!CS$26,1,0)</f>
        <v>0</v>
      </c>
      <c r="CT18" s="12">
        <f>IF(預測IC!CT18&gt;預測IC!CT$26,1,0)</f>
        <v>1</v>
      </c>
      <c r="CU18" s="12">
        <f>IF(預測IC!CU18&gt;預測IC!CU$26,1,0)</f>
        <v>1</v>
      </c>
      <c r="CV18" s="12">
        <f>IF(預測IC!CV18&gt;預測IC!CV$26,1,0)</f>
        <v>0</v>
      </c>
      <c r="CW18" s="12">
        <f>IF(預測IC!CW18&gt;預測IC!CW$26,1,0)</f>
        <v>1</v>
      </c>
      <c r="CX18" s="12">
        <f>IF(預測IC!CX18&gt;預測IC!CX$26,1,0)</f>
        <v>1</v>
      </c>
      <c r="CY18" s="12">
        <f>IF(預測IC!CY18&gt;預測IC!CY$26,1,0)</f>
        <v>1</v>
      </c>
      <c r="CZ18" s="12">
        <f>IF(預測IC!CZ18&gt;預測IC!CZ$26,1,0)</f>
        <v>1</v>
      </c>
      <c r="DA18" s="12">
        <f>IF(預測IC!DA18&gt;預測IC!DA$26,1,0)</f>
        <v>1</v>
      </c>
      <c r="DB18" s="12">
        <f>IF(預測IC!DB18&gt;預測IC!DB$26,1,0)</f>
        <v>1</v>
      </c>
      <c r="DC18" s="12">
        <f>IF(預測IC!DC18&gt;預測IC!DC$26,1,0)</f>
        <v>1</v>
      </c>
      <c r="DD18" s="12">
        <f>IF(預測IC!DD18&gt;預測IC!DD$26,1,0)</f>
        <v>0</v>
      </c>
      <c r="DE18" s="12">
        <f>IF(預測IC!DE18&gt;預測IC!DE$26,1,0)</f>
        <v>0</v>
      </c>
      <c r="DF18" s="12">
        <f>IF(預測IC!DF18&gt;預測IC!DF$26,1,0)</f>
        <v>1</v>
      </c>
      <c r="DG18" s="12">
        <f>IF(預測IC!DG18&gt;預測IC!DG$26,1,0)</f>
        <v>0</v>
      </c>
      <c r="DH18" s="12">
        <f>IF(預測IC!DH18&gt;預測IC!DH$26,1,0)</f>
        <v>1</v>
      </c>
      <c r="DI18" s="12">
        <f>IF(預測IC!DI18&gt;預測IC!DI$26,1,0)</f>
        <v>1</v>
      </c>
      <c r="DJ18" s="12">
        <f>IF(預測IC!DJ18&gt;預測IC!DJ$26,1,0)</f>
        <v>1</v>
      </c>
      <c r="DK18" s="12">
        <f>IF(預測IC!DK18&gt;預測IC!DK$26,1,0)</f>
        <v>0</v>
      </c>
      <c r="DL18" s="12">
        <f>IF(預測IC!DL18&gt;預測IC!DL$26,1,0)</f>
        <v>0</v>
      </c>
      <c r="DM18" s="12">
        <f>IF(預測IC!DM18&gt;預測IC!DM$26,1,0)</f>
        <v>1</v>
      </c>
      <c r="DN18" s="12">
        <f>IF(預測IC!DN18&gt;預測IC!DN$26,1,0)</f>
        <v>1</v>
      </c>
      <c r="DO18" s="12">
        <f>IF(預測IC!DO18&gt;預測IC!DO$26,1,0)</f>
        <v>1</v>
      </c>
      <c r="DP18" s="12">
        <f>IF(預測IC!DP18&gt;預測IC!DP$26,1,0)</f>
        <v>1</v>
      </c>
      <c r="DQ18" s="12">
        <f>IF(預測IC!DQ18&gt;預測IC!DQ$26,1,0)</f>
        <v>0</v>
      </c>
      <c r="DR18" s="12">
        <f>IF(預測IC!DR18&gt;預測IC!DR$26,1,0)</f>
        <v>0</v>
      </c>
      <c r="DS18" s="12">
        <f>IF(預測IC!DS18&gt;預測IC!DS$26,1,0)</f>
        <v>0</v>
      </c>
      <c r="DT18" s="12">
        <f>IF(預測IC!DT18&gt;預測IC!DT$26,1,0)</f>
        <v>0</v>
      </c>
      <c r="DU18" s="12">
        <f>IF(預測IC!DU18&gt;預測IC!DU$26,1,0)</f>
        <v>0</v>
      </c>
      <c r="DV18" s="12">
        <f>IF(預測IC!DV18&gt;預測IC!DV$26,1,0)</f>
        <v>1</v>
      </c>
      <c r="DW18" s="12">
        <f>IF(預測IC!DW18&gt;預測IC!DW$26,1,0)</f>
        <v>1</v>
      </c>
      <c r="DX18" s="12">
        <f>IF(預測IC!DX18&gt;預測IC!DX$26,1,0)</f>
        <v>0</v>
      </c>
      <c r="DY18" s="12">
        <f>IF(預測IC!DY18&gt;預測IC!DY$26,1,0)</f>
        <v>1</v>
      </c>
      <c r="DZ18" s="12">
        <f>IF(預測IC!DZ18&gt;預測IC!DZ$26,1,0)</f>
        <v>1</v>
      </c>
      <c r="EA18" s="12">
        <f>IF(預測IC!EA18&gt;預測IC!EA$26,1,0)</f>
        <v>1</v>
      </c>
      <c r="EB18" s="12">
        <f>IF(預測IC!EB18&gt;預測IC!EB$26,1,0)</f>
        <v>0</v>
      </c>
      <c r="EC18" s="12">
        <f>IF(預測IC!EC18&gt;預測IC!EC$26,1,0)</f>
        <v>1</v>
      </c>
      <c r="ED18" s="12">
        <f>IF(預測IC!ED18&gt;預測IC!ED$26,1,0)</f>
        <v>1</v>
      </c>
      <c r="EE18" s="12">
        <f>IF(預測IC!EE18&gt;預測IC!EE$26,1,0)</f>
        <v>0</v>
      </c>
      <c r="EF18" s="12">
        <f>IF(預測IC!EF18&gt;預測IC!EF$26,1,0)</f>
        <v>0</v>
      </c>
      <c r="EG18">
        <f t="shared" si="0"/>
        <v>84</v>
      </c>
      <c r="EH18" s="10">
        <f t="shared" si="1"/>
        <v>0.62686567164179108</v>
      </c>
    </row>
    <row r="19" spans="1:138">
      <c r="A19" s="2">
        <v>160</v>
      </c>
      <c r="B19" s="2">
        <v>6</v>
      </c>
      <c r="C19" s="12">
        <f>IF(預測IC!C19&gt;預測IC!C$26,1,0)</f>
        <v>1</v>
      </c>
      <c r="D19" s="12">
        <f>IF(預測IC!D19&gt;預測IC!D$26,1,0)</f>
        <v>0</v>
      </c>
      <c r="E19" s="12">
        <f>IF(預測IC!E19&gt;預測IC!E$26,1,0)</f>
        <v>1</v>
      </c>
      <c r="F19" s="12">
        <f>IF(預測IC!F19&gt;預測IC!F$26,1,0)</f>
        <v>1</v>
      </c>
      <c r="G19" s="12">
        <f>IF(預測IC!G19&gt;預測IC!G$26,1,0)</f>
        <v>1</v>
      </c>
      <c r="H19" s="12">
        <f>IF(預測IC!H19&gt;預測IC!H$26,1,0)</f>
        <v>1</v>
      </c>
      <c r="I19" s="12">
        <f>IF(預測IC!I19&gt;預測IC!I$26,1,0)</f>
        <v>0</v>
      </c>
      <c r="J19" s="12">
        <f>IF(預測IC!J19&gt;預測IC!J$26,1,0)</f>
        <v>0</v>
      </c>
      <c r="K19" s="12">
        <f>IF(預測IC!K19&gt;預測IC!K$26,1,0)</f>
        <v>1</v>
      </c>
      <c r="L19" s="12">
        <f>IF(預測IC!L19&gt;預測IC!L$26,1,0)</f>
        <v>0</v>
      </c>
      <c r="M19" s="12">
        <f>IF(預測IC!M19&gt;預測IC!M$26,1,0)</f>
        <v>0</v>
      </c>
      <c r="N19" s="12">
        <f>IF(預測IC!N19&gt;預測IC!N$26,1,0)</f>
        <v>0</v>
      </c>
      <c r="O19" s="12">
        <f>IF(預測IC!O19&gt;預測IC!O$26,1,0)</f>
        <v>0</v>
      </c>
      <c r="P19" s="12">
        <f>IF(預測IC!P19&gt;預測IC!P$26,1,0)</f>
        <v>0</v>
      </c>
      <c r="Q19" s="12">
        <f>IF(預測IC!Q19&gt;預測IC!Q$26,1,0)</f>
        <v>1</v>
      </c>
      <c r="R19" s="12">
        <f>IF(預測IC!R19&gt;預測IC!R$26,1,0)</f>
        <v>1</v>
      </c>
      <c r="S19" s="12">
        <f>IF(預測IC!S19&gt;預測IC!S$26,1,0)</f>
        <v>1</v>
      </c>
      <c r="T19" s="12">
        <f>IF(預測IC!T19&gt;預測IC!T$26,1,0)</f>
        <v>0</v>
      </c>
      <c r="U19" s="12">
        <f>IF(預測IC!U19&gt;預測IC!U$26,1,0)</f>
        <v>1</v>
      </c>
      <c r="V19" s="12">
        <f>IF(預測IC!V19&gt;預測IC!V$26,1,0)</f>
        <v>0</v>
      </c>
      <c r="W19" s="12">
        <f>IF(預測IC!W19&gt;預測IC!W$26,1,0)</f>
        <v>1</v>
      </c>
      <c r="X19" s="12">
        <f>IF(預測IC!X19&gt;預測IC!X$26,1,0)</f>
        <v>1</v>
      </c>
      <c r="Y19" s="12">
        <f>IF(預測IC!Y19&gt;預測IC!Y$26,1,0)</f>
        <v>1</v>
      </c>
      <c r="Z19" s="12">
        <f>IF(預測IC!Z19&gt;預測IC!Z$26,1,0)</f>
        <v>0</v>
      </c>
      <c r="AA19" s="12">
        <f>IF(預測IC!AA19&gt;預測IC!AA$26,1,0)</f>
        <v>1</v>
      </c>
      <c r="AB19" s="12">
        <f>IF(預測IC!AB19&gt;預測IC!AB$26,1,0)</f>
        <v>0</v>
      </c>
      <c r="AC19" s="12">
        <f>IF(預測IC!AC19&gt;預測IC!AC$26,1,0)</f>
        <v>0</v>
      </c>
      <c r="AD19" s="12">
        <f>IF(預測IC!AD19&gt;預測IC!AD$26,1,0)</f>
        <v>1</v>
      </c>
      <c r="AE19" s="12">
        <f>IF(預測IC!AE19&gt;預測IC!AE$26,1,0)</f>
        <v>1</v>
      </c>
      <c r="AF19" s="12">
        <f>IF(預測IC!AF19&gt;預測IC!AF$26,1,0)</f>
        <v>0</v>
      </c>
      <c r="AG19" s="12">
        <f>IF(預測IC!AG19&gt;預測IC!AG$26,1,0)</f>
        <v>0</v>
      </c>
      <c r="AH19" s="12">
        <f>IF(預測IC!AH19&gt;預測IC!AH$26,1,0)</f>
        <v>0</v>
      </c>
      <c r="AI19" s="12">
        <f>IF(預測IC!AI19&gt;預測IC!AI$26,1,0)</f>
        <v>1</v>
      </c>
      <c r="AJ19" s="12">
        <f>IF(預測IC!AJ19&gt;預測IC!AJ$26,1,0)</f>
        <v>0</v>
      </c>
      <c r="AK19" s="12">
        <f>IF(預測IC!AK19&gt;預測IC!AK$26,1,0)</f>
        <v>1</v>
      </c>
      <c r="AL19" s="12">
        <f>IF(預測IC!AL19&gt;預測IC!AL$26,1,0)</f>
        <v>1</v>
      </c>
      <c r="AM19" s="12">
        <f>IF(預測IC!AM19&gt;預測IC!AM$26,1,0)</f>
        <v>0</v>
      </c>
      <c r="AN19" s="12">
        <f>IF(預測IC!AN19&gt;預測IC!AN$26,1,0)</f>
        <v>1</v>
      </c>
      <c r="AO19" s="12">
        <f>IF(預測IC!AO19&gt;預測IC!AO$26,1,0)</f>
        <v>1</v>
      </c>
      <c r="AP19" s="12">
        <f>IF(預測IC!AP19&gt;預測IC!AP$26,1,0)</f>
        <v>1</v>
      </c>
      <c r="AQ19" s="12">
        <f>IF(預測IC!AQ19&gt;預測IC!AQ$26,1,0)</f>
        <v>1</v>
      </c>
      <c r="AR19" s="12">
        <f>IF(預測IC!AR19&gt;預測IC!AR$26,1,0)</f>
        <v>1</v>
      </c>
      <c r="AS19" s="12">
        <f>IF(預測IC!AS19&gt;預測IC!AS$26,1,0)</f>
        <v>0</v>
      </c>
      <c r="AT19" s="12">
        <f>IF(預測IC!AT19&gt;預測IC!AT$26,1,0)</f>
        <v>0</v>
      </c>
      <c r="AU19" s="12">
        <f>IF(預測IC!AU19&gt;預測IC!AU$26,1,0)</f>
        <v>1</v>
      </c>
      <c r="AV19" s="12">
        <f>IF(預測IC!AV19&gt;預測IC!AV$26,1,0)</f>
        <v>1</v>
      </c>
      <c r="AW19" s="12">
        <f>IF(預測IC!AW19&gt;預測IC!AW$26,1,0)</f>
        <v>1</v>
      </c>
      <c r="AX19" s="12">
        <f>IF(預測IC!AX19&gt;預測IC!AX$26,1,0)</f>
        <v>1</v>
      </c>
      <c r="AY19" s="12">
        <f>IF(預測IC!AY19&gt;預測IC!AY$26,1,0)</f>
        <v>0</v>
      </c>
      <c r="AZ19" s="12">
        <f>IF(預測IC!AZ19&gt;預測IC!AZ$26,1,0)</f>
        <v>1</v>
      </c>
      <c r="BA19" s="12">
        <f>IF(預測IC!BA19&gt;預測IC!BA$26,1,0)</f>
        <v>1</v>
      </c>
      <c r="BB19" s="12">
        <f>IF(預測IC!BB19&gt;預測IC!BB$26,1,0)</f>
        <v>1</v>
      </c>
      <c r="BC19" s="12">
        <f>IF(預測IC!BC19&gt;預測IC!BC$26,1,0)</f>
        <v>0</v>
      </c>
      <c r="BD19" s="12">
        <f>IF(預測IC!BD19&gt;預測IC!BD$26,1,0)</f>
        <v>1</v>
      </c>
      <c r="BE19" s="12">
        <f>IF(預測IC!BE19&gt;預測IC!BE$26,1,0)</f>
        <v>1</v>
      </c>
      <c r="BF19" s="12">
        <f>IF(預測IC!BF19&gt;預測IC!BF$26,1,0)</f>
        <v>1</v>
      </c>
      <c r="BG19" s="12">
        <f>IF(預測IC!BG19&gt;預測IC!BG$26,1,0)</f>
        <v>1</v>
      </c>
      <c r="BH19" s="12">
        <f>IF(預測IC!BH19&gt;預測IC!BH$26,1,0)</f>
        <v>1</v>
      </c>
      <c r="BI19" s="12">
        <f>IF(預測IC!BI19&gt;預測IC!BI$26,1,0)</f>
        <v>1</v>
      </c>
      <c r="BJ19" s="12">
        <f>IF(預測IC!BJ19&gt;預測IC!BJ$26,1,0)</f>
        <v>1</v>
      </c>
      <c r="BK19" s="12">
        <f>IF(預測IC!BK19&gt;預測IC!BK$26,1,0)</f>
        <v>1</v>
      </c>
      <c r="BL19" s="12">
        <f>IF(預測IC!BL19&gt;預測IC!BL$26,1,0)</f>
        <v>1</v>
      </c>
      <c r="BM19" s="12">
        <f>IF(預測IC!BM19&gt;預測IC!BM$26,1,0)</f>
        <v>1</v>
      </c>
      <c r="BN19" s="12">
        <f>IF(預測IC!BN19&gt;預測IC!BN$26,1,0)</f>
        <v>1</v>
      </c>
      <c r="BO19" s="12">
        <f>IF(預測IC!BO19&gt;預測IC!BO$26,1,0)</f>
        <v>1</v>
      </c>
      <c r="BP19" s="12">
        <f>IF(預測IC!BP19&gt;預測IC!BP$26,1,0)</f>
        <v>1</v>
      </c>
      <c r="BQ19" s="12">
        <f>IF(預測IC!BQ19&gt;預測IC!BQ$26,1,0)</f>
        <v>0</v>
      </c>
      <c r="BR19" s="12">
        <f>IF(預測IC!BR19&gt;預測IC!BR$26,1,0)</f>
        <v>1</v>
      </c>
      <c r="BS19" s="12">
        <f>IF(預測IC!BS19&gt;預測IC!BS$26,1,0)</f>
        <v>0</v>
      </c>
      <c r="BT19" s="12">
        <f>IF(預測IC!BT19&gt;預測IC!BT$26,1,0)</f>
        <v>1</v>
      </c>
      <c r="BU19" s="12">
        <f>IF(預測IC!BU19&gt;預測IC!BU$26,1,0)</f>
        <v>0</v>
      </c>
      <c r="BV19" s="12">
        <f>IF(預測IC!BV19&gt;預測IC!BV$26,1,0)</f>
        <v>1</v>
      </c>
      <c r="BW19" s="12">
        <f>IF(預測IC!BW19&gt;預測IC!BW$26,1,0)</f>
        <v>1</v>
      </c>
      <c r="BX19" s="12">
        <f>IF(預測IC!BX19&gt;預測IC!BX$26,1,0)</f>
        <v>0</v>
      </c>
      <c r="BY19" s="12">
        <f>IF(預測IC!BY19&gt;預測IC!BY$26,1,0)</f>
        <v>1</v>
      </c>
      <c r="BZ19" s="12">
        <f>IF(預測IC!BZ19&gt;預測IC!BZ$26,1,0)</f>
        <v>1</v>
      </c>
      <c r="CA19" s="12">
        <f>IF(預測IC!CA19&gt;預測IC!CA$26,1,0)</f>
        <v>1</v>
      </c>
      <c r="CB19" s="12">
        <f>IF(預測IC!CB19&gt;預測IC!CB$26,1,0)</f>
        <v>1</v>
      </c>
      <c r="CC19" s="12">
        <f>IF(預測IC!CC19&gt;預測IC!CC$26,1,0)</f>
        <v>0</v>
      </c>
      <c r="CD19" s="12">
        <f>IF(預測IC!CD19&gt;預測IC!CD$26,1,0)</f>
        <v>1</v>
      </c>
      <c r="CE19" s="12">
        <f>IF(預測IC!CE19&gt;預測IC!CE$26,1,0)</f>
        <v>1</v>
      </c>
      <c r="CF19" s="12">
        <f>IF(預測IC!CF19&gt;預測IC!CF$26,1,0)</f>
        <v>0</v>
      </c>
      <c r="CG19" s="12">
        <f>IF(預測IC!CG19&gt;預測IC!CG$26,1,0)</f>
        <v>1</v>
      </c>
      <c r="CH19" s="12">
        <f>IF(預測IC!CH19&gt;預測IC!CH$26,1,0)</f>
        <v>0</v>
      </c>
      <c r="CI19" s="12">
        <f>IF(預測IC!CI19&gt;預測IC!CI$26,1,0)</f>
        <v>0</v>
      </c>
      <c r="CJ19" s="12">
        <f>IF(預測IC!CJ19&gt;預測IC!CJ$26,1,0)</f>
        <v>0</v>
      </c>
      <c r="CK19" s="12">
        <f>IF(預測IC!CK19&gt;預測IC!CK$26,1,0)</f>
        <v>1</v>
      </c>
      <c r="CL19" s="12">
        <f>IF(預測IC!CL19&gt;預測IC!CL$26,1,0)</f>
        <v>0</v>
      </c>
      <c r="CM19" s="12">
        <f>IF(預測IC!CM19&gt;預測IC!CM$26,1,0)</f>
        <v>0</v>
      </c>
      <c r="CN19" s="12">
        <f>IF(預測IC!CN19&gt;預測IC!CN$26,1,0)</f>
        <v>0</v>
      </c>
      <c r="CO19" s="12">
        <f>IF(預測IC!CO19&gt;預測IC!CO$26,1,0)</f>
        <v>1</v>
      </c>
      <c r="CP19" s="12">
        <f>IF(預測IC!CP19&gt;預測IC!CP$26,1,0)</f>
        <v>0</v>
      </c>
      <c r="CQ19" s="12">
        <f>IF(預測IC!CQ19&gt;預測IC!CQ$26,1,0)</f>
        <v>1</v>
      </c>
      <c r="CR19" s="12">
        <f>IF(預測IC!CR19&gt;預測IC!CR$26,1,0)</f>
        <v>0</v>
      </c>
      <c r="CS19" s="12">
        <f>IF(預測IC!CS19&gt;預測IC!CS$26,1,0)</f>
        <v>0</v>
      </c>
      <c r="CT19" s="12">
        <f>IF(預測IC!CT19&gt;預測IC!CT$26,1,0)</f>
        <v>0</v>
      </c>
      <c r="CU19" s="12">
        <f>IF(預測IC!CU19&gt;預測IC!CU$26,1,0)</f>
        <v>1</v>
      </c>
      <c r="CV19" s="12">
        <f>IF(預測IC!CV19&gt;預測IC!CV$26,1,0)</f>
        <v>0</v>
      </c>
      <c r="CW19" s="12">
        <f>IF(預測IC!CW19&gt;預測IC!CW$26,1,0)</f>
        <v>1</v>
      </c>
      <c r="CX19" s="12">
        <f>IF(預測IC!CX19&gt;預測IC!CX$26,1,0)</f>
        <v>1</v>
      </c>
      <c r="CY19" s="12">
        <f>IF(預測IC!CY19&gt;預測IC!CY$26,1,0)</f>
        <v>1</v>
      </c>
      <c r="CZ19" s="12">
        <f>IF(預測IC!CZ19&gt;預測IC!CZ$26,1,0)</f>
        <v>1</v>
      </c>
      <c r="DA19" s="12">
        <f>IF(預測IC!DA19&gt;預測IC!DA$26,1,0)</f>
        <v>1</v>
      </c>
      <c r="DB19" s="12">
        <f>IF(預測IC!DB19&gt;預測IC!DB$26,1,0)</f>
        <v>1</v>
      </c>
      <c r="DC19" s="12">
        <f>IF(預測IC!DC19&gt;預測IC!DC$26,1,0)</f>
        <v>1</v>
      </c>
      <c r="DD19" s="12">
        <f>IF(預測IC!DD19&gt;預測IC!DD$26,1,0)</f>
        <v>0</v>
      </c>
      <c r="DE19" s="12">
        <f>IF(預測IC!DE19&gt;預測IC!DE$26,1,0)</f>
        <v>0</v>
      </c>
      <c r="DF19" s="12">
        <f>IF(預測IC!DF19&gt;預測IC!DF$26,1,0)</f>
        <v>1</v>
      </c>
      <c r="DG19" s="12">
        <f>IF(預測IC!DG19&gt;預測IC!DG$26,1,0)</f>
        <v>0</v>
      </c>
      <c r="DH19" s="12">
        <f>IF(預測IC!DH19&gt;預測IC!DH$26,1,0)</f>
        <v>1</v>
      </c>
      <c r="DI19" s="12">
        <f>IF(預測IC!DI19&gt;預測IC!DI$26,1,0)</f>
        <v>1</v>
      </c>
      <c r="DJ19" s="12">
        <f>IF(預測IC!DJ19&gt;預測IC!DJ$26,1,0)</f>
        <v>1</v>
      </c>
      <c r="DK19" s="12">
        <f>IF(預測IC!DK19&gt;預測IC!DK$26,1,0)</f>
        <v>0</v>
      </c>
      <c r="DL19" s="12">
        <f>IF(預測IC!DL19&gt;預測IC!DL$26,1,0)</f>
        <v>0</v>
      </c>
      <c r="DM19" s="12">
        <f>IF(預測IC!DM19&gt;預測IC!DM$26,1,0)</f>
        <v>1</v>
      </c>
      <c r="DN19" s="12">
        <f>IF(預測IC!DN19&gt;預測IC!DN$26,1,0)</f>
        <v>1</v>
      </c>
      <c r="DO19" s="12">
        <f>IF(預測IC!DO19&gt;預測IC!DO$26,1,0)</f>
        <v>1</v>
      </c>
      <c r="DP19" s="12">
        <f>IF(預測IC!DP19&gt;預測IC!DP$26,1,0)</f>
        <v>1</v>
      </c>
      <c r="DQ19" s="12">
        <f>IF(預測IC!DQ19&gt;預測IC!DQ$26,1,0)</f>
        <v>0</v>
      </c>
      <c r="DR19" s="12">
        <f>IF(預測IC!DR19&gt;預測IC!DR$26,1,0)</f>
        <v>0</v>
      </c>
      <c r="DS19" s="12">
        <f>IF(預測IC!DS19&gt;預測IC!DS$26,1,0)</f>
        <v>0</v>
      </c>
      <c r="DT19" s="12">
        <f>IF(預測IC!DT19&gt;預測IC!DT$26,1,0)</f>
        <v>0</v>
      </c>
      <c r="DU19" s="12">
        <f>IF(預測IC!DU19&gt;預測IC!DU$26,1,0)</f>
        <v>0</v>
      </c>
      <c r="DV19" s="12">
        <f>IF(預測IC!DV19&gt;預測IC!DV$26,1,0)</f>
        <v>1</v>
      </c>
      <c r="DW19" s="12">
        <f>IF(預測IC!DW19&gt;預測IC!DW$26,1,0)</f>
        <v>1</v>
      </c>
      <c r="DX19" s="12">
        <f>IF(預測IC!DX19&gt;預測IC!DX$26,1,0)</f>
        <v>1</v>
      </c>
      <c r="DY19" s="12">
        <f>IF(預測IC!DY19&gt;預測IC!DY$26,1,0)</f>
        <v>1</v>
      </c>
      <c r="DZ19" s="12">
        <f>IF(預測IC!DZ19&gt;預測IC!DZ$26,1,0)</f>
        <v>1</v>
      </c>
      <c r="EA19" s="12">
        <f>IF(預測IC!EA19&gt;預測IC!EA$26,1,0)</f>
        <v>1</v>
      </c>
      <c r="EB19" s="12">
        <f>IF(預測IC!EB19&gt;預測IC!EB$26,1,0)</f>
        <v>0</v>
      </c>
      <c r="EC19" s="12">
        <f>IF(預測IC!EC19&gt;預測IC!EC$26,1,0)</f>
        <v>1</v>
      </c>
      <c r="ED19" s="12">
        <f>IF(預測IC!ED19&gt;預測IC!ED$26,1,0)</f>
        <v>1</v>
      </c>
      <c r="EE19" s="12">
        <f>IF(預測IC!EE19&gt;預測IC!EE$26,1,0)</f>
        <v>0</v>
      </c>
      <c r="EF19" s="12">
        <f>IF(預測IC!EF19&gt;預測IC!EF$26,1,0)</f>
        <v>1</v>
      </c>
      <c r="EG19">
        <f t="shared" si="0"/>
        <v>83</v>
      </c>
      <c r="EH19" s="10">
        <f t="shared" si="1"/>
        <v>0.61940298507462688</v>
      </c>
    </row>
    <row r="20" spans="1:138">
      <c r="A20" s="2">
        <v>192</v>
      </c>
      <c r="B20" s="2">
        <v>5</v>
      </c>
      <c r="C20" s="12">
        <f>IF(預測IC!C20&gt;預測IC!C$26,1,0)</f>
        <v>1</v>
      </c>
      <c r="D20" s="12">
        <f>IF(預測IC!D20&gt;預測IC!D$26,1,0)</f>
        <v>0</v>
      </c>
      <c r="E20" s="12">
        <f>IF(預測IC!E20&gt;預測IC!E$26,1,0)</f>
        <v>1</v>
      </c>
      <c r="F20" s="12">
        <f>IF(預測IC!F20&gt;預測IC!F$26,1,0)</f>
        <v>1</v>
      </c>
      <c r="G20" s="12">
        <f>IF(預測IC!G20&gt;預測IC!G$26,1,0)</f>
        <v>1</v>
      </c>
      <c r="H20" s="12">
        <f>IF(預測IC!H20&gt;預測IC!H$26,1,0)</f>
        <v>1</v>
      </c>
      <c r="I20" s="12">
        <f>IF(預測IC!I20&gt;預測IC!I$26,1,0)</f>
        <v>0</v>
      </c>
      <c r="J20" s="12">
        <f>IF(預測IC!J20&gt;預測IC!J$26,1,0)</f>
        <v>0</v>
      </c>
      <c r="K20" s="12">
        <f>IF(預測IC!K20&gt;預測IC!K$26,1,0)</f>
        <v>1</v>
      </c>
      <c r="L20" s="12">
        <f>IF(預測IC!L20&gt;預測IC!L$26,1,0)</f>
        <v>0</v>
      </c>
      <c r="M20" s="12">
        <f>IF(預測IC!M20&gt;預測IC!M$26,1,0)</f>
        <v>0</v>
      </c>
      <c r="N20" s="12">
        <f>IF(預測IC!N20&gt;預測IC!N$26,1,0)</f>
        <v>0</v>
      </c>
      <c r="O20" s="12">
        <f>IF(預測IC!O20&gt;預測IC!O$26,1,0)</f>
        <v>0</v>
      </c>
      <c r="P20" s="12">
        <f>IF(預測IC!P20&gt;預測IC!P$26,1,0)</f>
        <v>1</v>
      </c>
      <c r="Q20" s="12">
        <f>IF(預測IC!Q20&gt;預測IC!Q$26,1,0)</f>
        <v>1</v>
      </c>
      <c r="R20" s="12">
        <f>IF(預測IC!R20&gt;預測IC!R$26,1,0)</f>
        <v>1</v>
      </c>
      <c r="S20" s="12">
        <f>IF(預測IC!S20&gt;預測IC!S$26,1,0)</f>
        <v>1</v>
      </c>
      <c r="T20" s="12">
        <f>IF(預測IC!T20&gt;預測IC!T$26,1,0)</f>
        <v>0</v>
      </c>
      <c r="U20" s="12">
        <f>IF(預測IC!U20&gt;預測IC!U$26,1,0)</f>
        <v>1</v>
      </c>
      <c r="V20" s="12">
        <f>IF(預測IC!V20&gt;預測IC!V$26,1,0)</f>
        <v>0</v>
      </c>
      <c r="W20" s="12">
        <f>IF(預測IC!W20&gt;預測IC!W$26,1,0)</f>
        <v>1</v>
      </c>
      <c r="X20" s="12">
        <f>IF(預測IC!X20&gt;預測IC!X$26,1,0)</f>
        <v>1</v>
      </c>
      <c r="Y20" s="12">
        <f>IF(預測IC!Y20&gt;預測IC!Y$26,1,0)</f>
        <v>1</v>
      </c>
      <c r="Z20" s="12">
        <f>IF(預測IC!Z20&gt;預測IC!Z$26,1,0)</f>
        <v>1</v>
      </c>
      <c r="AA20" s="12">
        <f>IF(預測IC!AA20&gt;預測IC!AA$26,1,0)</f>
        <v>1</v>
      </c>
      <c r="AB20" s="12">
        <f>IF(預測IC!AB20&gt;預測IC!AB$26,1,0)</f>
        <v>0</v>
      </c>
      <c r="AC20" s="12">
        <f>IF(預測IC!AC20&gt;預測IC!AC$26,1,0)</f>
        <v>0</v>
      </c>
      <c r="AD20" s="12">
        <f>IF(預測IC!AD20&gt;預測IC!AD$26,1,0)</f>
        <v>1</v>
      </c>
      <c r="AE20" s="12">
        <f>IF(預測IC!AE20&gt;預測IC!AE$26,1,0)</f>
        <v>0</v>
      </c>
      <c r="AF20" s="12">
        <f>IF(預測IC!AF20&gt;預測IC!AF$26,1,0)</f>
        <v>0</v>
      </c>
      <c r="AG20" s="12">
        <f>IF(預測IC!AG20&gt;預測IC!AG$26,1,0)</f>
        <v>0</v>
      </c>
      <c r="AH20" s="12">
        <f>IF(預測IC!AH20&gt;預測IC!AH$26,1,0)</f>
        <v>0</v>
      </c>
      <c r="AI20" s="12">
        <f>IF(預測IC!AI20&gt;預測IC!AI$26,1,0)</f>
        <v>1</v>
      </c>
      <c r="AJ20" s="12">
        <f>IF(預測IC!AJ20&gt;預測IC!AJ$26,1,0)</f>
        <v>0</v>
      </c>
      <c r="AK20" s="12">
        <f>IF(預測IC!AK20&gt;預測IC!AK$26,1,0)</f>
        <v>0</v>
      </c>
      <c r="AL20" s="12">
        <f>IF(預測IC!AL20&gt;預測IC!AL$26,1,0)</f>
        <v>1</v>
      </c>
      <c r="AM20" s="12">
        <f>IF(預測IC!AM20&gt;預測IC!AM$26,1,0)</f>
        <v>1</v>
      </c>
      <c r="AN20" s="12">
        <f>IF(預測IC!AN20&gt;預測IC!AN$26,1,0)</f>
        <v>0</v>
      </c>
      <c r="AO20" s="12">
        <f>IF(預測IC!AO20&gt;預測IC!AO$26,1,0)</f>
        <v>1</v>
      </c>
      <c r="AP20" s="12">
        <f>IF(預測IC!AP20&gt;預測IC!AP$26,1,0)</f>
        <v>1</v>
      </c>
      <c r="AQ20" s="12">
        <f>IF(預測IC!AQ20&gt;預測IC!AQ$26,1,0)</f>
        <v>0</v>
      </c>
      <c r="AR20" s="12">
        <f>IF(預測IC!AR20&gt;預測IC!AR$26,1,0)</f>
        <v>0</v>
      </c>
      <c r="AS20" s="12">
        <f>IF(預測IC!AS20&gt;預測IC!AS$26,1,0)</f>
        <v>0</v>
      </c>
      <c r="AT20" s="12">
        <f>IF(預測IC!AT20&gt;預測IC!AT$26,1,0)</f>
        <v>0</v>
      </c>
      <c r="AU20" s="12">
        <f>IF(預測IC!AU20&gt;預測IC!AU$26,1,0)</f>
        <v>1</v>
      </c>
      <c r="AV20" s="12">
        <f>IF(預測IC!AV20&gt;預測IC!AV$26,1,0)</f>
        <v>1</v>
      </c>
      <c r="AW20" s="12">
        <f>IF(預測IC!AW20&gt;預測IC!AW$26,1,0)</f>
        <v>1</v>
      </c>
      <c r="AX20" s="12">
        <f>IF(預測IC!AX20&gt;預測IC!AX$26,1,0)</f>
        <v>1</v>
      </c>
      <c r="AY20" s="12">
        <f>IF(預測IC!AY20&gt;預測IC!AY$26,1,0)</f>
        <v>0</v>
      </c>
      <c r="AZ20" s="12">
        <f>IF(預測IC!AZ20&gt;預測IC!AZ$26,1,0)</f>
        <v>1</v>
      </c>
      <c r="BA20" s="12">
        <f>IF(預測IC!BA20&gt;預測IC!BA$26,1,0)</f>
        <v>1</v>
      </c>
      <c r="BB20" s="12">
        <f>IF(預測IC!BB20&gt;預測IC!BB$26,1,0)</f>
        <v>1</v>
      </c>
      <c r="BC20" s="12">
        <f>IF(預測IC!BC20&gt;預測IC!BC$26,1,0)</f>
        <v>0</v>
      </c>
      <c r="BD20" s="12">
        <f>IF(預測IC!BD20&gt;預測IC!BD$26,1,0)</f>
        <v>1</v>
      </c>
      <c r="BE20" s="12">
        <f>IF(預測IC!BE20&gt;預測IC!BE$26,1,0)</f>
        <v>0</v>
      </c>
      <c r="BF20" s="12">
        <f>IF(預測IC!BF20&gt;預測IC!BF$26,1,0)</f>
        <v>1</v>
      </c>
      <c r="BG20" s="12">
        <f>IF(預測IC!BG20&gt;預測IC!BG$26,1,0)</f>
        <v>0</v>
      </c>
      <c r="BH20" s="12">
        <f>IF(預測IC!BH20&gt;預測IC!BH$26,1,0)</f>
        <v>1</v>
      </c>
      <c r="BI20" s="12">
        <f>IF(預測IC!BI20&gt;預測IC!BI$26,1,0)</f>
        <v>1</v>
      </c>
      <c r="BJ20" s="12">
        <f>IF(預測IC!BJ20&gt;預測IC!BJ$26,1,0)</f>
        <v>1</v>
      </c>
      <c r="BK20" s="12">
        <f>IF(預測IC!BK20&gt;預測IC!BK$26,1,0)</f>
        <v>1</v>
      </c>
      <c r="BL20" s="12">
        <f>IF(預測IC!BL20&gt;預測IC!BL$26,1,0)</f>
        <v>1</v>
      </c>
      <c r="BM20" s="12">
        <f>IF(預測IC!BM20&gt;預測IC!BM$26,1,0)</f>
        <v>1</v>
      </c>
      <c r="BN20" s="12">
        <f>IF(預測IC!BN20&gt;預測IC!BN$26,1,0)</f>
        <v>0</v>
      </c>
      <c r="BO20" s="12">
        <f>IF(預測IC!BO20&gt;預測IC!BO$26,1,0)</f>
        <v>1</v>
      </c>
      <c r="BP20" s="12">
        <f>IF(預測IC!BP20&gt;預測IC!BP$26,1,0)</f>
        <v>1</v>
      </c>
      <c r="BQ20" s="12">
        <f>IF(預測IC!BQ20&gt;預測IC!BQ$26,1,0)</f>
        <v>0</v>
      </c>
      <c r="BR20" s="12">
        <f>IF(預測IC!BR20&gt;預測IC!BR$26,1,0)</f>
        <v>1</v>
      </c>
      <c r="BS20" s="12">
        <f>IF(預測IC!BS20&gt;預測IC!BS$26,1,0)</f>
        <v>0</v>
      </c>
      <c r="BT20" s="12">
        <f>IF(預測IC!BT20&gt;預測IC!BT$26,1,0)</f>
        <v>1</v>
      </c>
      <c r="BU20" s="12">
        <f>IF(預測IC!BU20&gt;預測IC!BU$26,1,0)</f>
        <v>0</v>
      </c>
      <c r="BV20" s="12">
        <f>IF(預測IC!BV20&gt;預測IC!BV$26,1,0)</f>
        <v>1</v>
      </c>
      <c r="BW20" s="12">
        <f>IF(預測IC!BW20&gt;預測IC!BW$26,1,0)</f>
        <v>1</v>
      </c>
      <c r="BX20" s="12">
        <f>IF(預測IC!BX20&gt;預測IC!BX$26,1,0)</f>
        <v>0</v>
      </c>
      <c r="BY20" s="12">
        <f>IF(預測IC!BY20&gt;預測IC!BY$26,1,0)</f>
        <v>1</v>
      </c>
      <c r="BZ20" s="12">
        <f>IF(預測IC!BZ20&gt;預測IC!BZ$26,1,0)</f>
        <v>1</v>
      </c>
      <c r="CA20" s="12">
        <f>IF(預測IC!CA20&gt;預測IC!CA$26,1,0)</f>
        <v>1</v>
      </c>
      <c r="CB20" s="12">
        <f>IF(預測IC!CB20&gt;預測IC!CB$26,1,0)</f>
        <v>1</v>
      </c>
      <c r="CC20" s="12">
        <f>IF(預測IC!CC20&gt;預測IC!CC$26,1,0)</f>
        <v>0</v>
      </c>
      <c r="CD20" s="12">
        <f>IF(預測IC!CD20&gt;預測IC!CD$26,1,0)</f>
        <v>1</v>
      </c>
      <c r="CE20" s="12">
        <f>IF(預測IC!CE20&gt;預測IC!CE$26,1,0)</f>
        <v>1</v>
      </c>
      <c r="CF20" s="12">
        <f>IF(預測IC!CF20&gt;預測IC!CF$26,1,0)</f>
        <v>0</v>
      </c>
      <c r="CG20" s="12">
        <f>IF(預測IC!CG20&gt;預測IC!CG$26,1,0)</f>
        <v>1</v>
      </c>
      <c r="CH20" s="12">
        <f>IF(預測IC!CH20&gt;預測IC!CH$26,1,0)</f>
        <v>0</v>
      </c>
      <c r="CI20" s="12">
        <f>IF(預測IC!CI20&gt;預測IC!CI$26,1,0)</f>
        <v>0</v>
      </c>
      <c r="CJ20" s="12">
        <f>IF(預測IC!CJ20&gt;預測IC!CJ$26,1,0)</f>
        <v>0</v>
      </c>
      <c r="CK20" s="12">
        <f>IF(預測IC!CK20&gt;預測IC!CK$26,1,0)</f>
        <v>1</v>
      </c>
      <c r="CL20" s="12">
        <f>IF(預測IC!CL20&gt;預測IC!CL$26,1,0)</f>
        <v>1</v>
      </c>
      <c r="CM20" s="12">
        <f>IF(預測IC!CM20&gt;預測IC!CM$26,1,0)</f>
        <v>0</v>
      </c>
      <c r="CN20" s="12">
        <f>IF(預測IC!CN20&gt;預測IC!CN$26,1,0)</f>
        <v>0</v>
      </c>
      <c r="CO20" s="12">
        <f>IF(預測IC!CO20&gt;預測IC!CO$26,1,0)</f>
        <v>1</v>
      </c>
      <c r="CP20" s="12">
        <f>IF(預測IC!CP20&gt;預測IC!CP$26,1,0)</f>
        <v>0</v>
      </c>
      <c r="CQ20" s="12">
        <f>IF(預測IC!CQ20&gt;預測IC!CQ$26,1,0)</f>
        <v>1</v>
      </c>
      <c r="CR20" s="12">
        <f>IF(預測IC!CR20&gt;預測IC!CR$26,1,0)</f>
        <v>0</v>
      </c>
      <c r="CS20" s="12">
        <f>IF(預測IC!CS20&gt;預測IC!CS$26,1,0)</f>
        <v>0</v>
      </c>
      <c r="CT20" s="12">
        <f>IF(預測IC!CT20&gt;預測IC!CT$26,1,0)</f>
        <v>0</v>
      </c>
      <c r="CU20" s="12">
        <f>IF(預測IC!CU20&gt;預測IC!CU$26,1,0)</f>
        <v>1</v>
      </c>
      <c r="CV20" s="12">
        <f>IF(預測IC!CV20&gt;預測IC!CV$26,1,0)</f>
        <v>0</v>
      </c>
      <c r="CW20" s="12">
        <f>IF(預測IC!CW20&gt;預測IC!CW$26,1,0)</f>
        <v>0</v>
      </c>
      <c r="CX20" s="12">
        <f>IF(預測IC!CX20&gt;預測IC!CX$26,1,0)</f>
        <v>0</v>
      </c>
      <c r="CY20" s="12">
        <f>IF(預測IC!CY20&gt;預測IC!CY$26,1,0)</f>
        <v>1</v>
      </c>
      <c r="CZ20" s="12">
        <f>IF(預測IC!CZ20&gt;預測IC!CZ$26,1,0)</f>
        <v>1</v>
      </c>
      <c r="DA20" s="12">
        <f>IF(預測IC!DA20&gt;預測IC!DA$26,1,0)</f>
        <v>1</v>
      </c>
      <c r="DB20" s="12">
        <f>IF(預測IC!DB20&gt;預測IC!DB$26,1,0)</f>
        <v>1</v>
      </c>
      <c r="DC20" s="12">
        <f>IF(預測IC!DC20&gt;預測IC!DC$26,1,0)</f>
        <v>1</v>
      </c>
      <c r="DD20" s="12">
        <f>IF(預測IC!DD20&gt;預測IC!DD$26,1,0)</f>
        <v>0</v>
      </c>
      <c r="DE20" s="12">
        <f>IF(預測IC!DE20&gt;預測IC!DE$26,1,0)</f>
        <v>0</v>
      </c>
      <c r="DF20" s="12">
        <f>IF(預測IC!DF20&gt;預測IC!DF$26,1,0)</f>
        <v>1</v>
      </c>
      <c r="DG20" s="12">
        <f>IF(預測IC!DG20&gt;預測IC!DG$26,1,0)</f>
        <v>0</v>
      </c>
      <c r="DH20" s="12">
        <f>IF(預測IC!DH20&gt;預測IC!DH$26,1,0)</f>
        <v>1</v>
      </c>
      <c r="DI20" s="12">
        <f>IF(預測IC!DI20&gt;預測IC!DI$26,1,0)</f>
        <v>1</v>
      </c>
      <c r="DJ20" s="12">
        <f>IF(預測IC!DJ20&gt;預測IC!DJ$26,1,0)</f>
        <v>1</v>
      </c>
      <c r="DK20" s="12">
        <f>IF(預測IC!DK20&gt;預測IC!DK$26,1,0)</f>
        <v>0</v>
      </c>
      <c r="DL20" s="12">
        <f>IF(預測IC!DL20&gt;預測IC!DL$26,1,0)</f>
        <v>0</v>
      </c>
      <c r="DM20" s="12">
        <f>IF(預測IC!DM20&gt;預測IC!DM$26,1,0)</f>
        <v>1</v>
      </c>
      <c r="DN20" s="12">
        <f>IF(預測IC!DN20&gt;預測IC!DN$26,1,0)</f>
        <v>1</v>
      </c>
      <c r="DO20" s="12">
        <f>IF(預測IC!DO20&gt;預測IC!DO$26,1,0)</f>
        <v>1</v>
      </c>
      <c r="DP20" s="12">
        <f>IF(預測IC!DP20&gt;預測IC!DP$26,1,0)</f>
        <v>1</v>
      </c>
      <c r="DQ20" s="12">
        <f>IF(預測IC!DQ20&gt;預測IC!DQ$26,1,0)</f>
        <v>0</v>
      </c>
      <c r="DR20" s="12">
        <f>IF(預測IC!DR20&gt;預測IC!DR$26,1,0)</f>
        <v>0</v>
      </c>
      <c r="DS20" s="12">
        <f>IF(預測IC!DS20&gt;預測IC!DS$26,1,0)</f>
        <v>0</v>
      </c>
      <c r="DT20" s="12">
        <f>IF(預測IC!DT20&gt;預測IC!DT$26,1,0)</f>
        <v>0</v>
      </c>
      <c r="DU20" s="12">
        <f>IF(預測IC!DU20&gt;預測IC!DU$26,1,0)</f>
        <v>0</v>
      </c>
      <c r="DV20" s="12">
        <f>IF(預測IC!DV20&gt;預測IC!DV$26,1,0)</f>
        <v>0</v>
      </c>
      <c r="DW20" s="12">
        <f>IF(預測IC!DW20&gt;預測IC!DW$26,1,0)</f>
        <v>1</v>
      </c>
      <c r="DX20" s="12">
        <f>IF(預測IC!DX20&gt;預測IC!DX$26,1,0)</f>
        <v>1</v>
      </c>
      <c r="DY20" s="12">
        <f>IF(預測IC!DY20&gt;預測IC!DY$26,1,0)</f>
        <v>1</v>
      </c>
      <c r="DZ20" s="12">
        <f>IF(預測IC!DZ20&gt;預測IC!DZ$26,1,0)</f>
        <v>1</v>
      </c>
      <c r="EA20" s="12">
        <f>IF(預測IC!EA20&gt;預測IC!EA$26,1,0)</f>
        <v>1</v>
      </c>
      <c r="EB20" s="12">
        <f>IF(預測IC!EB20&gt;預測IC!EB$26,1,0)</f>
        <v>0</v>
      </c>
      <c r="EC20" s="12">
        <f>IF(預測IC!EC20&gt;預測IC!EC$26,1,0)</f>
        <v>1</v>
      </c>
      <c r="ED20" s="12">
        <f>IF(預測IC!ED20&gt;預測IC!ED$26,1,0)</f>
        <v>1</v>
      </c>
      <c r="EE20" s="12">
        <f>IF(預測IC!EE20&gt;預測IC!EE$26,1,0)</f>
        <v>0</v>
      </c>
      <c r="EF20" s="12">
        <f>IF(預測IC!EF20&gt;預測IC!EF$26,1,0)</f>
        <v>0</v>
      </c>
      <c r="EG20">
        <f t="shared" si="0"/>
        <v>75</v>
      </c>
      <c r="EH20" s="10">
        <f t="shared" si="1"/>
        <v>0.55970149253731338</v>
      </c>
    </row>
    <row r="21" spans="1:138">
      <c r="A21" s="2">
        <v>241</v>
      </c>
      <c r="B21" s="2">
        <v>4</v>
      </c>
      <c r="C21" s="12">
        <f>IF(預測IC!C21&gt;預測IC!C$26,1,0)</f>
        <v>1</v>
      </c>
      <c r="D21" s="12">
        <f>IF(預測IC!D21&gt;預測IC!D$26,1,0)</f>
        <v>0</v>
      </c>
      <c r="E21" s="12">
        <f>IF(預測IC!E21&gt;預測IC!E$26,1,0)</f>
        <v>0</v>
      </c>
      <c r="F21" s="12">
        <f>IF(預測IC!F21&gt;預測IC!F$26,1,0)</f>
        <v>1</v>
      </c>
      <c r="G21" s="12">
        <f>IF(預測IC!G21&gt;預測IC!G$26,1,0)</f>
        <v>0</v>
      </c>
      <c r="H21" s="12">
        <f>IF(預測IC!H21&gt;預測IC!H$26,1,0)</f>
        <v>1</v>
      </c>
      <c r="I21" s="12">
        <f>IF(預測IC!I21&gt;預測IC!I$26,1,0)</f>
        <v>0</v>
      </c>
      <c r="J21" s="12">
        <f>IF(預測IC!J21&gt;預測IC!J$26,1,0)</f>
        <v>0</v>
      </c>
      <c r="K21" s="12">
        <f>IF(預測IC!K21&gt;預測IC!K$26,1,0)</f>
        <v>1</v>
      </c>
      <c r="L21" s="12">
        <f>IF(預測IC!L21&gt;預測IC!L$26,1,0)</f>
        <v>0</v>
      </c>
      <c r="M21" s="12">
        <f>IF(預測IC!M21&gt;預測IC!M$26,1,0)</f>
        <v>0</v>
      </c>
      <c r="N21" s="12">
        <f>IF(預測IC!N21&gt;預測IC!N$26,1,0)</f>
        <v>0</v>
      </c>
      <c r="O21" s="12">
        <f>IF(預測IC!O21&gt;預測IC!O$26,1,0)</f>
        <v>0</v>
      </c>
      <c r="P21" s="12">
        <f>IF(預測IC!P21&gt;預測IC!P$26,1,0)</f>
        <v>1</v>
      </c>
      <c r="Q21" s="12">
        <f>IF(預測IC!Q21&gt;預測IC!Q$26,1,0)</f>
        <v>1</v>
      </c>
      <c r="R21" s="12">
        <f>IF(預測IC!R21&gt;預測IC!R$26,1,0)</f>
        <v>1</v>
      </c>
      <c r="S21" s="12">
        <f>IF(預測IC!S21&gt;預測IC!S$26,1,0)</f>
        <v>1</v>
      </c>
      <c r="T21" s="12">
        <f>IF(預測IC!T21&gt;預測IC!T$26,1,0)</f>
        <v>0</v>
      </c>
      <c r="U21" s="12">
        <f>IF(預測IC!U21&gt;預測IC!U$26,1,0)</f>
        <v>1</v>
      </c>
      <c r="V21" s="12">
        <f>IF(預測IC!V21&gt;預測IC!V$26,1,0)</f>
        <v>0</v>
      </c>
      <c r="W21" s="12">
        <f>IF(預測IC!W21&gt;預測IC!W$26,1,0)</f>
        <v>1</v>
      </c>
      <c r="X21" s="12">
        <f>IF(預測IC!X21&gt;預測IC!X$26,1,0)</f>
        <v>1</v>
      </c>
      <c r="Y21" s="12">
        <f>IF(預測IC!Y21&gt;預測IC!Y$26,1,0)</f>
        <v>1</v>
      </c>
      <c r="Z21" s="12">
        <f>IF(預測IC!Z21&gt;預測IC!Z$26,1,0)</f>
        <v>1</v>
      </c>
      <c r="AA21" s="12">
        <f>IF(預測IC!AA21&gt;預測IC!AA$26,1,0)</f>
        <v>1</v>
      </c>
      <c r="AB21" s="12">
        <f>IF(預測IC!AB21&gt;預測IC!AB$26,1,0)</f>
        <v>0</v>
      </c>
      <c r="AC21" s="12">
        <f>IF(預測IC!AC21&gt;預測IC!AC$26,1,0)</f>
        <v>0</v>
      </c>
      <c r="AD21" s="12">
        <f>IF(預測IC!AD21&gt;預測IC!AD$26,1,0)</f>
        <v>1</v>
      </c>
      <c r="AE21" s="12">
        <f>IF(預測IC!AE21&gt;預測IC!AE$26,1,0)</f>
        <v>0</v>
      </c>
      <c r="AF21" s="12">
        <f>IF(預測IC!AF21&gt;預測IC!AF$26,1,0)</f>
        <v>0</v>
      </c>
      <c r="AG21" s="12">
        <f>IF(預測IC!AG21&gt;預測IC!AG$26,1,0)</f>
        <v>0</v>
      </c>
      <c r="AH21" s="12">
        <f>IF(預測IC!AH21&gt;預測IC!AH$26,1,0)</f>
        <v>0</v>
      </c>
      <c r="AI21" s="12">
        <f>IF(預測IC!AI21&gt;預測IC!AI$26,1,0)</f>
        <v>1</v>
      </c>
      <c r="AJ21" s="12">
        <f>IF(預測IC!AJ21&gt;預測IC!AJ$26,1,0)</f>
        <v>0</v>
      </c>
      <c r="AK21" s="12">
        <f>IF(預測IC!AK21&gt;預測IC!AK$26,1,0)</f>
        <v>0</v>
      </c>
      <c r="AL21" s="12">
        <f>IF(預測IC!AL21&gt;預測IC!AL$26,1,0)</f>
        <v>1</v>
      </c>
      <c r="AM21" s="12">
        <f>IF(預測IC!AM21&gt;預測IC!AM$26,1,0)</f>
        <v>1</v>
      </c>
      <c r="AN21" s="12">
        <f>IF(預測IC!AN21&gt;預測IC!AN$26,1,0)</f>
        <v>0</v>
      </c>
      <c r="AO21" s="12">
        <f>IF(預測IC!AO21&gt;預測IC!AO$26,1,0)</f>
        <v>1</v>
      </c>
      <c r="AP21" s="12">
        <f>IF(預測IC!AP21&gt;預測IC!AP$26,1,0)</f>
        <v>1</v>
      </c>
      <c r="AQ21" s="12">
        <f>IF(預測IC!AQ21&gt;預測IC!AQ$26,1,0)</f>
        <v>0</v>
      </c>
      <c r="AR21" s="12">
        <f>IF(預測IC!AR21&gt;預測IC!AR$26,1,0)</f>
        <v>0</v>
      </c>
      <c r="AS21" s="12">
        <f>IF(預測IC!AS21&gt;預測IC!AS$26,1,0)</f>
        <v>1</v>
      </c>
      <c r="AT21" s="12">
        <f>IF(預測IC!AT21&gt;預測IC!AT$26,1,0)</f>
        <v>0</v>
      </c>
      <c r="AU21" s="12">
        <f>IF(預測IC!AU21&gt;預測IC!AU$26,1,0)</f>
        <v>1</v>
      </c>
      <c r="AV21" s="12">
        <f>IF(預測IC!AV21&gt;預測IC!AV$26,1,0)</f>
        <v>1</v>
      </c>
      <c r="AW21" s="12">
        <f>IF(預測IC!AW21&gt;預測IC!AW$26,1,0)</f>
        <v>1</v>
      </c>
      <c r="AX21" s="12">
        <f>IF(預測IC!AX21&gt;預測IC!AX$26,1,0)</f>
        <v>1</v>
      </c>
      <c r="AY21" s="12">
        <f>IF(預測IC!AY21&gt;預測IC!AY$26,1,0)</f>
        <v>0</v>
      </c>
      <c r="AZ21" s="12">
        <f>IF(預測IC!AZ21&gt;預測IC!AZ$26,1,0)</f>
        <v>1</v>
      </c>
      <c r="BA21" s="12">
        <f>IF(預測IC!BA21&gt;預測IC!BA$26,1,0)</f>
        <v>1</v>
      </c>
      <c r="BB21" s="12">
        <f>IF(預測IC!BB21&gt;預測IC!BB$26,1,0)</f>
        <v>1</v>
      </c>
      <c r="BC21" s="12">
        <f>IF(預測IC!BC21&gt;預測IC!BC$26,1,0)</f>
        <v>0</v>
      </c>
      <c r="BD21" s="12">
        <f>IF(預測IC!BD21&gt;預測IC!BD$26,1,0)</f>
        <v>1</v>
      </c>
      <c r="BE21" s="12">
        <f>IF(預測IC!BE21&gt;預測IC!BE$26,1,0)</f>
        <v>0</v>
      </c>
      <c r="BF21" s="12">
        <f>IF(預測IC!BF21&gt;預測IC!BF$26,1,0)</f>
        <v>1</v>
      </c>
      <c r="BG21" s="12">
        <f>IF(預測IC!BG21&gt;預測IC!BG$26,1,0)</f>
        <v>0</v>
      </c>
      <c r="BH21" s="12">
        <f>IF(預測IC!BH21&gt;預測IC!BH$26,1,0)</f>
        <v>1</v>
      </c>
      <c r="BI21" s="12">
        <f>IF(預測IC!BI21&gt;預測IC!BI$26,1,0)</f>
        <v>1</v>
      </c>
      <c r="BJ21" s="12">
        <f>IF(預測IC!BJ21&gt;預測IC!BJ$26,1,0)</f>
        <v>1</v>
      </c>
      <c r="BK21" s="12">
        <f>IF(預測IC!BK21&gt;預測IC!BK$26,1,0)</f>
        <v>1</v>
      </c>
      <c r="BL21" s="12">
        <f>IF(預測IC!BL21&gt;預測IC!BL$26,1,0)</f>
        <v>1</v>
      </c>
      <c r="BM21" s="12">
        <f>IF(預測IC!BM21&gt;預測IC!BM$26,1,0)</f>
        <v>1</v>
      </c>
      <c r="BN21" s="12">
        <f>IF(預測IC!BN21&gt;預測IC!BN$26,1,0)</f>
        <v>0</v>
      </c>
      <c r="BO21" s="12">
        <f>IF(預測IC!BO21&gt;預測IC!BO$26,1,0)</f>
        <v>0</v>
      </c>
      <c r="BP21" s="12">
        <f>IF(預測IC!BP21&gt;預測IC!BP$26,1,0)</f>
        <v>1</v>
      </c>
      <c r="BQ21" s="12">
        <f>IF(預測IC!BQ21&gt;預測IC!BQ$26,1,0)</f>
        <v>0</v>
      </c>
      <c r="BR21" s="12">
        <f>IF(預測IC!BR21&gt;預測IC!BR$26,1,0)</f>
        <v>1</v>
      </c>
      <c r="BS21" s="12">
        <f>IF(預測IC!BS21&gt;預測IC!BS$26,1,0)</f>
        <v>0</v>
      </c>
      <c r="BT21" s="12">
        <f>IF(預測IC!BT21&gt;預測IC!BT$26,1,0)</f>
        <v>1</v>
      </c>
      <c r="BU21" s="12">
        <f>IF(預測IC!BU21&gt;預測IC!BU$26,1,0)</f>
        <v>0</v>
      </c>
      <c r="BV21" s="12">
        <f>IF(預測IC!BV21&gt;預測IC!BV$26,1,0)</f>
        <v>0</v>
      </c>
      <c r="BW21" s="12">
        <f>IF(預測IC!BW21&gt;預測IC!BW$26,1,0)</f>
        <v>1</v>
      </c>
      <c r="BX21" s="12">
        <f>IF(預測IC!BX21&gt;預測IC!BX$26,1,0)</f>
        <v>0</v>
      </c>
      <c r="BY21" s="12">
        <f>IF(預測IC!BY21&gt;預測IC!BY$26,1,0)</f>
        <v>1</v>
      </c>
      <c r="BZ21" s="12">
        <f>IF(預測IC!BZ21&gt;預測IC!BZ$26,1,0)</f>
        <v>1</v>
      </c>
      <c r="CA21" s="12">
        <f>IF(預測IC!CA21&gt;預測IC!CA$26,1,0)</f>
        <v>1</v>
      </c>
      <c r="CB21" s="12">
        <f>IF(預測IC!CB21&gt;預測IC!CB$26,1,0)</f>
        <v>1</v>
      </c>
      <c r="CC21" s="12">
        <f>IF(預測IC!CC21&gt;預測IC!CC$26,1,0)</f>
        <v>0</v>
      </c>
      <c r="CD21" s="12">
        <f>IF(預測IC!CD21&gt;預測IC!CD$26,1,0)</f>
        <v>1</v>
      </c>
      <c r="CE21" s="12">
        <f>IF(預測IC!CE21&gt;預測IC!CE$26,1,0)</f>
        <v>1</v>
      </c>
      <c r="CF21" s="12">
        <f>IF(預測IC!CF21&gt;預測IC!CF$26,1,0)</f>
        <v>0</v>
      </c>
      <c r="CG21" s="12">
        <f>IF(預測IC!CG21&gt;預測IC!CG$26,1,0)</f>
        <v>1</v>
      </c>
      <c r="CH21" s="12">
        <f>IF(預測IC!CH21&gt;預測IC!CH$26,1,0)</f>
        <v>0</v>
      </c>
      <c r="CI21" s="12">
        <f>IF(預測IC!CI21&gt;預測IC!CI$26,1,0)</f>
        <v>0</v>
      </c>
      <c r="CJ21" s="12">
        <f>IF(預測IC!CJ21&gt;預測IC!CJ$26,1,0)</f>
        <v>0</v>
      </c>
      <c r="CK21" s="12">
        <f>IF(預測IC!CK21&gt;預測IC!CK$26,1,0)</f>
        <v>0</v>
      </c>
      <c r="CL21" s="12">
        <f>IF(預測IC!CL21&gt;預測IC!CL$26,1,0)</f>
        <v>1</v>
      </c>
      <c r="CM21" s="12">
        <f>IF(預測IC!CM21&gt;預測IC!CM$26,1,0)</f>
        <v>0</v>
      </c>
      <c r="CN21" s="12">
        <f>IF(預測IC!CN21&gt;預測IC!CN$26,1,0)</f>
        <v>0</v>
      </c>
      <c r="CO21" s="12">
        <f>IF(預測IC!CO21&gt;預測IC!CO$26,1,0)</f>
        <v>1</v>
      </c>
      <c r="CP21" s="12">
        <f>IF(預測IC!CP21&gt;預測IC!CP$26,1,0)</f>
        <v>0</v>
      </c>
      <c r="CQ21" s="12">
        <f>IF(預測IC!CQ21&gt;預測IC!CQ$26,1,0)</f>
        <v>0</v>
      </c>
      <c r="CR21" s="12">
        <f>IF(預測IC!CR21&gt;預測IC!CR$26,1,0)</f>
        <v>0</v>
      </c>
      <c r="CS21" s="12">
        <f>IF(預測IC!CS21&gt;預測IC!CS$26,1,0)</f>
        <v>0</v>
      </c>
      <c r="CT21" s="12">
        <f>IF(預測IC!CT21&gt;預測IC!CT$26,1,0)</f>
        <v>1</v>
      </c>
      <c r="CU21" s="12">
        <f>IF(預測IC!CU21&gt;預測IC!CU$26,1,0)</f>
        <v>1</v>
      </c>
      <c r="CV21" s="12">
        <f>IF(預測IC!CV21&gt;預測IC!CV$26,1,0)</f>
        <v>0</v>
      </c>
      <c r="CW21" s="12">
        <f>IF(預測IC!CW21&gt;預測IC!CW$26,1,0)</f>
        <v>0</v>
      </c>
      <c r="CX21" s="12">
        <f>IF(預測IC!CX21&gt;預測IC!CX$26,1,0)</f>
        <v>0</v>
      </c>
      <c r="CY21" s="12">
        <f>IF(預測IC!CY21&gt;預測IC!CY$26,1,0)</f>
        <v>1</v>
      </c>
      <c r="CZ21" s="12">
        <f>IF(預測IC!CZ21&gt;預測IC!CZ$26,1,0)</f>
        <v>1</v>
      </c>
      <c r="DA21" s="12">
        <f>IF(預測IC!DA21&gt;預測IC!DA$26,1,0)</f>
        <v>0</v>
      </c>
      <c r="DB21" s="12">
        <f>IF(預測IC!DB21&gt;預測IC!DB$26,1,0)</f>
        <v>1</v>
      </c>
      <c r="DC21" s="12">
        <f>IF(預測IC!DC21&gt;預測IC!DC$26,1,0)</f>
        <v>1</v>
      </c>
      <c r="DD21" s="12">
        <f>IF(預測IC!DD21&gt;預測IC!DD$26,1,0)</f>
        <v>0</v>
      </c>
      <c r="DE21" s="12">
        <f>IF(預測IC!DE21&gt;預測IC!DE$26,1,0)</f>
        <v>0</v>
      </c>
      <c r="DF21" s="12">
        <f>IF(預測IC!DF21&gt;預測IC!DF$26,1,0)</f>
        <v>1</v>
      </c>
      <c r="DG21" s="12">
        <f>IF(預測IC!DG21&gt;預測IC!DG$26,1,0)</f>
        <v>0</v>
      </c>
      <c r="DH21" s="12">
        <f>IF(預測IC!DH21&gt;預測IC!DH$26,1,0)</f>
        <v>1</v>
      </c>
      <c r="DI21" s="12">
        <f>IF(預測IC!DI21&gt;預測IC!DI$26,1,0)</f>
        <v>1</v>
      </c>
      <c r="DJ21" s="12">
        <f>IF(預測IC!DJ21&gt;預測IC!DJ$26,1,0)</f>
        <v>1</v>
      </c>
      <c r="DK21" s="12">
        <f>IF(預測IC!DK21&gt;預測IC!DK$26,1,0)</f>
        <v>0</v>
      </c>
      <c r="DL21" s="12">
        <f>IF(預測IC!DL21&gt;預測IC!DL$26,1,0)</f>
        <v>1</v>
      </c>
      <c r="DM21" s="12">
        <f>IF(預測IC!DM21&gt;預測IC!DM$26,1,0)</f>
        <v>1</v>
      </c>
      <c r="DN21" s="12">
        <f>IF(預測IC!DN21&gt;預測IC!DN$26,1,0)</f>
        <v>1</v>
      </c>
      <c r="DO21" s="12">
        <f>IF(預測IC!DO21&gt;預測IC!DO$26,1,0)</f>
        <v>1</v>
      </c>
      <c r="DP21" s="12">
        <f>IF(預測IC!DP21&gt;預測IC!DP$26,1,0)</f>
        <v>1</v>
      </c>
      <c r="DQ21" s="12">
        <f>IF(預測IC!DQ21&gt;預測IC!DQ$26,1,0)</f>
        <v>0</v>
      </c>
      <c r="DR21" s="12">
        <f>IF(預測IC!DR21&gt;預測IC!DR$26,1,0)</f>
        <v>0</v>
      </c>
      <c r="DS21" s="12">
        <f>IF(預測IC!DS21&gt;預測IC!DS$26,1,0)</f>
        <v>0</v>
      </c>
      <c r="DT21" s="12">
        <f>IF(預測IC!DT21&gt;預測IC!DT$26,1,0)</f>
        <v>0</v>
      </c>
      <c r="DU21" s="12">
        <f>IF(預測IC!DU21&gt;預測IC!DU$26,1,0)</f>
        <v>0</v>
      </c>
      <c r="DV21" s="12">
        <f>IF(預測IC!DV21&gt;預測IC!DV$26,1,0)</f>
        <v>0</v>
      </c>
      <c r="DW21" s="12">
        <f>IF(預測IC!DW21&gt;預測IC!DW$26,1,0)</f>
        <v>1</v>
      </c>
      <c r="DX21" s="12">
        <f>IF(預測IC!DX21&gt;預測IC!DX$26,1,0)</f>
        <v>1</v>
      </c>
      <c r="DY21" s="12">
        <f>IF(預測IC!DY21&gt;預測IC!DY$26,1,0)</f>
        <v>1</v>
      </c>
      <c r="DZ21" s="12">
        <f>IF(預測IC!DZ21&gt;預測IC!DZ$26,1,0)</f>
        <v>1</v>
      </c>
      <c r="EA21" s="12">
        <f>IF(預測IC!EA21&gt;預測IC!EA$26,1,0)</f>
        <v>1</v>
      </c>
      <c r="EB21" s="12">
        <f>IF(預測IC!EB21&gt;預測IC!EB$26,1,0)</f>
        <v>0</v>
      </c>
      <c r="EC21" s="12">
        <f>IF(預測IC!EC21&gt;預測IC!EC$26,1,0)</f>
        <v>1</v>
      </c>
      <c r="ED21" s="12">
        <f>IF(預測IC!ED21&gt;預測IC!ED$26,1,0)</f>
        <v>1</v>
      </c>
      <c r="EE21" s="12">
        <f>IF(預測IC!EE21&gt;預測IC!EE$26,1,0)</f>
        <v>0</v>
      </c>
      <c r="EF21" s="12">
        <f>IF(預測IC!EF21&gt;預測IC!EF$26,1,0)</f>
        <v>1</v>
      </c>
      <c r="EG21">
        <f t="shared" si="0"/>
        <v>72</v>
      </c>
      <c r="EH21" s="10">
        <f t="shared" si="1"/>
        <v>0.53731343283582089</v>
      </c>
    </row>
    <row r="22" spans="1:138">
      <c r="A22" s="2">
        <v>321</v>
      </c>
      <c r="B22" s="2">
        <v>3</v>
      </c>
      <c r="C22" s="12">
        <f>IF(預測IC!C22&gt;預測IC!C$26,1,0)</f>
        <v>0</v>
      </c>
      <c r="D22" s="12">
        <f>IF(預測IC!D22&gt;預測IC!D$26,1,0)</f>
        <v>1</v>
      </c>
      <c r="E22" s="12">
        <f>IF(預測IC!E22&gt;預測IC!E$26,1,0)</f>
        <v>0</v>
      </c>
      <c r="F22" s="12">
        <f>IF(預測IC!F22&gt;預測IC!F$26,1,0)</f>
        <v>1</v>
      </c>
      <c r="G22" s="12">
        <f>IF(預測IC!G22&gt;預測IC!G$26,1,0)</f>
        <v>1</v>
      </c>
      <c r="H22" s="12">
        <f>IF(預測IC!H22&gt;預測IC!H$26,1,0)</f>
        <v>1</v>
      </c>
      <c r="I22" s="12">
        <f>IF(預測IC!I22&gt;預測IC!I$26,1,0)</f>
        <v>0</v>
      </c>
      <c r="J22" s="12">
        <f>IF(預測IC!J22&gt;預測IC!J$26,1,0)</f>
        <v>0</v>
      </c>
      <c r="K22" s="12">
        <f>IF(預測IC!K22&gt;預測IC!K$26,1,0)</f>
        <v>1</v>
      </c>
      <c r="L22" s="12">
        <f>IF(預測IC!L22&gt;預測IC!L$26,1,0)</f>
        <v>0</v>
      </c>
      <c r="M22" s="12">
        <f>IF(預測IC!M22&gt;預測IC!M$26,1,0)</f>
        <v>0</v>
      </c>
      <c r="N22" s="12">
        <f>IF(預測IC!N22&gt;預測IC!N$26,1,0)</f>
        <v>0</v>
      </c>
      <c r="O22" s="12">
        <f>IF(預測IC!O22&gt;預測IC!O$26,1,0)</f>
        <v>0</v>
      </c>
      <c r="P22" s="12">
        <f>IF(預測IC!P22&gt;預測IC!P$26,1,0)</f>
        <v>1</v>
      </c>
      <c r="Q22" s="12">
        <f>IF(預測IC!Q22&gt;預測IC!Q$26,1,0)</f>
        <v>1</v>
      </c>
      <c r="R22" s="12">
        <f>IF(預測IC!R22&gt;預測IC!R$26,1,0)</f>
        <v>1</v>
      </c>
      <c r="S22" s="12">
        <f>IF(預測IC!S22&gt;預測IC!S$26,1,0)</f>
        <v>1</v>
      </c>
      <c r="T22" s="12">
        <f>IF(預測IC!T22&gt;預測IC!T$26,1,0)</f>
        <v>0</v>
      </c>
      <c r="U22" s="12">
        <f>IF(預測IC!U22&gt;預測IC!U$26,1,0)</f>
        <v>1</v>
      </c>
      <c r="V22" s="12">
        <f>IF(預測IC!V22&gt;預測IC!V$26,1,0)</f>
        <v>0</v>
      </c>
      <c r="W22" s="12">
        <f>IF(預測IC!W22&gt;預測IC!W$26,1,0)</f>
        <v>1</v>
      </c>
      <c r="X22" s="12">
        <f>IF(預測IC!X22&gt;預測IC!X$26,1,0)</f>
        <v>1</v>
      </c>
      <c r="Y22" s="12">
        <f>IF(預測IC!Y22&gt;預測IC!Y$26,1,0)</f>
        <v>0</v>
      </c>
      <c r="Z22" s="12">
        <f>IF(預測IC!Z22&gt;預測IC!Z$26,1,0)</f>
        <v>1</v>
      </c>
      <c r="AA22" s="12">
        <f>IF(預測IC!AA22&gt;預測IC!AA$26,1,0)</f>
        <v>1</v>
      </c>
      <c r="AB22" s="12">
        <f>IF(預測IC!AB22&gt;預測IC!AB$26,1,0)</f>
        <v>0</v>
      </c>
      <c r="AC22" s="12">
        <f>IF(預測IC!AC22&gt;預測IC!AC$26,1,0)</f>
        <v>0</v>
      </c>
      <c r="AD22" s="12">
        <f>IF(預測IC!AD22&gt;預測IC!AD$26,1,0)</f>
        <v>1</v>
      </c>
      <c r="AE22" s="12">
        <f>IF(預測IC!AE22&gt;預測IC!AE$26,1,0)</f>
        <v>0</v>
      </c>
      <c r="AF22" s="12">
        <f>IF(預測IC!AF22&gt;預測IC!AF$26,1,0)</f>
        <v>0</v>
      </c>
      <c r="AG22" s="12">
        <f>IF(預測IC!AG22&gt;預測IC!AG$26,1,0)</f>
        <v>0</v>
      </c>
      <c r="AH22" s="12">
        <f>IF(預測IC!AH22&gt;預測IC!AH$26,1,0)</f>
        <v>0</v>
      </c>
      <c r="AI22" s="12">
        <f>IF(預測IC!AI22&gt;預測IC!AI$26,1,0)</f>
        <v>1</v>
      </c>
      <c r="AJ22" s="12">
        <f>IF(預測IC!AJ22&gt;預測IC!AJ$26,1,0)</f>
        <v>0</v>
      </c>
      <c r="AK22" s="12">
        <f>IF(預測IC!AK22&gt;預測IC!AK$26,1,0)</f>
        <v>1</v>
      </c>
      <c r="AL22" s="12">
        <f>IF(預測IC!AL22&gt;預測IC!AL$26,1,0)</f>
        <v>1</v>
      </c>
      <c r="AM22" s="12">
        <f>IF(預測IC!AM22&gt;預測IC!AM$26,1,0)</f>
        <v>1</v>
      </c>
      <c r="AN22" s="12">
        <f>IF(預測IC!AN22&gt;預測IC!AN$26,1,0)</f>
        <v>0</v>
      </c>
      <c r="AO22" s="12">
        <f>IF(預測IC!AO22&gt;預測IC!AO$26,1,0)</f>
        <v>1</v>
      </c>
      <c r="AP22" s="12">
        <f>IF(預測IC!AP22&gt;預測IC!AP$26,1,0)</f>
        <v>1</v>
      </c>
      <c r="AQ22" s="12">
        <f>IF(預測IC!AQ22&gt;預測IC!AQ$26,1,0)</f>
        <v>0</v>
      </c>
      <c r="AR22" s="12">
        <f>IF(預測IC!AR22&gt;預測IC!AR$26,1,0)</f>
        <v>0</v>
      </c>
      <c r="AS22" s="12">
        <f>IF(預測IC!AS22&gt;預測IC!AS$26,1,0)</f>
        <v>1</v>
      </c>
      <c r="AT22" s="12">
        <f>IF(預測IC!AT22&gt;預測IC!AT$26,1,0)</f>
        <v>0</v>
      </c>
      <c r="AU22" s="12">
        <f>IF(預測IC!AU22&gt;預測IC!AU$26,1,0)</f>
        <v>1</v>
      </c>
      <c r="AV22" s="12">
        <f>IF(預測IC!AV22&gt;預測IC!AV$26,1,0)</f>
        <v>1</v>
      </c>
      <c r="AW22" s="12">
        <f>IF(預測IC!AW22&gt;預測IC!AW$26,1,0)</f>
        <v>1</v>
      </c>
      <c r="AX22" s="12">
        <f>IF(預測IC!AX22&gt;預測IC!AX$26,1,0)</f>
        <v>0</v>
      </c>
      <c r="AY22" s="12">
        <f>IF(預測IC!AY22&gt;預測IC!AY$26,1,0)</f>
        <v>0</v>
      </c>
      <c r="AZ22" s="12">
        <f>IF(預測IC!AZ22&gt;預測IC!AZ$26,1,0)</f>
        <v>1</v>
      </c>
      <c r="BA22" s="12">
        <f>IF(預測IC!BA22&gt;預測IC!BA$26,1,0)</f>
        <v>1</v>
      </c>
      <c r="BB22" s="12">
        <f>IF(預測IC!BB22&gt;預測IC!BB$26,1,0)</f>
        <v>1</v>
      </c>
      <c r="BC22" s="12">
        <f>IF(預測IC!BC22&gt;預測IC!BC$26,1,0)</f>
        <v>0</v>
      </c>
      <c r="BD22" s="12">
        <f>IF(預測IC!BD22&gt;預測IC!BD$26,1,0)</f>
        <v>1</v>
      </c>
      <c r="BE22" s="12">
        <f>IF(預測IC!BE22&gt;預測IC!BE$26,1,0)</f>
        <v>1</v>
      </c>
      <c r="BF22" s="12">
        <f>IF(預測IC!BF22&gt;預測IC!BF$26,1,0)</f>
        <v>1</v>
      </c>
      <c r="BG22" s="12">
        <f>IF(預測IC!BG22&gt;預測IC!BG$26,1,0)</f>
        <v>0</v>
      </c>
      <c r="BH22" s="12">
        <f>IF(預測IC!BH22&gt;預測IC!BH$26,1,0)</f>
        <v>1</v>
      </c>
      <c r="BI22" s="12">
        <f>IF(預測IC!BI22&gt;預測IC!BI$26,1,0)</f>
        <v>1</v>
      </c>
      <c r="BJ22" s="12">
        <f>IF(預測IC!BJ22&gt;預測IC!BJ$26,1,0)</f>
        <v>1</v>
      </c>
      <c r="BK22" s="12">
        <f>IF(預測IC!BK22&gt;預測IC!BK$26,1,0)</f>
        <v>1</v>
      </c>
      <c r="BL22" s="12">
        <f>IF(預測IC!BL22&gt;預測IC!BL$26,1,0)</f>
        <v>1</v>
      </c>
      <c r="BM22" s="12">
        <f>IF(預測IC!BM22&gt;預測IC!BM$26,1,0)</f>
        <v>1</v>
      </c>
      <c r="BN22" s="12">
        <f>IF(預測IC!BN22&gt;預測IC!BN$26,1,0)</f>
        <v>0</v>
      </c>
      <c r="BO22" s="12">
        <f>IF(預測IC!BO22&gt;預測IC!BO$26,1,0)</f>
        <v>0</v>
      </c>
      <c r="BP22" s="12">
        <f>IF(預測IC!BP22&gt;預測IC!BP$26,1,0)</f>
        <v>1</v>
      </c>
      <c r="BQ22" s="12">
        <f>IF(預測IC!BQ22&gt;預測IC!BQ$26,1,0)</f>
        <v>0</v>
      </c>
      <c r="BR22" s="12">
        <f>IF(預測IC!BR22&gt;預測IC!BR$26,1,0)</f>
        <v>1</v>
      </c>
      <c r="BS22" s="12">
        <f>IF(預測IC!BS22&gt;預測IC!BS$26,1,0)</f>
        <v>0</v>
      </c>
      <c r="BT22" s="12">
        <f>IF(預測IC!BT22&gt;預測IC!BT$26,1,0)</f>
        <v>1</v>
      </c>
      <c r="BU22" s="12">
        <f>IF(預測IC!BU22&gt;預測IC!BU$26,1,0)</f>
        <v>0</v>
      </c>
      <c r="BV22" s="12">
        <f>IF(預測IC!BV22&gt;預測IC!BV$26,1,0)</f>
        <v>0</v>
      </c>
      <c r="BW22" s="12">
        <f>IF(預測IC!BW22&gt;預測IC!BW$26,1,0)</f>
        <v>1</v>
      </c>
      <c r="BX22" s="12">
        <f>IF(預測IC!BX22&gt;預測IC!BX$26,1,0)</f>
        <v>0</v>
      </c>
      <c r="BY22" s="12">
        <f>IF(預測IC!BY22&gt;預測IC!BY$26,1,0)</f>
        <v>1</v>
      </c>
      <c r="BZ22" s="12">
        <f>IF(預測IC!BZ22&gt;預測IC!BZ$26,1,0)</f>
        <v>1</v>
      </c>
      <c r="CA22" s="12">
        <f>IF(預測IC!CA22&gt;預測IC!CA$26,1,0)</f>
        <v>1</v>
      </c>
      <c r="CB22" s="12">
        <f>IF(預測IC!CB22&gt;預測IC!CB$26,1,0)</f>
        <v>1</v>
      </c>
      <c r="CC22" s="12">
        <f>IF(預測IC!CC22&gt;預測IC!CC$26,1,0)</f>
        <v>0</v>
      </c>
      <c r="CD22" s="12">
        <f>IF(預測IC!CD22&gt;預測IC!CD$26,1,0)</f>
        <v>1</v>
      </c>
      <c r="CE22" s="12">
        <f>IF(預測IC!CE22&gt;預測IC!CE$26,1,0)</f>
        <v>1</v>
      </c>
      <c r="CF22" s="12">
        <f>IF(預測IC!CF22&gt;預測IC!CF$26,1,0)</f>
        <v>0</v>
      </c>
      <c r="CG22" s="12">
        <f>IF(預測IC!CG22&gt;預測IC!CG$26,1,0)</f>
        <v>1</v>
      </c>
      <c r="CH22" s="12">
        <f>IF(預測IC!CH22&gt;預測IC!CH$26,1,0)</f>
        <v>0</v>
      </c>
      <c r="CI22" s="12">
        <f>IF(預測IC!CI22&gt;預測IC!CI$26,1,0)</f>
        <v>0</v>
      </c>
      <c r="CJ22" s="12">
        <f>IF(預測IC!CJ22&gt;預測IC!CJ$26,1,0)</f>
        <v>0</v>
      </c>
      <c r="CK22" s="12">
        <f>IF(預測IC!CK22&gt;預測IC!CK$26,1,0)</f>
        <v>0</v>
      </c>
      <c r="CL22" s="12">
        <f>IF(預測IC!CL22&gt;預測IC!CL$26,1,0)</f>
        <v>1</v>
      </c>
      <c r="CM22" s="12">
        <f>IF(預測IC!CM22&gt;預測IC!CM$26,1,0)</f>
        <v>0</v>
      </c>
      <c r="CN22" s="12">
        <f>IF(預測IC!CN22&gt;預測IC!CN$26,1,0)</f>
        <v>0</v>
      </c>
      <c r="CO22" s="12">
        <f>IF(預測IC!CO22&gt;預測IC!CO$26,1,0)</f>
        <v>1</v>
      </c>
      <c r="CP22" s="12">
        <f>IF(預測IC!CP22&gt;預測IC!CP$26,1,0)</f>
        <v>0</v>
      </c>
      <c r="CQ22" s="12">
        <f>IF(預測IC!CQ22&gt;預測IC!CQ$26,1,0)</f>
        <v>0</v>
      </c>
      <c r="CR22" s="12">
        <f>IF(預測IC!CR22&gt;預測IC!CR$26,1,0)</f>
        <v>0</v>
      </c>
      <c r="CS22" s="12">
        <f>IF(預測IC!CS22&gt;預測IC!CS$26,1,0)</f>
        <v>0</v>
      </c>
      <c r="CT22" s="12">
        <f>IF(預測IC!CT22&gt;預測IC!CT$26,1,0)</f>
        <v>0</v>
      </c>
      <c r="CU22" s="12">
        <f>IF(預測IC!CU22&gt;預測IC!CU$26,1,0)</f>
        <v>1</v>
      </c>
      <c r="CV22" s="12">
        <f>IF(預測IC!CV22&gt;預測IC!CV$26,1,0)</f>
        <v>0</v>
      </c>
      <c r="CW22" s="12">
        <f>IF(預測IC!CW22&gt;預測IC!CW$26,1,0)</f>
        <v>0</v>
      </c>
      <c r="CX22" s="12">
        <f>IF(預測IC!CX22&gt;預測IC!CX$26,1,0)</f>
        <v>1</v>
      </c>
      <c r="CY22" s="12">
        <f>IF(預測IC!CY22&gt;預測IC!CY$26,1,0)</f>
        <v>1</v>
      </c>
      <c r="CZ22" s="12">
        <f>IF(預測IC!CZ22&gt;預測IC!CZ$26,1,0)</f>
        <v>1</v>
      </c>
      <c r="DA22" s="12">
        <f>IF(預測IC!DA22&gt;預測IC!DA$26,1,0)</f>
        <v>0</v>
      </c>
      <c r="DB22" s="12">
        <f>IF(預測IC!DB22&gt;預測IC!DB$26,1,0)</f>
        <v>1</v>
      </c>
      <c r="DC22" s="12">
        <f>IF(預測IC!DC22&gt;預測IC!DC$26,1,0)</f>
        <v>1</v>
      </c>
      <c r="DD22" s="12">
        <f>IF(預測IC!DD22&gt;預測IC!DD$26,1,0)</f>
        <v>1</v>
      </c>
      <c r="DE22" s="12">
        <f>IF(預測IC!DE22&gt;預測IC!DE$26,1,0)</f>
        <v>0</v>
      </c>
      <c r="DF22" s="12">
        <f>IF(預測IC!DF22&gt;預測IC!DF$26,1,0)</f>
        <v>1</v>
      </c>
      <c r="DG22" s="12">
        <f>IF(預測IC!DG22&gt;預測IC!DG$26,1,0)</f>
        <v>0</v>
      </c>
      <c r="DH22" s="12">
        <f>IF(預測IC!DH22&gt;預測IC!DH$26,1,0)</f>
        <v>1</v>
      </c>
      <c r="DI22" s="12">
        <f>IF(預測IC!DI22&gt;預測IC!DI$26,1,0)</f>
        <v>1</v>
      </c>
      <c r="DJ22" s="12">
        <f>IF(預測IC!DJ22&gt;預測IC!DJ$26,1,0)</f>
        <v>1</v>
      </c>
      <c r="DK22" s="12">
        <f>IF(預測IC!DK22&gt;預測IC!DK$26,1,0)</f>
        <v>0</v>
      </c>
      <c r="DL22" s="12">
        <f>IF(預測IC!DL22&gt;預測IC!DL$26,1,0)</f>
        <v>1</v>
      </c>
      <c r="DM22" s="12">
        <f>IF(預測IC!DM22&gt;預測IC!DM$26,1,0)</f>
        <v>1</v>
      </c>
      <c r="DN22" s="12">
        <f>IF(預測IC!DN22&gt;預測IC!DN$26,1,0)</f>
        <v>1</v>
      </c>
      <c r="DO22" s="12">
        <f>IF(預測IC!DO22&gt;預測IC!DO$26,1,0)</f>
        <v>1</v>
      </c>
      <c r="DP22" s="12">
        <f>IF(預測IC!DP22&gt;預測IC!DP$26,1,0)</f>
        <v>1</v>
      </c>
      <c r="DQ22" s="12">
        <f>IF(預測IC!DQ22&gt;預測IC!DQ$26,1,0)</f>
        <v>0</v>
      </c>
      <c r="DR22" s="12">
        <f>IF(預測IC!DR22&gt;預測IC!DR$26,1,0)</f>
        <v>0</v>
      </c>
      <c r="DS22" s="12">
        <f>IF(預測IC!DS22&gt;預測IC!DS$26,1,0)</f>
        <v>0</v>
      </c>
      <c r="DT22" s="12">
        <f>IF(預測IC!DT22&gt;預測IC!DT$26,1,0)</f>
        <v>0</v>
      </c>
      <c r="DU22" s="12">
        <f>IF(預測IC!DU22&gt;預測IC!DU$26,1,0)</f>
        <v>0</v>
      </c>
      <c r="DV22" s="12">
        <f>IF(預測IC!DV22&gt;預測IC!DV$26,1,0)</f>
        <v>1</v>
      </c>
      <c r="DW22" s="12">
        <f>IF(預測IC!DW22&gt;預測IC!DW$26,1,0)</f>
        <v>1</v>
      </c>
      <c r="DX22" s="12">
        <f>IF(預測IC!DX22&gt;預測IC!DX$26,1,0)</f>
        <v>1</v>
      </c>
      <c r="DY22" s="12">
        <f>IF(預測IC!DY22&gt;預測IC!DY$26,1,0)</f>
        <v>1</v>
      </c>
      <c r="DZ22" s="12">
        <f>IF(預測IC!DZ22&gt;預測IC!DZ$26,1,0)</f>
        <v>1</v>
      </c>
      <c r="EA22" s="12">
        <f>IF(預測IC!EA22&gt;預測IC!EA$26,1,0)</f>
        <v>1</v>
      </c>
      <c r="EB22" s="12">
        <f>IF(預測IC!EB22&gt;預測IC!EB$26,1,0)</f>
        <v>0</v>
      </c>
      <c r="EC22" s="12">
        <f>IF(預測IC!EC22&gt;預測IC!EC$26,1,0)</f>
        <v>1</v>
      </c>
      <c r="ED22" s="12">
        <f>IF(預測IC!ED22&gt;預測IC!ED$26,1,0)</f>
        <v>1</v>
      </c>
      <c r="EE22" s="12">
        <f>IF(預測IC!EE22&gt;預測IC!EE$26,1,0)</f>
        <v>0</v>
      </c>
      <c r="EF22" s="12">
        <f>IF(預測IC!EF22&gt;預測IC!EF$26,1,0)</f>
        <v>1</v>
      </c>
      <c r="EG22">
        <f t="shared" si="0"/>
        <v>75</v>
      </c>
      <c r="EH22" s="10">
        <f t="shared" si="1"/>
        <v>0.55970149253731338</v>
      </c>
    </row>
    <row r="23" spans="1:138">
      <c r="A23" s="2">
        <v>482</v>
      </c>
      <c r="B23" s="2">
        <v>2</v>
      </c>
      <c r="C23" s="12">
        <f>IF(預測IC!C23&gt;預測IC!C$26,1,0)</f>
        <v>1</v>
      </c>
      <c r="D23" s="12">
        <f>IF(預測IC!D23&gt;預測IC!D$26,1,0)</f>
        <v>1</v>
      </c>
      <c r="E23" s="12">
        <f>IF(預測IC!E23&gt;預測IC!E$26,1,0)</f>
        <v>1</v>
      </c>
      <c r="F23" s="12">
        <f>IF(預測IC!F23&gt;預測IC!F$26,1,0)</f>
        <v>1</v>
      </c>
      <c r="G23" s="12">
        <f>IF(預測IC!G23&gt;預測IC!G$26,1,0)</f>
        <v>1</v>
      </c>
      <c r="H23" s="12">
        <f>IF(預測IC!H23&gt;預測IC!H$26,1,0)</f>
        <v>0</v>
      </c>
      <c r="I23" s="12">
        <f>IF(預測IC!I23&gt;預測IC!I$26,1,0)</f>
        <v>0</v>
      </c>
      <c r="J23" s="12">
        <f>IF(預測IC!J23&gt;預測IC!J$26,1,0)</f>
        <v>0</v>
      </c>
      <c r="K23" s="12">
        <f>IF(預測IC!K23&gt;預測IC!K$26,1,0)</f>
        <v>1</v>
      </c>
      <c r="L23" s="12">
        <f>IF(預測IC!L23&gt;預測IC!L$26,1,0)</f>
        <v>0</v>
      </c>
      <c r="M23" s="12">
        <f>IF(預測IC!M23&gt;預測IC!M$26,1,0)</f>
        <v>0</v>
      </c>
      <c r="N23" s="12">
        <f>IF(預測IC!N23&gt;預測IC!N$26,1,0)</f>
        <v>0</v>
      </c>
      <c r="O23" s="12">
        <f>IF(預測IC!O23&gt;預測IC!O$26,1,0)</f>
        <v>0</v>
      </c>
      <c r="P23" s="12">
        <f>IF(預測IC!P23&gt;預測IC!P$26,1,0)</f>
        <v>1</v>
      </c>
      <c r="Q23" s="12">
        <f>IF(預測IC!Q23&gt;預測IC!Q$26,1,0)</f>
        <v>1</v>
      </c>
      <c r="R23" s="12">
        <f>IF(預測IC!R23&gt;預測IC!R$26,1,0)</f>
        <v>1</v>
      </c>
      <c r="S23" s="12">
        <f>IF(預測IC!S23&gt;預測IC!S$26,1,0)</f>
        <v>1</v>
      </c>
      <c r="T23" s="12">
        <f>IF(預測IC!T23&gt;預測IC!T$26,1,0)</f>
        <v>0</v>
      </c>
      <c r="U23" s="12">
        <f>IF(預測IC!U23&gt;預測IC!U$26,1,0)</f>
        <v>1</v>
      </c>
      <c r="V23" s="12">
        <f>IF(預測IC!V23&gt;預測IC!V$26,1,0)</f>
        <v>0</v>
      </c>
      <c r="W23" s="12">
        <f>IF(預測IC!W23&gt;預測IC!W$26,1,0)</f>
        <v>1</v>
      </c>
      <c r="X23" s="12">
        <f>IF(預測IC!X23&gt;預測IC!X$26,1,0)</f>
        <v>1</v>
      </c>
      <c r="Y23" s="12">
        <f>IF(預測IC!Y23&gt;預測IC!Y$26,1,0)</f>
        <v>0</v>
      </c>
      <c r="Z23" s="12">
        <f>IF(預測IC!Z23&gt;預測IC!Z$26,1,0)</f>
        <v>1</v>
      </c>
      <c r="AA23" s="12">
        <f>IF(預測IC!AA23&gt;預測IC!AA$26,1,0)</f>
        <v>1</v>
      </c>
      <c r="AB23" s="12">
        <f>IF(預測IC!AB23&gt;預測IC!AB$26,1,0)</f>
        <v>0</v>
      </c>
      <c r="AC23" s="12">
        <f>IF(預測IC!AC23&gt;預測IC!AC$26,1,0)</f>
        <v>0</v>
      </c>
      <c r="AD23" s="12">
        <f>IF(預測IC!AD23&gt;預測IC!AD$26,1,0)</f>
        <v>1</v>
      </c>
      <c r="AE23" s="12">
        <f>IF(預測IC!AE23&gt;預測IC!AE$26,1,0)</f>
        <v>0</v>
      </c>
      <c r="AF23" s="12">
        <f>IF(預測IC!AF23&gt;預測IC!AF$26,1,0)</f>
        <v>0</v>
      </c>
      <c r="AG23" s="12">
        <f>IF(預測IC!AG23&gt;預測IC!AG$26,1,0)</f>
        <v>0</v>
      </c>
      <c r="AH23" s="12">
        <f>IF(預測IC!AH23&gt;預測IC!AH$26,1,0)</f>
        <v>0</v>
      </c>
      <c r="AI23" s="12">
        <f>IF(預測IC!AI23&gt;預測IC!AI$26,1,0)</f>
        <v>1</v>
      </c>
      <c r="AJ23" s="12">
        <f>IF(預測IC!AJ23&gt;預測IC!AJ$26,1,0)</f>
        <v>0</v>
      </c>
      <c r="AK23" s="12">
        <f>IF(預測IC!AK23&gt;預測IC!AK$26,1,0)</f>
        <v>1</v>
      </c>
      <c r="AL23" s="12">
        <f>IF(預測IC!AL23&gt;預測IC!AL$26,1,0)</f>
        <v>1</v>
      </c>
      <c r="AM23" s="12">
        <f>IF(預測IC!AM23&gt;預測IC!AM$26,1,0)</f>
        <v>1</v>
      </c>
      <c r="AN23" s="12">
        <f>IF(預測IC!AN23&gt;預測IC!AN$26,1,0)</f>
        <v>0</v>
      </c>
      <c r="AO23" s="12">
        <f>IF(預測IC!AO23&gt;預測IC!AO$26,1,0)</f>
        <v>0</v>
      </c>
      <c r="AP23" s="12">
        <f>IF(預測IC!AP23&gt;預測IC!AP$26,1,0)</f>
        <v>0</v>
      </c>
      <c r="AQ23" s="12">
        <f>IF(預測IC!AQ23&gt;預測IC!AQ$26,1,0)</f>
        <v>0</v>
      </c>
      <c r="AR23" s="12">
        <f>IF(預測IC!AR23&gt;預測IC!AR$26,1,0)</f>
        <v>0</v>
      </c>
      <c r="AS23" s="12">
        <f>IF(預測IC!AS23&gt;預測IC!AS$26,1,0)</f>
        <v>1</v>
      </c>
      <c r="AT23" s="12">
        <f>IF(預測IC!AT23&gt;預測IC!AT$26,1,0)</f>
        <v>1</v>
      </c>
      <c r="AU23" s="12">
        <f>IF(預測IC!AU23&gt;預測IC!AU$26,1,0)</f>
        <v>1</v>
      </c>
      <c r="AV23" s="12">
        <f>IF(預測IC!AV23&gt;預測IC!AV$26,1,0)</f>
        <v>0</v>
      </c>
      <c r="AW23" s="12">
        <f>IF(預測IC!AW23&gt;預測IC!AW$26,1,0)</f>
        <v>1</v>
      </c>
      <c r="AX23" s="12">
        <f>IF(預測IC!AX23&gt;預測IC!AX$26,1,0)</f>
        <v>1</v>
      </c>
      <c r="AY23" s="12">
        <f>IF(預測IC!AY23&gt;預測IC!AY$26,1,0)</f>
        <v>0</v>
      </c>
      <c r="AZ23" s="12">
        <f>IF(預測IC!AZ23&gt;預測IC!AZ$26,1,0)</f>
        <v>1</v>
      </c>
      <c r="BA23" s="12">
        <f>IF(預測IC!BA23&gt;預測IC!BA$26,1,0)</f>
        <v>1</v>
      </c>
      <c r="BB23" s="12">
        <f>IF(預測IC!BB23&gt;預測IC!BB$26,1,0)</f>
        <v>1</v>
      </c>
      <c r="BC23" s="12">
        <f>IF(預測IC!BC23&gt;預測IC!BC$26,1,0)</f>
        <v>0</v>
      </c>
      <c r="BD23" s="12">
        <f>IF(預測IC!BD23&gt;預測IC!BD$26,1,0)</f>
        <v>1</v>
      </c>
      <c r="BE23" s="12">
        <f>IF(預測IC!BE23&gt;預測IC!BE$26,1,0)</f>
        <v>0</v>
      </c>
      <c r="BF23" s="12">
        <f>IF(預測IC!BF23&gt;預測IC!BF$26,1,0)</f>
        <v>0</v>
      </c>
      <c r="BG23" s="12">
        <f>IF(預測IC!BG23&gt;預測IC!BG$26,1,0)</f>
        <v>0</v>
      </c>
      <c r="BH23" s="12">
        <f>IF(預測IC!BH23&gt;預測IC!BH$26,1,0)</f>
        <v>1</v>
      </c>
      <c r="BI23" s="12">
        <f>IF(預測IC!BI23&gt;預測IC!BI$26,1,0)</f>
        <v>1</v>
      </c>
      <c r="BJ23" s="12">
        <f>IF(預測IC!BJ23&gt;預測IC!BJ$26,1,0)</f>
        <v>1</v>
      </c>
      <c r="BK23" s="12">
        <f>IF(預測IC!BK23&gt;預測IC!BK$26,1,0)</f>
        <v>1</v>
      </c>
      <c r="BL23" s="12">
        <f>IF(預測IC!BL23&gt;預測IC!BL$26,1,0)</f>
        <v>1</v>
      </c>
      <c r="BM23" s="12">
        <f>IF(預測IC!BM23&gt;預測IC!BM$26,1,0)</f>
        <v>1</v>
      </c>
      <c r="BN23" s="12">
        <f>IF(預測IC!BN23&gt;預測IC!BN$26,1,0)</f>
        <v>0</v>
      </c>
      <c r="BO23" s="12">
        <f>IF(預測IC!BO23&gt;預測IC!BO$26,1,0)</f>
        <v>1</v>
      </c>
      <c r="BP23" s="12">
        <f>IF(預測IC!BP23&gt;預測IC!BP$26,1,0)</f>
        <v>1</v>
      </c>
      <c r="BQ23" s="12">
        <f>IF(預測IC!BQ23&gt;預測IC!BQ$26,1,0)</f>
        <v>0</v>
      </c>
      <c r="BR23" s="12">
        <f>IF(預測IC!BR23&gt;預測IC!BR$26,1,0)</f>
        <v>1</v>
      </c>
      <c r="BS23" s="12">
        <f>IF(預測IC!BS23&gt;預測IC!BS$26,1,0)</f>
        <v>0</v>
      </c>
      <c r="BT23" s="12">
        <f>IF(預測IC!BT23&gt;預測IC!BT$26,1,0)</f>
        <v>1</v>
      </c>
      <c r="BU23" s="12">
        <f>IF(預測IC!BU23&gt;預測IC!BU$26,1,0)</f>
        <v>0</v>
      </c>
      <c r="BV23" s="12">
        <f>IF(預測IC!BV23&gt;預測IC!BV$26,1,0)</f>
        <v>0</v>
      </c>
      <c r="BW23" s="12">
        <f>IF(預測IC!BW23&gt;預測IC!BW$26,1,0)</f>
        <v>1</v>
      </c>
      <c r="BX23" s="12">
        <f>IF(預測IC!BX23&gt;預測IC!BX$26,1,0)</f>
        <v>0</v>
      </c>
      <c r="BY23" s="12">
        <f>IF(預測IC!BY23&gt;預測IC!BY$26,1,0)</f>
        <v>1</v>
      </c>
      <c r="BZ23" s="12">
        <f>IF(預測IC!BZ23&gt;預測IC!BZ$26,1,0)</f>
        <v>1</v>
      </c>
      <c r="CA23" s="12">
        <f>IF(預測IC!CA23&gt;預測IC!CA$26,1,0)</f>
        <v>1</v>
      </c>
      <c r="CB23" s="12">
        <f>IF(預測IC!CB23&gt;預測IC!CB$26,1,0)</f>
        <v>1</v>
      </c>
      <c r="CC23" s="12">
        <f>IF(預測IC!CC23&gt;預測IC!CC$26,1,0)</f>
        <v>0</v>
      </c>
      <c r="CD23" s="12">
        <f>IF(預測IC!CD23&gt;預測IC!CD$26,1,0)</f>
        <v>1</v>
      </c>
      <c r="CE23" s="12">
        <f>IF(預測IC!CE23&gt;預測IC!CE$26,1,0)</f>
        <v>1</v>
      </c>
      <c r="CF23" s="12">
        <f>IF(預測IC!CF23&gt;預測IC!CF$26,1,0)</f>
        <v>0</v>
      </c>
      <c r="CG23" s="12">
        <f>IF(預測IC!CG23&gt;預測IC!CG$26,1,0)</f>
        <v>1</v>
      </c>
      <c r="CH23" s="12">
        <f>IF(預測IC!CH23&gt;預測IC!CH$26,1,0)</f>
        <v>0</v>
      </c>
      <c r="CI23" s="12">
        <f>IF(預測IC!CI23&gt;預測IC!CI$26,1,0)</f>
        <v>0</v>
      </c>
      <c r="CJ23" s="12">
        <f>IF(預測IC!CJ23&gt;預測IC!CJ$26,1,0)</f>
        <v>0</v>
      </c>
      <c r="CK23" s="12">
        <f>IF(預測IC!CK23&gt;預測IC!CK$26,1,0)</f>
        <v>0</v>
      </c>
      <c r="CL23" s="12">
        <f>IF(預測IC!CL23&gt;預測IC!CL$26,1,0)</f>
        <v>1</v>
      </c>
      <c r="CM23" s="12">
        <f>IF(預測IC!CM23&gt;預測IC!CM$26,1,0)</f>
        <v>0</v>
      </c>
      <c r="CN23" s="12">
        <f>IF(預測IC!CN23&gt;預測IC!CN$26,1,0)</f>
        <v>1</v>
      </c>
      <c r="CO23" s="12">
        <f>IF(預測IC!CO23&gt;預測IC!CO$26,1,0)</f>
        <v>1</v>
      </c>
      <c r="CP23" s="12">
        <f>IF(預測IC!CP23&gt;預測IC!CP$26,1,0)</f>
        <v>0</v>
      </c>
      <c r="CQ23" s="12">
        <f>IF(預測IC!CQ23&gt;預測IC!CQ$26,1,0)</f>
        <v>0</v>
      </c>
      <c r="CR23" s="12">
        <f>IF(預測IC!CR23&gt;預測IC!CR$26,1,0)</f>
        <v>0</v>
      </c>
      <c r="CS23" s="12">
        <f>IF(預測IC!CS23&gt;預測IC!CS$26,1,0)</f>
        <v>1</v>
      </c>
      <c r="CT23" s="12">
        <f>IF(預測IC!CT23&gt;預測IC!CT$26,1,0)</f>
        <v>1</v>
      </c>
      <c r="CU23" s="12">
        <f>IF(預測IC!CU23&gt;預測IC!CU$26,1,0)</f>
        <v>1</v>
      </c>
      <c r="CV23" s="12">
        <f>IF(預測IC!CV23&gt;預測IC!CV$26,1,0)</f>
        <v>1</v>
      </c>
      <c r="CW23" s="12">
        <f>IF(預測IC!CW23&gt;預測IC!CW$26,1,0)</f>
        <v>0</v>
      </c>
      <c r="CX23" s="12">
        <f>IF(預測IC!CX23&gt;預測IC!CX$26,1,0)</f>
        <v>1</v>
      </c>
      <c r="CY23" s="12">
        <f>IF(預測IC!CY23&gt;預測IC!CY$26,1,0)</f>
        <v>1</v>
      </c>
      <c r="CZ23" s="12">
        <f>IF(預測IC!CZ23&gt;預測IC!CZ$26,1,0)</f>
        <v>1</v>
      </c>
      <c r="DA23" s="12">
        <f>IF(預測IC!DA23&gt;預測IC!DA$26,1,0)</f>
        <v>1</v>
      </c>
      <c r="DB23" s="12">
        <f>IF(預測IC!DB23&gt;預測IC!DB$26,1,0)</f>
        <v>1</v>
      </c>
      <c r="DC23" s="12">
        <f>IF(預測IC!DC23&gt;預測IC!DC$26,1,0)</f>
        <v>1</v>
      </c>
      <c r="DD23" s="12">
        <f>IF(預測IC!DD23&gt;預測IC!DD$26,1,0)</f>
        <v>1</v>
      </c>
      <c r="DE23" s="12">
        <f>IF(預測IC!DE23&gt;預測IC!DE$26,1,0)</f>
        <v>0</v>
      </c>
      <c r="DF23" s="12">
        <f>IF(預測IC!DF23&gt;預測IC!DF$26,1,0)</f>
        <v>1</v>
      </c>
      <c r="DG23" s="12">
        <f>IF(預測IC!DG23&gt;預測IC!DG$26,1,0)</f>
        <v>0</v>
      </c>
      <c r="DH23" s="12">
        <f>IF(預測IC!DH23&gt;預測IC!DH$26,1,0)</f>
        <v>1</v>
      </c>
      <c r="DI23" s="12">
        <f>IF(預測IC!DI23&gt;預測IC!DI$26,1,0)</f>
        <v>1</v>
      </c>
      <c r="DJ23" s="12">
        <f>IF(預測IC!DJ23&gt;預測IC!DJ$26,1,0)</f>
        <v>0</v>
      </c>
      <c r="DK23" s="12">
        <f>IF(預測IC!DK23&gt;預測IC!DK$26,1,0)</f>
        <v>0</v>
      </c>
      <c r="DL23" s="12">
        <f>IF(預測IC!DL23&gt;預測IC!DL$26,1,0)</f>
        <v>0</v>
      </c>
      <c r="DM23" s="12">
        <f>IF(預測IC!DM23&gt;預測IC!DM$26,1,0)</f>
        <v>1</v>
      </c>
      <c r="DN23" s="12">
        <f>IF(預測IC!DN23&gt;預測IC!DN$26,1,0)</f>
        <v>1</v>
      </c>
      <c r="DO23" s="12">
        <f>IF(預測IC!DO23&gt;預測IC!DO$26,1,0)</f>
        <v>1</v>
      </c>
      <c r="DP23" s="12">
        <f>IF(預測IC!DP23&gt;預測IC!DP$26,1,0)</f>
        <v>1</v>
      </c>
      <c r="DQ23" s="12">
        <f>IF(預測IC!DQ23&gt;預測IC!DQ$26,1,0)</f>
        <v>0</v>
      </c>
      <c r="DR23" s="12">
        <f>IF(預測IC!DR23&gt;預測IC!DR$26,1,0)</f>
        <v>0</v>
      </c>
      <c r="DS23" s="12">
        <f>IF(預測IC!DS23&gt;預測IC!DS$26,1,0)</f>
        <v>0</v>
      </c>
      <c r="DT23" s="12">
        <f>IF(預測IC!DT23&gt;預測IC!DT$26,1,0)</f>
        <v>0</v>
      </c>
      <c r="DU23" s="12">
        <f>IF(預測IC!DU23&gt;預測IC!DU$26,1,0)</f>
        <v>0</v>
      </c>
      <c r="DV23" s="12">
        <f>IF(預測IC!DV23&gt;預測IC!DV$26,1,0)</f>
        <v>1</v>
      </c>
      <c r="DW23" s="12">
        <f>IF(預測IC!DW23&gt;預測IC!DW$26,1,0)</f>
        <v>1</v>
      </c>
      <c r="DX23" s="12">
        <f>IF(預測IC!DX23&gt;預測IC!DX$26,1,0)</f>
        <v>1</v>
      </c>
      <c r="DY23" s="12">
        <f>IF(預測IC!DY23&gt;預測IC!DY$26,1,0)</f>
        <v>0</v>
      </c>
      <c r="DZ23" s="12">
        <f>IF(預測IC!DZ23&gt;預測IC!DZ$26,1,0)</f>
        <v>1</v>
      </c>
      <c r="EA23" s="12">
        <f>IF(預測IC!EA23&gt;預測IC!EA$26,1,0)</f>
        <v>0</v>
      </c>
      <c r="EB23" s="12">
        <f>IF(預測IC!EB23&gt;預測IC!EB$26,1,0)</f>
        <v>0</v>
      </c>
      <c r="EC23" s="12">
        <f>IF(預測IC!EC23&gt;預測IC!EC$26,1,0)</f>
        <v>0</v>
      </c>
      <c r="ED23" s="12">
        <f>IF(預測IC!ED23&gt;預測IC!ED$26,1,0)</f>
        <v>1</v>
      </c>
      <c r="EE23" s="12">
        <f>IF(預測IC!EE23&gt;預測IC!EE$26,1,0)</f>
        <v>0</v>
      </c>
      <c r="EF23" s="12">
        <f>IF(預測IC!EF23&gt;預測IC!EF$26,1,0)</f>
        <v>1</v>
      </c>
      <c r="EG23">
        <f t="shared" si="0"/>
        <v>74</v>
      </c>
      <c r="EH23" s="10">
        <f t="shared" si="1"/>
        <v>0.55223880597014929</v>
      </c>
    </row>
    <row r="24" spans="1:138">
      <c r="A24" s="2">
        <v>964</v>
      </c>
      <c r="B24" s="2">
        <v>1</v>
      </c>
      <c r="C24" s="12">
        <f>IF(預測IC!C24&gt;預測IC!C$26,1,0)</f>
        <v>0</v>
      </c>
      <c r="D24" s="12">
        <f>IF(預測IC!D24&gt;預測IC!D$26,1,0)</f>
        <v>1</v>
      </c>
      <c r="E24" s="12">
        <f>IF(預測IC!E24&gt;預測IC!E$26,1,0)</f>
        <v>1</v>
      </c>
      <c r="F24" s="12">
        <f>IF(預測IC!F24&gt;預測IC!F$26,1,0)</f>
        <v>1</v>
      </c>
      <c r="G24" s="12">
        <f>IF(預測IC!G24&gt;預測IC!G$26,1,0)</f>
        <v>0</v>
      </c>
      <c r="H24" s="12">
        <f>IF(預測IC!H24&gt;預測IC!H$26,1,0)</f>
        <v>1</v>
      </c>
      <c r="I24" s="12">
        <f>IF(預測IC!I24&gt;預測IC!I$26,1,0)</f>
        <v>1</v>
      </c>
      <c r="J24" s="12">
        <f>IF(預測IC!J24&gt;預測IC!J$26,1,0)</f>
        <v>0</v>
      </c>
      <c r="K24" s="12">
        <f>IF(預測IC!K24&gt;預測IC!K$26,1,0)</f>
        <v>1</v>
      </c>
      <c r="L24" s="12">
        <f>IF(預測IC!L24&gt;預測IC!L$26,1,0)</f>
        <v>0</v>
      </c>
      <c r="M24" s="12">
        <f>IF(預測IC!M24&gt;預測IC!M$26,1,0)</f>
        <v>0</v>
      </c>
      <c r="N24" s="12">
        <f>IF(預測IC!N24&gt;預測IC!N$26,1,0)</f>
        <v>0</v>
      </c>
      <c r="O24" s="12">
        <f>IF(預測IC!O24&gt;預測IC!O$26,1,0)</f>
        <v>0</v>
      </c>
      <c r="P24" s="12">
        <f>IF(預測IC!P24&gt;預測IC!P$26,1,0)</f>
        <v>0</v>
      </c>
      <c r="Q24" s="12">
        <f>IF(預測IC!Q24&gt;預測IC!Q$26,1,0)</f>
        <v>1</v>
      </c>
      <c r="R24" s="12">
        <f>IF(預測IC!R24&gt;預測IC!R$26,1,0)</f>
        <v>1</v>
      </c>
      <c r="S24" s="12">
        <f>IF(預測IC!S24&gt;預測IC!S$26,1,0)</f>
        <v>1</v>
      </c>
      <c r="T24" s="12">
        <f>IF(預測IC!T24&gt;預測IC!T$26,1,0)</f>
        <v>0</v>
      </c>
      <c r="U24" s="12">
        <f>IF(預測IC!U24&gt;預測IC!U$26,1,0)</f>
        <v>1</v>
      </c>
      <c r="V24" s="12">
        <f>IF(預測IC!V24&gt;預測IC!V$26,1,0)</f>
        <v>0</v>
      </c>
      <c r="W24" s="12">
        <f>IF(預測IC!W24&gt;預測IC!W$26,1,0)</f>
        <v>1</v>
      </c>
      <c r="X24" s="12">
        <f>IF(預測IC!X24&gt;預測IC!X$26,1,0)</f>
        <v>1</v>
      </c>
      <c r="Y24" s="12">
        <f>IF(預測IC!Y24&gt;預測IC!Y$26,1,0)</f>
        <v>0</v>
      </c>
      <c r="Z24" s="12">
        <f>IF(預測IC!Z24&gt;預測IC!Z$26,1,0)</f>
        <v>0</v>
      </c>
      <c r="AA24" s="12">
        <f>IF(預測IC!AA24&gt;預測IC!AA$26,1,0)</f>
        <v>1</v>
      </c>
      <c r="AB24" s="12">
        <f>IF(預測IC!AB24&gt;預測IC!AB$26,1,0)</f>
        <v>0</v>
      </c>
      <c r="AC24" s="12">
        <f>IF(預測IC!AC24&gt;預測IC!AC$26,1,0)</f>
        <v>0</v>
      </c>
      <c r="AD24" s="12">
        <f>IF(預測IC!AD24&gt;預測IC!AD$26,1,0)</f>
        <v>1</v>
      </c>
      <c r="AE24" s="12">
        <f>IF(預測IC!AE24&gt;預測IC!AE$26,1,0)</f>
        <v>0</v>
      </c>
      <c r="AF24" s="12">
        <f>IF(預測IC!AF24&gt;預測IC!AF$26,1,0)</f>
        <v>0</v>
      </c>
      <c r="AG24" s="12">
        <f>IF(預測IC!AG24&gt;預測IC!AG$26,1,0)</f>
        <v>1</v>
      </c>
      <c r="AH24" s="12">
        <f>IF(預測IC!AH24&gt;預測IC!AH$26,1,0)</f>
        <v>0</v>
      </c>
      <c r="AI24" s="12">
        <f>IF(預測IC!AI24&gt;預測IC!AI$26,1,0)</f>
        <v>1</v>
      </c>
      <c r="AJ24" s="12">
        <f>IF(預測IC!AJ24&gt;預測IC!AJ$26,1,0)</f>
        <v>0</v>
      </c>
      <c r="AK24" s="12">
        <f>IF(預測IC!AK24&gt;預測IC!AK$26,1,0)</f>
        <v>1</v>
      </c>
      <c r="AL24" s="12">
        <f>IF(預測IC!AL24&gt;預測IC!AL$26,1,0)</f>
        <v>0</v>
      </c>
      <c r="AM24" s="12">
        <f>IF(預測IC!AM24&gt;預測IC!AM$26,1,0)</f>
        <v>1</v>
      </c>
      <c r="AN24" s="12">
        <f>IF(預測IC!AN24&gt;預測IC!AN$26,1,0)</f>
        <v>0</v>
      </c>
      <c r="AO24" s="12">
        <f>IF(預測IC!AO24&gt;預測IC!AO$26,1,0)</f>
        <v>1</v>
      </c>
      <c r="AP24" s="12">
        <f>IF(預測IC!AP24&gt;預測IC!AP$26,1,0)</f>
        <v>0</v>
      </c>
      <c r="AQ24" s="12">
        <f>IF(預測IC!AQ24&gt;預測IC!AQ$26,1,0)</f>
        <v>0</v>
      </c>
      <c r="AR24" s="12">
        <f>IF(預測IC!AR24&gt;預測IC!AR$26,1,0)</f>
        <v>0</v>
      </c>
      <c r="AS24" s="12">
        <f>IF(預測IC!AS24&gt;預測IC!AS$26,1,0)</f>
        <v>1</v>
      </c>
      <c r="AT24" s="12">
        <f>IF(預測IC!AT24&gt;預測IC!AT$26,1,0)</f>
        <v>0</v>
      </c>
      <c r="AU24" s="12">
        <f>IF(預測IC!AU24&gt;預測IC!AU$26,1,0)</f>
        <v>1</v>
      </c>
      <c r="AV24" s="12">
        <f>IF(預測IC!AV24&gt;預測IC!AV$26,1,0)</f>
        <v>0</v>
      </c>
      <c r="AW24" s="12">
        <f>IF(預測IC!AW24&gt;預測IC!AW$26,1,0)</f>
        <v>1</v>
      </c>
      <c r="AX24" s="12">
        <f>IF(預測IC!AX24&gt;預測IC!AX$26,1,0)</f>
        <v>0</v>
      </c>
      <c r="AY24" s="12">
        <f>IF(預測IC!AY24&gt;預測IC!AY$26,1,0)</f>
        <v>0</v>
      </c>
      <c r="AZ24" s="12">
        <f>IF(預測IC!AZ24&gt;預測IC!AZ$26,1,0)</f>
        <v>1</v>
      </c>
      <c r="BA24" s="12">
        <f>IF(預測IC!BA24&gt;預測IC!BA$26,1,0)</f>
        <v>1</v>
      </c>
      <c r="BB24" s="12">
        <f>IF(預測IC!BB24&gt;預測IC!BB$26,1,0)</f>
        <v>1</v>
      </c>
      <c r="BC24" s="12">
        <f>IF(預測IC!BC24&gt;預測IC!BC$26,1,0)</f>
        <v>0</v>
      </c>
      <c r="BD24" s="12">
        <f>IF(預測IC!BD24&gt;預測IC!BD$26,1,0)</f>
        <v>1</v>
      </c>
      <c r="BE24" s="12">
        <f>IF(預測IC!BE24&gt;預測IC!BE$26,1,0)</f>
        <v>0</v>
      </c>
      <c r="BF24" s="12">
        <f>IF(預測IC!BF24&gt;預測IC!BF$26,1,0)</f>
        <v>1</v>
      </c>
      <c r="BG24" s="12">
        <f>IF(預測IC!BG24&gt;預測IC!BG$26,1,0)</f>
        <v>0</v>
      </c>
      <c r="BH24" s="12">
        <f>IF(預測IC!BH24&gt;預測IC!BH$26,1,0)</f>
        <v>1</v>
      </c>
      <c r="BI24" s="12">
        <f>IF(預測IC!BI24&gt;預測IC!BI$26,1,0)</f>
        <v>1</v>
      </c>
      <c r="BJ24" s="12">
        <f>IF(預測IC!BJ24&gt;預測IC!BJ$26,1,0)</f>
        <v>1</v>
      </c>
      <c r="BK24" s="12">
        <f>IF(預測IC!BK24&gt;預測IC!BK$26,1,0)</f>
        <v>1</v>
      </c>
      <c r="BL24" s="12">
        <f>IF(預測IC!BL24&gt;預測IC!BL$26,1,0)</f>
        <v>1</v>
      </c>
      <c r="BM24" s="12">
        <f>IF(預測IC!BM24&gt;預測IC!BM$26,1,0)</f>
        <v>0</v>
      </c>
      <c r="BN24" s="12">
        <f>IF(預測IC!BN24&gt;預測IC!BN$26,1,0)</f>
        <v>0</v>
      </c>
      <c r="BO24" s="12">
        <f>IF(預測IC!BO24&gt;預測IC!BO$26,1,0)</f>
        <v>0</v>
      </c>
      <c r="BP24" s="12">
        <f>IF(預測IC!BP24&gt;預測IC!BP$26,1,0)</f>
        <v>1</v>
      </c>
      <c r="BQ24" s="12">
        <f>IF(預測IC!BQ24&gt;預測IC!BQ$26,1,0)</f>
        <v>0</v>
      </c>
      <c r="BR24" s="12">
        <f>IF(預測IC!BR24&gt;預測IC!BR$26,1,0)</f>
        <v>1</v>
      </c>
      <c r="BS24" s="12">
        <f>IF(預測IC!BS24&gt;預測IC!BS$26,1,0)</f>
        <v>0</v>
      </c>
      <c r="BT24" s="12">
        <f>IF(預測IC!BT24&gt;預測IC!BT$26,1,0)</f>
        <v>1</v>
      </c>
      <c r="BU24" s="12">
        <f>IF(預測IC!BU24&gt;預測IC!BU$26,1,0)</f>
        <v>0</v>
      </c>
      <c r="BV24" s="12">
        <f>IF(預測IC!BV24&gt;預測IC!BV$26,1,0)</f>
        <v>0</v>
      </c>
      <c r="BW24" s="12">
        <f>IF(預測IC!BW24&gt;預測IC!BW$26,1,0)</f>
        <v>1</v>
      </c>
      <c r="BX24" s="12">
        <f>IF(預測IC!BX24&gt;預測IC!BX$26,1,0)</f>
        <v>0</v>
      </c>
      <c r="BY24" s="12">
        <f>IF(預測IC!BY24&gt;預測IC!BY$26,1,0)</f>
        <v>0</v>
      </c>
      <c r="BZ24" s="12">
        <f>IF(預測IC!BZ24&gt;預測IC!BZ$26,1,0)</f>
        <v>1</v>
      </c>
      <c r="CA24" s="12">
        <f>IF(預測IC!CA24&gt;預測IC!CA$26,1,0)</f>
        <v>1</v>
      </c>
      <c r="CB24" s="12">
        <f>IF(預測IC!CB24&gt;預測IC!CB$26,1,0)</f>
        <v>1</v>
      </c>
      <c r="CC24" s="12">
        <f>IF(預測IC!CC24&gt;預測IC!CC$26,1,0)</f>
        <v>0</v>
      </c>
      <c r="CD24" s="12">
        <f>IF(預測IC!CD24&gt;預測IC!CD$26,1,0)</f>
        <v>1</v>
      </c>
      <c r="CE24" s="12">
        <f>IF(預測IC!CE24&gt;預測IC!CE$26,1,0)</f>
        <v>1</v>
      </c>
      <c r="CF24" s="12">
        <f>IF(預測IC!CF24&gt;預測IC!CF$26,1,0)</f>
        <v>0</v>
      </c>
      <c r="CG24" s="12">
        <f>IF(預測IC!CG24&gt;預測IC!CG$26,1,0)</f>
        <v>1</v>
      </c>
      <c r="CH24" s="12">
        <f>IF(預測IC!CH24&gt;預測IC!CH$26,1,0)</f>
        <v>1</v>
      </c>
      <c r="CI24" s="12">
        <f>IF(預測IC!CI24&gt;預測IC!CI$26,1,0)</f>
        <v>0</v>
      </c>
      <c r="CJ24" s="12">
        <f>IF(預測IC!CJ24&gt;預測IC!CJ$26,1,0)</f>
        <v>1</v>
      </c>
      <c r="CK24" s="12">
        <f>IF(預測IC!CK24&gt;預測IC!CK$26,1,0)</f>
        <v>1</v>
      </c>
      <c r="CL24" s="12">
        <f>IF(預測IC!CL24&gt;預測IC!CL$26,1,0)</f>
        <v>0</v>
      </c>
      <c r="CM24" s="12">
        <f>IF(預測IC!CM24&gt;預測IC!CM$26,1,0)</f>
        <v>0</v>
      </c>
      <c r="CN24" s="12">
        <f>IF(預測IC!CN24&gt;預測IC!CN$26,1,0)</f>
        <v>0</v>
      </c>
      <c r="CO24" s="12">
        <f>IF(預測IC!CO24&gt;預測IC!CO$26,1,0)</f>
        <v>1</v>
      </c>
      <c r="CP24" s="12">
        <f>IF(預測IC!CP24&gt;預測IC!CP$26,1,0)</f>
        <v>0</v>
      </c>
      <c r="CQ24" s="12">
        <f>IF(預測IC!CQ24&gt;預測IC!CQ$26,1,0)</f>
        <v>0</v>
      </c>
      <c r="CR24" s="12">
        <f>IF(預測IC!CR24&gt;預測IC!CR$26,1,0)</f>
        <v>0</v>
      </c>
      <c r="CS24" s="12">
        <f>IF(預測IC!CS24&gt;預測IC!CS$26,1,0)</f>
        <v>1</v>
      </c>
      <c r="CT24" s="12">
        <f>IF(預測IC!CT24&gt;預測IC!CT$26,1,0)</f>
        <v>0</v>
      </c>
      <c r="CU24" s="12">
        <f>IF(預測IC!CU24&gt;預測IC!CU$26,1,0)</f>
        <v>1</v>
      </c>
      <c r="CV24" s="12">
        <f>IF(預測IC!CV24&gt;預測IC!CV$26,1,0)</f>
        <v>0</v>
      </c>
      <c r="CW24" s="12">
        <f>IF(預測IC!CW24&gt;預測IC!CW$26,1,0)</f>
        <v>0</v>
      </c>
      <c r="CX24" s="12">
        <f>IF(預測IC!CX24&gt;預測IC!CX$26,1,0)</f>
        <v>1</v>
      </c>
      <c r="CY24" s="12">
        <f>IF(預測IC!CY24&gt;預測IC!CY$26,1,0)</f>
        <v>1</v>
      </c>
      <c r="CZ24" s="12">
        <f>IF(預測IC!CZ24&gt;預測IC!CZ$26,1,0)</f>
        <v>1</v>
      </c>
      <c r="DA24" s="12">
        <f>IF(預測IC!DA24&gt;預測IC!DA$26,1,0)</f>
        <v>0</v>
      </c>
      <c r="DB24" s="12">
        <f>IF(預測IC!DB24&gt;預測IC!DB$26,1,0)</f>
        <v>0</v>
      </c>
      <c r="DC24" s="12">
        <f>IF(預測IC!DC24&gt;預測IC!DC$26,1,0)</f>
        <v>1</v>
      </c>
      <c r="DD24" s="12">
        <f>IF(預測IC!DD24&gt;預測IC!DD$26,1,0)</f>
        <v>1</v>
      </c>
      <c r="DE24" s="12">
        <f>IF(預測IC!DE24&gt;預測IC!DE$26,1,0)</f>
        <v>0</v>
      </c>
      <c r="DF24" s="12">
        <f>IF(預測IC!DF24&gt;預測IC!DF$26,1,0)</f>
        <v>1</v>
      </c>
      <c r="DG24" s="12">
        <f>IF(預測IC!DG24&gt;預測IC!DG$26,1,0)</f>
        <v>0</v>
      </c>
      <c r="DH24" s="12">
        <f>IF(預測IC!DH24&gt;預測IC!DH$26,1,0)</f>
        <v>1</v>
      </c>
      <c r="DI24" s="12">
        <f>IF(預測IC!DI24&gt;預測IC!DI$26,1,0)</f>
        <v>1</v>
      </c>
      <c r="DJ24" s="12">
        <f>IF(預測IC!DJ24&gt;預測IC!DJ$26,1,0)</f>
        <v>1</v>
      </c>
      <c r="DK24" s="12">
        <f>IF(預測IC!DK24&gt;預測IC!DK$26,1,0)</f>
        <v>0</v>
      </c>
      <c r="DL24" s="12">
        <f>IF(預測IC!DL24&gt;預測IC!DL$26,1,0)</f>
        <v>0</v>
      </c>
      <c r="DM24" s="12">
        <f>IF(預測IC!DM24&gt;預測IC!DM$26,1,0)</f>
        <v>0</v>
      </c>
      <c r="DN24" s="12">
        <f>IF(預測IC!DN24&gt;預測IC!DN$26,1,0)</f>
        <v>1</v>
      </c>
      <c r="DO24" s="12">
        <f>IF(預測IC!DO24&gt;預測IC!DO$26,1,0)</f>
        <v>1</v>
      </c>
      <c r="DP24" s="12">
        <f>IF(預測IC!DP24&gt;預測IC!DP$26,1,0)</f>
        <v>1</v>
      </c>
      <c r="DQ24" s="12">
        <f>IF(預測IC!DQ24&gt;預測IC!DQ$26,1,0)</f>
        <v>0</v>
      </c>
      <c r="DR24" s="12">
        <f>IF(預測IC!DR24&gt;預測IC!DR$26,1,0)</f>
        <v>0</v>
      </c>
      <c r="DS24" s="12">
        <f>IF(預測IC!DS24&gt;預測IC!DS$26,1,0)</f>
        <v>0</v>
      </c>
      <c r="DT24" s="12">
        <f>IF(預測IC!DT24&gt;預測IC!DT$26,1,0)</f>
        <v>0</v>
      </c>
      <c r="DU24" s="12">
        <f>IF(預測IC!DU24&gt;預測IC!DU$26,1,0)</f>
        <v>0</v>
      </c>
      <c r="DV24" s="12">
        <f>IF(預測IC!DV24&gt;預測IC!DV$26,1,0)</f>
        <v>1</v>
      </c>
      <c r="DW24" s="12">
        <f>IF(預測IC!DW24&gt;預測IC!DW$26,1,0)</f>
        <v>1</v>
      </c>
      <c r="DX24" s="12">
        <f>IF(預測IC!DX24&gt;預測IC!DX$26,1,0)</f>
        <v>1</v>
      </c>
      <c r="DY24" s="12">
        <f>IF(預測IC!DY24&gt;預測IC!DY$26,1,0)</f>
        <v>1</v>
      </c>
      <c r="DZ24" s="12">
        <f>IF(預測IC!DZ24&gt;預測IC!DZ$26,1,0)</f>
        <v>1</v>
      </c>
      <c r="EA24" s="12">
        <f>IF(預測IC!EA24&gt;預測IC!EA$26,1,0)</f>
        <v>0</v>
      </c>
      <c r="EB24" s="12">
        <f>IF(預測IC!EB24&gt;預測IC!EB$26,1,0)</f>
        <v>0</v>
      </c>
      <c r="EC24" s="12">
        <f>IF(預測IC!EC24&gt;預測IC!EC$26,1,0)</f>
        <v>1</v>
      </c>
      <c r="ED24" s="12">
        <f>IF(預測IC!ED24&gt;預測IC!ED$26,1,0)</f>
        <v>1</v>
      </c>
      <c r="EE24" s="12">
        <f>IF(預測IC!EE24&gt;預測IC!EE$26,1,0)</f>
        <v>0</v>
      </c>
      <c r="EF24" s="12">
        <f>IF(預測IC!EF24&gt;預測IC!EF$26,1,0)</f>
        <v>0</v>
      </c>
      <c r="EG24">
        <f t="shared" si="0"/>
        <v>67</v>
      </c>
      <c r="EH24" s="10">
        <f t="shared" si="1"/>
        <v>0.5</v>
      </c>
    </row>
    <row r="26" spans="1:138">
      <c r="A26" s="2" t="s">
        <v>144</v>
      </c>
      <c r="B26" s="2" t="s">
        <v>145</v>
      </c>
      <c r="C26" s="4">
        <v>-1.7446770539390338E-2</v>
      </c>
      <c r="D26" s="4">
        <v>2.070106053181563E-2</v>
      </c>
      <c r="E26" s="4">
        <v>2.3982129254766709E-2</v>
      </c>
      <c r="F26" s="4">
        <v>-6.557578972823077E-3</v>
      </c>
      <c r="G26" s="4">
        <v>3.1845129800519692E-2</v>
      </c>
      <c r="H26" s="4">
        <v>3.4348532736990518E-2</v>
      </c>
      <c r="I26" s="4">
        <v>-8.2549327813252367E-3</v>
      </c>
      <c r="J26" s="4">
        <v>1.2843524394052759E-2</v>
      </c>
      <c r="K26" s="4">
        <v>-5.1018524626790823E-2</v>
      </c>
      <c r="L26" s="4">
        <v>8.7394274103658827E-4</v>
      </c>
      <c r="M26" s="4">
        <v>2.3389575505495919E-2</v>
      </c>
      <c r="N26" s="4">
        <v>1.2988972200332851E-2</v>
      </c>
      <c r="O26" s="4">
        <v>5.8545887256348812E-3</v>
      </c>
      <c r="P26" s="4">
        <v>2.7413206571790558E-2</v>
      </c>
      <c r="Q26" s="4">
        <v>-3.7129361176928542E-3</v>
      </c>
      <c r="R26" s="4">
        <v>2.4076614047823328E-2</v>
      </c>
      <c r="S26" s="4">
        <v>-1.219002529903996E-2</v>
      </c>
      <c r="T26" s="4">
        <v>-3.9749578159589592E-2</v>
      </c>
      <c r="U26" s="4">
        <v>-7.3155449831649552E-2</v>
      </c>
      <c r="V26" s="4">
        <v>-5.8260229910114661E-2</v>
      </c>
      <c r="W26" s="4">
        <v>7.7279756550837221E-4</v>
      </c>
      <c r="X26" s="4">
        <v>4.459152113521897E-2</v>
      </c>
      <c r="Y26" s="4">
        <v>-2.7699680050213091E-2</v>
      </c>
      <c r="Z26" s="4">
        <v>2.0950059497436462E-3</v>
      </c>
      <c r="AA26" s="4">
        <v>-2.340055099256411E-2</v>
      </c>
      <c r="AB26" s="4">
        <v>3.2129371097322189E-2</v>
      </c>
      <c r="AC26" s="4">
        <v>3.890327309406643E-2</v>
      </c>
      <c r="AD26" s="4">
        <v>-4.286538217110427E-2</v>
      </c>
      <c r="AE26" s="4">
        <v>1.8647194550152159E-2</v>
      </c>
      <c r="AF26" s="4">
        <v>1.5229768322528949E-2</v>
      </c>
      <c r="AG26" s="4">
        <v>3.6016603778892417E-2</v>
      </c>
      <c r="AH26" s="4">
        <v>9.3546113853161701E-3</v>
      </c>
      <c r="AI26" s="4">
        <v>1.0748251336838139E-2</v>
      </c>
      <c r="AJ26" s="4">
        <v>1.335775405308097E-2</v>
      </c>
      <c r="AK26" s="4">
        <v>-5.3327473290953921E-3</v>
      </c>
      <c r="AL26" s="4">
        <v>1.383135807261675E-3</v>
      </c>
      <c r="AM26" s="4">
        <v>2.079592842007446E-2</v>
      </c>
      <c r="AN26" s="4">
        <v>3.1517702220390638E-2</v>
      </c>
      <c r="AO26" s="4">
        <v>6.2417165333294418E-3</v>
      </c>
      <c r="AP26" s="4">
        <v>6.1452616535713897E-3</v>
      </c>
      <c r="AQ26" s="4">
        <v>1.694635767669651E-2</v>
      </c>
      <c r="AR26" s="4">
        <v>3.4682830454308228E-2</v>
      </c>
      <c r="AS26" s="4">
        <v>3.0985886171969678E-3</v>
      </c>
      <c r="AT26" s="4">
        <v>1.508134714348611E-2</v>
      </c>
      <c r="AU26" s="4">
        <v>-1.9251209229863991E-2</v>
      </c>
      <c r="AV26" s="4">
        <v>3.8711513387631437E-2</v>
      </c>
      <c r="AW26" s="4">
        <v>-2.1856951135736599E-2</v>
      </c>
      <c r="AX26" s="4">
        <v>7.7743007097896798E-3</v>
      </c>
      <c r="AY26" s="4">
        <v>4.2397246695325942E-2</v>
      </c>
      <c r="AZ26" s="4">
        <v>-2.630897486115975E-2</v>
      </c>
      <c r="BA26" s="4">
        <v>9.5717493087162323E-3</v>
      </c>
      <c r="BB26" s="4">
        <v>-2.424974126627483E-2</v>
      </c>
      <c r="BC26" s="4">
        <v>2.0163374143915822E-2</v>
      </c>
      <c r="BD26" s="4">
        <v>-3.5049987821160239E-3</v>
      </c>
      <c r="BE26" s="4">
        <v>2.0151935098542271E-2</v>
      </c>
      <c r="BF26" s="4">
        <v>5.8133623077027128E-4</v>
      </c>
      <c r="BG26" s="4">
        <v>-5.2197009532526043E-3</v>
      </c>
      <c r="BH26" s="4">
        <v>-0.11587176140213</v>
      </c>
      <c r="BI26" s="4">
        <v>8.7252256924373536E-3</v>
      </c>
      <c r="BJ26" s="4">
        <v>-1.6377260977822151E-2</v>
      </c>
      <c r="BK26" s="4">
        <v>2.0840371600260421E-2</v>
      </c>
      <c r="BL26" s="4">
        <v>4.4975872102114713E-2</v>
      </c>
      <c r="BM26" s="4">
        <v>2.3954306081863871E-2</v>
      </c>
      <c r="BN26" s="4">
        <v>3.0239101391442601E-2</v>
      </c>
      <c r="BO26" s="4">
        <v>-4.372588759108751E-2</v>
      </c>
      <c r="BP26" s="4">
        <v>2.1889469568198618E-2</v>
      </c>
      <c r="BQ26" s="4">
        <v>8.6274302635084028E-3</v>
      </c>
      <c r="BR26" s="4">
        <v>-1.9192953994658781E-2</v>
      </c>
      <c r="BS26" s="4">
        <v>1.973512988813305E-2</v>
      </c>
      <c r="BT26" s="4">
        <v>4.7694337483699438E-2</v>
      </c>
      <c r="BU26" s="4">
        <v>1.145481680658339E-2</v>
      </c>
      <c r="BV26" s="4">
        <v>4.3228620735213191E-2</v>
      </c>
      <c r="BW26" s="4">
        <v>-4.2747430436922793E-2</v>
      </c>
      <c r="BX26" s="4">
        <v>-1.781129242779457E-2</v>
      </c>
      <c r="BY26" s="4">
        <v>-0.1511530968690756</v>
      </c>
      <c r="BZ26" s="4">
        <v>0.12422400361957529</v>
      </c>
      <c r="CA26" s="4">
        <v>-4.5572538445296431E-3</v>
      </c>
      <c r="CB26" s="4">
        <v>6.0211240204911178E-2</v>
      </c>
      <c r="CC26" s="4">
        <v>8.5992033482502284E-2</v>
      </c>
      <c r="CD26" s="4">
        <v>-5.8084795823660634E-3</v>
      </c>
      <c r="CE26" s="4">
        <v>-6.0413469889680736E-3</v>
      </c>
      <c r="CF26" s="4">
        <v>2.4523243722520739E-3</v>
      </c>
      <c r="CG26" s="4">
        <v>8.963625193702289E-2</v>
      </c>
      <c r="CH26" s="4">
        <v>7.099273252675789E-2</v>
      </c>
      <c r="CI26" s="4">
        <v>2.7170642901783448E-2</v>
      </c>
      <c r="CJ26" s="4">
        <v>5.2468428425330033E-2</v>
      </c>
      <c r="CK26" s="4">
        <v>2.9480660943049509E-2</v>
      </c>
      <c r="CL26" s="4">
        <v>6.6825081060201283E-2</v>
      </c>
      <c r="CM26" s="4">
        <v>-2.8772229019816971E-2</v>
      </c>
      <c r="CN26" s="4">
        <v>3.9462515901637851E-2</v>
      </c>
      <c r="CO26" s="4">
        <v>-2.9031086977359909E-2</v>
      </c>
      <c r="CP26" s="4">
        <v>1.3983882519467901E-2</v>
      </c>
      <c r="CQ26" s="4">
        <v>-3.2276964959333833E-2</v>
      </c>
      <c r="CR26" s="4">
        <v>3.1035766128940231E-3</v>
      </c>
      <c r="CS26" s="4">
        <v>2.5591855767083171E-2</v>
      </c>
      <c r="CT26" s="4">
        <v>4.4391886287193302E-2</v>
      </c>
      <c r="CU26" s="4">
        <v>-3.0338958549577438E-2</v>
      </c>
      <c r="CV26" s="4">
        <v>-1.2579764545717069E-3</v>
      </c>
      <c r="CW26" s="4">
        <v>2.336356455857952E-3</v>
      </c>
      <c r="CX26" s="4">
        <v>-6.4264144925906069E-2</v>
      </c>
      <c r="CY26" s="4">
        <v>1.2909779458992439E-2</v>
      </c>
      <c r="CZ26" s="4">
        <v>-0.12547709467085871</v>
      </c>
      <c r="DA26" s="4">
        <v>1.1690682939792569E-2</v>
      </c>
      <c r="DB26" s="4">
        <v>6.3378437007417512E-3</v>
      </c>
      <c r="DC26" s="4">
        <v>-0.1173053564693855</v>
      </c>
      <c r="DD26" s="4">
        <v>-3.6010872049446613E-2</v>
      </c>
      <c r="DE26" s="4">
        <v>0.1389113040722679</v>
      </c>
      <c r="DF26" s="4">
        <v>-5.1143506226105737E-2</v>
      </c>
      <c r="DG26" s="4">
        <v>7.6731447181969059E-2</v>
      </c>
      <c r="DH26" s="4">
        <v>1.550878219700816E-2</v>
      </c>
      <c r="DI26" s="4">
        <v>2.3223773674755831E-2</v>
      </c>
      <c r="DJ26" s="4">
        <v>-1.8372876361227891E-2</v>
      </c>
      <c r="DK26" s="4">
        <v>6.2199014085099431E-2</v>
      </c>
      <c r="DL26" s="4">
        <v>2.0098304486957191E-2</v>
      </c>
      <c r="DM26" s="4">
        <v>1.349893974806809E-2</v>
      </c>
      <c r="DN26" s="4">
        <v>-3.025221272842088E-2</v>
      </c>
      <c r="DO26" s="4">
        <v>-1.7022835708053841E-2</v>
      </c>
      <c r="DP26" s="4">
        <v>-2.1788523272461981E-2</v>
      </c>
      <c r="DQ26" s="4">
        <v>8.5745624585137223E-2</v>
      </c>
      <c r="DR26" s="4">
        <v>2.8106743604973752E-2</v>
      </c>
      <c r="DS26" s="4">
        <v>-2.3031598073594501E-3</v>
      </c>
      <c r="DT26" s="4">
        <v>5.8471198131487503E-2</v>
      </c>
      <c r="DU26" s="4">
        <v>6.7658949048647651E-2</v>
      </c>
      <c r="DV26" s="4">
        <v>5.0207706404322644E-3</v>
      </c>
      <c r="DW26" s="4">
        <v>3.7416183675207063E-2</v>
      </c>
      <c r="DX26" s="4">
        <v>8.4111003746042121E-2</v>
      </c>
      <c r="DY26" s="4">
        <v>-3.6832398544012837E-2</v>
      </c>
      <c r="DZ26" s="4">
        <v>3.0917028169369942E-3</v>
      </c>
      <c r="EA26" s="4">
        <v>-1.957628214294549E-3</v>
      </c>
      <c r="EB26" s="4">
        <v>2.6459103603519739E-2</v>
      </c>
      <c r="EC26" s="4">
        <v>-2.4752538760690269E-2</v>
      </c>
      <c r="ED26" s="4">
        <v>3.4115490982559941E-2</v>
      </c>
      <c r="EE26" s="4">
        <v>2.1061973989032982E-2</v>
      </c>
      <c r="EF26" s="4">
        <v>-2.0277392706005919E-2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F26"/>
  <sheetViews>
    <sheetView zoomScale="150" zoomScaleNormal="90" workbookViewId="0">
      <selection activeCell="C3" sqref="C3:EF5"/>
    </sheetView>
  </sheetViews>
  <sheetFormatPr baseColWidth="10" defaultColWidth="8.83203125" defaultRowHeight="15"/>
  <sheetData>
    <row r="1" spans="1:136" s="1" customFormat="1">
      <c r="A1" s="2" t="s">
        <v>209</v>
      </c>
    </row>
    <row r="2" spans="1:136" s="1" customFormat="1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  <c r="CN2" s="3" t="s">
        <v>90</v>
      </c>
      <c r="CO2" s="3" t="s">
        <v>91</v>
      </c>
      <c r="CP2" s="3" t="s">
        <v>92</v>
      </c>
      <c r="CQ2" s="3" t="s">
        <v>93</v>
      </c>
      <c r="CR2" s="3" t="s">
        <v>94</v>
      </c>
      <c r="CS2" s="3" t="s">
        <v>95</v>
      </c>
      <c r="CT2" s="3" t="s">
        <v>96</v>
      </c>
      <c r="CU2" s="3" t="s">
        <v>97</v>
      </c>
      <c r="CV2" s="3" t="s">
        <v>98</v>
      </c>
      <c r="CW2" s="3" t="s">
        <v>99</v>
      </c>
      <c r="CX2" s="3" t="s">
        <v>100</v>
      </c>
      <c r="CY2" s="3" t="s">
        <v>101</v>
      </c>
      <c r="CZ2" s="3" t="s">
        <v>102</v>
      </c>
      <c r="DA2" s="3" t="s">
        <v>103</v>
      </c>
      <c r="DB2" s="3" t="s">
        <v>104</v>
      </c>
      <c r="DC2" s="3" t="s">
        <v>105</v>
      </c>
      <c r="DD2" s="3" t="s">
        <v>106</v>
      </c>
      <c r="DE2" s="3" t="s">
        <v>107</v>
      </c>
      <c r="DF2" s="3" t="s">
        <v>108</v>
      </c>
      <c r="DG2" s="3" t="s">
        <v>109</v>
      </c>
      <c r="DH2" s="3" t="s">
        <v>110</v>
      </c>
      <c r="DI2" s="3" t="s">
        <v>111</v>
      </c>
      <c r="DJ2" s="3" t="s">
        <v>112</v>
      </c>
      <c r="DK2" s="3" t="s">
        <v>113</v>
      </c>
      <c r="DL2" s="3" t="s">
        <v>114</v>
      </c>
      <c r="DM2" s="3" t="s">
        <v>115</v>
      </c>
      <c r="DN2" s="3" t="s">
        <v>116</v>
      </c>
      <c r="DO2" s="3" t="s">
        <v>117</v>
      </c>
      <c r="DP2" s="3" t="s">
        <v>118</v>
      </c>
      <c r="DQ2" s="3" t="s">
        <v>119</v>
      </c>
      <c r="DR2" s="3" t="s">
        <v>120</v>
      </c>
      <c r="DS2" s="3" t="s">
        <v>121</v>
      </c>
      <c r="DT2" s="3" t="s">
        <v>122</v>
      </c>
      <c r="DU2" s="3" t="s">
        <v>123</v>
      </c>
      <c r="DV2" s="3" t="s">
        <v>124</v>
      </c>
      <c r="DW2" s="3" t="s">
        <v>125</v>
      </c>
      <c r="DX2" s="3" t="s">
        <v>126</v>
      </c>
      <c r="DY2" s="3" t="s">
        <v>127</v>
      </c>
      <c r="DZ2" s="3" t="s">
        <v>128</v>
      </c>
      <c r="EA2" s="3" t="s">
        <v>129</v>
      </c>
      <c r="EB2" s="3" t="s">
        <v>130</v>
      </c>
      <c r="EC2" s="3" t="s">
        <v>131</v>
      </c>
      <c r="ED2" s="3" t="s">
        <v>132</v>
      </c>
      <c r="EE2" s="3" t="s">
        <v>133</v>
      </c>
      <c r="EF2" s="3" t="s">
        <v>134</v>
      </c>
    </row>
    <row r="3" spans="1:136" s="1" customFormat="1">
      <c r="B3" s="2" t="s">
        <v>135</v>
      </c>
      <c r="C3" s="12">
        <v>-7.7981240861112869E-2</v>
      </c>
      <c r="D3" s="12">
        <v>-9.1720816001217079E-2</v>
      </c>
      <c r="E3" s="12">
        <v>-5.2859258612292397E-2</v>
      </c>
      <c r="F3" s="12">
        <v>-0.1154504478657486</v>
      </c>
      <c r="G3" s="12">
        <v>-8.3443116291576969E-2</v>
      </c>
      <c r="H3" s="12">
        <v>-2.6287928720926321E-3</v>
      </c>
      <c r="I3" s="12">
        <v>-9.17061944524626E-2</v>
      </c>
      <c r="J3" s="12">
        <v>-5.6085756879479871E-2</v>
      </c>
      <c r="K3" s="12">
        <v>-0.1008329194598508</v>
      </c>
      <c r="L3" s="12">
        <v>-0.10378006478536519</v>
      </c>
      <c r="M3" s="12">
        <v>5.5829241941196268E-2</v>
      </c>
      <c r="N3" s="12">
        <v>-0.1158619637464291</v>
      </c>
      <c r="O3" s="12">
        <v>-5.8513967337472099E-2</v>
      </c>
      <c r="P3" s="12">
        <v>-6.0458244885088289E-2</v>
      </c>
      <c r="Q3" s="12">
        <v>-5.3239297079499662E-2</v>
      </c>
      <c r="R3" s="12">
        <v>-0.1169489926289226</v>
      </c>
      <c r="S3" s="12">
        <v>-0.17262516521577451</v>
      </c>
      <c r="T3" s="12">
        <v>-3.5612527967292071E-2</v>
      </c>
      <c r="U3" s="12">
        <v>-0.1047373820130289</v>
      </c>
      <c r="V3" s="12">
        <v>5.4728173269898657E-2</v>
      </c>
      <c r="W3" s="12">
        <v>0.1104845400782864</v>
      </c>
      <c r="X3" s="12">
        <v>7.7152949246108812E-2</v>
      </c>
      <c r="Y3" s="12">
        <v>-2.1197940496231121E-2</v>
      </c>
      <c r="Z3" s="12">
        <v>-1.220412867494485E-2</v>
      </c>
      <c r="AA3" s="12">
        <v>5.8940158702571167E-2</v>
      </c>
      <c r="AB3" s="12">
        <v>1.704920567122593E-2</v>
      </c>
      <c r="AC3" s="12">
        <v>-2.8623729777447999E-2</v>
      </c>
      <c r="AD3" s="12">
        <v>3.8597994743491432E-2</v>
      </c>
      <c r="AE3" s="12">
        <v>4.5421821361275698E-2</v>
      </c>
      <c r="AF3" s="12">
        <v>-7.0671769100140664E-3</v>
      </c>
      <c r="AG3" s="12">
        <v>-8.8710520129031845E-3</v>
      </c>
      <c r="AH3" s="12">
        <v>0.1009192396033949</v>
      </c>
      <c r="AI3" s="12">
        <v>5.2187010509938972E-2</v>
      </c>
      <c r="AJ3" s="12">
        <v>0.1019691755674634</v>
      </c>
      <c r="AK3" s="12">
        <v>0.13211315672161919</v>
      </c>
      <c r="AL3" s="12">
        <v>8.0841310267837335E-2</v>
      </c>
      <c r="AM3" s="12">
        <v>6.6073941505882944E-2</v>
      </c>
      <c r="AN3" s="12">
        <v>4.5849550313755157E-2</v>
      </c>
      <c r="AO3" s="12">
        <v>0.1344236211085432</v>
      </c>
      <c r="AP3" s="12">
        <v>-5.4866828387549187E-2</v>
      </c>
      <c r="AQ3" s="12">
        <v>4.8332448898150193E-2</v>
      </c>
      <c r="AR3" s="12">
        <v>5.4465942771725943E-2</v>
      </c>
      <c r="AS3" s="12">
        <v>6.0627286759379943E-2</v>
      </c>
      <c r="AT3" s="12">
        <v>2.2903338702745881E-2</v>
      </c>
      <c r="AU3" s="12">
        <v>2.878024844402479E-2</v>
      </c>
      <c r="AV3" s="12">
        <v>-1.129205212894535E-2</v>
      </c>
      <c r="AW3" s="12">
        <v>6.7409820754134268E-3</v>
      </c>
      <c r="AX3" s="12">
        <v>6.9445703072046949E-2</v>
      </c>
      <c r="AY3" s="12">
        <v>7.2293980578513314E-2</v>
      </c>
      <c r="AZ3" s="12">
        <v>5.6782553627262748E-2</v>
      </c>
      <c r="BA3" s="12">
        <v>5.6751851388712939E-3</v>
      </c>
      <c r="BB3" s="12">
        <v>7.2435676593229636E-2</v>
      </c>
      <c r="BC3" s="12">
        <v>2.4104231358940049E-3</v>
      </c>
      <c r="BD3" s="12">
        <v>4.4457778288968727E-2</v>
      </c>
      <c r="BE3" s="12">
        <v>0.15640720996344051</v>
      </c>
      <c r="BF3" s="12">
        <v>8.961422115098705E-2</v>
      </c>
      <c r="BG3" s="12">
        <v>-4.5499959267627739E-2</v>
      </c>
      <c r="BH3" s="12">
        <v>1.473996831732775E-2</v>
      </c>
      <c r="BI3" s="12">
        <v>1.1467767379862339E-3</v>
      </c>
      <c r="BJ3" s="12">
        <v>3.82060916655452E-2</v>
      </c>
      <c r="BK3" s="12">
        <v>6.9204193024136371E-2</v>
      </c>
      <c r="BL3" s="12">
        <v>0.14599637517714301</v>
      </c>
      <c r="BM3" s="12">
        <v>7.7671454044817706E-2</v>
      </c>
      <c r="BN3" s="12">
        <v>-1.4934546848394969E-3</v>
      </c>
      <c r="BO3" s="12">
        <v>0.15075036572727429</v>
      </c>
      <c r="BP3" s="12">
        <v>0.1068808738908148</v>
      </c>
      <c r="BQ3" s="12">
        <v>1.221444016343416E-2</v>
      </c>
      <c r="BR3" s="12">
        <v>3.2309492446798579E-2</v>
      </c>
      <c r="BS3" s="12">
        <v>7.5715218722114425E-2</v>
      </c>
      <c r="BT3" s="12">
        <v>0.1476948601503042</v>
      </c>
      <c r="BU3" s="12">
        <v>1.817214867790248E-2</v>
      </c>
      <c r="BV3" s="12">
        <v>6.6489869867815826E-2</v>
      </c>
      <c r="BW3" s="12">
        <v>3.8195592237729163E-2</v>
      </c>
      <c r="BX3" s="12">
        <v>4.7621234363544103E-2</v>
      </c>
      <c r="BY3" s="12">
        <v>3.3277385006537187E-2</v>
      </c>
      <c r="BZ3" s="12">
        <v>-6.0454023977282903E-2</v>
      </c>
      <c r="CA3" s="12">
        <v>5.2148142226918692E-4</v>
      </c>
      <c r="CB3" s="12">
        <v>2.326190927136889E-2</v>
      </c>
      <c r="CC3" s="12">
        <v>-2.6286266288861861E-2</v>
      </c>
      <c r="CD3" s="12">
        <v>5.2057462476054299E-2</v>
      </c>
      <c r="CE3" s="12">
        <v>-0.1062476229187161</v>
      </c>
      <c r="CF3" s="12">
        <v>-0.1195660454549131</v>
      </c>
      <c r="CG3" s="12">
        <v>-1.0499463273261581E-2</v>
      </c>
      <c r="CH3" s="12">
        <v>-2.3835366421230391E-2</v>
      </c>
      <c r="CI3" s="12">
        <v>-4.3365220517483233E-3</v>
      </c>
      <c r="CJ3" s="12">
        <v>5.8870363779287586E-3</v>
      </c>
      <c r="CK3" s="12">
        <v>2.2369140646099479E-2</v>
      </c>
      <c r="CL3" s="12">
        <v>-8.2212452947380901E-2</v>
      </c>
      <c r="CM3" s="12">
        <v>-0.12682704685249099</v>
      </c>
      <c r="CN3" s="12">
        <v>-8.4592786355010396E-3</v>
      </c>
      <c r="CO3" s="12">
        <v>-0.13500465547665971</v>
      </c>
      <c r="CP3" s="12">
        <v>1.33854440155954E-2</v>
      </c>
      <c r="CQ3" s="12">
        <v>-5.12789058806579E-2</v>
      </c>
      <c r="CR3" s="12">
        <v>-9.4660334746213826E-2</v>
      </c>
      <c r="CS3" s="12">
        <v>-7.7501744984071919E-2</v>
      </c>
      <c r="CT3" s="12">
        <v>6.3427668130038306E-2</v>
      </c>
      <c r="CU3" s="12">
        <v>-0.10211731197922071</v>
      </c>
      <c r="CV3" s="12">
        <v>-0.1210008636864883</v>
      </c>
      <c r="CW3" s="12">
        <v>-8.3771057290789874E-2</v>
      </c>
      <c r="CX3" s="12">
        <v>-0.108143131485795</v>
      </c>
      <c r="CY3" s="12">
        <v>-4.0161757016129222E-2</v>
      </c>
      <c r="CZ3" s="12">
        <v>-1.5386044424255171E-3</v>
      </c>
      <c r="DA3" s="12">
        <v>-7.7524493053387863E-2</v>
      </c>
      <c r="DB3" s="12">
        <v>-7.879063134946046E-3</v>
      </c>
      <c r="DC3" s="12">
        <v>-2.6882932084816711E-2</v>
      </c>
      <c r="DD3" s="12">
        <v>6.9093120815518799E-2</v>
      </c>
      <c r="DE3" s="12">
        <v>-4.3347804073038947E-2</v>
      </c>
      <c r="DF3" s="12">
        <v>5.87554125627009E-2</v>
      </c>
      <c r="DG3" s="12">
        <v>6.4753773039743015E-2</v>
      </c>
      <c r="DH3" s="12">
        <v>-1.287213930098646E-3</v>
      </c>
      <c r="DI3" s="12">
        <v>2.1640077633277799E-2</v>
      </c>
      <c r="DJ3" s="12">
        <v>-4.5030711038867167E-2</v>
      </c>
      <c r="DK3" s="12">
        <v>-1.3122204761795811E-2</v>
      </c>
      <c r="DL3" s="12">
        <v>-6.044882202770601E-2</v>
      </c>
      <c r="DM3" s="12">
        <v>-1.0592752749389599E-2</v>
      </c>
      <c r="DN3" s="12">
        <v>7.7435014643364664E-2</v>
      </c>
      <c r="DO3" s="12">
        <v>-5.4992856655808733E-2</v>
      </c>
      <c r="DP3" s="12">
        <v>7.556841599905624E-2</v>
      </c>
      <c r="DQ3" s="12">
        <v>4.187756543775777E-3</v>
      </c>
      <c r="DR3" s="12">
        <v>-5.5104292662403291E-2</v>
      </c>
      <c r="DS3" s="12">
        <v>0.10263669436748039</v>
      </c>
      <c r="DT3" s="12">
        <v>-4.0717186288007967E-2</v>
      </c>
      <c r="DU3" s="12">
        <v>7.639250584652096E-3</v>
      </c>
      <c r="DV3" s="12">
        <v>-6.6126173971523872E-2</v>
      </c>
      <c r="DW3" s="12">
        <v>7.8117337673435386E-2</v>
      </c>
      <c r="DX3" s="12">
        <v>1.6019937584861629E-2</v>
      </c>
      <c r="DY3" s="12">
        <v>1.4410244062000451E-2</v>
      </c>
      <c r="DZ3" s="12">
        <v>-0.1079887966876449</v>
      </c>
      <c r="EA3" s="12">
        <v>1.1807195335730179E-2</v>
      </c>
      <c r="EB3" s="12">
        <v>6.3675145630864198E-3</v>
      </c>
      <c r="EC3" s="12">
        <v>0.1146690600079793</v>
      </c>
      <c r="ED3" s="12">
        <v>-0.13301760440885349</v>
      </c>
      <c r="EE3" s="12">
        <v>-8.3212161647068517E-2</v>
      </c>
      <c r="EF3" s="12">
        <v>-7.4711540898400819E-2</v>
      </c>
    </row>
    <row r="4" spans="1:136" s="1" customFormat="1">
      <c r="B4" s="2" t="s">
        <v>136</v>
      </c>
      <c r="C4" s="12">
        <v>-7.4711540898400819E-2</v>
      </c>
      <c r="D4" s="12">
        <v>-7.4711540898400819E-2</v>
      </c>
      <c r="E4" s="12">
        <v>-7.4711540898400819E-2</v>
      </c>
      <c r="F4" s="12">
        <v>-7.4711540898400819E-2</v>
      </c>
      <c r="G4" s="12">
        <v>-7.4711540898400819E-2</v>
      </c>
      <c r="H4" s="12">
        <v>-7.4711540898400819E-2</v>
      </c>
      <c r="I4" s="12">
        <v>-7.4711540898400819E-2</v>
      </c>
      <c r="J4" s="12">
        <v>-7.4711540898400819E-2</v>
      </c>
      <c r="K4" s="12">
        <v>-7.4711540898400819E-2</v>
      </c>
      <c r="L4" s="12">
        <v>-7.4711540898400819E-2</v>
      </c>
      <c r="M4" s="12">
        <v>-7.4711540898400819E-2</v>
      </c>
      <c r="N4" s="12">
        <v>-7.4711540898400819E-2</v>
      </c>
      <c r="O4" s="12">
        <v>-7.4711540898400819E-2</v>
      </c>
      <c r="P4" s="12">
        <v>-7.4711540898400819E-2</v>
      </c>
      <c r="Q4" s="12">
        <v>-7.4711540898400819E-2</v>
      </c>
      <c r="R4" s="12">
        <v>-7.4711540898400819E-2</v>
      </c>
      <c r="S4" s="12">
        <v>-7.4711540898400819E-2</v>
      </c>
      <c r="T4" s="12">
        <v>-7.4711540898400819E-2</v>
      </c>
      <c r="U4" s="12">
        <v>-7.4711540898400819E-2</v>
      </c>
      <c r="V4" s="12">
        <v>-7.4711540898400819E-2</v>
      </c>
      <c r="W4" s="12">
        <v>-7.4711540898400819E-2</v>
      </c>
      <c r="X4" s="12">
        <v>-7.4711540898400819E-2</v>
      </c>
      <c r="Y4" s="12">
        <v>-7.4711540898400819E-2</v>
      </c>
      <c r="Z4" s="12">
        <v>-7.4711540898400819E-2</v>
      </c>
      <c r="AA4" s="12">
        <v>-7.4711540898400819E-2</v>
      </c>
      <c r="AB4" s="12">
        <v>-7.4711540898400819E-2</v>
      </c>
      <c r="AC4" s="12">
        <v>-7.4711540898400819E-2</v>
      </c>
      <c r="AD4" s="12">
        <v>-7.4711540898400819E-2</v>
      </c>
      <c r="AE4" s="12">
        <v>-7.4711540898400819E-2</v>
      </c>
      <c r="AF4" s="12">
        <v>-7.4711540898400819E-2</v>
      </c>
      <c r="AG4" s="12">
        <v>-7.4711540898400819E-2</v>
      </c>
      <c r="AH4" s="12">
        <v>-7.4711540898400819E-2</v>
      </c>
      <c r="AI4" s="12">
        <v>-7.4711540898400819E-2</v>
      </c>
      <c r="AJ4" s="12">
        <v>-7.4711540898400819E-2</v>
      </c>
      <c r="AK4" s="12">
        <v>-7.4711540898400819E-2</v>
      </c>
      <c r="AL4" s="12">
        <v>-7.4711540898400819E-2</v>
      </c>
      <c r="AM4" s="12">
        <v>-7.4711540898400819E-2</v>
      </c>
      <c r="AN4" s="12">
        <v>-7.4711540898400819E-2</v>
      </c>
      <c r="AO4" s="12">
        <v>-7.4711540898400819E-2</v>
      </c>
      <c r="AP4" s="12">
        <v>-7.4711540898400819E-2</v>
      </c>
      <c r="AQ4" s="12">
        <v>-7.4711540898400819E-2</v>
      </c>
      <c r="AR4" s="12">
        <v>-7.4711540898400819E-2</v>
      </c>
      <c r="AS4" s="12">
        <v>-7.4711540898400819E-2</v>
      </c>
      <c r="AT4" s="12">
        <v>-7.4711540898400819E-2</v>
      </c>
      <c r="AU4" s="12">
        <v>-7.4711540898400819E-2</v>
      </c>
      <c r="AV4" s="12">
        <v>-7.4711540898400819E-2</v>
      </c>
      <c r="AW4" s="12">
        <v>-7.4711540898400819E-2</v>
      </c>
      <c r="AX4" s="12">
        <v>-7.4711540898400819E-2</v>
      </c>
      <c r="AY4" s="12">
        <v>-7.4711540898400819E-2</v>
      </c>
      <c r="AZ4" s="12">
        <v>-7.4711540898400819E-2</v>
      </c>
      <c r="BA4" s="12">
        <v>-7.4711540898400819E-2</v>
      </c>
      <c r="BB4" s="12">
        <v>-7.4711540898400819E-2</v>
      </c>
      <c r="BC4" s="12">
        <v>-7.4711540898400819E-2</v>
      </c>
      <c r="BD4" s="12">
        <v>-7.4711540898400819E-2</v>
      </c>
      <c r="BE4" s="12">
        <v>-7.4711540898400819E-2</v>
      </c>
      <c r="BF4" s="12">
        <v>-7.4711540898400819E-2</v>
      </c>
      <c r="BG4" s="12">
        <v>-7.4711540898400819E-2</v>
      </c>
      <c r="BH4" s="12">
        <v>-7.4711540898400819E-2</v>
      </c>
      <c r="BI4" s="12">
        <v>-7.4711540898400819E-2</v>
      </c>
      <c r="BJ4" s="12">
        <v>-7.4711540898400819E-2</v>
      </c>
      <c r="BK4" s="12">
        <v>-7.4711540898400819E-2</v>
      </c>
      <c r="BL4" s="12">
        <v>-7.4711540898400819E-2</v>
      </c>
      <c r="BM4" s="12">
        <v>-7.4711540898400819E-2</v>
      </c>
      <c r="BN4" s="12">
        <v>-7.4711540898400819E-2</v>
      </c>
      <c r="BO4" s="12">
        <v>-7.4711540898400819E-2</v>
      </c>
      <c r="BP4" s="12">
        <v>-7.4711540898400819E-2</v>
      </c>
      <c r="BQ4" s="12">
        <v>-7.4711540898400819E-2</v>
      </c>
      <c r="BR4" s="12">
        <v>-7.4711540898400819E-2</v>
      </c>
      <c r="BS4" s="12">
        <v>-7.4711540898400819E-2</v>
      </c>
      <c r="BT4" s="12">
        <v>-7.4711540898400819E-2</v>
      </c>
      <c r="BU4" s="12">
        <v>-7.4711540898400819E-2</v>
      </c>
      <c r="BV4" s="12">
        <v>-7.4711540898400819E-2</v>
      </c>
      <c r="BW4" s="12">
        <v>-7.4711540898400819E-2</v>
      </c>
      <c r="BX4" s="12">
        <v>-7.4711540898400819E-2</v>
      </c>
      <c r="BY4" s="12">
        <v>-7.4711540898400819E-2</v>
      </c>
      <c r="BZ4" s="12">
        <v>-7.4711540898400819E-2</v>
      </c>
      <c r="CA4" s="12">
        <v>-7.4711540898400819E-2</v>
      </c>
      <c r="CB4" s="12">
        <v>-7.4711540898400819E-2</v>
      </c>
      <c r="CC4" s="12">
        <v>-7.4711540898400819E-2</v>
      </c>
      <c r="CD4" s="12">
        <v>-7.4711540898400819E-2</v>
      </c>
      <c r="CE4" s="12">
        <v>-7.4711540898400819E-2</v>
      </c>
      <c r="CF4" s="12">
        <v>-7.4711540898400819E-2</v>
      </c>
      <c r="CG4" s="12">
        <v>-7.4711540898400819E-2</v>
      </c>
      <c r="CH4" s="12">
        <v>-7.4711540898400819E-2</v>
      </c>
      <c r="CI4" s="12">
        <v>-7.4711540898400819E-2</v>
      </c>
      <c r="CJ4" s="12">
        <v>-7.4711540898400819E-2</v>
      </c>
      <c r="CK4" s="12">
        <v>-7.4711540898400819E-2</v>
      </c>
      <c r="CL4" s="12">
        <v>-7.4711540898400819E-2</v>
      </c>
      <c r="CM4" s="12">
        <v>-7.4711540898400819E-2</v>
      </c>
      <c r="CN4" s="12">
        <v>-7.4711540898400819E-2</v>
      </c>
      <c r="CO4" s="12">
        <v>-7.4711540898400819E-2</v>
      </c>
      <c r="CP4" s="12">
        <v>-7.4711540898400819E-2</v>
      </c>
      <c r="CQ4" s="12">
        <v>-7.4711540898400819E-2</v>
      </c>
      <c r="CR4" s="12">
        <v>-7.4711540898400819E-2</v>
      </c>
      <c r="CS4" s="12">
        <v>-7.4711540898400819E-2</v>
      </c>
      <c r="CT4" s="12">
        <v>-7.4711540898400819E-2</v>
      </c>
      <c r="CU4" s="12">
        <v>-7.4711540898400819E-2</v>
      </c>
      <c r="CV4" s="12">
        <v>-7.4711540898400819E-2</v>
      </c>
      <c r="CW4" s="12">
        <v>-7.4711540898400819E-2</v>
      </c>
      <c r="CX4" s="12">
        <v>-7.4711540898400819E-2</v>
      </c>
      <c r="CY4" s="12">
        <v>-7.4711540898400819E-2</v>
      </c>
      <c r="CZ4" s="12">
        <v>-7.4711540898400819E-2</v>
      </c>
      <c r="DA4" s="12">
        <v>-7.4711540898400819E-2</v>
      </c>
      <c r="DB4" s="12">
        <v>-7.4711540898400819E-2</v>
      </c>
      <c r="DC4" s="12">
        <v>-7.4711540898400819E-2</v>
      </c>
      <c r="DD4" s="12">
        <v>-7.4711540898400819E-2</v>
      </c>
      <c r="DE4" s="12">
        <v>-7.4711540898400819E-2</v>
      </c>
      <c r="DF4" s="12">
        <v>-7.4711540898400819E-2</v>
      </c>
      <c r="DG4" s="12">
        <v>-7.4711540898400819E-2</v>
      </c>
      <c r="DH4" s="12">
        <v>-7.4711540898400819E-2</v>
      </c>
      <c r="DI4" s="12">
        <v>-7.4711540898400819E-2</v>
      </c>
      <c r="DJ4" s="12">
        <v>-7.4711540898400819E-2</v>
      </c>
      <c r="DK4" s="12">
        <v>-7.4711540898400819E-2</v>
      </c>
      <c r="DL4" s="12">
        <v>-7.4711540898400819E-2</v>
      </c>
      <c r="DM4" s="12">
        <v>-7.4711540898400819E-2</v>
      </c>
      <c r="DN4" s="12">
        <v>-7.4711540898400819E-2</v>
      </c>
      <c r="DO4" s="12">
        <v>-7.4711540898400819E-2</v>
      </c>
      <c r="DP4" s="12">
        <v>-7.4711540898400819E-2</v>
      </c>
      <c r="DQ4" s="12">
        <v>-7.4711540898400819E-2</v>
      </c>
      <c r="DR4" s="12">
        <v>-7.4711540898400819E-2</v>
      </c>
      <c r="DS4" s="12">
        <v>-7.4711540898400819E-2</v>
      </c>
      <c r="DT4" s="12">
        <v>-7.4711540898400819E-2</v>
      </c>
      <c r="DU4" s="12">
        <v>-7.4711540898400819E-2</v>
      </c>
      <c r="DV4" s="12">
        <v>-7.4711540898400819E-2</v>
      </c>
      <c r="DW4" s="12">
        <v>-7.4711540898400819E-2</v>
      </c>
      <c r="DX4" s="12">
        <v>-7.4711540898400819E-2</v>
      </c>
      <c r="DY4" s="12">
        <v>-7.4711540898400819E-2</v>
      </c>
      <c r="DZ4" s="12">
        <v>-7.4711540898400819E-2</v>
      </c>
      <c r="EA4" s="12">
        <v>-7.4711540898400819E-2</v>
      </c>
      <c r="EB4" s="12">
        <v>-7.4711540898400819E-2</v>
      </c>
      <c r="EC4" s="12">
        <v>-7.4711540898400819E-2</v>
      </c>
      <c r="ED4" s="12">
        <v>-7.4711540898400819E-2</v>
      </c>
      <c r="EE4" s="12">
        <v>-7.4711540898400819E-2</v>
      </c>
      <c r="EF4" s="12">
        <v>-7.4711540898400819E-2</v>
      </c>
    </row>
    <row r="5" spans="1:136" s="1" customFormat="1">
      <c r="B5" s="2" t="s">
        <v>137</v>
      </c>
      <c r="C5" s="12">
        <v>-7.4711540898400819E-2</v>
      </c>
      <c r="D5" s="12">
        <v>-7.4711540898400819E-2</v>
      </c>
      <c r="E5" s="12">
        <v>-7.4711540898400819E-2</v>
      </c>
      <c r="F5" s="12">
        <v>-7.4711540898400819E-2</v>
      </c>
      <c r="G5" s="12">
        <v>-7.4711540898400819E-2</v>
      </c>
      <c r="H5" s="12">
        <v>-7.4711540898400819E-2</v>
      </c>
      <c r="I5" s="12">
        <v>-7.4711540898400819E-2</v>
      </c>
      <c r="J5" s="12">
        <v>-7.4711540898400819E-2</v>
      </c>
      <c r="K5" s="12">
        <v>-7.4711540898400819E-2</v>
      </c>
      <c r="L5" s="12">
        <v>-7.4711540898400819E-2</v>
      </c>
      <c r="M5" s="12">
        <v>-7.4711540898400819E-2</v>
      </c>
      <c r="N5" s="12">
        <v>-7.4711540898400819E-2</v>
      </c>
      <c r="O5" s="12">
        <v>-7.4711540898400819E-2</v>
      </c>
      <c r="P5" s="12">
        <v>-7.4711540898400819E-2</v>
      </c>
      <c r="Q5" s="12">
        <v>-7.4711540898400819E-2</v>
      </c>
      <c r="R5" s="12">
        <v>-7.4711540898400819E-2</v>
      </c>
      <c r="S5" s="12">
        <v>-7.4711540898400819E-2</v>
      </c>
      <c r="T5" s="12">
        <v>-7.4711540898400819E-2</v>
      </c>
      <c r="U5" s="12">
        <v>-7.4711540898400819E-2</v>
      </c>
      <c r="V5" s="12">
        <v>-7.4711540898400819E-2</v>
      </c>
      <c r="W5" s="12">
        <v>-7.4711540898400819E-2</v>
      </c>
      <c r="X5" s="12">
        <v>-7.4711540898400819E-2</v>
      </c>
      <c r="Y5" s="12">
        <v>-7.4711540898400819E-2</v>
      </c>
      <c r="Z5" s="12">
        <v>-7.4711540898400819E-2</v>
      </c>
      <c r="AA5" s="12">
        <v>-7.4711540898400819E-2</v>
      </c>
      <c r="AB5" s="12">
        <v>-7.4711540898400819E-2</v>
      </c>
      <c r="AC5" s="12">
        <v>-7.4711540898400819E-2</v>
      </c>
      <c r="AD5" s="12">
        <v>-7.4711540898400819E-2</v>
      </c>
      <c r="AE5" s="12">
        <v>-7.4711540898400819E-2</v>
      </c>
      <c r="AF5" s="12">
        <v>-7.4711540898400819E-2</v>
      </c>
      <c r="AG5" s="12">
        <v>-7.4711540898400819E-2</v>
      </c>
      <c r="AH5" s="12">
        <v>-7.4711540898400819E-2</v>
      </c>
      <c r="AI5" s="12">
        <v>-7.4711540898400819E-2</v>
      </c>
      <c r="AJ5" s="12">
        <v>-7.4711540898400819E-2</v>
      </c>
      <c r="AK5" s="12">
        <v>-7.4711540898400819E-2</v>
      </c>
      <c r="AL5" s="12">
        <v>-7.4711540898400819E-2</v>
      </c>
      <c r="AM5" s="12">
        <v>-7.4711540898400819E-2</v>
      </c>
      <c r="AN5" s="12">
        <v>-7.4711540898400819E-2</v>
      </c>
      <c r="AO5" s="12">
        <v>-7.4711540898400819E-2</v>
      </c>
      <c r="AP5" s="12">
        <v>-7.4711540898400819E-2</v>
      </c>
      <c r="AQ5" s="12">
        <v>-7.4711540898400819E-2</v>
      </c>
      <c r="AR5" s="12">
        <v>-7.4711540898400819E-2</v>
      </c>
      <c r="AS5" s="12">
        <v>-7.4711540898400819E-2</v>
      </c>
      <c r="AT5" s="12">
        <v>-7.4711540898400819E-2</v>
      </c>
      <c r="AU5" s="12">
        <v>-7.4711540898400819E-2</v>
      </c>
      <c r="AV5" s="12">
        <v>-7.4711540898400819E-2</v>
      </c>
      <c r="AW5" s="12">
        <v>-7.4711540898400819E-2</v>
      </c>
      <c r="AX5" s="12">
        <v>-7.4711540898400819E-2</v>
      </c>
      <c r="AY5" s="12">
        <v>-7.4711540898400819E-2</v>
      </c>
      <c r="AZ5" s="12">
        <v>-7.4711540898400819E-2</v>
      </c>
      <c r="BA5" s="12">
        <v>-7.4711540898400819E-2</v>
      </c>
      <c r="BB5" s="12">
        <v>-7.4711540898400819E-2</v>
      </c>
      <c r="BC5" s="12">
        <v>-7.4711540898400819E-2</v>
      </c>
      <c r="BD5" s="12">
        <v>-7.4711540898400819E-2</v>
      </c>
      <c r="BE5" s="12">
        <v>-7.4711540898400819E-2</v>
      </c>
      <c r="BF5" s="12">
        <v>-7.4711540898400819E-2</v>
      </c>
      <c r="BG5" s="12">
        <v>-7.4711540898400819E-2</v>
      </c>
      <c r="BH5" s="12">
        <v>-7.4711540898400819E-2</v>
      </c>
      <c r="BI5" s="12">
        <v>-7.4711540898400819E-2</v>
      </c>
      <c r="BJ5" s="12">
        <v>-7.4711540898400819E-2</v>
      </c>
      <c r="BK5" s="12">
        <v>-7.4711540898400819E-2</v>
      </c>
      <c r="BL5" s="12">
        <v>-7.4711540898400819E-2</v>
      </c>
      <c r="BM5" s="12">
        <v>-7.4711540898400819E-2</v>
      </c>
      <c r="BN5" s="12">
        <v>-7.4711540898400819E-2</v>
      </c>
      <c r="BO5" s="12">
        <v>-7.4711540898400819E-2</v>
      </c>
      <c r="BP5" s="12">
        <v>-7.4711540898400819E-2</v>
      </c>
      <c r="BQ5" s="12">
        <v>-7.4711540898400819E-2</v>
      </c>
      <c r="BR5" s="12">
        <v>-7.4711540898400819E-2</v>
      </c>
      <c r="BS5" s="12">
        <v>-7.4711540898400819E-2</v>
      </c>
      <c r="BT5" s="12">
        <v>-7.4711540898400819E-2</v>
      </c>
      <c r="BU5" s="12">
        <v>-7.4711540898400819E-2</v>
      </c>
      <c r="BV5" s="12">
        <v>-7.4711540898400819E-2</v>
      </c>
      <c r="BW5" s="12">
        <v>-7.4711540898400819E-2</v>
      </c>
      <c r="BX5" s="12">
        <v>-7.4711540898400819E-2</v>
      </c>
      <c r="BY5" s="12">
        <v>-7.4711540898400819E-2</v>
      </c>
      <c r="BZ5" s="12">
        <v>-7.4711540898400819E-2</v>
      </c>
      <c r="CA5" s="12">
        <v>-7.4711540898400819E-2</v>
      </c>
      <c r="CB5" s="12">
        <v>-7.4711540898400819E-2</v>
      </c>
      <c r="CC5" s="12">
        <v>-7.4711540898400819E-2</v>
      </c>
      <c r="CD5" s="12">
        <v>-7.4711540898400819E-2</v>
      </c>
      <c r="CE5" s="12">
        <v>-7.4711540898400819E-2</v>
      </c>
      <c r="CF5" s="12">
        <v>-7.4711540898400819E-2</v>
      </c>
      <c r="CG5" s="12">
        <v>-7.4711540898400819E-2</v>
      </c>
      <c r="CH5" s="12">
        <v>-7.4711540898400819E-2</v>
      </c>
      <c r="CI5" s="12">
        <v>-7.4711540898400819E-2</v>
      </c>
      <c r="CJ5" s="12">
        <v>-7.4711540898400819E-2</v>
      </c>
      <c r="CK5" s="12">
        <v>-7.4711540898400819E-2</v>
      </c>
      <c r="CL5" s="12">
        <v>-7.4711540898400819E-2</v>
      </c>
      <c r="CM5" s="12">
        <v>-7.4711540898400819E-2</v>
      </c>
      <c r="CN5" s="12">
        <v>-7.4711540898400819E-2</v>
      </c>
      <c r="CO5" s="12">
        <v>-7.4711540898400819E-2</v>
      </c>
      <c r="CP5" s="12">
        <v>-7.4711540898400819E-2</v>
      </c>
      <c r="CQ5" s="12">
        <v>-7.4711540898400819E-2</v>
      </c>
      <c r="CR5" s="12">
        <v>-7.4711540898400819E-2</v>
      </c>
      <c r="CS5" s="12">
        <v>-7.4711540898400819E-2</v>
      </c>
      <c r="CT5" s="12">
        <v>-7.4711540898400819E-2</v>
      </c>
      <c r="CU5" s="12">
        <v>-7.4711540898400819E-2</v>
      </c>
      <c r="CV5" s="12">
        <v>-7.4711540898400819E-2</v>
      </c>
      <c r="CW5" s="12">
        <v>-7.4711540898400819E-2</v>
      </c>
      <c r="CX5" s="12">
        <v>-7.4711540898400819E-2</v>
      </c>
      <c r="CY5" s="12">
        <v>-7.4711540898400819E-2</v>
      </c>
      <c r="CZ5" s="12">
        <v>-7.4711540898400819E-2</v>
      </c>
      <c r="DA5" s="12">
        <v>-7.4711540898400819E-2</v>
      </c>
      <c r="DB5" s="12">
        <v>-7.4711540898400819E-2</v>
      </c>
      <c r="DC5" s="12">
        <v>-7.4711540898400819E-2</v>
      </c>
      <c r="DD5" s="12">
        <v>-7.4711540898400819E-2</v>
      </c>
      <c r="DE5" s="12">
        <v>-7.4711540898400819E-2</v>
      </c>
      <c r="DF5" s="12">
        <v>-7.4711540898400819E-2</v>
      </c>
      <c r="DG5" s="12">
        <v>-7.4711540898400819E-2</v>
      </c>
      <c r="DH5" s="12">
        <v>-7.4711540898400819E-2</v>
      </c>
      <c r="DI5" s="12">
        <v>-7.4711540898400819E-2</v>
      </c>
      <c r="DJ5" s="12">
        <v>-7.4711540898400819E-2</v>
      </c>
      <c r="DK5" s="12">
        <v>-7.4711540898400819E-2</v>
      </c>
      <c r="DL5" s="12">
        <v>-7.4711540898400819E-2</v>
      </c>
      <c r="DM5" s="12">
        <v>-7.4711540898400819E-2</v>
      </c>
      <c r="DN5" s="12">
        <v>-7.4711540898400819E-2</v>
      </c>
      <c r="DO5" s="12">
        <v>-7.4711540898400819E-2</v>
      </c>
      <c r="DP5" s="12">
        <v>-7.4711540898400819E-2</v>
      </c>
      <c r="DQ5" s="12">
        <v>-7.4711540898400819E-2</v>
      </c>
      <c r="DR5" s="12">
        <v>-7.4711540898400819E-2</v>
      </c>
      <c r="DS5" s="12">
        <v>-7.4711540898400819E-2</v>
      </c>
      <c r="DT5" s="12">
        <v>-7.4711540898400819E-2</v>
      </c>
      <c r="DU5" s="12">
        <v>-7.4711540898400819E-2</v>
      </c>
      <c r="DV5" s="12">
        <v>-7.4711540898400819E-2</v>
      </c>
      <c r="DW5" s="12">
        <v>-7.4711540898400819E-2</v>
      </c>
      <c r="DX5" s="12">
        <v>-7.4711540898400819E-2</v>
      </c>
      <c r="DY5" s="12">
        <v>-7.4711540898400819E-2</v>
      </c>
      <c r="DZ5" s="12">
        <v>-7.4711540898400819E-2</v>
      </c>
      <c r="EA5" s="12">
        <v>-7.4711540898400819E-2</v>
      </c>
      <c r="EB5" s="12">
        <v>-7.4711540898400819E-2</v>
      </c>
      <c r="EC5" s="12">
        <v>-7.4711540898400819E-2</v>
      </c>
      <c r="ED5" s="12">
        <v>-7.4711540898400819E-2</v>
      </c>
      <c r="EE5" s="12">
        <v>-7.4711540898400819E-2</v>
      </c>
      <c r="EF5" s="12">
        <v>-7.4711540898400819E-2</v>
      </c>
    </row>
    <row r="6" spans="1:136" s="1" customFormat="1">
      <c r="A6" s="2" t="s">
        <v>138</v>
      </c>
      <c r="C6" s="12">
        <f t="array" ref="C6">MATCH(MAX(ABS(C3:C5)),ABS(C3:C5),0)</f>
        <v>1</v>
      </c>
      <c r="D6" s="12">
        <f t="array" ref="D6">MATCH(MAX(ABS(D3:D5)),ABS(D3:D5),0)</f>
        <v>1</v>
      </c>
      <c r="E6" s="12">
        <f t="array" ref="E6">MATCH(MAX(ABS(E3:E5)),ABS(E3:E5),0)</f>
        <v>2</v>
      </c>
      <c r="F6" s="12">
        <f t="array" ref="F6">MATCH(MAX(ABS(F3:F5)),ABS(F3:F5),0)</f>
        <v>1</v>
      </c>
      <c r="G6" s="12">
        <f t="array" ref="G6">MATCH(MAX(ABS(G3:G5)),ABS(G3:G5),0)</f>
        <v>1</v>
      </c>
      <c r="H6" s="12">
        <f t="array" ref="H6">MATCH(MAX(ABS(H3:H5)),ABS(H3:H5),0)</f>
        <v>2</v>
      </c>
      <c r="I6" s="12">
        <f t="array" ref="I6">MATCH(MAX(ABS(I3:I5)),ABS(I3:I5),0)</f>
        <v>1</v>
      </c>
      <c r="J6" s="12">
        <f t="array" ref="J6">MATCH(MAX(ABS(J3:J5)),ABS(J3:J5),0)</f>
        <v>2</v>
      </c>
      <c r="K6" s="12">
        <f t="array" ref="K6">MATCH(MAX(ABS(K3:K5)),ABS(K3:K5),0)</f>
        <v>1</v>
      </c>
      <c r="L6" s="12">
        <f t="array" ref="L6">MATCH(MAX(ABS(L3:L5)),ABS(L3:L5),0)</f>
        <v>1</v>
      </c>
      <c r="M6" s="12">
        <f t="array" ref="M6">MATCH(MAX(ABS(M3:M5)),ABS(M3:M5),0)</f>
        <v>2</v>
      </c>
      <c r="N6" s="12">
        <f t="array" ref="N6">MATCH(MAX(ABS(N3:N5)),ABS(N3:N5),0)</f>
        <v>1</v>
      </c>
      <c r="O6" s="12">
        <f t="array" ref="O6">MATCH(MAX(ABS(O3:O5)),ABS(O3:O5),0)</f>
        <v>2</v>
      </c>
      <c r="P6" s="12">
        <f t="array" ref="P6">MATCH(MAX(ABS(P3:P5)),ABS(P3:P5),0)</f>
        <v>2</v>
      </c>
      <c r="Q6" s="12">
        <f t="array" ref="Q6">MATCH(MAX(ABS(Q3:Q5)),ABS(Q3:Q5),0)</f>
        <v>2</v>
      </c>
      <c r="R6" s="12">
        <f t="array" ref="R6">MATCH(MAX(ABS(R3:R5)),ABS(R3:R5),0)</f>
        <v>1</v>
      </c>
      <c r="S6" s="12">
        <f t="array" ref="S6">MATCH(MAX(ABS(S3:S5)),ABS(S3:S5),0)</f>
        <v>1</v>
      </c>
      <c r="T6" s="12">
        <f t="array" ref="T6">MATCH(MAX(ABS(T3:T5)),ABS(T3:T5),0)</f>
        <v>2</v>
      </c>
      <c r="U6" s="12">
        <f t="array" ref="U6">MATCH(MAX(ABS(U3:U5)),ABS(U3:U5),0)</f>
        <v>1</v>
      </c>
      <c r="V6" s="12">
        <f t="array" ref="V6">MATCH(MAX(ABS(V3:V5)),ABS(V3:V5),0)</f>
        <v>2</v>
      </c>
      <c r="W6" s="12">
        <f t="array" ref="W6">MATCH(MAX(ABS(W3:W5)),ABS(W3:W5),0)</f>
        <v>1</v>
      </c>
      <c r="X6" s="12">
        <f t="array" ref="X6">MATCH(MAX(ABS(X3:X5)),ABS(X3:X5),0)</f>
        <v>1</v>
      </c>
      <c r="Y6" s="12">
        <f t="array" ref="Y6">MATCH(MAX(ABS(Y3:Y5)),ABS(Y3:Y5),0)</f>
        <v>2</v>
      </c>
      <c r="Z6" s="12">
        <f t="array" ref="Z6">MATCH(MAX(ABS(Z3:Z5)),ABS(Z3:Z5),0)</f>
        <v>2</v>
      </c>
      <c r="AA6" s="12">
        <f t="array" ref="AA6">MATCH(MAX(ABS(AA3:AA5)),ABS(AA3:AA5),0)</f>
        <v>2</v>
      </c>
      <c r="AB6" s="12">
        <f t="array" ref="AB6">MATCH(MAX(ABS(AB3:AB5)),ABS(AB3:AB5),0)</f>
        <v>2</v>
      </c>
      <c r="AC6" s="12">
        <f t="array" ref="AC6">MATCH(MAX(ABS(AC3:AC5)),ABS(AC3:AC5),0)</f>
        <v>2</v>
      </c>
      <c r="AD6" s="12">
        <f t="array" ref="AD6">MATCH(MAX(ABS(AD3:AD5)),ABS(AD3:AD5),0)</f>
        <v>2</v>
      </c>
      <c r="AE6" s="12">
        <f t="array" ref="AE6">MATCH(MAX(ABS(AE3:AE5)),ABS(AE3:AE5),0)</f>
        <v>2</v>
      </c>
      <c r="AF6" s="12">
        <f t="array" ref="AF6">MATCH(MAX(ABS(AF3:AF5)),ABS(AF3:AF5),0)</f>
        <v>2</v>
      </c>
      <c r="AG6" s="12">
        <f t="array" ref="AG6">MATCH(MAX(ABS(AG3:AG5)),ABS(AG3:AG5),0)</f>
        <v>2</v>
      </c>
      <c r="AH6" s="12">
        <f t="array" ref="AH6">MATCH(MAX(ABS(AH3:AH5)),ABS(AH3:AH5),0)</f>
        <v>1</v>
      </c>
      <c r="AI6" s="12">
        <f t="array" ref="AI6">MATCH(MAX(ABS(AI3:AI5)),ABS(AI3:AI5),0)</f>
        <v>2</v>
      </c>
      <c r="AJ6" s="12">
        <f t="array" ref="AJ6">MATCH(MAX(ABS(AJ3:AJ5)),ABS(AJ3:AJ5),0)</f>
        <v>1</v>
      </c>
      <c r="AK6" s="12">
        <f t="array" ref="AK6">MATCH(MAX(ABS(AK3:AK5)),ABS(AK3:AK5),0)</f>
        <v>1</v>
      </c>
      <c r="AL6" s="12">
        <f t="array" ref="AL6">MATCH(MAX(ABS(AL3:AL5)),ABS(AL3:AL5),0)</f>
        <v>1</v>
      </c>
      <c r="AM6" s="12">
        <f t="array" ref="AM6">MATCH(MAX(ABS(AM3:AM5)),ABS(AM3:AM5),0)</f>
        <v>2</v>
      </c>
      <c r="AN6" s="12">
        <f t="array" ref="AN6">MATCH(MAX(ABS(AN3:AN5)),ABS(AN3:AN5),0)</f>
        <v>2</v>
      </c>
      <c r="AO6" s="12">
        <f t="array" ref="AO6">MATCH(MAX(ABS(AO3:AO5)),ABS(AO3:AO5),0)</f>
        <v>1</v>
      </c>
      <c r="AP6" s="12">
        <f t="array" ref="AP6">MATCH(MAX(ABS(AP3:AP5)),ABS(AP3:AP5),0)</f>
        <v>2</v>
      </c>
      <c r="AQ6" s="12">
        <f t="array" ref="AQ6">MATCH(MAX(ABS(AQ3:AQ5)),ABS(AQ3:AQ5),0)</f>
        <v>2</v>
      </c>
      <c r="AR6" s="12">
        <f t="array" ref="AR6">MATCH(MAX(ABS(AR3:AR5)),ABS(AR3:AR5),0)</f>
        <v>2</v>
      </c>
      <c r="AS6" s="12">
        <f t="array" ref="AS6">MATCH(MAX(ABS(AS3:AS5)),ABS(AS3:AS5),0)</f>
        <v>2</v>
      </c>
      <c r="AT6" s="12">
        <f t="array" ref="AT6">MATCH(MAX(ABS(AT3:AT5)),ABS(AT3:AT5),0)</f>
        <v>2</v>
      </c>
      <c r="AU6" s="12">
        <f t="array" ref="AU6">MATCH(MAX(ABS(AU3:AU5)),ABS(AU3:AU5),0)</f>
        <v>2</v>
      </c>
      <c r="AV6" s="12">
        <f t="array" ref="AV6">MATCH(MAX(ABS(AV3:AV5)),ABS(AV3:AV5),0)</f>
        <v>2</v>
      </c>
      <c r="AW6" s="12">
        <f t="array" ref="AW6">MATCH(MAX(ABS(AW3:AW5)),ABS(AW3:AW5),0)</f>
        <v>2</v>
      </c>
      <c r="AX6" s="12">
        <f t="array" ref="AX6">MATCH(MAX(ABS(AX3:AX5)),ABS(AX3:AX5),0)</f>
        <v>2</v>
      </c>
      <c r="AY6" s="12">
        <f t="array" ref="AY6">MATCH(MAX(ABS(AY3:AY5)),ABS(AY3:AY5),0)</f>
        <v>2</v>
      </c>
      <c r="AZ6" s="12">
        <f t="array" ref="AZ6">MATCH(MAX(ABS(AZ3:AZ5)),ABS(AZ3:AZ5),0)</f>
        <v>2</v>
      </c>
      <c r="BA6" s="12">
        <f t="array" ref="BA6">MATCH(MAX(ABS(BA3:BA5)),ABS(BA3:BA5),0)</f>
        <v>2</v>
      </c>
      <c r="BB6" s="12">
        <f t="array" ref="BB6">MATCH(MAX(ABS(BB3:BB5)),ABS(BB3:BB5),0)</f>
        <v>2</v>
      </c>
      <c r="BC6" s="12">
        <f t="array" ref="BC6">MATCH(MAX(ABS(BC3:BC5)),ABS(BC3:BC5),0)</f>
        <v>2</v>
      </c>
      <c r="BD6" s="12">
        <f t="array" ref="BD6">MATCH(MAX(ABS(BD3:BD5)),ABS(BD3:BD5),0)</f>
        <v>2</v>
      </c>
      <c r="BE6" s="12">
        <f t="array" ref="BE6">MATCH(MAX(ABS(BE3:BE5)),ABS(BE3:BE5),0)</f>
        <v>1</v>
      </c>
      <c r="BF6" s="12">
        <f t="array" ref="BF6">MATCH(MAX(ABS(BF3:BF5)),ABS(BF3:BF5),0)</f>
        <v>1</v>
      </c>
      <c r="BG6" s="12">
        <f t="array" ref="BG6">MATCH(MAX(ABS(BG3:BG5)),ABS(BG3:BG5),0)</f>
        <v>2</v>
      </c>
      <c r="BH6" s="12">
        <f t="array" ref="BH6">MATCH(MAX(ABS(BH3:BH5)),ABS(BH3:BH5),0)</f>
        <v>2</v>
      </c>
      <c r="BI6" s="12">
        <f t="array" ref="BI6">MATCH(MAX(ABS(BI3:BI5)),ABS(BI3:BI5),0)</f>
        <v>2</v>
      </c>
      <c r="BJ6" s="12">
        <f t="array" ref="BJ6">MATCH(MAX(ABS(BJ3:BJ5)),ABS(BJ3:BJ5),0)</f>
        <v>2</v>
      </c>
      <c r="BK6" s="12">
        <f t="array" ref="BK6">MATCH(MAX(ABS(BK3:BK5)),ABS(BK3:BK5),0)</f>
        <v>2</v>
      </c>
      <c r="BL6" s="12">
        <f t="array" ref="BL6">MATCH(MAX(ABS(BL3:BL5)),ABS(BL3:BL5),0)</f>
        <v>1</v>
      </c>
      <c r="BM6" s="12">
        <f t="array" ref="BM6">MATCH(MAX(ABS(BM3:BM5)),ABS(BM3:BM5),0)</f>
        <v>1</v>
      </c>
      <c r="BN6" s="12">
        <f t="array" ref="BN6">MATCH(MAX(ABS(BN3:BN5)),ABS(BN3:BN5),0)</f>
        <v>2</v>
      </c>
      <c r="BO6" s="12">
        <f t="array" ref="BO6">MATCH(MAX(ABS(BO3:BO5)),ABS(BO3:BO5),0)</f>
        <v>1</v>
      </c>
      <c r="BP6" s="12">
        <f t="array" ref="BP6">MATCH(MAX(ABS(BP3:BP5)),ABS(BP3:BP5),0)</f>
        <v>1</v>
      </c>
      <c r="BQ6" s="12">
        <f t="array" ref="BQ6">MATCH(MAX(ABS(BQ3:BQ5)),ABS(BQ3:BQ5),0)</f>
        <v>2</v>
      </c>
      <c r="BR6" s="12">
        <f t="array" ref="BR6">MATCH(MAX(ABS(BR3:BR5)),ABS(BR3:BR5),0)</f>
        <v>2</v>
      </c>
      <c r="BS6" s="12">
        <f t="array" ref="BS6">MATCH(MAX(ABS(BS3:BS5)),ABS(BS3:BS5),0)</f>
        <v>1</v>
      </c>
      <c r="BT6" s="12">
        <f t="array" ref="BT6">MATCH(MAX(ABS(BT3:BT5)),ABS(BT3:BT5),0)</f>
        <v>1</v>
      </c>
      <c r="BU6" s="12">
        <f t="array" ref="BU6">MATCH(MAX(ABS(BU3:BU5)),ABS(BU3:BU5),0)</f>
        <v>2</v>
      </c>
      <c r="BV6" s="12">
        <f t="array" ref="BV6">MATCH(MAX(ABS(BV3:BV5)),ABS(BV3:BV5),0)</f>
        <v>2</v>
      </c>
      <c r="BW6" s="12">
        <f t="array" ref="BW6">MATCH(MAX(ABS(BW3:BW5)),ABS(BW3:BW5),0)</f>
        <v>2</v>
      </c>
      <c r="BX6" s="12">
        <f t="array" ref="BX6">MATCH(MAX(ABS(BX3:BX5)),ABS(BX3:BX5),0)</f>
        <v>2</v>
      </c>
      <c r="BY6" s="12">
        <f t="array" ref="BY6">MATCH(MAX(ABS(BY3:BY5)),ABS(BY3:BY5),0)</f>
        <v>2</v>
      </c>
      <c r="BZ6" s="12">
        <f t="array" ref="BZ6">MATCH(MAX(ABS(BZ3:BZ5)),ABS(BZ3:BZ5),0)</f>
        <v>2</v>
      </c>
      <c r="CA6" s="12">
        <f t="array" ref="CA6">MATCH(MAX(ABS(CA3:CA5)),ABS(CA3:CA5),0)</f>
        <v>2</v>
      </c>
      <c r="CB6" s="12">
        <f t="array" ref="CB6">MATCH(MAX(ABS(CB3:CB5)),ABS(CB3:CB5),0)</f>
        <v>2</v>
      </c>
      <c r="CC6" s="12">
        <f t="array" ref="CC6">MATCH(MAX(ABS(CC3:CC5)),ABS(CC3:CC5),0)</f>
        <v>2</v>
      </c>
      <c r="CD6" s="12">
        <f t="array" ref="CD6">MATCH(MAX(ABS(CD3:CD5)),ABS(CD3:CD5),0)</f>
        <v>2</v>
      </c>
      <c r="CE6" s="12">
        <f t="array" ref="CE6">MATCH(MAX(ABS(CE3:CE5)),ABS(CE3:CE5),0)</f>
        <v>1</v>
      </c>
      <c r="CF6" s="12">
        <f t="array" ref="CF6">MATCH(MAX(ABS(CF3:CF5)),ABS(CF3:CF5),0)</f>
        <v>1</v>
      </c>
      <c r="CG6" s="12">
        <f t="array" ref="CG6">MATCH(MAX(ABS(CG3:CG5)),ABS(CG3:CG5),0)</f>
        <v>2</v>
      </c>
      <c r="CH6" s="12">
        <f t="array" ref="CH6">MATCH(MAX(ABS(CH3:CH5)),ABS(CH3:CH5),0)</f>
        <v>2</v>
      </c>
      <c r="CI6" s="12">
        <f t="array" ref="CI6">MATCH(MAX(ABS(CI3:CI5)),ABS(CI3:CI5),0)</f>
        <v>2</v>
      </c>
      <c r="CJ6" s="12">
        <f t="array" ref="CJ6">MATCH(MAX(ABS(CJ3:CJ5)),ABS(CJ3:CJ5),0)</f>
        <v>2</v>
      </c>
      <c r="CK6" s="12">
        <f t="array" ref="CK6">MATCH(MAX(ABS(CK3:CK5)),ABS(CK3:CK5),0)</f>
        <v>2</v>
      </c>
      <c r="CL6" s="12">
        <f t="array" ref="CL6">MATCH(MAX(ABS(CL3:CL5)),ABS(CL3:CL5),0)</f>
        <v>1</v>
      </c>
      <c r="CM6" s="12">
        <f t="array" ref="CM6">MATCH(MAX(ABS(CM3:CM5)),ABS(CM3:CM5),0)</f>
        <v>1</v>
      </c>
      <c r="CN6" s="12">
        <f t="array" ref="CN6">MATCH(MAX(ABS(CN3:CN5)),ABS(CN3:CN5),0)</f>
        <v>2</v>
      </c>
      <c r="CO6" s="12">
        <f t="array" ref="CO6">MATCH(MAX(ABS(CO3:CO5)),ABS(CO3:CO5),0)</f>
        <v>1</v>
      </c>
      <c r="CP6" s="12">
        <f t="array" ref="CP6">MATCH(MAX(ABS(CP3:CP5)),ABS(CP3:CP5),0)</f>
        <v>2</v>
      </c>
      <c r="CQ6" s="12">
        <f t="array" ref="CQ6">MATCH(MAX(ABS(CQ3:CQ5)),ABS(CQ3:CQ5),0)</f>
        <v>2</v>
      </c>
      <c r="CR6" s="12">
        <f t="array" ref="CR6">MATCH(MAX(ABS(CR3:CR5)),ABS(CR3:CR5),0)</f>
        <v>1</v>
      </c>
      <c r="CS6" s="12">
        <f t="array" ref="CS6">MATCH(MAX(ABS(CS3:CS5)),ABS(CS3:CS5),0)</f>
        <v>1</v>
      </c>
      <c r="CT6" s="12">
        <f t="array" ref="CT6">MATCH(MAX(ABS(CT3:CT5)),ABS(CT3:CT5),0)</f>
        <v>2</v>
      </c>
      <c r="CU6" s="12">
        <f t="array" ref="CU6">MATCH(MAX(ABS(CU3:CU5)),ABS(CU3:CU5),0)</f>
        <v>1</v>
      </c>
      <c r="CV6" s="12">
        <f t="array" ref="CV6">MATCH(MAX(ABS(CV3:CV5)),ABS(CV3:CV5),0)</f>
        <v>1</v>
      </c>
      <c r="CW6" s="12">
        <f t="array" ref="CW6">MATCH(MAX(ABS(CW3:CW5)),ABS(CW3:CW5),0)</f>
        <v>1</v>
      </c>
      <c r="CX6" s="12">
        <f t="array" ref="CX6">MATCH(MAX(ABS(CX3:CX5)),ABS(CX3:CX5),0)</f>
        <v>1</v>
      </c>
      <c r="CY6" s="12">
        <f t="array" ref="CY6">MATCH(MAX(ABS(CY3:CY5)),ABS(CY3:CY5),0)</f>
        <v>2</v>
      </c>
      <c r="CZ6" s="12">
        <f t="array" ref="CZ6">MATCH(MAX(ABS(CZ3:CZ5)),ABS(CZ3:CZ5),0)</f>
        <v>2</v>
      </c>
      <c r="DA6" s="12">
        <f t="array" ref="DA6">MATCH(MAX(ABS(DA3:DA5)),ABS(DA3:DA5),0)</f>
        <v>1</v>
      </c>
      <c r="DB6" s="12">
        <f t="array" ref="DB6">MATCH(MAX(ABS(DB3:DB5)),ABS(DB3:DB5),0)</f>
        <v>2</v>
      </c>
      <c r="DC6" s="12">
        <f t="array" ref="DC6">MATCH(MAX(ABS(DC3:DC5)),ABS(DC3:DC5),0)</f>
        <v>2</v>
      </c>
      <c r="DD6" s="12">
        <f t="array" ref="DD6">MATCH(MAX(ABS(DD3:DD5)),ABS(DD3:DD5),0)</f>
        <v>2</v>
      </c>
      <c r="DE6" s="12">
        <f t="array" ref="DE6">MATCH(MAX(ABS(DE3:DE5)),ABS(DE3:DE5),0)</f>
        <v>2</v>
      </c>
      <c r="DF6" s="12">
        <f t="array" ref="DF6">MATCH(MAX(ABS(DF3:DF5)),ABS(DF3:DF5),0)</f>
        <v>2</v>
      </c>
      <c r="DG6" s="12">
        <f t="array" ref="DG6">MATCH(MAX(ABS(DG3:DG5)),ABS(DG3:DG5),0)</f>
        <v>2</v>
      </c>
      <c r="DH6" s="12">
        <f t="array" ref="DH6">MATCH(MAX(ABS(DH3:DH5)),ABS(DH3:DH5),0)</f>
        <v>2</v>
      </c>
      <c r="DI6" s="12">
        <f t="array" ref="DI6">MATCH(MAX(ABS(DI3:DI5)),ABS(DI3:DI5),0)</f>
        <v>2</v>
      </c>
      <c r="DJ6" s="12">
        <f t="array" ref="DJ6">MATCH(MAX(ABS(DJ3:DJ5)),ABS(DJ3:DJ5),0)</f>
        <v>2</v>
      </c>
      <c r="DK6" s="12">
        <f t="array" ref="DK6">MATCH(MAX(ABS(DK3:DK5)),ABS(DK3:DK5),0)</f>
        <v>2</v>
      </c>
      <c r="DL6" s="12">
        <f t="array" ref="DL6">MATCH(MAX(ABS(DL3:DL5)),ABS(DL3:DL5),0)</f>
        <v>2</v>
      </c>
      <c r="DM6" s="12">
        <f t="array" ref="DM6">MATCH(MAX(ABS(DM3:DM5)),ABS(DM3:DM5),0)</f>
        <v>2</v>
      </c>
      <c r="DN6" s="12">
        <f t="array" ref="DN6">MATCH(MAX(ABS(DN3:DN5)),ABS(DN3:DN5),0)</f>
        <v>1</v>
      </c>
      <c r="DO6" s="12">
        <f t="array" ref="DO6">MATCH(MAX(ABS(DO3:DO5)),ABS(DO3:DO5),0)</f>
        <v>2</v>
      </c>
      <c r="DP6" s="12">
        <f t="array" ref="DP6">MATCH(MAX(ABS(DP3:DP5)),ABS(DP3:DP5),0)</f>
        <v>1</v>
      </c>
      <c r="DQ6" s="12">
        <f t="array" ref="DQ6">MATCH(MAX(ABS(DQ3:DQ5)),ABS(DQ3:DQ5),0)</f>
        <v>2</v>
      </c>
      <c r="DR6" s="12">
        <f t="array" ref="DR6">MATCH(MAX(ABS(DR3:DR5)),ABS(DR3:DR5),0)</f>
        <v>2</v>
      </c>
      <c r="DS6" s="12">
        <f t="array" ref="DS6">MATCH(MAX(ABS(DS3:DS5)),ABS(DS3:DS5),0)</f>
        <v>1</v>
      </c>
      <c r="DT6" s="12">
        <f t="array" ref="DT6">MATCH(MAX(ABS(DT3:DT5)),ABS(DT3:DT5),0)</f>
        <v>2</v>
      </c>
      <c r="DU6" s="12">
        <f t="array" ref="DU6">MATCH(MAX(ABS(DU3:DU5)),ABS(DU3:DU5),0)</f>
        <v>2</v>
      </c>
      <c r="DV6" s="12">
        <f t="array" ref="DV6">MATCH(MAX(ABS(DV3:DV5)),ABS(DV3:DV5),0)</f>
        <v>2</v>
      </c>
      <c r="DW6" s="12">
        <f t="array" ref="DW6">MATCH(MAX(ABS(DW3:DW5)),ABS(DW3:DW5),0)</f>
        <v>1</v>
      </c>
      <c r="DX6" s="12">
        <f t="array" ref="DX6">MATCH(MAX(ABS(DX3:DX5)),ABS(DX3:DX5),0)</f>
        <v>2</v>
      </c>
      <c r="DY6" s="12">
        <f t="array" ref="DY6">MATCH(MAX(ABS(DY3:DY5)),ABS(DY3:DY5),0)</f>
        <v>2</v>
      </c>
      <c r="DZ6" s="12">
        <f t="array" ref="DZ6">MATCH(MAX(ABS(DZ3:DZ5)),ABS(DZ3:DZ5),0)</f>
        <v>1</v>
      </c>
      <c r="EA6" s="12">
        <f t="array" ref="EA6">MATCH(MAX(ABS(EA3:EA5)),ABS(EA3:EA5),0)</f>
        <v>2</v>
      </c>
      <c r="EB6" s="12">
        <f t="array" ref="EB6">MATCH(MAX(ABS(EB3:EB5)),ABS(EB3:EB5),0)</f>
        <v>2</v>
      </c>
      <c r="EC6" s="12">
        <f t="array" ref="EC6">MATCH(MAX(ABS(EC3:EC5)),ABS(EC3:EC5),0)</f>
        <v>1</v>
      </c>
      <c r="ED6" s="12">
        <f t="array" ref="ED6">MATCH(MAX(ABS(ED3:ED5)),ABS(ED3:ED5),0)</f>
        <v>1</v>
      </c>
      <c r="EE6" s="12">
        <f t="array" ref="EE6">MATCH(MAX(ABS(EE3:EE5)),ABS(EE3:EE5),0)</f>
        <v>1</v>
      </c>
      <c r="EF6" s="12">
        <f t="array" ref="EF6">MATCH(MAX(ABS(EF3:EF5)),ABS(EF3:EF5),0)</f>
        <v>1</v>
      </c>
    </row>
    <row r="7" spans="1:136">
      <c r="C7" s="13" t="str">
        <f t="shared" ref="C7:BN7" si="0">IF(C6=1,"bm",IF(C6=2,"size",IF(C6=3,"mom")))</f>
        <v>bm</v>
      </c>
      <c r="D7" s="13" t="str">
        <f t="shared" si="0"/>
        <v>bm</v>
      </c>
      <c r="E7" s="13" t="str">
        <f t="shared" si="0"/>
        <v>size</v>
      </c>
      <c r="F7" s="13" t="str">
        <f t="shared" si="0"/>
        <v>bm</v>
      </c>
      <c r="G7" s="13" t="str">
        <f t="shared" si="0"/>
        <v>bm</v>
      </c>
      <c r="H7" s="13" t="str">
        <f t="shared" si="0"/>
        <v>size</v>
      </c>
      <c r="I7" s="13" t="str">
        <f t="shared" si="0"/>
        <v>bm</v>
      </c>
      <c r="J7" s="13" t="str">
        <f t="shared" si="0"/>
        <v>size</v>
      </c>
      <c r="K7" s="13" t="str">
        <f t="shared" si="0"/>
        <v>bm</v>
      </c>
      <c r="L7" s="13" t="str">
        <f t="shared" si="0"/>
        <v>bm</v>
      </c>
      <c r="M7" s="13" t="str">
        <f t="shared" si="0"/>
        <v>size</v>
      </c>
      <c r="N7" s="13" t="str">
        <f t="shared" si="0"/>
        <v>bm</v>
      </c>
      <c r="O7" s="13" t="str">
        <f t="shared" si="0"/>
        <v>size</v>
      </c>
      <c r="P7" s="13" t="str">
        <f t="shared" si="0"/>
        <v>size</v>
      </c>
      <c r="Q7" s="13" t="str">
        <f t="shared" si="0"/>
        <v>size</v>
      </c>
      <c r="R7" s="13" t="str">
        <f t="shared" si="0"/>
        <v>bm</v>
      </c>
      <c r="S7" s="13" t="str">
        <f t="shared" si="0"/>
        <v>bm</v>
      </c>
      <c r="T7" s="13" t="str">
        <f t="shared" si="0"/>
        <v>size</v>
      </c>
      <c r="U7" s="13" t="str">
        <f t="shared" si="0"/>
        <v>bm</v>
      </c>
      <c r="V7" s="13" t="str">
        <f t="shared" si="0"/>
        <v>size</v>
      </c>
      <c r="W7" s="13" t="str">
        <f t="shared" si="0"/>
        <v>bm</v>
      </c>
      <c r="X7" s="13" t="str">
        <f t="shared" si="0"/>
        <v>bm</v>
      </c>
      <c r="Y7" s="13" t="str">
        <f t="shared" si="0"/>
        <v>size</v>
      </c>
      <c r="Z7" s="13" t="str">
        <f t="shared" si="0"/>
        <v>size</v>
      </c>
      <c r="AA7" s="13" t="str">
        <f t="shared" si="0"/>
        <v>size</v>
      </c>
      <c r="AB7" s="13" t="str">
        <f t="shared" si="0"/>
        <v>size</v>
      </c>
      <c r="AC7" s="13" t="str">
        <f t="shared" si="0"/>
        <v>size</v>
      </c>
      <c r="AD7" s="13" t="str">
        <f t="shared" si="0"/>
        <v>size</v>
      </c>
      <c r="AE7" s="13" t="str">
        <f t="shared" si="0"/>
        <v>size</v>
      </c>
      <c r="AF7" s="13" t="str">
        <f t="shared" si="0"/>
        <v>size</v>
      </c>
      <c r="AG7" s="13" t="str">
        <f t="shared" si="0"/>
        <v>size</v>
      </c>
      <c r="AH7" s="13" t="str">
        <f t="shared" si="0"/>
        <v>bm</v>
      </c>
      <c r="AI7" s="13" t="str">
        <f t="shared" si="0"/>
        <v>size</v>
      </c>
      <c r="AJ7" s="13" t="str">
        <f t="shared" si="0"/>
        <v>bm</v>
      </c>
      <c r="AK7" s="13" t="str">
        <f t="shared" si="0"/>
        <v>bm</v>
      </c>
      <c r="AL7" s="13" t="str">
        <f t="shared" si="0"/>
        <v>bm</v>
      </c>
      <c r="AM7" s="13" t="str">
        <f t="shared" si="0"/>
        <v>size</v>
      </c>
      <c r="AN7" s="13" t="str">
        <f t="shared" si="0"/>
        <v>size</v>
      </c>
      <c r="AO7" s="13" t="str">
        <f t="shared" si="0"/>
        <v>bm</v>
      </c>
      <c r="AP7" s="13" t="str">
        <f t="shared" si="0"/>
        <v>size</v>
      </c>
      <c r="AQ7" s="13" t="str">
        <f t="shared" si="0"/>
        <v>size</v>
      </c>
      <c r="AR7" s="13" t="str">
        <f t="shared" si="0"/>
        <v>size</v>
      </c>
      <c r="AS7" s="13" t="str">
        <f t="shared" si="0"/>
        <v>size</v>
      </c>
      <c r="AT7" s="13" t="str">
        <f t="shared" si="0"/>
        <v>size</v>
      </c>
      <c r="AU7" s="13" t="str">
        <f t="shared" si="0"/>
        <v>size</v>
      </c>
      <c r="AV7" s="13" t="str">
        <f t="shared" si="0"/>
        <v>size</v>
      </c>
      <c r="AW7" s="13" t="str">
        <f t="shared" si="0"/>
        <v>size</v>
      </c>
      <c r="AX7" s="13" t="str">
        <f t="shared" si="0"/>
        <v>size</v>
      </c>
      <c r="AY7" s="13" t="str">
        <f t="shared" si="0"/>
        <v>size</v>
      </c>
      <c r="AZ7" s="13" t="str">
        <f t="shared" si="0"/>
        <v>size</v>
      </c>
      <c r="BA7" s="13" t="str">
        <f t="shared" si="0"/>
        <v>size</v>
      </c>
      <c r="BB7" s="13" t="str">
        <f t="shared" si="0"/>
        <v>size</v>
      </c>
      <c r="BC7" s="13" t="str">
        <f t="shared" si="0"/>
        <v>size</v>
      </c>
      <c r="BD7" s="13" t="str">
        <f t="shared" si="0"/>
        <v>size</v>
      </c>
      <c r="BE7" s="13" t="str">
        <f t="shared" si="0"/>
        <v>bm</v>
      </c>
      <c r="BF7" s="13" t="str">
        <f t="shared" si="0"/>
        <v>bm</v>
      </c>
      <c r="BG7" s="13" t="str">
        <f t="shared" si="0"/>
        <v>size</v>
      </c>
      <c r="BH7" s="13" t="str">
        <f t="shared" si="0"/>
        <v>size</v>
      </c>
      <c r="BI7" s="13" t="str">
        <f t="shared" si="0"/>
        <v>size</v>
      </c>
      <c r="BJ7" s="13" t="str">
        <f t="shared" si="0"/>
        <v>size</v>
      </c>
      <c r="BK7" s="13" t="str">
        <f t="shared" si="0"/>
        <v>size</v>
      </c>
      <c r="BL7" s="13" t="str">
        <f t="shared" si="0"/>
        <v>bm</v>
      </c>
      <c r="BM7" s="13" t="str">
        <f t="shared" si="0"/>
        <v>bm</v>
      </c>
      <c r="BN7" s="13" t="str">
        <f t="shared" si="0"/>
        <v>size</v>
      </c>
      <c r="BO7" s="13" t="str">
        <f t="shared" ref="BO7:DZ7" si="1">IF(BO6=1,"bm",IF(BO6=2,"size",IF(BO6=3,"mom")))</f>
        <v>bm</v>
      </c>
      <c r="BP7" s="13" t="str">
        <f t="shared" si="1"/>
        <v>bm</v>
      </c>
      <c r="BQ7" s="13" t="str">
        <f t="shared" si="1"/>
        <v>size</v>
      </c>
      <c r="BR7" s="13" t="str">
        <f t="shared" si="1"/>
        <v>size</v>
      </c>
      <c r="BS7" s="13" t="str">
        <f t="shared" si="1"/>
        <v>bm</v>
      </c>
      <c r="BT7" s="13" t="str">
        <f t="shared" si="1"/>
        <v>bm</v>
      </c>
      <c r="BU7" s="13" t="str">
        <f t="shared" si="1"/>
        <v>size</v>
      </c>
      <c r="BV7" s="13" t="str">
        <f t="shared" si="1"/>
        <v>size</v>
      </c>
      <c r="BW7" s="13" t="str">
        <f t="shared" si="1"/>
        <v>size</v>
      </c>
      <c r="BX7" s="13" t="str">
        <f t="shared" si="1"/>
        <v>size</v>
      </c>
      <c r="BY7" s="13" t="str">
        <f t="shared" si="1"/>
        <v>size</v>
      </c>
      <c r="BZ7" s="13" t="str">
        <f t="shared" si="1"/>
        <v>size</v>
      </c>
      <c r="CA7" s="13" t="str">
        <f t="shared" si="1"/>
        <v>size</v>
      </c>
      <c r="CB7" s="13" t="str">
        <f t="shared" si="1"/>
        <v>size</v>
      </c>
      <c r="CC7" s="13" t="str">
        <f t="shared" si="1"/>
        <v>size</v>
      </c>
      <c r="CD7" s="13" t="str">
        <f t="shared" si="1"/>
        <v>size</v>
      </c>
      <c r="CE7" s="13" t="str">
        <f t="shared" si="1"/>
        <v>bm</v>
      </c>
      <c r="CF7" s="13" t="str">
        <f t="shared" si="1"/>
        <v>bm</v>
      </c>
      <c r="CG7" s="13" t="str">
        <f t="shared" si="1"/>
        <v>size</v>
      </c>
      <c r="CH7" s="13" t="str">
        <f t="shared" si="1"/>
        <v>size</v>
      </c>
      <c r="CI7" s="13" t="str">
        <f t="shared" si="1"/>
        <v>size</v>
      </c>
      <c r="CJ7" s="13" t="str">
        <f t="shared" si="1"/>
        <v>size</v>
      </c>
      <c r="CK7" s="13" t="str">
        <f t="shared" si="1"/>
        <v>size</v>
      </c>
      <c r="CL7" s="13" t="str">
        <f t="shared" si="1"/>
        <v>bm</v>
      </c>
      <c r="CM7" s="13" t="str">
        <f t="shared" si="1"/>
        <v>bm</v>
      </c>
      <c r="CN7" s="13" t="str">
        <f t="shared" si="1"/>
        <v>size</v>
      </c>
      <c r="CO7" s="13" t="str">
        <f t="shared" si="1"/>
        <v>bm</v>
      </c>
      <c r="CP7" s="13" t="str">
        <f t="shared" si="1"/>
        <v>size</v>
      </c>
      <c r="CQ7" s="13" t="str">
        <f t="shared" si="1"/>
        <v>size</v>
      </c>
      <c r="CR7" s="13" t="str">
        <f t="shared" si="1"/>
        <v>bm</v>
      </c>
      <c r="CS7" s="13" t="str">
        <f t="shared" si="1"/>
        <v>bm</v>
      </c>
      <c r="CT7" s="13" t="str">
        <f t="shared" si="1"/>
        <v>size</v>
      </c>
      <c r="CU7" s="13" t="str">
        <f t="shared" si="1"/>
        <v>bm</v>
      </c>
      <c r="CV7" s="13" t="str">
        <f t="shared" si="1"/>
        <v>bm</v>
      </c>
      <c r="CW7" s="13" t="str">
        <f t="shared" si="1"/>
        <v>bm</v>
      </c>
      <c r="CX7" s="13" t="str">
        <f t="shared" si="1"/>
        <v>bm</v>
      </c>
      <c r="CY7" s="13" t="str">
        <f t="shared" si="1"/>
        <v>size</v>
      </c>
      <c r="CZ7" s="13" t="str">
        <f t="shared" si="1"/>
        <v>size</v>
      </c>
      <c r="DA7" s="13" t="str">
        <f t="shared" si="1"/>
        <v>bm</v>
      </c>
      <c r="DB7" s="13" t="str">
        <f t="shared" si="1"/>
        <v>size</v>
      </c>
      <c r="DC7" s="13" t="str">
        <f t="shared" si="1"/>
        <v>size</v>
      </c>
      <c r="DD7" s="13" t="str">
        <f t="shared" si="1"/>
        <v>size</v>
      </c>
      <c r="DE7" s="13" t="str">
        <f t="shared" si="1"/>
        <v>size</v>
      </c>
      <c r="DF7" s="13" t="str">
        <f t="shared" si="1"/>
        <v>size</v>
      </c>
      <c r="DG7" s="13" t="str">
        <f t="shared" si="1"/>
        <v>size</v>
      </c>
      <c r="DH7" s="13" t="str">
        <f t="shared" si="1"/>
        <v>size</v>
      </c>
      <c r="DI7" s="13" t="str">
        <f t="shared" si="1"/>
        <v>size</v>
      </c>
      <c r="DJ7" s="13" t="str">
        <f t="shared" si="1"/>
        <v>size</v>
      </c>
      <c r="DK7" s="13" t="str">
        <f t="shared" si="1"/>
        <v>size</v>
      </c>
      <c r="DL7" s="13" t="str">
        <f t="shared" si="1"/>
        <v>size</v>
      </c>
      <c r="DM7" s="13" t="str">
        <f t="shared" si="1"/>
        <v>size</v>
      </c>
      <c r="DN7" s="13" t="str">
        <f t="shared" si="1"/>
        <v>bm</v>
      </c>
      <c r="DO7" s="13" t="str">
        <f t="shared" si="1"/>
        <v>size</v>
      </c>
      <c r="DP7" s="13" t="str">
        <f t="shared" si="1"/>
        <v>bm</v>
      </c>
      <c r="DQ7" s="13" t="str">
        <f t="shared" si="1"/>
        <v>size</v>
      </c>
      <c r="DR7" s="13" t="str">
        <f t="shared" si="1"/>
        <v>size</v>
      </c>
      <c r="DS7" s="13" t="str">
        <f t="shared" si="1"/>
        <v>bm</v>
      </c>
      <c r="DT7" s="13" t="str">
        <f t="shared" si="1"/>
        <v>size</v>
      </c>
      <c r="DU7" s="13" t="str">
        <f t="shared" si="1"/>
        <v>size</v>
      </c>
      <c r="DV7" s="13" t="str">
        <f t="shared" si="1"/>
        <v>size</v>
      </c>
      <c r="DW7" s="13" t="str">
        <f t="shared" si="1"/>
        <v>bm</v>
      </c>
      <c r="DX7" s="13" t="str">
        <f t="shared" si="1"/>
        <v>size</v>
      </c>
      <c r="DY7" s="13" t="str">
        <f t="shared" si="1"/>
        <v>size</v>
      </c>
      <c r="DZ7" s="13" t="str">
        <f t="shared" si="1"/>
        <v>bm</v>
      </c>
      <c r="EA7" s="13" t="str">
        <f t="shared" ref="EA7:EF7" si="2">IF(EA6=1,"bm",IF(EA6=2,"size",IF(EA6=3,"mom")))</f>
        <v>size</v>
      </c>
      <c r="EB7" s="13" t="str">
        <f t="shared" si="2"/>
        <v>size</v>
      </c>
      <c r="EC7" s="13" t="str">
        <f t="shared" si="2"/>
        <v>bm</v>
      </c>
      <c r="ED7" s="13" t="str">
        <f t="shared" si="2"/>
        <v>bm</v>
      </c>
      <c r="EE7" s="13" t="str">
        <f t="shared" si="2"/>
        <v>bm</v>
      </c>
      <c r="EF7" s="13" t="str">
        <f t="shared" si="2"/>
        <v>bm</v>
      </c>
    </row>
    <row r="8" spans="1:136">
      <c r="C8" s="12">
        <f t="shared" ref="C8:BN8" si="3">IF(C6=1,C3,IF(C6=2,C4,IF(C6=3,C5)))</f>
        <v>-7.7981240861112869E-2</v>
      </c>
      <c r="D8" s="12">
        <f t="shared" si="3"/>
        <v>-9.1720816001217079E-2</v>
      </c>
      <c r="E8" s="12">
        <f t="shared" si="3"/>
        <v>-7.4711540898400819E-2</v>
      </c>
      <c r="F8" s="12">
        <f t="shared" si="3"/>
        <v>-0.1154504478657486</v>
      </c>
      <c r="G8" s="12">
        <f t="shared" si="3"/>
        <v>-8.3443116291576969E-2</v>
      </c>
      <c r="H8" s="12">
        <f t="shared" si="3"/>
        <v>-7.4711540898400819E-2</v>
      </c>
      <c r="I8" s="12">
        <f t="shared" si="3"/>
        <v>-9.17061944524626E-2</v>
      </c>
      <c r="J8" s="12">
        <f t="shared" si="3"/>
        <v>-7.4711540898400819E-2</v>
      </c>
      <c r="K8" s="12">
        <f t="shared" si="3"/>
        <v>-0.1008329194598508</v>
      </c>
      <c r="L8" s="12">
        <f t="shared" si="3"/>
        <v>-0.10378006478536519</v>
      </c>
      <c r="M8" s="12">
        <f t="shared" si="3"/>
        <v>-7.4711540898400819E-2</v>
      </c>
      <c r="N8" s="12">
        <f t="shared" si="3"/>
        <v>-0.1158619637464291</v>
      </c>
      <c r="O8" s="12">
        <f t="shared" si="3"/>
        <v>-7.4711540898400819E-2</v>
      </c>
      <c r="P8" s="12">
        <f t="shared" si="3"/>
        <v>-7.4711540898400819E-2</v>
      </c>
      <c r="Q8" s="12">
        <f t="shared" si="3"/>
        <v>-7.4711540898400819E-2</v>
      </c>
      <c r="R8" s="12">
        <f t="shared" si="3"/>
        <v>-0.1169489926289226</v>
      </c>
      <c r="S8" s="12">
        <f t="shared" si="3"/>
        <v>-0.17262516521577451</v>
      </c>
      <c r="T8" s="12">
        <f t="shared" si="3"/>
        <v>-7.4711540898400819E-2</v>
      </c>
      <c r="U8" s="12">
        <f t="shared" si="3"/>
        <v>-0.1047373820130289</v>
      </c>
      <c r="V8" s="12">
        <f t="shared" si="3"/>
        <v>-7.4711540898400819E-2</v>
      </c>
      <c r="W8" s="12">
        <f t="shared" si="3"/>
        <v>0.1104845400782864</v>
      </c>
      <c r="X8" s="12">
        <f t="shared" si="3"/>
        <v>7.7152949246108812E-2</v>
      </c>
      <c r="Y8" s="12">
        <f t="shared" si="3"/>
        <v>-7.4711540898400819E-2</v>
      </c>
      <c r="Z8" s="12">
        <f t="shared" si="3"/>
        <v>-7.4711540898400819E-2</v>
      </c>
      <c r="AA8" s="12">
        <f t="shared" si="3"/>
        <v>-7.4711540898400819E-2</v>
      </c>
      <c r="AB8" s="12">
        <f t="shared" si="3"/>
        <v>-7.4711540898400819E-2</v>
      </c>
      <c r="AC8" s="12">
        <f t="shared" si="3"/>
        <v>-7.4711540898400819E-2</v>
      </c>
      <c r="AD8" s="12">
        <f t="shared" si="3"/>
        <v>-7.4711540898400819E-2</v>
      </c>
      <c r="AE8" s="12">
        <f t="shared" si="3"/>
        <v>-7.4711540898400819E-2</v>
      </c>
      <c r="AF8" s="12">
        <f t="shared" si="3"/>
        <v>-7.4711540898400819E-2</v>
      </c>
      <c r="AG8" s="12">
        <f t="shared" si="3"/>
        <v>-7.4711540898400819E-2</v>
      </c>
      <c r="AH8" s="12">
        <f t="shared" si="3"/>
        <v>0.1009192396033949</v>
      </c>
      <c r="AI8" s="12">
        <f t="shared" si="3"/>
        <v>-7.4711540898400819E-2</v>
      </c>
      <c r="AJ8" s="12">
        <f t="shared" si="3"/>
        <v>0.1019691755674634</v>
      </c>
      <c r="AK8" s="12">
        <f t="shared" si="3"/>
        <v>0.13211315672161919</v>
      </c>
      <c r="AL8" s="12">
        <f t="shared" si="3"/>
        <v>8.0841310267837335E-2</v>
      </c>
      <c r="AM8" s="12">
        <f t="shared" si="3"/>
        <v>-7.4711540898400819E-2</v>
      </c>
      <c r="AN8" s="12">
        <f t="shared" si="3"/>
        <v>-7.4711540898400819E-2</v>
      </c>
      <c r="AO8" s="12">
        <f t="shared" si="3"/>
        <v>0.1344236211085432</v>
      </c>
      <c r="AP8" s="12">
        <f t="shared" si="3"/>
        <v>-7.4711540898400819E-2</v>
      </c>
      <c r="AQ8" s="12">
        <f t="shared" si="3"/>
        <v>-7.4711540898400819E-2</v>
      </c>
      <c r="AR8" s="12">
        <f t="shared" si="3"/>
        <v>-7.4711540898400819E-2</v>
      </c>
      <c r="AS8" s="12">
        <f t="shared" si="3"/>
        <v>-7.4711540898400819E-2</v>
      </c>
      <c r="AT8" s="12">
        <f t="shared" si="3"/>
        <v>-7.4711540898400819E-2</v>
      </c>
      <c r="AU8" s="12">
        <f t="shared" si="3"/>
        <v>-7.4711540898400819E-2</v>
      </c>
      <c r="AV8" s="12">
        <f t="shared" si="3"/>
        <v>-7.4711540898400819E-2</v>
      </c>
      <c r="AW8" s="12">
        <f t="shared" si="3"/>
        <v>-7.4711540898400819E-2</v>
      </c>
      <c r="AX8" s="12">
        <f t="shared" si="3"/>
        <v>-7.4711540898400819E-2</v>
      </c>
      <c r="AY8" s="12">
        <f t="shared" si="3"/>
        <v>-7.4711540898400819E-2</v>
      </c>
      <c r="AZ8" s="12">
        <f t="shared" si="3"/>
        <v>-7.4711540898400819E-2</v>
      </c>
      <c r="BA8" s="12">
        <f t="shared" si="3"/>
        <v>-7.4711540898400819E-2</v>
      </c>
      <c r="BB8" s="12">
        <f t="shared" si="3"/>
        <v>-7.4711540898400819E-2</v>
      </c>
      <c r="BC8" s="12">
        <f t="shared" si="3"/>
        <v>-7.4711540898400819E-2</v>
      </c>
      <c r="BD8" s="12">
        <f t="shared" si="3"/>
        <v>-7.4711540898400819E-2</v>
      </c>
      <c r="BE8" s="12">
        <f t="shared" si="3"/>
        <v>0.15640720996344051</v>
      </c>
      <c r="BF8" s="12">
        <f t="shared" si="3"/>
        <v>8.961422115098705E-2</v>
      </c>
      <c r="BG8" s="12">
        <f t="shared" si="3"/>
        <v>-7.4711540898400819E-2</v>
      </c>
      <c r="BH8" s="12">
        <f t="shared" si="3"/>
        <v>-7.4711540898400819E-2</v>
      </c>
      <c r="BI8" s="12">
        <f t="shared" si="3"/>
        <v>-7.4711540898400819E-2</v>
      </c>
      <c r="BJ8" s="12">
        <f t="shared" si="3"/>
        <v>-7.4711540898400819E-2</v>
      </c>
      <c r="BK8" s="12">
        <f t="shared" si="3"/>
        <v>-7.4711540898400819E-2</v>
      </c>
      <c r="BL8" s="12">
        <f t="shared" si="3"/>
        <v>0.14599637517714301</v>
      </c>
      <c r="BM8" s="12">
        <f t="shared" si="3"/>
        <v>7.7671454044817706E-2</v>
      </c>
      <c r="BN8" s="12">
        <f t="shared" si="3"/>
        <v>-7.4711540898400819E-2</v>
      </c>
      <c r="BO8" s="12">
        <f t="shared" ref="BO8:DZ8" si="4">IF(BO6=1,BO3,IF(BO6=2,BO4,IF(BO6=3,BO5)))</f>
        <v>0.15075036572727429</v>
      </c>
      <c r="BP8" s="12">
        <f t="shared" si="4"/>
        <v>0.1068808738908148</v>
      </c>
      <c r="BQ8" s="12">
        <f t="shared" si="4"/>
        <v>-7.4711540898400819E-2</v>
      </c>
      <c r="BR8" s="12">
        <f t="shared" si="4"/>
        <v>-7.4711540898400819E-2</v>
      </c>
      <c r="BS8" s="12">
        <f t="shared" si="4"/>
        <v>7.5715218722114425E-2</v>
      </c>
      <c r="BT8" s="12">
        <f t="shared" si="4"/>
        <v>0.1476948601503042</v>
      </c>
      <c r="BU8" s="12">
        <f t="shared" si="4"/>
        <v>-7.4711540898400819E-2</v>
      </c>
      <c r="BV8" s="12">
        <f t="shared" si="4"/>
        <v>-7.4711540898400819E-2</v>
      </c>
      <c r="BW8" s="12">
        <f t="shared" si="4"/>
        <v>-7.4711540898400819E-2</v>
      </c>
      <c r="BX8" s="12">
        <f t="shared" si="4"/>
        <v>-7.4711540898400819E-2</v>
      </c>
      <c r="BY8" s="12">
        <f t="shared" si="4"/>
        <v>-7.4711540898400819E-2</v>
      </c>
      <c r="BZ8" s="12">
        <f t="shared" si="4"/>
        <v>-7.4711540898400819E-2</v>
      </c>
      <c r="CA8" s="12">
        <f t="shared" si="4"/>
        <v>-7.4711540898400819E-2</v>
      </c>
      <c r="CB8" s="12">
        <f t="shared" si="4"/>
        <v>-7.4711540898400819E-2</v>
      </c>
      <c r="CC8" s="12">
        <f t="shared" si="4"/>
        <v>-7.4711540898400819E-2</v>
      </c>
      <c r="CD8" s="12">
        <f t="shared" si="4"/>
        <v>-7.4711540898400819E-2</v>
      </c>
      <c r="CE8" s="12">
        <f t="shared" si="4"/>
        <v>-0.1062476229187161</v>
      </c>
      <c r="CF8" s="12">
        <f t="shared" si="4"/>
        <v>-0.1195660454549131</v>
      </c>
      <c r="CG8" s="12">
        <f t="shared" si="4"/>
        <v>-7.4711540898400819E-2</v>
      </c>
      <c r="CH8" s="12">
        <f t="shared" si="4"/>
        <v>-7.4711540898400819E-2</v>
      </c>
      <c r="CI8" s="12">
        <f t="shared" si="4"/>
        <v>-7.4711540898400819E-2</v>
      </c>
      <c r="CJ8" s="12">
        <f t="shared" si="4"/>
        <v>-7.4711540898400819E-2</v>
      </c>
      <c r="CK8" s="12">
        <f t="shared" si="4"/>
        <v>-7.4711540898400819E-2</v>
      </c>
      <c r="CL8" s="12">
        <f t="shared" si="4"/>
        <v>-8.2212452947380901E-2</v>
      </c>
      <c r="CM8" s="12">
        <f t="shared" si="4"/>
        <v>-0.12682704685249099</v>
      </c>
      <c r="CN8" s="12">
        <f t="shared" si="4"/>
        <v>-7.4711540898400819E-2</v>
      </c>
      <c r="CO8" s="12">
        <f t="shared" si="4"/>
        <v>-0.13500465547665971</v>
      </c>
      <c r="CP8" s="12">
        <f t="shared" si="4"/>
        <v>-7.4711540898400819E-2</v>
      </c>
      <c r="CQ8" s="12">
        <f t="shared" si="4"/>
        <v>-7.4711540898400819E-2</v>
      </c>
      <c r="CR8" s="12">
        <f t="shared" si="4"/>
        <v>-9.4660334746213826E-2</v>
      </c>
      <c r="CS8" s="12">
        <f t="shared" si="4"/>
        <v>-7.7501744984071919E-2</v>
      </c>
      <c r="CT8" s="12">
        <f t="shared" si="4"/>
        <v>-7.4711540898400819E-2</v>
      </c>
      <c r="CU8" s="12">
        <f t="shared" si="4"/>
        <v>-0.10211731197922071</v>
      </c>
      <c r="CV8" s="12">
        <f t="shared" si="4"/>
        <v>-0.1210008636864883</v>
      </c>
      <c r="CW8" s="12">
        <f t="shared" si="4"/>
        <v>-8.3771057290789874E-2</v>
      </c>
      <c r="CX8" s="12">
        <f t="shared" si="4"/>
        <v>-0.108143131485795</v>
      </c>
      <c r="CY8" s="12">
        <f t="shared" si="4"/>
        <v>-7.4711540898400819E-2</v>
      </c>
      <c r="CZ8" s="12">
        <f t="shared" si="4"/>
        <v>-7.4711540898400819E-2</v>
      </c>
      <c r="DA8" s="12">
        <f t="shared" si="4"/>
        <v>-7.7524493053387863E-2</v>
      </c>
      <c r="DB8" s="12">
        <f t="shared" si="4"/>
        <v>-7.4711540898400819E-2</v>
      </c>
      <c r="DC8" s="12">
        <f t="shared" si="4"/>
        <v>-7.4711540898400819E-2</v>
      </c>
      <c r="DD8" s="12">
        <f t="shared" si="4"/>
        <v>-7.4711540898400819E-2</v>
      </c>
      <c r="DE8" s="12">
        <f t="shared" si="4"/>
        <v>-7.4711540898400819E-2</v>
      </c>
      <c r="DF8" s="12">
        <f t="shared" si="4"/>
        <v>-7.4711540898400819E-2</v>
      </c>
      <c r="DG8" s="12">
        <f t="shared" si="4"/>
        <v>-7.4711540898400819E-2</v>
      </c>
      <c r="DH8" s="12">
        <f t="shared" si="4"/>
        <v>-7.4711540898400819E-2</v>
      </c>
      <c r="DI8" s="12">
        <f t="shared" si="4"/>
        <v>-7.4711540898400819E-2</v>
      </c>
      <c r="DJ8" s="12">
        <f t="shared" si="4"/>
        <v>-7.4711540898400819E-2</v>
      </c>
      <c r="DK8" s="12">
        <f t="shared" si="4"/>
        <v>-7.4711540898400819E-2</v>
      </c>
      <c r="DL8" s="12">
        <f t="shared" si="4"/>
        <v>-7.4711540898400819E-2</v>
      </c>
      <c r="DM8" s="12">
        <f t="shared" si="4"/>
        <v>-7.4711540898400819E-2</v>
      </c>
      <c r="DN8" s="12">
        <f t="shared" si="4"/>
        <v>7.7435014643364664E-2</v>
      </c>
      <c r="DO8" s="12">
        <f t="shared" si="4"/>
        <v>-7.4711540898400819E-2</v>
      </c>
      <c r="DP8" s="12">
        <f t="shared" si="4"/>
        <v>7.556841599905624E-2</v>
      </c>
      <c r="DQ8" s="12">
        <f t="shared" si="4"/>
        <v>-7.4711540898400819E-2</v>
      </c>
      <c r="DR8" s="12">
        <f t="shared" si="4"/>
        <v>-7.4711540898400819E-2</v>
      </c>
      <c r="DS8" s="12">
        <f t="shared" si="4"/>
        <v>0.10263669436748039</v>
      </c>
      <c r="DT8" s="12">
        <f t="shared" si="4"/>
        <v>-7.4711540898400819E-2</v>
      </c>
      <c r="DU8" s="12">
        <f t="shared" si="4"/>
        <v>-7.4711540898400819E-2</v>
      </c>
      <c r="DV8" s="12">
        <f t="shared" si="4"/>
        <v>-7.4711540898400819E-2</v>
      </c>
      <c r="DW8" s="12">
        <f t="shared" si="4"/>
        <v>7.8117337673435386E-2</v>
      </c>
      <c r="DX8" s="12">
        <f t="shared" si="4"/>
        <v>-7.4711540898400819E-2</v>
      </c>
      <c r="DY8" s="12">
        <f t="shared" si="4"/>
        <v>-7.4711540898400819E-2</v>
      </c>
      <c r="DZ8" s="12">
        <f t="shared" si="4"/>
        <v>-0.1079887966876449</v>
      </c>
      <c r="EA8" s="12">
        <f t="shared" ref="EA8:EF8" si="5">IF(EA6=1,EA3,IF(EA6=2,EA4,IF(EA6=3,EA5)))</f>
        <v>-7.4711540898400819E-2</v>
      </c>
      <c r="EB8" s="12">
        <f t="shared" si="5"/>
        <v>-7.4711540898400819E-2</v>
      </c>
      <c r="EC8" s="12">
        <f t="shared" si="5"/>
        <v>0.1146690600079793</v>
      </c>
      <c r="ED8" s="12">
        <f t="shared" si="5"/>
        <v>-0.13301760440885349</v>
      </c>
      <c r="EE8" s="12">
        <f t="shared" si="5"/>
        <v>-8.3212161647068517E-2</v>
      </c>
      <c r="EF8" s="12">
        <f t="shared" si="5"/>
        <v>-7.4711540898400819E-2</v>
      </c>
    </row>
    <row r="10" spans="1:136">
      <c r="A10" s="2" t="s">
        <v>139</v>
      </c>
      <c r="B10" s="1"/>
      <c r="C10" s="2" t="s">
        <v>140</v>
      </c>
      <c r="D10" s="2">
        <v>964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</row>
    <row r="11" spans="1:136">
      <c r="A11" s="2" t="s">
        <v>141</v>
      </c>
      <c r="B11" s="2" t="s">
        <v>142</v>
      </c>
      <c r="C11" s="3" t="s">
        <v>2</v>
      </c>
      <c r="D11" s="3" t="s">
        <v>3</v>
      </c>
      <c r="E11" s="3" t="s">
        <v>4</v>
      </c>
      <c r="F11" s="3" t="s">
        <v>5</v>
      </c>
      <c r="G11" s="3" t="s">
        <v>6</v>
      </c>
      <c r="H11" s="3" t="s">
        <v>7</v>
      </c>
      <c r="I11" s="3" t="s">
        <v>8</v>
      </c>
      <c r="J11" s="3" t="s">
        <v>9</v>
      </c>
      <c r="K11" s="3" t="s">
        <v>10</v>
      </c>
      <c r="L11" s="3" t="s">
        <v>11</v>
      </c>
      <c r="M11" s="3" t="s">
        <v>12</v>
      </c>
      <c r="N11" s="3" t="s">
        <v>13</v>
      </c>
      <c r="O11" s="3" t="s">
        <v>14</v>
      </c>
      <c r="P11" s="3" t="s">
        <v>15</v>
      </c>
      <c r="Q11" s="3" t="s">
        <v>16</v>
      </c>
      <c r="R11" s="3" t="s">
        <v>17</v>
      </c>
      <c r="S11" s="3" t="s">
        <v>18</v>
      </c>
      <c r="T11" s="3" t="s">
        <v>19</v>
      </c>
      <c r="U11" s="3" t="s">
        <v>20</v>
      </c>
      <c r="V11" s="3" t="s">
        <v>21</v>
      </c>
      <c r="W11" s="3" t="s">
        <v>22</v>
      </c>
      <c r="X11" s="3" t="s">
        <v>23</v>
      </c>
      <c r="Y11" s="3" t="s">
        <v>24</v>
      </c>
      <c r="Z11" s="3" t="s">
        <v>25</v>
      </c>
      <c r="AA11" s="3" t="s">
        <v>26</v>
      </c>
      <c r="AB11" s="3" t="s">
        <v>27</v>
      </c>
      <c r="AC11" s="3" t="s">
        <v>28</v>
      </c>
      <c r="AD11" s="3" t="s">
        <v>29</v>
      </c>
      <c r="AE11" s="3" t="s">
        <v>30</v>
      </c>
      <c r="AF11" s="3" t="s">
        <v>31</v>
      </c>
      <c r="AG11" s="3" t="s">
        <v>32</v>
      </c>
      <c r="AH11" s="3" t="s">
        <v>33</v>
      </c>
      <c r="AI11" s="3" t="s">
        <v>34</v>
      </c>
      <c r="AJ11" s="3" t="s">
        <v>35</v>
      </c>
      <c r="AK11" s="3" t="s">
        <v>36</v>
      </c>
      <c r="AL11" s="3" t="s">
        <v>37</v>
      </c>
      <c r="AM11" s="3" t="s">
        <v>38</v>
      </c>
      <c r="AN11" s="3" t="s">
        <v>39</v>
      </c>
      <c r="AO11" s="3" t="s">
        <v>40</v>
      </c>
      <c r="AP11" s="3" t="s">
        <v>41</v>
      </c>
      <c r="AQ11" s="3" t="s">
        <v>42</v>
      </c>
      <c r="AR11" s="3" t="s">
        <v>43</v>
      </c>
      <c r="AS11" s="3" t="s">
        <v>44</v>
      </c>
      <c r="AT11" s="3" t="s">
        <v>45</v>
      </c>
      <c r="AU11" s="3" t="s">
        <v>46</v>
      </c>
      <c r="AV11" s="3" t="s">
        <v>47</v>
      </c>
      <c r="AW11" s="3" t="s">
        <v>48</v>
      </c>
      <c r="AX11" s="3" t="s">
        <v>49</v>
      </c>
      <c r="AY11" s="3" t="s">
        <v>50</v>
      </c>
      <c r="AZ11" s="3" t="s">
        <v>51</v>
      </c>
      <c r="BA11" s="3" t="s">
        <v>52</v>
      </c>
      <c r="BB11" s="3" t="s">
        <v>53</v>
      </c>
      <c r="BC11" s="3" t="s">
        <v>54</v>
      </c>
      <c r="BD11" s="3" t="s">
        <v>55</v>
      </c>
      <c r="BE11" s="3" t="s">
        <v>56</v>
      </c>
      <c r="BF11" s="3" t="s">
        <v>57</v>
      </c>
      <c r="BG11" s="3" t="s">
        <v>58</v>
      </c>
      <c r="BH11" s="3" t="s">
        <v>59</v>
      </c>
      <c r="BI11" s="3" t="s">
        <v>60</v>
      </c>
      <c r="BJ11" s="3" t="s">
        <v>61</v>
      </c>
      <c r="BK11" s="3" t="s">
        <v>62</v>
      </c>
      <c r="BL11" s="3" t="s">
        <v>63</v>
      </c>
      <c r="BM11" s="3" t="s">
        <v>64</v>
      </c>
      <c r="BN11" s="3" t="s">
        <v>65</v>
      </c>
      <c r="BO11" s="3" t="s">
        <v>66</v>
      </c>
      <c r="BP11" s="3" t="s">
        <v>67</v>
      </c>
      <c r="BQ11" s="3" t="s">
        <v>68</v>
      </c>
      <c r="BR11" s="3" t="s">
        <v>69</v>
      </c>
      <c r="BS11" s="3" t="s">
        <v>70</v>
      </c>
      <c r="BT11" s="3" t="s">
        <v>71</v>
      </c>
      <c r="BU11" s="3" t="s">
        <v>72</v>
      </c>
      <c r="BV11" s="3" t="s">
        <v>73</v>
      </c>
      <c r="BW11" s="3" t="s">
        <v>74</v>
      </c>
      <c r="BX11" s="3" t="s">
        <v>75</v>
      </c>
      <c r="BY11" s="3" t="s">
        <v>76</v>
      </c>
      <c r="BZ11" s="3" t="s">
        <v>77</v>
      </c>
      <c r="CA11" s="3" t="s">
        <v>78</v>
      </c>
      <c r="CB11" s="3" t="s">
        <v>79</v>
      </c>
      <c r="CC11" s="3" t="s">
        <v>80</v>
      </c>
      <c r="CD11" s="3" t="s">
        <v>81</v>
      </c>
      <c r="CE11" s="3" t="s">
        <v>82</v>
      </c>
      <c r="CF11" s="3" t="s">
        <v>83</v>
      </c>
      <c r="CG11" s="3" t="s">
        <v>84</v>
      </c>
      <c r="CH11" s="3" t="s">
        <v>85</v>
      </c>
      <c r="CI11" s="3" t="s">
        <v>86</v>
      </c>
      <c r="CJ11" s="3" t="s">
        <v>87</v>
      </c>
      <c r="CK11" s="3" t="s">
        <v>88</v>
      </c>
      <c r="CL11" s="3" t="s">
        <v>89</v>
      </c>
      <c r="CM11" s="3" t="s">
        <v>90</v>
      </c>
      <c r="CN11" s="3" t="s">
        <v>91</v>
      </c>
      <c r="CO11" s="3" t="s">
        <v>92</v>
      </c>
      <c r="CP11" s="3" t="s">
        <v>93</v>
      </c>
      <c r="CQ11" s="3" t="s">
        <v>94</v>
      </c>
      <c r="CR11" s="3" t="s">
        <v>95</v>
      </c>
      <c r="CS11" s="3" t="s">
        <v>96</v>
      </c>
      <c r="CT11" s="3" t="s">
        <v>97</v>
      </c>
      <c r="CU11" s="3" t="s">
        <v>98</v>
      </c>
      <c r="CV11" s="3" t="s">
        <v>99</v>
      </c>
      <c r="CW11" s="3" t="s">
        <v>100</v>
      </c>
      <c r="CX11" s="3" t="s">
        <v>101</v>
      </c>
      <c r="CY11" s="3" t="s">
        <v>102</v>
      </c>
      <c r="CZ11" s="3" t="s">
        <v>103</v>
      </c>
      <c r="DA11" s="3" t="s">
        <v>104</v>
      </c>
      <c r="DB11" s="3" t="s">
        <v>105</v>
      </c>
      <c r="DC11" s="3" t="s">
        <v>106</v>
      </c>
      <c r="DD11" s="3" t="s">
        <v>107</v>
      </c>
      <c r="DE11" s="3" t="s">
        <v>108</v>
      </c>
      <c r="DF11" s="3" t="s">
        <v>109</v>
      </c>
      <c r="DG11" s="3" t="s">
        <v>110</v>
      </c>
      <c r="DH11" s="3" t="s">
        <v>111</v>
      </c>
      <c r="DI11" s="3" t="s">
        <v>112</v>
      </c>
      <c r="DJ11" s="3" t="s">
        <v>113</v>
      </c>
      <c r="DK11" s="3" t="s">
        <v>114</v>
      </c>
      <c r="DL11" s="3" t="s">
        <v>115</v>
      </c>
      <c r="DM11" s="3" t="s">
        <v>116</v>
      </c>
      <c r="DN11" s="3" t="s">
        <v>117</v>
      </c>
      <c r="DO11" s="3" t="s">
        <v>118</v>
      </c>
      <c r="DP11" s="3" t="s">
        <v>119</v>
      </c>
      <c r="DQ11" s="3" t="s">
        <v>120</v>
      </c>
      <c r="DR11" s="3" t="s">
        <v>121</v>
      </c>
      <c r="DS11" s="3" t="s">
        <v>122</v>
      </c>
      <c r="DT11" s="3" t="s">
        <v>123</v>
      </c>
      <c r="DU11" s="3" t="s">
        <v>124</v>
      </c>
      <c r="DV11" s="3" t="s">
        <v>125</v>
      </c>
      <c r="DW11" s="3" t="s">
        <v>126</v>
      </c>
      <c r="DX11" s="3" t="s">
        <v>127</v>
      </c>
      <c r="DY11" s="3" t="s">
        <v>128</v>
      </c>
      <c r="DZ11" s="3" t="s">
        <v>129</v>
      </c>
      <c r="EA11" s="3" t="s">
        <v>130</v>
      </c>
      <c r="EB11" s="3" t="s">
        <v>131</v>
      </c>
      <c r="EC11" s="3" t="s">
        <v>132</v>
      </c>
      <c r="ED11" s="3" t="s">
        <v>133</v>
      </c>
      <c r="EE11" s="3" t="s">
        <v>134</v>
      </c>
      <c r="EF11" s="3" t="s">
        <v>143</v>
      </c>
    </row>
    <row r="12" spans="1:136">
      <c r="A12" s="2">
        <v>10</v>
      </c>
      <c r="B12" s="2">
        <v>96</v>
      </c>
      <c r="C12" s="12">
        <v>-4.701350899422875E-2</v>
      </c>
      <c r="D12" s="12">
        <f>C12+預測IC!D12</f>
        <v>-6.7835304266107052E-2</v>
      </c>
      <c r="E12" s="12">
        <f>D12+預測IC!E12</f>
        <v>-1.9809023016107055E-2</v>
      </c>
      <c r="F12" s="12">
        <f>E12+預測IC!F12</f>
        <v>5.9801931799285252E-5</v>
      </c>
      <c r="G12" s="12">
        <f>F12+預測IC!G12</f>
        <v>-7.8445448141290751E-3</v>
      </c>
      <c r="H12" s="12">
        <f>G12+預測IC!H12</f>
        <v>3.0686173935870937E-2</v>
      </c>
      <c r="I12" s="12">
        <f>H12+預測IC!I12</f>
        <v>-5.6177629131810743E-3</v>
      </c>
      <c r="J12" s="12">
        <f>I12+預測IC!J12</f>
        <v>-3.5025564996514415E-2</v>
      </c>
      <c r="K12" s="12">
        <f>J12+預測IC!K12</f>
        <v>-2.4037161143692302E-2</v>
      </c>
      <c r="L12" s="12">
        <f>K12+預測IC!L12</f>
        <v>-2.1759930362729031E-2</v>
      </c>
      <c r="M12" s="12">
        <f>L12+預測IC!M12</f>
        <v>-2.2156617862729027E-2</v>
      </c>
      <c r="N12" s="12">
        <f>M12+預測IC!N12</f>
        <v>-7.4230725538088141E-2</v>
      </c>
      <c r="O12" s="12">
        <f>N12+預測IC!O12</f>
        <v>-5.6989881788088143E-2</v>
      </c>
      <c r="P12" s="12">
        <f>O12+預測IC!P12</f>
        <v>-5.6759548454754817E-2</v>
      </c>
      <c r="Q12" s="12">
        <f>P12+預測IC!Q12</f>
        <v>-2.1489079704754839E-2</v>
      </c>
      <c r="R12" s="12">
        <f>Q12+預測IC!R12</f>
        <v>-3.4886585944690567E-2</v>
      </c>
      <c r="S12" s="12">
        <f>R12+預測IC!S12</f>
        <v>3.6167311149916483E-2</v>
      </c>
      <c r="T12" s="12">
        <f>S12+預測IC!T12</f>
        <v>2.8426925733249814E-2</v>
      </c>
      <c r="U12" s="12">
        <f>T12+預測IC!U12</f>
        <v>4.8794146286380805E-2</v>
      </c>
      <c r="V12" s="12">
        <f>U12+預測IC!V12</f>
        <v>5.4998948369714126E-2</v>
      </c>
      <c r="W12" s="12">
        <f>V12+預測IC!W12</f>
        <v>7.7277390343025873E-2</v>
      </c>
      <c r="X12" s="12">
        <f>W12+預測IC!X12</f>
        <v>0.12579666512334034</v>
      </c>
      <c r="Y12" s="12">
        <f>X12+預測IC!Y12</f>
        <v>0.14123676929000703</v>
      </c>
      <c r="Z12" s="12">
        <f>Y12+預測IC!Z12</f>
        <v>0.14640281095667371</v>
      </c>
      <c r="AA12" s="12">
        <f>Z12+預測IC!AA12</f>
        <v>0.13489024845667372</v>
      </c>
      <c r="AB12" s="12">
        <f>AA12+預測IC!AB12</f>
        <v>0.13117892554000704</v>
      </c>
      <c r="AC12" s="12">
        <f>AB12+預測IC!AC12</f>
        <v>0.13634637345667369</v>
      </c>
      <c r="AD12" s="12">
        <f>AC12+預測IC!AD12</f>
        <v>0.14573835262334037</v>
      </c>
      <c r="AE12" s="12">
        <f>AD12+預測IC!AE12</f>
        <v>8.7421342206673705E-2</v>
      </c>
      <c r="AF12" s="12">
        <f>AE12+預測IC!AF12</f>
        <v>0.13360326929000704</v>
      </c>
      <c r="AG12" s="12">
        <f>AF12+預測IC!AG12</f>
        <v>0.14568245679000705</v>
      </c>
      <c r="AH12" s="12">
        <f>AG12+預測IC!AH12</f>
        <v>0.15908826143964028</v>
      </c>
      <c r="AI12" s="12">
        <f>AH12+預測IC!AI12</f>
        <v>0.18233521977297362</v>
      </c>
      <c r="AJ12" s="12">
        <f>AI12+預測IC!AJ12</f>
        <v>0.1953189673190282</v>
      </c>
      <c r="AK12" s="12">
        <f>AJ12+預測IC!AK12</f>
        <v>0.24344267147116261</v>
      </c>
      <c r="AL12" s="12">
        <f>AK12+預測IC!AL12</f>
        <v>0.26130167449308467</v>
      </c>
      <c r="AM12" s="12">
        <f>AL12+預測IC!AM12</f>
        <v>0.28150749740975134</v>
      </c>
      <c r="AN12" s="12">
        <f>AM12+預測IC!AN12</f>
        <v>0.33864095574308467</v>
      </c>
      <c r="AO12" s="12">
        <f>AN12+預測IC!AO12</f>
        <v>0.34086974878275772</v>
      </c>
      <c r="AP12" s="12">
        <f>AO12+預測IC!AP12</f>
        <v>0.33623608211609107</v>
      </c>
      <c r="AQ12" s="12">
        <f>AP12+預測IC!AQ12</f>
        <v>0.32955443628275777</v>
      </c>
      <c r="AR12" s="12">
        <f>AQ12+預測IC!AR12</f>
        <v>0.32205007169942446</v>
      </c>
      <c r="AS12" s="12">
        <f>AR12+預測IC!AS12</f>
        <v>0.31620670711609111</v>
      </c>
      <c r="AT12" s="12">
        <f>AS12+預測IC!AT12</f>
        <v>0.29391041544942442</v>
      </c>
      <c r="AU12" s="12">
        <f>AT12+預測IC!AU12</f>
        <v>0.35732060294942442</v>
      </c>
      <c r="AV12" s="12">
        <f>AU12+預測IC!AV12</f>
        <v>0.33553070711609106</v>
      </c>
      <c r="AW12" s="12">
        <f>AV12+預測IC!AW12</f>
        <v>0.3331741029494244</v>
      </c>
      <c r="AX12" s="12">
        <f>AW12+預測IC!AX12</f>
        <v>0.32451612378275774</v>
      </c>
      <c r="AY12" s="12">
        <f>AX12+預測IC!AY12</f>
        <v>0.31680226961609109</v>
      </c>
      <c r="AZ12" s="12">
        <f>AY12+預測IC!AZ12</f>
        <v>0.38336651961609114</v>
      </c>
      <c r="BA12" s="12">
        <f>AZ12+預測IC!BA12</f>
        <v>0.45464282169942449</v>
      </c>
      <c r="BB12" s="12">
        <f>BA12+預測IC!BB12</f>
        <v>0.46042789461609118</v>
      </c>
      <c r="BC12" s="12">
        <f>BB12+預測IC!BC12</f>
        <v>0.4640034466994245</v>
      </c>
      <c r="BD12" s="12">
        <f>BC12+預測IC!BD12</f>
        <v>0.51323739461609119</v>
      </c>
      <c r="BE12" s="12">
        <f>BD12+預測IC!BE12</f>
        <v>0.53184620445547648</v>
      </c>
      <c r="BF12" s="12">
        <f>BE12+預測IC!BF12</f>
        <v>0.59963855693867663</v>
      </c>
      <c r="BG12" s="12">
        <f>BF12+預測IC!BG12</f>
        <v>0.60964235902200992</v>
      </c>
      <c r="BH12" s="12">
        <f>BG12+預測IC!BH12</f>
        <v>0.5847206715220099</v>
      </c>
      <c r="BI12" s="12">
        <f>BH12+預測IC!BI12</f>
        <v>0.60555870277200985</v>
      </c>
      <c r="BJ12" s="12">
        <f>BI12+預測IC!BJ12</f>
        <v>0.64898167152200981</v>
      </c>
      <c r="BK12" s="12">
        <f>BJ12+預測IC!BK12</f>
        <v>0.62890584860534315</v>
      </c>
      <c r="BL12" s="12">
        <f>BK12+預測IC!BL12</f>
        <v>0.65361509443549182</v>
      </c>
      <c r="BM12" s="12">
        <f>BL12+預測IC!BM12</f>
        <v>0.64844600247926198</v>
      </c>
      <c r="BN12" s="12">
        <f>BM12+預測IC!BN12</f>
        <v>0.62894375247926204</v>
      </c>
      <c r="BO12" s="12">
        <f>BN12+預測IC!BO12</f>
        <v>0.65319006273549896</v>
      </c>
      <c r="BP12" s="12">
        <f>BO12+預測IC!BP12</f>
        <v>0.64268107743020486</v>
      </c>
      <c r="BQ12" s="12">
        <f>BP12+預測IC!BQ12</f>
        <v>0.6511042649302049</v>
      </c>
      <c r="BR12" s="12">
        <f>BQ12+預測IC!BR12</f>
        <v>0.67095773368020495</v>
      </c>
      <c r="BS12" s="12">
        <f>BR12+預測IC!BS12</f>
        <v>0.68982102706460091</v>
      </c>
      <c r="BT12" s="12">
        <f>BS12+預測IC!BT12</f>
        <v>0.71185249574204512</v>
      </c>
      <c r="BU12" s="12">
        <f>BT12+預測IC!BU12</f>
        <v>0.66376929782537841</v>
      </c>
      <c r="BV12" s="12">
        <f>BU12+預測IC!BV12</f>
        <v>0.6958226103253784</v>
      </c>
      <c r="BW12" s="12">
        <f>BV12+預測IC!BW12</f>
        <v>0.75131016240871173</v>
      </c>
      <c r="BX12" s="12">
        <f>BW12+預測IC!BX12</f>
        <v>0.76729447490871172</v>
      </c>
      <c r="BY12" s="12">
        <f>BX12+預測IC!BY12</f>
        <v>0.7214775165753784</v>
      </c>
      <c r="BZ12" s="12">
        <f>BY12+預測IC!BZ12</f>
        <v>0.72525490199204512</v>
      </c>
      <c r="CA12" s="12">
        <f>BZ12+預測IC!CA12</f>
        <v>0.73983548532537846</v>
      </c>
      <c r="CB12" s="12">
        <f>CA12+預測IC!CB12</f>
        <v>0.81231120407537849</v>
      </c>
      <c r="CC12" s="12">
        <f>CB12+預測IC!CC12</f>
        <v>0.87787724574204518</v>
      </c>
      <c r="CD12" s="12">
        <f>CC12+預測IC!CD12</f>
        <v>0.92213576657537855</v>
      </c>
      <c r="CE12" s="12">
        <f>CD12+預測IC!CE12</f>
        <v>0.91051635813314935</v>
      </c>
      <c r="CF12" s="12">
        <f>CE12+預測IC!CF12</f>
        <v>0.88274877471937718</v>
      </c>
      <c r="CG12" s="12">
        <f>CF12+預測IC!CG12</f>
        <v>0.88305757680271058</v>
      </c>
      <c r="CH12" s="12">
        <f>CG12+預測IC!CH12</f>
        <v>0.87360478513604389</v>
      </c>
      <c r="CI12" s="12">
        <f>CH12+預測IC!CI12</f>
        <v>0.84926355596937719</v>
      </c>
      <c r="CJ12" s="12">
        <f>CI12+預測IC!CJ12</f>
        <v>0.85283192055271051</v>
      </c>
      <c r="CK12" s="12">
        <f>CJ12+預測IC!CK12</f>
        <v>0.88734694138604386</v>
      </c>
      <c r="CL12" s="12">
        <f>CK12+預測IC!CL12</f>
        <v>0.76933133371643347</v>
      </c>
      <c r="CM12" s="12">
        <f>CL12+預測IC!CM12</f>
        <v>0.78455105988377427</v>
      </c>
      <c r="CN12" s="12">
        <f>CM12+預測IC!CN12</f>
        <v>0.76124380988377427</v>
      </c>
      <c r="CO12" s="12">
        <f>CN12+預測IC!CO12</f>
        <v>0.78850993676388004</v>
      </c>
      <c r="CP12" s="12">
        <f>CO12+預測IC!CP12</f>
        <v>0.77571412426388009</v>
      </c>
      <c r="CQ12" s="12">
        <f>CP12+預測IC!CQ12</f>
        <v>0.84569127009721345</v>
      </c>
      <c r="CR12" s="12">
        <f>CQ12+預測IC!CR12</f>
        <v>0.84357339166656098</v>
      </c>
      <c r="CS12" s="12">
        <f>CR12+預測IC!CS12</f>
        <v>0.85877503935360655</v>
      </c>
      <c r="CT12" s="12">
        <f>CS12+預測IC!CT12</f>
        <v>0.89088899768693985</v>
      </c>
      <c r="CU12" s="12">
        <f>CT12+預測IC!CU12</f>
        <v>0.85526528202474461</v>
      </c>
      <c r="CV12" s="12">
        <f>CU12+預測IC!CV12</f>
        <v>0.84715265564920761</v>
      </c>
      <c r="CW12" s="12">
        <f>CV12+預測IC!CW12</f>
        <v>0.84160473090467536</v>
      </c>
      <c r="CX12" s="12">
        <f>CW12+預測IC!CX12</f>
        <v>0.78061484836768358</v>
      </c>
      <c r="CY12" s="12">
        <f>CX12+預測IC!CY12</f>
        <v>0.82668750461768359</v>
      </c>
      <c r="CZ12" s="12">
        <f>CY12+預測IC!CZ12</f>
        <v>0.91524997336768354</v>
      </c>
      <c r="DA12" s="12">
        <f>CZ12+預測IC!DA12</f>
        <v>0.90964618929732299</v>
      </c>
      <c r="DB12" s="12">
        <f>DA12+預測IC!DB12</f>
        <v>0.9986280434639897</v>
      </c>
      <c r="DC12" s="12">
        <f>DB12+預測IC!DC12</f>
        <v>1.0101010955473231</v>
      </c>
      <c r="DD12" s="12">
        <f>DC12+預測IC!DD12</f>
        <v>0.97100967888065637</v>
      </c>
      <c r="DE12" s="12">
        <f>DD12+預測IC!DE12</f>
        <v>0.93377419971398978</v>
      </c>
      <c r="DF12" s="12">
        <f>DE12+預測IC!DF12</f>
        <v>0.98926030388065644</v>
      </c>
      <c r="DG12" s="12">
        <f>DF12+預測IC!DG12</f>
        <v>0.94285032471398977</v>
      </c>
      <c r="DH12" s="12">
        <f>DG12+預測IC!DH12</f>
        <v>1.0040457517973231</v>
      </c>
      <c r="DI12" s="12">
        <f>DH12+預測IC!DI12</f>
        <v>1.0637947622139898</v>
      </c>
      <c r="DJ12" s="12">
        <f>DI12+預測IC!DJ12</f>
        <v>1.0789134392973232</v>
      </c>
      <c r="DK12" s="12">
        <f>DJ12+預測IC!DK12</f>
        <v>1.0469852309639898</v>
      </c>
      <c r="DL12" s="12">
        <f>DK12+預測IC!DL12</f>
        <v>1.0500748767973231</v>
      </c>
      <c r="DM12" s="12">
        <f>DL12+預測IC!DM12</f>
        <v>1.0308372622139899</v>
      </c>
      <c r="DN12" s="12">
        <f>DM12+預測IC!DN12</f>
        <v>1.0732476276000547</v>
      </c>
      <c r="DO12" s="12">
        <f>DN12+預測IC!DO12</f>
        <v>1.1038048880167213</v>
      </c>
      <c r="DP12" s="12">
        <f>DO12+預測IC!DP12</f>
        <v>1.1363893376170184</v>
      </c>
      <c r="DQ12" s="12">
        <f>DP12+預測IC!DQ12</f>
        <v>1.102527285533685</v>
      </c>
      <c r="DR12" s="12">
        <f>DQ12+預測IC!DR12</f>
        <v>1.1195922855336851</v>
      </c>
      <c r="DS12" s="12">
        <f>DR12+預測IC!DS12</f>
        <v>1.0838661300819872</v>
      </c>
      <c r="DT12" s="12">
        <f>DS12+預測IC!DT12</f>
        <v>1.1089839946653206</v>
      </c>
      <c r="DU12" s="12">
        <f>DT12+預測IC!DU12</f>
        <v>1.051753765498654</v>
      </c>
      <c r="DV12" s="12">
        <f>DU12+預測IC!DV12</f>
        <v>1.0812946404986539</v>
      </c>
      <c r="DW12" s="12">
        <f>DV12+預測IC!DW12</f>
        <v>1.1250202047186912</v>
      </c>
      <c r="DX12" s="12">
        <f>DW12+預測IC!DX12</f>
        <v>1.1460487463853579</v>
      </c>
      <c r="DY12" s="12">
        <f>DX12+預測IC!DY12</f>
        <v>1.199194058885358</v>
      </c>
      <c r="DZ12" s="12">
        <f>DY12+預測IC!DZ12</f>
        <v>1.2033297843655355</v>
      </c>
      <c r="EA12" s="12">
        <f>DZ12+預測IC!EA12</f>
        <v>1.2544274822822021</v>
      </c>
      <c r="EB12" s="12">
        <f>EA12+預測IC!EB12</f>
        <v>1.2602136489488689</v>
      </c>
      <c r="EC12" s="12">
        <f>EB12+預測IC!EC12</f>
        <v>1.2868651585285342</v>
      </c>
      <c r="ED12" s="12">
        <f>EC12+預測IC!ED12</f>
        <v>1.3473733113370183</v>
      </c>
      <c r="EE12" s="12">
        <f>ED12+預測IC!EE12</f>
        <v>1.3354562150645308</v>
      </c>
      <c r="EF12" s="12">
        <f>EE12+預測IC!EF12</f>
        <v>1.2962228670257352</v>
      </c>
    </row>
    <row r="13" spans="1:136">
      <c r="A13" s="2">
        <v>20</v>
      </c>
      <c r="B13" s="2">
        <v>48</v>
      </c>
      <c r="C13" s="12">
        <v>-4.2506117601795589E-2</v>
      </c>
      <c r="D13" s="12">
        <f>C13+預測IC!D13</f>
        <v>-7.2383728206354372E-2</v>
      </c>
      <c r="E13" s="12">
        <f>D13+預測IC!E13</f>
        <v>-2.5224365396877141E-3</v>
      </c>
      <c r="F13" s="12">
        <f>E13+預測IC!F13</f>
        <v>3.2399719342966787E-2</v>
      </c>
      <c r="G13" s="12">
        <f>F13+預測IC!G13</f>
        <v>4.7307699100270176E-2</v>
      </c>
      <c r="H13" s="12">
        <f>G13+預測IC!H13</f>
        <v>7.7298053266936825E-2</v>
      </c>
      <c r="I13" s="12">
        <f>H13+預測IC!I13</f>
        <v>4.4615190282214487E-2</v>
      </c>
      <c r="J13" s="12">
        <f>I13+預測IC!J13</f>
        <v>7.1637778221446402E-4</v>
      </c>
      <c r="K13" s="12">
        <f>J13+預測IC!K13</f>
        <v>4.6047368024433467E-2</v>
      </c>
      <c r="L13" s="12">
        <f>K13+預測IC!L13</f>
        <v>7.5183037061878941E-2</v>
      </c>
      <c r="M13" s="12">
        <f>L13+預測IC!M13</f>
        <v>0.10087032872854561</v>
      </c>
      <c r="N13" s="12">
        <f>M13+預測IC!N13</f>
        <v>5.7718376504778755E-2</v>
      </c>
      <c r="O13" s="12">
        <f>N13+預測IC!O13</f>
        <v>9.750775150477875E-2</v>
      </c>
      <c r="P13" s="12">
        <f>O13+預測IC!P13</f>
        <v>0.11429989733811208</v>
      </c>
      <c r="Q13" s="12">
        <f>P13+預測IC!Q13</f>
        <v>0.1875249181714454</v>
      </c>
      <c r="R13" s="12">
        <f>Q13+預測IC!R13</f>
        <v>0.18103500799537101</v>
      </c>
      <c r="S13" s="12">
        <f>R13+預測IC!S13</f>
        <v>0.30395030599892159</v>
      </c>
      <c r="T13" s="12">
        <f>S13+預測IC!T13</f>
        <v>0.28184582683225495</v>
      </c>
      <c r="U13" s="12">
        <f>T13+預測IC!U13</f>
        <v>0.3360069018739491</v>
      </c>
      <c r="V13" s="12">
        <f>U13+預測IC!V13</f>
        <v>0.31591277687394914</v>
      </c>
      <c r="W13" s="12">
        <f>V13+預測IC!W13</f>
        <v>0.34701586475831903</v>
      </c>
      <c r="X13" s="12">
        <f>W13+預測IC!X13</f>
        <v>0.41676683352737559</v>
      </c>
      <c r="Y13" s="12">
        <f>X13+預測IC!Y13</f>
        <v>0.43068720852737558</v>
      </c>
      <c r="Z13" s="12">
        <f>Y13+預測IC!Z13</f>
        <v>0.45127112519404222</v>
      </c>
      <c r="AA13" s="12">
        <f>Z13+預測IC!AA13</f>
        <v>0.43483108352737559</v>
      </c>
      <c r="AB13" s="12">
        <f>AA13+預測IC!AB13</f>
        <v>0.41879510436070894</v>
      </c>
      <c r="AC13" s="12">
        <f>AB13+預測IC!AC13</f>
        <v>0.42682637519404226</v>
      </c>
      <c r="AD13" s="12">
        <f>AC13+預測IC!AD13</f>
        <v>0.44836945852737559</v>
      </c>
      <c r="AE13" s="12">
        <f>AD13+預測IC!AE13</f>
        <v>0.38264997936070888</v>
      </c>
      <c r="AF13" s="12">
        <f>AE13+預測IC!AF13</f>
        <v>0.43458597936070886</v>
      </c>
      <c r="AG13" s="12">
        <f>AF13+預測IC!AG13</f>
        <v>0.43786843769404221</v>
      </c>
      <c r="AH13" s="12">
        <f>AG13+預測IC!AH13</f>
        <v>0.44750977693355859</v>
      </c>
      <c r="AI13" s="12">
        <f>AH13+預測IC!AI13</f>
        <v>0.46741981860022525</v>
      </c>
      <c r="AJ13" s="12">
        <f>AI13+預測IC!AJ13</f>
        <v>0.45113934861194954</v>
      </c>
      <c r="AK13" s="12">
        <f>AJ13+預測IC!AK13</f>
        <v>0.51712726142260557</v>
      </c>
      <c r="AL13" s="12">
        <f>AK13+預測IC!AL13</f>
        <v>0.54027869001777662</v>
      </c>
      <c r="AM13" s="12">
        <f>AL13+預測IC!AM13</f>
        <v>0.53740591918444325</v>
      </c>
      <c r="AN13" s="12">
        <f>AM13+預測IC!AN13</f>
        <v>0.60865106501777655</v>
      </c>
      <c r="AO13" s="12">
        <f>AN13+預測IC!AO13</f>
        <v>0.61796225291719153</v>
      </c>
      <c r="AP13" s="12">
        <f>AO13+預測IC!AP13</f>
        <v>0.61137444041719158</v>
      </c>
      <c r="AQ13" s="12">
        <f>AP13+預測IC!AQ13</f>
        <v>0.60029254458385828</v>
      </c>
      <c r="AR13" s="12">
        <f>AQ13+預測IC!AR13</f>
        <v>0.60954296125052498</v>
      </c>
      <c r="AS13" s="12">
        <f>AR13+預測IC!AS13</f>
        <v>0.60760654458385832</v>
      </c>
      <c r="AT13" s="12">
        <f>AS13+預測IC!AT13</f>
        <v>0.60929750291719165</v>
      </c>
      <c r="AU13" s="12">
        <f>AT13+預測IC!AU13</f>
        <v>0.68608148208385833</v>
      </c>
      <c r="AV13" s="12">
        <f>AU13+預測IC!AV13</f>
        <v>0.67512266958385836</v>
      </c>
      <c r="AW13" s="12">
        <f>AV13+預測IC!AW13</f>
        <v>0.70073898208385832</v>
      </c>
      <c r="AX13" s="12">
        <f>AW13+預測IC!AX13</f>
        <v>0.68885835708385834</v>
      </c>
      <c r="AY13" s="12">
        <f>AX13+預測IC!AY13</f>
        <v>0.66518591958385831</v>
      </c>
      <c r="AZ13" s="12">
        <f>AY13+預測IC!AZ13</f>
        <v>0.72063610708385828</v>
      </c>
      <c r="BA13" s="12">
        <f>AZ13+預測IC!BA13</f>
        <v>0.80046537791719163</v>
      </c>
      <c r="BB13" s="12">
        <f>BA13+預測IC!BB13</f>
        <v>0.82651135708385826</v>
      </c>
      <c r="BC13" s="12">
        <f>BB13+預測IC!BC13</f>
        <v>0.82799529458385823</v>
      </c>
      <c r="BD13" s="12">
        <f>BC13+預測IC!BD13</f>
        <v>0.86967202375052488</v>
      </c>
      <c r="BE13" s="12">
        <f>BD13+預測IC!BE13</f>
        <v>0.89706383005616641</v>
      </c>
      <c r="BF13" s="12">
        <f>BE13+預測IC!BF13</f>
        <v>0.98099324536366317</v>
      </c>
      <c r="BG13" s="12">
        <f>BF13+預測IC!BG13</f>
        <v>0.9893241620303298</v>
      </c>
      <c r="BH13" s="12">
        <f>BG13+預測IC!BH13</f>
        <v>0.95538009953032987</v>
      </c>
      <c r="BI13" s="12">
        <f>BH13+預測IC!BI13</f>
        <v>0.98121280786366316</v>
      </c>
      <c r="BJ13" s="12">
        <f>BI13+預測IC!BJ13</f>
        <v>1.0326653703636632</v>
      </c>
      <c r="BK13" s="12">
        <f>BJ13+預測IC!BK13</f>
        <v>1.00753934953033</v>
      </c>
      <c r="BL13" s="12">
        <f>BK13+預測IC!BL13</f>
        <v>1.0394872097435051</v>
      </c>
      <c r="BM13" s="12">
        <f>BL13+預測IC!BM13</f>
        <v>1.0564058253623867</v>
      </c>
      <c r="BN13" s="12">
        <f>BM13+預測IC!BN13</f>
        <v>1.06126365869572</v>
      </c>
      <c r="BO13" s="12">
        <f>BN13+預測IC!BO13</f>
        <v>1.0921423749291941</v>
      </c>
      <c r="BP13" s="12">
        <f>BO13+預測IC!BP13</f>
        <v>1.1015750706238456</v>
      </c>
      <c r="BQ13" s="12">
        <f>BP13+預測IC!BQ13</f>
        <v>1.1411516331238456</v>
      </c>
      <c r="BR13" s="12">
        <f>BQ13+預測IC!BR13</f>
        <v>1.1464165289571788</v>
      </c>
      <c r="BS13" s="12">
        <f>BR13+預測IC!BS13</f>
        <v>1.1538360007973985</v>
      </c>
      <c r="BT13" s="12">
        <f>BS13+預測IC!BT13</f>
        <v>1.1921795064138712</v>
      </c>
      <c r="BU13" s="12">
        <f>BT13+預測IC!BU13</f>
        <v>1.1175213397472046</v>
      </c>
      <c r="BV13" s="12">
        <f>BU13+預測IC!BV13</f>
        <v>1.1489615689138712</v>
      </c>
      <c r="BW13" s="12">
        <f>BV13+預測IC!BW13</f>
        <v>1.2351919022472047</v>
      </c>
      <c r="BX13" s="12">
        <f>BW13+預測IC!BX13</f>
        <v>1.2366690064138712</v>
      </c>
      <c r="BY13" s="12">
        <f>BX13+預測IC!BY13</f>
        <v>1.205840423080538</v>
      </c>
      <c r="BZ13" s="12">
        <f>BY13+預測IC!BZ13</f>
        <v>1.1920817147472045</v>
      </c>
      <c r="CA13" s="12">
        <f>BZ13+預測IC!CA13</f>
        <v>1.2160939022472044</v>
      </c>
      <c r="CB13" s="12">
        <f>CA13+預測IC!CB13</f>
        <v>1.3365208189138711</v>
      </c>
      <c r="CC13" s="12">
        <f>CB13+預測IC!CC13</f>
        <v>1.4566387355805377</v>
      </c>
      <c r="CD13" s="12">
        <f>CC13+預測IC!CD13</f>
        <v>1.511894568913871</v>
      </c>
      <c r="CE13" s="12">
        <f>CD13+預測IC!CE13</f>
        <v>1.5026735845884571</v>
      </c>
      <c r="CF13" s="12">
        <f>CE13+預測IC!CF13</f>
        <v>1.4581593178633878</v>
      </c>
      <c r="CG13" s="12">
        <f>CF13+預測IC!CG13</f>
        <v>1.4657197136967213</v>
      </c>
      <c r="CH13" s="12">
        <f>CG13+預測IC!CH13</f>
        <v>1.4400619636967213</v>
      </c>
      <c r="CI13" s="12">
        <f>CH13+預測IC!CI13</f>
        <v>1.4321667970300547</v>
      </c>
      <c r="CJ13" s="12">
        <f>CI13+預測IC!CJ13</f>
        <v>1.4530480261967214</v>
      </c>
      <c r="CK13" s="12">
        <f>CJ13+預測IC!CK13</f>
        <v>1.4849081511967213</v>
      </c>
      <c r="CL13" s="12">
        <f>CK13+預測IC!CL13</f>
        <v>1.4034547850945405</v>
      </c>
      <c r="CM13" s="12">
        <f>CL13+預測IC!CM13</f>
        <v>1.4137515888509355</v>
      </c>
      <c r="CN13" s="12">
        <f>CM13+預測IC!CN13</f>
        <v>1.3836209221842688</v>
      </c>
      <c r="CO13" s="12">
        <f>CN13+預測IC!CO13</f>
        <v>1.3970783807474962</v>
      </c>
      <c r="CP13" s="12">
        <f>CO13+預測IC!CP13</f>
        <v>1.3627009224141629</v>
      </c>
      <c r="CQ13" s="12">
        <f>CP13+預測IC!CQ13</f>
        <v>1.4298137349141629</v>
      </c>
      <c r="CR13" s="12">
        <f>CQ13+預測IC!CR13</f>
        <v>1.4215339539165144</v>
      </c>
      <c r="CS13" s="12">
        <f>CR13+預測IC!CS13</f>
        <v>1.4107009028012398</v>
      </c>
      <c r="CT13" s="12">
        <f>CS13+預測IC!CT13</f>
        <v>1.4541630694679066</v>
      </c>
      <c r="CU13" s="12">
        <f>CT13+預測IC!CU13</f>
        <v>1.4170016671855954</v>
      </c>
      <c r="CV13" s="12">
        <f>CU13+預測IC!CV13</f>
        <v>1.4199549793588533</v>
      </c>
      <c r="CW13" s="12">
        <f>CV13+預測IC!CW13</f>
        <v>1.4139779485026072</v>
      </c>
      <c r="CX13" s="12">
        <f>CW13+預測IC!CX13</f>
        <v>1.3539446932625541</v>
      </c>
      <c r="CY13" s="12">
        <f>CX13+預測IC!CY13</f>
        <v>1.4162413390958875</v>
      </c>
      <c r="CZ13" s="12">
        <f>CY13+預測IC!CZ13</f>
        <v>1.5065319640958874</v>
      </c>
      <c r="DA13" s="12">
        <f>CZ13+預測IC!DA13</f>
        <v>1.5121156410217087</v>
      </c>
      <c r="DB13" s="12">
        <f>DA13+預測IC!DB13</f>
        <v>1.6183508910217088</v>
      </c>
      <c r="DC13" s="12">
        <f>DB13+預測IC!DC13</f>
        <v>1.6418920160217088</v>
      </c>
      <c r="DD13" s="12">
        <f>DC13+預測IC!DD13</f>
        <v>1.5904857243550421</v>
      </c>
      <c r="DE13" s="12">
        <f>DD13+預測IC!DE13</f>
        <v>1.5479218285217087</v>
      </c>
      <c r="DF13" s="12">
        <f>DE13+預測IC!DF13</f>
        <v>1.6310445160217086</v>
      </c>
      <c r="DG13" s="12">
        <f>DF13+預測IC!DG13</f>
        <v>1.5833152035217086</v>
      </c>
      <c r="DH13" s="12">
        <f>DG13+預測IC!DH13</f>
        <v>1.6720359118550419</v>
      </c>
      <c r="DI13" s="12">
        <f>DH13+預測IC!DI13</f>
        <v>1.7617840368550419</v>
      </c>
      <c r="DJ13" s="12">
        <f>DI13+預測IC!DJ13</f>
        <v>1.7677678910217085</v>
      </c>
      <c r="DK13" s="12">
        <f>DJ13+預測IC!DK13</f>
        <v>1.7483814951883752</v>
      </c>
      <c r="DL13" s="12">
        <f>DK13+預測IC!DL13</f>
        <v>1.7755044326883751</v>
      </c>
      <c r="DM13" s="12">
        <f>DL13+預測IC!DM13</f>
        <v>1.7760363910217085</v>
      </c>
      <c r="DN13" s="12">
        <f>DM13+預測IC!DN13</f>
        <v>1.7875359689442216</v>
      </c>
      <c r="DO13" s="12">
        <f>DN13+預測IC!DO13</f>
        <v>1.8253998231108883</v>
      </c>
      <c r="DP13" s="12">
        <f>DO13+預測IC!DP13</f>
        <v>1.8741864589671577</v>
      </c>
      <c r="DQ13" s="12">
        <f>DP13+預測IC!DQ13</f>
        <v>1.8402199173004912</v>
      </c>
      <c r="DR13" s="12">
        <f>DQ13+預測IC!DR13</f>
        <v>1.8553887298004912</v>
      </c>
      <c r="DS13" s="12">
        <f>DR13+預測IC!DS13</f>
        <v>1.8165011019608213</v>
      </c>
      <c r="DT13" s="12">
        <f>DS13+預測IC!DT13</f>
        <v>1.867332456127488</v>
      </c>
      <c r="DU13" s="12">
        <f>DT13+預測IC!DU13</f>
        <v>1.8343264977941547</v>
      </c>
      <c r="DV13" s="12">
        <f>DU13+預測IC!DV13</f>
        <v>1.877582831127488</v>
      </c>
      <c r="DW13" s="12">
        <f>DV13+預測IC!DW13</f>
        <v>1.9220006207518383</v>
      </c>
      <c r="DX13" s="12">
        <f>DW13+預測IC!DX13</f>
        <v>1.9618780582518383</v>
      </c>
      <c r="DY13" s="12">
        <f>DX13+預測IC!DY13</f>
        <v>2.0188592040851714</v>
      </c>
      <c r="DZ13" s="12">
        <f>DY13+預測IC!DZ13</f>
        <v>2.0334680185723895</v>
      </c>
      <c r="EA13" s="12">
        <f>DZ13+預測IC!EA13</f>
        <v>2.0955864352390563</v>
      </c>
      <c r="EB13" s="12">
        <f>EA13+預測IC!EB13</f>
        <v>2.0957874560723897</v>
      </c>
      <c r="EC13" s="12">
        <f>EB13+預測IC!EC13</f>
        <v>2.1374472095076187</v>
      </c>
      <c r="ED13" s="12">
        <f>EC13+預測IC!ED13</f>
        <v>2.2031293031668535</v>
      </c>
      <c r="EE13" s="12">
        <f>ED13+預測IC!EE13</f>
        <v>2.1951767095918888</v>
      </c>
      <c r="EF13" s="12">
        <f>EE13+預測IC!EF13</f>
        <v>2.1285994942283324</v>
      </c>
    </row>
    <row r="14" spans="1:136">
      <c r="A14" s="2">
        <v>50</v>
      </c>
      <c r="B14" s="2">
        <v>19</v>
      </c>
      <c r="C14" s="12">
        <v>3.7017512404591897E-2</v>
      </c>
      <c r="D14" s="12">
        <f>C14+預測IC!D14</f>
        <v>-4.6329799138709486E-2</v>
      </c>
      <c r="E14" s="12">
        <f>D14+預測IC!E14</f>
        <v>5.2438358756027363E-2</v>
      </c>
      <c r="F14" s="12">
        <f>E14+預測IC!F14</f>
        <v>0.10089250155588722</v>
      </c>
      <c r="G14" s="12">
        <f>F14+預測IC!G14</f>
        <v>0.14191241805381266</v>
      </c>
      <c r="H14" s="12">
        <f>G14+預測IC!H14</f>
        <v>0.20150136542223368</v>
      </c>
      <c r="I14" s="12">
        <f>H14+預測IC!I14</f>
        <v>0.15771400559909138</v>
      </c>
      <c r="J14" s="12">
        <f>I14+預測IC!J14</f>
        <v>5.2620426651722979E-2</v>
      </c>
      <c r="K14" s="12">
        <f>J14+預測IC!K14</f>
        <v>0.18679913036577647</v>
      </c>
      <c r="L14" s="12">
        <f>K14+預測IC!L14</f>
        <v>0.18195193317806968</v>
      </c>
      <c r="M14" s="12">
        <f>L14+預測IC!M14</f>
        <v>0.10600056475701705</v>
      </c>
      <c r="N14" s="12">
        <f>M14+預測IC!N14</f>
        <v>2.3241580062917919E-2</v>
      </c>
      <c r="O14" s="12">
        <f>N14+預測IC!O14</f>
        <v>6.2883948483970553E-2</v>
      </c>
      <c r="P14" s="12">
        <f>O14+預測IC!P14</f>
        <v>0.11066389585239159</v>
      </c>
      <c r="Q14" s="12">
        <f>P14+預測IC!Q14</f>
        <v>0.16890294848397056</v>
      </c>
      <c r="R14" s="12">
        <f>Q14+預測IC!R14</f>
        <v>0.18484413578107237</v>
      </c>
      <c r="S14" s="12">
        <f>R14+預測IC!S14</f>
        <v>0.35073736296578106</v>
      </c>
      <c r="T14" s="12">
        <f>S14+預測IC!T14</f>
        <v>0.33337562612367577</v>
      </c>
      <c r="U14" s="12">
        <f>T14+預測IC!U14</f>
        <v>0.43764229075932337</v>
      </c>
      <c r="V14" s="12">
        <f>U14+預測IC!V14</f>
        <v>0.39926797496984967</v>
      </c>
      <c r="W14" s="12">
        <f>V14+預測IC!W14</f>
        <v>0.47327613435810267</v>
      </c>
      <c r="X14" s="12">
        <f>W14+預測IC!X14</f>
        <v>0.58653924267037216</v>
      </c>
      <c r="Y14" s="12">
        <f>X14+預測IC!Y14</f>
        <v>0.5697756637230037</v>
      </c>
      <c r="Z14" s="12">
        <f>Y14+預測IC!Z14</f>
        <v>0.59102766372300375</v>
      </c>
      <c r="AA14" s="12">
        <f>Z14+預測IC!AA14</f>
        <v>0.58840197951247741</v>
      </c>
      <c r="AB14" s="12">
        <f>AA14+預測IC!AB14</f>
        <v>0.51341934793353006</v>
      </c>
      <c r="AC14" s="12">
        <f>AB14+預測IC!AC14</f>
        <v>0.48412671635458271</v>
      </c>
      <c r="AD14" s="12">
        <f>AC14+預測IC!AD14</f>
        <v>0.52345466372300375</v>
      </c>
      <c r="AE14" s="12">
        <f>AD14+預測IC!AE14</f>
        <v>0.51943561109142478</v>
      </c>
      <c r="AF14" s="12">
        <f>AE14+預測IC!AF14</f>
        <v>0.60375340056510896</v>
      </c>
      <c r="AG14" s="12">
        <f>AF14+預測IC!AG14</f>
        <v>0.61014397951247734</v>
      </c>
      <c r="AH14" s="12">
        <f>AG14+預測IC!AH14</f>
        <v>0.61539425744298337</v>
      </c>
      <c r="AI14" s="12">
        <f>AH14+預測IC!AI14</f>
        <v>0.62635957323245706</v>
      </c>
      <c r="AJ14" s="12">
        <f>AI14+預測IC!AJ14</f>
        <v>0.64141860931560801</v>
      </c>
      <c r="AK14" s="12">
        <f>AJ14+預測IC!AK14</f>
        <v>0.71833004017391</v>
      </c>
      <c r="AL14" s="12">
        <f>AK14+預測IC!AL14</f>
        <v>0.75629922989637066</v>
      </c>
      <c r="AM14" s="12">
        <f>AL14+預測IC!AM14</f>
        <v>0.75944765094900224</v>
      </c>
      <c r="AN14" s="12">
        <f>AM14+預測IC!AN14</f>
        <v>0.86977112463321271</v>
      </c>
      <c r="AO14" s="12">
        <f>AN14+預測IC!AO14</f>
        <v>0.93067683009862268</v>
      </c>
      <c r="AP14" s="12">
        <f>AO14+預測IC!AP14</f>
        <v>0.93773198799335955</v>
      </c>
      <c r="AQ14" s="12">
        <f>AP14+預測IC!AQ14</f>
        <v>0.92960556694072793</v>
      </c>
      <c r="AR14" s="12">
        <f>AQ14+預測IC!AR14</f>
        <v>0.94777604062493848</v>
      </c>
      <c r="AS14" s="12">
        <f>AR14+預測IC!AS14</f>
        <v>0.95703298799335956</v>
      </c>
      <c r="AT14" s="12">
        <f>AS14+預測IC!AT14</f>
        <v>0.93862625115125431</v>
      </c>
      <c r="AU14" s="12">
        <f>AT14+預測IC!AU14</f>
        <v>1.0764793564144122</v>
      </c>
      <c r="AV14" s="12">
        <f>AU14+預測IC!AV14</f>
        <v>1.0849061985196753</v>
      </c>
      <c r="AW14" s="12">
        <f>AV14+預測IC!AW14</f>
        <v>1.1286350406249384</v>
      </c>
      <c r="AX14" s="12">
        <f>AW14+預測IC!AX14</f>
        <v>1.129457409045991</v>
      </c>
      <c r="AY14" s="12">
        <f>AX14+預測IC!AY14</f>
        <v>1.0706180932565172</v>
      </c>
      <c r="AZ14" s="12">
        <f>AY14+預測IC!AZ14</f>
        <v>1.0962470932565171</v>
      </c>
      <c r="BA14" s="12">
        <f>AZ14+預測IC!BA14</f>
        <v>1.1925845143091487</v>
      </c>
      <c r="BB14" s="12">
        <f>BA14+預測IC!BB14</f>
        <v>1.2944825143091487</v>
      </c>
      <c r="BC14" s="12">
        <f>BB14+預測IC!BC14</f>
        <v>1.3065570406249383</v>
      </c>
      <c r="BD14" s="12">
        <f>BC14+預測IC!BD14</f>
        <v>1.3229759353617805</v>
      </c>
      <c r="BE14" s="12">
        <f>BD14+預測IC!BE14</f>
        <v>1.3667629978972675</v>
      </c>
      <c r="BF14" s="12">
        <f>BE14+預測IC!BF14</f>
        <v>1.4075335194429572</v>
      </c>
      <c r="BG14" s="12">
        <f>BF14+預測IC!BG14</f>
        <v>1.4180303615482204</v>
      </c>
      <c r="BH14" s="12">
        <f>BG14+預測IC!BH14</f>
        <v>1.3242808352324309</v>
      </c>
      <c r="BI14" s="12">
        <f>BH14+預測IC!BI14</f>
        <v>1.3565517299692731</v>
      </c>
      <c r="BJ14" s="12">
        <f>BI14+預測IC!BJ14</f>
        <v>1.3805696247061152</v>
      </c>
      <c r="BK14" s="12">
        <f>BJ14+預測IC!BK14</f>
        <v>1.4138068352324309</v>
      </c>
      <c r="BL14" s="12">
        <f>BK14+預測IC!BL14</f>
        <v>1.4735446020748013</v>
      </c>
      <c r="BM14" s="12">
        <f>BL14+預測IC!BM14</f>
        <v>1.5128018172812283</v>
      </c>
      <c r="BN14" s="12">
        <f>BM14+預測IC!BN14</f>
        <v>1.5593786593864916</v>
      </c>
      <c r="BO14" s="12">
        <f>BN14+預測IC!BO14</f>
        <v>1.592987705063756</v>
      </c>
      <c r="BP14" s="12">
        <f>BO14+預測IC!BP14</f>
        <v>1.6086614385567151</v>
      </c>
      <c r="BQ14" s="12">
        <f>BP14+預測IC!BQ14</f>
        <v>1.6562240701356625</v>
      </c>
      <c r="BR14" s="12">
        <f>BQ14+預測IC!BR14</f>
        <v>1.6206827017146099</v>
      </c>
      <c r="BS14" s="12">
        <f>BR14+預測IC!BS14</f>
        <v>1.5791887465700321</v>
      </c>
      <c r="BT14" s="12">
        <f>BS14+預測IC!BT14</f>
        <v>1.6532017089063433</v>
      </c>
      <c r="BU14" s="12">
        <f>BT14+預測IC!BU14</f>
        <v>1.5420416036431854</v>
      </c>
      <c r="BV14" s="12">
        <f>BU14+預測IC!BV14</f>
        <v>1.5833238141695012</v>
      </c>
      <c r="BW14" s="12">
        <f>BV14+預測IC!BW14</f>
        <v>1.701732024695817</v>
      </c>
      <c r="BX14" s="12">
        <f>BW14+預測IC!BX14</f>
        <v>1.7014246562747644</v>
      </c>
      <c r="BY14" s="12">
        <f>BX14+預測IC!BY14</f>
        <v>1.6210236562747644</v>
      </c>
      <c r="BZ14" s="12">
        <f>BY14+預測IC!BZ14</f>
        <v>1.6720094457484487</v>
      </c>
      <c r="CA14" s="12">
        <f>BZ14+預測IC!CA14</f>
        <v>1.7054640773273961</v>
      </c>
      <c r="CB14" s="12">
        <f>CA14+預測IC!CB14</f>
        <v>1.8699298668010802</v>
      </c>
      <c r="CC14" s="12">
        <f>CB14+預測IC!CC14</f>
        <v>1.9905250773273959</v>
      </c>
      <c r="CD14" s="12">
        <f>CC14+預測IC!CD14</f>
        <v>2.0384464457484484</v>
      </c>
      <c r="CE14" s="12">
        <f>CD14+預測IC!CE14</f>
        <v>2.1106031649601462</v>
      </c>
      <c r="CF14" s="12">
        <f>CE14+預測IC!CF14</f>
        <v>2.0182724816780846</v>
      </c>
      <c r="CG14" s="12">
        <f>CF14+預測IC!CG14</f>
        <v>2.1571993764149267</v>
      </c>
      <c r="CH14" s="12">
        <f>CG14+預測IC!CH14</f>
        <v>2.1612529027307161</v>
      </c>
      <c r="CI14" s="12">
        <f>CH14+預測IC!CI14</f>
        <v>2.1574247448359793</v>
      </c>
      <c r="CJ14" s="12">
        <f>CI14+預測IC!CJ14</f>
        <v>2.1774912711517689</v>
      </c>
      <c r="CK14" s="12">
        <f>CJ14+預測IC!CK14</f>
        <v>2.1770284816780845</v>
      </c>
      <c r="CL14" s="12">
        <f>CK14+預測IC!CL14</f>
        <v>2.1147585267992479</v>
      </c>
      <c r="CM14" s="12">
        <f>CL14+預測IC!CM14</f>
        <v>2.0827185164309308</v>
      </c>
      <c r="CN14" s="12">
        <f>CM14+預測IC!CN14</f>
        <v>2.0633174111677728</v>
      </c>
      <c r="CO14" s="12">
        <f>CN14+預測IC!CO14</f>
        <v>2.1369051312066656</v>
      </c>
      <c r="CP14" s="12">
        <f>CO14+預測IC!CP14</f>
        <v>2.0314253943645602</v>
      </c>
      <c r="CQ14" s="12">
        <f>CP14+預測IC!CQ14</f>
        <v>2.1109624996277181</v>
      </c>
      <c r="CR14" s="12">
        <f>CQ14+預測IC!CR14</f>
        <v>2.0550533620032168</v>
      </c>
      <c r="CS14" s="12">
        <f>CR14+預測IC!CS14</f>
        <v>1.9960262417395611</v>
      </c>
      <c r="CT14" s="12">
        <f>CS14+預測IC!CT14</f>
        <v>2.057898452265877</v>
      </c>
      <c r="CU14" s="12">
        <f>CT14+預測IC!CU14</f>
        <v>2.1018155549630917</v>
      </c>
      <c r="CV14" s="12">
        <f>CU14+預測IC!CV14</f>
        <v>2.0790698398248364</v>
      </c>
      <c r="CW14" s="12">
        <f>CV14+預測IC!CW14</f>
        <v>2.0824682222883073</v>
      </c>
      <c r="CX14" s="12">
        <f>CW14+預測IC!CX14</f>
        <v>2.046168813400068</v>
      </c>
      <c r="CY14" s="12">
        <f>CX14+預測IC!CY14</f>
        <v>2.0963068660316471</v>
      </c>
      <c r="CZ14" s="12">
        <f>CY14+預測IC!CZ14</f>
        <v>2.2324794976105946</v>
      </c>
      <c r="DA14" s="12">
        <f>CZ14+預測IC!DA14</f>
        <v>2.2567837867811793</v>
      </c>
      <c r="DB14" s="12">
        <f>DA14+預測IC!DB14</f>
        <v>2.3613918394127582</v>
      </c>
      <c r="DC14" s="12">
        <f>DB14+預測IC!DC14</f>
        <v>2.3761457341496004</v>
      </c>
      <c r="DD14" s="12">
        <f>DC14+預測IC!DD14</f>
        <v>2.3222468394127582</v>
      </c>
      <c r="DE14" s="12">
        <f>DD14+預測IC!DE14</f>
        <v>2.2911892604653898</v>
      </c>
      <c r="DF14" s="12">
        <f>DE14+預測IC!DF14</f>
        <v>2.4927537341496002</v>
      </c>
      <c r="DG14" s="12">
        <f>DF14+預測IC!DG14</f>
        <v>2.4471701025706527</v>
      </c>
      <c r="DH14" s="12">
        <f>DG14+預測IC!DH14</f>
        <v>2.505912681518021</v>
      </c>
      <c r="DI14" s="12">
        <f>DH14+預測IC!DI14</f>
        <v>2.5925594709917053</v>
      </c>
      <c r="DJ14" s="12">
        <f>DI14+預測IC!DJ14</f>
        <v>2.6084572604653893</v>
      </c>
      <c r="DK14" s="12">
        <f>DJ14+預測IC!DK14</f>
        <v>2.5268355762548631</v>
      </c>
      <c r="DL14" s="12">
        <f>DK14+預測IC!DL14</f>
        <v>2.5175628920443369</v>
      </c>
      <c r="DM14" s="12">
        <f>DL14+預測IC!DM14</f>
        <v>2.5164422078338107</v>
      </c>
      <c r="DN14" s="12">
        <f>DM14+預測IC!DN14</f>
        <v>2.5591047037270749</v>
      </c>
      <c r="DO14" s="12">
        <f>DN14+預測IC!DO14</f>
        <v>2.6616967037270749</v>
      </c>
      <c r="DP14" s="12">
        <f>DO14+預測IC!DP14</f>
        <v>2.7052364200847268</v>
      </c>
      <c r="DQ14" s="12">
        <f>DP14+預測IC!DQ14</f>
        <v>2.6492172095584108</v>
      </c>
      <c r="DR14" s="12">
        <f>DQ14+預測IC!DR14</f>
        <v>2.6570118411373582</v>
      </c>
      <c r="DS14" s="12">
        <f>DR14+預測IC!DS14</f>
        <v>2.6219669348664416</v>
      </c>
      <c r="DT14" s="12">
        <f>DS14+預測IC!DT14</f>
        <v>2.7396392506559155</v>
      </c>
      <c r="DU14" s="12">
        <f>DT14+預測IC!DU14</f>
        <v>2.6708429874980206</v>
      </c>
      <c r="DV14" s="12">
        <f>DU14+預測IC!DV14</f>
        <v>2.6902785138138099</v>
      </c>
      <c r="DW14" s="12">
        <f>DV14+預測IC!DW14</f>
        <v>2.7886228808315878</v>
      </c>
      <c r="DX14" s="12">
        <f>DW14+預測IC!DX14</f>
        <v>2.8273810387263247</v>
      </c>
      <c r="DY14" s="12">
        <f>DX14+預測IC!DY14</f>
        <v>2.9016388808315878</v>
      </c>
      <c r="DZ14" s="12">
        <f>DY14+預測IC!DZ14</f>
        <v>2.9235204541500499</v>
      </c>
      <c r="EA14" s="12">
        <f>DZ14+預測IC!EA14</f>
        <v>3.0310459804658394</v>
      </c>
      <c r="EB14" s="12">
        <f>EA14+預測IC!EB14</f>
        <v>3.00593545415005</v>
      </c>
      <c r="EC14" s="12">
        <f>EB14+預測IC!EC14</f>
        <v>3.0120148362981829</v>
      </c>
      <c r="ED14" s="12">
        <f>EC14+預測IC!ED14</f>
        <v>3.1146445454843699</v>
      </c>
      <c r="EE14" s="12">
        <f>ED14+預測IC!EE14</f>
        <v>3.0957773886394775</v>
      </c>
      <c r="EF14" s="12">
        <f>EE14+預測IC!EF14</f>
        <v>3.0258209681409194</v>
      </c>
    </row>
    <row r="15" spans="1:136">
      <c r="A15" s="2">
        <v>100</v>
      </c>
      <c r="B15" s="2">
        <v>10</v>
      </c>
      <c r="C15" s="12">
        <v>9.6503141994516081E-2</v>
      </c>
      <c r="D15" s="12">
        <f>C15+預測IC!D15</f>
        <v>7.9550277202450337E-2</v>
      </c>
      <c r="E15" s="12">
        <f>D15+預測IC!E15</f>
        <v>0.14159487720245034</v>
      </c>
      <c r="F15" s="12">
        <f>E15+預測IC!F15</f>
        <v>0.25015717057564024</v>
      </c>
      <c r="G15" s="12">
        <f>F15+預測IC!G15</f>
        <v>0.31079409924717449</v>
      </c>
      <c r="H15" s="12">
        <f>G15+預測IC!H15</f>
        <v>0.42963849924717451</v>
      </c>
      <c r="I15" s="12">
        <f>H15+預測IC!I15</f>
        <v>0.37120705496730899</v>
      </c>
      <c r="J15" s="12">
        <f>I15+預測IC!J15</f>
        <v>0.30668285496730896</v>
      </c>
      <c r="K15" s="12">
        <f>J15+預測IC!K15</f>
        <v>0.59327748270367953</v>
      </c>
      <c r="L15" s="12">
        <f>K15+預測IC!L15</f>
        <v>0.56071897754649491</v>
      </c>
      <c r="M15" s="12">
        <f>L15+預測IC!M15</f>
        <v>0.37222757754649494</v>
      </c>
      <c r="N15" s="12">
        <f>M15+預測IC!N15</f>
        <v>0.25135942338551387</v>
      </c>
      <c r="O15" s="12">
        <f>N15+預測IC!O15</f>
        <v>0.29746292338551389</v>
      </c>
      <c r="P15" s="12">
        <f>O15+預測IC!P15</f>
        <v>0.3504463233855139</v>
      </c>
      <c r="Q15" s="12">
        <f>P15+預測IC!Q15</f>
        <v>0.45082312338551389</v>
      </c>
      <c r="R15" s="12">
        <f>Q15+預測IC!R15</f>
        <v>0.50295281349063137</v>
      </c>
      <c r="S15" s="12">
        <f>R15+預測IC!S15</f>
        <v>0.7729607085727852</v>
      </c>
      <c r="T15" s="12">
        <f>S15+預測IC!T15</f>
        <v>0.72362100857278522</v>
      </c>
      <c r="U15" s="12">
        <f>T15+預測IC!U15</f>
        <v>0.86058907024005404</v>
      </c>
      <c r="V15" s="12">
        <f>U15+預測IC!V15</f>
        <v>0.77490867024005405</v>
      </c>
      <c r="W15" s="12">
        <f>V15+預測IC!W15</f>
        <v>0.8774522642227971</v>
      </c>
      <c r="X15" s="12">
        <f>W15+預測IC!X15</f>
        <v>1.0042955956864703</v>
      </c>
      <c r="Y15" s="12">
        <f>X15+預測IC!Y15</f>
        <v>0.98010589568647033</v>
      </c>
      <c r="Z15" s="12">
        <f>Y15+預測IC!Z15</f>
        <v>0.95644969568647031</v>
      </c>
      <c r="AA15" s="12">
        <f>Z15+預測IC!AA15</f>
        <v>1.0030385956864702</v>
      </c>
      <c r="AB15" s="12">
        <f>AA15+預測IC!AB15</f>
        <v>0.9290431956864702</v>
      </c>
      <c r="AC15" s="12">
        <f>AB15+預測IC!AC15</f>
        <v>0.88898839568647015</v>
      </c>
      <c r="AD15" s="12">
        <f>AC15+預測IC!AD15</f>
        <v>0.92867879568647016</v>
      </c>
      <c r="AE15" s="12">
        <f>AD15+預測IC!AE15</f>
        <v>0.9759643956864702</v>
      </c>
      <c r="AF15" s="12">
        <f>AE15+預測IC!AF15</f>
        <v>1.0257378956864702</v>
      </c>
      <c r="AG15" s="12">
        <f>AF15+預測IC!AG15</f>
        <v>1.0159928956864703</v>
      </c>
      <c r="AH15" s="12">
        <f>AG15+預測IC!AH15</f>
        <v>0.98238852232879381</v>
      </c>
      <c r="AI15" s="12">
        <f>AH15+預測IC!AI15</f>
        <v>1.0566659223287937</v>
      </c>
      <c r="AJ15" s="12">
        <f>AI15+預測IC!AJ15</f>
        <v>1.0661307822962696</v>
      </c>
      <c r="AK15" s="12">
        <f>AJ15+預測IC!AK15</f>
        <v>1.1278904019547145</v>
      </c>
      <c r="AL15" s="12">
        <f>AK15+預測IC!AL15</f>
        <v>1.172322064450529</v>
      </c>
      <c r="AM15" s="12">
        <f>AL15+預測IC!AM15</f>
        <v>1.1742655644505291</v>
      </c>
      <c r="AN15" s="12">
        <f>AM15+預測IC!AN15</f>
        <v>1.2350003644505292</v>
      </c>
      <c r="AO15" s="12">
        <f>AN15+預測IC!AO15</f>
        <v>1.2983701769139964</v>
      </c>
      <c r="AP15" s="12">
        <f>AO15+預測IC!AP15</f>
        <v>1.3109523769139964</v>
      </c>
      <c r="AQ15" s="12">
        <f>AP15+預測IC!AQ15</f>
        <v>1.2912050769139964</v>
      </c>
      <c r="AR15" s="12">
        <f>AQ15+預測IC!AR15</f>
        <v>1.3157553769139965</v>
      </c>
      <c r="AS15" s="12">
        <f>AR15+預測IC!AS15</f>
        <v>1.2933245769139965</v>
      </c>
      <c r="AT15" s="12">
        <f>AS15+預測IC!AT15</f>
        <v>1.3001808769139964</v>
      </c>
      <c r="AU15" s="12">
        <f>AT15+預測IC!AU15</f>
        <v>1.4672898769139964</v>
      </c>
      <c r="AV15" s="12">
        <f>AU15+預測IC!AV15</f>
        <v>1.5005148769139964</v>
      </c>
      <c r="AW15" s="12">
        <f>AV15+預測IC!AW15</f>
        <v>1.5890738769139965</v>
      </c>
      <c r="AX15" s="12">
        <f>AW15+預測IC!AX15</f>
        <v>1.5932358769139965</v>
      </c>
      <c r="AY15" s="12">
        <f>AX15+預測IC!AY15</f>
        <v>1.5500928769139966</v>
      </c>
      <c r="AZ15" s="12">
        <f>AY15+預測IC!AZ15</f>
        <v>1.5869409769139966</v>
      </c>
      <c r="BA15" s="12">
        <f>AZ15+預測IC!BA15</f>
        <v>1.7446292769139966</v>
      </c>
      <c r="BB15" s="12">
        <f>BA15+預測IC!BB15</f>
        <v>1.8534177769139966</v>
      </c>
      <c r="BC15" s="12">
        <f>BB15+預測IC!BC15</f>
        <v>1.8149268769139966</v>
      </c>
      <c r="BD15" s="12">
        <f>BC15+預測IC!BD15</f>
        <v>1.8222915769139965</v>
      </c>
      <c r="BE15" s="12">
        <f>BD15+預測IC!BE15</f>
        <v>1.8707342979316597</v>
      </c>
      <c r="BF15" s="12">
        <f>BE15+預測IC!BF15</f>
        <v>1.9183972773884119</v>
      </c>
      <c r="BG15" s="12">
        <f>BF15+預測IC!BG15</f>
        <v>1.9321736773884119</v>
      </c>
      <c r="BH15" s="12">
        <f>BG15+預測IC!BH15</f>
        <v>1.8774646773884118</v>
      </c>
      <c r="BI15" s="12">
        <f>BH15+預測IC!BI15</f>
        <v>1.9038164773884119</v>
      </c>
      <c r="BJ15" s="12">
        <f>BI15+預測IC!BJ15</f>
        <v>1.9789714773884119</v>
      </c>
      <c r="BK15" s="12">
        <f>BJ15+預測IC!BK15</f>
        <v>2.0518406773884119</v>
      </c>
      <c r="BL15" s="12">
        <f>BK15+預測IC!BL15</f>
        <v>2.1112445487297604</v>
      </c>
      <c r="BM15" s="12">
        <f>BL15+預測IC!BM15</f>
        <v>2.1780693700964897</v>
      </c>
      <c r="BN15" s="12">
        <f>BM15+預測IC!BN15</f>
        <v>2.2441242700964898</v>
      </c>
      <c r="BO15" s="12">
        <f>BN15+預測IC!BO15</f>
        <v>2.271858746051421</v>
      </c>
      <c r="BP15" s="12">
        <f>BO15+預測IC!BP15</f>
        <v>2.2860429667592257</v>
      </c>
      <c r="BQ15" s="12">
        <f>BP15+預測IC!BQ15</f>
        <v>2.3107164667592257</v>
      </c>
      <c r="BR15" s="12">
        <f>BQ15+預測IC!BR15</f>
        <v>2.3186152667592257</v>
      </c>
      <c r="BS15" s="12">
        <f>BR15+預測IC!BS15</f>
        <v>2.3017914893089393</v>
      </c>
      <c r="BT15" s="12">
        <f>BS15+預測IC!BT15</f>
        <v>2.3908516950402738</v>
      </c>
      <c r="BU15" s="12">
        <f>BT15+預測IC!BU15</f>
        <v>2.3053051950402739</v>
      </c>
      <c r="BV15" s="12">
        <f>BU15+預測IC!BV15</f>
        <v>2.3914852950402739</v>
      </c>
      <c r="BW15" s="12">
        <f>BV15+預測IC!BW15</f>
        <v>2.5956307950402739</v>
      </c>
      <c r="BX15" s="12">
        <f>BW15+預測IC!BX15</f>
        <v>2.6195807950402741</v>
      </c>
      <c r="BY15" s="12">
        <f>BX15+預測IC!BY15</f>
        <v>2.5262418950402741</v>
      </c>
      <c r="BZ15" s="12">
        <f>BY15+預測IC!BZ15</f>
        <v>2.5936020950402741</v>
      </c>
      <c r="CA15" s="12">
        <f>BZ15+預測IC!CA15</f>
        <v>2.6235649950402742</v>
      </c>
      <c r="CB15" s="12">
        <f>CA15+預測IC!CB15</f>
        <v>2.7546565950402742</v>
      </c>
      <c r="CC15" s="12">
        <f>CB15+預測IC!CC15</f>
        <v>2.9283061950402742</v>
      </c>
      <c r="CD15" s="12">
        <f>CC15+預測IC!CD15</f>
        <v>3.0173997950402742</v>
      </c>
      <c r="CE15" s="12">
        <f>CD15+預測IC!CE15</f>
        <v>3.1339163641103949</v>
      </c>
      <c r="CF15" s="12">
        <f>CE15+預測IC!CF15</f>
        <v>3.0395597137169745</v>
      </c>
      <c r="CG15" s="12">
        <f>CF15+預測IC!CG15</f>
        <v>3.2652914137169748</v>
      </c>
      <c r="CH15" s="12">
        <f>CG15+預測IC!CH15</f>
        <v>3.225311913716975</v>
      </c>
      <c r="CI15" s="12">
        <f>CH15+預測IC!CI15</f>
        <v>3.1559769137169749</v>
      </c>
      <c r="CJ15" s="12">
        <f>CI15+預測IC!CJ15</f>
        <v>3.163359513716975</v>
      </c>
      <c r="CK15" s="12">
        <f>CJ15+預測IC!CK15</f>
        <v>3.1976410137169751</v>
      </c>
      <c r="CL15" s="12">
        <f>CK15+預測IC!CL15</f>
        <v>3.1662190387237268</v>
      </c>
      <c r="CM15" s="12">
        <f>CL15+預測IC!CM15</f>
        <v>3.0915879225952732</v>
      </c>
      <c r="CN15" s="12">
        <f>CM15+預測IC!CN15</f>
        <v>3.0918055225952732</v>
      </c>
      <c r="CO15" s="12">
        <f>CN15+預測IC!CO15</f>
        <v>3.2212545474773147</v>
      </c>
      <c r="CP15" s="12">
        <f>CO15+預測IC!CP15</f>
        <v>3.1868611474773147</v>
      </c>
      <c r="CQ15" s="12">
        <f>CP15+預測IC!CQ15</f>
        <v>3.3264656474773147</v>
      </c>
      <c r="CR15" s="12">
        <f>CQ15+預測IC!CR15</f>
        <v>3.2782285771891502</v>
      </c>
      <c r="CS15" s="12">
        <f>CR15+預測IC!CS15</f>
        <v>3.2180434047255555</v>
      </c>
      <c r="CT15" s="12">
        <f>CS15+預測IC!CT15</f>
        <v>3.2502603047255554</v>
      </c>
      <c r="CU15" s="12">
        <f>CT15+預測IC!CU15</f>
        <v>3.3134389646403282</v>
      </c>
      <c r="CV15" s="12">
        <f>CU15+預測IC!CV15</f>
        <v>3.3195808115451371</v>
      </c>
      <c r="CW15" s="12">
        <f>CV15+預測IC!CW15</f>
        <v>3.3320654717255773</v>
      </c>
      <c r="CX15" s="12">
        <f>CW15+預測IC!CX15</f>
        <v>3.3080258646722465</v>
      </c>
      <c r="CY15" s="12">
        <f>CX15+預測IC!CY15</f>
        <v>3.3637587646722467</v>
      </c>
      <c r="CZ15" s="12">
        <f>CY15+預測IC!CZ15</f>
        <v>3.4791254646722467</v>
      </c>
      <c r="DA15" s="12">
        <f>CZ15+預測IC!DA15</f>
        <v>3.5055013001141231</v>
      </c>
      <c r="DB15" s="12">
        <f>DA15+預測IC!DB15</f>
        <v>3.6025490001141232</v>
      </c>
      <c r="DC15" s="12">
        <f>DB15+預測IC!DC15</f>
        <v>3.6792755001141231</v>
      </c>
      <c r="DD15" s="12">
        <f>DC15+預測IC!DD15</f>
        <v>3.611750400114123</v>
      </c>
      <c r="DE15" s="12">
        <f>DD15+預測IC!DE15</f>
        <v>3.5461425001141231</v>
      </c>
      <c r="DF15" s="12">
        <f>DE15+預測IC!DF15</f>
        <v>3.8488641001141231</v>
      </c>
      <c r="DG15" s="12">
        <f>DF15+預測IC!DG15</f>
        <v>3.800946300114123</v>
      </c>
      <c r="DH15" s="12">
        <f>DG15+預測IC!DH15</f>
        <v>3.9305698001141232</v>
      </c>
      <c r="DI15" s="12">
        <f>DH15+預測IC!DI15</f>
        <v>3.9733808001141231</v>
      </c>
      <c r="DJ15" s="12">
        <f>DI15+預測IC!DJ15</f>
        <v>4.0209473001141234</v>
      </c>
      <c r="DK15" s="12">
        <f>DJ15+預測IC!DK15</f>
        <v>3.9206183001141235</v>
      </c>
      <c r="DL15" s="12">
        <f>DK15+預測IC!DL15</f>
        <v>3.9283575001141235</v>
      </c>
      <c r="DM15" s="12">
        <f>DL15+預測IC!DM15</f>
        <v>3.9301310001141236</v>
      </c>
      <c r="DN15" s="12">
        <f>DM15+預測IC!DN15</f>
        <v>3.9741274975377432</v>
      </c>
      <c r="DO15" s="12">
        <f>DN15+預測IC!DO15</f>
        <v>4.1336730975377431</v>
      </c>
      <c r="DP15" s="12">
        <f>DO15+預測IC!DP15</f>
        <v>4.1574086995446358</v>
      </c>
      <c r="DQ15" s="12">
        <f>DP15+預測IC!DQ15</f>
        <v>4.0844708995446357</v>
      </c>
      <c r="DR15" s="12">
        <f>DQ15+預測IC!DR15</f>
        <v>4.0624354995446357</v>
      </c>
      <c r="DS15" s="12">
        <f>DR15+預測IC!DS15</f>
        <v>3.9861935911328383</v>
      </c>
      <c r="DT15" s="12">
        <f>DS15+預測IC!DT15</f>
        <v>4.0204902911328384</v>
      </c>
      <c r="DU15" s="12">
        <f>DT15+預測IC!DU15</f>
        <v>3.9033617911328382</v>
      </c>
      <c r="DV15" s="12">
        <f>DU15+預測IC!DV15</f>
        <v>3.954491691132838</v>
      </c>
      <c r="DW15" s="12">
        <f>DV15+預測IC!DW15</f>
        <v>3.9800303182796708</v>
      </c>
      <c r="DX15" s="12">
        <f>DW15+預測IC!DX15</f>
        <v>4.0079900182796706</v>
      </c>
      <c r="DY15" s="12">
        <f>DX15+預測IC!DY15</f>
        <v>4.1515996182796702</v>
      </c>
      <c r="DZ15" s="12">
        <f>DY15+預測IC!DZ15</f>
        <v>4.1705198623490549</v>
      </c>
      <c r="EA15" s="12">
        <f>DZ15+預測IC!EA15</f>
        <v>4.279697562349055</v>
      </c>
      <c r="EB15" s="12">
        <f>EA15+預測IC!EB15</f>
        <v>4.2235685623490546</v>
      </c>
      <c r="EC15" s="12">
        <f>EB15+預測IC!EC15</f>
        <v>4.2896504183970015</v>
      </c>
      <c r="ED15" s="12">
        <f>EC15+預測IC!ED15</f>
        <v>4.4030074743323127</v>
      </c>
      <c r="EE15" s="12">
        <f>ED15+預測IC!EE15</f>
        <v>4.4192528888684013</v>
      </c>
      <c r="EF15" s="12">
        <f>EE15+預測IC!EF15</f>
        <v>4.3535518977295586</v>
      </c>
    </row>
    <row r="16" spans="1:136">
      <c r="A16" s="2">
        <v>107</v>
      </c>
      <c r="B16" s="2">
        <v>9</v>
      </c>
      <c r="C16" s="12">
        <v>2.7383644610379052E-2</v>
      </c>
      <c r="D16" s="12">
        <f>C16+預測IC!D16</f>
        <v>2.8103893277696107E-2</v>
      </c>
      <c r="E16" s="12">
        <f>D16+預測IC!E16</f>
        <v>9.3108782166585011E-2</v>
      </c>
      <c r="F16" s="12">
        <f>E16+預測IC!F16</f>
        <v>0.19249127502207208</v>
      </c>
      <c r="G16" s="12">
        <f>F16+預測IC!G16</f>
        <v>0.26618754014899593</v>
      </c>
      <c r="H16" s="12">
        <f>G16+預測IC!H16</f>
        <v>0.33903631792677369</v>
      </c>
      <c r="I16" s="12">
        <f>H16+預測IC!I16</f>
        <v>0.28150569926115226</v>
      </c>
      <c r="J16" s="12">
        <f>I16+預測IC!J16</f>
        <v>0.21281225481670782</v>
      </c>
      <c r="K16" s="12">
        <f>J16+預測IC!K16</f>
        <v>0.49748280504323994</v>
      </c>
      <c r="L16" s="12">
        <f>K16+預測IC!L16</f>
        <v>0.48759627045537113</v>
      </c>
      <c r="M16" s="12">
        <f>L16+預測IC!M16</f>
        <v>0.29272049267759337</v>
      </c>
      <c r="N16" s="12">
        <f>M16+預測IC!N16</f>
        <v>0.16704986713484307</v>
      </c>
      <c r="O16" s="12">
        <f>N16+預測IC!O16</f>
        <v>0.18267097824595419</v>
      </c>
      <c r="P16" s="12">
        <f>O16+預測IC!P16</f>
        <v>0.24465075602373196</v>
      </c>
      <c r="Q16" s="12">
        <f>P16+預測IC!Q16</f>
        <v>0.34127064491262082</v>
      </c>
      <c r="R16" s="12">
        <f>Q16+預測IC!R16</f>
        <v>0.39026162319554736</v>
      </c>
      <c r="S16" s="12">
        <f>R16+預測IC!S16</f>
        <v>0.67732464359434208</v>
      </c>
      <c r="T16" s="12">
        <f>S16+預測IC!T16</f>
        <v>0.65409719914989761</v>
      </c>
      <c r="U16" s="12">
        <f>T16+預測IC!U16</f>
        <v>0.78415967057964209</v>
      </c>
      <c r="V16" s="12">
        <f>U16+預測IC!V16</f>
        <v>0.67984444835741986</v>
      </c>
      <c r="W16" s="12">
        <f>V16+預測IC!W16</f>
        <v>0.78151012440523171</v>
      </c>
      <c r="X16" s="12">
        <f>W16+預測IC!X16</f>
        <v>0.90591990811371848</v>
      </c>
      <c r="Y16" s="12">
        <f>X16+預測IC!Y16</f>
        <v>0.90163135255816296</v>
      </c>
      <c r="Z16" s="12">
        <f>Y16+預測IC!Z16</f>
        <v>0.88155557478038515</v>
      </c>
      <c r="AA16" s="12">
        <f>Z16+預測IC!AA16</f>
        <v>0.93178324144705182</v>
      </c>
      <c r="AB16" s="12">
        <f>AA16+預測IC!AB16</f>
        <v>0.86076724144705186</v>
      </c>
      <c r="AC16" s="12">
        <f>AB16+預測IC!AC16</f>
        <v>0.81972713033594069</v>
      </c>
      <c r="AD16" s="12">
        <f>AC16+預測IC!AD16</f>
        <v>0.85453813033594073</v>
      </c>
      <c r="AE16" s="12">
        <f>AD16+預測IC!AE16</f>
        <v>0.9060721303359407</v>
      </c>
      <c r="AF16" s="12">
        <f>AE16+預測IC!AF16</f>
        <v>0.92108246366927404</v>
      </c>
      <c r="AG16" s="12">
        <f>AF16+預測IC!AG16</f>
        <v>0.91278090811371848</v>
      </c>
      <c r="AH16" s="12">
        <f>AG16+預測IC!AH16</f>
        <v>0.88101550766427794</v>
      </c>
      <c r="AI16" s="12">
        <f>AH16+預測IC!AI16</f>
        <v>0.97153861877538905</v>
      </c>
      <c r="AJ16" s="12">
        <f>AI16+預測IC!AJ16</f>
        <v>0.96451265270351305</v>
      </c>
      <c r="AK16" s="12">
        <f>AJ16+預測IC!AK16</f>
        <v>1.0289340535358851</v>
      </c>
      <c r="AL16" s="12">
        <f>AK16+預測IC!AL16</f>
        <v>1.0776229866404083</v>
      </c>
      <c r="AM16" s="12">
        <f>AL16+預測IC!AM16</f>
        <v>1.101355542195964</v>
      </c>
      <c r="AN16" s="12">
        <f>AM16+預測IC!AN16</f>
        <v>1.1540676533070751</v>
      </c>
      <c r="AO16" s="12">
        <f>AN16+預測IC!AO16</f>
        <v>1.2154923251329874</v>
      </c>
      <c r="AP16" s="12">
        <f>AO16+預測IC!AP16</f>
        <v>1.2207327695774319</v>
      </c>
      <c r="AQ16" s="12">
        <f>AP16+預測IC!AQ16</f>
        <v>1.1967002140218763</v>
      </c>
      <c r="AR16" s="12">
        <f>AQ16+預測IC!AR16</f>
        <v>1.2291924362440985</v>
      </c>
      <c r="AS16" s="12">
        <f>AR16+預測IC!AS16</f>
        <v>1.2011137695774319</v>
      </c>
      <c r="AT16" s="12">
        <f>AS16+預測IC!AT16</f>
        <v>1.2050529917996542</v>
      </c>
      <c r="AU16" s="12">
        <f>AT16+預測IC!AU16</f>
        <v>1.3752895473552098</v>
      </c>
      <c r="AV16" s="12">
        <f>AU16+預測IC!AV16</f>
        <v>1.3988981029107654</v>
      </c>
      <c r="AW16" s="12">
        <f>AV16+預測IC!AW16</f>
        <v>1.4919558806885431</v>
      </c>
      <c r="AX16" s="12">
        <f>AW16+預測IC!AX16</f>
        <v>1.4851003251329875</v>
      </c>
      <c r="AY16" s="12">
        <f>AX16+預測IC!AY16</f>
        <v>1.4504275473552097</v>
      </c>
      <c r="AZ16" s="12">
        <f>AY16+預測IC!AZ16</f>
        <v>1.4972554362440986</v>
      </c>
      <c r="BA16" s="12">
        <f>AZ16+預測IC!BA16</f>
        <v>1.6572465473552098</v>
      </c>
      <c r="BB16" s="12">
        <f>BA16+預測IC!BB16</f>
        <v>1.7897205473552098</v>
      </c>
      <c r="BC16" s="12">
        <f>BB16+預測IC!BC16</f>
        <v>1.750083880688543</v>
      </c>
      <c r="BD16" s="12">
        <f>BC16+預測IC!BD16</f>
        <v>1.7563679917996542</v>
      </c>
      <c r="BE16" s="12">
        <f>BD16+預測IC!BE16</f>
        <v>1.8077789861941291</v>
      </c>
      <c r="BF16" s="12">
        <f>BE16+預測IC!BF16</f>
        <v>1.8720470405138474</v>
      </c>
      <c r="BG16" s="12">
        <f>BF16+預測IC!BG16</f>
        <v>1.8913782627360696</v>
      </c>
      <c r="BH16" s="12">
        <f>BG16+預測IC!BH16</f>
        <v>1.8293382627360695</v>
      </c>
      <c r="BI16" s="12">
        <f>BH16+預測IC!BI16</f>
        <v>1.8549591516249584</v>
      </c>
      <c r="BJ16" s="12">
        <f>BI16+預測IC!BJ16</f>
        <v>1.9363880405138474</v>
      </c>
      <c r="BK16" s="12">
        <f>BJ16+預測IC!BK16</f>
        <v>2.0411612627360696</v>
      </c>
      <c r="BL16" s="12">
        <f>BK16+預測IC!BL16</f>
        <v>2.1117848284435929</v>
      </c>
      <c r="BM16" s="12">
        <f>BL16+預測IC!BM16</f>
        <v>2.1933087034855578</v>
      </c>
      <c r="BN16" s="12">
        <f>BM16+預測IC!BN16</f>
        <v>2.2605080368188912</v>
      </c>
      <c r="BO16" s="12">
        <f>BN16+預測IC!BO16</f>
        <v>2.2823983967725487</v>
      </c>
      <c r="BP16" s="12">
        <f>BO16+預測IC!BP16</f>
        <v>2.3032415803201292</v>
      </c>
      <c r="BQ16" s="12">
        <f>BP16+預測IC!BQ16</f>
        <v>2.3311078025423515</v>
      </c>
      <c r="BR16" s="12">
        <f>BQ16+預測IC!BR16</f>
        <v>2.3433674692090181</v>
      </c>
      <c r="BS16" s="12">
        <f>BR16+預測IC!BS16</f>
        <v>2.330175896061554</v>
      </c>
      <c r="BT16" s="12">
        <f>BS16+預測IC!BT16</f>
        <v>2.4156590873293537</v>
      </c>
      <c r="BU16" s="12">
        <f>BT16+預測IC!BU16</f>
        <v>2.3141218651071314</v>
      </c>
      <c r="BV16" s="12">
        <f>BU16+預測IC!BV16</f>
        <v>2.4086323095515758</v>
      </c>
      <c r="BW16" s="12">
        <f>BV16+預測IC!BW16</f>
        <v>2.6325773095515759</v>
      </c>
      <c r="BX16" s="12">
        <f>BW16+預測IC!BX16</f>
        <v>2.6566561984404649</v>
      </c>
      <c r="BY16" s="12">
        <f>BX16+預測IC!BY16</f>
        <v>2.5376607539960205</v>
      </c>
      <c r="BZ16" s="12">
        <f>BY16+預測IC!BZ16</f>
        <v>2.6302903095515759</v>
      </c>
      <c r="CA16" s="12">
        <f>BZ16+預測IC!CA16</f>
        <v>2.6577213095515759</v>
      </c>
      <c r="CB16" s="12">
        <f>CA16+預測IC!CB16</f>
        <v>2.7970303095515758</v>
      </c>
      <c r="CC16" s="12">
        <f>CB16+預測IC!CC16</f>
        <v>2.841416642884909</v>
      </c>
      <c r="CD16" s="12">
        <f>CC16+預測IC!CD16</f>
        <v>2.9291666428849092</v>
      </c>
      <c r="CE16" s="12">
        <f>CD16+預測IC!CE16</f>
        <v>3.0617617036784206</v>
      </c>
      <c r="CF16" s="12">
        <f>CE16+預測IC!CF16</f>
        <v>2.9565604396686695</v>
      </c>
      <c r="CG16" s="12">
        <f>CF16+預測IC!CG16</f>
        <v>3.1027571063353365</v>
      </c>
      <c r="CH16" s="12">
        <f>CG16+預測IC!CH16</f>
        <v>3.0842356618908919</v>
      </c>
      <c r="CI16" s="12">
        <f>CH16+預測IC!CI16</f>
        <v>3.0258923285575587</v>
      </c>
      <c r="CJ16" s="12">
        <f>CI16+預測IC!CJ16</f>
        <v>3.0536925507797812</v>
      </c>
      <c r="CK16" s="12">
        <f>CJ16+預測IC!CK16</f>
        <v>3.1244253285575589</v>
      </c>
      <c r="CL16" s="12">
        <f>CK16+預測IC!CL16</f>
        <v>3.1085466462228495</v>
      </c>
      <c r="CM16" s="12">
        <f>CL16+預測IC!CM16</f>
        <v>3.0195580180733379</v>
      </c>
      <c r="CN16" s="12">
        <f>CM16+預測IC!CN16</f>
        <v>3.0291675736288934</v>
      </c>
      <c r="CO16" s="12">
        <f>CN16+預測IC!CO16</f>
        <v>3.2116195281687228</v>
      </c>
      <c r="CP16" s="12">
        <f>CO16+預測IC!CP16</f>
        <v>3.180934972613167</v>
      </c>
      <c r="CQ16" s="12">
        <f>CP16+預測IC!CQ16</f>
        <v>3.3493859726131672</v>
      </c>
      <c r="CR16" s="12">
        <f>CQ16+預測IC!CR16</f>
        <v>3.3010862059298507</v>
      </c>
      <c r="CS16" s="12">
        <f>CR16+預測IC!CS16</f>
        <v>3.2345270460557769</v>
      </c>
      <c r="CT16" s="12">
        <f>CS16+預測IC!CT16</f>
        <v>3.2834309349446658</v>
      </c>
      <c r="CU16" s="12">
        <f>CT16+預測IC!CU16</f>
        <v>3.3468655893036403</v>
      </c>
      <c r="CV16" s="12">
        <f>CU16+預測IC!CV16</f>
        <v>3.3636166733843611</v>
      </c>
      <c r="CW16" s="12">
        <f>CV16+預測IC!CW16</f>
        <v>3.3728108329169828</v>
      </c>
      <c r="CX16" s="12">
        <f>CW16+預測IC!CX16</f>
        <v>3.360570548162733</v>
      </c>
      <c r="CY16" s="12">
        <f>CX16+預測IC!CY16</f>
        <v>3.4191251037182884</v>
      </c>
      <c r="CZ16" s="12">
        <f>CY16+預測IC!CZ16</f>
        <v>3.5853458814960661</v>
      </c>
      <c r="DA16" s="12">
        <f>CZ16+預測IC!DA16</f>
        <v>3.6151506754633016</v>
      </c>
      <c r="DB16" s="12">
        <f>DA16+預測IC!DB16</f>
        <v>3.7131673421299682</v>
      </c>
      <c r="DC16" s="12">
        <f>DB16+預測IC!DC16</f>
        <v>3.7769074532410793</v>
      </c>
      <c r="DD16" s="12">
        <f>DC16+預測IC!DD16</f>
        <v>3.7025373421299683</v>
      </c>
      <c r="DE16" s="12">
        <f>DD16+預測IC!DE16</f>
        <v>3.6462120087966352</v>
      </c>
      <c r="DF16" s="12">
        <f>DE16+預測IC!DF16</f>
        <v>3.9717928976855239</v>
      </c>
      <c r="DG16" s="12">
        <f>DF16+預測IC!DG16</f>
        <v>3.9261158976855239</v>
      </c>
      <c r="DH16" s="12">
        <f>DG16+預測IC!DH16</f>
        <v>4.0632653421299683</v>
      </c>
      <c r="DI16" s="12">
        <f>DH16+預測IC!DI16</f>
        <v>4.1110941199077464</v>
      </c>
      <c r="DJ16" s="12">
        <f>DI16+預測IC!DJ16</f>
        <v>4.1628472310188576</v>
      </c>
      <c r="DK16" s="12">
        <f>DJ16+預測IC!DK16</f>
        <v>4.0665928976855241</v>
      </c>
      <c r="DL16" s="12">
        <f>DK16+預測IC!DL16</f>
        <v>4.0679597865744128</v>
      </c>
      <c r="DM16" s="12">
        <f>DL16+預測IC!DM16</f>
        <v>4.1060951199077458</v>
      </c>
      <c r="DN16" s="12">
        <f>DM16+預測IC!DN16</f>
        <v>4.1485329732671525</v>
      </c>
      <c r="DO16" s="12">
        <f>DN16+預測IC!DO16</f>
        <v>4.3181236399338196</v>
      </c>
      <c r="DP16" s="12">
        <f>DO16+預測IC!DP16</f>
        <v>4.3379655885130459</v>
      </c>
      <c r="DQ16" s="12">
        <f>DP16+預測IC!DQ16</f>
        <v>4.2704055885130456</v>
      </c>
      <c r="DR16" s="12">
        <f>DQ16+預測IC!DR16</f>
        <v>4.2592272551797121</v>
      </c>
      <c r="DS16" s="12">
        <f>DR16+預測IC!DS16</f>
        <v>4.1654751901899578</v>
      </c>
      <c r="DT16" s="12">
        <f>DS16+預測IC!DT16</f>
        <v>4.1975345235232915</v>
      </c>
      <c r="DU16" s="12">
        <f>DT16+預測IC!DU16</f>
        <v>4.0747615235232919</v>
      </c>
      <c r="DV16" s="12">
        <f>DU16+預測IC!DV16</f>
        <v>4.1199133013010698</v>
      </c>
      <c r="DW16" s="12">
        <f>DV16+預測IC!DW16</f>
        <v>4.160831031000761</v>
      </c>
      <c r="DX16" s="12">
        <f>DW16+預測IC!DX16</f>
        <v>4.1983381421118722</v>
      </c>
      <c r="DY16" s="12">
        <f>DX16+預測IC!DY16</f>
        <v>4.3559099198896503</v>
      </c>
      <c r="DZ16" s="12">
        <f>DY16+預測IC!DZ16</f>
        <v>4.3871869997143271</v>
      </c>
      <c r="EA16" s="12">
        <f>DZ16+預測IC!EA16</f>
        <v>4.5269868886032159</v>
      </c>
      <c r="EB16" s="12">
        <f>EA16+預測IC!EB16</f>
        <v>4.4561091108254383</v>
      </c>
      <c r="EC16" s="12">
        <f>EB16+預測IC!EC16</f>
        <v>4.5196411774600076</v>
      </c>
      <c r="ED16" s="12">
        <f>EC16+預測IC!ED16</f>
        <v>4.6350579249589288</v>
      </c>
      <c r="EE16" s="12">
        <f>ED16+預測IC!EE16</f>
        <v>4.6581486364835403</v>
      </c>
      <c r="EF16" s="12">
        <f>EE16+預測IC!EF16</f>
        <v>4.6156742349896334</v>
      </c>
    </row>
    <row r="17" spans="1:136">
      <c r="A17" s="2">
        <v>120</v>
      </c>
      <c r="B17" s="2">
        <v>8</v>
      </c>
      <c r="C17" s="12">
        <v>4.1028984252961823E-2</v>
      </c>
      <c r="D17" s="12">
        <f>C17+預測IC!D17</f>
        <v>5.8363358986049621E-2</v>
      </c>
      <c r="E17" s="12">
        <f>D17+預測IC!E17</f>
        <v>0.13795135898604965</v>
      </c>
      <c r="F17" s="12">
        <f>E17+預測IC!F17</f>
        <v>0.25078887410334538</v>
      </c>
      <c r="G17" s="12">
        <f>F17+預測IC!G17</f>
        <v>0.32201164098152713</v>
      </c>
      <c r="H17" s="12">
        <f>G17+預測IC!H17</f>
        <v>0.42700639098152715</v>
      </c>
      <c r="I17" s="12">
        <f>H17+預測IC!I17</f>
        <v>0.31328136317933963</v>
      </c>
      <c r="J17" s="12">
        <f>I17+預測IC!J17</f>
        <v>0.19798298817933963</v>
      </c>
      <c r="K17" s="12">
        <f>J17+預測IC!K17</f>
        <v>0.49480953927990201</v>
      </c>
      <c r="L17" s="12">
        <f>K17+預測IC!L17</f>
        <v>0.48509864977174399</v>
      </c>
      <c r="M17" s="12">
        <f>L17+預測IC!M17</f>
        <v>0.25815877477174398</v>
      </c>
      <c r="N17" s="12">
        <f>M17+預測IC!N17</f>
        <v>0.12221034271895878</v>
      </c>
      <c r="O17" s="12">
        <f>N17+預測IC!O17</f>
        <v>0.14684246771895879</v>
      </c>
      <c r="P17" s="12">
        <f>O17+預測IC!P17</f>
        <v>0.22375809271895877</v>
      </c>
      <c r="Q17" s="12">
        <f>P17+預測IC!Q17</f>
        <v>0.33019046771895877</v>
      </c>
      <c r="R17" s="12">
        <f>Q17+預測IC!R17</f>
        <v>0.38224807662348598</v>
      </c>
      <c r="S17" s="12">
        <f>R17+預測IC!S17</f>
        <v>0.69290150927878424</v>
      </c>
      <c r="T17" s="12">
        <f>S17+預測IC!T17</f>
        <v>0.66939313427878422</v>
      </c>
      <c r="U17" s="12">
        <f>T17+預測IC!U17</f>
        <v>0.8106642768173411</v>
      </c>
      <c r="V17" s="12">
        <f>U17+預測IC!V17</f>
        <v>0.6943091518173411</v>
      </c>
      <c r="W17" s="12">
        <f>V17+預測IC!W17</f>
        <v>0.81391313582964864</v>
      </c>
      <c r="X17" s="12">
        <f>W17+預測IC!X17</f>
        <v>0.93075933377045228</v>
      </c>
      <c r="Y17" s="12">
        <f>X17+預測IC!Y17</f>
        <v>0.93225845877045233</v>
      </c>
      <c r="Z17" s="12">
        <f>Y17+預測IC!Z17</f>
        <v>0.91064995877045229</v>
      </c>
      <c r="AA17" s="12">
        <f>Z17+預測IC!AA17</f>
        <v>0.97290608377045229</v>
      </c>
      <c r="AB17" s="12">
        <f>AA17+預測IC!AB17</f>
        <v>0.91457170877045224</v>
      </c>
      <c r="AC17" s="12">
        <f>AB17+預測IC!AC17</f>
        <v>0.87377258377045219</v>
      </c>
      <c r="AD17" s="12">
        <f>AC17+預測IC!AD17</f>
        <v>0.94239245877045219</v>
      </c>
      <c r="AE17" s="12">
        <f>AD17+預測IC!AE17</f>
        <v>1.0018357087704521</v>
      </c>
      <c r="AF17" s="12">
        <f>AE17+預測IC!AF17</f>
        <v>1.0102483337704522</v>
      </c>
      <c r="AG17" s="12">
        <f>AF17+預測IC!AG17</f>
        <v>1.0088970837704523</v>
      </c>
      <c r="AH17" s="12">
        <f>AG17+預測IC!AH17</f>
        <v>0.97342446459756338</v>
      </c>
      <c r="AI17" s="12">
        <f>AH17+預測IC!AI17</f>
        <v>1.0882895895975633</v>
      </c>
      <c r="AJ17" s="12">
        <f>AI17+預測IC!AJ17</f>
        <v>1.0456869590786064</v>
      </c>
      <c r="AK17" s="12">
        <f>AJ17+預測IC!AK17</f>
        <v>1.119403233817643</v>
      </c>
      <c r="AL17" s="12">
        <f>AK17+預測IC!AL17</f>
        <v>1.1701276395661995</v>
      </c>
      <c r="AM17" s="12">
        <f>AL17+預測IC!AM17</f>
        <v>1.1979967645661995</v>
      </c>
      <c r="AN17" s="12">
        <f>AM17+預測IC!AN17</f>
        <v>1.2473571395661995</v>
      </c>
      <c r="AO17" s="12">
        <f>AN17+預測IC!AO17</f>
        <v>1.2599894741619238</v>
      </c>
      <c r="AP17" s="12">
        <f>AO17+預測IC!AP17</f>
        <v>1.2637487241619239</v>
      </c>
      <c r="AQ17" s="12">
        <f>AP17+預測IC!AQ17</f>
        <v>1.2545183491619238</v>
      </c>
      <c r="AR17" s="12">
        <f>AQ17+預測IC!AR17</f>
        <v>1.2895149741619238</v>
      </c>
      <c r="AS17" s="12">
        <f>AR17+預測IC!AS17</f>
        <v>1.2599989741619237</v>
      </c>
      <c r="AT17" s="12">
        <f>AS17+預測IC!AT17</f>
        <v>1.2614313491619238</v>
      </c>
      <c r="AU17" s="12">
        <f>AT17+預測IC!AU17</f>
        <v>1.4389939741619238</v>
      </c>
      <c r="AV17" s="12">
        <f>AU17+預測IC!AV17</f>
        <v>1.4665573491619237</v>
      </c>
      <c r="AW17" s="12">
        <f>AV17+預測IC!AW17</f>
        <v>1.5785598491619237</v>
      </c>
      <c r="AX17" s="12">
        <f>AW17+預測IC!AX17</f>
        <v>1.5891522241619238</v>
      </c>
      <c r="AY17" s="12">
        <f>AX17+預測IC!AY17</f>
        <v>1.5423410991619237</v>
      </c>
      <c r="AZ17" s="12">
        <f>AY17+預測IC!AZ17</f>
        <v>1.5903224741619237</v>
      </c>
      <c r="BA17" s="12">
        <f>AZ17+預測IC!BA17</f>
        <v>1.7531289741619238</v>
      </c>
      <c r="BB17" s="12">
        <f>BA17+預測IC!BB17</f>
        <v>1.9063997241619237</v>
      </c>
      <c r="BC17" s="12">
        <f>BB17+預測IC!BC17</f>
        <v>1.8486347241619236</v>
      </c>
      <c r="BD17" s="12">
        <f>BC17+預測IC!BD17</f>
        <v>1.8680488491619236</v>
      </c>
      <c r="BE17" s="12">
        <f>BD17+預測IC!BE17</f>
        <v>1.9453990913999839</v>
      </c>
      <c r="BF17" s="12">
        <f>BE17+預測IC!BF17</f>
        <v>2.0005965880089378</v>
      </c>
      <c r="BG17" s="12">
        <f>BF17+預測IC!BG17</f>
        <v>1.9874428380089377</v>
      </c>
      <c r="BH17" s="12">
        <f>BG17+預測IC!BH17</f>
        <v>1.9387040880089377</v>
      </c>
      <c r="BI17" s="12">
        <f>BH17+預測IC!BI17</f>
        <v>1.9961548380089376</v>
      </c>
      <c r="BJ17" s="12">
        <f>BI17+預測IC!BJ17</f>
        <v>2.0853473380089378</v>
      </c>
      <c r="BK17" s="12">
        <f>BJ17+預測IC!BK17</f>
        <v>2.2001634630089377</v>
      </c>
      <c r="BL17" s="12">
        <f>BK17+預測IC!BL17</f>
        <v>2.2776464298088839</v>
      </c>
      <c r="BM17" s="12">
        <f>BL17+預測IC!BM17</f>
        <v>2.353644200254744</v>
      </c>
      <c r="BN17" s="12">
        <f>BM17+預測IC!BN17</f>
        <v>2.427302200254744</v>
      </c>
      <c r="BO17" s="12">
        <f>BN17+預測IC!BO17</f>
        <v>2.4624818156714676</v>
      </c>
      <c r="BP17" s="12">
        <f>BO17+預測IC!BP17</f>
        <v>2.4984777953259485</v>
      </c>
      <c r="BQ17" s="12">
        <f>BP17+預測IC!BQ17</f>
        <v>2.5471232953259486</v>
      </c>
      <c r="BR17" s="12">
        <f>BQ17+預測IC!BR17</f>
        <v>2.5821279203259486</v>
      </c>
      <c r="BS17" s="12">
        <f>BR17+預測IC!BS17</f>
        <v>2.5780244512153421</v>
      </c>
      <c r="BT17" s="12">
        <f>BS17+預測IC!BT17</f>
        <v>2.6874408300857655</v>
      </c>
      <c r="BU17" s="12">
        <f>BT17+預測IC!BU17</f>
        <v>2.5829164550857655</v>
      </c>
      <c r="BV17" s="12">
        <f>BU17+預測IC!BV17</f>
        <v>2.6895603300857656</v>
      </c>
      <c r="BW17" s="12">
        <f>BV17+預測IC!BW17</f>
        <v>2.9167947050857657</v>
      </c>
      <c r="BX17" s="12">
        <f>BW17+預測IC!BX17</f>
        <v>2.9238912050857655</v>
      </c>
      <c r="BY17" s="12">
        <f>BX17+預測IC!BY17</f>
        <v>2.8280288300857657</v>
      </c>
      <c r="BZ17" s="12">
        <f>BY17+預測IC!BZ17</f>
        <v>2.9349808300857658</v>
      </c>
      <c r="CA17" s="12">
        <f>BZ17+預測IC!CA17</f>
        <v>2.962176955085766</v>
      </c>
      <c r="CB17" s="12">
        <f>CA17+預測IC!CB17</f>
        <v>3.111810330085766</v>
      </c>
      <c r="CC17" s="12">
        <f>CB17+預測IC!CC17</f>
        <v>3.1535688300857658</v>
      </c>
      <c r="CD17" s="12">
        <f>CC17+預測IC!CD17</f>
        <v>3.217673455085766</v>
      </c>
      <c r="CE17" s="12">
        <f>CD17+預測IC!CE17</f>
        <v>3.3927897005918175</v>
      </c>
      <c r="CF17" s="12">
        <f>CE17+預測IC!CF17</f>
        <v>3.2940435031656188</v>
      </c>
      <c r="CG17" s="12">
        <f>CF17+預測IC!CG17</f>
        <v>3.4710788781656188</v>
      </c>
      <c r="CH17" s="12">
        <f>CG17+預測IC!CH17</f>
        <v>3.4483242531656186</v>
      </c>
      <c r="CI17" s="12">
        <f>CH17+預測IC!CI17</f>
        <v>3.3658730031656185</v>
      </c>
      <c r="CJ17" s="12">
        <f>CI17+預測IC!CJ17</f>
        <v>3.4041947531656187</v>
      </c>
      <c r="CK17" s="12">
        <f>CJ17+預測IC!CK17</f>
        <v>3.4799387531656185</v>
      </c>
      <c r="CL17" s="12">
        <f>CK17+預測IC!CL17</f>
        <v>3.48936509793465</v>
      </c>
      <c r="CM17" s="12">
        <f>CL17+預測IC!CM17</f>
        <v>3.3547957535030757</v>
      </c>
      <c r="CN17" s="12">
        <f>CM17+預測IC!CN17</f>
        <v>3.3684265035030756</v>
      </c>
      <c r="CO17" s="12">
        <f>CN17+預測IC!CO17</f>
        <v>3.5709651307660653</v>
      </c>
      <c r="CP17" s="12">
        <f>CO17+預測IC!CP17</f>
        <v>3.5493551307660653</v>
      </c>
      <c r="CQ17" s="12">
        <f>CP17+預測IC!CQ17</f>
        <v>3.7224860057660654</v>
      </c>
      <c r="CR17" s="12">
        <f>CQ17+預測IC!CR17</f>
        <v>3.6718095150638423</v>
      </c>
      <c r="CS17" s="12">
        <f>CR17+預測IC!CS17</f>
        <v>3.5749678837642724</v>
      </c>
      <c r="CT17" s="12">
        <f>CS17+預測IC!CT17</f>
        <v>3.6336221337642725</v>
      </c>
      <c r="CU17" s="12">
        <f>CT17+預測IC!CU17</f>
        <v>3.7080304413475265</v>
      </c>
      <c r="CV17" s="12">
        <f>CU17+預測IC!CV17</f>
        <v>3.7041508334075992</v>
      </c>
      <c r="CW17" s="12">
        <f>CV17+預測IC!CW17</f>
        <v>3.7239126873169521</v>
      </c>
      <c r="CX17" s="12">
        <f>CW17+預測IC!CX17</f>
        <v>3.7131402927930042</v>
      </c>
      <c r="CY17" s="12">
        <f>CX17+預測IC!CY17</f>
        <v>3.7726384177930044</v>
      </c>
      <c r="CZ17" s="12">
        <f>CY17+預測IC!CZ17</f>
        <v>3.9567742927930043</v>
      </c>
      <c r="DA17" s="12">
        <f>CZ17+預測IC!DA17</f>
        <v>4.0006701519381389</v>
      </c>
      <c r="DB17" s="12">
        <f>DA17+預測IC!DB17</f>
        <v>4.1049411519381387</v>
      </c>
      <c r="DC17" s="12">
        <f>DB17+預測IC!DC17</f>
        <v>4.1588286519381388</v>
      </c>
      <c r="DD17" s="12">
        <f>DC17+預測IC!DD17</f>
        <v>4.1106986519381392</v>
      </c>
      <c r="DE17" s="12">
        <f>DD17+預測IC!DE17</f>
        <v>4.0590332769381394</v>
      </c>
      <c r="DF17" s="12">
        <f>DE17+預測IC!DF17</f>
        <v>4.4112606519381394</v>
      </c>
      <c r="DG17" s="12">
        <f>DF17+預測IC!DG17</f>
        <v>4.3640495269381399</v>
      </c>
      <c r="DH17" s="12">
        <f>DG17+預測IC!DH17</f>
        <v>4.5274829019381402</v>
      </c>
      <c r="DI17" s="12">
        <f>DH17+預測IC!DI17</f>
        <v>4.5976641519381403</v>
      </c>
      <c r="DJ17" s="12">
        <f>DI17+預測IC!DJ17</f>
        <v>4.6548105269381406</v>
      </c>
      <c r="DK17" s="12">
        <f>DJ17+預測IC!DK17</f>
        <v>4.5520306519381402</v>
      </c>
      <c r="DL17" s="12">
        <f>DK17+預測IC!DL17</f>
        <v>4.5462409019381402</v>
      </c>
      <c r="DM17" s="12">
        <f>DL17+預測IC!DM17</f>
        <v>4.5888044019381402</v>
      </c>
      <c r="DN17" s="12">
        <f>DM17+預測IC!DN17</f>
        <v>4.6242934346524791</v>
      </c>
      <c r="DO17" s="12">
        <f>DN17+預測IC!DO17</f>
        <v>4.8040554346524793</v>
      </c>
      <c r="DP17" s="12">
        <f>DO17+預測IC!DP17</f>
        <v>4.7875369263958554</v>
      </c>
      <c r="DQ17" s="12">
        <f>DP17+預測IC!DQ17</f>
        <v>4.7222929263958555</v>
      </c>
      <c r="DR17" s="12">
        <f>DQ17+預測IC!DR17</f>
        <v>4.6965664263958553</v>
      </c>
      <c r="DS17" s="12">
        <f>DR17+預測IC!DS17</f>
        <v>4.5722502665910447</v>
      </c>
      <c r="DT17" s="12">
        <f>DS17+預測IC!DT17</f>
        <v>4.5889932665910447</v>
      </c>
      <c r="DU17" s="12">
        <f>DT17+預測IC!DU17</f>
        <v>4.4594992665910445</v>
      </c>
      <c r="DV17" s="12">
        <f>DU17+預測IC!DV17</f>
        <v>4.5217716415910445</v>
      </c>
      <c r="DW17" s="12">
        <f>DV17+預測IC!DW17</f>
        <v>4.5704531250051943</v>
      </c>
      <c r="DX17" s="12">
        <f>DW17+預測IC!DX17</f>
        <v>4.6145750000051944</v>
      </c>
      <c r="DY17" s="12">
        <f>DX17+預測IC!DY17</f>
        <v>4.7218572500051943</v>
      </c>
      <c r="DZ17" s="12">
        <f>DY17+預測IC!DZ17</f>
        <v>4.7536854226049803</v>
      </c>
      <c r="EA17" s="12">
        <f>DZ17+預測IC!EA17</f>
        <v>4.9182577976049799</v>
      </c>
      <c r="EB17" s="12">
        <f>EA17+預測IC!EB17</f>
        <v>4.84447417260498</v>
      </c>
      <c r="EC17" s="12">
        <f>EB17+預測IC!EC17</f>
        <v>4.8608993898210411</v>
      </c>
      <c r="ED17" s="12">
        <f>EC17+預測IC!ED17</f>
        <v>4.9892238337499535</v>
      </c>
      <c r="EE17" s="12">
        <f>ED17+預測IC!EE17</f>
        <v>5.0146371940599872</v>
      </c>
      <c r="EF17" s="12">
        <f>EE17+預測IC!EF17</f>
        <v>4.9669274270501358</v>
      </c>
    </row>
    <row r="18" spans="1:136">
      <c r="A18" s="2">
        <v>137</v>
      </c>
      <c r="B18" s="2">
        <v>7</v>
      </c>
      <c r="C18" s="12">
        <v>5.3942228163147227E-2</v>
      </c>
      <c r="D18" s="12">
        <f>C18+預測IC!D18</f>
        <v>6.2129695244539956E-2</v>
      </c>
      <c r="E18" s="12">
        <f>D18+預測IC!E18</f>
        <v>0.11556755238739712</v>
      </c>
      <c r="F18" s="12">
        <f>E18+預測IC!F18</f>
        <v>0.2499819268207828</v>
      </c>
      <c r="G18" s="12">
        <f>F18+預測IC!G18</f>
        <v>0.33077617384164265</v>
      </c>
      <c r="H18" s="12">
        <f>G18+預測IC!H18</f>
        <v>0.45931617384164264</v>
      </c>
      <c r="I18" s="12">
        <f>H18+預測IC!I18</f>
        <v>0.32381599361840152</v>
      </c>
      <c r="J18" s="12">
        <f>I18+預測IC!J18</f>
        <v>0.19865513647554431</v>
      </c>
      <c r="K18" s="12">
        <f>J18+預測IC!K18</f>
        <v>0.55733723498344401</v>
      </c>
      <c r="L18" s="12">
        <f>K18+預測IC!L18</f>
        <v>0.54435474813646245</v>
      </c>
      <c r="M18" s="12">
        <f>L18+預測IC!M18</f>
        <v>0.29084189099360525</v>
      </c>
      <c r="N18" s="12">
        <f>M18+預測IC!N18</f>
        <v>0.14784946370883414</v>
      </c>
      <c r="O18" s="12">
        <f>N18+預測IC!O18</f>
        <v>0.17217360656597699</v>
      </c>
      <c r="P18" s="12">
        <f>O18+預測IC!P18</f>
        <v>0.22674332085169127</v>
      </c>
      <c r="Q18" s="12">
        <f>P18+預測IC!Q18</f>
        <v>0.34848203513740555</v>
      </c>
      <c r="R18" s="12">
        <f>Q18+預測IC!R18</f>
        <v>0.40997427300938055</v>
      </c>
      <c r="S18" s="12">
        <f>R18+預測IC!S18</f>
        <v>0.7937069019412748</v>
      </c>
      <c r="T18" s="12">
        <f>S18+預測IC!T18</f>
        <v>0.78867733051270339</v>
      </c>
      <c r="U18" s="12">
        <f>T18+預測IC!U18</f>
        <v>0.92117235494252236</v>
      </c>
      <c r="V18" s="12">
        <f>U18+預測IC!V18</f>
        <v>0.7899193549425223</v>
      </c>
      <c r="W18" s="12">
        <f>V18+預測IC!W18</f>
        <v>0.9278365928582285</v>
      </c>
      <c r="X18" s="12">
        <f>W18+預測IC!X18</f>
        <v>1.0712881104930692</v>
      </c>
      <c r="Y18" s="12">
        <f>X18+預測IC!Y18</f>
        <v>1.0954999676359263</v>
      </c>
      <c r="Z18" s="12">
        <f>Y18+預測IC!Z18</f>
        <v>1.0785943962073548</v>
      </c>
      <c r="AA18" s="12">
        <f>Z18+預測IC!AA18</f>
        <v>1.1333999676359261</v>
      </c>
      <c r="AB18" s="12">
        <f>AA18+預測IC!AB18</f>
        <v>1.0716859676359261</v>
      </c>
      <c r="AC18" s="12">
        <f>AB18+預測IC!AC18</f>
        <v>0.99696611049306894</v>
      </c>
      <c r="AD18" s="12">
        <f>AC18+預測IC!AD18</f>
        <v>1.093251967635926</v>
      </c>
      <c r="AE18" s="12">
        <f>AD18+預測IC!AE18</f>
        <v>1.1704529676359261</v>
      </c>
      <c r="AF18" s="12">
        <f>AE18+預測IC!AF18</f>
        <v>1.1687033962073547</v>
      </c>
      <c r="AG18" s="12">
        <f>AF18+預測IC!AG18</f>
        <v>1.1600855390644975</v>
      </c>
      <c r="AH18" s="12">
        <f>AG18+預測IC!AH18</f>
        <v>1.1198880780959828</v>
      </c>
      <c r="AI18" s="12">
        <f>AH18+預測IC!AI18</f>
        <v>1.2379745066674115</v>
      </c>
      <c r="AJ18" s="12">
        <f>AI18+預測IC!AJ18</f>
        <v>1.1905807505009625</v>
      </c>
      <c r="AK18" s="12">
        <f>AJ18+預測IC!AK18</f>
        <v>1.2207332310985886</v>
      </c>
      <c r="AL18" s="12">
        <f>AK18+預測IC!AL18</f>
        <v>1.2682609947308463</v>
      </c>
      <c r="AM18" s="12">
        <f>AL18+預測IC!AM18</f>
        <v>1.2781199947308464</v>
      </c>
      <c r="AN18" s="12">
        <f>AM18+預測IC!AN18</f>
        <v>1.3317815661594179</v>
      </c>
      <c r="AO18" s="12">
        <f>AN18+預測IC!AO18</f>
        <v>1.3372091011271108</v>
      </c>
      <c r="AP18" s="12">
        <f>AO18+預測IC!AP18</f>
        <v>1.339224815412825</v>
      </c>
      <c r="AQ18" s="12">
        <f>AP18+預測IC!AQ18</f>
        <v>1.3560129582699678</v>
      </c>
      <c r="AR18" s="12">
        <f>AQ18+預測IC!AR18</f>
        <v>1.4177073868413963</v>
      </c>
      <c r="AS18" s="12">
        <f>AR18+預測IC!AS18</f>
        <v>1.3723341011271106</v>
      </c>
      <c r="AT18" s="12">
        <f>AS18+預測IC!AT18</f>
        <v>1.4019876725556821</v>
      </c>
      <c r="AU18" s="12">
        <f>AT18+預測IC!AU18</f>
        <v>1.598647815412825</v>
      </c>
      <c r="AV18" s="12">
        <f>AU18+預測IC!AV18</f>
        <v>1.633705815412825</v>
      </c>
      <c r="AW18" s="12">
        <f>AV18+預測IC!AW18</f>
        <v>1.7757486725556821</v>
      </c>
      <c r="AX18" s="12">
        <f>AW18+預測IC!AX18</f>
        <v>1.8093529582699679</v>
      </c>
      <c r="AY18" s="12">
        <f>AX18+預測IC!AY18</f>
        <v>1.766575815412825</v>
      </c>
      <c r="AZ18" s="12">
        <f>AY18+預測IC!AZ18</f>
        <v>1.8329178154128249</v>
      </c>
      <c r="BA18" s="12">
        <f>AZ18+預測IC!BA18</f>
        <v>2.0133976725556821</v>
      </c>
      <c r="BB18" s="12">
        <f>BA18+預測IC!BB18</f>
        <v>2.1806549582699679</v>
      </c>
      <c r="BC18" s="12">
        <f>BB18+預測IC!BC18</f>
        <v>2.128201815412825</v>
      </c>
      <c r="BD18" s="12">
        <f>BC18+預測IC!BD18</f>
        <v>2.1484795296985393</v>
      </c>
      <c r="BE18" s="12">
        <f>BD18+預測IC!BE18</f>
        <v>2.2168407429367023</v>
      </c>
      <c r="BF18" s="12">
        <f>BE18+預測IC!BF18</f>
        <v>2.2627252792362813</v>
      </c>
      <c r="BG18" s="12">
        <f>BF18+預測IC!BG18</f>
        <v>2.26041670780771</v>
      </c>
      <c r="BH18" s="12">
        <f>BG18+預測IC!BH18</f>
        <v>2.1974809935219959</v>
      </c>
      <c r="BI18" s="12">
        <f>BH18+預測IC!BI18</f>
        <v>2.2309705649505673</v>
      </c>
      <c r="BJ18" s="12">
        <f>BI18+預測IC!BJ18</f>
        <v>2.3305032792362814</v>
      </c>
      <c r="BK18" s="12">
        <f>BJ18+預測IC!BK18</f>
        <v>2.4039594220934242</v>
      </c>
      <c r="BL18" s="12">
        <f>BK18+預測IC!BL18</f>
        <v>2.4851170959136284</v>
      </c>
      <c r="BM18" s="12">
        <f>BL18+預測IC!BM18</f>
        <v>2.5878910349770679</v>
      </c>
      <c r="BN18" s="12">
        <f>BM18+預測IC!BN18</f>
        <v>2.6661011778342107</v>
      </c>
      <c r="BO18" s="12">
        <f>BN18+預測IC!BO18</f>
        <v>2.6863286739405852</v>
      </c>
      <c r="BP18" s="12">
        <f>BO18+預測IC!BP18</f>
        <v>2.7331862142752672</v>
      </c>
      <c r="BQ18" s="12">
        <f>BP18+預測IC!BQ18</f>
        <v>2.7914739285609813</v>
      </c>
      <c r="BR18" s="12">
        <f>BQ18+預測IC!BR18</f>
        <v>2.817762214275267</v>
      </c>
      <c r="BS18" s="12">
        <f>BR18+預測IC!BS18</f>
        <v>2.8137785891781477</v>
      </c>
      <c r="BT18" s="12">
        <f>BS18+預測IC!BT18</f>
        <v>2.9290153372140342</v>
      </c>
      <c r="BU18" s="12">
        <f>BT18+預測IC!BU18</f>
        <v>2.8175531943568912</v>
      </c>
      <c r="BV18" s="12">
        <f>BU18+預測IC!BV18</f>
        <v>2.9330587657854625</v>
      </c>
      <c r="BW18" s="12">
        <f>BV18+預測IC!BW18</f>
        <v>3.1940980514997483</v>
      </c>
      <c r="BX18" s="12">
        <f>BW18+預測IC!BX18</f>
        <v>3.1782873372140341</v>
      </c>
      <c r="BY18" s="12">
        <f>BX18+預測IC!BY18</f>
        <v>3.1155989086426055</v>
      </c>
      <c r="BZ18" s="12">
        <f>BY18+預測IC!BZ18</f>
        <v>3.2254140514997482</v>
      </c>
      <c r="CA18" s="12">
        <f>BZ18+預測IC!CA18</f>
        <v>3.2586999086426052</v>
      </c>
      <c r="CB18" s="12">
        <f>CA18+預測IC!CB18</f>
        <v>3.3655461943568907</v>
      </c>
      <c r="CC18" s="12">
        <f>CB18+預測IC!CC18</f>
        <v>3.4702059086426051</v>
      </c>
      <c r="CD18" s="12">
        <f>CC18+預測IC!CD18</f>
        <v>3.520650908642605</v>
      </c>
      <c r="CE18" s="12">
        <f>CD18+預測IC!CE18</f>
        <v>3.6985772649514823</v>
      </c>
      <c r="CF18" s="12">
        <f>CE18+預測IC!CF18</f>
        <v>3.626759673251108</v>
      </c>
      <c r="CG18" s="12">
        <f>CF18+預測IC!CG18</f>
        <v>3.8534018161082511</v>
      </c>
      <c r="CH18" s="12">
        <f>CG18+預測IC!CH18</f>
        <v>3.8279612446796798</v>
      </c>
      <c r="CI18" s="12">
        <f>CH18+預測IC!CI18</f>
        <v>3.7102376732511084</v>
      </c>
      <c r="CJ18" s="12">
        <f>CI18+預測IC!CJ18</f>
        <v>3.7389223875368227</v>
      </c>
      <c r="CK18" s="12">
        <f>CJ18+預測IC!CK18</f>
        <v>3.8121435303939655</v>
      </c>
      <c r="CL18" s="12">
        <f>CK18+預測IC!CL18</f>
        <v>3.8431330754521587</v>
      </c>
      <c r="CM18" s="12">
        <f>CL18+預測IC!CM18</f>
        <v>3.699484532287765</v>
      </c>
      <c r="CN18" s="12">
        <f>CM18+預測IC!CN18</f>
        <v>3.6708676751449079</v>
      </c>
      <c r="CO18" s="12">
        <f>CN18+預測IC!CO18</f>
        <v>3.9024415536943371</v>
      </c>
      <c r="CP18" s="12">
        <f>CO18+預測IC!CP18</f>
        <v>3.8869434108371941</v>
      </c>
      <c r="CQ18" s="12">
        <f>CP18+預測IC!CQ18</f>
        <v>4.0966861251229085</v>
      </c>
      <c r="CR18" s="12">
        <f>CQ18+預測IC!CR18</f>
        <v>4.0415299964063163</v>
      </c>
      <c r="CS18" s="12">
        <f>CR18+預測IC!CS18</f>
        <v>3.9635027496743449</v>
      </c>
      <c r="CT18" s="12">
        <f>CS18+預測IC!CT18</f>
        <v>4.0403736068172016</v>
      </c>
      <c r="CU18" s="12">
        <f>CT18+預測IC!CU18</f>
        <v>4.1120222980223113</v>
      </c>
      <c r="CV18" s="12">
        <f>CU18+預測IC!CV18</f>
        <v>4.0209820157920229</v>
      </c>
      <c r="CW18" s="12">
        <f>CV18+預測IC!CW18</f>
        <v>4.0294381013565488</v>
      </c>
      <c r="CX18" s="12">
        <f>CW18+預測IC!CX18</f>
        <v>3.9678779155227706</v>
      </c>
      <c r="CY18" s="12">
        <f>CX18+預測IC!CY18</f>
        <v>4.0393100583799137</v>
      </c>
      <c r="CZ18" s="12">
        <f>CY18+預測IC!CZ18</f>
        <v>4.2437224869513424</v>
      </c>
      <c r="DA18" s="12">
        <f>CZ18+預測IC!DA18</f>
        <v>4.2911034264700358</v>
      </c>
      <c r="DB18" s="12">
        <f>DA18+預測IC!DB18</f>
        <v>4.4092174264700361</v>
      </c>
      <c r="DC18" s="12">
        <f>DB18+預測IC!DC18</f>
        <v>4.4584259978986074</v>
      </c>
      <c r="DD18" s="12">
        <f>DC18+預測IC!DD18</f>
        <v>4.3873547121843215</v>
      </c>
      <c r="DE18" s="12">
        <f>DD18+預測IC!DE18</f>
        <v>4.3480479978986075</v>
      </c>
      <c r="DF18" s="12">
        <f>DE18+預測IC!DF18</f>
        <v>4.7147415693271792</v>
      </c>
      <c r="DG18" s="12">
        <f>DF18+預測IC!DG18</f>
        <v>4.6599708550414647</v>
      </c>
      <c r="DH18" s="12">
        <f>DG18+預測IC!DH18</f>
        <v>4.8523734264700362</v>
      </c>
      <c r="DI18" s="12">
        <f>DH18+預測IC!DI18</f>
        <v>4.9503362836128932</v>
      </c>
      <c r="DJ18" s="12">
        <f>DI18+預測IC!DJ18</f>
        <v>5.0009912836128931</v>
      </c>
      <c r="DK18" s="12">
        <f>DJ18+預測IC!DK18</f>
        <v>4.8944654264700365</v>
      </c>
      <c r="DL18" s="12">
        <f>DK18+預測IC!DL18</f>
        <v>4.8710558550414653</v>
      </c>
      <c r="DM18" s="12">
        <f>DL18+預測IC!DM18</f>
        <v>4.92951256932718</v>
      </c>
      <c r="DN18" s="12">
        <f>DM18+預測IC!DN18</f>
        <v>4.9127905052491583</v>
      </c>
      <c r="DO18" s="12">
        <f>DN18+預測IC!DO18</f>
        <v>5.1331100766777293</v>
      </c>
      <c r="DP18" s="12">
        <f>DO18+預測IC!DP18</f>
        <v>5.1125053902108633</v>
      </c>
      <c r="DQ18" s="12">
        <f>DP18+預測IC!DQ18</f>
        <v>5.0505506759251491</v>
      </c>
      <c r="DR18" s="12">
        <f>DQ18+預測IC!DR18</f>
        <v>5.0400989616394352</v>
      </c>
      <c r="DS18" s="12">
        <f>DR18+預測IC!DS18</f>
        <v>4.8923769631877025</v>
      </c>
      <c r="DT18" s="12">
        <f>DS18+預測IC!DT18</f>
        <v>4.8849692489019887</v>
      </c>
      <c r="DU18" s="12">
        <f>DT18+預測IC!DU18</f>
        <v>4.7262538203305597</v>
      </c>
      <c r="DV18" s="12">
        <f>DU18+預測IC!DV18</f>
        <v>4.8116596774734166</v>
      </c>
      <c r="DW18" s="12">
        <f>DV18+預測IC!DW18</f>
        <v>4.8935683697577899</v>
      </c>
      <c r="DX18" s="12">
        <f>DW18+預測IC!DX18</f>
        <v>4.9553520840435041</v>
      </c>
      <c r="DY18" s="12">
        <f>DX18+預測IC!DY18</f>
        <v>5.0921843697577902</v>
      </c>
      <c r="DZ18" s="12">
        <f>DY18+預測IC!DZ18</f>
        <v>5.1677007290541557</v>
      </c>
      <c r="EA18" s="12">
        <f>DZ18+預測IC!EA18</f>
        <v>5.3666480147684412</v>
      </c>
      <c r="EB18" s="12">
        <f>EA18+預測IC!EB18</f>
        <v>5.2696030147684416</v>
      </c>
      <c r="EC18" s="12">
        <f>EB18+預測IC!EC18</f>
        <v>5.2723671301938131</v>
      </c>
      <c r="ED18" s="12">
        <f>EC18+預測IC!ED18</f>
        <v>5.3828451520595788</v>
      </c>
      <c r="EE18" s="12">
        <f>ED18+預測IC!EE18</f>
        <v>5.3966989060340858</v>
      </c>
      <c r="EF18" s="12">
        <f>EE18+預測IC!EF18</f>
        <v>5.3477438889236693</v>
      </c>
    </row>
    <row r="19" spans="1:136">
      <c r="A19" s="2">
        <v>160</v>
      </c>
      <c r="B19" s="2">
        <v>6</v>
      </c>
      <c r="C19" s="12">
        <v>7.7959416087486216E-2</v>
      </c>
      <c r="D19" s="12">
        <f>C19+預測IC!D19</f>
        <v>9.813021554168197E-2</v>
      </c>
      <c r="E19" s="12">
        <f>D19+預測IC!E19</f>
        <v>0.16394271554168197</v>
      </c>
      <c r="F19" s="12">
        <f>E19+預測IC!F19</f>
        <v>0.20258939742792603</v>
      </c>
      <c r="G19" s="12">
        <f>F19+預測IC!G19</f>
        <v>0.30010148798952618</v>
      </c>
      <c r="H19" s="12">
        <f>G19+預測IC!H19</f>
        <v>0.47771165465619292</v>
      </c>
      <c r="I19" s="12">
        <f>H19+預測IC!I19</f>
        <v>0.34305732176472642</v>
      </c>
      <c r="J19" s="12">
        <f>I19+預測IC!J19</f>
        <v>0.18682815509805972</v>
      </c>
      <c r="K19" s="12">
        <f>J19+預測IC!K19</f>
        <v>0.605166006067694</v>
      </c>
      <c r="L19" s="12">
        <f>K19+預測IC!L19</f>
        <v>0.56211704843252797</v>
      </c>
      <c r="M19" s="12">
        <f>L19+預測IC!M19</f>
        <v>0.30057538176586129</v>
      </c>
      <c r="N19" s="12">
        <f>M19+預測IC!N19</f>
        <v>0.20522749607588039</v>
      </c>
      <c r="O19" s="12">
        <f>N19+預測IC!O19</f>
        <v>0.18543049607588039</v>
      </c>
      <c r="P19" s="12">
        <f>O19+預測IC!P19</f>
        <v>0.20821582940921371</v>
      </c>
      <c r="Q19" s="12">
        <f>P19+預測IC!Q19</f>
        <v>0.37868016274254701</v>
      </c>
      <c r="R19" s="12">
        <f>Q19+預測IC!R19</f>
        <v>0.46897925337340329</v>
      </c>
      <c r="S19" s="12">
        <f>R19+預測IC!S19</f>
        <v>0.6531393700710113</v>
      </c>
      <c r="T19" s="12">
        <f>S19+預測IC!T19</f>
        <v>0.54361253673767806</v>
      </c>
      <c r="U19" s="12">
        <f>T19+預測IC!U19</f>
        <v>0.67931087536960133</v>
      </c>
      <c r="V19" s="12">
        <f>U19+預測IC!V19</f>
        <v>0.56062737536960139</v>
      </c>
      <c r="W19" s="12">
        <f>V19+預測IC!W19</f>
        <v>0.7072483660871115</v>
      </c>
      <c r="X19" s="12">
        <f>W19+預測IC!X19</f>
        <v>0.82388741135120491</v>
      </c>
      <c r="Y19" s="12">
        <f>X19+預測IC!Y19</f>
        <v>0.84794957801787163</v>
      </c>
      <c r="Z19" s="12">
        <f>Y19+預測IC!Z19</f>
        <v>0.82572657801787164</v>
      </c>
      <c r="AA19" s="12">
        <f>Z19+預測IC!AA19</f>
        <v>0.87302824468453832</v>
      </c>
      <c r="AB19" s="12">
        <f>AA19+預測IC!AB19</f>
        <v>0.81226574468453827</v>
      </c>
      <c r="AC19" s="12">
        <f>AB19+預測IC!AC19</f>
        <v>0.7287529113512049</v>
      </c>
      <c r="AD19" s="12">
        <f>AC19+預測IC!AD19</f>
        <v>0.82474574468453821</v>
      </c>
      <c r="AE19" s="12">
        <f>AD19+預測IC!AE19</f>
        <v>0.93997691135120487</v>
      </c>
      <c r="AF19" s="12">
        <f>AE19+預測IC!AF19</f>
        <v>0.94024074468453822</v>
      </c>
      <c r="AG19" s="12">
        <f>AF19+預測IC!AG19</f>
        <v>0.95953924468453822</v>
      </c>
      <c r="AH19" s="12">
        <f>AG19+預測IC!AH19</f>
        <v>0.90298152946283472</v>
      </c>
      <c r="AI19" s="12">
        <f>AH19+預測IC!AI19</f>
        <v>0.99453086279616809</v>
      </c>
      <c r="AJ19" s="12">
        <f>AI19+預測IC!AJ19</f>
        <v>0.9429855724689058</v>
      </c>
      <c r="AK19" s="12">
        <f>AJ19+預測IC!AK19</f>
        <v>0.95053761497485856</v>
      </c>
      <c r="AL19" s="12">
        <f>AK19+預測IC!AL19</f>
        <v>1.0208085606456641</v>
      </c>
      <c r="AM19" s="12">
        <f>AL19+預測IC!AM19</f>
        <v>1.0313410606456641</v>
      </c>
      <c r="AN19" s="12">
        <f>AM19+預測IC!AN19</f>
        <v>1.0934523939789975</v>
      </c>
      <c r="AO19" s="12">
        <f>AN19+預測IC!AO19</f>
        <v>1.119345297024412</v>
      </c>
      <c r="AP19" s="12">
        <f>AO19+預測IC!AP19</f>
        <v>1.1290582970244121</v>
      </c>
      <c r="AQ19" s="12">
        <f>AP19+預測IC!AQ19</f>
        <v>1.1839861303577455</v>
      </c>
      <c r="AR19" s="12">
        <f>AQ19+預測IC!AR19</f>
        <v>1.2586029636910787</v>
      </c>
      <c r="AS19" s="12">
        <f>AR19+預測IC!AS19</f>
        <v>1.2549159636910787</v>
      </c>
      <c r="AT19" s="12">
        <f>AS19+預測IC!AT19</f>
        <v>1.2660996303577454</v>
      </c>
      <c r="AU19" s="12">
        <f>AT19+預測IC!AU19</f>
        <v>1.5049447970244121</v>
      </c>
      <c r="AV19" s="12">
        <f>AU19+預測IC!AV19</f>
        <v>1.5476224636910787</v>
      </c>
      <c r="AW19" s="12">
        <f>AV19+預測IC!AW19</f>
        <v>1.672485297024412</v>
      </c>
      <c r="AX19" s="12">
        <f>AW19+預測IC!AX19</f>
        <v>1.736550297024412</v>
      </c>
      <c r="AY19" s="12">
        <f>AX19+預測IC!AY19</f>
        <v>1.6756976303577453</v>
      </c>
      <c r="AZ19" s="12">
        <f>AY19+預測IC!AZ19</f>
        <v>1.7597299636910786</v>
      </c>
      <c r="BA19" s="12">
        <f>AZ19+預測IC!BA19</f>
        <v>1.9467269636910787</v>
      </c>
      <c r="BB19" s="12">
        <f>BA19+預測IC!BB19</f>
        <v>2.148528797024412</v>
      </c>
      <c r="BC19" s="12">
        <f>BB19+預測IC!BC19</f>
        <v>2.0874572970244119</v>
      </c>
      <c r="BD19" s="12">
        <f>BC19+預測IC!BD19</f>
        <v>2.0873864636910784</v>
      </c>
      <c r="BE19" s="12">
        <f>BD19+預測IC!BE19</f>
        <v>2.138518337654745</v>
      </c>
      <c r="BF19" s="12">
        <f>BE19+預測IC!BF19</f>
        <v>2.1520893118038837</v>
      </c>
      <c r="BG19" s="12">
        <f>BF19+預測IC!BG19</f>
        <v>2.1530526451372172</v>
      </c>
      <c r="BH19" s="12">
        <f>BG19+預測IC!BH19</f>
        <v>2.095917645137217</v>
      </c>
      <c r="BI19" s="12">
        <f>BH19+預測IC!BI19</f>
        <v>2.1218561451372171</v>
      </c>
      <c r="BJ19" s="12">
        <f>BI19+預測IC!BJ19</f>
        <v>2.1736763118038835</v>
      </c>
      <c r="BK19" s="12">
        <f>BJ19+預測IC!BK19</f>
        <v>2.270715145137217</v>
      </c>
      <c r="BL19" s="12">
        <f>BK19+預測IC!BL19</f>
        <v>2.3506798032837199</v>
      </c>
      <c r="BM19" s="12">
        <f>BL19+預測IC!BM19</f>
        <v>2.4649304035424158</v>
      </c>
      <c r="BN19" s="12">
        <f>BM19+預測IC!BN19</f>
        <v>2.5463455702090823</v>
      </c>
      <c r="BO19" s="12">
        <f>BN19+預測IC!BO19</f>
        <v>2.5720745314741977</v>
      </c>
      <c r="BP19" s="12">
        <f>BO19+預測IC!BP19</f>
        <v>2.6348933390083298</v>
      </c>
      <c r="BQ19" s="12">
        <f>BP19+預測IC!BQ19</f>
        <v>2.61388783900833</v>
      </c>
      <c r="BR19" s="12">
        <f>BQ19+預測IC!BR19</f>
        <v>2.6379500056749965</v>
      </c>
      <c r="BS19" s="12">
        <f>BR19+預測IC!BS19</f>
        <v>2.6136936669305144</v>
      </c>
      <c r="BT19" s="12">
        <f>BS19+預測IC!BT19</f>
        <v>2.7553263467840878</v>
      </c>
      <c r="BU19" s="12">
        <f>BT19+預測IC!BU19</f>
        <v>2.6246555134507545</v>
      </c>
      <c r="BV19" s="12">
        <f>BU19+預測IC!BV19</f>
        <v>2.7247408467840879</v>
      </c>
      <c r="BW19" s="12">
        <f>BV19+預測IC!BW19</f>
        <v>3.0207166801174212</v>
      </c>
      <c r="BX19" s="12">
        <f>BW19+預測IC!BX19</f>
        <v>2.9843195134507545</v>
      </c>
      <c r="BY19" s="12">
        <f>BX19+預測IC!BY19</f>
        <v>2.956641346784088</v>
      </c>
      <c r="BZ19" s="12">
        <f>BY19+預測IC!BZ19</f>
        <v>3.1013840134507547</v>
      </c>
      <c r="CA19" s="12">
        <f>BZ19+預測IC!CA19</f>
        <v>3.1369941801174215</v>
      </c>
      <c r="CB19" s="12">
        <f>CA19+預測IC!CB19</f>
        <v>3.2648326801174217</v>
      </c>
      <c r="CC19" s="12">
        <f>CB19+預測IC!CC19</f>
        <v>3.2873383467840882</v>
      </c>
      <c r="CD19" s="12">
        <f>CC19+預測IC!CD19</f>
        <v>3.3750025134507551</v>
      </c>
      <c r="CE19" s="12">
        <f>CD19+預測IC!CE19</f>
        <v>3.5732683426277143</v>
      </c>
      <c r="CF19" s="12">
        <f>CE19+預測IC!CF19</f>
        <v>3.493363945421665</v>
      </c>
      <c r="CG19" s="12">
        <f>CF19+預測IC!CG19</f>
        <v>3.757257945421665</v>
      </c>
      <c r="CH19" s="12">
        <f>CG19+預測IC!CH19</f>
        <v>3.7496981120883319</v>
      </c>
      <c r="CI19" s="12">
        <f>CH19+預測IC!CI19</f>
        <v>3.5844974454216652</v>
      </c>
      <c r="CJ19" s="12">
        <f>CI19+預測IC!CJ19</f>
        <v>3.5834589454216652</v>
      </c>
      <c r="CK19" s="12">
        <f>CJ19+預測IC!CK19</f>
        <v>3.6580452787549986</v>
      </c>
      <c r="CL19" s="12">
        <f>CK19+預測IC!CL19</f>
        <v>3.7012855587297886</v>
      </c>
      <c r="CM19" s="12">
        <f>CL19+預測IC!CM19</f>
        <v>3.5259379171480738</v>
      </c>
      <c r="CN19" s="12">
        <f>CM19+預測IC!CN19</f>
        <v>3.5099947504814071</v>
      </c>
      <c r="CO19" s="12">
        <f>CN19+預測IC!CO19</f>
        <v>3.7824491551099135</v>
      </c>
      <c r="CP19" s="12">
        <f>CO19+預測IC!CP19</f>
        <v>3.7534121551099133</v>
      </c>
      <c r="CQ19" s="12">
        <f>CP19+預測IC!CQ19</f>
        <v>3.9754271551099132</v>
      </c>
      <c r="CR19" s="12">
        <f>CQ19+預測IC!CR19</f>
        <v>3.9257329655575104</v>
      </c>
      <c r="CS19" s="12">
        <f>CR19+預測IC!CS19</f>
        <v>3.8650321146589723</v>
      </c>
      <c r="CT19" s="12">
        <f>CS19+預測IC!CT19</f>
        <v>3.8914541146589725</v>
      </c>
      <c r="CU19" s="12">
        <f>CT19+預測IC!CU19</f>
        <v>3.9748905117728657</v>
      </c>
      <c r="CV19" s="12">
        <f>CU19+預測IC!CV19</f>
        <v>3.8729106502564621</v>
      </c>
      <c r="CW19" s="12">
        <f>CV19+預測IC!CW19</f>
        <v>3.8948124580383605</v>
      </c>
      <c r="CX19" s="12">
        <f>CW19+預測IC!CX19</f>
        <v>3.8371777316701756</v>
      </c>
      <c r="CY19" s="12">
        <f>CX19+預測IC!CY19</f>
        <v>3.9103285650035091</v>
      </c>
      <c r="CZ19" s="12">
        <f>CY19+預測IC!CZ19</f>
        <v>4.0683430650035088</v>
      </c>
      <c r="DA19" s="12">
        <f>CZ19+預測IC!DA19</f>
        <v>4.1265669417067459</v>
      </c>
      <c r="DB19" s="12">
        <f>DA19+預測IC!DB19</f>
        <v>4.2745279417067454</v>
      </c>
      <c r="DC19" s="12">
        <f>DB19+預測IC!DC19</f>
        <v>4.3048046083734119</v>
      </c>
      <c r="DD19" s="12">
        <f>DC19+預測IC!DD19</f>
        <v>4.2412572750400788</v>
      </c>
      <c r="DE19" s="12">
        <f>DD19+預測IC!DE19</f>
        <v>4.2352517750400791</v>
      </c>
      <c r="DF19" s="12">
        <f>DE19+預測IC!DF19</f>
        <v>4.4407546083734122</v>
      </c>
      <c r="DG19" s="12">
        <f>DF19+預測IC!DG19</f>
        <v>4.374380108373412</v>
      </c>
      <c r="DH19" s="12">
        <f>DG19+預測IC!DH19</f>
        <v>4.5989714417067455</v>
      </c>
      <c r="DI19" s="12">
        <f>DH19+預測IC!DI19</f>
        <v>4.7074331083734124</v>
      </c>
      <c r="DJ19" s="12">
        <f>DI19+預測IC!DJ19</f>
        <v>4.7879334417067456</v>
      </c>
      <c r="DK19" s="12">
        <f>DJ19+預測IC!DK19</f>
        <v>4.6664927750400791</v>
      </c>
      <c r="DL19" s="12">
        <f>DK19+預測IC!DL19</f>
        <v>4.6431799417067454</v>
      </c>
      <c r="DM19" s="12">
        <f>DL19+預測IC!DM19</f>
        <v>4.7004797750400789</v>
      </c>
      <c r="DN19" s="12">
        <f>DM19+預測IC!DN19</f>
        <v>4.7029548981377172</v>
      </c>
      <c r="DO19" s="12">
        <f>DN19+預測IC!DO19</f>
        <v>4.952216064804384</v>
      </c>
      <c r="DP19" s="12">
        <f>DO19+預測IC!DP19</f>
        <v>4.9800540792873775</v>
      </c>
      <c r="DQ19" s="12">
        <f>DP19+預測IC!DQ19</f>
        <v>4.9294315792873773</v>
      </c>
      <c r="DR19" s="12">
        <f>DQ19+預測IC!DR19</f>
        <v>4.9118862459540438</v>
      </c>
      <c r="DS19" s="12">
        <f>DR19+預測IC!DS19</f>
        <v>4.7338906990000735</v>
      </c>
      <c r="DT19" s="12">
        <f>DS19+預測IC!DT19</f>
        <v>4.7308141990000738</v>
      </c>
      <c r="DU19" s="12">
        <f>DT19+預測IC!DU19</f>
        <v>4.5802316990000742</v>
      </c>
      <c r="DV19" s="12">
        <f>DU19+預測IC!DV19</f>
        <v>4.6183588656667407</v>
      </c>
      <c r="DW19" s="12">
        <f>DV19+預測IC!DW19</f>
        <v>4.6789680050074249</v>
      </c>
      <c r="DX19" s="12">
        <f>DW19+預測IC!DX19</f>
        <v>4.7872325050074247</v>
      </c>
      <c r="DY19" s="12">
        <f>DX19+預測IC!DY19</f>
        <v>4.926480505007425</v>
      </c>
      <c r="DZ19" s="12">
        <f>DY19+預測IC!DZ19</f>
        <v>5.038401333871418</v>
      </c>
      <c r="EA19" s="12">
        <f>DZ19+預測IC!EA19</f>
        <v>5.2714490005380847</v>
      </c>
      <c r="EB19" s="12">
        <f>EA19+預測IC!EB19</f>
        <v>5.1652005005380843</v>
      </c>
      <c r="EC19" s="12">
        <f>EB19+預測IC!EC19</f>
        <v>5.153010457314382</v>
      </c>
      <c r="ED19" s="12">
        <f>EC19+預測IC!ED19</f>
        <v>5.3039457743045393</v>
      </c>
      <c r="EE19" s="12">
        <f>ED19+預測IC!EE19</f>
        <v>5.2913117313641171</v>
      </c>
      <c r="EF19" s="12">
        <f>EE19+預測IC!EF19</f>
        <v>5.2743337764893479</v>
      </c>
    </row>
    <row r="20" spans="1:136">
      <c r="A20" s="2">
        <v>192</v>
      </c>
      <c r="B20" s="2">
        <v>5</v>
      </c>
      <c r="C20" s="12">
        <v>0.13932460396499161</v>
      </c>
      <c r="D20" s="12">
        <f>C20+預測IC!D20</f>
        <v>0.13897288570124605</v>
      </c>
      <c r="E20" s="12">
        <f>D20+預測IC!E20</f>
        <v>0.19630808570124605</v>
      </c>
      <c r="F20" s="12">
        <f>E20+預測IC!F20</f>
        <v>0.28752650787329204</v>
      </c>
      <c r="G20" s="12">
        <f>F20+預測IC!G20</f>
        <v>0.38789241979215594</v>
      </c>
      <c r="H20" s="12">
        <f>G20+預測IC!H20</f>
        <v>0.53182461979215589</v>
      </c>
      <c r="I20" s="12">
        <f>H20+預測IC!I20</f>
        <v>0.37367505719105421</v>
      </c>
      <c r="J20" s="12">
        <f>I20+預測IC!J20</f>
        <v>0.24046885719105421</v>
      </c>
      <c r="K20" s="12">
        <f>J20+預測IC!K20</f>
        <v>0.3305775113137282</v>
      </c>
      <c r="L20" s="12">
        <f>K20+預測IC!L20</f>
        <v>0.23486887580919247</v>
      </c>
      <c r="M20" s="12">
        <f>L20+預測IC!M20</f>
        <v>-3.3825124190807521E-2</v>
      </c>
      <c r="N20" s="12">
        <f>M20+預測IC!N20</f>
        <v>-0.13575005323644743</v>
      </c>
      <c r="O20" s="12">
        <f>N20+預測IC!O20</f>
        <v>-0.24586385323644744</v>
      </c>
      <c r="P20" s="12">
        <f>O20+預測IC!P20</f>
        <v>-0.20583485323644743</v>
      </c>
      <c r="Q20" s="12">
        <f>P20+預測IC!Q20</f>
        <v>1.8991746763552558E-2</v>
      </c>
      <c r="R20" s="12">
        <f>Q20+預測IC!R20</f>
        <v>0.12824480240102137</v>
      </c>
      <c r="S20" s="12">
        <f>R20+預測IC!S20</f>
        <v>0.28342742072876398</v>
      </c>
      <c r="T20" s="12">
        <f>S20+預測IC!T20</f>
        <v>0.18258162072876399</v>
      </c>
      <c r="U20" s="12">
        <f>T20+預測IC!U20</f>
        <v>0.3312313008465389</v>
      </c>
      <c r="V20" s="12">
        <f>U20+預測IC!V20</f>
        <v>0.1949431008465389</v>
      </c>
      <c r="W20" s="12">
        <f>V20+預測IC!W20</f>
        <v>0.36802847702411978</v>
      </c>
      <c r="X20" s="12">
        <f>W20+預測IC!X20</f>
        <v>0.51672567828125338</v>
      </c>
      <c r="Y20" s="12">
        <f>X20+預測IC!Y20</f>
        <v>0.51186767828125335</v>
      </c>
      <c r="Z20" s="12">
        <f>Y20+預測IC!Z20</f>
        <v>0.54102607828125338</v>
      </c>
      <c r="AA20" s="12">
        <f>Z20+預測IC!AA20</f>
        <v>0.6079900782812534</v>
      </c>
      <c r="AB20" s="12">
        <f>AA20+預測IC!AB20</f>
        <v>0.54756707828125339</v>
      </c>
      <c r="AC20" s="12">
        <f>AB20+預測IC!AC20</f>
        <v>0.45125887828125338</v>
      </c>
      <c r="AD20" s="12">
        <f>AC20+預測IC!AD20</f>
        <v>0.58110147828125336</v>
      </c>
      <c r="AE20" s="12">
        <f>AD20+預測IC!AE20</f>
        <v>0.59841167828125341</v>
      </c>
      <c r="AF20" s="12">
        <f>AE20+預測IC!AF20</f>
        <v>0.59194407828125339</v>
      </c>
      <c r="AG20" s="12">
        <f>AF20+預測IC!AG20</f>
        <v>0.58570447828125338</v>
      </c>
      <c r="AH20" s="12">
        <f>AG20+預測IC!AH20</f>
        <v>0.49552627756647072</v>
      </c>
      <c r="AI20" s="12">
        <f>AH20+預測IC!AI20</f>
        <v>0.61186347756647075</v>
      </c>
      <c r="AJ20" s="12">
        <f>AI20+預測IC!AJ20</f>
        <v>0.54987344301892316</v>
      </c>
      <c r="AK20" s="12">
        <f>AJ20+預測IC!AK20</f>
        <v>0.53627832752292026</v>
      </c>
      <c r="AL20" s="12">
        <f>AK20+預測IC!AL20</f>
        <v>0.60917177955989721</v>
      </c>
      <c r="AM20" s="12">
        <f>AL20+預測IC!AM20</f>
        <v>0.64191037955989716</v>
      </c>
      <c r="AN20" s="12">
        <f>AM20+預測IC!AN20</f>
        <v>0.60899357955989719</v>
      </c>
      <c r="AO20" s="12">
        <f>AN20+預測IC!AO20</f>
        <v>0.65427866152458558</v>
      </c>
      <c r="AP20" s="12">
        <f>AO20+預測IC!AP20</f>
        <v>0.66688426152458558</v>
      </c>
      <c r="AQ20" s="12">
        <f>AP20+預測IC!AQ20</f>
        <v>0.59398566152458554</v>
      </c>
      <c r="AR20" s="12">
        <f>AQ20+預測IC!AR20</f>
        <v>0.60727486152458554</v>
      </c>
      <c r="AS20" s="12">
        <f>AR20+預測IC!AS20</f>
        <v>0.59013206152458553</v>
      </c>
      <c r="AT20" s="12">
        <f>AS20+預測IC!AT20</f>
        <v>0.58728146152458549</v>
      </c>
      <c r="AU20" s="12">
        <f>AT20+預測IC!AU20</f>
        <v>0.86898046152458552</v>
      </c>
      <c r="AV20" s="12">
        <f>AU20+預測IC!AV20</f>
        <v>0.94045486152458557</v>
      </c>
      <c r="AW20" s="12">
        <f>AV20+預測IC!AW20</f>
        <v>1.0867668615245856</v>
      </c>
      <c r="AX20" s="12">
        <f>AW20+預測IC!AX20</f>
        <v>1.1726556615245856</v>
      </c>
      <c r="AY20" s="12">
        <f>AX20+預測IC!AY20</f>
        <v>1.1103698615245856</v>
      </c>
      <c r="AZ20" s="12">
        <f>AY20+預測IC!AZ20</f>
        <v>1.2101740615245855</v>
      </c>
      <c r="BA20" s="12">
        <f>AZ20+預測IC!BA20</f>
        <v>1.3615120615245855</v>
      </c>
      <c r="BB20" s="12">
        <f>BA20+預測IC!BB20</f>
        <v>1.5927254615245854</v>
      </c>
      <c r="BC20" s="12">
        <f>BB20+預測IC!BC20</f>
        <v>1.5228404615245854</v>
      </c>
      <c r="BD20" s="12">
        <f>BC20+預測IC!BD20</f>
        <v>1.5312040615245854</v>
      </c>
      <c r="BE20" s="12">
        <f>BD20+預測IC!BE20</f>
        <v>1.5252572643853251</v>
      </c>
      <c r="BF20" s="12">
        <f>BE20+預測IC!BF20</f>
        <v>1.5309458467166537</v>
      </c>
      <c r="BG20" s="12">
        <f>BF20+預測IC!BG20</f>
        <v>1.4792188467166536</v>
      </c>
      <c r="BH20" s="12">
        <f>BG20+預測IC!BH20</f>
        <v>1.4273188467166535</v>
      </c>
      <c r="BI20" s="12">
        <f>BH20+預測IC!BI20</f>
        <v>1.4504924467166536</v>
      </c>
      <c r="BJ20" s="12">
        <f>BI20+預測IC!BJ20</f>
        <v>1.5056502467166535</v>
      </c>
      <c r="BK20" s="12">
        <f>BJ20+預測IC!BK20</f>
        <v>1.6233012467166534</v>
      </c>
      <c r="BL20" s="12">
        <f>BK20+預測IC!BL20</f>
        <v>1.7095934778931081</v>
      </c>
      <c r="BM20" s="12">
        <f>BL20+預測IC!BM20</f>
        <v>1.8465111392215463</v>
      </c>
      <c r="BN20" s="12">
        <f>BM20+預測IC!BN20</f>
        <v>1.8278751392215462</v>
      </c>
      <c r="BO20" s="12">
        <f>BN20+預測IC!BO20</f>
        <v>1.7894134217055671</v>
      </c>
      <c r="BP20" s="12">
        <f>BO20+預測IC!BP20</f>
        <v>1.8498209424685221</v>
      </c>
      <c r="BQ20" s="12">
        <f>BP20+預測IC!BQ20</f>
        <v>1.837358342468522</v>
      </c>
      <c r="BR20" s="12">
        <f>BQ20+預測IC!BR20</f>
        <v>1.8555489424685221</v>
      </c>
      <c r="BS20" s="12">
        <f>BR20+預測IC!BS20</f>
        <v>1.8609564486597132</v>
      </c>
      <c r="BT20" s="12">
        <f>BS20+預測IC!BT20</f>
        <v>2.0087594818383603</v>
      </c>
      <c r="BU20" s="12">
        <f>BT20+預測IC!BU20</f>
        <v>1.8593184818383603</v>
      </c>
      <c r="BV20" s="12">
        <f>BU20+預測IC!BV20</f>
        <v>1.9930282818383604</v>
      </c>
      <c r="BW20" s="12">
        <f>BV20+預測IC!BW20</f>
        <v>2.3350704818383603</v>
      </c>
      <c r="BX20" s="12">
        <f>BW20+預測IC!BX20</f>
        <v>2.2822118818383603</v>
      </c>
      <c r="BY20" s="12">
        <f>BX20+預測IC!BY20</f>
        <v>2.2390240818383602</v>
      </c>
      <c r="BZ20" s="12">
        <f>BY20+預測IC!BZ20</f>
        <v>2.42374988183836</v>
      </c>
      <c r="CA20" s="12">
        <f>BZ20+預測IC!CA20</f>
        <v>2.47396608183836</v>
      </c>
      <c r="CB20" s="12">
        <f>CA20+預測IC!CB20</f>
        <v>2.60046148183836</v>
      </c>
      <c r="CC20" s="12">
        <f>CB20+預測IC!CC20</f>
        <v>2.6133762818383599</v>
      </c>
      <c r="CD20" s="12">
        <f>CC20+預測IC!CD20</f>
        <v>2.7094398818383598</v>
      </c>
      <c r="CE20" s="12">
        <f>CD20+預測IC!CE20</f>
        <v>2.9534036773080929</v>
      </c>
      <c r="CF20" s="12">
        <f>CE20+預測IC!CF20</f>
        <v>2.8724457401094163</v>
      </c>
      <c r="CG20" s="12">
        <f>CF20+預測IC!CG20</f>
        <v>3.1943851401094161</v>
      </c>
      <c r="CH20" s="12">
        <f>CG20+預測IC!CH20</f>
        <v>3.2435789401094159</v>
      </c>
      <c r="CI20" s="12">
        <f>CH20+預測IC!CI20</f>
        <v>3.1120951401094161</v>
      </c>
      <c r="CJ20" s="12">
        <f>CI20+預測IC!CJ20</f>
        <v>3.0997719401094161</v>
      </c>
      <c r="CK20" s="12">
        <f>CJ20+預測IC!CK20</f>
        <v>3.1620491401094162</v>
      </c>
      <c r="CL20" s="12">
        <f>CK20+預測IC!CL20</f>
        <v>3.2542340742985454</v>
      </c>
      <c r="CM20" s="12">
        <f>CL20+預測IC!CM20</f>
        <v>3.0651829091279246</v>
      </c>
      <c r="CN20" s="12">
        <f>CM20+預測IC!CN20</f>
        <v>3.0458355091279246</v>
      </c>
      <c r="CO20" s="12">
        <f>CN20+預測IC!CO20</f>
        <v>3.461806844296937</v>
      </c>
      <c r="CP20" s="12">
        <f>CO20+預測IC!CP20</f>
        <v>3.469231044296937</v>
      </c>
      <c r="CQ20" s="12">
        <f>CP20+預測IC!CQ20</f>
        <v>3.5517532442969371</v>
      </c>
      <c r="CR20" s="12">
        <f>CQ20+預測IC!CR20</f>
        <v>3.4786369997910866</v>
      </c>
      <c r="CS20" s="12">
        <f>CR20+預測IC!CS20</f>
        <v>3.3902727227788252</v>
      </c>
      <c r="CT20" s="12">
        <f>CS20+預測IC!CT20</f>
        <v>3.4186881227788253</v>
      </c>
      <c r="CU20" s="12">
        <f>CT20+預測IC!CU20</f>
        <v>3.5135557810453375</v>
      </c>
      <c r="CV20" s="12">
        <f>CU20+預測IC!CV20</f>
        <v>3.4210447053499116</v>
      </c>
      <c r="CW20" s="12">
        <f>CV20+預測IC!CW20</f>
        <v>3.4110916424286288</v>
      </c>
      <c r="CX20" s="12">
        <f>CW20+預測IC!CX20</f>
        <v>3.3207930915608643</v>
      </c>
      <c r="CY20" s="12">
        <f>CX20+預測IC!CY20</f>
        <v>3.4295252915608643</v>
      </c>
      <c r="CZ20" s="12">
        <f>CY20+預測IC!CZ20</f>
        <v>3.5578286915608643</v>
      </c>
      <c r="DA20" s="12">
        <f>CZ20+預測IC!DA20</f>
        <v>3.605300584716042</v>
      </c>
      <c r="DB20" s="12">
        <f>DA20+預測IC!DB20</f>
        <v>3.6822675847160418</v>
      </c>
      <c r="DC20" s="12">
        <f>DB20+預測IC!DC20</f>
        <v>3.7111695847160417</v>
      </c>
      <c r="DD20" s="12">
        <f>DC20+預測IC!DD20</f>
        <v>3.6430067847160417</v>
      </c>
      <c r="DE20" s="12">
        <f>DD20+預測IC!DE20</f>
        <v>3.6125403847160418</v>
      </c>
      <c r="DF20" s="12">
        <f>DE20+預測IC!DF20</f>
        <v>3.8581157847160417</v>
      </c>
      <c r="DG20" s="12">
        <f>DF20+預測IC!DG20</f>
        <v>3.8057699847160418</v>
      </c>
      <c r="DH20" s="12">
        <f>DG20+預測IC!DH20</f>
        <v>4.0840695847160422</v>
      </c>
      <c r="DI20" s="12">
        <f>DH20+預測IC!DI20</f>
        <v>4.2216655847160425</v>
      </c>
      <c r="DJ20" s="12">
        <f>DI20+預測IC!DJ20</f>
        <v>4.3029429847160428</v>
      </c>
      <c r="DK20" s="12">
        <f>DJ20+預測IC!DK20</f>
        <v>4.2177583847160429</v>
      </c>
      <c r="DL20" s="12">
        <f>DK20+預測IC!DL20</f>
        <v>4.2279449847160429</v>
      </c>
      <c r="DM20" s="12">
        <f>DL20+預測IC!DM20</f>
        <v>4.297280784716043</v>
      </c>
      <c r="DN20" s="12">
        <f>DM20+預測IC!DN20</f>
        <v>4.3552999913702424</v>
      </c>
      <c r="DO20" s="12">
        <f>DN20+預測IC!DO20</f>
        <v>4.6133009913702425</v>
      </c>
      <c r="DP20" s="12">
        <f>DO20+預測IC!DP20</f>
        <v>4.6231315227611303</v>
      </c>
      <c r="DQ20" s="12">
        <f>DP20+預測IC!DQ20</f>
        <v>4.5845925227611302</v>
      </c>
      <c r="DR20" s="12">
        <f>DQ20+預測IC!DR20</f>
        <v>4.5290347227611303</v>
      </c>
      <c r="DS20" s="12">
        <f>DR20+預測IC!DS20</f>
        <v>4.3229536251827758</v>
      </c>
      <c r="DT20" s="12">
        <f>DS20+預測IC!DT20</f>
        <v>4.3277824251827761</v>
      </c>
      <c r="DU20" s="12">
        <f>DT20+預測IC!DU20</f>
        <v>4.1514066251827764</v>
      </c>
      <c r="DV20" s="12">
        <f>DU20+預測IC!DV20</f>
        <v>4.1212164251827765</v>
      </c>
      <c r="DW20" s="12">
        <f>DV20+預測IC!DW20</f>
        <v>4.1902766291408158</v>
      </c>
      <c r="DX20" s="12">
        <f>DW20+預測IC!DX20</f>
        <v>4.3362608291408158</v>
      </c>
      <c r="DY20" s="12">
        <f>DX20+預測IC!DY20</f>
        <v>4.457851429140816</v>
      </c>
      <c r="DZ20" s="12">
        <f>DY20+預測IC!DZ20</f>
        <v>4.5423260074505079</v>
      </c>
      <c r="EA20" s="12">
        <f>DZ20+預測IC!EA20</f>
        <v>4.8360172074505074</v>
      </c>
      <c r="EB20" s="12">
        <f>EA20+預測IC!EB20</f>
        <v>4.7297028074505079</v>
      </c>
      <c r="EC20" s="12">
        <f>EB20+預測IC!EC20</f>
        <v>4.7637523888644493</v>
      </c>
      <c r="ED20" s="12">
        <f>EC20+預測IC!ED20</f>
        <v>4.9406712499314596</v>
      </c>
      <c r="EE20" s="12">
        <f>ED20+預測IC!EE20</f>
        <v>4.9383040190040779</v>
      </c>
      <c r="EF20" s="12">
        <f>EE20+預測IC!EF20</f>
        <v>4.918022602388171</v>
      </c>
    </row>
    <row r="21" spans="1:136">
      <c r="A21" s="2">
        <v>241</v>
      </c>
      <c r="B21" s="2">
        <v>4</v>
      </c>
      <c r="C21" s="12">
        <v>0.19764916434148611</v>
      </c>
      <c r="D21" s="12">
        <f>C21+預測IC!D21</f>
        <v>0.19801687373664528</v>
      </c>
      <c r="E21" s="12">
        <f>D21+預測IC!E21</f>
        <v>0.18432537373664529</v>
      </c>
      <c r="F21" s="12">
        <f>E21+預測IC!F21</f>
        <v>0.23542285758305351</v>
      </c>
      <c r="G21" s="12">
        <f>F21+預測IC!G21</f>
        <v>0.24271899561090496</v>
      </c>
      <c r="H21" s="12">
        <f>G21+預測IC!H21</f>
        <v>0.40488299561090496</v>
      </c>
      <c r="I21" s="12">
        <f>H21+預測IC!I21</f>
        <v>0.25762738748343195</v>
      </c>
      <c r="J21" s="12">
        <f>I21+預測IC!J21</f>
        <v>0.12088588748343196</v>
      </c>
      <c r="K21" s="12">
        <f>J21+預測IC!K21</f>
        <v>0.20985890483745401</v>
      </c>
      <c r="L21" s="12">
        <f>K21+預測IC!L21</f>
        <v>0.10017929738322411</v>
      </c>
      <c r="M21" s="12">
        <f>L21+預測IC!M21</f>
        <v>-9.9705702616775901E-2</v>
      </c>
      <c r="N21" s="12">
        <f>M21+預測IC!N21</f>
        <v>-0.19929311473971748</v>
      </c>
      <c r="O21" s="12">
        <f>N21+預測IC!O21</f>
        <v>-0.33857036473971747</v>
      </c>
      <c r="P21" s="12">
        <f>O21+預測IC!P21</f>
        <v>-0.29314261473971748</v>
      </c>
      <c r="Q21" s="12">
        <f>P21+預測IC!Q21</f>
        <v>-1.9056864739717461E-2</v>
      </c>
      <c r="R21" s="12">
        <f>Q21+預測IC!R21</f>
        <v>7.6518446366912754E-2</v>
      </c>
      <c r="S21" s="12">
        <f>R21+預測IC!S21</f>
        <v>0.20510873181686973</v>
      </c>
      <c r="T21" s="12">
        <f>S21+預測IC!T21</f>
        <v>7.3988731816869741E-2</v>
      </c>
      <c r="U21" s="12">
        <f>T21+預測IC!U21</f>
        <v>0.16026714942862774</v>
      </c>
      <c r="V21" s="12">
        <f>U21+預測IC!V21</f>
        <v>2.8516899428627729E-2</v>
      </c>
      <c r="W21" s="12">
        <f>V21+預測IC!W21</f>
        <v>0.18630537904409034</v>
      </c>
      <c r="X21" s="12">
        <f>W21+預測IC!X21</f>
        <v>0.38364255762773702</v>
      </c>
      <c r="Y21" s="12">
        <f>X21+預測IC!Y21</f>
        <v>0.37349505762773705</v>
      </c>
      <c r="Z21" s="12">
        <f>Y21+預測IC!Z21</f>
        <v>0.41295405762773707</v>
      </c>
      <c r="AA21" s="12">
        <f>Z21+預測IC!AA21</f>
        <v>0.44098955762773706</v>
      </c>
      <c r="AB21" s="12">
        <f>AA21+預測IC!AB21</f>
        <v>0.37570255762773708</v>
      </c>
      <c r="AC21" s="12">
        <f>AB21+預測IC!AC21</f>
        <v>0.21616130762773708</v>
      </c>
      <c r="AD21" s="12">
        <f>AC21+預測IC!AD21</f>
        <v>0.34498580762773712</v>
      </c>
      <c r="AE21" s="12">
        <f>AD21+預測IC!AE21</f>
        <v>0.3552965576277371</v>
      </c>
      <c r="AF21" s="12">
        <f>AE21+預測IC!AF21</f>
        <v>0.32173105762773713</v>
      </c>
      <c r="AG21" s="12">
        <f>AF21+預測IC!AG21</f>
        <v>0.31116305762773711</v>
      </c>
      <c r="AH21" s="12">
        <f>AG21+預測IC!AH21</f>
        <v>0.2035816950629388</v>
      </c>
      <c r="AI21" s="12">
        <f>AH21+預測IC!AI21</f>
        <v>0.3057059450629388</v>
      </c>
      <c r="AJ21" s="12">
        <f>AI21+預測IC!AJ21</f>
        <v>0.23530060311647011</v>
      </c>
      <c r="AK21" s="12">
        <f>AJ21+預測IC!AK21</f>
        <v>0.19949743549836005</v>
      </c>
      <c r="AL21" s="12">
        <f>AK21+預測IC!AL21</f>
        <v>0.26487725823147068</v>
      </c>
      <c r="AM21" s="12">
        <f>AL21+預測IC!AM21</f>
        <v>0.30158800823147069</v>
      </c>
      <c r="AN21" s="12">
        <f>AM21+預測IC!AN21</f>
        <v>0.28289175823147067</v>
      </c>
      <c r="AO21" s="12">
        <f>AN21+預測IC!AO21</f>
        <v>0.33061815387519733</v>
      </c>
      <c r="AP21" s="12">
        <f>AO21+預測IC!AP21</f>
        <v>0.34956190387519731</v>
      </c>
      <c r="AQ21" s="12">
        <f>AP21+預測IC!AQ21</f>
        <v>0.2163379038751973</v>
      </c>
      <c r="AR21" s="12">
        <f>AQ21+預測IC!AR21</f>
        <v>0.16834965387519729</v>
      </c>
      <c r="AS21" s="12">
        <f>AR21+預測IC!AS21</f>
        <v>0.1853976538751973</v>
      </c>
      <c r="AT21" s="12">
        <f>AS21+預測IC!AT21</f>
        <v>0.1219521538751973</v>
      </c>
      <c r="AU21" s="12">
        <f>AT21+預測IC!AU21</f>
        <v>0.46843340387519733</v>
      </c>
      <c r="AV21" s="12">
        <f>AU21+預測IC!AV21</f>
        <v>0.51933265387519734</v>
      </c>
      <c r="AW21" s="12">
        <f>AV21+預測IC!AW21</f>
        <v>0.69228015387519737</v>
      </c>
      <c r="AX21" s="12">
        <f>AW21+預測IC!AX21</f>
        <v>0.75828865387519739</v>
      </c>
      <c r="AY21" s="12">
        <f>AX21+預測IC!AY21</f>
        <v>0.63941215387519734</v>
      </c>
      <c r="AZ21" s="12">
        <f>AY21+預測IC!AZ21</f>
        <v>0.74791515387519736</v>
      </c>
      <c r="BA21" s="12">
        <f>AZ21+預測IC!BA21</f>
        <v>0.88750765387519737</v>
      </c>
      <c r="BB21" s="12">
        <f>BA21+預測IC!BB21</f>
        <v>1.1820209038751974</v>
      </c>
      <c r="BC21" s="12">
        <f>BB21+預測IC!BC21</f>
        <v>1.1019739038751974</v>
      </c>
      <c r="BD21" s="12">
        <f>BC21+預測IC!BD21</f>
        <v>1.1401964038751975</v>
      </c>
      <c r="BE21" s="12">
        <f>BD21+預測IC!BE21</f>
        <v>1.1465469372725989</v>
      </c>
      <c r="BF21" s="12">
        <f>BE21+預測IC!BF21</f>
        <v>1.1501240374530337</v>
      </c>
      <c r="BG21" s="12">
        <f>BF21+預測IC!BG21</f>
        <v>1.0715992874530338</v>
      </c>
      <c r="BH21" s="12">
        <f>BG21+預測IC!BH21</f>
        <v>1.0036817874530337</v>
      </c>
      <c r="BI21" s="12">
        <f>BH21+預測IC!BI21</f>
        <v>1.0499587874530336</v>
      </c>
      <c r="BJ21" s="12">
        <f>BI21+預測IC!BJ21</f>
        <v>1.0723550374530335</v>
      </c>
      <c r="BK21" s="12">
        <f>BJ21+預測IC!BK21</f>
        <v>1.1450787874530335</v>
      </c>
      <c r="BL21" s="12">
        <f>BK21+預測IC!BL21</f>
        <v>1.2877998800993833</v>
      </c>
      <c r="BM21" s="12">
        <f>BL21+預測IC!BM21</f>
        <v>1.4429198840204831</v>
      </c>
      <c r="BN21" s="12">
        <f>BM21+預測IC!BN21</f>
        <v>1.4171316340204831</v>
      </c>
      <c r="BO21" s="12">
        <f>BN21+預測IC!BO21</f>
        <v>1.3532743976068029</v>
      </c>
      <c r="BP21" s="12">
        <f>BO21+預測IC!BP21</f>
        <v>1.4577835270262172</v>
      </c>
      <c r="BQ21" s="12">
        <f>BP21+預測IC!BQ21</f>
        <v>1.4144827770262172</v>
      </c>
      <c r="BR21" s="12">
        <f>BQ21+預測IC!BR21</f>
        <v>1.4257710270262172</v>
      </c>
      <c r="BS21" s="12">
        <f>BR21+預測IC!BS21</f>
        <v>1.4316311997813933</v>
      </c>
      <c r="BT21" s="12">
        <f>BS21+預測IC!BT21</f>
        <v>1.5638758937558361</v>
      </c>
      <c r="BU21" s="12">
        <f>BT21+預測IC!BU21</f>
        <v>1.3931378937558361</v>
      </c>
      <c r="BV21" s="12">
        <f>BU21+預測IC!BV21</f>
        <v>1.412378143755836</v>
      </c>
      <c r="BW21" s="12">
        <f>BV21+預測IC!BW21</f>
        <v>1.8145083937558359</v>
      </c>
      <c r="BX21" s="12">
        <f>BW21+預測IC!BX21</f>
        <v>1.737345143755836</v>
      </c>
      <c r="BY21" s="12">
        <f>BX21+預測IC!BY21</f>
        <v>1.722425393755836</v>
      </c>
      <c r="BZ21" s="12">
        <f>BY21+預測IC!BZ21</f>
        <v>1.973827893755836</v>
      </c>
      <c r="CA21" s="12">
        <f>BZ21+預測IC!CA21</f>
        <v>2.0688878937558361</v>
      </c>
      <c r="CB21" s="12">
        <f>CA21+預測IC!CB21</f>
        <v>2.2767581437558362</v>
      </c>
      <c r="CC21" s="12">
        <f>CB21+預測IC!CC21</f>
        <v>2.2687386437558361</v>
      </c>
      <c r="CD21" s="12">
        <f>CC21+預測IC!CD21</f>
        <v>2.3531608937558359</v>
      </c>
      <c r="CE21" s="12">
        <f>CD21+預測IC!CE21</f>
        <v>2.7482368362208813</v>
      </c>
      <c r="CF21" s="12">
        <f>CE21+預測IC!CF21</f>
        <v>2.6169711594198088</v>
      </c>
      <c r="CG21" s="12">
        <f>CF21+預測IC!CG21</f>
        <v>2.9371389094198088</v>
      </c>
      <c r="CH21" s="12">
        <f>CG21+預測IC!CH21</f>
        <v>2.8658004094198088</v>
      </c>
      <c r="CI21" s="12">
        <f>CH21+預測IC!CI21</f>
        <v>2.7425081594198089</v>
      </c>
      <c r="CJ21" s="12">
        <f>CI21+預測IC!CJ21</f>
        <v>2.730552409419809</v>
      </c>
      <c r="CK21" s="12">
        <f>CJ21+預測IC!CK21</f>
        <v>2.7391166594198091</v>
      </c>
      <c r="CL21" s="12">
        <f>CK21+預測IC!CL21</f>
        <v>2.8730070840427739</v>
      </c>
      <c r="CM21" s="12">
        <f>CL21+預測IC!CM21</f>
        <v>2.6475040956394027</v>
      </c>
      <c r="CN21" s="12">
        <f>CM21+預測IC!CN21</f>
        <v>2.6362238456394027</v>
      </c>
      <c r="CO21" s="12">
        <f>CN21+預測IC!CO21</f>
        <v>3.1510890942369953</v>
      </c>
      <c r="CP21" s="12">
        <f>CO21+預測IC!CP21</f>
        <v>3.0548363442369952</v>
      </c>
      <c r="CQ21" s="12">
        <f>CP21+預測IC!CQ21</f>
        <v>2.9954355942369952</v>
      </c>
      <c r="CR21" s="12">
        <f>CQ21+預測IC!CR21</f>
        <v>2.9046113162573155</v>
      </c>
      <c r="CS21" s="12">
        <f>CR21+預測IC!CS21</f>
        <v>2.8349649201105436</v>
      </c>
      <c r="CT21" s="12">
        <f>CS21+預測IC!CT21</f>
        <v>2.8829596701105435</v>
      </c>
      <c r="CU21" s="12">
        <f>CT21+預測IC!CU21</f>
        <v>2.945633230280035</v>
      </c>
      <c r="CV21" s="12">
        <f>CU21+預測IC!CV21</f>
        <v>2.847407598258648</v>
      </c>
      <c r="CW21" s="12">
        <f>CV21+預測IC!CW21</f>
        <v>2.7824021809776593</v>
      </c>
      <c r="CX21" s="12">
        <f>CW21+預測IC!CX21</f>
        <v>2.6802800053202525</v>
      </c>
      <c r="CY21" s="12">
        <f>CX21+預測IC!CY21</f>
        <v>2.7827852553202526</v>
      </c>
      <c r="CZ21" s="12">
        <f>CY21+預測IC!CZ21</f>
        <v>2.9730820053202525</v>
      </c>
      <c r="DA21" s="12">
        <f>CZ21+預測IC!DA21</f>
        <v>2.9718897488635205</v>
      </c>
      <c r="DB21" s="12">
        <f>DA21+預測IC!DB21</f>
        <v>3.0433492488635205</v>
      </c>
      <c r="DC21" s="12">
        <f>DB21+預測IC!DC21</f>
        <v>3.0916592488635204</v>
      </c>
      <c r="DD21" s="12">
        <f>DC21+預測IC!DD21</f>
        <v>3.0246322488635204</v>
      </c>
      <c r="DE21" s="12">
        <f>DD21+預測IC!DE21</f>
        <v>2.9699132488635205</v>
      </c>
      <c r="DF21" s="12">
        <f>DE21+預測IC!DF21</f>
        <v>3.2710649988635203</v>
      </c>
      <c r="DG21" s="12">
        <f>DF21+預測IC!DG21</f>
        <v>3.2116542488635202</v>
      </c>
      <c r="DH21" s="12">
        <f>DG21+預測IC!DH21</f>
        <v>3.2930912488635204</v>
      </c>
      <c r="DI21" s="12">
        <f>DH21+預測IC!DI21</f>
        <v>3.4729312488635204</v>
      </c>
      <c r="DJ21" s="12">
        <f>DI21+預測IC!DJ21</f>
        <v>3.5462344988635204</v>
      </c>
      <c r="DK21" s="12">
        <f>DJ21+預測IC!DK21</f>
        <v>3.4553412488635202</v>
      </c>
      <c r="DL21" s="12">
        <f>DK21+預測IC!DL21</f>
        <v>3.4875489988635202</v>
      </c>
      <c r="DM21" s="12">
        <f>DL21+預測IC!DM21</f>
        <v>3.51253724886352</v>
      </c>
      <c r="DN21" s="12">
        <f>DM21+預測IC!DN21</f>
        <v>3.5837348613575131</v>
      </c>
      <c r="DO21" s="12">
        <f>DN21+預測IC!DO21</f>
        <v>3.9153611113575133</v>
      </c>
      <c r="DP21" s="12">
        <f>DO21+預測IC!DP21</f>
        <v>3.9396272664510792</v>
      </c>
      <c r="DQ21" s="12">
        <f>DP21+預測IC!DQ21</f>
        <v>3.9114120164510791</v>
      </c>
      <c r="DR21" s="12">
        <f>DQ21+預測IC!DR21</f>
        <v>3.8578552664510792</v>
      </c>
      <c r="DS21" s="12">
        <f>DR21+預測IC!DS21</f>
        <v>3.6570157926137838</v>
      </c>
      <c r="DT21" s="12">
        <f>DS21+預測IC!DT21</f>
        <v>3.6473062926137838</v>
      </c>
      <c r="DU21" s="12">
        <f>DT21+預測IC!DU21</f>
        <v>3.4986915426137837</v>
      </c>
      <c r="DV21" s="12">
        <f>DU21+預測IC!DV21</f>
        <v>3.4490305426137837</v>
      </c>
      <c r="DW21" s="12">
        <f>DV21+預測IC!DW21</f>
        <v>3.5772784112779048</v>
      </c>
      <c r="DX21" s="12">
        <f>DW21+預測IC!DX21</f>
        <v>3.6917931612779049</v>
      </c>
      <c r="DY21" s="12">
        <f>DX21+預測IC!DY21</f>
        <v>3.8585231612779047</v>
      </c>
      <c r="DZ21" s="12">
        <f>DY21+預測IC!DZ21</f>
        <v>3.9113672278381935</v>
      </c>
      <c r="EA21" s="12">
        <f>DZ21+預測IC!EA21</f>
        <v>4.1774249778381938</v>
      </c>
      <c r="EB21" s="12">
        <f>EA21+預測IC!EB21</f>
        <v>4.0741269778381941</v>
      </c>
      <c r="EC21" s="12">
        <f>EB21+預測IC!EC21</f>
        <v>4.0881640329362359</v>
      </c>
      <c r="ED21" s="12">
        <f>EC21+預測IC!ED21</f>
        <v>4.1426628892844164</v>
      </c>
      <c r="EE21" s="12">
        <f>ED21+預測IC!EE21</f>
        <v>4.1282340371759982</v>
      </c>
      <c r="EF21" s="12">
        <f>EE21+預測IC!EF21</f>
        <v>4.1470053012181172</v>
      </c>
    </row>
    <row r="22" spans="1:136">
      <c r="A22" s="2">
        <v>321</v>
      </c>
      <c r="B22" s="2">
        <v>3</v>
      </c>
      <c r="C22" s="12">
        <v>-6.4235717628454689E-2</v>
      </c>
      <c r="D22" s="12">
        <f>C22+預測IC!D22</f>
        <v>-1.9554820724968169E-2</v>
      </c>
      <c r="E22" s="12">
        <f>D22+預測IC!E22</f>
        <v>-3.6911487391634842E-2</v>
      </c>
      <c r="F22" s="12">
        <f>E22+預測IC!F22</f>
        <v>6.0522508187351609E-2</v>
      </c>
      <c r="G22" s="12">
        <f>F22+預測IC!G22</f>
        <v>9.3477332437150229E-2</v>
      </c>
      <c r="H22" s="12">
        <f>G22+預測IC!H22</f>
        <v>0.21765533243715024</v>
      </c>
      <c r="I22" s="12">
        <f>H22+預測IC!I22</f>
        <v>9.4162163099080445E-2</v>
      </c>
      <c r="J22" s="12">
        <f>I22+預測IC!J22</f>
        <v>-1.0089836900919552E-2</v>
      </c>
      <c r="K22" s="12">
        <f>J22+預測IC!K22</f>
        <v>0.14319693375358974</v>
      </c>
      <c r="L22" s="12">
        <f>K22+預測IC!L22</f>
        <v>-2.7986425672311466E-2</v>
      </c>
      <c r="M22" s="12">
        <f>L22+預測IC!M22</f>
        <v>-0.21264975900564476</v>
      </c>
      <c r="N22" s="12">
        <f>M22+預測IC!N22</f>
        <v>-0.34593017802889126</v>
      </c>
      <c r="O22" s="12">
        <f>N22+預測IC!O22</f>
        <v>-0.41237251136222458</v>
      </c>
      <c r="P22" s="12">
        <f>O22+預測IC!P22</f>
        <v>-0.32174217802889127</v>
      </c>
      <c r="Q22" s="12">
        <f>P22+預測IC!Q22</f>
        <v>-0.19446751136222468</v>
      </c>
      <c r="R22" s="12">
        <f>Q22+預測IC!R22</f>
        <v>-0.15783907709063663</v>
      </c>
      <c r="S22" s="12">
        <f>R22+預測IC!S22</f>
        <v>1.1807478467303956E-2</v>
      </c>
      <c r="T22" s="12">
        <f>S22+預測IC!T22</f>
        <v>-9.3040521532696041E-2</v>
      </c>
      <c r="U22" s="12">
        <f>T22+預測IC!U22</f>
        <v>1.7549501869808165E-2</v>
      </c>
      <c r="V22" s="12">
        <f>U22+預測IC!V22</f>
        <v>-0.15807416479685854</v>
      </c>
      <c r="W22" s="12">
        <f>V22+預測IC!W22</f>
        <v>4.9406102227438853E-2</v>
      </c>
      <c r="X22" s="12">
        <f>W22+預測IC!X22</f>
        <v>0.26430614995700386</v>
      </c>
      <c r="Y22" s="12">
        <f>X22+預測IC!Y22</f>
        <v>0.19444881662367053</v>
      </c>
      <c r="Z22" s="12">
        <f>Y22+預測IC!Z22</f>
        <v>0.21831681662367053</v>
      </c>
      <c r="AA22" s="12">
        <f>Z22+預測IC!AA22</f>
        <v>0.33643948329033724</v>
      </c>
      <c r="AB22" s="12">
        <f>AA22+預測IC!AB22</f>
        <v>0.29816614995700391</v>
      </c>
      <c r="AC22" s="12">
        <f>AB22+預測IC!AC22</f>
        <v>0.12095481662367061</v>
      </c>
      <c r="AD22" s="12">
        <f>AC22+預測IC!AD22</f>
        <v>0.13452614995700393</v>
      </c>
      <c r="AE22" s="12">
        <f>AD22+預測IC!AE22</f>
        <v>4.937714995700393E-2</v>
      </c>
      <c r="AF22" s="12">
        <f>AE22+預測IC!AF22</f>
        <v>-3.7026183376329402E-2</v>
      </c>
      <c r="AG22" s="12">
        <f>AF22+預測IC!AG22</f>
        <v>-8.2996516709662738E-2</v>
      </c>
      <c r="AH22" s="12">
        <f>AG22+預測IC!AH22</f>
        <v>-0.18886247613013543</v>
      </c>
      <c r="AI22" s="12">
        <f>AH22+預測IC!AI22</f>
        <v>-7.7857809463468736E-2</v>
      </c>
      <c r="AJ22" s="12">
        <f>AI22+預測IC!AJ22</f>
        <v>-0.109557658789877</v>
      </c>
      <c r="AK22" s="12">
        <f>AJ22+預測IC!AK22</f>
        <v>-8.2690980494812966E-3</v>
      </c>
      <c r="AL22" s="12">
        <f>AK22+預測IC!AL22</f>
        <v>3.207186875741911E-2</v>
      </c>
      <c r="AM22" s="12">
        <f>AL22+預測IC!AM22</f>
        <v>7.3545202090752437E-2</v>
      </c>
      <c r="AN22" s="12">
        <f>AM22+預測IC!AN22</f>
        <v>3.828020209075244E-2</v>
      </c>
      <c r="AO22" s="12">
        <f>AN22+預測IC!AO22</f>
        <v>0.11299757548445805</v>
      </c>
      <c r="AP22" s="12">
        <f>AO22+預測IC!AP22</f>
        <v>0.13349090881779138</v>
      </c>
      <c r="AQ22" s="12">
        <f>AP22+預測IC!AQ22</f>
        <v>2.336157548445808E-2</v>
      </c>
      <c r="AR22" s="12">
        <f>AQ22+預測IC!AR22</f>
        <v>-4.4563091182208581E-2</v>
      </c>
      <c r="AS22" s="12">
        <f>AR22+預測IC!AS22</f>
        <v>0.12002757548445811</v>
      </c>
      <c r="AT22" s="12">
        <f>AS22+預測IC!AT22</f>
        <v>0.12109957548445811</v>
      </c>
      <c r="AU22" s="12">
        <f>AT22+預測IC!AU22</f>
        <v>0.55045457548445809</v>
      </c>
      <c r="AV22" s="12">
        <f>AU22+預測IC!AV22</f>
        <v>0.61010224215112474</v>
      </c>
      <c r="AW22" s="12">
        <f>AV22+預測IC!AW22</f>
        <v>0.8423132421511248</v>
      </c>
      <c r="AX22" s="12">
        <f>AW22+預測IC!AX22</f>
        <v>0.73455557548445816</v>
      </c>
      <c r="AY22" s="12">
        <f>AX22+預測IC!AY22</f>
        <v>0.57083090881779142</v>
      </c>
      <c r="AZ22" s="12">
        <f>AY22+預測IC!AZ22</f>
        <v>0.72601957548445806</v>
      </c>
      <c r="BA22" s="12">
        <f>AZ22+預測IC!BA22</f>
        <v>0.77579424215112469</v>
      </c>
      <c r="BB22" s="12">
        <f>BA22+預測IC!BB22</f>
        <v>1.1453455754844579</v>
      </c>
      <c r="BC22" s="12">
        <f>BB22+預測IC!BC22</f>
        <v>1.0580129088177912</v>
      </c>
      <c r="BD22" s="12">
        <f>BC22+預測IC!BD22</f>
        <v>1.1372769088177912</v>
      </c>
      <c r="BE22" s="12">
        <f>BD22+預測IC!BE22</f>
        <v>1.1594930922122717</v>
      </c>
      <c r="BF22" s="12">
        <f>BE22+預測IC!BF22</f>
        <v>1.1731319095505914</v>
      </c>
      <c r="BG22" s="12">
        <f>BF22+預測IC!BG22</f>
        <v>1.0769522428839249</v>
      </c>
      <c r="BH22" s="12">
        <f>BG22+預測IC!BH22</f>
        <v>1.0689555762172582</v>
      </c>
      <c r="BI22" s="12">
        <f>BH22+預測IC!BI22</f>
        <v>1.1513049095505916</v>
      </c>
      <c r="BJ22" s="12">
        <f>BI22+預測IC!BJ22</f>
        <v>1.1921982428839248</v>
      </c>
      <c r="BK22" s="12">
        <f>BJ22+預測IC!BK22</f>
        <v>1.2405139095505915</v>
      </c>
      <c r="BL22" s="12">
        <f>BK22+預測IC!BL22</f>
        <v>1.4022942486216268</v>
      </c>
      <c r="BM22" s="12">
        <f>BL22+預測IC!BM22</f>
        <v>1.5940912880776739</v>
      </c>
      <c r="BN22" s="12">
        <f>BM22+預測IC!BN22</f>
        <v>1.5111569547443406</v>
      </c>
      <c r="BO22" s="12">
        <f>BN22+預測IC!BO22</f>
        <v>1.4606725256315902</v>
      </c>
      <c r="BP22" s="12">
        <f>BO22+預測IC!BP22</f>
        <v>1.5355080757866966</v>
      </c>
      <c r="BQ22" s="12">
        <f>BP22+預測IC!BQ22</f>
        <v>1.4533624091200299</v>
      </c>
      <c r="BR22" s="12">
        <f>BQ22+預測IC!BR22</f>
        <v>1.4730057424533631</v>
      </c>
      <c r="BS22" s="12">
        <f>BR22+預測IC!BS22</f>
        <v>1.456632960076564</v>
      </c>
      <c r="BT22" s="12">
        <f>BS22+預測IC!BT22</f>
        <v>1.5871636634131101</v>
      </c>
      <c r="BU22" s="12">
        <f>BT22+預測IC!BU22</f>
        <v>1.48281266341311</v>
      </c>
      <c r="BV22" s="12">
        <f>BU22+預測IC!BV22</f>
        <v>1.4834933300797768</v>
      </c>
      <c r="BW22" s="12">
        <f>BV22+預測IC!BW22</f>
        <v>1.91120866341311</v>
      </c>
      <c r="BX22" s="12">
        <f>BW22+預測IC!BX22</f>
        <v>1.7981819967464434</v>
      </c>
      <c r="BY22" s="12">
        <f>BX22+預測IC!BY22</f>
        <v>1.8305323300797767</v>
      </c>
      <c r="BZ22" s="12">
        <f>BY22+預測IC!BZ22</f>
        <v>2.1101623300797767</v>
      </c>
      <c r="CA22" s="12">
        <f>BZ22+預測IC!CA22</f>
        <v>2.2542426634131099</v>
      </c>
      <c r="CB22" s="12">
        <f>CA22+預測IC!CB22</f>
        <v>2.5089826634131098</v>
      </c>
      <c r="CC22" s="12">
        <f>CB22+預測IC!CC22</f>
        <v>2.3838776634131098</v>
      </c>
      <c r="CD22" s="12">
        <f>CC22+預測IC!CD22</f>
        <v>2.479395996746443</v>
      </c>
      <c r="CE22" s="12">
        <f>CD22+預測IC!CE22</f>
        <v>2.8727833358507211</v>
      </c>
      <c r="CF22" s="12">
        <f>CE22+預測IC!CF22</f>
        <v>2.6839835500904439</v>
      </c>
      <c r="CG22" s="12">
        <f>CF22+預測IC!CG22</f>
        <v>3.1277842167571106</v>
      </c>
      <c r="CH22" s="12">
        <f>CG22+預測IC!CH22</f>
        <v>3.1010222167571104</v>
      </c>
      <c r="CI22" s="12">
        <f>CH22+預測IC!CI22</f>
        <v>2.8705742167571104</v>
      </c>
      <c r="CJ22" s="12">
        <f>CI22+預測IC!CJ22</f>
        <v>2.8543322167571104</v>
      </c>
      <c r="CK22" s="12">
        <f>CJ22+預測IC!CK22</f>
        <v>2.8271815500904438</v>
      </c>
      <c r="CL22" s="12">
        <f>CK22+預測IC!CL22</f>
        <v>3.0678333487154847</v>
      </c>
      <c r="CM22" s="12">
        <f>CL22+預測IC!CM22</f>
        <v>2.7474013450576593</v>
      </c>
      <c r="CN22" s="12">
        <f>CM22+預測IC!CN22</f>
        <v>2.7692526783909925</v>
      </c>
      <c r="CO22" s="12">
        <f>CN22+預測IC!CO22</f>
        <v>3.4192091466401484</v>
      </c>
      <c r="CP22" s="12">
        <f>CO22+預測IC!CP22</f>
        <v>3.3378874799734817</v>
      </c>
      <c r="CQ22" s="12">
        <f>CP22+預測IC!CQ22</f>
        <v>3.2634241466401486</v>
      </c>
      <c r="CR22" s="12">
        <f>CQ22+預測IC!CR22</f>
        <v>3.1015737253387567</v>
      </c>
      <c r="CS22" s="12">
        <f>CR22+預測IC!CS22</f>
        <v>3.1167759088601796</v>
      </c>
      <c r="CT22" s="12">
        <f>CS22+預測IC!CT22</f>
        <v>3.1550405755268462</v>
      </c>
      <c r="CU22" s="12">
        <f>CT22+預測IC!CU22</f>
        <v>3.2752722874909441</v>
      </c>
      <c r="CV22" s="12">
        <f>CU22+預測IC!CV22</f>
        <v>3.1630385922838897</v>
      </c>
      <c r="CW22" s="12">
        <f>CV22+預測IC!CW22</f>
        <v>3.1265873389577243</v>
      </c>
      <c r="CX22" s="12">
        <f>CW22+預測IC!CX22</f>
        <v>3.1228377456898753</v>
      </c>
      <c r="CY22" s="12">
        <f>CX22+預測IC!CY22</f>
        <v>3.2273487456898753</v>
      </c>
      <c r="CZ22" s="12">
        <f>CY22+預測IC!CZ22</f>
        <v>3.4340457456898754</v>
      </c>
      <c r="DA22" s="12">
        <f>CZ22+預測IC!DA22</f>
        <v>3.4380374995717995</v>
      </c>
      <c r="DB22" s="12">
        <f>DA22+預測IC!DB22</f>
        <v>3.4920781662384663</v>
      </c>
      <c r="DC22" s="12">
        <f>DB22+預測IC!DC22</f>
        <v>3.5644214995717998</v>
      </c>
      <c r="DD22" s="12">
        <f>DC22+預測IC!DD22</f>
        <v>3.5484581662384667</v>
      </c>
      <c r="DE22" s="12">
        <f>DD22+預測IC!DE22</f>
        <v>3.4151024995718</v>
      </c>
      <c r="DF22" s="12">
        <f>DE22+預測IC!DF22</f>
        <v>3.8047704995717999</v>
      </c>
      <c r="DG22" s="12">
        <f>DF22+預測IC!DG22</f>
        <v>3.7328794995718</v>
      </c>
      <c r="DH22" s="12">
        <f>DG22+預測IC!DH22</f>
        <v>3.8143348329051334</v>
      </c>
      <c r="DI22" s="12">
        <f>DH22+預測IC!DI22</f>
        <v>3.8744571662384666</v>
      </c>
      <c r="DJ22" s="12">
        <f>DI22+預測IC!DJ22</f>
        <v>3.9172348329051334</v>
      </c>
      <c r="DK22" s="12">
        <f>DJ22+預測IC!DK22</f>
        <v>3.8258071662384667</v>
      </c>
      <c r="DL22" s="12">
        <f>DK22+預測IC!DL22</f>
        <v>3.8474874995718</v>
      </c>
      <c r="DM22" s="12">
        <f>DL22+預測IC!DM22</f>
        <v>3.8793718329051332</v>
      </c>
      <c r="DN22" s="12">
        <f>DM22+預測IC!DN22</f>
        <v>3.9261351611091406</v>
      </c>
      <c r="DO22" s="12">
        <f>DN22+預測IC!DO22</f>
        <v>4.0018504944424738</v>
      </c>
      <c r="DP22" s="12">
        <f>DO22+預測IC!DP22</f>
        <v>4.0120777522953777</v>
      </c>
      <c r="DQ22" s="12">
        <f>DP22+預測IC!DQ22</f>
        <v>3.9602284189620445</v>
      </c>
      <c r="DR22" s="12">
        <f>DQ22+預測IC!DR22</f>
        <v>3.8889924189620446</v>
      </c>
      <c r="DS22" s="12">
        <f>DR22+預測IC!DS22</f>
        <v>3.6919414973996854</v>
      </c>
      <c r="DT22" s="12">
        <f>DS22+預測IC!DT22</f>
        <v>3.648259164066352</v>
      </c>
      <c r="DU22" s="12">
        <f>DT22+預測IC!DU22</f>
        <v>3.4867134973996854</v>
      </c>
      <c r="DV22" s="12">
        <f>DU22+預測IC!DV22</f>
        <v>3.5400854973996854</v>
      </c>
      <c r="DW22" s="12">
        <f>DV22+預測IC!DW22</f>
        <v>3.6184752211066824</v>
      </c>
      <c r="DX22" s="12">
        <f>DW22+預測IC!DX22</f>
        <v>3.7957382211066824</v>
      </c>
      <c r="DY22" s="12">
        <f>DX22+預測IC!DY22</f>
        <v>3.9156945544400155</v>
      </c>
      <c r="DZ22" s="12">
        <f>DY22+預測IC!DZ22</f>
        <v>4.0194425353855729</v>
      </c>
      <c r="EA22" s="12">
        <f>DZ22+預測IC!EA22</f>
        <v>4.159798868718906</v>
      </c>
      <c r="EB22" s="12">
        <f>EA22+預測IC!EB22</f>
        <v>4.0168685353855729</v>
      </c>
      <c r="EC22" s="12">
        <f>EB22+預測IC!EC22</f>
        <v>4.0383636369612113</v>
      </c>
      <c r="ED22" s="12">
        <f>EC22+預測IC!ED22</f>
        <v>4.1157772040188183</v>
      </c>
      <c r="EE22" s="12">
        <f>ED22+預測IC!EE22</f>
        <v>4.0823309002066051</v>
      </c>
      <c r="EF22" s="12">
        <f>EE22+預測IC!EF22</f>
        <v>4.1171211465787776</v>
      </c>
    </row>
    <row r="23" spans="1:136">
      <c r="A23" s="2">
        <v>482</v>
      </c>
      <c r="B23" s="2">
        <v>2</v>
      </c>
      <c r="C23" s="12">
        <v>3.4987009286289193E-2</v>
      </c>
      <c r="D23" s="12">
        <f>C23+預測IC!D23</f>
        <v>6.4797676971711279E-2</v>
      </c>
      <c r="E23" s="12">
        <f>D23+預測IC!E23</f>
        <v>0.19780267697171128</v>
      </c>
      <c r="F23" s="12">
        <f>E23+預測IC!F23</f>
        <v>0.33946758602361299</v>
      </c>
      <c r="G23" s="12">
        <f>F23+預測IC!G23</f>
        <v>0.39169175987011134</v>
      </c>
      <c r="H23" s="12">
        <f>G23+預測IC!H23</f>
        <v>0.37350325987011135</v>
      </c>
      <c r="I23" s="12">
        <f>H23+預測IC!I23</f>
        <v>0.22535123126981735</v>
      </c>
      <c r="J23" s="12">
        <f>I23+預測IC!J23</f>
        <v>0.11047573126981734</v>
      </c>
      <c r="K23" s="12">
        <f>J23+預測IC!K23</f>
        <v>0.31496520774205095</v>
      </c>
      <c r="L23" s="12">
        <f>K23+預測IC!L23</f>
        <v>0.26092167796645233</v>
      </c>
      <c r="M23" s="12">
        <f>L23+預測IC!M23</f>
        <v>0.11363217796645234</v>
      </c>
      <c r="N23" s="12">
        <f>M23+預測IC!N23</f>
        <v>-4.2787059669560451E-2</v>
      </c>
      <c r="O23" s="12">
        <f>N23+預測IC!O23</f>
        <v>-0.16568705966956043</v>
      </c>
      <c r="P23" s="12">
        <f>O23+預測IC!P23</f>
        <v>-0.11100555966956044</v>
      </c>
      <c r="Q23" s="12">
        <f>P23+預測IC!Q23</f>
        <v>0.18017194033043954</v>
      </c>
      <c r="R23" s="12">
        <f>Q23+預測IC!R23</f>
        <v>0.23638308364369459</v>
      </c>
      <c r="S23" s="12">
        <f>R23+預測IC!S23</f>
        <v>0.35010761647095667</v>
      </c>
      <c r="T23" s="12">
        <f>S23+預測IC!T23</f>
        <v>0.26543061647095667</v>
      </c>
      <c r="U23" s="12">
        <f>T23+預測IC!U23</f>
        <v>0.35918803891175105</v>
      </c>
      <c r="V23" s="12">
        <f>U23+預測IC!V23</f>
        <v>0.12671253891175105</v>
      </c>
      <c r="W23" s="12">
        <f>V23+預測IC!W23</f>
        <v>0.45833168916089556</v>
      </c>
      <c r="X23" s="12">
        <f>W23+預測IC!X23</f>
        <v>0.72241738412419287</v>
      </c>
      <c r="Y23" s="12">
        <f>X23+預測IC!Y23</f>
        <v>0.65446288412419285</v>
      </c>
      <c r="Z23" s="12">
        <f>Y23+預測IC!Z23</f>
        <v>0.69551488412419282</v>
      </c>
      <c r="AA23" s="12">
        <f>Z23+預測IC!AA23</f>
        <v>0.84716688412419283</v>
      </c>
      <c r="AB23" s="12">
        <f>AA23+預測IC!AB23</f>
        <v>0.79941888412419282</v>
      </c>
      <c r="AC23" s="12">
        <f>AB23+預測IC!AC23</f>
        <v>0.56541038412419287</v>
      </c>
      <c r="AD23" s="12">
        <f>AC23+預測IC!AD23</f>
        <v>0.63703738412419286</v>
      </c>
      <c r="AE23" s="12">
        <f>AD23+預測IC!AE23</f>
        <v>0.41532038412419287</v>
      </c>
      <c r="AF23" s="12">
        <f>AE23+預測IC!AF23</f>
        <v>0.39002088412419289</v>
      </c>
      <c r="AG23" s="12">
        <f>AF23+預測IC!AG23</f>
        <v>0.3879653841241929</v>
      </c>
      <c r="AH23" s="12">
        <f>AG23+預測IC!AH23</f>
        <v>0.30379379960100966</v>
      </c>
      <c r="AI23" s="12">
        <f>AH23+預測IC!AI23</f>
        <v>0.51294579960100961</v>
      </c>
      <c r="AJ23" s="12">
        <f>AI23+預測IC!AJ23</f>
        <v>0.51858893744916379</v>
      </c>
      <c r="AK23" s="12">
        <f>AJ23+預測IC!AK23</f>
        <v>0.63270003679635478</v>
      </c>
      <c r="AL23" s="12">
        <f>AK23+預測IC!AL23</f>
        <v>0.76413174998889044</v>
      </c>
      <c r="AM23" s="12">
        <f>AL23+預測IC!AM23</f>
        <v>0.85082674998889041</v>
      </c>
      <c r="AN23" s="12">
        <f>AM23+預測IC!AN23</f>
        <v>0.72319574998889036</v>
      </c>
      <c r="AO23" s="12">
        <f>AN23+預測IC!AO23</f>
        <v>0.71785879779746631</v>
      </c>
      <c r="AP23" s="12">
        <f>AO23+預測IC!AP23</f>
        <v>0.55259229779746633</v>
      </c>
      <c r="AQ23" s="12">
        <f>AP23+預測IC!AQ23</f>
        <v>0.45321329779746633</v>
      </c>
      <c r="AR23" s="12">
        <f>AQ23+預測IC!AR23</f>
        <v>0.30707729779746634</v>
      </c>
      <c r="AS23" s="12">
        <f>AR23+預測IC!AS23</f>
        <v>0.33924629779746635</v>
      </c>
      <c r="AT23" s="12">
        <f>AS23+預測IC!AT23</f>
        <v>0.35619729779746634</v>
      </c>
      <c r="AU23" s="12">
        <f>AT23+預測IC!AU23</f>
        <v>0.96452929779746632</v>
      </c>
      <c r="AV23" s="12">
        <f>AU23+預測IC!AV23</f>
        <v>0.86777329779746637</v>
      </c>
      <c r="AW23" s="12">
        <f>AV23+預測IC!AW23</f>
        <v>1.1942037977974664</v>
      </c>
      <c r="AX23" s="12">
        <f>AW23+預測IC!AX23</f>
        <v>1.2593427977974665</v>
      </c>
      <c r="AY23" s="12">
        <f>AX23+預測IC!AY23</f>
        <v>1.0961962977974664</v>
      </c>
      <c r="AZ23" s="12">
        <f>AY23+預測IC!AZ23</f>
        <v>1.1742672977974664</v>
      </c>
      <c r="BA23" s="12">
        <f>AZ23+預測IC!BA23</f>
        <v>1.2282652977974664</v>
      </c>
      <c r="BB23" s="12">
        <f>BA23+預測IC!BB23</f>
        <v>1.7950927977974662</v>
      </c>
      <c r="BC23" s="12">
        <f>BB23+預測IC!BC23</f>
        <v>1.6220937977974663</v>
      </c>
      <c r="BD23" s="12">
        <f>BC23+預測IC!BD23</f>
        <v>1.7480732977974662</v>
      </c>
      <c r="BE23" s="12">
        <f>BD23+預測IC!BE23</f>
        <v>1.6766425354001697</v>
      </c>
      <c r="BF23" s="12">
        <f>BE23+預測IC!BF23</f>
        <v>1.6537955447954835</v>
      </c>
      <c r="BG23" s="12">
        <f>BF23+預測IC!BG23</f>
        <v>1.6088860447954836</v>
      </c>
      <c r="BH23" s="12">
        <f>BG23+預測IC!BH23</f>
        <v>1.6624810447954836</v>
      </c>
      <c r="BI23" s="12">
        <f>BH23+預測IC!BI23</f>
        <v>1.7836900447954835</v>
      </c>
      <c r="BJ23" s="12">
        <f>BI23+預測IC!BJ23</f>
        <v>1.8411850447954836</v>
      </c>
      <c r="BK23" s="12">
        <f>BJ23+預測IC!BK23</f>
        <v>1.8890370447954836</v>
      </c>
      <c r="BL23" s="12">
        <f>BK23+預測IC!BL23</f>
        <v>2.0385713410457234</v>
      </c>
      <c r="BM23" s="12">
        <f>BL23+預測IC!BM23</f>
        <v>2.2277520278328771</v>
      </c>
      <c r="BN23" s="12">
        <f>BM23+預測IC!BN23</f>
        <v>2.189302027832877</v>
      </c>
      <c r="BO23" s="12">
        <f>BN23+預測IC!BO23</f>
        <v>2.2258269695788759</v>
      </c>
      <c r="BP23" s="12">
        <f>BO23+預測IC!BP23</f>
        <v>2.3240933687903325</v>
      </c>
      <c r="BQ23" s="12">
        <f>BP23+預測IC!BQ23</f>
        <v>2.2018748687903327</v>
      </c>
      <c r="BR23" s="12">
        <f>BQ23+預測IC!BR23</f>
        <v>2.2102298687903326</v>
      </c>
      <c r="BS23" s="12">
        <f>BR23+預測IC!BS23</f>
        <v>2.1369544801324207</v>
      </c>
      <c r="BT23" s="12">
        <f>BS23+預測IC!BT23</f>
        <v>2.2806042861584177</v>
      </c>
      <c r="BU23" s="12">
        <f>BT23+預測IC!BU23</f>
        <v>2.1749177861584177</v>
      </c>
      <c r="BV23" s="12">
        <f>BU23+預測IC!BV23</f>
        <v>2.1578972861584176</v>
      </c>
      <c r="BW23" s="12">
        <f>BV23+預測IC!BW23</f>
        <v>2.7588952861584177</v>
      </c>
      <c r="BX23" s="12">
        <f>BW23+預測IC!BX23</f>
        <v>2.6901652861584178</v>
      </c>
      <c r="BY23" s="12">
        <f>BX23+預測IC!BY23</f>
        <v>2.7301012861584177</v>
      </c>
      <c r="BZ23" s="12">
        <f>BY23+預測IC!BZ23</f>
        <v>3.0825002861584179</v>
      </c>
      <c r="CA23" s="12">
        <f>BZ23+預測IC!CA23</f>
        <v>3.2888757861584179</v>
      </c>
      <c r="CB23" s="12">
        <f>CA23+預測IC!CB23</f>
        <v>3.6050432861584181</v>
      </c>
      <c r="CC23" s="12">
        <f>CB23+預測IC!CC23</f>
        <v>3.5204982861584182</v>
      </c>
      <c r="CD23" s="12">
        <f>CC23+預測IC!CD23</f>
        <v>3.6617407861584184</v>
      </c>
      <c r="CE23" s="12">
        <f>CD23+預測IC!CE23</f>
        <v>3.7783653929548797</v>
      </c>
      <c r="CF23" s="12">
        <f>CE23+預測IC!CF23</f>
        <v>3.6212304831637145</v>
      </c>
      <c r="CG23" s="12">
        <f>CF23+預測IC!CG23</f>
        <v>3.9141339831637145</v>
      </c>
      <c r="CH23" s="12">
        <f>CG23+預測IC!CH23</f>
        <v>3.9360844831637145</v>
      </c>
      <c r="CI23" s="12">
        <f>CH23+預測IC!CI23</f>
        <v>3.8769619831637145</v>
      </c>
      <c r="CJ23" s="12">
        <f>CI23+預測IC!CJ23</f>
        <v>3.9152174831637145</v>
      </c>
      <c r="CK23" s="12">
        <f>CJ23+預測IC!CK23</f>
        <v>3.8586259831637144</v>
      </c>
      <c r="CL23" s="12">
        <f>CK23+預測IC!CL23</f>
        <v>4.2672869958311326</v>
      </c>
      <c r="CM23" s="12">
        <f>CL23+預測IC!CM23</f>
        <v>3.8805540493082233</v>
      </c>
      <c r="CN23" s="12">
        <f>CM23+預測IC!CN23</f>
        <v>3.9305260493082232</v>
      </c>
      <c r="CO23" s="12">
        <f>CN23+預測IC!CO23</f>
        <v>4.8394493366738427</v>
      </c>
      <c r="CP23" s="12">
        <f>CO23+預測IC!CP23</f>
        <v>4.7197318366738426</v>
      </c>
      <c r="CQ23" s="12">
        <f>CP23+預測IC!CQ23</f>
        <v>4.6524218366738426</v>
      </c>
      <c r="CR23" s="12">
        <f>CQ23+預測IC!CR23</f>
        <v>4.6408240328527643</v>
      </c>
      <c r="CS23" s="12">
        <f>CR23+預測IC!CS23</f>
        <v>4.6777982518440426</v>
      </c>
      <c r="CT23" s="12">
        <f>CS23+預測IC!CT23</f>
        <v>4.7431897518440422</v>
      </c>
      <c r="CU23" s="12">
        <f>CT23+預測IC!CU23</f>
        <v>4.7642463475573296</v>
      </c>
      <c r="CV23" s="12">
        <f>CU23+預測IC!CV23</f>
        <v>4.7864914850461355</v>
      </c>
      <c r="CW23" s="12">
        <f>CV23+預測IC!CW23</f>
        <v>4.6855901532437167</v>
      </c>
      <c r="CX23" s="12">
        <f>CW23+預測IC!CX23</f>
        <v>4.7743071473402434</v>
      </c>
      <c r="CY23" s="12">
        <f>CX23+預測IC!CY23</f>
        <v>4.9280576473402435</v>
      </c>
      <c r="CZ23" s="12">
        <f>CY23+預測IC!CZ23</f>
        <v>5.0940631473402433</v>
      </c>
      <c r="DA23" s="12">
        <f>CZ23+預測IC!DA23</f>
        <v>5.1250452835661537</v>
      </c>
      <c r="DB23" s="12">
        <f>DA23+預測IC!DB23</f>
        <v>5.1437932835661542</v>
      </c>
      <c r="DC23" s="12">
        <f>DB23+預測IC!DC23</f>
        <v>5.2162082835661545</v>
      </c>
      <c r="DD23" s="12">
        <f>DC23+預測IC!DD23</f>
        <v>5.1977982835661543</v>
      </c>
      <c r="DE23" s="12">
        <f>DD23+預測IC!DE23</f>
        <v>5.0563537835661538</v>
      </c>
      <c r="DF23" s="12">
        <f>DE23+預測IC!DF23</f>
        <v>5.4651512835661542</v>
      </c>
      <c r="DG23" s="12">
        <f>DF23+預測IC!DG23</f>
        <v>5.3975287835661545</v>
      </c>
      <c r="DH23" s="12">
        <f>DG23+預測IC!DH23</f>
        <v>5.5367567835661546</v>
      </c>
      <c r="DI23" s="12">
        <f>DH23+預測IC!DI23</f>
        <v>5.6327977835661542</v>
      </c>
      <c r="DJ23" s="12">
        <f>DI23+預測IC!DJ23</f>
        <v>5.5989747835661543</v>
      </c>
      <c r="DK23" s="12">
        <f>DJ23+預測IC!DK23</f>
        <v>5.5077312835661543</v>
      </c>
      <c r="DL23" s="12">
        <f>DK23+預測IC!DL23</f>
        <v>5.4511252835661539</v>
      </c>
      <c r="DM23" s="12">
        <f>DL23+預測IC!DM23</f>
        <v>5.4976022835661542</v>
      </c>
      <c r="DN23" s="12">
        <f>DM23+預測IC!DN23</f>
        <v>5.5040994796101241</v>
      </c>
      <c r="DO23" s="12">
        <f>DN23+預測IC!DO23</f>
        <v>5.6281674796101244</v>
      </c>
      <c r="DP23" s="12">
        <f>DO23+預測IC!DP23</f>
        <v>5.6752557122658471</v>
      </c>
      <c r="DQ23" s="12">
        <f>DP23+預測IC!DQ23</f>
        <v>5.5541252122658475</v>
      </c>
      <c r="DR23" s="12">
        <f>DQ23+預測IC!DR23</f>
        <v>5.4516997122658477</v>
      </c>
      <c r="DS23" s="12">
        <f>DR23+預測IC!DS23</f>
        <v>5.1636031353468015</v>
      </c>
      <c r="DT23" s="12">
        <f>DS23+預測IC!DT23</f>
        <v>5.1093526353468013</v>
      </c>
      <c r="DU23" s="12">
        <f>DT23+預測IC!DU23</f>
        <v>5.0537146353468012</v>
      </c>
      <c r="DV23" s="12">
        <f>DU23+預測IC!DV23</f>
        <v>5.0618476353468012</v>
      </c>
      <c r="DW23" s="12">
        <f>DV23+預測IC!DW23</f>
        <v>5.2030758679296394</v>
      </c>
      <c r="DX23" s="12">
        <f>DW23+預測IC!DX23</f>
        <v>5.5225243679296394</v>
      </c>
      <c r="DY23" s="12">
        <f>DX23+預測IC!DY23</f>
        <v>5.4685993679296399</v>
      </c>
      <c r="DZ23" s="12">
        <f>DY23+預測IC!DZ23</f>
        <v>5.5714723865561524</v>
      </c>
      <c r="EA23" s="12">
        <f>DZ23+預測IC!EA23</f>
        <v>5.5427153865561527</v>
      </c>
      <c r="EB23" s="12">
        <f>EA23+預測IC!EB23</f>
        <v>5.4044868865561524</v>
      </c>
      <c r="EC23" s="12">
        <f>EB23+預測IC!EC23</f>
        <v>5.3679025702303393</v>
      </c>
      <c r="ED23" s="12">
        <f>EC23+預測IC!ED23</f>
        <v>5.4593284748501203</v>
      </c>
      <c r="EE23" s="12">
        <f>ED23+預測IC!EE23</f>
        <v>5.40027779096188</v>
      </c>
      <c r="EF23" s="12">
        <f>EE23+預測IC!EF23</f>
        <v>5.4480600695535397</v>
      </c>
    </row>
    <row r="24" spans="1:136">
      <c r="A24" s="2">
        <v>964</v>
      </c>
      <c r="B24" s="2">
        <v>1</v>
      </c>
      <c r="C24" s="12">
        <v>-0.162993136931085</v>
      </c>
      <c r="D24" s="12">
        <f>C24+預測IC!D24</f>
        <v>-5.89441269586721E-2</v>
      </c>
      <c r="E24" s="12">
        <f>D24+預測IC!E24</f>
        <v>0.22556787304132789</v>
      </c>
      <c r="F24" s="12">
        <f>E24+預測IC!F24</f>
        <v>0.45272741967807673</v>
      </c>
      <c r="G24" s="12">
        <f>F24+預測IC!G24</f>
        <v>0.22696739662050433</v>
      </c>
      <c r="H24" s="12">
        <f>G24+預測IC!H24</f>
        <v>0.26282339662050436</v>
      </c>
      <c r="I24" s="12">
        <f>H24+預測IC!I24</f>
        <v>0.26493532982364787</v>
      </c>
      <c r="J24" s="12">
        <f>I24+預測IC!J24</f>
        <v>0.14947432982364789</v>
      </c>
      <c r="K24" s="12">
        <f>J24+預測IC!K24</f>
        <v>0.170989608178608</v>
      </c>
      <c r="L24" s="12">
        <f>K24+預測IC!L24</f>
        <v>7.5366357669925887E-2</v>
      </c>
      <c r="M24" s="12">
        <f>L24+預測IC!M24</f>
        <v>-0.14241964233007412</v>
      </c>
      <c r="N24" s="12">
        <f>M24+預測IC!N24</f>
        <v>-0.2865500947305073</v>
      </c>
      <c r="O24" s="12">
        <f>N24+預測IC!O24</f>
        <v>-0.53083009473050735</v>
      </c>
      <c r="P24" s="12">
        <f>O24+預測IC!P24</f>
        <v>-0.52909409473050739</v>
      </c>
      <c r="Q24" s="12">
        <f>P24+預測IC!Q24</f>
        <v>-0.53193409473050735</v>
      </c>
      <c r="R24" s="12">
        <f>Q24+預測IC!R24</f>
        <v>-0.28623672395124766</v>
      </c>
      <c r="S24" s="12">
        <f>R24+預測IC!S24</f>
        <v>6.6277737108916712E-2</v>
      </c>
      <c r="T24" s="12">
        <f>S24+預測IC!T24</f>
        <v>-0.22154226289108331</v>
      </c>
      <c r="U24" s="12">
        <f>T24+預測IC!U24</f>
        <v>-7.3023588667165296E-2</v>
      </c>
      <c r="V24" s="12">
        <f>U24+預測IC!V24</f>
        <v>-0.17170358866716529</v>
      </c>
      <c r="W24" s="12">
        <f>V24+預測IC!W24</f>
        <v>0.32400839728877734</v>
      </c>
      <c r="X24" s="12">
        <f>W24+預測IC!X24</f>
        <v>0.44203082979478125</v>
      </c>
      <c r="Y24" s="12">
        <f>X24+預測IC!Y24</f>
        <v>0.32171182979478125</v>
      </c>
      <c r="Z24" s="12">
        <f>Y24+預測IC!Z24</f>
        <v>0.29731682979478125</v>
      </c>
      <c r="AA24" s="12">
        <f>Z24+預測IC!AA24</f>
        <v>0.39167882979478125</v>
      </c>
      <c r="AB24" s="12">
        <f>AA24+預測IC!AB24</f>
        <v>0.20742982979478125</v>
      </c>
      <c r="AC24" s="12">
        <f>AB24+預測IC!AC24</f>
        <v>-3.8740170205218749E-2</v>
      </c>
      <c r="AD24" s="12">
        <f>AC24+預測IC!AD24</f>
        <v>6.2433829794781251E-2</v>
      </c>
      <c r="AE24" s="12">
        <f>AD24+預測IC!AE24</f>
        <v>-0.11283717020521876</v>
      </c>
      <c r="AF24" s="12">
        <f>AE24+預測IC!AF24</f>
        <v>-0.27853917020521873</v>
      </c>
      <c r="AG24" s="12">
        <f>AF24+預測IC!AG24</f>
        <v>-0.17263817020521874</v>
      </c>
      <c r="AH24" s="12">
        <f>AG24+預測IC!AH24</f>
        <v>-0.22933553027300832</v>
      </c>
      <c r="AI24" s="12">
        <f>AH24+預測IC!AI24</f>
        <v>8.1078469726991703E-2</v>
      </c>
      <c r="AJ24" s="12">
        <f>AI24+預測IC!AJ24</f>
        <v>1.8722572761631362E-4</v>
      </c>
      <c r="AK24" s="12">
        <f>AJ24+預測IC!AK24</f>
        <v>8.5071178795808611E-2</v>
      </c>
      <c r="AL24" s="12">
        <f>AK24+預測IC!AL24</f>
        <v>3.0394243305173228E-2</v>
      </c>
      <c r="AM24" s="12">
        <f>AL24+預測IC!AM24</f>
        <v>0.10899324330517324</v>
      </c>
      <c r="AN24" s="12">
        <f>AM24+預測IC!AN24</f>
        <v>-5.3948756694826766E-2</v>
      </c>
      <c r="AO24" s="12">
        <f>AN24+預測IC!AO24</f>
        <v>1.2141355134163256E-2</v>
      </c>
      <c r="AP24" s="12">
        <f>AO24+預測IC!AP24</f>
        <v>-0.15234364486583674</v>
      </c>
      <c r="AQ24" s="12">
        <f>AP24+預測IC!AQ24</f>
        <v>-0.36946764486583672</v>
      </c>
      <c r="AR24" s="12">
        <f>AQ24+預測IC!AR24</f>
        <v>-0.54030064486583673</v>
      </c>
      <c r="AS24" s="12">
        <f>AR24+預測IC!AS24</f>
        <v>-0.30246864486583674</v>
      </c>
      <c r="AT24" s="12">
        <f>AS24+預測IC!AT24</f>
        <v>-0.29654064486583676</v>
      </c>
      <c r="AU24" s="12">
        <f>AT24+預測IC!AU24</f>
        <v>0.18051335513416322</v>
      </c>
      <c r="AV24" s="12">
        <f>AU24+預測IC!AV24</f>
        <v>0.16099135513416321</v>
      </c>
      <c r="AW24" s="12">
        <f>AV24+預測IC!AW24</f>
        <v>0.28129735513416321</v>
      </c>
      <c r="AX24" s="12">
        <f>AW24+預測IC!AX24</f>
        <v>0.25573935513416318</v>
      </c>
      <c r="AY24" s="12">
        <f>AX24+預測IC!AY24</f>
        <v>-0.18773164486583682</v>
      </c>
      <c r="AZ24" s="12">
        <f>AY24+預測IC!AZ24</f>
        <v>-6.9109644865836817E-2</v>
      </c>
      <c r="BA24" s="12">
        <f>AZ24+預測IC!BA24</f>
        <v>-1.8618644865836816E-2</v>
      </c>
      <c r="BB24" s="12">
        <f>BA24+預測IC!BB24</f>
        <v>0.67215735513416308</v>
      </c>
      <c r="BC24" s="12">
        <f>BB24+預測IC!BC24</f>
        <v>0.46640735513416309</v>
      </c>
      <c r="BD24" s="12">
        <f>BC24+預測IC!BD24</f>
        <v>0.48504735513416308</v>
      </c>
      <c r="BE24" s="12">
        <f>BD24+預測IC!BE24</f>
        <v>0.43898300110247623</v>
      </c>
      <c r="BF24" s="12">
        <f>BE24+預測IC!BF24</f>
        <v>0.52663433715656849</v>
      </c>
      <c r="BG24" s="12">
        <f>BF24+預測IC!BG24</f>
        <v>0.35001033715656849</v>
      </c>
      <c r="BH24" s="12">
        <f>BG24+預測IC!BH24</f>
        <v>0.35958033715656851</v>
      </c>
      <c r="BI24" s="12">
        <f>BH24+預測IC!BI24</f>
        <v>0.52884833715656854</v>
      </c>
      <c r="BJ24" s="12">
        <f>BI24+預測IC!BJ24</f>
        <v>0.72848833715656858</v>
      </c>
      <c r="BK24" s="12">
        <f>BJ24+預測IC!BK24</f>
        <v>0.7633183371565686</v>
      </c>
      <c r="BL24" s="12">
        <f>BK24+預測IC!BL24</f>
        <v>1.0804826310812852</v>
      </c>
      <c r="BM24" s="12">
        <f>BL24+預測IC!BM24</f>
        <v>1.0919556501990224</v>
      </c>
      <c r="BN24" s="12">
        <f>BM24+預測IC!BN24</f>
        <v>0.98304465019902243</v>
      </c>
      <c r="BO24" s="12">
        <f>BN24+預測IC!BO24</f>
        <v>0.82193495910338055</v>
      </c>
      <c r="BP24" s="12">
        <f>BO24+預測IC!BP24</f>
        <v>0.94528614023270241</v>
      </c>
      <c r="BQ24" s="12">
        <f>BP24+預測IC!BQ24</f>
        <v>0.65343314023270249</v>
      </c>
      <c r="BR24" s="12">
        <f>BQ24+預測IC!BR24</f>
        <v>0.64373314023270245</v>
      </c>
      <c r="BS24" s="12">
        <f>BR24+預測IC!BS24</f>
        <v>0.64244842274824554</v>
      </c>
      <c r="BT24" s="12">
        <f>BS24+預測IC!BT24</f>
        <v>0.75871911880243281</v>
      </c>
      <c r="BU24" s="12">
        <f>BT24+預測IC!BU24</f>
        <v>0.74997011880243281</v>
      </c>
      <c r="BV24" s="12">
        <f>BU24+預測IC!BV24</f>
        <v>0.54666311880243279</v>
      </c>
      <c r="BW24" s="12">
        <f>BV24+預測IC!BW24</f>
        <v>1.6556781188024328</v>
      </c>
      <c r="BX24" s="12">
        <f>BW24+預測IC!BX24</f>
        <v>1.5517281188024328</v>
      </c>
      <c r="BY24" s="12">
        <f>BX24+預測IC!BY24</f>
        <v>1.2613881188024327</v>
      </c>
      <c r="BZ24" s="12">
        <f>BY24+預測IC!BZ24</f>
        <v>2.0753461188024325</v>
      </c>
      <c r="CA24" s="12">
        <f>BZ24+預測IC!CA24</f>
        <v>2.1753741188024325</v>
      </c>
      <c r="CB24" s="12">
        <f>CA24+預測IC!CB24</f>
        <v>2.8150731188024327</v>
      </c>
      <c r="CC24" s="12">
        <f>CB24+預測IC!CC24</f>
        <v>2.6326031188024328</v>
      </c>
      <c r="CD24" s="12">
        <f>CC24+預測IC!CD24</f>
        <v>2.6625571188024328</v>
      </c>
      <c r="CE24" s="12">
        <f>CD24+預測IC!CE24</f>
        <v>2.8726785540385213</v>
      </c>
      <c r="CF24" s="12">
        <f>CE24+預測IC!CF24</f>
        <v>2.6509571917931329</v>
      </c>
      <c r="CG24" s="12">
        <f>CF24+預測IC!CG24</f>
        <v>2.8882341917931331</v>
      </c>
      <c r="CH24" s="12">
        <f>CG24+預測IC!CH24</f>
        <v>3.0338771917931333</v>
      </c>
      <c r="CI24" s="12">
        <f>CH24+預測IC!CI24</f>
        <v>2.9753691917931335</v>
      </c>
      <c r="CJ24" s="12">
        <f>CI24+預測IC!CJ24</f>
        <v>3.0325431917931334</v>
      </c>
      <c r="CK24" s="12">
        <f>CJ24+預測IC!CK24</f>
        <v>3.0644031917931334</v>
      </c>
      <c r="CL24" s="12">
        <f>CK24+預測IC!CL24</f>
        <v>2.9226478584205928</v>
      </c>
      <c r="CM24" s="12">
        <f>CL24+預測IC!CM24</f>
        <v>2.3730607484614925</v>
      </c>
      <c r="CN24" s="12">
        <f>CM24+預測IC!CN24</f>
        <v>2.3879817484614927</v>
      </c>
      <c r="CO24" s="12">
        <f>CN24+預測IC!CO24</f>
        <v>3.164634966797724</v>
      </c>
      <c r="CP24" s="12">
        <f>CO24+預測IC!CP24</f>
        <v>2.9152979667977239</v>
      </c>
      <c r="CQ24" s="12">
        <f>CP24+預測IC!CQ24</f>
        <v>2.7376979667977239</v>
      </c>
      <c r="CR24" s="12">
        <f>CQ24+預測IC!CR24</f>
        <v>2.6766131285581674</v>
      </c>
      <c r="CS24" s="12">
        <f>CR24+預測IC!CS24</f>
        <v>2.762508361304973</v>
      </c>
      <c r="CT24" s="12">
        <f>CS24+預測IC!CT24</f>
        <v>2.642966361304973</v>
      </c>
      <c r="CU24" s="12">
        <f>CT24+預測IC!CU24</f>
        <v>2.7157177089616829</v>
      </c>
      <c r="CV24" s="12">
        <f>CU24+預測IC!CV24</f>
        <v>2.7006536614223076</v>
      </c>
      <c r="CW24" s="12">
        <f>CV24+預測IC!CW24</f>
        <v>2.5255364953503001</v>
      </c>
      <c r="CX24" s="12">
        <f>CW24+預測IC!CX24</f>
        <v>2.470329301641613</v>
      </c>
      <c r="CY24" s="12">
        <f>CX24+預測IC!CY24</f>
        <v>2.791477301641613</v>
      </c>
      <c r="CZ24" s="12">
        <f>CY24+預測IC!CZ24</f>
        <v>3.1140683016416131</v>
      </c>
      <c r="DA24" s="12">
        <f>CZ24+預測IC!DA24</f>
        <v>3.0895570974788584</v>
      </c>
      <c r="DB24" s="12">
        <f>DA24+預測IC!DB24</f>
        <v>3.0730570974788582</v>
      </c>
      <c r="DC24" s="12">
        <f>DB24+預測IC!DC24</f>
        <v>3.2526070974788581</v>
      </c>
      <c r="DD24" s="12">
        <f>DC24+預測IC!DD24</f>
        <v>3.3019070974788582</v>
      </c>
      <c r="DE24" s="12">
        <f>DD24+預測IC!DE24</f>
        <v>2.9952680974788581</v>
      </c>
      <c r="DF24" s="12">
        <f>DE24+預測IC!DF24</f>
        <v>3.5208560974788581</v>
      </c>
      <c r="DG24" s="12">
        <f>DF24+預測IC!DG24</f>
        <v>3.4013110974788581</v>
      </c>
      <c r="DH24" s="12">
        <f>DG24+預測IC!DH24</f>
        <v>3.6671160974788579</v>
      </c>
      <c r="DI24" s="12">
        <f>DH24+預測IC!DI24</f>
        <v>3.7043010974788579</v>
      </c>
      <c r="DJ24" s="12">
        <f>DI24+預測IC!DJ24</f>
        <v>3.7253810974788579</v>
      </c>
      <c r="DK24" s="12">
        <f>DJ24+預測IC!DK24</f>
        <v>3.6057020974788578</v>
      </c>
      <c r="DL24" s="12">
        <f>DK24+預測IC!DL24</f>
        <v>3.5739530974788578</v>
      </c>
      <c r="DM24" s="12">
        <f>DL24+預測IC!DM24</f>
        <v>3.5743630974788578</v>
      </c>
      <c r="DN24" s="12">
        <f>DM24+預測IC!DN24</f>
        <v>3.8076976682535539</v>
      </c>
      <c r="DO24" s="12">
        <f>DN24+預測IC!DO24</f>
        <v>3.923312668253554</v>
      </c>
      <c r="DP24" s="12">
        <f>DO24+預測IC!DP24</f>
        <v>4.037686093739568</v>
      </c>
      <c r="DQ24" s="12">
        <f>DP24+預測IC!DQ24</f>
        <v>3.9872000937395682</v>
      </c>
      <c r="DR24" s="12">
        <f>DQ24+預測IC!DR24</f>
        <v>3.9638080937395683</v>
      </c>
      <c r="DS24" s="12">
        <f>DR24+預測IC!DS24</f>
        <v>3.7475465527067229</v>
      </c>
      <c r="DT24" s="12">
        <f>DS24+預測IC!DT24</f>
        <v>3.6728135527067227</v>
      </c>
      <c r="DU24" s="12">
        <f>DT24+預測IC!DU24</f>
        <v>3.6945955527067227</v>
      </c>
      <c r="DV24" s="12">
        <f>DU24+預測IC!DV24</f>
        <v>3.7926425527067229</v>
      </c>
      <c r="DW24" s="12">
        <f>DV24+預測IC!DW24</f>
        <v>3.9014996425980533</v>
      </c>
      <c r="DX24" s="12">
        <f>DW24+預測IC!DX24</f>
        <v>4.1874286425980536</v>
      </c>
      <c r="DY24" s="12">
        <f>DX24+預測IC!DY24</f>
        <v>4.1841886425980537</v>
      </c>
      <c r="DZ24" s="12">
        <f>DY24+預測IC!DZ24</f>
        <v>4.2346578250011699</v>
      </c>
      <c r="EA24" s="12">
        <f>DZ24+預測IC!EA24</f>
        <v>4.1797408250011703</v>
      </c>
      <c r="EB24" s="12">
        <f>EA24+預測IC!EB24</f>
        <v>4.07050982500117</v>
      </c>
      <c r="EC24" s="12">
        <f>EB24+預測IC!EC24</f>
        <v>4.056199906230491</v>
      </c>
      <c r="ED24" s="12">
        <f>EC24+預測IC!ED24</f>
        <v>4.1123727515288531</v>
      </c>
      <c r="EE24" s="12">
        <f>ED24+預測IC!EE24</f>
        <v>3.9989433123376341</v>
      </c>
      <c r="EF24" s="12">
        <f>EE24+預測IC!EF24</f>
        <v>3.9316666352936656</v>
      </c>
    </row>
    <row r="25" spans="1:136">
      <c r="A25" s="2" t="s">
        <v>144</v>
      </c>
      <c r="B25" s="2" t="s">
        <v>145</v>
      </c>
      <c r="C25" s="4">
        <v>-1.7446770539390338E-2</v>
      </c>
      <c r="D25" s="4">
        <f>C25+預測IC!D26</f>
        <v>3.2542899924252917E-3</v>
      </c>
      <c r="E25" s="4">
        <f>D25+預測IC!E26</f>
        <v>2.7236419247192001E-2</v>
      </c>
      <c r="F25" s="4">
        <f>E25+預測IC!F26</f>
        <v>2.0678840274368924E-2</v>
      </c>
      <c r="G25" s="4">
        <f>F25+預測IC!G26</f>
        <v>5.2523970074888612E-2</v>
      </c>
      <c r="H25" s="4">
        <f>G25+預測IC!H26</f>
        <v>8.6872502811879138E-2</v>
      </c>
      <c r="I25" s="4">
        <f>H25+預測IC!I26</f>
        <v>7.8617570030553904E-2</v>
      </c>
      <c r="J25" s="4">
        <f>I25+預測IC!J26</f>
        <v>9.1461094424606662E-2</v>
      </c>
      <c r="K25" s="4">
        <f>J25+預測IC!K26</f>
        <v>4.0442569797815839E-2</v>
      </c>
      <c r="L25" s="4">
        <f>K25+預測IC!L26</f>
        <v>4.1316512538852428E-2</v>
      </c>
      <c r="M25" s="4">
        <f>L25+預測IC!M26</f>
        <v>6.4706088044348353E-2</v>
      </c>
      <c r="N25" s="4">
        <f>M25+預測IC!N26</f>
        <v>7.7695060244681202E-2</v>
      </c>
      <c r="O25" s="4">
        <f>N25+預測IC!O26</f>
        <v>8.3549648970316082E-2</v>
      </c>
      <c r="P25" s="4">
        <f>O25+預測IC!P26</f>
        <v>0.11096285554210664</v>
      </c>
      <c r="Q25" s="4">
        <f>P25+預測IC!Q26</f>
        <v>0.10724991942441378</v>
      </c>
      <c r="R25" s="4">
        <f>Q25+預測IC!R26</f>
        <v>0.13132653347223711</v>
      </c>
      <c r="S25" s="4">
        <f>R25+預測IC!S26</f>
        <v>0.11913650817319715</v>
      </c>
      <c r="T25" s="4">
        <f>S25+預測IC!T26</f>
        <v>7.9386930013607554E-2</v>
      </c>
      <c r="U25" s="4">
        <f>T25+預測IC!U26</f>
        <v>6.2314801819580018E-3</v>
      </c>
      <c r="V25" s="4">
        <f>U25+預測IC!V26</f>
        <v>-5.2028749728156659E-2</v>
      </c>
      <c r="W25" s="4">
        <f>V25+預測IC!W26</f>
        <v>-5.1255952162648284E-2</v>
      </c>
      <c r="X25" s="4">
        <f>W25+預測IC!X26</f>
        <v>-6.6644310274293142E-3</v>
      </c>
      <c r="Y25" s="4">
        <f>X25+預測IC!Y26</f>
        <v>-3.4364111077642409E-2</v>
      </c>
      <c r="Z25" s="4">
        <f>Y25+預測IC!Z26</f>
        <v>-3.226910512789876E-2</v>
      </c>
      <c r="AA25" s="4">
        <f>Z25+預測IC!AA26</f>
        <v>-5.5669656120462874E-2</v>
      </c>
      <c r="AB25" s="4">
        <f>AA25+預測IC!AB26</f>
        <v>-2.3540285023140685E-2</v>
      </c>
      <c r="AC25" s="4">
        <f>AB25+預測IC!AC26</f>
        <v>1.5362988070925745E-2</v>
      </c>
      <c r="AD25" s="4">
        <f>AC25+預測IC!AD26</f>
        <v>-2.7502394100178525E-2</v>
      </c>
      <c r="AE25" s="4">
        <f>AD25+預測IC!AE26</f>
        <v>-8.8551995500263658E-3</v>
      </c>
      <c r="AF25" s="4">
        <f>AE25+預測IC!AF26</f>
        <v>6.3745687725025833E-3</v>
      </c>
      <c r="AG25" s="4">
        <f>AF25+預測IC!AG26</f>
        <v>4.2391172551395004E-2</v>
      </c>
      <c r="AH25" s="4">
        <f>AG25+預測IC!AH26</f>
        <v>5.174578393671117E-2</v>
      </c>
      <c r="AI25" s="4">
        <f>AH25+預測IC!AI26</f>
        <v>6.2494035273549312E-2</v>
      </c>
      <c r="AJ25" s="4">
        <f>AI25+預測IC!AJ26</f>
        <v>7.5851789326630281E-2</v>
      </c>
      <c r="AK25" s="4">
        <f>AJ25+預測IC!AK26</f>
        <v>7.0519041997534893E-2</v>
      </c>
      <c r="AL25" s="4">
        <f>AK25+預測IC!AL26</f>
        <v>7.1902177804796574E-2</v>
      </c>
      <c r="AM25" s="4">
        <f>AL25+預測IC!AM26</f>
        <v>9.2698106224871041E-2</v>
      </c>
      <c r="AN25" s="4">
        <f>AM25+預測IC!AN26</f>
        <v>0.12421580844526167</v>
      </c>
      <c r="AO25" s="4">
        <f>AN25+預測IC!AO26</f>
        <v>0.13045752497859112</v>
      </c>
      <c r="AP25" s="4">
        <f>AO25+預測IC!AP26</f>
        <v>0.13660278663216249</v>
      </c>
      <c r="AQ25" s="4">
        <f>AP25+預測IC!AQ26</f>
        <v>0.15354914430885899</v>
      </c>
      <c r="AR25" s="4">
        <f>AQ25+預測IC!AR26</f>
        <v>0.18823197476316722</v>
      </c>
      <c r="AS25" s="4">
        <f>AR25+預測IC!AS26</f>
        <v>0.19133056338036419</v>
      </c>
      <c r="AT25" s="4">
        <f>AS25+預測IC!AT26</f>
        <v>0.2064119105238503</v>
      </c>
      <c r="AU25" s="4">
        <f>AT25+預測IC!AU26</f>
        <v>0.18716070129398632</v>
      </c>
      <c r="AV25" s="4">
        <f>AU25+預測IC!AV26</f>
        <v>0.22587221468161775</v>
      </c>
      <c r="AW25" s="4">
        <f>AV25+預測IC!AW26</f>
        <v>0.20401526354588115</v>
      </c>
      <c r="AX25" s="4">
        <f>AW25+預測IC!AX26</f>
        <v>0.21178956425567083</v>
      </c>
      <c r="AY25" s="4">
        <f>AX25+預測IC!AY26</f>
        <v>0.25418681095099677</v>
      </c>
      <c r="AZ25" s="4">
        <f>AY25+預測IC!AZ26</f>
        <v>0.22787783608983703</v>
      </c>
      <c r="BA25" s="4">
        <f>AZ25+預測IC!BA26</f>
        <v>0.23744958539855326</v>
      </c>
      <c r="BB25" s="4">
        <f>BA25+預測IC!BB26</f>
        <v>0.21319984413227844</v>
      </c>
      <c r="BC25" s="4">
        <f>BB25+預測IC!BC26</f>
        <v>0.23336321827619427</v>
      </c>
      <c r="BD25" s="4">
        <f>BC25+預測IC!BD26</f>
        <v>0.22985821949407825</v>
      </c>
      <c r="BE25" s="4">
        <f>BD25+預測IC!BE26</f>
        <v>0.25001015459262055</v>
      </c>
      <c r="BF25" s="4">
        <f>BE25+預測IC!BF26</f>
        <v>0.25059149082339083</v>
      </c>
      <c r="BG25" s="4">
        <f>BF25+預測IC!BG26</f>
        <v>0.24537178987013822</v>
      </c>
      <c r="BH25" s="4">
        <f>BG25+預測IC!BH26</f>
        <v>0.12950002846800823</v>
      </c>
      <c r="BI25" s="4">
        <f>BH25+預測IC!BI26</f>
        <v>0.13822525416044559</v>
      </c>
      <c r="BJ25" s="4">
        <f>BI25+預測IC!BJ26</f>
        <v>0.12184799318262345</v>
      </c>
      <c r="BK25" s="4">
        <f>BJ25+預測IC!BK26</f>
        <v>0.14268836478288388</v>
      </c>
      <c r="BL25" s="4">
        <f>BK25+預測IC!BL26</f>
        <v>0.18766423688499859</v>
      </c>
      <c r="BM25" s="4">
        <f>BL25+預測IC!BM26</f>
        <v>0.21161854296686244</v>
      </c>
      <c r="BN25" s="4">
        <f>BM25+預測IC!BN26</f>
        <v>0.24185764435830504</v>
      </c>
      <c r="BO25" s="4">
        <f>BN25+預測IC!BO26</f>
        <v>0.19813175676721753</v>
      </c>
      <c r="BP25" s="4">
        <f>BO25+預測IC!BP26</f>
        <v>0.22002122633541615</v>
      </c>
      <c r="BQ25" s="4">
        <f>BP25+預測IC!BQ26</f>
        <v>0.22864865659892455</v>
      </c>
      <c r="BR25" s="4">
        <f>BQ25+預測IC!BR26</f>
        <v>0.20945570260426577</v>
      </c>
      <c r="BS25" s="4">
        <f>BR25+預測IC!BS26</f>
        <v>0.22919083249239883</v>
      </c>
      <c r="BT25" s="4">
        <f>BS25+預測IC!BT26</f>
        <v>0.27688516997609824</v>
      </c>
      <c r="BU25" s="4">
        <f>BT25+預測IC!BU26</f>
        <v>0.28833998678268163</v>
      </c>
      <c r="BV25" s="4">
        <f>BU25+預測IC!BV26</f>
        <v>0.33156860751789485</v>
      </c>
      <c r="BW25" s="4">
        <f>BV25+預測IC!BW26</f>
        <v>0.28882117708097205</v>
      </c>
      <c r="BX25" s="4">
        <f>BW25+預測IC!BX26</f>
        <v>0.27100988465317749</v>
      </c>
      <c r="BY25" s="4">
        <f>BX25+預測IC!BY26</f>
        <v>0.11985678778410189</v>
      </c>
      <c r="BZ25" s="4">
        <f>BY25+預測IC!BZ26</f>
        <v>0.24408079140367717</v>
      </c>
      <c r="CA25" s="4">
        <f>BZ25+預測IC!CA26</f>
        <v>0.23952353755914751</v>
      </c>
      <c r="CB25" s="4">
        <f>CA25+預測IC!CB26</f>
        <v>0.29973477776405871</v>
      </c>
      <c r="CC25" s="4">
        <f>CB25+預測IC!CC26</f>
        <v>0.385726811246561</v>
      </c>
      <c r="CD25" s="4">
        <f>CC25+預測IC!CD26</f>
        <v>0.37991833166419492</v>
      </c>
      <c r="CE25" s="4">
        <f>CD25+預測IC!CE26</f>
        <v>0.37387698467522684</v>
      </c>
      <c r="CF25" s="4">
        <f>CE25+預測IC!CF26</f>
        <v>0.37632930904747891</v>
      </c>
      <c r="CG25" s="4">
        <f>CF25+預測IC!CG26</f>
        <v>0.46596556098450181</v>
      </c>
      <c r="CH25" s="4">
        <f>CG25+預測IC!CH26</f>
        <v>0.53695829351125968</v>
      </c>
      <c r="CI25" s="4">
        <f>CH25+預測IC!CI26</f>
        <v>0.56412893641304307</v>
      </c>
      <c r="CJ25" s="4">
        <f>CI25+預測IC!CJ26</f>
        <v>0.61659736483837313</v>
      </c>
      <c r="CK25" s="4">
        <f>CJ25+預測IC!CK26</f>
        <v>0.64607802578142259</v>
      </c>
      <c r="CL25" s="4">
        <f>CK25+預測IC!CL26</f>
        <v>0.71290310684162383</v>
      </c>
      <c r="CM25" s="4">
        <f>CL25+預測IC!CM26</f>
        <v>0.68413087782180682</v>
      </c>
      <c r="CN25" s="4">
        <f>CM25+預測IC!CN26</f>
        <v>0.72359339372344467</v>
      </c>
      <c r="CO25" s="4">
        <f>CN25+預測IC!CO26</f>
        <v>0.69456230674608477</v>
      </c>
      <c r="CP25" s="4">
        <f>CO25+預測IC!CP26</f>
        <v>0.70854618926555268</v>
      </c>
      <c r="CQ25" s="4">
        <f>CP25+預測IC!CQ26</f>
        <v>0.67626922430621883</v>
      </c>
      <c r="CR25" s="4">
        <f>CQ25+預測IC!CR26</f>
        <v>0.6793728009191129</v>
      </c>
      <c r="CS25" s="4">
        <f>CR25+預測IC!CS26</f>
        <v>0.70496465668619601</v>
      </c>
      <c r="CT25" s="4">
        <f>CS25+預測IC!CT26</f>
        <v>0.74935654297338927</v>
      </c>
      <c r="CU25" s="4">
        <f>CT25+預測IC!CU26</f>
        <v>0.71901758442381181</v>
      </c>
      <c r="CV25" s="4">
        <f>CU25+預測IC!CV26</f>
        <v>0.7177596079692401</v>
      </c>
      <c r="CW25" s="4">
        <f>CV25+預測IC!CW26</f>
        <v>0.72009596442509805</v>
      </c>
      <c r="CX25" s="4">
        <f>CW25+預測IC!CX26</f>
        <v>0.655831819499192</v>
      </c>
      <c r="CY25" s="4">
        <f>CX25+預測IC!CY26</f>
        <v>0.66874159895818441</v>
      </c>
      <c r="CZ25" s="4">
        <f>CY25+預測IC!CZ26</f>
        <v>0.54326450428732564</v>
      </c>
      <c r="DA25" s="4">
        <f>CZ25+預測IC!DA26</f>
        <v>0.55495518722711823</v>
      </c>
      <c r="DB25" s="4">
        <f>DA25+預測IC!DB26</f>
        <v>0.56129303092785998</v>
      </c>
      <c r="DC25" s="4">
        <f>DB25+預測IC!DC26</f>
        <v>0.44398767445847448</v>
      </c>
      <c r="DD25" s="4">
        <f>DC25+預測IC!DD26</f>
        <v>0.40797680240902789</v>
      </c>
      <c r="DE25" s="4">
        <f>DD25+預測IC!DE26</f>
        <v>0.54688810648129582</v>
      </c>
      <c r="DF25" s="4">
        <f>DE25+預測IC!DF26</f>
        <v>0.49574460025519007</v>
      </c>
      <c r="DG25" s="4">
        <f>DF25+預測IC!DG26</f>
        <v>0.57247604743715907</v>
      </c>
      <c r="DH25" s="4">
        <f>DG25+預測IC!DH26</f>
        <v>0.58798482963416721</v>
      </c>
      <c r="DI25" s="4">
        <f>DH25+預測IC!DI26</f>
        <v>0.61120860330892302</v>
      </c>
      <c r="DJ25" s="4">
        <f>DI25+預測IC!DJ26</f>
        <v>0.59283572694769515</v>
      </c>
      <c r="DK25" s="4">
        <f>DJ25+預測IC!DK26</f>
        <v>0.65503474103279458</v>
      </c>
      <c r="DL25" s="4">
        <f>DK25+預測IC!DL26</f>
        <v>0.67513304551975173</v>
      </c>
      <c r="DM25" s="4">
        <f>DL25+預測IC!DM26</f>
        <v>0.68863198526781977</v>
      </c>
      <c r="DN25" s="4">
        <f>DM25+預測IC!DN26</f>
        <v>0.65837977253939894</v>
      </c>
      <c r="DO25" s="4">
        <f>DN25+預測IC!DO26</f>
        <v>0.64135693683134509</v>
      </c>
      <c r="DP25" s="4">
        <f>DO25+預測IC!DP26</f>
        <v>0.61956841355888315</v>
      </c>
      <c r="DQ25" s="4">
        <f>DP25+預測IC!DQ26</f>
        <v>0.70531403814402038</v>
      </c>
      <c r="DR25" s="4">
        <f>DQ25+預測IC!DR26</f>
        <v>0.73342078174899417</v>
      </c>
      <c r="DS25" s="4">
        <f>DR25+預測IC!DS26</f>
        <v>0.73111762194163477</v>
      </c>
      <c r="DT25" s="4">
        <f>DS25+預測IC!DT26</f>
        <v>0.78958882007312226</v>
      </c>
      <c r="DU25" s="4">
        <f>DT25+預測IC!DU26</f>
        <v>0.85724776912176992</v>
      </c>
      <c r="DV25" s="4">
        <f>DU25+預測IC!DV26</f>
        <v>0.86226853976220219</v>
      </c>
      <c r="DW25" s="4">
        <f>DV25+預測IC!DW26</f>
        <v>0.89968472343740924</v>
      </c>
      <c r="DX25" s="4">
        <f>DW25+預測IC!DX26</f>
        <v>0.98379572718345132</v>
      </c>
      <c r="DY25" s="4">
        <f>DX25+預測IC!DY26</f>
        <v>0.94696332863943844</v>
      </c>
      <c r="DZ25" s="4">
        <f>DY25+預測IC!DZ26</f>
        <v>0.95005503145637549</v>
      </c>
      <c r="EA25" s="4">
        <f>DZ25+預測IC!EA26</f>
        <v>0.94809740324208092</v>
      </c>
      <c r="EB25" s="4">
        <f>EA25+預測IC!EB26</f>
        <v>0.97455650684560069</v>
      </c>
      <c r="EC25" s="4">
        <f>EB25+預測IC!EC26</f>
        <v>0.94980396808491041</v>
      </c>
      <c r="ED25" s="4">
        <f>EC25+預測IC!ED26</f>
        <v>0.98391945906747036</v>
      </c>
      <c r="EE25" s="4">
        <f>ED25+預測IC!EE26</f>
        <v>1.0049814330565034</v>
      </c>
      <c r="EF25" s="4">
        <f>EE25+預測IC!EF26</f>
        <v>0.98470404035049752</v>
      </c>
    </row>
    <row r="26" spans="1:136">
      <c r="A26" s="2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F26"/>
  <sheetViews>
    <sheetView zoomScale="176" zoomScaleNormal="90" workbookViewId="0">
      <selection activeCell="C12" sqref="C12:EF24"/>
    </sheetView>
  </sheetViews>
  <sheetFormatPr baseColWidth="10" defaultColWidth="8.83203125" defaultRowHeight="15"/>
  <sheetData>
    <row r="1" spans="1:136" s="1" customFormat="1">
      <c r="A1" s="2" t="s">
        <v>209</v>
      </c>
    </row>
    <row r="2" spans="1:136" s="1" customFormat="1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  <c r="CN2" s="3" t="s">
        <v>90</v>
      </c>
      <c r="CO2" s="3" t="s">
        <v>91</v>
      </c>
      <c r="CP2" s="3" t="s">
        <v>92</v>
      </c>
      <c r="CQ2" s="3" t="s">
        <v>93</v>
      </c>
      <c r="CR2" s="3" t="s">
        <v>94</v>
      </c>
      <c r="CS2" s="3" t="s">
        <v>95</v>
      </c>
      <c r="CT2" s="3" t="s">
        <v>96</v>
      </c>
      <c r="CU2" s="3" t="s">
        <v>97</v>
      </c>
      <c r="CV2" s="3" t="s">
        <v>98</v>
      </c>
      <c r="CW2" s="3" t="s">
        <v>99</v>
      </c>
      <c r="CX2" s="3" t="s">
        <v>100</v>
      </c>
      <c r="CY2" s="3" t="s">
        <v>101</v>
      </c>
      <c r="CZ2" s="3" t="s">
        <v>102</v>
      </c>
      <c r="DA2" s="3" t="s">
        <v>103</v>
      </c>
      <c r="DB2" s="3" t="s">
        <v>104</v>
      </c>
      <c r="DC2" s="3" t="s">
        <v>105</v>
      </c>
      <c r="DD2" s="3" t="s">
        <v>106</v>
      </c>
      <c r="DE2" s="3" t="s">
        <v>107</v>
      </c>
      <c r="DF2" s="3" t="s">
        <v>108</v>
      </c>
      <c r="DG2" s="3" t="s">
        <v>109</v>
      </c>
      <c r="DH2" s="3" t="s">
        <v>110</v>
      </c>
      <c r="DI2" s="3" t="s">
        <v>111</v>
      </c>
      <c r="DJ2" s="3" t="s">
        <v>112</v>
      </c>
      <c r="DK2" s="3" t="s">
        <v>113</v>
      </c>
      <c r="DL2" s="3" t="s">
        <v>114</v>
      </c>
      <c r="DM2" s="3" t="s">
        <v>115</v>
      </c>
      <c r="DN2" s="3" t="s">
        <v>116</v>
      </c>
      <c r="DO2" s="3" t="s">
        <v>117</v>
      </c>
      <c r="DP2" s="3" t="s">
        <v>118</v>
      </c>
      <c r="DQ2" s="3" t="s">
        <v>119</v>
      </c>
      <c r="DR2" s="3" t="s">
        <v>120</v>
      </c>
      <c r="DS2" s="3" t="s">
        <v>121</v>
      </c>
      <c r="DT2" s="3" t="s">
        <v>122</v>
      </c>
      <c r="DU2" s="3" t="s">
        <v>123</v>
      </c>
      <c r="DV2" s="3" t="s">
        <v>124</v>
      </c>
      <c r="DW2" s="3" t="s">
        <v>125</v>
      </c>
      <c r="DX2" s="3" t="s">
        <v>126</v>
      </c>
      <c r="DY2" s="3" t="s">
        <v>127</v>
      </c>
      <c r="DZ2" s="3" t="s">
        <v>128</v>
      </c>
      <c r="EA2" s="3" t="s">
        <v>129</v>
      </c>
      <c r="EB2" s="3" t="s">
        <v>130</v>
      </c>
      <c r="EC2" s="3" t="s">
        <v>131</v>
      </c>
      <c r="ED2" s="3" t="s">
        <v>132</v>
      </c>
      <c r="EE2" s="3" t="s">
        <v>133</v>
      </c>
      <c r="EF2" s="3" t="s">
        <v>134</v>
      </c>
    </row>
    <row r="3" spans="1:136" s="1" customFormat="1">
      <c r="B3" s="2" t="s">
        <v>135</v>
      </c>
      <c r="C3" s="12">
        <v>-7.7981240861112869E-2</v>
      </c>
      <c r="D3" s="12">
        <v>-9.1720816001217079E-2</v>
      </c>
      <c r="E3" s="12">
        <v>-5.2859258612292397E-2</v>
      </c>
      <c r="F3" s="12">
        <v>-0.1154504478657486</v>
      </c>
      <c r="G3" s="12">
        <v>-8.3443116291576969E-2</v>
      </c>
      <c r="H3" s="12">
        <v>-2.6287928720926321E-3</v>
      </c>
      <c r="I3" s="12">
        <v>-9.17061944524626E-2</v>
      </c>
      <c r="J3" s="12">
        <v>-5.6085756879479871E-2</v>
      </c>
      <c r="K3" s="12">
        <v>-0.1008329194598508</v>
      </c>
      <c r="L3" s="12">
        <v>-0.10378006478536519</v>
      </c>
      <c r="M3" s="12">
        <v>5.5829241941196268E-2</v>
      </c>
      <c r="N3" s="12">
        <v>-0.1158619637464291</v>
      </c>
      <c r="O3" s="12">
        <v>-5.8513967337472099E-2</v>
      </c>
      <c r="P3" s="12">
        <v>-6.0458244885088289E-2</v>
      </c>
      <c r="Q3" s="12">
        <v>-5.3239297079499662E-2</v>
      </c>
      <c r="R3" s="12">
        <v>-0.1169489926289226</v>
      </c>
      <c r="S3" s="12">
        <v>-0.17262516521577451</v>
      </c>
      <c r="T3" s="12">
        <v>-3.5612527967292071E-2</v>
      </c>
      <c r="U3" s="12">
        <v>-0.1047373820130289</v>
      </c>
      <c r="V3" s="12">
        <v>5.4728173269898657E-2</v>
      </c>
      <c r="W3" s="12">
        <v>0.1104845400782864</v>
      </c>
      <c r="X3" s="12">
        <v>7.7152949246108812E-2</v>
      </c>
      <c r="Y3" s="12">
        <v>-2.1197940496231121E-2</v>
      </c>
      <c r="Z3" s="12">
        <v>-1.220412867494485E-2</v>
      </c>
      <c r="AA3" s="12">
        <v>5.8940158702571167E-2</v>
      </c>
      <c r="AB3" s="12">
        <v>1.704920567122593E-2</v>
      </c>
      <c r="AC3" s="12">
        <v>-2.8623729777447999E-2</v>
      </c>
      <c r="AD3" s="12">
        <v>3.8597994743491432E-2</v>
      </c>
      <c r="AE3" s="12">
        <v>4.5421821361275698E-2</v>
      </c>
      <c r="AF3" s="12">
        <v>-7.0671769100140664E-3</v>
      </c>
      <c r="AG3" s="12">
        <v>-8.8710520129031845E-3</v>
      </c>
      <c r="AH3" s="12">
        <v>0.1009192396033949</v>
      </c>
      <c r="AI3" s="12">
        <v>5.2187010509938972E-2</v>
      </c>
      <c r="AJ3" s="12">
        <v>0.1019691755674634</v>
      </c>
      <c r="AK3" s="12">
        <v>0.13211315672161919</v>
      </c>
      <c r="AL3" s="12">
        <v>8.0841310267837335E-2</v>
      </c>
      <c r="AM3" s="12">
        <v>6.6073941505882944E-2</v>
      </c>
      <c r="AN3" s="12">
        <v>4.5849550313755157E-2</v>
      </c>
      <c r="AO3" s="12">
        <v>0.1344236211085432</v>
      </c>
      <c r="AP3" s="12">
        <v>-5.4866828387549187E-2</v>
      </c>
      <c r="AQ3" s="12">
        <v>4.8332448898150193E-2</v>
      </c>
      <c r="AR3" s="12">
        <v>5.4465942771725943E-2</v>
      </c>
      <c r="AS3" s="12">
        <v>6.0627286759379943E-2</v>
      </c>
      <c r="AT3" s="12">
        <v>2.2903338702745881E-2</v>
      </c>
      <c r="AU3" s="12">
        <v>2.878024844402479E-2</v>
      </c>
      <c r="AV3" s="12">
        <v>-1.129205212894535E-2</v>
      </c>
      <c r="AW3" s="12">
        <v>6.7409820754134268E-3</v>
      </c>
      <c r="AX3" s="12">
        <v>6.9445703072046949E-2</v>
      </c>
      <c r="AY3" s="12">
        <v>7.2293980578513314E-2</v>
      </c>
      <c r="AZ3" s="12">
        <v>5.6782553627262748E-2</v>
      </c>
      <c r="BA3" s="12">
        <v>5.6751851388712939E-3</v>
      </c>
      <c r="BB3" s="12">
        <v>7.2435676593229636E-2</v>
      </c>
      <c r="BC3" s="12">
        <v>2.4104231358940049E-3</v>
      </c>
      <c r="BD3" s="12">
        <v>4.4457778288968727E-2</v>
      </c>
      <c r="BE3" s="12">
        <v>0.15640720996344051</v>
      </c>
      <c r="BF3" s="12">
        <v>8.961422115098705E-2</v>
      </c>
      <c r="BG3" s="12">
        <v>-4.5499959267627739E-2</v>
      </c>
      <c r="BH3" s="12">
        <v>1.473996831732775E-2</v>
      </c>
      <c r="BI3" s="12">
        <v>1.1467767379862339E-3</v>
      </c>
      <c r="BJ3" s="12">
        <v>3.82060916655452E-2</v>
      </c>
      <c r="BK3" s="12">
        <v>6.9204193024136371E-2</v>
      </c>
      <c r="BL3" s="12">
        <v>0.14599637517714301</v>
      </c>
      <c r="BM3" s="12">
        <v>7.7671454044817706E-2</v>
      </c>
      <c r="BN3" s="12">
        <v>-1.4934546848394969E-3</v>
      </c>
      <c r="BO3" s="12">
        <v>0.15075036572727429</v>
      </c>
      <c r="BP3" s="12">
        <v>0.1068808738908148</v>
      </c>
      <c r="BQ3" s="12">
        <v>1.221444016343416E-2</v>
      </c>
      <c r="BR3" s="12">
        <v>3.2309492446798579E-2</v>
      </c>
      <c r="BS3" s="12">
        <v>7.5715218722114425E-2</v>
      </c>
      <c r="BT3" s="12">
        <v>0.1476948601503042</v>
      </c>
      <c r="BU3" s="12">
        <v>1.817214867790248E-2</v>
      </c>
      <c r="BV3" s="12">
        <v>6.6489869867815826E-2</v>
      </c>
      <c r="BW3" s="12">
        <v>3.8195592237729163E-2</v>
      </c>
      <c r="BX3" s="12">
        <v>4.7621234363544103E-2</v>
      </c>
      <c r="BY3" s="12">
        <v>3.3277385006537187E-2</v>
      </c>
      <c r="BZ3" s="12">
        <v>-6.0454023977282903E-2</v>
      </c>
      <c r="CA3" s="12">
        <v>5.2148142226918692E-4</v>
      </c>
      <c r="CB3" s="12">
        <v>2.326190927136889E-2</v>
      </c>
      <c r="CC3" s="12">
        <v>-2.6286266288861861E-2</v>
      </c>
      <c r="CD3" s="12">
        <v>5.2057462476054299E-2</v>
      </c>
      <c r="CE3" s="12">
        <v>-0.1062476229187161</v>
      </c>
      <c r="CF3" s="12">
        <v>-0.1195660454549131</v>
      </c>
      <c r="CG3" s="12">
        <v>-1.0499463273261581E-2</v>
      </c>
      <c r="CH3" s="12">
        <v>-2.3835366421230391E-2</v>
      </c>
      <c r="CI3" s="12">
        <v>-4.3365220517483233E-3</v>
      </c>
      <c r="CJ3" s="12">
        <v>5.8870363779287586E-3</v>
      </c>
      <c r="CK3" s="12">
        <v>2.2369140646099479E-2</v>
      </c>
      <c r="CL3" s="12">
        <v>-8.2212452947380901E-2</v>
      </c>
      <c r="CM3" s="12">
        <v>-0.12682704685249099</v>
      </c>
      <c r="CN3" s="12">
        <v>-8.4592786355010396E-3</v>
      </c>
      <c r="CO3" s="12">
        <v>-0.13500465547665971</v>
      </c>
      <c r="CP3" s="12">
        <v>1.33854440155954E-2</v>
      </c>
      <c r="CQ3" s="12">
        <v>-5.12789058806579E-2</v>
      </c>
      <c r="CR3" s="12">
        <v>-9.4660334746213826E-2</v>
      </c>
      <c r="CS3" s="12">
        <v>-7.7501744984071919E-2</v>
      </c>
      <c r="CT3" s="12">
        <v>6.3427668130038306E-2</v>
      </c>
      <c r="CU3" s="12">
        <v>-0.10211731197922071</v>
      </c>
      <c r="CV3" s="12">
        <v>-0.1210008636864883</v>
      </c>
      <c r="CW3" s="12">
        <v>-8.3771057290789874E-2</v>
      </c>
      <c r="CX3" s="12">
        <v>-0.108143131485795</v>
      </c>
      <c r="CY3" s="12">
        <v>-4.0161757016129222E-2</v>
      </c>
      <c r="CZ3" s="12">
        <v>-1.5386044424255171E-3</v>
      </c>
      <c r="DA3" s="12">
        <v>-7.7524493053387863E-2</v>
      </c>
      <c r="DB3" s="12">
        <v>-7.879063134946046E-3</v>
      </c>
      <c r="DC3" s="12">
        <v>-2.6882932084816711E-2</v>
      </c>
      <c r="DD3" s="12">
        <v>6.9093120815518799E-2</v>
      </c>
      <c r="DE3" s="12">
        <v>-4.3347804073038947E-2</v>
      </c>
      <c r="DF3" s="12">
        <v>5.87554125627009E-2</v>
      </c>
      <c r="DG3" s="12">
        <v>6.4753773039743015E-2</v>
      </c>
      <c r="DH3" s="12">
        <v>-1.287213930098646E-3</v>
      </c>
      <c r="DI3" s="12">
        <v>2.1640077633277799E-2</v>
      </c>
      <c r="DJ3" s="12">
        <v>-4.5030711038867167E-2</v>
      </c>
      <c r="DK3" s="12">
        <v>-1.3122204761795811E-2</v>
      </c>
      <c r="DL3" s="12">
        <v>-6.044882202770601E-2</v>
      </c>
      <c r="DM3" s="12">
        <v>-1.0592752749389599E-2</v>
      </c>
      <c r="DN3" s="12">
        <v>7.7435014643364664E-2</v>
      </c>
      <c r="DO3" s="12">
        <v>-5.4992856655808733E-2</v>
      </c>
      <c r="DP3" s="12">
        <v>7.556841599905624E-2</v>
      </c>
      <c r="DQ3" s="12">
        <v>4.187756543775777E-3</v>
      </c>
      <c r="DR3" s="12">
        <v>-5.5104292662403291E-2</v>
      </c>
      <c r="DS3" s="12">
        <v>0.10263669436748039</v>
      </c>
      <c r="DT3" s="12">
        <v>-4.0717186288007967E-2</v>
      </c>
      <c r="DU3" s="12">
        <v>7.639250584652096E-3</v>
      </c>
      <c r="DV3" s="12">
        <v>-6.6126173971523872E-2</v>
      </c>
      <c r="DW3" s="12">
        <v>7.8117337673435386E-2</v>
      </c>
      <c r="DX3" s="12">
        <v>1.6019937584861629E-2</v>
      </c>
      <c r="DY3" s="12">
        <v>1.4410244062000451E-2</v>
      </c>
      <c r="DZ3" s="12">
        <v>-0.1079887966876449</v>
      </c>
      <c r="EA3" s="12">
        <v>1.1807195335730179E-2</v>
      </c>
      <c r="EB3" s="12">
        <v>6.3675145630864198E-3</v>
      </c>
      <c r="EC3" s="12">
        <v>0.1146690600079793</v>
      </c>
      <c r="ED3" s="12">
        <v>-0.13301760440885349</v>
      </c>
      <c r="EE3" s="12">
        <v>-8.3212161647068517E-2</v>
      </c>
      <c r="EF3" s="12">
        <v>-7.4711540898400819E-2</v>
      </c>
    </row>
    <row r="4" spans="1:136" s="1" customFormat="1">
      <c r="B4" s="2" t="s">
        <v>136</v>
      </c>
      <c r="C4" s="12">
        <v>-7.4711540898400819E-2</v>
      </c>
      <c r="D4" s="12">
        <v>-7.4711540898400819E-2</v>
      </c>
      <c r="E4" s="12">
        <v>-7.4711540898400819E-2</v>
      </c>
      <c r="F4" s="12">
        <v>-7.4711540898400819E-2</v>
      </c>
      <c r="G4" s="12">
        <v>-7.4711540898400819E-2</v>
      </c>
      <c r="H4" s="12">
        <v>-7.4711540898400819E-2</v>
      </c>
      <c r="I4" s="12">
        <v>-7.4711540898400819E-2</v>
      </c>
      <c r="J4" s="12">
        <v>-7.4711540898400819E-2</v>
      </c>
      <c r="K4" s="12">
        <v>-7.4711540898400819E-2</v>
      </c>
      <c r="L4" s="12">
        <v>-7.4711540898400819E-2</v>
      </c>
      <c r="M4" s="12">
        <v>-7.4711540898400819E-2</v>
      </c>
      <c r="N4" s="12">
        <v>-7.4711540898400819E-2</v>
      </c>
      <c r="O4" s="12">
        <v>-7.4711540898400819E-2</v>
      </c>
      <c r="P4" s="12">
        <v>-7.4711540898400819E-2</v>
      </c>
      <c r="Q4" s="12">
        <v>-7.4711540898400819E-2</v>
      </c>
      <c r="R4" s="12">
        <v>-7.4711540898400819E-2</v>
      </c>
      <c r="S4" s="12">
        <v>-7.4711540898400819E-2</v>
      </c>
      <c r="T4" s="12">
        <v>-7.4711540898400819E-2</v>
      </c>
      <c r="U4" s="12">
        <v>-7.4711540898400819E-2</v>
      </c>
      <c r="V4" s="12">
        <v>-7.4711540898400819E-2</v>
      </c>
      <c r="W4" s="12">
        <v>-7.4711540898400819E-2</v>
      </c>
      <c r="X4" s="12">
        <v>-7.4711540898400819E-2</v>
      </c>
      <c r="Y4" s="12">
        <v>-7.4711540898400819E-2</v>
      </c>
      <c r="Z4" s="12">
        <v>-7.4711540898400819E-2</v>
      </c>
      <c r="AA4" s="12">
        <v>-7.4711540898400819E-2</v>
      </c>
      <c r="AB4" s="12">
        <v>-7.4711540898400819E-2</v>
      </c>
      <c r="AC4" s="12">
        <v>-7.4711540898400819E-2</v>
      </c>
      <c r="AD4" s="12">
        <v>-7.4711540898400819E-2</v>
      </c>
      <c r="AE4" s="12">
        <v>-7.4711540898400819E-2</v>
      </c>
      <c r="AF4" s="12">
        <v>-7.4711540898400819E-2</v>
      </c>
      <c r="AG4" s="12">
        <v>-7.4711540898400819E-2</v>
      </c>
      <c r="AH4" s="12">
        <v>-7.4711540898400819E-2</v>
      </c>
      <c r="AI4" s="12">
        <v>-7.4711540898400819E-2</v>
      </c>
      <c r="AJ4" s="12">
        <v>-7.4711540898400819E-2</v>
      </c>
      <c r="AK4" s="12">
        <v>-7.4711540898400819E-2</v>
      </c>
      <c r="AL4" s="12">
        <v>-7.4711540898400819E-2</v>
      </c>
      <c r="AM4" s="12">
        <v>-7.4711540898400819E-2</v>
      </c>
      <c r="AN4" s="12">
        <v>-7.4711540898400819E-2</v>
      </c>
      <c r="AO4" s="12">
        <v>-7.4711540898400819E-2</v>
      </c>
      <c r="AP4" s="12">
        <v>-7.4711540898400819E-2</v>
      </c>
      <c r="AQ4" s="12">
        <v>-7.4711540898400819E-2</v>
      </c>
      <c r="AR4" s="12">
        <v>-7.4711540898400819E-2</v>
      </c>
      <c r="AS4" s="12">
        <v>-7.4711540898400819E-2</v>
      </c>
      <c r="AT4" s="12">
        <v>-7.4711540898400819E-2</v>
      </c>
      <c r="AU4" s="12">
        <v>-7.4711540898400819E-2</v>
      </c>
      <c r="AV4" s="12">
        <v>-7.4711540898400819E-2</v>
      </c>
      <c r="AW4" s="12">
        <v>-7.4711540898400819E-2</v>
      </c>
      <c r="AX4" s="12">
        <v>-7.4711540898400819E-2</v>
      </c>
      <c r="AY4" s="12">
        <v>-7.4711540898400819E-2</v>
      </c>
      <c r="AZ4" s="12">
        <v>-7.4711540898400819E-2</v>
      </c>
      <c r="BA4" s="12">
        <v>-7.4711540898400819E-2</v>
      </c>
      <c r="BB4" s="12">
        <v>-7.4711540898400819E-2</v>
      </c>
      <c r="BC4" s="12">
        <v>-7.4711540898400819E-2</v>
      </c>
      <c r="BD4" s="12">
        <v>-7.4711540898400819E-2</v>
      </c>
      <c r="BE4" s="12">
        <v>-7.4711540898400819E-2</v>
      </c>
      <c r="BF4" s="12">
        <v>-7.4711540898400819E-2</v>
      </c>
      <c r="BG4" s="12">
        <v>-7.4711540898400819E-2</v>
      </c>
      <c r="BH4" s="12">
        <v>-7.4711540898400819E-2</v>
      </c>
      <c r="BI4" s="12">
        <v>-7.4711540898400819E-2</v>
      </c>
      <c r="BJ4" s="12">
        <v>-7.4711540898400819E-2</v>
      </c>
      <c r="BK4" s="12">
        <v>-7.4711540898400819E-2</v>
      </c>
      <c r="BL4" s="12">
        <v>-7.4711540898400819E-2</v>
      </c>
      <c r="BM4" s="12">
        <v>-7.4711540898400819E-2</v>
      </c>
      <c r="BN4" s="12">
        <v>-7.4711540898400819E-2</v>
      </c>
      <c r="BO4" s="12">
        <v>-7.4711540898400819E-2</v>
      </c>
      <c r="BP4" s="12">
        <v>-7.4711540898400819E-2</v>
      </c>
      <c r="BQ4" s="12">
        <v>-7.4711540898400819E-2</v>
      </c>
      <c r="BR4" s="12">
        <v>-7.4711540898400819E-2</v>
      </c>
      <c r="BS4" s="12">
        <v>-7.4711540898400819E-2</v>
      </c>
      <c r="BT4" s="12">
        <v>-7.4711540898400819E-2</v>
      </c>
      <c r="BU4" s="12">
        <v>-7.4711540898400819E-2</v>
      </c>
      <c r="BV4" s="12">
        <v>-7.4711540898400819E-2</v>
      </c>
      <c r="BW4" s="12">
        <v>-7.4711540898400819E-2</v>
      </c>
      <c r="BX4" s="12">
        <v>-7.4711540898400819E-2</v>
      </c>
      <c r="BY4" s="12">
        <v>-7.4711540898400819E-2</v>
      </c>
      <c r="BZ4" s="12">
        <v>-7.4711540898400819E-2</v>
      </c>
      <c r="CA4" s="12">
        <v>-7.4711540898400819E-2</v>
      </c>
      <c r="CB4" s="12">
        <v>-7.4711540898400819E-2</v>
      </c>
      <c r="CC4" s="12">
        <v>-7.4711540898400819E-2</v>
      </c>
      <c r="CD4" s="12">
        <v>-7.4711540898400819E-2</v>
      </c>
      <c r="CE4" s="12">
        <v>-7.4711540898400819E-2</v>
      </c>
      <c r="CF4" s="12">
        <v>-7.4711540898400819E-2</v>
      </c>
      <c r="CG4" s="12">
        <v>-7.4711540898400819E-2</v>
      </c>
      <c r="CH4" s="12">
        <v>-7.4711540898400819E-2</v>
      </c>
      <c r="CI4" s="12">
        <v>-7.4711540898400819E-2</v>
      </c>
      <c r="CJ4" s="12">
        <v>-7.4711540898400819E-2</v>
      </c>
      <c r="CK4" s="12">
        <v>-7.4711540898400819E-2</v>
      </c>
      <c r="CL4" s="12">
        <v>-7.4711540898400819E-2</v>
      </c>
      <c r="CM4" s="12">
        <v>-7.4711540898400819E-2</v>
      </c>
      <c r="CN4" s="12">
        <v>-7.4711540898400819E-2</v>
      </c>
      <c r="CO4" s="12">
        <v>-7.4711540898400819E-2</v>
      </c>
      <c r="CP4" s="12">
        <v>-7.4711540898400819E-2</v>
      </c>
      <c r="CQ4" s="12">
        <v>-7.4711540898400819E-2</v>
      </c>
      <c r="CR4" s="12">
        <v>-7.4711540898400819E-2</v>
      </c>
      <c r="CS4" s="12">
        <v>-7.4711540898400819E-2</v>
      </c>
      <c r="CT4" s="12">
        <v>-7.4711540898400819E-2</v>
      </c>
      <c r="CU4" s="12">
        <v>-7.4711540898400819E-2</v>
      </c>
      <c r="CV4" s="12">
        <v>-7.4711540898400819E-2</v>
      </c>
      <c r="CW4" s="12">
        <v>-7.4711540898400819E-2</v>
      </c>
      <c r="CX4" s="12">
        <v>-7.4711540898400819E-2</v>
      </c>
      <c r="CY4" s="12">
        <v>-7.4711540898400819E-2</v>
      </c>
      <c r="CZ4" s="12">
        <v>-7.4711540898400819E-2</v>
      </c>
      <c r="DA4" s="12">
        <v>-7.4711540898400819E-2</v>
      </c>
      <c r="DB4" s="12">
        <v>-7.4711540898400819E-2</v>
      </c>
      <c r="DC4" s="12">
        <v>-7.4711540898400819E-2</v>
      </c>
      <c r="DD4" s="12">
        <v>-7.4711540898400819E-2</v>
      </c>
      <c r="DE4" s="12">
        <v>-7.4711540898400819E-2</v>
      </c>
      <c r="DF4" s="12">
        <v>-7.4711540898400819E-2</v>
      </c>
      <c r="DG4" s="12">
        <v>-7.4711540898400819E-2</v>
      </c>
      <c r="DH4" s="12">
        <v>-7.4711540898400819E-2</v>
      </c>
      <c r="DI4" s="12">
        <v>-7.4711540898400819E-2</v>
      </c>
      <c r="DJ4" s="12">
        <v>-7.4711540898400819E-2</v>
      </c>
      <c r="DK4" s="12">
        <v>-7.4711540898400819E-2</v>
      </c>
      <c r="DL4" s="12">
        <v>-7.4711540898400819E-2</v>
      </c>
      <c r="DM4" s="12">
        <v>-7.4711540898400819E-2</v>
      </c>
      <c r="DN4" s="12">
        <v>-7.4711540898400819E-2</v>
      </c>
      <c r="DO4" s="12">
        <v>-7.4711540898400819E-2</v>
      </c>
      <c r="DP4" s="12">
        <v>-7.4711540898400819E-2</v>
      </c>
      <c r="DQ4" s="12">
        <v>-7.4711540898400819E-2</v>
      </c>
      <c r="DR4" s="12">
        <v>-7.4711540898400819E-2</v>
      </c>
      <c r="DS4" s="12">
        <v>-7.4711540898400819E-2</v>
      </c>
      <c r="DT4" s="12">
        <v>-7.4711540898400819E-2</v>
      </c>
      <c r="DU4" s="12">
        <v>-7.4711540898400819E-2</v>
      </c>
      <c r="DV4" s="12">
        <v>-7.4711540898400819E-2</v>
      </c>
      <c r="DW4" s="12">
        <v>-7.4711540898400819E-2</v>
      </c>
      <c r="DX4" s="12">
        <v>-7.4711540898400819E-2</v>
      </c>
      <c r="DY4" s="12">
        <v>-7.4711540898400819E-2</v>
      </c>
      <c r="DZ4" s="12">
        <v>-7.4711540898400819E-2</v>
      </c>
      <c r="EA4" s="12">
        <v>-7.4711540898400819E-2</v>
      </c>
      <c r="EB4" s="12">
        <v>-7.4711540898400819E-2</v>
      </c>
      <c r="EC4" s="12">
        <v>-7.4711540898400819E-2</v>
      </c>
      <c r="ED4" s="12">
        <v>-7.4711540898400819E-2</v>
      </c>
      <c r="EE4" s="12">
        <v>-7.4711540898400819E-2</v>
      </c>
      <c r="EF4" s="12">
        <v>-7.4711540898400819E-2</v>
      </c>
    </row>
    <row r="5" spans="1:136" s="1" customFormat="1">
      <c r="B5" s="2" t="s">
        <v>137</v>
      </c>
      <c r="C5" s="12">
        <v>-7.4711540898400819E-2</v>
      </c>
      <c r="D5" s="12">
        <v>-7.4711540898400819E-2</v>
      </c>
      <c r="E5" s="12">
        <v>-7.4711540898400819E-2</v>
      </c>
      <c r="F5" s="12">
        <v>-7.4711540898400819E-2</v>
      </c>
      <c r="G5" s="12">
        <v>-7.4711540898400819E-2</v>
      </c>
      <c r="H5" s="12">
        <v>-7.4711540898400819E-2</v>
      </c>
      <c r="I5" s="12">
        <v>-7.4711540898400819E-2</v>
      </c>
      <c r="J5" s="12">
        <v>-7.4711540898400819E-2</v>
      </c>
      <c r="K5" s="12">
        <v>-7.4711540898400819E-2</v>
      </c>
      <c r="L5" s="12">
        <v>-7.4711540898400819E-2</v>
      </c>
      <c r="M5" s="12">
        <v>-7.4711540898400819E-2</v>
      </c>
      <c r="N5" s="12">
        <v>-7.4711540898400819E-2</v>
      </c>
      <c r="O5" s="12">
        <v>-7.4711540898400819E-2</v>
      </c>
      <c r="P5" s="12">
        <v>-7.4711540898400819E-2</v>
      </c>
      <c r="Q5" s="12">
        <v>-7.4711540898400819E-2</v>
      </c>
      <c r="R5" s="12">
        <v>-7.4711540898400819E-2</v>
      </c>
      <c r="S5" s="12">
        <v>-7.4711540898400819E-2</v>
      </c>
      <c r="T5" s="12">
        <v>-7.4711540898400819E-2</v>
      </c>
      <c r="U5" s="12">
        <v>-7.4711540898400819E-2</v>
      </c>
      <c r="V5" s="12">
        <v>-7.4711540898400819E-2</v>
      </c>
      <c r="W5" s="12">
        <v>-7.4711540898400819E-2</v>
      </c>
      <c r="X5" s="12">
        <v>-7.4711540898400819E-2</v>
      </c>
      <c r="Y5" s="12">
        <v>-7.4711540898400819E-2</v>
      </c>
      <c r="Z5" s="12">
        <v>-7.4711540898400819E-2</v>
      </c>
      <c r="AA5" s="12">
        <v>-7.4711540898400819E-2</v>
      </c>
      <c r="AB5" s="12">
        <v>-7.4711540898400819E-2</v>
      </c>
      <c r="AC5" s="12">
        <v>-7.4711540898400819E-2</v>
      </c>
      <c r="AD5" s="12">
        <v>-7.4711540898400819E-2</v>
      </c>
      <c r="AE5" s="12">
        <v>-7.4711540898400819E-2</v>
      </c>
      <c r="AF5" s="12">
        <v>-7.4711540898400819E-2</v>
      </c>
      <c r="AG5" s="12">
        <v>-7.4711540898400819E-2</v>
      </c>
      <c r="AH5" s="12">
        <v>-7.4711540898400819E-2</v>
      </c>
      <c r="AI5" s="12">
        <v>-7.4711540898400819E-2</v>
      </c>
      <c r="AJ5" s="12">
        <v>-7.4711540898400819E-2</v>
      </c>
      <c r="AK5" s="12">
        <v>-7.4711540898400819E-2</v>
      </c>
      <c r="AL5" s="12">
        <v>-7.4711540898400819E-2</v>
      </c>
      <c r="AM5" s="12">
        <v>-7.4711540898400819E-2</v>
      </c>
      <c r="AN5" s="12">
        <v>-7.4711540898400819E-2</v>
      </c>
      <c r="AO5" s="12">
        <v>-7.4711540898400819E-2</v>
      </c>
      <c r="AP5" s="12">
        <v>-7.4711540898400819E-2</v>
      </c>
      <c r="AQ5" s="12">
        <v>-7.4711540898400819E-2</v>
      </c>
      <c r="AR5" s="12">
        <v>-7.4711540898400819E-2</v>
      </c>
      <c r="AS5" s="12">
        <v>-7.4711540898400819E-2</v>
      </c>
      <c r="AT5" s="12">
        <v>-7.4711540898400819E-2</v>
      </c>
      <c r="AU5" s="12">
        <v>-7.4711540898400819E-2</v>
      </c>
      <c r="AV5" s="12">
        <v>-7.4711540898400819E-2</v>
      </c>
      <c r="AW5" s="12">
        <v>-7.4711540898400819E-2</v>
      </c>
      <c r="AX5" s="12">
        <v>-7.4711540898400819E-2</v>
      </c>
      <c r="AY5" s="12">
        <v>-7.4711540898400819E-2</v>
      </c>
      <c r="AZ5" s="12">
        <v>-7.4711540898400819E-2</v>
      </c>
      <c r="BA5" s="12">
        <v>-7.4711540898400819E-2</v>
      </c>
      <c r="BB5" s="12">
        <v>-7.4711540898400819E-2</v>
      </c>
      <c r="BC5" s="12">
        <v>-7.4711540898400819E-2</v>
      </c>
      <c r="BD5" s="12">
        <v>-7.4711540898400819E-2</v>
      </c>
      <c r="BE5" s="12">
        <v>-7.4711540898400819E-2</v>
      </c>
      <c r="BF5" s="12">
        <v>-7.4711540898400819E-2</v>
      </c>
      <c r="BG5" s="12">
        <v>-7.4711540898400819E-2</v>
      </c>
      <c r="BH5" s="12">
        <v>-7.4711540898400819E-2</v>
      </c>
      <c r="BI5" s="12">
        <v>-7.4711540898400819E-2</v>
      </c>
      <c r="BJ5" s="12">
        <v>-7.4711540898400819E-2</v>
      </c>
      <c r="BK5" s="12">
        <v>-7.4711540898400819E-2</v>
      </c>
      <c r="BL5" s="12">
        <v>-7.4711540898400819E-2</v>
      </c>
      <c r="BM5" s="12">
        <v>-7.4711540898400819E-2</v>
      </c>
      <c r="BN5" s="12">
        <v>-7.4711540898400819E-2</v>
      </c>
      <c r="BO5" s="12">
        <v>-7.4711540898400819E-2</v>
      </c>
      <c r="BP5" s="12">
        <v>-7.4711540898400819E-2</v>
      </c>
      <c r="BQ5" s="12">
        <v>-7.4711540898400819E-2</v>
      </c>
      <c r="BR5" s="12">
        <v>-7.4711540898400819E-2</v>
      </c>
      <c r="BS5" s="12">
        <v>-7.4711540898400819E-2</v>
      </c>
      <c r="BT5" s="12">
        <v>-7.4711540898400819E-2</v>
      </c>
      <c r="BU5" s="12">
        <v>-7.4711540898400819E-2</v>
      </c>
      <c r="BV5" s="12">
        <v>-7.4711540898400819E-2</v>
      </c>
      <c r="BW5" s="12">
        <v>-7.4711540898400819E-2</v>
      </c>
      <c r="BX5" s="12">
        <v>-7.4711540898400819E-2</v>
      </c>
      <c r="BY5" s="12">
        <v>-7.4711540898400819E-2</v>
      </c>
      <c r="BZ5" s="12">
        <v>-7.4711540898400819E-2</v>
      </c>
      <c r="CA5" s="12">
        <v>-7.4711540898400819E-2</v>
      </c>
      <c r="CB5" s="12">
        <v>-7.4711540898400819E-2</v>
      </c>
      <c r="CC5" s="12">
        <v>-7.4711540898400819E-2</v>
      </c>
      <c r="CD5" s="12">
        <v>-7.4711540898400819E-2</v>
      </c>
      <c r="CE5" s="12">
        <v>-7.4711540898400819E-2</v>
      </c>
      <c r="CF5" s="12">
        <v>-7.4711540898400819E-2</v>
      </c>
      <c r="CG5" s="12">
        <v>-7.4711540898400819E-2</v>
      </c>
      <c r="CH5" s="12">
        <v>-7.4711540898400819E-2</v>
      </c>
      <c r="CI5" s="12">
        <v>-7.4711540898400819E-2</v>
      </c>
      <c r="CJ5" s="12">
        <v>-7.4711540898400819E-2</v>
      </c>
      <c r="CK5" s="12">
        <v>-7.4711540898400819E-2</v>
      </c>
      <c r="CL5" s="12">
        <v>-7.4711540898400819E-2</v>
      </c>
      <c r="CM5" s="12">
        <v>-7.4711540898400819E-2</v>
      </c>
      <c r="CN5" s="12">
        <v>-7.4711540898400819E-2</v>
      </c>
      <c r="CO5" s="12">
        <v>-7.4711540898400819E-2</v>
      </c>
      <c r="CP5" s="12">
        <v>-7.4711540898400819E-2</v>
      </c>
      <c r="CQ5" s="12">
        <v>-7.4711540898400819E-2</v>
      </c>
      <c r="CR5" s="12">
        <v>-7.4711540898400819E-2</v>
      </c>
      <c r="CS5" s="12">
        <v>-7.4711540898400819E-2</v>
      </c>
      <c r="CT5" s="12">
        <v>-7.4711540898400819E-2</v>
      </c>
      <c r="CU5" s="12">
        <v>-7.4711540898400819E-2</v>
      </c>
      <c r="CV5" s="12">
        <v>-7.4711540898400819E-2</v>
      </c>
      <c r="CW5" s="12">
        <v>-7.4711540898400819E-2</v>
      </c>
      <c r="CX5" s="12">
        <v>-7.4711540898400819E-2</v>
      </c>
      <c r="CY5" s="12">
        <v>-7.4711540898400819E-2</v>
      </c>
      <c r="CZ5" s="12">
        <v>-7.4711540898400819E-2</v>
      </c>
      <c r="DA5" s="12">
        <v>-7.4711540898400819E-2</v>
      </c>
      <c r="DB5" s="12">
        <v>-7.4711540898400819E-2</v>
      </c>
      <c r="DC5" s="12">
        <v>-7.4711540898400819E-2</v>
      </c>
      <c r="DD5" s="12">
        <v>-7.4711540898400819E-2</v>
      </c>
      <c r="DE5" s="12">
        <v>-7.4711540898400819E-2</v>
      </c>
      <c r="DF5" s="12">
        <v>-7.4711540898400819E-2</v>
      </c>
      <c r="DG5" s="12">
        <v>-7.4711540898400819E-2</v>
      </c>
      <c r="DH5" s="12">
        <v>-7.4711540898400819E-2</v>
      </c>
      <c r="DI5" s="12">
        <v>-7.4711540898400819E-2</v>
      </c>
      <c r="DJ5" s="12">
        <v>-7.4711540898400819E-2</v>
      </c>
      <c r="DK5" s="12">
        <v>-7.4711540898400819E-2</v>
      </c>
      <c r="DL5" s="12">
        <v>-7.4711540898400819E-2</v>
      </c>
      <c r="DM5" s="12">
        <v>-7.4711540898400819E-2</v>
      </c>
      <c r="DN5" s="12">
        <v>-7.4711540898400819E-2</v>
      </c>
      <c r="DO5" s="12">
        <v>-7.4711540898400819E-2</v>
      </c>
      <c r="DP5" s="12">
        <v>-7.4711540898400819E-2</v>
      </c>
      <c r="DQ5" s="12">
        <v>-7.4711540898400819E-2</v>
      </c>
      <c r="DR5" s="12">
        <v>-7.4711540898400819E-2</v>
      </c>
      <c r="DS5" s="12">
        <v>-7.4711540898400819E-2</v>
      </c>
      <c r="DT5" s="12">
        <v>-7.4711540898400819E-2</v>
      </c>
      <c r="DU5" s="12">
        <v>-7.4711540898400819E-2</v>
      </c>
      <c r="DV5" s="12">
        <v>-7.4711540898400819E-2</v>
      </c>
      <c r="DW5" s="12">
        <v>-7.4711540898400819E-2</v>
      </c>
      <c r="DX5" s="12">
        <v>-7.4711540898400819E-2</v>
      </c>
      <c r="DY5" s="12">
        <v>-7.4711540898400819E-2</v>
      </c>
      <c r="DZ5" s="12">
        <v>-7.4711540898400819E-2</v>
      </c>
      <c r="EA5" s="12">
        <v>-7.4711540898400819E-2</v>
      </c>
      <c r="EB5" s="12">
        <v>-7.4711540898400819E-2</v>
      </c>
      <c r="EC5" s="12">
        <v>-7.4711540898400819E-2</v>
      </c>
      <c r="ED5" s="12">
        <v>-7.4711540898400819E-2</v>
      </c>
      <c r="EE5" s="12">
        <v>-7.4711540898400819E-2</v>
      </c>
      <c r="EF5" s="12">
        <v>-7.4711540898400819E-2</v>
      </c>
    </row>
    <row r="6" spans="1:136" s="1" customFormat="1">
      <c r="A6" s="2" t="s">
        <v>138</v>
      </c>
      <c r="C6" s="12">
        <f t="array" ref="C6">MATCH(MAX(ABS(C3:C5)),ABS(C3:C5),0)</f>
        <v>1</v>
      </c>
      <c r="D6" s="12">
        <f t="array" ref="D6">MATCH(MAX(ABS(D3:D5)),ABS(D3:D5),0)</f>
        <v>1</v>
      </c>
      <c r="E6" s="12">
        <f t="array" ref="E6">MATCH(MAX(ABS(E3:E5)),ABS(E3:E5),0)</f>
        <v>2</v>
      </c>
      <c r="F6" s="12">
        <f t="array" ref="F6">MATCH(MAX(ABS(F3:F5)),ABS(F3:F5),0)</f>
        <v>1</v>
      </c>
      <c r="G6" s="12">
        <f t="array" ref="G6">MATCH(MAX(ABS(G3:G5)),ABS(G3:G5),0)</f>
        <v>1</v>
      </c>
      <c r="H6" s="12">
        <f t="array" ref="H6">MATCH(MAX(ABS(H3:H5)),ABS(H3:H5),0)</f>
        <v>2</v>
      </c>
      <c r="I6" s="12">
        <f t="array" ref="I6">MATCH(MAX(ABS(I3:I5)),ABS(I3:I5),0)</f>
        <v>1</v>
      </c>
      <c r="J6" s="12">
        <f t="array" ref="J6">MATCH(MAX(ABS(J3:J5)),ABS(J3:J5),0)</f>
        <v>2</v>
      </c>
      <c r="K6" s="12">
        <f t="array" ref="K6">MATCH(MAX(ABS(K3:K5)),ABS(K3:K5),0)</f>
        <v>1</v>
      </c>
      <c r="L6" s="12">
        <f t="array" ref="L6">MATCH(MAX(ABS(L3:L5)),ABS(L3:L5),0)</f>
        <v>1</v>
      </c>
      <c r="M6" s="12">
        <f t="array" ref="M6">MATCH(MAX(ABS(M3:M5)),ABS(M3:M5),0)</f>
        <v>2</v>
      </c>
      <c r="N6" s="12">
        <f t="array" ref="N6">MATCH(MAX(ABS(N3:N5)),ABS(N3:N5),0)</f>
        <v>1</v>
      </c>
      <c r="O6" s="12">
        <f t="array" ref="O6">MATCH(MAX(ABS(O3:O5)),ABS(O3:O5),0)</f>
        <v>2</v>
      </c>
      <c r="P6" s="12">
        <f t="array" ref="P6">MATCH(MAX(ABS(P3:P5)),ABS(P3:P5),0)</f>
        <v>2</v>
      </c>
      <c r="Q6" s="12">
        <f t="array" ref="Q6">MATCH(MAX(ABS(Q3:Q5)),ABS(Q3:Q5),0)</f>
        <v>2</v>
      </c>
      <c r="R6" s="12">
        <f t="array" ref="R6">MATCH(MAX(ABS(R3:R5)),ABS(R3:R5),0)</f>
        <v>1</v>
      </c>
      <c r="S6" s="12">
        <f t="array" ref="S6">MATCH(MAX(ABS(S3:S5)),ABS(S3:S5),0)</f>
        <v>1</v>
      </c>
      <c r="T6" s="12">
        <f t="array" ref="T6">MATCH(MAX(ABS(T3:T5)),ABS(T3:T5),0)</f>
        <v>2</v>
      </c>
      <c r="U6" s="12">
        <f t="array" ref="U6">MATCH(MAX(ABS(U3:U5)),ABS(U3:U5),0)</f>
        <v>1</v>
      </c>
      <c r="V6" s="12">
        <f t="array" ref="V6">MATCH(MAX(ABS(V3:V5)),ABS(V3:V5),0)</f>
        <v>2</v>
      </c>
      <c r="W6" s="12">
        <f t="array" ref="W6">MATCH(MAX(ABS(W3:W5)),ABS(W3:W5),0)</f>
        <v>1</v>
      </c>
      <c r="X6" s="12">
        <f t="array" ref="X6">MATCH(MAX(ABS(X3:X5)),ABS(X3:X5),0)</f>
        <v>1</v>
      </c>
      <c r="Y6" s="12">
        <f t="array" ref="Y6">MATCH(MAX(ABS(Y3:Y5)),ABS(Y3:Y5),0)</f>
        <v>2</v>
      </c>
      <c r="Z6" s="12">
        <f t="array" ref="Z6">MATCH(MAX(ABS(Z3:Z5)),ABS(Z3:Z5),0)</f>
        <v>2</v>
      </c>
      <c r="AA6" s="12">
        <f t="array" ref="AA6">MATCH(MAX(ABS(AA3:AA5)),ABS(AA3:AA5),0)</f>
        <v>2</v>
      </c>
      <c r="AB6" s="12">
        <f t="array" ref="AB6">MATCH(MAX(ABS(AB3:AB5)),ABS(AB3:AB5),0)</f>
        <v>2</v>
      </c>
      <c r="AC6" s="12">
        <f t="array" ref="AC6">MATCH(MAX(ABS(AC3:AC5)),ABS(AC3:AC5),0)</f>
        <v>2</v>
      </c>
      <c r="AD6" s="12">
        <f t="array" ref="AD6">MATCH(MAX(ABS(AD3:AD5)),ABS(AD3:AD5),0)</f>
        <v>2</v>
      </c>
      <c r="AE6" s="12">
        <f t="array" ref="AE6">MATCH(MAX(ABS(AE3:AE5)),ABS(AE3:AE5),0)</f>
        <v>2</v>
      </c>
      <c r="AF6" s="12">
        <f t="array" ref="AF6">MATCH(MAX(ABS(AF3:AF5)),ABS(AF3:AF5),0)</f>
        <v>2</v>
      </c>
      <c r="AG6" s="12">
        <f t="array" ref="AG6">MATCH(MAX(ABS(AG3:AG5)),ABS(AG3:AG5),0)</f>
        <v>2</v>
      </c>
      <c r="AH6" s="12">
        <f t="array" ref="AH6">MATCH(MAX(ABS(AH3:AH5)),ABS(AH3:AH5),0)</f>
        <v>1</v>
      </c>
      <c r="AI6" s="12">
        <f t="array" ref="AI6">MATCH(MAX(ABS(AI3:AI5)),ABS(AI3:AI5),0)</f>
        <v>2</v>
      </c>
      <c r="AJ6" s="12">
        <f t="array" ref="AJ6">MATCH(MAX(ABS(AJ3:AJ5)),ABS(AJ3:AJ5),0)</f>
        <v>1</v>
      </c>
      <c r="AK6" s="12">
        <f t="array" ref="AK6">MATCH(MAX(ABS(AK3:AK5)),ABS(AK3:AK5),0)</f>
        <v>1</v>
      </c>
      <c r="AL6" s="12">
        <f t="array" ref="AL6">MATCH(MAX(ABS(AL3:AL5)),ABS(AL3:AL5),0)</f>
        <v>1</v>
      </c>
      <c r="AM6" s="12">
        <f t="array" ref="AM6">MATCH(MAX(ABS(AM3:AM5)),ABS(AM3:AM5),0)</f>
        <v>2</v>
      </c>
      <c r="AN6" s="12">
        <f t="array" ref="AN6">MATCH(MAX(ABS(AN3:AN5)),ABS(AN3:AN5),0)</f>
        <v>2</v>
      </c>
      <c r="AO6" s="12">
        <f t="array" ref="AO6">MATCH(MAX(ABS(AO3:AO5)),ABS(AO3:AO5),0)</f>
        <v>1</v>
      </c>
      <c r="AP6" s="12">
        <f t="array" ref="AP6">MATCH(MAX(ABS(AP3:AP5)),ABS(AP3:AP5),0)</f>
        <v>2</v>
      </c>
      <c r="AQ6" s="12">
        <f t="array" ref="AQ6">MATCH(MAX(ABS(AQ3:AQ5)),ABS(AQ3:AQ5),0)</f>
        <v>2</v>
      </c>
      <c r="AR6" s="12">
        <f t="array" ref="AR6">MATCH(MAX(ABS(AR3:AR5)),ABS(AR3:AR5),0)</f>
        <v>2</v>
      </c>
      <c r="AS6" s="12">
        <f t="array" ref="AS6">MATCH(MAX(ABS(AS3:AS5)),ABS(AS3:AS5),0)</f>
        <v>2</v>
      </c>
      <c r="AT6" s="12">
        <f t="array" ref="AT6">MATCH(MAX(ABS(AT3:AT5)),ABS(AT3:AT5),0)</f>
        <v>2</v>
      </c>
      <c r="AU6" s="12">
        <f t="array" ref="AU6">MATCH(MAX(ABS(AU3:AU5)),ABS(AU3:AU5),0)</f>
        <v>2</v>
      </c>
      <c r="AV6" s="12">
        <f t="array" ref="AV6">MATCH(MAX(ABS(AV3:AV5)),ABS(AV3:AV5),0)</f>
        <v>2</v>
      </c>
      <c r="AW6" s="12">
        <f t="array" ref="AW6">MATCH(MAX(ABS(AW3:AW5)),ABS(AW3:AW5),0)</f>
        <v>2</v>
      </c>
      <c r="AX6" s="12">
        <f t="array" ref="AX6">MATCH(MAX(ABS(AX3:AX5)),ABS(AX3:AX5),0)</f>
        <v>2</v>
      </c>
      <c r="AY6" s="12">
        <f t="array" ref="AY6">MATCH(MAX(ABS(AY3:AY5)),ABS(AY3:AY5),0)</f>
        <v>2</v>
      </c>
      <c r="AZ6" s="12">
        <f t="array" ref="AZ6">MATCH(MAX(ABS(AZ3:AZ5)),ABS(AZ3:AZ5),0)</f>
        <v>2</v>
      </c>
      <c r="BA6" s="12">
        <f t="array" ref="BA6">MATCH(MAX(ABS(BA3:BA5)),ABS(BA3:BA5),0)</f>
        <v>2</v>
      </c>
      <c r="BB6" s="12">
        <f t="array" ref="BB6">MATCH(MAX(ABS(BB3:BB5)),ABS(BB3:BB5),0)</f>
        <v>2</v>
      </c>
      <c r="BC6" s="12">
        <f t="array" ref="BC6">MATCH(MAX(ABS(BC3:BC5)),ABS(BC3:BC5),0)</f>
        <v>2</v>
      </c>
      <c r="BD6" s="12">
        <f t="array" ref="BD6">MATCH(MAX(ABS(BD3:BD5)),ABS(BD3:BD5),0)</f>
        <v>2</v>
      </c>
      <c r="BE6" s="12">
        <f t="array" ref="BE6">MATCH(MAX(ABS(BE3:BE5)),ABS(BE3:BE5),0)</f>
        <v>1</v>
      </c>
      <c r="BF6" s="12">
        <f t="array" ref="BF6">MATCH(MAX(ABS(BF3:BF5)),ABS(BF3:BF5),0)</f>
        <v>1</v>
      </c>
      <c r="BG6" s="12">
        <f t="array" ref="BG6">MATCH(MAX(ABS(BG3:BG5)),ABS(BG3:BG5),0)</f>
        <v>2</v>
      </c>
      <c r="BH6" s="12">
        <f t="array" ref="BH6">MATCH(MAX(ABS(BH3:BH5)),ABS(BH3:BH5),0)</f>
        <v>2</v>
      </c>
      <c r="BI6" s="12">
        <f t="array" ref="BI6">MATCH(MAX(ABS(BI3:BI5)),ABS(BI3:BI5),0)</f>
        <v>2</v>
      </c>
      <c r="BJ6" s="12">
        <f t="array" ref="BJ6">MATCH(MAX(ABS(BJ3:BJ5)),ABS(BJ3:BJ5),0)</f>
        <v>2</v>
      </c>
      <c r="BK6" s="12">
        <f t="array" ref="BK6">MATCH(MAX(ABS(BK3:BK5)),ABS(BK3:BK5),0)</f>
        <v>2</v>
      </c>
      <c r="BL6" s="12">
        <f t="array" ref="BL6">MATCH(MAX(ABS(BL3:BL5)),ABS(BL3:BL5),0)</f>
        <v>1</v>
      </c>
      <c r="BM6" s="12">
        <f t="array" ref="BM6">MATCH(MAX(ABS(BM3:BM5)),ABS(BM3:BM5),0)</f>
        <v>1</v>
      </c>
      <c r="BN6" s="12">
        <f t="array" ref="BN6">MATCH(MAX(ABS(BN3:BN5)),ABS(BN3:BN5),0)</f>
        <v>2</v>
      </c>
      <c r="BO6" s="12">
        <f t="array" ref="BO6">MATCH(MAX(ABS(BO3:BO5)),ABS(BO3:BO5),0)</f>
        <v>1</v>
      </c>
      <c r="BP6" s="12">
        <f t="array" ref="BP6">MATCH(MAX(ABS(BP3:BP5)),ABS(BP3:BP5),0)</f>
        <v>1</v>
      </c>
      <c r="BQ6" s="12">
        <f t="array" ref="BQ6">MATCH(MAX(ABS(BQ3:BQ5)),ABS(BQ3:BQ5),0)</f>
        <v>2</v>
      </c>
      <c r="BR6" s="12">
        <f t="array" ref="BR6">MATCH(MAX(ABS(BR3:BR5)),ABS(BR3:BR5),0)</f>
        <v>2</v>
      </c>
      <c r="BS6" s="12">
        <f t="array" ref="BS6">MATCH(MAX(ABS(BS3:BS5)),ABS(BS3:BS5),0)</f>
        <v>1</v>
      </c>
      <c r="BT6" s="12">
        <f t="array" ref="BT6">MATCH(MAX(ABS(BT3:BT5)),ABS(BT3:BT5),0)</f>
        <v>1</v>
      </c>
      <c r="BU6" s="12">
        <f t="array" ref="BU6">MATCH(MAX(ABS(BU3:BU5)),ABS(BU3:BU5),0)</f>
        <v>2</v>
      </c>
      <c r="BV6" s="12">
        <f t="array" ref="BV6">MATCH(MAX(ABS(BV3:BV5)),ABS(BV3:BV5),0)</f>
        <v>2</v>
      </c>
      <c r="BW6" s="12">
        <f t="array" ref="BW6">MATCH(MAX(ABS(BW3:BW5)),ABS(BW3:BW5),0)</f>
        <v>2</v>
      </c>
      <c r="BX6" s="12">
        <f t="array" ref="BX6">MATCH(MAX(ABS(BX3:BX5)),ABS(BX3:BX5),0)</f>
        <v>2</v>
      </c>
      <c r="BY6" s="12">
        <f t="array" ref="BY6">MATCH(MAX(ABS(BY3:BY5)),ABS(BY3:BY5),0)</f>
        <v>2</v>
      </c>
      <c r="BZ6" s="12">
        <f t="array" ref="BZ6">MATCH(MAX(ABS(BZ3:BZ5)),ABS(BZ3:BZ5),0)</f>
        <v>2</v>
      </c>
      <c r="CA6" s="12">
        <f t="array" ref="CA6">MATCH(MAX(ABS(CA3:CA5)),ABS(CA3:CA5),0)</f>
        <v>2</v>
      </c>
      <c r="CB6" s="12">
        <f t="array" ref="CB6">MATCH(MAX(ABS(CB3:CB5)),ABS(CB3:CB5),0)</f>
        <v>2</v>
      </c>
      <c r="CC6" s="12">
        <f t="array" ref="CC6">MATCH(MAX(ABS(CC3:CC5)),ABS(CC3:CC5),0)</f>
        <v>2</v>
      </c>
      <c r="CD6" s="12">
        <f t="array" ref="CD6">MATCH(MAX(ABS(CD3:CD5)),ABS(CD3:CD5),0)</f>
        <v>2</v>
      </c>
      <c r="CE6" s="12">
        <f t="array" ref="CE6">MATCH(MAX(ABS(CE3:CE5)),ABS(CE3:CE5),0)</f>
        <v>1</v>
      </c>
      <c r="CF6" s="12">
        <f t="array" ref="CF6">MATCH(MAX(ABS(CF3:CF5)),ABS(CF3:CF5),0)</f>
        <v>1</v>
      </c>
      <c r="CG6" s="12">
        <f t="array" ref="CG6">MATCH(MAX(ABS(CG3:CG5)),ABS(CG3:CG5),0)</f>
        <v>2</v>
      </c>
      <c r="CH6" s="12">
        <f t="array" ref="CH6">MATCH(MAX(ABS(CH3:CH5)),ABS(CH3:CH5),0)</f>
        <v>2</v>
      </c>
      <c r="CI6" s="12">
        <f t="array" ref="CI6">MATCH(MAX(ABS(CI3:CI5)),ABS(CI3:CI5),0)</f>
        <v>2</v>
      </c>
      <c r="CJ6" s="12">
        <f t="array" ref="CJ6">MATCH(MAX(ABS(CJ3:CJ5)),ABS(CJ3:CJ5),0)</f>
        <v>2</v>
      </c>
      <c r="CK6" s="12">
        <f t="array" ref="CK6">MATCH(MAX(ABS(CK3:CK5)),ABS(CK3:CK5),0)</f>
        <v>2</v>
      </c>
      <c r="CL6" s="12">
        <f t="array" ref="CL6">MATCH(MAX(ABS(CL3:CL5)),ABS(CL3:CL5),0)</f>
        <v>1</v>
      </c>
      <c r="CM6" s="12">
        <f t="array" ref="CM6">MATCH(MAX(ABS(CM3:CM5)),ABS(CM3:CM5),0)</f>
        <v>1</v>
      </c>
      <c r="CN6" s="12">
        <f t="array" ref="CN6">MATCH(MAX(ABS(CN3:CN5)),ABS(CN3:CN5),0)</f>
        <v>2</v>
      </c>
      <c r="CO6" s="12">
        <f t="array" ref="CO6">MATCH(MAX(ABS(CO3:CO5)),ABS(CO3:CO5),0)</f>
        <v>1</v>
      </c>
      <c r="CP6" s="12">
        <f t="array" ref="CP6">MATCH(MAX(ABS(CP3:CP5)),ABS(CP3:CP5),0)</f>
        <v>2</v>
      </c>
      <c r="CQ6" s="12">
        <f t="array" ref="CQ6">MATCH(MAX(ABS(CQ3:CQ5)),ABS(CQ3:CQ5),0)</f>
        <v>2</v>
      </c>
      <c r="CR6" s="12">
        <f t="array" ref="CR6">MATCH(MAX(ABS(CR3:CR5)),ABS(CR3:CR5),0)</f>
        <v>1</v>
      </c>
      <c r="CS6" s="12">
        <f t="array" ref="CS6">MATCH(MAX(ABS(CS3:CS5)),ABS(CS3:CS5),0)</f>
        <v>1</v>
      </c>
      <c r="CT6" s="12">
        <f t="array" ref="CT6">MATCH(MAX(ABS(CT3:CT5)),ABS(CT3:CT5),0)</f>
        <v>2</v>
      </c>
      <c r="CU6" s="12">
        <f t="array" ref="CU6">MATCH(MAX(ABS(CU3:CU5)),ABS(CU3:CU5),0)</f>
        <v>1</v>
      </c>
      <c r="CV6" s="12">
        <f t="array" ref="CV6">MATCH(MAX(ABS(CV3:CV5)),ABS(CV3:CV5),0)</f>
        <v>1</v>
      </c>
      <c r="CW6" s="12">
        <f t="array" ref="CW6">MATCH(MAX(ABS(CW3:CW5)),ABS(CW3:CW5),0)</f>
        <v>1</v>
      </c>
      <c r="CX6" s="12">
        <f t="array" ref="CX6">MATCH(MAX(ABS(CX3:CX5)),ABS(CX3:CX5),0)</f>
        <v>1</v>
      </c>
      <c r="CY6" s="12">
        <f t="array" ref="CY6">MATCH(MAX(ABS(CY3:CY5)),ABS(CY3:CY5),0)</f>
        <v>2</v>
      </c>
      <c r="CZ6" s="12">
        <f t="array" ref="CZ6">MATCH(MAX(ABS(CZ3:CZ5)),ABS(CZ3:CZ5),0)</f>
        <v>2</v>
      </c>
      <c r="DA6" s="12">
        <f t="array" ref="DA6">MATCH(MAX(ABS(DA3:DA5)),ABS(DA3:DA5),0)</f>
        <v>1</v>
      </c>
      <c r="DB6" s="12">
        <f t="array" ref="DB6">MATCH(MAX(ABS(DB3:DB5)),ABS(DB3:DB5),0)</f>
        <v>2</v>
      </c>
      <c r="DC6" s="12">
        <f t="array" ref="DC6">MATCH(MAX(ABS(DC3:DC5)),ABS(DC3:DC5),0)</f>
        <v>2</v>
      </c>
      <c r="DD6" s="12">
        <f t="array" ref="DD6">MATCH(MAX(ABS(DD3:DD5)),ABS(DD3:DD5),0)</f>
        <v>2</v>
      </c>
      <c r="DE6" s="12">
        <f t="array" ref="DE6">MATCH(MAX(ABS(DE3:DE5)),ABS(DE3:DE5),0)</f>
        <v>2</v>
      </c>
      <c r="DF6" s="12">
        <f t="array" ref="DF6">MATCH(MAX(ABS(DF3:DF5)),ABS(DF3:DF5),0)</f>
        <v>2</v>
      </c>
      <c r="DG6" s="12">
        <f t="array" ref="DG6">MATCH(MAX(ABS(DG3:DG5)),ABS(DG3:DG5),0)</f>
        <v>2</v>
      </c>
      <c r="DH6" s="12">
        <f t="array" ref="DH6">MATCH(MAX(ABS(DH3:DH5)),ABS(DH3:DH5),0)</f>
        <v>2</v>
      </c>
      <c r="DI6" s="12">
        <f t="array" ref="DI6">MATCH(MAX(ABS(DI3:DI5)),ABS(DI3:DI5),0)</f>
        <v>2</v>
      </c>
      <c r="DJ6" s="12">
        <f t="array" ref="DJ6">MATCH(MAX(ABS(DJ3:DJ5)),ABS(DJ3:DJ5),0)</f>
        <v>2</v>
      </c>
      <c r="DK6" s="12">
        <f t="array" ref="DK6">MATCH(MAX(ABS(DK3:DK5)),ABS(DK3:DK5),0)</f>
        <v>2</v>
      </c>
      <c r="DL6" s="12">
        <f t="array" ref="DL6">MATCH(MAX(ABS(DL3:DL5)),ABS(DL3:DL5),0)</f>
        <v>2</v>
      </c>
      <c r="DM6" s="12">
        <f t="array" ref="DM6">MATCH(MAX(ABS(DM3:DM5)),ABS(DM3:DM5),0)</f>
        <v>2</v>
      </c>
      <c r="DN6" s="12">
        <f t="array" ref="DN6">MATCH(MAX(ABS(DN3:DN5)),ABS(DN3:DN5),0)</f>
        <v>1</v>
      </c>
      <c r="DO6" s="12">
        <f t="array" ref="DO6">MATCH(MAX(ABS(DO3:DO5)),ABS(DO3:DO5),0)</f>
        <v>2</v>
      </c>
      <c r="DP6" s="12">
        <f t="array" ref="DP6">MATCH(MAX(ABS(DP3:DP5)),ABS(DP3:DP5),0)</f>
        <v>1</v>
      </c>
      <c r="DQ6" s="12">
        <f t="array" ref="DQ6">MATCH(MAX(ABS(DQ3:DQ5)),ABS(DQ3:DQ5),0)</f>
        <v>2</v>
      </c>
      <c r="DR6" s="12">
        <f t="array" ref="DR6">MATCH(MAX(ABS(DR3:DR5)),ABS(DR3:DR5),0)</f>
        <v>2</v>
      </c>
      <c r="DS6" s="12">
        <f t="array" ref="DS6">MATCH(MAX(ABS(DS3:DS5)),ABS(DS3:DS5),0)</f>
        <v>1</v>
      </c>
      <c r="DT6" s="12">
        <f t="array" ref="DT6">MATCH(MAX(ABS(DT3:DT5)),ABS(DT3:DT5),0)</f>
        <v>2</v>
      </c>
      <c r="DU6" s="12">
        <f t="array" ref="DU6">MATCH(MAX(ABS(DU3:DU5)),ABS(DU3:DU5),0)</f>
        <v>2</v>
      </c>
      <c r="DV6" s="12">
        <f t="array" ref="DV6">MATCH(MAX(ABS(DV3:DV5)),ABS(DV3:DV5),0)</f>
        <v>2</v>
      </c>
      <c r="DW6" s="12">
        <f t="array" ref="DW6">MATCH(MAX(ABS(DW3:DW5)),ABS(DW3:DW5),0)</f>
        <v>1</v>
      </c>
      <c r="DX6" s="12">
        <f t="array" ref="DX6">MATCH(MAX(ABS(DX3:DX5)),ABS(DX3:DX5),0)</f>
        <v>2</v>
      </c>
      <c r="DY6" s="12">
        <f t="array" ref="DY6">MATCH(MAX(ABS(DY3:DY5)),ABS(DY3:DY5),0)</f>
        <v>2</v>
      </c>
      <c r="DZ6" s="12">
        <f t="array" ref="DZ6">MATCH(MAX(ABS(DZ3:DZ5)),ABS(DZ3:DZ5),0)</f>
        <v>1</v>
      </c>
      <c r="EA6" s="12">
        <f t="array" ref="EA6">MATCH(MAX(ABS(EA3:EA5)),ABS(EA3:EA5),0)</f>
        <v>2</v>
      </c>
      <c r="EB6" s="12">
        <f t="array" ref="EB6">MATCH(MAX(ABS(EB3:EB5)),ABS(EB3:EB5),0)</f>
        <v>2</v>
      </c>
      <c r="EC6" s="12">
        <f t="array" ref="EC6">MATCH(MAX(ABS(EC3:EC5)),ABS(EC3:EC5),0)</f>
        <v>1</v>
      </c>
      <c r="ED6" s="12">
        <f t="array" ref="ED6">MATCH(MAX(ABS(ED3:ED5)),ABS(ED3:ED5),0)</f>
        <v>1</v>
      </c>
      <c r="EE6" s="12">
        <f t="array" ref="EE6">MATCH(MAX(ABS(EE3:EE5)),ABS(EE3:EE5),0)</f>
        <v>1</v>
      </c>
      <c r="EF6" s="12">
        <f t="array" ref="EF6">MATCH(MAX(ABS(EF3:EF5)),ABS(EF3:EF5),0)</f>
        <v>1</v>
      </c>
    </row>
    <row r="7" spans="1:136">
      <c r="C7" s="13" t="str">
        <f t="shared" ref="C7:BN7" si="0">IF(C6=1,"bm",IF(C6=2,"size",IF(C6=3,"mom")))</f>
        <v>bm</v>
      </c>
      <c r="D7" s="13" t="str">
        <f t="shared" si="0"/>
        <v>bm</v>
      </c>
      <c r="E7" s="13" t="str">
        <f t="shared" si="0"/>
        <v>size</v>
      </c>
      <c r="F7" s="13" t="str">
        <f t="shared" si="0"/>
        <v>bm</v>
      </c>
      <c r="G7" s="13" t="str">
        <f t="shared" si="0"/>
        <v>bm</v>
      </c>
      <c r="H7" s="13" t="str">
        <f t="shared" si="0"/>
        <v>size</v>
      </c>
      <c r="I7" s="13" t="str">
        <f t="shared" si="0"/>
        <v>bm</v>
      </c>
      <c r="J7" s="13" t="str">
        <f t="shared" si="0"/>
        <v>size</v>
      </c>
      <c r="K7" s="13" t="str">
        <f t="shared" si="0"/>
        <v>bm</v>
      </c>
      <c r="L7" s="13" t="str">
        <f t="shared" si="0"/>
        <v>bm</v>
      </c>
      <c r="M7" s="13" t="str">
        <f t="shared" si="0"/>
        <v>size</v>
      </c>
      <c r="N7" s="13" t="str">
        <f t="shared" si="0"/>
        <v>bm</v>
      </c>
      <c r="O7" s="13" t="str">
        <f t="shared" si="0"/>
        <v>size</v>
      </c>
      <c r="P7" s="13" t="str">
        <f t="shared" si="0"/>
        <v>size</v>
      </c>
      <c r="Q7" s="13" t="str">
        <f t="shared" si="0"/>
        <v>size</v>
      </c>
      <c r="R7" s="13" t="str">
        <f t="shared" si="0"/>
        <v>bm</v>
      </c>
      <c r="S7" s="13" t="str">
        <f t="shared" si="0"/>
        <v>bm</v>
      </c>
      <c r="T7" s="13" t="str">
        <f t="shared" si="0"/>
        <v>size</v>
      </c>
      <c r="U7" s="13" t="str">
        <f t="shared" si="0"/>
        <v>bm</v>
      </c>
      <c r="V7" s="13" t="str">
        <f t="shared" si="0"/>
        <v>size</v>
      </c>
      <c r="W7" s="13" t="str">
        <f t="shared" si="0"/>
        <v>bm</v>
      </c>
      <c r="X7" s="13" t="str">
        <f t="shared" si="0"/>
        <v>bm</v>
      </c>
      <c r="Y7" s="13" t="str">
        <f t="shared" si="0"/>
        <v>size</v>
      </c>
      <c r="Z7" s="13" t="str">
        <f t="shared" si="0"/>
        <v>size</v>
      </c>
      <c r="AA7" s="13" t="str">
        <f t="shared" si="0"/>
        <v>size</v>
      </c>
      <c r="AB7" s="13" t="str">
        <f t="shared" si="0"/>
        <v>size</v>
      </c>
      <c r="AC7" s="13" t="str">
        <f t="shared" si="0"/>
        <v>size</v>
      </c>
      <c r="AD7" s="13" t="str">
        <f t="shared" si="0"/>
        <v>size</v>
      </c>
      <c r="AE7" s="13" t="str">
        <f t="shared" si="0"/>
        <v>size</v>
      </c>
      <c r="AF7" s="13" t="str">
        <f t="shared" si="0"/>
        <v>size</v>
      </c>
      <c r="AG7" s="13" t="str">
        <f t="shared" si="0"/>
        <v>size</v>
      </c>
      <c r="AH7" s="13" t="str">
        <f t="shared" si="0"/>
        <v>bm</v>
      </c>
      <c r="AI7" s="13" t="str">
        <f t="shared" si="0"/>
        <v>size</v>
      </c>
      <c r="AJ7" s="13" t="str">
        <f t="shared" si="0"/>
        <v>bm</v>
      </c>
      <c r="AK7" s="13" t="str">
        <f t="shared" si="0"/>
        <v>bm</v>
      </c>
      <c r="AL7" s="13" t="str">
        <f t="shared" si="0"/>
        <v>bm</v>
      </c>
      <c r="AM7" s="13" t="str">
        <f t="shared" si="0"/>
        <v>size</v>
      </c>
      <c r="AN7" s="13" t="str">
        <f t="shared" si="0"/>
        <v>size</v>
      </c>
      <c r="AO7" s="13" t="str">
        <f t="shared" si="0"/>
        <v>bm</v>
      </c>
      <c r="AP7" s="13" t="str">
        <f t="shared" si="0"/>
        <v>size</v>
      </c>
      <c r="AQ7" s="13" t="str">
        <f t="shared" si="0"/>
        <v>size</v>
      </c>
      <c r="AR7" s="13" t="str">
        <f t="shared" si="0"/>
        <v>size</v>
      </c>
      <c r="AS7" s="13" t="str">
        <f t="shared" si="0"/>
        <v>size</v>
      </c>
      <c r="AT7" s="13" t="str">
        <f t="shared" si="0"/>
        <v>size</v>
      </c>
      <c r="AU7" s="13" t="str">
        <f t="shared" si="0"/>
        <v>size</v>
      </c>
      <c r="AV7" s="13" t="str">
        <f t="shared" si="0"/>
        <v>size</v>
      </c>
      <c r="AW7" s="13" t="str">
        <f t="shared" si="0"/>
        <v>size</v>
      </c>
      <c r="AX7" s="13" t="str">
        <f t="shared" si="0"/>
        <v>size</v>
      </c>
      <c r="AY7" s="13" t="str">
        <f t="shared" si="0"/>
        <v>size</v>
      </c>
      <c r="AZ7" s="13" t="str">
        <f t="shared" si="0"/>
        <v>size</v>
      </c>
      <c r="BA7" s="13" t="str">
        <f t="shared" si="0"/>
        <v>size</v>
      </c>
      <c r="BB7" s="13" t="str">
        <f t="shared" si="0"/>
        <v>size</v>
      </c>
      <c r="BC7" s="13" t="str">
        <f t="shared" si="0"/>
        <v>size</v>
      </c>
      <c r="BD7" s="13" t="str">
        <f t="shared" si="0"/>
        <v>size</v>
      </c>
      <c r="BE7" s="13" t="str">
        <f t="shared" si="0"/>
        <v>bm</v>
      </c>
      <c r="BF7" s="13" t="str">
        <f t="shared" si="0"/>
        <v>bm</v>
      </c>
      <c r="BG7" s="13" t="str">
        <f t="shared" si="0"/>
        <v>size</v>
      </c>
      <c r="BH7" s="13" t="str">
        <f t="shared" si="0"/>
        <v>size</v>
      </c>
      <c r="BI7" s="13" t="str">
        <f t="shared" si="0"/>
        <v>size</v>
      </c>
      <c r="BJ7" s="13" t="str">
        <f t="shared" si="0"/>
        <v>size</v>
      </c>
      <c r="BK7" s="13" t="str">
        <f t="shared" si="0"/>
        <v>size</v>
      </c>
      <c r="BL7" s="13" t="str">
        <f t="shared" si="0"/>
        <v>bm</v>
      </c>
      <c r="BM7" s="13" t="str">
        <f t="shared" si="0"/>
        <v>bm</v>
      </c>
      <c r="BN7" s="13" t="str">
        <f t="shared" si="0"/>
        <v>size</v>
      </c>
      <c r="BO7" s="13" t="str">
        <f t="shared" ref="BO7:DZ7" si="1">IF(BO6=1,"bm",IF(BO6=2,"size",IF(BO6=3,"mom")))</f>
        <v>bm</v>
      </c>
      <c r="BP7" s="13" t="str">
        <f t="shared" si="1"/>
        <v>bm</v>
      </c>
      <c r="BQ7" s="13" t="str">
        <f t="shared" si="1"/>
        <v>size</v>
      </c>
      <c r="BR7" s="13" t="str">
        <f t="shared" si="1"/>
        <v>size</v>
      </c>
      <c r="BS7" s="13" t="str">
        <f t="shared" si="1"/>
        <v>bm</v>
      </c>
      <c r="BT7" s="13" t="str">
        <f t="shared" si="1"/>
        <v>bm</v>
      </c>
      <c r="BU7" s="13" t="str">
        <f t="shared" si="1"/>
        <v>size</v>
      </c>
      <c r="BV7" s="13" t="str">
        <f t="shared" si="1"/>
        <v>size</v>
      </c>
      <c r="BW7" s="13" t="str">
        <f t="shared" si="1"/>
        <v>size</v>
      </c>
      <c r="BX7" s="13" t="str">
        <f t="shared" si="1"/>
        <v>size</v>
      </c>
      <c r="BY7" s="13" t="str">
        <f t="shared" si="1"/>
        <v>size</v>
      </c>
      <c r="BZ7" s="13" t="str">
        <f t="shared" si="1"/>
        <v>size</v>
      </c>
      <c r="CA7" s="13" t="str">
        <f t="shared" si="1"/>
        <v>size</v>
      </c>
      <c r="CB7" s="13" t="str">
        <f t="shared" si="1"/>
        <v>size</v>
      </c>
      <c r="CC7" s="13" t="str">
        <f t="shared" si="1"/>
        <v>size</v>
      </c>
      <c r="CD7" s="13" t="str">
        <f t="shared" si="1"/>
        <v>size</v>
      </c>
      <c r="CE7" s="13" t="str">
        <f t="shared" si="1"/>
        <v>bm</v>
      </c>
      <c r="CF7" s="13" t="str">
        <f t="shared" si="1"/>
        <v>bm</v>
      </c>
      <c r="CG7" s="13" t="str">
        <f t="shared" si="1"/>
        <v>size</v>
      </c>
      <c r="CH7" s="13" t="str">
        <f t="shared" si="1"/>
        <v>size</v>
      </c>
      <c r="CI7" s="13" t="str">
        <f t="shared" si="1"/>
        <v>size</v>
      </c>
      <c r="CJ7" s="13" t="str">
        <f t="shared" si="1"/>
        <v>size</v>
      </c>
      <c r="CK7" s="13" t="str">
        <f t="shared" si="1"/>
        <v>size</v>
      </c>
      <c r="CL7" s="13" t="str">
        <f t="shared" si="1"/>
        <v>bm</v>
      </c>
      <c r="CM7" s="13" t="str">
        <f t="shared" si="1"/>
        <v>bm</v>
      </c>
      <c r="CN7" s="13" t="str">
        <f t="shared" si="1"/>
        <v>size</v>
      </c>
      <c r="CO7" s="13" t="str">
        <f t="shared" si="1"/>
        <v>bm</v>
      </c>
      <c r="CP7" s="13" t="str">
        <f t="shared" si="1"/>
        <v>size</v>
      </c>
      <c r="CQ7" s="13" t="str">
        <f t="shared" si="1"/>
        <v>size</v>
      </c>
      <c r="CR7" s="13" t="str">
        <f t="shared" si="1"/>
        <v>bm</v>
      </c>
      <c r="CS7" s="13" t="str">
        <f t="shared" si="1"/>
        <v>bm</v>
      </c>
      <c r="CT7" s="13" t="str">
        <f t="shared" si="1"/>
        <v>size</v>
      </c>
      <c r="CU7" s="13" t="str">
        <f t="shared" si="1"/>
        <v>bm</v>
      </c>
      <c r="CV7" s="13" t="str">
        <f t="shared" si="1"/>
        <v>bm</v>
      </c>
      <c r="CW7" s="13" t="str">
        <f t="shared" si="1"/>
        <v>bm</v>
      </c>
      <c r="CX7" s="13" t="str">
        <f t="shared" si="1"/>
        <v>bm</v>
      </c>
      <c r="CY7" s="13" t="str">
        <f t="shared" si="1"/>
        <v>size</v>
      </c>
      <c r="CZ7" s="13" t="str">
        <f t="shared" si="1"/>
        <v>size</v>
      </c>
      <c r="DA7" s="13" t="str">
        <f t="shared" si="1"/>
        <v>bm</v>
      </c>
      <c r="DB7" s="13" t="str">
        <f t="shared" si="1"/>
        <v>size</v>
      </c>
      <c r="DC7" s="13" t="str">
        <f t="shared" si="1"/>
        <v>size</v>
      </c>
      <c r="DD7" s="13" t="str">
        <f t="shared" si="1"/>
        <v>size</v>
      </c>
      <c r="DE7" s="13" t="str">
        <f t="shared" si="1"/>
        <v>size</v>
      </c>
      <c r="DF7" s="13" t="str">
        <f t="shared" si="1"/>
        <v>size</v>
      </c>
      <c r="DG7" s="13" t="str">
        <f t="shared" si="1"/>
        <v>size</v>
      </c>
      <c r="DH7" s="13" t="str">
        <f t="shared" si="1"/>
        <v>size</v>
      </c>
      <c r="DI7" s="13" t="str">
        <f t="shared" si="1"/>
        <v>size</v>
      </c>
      <c r="DJ7" s="13" t="str">
        <f t="shared" si="1"/>
        <v>size</v>
      </c>
      <c r="DK7" s="13" t="str">
        <f t="shared" si="1"/>
        <v>size</v>
      </c>
      <c r="DL7" s="13" t="str">
        <f t="shared" si="1"/>
        <v>size</v>
      </c>
      <c r="DM7" s="13" t="str">
        <f t="shared" si="1"/>
        <v>size</v>
      </c>
      <c r="DN7" s="13" t="str">
        <f t="shared" si="1"/>
        <v>bm</v>
      </c>
      <c r="DO7" s="13" t="str">
        <f t="shared" si="1"/>
        <v>size</v>
      </c>
      <c r="DP7" s="13" t="str">
        <f t="shared" si="1"/>
        <v>bm</v>
      </c>
      <c r="DQ7" s="13" t="str">
        <f t="shared" si="1"/>
        <v>size</v>
      </c>
      <c r="DR7" s="13" t="str">
        <f t="shared" si="1"/>
        <v>size</v>
      </c>
      <c r="DS7" s="13" t="str">
        <f t="shared" si="1"/>
        <v>bm</v>
      </c>
      <c r="DT7" s="13" t="str">
        <f t="shared" si="1"/>
        <v>size</v>
      </c>
      <c r="DU7" s="13" t="str">
        <f t="shared" si="1"/>
        <v>size</v>
      </c>
      <c r="DV7" s="13" t="str">
        <f t="shared" si="1"/>
        <v>size</v>
      </c>
      <c r="DW7" s="13" t="str">
        <f t="shared" si="1"/>
        <v>bm</v>
      </c>
      <c r="DX7" s="13" t="str">
        <f t="shared" si="1"/>
        <v>size</v>
      </c>
      <c r="DY7" s="13" t="str">
        <f t="shared" si="1"/>
        <v>size</v>
      </c>
      <c r="DZ7" s="13" t="str">
        <f t="shared" si="1"/>
        <v>bm</v>
      </c>
      <c r="EA7" s="13" t="str">
        <f t="shared" ref="EA7:EF7" si="2">IF(EA6=1,"bm",IF(EA6=2,"size",IF(EA6=3,"mom")))</f>
        <v>size</v>
      </c>
      <c r="EB7" s="13" t="str">
        <f t="shared" si="2"/>
        <v>size</v>
      </c>
      <c r="EC7" s="13" t="str">
        <f t="shared" si="2"/>
        <v>bm</v>
      </c>
      <c r="ED7" s="13" t="str">
        <f t="shared" si="2"/>
        <v>bm</v>
      </c>
      <c r="EE7" s="13" t="str">
        <f t="shared" si="2"/>
        <v>bm</v>
      </c>
      <c r="EF7" s="13" t="str">
        <f t="shared" si="2"/>
        <v>bm</v>
      </c>
    </row>
    <row r="8" spans="1:136">
      <c r="C8" s="12">
        <f t="shared" ref="C8:BN8" si="3">IF(C6=1,C3,IF(C6=2,C4,IF(C6=3,C5)))</f>
        <v>-7.7981240861112869E-2</v>
      </c>
      <c r="D8" s="12">
        <f t="shared" si="3"/>
        <v>-9.1720816001217079E-2</v>
      </c>
      <c r="E8" s="12">
        <f t="shared" si="3"/>
        <v>-7.4711540898400819E-2</v>
      </c>
      <c r="F8" s="12">
        <f t="shared" si="3"/>
        <v>-0.1154504478657486</v>
      </c>
      <c r="G8" s="12">
        <f t="shared" si="3"/>
        <v>-8.3443116291576969E-2</v>
      </c>
      <c r="H8" s="12">
        <f t="shared" si="3"/>
        <v>-7.4711540898400819E-2</v>
      </c>
      <c r="I8" s="12">
        <f t="shared" si="3"/>
        <v>-9.17061944524626E-2</v>
      </c>
      <c r="J8" s="12">
        <f t="shared" si="3"/>
        <v>-7.4711540898400819E-2</v>
      </c>
      <c r="K8" s="12">
        <f t="shared" si="3"/>
        <v>-0.1008329194598508</v>
      </c>
      <c r="L8" s="12">
        <f t="shared" si="3"/>
        <v>-0.10378006478536519</v>
      </c>
      <c r="M8" s="12">
        <f t="shared" si="3"/>
        <v>-7.4711540898400819E-2</v>
      </c>
      <c r="N8" s="12">
        <f t="shared" si="3"/>
        <v>-0.1158619637464291</v>
      </c>
      <c r="O8" s="12">
        <f t="shared" si="3"/>
        <v>-7.4711540898400819E-2</v>
      </c>
      <c r="P8" s="12">
        <f t="shared" si="3"/>
        <v>-7.4711540898400819E-2</v>
      </c>
      <c r="Q8" s="12">
        <f t="shared" si="3"/>
        <v>-7.4711540898400819E-2</v>
      </c>
      <c r="R8" s="12">
        <f t="shared" si="3"/>
        <v>-0.1169489926289226</v>
      </c>
      <c r="S8" s="12">
        <f t="shared" si="3"/>
        <v>-0.17262516521577451</v>
      </c>
      <c r="T8" s="12">
        <f t="shared" si="3"/>
        <v>-7.4711540898400819E-2</v>
      </c>
      <c r="U8" s="12">
        <f t="shared" si="3"/>
        <v>-0.1047373820130289</v>
      </c>
      <c r="V8" s="12">
        <f t="shared" si="3"/>
        <v>-7.4711540898400819E-2</v>
      </c>
      <c r="W8" s="12">
        <f t="shared" si="3"/>
        <v>0.1104845400782864</v>
      </c>
      <c r="X8" s="12">
        <f t="shared" si="3"/>
        <v>7.7152949246108812E-2</v>
      </c>
      <c r="Y8" s="12">
        <f t="shared" si="3"/>
        <v>-7.4711540898400819E-2</v>
      </c>
      <c r="Z8" s="12">
        <f t="shared" si="3"/>
        <v>-7.4711540898400819E-2</v>
      </c>
      <c r="AA8" s="12">
        <f t="shared" si="3"/>
        <v>-7.4711540898400819E-2</v>
      </c>
      <c r="AB8" s="12">
        <f t="shared" si="3"/>
        <v>-7.4711540898400819E-2</v>
      </c>
      <c r="AC8" s="12">
        <f t="shared" si="3"/>
        <v>-7.4711540898400819E-2</v>
      </c>
      <c r="AD8" s="12">
        <f t="shared" si="3"/>
        <v>-7.4711540898400819E-2</v>
      </c>
      <c r="AE8" s="12">
        <f t="shared" si="3"/>
        <v>-7.4711540898400819E-2</v>
      </c>
      <c r="AF8" s="12">
        <f t="shared" si="3"/>
        <v>-7.4711540898400819E-2</v>
      </c>
      <c r="AG8" s="12">
        <f t="shared" si="3"/>
        <v>-7.4711540898400819E-2</v>
      </c>
      <c r="AH8" s="12">
        <f t="shared" si="3"/>
        <v>0.1009192396033949</v>
      </c>
      <c r="AI8" s="12">
        <f t="shared" si="3"/>
        <v>-7.4711540898400819E-2</v>
      </c>
      <c r="AJ8" s="12">
        <f t="shared" si="3"/>
        <v>0.1019691755674634</v>
      </c>
      <c r="AK8" s="12">
        <f t="shared" si="3"/>
        <v>0.13211315672161919</v>
      </c>
      <c r="AL8" s="12">
        <f t="shared" si="3"/>
        <v>8.0841310267837335E-2</v>
      </c>
      <c r="AM8" s="12">
        <f t="shared" si="3"/>
        <v>-7.4711540898400819E-2</v>
      </c>
      <c r="AN8" s="12">
        <f t="shared" si="3"/>
        <v>-7.4711540898400819E-2</v>
      </c>
      <c r="AO8" s="12">
        <f t="shared" si="3"/>
        <v>0.1344236211085432</v>
      </c>
      <c r="AP8" s="12">
        <f t="shared" si="3"/>
        <v>-7.4711540898400819E-2</v>
      </c>
      <c r="AQ8" s="12">
        <f t="shared" si="3"/>
        <v>-7.4711540898400819E-2</v>
      </c>
      <c r="AR8" s="12">
        <f t="shared" si="3"/>
        <v>-7.4711540898400819E-2</v>
      </c>
      <c r="AS8" s="12">
        <f t="shared" si="3"/>
        <v>-7.4711540898400819E-2</v>
      </c>
      <c r="AT8" s="12">
        <f t="shared" si="3"/>
        <v>-7.4711540898400819E-2</v>
      </c>
      <c r="AU8" s="12">
        <f t="shared" si="3"/>
        <v>-7.4711540898400819E-2</v>
      </c>
      <c r="AV8" s="12">
        <f t="shared" si="3"/>
        <v>-7.4711540898400819E-2</v>
      </c>
      <c r="AW8" s="12">
        <f t="shared" si="3"/>
        <v>-7.4711540898400819E-2</v>
      </c>
      <c r="AX8" s="12">
        <f t="shared" si="3"/>
        <v>-7.4711540898400819E-2</v>
      </c>
      <c r="AY8" s="12">
        <f t="shared" si="3"/>
        <v>-7.4711540898400819E-2</v>
      </c>
      <c r="AZ8" s="12">
        <f t="shared" si="3"/>
        <v>-7.4711540898400819E-2</v>
      </c>
      <c r="BA8" s="12">
        <f t="shared" si="3"/>
        <v>-7.4711540898400819E-2</v>
      </c>
      <c r="BB8" s="12">
        <f t="shared" si="3"/>
        <v>-7.4711540898400819E-2</v>
      </c>
      <c r="BC8" s="12">
        <f t="shared" si="3"/>
        <v>-7.4711540898400819E-2</v>
      </c>
      <c r="BD8" s="12">
        <f t="shared" si="3"/>
        <v>-7.4711540898400819E-2</v>
      </c>
      <c r="BE8" s="12">
        <f t="shared" si="3"/>
        <v>0.15640720996344051</v>
      </c>
      <c r="BF8" s="12">
        <f t="shared" si="3"/>
        <v>8.961422115098705E-2</v>
      </c>
      <c r="BG8" s="12">
        <f t="shared" si="3"/>
        <v>-7.4711540898400819E-2</v>
      </c>
      <c r="BH8" s="12">
        <f t="shared" si="3"/>
        <v>-7.4711540898400819E-2</v>
      </c>
      <c r="BI8" s="12">
        <f t="shared" si="3"/>
        <v>-7.4711540898400819E-2</v>
      </c>
      <c r="BJ8" s="12">
        <f t="shared" si="3"/>
        <v>-7.4711540898400819E-2</v>
      </c>
      <c r="BK8" s="12">
        <f t="shared" si="3"/>
        <v>-7.4711540898400819E-2</v>
      </c>
      <c r="BL8" s="12">
        <f t="shared" si="3"/>
        <v>0.14599637517714301</v>
      </c>
      <c r="BM8" s="12">
        <f t="shared" si="3"/>
        <v>7.7671454044817706E-2</v>
      </c>
      <c r="BN8" s="12">
        <f t="shared" si="3"/>
        <v>-7.4711540898400819E-2</v>
      </c>
      <c r="BO8" s="12">
        <f t="shared" ref="BO8:DZ8" si="4">IF(BO6=1,BO3,IF(BO6=2,BO4,IF(BO6=3,BO5)))</f>
        <v>0.15075036572727429</v>
      </c>
      <c r="BP8" s="12">
        <f t="shared" si="4"/>
        <v>0.1068808738908148</v>
      </c>
      <c r="BQ8" s="12">
        <f t="shared" si="4"/>
        <v>-7.4711540898400819E-2</v>
      </c>
      <c r="BR8" s="12">
        <f t="shared" si="4"/>
        <v>-7.4711540898400819E-2</v>
      </c>
      <c r="BS8" s="12">
        <f t="shared" si="4"/>
        <v>7.5715218722114425E-2</v>
      </c>
      <c r="BT8" s="12">
        <f t="shared" si="4"/>
        <v>0.1476948601503042</v>
      </c>
      <c r="BU8" s="12">
        <f t="shared" si="4"/>
        <v>-7.4711540898400819E-2</v>
      </c>
      <c r="BV8" s="12">
        <f t="shared" si="4"/>
        <v>-7.4711540898400819E-2</v>
      </c>
      <c r="BW8" s="12">
        <f t="shared" si="4"/>
        <v>-7.4711540898400819E-2</v>
      </c>
      <c r="BX8" s="12">
        <f t="shared" si="4"/>
        <v>-7.4711540898400819E-2</v>
      </c>
      <c r="BY8" s="12">
        <f t="shared" si="4"/>
        <v>-7.4711540898400819E-2</v>
      </c>
      <c r="BZ8" s="12">
        <f t="shared" si="4"/>
        <v>-7.4711540898400819E-2</v>
      </c>
      <c r="CA8" s="12">
        <f t="shared" si="4"/>
        <v>-7.4711540898400819E-2</v>
      </c>
      <c r="CB8" s="12">
        <f t="shared" si="4"/>
        <v>-7.4711540898400819E-2</v>
      </c>
      <c r="CC8" s="12">
        <f t="shared" si="4"/>
        <v>-7.4711540898400819E-2</v>
      </c>
      <c r="CD8" s="12">
        <f t="shared" si="4"/>
        <v>-7.4711540898400819E-2</v>
      </c>
      <c r="CE8" s="12">
        <f t="shared" si="4"/>
        <v>-0.1062476229187161</v>
      </c>
      <c r="CF8" s="12">
        <f t="shared" si="4"/>
        <v>-0.1195660454549131</v>
      </c>
      <c r="CG8" s="12">
        <f t="shared" si="4"/>
        <v>-7.4711540898400819E-2</v>
      </c>
      <c r="CH8" s="12">
        <f t="shared" si="4"/>
        <v>-7.4711540898400819E-2</v>
      </c>
      <c r="CI8" s="12">
        <f t="shared" si="4"/>
        <v>-7.4711540898400819E-2</v>
      </c>
      <c r="CJ8" s="12">
        <f t="shared" si="4"/>
        <v>-7.4711540898400819E-2</v>
      </c>
      <c r="CK8" s="12">
        <f t="shared" si="4"/>
        <v>-7.4711540898400819E-2</v>
      </c>
      <c r="CL8" s="12">
        <f t="shared" si="4"/>
        <v>-8.2212452947380901E-2</v>
      </c>
      <c r="CM8" s="12">
        <f t="shared" si="4"/>
        <v>-0.12682704685249099</v>
      </c>
      <c r="CN8" s="12">
        <f t="shared" si="4"/>
        <v>-7.4711540898400819E-2</v>
      </c>
      <c r="CO8" s="12">
        <f t="shared" si="4"/>
        <v>-0.13500465547665971</v>
      </c>
      <c r="CP8" s="12">
        <f t="shared" si="4"/>
        <v>-7.4711540898400819E-2</v>
      </c>
      <c r="CQ8" s="12">
        <f t="shared" si="4"/>
        <v>-7.4711540898400819E-2</v>
      </c>
      <c r="CR8" s="12">
        <f t="shared" si="4"/>
        <v>-9.4660334746213826E-2</v>
      </c>
      <c r="CS8" s="12">
        <f t="shared" si="4"/>
        <v>-7.7501744984071919E-2</v>
      </c>
      <c r="CT8" s="12">
        <f t="shared" si="4"/>
        <v>-7.4711540898400819E-2</v>
      </c>
      <c r="CU8" s="12">
        <f t="shared" si="4"/>
        <v>-0.10211731197922071</v>
      </c>
      <c r="CV8" s="12">
        <f t="shared" si="4"/>
        <v>-0.1210008636864883</v>
      </c>
      <c r="CW8" s="12">
        <f t="shared" si="4"/>
        <v>-8.3771057290789874E-2</v>
      </c>
      <c r="CX8" s="12">
        <f t="shared" si="4"/>
        <v>-0.108143131485795</v>
      </c>
      <c r="CY8" s="12">
        <f t="shared" si="4"/>
        <v>-7.4711540898400819E-2</v>
      </c>
      <c r="CZ8" s="12">
        <f t="shared" si="4"/>
        <v>-7.4711540898400819E-2</v>
      </c>
      <c r="DA8" s="12">
        <f t="shared" si="4"/>
        <v>-7.7524493053387863E-2</v>
      </c>
      <c r="DB8" s="12">
        <f t="shared" si="4"/>
        <v>-7.4711540898400819E-2</v>
      </c>
      <c r="DC8" s="12">
        <f t="shared" si="4"/>
        <v>-7.4711540898400819E-2</v>
      </c>
      <c r="DD8" s="12">
        <f t="shared" si="4"/>
        <v>-7.4711540898400819E-2</v>
      </c>
      <c r="DE8" s="12">
        <f t="shared" si="4"/>
        <v>-7.4711540898400819E-2</v>
      </c>
      <c r="DF8" s="12">
        <f t="shared" si="4"/>
        <v>-7.4711540898400819E-2</v>
      </c>
      <c r="DG8" s="12">
        <f t="shared" si="4"/>
        <v>-7.4711540898400819E-2</v>
      </c>
      <c r="DH8" s="12">
        <f t="shared" si="4"/>
        <v>-7.4711540898400819E-2</v>
      </c>
      <c r="DI8" s="12">
        <f t="shared" si="4"/>
        <v>-7.4711540898400819E-2</v>
      </c>
      <c r="DJ8" s="12">
        <f t="shared" si="4"/>
        <v>-7.4711540898400819E-2</v>
      </c>
      <c r="DK8" s="12">
        <f t="shared" si="4"/>
        <v>-7.4711540898400819E-2</v>
      </c>
      <c r="DL8" s="12">
        <f t="shared" si="4"/>
        <v>-7.4711540898400819E-2</v>
      </c>
      <c r="DM8" s="12">
        <f t="shared" si="4"/>
        <v>-7.4711540898400819E-2</v>
      </c>
      <c r="DN8" s="12">
        <f t="shared" si="4"/>
        <v>7.7435014643364664E-2</v>
      </c>
      <c r="DO8" s="12">
        <f t="shared" si="4"/>
        <v>-7.4711540898400819E-2</v>
      </c>
      <c r="DP8" s="12">
        <f t="shared" si="4"/>
        <v>7.556841599905624E-2</v>
      </c>
      <c r="DQ8" s="12">
        <f t="shared" si="4"/>
        <v>-7.4711540898400819E-2</v>
      </c>
      <c r="DR8" s="12">
        <f t="shared" si="4"/>
        <v>-7.4711540898400819E-2</v>
      </c>
      <c r="DS8" s="12">
        <f t="shared" si="4"/>
        <v>0.10263669436748039</v>
      </c>
      <c r="DT8" s="12">
        <f t="shared" si="4"/>
        <v>-7.4711540898400819E-2</v>
      </c>
      <c r="DU8" s="12">
        <f t="shared" si="4"/>
        <v>-7.4711540898400819E-2</v>
      </c>
      <c r="DV8" s="12">
        <f t="shared" si="4"/>
        <v>-7.4711540898400819E-2</v>
      </c>
      <c r="DW8" s="12">
        <f t="shared" si="4"/>
        <v>7.8117337673435386E-2</v>
      </c>
      <c r="DX8" s="12">
        <f t="shared" si="4"/>
        <v>-7.4711540898400819E-2</v>
      </c>
      <c r="DY8" s="12">
        <f t="shared" si="4"/>
        <v>-7.4711540898400819E-2</v>
      </c>
      <c r="DZ8" s="12">
        <f t="shared" si="4"/>
        <v>-0.1079887966876449</v>
      </c>
      <c r="EA8" s="12">
        <f t="shared" ref="EA8:EF8" si="5">IF(EA6=1,EA3,IF(EA6=2,EA4,IF(EA6=3,EA5)))</f>
        <v>-7.4711540898400819E-2</v>
      </c>
      <c r="EB8" s="12">
        <f t="shared" si="5"/>
        <v>-7.4711540898400819E-2</v>
      </c>
      <c r="EC8" s="12">
        <f t="shared" si="5"/>
        <v>0.1146690600079793</v>
      </c>
      <c r="ED8" s="12">
        <f t="shared" si="5"/>
        <v>-0.13301760440885349</v>
      </c>
      <c r="EE8" s="12">
        <f t="shared" si="5"/>
        <v>-8.3212161647068517E-2</v>
      </c>
      <c r="EF8" s="12">
        <f t="shared" si="5"/>
        <v>-7.4711540898400819E-2</v>
      </c>
    </row>
    <row r="10" spans="1:136">
      <c r="A10" s="2" t="s">
        <v>139</v>
      </c>
      <c r="B10" s="1"/>
      <c r="C10" s="2" t="s">
        <v>140</v>
      </c>
      <c r="D10" s="2">
        <v>964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</row>
    <row r="11" spans="1:136">
      <c r="A11" s="2"/>
      <c r="B11" s="2" t="s">
        <v>141</v>
      </c>
      <c r="C11" s="3" t="s">
        <v>2</v>
      </c>
      <c r="D11" s="3" t="s">
        <v>3</v>
      </c>
      <c r="E11" s="3" t="s">
        <v>4</v>
      </c>
      <c r="F11" s="3" t="s">
        <v>5</v>
      </c>
      <c r="G11" s="3" t="s">
        <v>6</v>
      </c>
      <c r="H11" s="3" t="s">
        <v>7</v>
      </c>
      <c r="I11" s="3" t="s">
        <v>8</v>
      </c>
      <c r="J11" s="3" t="s">
        <v>9</v>
      </c>
      <c r="K11" s="3" t="s">
        <v>10</v>
      </c>
      <c r="L11" s="3" t="s">
        <v>11</v>
      </c>
      <c r="M11" s="3" t="s">
        <v>12</v>
      </c>
      <c r="N11" s="3" t="s">
        <v>13</v>
      </c>
      <c r="O11" s="3" t="s">
        <v>14</v>
      </c>
      <c r="P11" s="3" t="s">
        <v>15</v>
      </c>
      <c r="Q11" s="3" t="s">
        <v>16</v>
      </c>
      <c r="R11" s="3" t="s">
        <v>17</v>
      </c>
      <c r="S11" s="3" t="s">
        <v>18</v>
      </c>
      <c r="T11" s="3" t="s">
        <v>19</v>
      </c>
      <c r="U11" s="3" t="s">
        <v>20</v>
      </c>
      <c r="V11" s="3" t="s">
        <v>21</v>
      </c>
      <c r="W11" s="3" t="s">
        <v>22</v>
      </c>
      <c r="X11" s="3" t="s">
        <v>23</v>
      </c>
      <c r="Y11" s="3" t="s">
        <v>24</v>
      </c>
      <c r="Z11" s="3" t="s">
        <v>25</v>
      </c>
      <c r="AA11" s="3" t="s">
        <v>26</v>
      </c>
      <c r="AB11" s="3" t="s">
        <v>27</v>
      </c>
      <c r="AC11" s="3" t="s">
        <v>28</v>
      </c>
      <c r="AD11" s="3" t="s">
        <v>29</v>
      </c>
      <c r="AE11" s="3" t="s">
        <v>30</v>
      </c>
      <c r="AF11" s="3" t="s">
        <v>31</v>
      </c>
      <c r="AG11" s="3" t="s">
        <v>32</v>
      </c>
      <c r="AH11" s="3" t="s">
        <v>33</v>
      </c>
      <c r="AI11" s="3" t="s">
        <v>34</v>
      </c>
      <c r="AJ11" s="3" t="s">
        <v>35</v>
      </c>
      <c r="AK11" s="3" t="s">
        <v>36</v>
      </c>
      <c r="AL11" s="3" t="s">
        <v>37</v>
      </c>
      <c r="AM11" s="3" t="s">
        <v>38</v>
      </c>
      <c r="AN11" s="3" t="s">
        <v>39</v>
      </c>
      <c r="AO11" s="3" t="s">
        <v>40</v>
      </c>
      <c r="AP11" s="3" t="s">
        <v>41</v>
      </c>
      <c r="AQ11" s="3" t="s">
        <v>42</v>
      </c>
      <c r="AR11" s="3" t="s">
        <v>43</v>
      </c>
      <c r="AS11" s="3" t="s">
        <v>44</v>
      </c>
      <c r="AT11" s="3" t="s">
        <v>45</v>
      </c>
      <c r="AU11" s="3" t="s">
        <v>46</v>
      </c>
      <c r="AV11" s="3" t="s">
        <v>47</v>
      </c>
      <c r="AW11" s="3" t="s">
        <v>48</v>
      </c>
      <c r="AX11" s="3" t="s">
        <v>49</v>
      </c>
      <c r="AY11" s="3" t="s">
        <v>50</v>
      </c>
      <c r="AZ11" s="3" t="s">
        <v>51</v>
      </c>
      <c r="BA11" s="3" t="s">
        <v>52</v>
      </c>
      <c r="BB11" s="3" t="s">
        <v>53</v>
      </c>
      <c r="BC11" s="3" t="s">
        <v>54</v>
      </c>
      <c r="BD11" s="3" t="s">
        <v>55</v>
      </c>
      <c r="BE11" s="3" t="s">
        <v>56</v>
      </c>
      <c r="BF11" s="3" t="s">
        <v>57</v>
      </c>
      <c r="BG11" s="3" t="s">
        <v>58</v>
      </c>
      <c r="BH11" s="3" t="s">
        <v>59</v>
      </c>
      <c r="BI11" s="3" t="s">
        <v>60</v>
      </c>
      <c r="BJ11" s="3" t="s">
        <v>61</v>
      </c>
      <c r="BK11" s="3" t="s">
        <v>62</v>
      </c>
      <c r="BL11" s="3" t="s">
        <v>63</v>
      </c>
      <c r="BM11" s="3" t="s">
        <v>64</v>
      </c>
      <c r="BN11" s="3" t="s">
        <v>65</v>
      </c>
      <c r="BO11" s="3" t="s">
        <v>66</v>
      </c>
      <c r="BP11" s="3" t="s">
        <v>67</v>
      </c>
      <c r="BQ11" s="3" t="s">
        <v>68</v>
      </c>
      <c r="BR11" s="3" t="s">
        <v>69</v>
      </c>
      <c r="BS11" s="3" t="s">
        <v>70</v>
      </c>
      <c r="BT11" s="3" t="s">
        <v>71</v>
      </c>
      <c r="BU11" s="3" t="s">
        <v>72</v>
      </c>
      <c r="BV11" s="3" t="s">
        <v>73</v>
      </c>
      <c r="BW11" s="3" t="s">
        <v>74</v>
      </c>
      <c r="BX11" s="3" t="s">
        <v>75</v>
      </c>
      <c r="BY11" s="3" t="s">
        <v>76</v>
      </c>
      <c r="BZ11" s="3" t="s">
        <v>77</v>
      </c>
      <c r="CA11" s="3" t="s">
        <v>78</v>
      </c>
      <c r="CB11" s="3" t="s">
        <v>79</v>
      </c>
      <c r="CC11" s="3" t="s">
        <v>80</v>
      </c>
      <c r="CD11" s="3" t="s">
        <v>81</v>
      </c>
      <c r="CE11" s="3" t="s">
        <v>82</v>
      </c>
      <c r="CF11" s="3" t="s">
        <v>83</v>
      </c>
      <c r="CG11" s="3" t="s">
        <v>84</v>
      </c>
      <c r="CH11" s="3" t="s">
        <v>85</v>
      </c>
      <c r="CI11" s="3" t="s">
        <v>86</v>
      </c>
      <c r="CJ11" s="3" t="s">
        <v>87</v>
      </c>
      <c r="CK11" s="3" t="s">
        <v>88</v>
      </c>
      <c r="CL11" s="3" t="s">
        <v>89</v>
      </c>
      <c r="CM11" s="3" t="s">
        <v>90</v>
      </c>
      <c r="CN11" s="3" t="s">
        <v>91</v>
      </c>
      <c r="CO11" s="3" t="s">
        <v>92</v>
      </c>
      <c r="CP11" s="3" t="s">
        <v>93</v>
      </c>
      <c r="CQ11" s="3" t="s">
        <v>94</v>
      </c>
      <c r="CR11" s="3" t="s">
        <v>95</v>
      </c>
      <c r="CS11" s="3" t="s">
        <v>96</v>
      </c>
      <c r="CT11" s="3" t="s">
        <v>97</v>
      </c>
      <c r="CU11" s="3" t="s">
        <v>98</v>
      </c>
      <c r="CV11" s="3" t="s">
        <v>99</v>
      </c>
      <c r="CW11" s="3" t="s">
        <v>100</v>
      </c>
      <c r="CX11" s="3" t="s">
        <v>101</v>
      </c>
      <c r="CY11" s="3" t="s">
        <v>102</v>
      </c>
      <c r="CZ11" s="3" t="s">
        <v>103</v>
      </c>
      <c r="DA11" s="3" t="s">
        <v>104</v>
      </c>
      <c r="DB11" s="3" t="s">
        <v>105</v>
      </c>
      <c r="DC11" s="3" t="s">
        <v>106</v>
      </c>
      <c r="DD11" s="3" t="s">
        <v>107</v>
      </c>
      <c r="DE11" s="3" t="s">
        <v>108</v>
      </c>
      <c r="DF11" s="3" t="s">
        <v>109</v>
      </c>
      <c r="DG11" s="3" t="s">
        <v>110</v>
      </c>
      <c r="DH11" s="3" t="s">
        <v>111</v>
      </c>
      <c r="DI11" s="3" t="s">
        <v>112</v>
      </c>
      <c r="DJ11" s="3" t="s">
        <v>113</v>
      </c>
      <c r="DK11" s="3" t="s">
        <v>114</v>
      </c>
      <c r="DL11" s="3" t="s">
        <v>115</v>
      </c>
      <c r="DM11" s="3" t="s">
        <v>116</v>
      </c>
      <c r="DN11" s="3" t="s">
        <v>117</v>
      </c>
      <c r="DO11" s="3" t="s">
        <v>118</v>
      </c>
      <c r="DP11" s="3" t="s">
        <v>119</v>
      </c>
      <c r="DQ11" s="3" t="s">
        <v>120</v>
      </c>
      <c r="DR11" s="3" t="s">
        <v>121</v>
      </c>
      <c r="DS11" s="3" t="s">
        <v>122</v>
      </c>
      <c r="DT11" s="3" t="s">
        <v>123</v>
      </c>
      <c r="DU11" s="3" t="s">
        <v>124</v>
      </c>
      <c r="DV11" s="3" t="s">
        <v>125</v>
      </c>
      <c r="DW11" s="3" t="s">
        <v>126</v>
      </c>
      <c r="DX11" s="3" t="s">
        <v>127</v>
      </c>
      <c r="DY11" s="3" t="s">
        <v>128</v>
      </c>
      <c r="DZ11" s="3" t="s">
        <v>129</v>
      </c>
      <c r="EA11" s="3" t="s">
        <v>130</v>
      </c>
      <c r="EB11" s="3" t="s">
        <v>131</v>
      </c>
      <c r="EC11" s="3" t="s">
        <v>132</v>
      </c>
      <c r="ED11" s="3" t="s">
        <v>133</v>
      </c>
      <c r="EE11" s="3" t="s">
        <v>134</v>
      </c>
      <c r="EF11" s="3" t="s">
        <v>143</v>
      </c>
    </row>
    <row r="12" spans="1:136">
      <c r="A12" s="2"/>
      <c r="B12" s="2" t="s">
        <v>189</v>
      </c>
      <c r="C12" s="12">
        <v>-4.701350899422875E-2</v>
      </c>
      <c r="D12" s="12">
        <v>-6.7835304266107052E-2</v>
      </c>
      <c r="E12" s="12">
        <v>-1.9809023016107055E-2</v>
      </c>
      <c r="F12" s="12">
        <v>5.9801931799285252E-5</v>
      </c>
      <c r="G12" s="12">
        <v>-7.8445448141290751E-3</v>
      </c>
      <c r="H12" s="12">
        <v>3.0686173935870937E-2</v>
      </c>
      <c r="I12" s="12">
        <v>-5.6177629131810743E-3</v>
      </c>
      <c r="J12" s="12">
        <v>-3.5025564996514415E-2</v>
      </c>
      <c r="K12" s="12">
        <v>-2.4037161143692302E-2</v>
      </c>
      <c r="L12" s="12">
        <v>-2.1759930362729031E-2</v>
      </c>
      <c r="M12" s="12">
        <v>-2.2156617862729027E-2</v>
      </c>
      <c r="N12" s="12">
        <v>-7.4230725538088141E-2</v>
      </c>
      <c r="O12" s="12">
        <v>-5.6989881788088143E-2</v>
      </c>
      <c r="P12" s="12">
        <v>-5.6759548454754817E-2</v>
      </c>
      <c r="Q12" s="12">
        <v>-2.1489079704754839E-2</v>
      </c>
      <c r="R12" s="12">
        <v>-3.4886585944690567E-2</v>
      </c>
      <c r="S12" s="12">
        <v>3.6167311149916483E-2</v>
      </c>
      <c r="T12" s="12">
        <v>2.8426925733249814E-2</v>
      </c>
      <c r="U12" s="12">
        <v>4.8794146286380805E-2</v>
      </c>
      <c r="V12" s="12">
        <v>5.4998948369714126E-2</v>
      </c>
      <c r="W12" s="12">
        <v>7.7277390343025873E-2</v>
      </c>
      <c r="X12" s="12">
        <v>0.12579666512334034</v>
      </c>
      <c r="Y12" s="12">
        <v>0.14123676929000703</v>
      </c>
      <c r="Z12" s="12">
        <v>0.14640281095667371</v>
      </c>
      <c r="AA12" s="12">
        <v>0.13489024845667372</v>
      </c>
      <c r="AB12" s="12">
        <v>0.13117892554000704</v>
      </c>
      <c r="AC12" s="12">
        <v>0.13634637345667369</v>
      </c>
      <c r="AD12" s="12">
        <v>0.14573835262334037</v>
      </c>
      <c r="AE12" s="12">
        <v>8.7421342206673705E-2</v>
      </c>
      <c r="AF12" s="12">
        <v>0.13360326929000704</v>
      </c>
      <c r="AG12" s="12">
        <v>0.14568245679000705</v>
      </c>
      <c r="AH12" s="12">
        <v>0.15908826143964028</v>
      </c>
      <c r="AI12" s="12">
        <v>0.18233521977297362</v>
      </c>
      <c r="AJ12" s="12">
        <v>0.1953189673190282</v>
      </c>
      <c r="AK12" s="12">
        <v>0.24344267147116261</v>
      </c>
      <c r="AL12" s="12">
        <v>0.26130167449308467</v>
      </c>
      <c r="AM12" s="12">
        <v>0.28150749740975134</v>
      </c>
      <c r="AN12" s="12">
        <v>0.33864095574308467</v>
      </c>
      <c r="AO12" s="12">
        <v>0.34086974878275772</v>
      </c>
      <c r="AP12" s="12">
        <v>0.33623608211609107</v>
      </c>
      <c r="AQ12" s="12">
        <v>0.32955443628275777</v>
      </c>
      <c r="AR12" s="12">
        <v>0.32205007169942446</v>
      </c>
      <c r="AS12" s="12">
        <v>0.31620670711609111</v>
      </c>
      <c r="AT12" s="12">
        <v>0.29391041544942442</v>
      </c>
      <c r="AU12" s="12">
        <v>0.35732060294942442</v>
      </c>
      <c r="AV12" s="12">
        <v>0.33553070711609106</v>
      </c>
      <c r="AW12" s="12">
        <v>0.3331741029494244</v>
      </c>
      <c r="AX12" s="12">
        <v>0.32451612378275774</v>
      </c>
      <c r="AY12" s="12">
        <v>0.31680226961609109</v>
      </c>
      <c r="AZ12" s="12">
        <v>0.38336651961609114</v>
      </c>
      <c r="BA12" s="12">
        <v>0.45464282169942449</v>
      </c>
      <c r="BB12" s="12">
        <v>0.46042789461609118</v>
      </c>
      <c r="BC12" s="12">
        <v>0.4640034466994245</v>
      </c>
      <c r="BD12" s="12">
        <v>0.51323739461609119</v>
      </c>
      <c r="BE12" s="12">
        <v>0.53184620445547648</v>
      </c>
      <c r="BF12" s="12">
        <v>0.59963855693867663</v>
      </c>
      <c r="BG12" s="12">
        <v>0.60964235902200992</v>
      </c>
      <c r="BH12" s="12">
        <v>0.5847206715220099</v>
      </c>
      <c r="BI12" s="12">
        <v>0.60555870277200985</v>
      </c>
      <c r="BJ12" s="12">
        <v>0.64898167152200981</v>
      </c>
      <c r="BK12" s="12">
        <v>0.62890584860534315</v>
      </c>
      <c r="BL12" s="12">
        <v>0.65361509443549182</v>
      </c>
      <c r="BM12" s="12">
        <v>0.64844600247926198</v>
      </c>
      <c r="BN12" s="12">
        <v>0.62894375247926204</v>
      </c>
      <c r="BO12" s="12">
        <v>0.65319006273549896</v>
      </c>
      <c r="BP12" s="12">
        <v>0.64268107743020486</v>
      </c>
      <c r="BQ12" s="12">
        <v>0.6511042649302049</v>
      </c>
      <c r="BR12" s="12">
        <v>0.67095773368020495</v>
      </c>
      <c r="BS12" s="12">
        <v>0.68982102706460091</v>
      </c>
      <c r="BT12" s="12">
        <v>0.71185249574204512</v>
      </c>
      <c r="BU12" s="12">
        <v>0.66376929782537841</v>
      </c>
      <c r="BV12" s="12">
        <v>0.6958226103253784</v>
      </c>
      <c r="BW12" s="12">
        <v>0.75131016240871173</v>
      </c>
      <c r="BX12" s="12">
        <v>0.76729447490871172</v>
      </c>
      <c r="BY12" s="12">
        <v>0.7214775165753784</v>
      </c>
      <c r="BZ12" s="12">
        <v>0.72525490199204512</v>
      </c>
      <c r="CA12" s="12">
        <v>0.73983548532537846</v>
      </c>
      <c r="CB12" s="12">
        <v>0.81231120407537849</v>
      </c>
      <c r="CC12" s="12">
        <v>0.87787724574204518</v>
      </c>
      <c r="CD12" s="12">
        <v>0.92213576657537855</v>
      </c>
      <c r="CE12" s="12">
        <v>0.91051635813314935</v>
      </c>
      <c r="CF12" s="12">
        <v>0.88274877471937718</v>
      </c>
      <c r="CG12" s="12">
        <v>0.88305757680271058</v>
      </c>
      <c r="CH12" s="12">
        <v>0.87360478513604389</v>
      </c>
      <c r="CI12" s="12">
        <v>0.84926355596937719</v>
      </c>
      <c r="CJ12" s="12">
        <v>0.85283192055271051</v>
      </c>
      <c r="CK12" s="12">
        <v>0.88734694138604386</v>
      </c>
      <c r="CL12" s="12">
        <v>0.76933133371643347</v>
      </c>
      <c r="CM12" s="12">
        <v>0.78455105988377427</v>
      </c>
      <c r="CN12" s="12">
        <v>0.76124380988377427</v>
      </c>
      <c r="CO12" s="12">
        <v>0.78850993676388004</v>
      </c>
      <c r="CP12" s="12">
        <v>0.77571412426388009</v>
      </c>
      <c r="CQ12" s="12">
        <v>0.84569127009721345</v>
      </c>
      <c r="CR12" s="12">
        <v>0.84357339166656098</v>
      </c>
      <c r="CS12" s="12">
        <v>0.85877503935360655</v>
      </c>
      <c r="CT12" s="12">
        <v>0.89088899768693985</v>
      </c>
      <c r="CU12" s="12">
        <v>0.85526528202474461</v>
      </c>
      <c r="CV12" s="12">
        <v>0.84715265564920761</v>
      </c>
      <c r="CW12" s="12">
        <v>0.84160473090467536</v>
      </c>
      <c r="CX12" s="12">
        <v>0.78061484836768358</v>
      </c>
      <c r="CY12" s="12">
        <v>0.82668750461768359</v>
      </c>
      <c r="CZ12" s="12">
        <v>0.91524997336768354</v>
      </c>
      <c r="DA12" s="12">
        <v>0.90964618929732299</v>
      </c>
      <c r="DB12" s="12">
        <v>0.9986280434639897</v>
      </c>
      <c r="DC12" s="12">
        <v>1.0101010955473231</v>
      </c>
      <c r="DD12" s="12">
        <v>0.97100967888065637</v>
      </c>
      <c r="DE12" s="12">
        <v>0.93377419971398978</v>
      </c>
      <c r="DF12" s="12">
        <v>0.98926030388065644</v>
      </c>
      <c r="DG12" s="12">
        <v>0.94285032471398977</v>
      </c>
      <c r="DH12" s="12">
        <v>1.0040457517973231</v>
      </c>
      <c r="DI12" s="12">
        <v>1.0637947622139898</v>
      </c>
      <c r="DJ12" s="12">
        <v>1.0789134392973232</v>
      </c>
      <c r="DK12" s="12">
        <v>1.0469852309639898</v>
      </c>
      <c r="DL12" s="12">
        <v>1.0500748767973231</v>
      </c>
      <c r="DM12" s="12">
        <v>1.0308372622139899</v>
      </c>
      <c r="DN12" s="12">
        <v>1.0732476276000547</v>
      </c>
      <c r="DO12" s="12">
        <v>1.1038048880167213</v>
      </c>
      <c r="DP12" s="12">
        <v>1.1363893376170184</v>
      </c>
      <c r="DQ12" s="12">
        <v>1.102527285533685</v>
      </c>
      <c r="DR12" s="12">
        <v>1.1195922855336851</v>
      </c>
      <c r="DS12" s="12">
        <v>1.0838661300819872</v>
      </c>
      <c r="DT12" s="12">
        <v>1.1089839946653206</v>
      </c>
      <c r="DU12" s="12">
        <v>1.051753765498654</v>
      </c>
      <c r="DV12" s="12">
        <v>1.0812946404986539</v>
      </c>
      <c r="DW12" s="12">
        <v>1.1250202047186912</v>
      </c>
      <c r="DX12" s="12">
        <v>1.1460487463853579</v>
      </c>
      <c r="DY12" s="12">
        <v>1.199194058885358</v>
      </c>
      <c r="DZ12" s="12">
        <v>1.2033297843655355</v>
      </c>
      <c r="EA12" s="12">
        <v>1.2544274822822021</v>
      </c>
      <c r="EB12" s="12">
        <v>1.2602136489488689</v>
      </c>
      <c r="EC12" s="12">
        <v>1.2868651585285342</v>
      </c>
      <c r="ED12" s="12">
        <v>1.3473733113370183</v>
      </c>
      <c r="EE12" s="12">
        <v>1.3354562150645308</v>
      </c>
      <c r="EF12" s="12">
        <v>1.2962228670257352</v>
      </c>
    </row>
    <row r="13" spans="1:136">
      <c r="A13" s="2"/>
      <c r="B13" s="2" t="s">
        <v>190</v>
      </c>
      <c r="C13" s="12">
        <v>-4.2506117601795589E-2</v>
      </c>
      <c r="D13" s="12">
        <v>-7.2383728206354372E-2</v>
      </c>
      <c r="E13" s="12">
        <v>-2.5224365396877141E-3</v>
      </c>
      <c r="F13" s="12">
        <v>3.2399719342966787E-2</v>
      </c>
      <c r="G13" s="12">
        <v>4.7307699100270176E-2</v>
      </c>
      <c r="H13" s="12">
        <v>7.7298053266936825E-2</v>
      </c>
      <c r="I13" s="12">
        <v>4.4615190282214487E-2</v>
      </c>
      <c r="J13" s="12">
        <v>7.1637778221446402E-4</v>
      </c>
      <c r="K13" s="12">
        <v>4.6047368024433467E-2</v>
      </c>
      <c r="L13" s="12">
        <v>7.5183037061878941E-2</v>
      </c>
      <c r="M13" s="12">
        <v>0.10087032872854561</v>
      </c>
      <c r="N13" s="12">
        <v>5.7718376504778755E-2</v>
      </c>
      <c r="O13" s="12">
        <v>9.750775150477875E-2</v>
      </c>
      <c r="P13" s="12">
        <v>0.11429989733811208</v>
      </c>
      <c r="Q13" s="12">
        <v>0.1875249181714454</v>
      </c>
      <c r="R13" s="12">
        <v>0.18103500799537101</v>
      </c>
      <c r="S13" s="12">
        <v>0.30395030599892159</v>
      </c>
      <c r="T13" s="12">
        <v>0.28184582683225495</v>
      </c>
      <c r="U13" s="12">
        <v>0.3360069018739491</v>
      </c>
      <c r="V13" s="12">
        <v>0.31591277687394914</v>
      </c>
      <c r="W13" s="12">
        <v>0.34701586475831903</v>
      </c>
      <c r="X13" s="12">
        <v>0.41676683352737559</v>
      </c>
      <c r="Y13" s="12">
        <v>0.43068720852737558</v>
      </c>
      <c r="Z13" s="12">
        <v>0.45127112519404222</v>
      </c>
      <c r="AA13" s="12">
        <v>0.43483108352737559</v>
      </c>
      <c r="AB13" s="12">
        <v>0.41879510436070894</v>
      </c>
      <c r="AC13" s="12">
        <v>0.42682637519404226</v>
      </c>
      <c r="AD13" s="12">
        <v>0.44836945852737559</v>
      </c>
      <c r="AE13" s="12">
        <v>0.38264997936070888</v>
      </c>
      <c r="AF13" s="12">
        <v>0.43458597936070886</v>
      </c>
      <c r="AG13" s="12">
        <v>0.43786843769404221</v>
      </c>
      <c r="AH13" s="12">
        <v>0.44750977693355859</v>
      </c>
      <c r="AI13" s="12">
        <v>0.46741981860022525</v>
      </c>
      <c r="AJ13" s="12">
        <v>0.45113934861194954</v>
      </c>
      <c r="AK13" s="12">
        <v>0.51712726142260557</v>
      </c>
      <c r="AL13" s="12">
        <v>0.54027869001777662</v>
      </c>
      <c r="AM13" s="12">
        <v>0.53740591918444325</v>
      </c>
      <c r="AN13" s="12">
        <v>0.60865106501777655</v>
      </c>
      <c r="AO13" s="12">
        <v>0.61796225291719153</v>
      </c>
      <c r="AP13" s="12">
        <v>0.61137444041719158</v>
      </c>
      <c r="AQ13" s="12">
        <v>0.60029254458385828</v>
      </c>
      <c r="AR13" s="12">
        <v>0.60954296125052498</v>
      </c>
      <c r="AS13" s="12">
        <v>0.60760654458385832</v>
      </c>
      <c r="AT13" s="12">
        <v>0.60929750291719165</v>
      </c>
      <c r="AU13" s="12">
        <v>0.68608148208385833</v>
      </c>
      <c r="AV13" s="12">
        <v>0.67512266958385836</v>
      </c>
      <c r="AW13" s="12">
        <v>0.70073898208385832</v>
      </c>
      <c r="AX13" s="12">
        <v>0.68885835708385834</v>
      </c>
      <c r="AY13" s="12">
        <v>0.66518591958385831</v>
      </c>
      <c r="AZ13" s="12">
        <v>0.72063610708385828</v>
      </c>
      <c r="BA13" s="12">
        <v>0.80046537791719163</v>
      </c>
      <c r="BB13" s="12">
        <v>0.82651135708385826</v>
      </c>
      <c r="BC13" s="12">
        <v>0.82799529458385823</v>
      </c>
      <c r="BD13" s="12">
        <v>0.86967202375052488</v>
      </c>
      <c r="BE13" s="12">
        <v>0.89706383005616641</v>
      </c>
      <c r="BF13" s="12">
        <v>0.98099324536366317</v>
      </c>
      <c r="BG13" s="12">
        <v>0.9893241620303298</v>
      </c>
      <c r="BH13" s="12">
        <v>0.95538009953032987</v>
      </c>
      <c r="BI13" s="12">
        <v>0.98121280786366316</v>
      </c>
      <c r="BJ13" s="12">
        <v>1.0326653703636632</v>
      </c>
      <c r="BK13" s="12">
        <v>1.00753934953033</v>
      </c>
      <c r="BL13" s="12">
        <v>1.0394872097435051</v>
      </c>
      <c r="BM13" s="12">
        <v>1.0564058253623867</v>
      </c>
      <c r="BN13" s="12">
        <v>1.06126365869572</v>
      </c>
      <c r="BO13" s="12">
        <v>1.0921423749291941</v>
      </c>
      <c r="BP13" s="12">
        <v>1.1015750706238456</v>
      </c>
      <c r="BQ13" s="12">
        <v>1.1411516331238456</v>
      </c>
      <c r="BR13" s="12">
        <v>1.1464165289571788</v>
      </c>
      <c r="BS13" s="12">
        <v>1.1538360007973985</v>
      </c>
      <c r="BT13" s="12">
        <v>1.1921795064138712</v>
      </c>
      <c r="BU13" s="12">
        <v>1.1175213397472046</v>
      </c>
      <c r="BV13" s="12">
        <v>1.1489615689138712</v>
      </c>
      <c r="BW13" s="12">
        <v>1.2351919022472047</v>
      </c>
      <c r="BX13" s="12">
        <v>1.2366690064138712</v>
      </c>
      <c r="BY13" s="12">
        <v>1.205840423080538</v>
      </c>
      <c r="BZ13" s="12">
        <v>1.1920817147472045</v>
      </c>
      <c r="CA13" s="12">
        <v>1.2160939022472044</v>
      </c>
      <c r="CB13" s="12">
        <v>1.3365208189138711</v>
      </c>
      <c r="CC13" s="12">
        <v>1.4566387355805377</v>
      </c>
      <c r="CD13" s="12">
        <v>1.511894568913871</v>
      </c>
      <c r="CE13" s="12">
        <v>1.5026735845884571</v>
      </c>
      <c r="CF13" s="12">
        <v>1.4581593178633878</v>
      </c>
      <c r="CG13" s="12">
        <v>1.4657197136967213</v>
      </c>
      <c r="CH13" s="12">
        <v>1.4400619636967213</v>
      </c>
      <c r="CI13" s="12">
        <v>1.4321667970300547</v>
      </c>
      <c r="CJ13" s="12">
        <v>1.4530480261967214</v>
      </c>
      <c r="CK13" s="12">
        <v>1.4849081511967213</v>
      </c>
      <c r="CL13" s="12">
        <v>1.4034547850945405</v>
      </c>
      <c r="CM13" s="12">
        <v>1.4137515888509355</v>
      </c>
      <c r="CN13" s="12">
        <v>1.3836209221842688</v>
      </c>
      <c r="CO13" s="12">
        <v>1.3970783807474962</v>
      </c>
      <c r="CP13" s="12">
        <v>1.3627009224141629</v>
      </c>
      <c r="CQ13" s="12">
        <v>1.4298137349141629</v>
      </c>
      <c r="CR13" s="12">
        <v>1.4215339539165144</v>
      </c>
      <c r="CS13" s="12">
        <v>1.4107009028012398</v>
      </c>
      <c r="CT13" s="12">
        <v>1.4541630694679066</v>
      </c>
      <c r="CU13" s="12">
        <v>1.4170016671855954</v>
      </c>
      <c r="CV13" s="12">
        <v>1.4199549793588533</v>
      </c>
      <c r="CW13" s="12">
        <v>1.4139779485026072</v>
      </c>
      <c r="CX13" s="12">
        <v>1.3539446932625541</v>
      </c>
      <c r="CY13" s="12">
        <v>1.4162413390958875</v>
      </c>
      <c r="CZ13" s="12">
        <v>1.5065319640958874</v>
      </c>
      <c r="DA13" s="12">
        <v>1.5121156410217087</v>
      </c>
      <c r="DB13" s="12">
        <v>1.6183508910217088</v>
      </c>
      <c r="DC13" s="12">
        <v>1.6418920160217088</v>
      </c>
      <c r="DD13" s="12">
        <v>1.5904857243550421</v>
      </c>
      <c r="DE13" s="12">
        <v>1.5479218285217087</v>
      </c>
      <c r="DF13" s="12">
        <v>1.6310445160217086</v>
      </c>
      <c r="DG13" s="12">
        <v>1.5833152035217086</v>
      </c>
      <c r="DH13" s="12">
        <v>1.6720359118550419</v>
      </c>
      <c r="DI13" s="12">
        <v>1.7617840368550419</v>
      </c>
      <c r="DJ13" s="12">
        <v>1.7677678910217085</v>
      </c>
      <c r="DK13" s="12">
        <v>1.7483814951883752</v>
      </c>
      <c r="DL13" s="12">
        <v>1.7755044326883751</v>
      </c>
      <c r="DM13" s="12">
        <v>1.7760363910217085</v>
      </c>
      <c r="DN13" s="12">
        <v>1.7875359689442216</v>
      </c>
      <c r="DO13" s="12">
        <v>1.8253998231108883</v>
      </c>
      <c r="DP13" s="12">
        <v>1.8741864589671577</v>
      </c>
      <c r="DQ13" s="12">
        <v>1.8402199173004912</v>
      </c>
      <c r="DR13" s="12">
        <v>1.8553887298004912</v>
      </c>
      <c r="DS13" s="12">
        <v>1.8165011019608213</v>
      </c>
      <c r="DT13" s="12">
        <v>1.867332456127488</v>
      </c>
      <c r="DU13" s="12">
        <v>1.8343264977941547</v>
      </c>
      <c r="DV13" s="12">
        <v>1.877582831127488</v>
      </c>
      <c r="DW13" s="12">
        <v>1.9220006207518383</v>
      </c>
      <c r="DX13" s="12">
        <v>1.9618780582518383</v>
      </c>
      <c r="DY13" s="12">
        <v>2.0188592040851714</v>
      </c>
      <c r="DZ13" s="12">
        <v>2.0334680185723895</v>
      </c>
      <c r="EA13" s="12">
        <v>2.0955864352390563</v>
      </c>
      <c r="EB13" s="12">
        <v>2.0957874560723897</v>
      </c>
      <c r="EC13" s="12">
        <v>2.1374472095076187</v>
      </c>
      <c r="ED13" s="12">
        <v>2.2031293031668535</v>
      </c>
      <c r="EE13" s="12">
        <v>2.1951767095918888</v>
      </c>
      <c r="EF13" s="12">
        <v>2.1285994942283324</v>
      </c>
    </row>
    <row r="14" spans="1:136">
      <c r="A14" s="2"/>
      <c r="B14" s="2" t="s">
        <v>191</v>
      </c>
      <c r="C14" s="12">
        <v>3.7017512404591897E-2</v>
      </c>
      <c r="D14" s="12">
        <v>-4.6329799138709486E-2</v>
      </c>
      <c r="E14" s="12">
        <v>5.2438358756027363E-2</v>
      </c>
      <c r="F14" s="12">
        <v>0.10089250155588722</v>
      </c>
      <c r="G14" s="12">
        <v>0.14191241805381266</v>
      </c>
      <c r="H14" s="12">
        <v>0.20150136542223368</v>
      </c>
      <c r="I14" s="12">
        <v>0.15771400559909138</v>
      </c>
      <c r="J14" s="12">
        <v>5.2620426651722979E-2</v>
      </c>
      <c r="K14" s="12">
        <v>0.18679913036577647</v>
      </c>
      <c r="L14" s="12">
        <v>0.18195193317806968</v>
      </c>
      <c r="M14" s="12">
        <v>0.10600056475701705</v>
      </c>
      <c r="N14" s="12">
        <v>2.3241580062917919E-2</v>
      </c>
      <c r="O14" s="12">
        <v>6.2883948483970553E-2</v>
      </c>
      <c r="P14" s="12">
        <v>0.11066389585239159</v>
      </c>
      <c r="Q14" s="12">
        <v>0.16890294848397056</v>
      </c>
      <c r="R14" s="12">
        <v>0.18484413578107237</v>
      </c>
      <c r="S14" s="12">
        <v>0.35073736296578106</v>
      </c>
      <c r="T14" s="12">
        <v>0.33337562612367577</v>
      </c>
      <c r="U14" s="12">
        <v>0.43764229075932337</v>
      </c>
      <c r="V14" s="12">
        <v>0.39926797496984967</v>
      </c>
      <c r="W14" s="12">
        <v>0.47327613435810267</v>
      </c>
      <c r="X14" s="12">
        <v>0.58653924267037216</v>
      </c>
      <c r="Y14" s="12">
        <v>0.5697756637230037</v>
      </c>
      <c r="Z14" s="12">
        <v>0.59102766372300375</v>
      </c>
      <c r="AA14" s="12">
        <v>0.58840197951247741</v>
      </c>
      <c r="AB14" s="12">
        <v>0.51341934793353006</v>
      </c>
      <c r="AC14" s="12">
        <v>0.48412671635458271</v>
      </c>
      <c r="AD14" s="12">
        <v>0.52345466372300375</v>
      </c>
      <c r="AE14" s="12">
        <v>0.51943561109142478</v>
      </c>
      <c r="AF14" s="12">
        <v>0.60375340056510896</v>
      </c>
      <c r="AG14" s="12">
        <v>0.61014397951247734</v>
      </c>
      <c r="AH14" s="12">
        <v>0.61539425744298337</v>
      </c>
      <c r="AI14" s="12">
        <v>0.62635957323245706</v>
      </c>
      <c r="AJ14" s="12">
        <v>0.64141860931560801</v>
      </c>
      <c r="AK14" s="12">
        <v>0.71833004017391</v>
      </c>
      <c r="AL14" s="12">
        <v>0.75629922989637066</v>
      </c>
      <c r="AM14" s="12">
        <v>0.75944765094900224</v>
      </c>
      <c r="AN14" s="12">
        <v>0.86977112463321271</v>
      </c>
      <c r="AO14" s="12">
        <v>0.93067683009862268</v>
      </c>
      <c r="AP14" s="12">
        <v>0.93773198799335955</v>
      </c>
      <c r="AQ14" s="12">
        <v>0.92960556694072793</v>
      </c>
      <c r="AR14" s="12">
        <v>0.94777604062493848</v>
      </c>
      <c r="AS14" s="12">
        <v>0.95703298799335956</v>
      </c>
      <c r="AT14" s="12">
        <v>0.93862625115125431</v>
      </c>
      <c r="AU14" s="12">
        <v>1.0764793564144122</v>
      </c>
      <c r="AV14" s="12">
        <v>1.0849061985196753</v>
      </c>
      <c r="AW14" s="12">
        <v>1.1286350406249384</v>
      </c>
      <c r="AX14" s="12">
        <v>1.129457409045991</v>
      </c>
      <c r="AY14" s="12">
        <v>1.0706180932565172</v>
      </c>
      <c r="AZ14" s="12">
        <v>1.0962470932565171</v>
      </c>
      <c r="BA14" s="12">
        <v>1.1925845143091487</v>
      </c>
      <c r="BB14" s="12">
        <v>1.2944825143091487</v>
      </c>
      <c r="BC14" s="12">
        <v>1.3065570406249383</v>
      </c>
      <c r="BD14" s="12">
        <v>1.3229759353617805</v>
      </c>
      <c r="BE14" s="12">
        <v>1.3667629978972675</v>
      </c>
      <c r="BF14" s="12">
        <v>1.4075335194429572</v>
      </c>
      <c r="BG14" s="12">
        <v>1.4180303615482204</v>
      </c>
      <c r="BH14" s="12">
        <v>1.3242808352324309</v>
      </c>
      <c r="BI14" s="12">
        <v>1.3565517299692731</v>
      </c>
      <c r="BJ14" s="12">
        <v>1.3805696247061152</v>
      </c>
      <c r="BK14" s="12">
        <v>1.4138068352324309</v>
      </c>
      <c r="BL14" s="12">
        <v>1.4735446020748013</v>
      </c>
      <c r="BM14" s="12">
        <v>1.5128018172812283</v>
      </c>
      <c r="BN14" s="12">
        <v>1.5593786593864916</v>
      </c>
      <c r="BO14" s="12">
        <v>1.592987705063756</v>
      </c>
      <c r="BP14" s="12">
        <v>1.6086614385567151</v>
      </c>
      <c r="BQ14" s="12">
        <v>1.6562240701356625</v>
      </c>
      <c r="BR14" s="12">
        <v>1.6206827017146099</v>
      </c>
      <c r="BS14" s="12">
        <v>1.5791887465700321</v>
      </c>
      <c r="BT14" s="12">
        <v>1.6532017089063433</v>
      </c>
      <c r="BU14" s="12">
        <v>1.5420416036431854</v>
      </c>
      <c r="BV14" s="12">
        <v>1.5833238141695012</v>
      </c>
      <c r="BW14" s="12">
        <v>1.701732024695817</v>
      </c>
      <c r="BX14" s="12">
        <v>1.7014246562747644</v>
      </c>
      <c r="BY14" s="12">
        <v>1.6210236562747644</v>
      </c>
      <c r="BZ14" s="12">
        <v>1.6720094457484487</v>
      </c>
      <c r="CA14" s="12">
        <v>1.7054640773273961</v>
      </c>
      <c r="CB14" s="12">
        <v>1.8699298668010802</v>
      </c>
      <c r="CC14" s="12">
        <v>1.9905250773273959</v>
      </c>
      <c r="CD14" s="12">
        <v>2.0384464457484484</v>
      </c>
      <c r="CE14" s="12">
        <v>2.1106031649601462</v>
      </c>
      <c r="CF14" s="12">
        <v>2.0182724816780846</v>
      </c>
      <c r="CG14" s="12">
        <v>2.1571993764149267</v>
      </c>
      <c r="CH14" s="12">
        <v>2.1612529027307161</v>
      </c>
      <c r="CI14" s="12">
        <v>2.1574247448359793</v>
      </c>
      <c r="CJ14" s="12">
        <v>2.1774912711517689</v>
      </c>
      <c r="CK14" s="12">
        <v>2.1770284816780845</v>
      </c>
      <c r="CL14" s="12">
        <v>2.1147585267992479</v>
      </c>
      <c r="CM14" s="12">
        <v>2.0827185164309308</v>
      </c>
      <c r="CN14" s="12">
        <v>2.0633174111677728</v>
      </c>
      <c r="CO14" s="12">
        <v>2.1369051312066656</v>
      </c>
      <c r="CP14" s="12">
        <v>2.0314253943645602</v>
      </c>
      <c r="CQ14" s="12">
        <v>2.1109624996277181</v>
      </c>
      <c r="CR14" s="12">
        <v>2.0550533620032168</v>
      </c>
      <c r="CS14" s="12">
        <v>1.9960262417395611</v>
      </c>
      <c r="CT14" s="12">
        <v>2.057898452265877</v>
      </c>
      <c r="CU14" s="12">
        <v>2.1018155549630917</v>
      </c>
      <c r="CV14" s="12">
        <v>2.0790698398248364</v>
      </c>
      <c r="CW14" s="12">
        <v>2.0824682222883073</v>
      </c>
      <c r="CX14" s="12">
        <v>2.046168813400068</v>
      </c>
      <c r="CY14" s="12">
        <v>2.0963068660316471</v>
      </c>
      <c r="CZ14" s="12">
        <v>2.2324794976105946</v>
      </c>
      <c r="DA14" s="12">
        <v>2.2567837867811793</v>
      </c>
      <c r="DB14" s="12">
        <v>2.3613918394127582</v>
      </c>
      <c r="DC14" s="12">
        <v>2.3761457341496004</v>
      </c>
      <c r="DD14" s="12">
        <v>2.3222468394127582</v>
      </c>
      <c r="DE14" s="12">
        <v>2.2911892604653898</v>
      </c>
      <c r="DF14" s="12">
        <v>2.4927537341496002</v>
      </c>
      <c r="DG14" s="12">
        <v>2.4471701025706527</v>
      </c>
      <c r="DH14" s="12">
        <v>2.505912681518021</v>
      </c>
      <c r="DI14" s="12">
        <v>2.5925594709917053</v>
      </c>
      <c r="DJ14" s="12">
        <v>2.6084572604653893</v>
      </c>
      <c r="DK14" s="12">
        <v>2.5268355762548631</v>
      </c>
      <c r="DL14" s="12">
        <v>2.5175628920443369</v>
      </c>
      <c r="DM14" s="12">
        <v>2.5164422078338107</v>
      </c>
      <c r="DN14" s="12">
        <v>2.5591047037270749</v>
      </c>
      <c r="DO14" s="12">
        <v>2.6616967037270749</v>
      </c>
      <c r="DP14" s="12">
        <v>2.7052364200847268</v>
      </c>
      <c r="DQ14" s="12">
        <v>2.6492172095584108</v>
      </c>
      <c r="DR14" s="12">
        <v>2.6570118411373582</v>
      </c>
      <c r="DS14" s="12">
        <v>2.6219669348664416</v>
      </c>
      <c r="DT14" s="12">
        <v>2.7396392506559155</v>
      </c>
      <c r="DU14" s="12">
        <v>2.6708429874980206</v>
      </c>
      <c r="DV14" s="12">
        <v>2.6902785138138099</v>
      </c>
      <c r="DW14" s="12">
        <v>2.7886228808315878</v>
      </c>
      <c r="DX14" s="12">
        <v>2.8273810387263247</v>
      </c>
      <c r="DY14" s="12">
        <v>2.9016388808315878</v>
      </c>
      <c r="DZ14" s="12">
        <v>2.9235204541500499</v>
      </c>
      <c r="EA14" s="12">
        <v>3.0310459804658394</v>
      </c>
      <c r="EB14" s="12">
        <v>3.00593545415005</v>
      </c>
      <c r="EC14" s="12">
        <v>3.0120148362981829</v>
      </c>
      <c r="ED14" s="12">
        <v>3.1146445454843699</v>
      </c>
      <c r="EE14" s="12">
        <v>3.0957773886394775</v>
      </c>
      <c r="EF14" s="12">
        <v>3.0258209681409194</v>
      </c>
    </row>
    <row r="15" spans="1:136">
      <c r="A15" s="2"/>
      <c r="B15" s="2" t="s">
        <v>192</v>
      </c>
      <c r="C15" s="12">
        <v>9.6503141994516081E-2</v>
      </c>
      <c r="D15" s="12">
        <v>7.9550277202450337E-2</v>
      </c>
      <c r="E15" s="12">
        <v>0.14159487720245034</v>
      </c>
      <c r="F15" s="12">
        <v>0.25015717057564024</v>
      </c>
      <c r="G15" s="12">
        <v>0.31079409924717449</v>
      </c>
      <c r="H15" s="12">
        <v>0.42963849924717451</v>
      </c>
      <c r="I15" s="12">
        <v>0.37120705496730899</v>
      </c>
      <c r="J15" s="12">
        <v>0.30668285496730896</v>
      </c>
      <c r="K15" s="12">
        <v>0.59327748270367953</v>
      </c>
      <c r="L15" s="12">
        <v>0.56071897754649491</v>
      </c>
      <c r="M15" s="12">
        <v>0.37222757754649494</v>
      </c>
      <c r="N15" s="12">
        <v>0.25135942338551387</v>
      </c>
      <c r="O15" s="12">
        <v>0.29746292338551389</v>
      </c>
      <c r="P15" s="12">
        <v>0.3504463233855139</v>
      </c>
      <c r="Q15" s="12">
        <v>0.45082312338551389</v>
      </c>
      <c r="R15" s="12">
        <v>0.50295281349063137</v>
      </c>
      <c r="S15" s="12">
        <v>0.7729607085727852</v>
      </c>
      <c r="T15" s="12">
        <v>0.72362100857278522</v>
      </c>
      <c r="U15" s="12">
        <v>0.86058907024005404</v>
      </c>
      <c r="V15" s="12">
        <v>0.77490867024005405</v>
      </c>
      <c r="W15" s="12">
        <v>0.8774522642227971</v>
      </c>
      <c r="X15" s="12">
        <v>1.0042955956864703</v>
      </c>
      <c r="Y15" s="12">
        <v>0.98010589568647033</v>
      </c>
      <c r="Z15" s="12">
        <v>0.95644969568647031</v>
      </c>
      <c r="AA15" s="12">
        <v>1.0030385956864702</v>
      </c>
      <c r="AB15" s="12">
        <v>0.9290431956864702</v>
      </c>
      <c r="AC15" s="12">
        <v>0.88898839568647015</v>
      </c>
      <c r="AD15" s="12">
        <v>0.92867879568647016</v>
      </c>
      <c r="AE15" s="12">
        <v>0.9759643956864702</v>
      </c>
      <c r="AF15" s="12">
        <v>1.0257378956864702</v>
      </c>
      <c r="AG15" s="12">
        <v>1.0159928956864703</v>
      </c>
      <c r="AH15" s="12">
        <v>0.98238852232879381</v>
      </c>
      <c r="AI15" s="12">
        <v>1.0566659223287937</v>
      </c>
      <c r="AJ15" s="12">
        <v>1.0661307822962696</v>
      </c>
      <c r="AK15" s="12">
        <v>1.1278904019547145</v>
      </c>
      <c r="AL15" s="12">
        <v>1.172322064450529</v>
      </c>
      <c r="AM15" s="12">
        <v>1.1742655644505291</v>
      </c>
      <c r="AN15" s="12">
        <v>1.2350003644505292</v>
      </c>
      <c r="AO15" s="12">
        <v>1.2983701769139964</v>
      </c>
      <c r="AP15" s="12">
        <v>1.3109523769139964</v>
      </c>
      <c r="AQ15" s="12">
        <v>1.2912050769139964</v>
      </c>
      <c r="AR15" s="12">
        <v>1.3157553769139965</v>
      </c>
      <c r="AS15" s="12">
        <v>1.2933245769139965</v>
      </c>
      <c r="AT15" s="12">
        <v>1.3001808769139964</v>
      </c>
      <c r="AU15" s="12">
        <v>1.4672898769139964</v>
      </c>
      <c r="AV15" s="12">
        <v>1.5005148769139964</v>
      </c>
      <c r="AW15" s="12">
        <v>1.5890738769139965</v>
      </c>
      <c r="AX15" s="12">
        <v>1.5932358769139965</v>
      </c>
      <c r="AY15" s="12">
        <v>1.5500928769139966</v>
      </c>
      <c r="AZ15" s="12">
        <v>1.5869409769139966</v>
      </c>
      <c r="BA15" s="12">
        <v>1.7446292769139966</v>
      </c>
      <c r="BB15" s="12">
        <v>1.8534177769139966</v>
      </c>
      <c r="BC15" s="12">
        <v>1.8149268769139966</v>
      </c>
      <c r="BD15" s="12">
        <v>1.8222915769139965</v>
      </c>
      <c r="BE15" s="12">
        <v>1.8707342979316597</v>
      </c>
      <c r="BF15" s="12">
        <v>1.9183972773884119</v>
      </c>
      <c r="BG15" s="12">
        <v>1.9321736773884119</v>
      </c>
      <c r="BH15" s="12">
        <v>1.8774646773884118</v>
      </c>
      <c r="BI15" s="12">
        <v>1.9038164773884119</v>
      </c>
      <c r="BJ15" s="12">
        <v>1.9789714773884119</v>
      </c>
      <c r="BK15" s="12">
        <v>2.0518406773884119</v>
      </c>
      <c r="BL15" s="12">
        <v>2.1112445487297604</v>
      </c>
      <c r="BM15" s="12">
        <v>2.1780693700964897</v>
      </c>
      <c r="BN15" s="12">
        <v>2.2441242700964898</v>
      </c>
      <c r="BO15" s="12">
        <v>2.271858746051421</v>
      </c>
      <c r="BP15" s="12">
        <v>2.2860429667592257</v>
      </c>
      <c r="BQ15" s="12">
        <v>2.3107164667592257</v>
      </c>
      <c r="BR15" s="12">
        <v>2.3186152667592257</v>
      </c>
      <c r="BS15" s="12">
        <v>2.3017914893089393</v>
      </c>
      <c r="BT15" s="12">
        <v>2.3908516950402738</v>
      </c>
      <c r="BU15" s="12">
        <v>2.3053051950402739</v>
      </c>
      <c r="BV15" s="12">
        <v>2.3914852950402739</v>
      </c>
      <c r="BW15" s="12">
        <v>2.5956307950402739</v>
      </c>
      <c r="BX15" s="12">
        <v>2.6195807950402741</v>
      </c>
      <c r="BY15" s="12">
        <v>2.5262418950402741</v>
      </c>
      <c r="BZ15" s="12">
        <v>2.5936020950402741</v>
      </c>
      <c r="CA15" s="12">
        <v>2.6235649950402742</v>
      </c>
      <c r="CB15" s="12">
        <v>2.7546565950402742</v>
      </c>
      <c r="CC15" s="12">
        <v>2.9283061950402742</v>
      </c>
      <c r="CD15" s="12">
        <v>3.0173997950402742</v>
      </c>
      <c r="CE15" s="12">
        <v>3.1339163641103949</v>
      </c>
      <c r="CF15" s="12">
        <v>3.0395597137169745</v>
      </c>
      <c r="CG15" s="12">
        <v>3.2652914137169748</v>
      </c>
      <c r="CH15" s="12">
        <v>3.225311913716975</v>
      </c>
      <c r="CI15" s="12">
        <v>3.1559769137169749</v>
      </c>
      <c r="CJ15" s="12">
        <v>3.163359513716975</v>
      </c>
      <c r="CK15" s="12">
        <v>3.1976410137169751</v>
      </c>
      <c r="CL15" s="12">
        <v>3.1662190387237268</v>
      </c>
      <c r="CM15" s="12">
        <v>3.0915879225952732</v>
      </c>
      <c r="CN15" s="12">
        <v>3.0918055225952732</v>
      </c>
      <c r="CO15" s="12">
        <v>3.2212545474773147</v>
      </c>
      <c r="CP15" s="12">
        <v>3.1868611474773147</v>
      </c>
      <c r="CQ15" s="12">
        <v>3.3264656474773147</v>
      </c>
      <c r="CR15" s="12">
        <v>3.2782285771891502</v>
      </c>
      <c r="CS15" s="12">
        <v>3.2180434047255555</v>
      </c>
      <c r="CT15" s="12">
        <v>3.2502603047255554</v>
      </c>
      <c r="CU15" s="12">
        <v>3.3134389646403282</v>
      </c>
      <c r="CV15" s="12">
        <v>3.3195808115451371</v>
      </c>
      <c r="CW15" s="12">
        <v>3.3320654717255773</v>
      </c>
      <c r="CX15" s="12">
        <v>3.3080258646722465</v>
      </c>
      <c r="CY15" s="12">
        <v>3.3637587646722467</v>
      </c>
      <c r="CZ15" s="12">
        <v>3.4791254646722467</v>
      </c>
      <c r="DA15" s="12">
        <v>3.5055013001141231</v>
      </c>
      <c r="DB15" s="12">
        <v>3.6025490001141232</v>
      </c>
      <c r="DC15" s="12">
        <v>3.6792755001141231</v>
      </c>
      <c r="DD15" s="12">
        <v>3.611750400114123</v>
      </c>
      <c r="DE15" s="12">
        <v>3.5461425001141231</v>
      </c>
      <c r="DF15" s="12">
        <v>3.8488641001141231</v>
      </c>
      <c r="DG15" s="12">
        <v>3.800946300114123</v>
      </c>
      <c r="DH15" s="12">
        <v>3.9305698001141232</v>
      </c>
      <c r="DI15" s="12">
        <v>3.9733808001141231</v>
      </c>
      <c r="DJ15" s="12">
        <v>4.0209473001141234</v>
      </c>
      <c r="DK15" s="12">
        <v>3.9206183001141235</v>
      </c>
      <c r="DL15" s="12">
        <v>3.9283575001141235</v>
      </c>
      <c r="DM15" s="12">
        <v>3.9301310001141236</v>
      </c>
      <c r="DN15" s="12">
        <v>3.9741274975377432</v>
      </c>
      <c r="DO15" s="12">
        <v>4.1336730975377431</v>
      </c>
      <c r="DP15" s="12">
        <v>4.1574086995446358</v>
      </c>
      <c r="DQ15" s="12">
        <v>4.0844708995446357</v>
      </c>
      <c r="DR15" s="12">
        <v>4.0624354995446357</v>
      </c>
      <c r="DS15" s="12">
        <v>3.9861935911328383</v>
      </c>
      <c r="DT15" s="12">
        <v>4.0204902911328384</v>
      </c>
      <c r="DU15" s="12">
        <v>3.9033617911328382</v>
      </c>
      <c r="DV15" s="12">
        <v>3.954491691132838</v>
      </c>
      <c r="DW15" s="12">
        <v>3.9800303182796708</v>
      </c>
      <c r="DX15" s="12">
        <v>4.0079900182796706</v>
      </c>
      <c r="DY15" s="12">
        <v>4.1515996182796702</v>
      </c>
      <c r="DZ15" s="12">
        <v>4.1705198623490549</v>
      </c>
      <c r="EA15" s="12">
        <v>4.279697562349055</v>
      </c>
      <c r="EB15" s="12">
        <v>4.2235685623490546</v>
      </c>
      <c r="EC15" s="12">
        <v>4.2896504183970015</v>
      </c>
      <c r="ED15" s="12">
        <v>4.4030074743323127</v>
      </c>
      <c r="EE15" s="12">
        <v>4.4192528888684013</v>
      </c>
      <c r="EF15" s="12">
        <v>4.3535518977295586</v>
      </c>
    </row>
    <row r="16" spans="1:136">
      <c r="A16" s="2"/>
      <c r="B16" s="2" t="s">
        <v>193</v>
      </c>
      <c r="C16" s="12">
        <v>2.7383644610379052E-2</v>
      </c>
      <c r="D16" s="12">
        <v>2.8103893277696107E-2</v>
      </c>
      <c r="E16" s="12">
        <v>9.3108782166585011E-2</v>
      </c>
      <c r="F16" s="12">
        <v>0.19249127502207208</v>
      </c>
      <c r="G16" s="12">
        <v>0.26618754014899593</v>
      </c>
      <c r="H16" s="12">
        <v>0.33903631792677369</v>
      </c>
      <c r="I16" s="12">
        <v>0.28150569926115226</v>
      </c>
      <c r="J16" s="12">
        <v>0.21281225481670782</v>
      </c>
      <c r="K16" s="12">
        <v>0.49748280504323994</v>
      </c>
      <c r="L16" s="12">
        <v>0.48759627045537113</v>
      </c>
      <c r="M16" s="12">
        <v>0.29272049267759337</v>
      </c>
      <c r="N16" s="12">
        <v>0.16704986713484307</v>
      </c>
      <c r="O16" s="12">
        <v>0.18267097824595419</v>
      </c>
      <c r="P16" s="12">
        <v>0.24465075602373196</v>
      </c>
      <c r="Q16" s="12">
        <v>0.34127064491262082</v>
      </c>
      <c r="R16" s="12">
        <v>0.39026162319554736</v>
      </c>
      <c r="S16" s="12">
        <v>0.67732464359434208</v>
      </c>
      <c r="T16" s="12">
        <v>0.65409719914989761</v>
      </c>
      <c r="U16" s="12">
        <v>0.78415967057964209</v>
      </c>
      <c r="V16" s="12">
        <v>0.67984444835741986</v>
      </c>
      <c r="W16" s="12">
        <v>0.78151012440523171</v>
      </c>
      <c r="X16" s="12">
        <v>0.90591990811371848</v>
      </c>
      <c r="Y16" s="12">
        <v>0.90163135255816296</v>
      </c>
      <c r="Z16" s="12">
        <v>0.88155557478038515</v>
      </c>
      <c r="AA16" s="12">
        <v>0.93178324144705182</v>
      </c>
      <c r="AB16" s="12">
        <v>0.86076724144705186</v>
      </c>
      <c r="AC16" s="12">
        <v>0.81972713033594069</v>
      </c>
      <c r="AD16" s="12">
        <v>0.85453813033594073</v>
      </c>
      <c r="AE16" s="12">
        <v>0.9060721303359407</v>
      </c>
      <c r="AF16" s="12">
        <v>0.92108246366927404</v>
      </c>
      <c r="AG16" s="12">
        <v>0.91278090811371848</v>
      </c>
      <c r="AH16" s="12">
        <v>0.88101550766427794</v>
      </c>
      <c r="AI16" s="12">
        <v>0.97153861877538905</v>
      </c>
      <c r="AJ16" s="12">
        <v>0.96451265270351305</v>
      </c>
      <c r="AK16" s="12">
        <v>1.0289340535358851</v>
      </c>
      <c r="AL16" s="12">
        <v>1.0776229866404083</v>
      </c>
      <c r="AM16" s="12">
        <v>1.101355542195964</v>
      </c>
      <c r="AN16" s="12">
        <v>1.1540676533070751</v>
      </c>
      <c r="AO16" s="12">
        <v>1.2154923251329874</v>
      </c>
      <c r="AP16" s="12">
        <v>1.2207327695774319</v>
      </c>
      <c r="AQ16" s="12">
        <v>1.1967002140218763</v>
      </c>
      <c r="AR16" s="12">
        <v>1.2291924362440985</v>
      </c>
      <c r="AS16" s="12">
        <v>1.2011137695774319</v>
      </c>
      <c r="AT16" s="12">
        <v>1.2050529917996542</v>
      </c>
      <c r="AU16" s="12">
        <v>1.3752895473552098</v>
      </c>
      <c r="AV16" s="12">
        <v>1.3988981029107654</v>
      </c>
      <c r="AW16" s="12">
        <v>1.4919558806885431</v>
      </c>
      <c r="AX16" s="12">
        <v>1.4851003251329875</v>
      </c>
      <c r="AY16" s="12">
        <v>1.4504275473552097</v>
      </c>
      <c r="AZ16" s="12">
        <v>1.4972554362440986</v>
      </c>
      <c r="BA16" s="12">
        <v>1.6572465473552098</v>
      </c>
      <c r="BB16" s="12">
        <v>1.7897205473552098</v>
      </c>
      <c r="BC16" s="12">
        <v>1.750083880688543</v>
      </c>
      <c r="BD16" s="12">
        <v>1.7563679917996542</v>
      </c>
      <c r="BE16" s="12">
        <v>1.8077789861941291</v>
      </c>
      <c r="BF16" s="12">
        <v>1.8720470405138474</v>
      </c>
      <c r="BG16" s="12">
        <v>1.8913782627360696</v>
      </c>
      <c r="BH16" s="12">
        <v>1.8293382627360695</v>
      </c>
      <c r="BI16" s="12">
        <v>1.8549591516249584</v>
      </c>
      <c r="BJ16" s="12">
        <v>1.9363880405138474</v>
      </c>
      <c r="BK16" s="12">
        <v>2.0411612627360696</v>
      </c>
      <c r="BL16" s="12">
        <v>2.1117848284435929</v>
      </c>
      <c r="BM16" s="12">
        <v>2.1933087034855578</v>
      </c>
      <c r="BN16" s="12">
        <v>2.2605080368188912</v>
      </c>
      <c r="BO16" s="12">
        <v>2.2823983967725487</v>
      </c>
      <c r="BP16" s="12">
        <v>2.3032415803201292</v>
      </c>
      <c r="BQ16" s="12">
        <v>2.3311078025423515</v>
      </c>
      <c r="BR16" s="12">
        <v>2.3433674692090181</v>
      </c>
      <c r="BS16" s="12">
        <v>2.330175896061554</v>
      </c>
      <c r="BT16" s="12">
        <v>2.4156590873293537</v>
      </c>
      <c r="BU16" s="12">
        <v>2.3141218651071314</v>
      </c>
      <c r="BV16" s="12">
        <v>2.4086323095515758</v>
      </c>
      <c r="BW16" s="12">
        <v>2.6325773095515759</v>
      </c>
      <c r="BX16" s="12">
        <v>2.6566561984404649</v>
      </c>
      <c r="BY16" s="12">
        <v>2.5376607539960205</v>
      </c>
      <c r="BZ16" s="12">
        <v>2.6302903095515759</v>
      </c>
      <c r="CA16" s="12">
        <v>2.6577213095515759</v>
      </c>
      <c r="CB16" s="12">
        <v>2.7970303095515758</v>
      </c>
      <c r="CC16" s="12">
        <v>2.841416642884909</v>
      </c>
      <c r="CD16" s="12">
        <v>2.9291666428849092</v>
      </c>
      <c r="CE16" s="12">
        <v>3.0617617036784206</v>
      </c>
      <c r="CF16" s="12">
        <v>2.9565604396686695</v>
      </c>
      <c r="CG16" s="12">
        <v>3.1027571063353365</v>
      </c>
      <c r="CH16" s="12">
        <v>3.0842356618908919</v>
      </c>
      <c r="CI16" s="12">
        <v>3.0258923285575587</v>
      </c>
      <c r="CJ16" s="12">
        <v>3.0536925507797812</v>
      </c>
      <c r="CK16" s="12">
        <v>3.1244253285575589</v>
      </c>
      <c r="CL16" s="12">
        <v>3.1085466462228495</v>
      </c>
      <c r="CM16" s="12">
        <v>3.0195580180733379</v>
      </c>
      <c r="CN16" s="12">
        <v>3.0291675736288934</v>
      </c>
      <c r="CO16" s="12">
        <v>3.2116195281687228</v>
      </c>
      <c r="CP16" s="12">
        <v>3.180934972613167</v>
      </c>
      <c r="CQ16" s="12">
        <v>3.3493859726131672</v>
      </c>
      <c r="CR16" s="12">
        <v>3.3010862059298507</v>
      </c>
      <c r="CS16" s="12">
        <v>3.2345270460557769</v>
      </c>
      <c r="CT16" s="12">
        <v>3.2834309349446658</v>
      </c>
      <c r="CU16" s="12">
        <v>3.3468655893036403</v>
      </c>
      <c r="CV16" s="12">
        <v>3.3636166733843611</v>
      </c>
      <c r="CW16" s="12">
        <v>3.3728108329169828</v>
      </c>
      <c r="CX16" s="12">
        <v>3.360570548162733</v>
      </c>
      <c r="CY16" s="12">
        <v>3.4191251037182884</v>
      </c>
      <c r="CZ16" s="12">
        <v>3.5853458814960661</v>
      </c>
      <c r="DA16" s="12">
        <v>3.6151506754633016</v>
      </c>
      <c r="DB16" s="12">
        <v>3.7131673421299682</v>
      </c>
      <c r="DC16" s="12">
        <v>3.7769074532410793</v>
      </c>
      <c r="DD16" s="12">
        <v>3.7025373421299683</v>
      </c>
      <c r="DE16" s="12">
        <v>3.6462120087966352</v>
      </c>
      <c r="DF16" s="12">
        <v>3.9717928976855239</v>
      </c>
      <c r="DG16" s="12">
        <v>3.9261158976855239</v>
      </c>
      <c r="DH16" s="12">
        <v>4.0632653421299683</v>
      </c>
      <c r="DI16" s="12">
        <v>4.1110941199077464</v>
      </c>
      <c r="DJ16" s="12">
        <v>4.1628472310188576</v>
      </c>
      <c r="DK16" s="12">
        <v>4.0665928976855241</v>
      </c>
      <c r="DL16" s="12">
        <v>4.0679597865744128</v>
      </c>
      <c r="DM16" s="12">
        <v>4.1060951199077458</v>
      </c>
      <c r="DN16" s="12">
        <v>4.1485329732671525</v>
      </c>
      <c r="DO16" s="12">
        <v>4.3181236399338196</v>
      </c>
      <c r="DP16" s="12">
        <v>4.3379655885130459</v>
      </c>
      <c r="DQ16" s="12">
        <v>4.2704055885130456</v>
      </c>
      <c r="DR16" s="12">
        <v>4.2592272551797121</v>
      </c>
      <c r="DS16" s="12">
        <v>4.1654751901899578</v>
      </c>
      <c r="DT16" s="12">
        <v>4.1975345235232915</v>
      </c>
      <c r="DU16" s="12">
        <v>4.0747615235232919</v>
      </c>
      <c r="DV16" s="12">
        <v>4.1199133013010698</v>
      </c>
      <c r="DW16" s="12">
        <v>4.160831031000761</v>
      </c>
      <c r="DX16" s="12">
        <v>4.1983381421118722</v>
      </c>
      <c r="DY16" s="12">
        <v>4.3559099198896503</v>
      </c>
      <c r="DZ16" s="12">
        <v>4.3871869997143271</v>
      </c>
      <c r="EA16" s="12">
        <v>4.5269868886032159</v>
      </c>
      <c r="EB16" s="12">
        <v>4.4561091108254383</v>
      </c>
      <c r="EC16" s="12">
        <v>4.5196411774600076</v>
      </c>
      <c r="ED16" s="12">
        <v>4.6350579249589288</v>
      </c>
      <c r="EE16" s="12">
        <v>4.6581486364835403</v>
      </c>
      <c r="EF16" s="12">
        <v>4.6156742349896334</v>
      </c>
    </row>
    <row r="17" spans="1:136">
      <c r="A17" s="2"/>
      <c r="B17" s="2" t="s">
        <v>194</v>
      </c>
      <c r="C17" s="12">
        <v>4.1028984252961823E-2</v>
      </c>
      <c r="D17" s="12">
        <v>5.8363358986049621E-2</v>
      </c>
      <c r="E17" s="12">
        <v>0.13795135898604965</v>
      </c>
      <c r="F17" s="12">
        <v>0.25078887410334538</v>
      </c>
      <c r="G17" s="12">
        <v>0.32201164098152713</v>
      </c>
      <c r="H17" s="12">
        <v>0.42700639098152715</v>
      </c>
      <c r="I17" s="12">
        <v>0.31328136317933963</v>
      </c>
      <c r="J17" s="12">
        <v>0.19798298817933963</v>
      </c>
      <c r="K17" s="12">
        <v>0.49480953927990201</v>
      </c>
      <c r="L17" s="12">
        <v>0.48509864977174399</v>
      </c>
      <c r="M17" s="12">
        <v>0.25815877477174398</v>
      </c>
      <c r="N17" s="12">
        <v>0.12221034271895878</v>
      </c>
      <c r="O17" s="12">
        <v>0.14684246771895879</v>
      </c>
      <c r="P17" s="12">
        <v>0.22375809271895877</v>
      </c>
      <c r="Q17" s="12">
        <v>0.33019046771895877</v>
      </c>
      <c r="R17" s="12">
        <v>0.38224807662348598</v>
      </c>
      <c r="S17" s="12">
        <v>0.69290150927878424</v>
      </c>
      <c r="T17" s="12">
        <v>0.66939313427878422</v>
      </c>
      <c r="U17" s="12">
        <v>0.8106642768173411</v>
      </c>
      <c r="V17" s="12">
        <v>0.6943091518173411</v>
      </c>
      <c r="W17" s="12">
        <v>0.81391313582964864</v>
      </c>
      <c r="X17" s="12">
        <v>0.93075933377045228</v>
      </c>
      <c r="Y17" s="12">
        <v>0.93225845877045233</v>
      </c>
      <c r="Z17" s="12">
        <v>0.91064995877045229</v>
      </c>
      <c r="AA17" s="12">
        <v>0.97290608377045229</v>
      </c>
      <c r="AB17" s="12">
        <v>0.91457170877045224</v>
      </c>
      <c r="AC17" s="12">
        <v>0.87377258377045219</v>
      </c>
      <c r="AD17" s="12">
        <v>0.94239245877045219</v>
      </c>
      <c r="AE17" s="12">
        <v>1.0018357087704521</v>
      </c>
      <c r="AF17" s="12">
        <v>1.0102483337704522</v>
      </c>
      <c r="AG17" s="12">
        <v>1.0088970837704523</v>
      </c>
      <c r="AH17" s="12">
        <v>0.97342446459756338</v>
      </c>
      <c r="AI17" s="12">
        <v>1.0882895895975633</v>
      </c>
      <c r="AJ17" s="12">
        <v>1.0456869590786064</v>
      </c>
      <c r="AK17" s="12">
        <v>1.119403233817643</v>
      </c>
      <c r="AL17" s="12">
        <v>1.1701276395661995</v>
      </c>
      <c r="AM17" s="12">
        <v>1.1979967645661995</v>
      </c>
      <c r="AN17" s="12">
        <v>1.2473571395661995</v>
      </c>
      <c r="AO17" s="12">
        <v>1.2599894741619238</v>
      </c>
      <c r="AP17" s="12">
        <v>1.2637487241619239</v>
      </c>
      <c r="AQ17" s="12">
        <v>1.2545183491619238</v>
      </c>
      <c r="AR17" s="12">
        <v>1.2895149741619238</v>
      </c>
      <c r="AS17" s="12">
        <v>1.2599989741619237</v>
      </c>
      <c r="AT17" s="12">
        <v>1.2614313491619238</v>
      </c>
      <c r="AU17" s="12">
        <v>1.4389939741619238</v>
      </c>
      <c r="AV17" s="12">
        <v>1.4665573491619237</v>
      </c>
      <c r="AW17" s="12">
        <v>1.5785598491619237</v>
      </c>
      <c r="AX17" s="12">
        <v>1.5891522241619238</v>
      </c>
      <c r="AY17" s="12">
        <v>1.5423410991619237</v>
      </c>
      <c r="AZ17" s="12">
        <v>1.5903224741619237</v>
      </c>
      <c r="BA17" s="12">
        <v>1.7531289741619238</v>
      </c>
      <c r="BB17" s="12">
        <v>1.9063997241619237</v>
      </c>
      <c r="BC17" s="12">
        <v>1.8486347241619236</v>
      </c>
      <c r="BD17" s="12">
        <v>1.8680488491619236</v>
      </c>
      <c r="BE17" s="12">
        <v>1.9453990913999839</v>
      </c>
      <c r="BF17" s="12">
        <v>2.0005965880089378</v>
      </c>
      <c r="BG17" s="12">
        <v>1.9874428380089377</v>
      </c>
      <c r="BH17" s="12">
        <v>1.9387040880089377</v>
      </c>
      <c r="BI17" s="12">
        <v>1.9961548380089376</v>
      </c>
      <c r="BJ17" s="12">
        <v>2.0853473380089378</v>
      </c>
      <c r="BK17" s="12">
        <v>2.2001634630089377</v>
      </c>
      <c r="BL17" s="12">
        <v>2.2776464298088839</v>
      </c>
      <c r="BM17" s="12">
        <v>2.353644200254744</v>
      </c>
      <c r="BN17" s="12">
        <v>2.427302200254744</v>
      </c>
      <c r="BO17" s="12">
        <v>2.4624818156714676</v>
      </c>
      <c r="BP17" s="12">
        <v>2.4984777953259485</v>
      </c>
      <c r="BQ17" s="12">
        <v>2.5471232953259486</v>
      </c>
      <c r="BR17" s="12">
        <v>2.5821279203259486</v>
      </c>
      <c r="BS17" s="12">
        <v>2.5780244512153421</v>
      </c>
      <c r="BT17" s="12">
        <v>2.6874408300857655</v>
      </c>
      <c r="BU17" s="12">
        <v>2.5829164550857655</v>
      </c>
      <c r="BV17" s="12">
        <v>2.6895603300857656</v>
      </c>
      <c r="BW17" s="12">
        <v>2.9167947050857657</v>
      </c>
      <c r="BX17" s="12">
        <v>2.9238912050857655</v>
      </c>
      <c r="BY17" s="12">
        <v>2.8280288300857657</v>
      </c>
      <c r="BZ17" s="12">
        <v>2.9349808300857658</v>
      </c>
      <c r="CA17" s="12">
        <v>2.962176955085766</v>
      </c>
      <c r="CB17" s="12">
        <v>3.111810330085766</v>
      </c>
      <c r="CC17" s="12">
        <v>3.1535688300857658</v>
      </c>
      <c r="CD17" s="12">
        <v>3.217673455085766</v>
      </c>
      <c r="CE17" s="12">
        <v>3.3927897005918175</v>
      </c>
      <c r="CF17" s="12">
        <v>3.2940435031656188</v>
      </c>
      <c r="CG17" s="12">
        <v>3.4710788781656188</v>
      </c>
      <c r="CH17" s="12">
        <v>3.4483242531656186</v>
      </c>
      <c r="CI17" s="12">
        <v>3.3658730031656185</v>
      </c>
      <c r="CJ17" s="12">
        <v>3.4041947531656187</v>
      </c>
      <c r="CK17" s="12">
        <v>3.4799387531656185</v>
      </c>
      <c r="CL17" s="12">
        <v>3.48936509793465</v>
      </c>
      <c r="CM17" s="12">
        <v>3.3547957535030757</v>
      </c>
      <c r="CN17" s="12">
        <v>3.3684265035030756</v>
      </c>
      <c r="CO17" s="12">
        <v>3.5709651307660653</v>
      </c>
      <c r="CP17" s="12">
        <v>3.5493551307660653</v>
      </c>
      <c r="CQ17" s="12">
        <v>3.7224860057660654</v>
      </c>
      <c r="CR17" s="12">
        <v>3.6718095150638423</v>
      </c>
      <c r="CS17" s="12">
        <v>3.5749678837642724</v>
      </c>
      <c r="CT17" s="12">
        <v>3.6336221337642725</v>
      </c>
      <c r="CU17" s="12">
        <v>3.7080304413475265</v>
      </c>
      <c r="CV17" s="12">
        <v>3.7041508334075992</v>
      </c>
      <c r="CW17" s="12">
        <v>3.7239126873169521</v>
      </c>
      <c r="CX17" s="12">
        <v>3.7131402927930042</v>
      </c>
      <c r="CY17" s="12">
        <v>3.7726384177930044</v>
      </c>
      <c r="CZ17" s="12">
        <v>3.9567742927930043</v>
      </c>
      <c r="DA17" s="12">
        <v>4.0006701519381389</v>
      </c>
      <c r="DB17" s="12">
        <v>4.1049411519381387</v>
      </c>
      <c r="DC17" s="12">
        <v>4.1588286519381388</v>
      </c>
      <c r="DD17" s="12">
        <v>4.1106986519381392</v>
      </c>
      <c r="DE17" s="12">
        <v>4.0590332769381394</v>
      </c>
      <c r="DF17" s="12">
        <v>4.4112606519381394</v>
      </c>
      <c r="DG17" s="12">
        <v>4.3640495269381399</v>
      </c>
      <c r="DH17" s="12">
        <v>4.5274829019381402</v>
      </c>
      <c r="DI17" s="12">
        <v>4.5976641519381403</v>
      </c>
      <c r="DJ17" s="12">
        <v>4.6548105269381406</v>
      </c>
      <c r="DK17" s="12">
        <v>4.5520306519381402</v>
      </c>
      <c r="DL17" s="12">
        <v>4.5462409019381402</v>
      </c>
      <c r="DM17" s="12">
        <v>4.5888044019381402</v>
      </c>
      <c r="DN17" s="12">
        <v>4.6242934346524791</v>
      </c>
      <c r="DO17" s="12">
        <v>4.8040554346524793</v>
      </c>
      <c r="DP17" s="12">
        <v>4.7875369263958554</v>
      </c>
      <c r="DQ17" s="12">
        <v>4.7222929263958555</v>
      </c>
      <c r="DR17" s="12">
        <v>4.6965664263958553</v>
      </c>
      <c r="DS17" s="12">
        <v>4.5722502665910447</v>
      </c>
      <c r="DT17" s="12">
        <v>4.5889932665910447</v>
      </c>
      <c r="DU17" s="12">
        <v>4.4594992665910445</v>
      </c>
      <c r="DV17" s="12">
        <v>4.5217716415910445</v>
      </c>
      <c r="DW17" s="12">
        <v>4.5704531250051943</v>
      </c>
      <c r="DX17" s="12">
        <v>4.6145750000051944</v>
      </c>
      <c r="DY17" s="12">
        <v>4.7218572500051943</v>
      </c>
      <c r="DZ17" s="12">
        <v>4.7536854226049803</v>
      </c>
      <c r="EA17" s="12">
        <v>4.9182577976049799</v>
      </c>
      <c r="EB17" s="12">
        <v>4.84447417260498</v>
      </c>
      <c r="EC17" s="12">
        <v>4.8608993898210411</v>
      </c>
      <c r="ED17" s="12">
        <v>4.9892238337499535</v>
      </c>
      <c r="EE17" s="12">
        <v>5.0146371940599872</v>
      </c>
      <c r="EF17" s="12">
        <v>4.9669274270501358</v>
      </c>
    </row>
    <row r="18" spans="1:136">
      <c r="A18" s="2"/>
      <c r="B18" s="2" t="s">
        <v>195</v>
      </c>
      <c r="C18" s="12">
        <v>5.3942228163147227E-2</v>
      </c>
      <c r="D18" s="12">
        <v>6.2129695244539956E-2</v>
      </c>
      <c r="E18" s="12">
        <v>0.11556755238739712</v>
      </c>
      <c r="F18" s="12">
        <v>0.2499819268207828</v>
      </c>
      <c r="G18" s="12">
        <v>0.33077617384164265</v>
      </c>
      <c r="H18" s="12">
        <v>0.45931617384164264</v>
      </c>
      <c r="I18" s="12">
        <v>0.32381599361840152</v>
      </c>
      <c r="J18" s="12">
        <v>0.19865513647554431</v>
      </c>
      <c r="K18" s="12">
        <v>0.55733723498344401</v>
      </c>
      <c r="L18" s="12">
        <v>0.54435474813646245</v>
      </c>
      <c r="M18" s="12">
        <v>0.29084189099360525</v>
      </c>
      <c r="N18" s="12">
        <v>0.14784946370883414</v>
      </c>
      <c r="O18" s="12">
        <v>0.17217360656597699</v>
      </c>
      <c r="P18" s="12">
        <v>0.22674332085169127</v>
      </c>
      <c r="Q18" s="12">
        <v>0.34848203513740555</v>
      </c>
      <c r="R18" s="12">
        <v>0.40997427300938055</v>
      </c>
      <c r="S18" s="12">
        <v>0.7937069019412748</v>
      </c>
      <c r="T18" s="12">
        <v>0.78867733051270339</v>
      </c>
      <c r="U18" s="12">
        <v>0.92117235494252236</v>
      </c>
      <c r="V18" s="12">
        <v>0.7899193549425223</v>
      </c>
      <c r="W18" s="12">
        <v>0.9278365928582285</v>
      </c>
      <c r="X18" s="12">
        <v>1.0712881104930692</v>
      </c>
      <c r="Y18" s="12">
        <v>1.0954999676359263</v>
      </c>
      <c r="Z18" s="12">
        <v>1.0785943962073548</v>
      </c>
      <c r="AA18" s="12">
        <v>1.1333999676359261</v>
      </c>
      <c r="AB18" s="12">
        <v>1.0716859676359261</v>
      </c>
      <c r="AC18" s="12">
        <v>0.99696611049306894</v>
      </c>
      <c r="AD18" s="12">
        <v>1.093251967635926</v>
      </c>
      <c r="AE18" s="12">
        <v>1.1704529676359261</v>
      </c>
      <c r="AF18" s="12">
        <v>1.1687033962073547</v>
      </c>
      <c r="AG18" s="12">
        <v>1.1600855390644975</v>
      </c>
      <c r="AH18" s="12">
        <v>1.1198880780959828</v>
      </c>
      <c r="AI18" s="12">
        <v>1.2379745066674115</v>
      </c>
      <c r="AJ18" s="12">
        <v>1.1905807505009625</v>
      </c>
      <c r="AK18" s="12">
        <v>1.2207332310985886</v>
      </c>
      <c r="AL18" s="12">
        <v>1.2682609947308463</v>
      </c>
      <c r="AM18" s="12">
        <v>1.2781199947308464</v>
      </c>
      <c r="AN18" s="12">
        <v>1.3317815661594179</v>
      </c>
      <c r="AO18" s="12">
        <v>1.3372091011271108</v>
      </c>
      <c r="AP18" s="12">
        <v>1.339224815412825</v>
      </c>
      <c r="AQ18" s="12">
        <v>1.3560129582699678</v>
      </c>
      <c r="AR18" s="12">
        <v>1.4177073868413963</v>
      </c>
      <c r="AS18" s="12">
        <v>1.3723341011271106</v>
      </c>
      <c r="AT18" s="12">
        <v>1.4019876725556821</v>
      </c>
      <c r="AU18" s="12">
        <v>1.598647815412825</v>
      </c>
      <c r="AV18" s="12">
        <v>1.633705815412825</v>
      </c>
      <c r="AW18" s="12">
        <v>1.7757486725556821</v>
      </c>
      <c r="AX18" s="12">
        <v>1.8093529582699679</v>
      </c>
      <c r="AY18" s="12">
        <v>1.766575815412825</v>
      </c>
      <c r="AZ18" s="12">
        <v>1.8329178154128249</v>
      </c>
      <c r="BA18" s="12">
        <v>2.0133976725556821</v>
      </c>
      <c r="BB18" s="12">
        <v>2.1806549582699679</v>
      </c>
      <c r="BC18" s="12">
        <v>2.128201815412825</v>
      </c>
      <c r="BD18" s="12">
        <v>2.1484795296985393</v>
      </c>
      <c r="BE18" s="12">
        <v>2.2168407429367023</v>
      </c>
      <c r="BF18" s="12">
        <v>2.2627252792362813</v>
      </c>
      <c r="BG18" s="12">
        <v>2.26041670780771</v>
      </c>
      <c r="BH18" s="12">
        <v>2.1974809935219959</v>
      </c>
      <c r="BI18" s="12">
        <v>2.2309705649505673</v>
      </c>
      <c r="BJ18" s="12">
        <v>2.3305032792362814</v>
      </c>
      <c r="BK18" s="12">
        <v>2.4039594220934242</v>
      </c>
      <c r="BL18" s="12">
        <v>2.4851170959136284</v>
      </c>
      <c r="BM18" s="12">
        <v>2.5878910349770679</v>
      </c>
      <c r="BN18" s="12">
        <v>2.6661011778342107</v>
      </c>
      <c r="BO18" s="12">
        <v>2.6863286739405852</v>
      </c>
      <c r="BP18" s="12">
        <v>2.7331862142752672</v>
      </c>
      <c r="BQ18" s="12">
        <v>2.7914739285609813</v>
      </c>
      <c r="BR18" s="12">
        <v>2.817762214275267</v>
      </c>
      <c r="BS18" s="12">
        <v>2.8137785891781477</v>
      </c>
      <c r="BT18" s="12">
        <v>2.9290153372140342</v>
      </c>
      <c r="BU18" s="12">
        <v>2.8175531943568912</v>
      </c>
      <c r="BV18" s="12">
        <v>2.9330587657854625</v>
      </c>
      <c r="BW18" s="12">
        <v>3.1940980514997483</v>
      </c>
      <c r="BX18" s="12">
        <v>3.1782873372140341</v>
      </c>
      <c r="BY18" s="12">
        <v>3.1155989086426055</v>
      </c>
      <c r="BZ18" s="12">
        <v>3.2254140514997482</v>
      </c>
      <c r="CA18" s="12">
        <v>3.2586999086426052</v>
      </c>
      <c r="CB18" s="12">
        <v>3.3655461943568907</v>
      </c>
      <c r="CC18" s="12">
        <v>3.4702059086426051</v>
      </c>
      <c r="CD18" s="12">
        <v>3.520650908642605</v>
      </c>
      <c r="CE18" s="12">
        <v>3.6985772649514823</v>
      </c>
      <c r="CF18" s="12">
        <v>3.626759673251108</v>
      </c>
      <c r="CG18" s="12">
        <v>3.8534018161082511</v>
      </c>
      <c r="CH18" s="12">
        <v>3.8279612446796798</v>
      </c>
      <c r="CI18" s="12">
        <v>3.7102376732511084</v>
      </c>
      <c r="CJ18" s="12">
        <v>3.7389223875368227</v>
      </c>
      <c r="CK18" s="12">
        <v>3.8121435303939655</v>
      </c>
      <c r="CL18" s="12">
        <v>3.8431330754521587</v>
      </c>
      <c r="CM18" s="12">
        <v>3.699484532287765</v>
      </c>
      <c r="CN18" s="12">
        <v>3.6708676751449079</v>
      </c>
      <c r="CO18" s="12">
        <v>3.9024415536943371</v>
      </c>
      <c r="CP18" s="12">
        <v>3.8869434108371941</v>
      </c>
      <c r="CQ18" s="12">
        <v>4.0966861251229085</v>
      </c>
      <c r="CR18" s="12">
        <v>4.0415299964063163</v>
      </c>
      <c r="CS18" s="12">
        <v>3.9635027496743449</v>
      </c>
      <c r="CT18" s="12">
        <v>4.0403736068172016</v>
      </c>
      <c r="CU18" s="12">
        <v>4.1120222980223113</v>
      </c>
      <c r="CV18" s="12">
        <v>4.0209820157920229</v>
      </c>
      <c r="CW18" s="12">
        <v>4.0294381013565488</v>
      </c>
      <c r="CX18" s="12">
        <v>3.9678779155227706</v>
      </c>
      <c r="CY18" s="12">
        <v>4.0393100583799137</v>
      </c>
      <c r="CZ18" s="12">
        <v>4.2437224869513424</v>
      </c>
      <c r="DA18" s="12">
        <v>4.2911034264700358</v>
      </c>
      <c r="DB18" s="12">
        <v>4.4092174264700361</v>
      </c>
      <c r="DC18" s="12">
        <v>4.4584259978986074</v>
      </c>
      <c r="DD18" s="12">
        <v>4.3873547121843215</v>
      </c>
      <c r="DE18" s="12">
        <v>4.3480479978986075</v>
      </c>
      <c r="DF18" s="12">
        <v>4.7147415693271792</v>
      </c>
      <c r="DG18" s="12">
        <v>4.6599708550414647</v>
      </c>
      <c r="DH18" s="12">
        <v>4.8523734264700362</v>
      </c>
      <c r="DI18" s="12">
        <v>4.9503362836128932</v>
      </c>
      <c r="DJ18" s="12">
        <v>5.0009912836128931</v>
      </c>
      <c r="DK18" s="12">
        <v>4.8944654264700365</v>
      </c>
      <c r="DL18" s="12">
        <v>4.8710558550414653</v>
      </c>
      <c r="DM18" s="12">
        <v>4.92951256932718</v>
      </c>
      <c r="DN18" s="12">
        <v>4.9127905052491583</v>
      </c>
      <c r="DO18" s="12">
        <v>5.1331100766777293</v>
      </c>
      <c r="DP18" s="12">
        <v>5.1125053902108633</v>
      </c>
      <c r="DQ18" s="12">
        <v>5.0505506759251491</v>
      </c>
      <c r="DR18" s="12">
        <v>5.0400989616394352</v>
      </c>
      <c r="DS18" s="12">
        <v>4.8923769631877025</v>
      </c>
      <c r="DT18" s="12">
        <v>4.8849692489019887</v>
      </c>
      <c r="DU18" s="12">
        <v>4.7262538203305597</v>
      </c>
      <c r="DV18" s="12">
        <v>4.8116596774734166</v>
      </c>
      <c r="DW18" s="12">
        <v>4.8935683697577899</v>
      </c>
      <c r="DX18" s="12">
        <v>4.9553520840435041</v>
      </c>
      <c r="DY18" s="12">
        <v>5.0921843697577902</v>
      </c>
      <c r="DZ18" s="12">
        <v>5.1677007290541557</v>
      </c>
      <c r="EA18" s="12">
        <v>5.3666480147684412</v>
      </c>
      <c r="EB18" s="12">
        <v>5.2696030147684416</v>
      </c>
      <c r="EC18" s="12">
        <v>5.2723671301938131</v>
      </c>
      <c r="ED18" s="12">
        <v>5.3828451520595788</v>
      </c>
      <c r="EE18" s="12">
        <v>5.3966989060340858</v>
      </c>
      <c r="EF18" s="12">
        <v>5.3477438889236693</v>
      </c>
    </row>
    <row r="19" spans="1:136">
      <c r="A19" s="2"/>
      <c r="B19" s="2" t="s">
        <v>196</v>
      </c>
      <c r="C19" s="12">
        <v>7.7959416087486216E-2</v>
      </c>
      <c r="D19" s="12">
        <v>9.813021554168197E-2</v>
      </c>
      <c r="E19" s="12">
        <v>0.16394271554168197</v>
      </c>
      <c r="F19" s="12">
        <v>0.20258939742792603</v>
      </c>
      <c r="G19" s="12">
        <v>0.30010148798952618</v>
      </c>
      <c r="H19" s="12">
        <v>0.47771165465619292</v>
      </c>
      <c r="I19" s="12">
        <v>0.34305732176472642</v>
      </c>
      <c r="J19" s="12">
        <v>0.18682815509805972</v>
      </c>
      <c r="K19" s="12">
        <v>0.605166006067694</v>
      </c>
      <c r="L19" s="12">
        <v>0.56211704843252797</v>
      </c>
      <c r="M19" s="12">
        <v>0.30057538176586129</v>
      </c>
      <c r="N19" s="12">
        <v>0.20522749607588039</v>
      </c>
      <c r="O19" s="12">
        <v>0.18543049607588039</v>
      </c>
      <c r="P19" s="12">
        <v>0.20821582940921371</v>
      </c>
      <c r="Q19" s="12">
        <v>0.37868016274254701</v>
      </c>
      <c r="R19" s="12">
        <v>0.46897925337340329</v>
      </c>
      <c r="S19" s="12">
        <v>0.6531393700710113</v>
      </c>
      <c r="T19" s="12">
        <v>0.54361253673767806</v>
      </c>
      <c r="U19" s="12">
        <v>0.67931087536960133</v>
      </c>
      <c r="V19" s="12">
        <v>0.56062737536960139</v>
      </c>
      <c r="W19" s="12">
        <v>0.7072483660871115</v>
      </c>
      <c r="X19" s="12">
        <v>0.82388741135120491</v>
      </c>
      <c r="Y19" s="12">
        <v>0.84794957801787163</v>
      </c>
      <c r="Z19" s="12">
        <v>0.82572657801787164</v>
      </c>
      <c r="AA19" s="12">
        <v>0.87302824468453832</v>
      </c>
      <c r="AB19" s="12">
        <v>0.81226574468453827</v>
      </c>
      <c r="AC19" s="12">
        <v>0.7287529113512049</v>
      </c>
      <c r="AD19" s="12">
        <v>0.82474574468453821</v>
      </c>
      <c r="AE19" s="12">
        <v>0.93997691135120487</v>
      </c>
      <c r="AF19" s="12">
        <v>0.94024074468453822</v>
      </c>
      <c r="AG19" s="12">
        <v>0.95953924468453822</v>
      </c>
      <c r="AH19" s="12">
        <v>0.90298152946283472</v>
      </c>
      <c r="AI19" s="12">
        <v>0.99453086279616809</v>
      </c>
      <c r="AJ19" s="12">
        <v>0.9429855724689058</v>
      </c>
      <c r="AK19" s="12">
        <v>0.95053761497485856</v>
      </c>
      <c r="AL19" s="12">
        <v>1.0208085606456641</v>
      </c>
      <c r="AM19" s="12">
        <v>1.0313410606456641</v>
      </c>
      <c r="AN19" s="12">
        <v>1.0934523939789975</v>
      </c>
      <c r="AO19" s="12">
        <v>1.119345297024412</v>
      </c>
      <c r="AP19" s="12">
        <v>1.1290582970244121</v>
      </c>
      <c r="AQ19" s="12">
        <v>1.1839861303577455</v>
      </c>
      <c r="AR19" s="12">
        <v>1.2586029636910787</v>
      </c>
      <c r="AS19" s="12">
        <v>1.2549159636910787</v>
      </c>
      <c r="AT19" s="12">
        <v>1.2660996303577454</v>
      </c>
      <c r="AU19" s="12">
        <v>1.5049447970244121</v>
      </c>
      <c r="AV19" s="12">
        <v>1.5476224636910787</v>
      </c>
      <c r="AW19" s="12">
        <v>1.672485297024412</v>
      </c>
      <c r="AX19" s="12">
        <v>1.736550297024412</v>
      </c>
      <c r="AY19" s="12">
        <v>1.6756976303577453</v>
      </c>
      <c r="AZ19" s="12">
        <v>1.7597299636910786</v>
      </c>
      <c r="BA19" s="12">
        <v>1.9467269636910787</v>
      </c>
      <c r="BB19" s="12">
        <v>2.148528797024412</v>
      </c>
      <c r="BC19" s="12">
        <v>2.0874572970244119</v>
      </c>
      <c r="BD19" s="12">
        <v>2.0873864636910784</v>
      </c>
      <c r="BE19" s="12">
        <v>2.138518337654745</v>
      </c>
      <c r="BF19" s="12">
        <v>2.1520893118038837</v>
      </c>
      <c r="BG19" s="12">
        <v>2.1530526451372172</v>
      </c>
      <c r="BH19" s="12">
        <v>2.095917645137217</v>
      </c>
      <c r="BI19" s="12">
        <v>2.1218561451372171</v>
      </c>
      <c r="BJ19" s="12">
        <v>2.1736763118038835</v>
      </c>
      <c r="BK19" s="12">
        <v>2.270715145137217</v>
      </c>
      <c r="BL19" s="12">
        <v>2.3506798032837199</v>
      </c>
      <c r="BM19" s="12">
        <v>2.4649304035424158</v>
      </c>
      <c r="BN19" s="12">
        <v>2.5463455702090823</v>
      </c>
      <c r="BO19" s="12">
        <v>2.5720745314741977</v>
      </c>
      <c r="BP19" s="12">
        <v>2.6348933390083298</v>
      </c>
      <c r="BQ19" s="12">
        <v>2.61388783900833</v>
      </c>
      <c r="BR19" s="12">
        <v>2.6379500056749965</v>
      </c>
      <c r="BS19" s="12">
        <v>2.6136936669305144</v>
      </c>
      <c r="BT19" s="12">
        <v>2.7553263467840878</v>
      </c>
      <c r="BU19" s="12">
        <v>2.6246555134507545</v>
      </c>
      <c r="BV19" s="12">
        <v>2.7247408467840879</v>
      </c>
      <c r="BW19" s="12">
        <v>3.0207166801174212</v>
      </c>
      <c r="BX19" s="12">
        <v>2.9843195134507545</v>
      </c>
      <c r="BY19" s="12">
        <v>2.956641346784088</v>
      </c>
      <c r="BZ19" s="12">
        <v>3.1013840134507547</v>
      </c>
      <c r="CA19" s="12">
        <v>3.1369941801174215</v>
      </c>
      <c r="CB19" s="12">
        <v>3.2648326801174217</v>
      </c>
      <c r="CC19" s="12">
        <v>3.2873383467840882</v>
      </c>
      <c r="CD19" s="12">
        <v>3.3750025134507551</v>
      </c>
      <c r="CE19" s="12">
        <v>3.5732683426277143</v>
      </c>
      <c r="CF19" s="12">
        <v>3.493363945421665</v>
      </c>
      <c r="CG19" s="12">
        <v>3.757257945421665</v>
      </c>
      <c r="CH19" s="12">
        <v>3.7496981120883319</v>
      </c>
      <c r="CI19" s="12">
        <v>3.5844974454216652</v>
      </c>
      <c r="CJ19" s="12">
        <v>3.5834589454216652</v>
      </c>
      <c r="CK19" s="12">
        <v>3.6580452787549986</v>
      </c>
      <c r="CL19" s="12">
        <v>3.7012855587297886</v>
      </c>
      <c r="CM19" s="12">
        <v>3.5259379171480738</v>
      </c>
      <c r="CN19" s="12">
        <v>3.5099947504814071</v>
      </c>
      <c r="CO19" s="12">
        <v>3.7824491551099135</v>
      </c>
      <c r="CP19" s="12">
        <v>3.7534121551099133</v>
      </c>
      <c r="CQ19" s="12">
        <v>3.9754271551099132</v>
      </c>
      <c r="CR19" s="12">
        <v>3.9257329655575104</v>
      </c>
      <c r="CS19" s="12">
        <v>3.8650321146589723</v>
      </c>
      <c r="CT19" s="12">
        <v>3.8914541146589725</v>
      </c>
      <c r="CU19" s="12">
        <v>3.9748905117728657</v>
      </c>
      <c r="CV19" s="12">
        <v>3.8729106502564621</v>
      </c>
      <c r="CW19" s="12">
        <v>3.8948124580383605</v>
      </c>
      <c r="CX19" s="12">
        <v>3.8371777316701756</v>
      </c>
      <c r="CY19" s="12">
        <v>3.9103285650035091</v>
      </c>
      <c r="CZ19" s="12">
        <v>4.0683430650035088</v>
      </c>
      <c r="DA19" s="12">
        <v>4.1265669417067459</v>
      </c>
      <c r="DB19" s="12">
        <v>4.2745279417067454</v>
      </c>
      <c r="DC19" s="12">
        <v>4.3048046083734119</v>
      </c>
      <c r="DD19" s="12">
        <v>4.2412572750400788</v>
      </c>
      <c r="DE19" s="12">
        <v>4.2352517750400791</v>
      </c>
      <c r="DF19" s="12">
        <v>4.4407546083734122</v>
      </c>
      <c r="DG19" s="12">
        <v>4.374380108373412</v>
      </c>
      <c r="DH19" s="12">
        <v>4.5989714417067455</v>
      </c>
      <c r="DI19" s="12">
        <v>4.7074331083734124</v>
      </c>
      <c r="DJ19" s="12">
        <v>4.7879334417067456</v>
      </c>
      <c r="DK19" s="12">
        <v>4.6664927750400791</v>
      </c>
      <c r="DL19" s="12">
        <v>4.6431799417067454</v>
      </c>
      <c r="DM19" s="12">
        <v>4.7004797750400789</v>
      </c>
      <c r="DN19" s="12">
        <v>4.7029548981377172</v>
      </c>
      <c r="DO19" s="12">
        <v>4.952216064804384</v>
      </c>
      <c r="DP19" s="12">
        <v>4.9800540792873775</v>
      </c>
      <c r="DQ19" s="12">
        <v>4.9294315792873773</v>
      </c>
      <c r="DR19" s="12">
        <v>4.9118862459540438</v>
      </c>
      <c r="DS19" s="12">
        <v>4.7338906990000735</v>
      </c>
      <c r="DT19" s="12">
        <v>4.7308141990000738</v>
      </c>
      <c r="DU19" s="12">
        <v>4.5802316990000742</v>
      </c>
      <c r="DV19" s="12">
        <v>4.6183588656667407</v>
      </c>
      <c r="DW19" s="12">
        <v>4.6789680050074249</v>
      </c>
      <c r="DX19" s="12">
        <v>4.7872325050074247</v>
      </c>
      <c r="DY19" s="12">
        <v>4.926480505007425</v>
      </c>
      <c r="DZ19" s="12">
        <v>5.038401333871418</v>
      </c>
      <c r="EA19" s="12">
        <v>5.2714490005380847</v>
      </c>
      <c r="EB19" s="12">
        <v>5.1652005005380843</v>
      </c>
      <c r="EC19" s="12">
        <v>5.153010457314382</v>
      </c>
      <c r="ED19" s="12">
        <v>5.3039457743045393</v>
      </c>
      <c r="EE19" s="12">
        <v>5.2913117313641171</v>
      </c>
      <c r="EF19" s="12">
        <v>5.2743337764893479</v>
      </c>
    </row>
    <row r="20" spans="1:136">
      <c r="A20" s="2"/>
      <c r="B20" s="2" t="s">
        <v>197</v>
      </c>
      <c r="C20" s="12">
        <v>0.13932460396499161</v>
      </c>
      <c r="D20" s="12">
        <v>0.13897288570124605</v>
      </c>
      <c r="E20" s="12">
        <v>0.19630808570124605</v>
      </c>
      <c r="F20" s="12">
        <v>0.28752650787329204</v>
      </c>
      <c r="G20" s="12">
        <v>0.38789241979215594</v>
      </c>
      <c r="H20" s="12">
        <v>0.53182461979215589</v>
      </c>
      <c r="I20" s="12">
        <v>0.37367505719105421</v>
      </c>
      <c r="J20" s="12">
        <v>0.24046885719105421</v>
      </c>
      <c r="K20" s="12">
        <v>0.3305775113137282</v>
      </c>
      <c r="L20" s="12">
        <v>0.23486887580919247</v>
      </c>
      <c r="M20" s="12">
        <v>-3.3825124190807521E-2</v>
      </c>
      <c r="N20" s="12">
        <v>-0.13575005323644743</v>
      </c>
      <c r="O20" s="12">
        <v>-0.24586385323644744</v>
      </c>
      <c r="P20" s="12">
        <v>-0.20583485323644743</v>
      </c>
      <c r="Q20" s="12">
        <v>1.8991746763552558E-2</v>
      </c>
      <c r="R20" s="12">
        <v>0.12824480240102137</v>
      </c>
      <c r="S20" s="12">
        <v>0.28342742072876398</v>
      </c>
      <c r="T20" s="12">
        <v>0.18258162072876399</v>
      </c>
      <c r="U20" s="12">
        <v>0.3312313008465389</v>
      </c>
      <c r="V20" s="12">
        <v>0.1949431008465389</v>
      </c>
      <c r="W20" s="12">
        <v>0.36802847702411978</v>
      </c>
      <c r="X20" s="12">
        <v>0.51672567828125338</v>
      </c>
      <c r="Y20" s="12">
        <v>0.51186767828125335</v>
      </c>
      <c r="Z20" s="12">
        <v>0.54102607828125338</v>
      </c>
      <c r="AA20" s="12">
        <v>0.6079900782812534</v>
      </c>
      <c r="AB20" s="12">
        <v>0.54756707828125339</v>
      </c>
      <c r="AC20" s="12">
        <v>0.45125887828125338</v>
      </c>
      <c r="AD20" s="12">
        <v>0.58110147828125336</v>
      </c>
      <c r="AE20" s="12">
        <v>0.59841167828125341</v>
      </c>
      <c r="AF20" s="12">
        <v>0.59194407828125339</v>
      </c>
      <c r="AG20" s="12">
        <v>0.58570447828125338</v>
      </c>
      <c r="AH20" s="12">
        <v>0.49552627756647072</v>
      </c>
      <c r="AI20" s="12">
        <v>0.61186347756647075</v>
      </c>
      <c r="AJ20" s="12">
        <v>0.54987344301892316</v>
      </c>
      <c r="AK20" s="12">
        <v>0.53627832752292026</v>
      </c>
      <c r="AL20" s="12">
        <v>0.60917177955989721</v>
      </c>
      <c r="AM20" s="12">
        <v>0.64191037955989716</v>
      </c>
      <c r="AN20" s="12">
        <v>0.60899357955989719</v>
      </c>
      <c r="AO20" s="12">
        <v>0.65427866152458558</v>
      </c>
      <c r="AP20" s="12">
        <v>0.66688426152458558</v>
      </c>
      <c r="AQ20" s="12">
        <v>0.59398566152458554</v>
      </c>
      <c r="AR20" s="12">
        <v>0.60727486152458554</v>
      </c>
      <c r="AS20" s="12">
        <v>0.59013206152458553</v>
      </c>
      <c r="AT20" s="12">
        <v>0.58728146152458549</v>
      </c>
      <c r="AU20" s="12">
        <v>0.86898046152458552</v>
      </c>
      <c r="AV20" s="12">
        <v>0.94045486152458557</v>
      </c>
      <c r="AW20" s="12">
        <v>1.0867668615245856</v>
      </c>
      <c r="AX20" s="12">
        <v>1.1726556615245856</v>
      </c>
      <c r="AY20" s="12">
        <v>1.1103698615245856</v>
      </c>
      <c r="AZ20" s="12">
        <v>1.2101740615245855</v>
      </c>
      <c r="BA20" s="12">
        <v>1.3615120615245855</v>
      </c>
      <c r="BB20" s="12">
        <v>1.5927254615245854</v>
      </c>
      <c r="BC20" s="12">
        <v>1.5228404615245854</v>
      </c>
      <c r="BD20" s="12">
        <v>1.5312040615245854</v>
      </c>
      <c r="BE20" s="12">
        <v>1.5252572643853251</v>
      </c>
      <c r="BF20" s="12">
        <v>1.5309458467166537</v>
      </c>
      <c r="BG20" s="12">
        <v>1.4792188467166536</v>
      </c>
      <c r="BH20" s="12">
        <v>1.4273188467166535</v>
      </c>
      <c r="BI20" s="12">
        <v>1.4504924467166536</v>
      </c>
      <c r="BJ20" s="12">
        <v>1.5056502467166535</v>
      </c>
      <c r="BK20" s="12">
        <v>1.6233012467166534</v>
      </c>
      <c r="BL20" s="12">
        <v>1.7095934778931081</v>
      </c>
      <c r="BM20" s="12">
        <v>1.8465111392215463</v>
      </c>
      <c r="BN20" s="12">
        <v>1.8278751392215462</v>
      </c>
      <c r="BO20" s="12">
        <v>1.7894134217055671</v>
      </c>
      <c r="BP20" s="12">
        <v>1.8498209424685221</v>
      </c>
      <c r="BQ20" s="12">
        <v>1.837358342468522</v>
      </c>
      <c r="BR20" s="12">
        <v>1.8555489424685221</v>
      </c>
      <c r="BS20" s="12">
        <v>1.8609564486597132</v>
      </c>
      <c r="BT20" s="12">
        <v>2.0087594818383603</v>
      </c>
      <c r="BU20" s="12">
        <v>1.8593184818383603</v>
      </c>
      <c r="BV20" s="12">
        <v>1.9930282818383604</v>
      </c>
      <c r="BW20" s="12">
        <v>2.3350704818383603</v>
      </c>
      <c r="BX20" s="12">
        <v>2.2822118818383603</v>
      </c>
      <c r="BY20" s="12">
        <v>2.2390240818383602</v>
      </c>
      <c r="BZ20" s="12">
        <v>2.42374988183836</v>
      </c>
      <c r="CA20" s="12">
        <v>2.47396608183836</v>
      </c>
      <c r="CB20" s="12">
        <v>2.60046148183836</v>
      </c>
      <c r="CC20" s="12">
        <v>2.6133762818383599</v>
      </c>
      <c r="CD20" s="12">
        <v>2.7094398818383598</v>
      </c>
      <c r="CE20" s="12">
        <v>2.9534036773080929</v>
      </c>
      <c r="CF20" s="12">
        <v>2.8724457401094163</v>
      </c>
      <c r="CG20" s="12">
        <v>3.1943851401094161</v>
      </c>
      <c r="CH20" s="12">
        <v>3.2435789401094159</v>
      </c>
      <c r="CI20" s="12">
        <v>3.1120951401094161</v>
      </c>
      <c r="CJ20" s="12">
        <v>3.0997719401094161</v>
      </c>
      <c r="CK20" s="12">
        <v>3.1620491401094162</v>
      </c>
      <c r="CL20" s="12">
        <v>3.2542340742985454</v>
      </c>
      <c r="CM20" s="12">
        <v>3.0651829091279246</v>
      </c>
      <c r="CN20" s="12">
        <v>3.0458355091279246</v>
      </c>
      <c r="CO20" s="12">
        <v>3.461806844296937</v>
      </c>
      <c r="CP20" s="12">
        <v>3.469231044296937</v>
      </c>
      <c r="CQ20" s="12">
        <v>3.5517532442969371</v>
      </c>
      <c r="CR20" s="12">
        <v>3.4786369997910866</v>
      </c>
      <c r="CS20" s="12">
        <v>3.3902727227788252</v>
      </c>
      <c r="CT20" s="12">
        <v>3.4186881227788253</v>
      </c>
      <c r="CU20" s="12">
        <v>3.5135557810453375</v>
      </c>
      <c r="CV20" s="12">
        <v>3.4210447053499116</v>
      </c>
      <c r="CW20" s="12">
        <v>3.4110916424286288</v>
      </c>
      <c r="CX20" s="12">
        <v>3.3207930915608643</v>
      </c>
      <c r="CY20" s="12">
        <v>3.4295252915608643</v>
      </c>
      <c r="CZ20" s="12">
        <v>3.5578286915608643</v>
      </c>
      <c r="DA20" s="12">
        <v>3.605300584716042</v>
      </c>
      <c r="DB20" s="12">
        <v>3.6822675847160418</v>
      </c>
      <c r="DC20" s="12">
        <v>3.7111695847160417</v>
      </c>
      <c r="DD20" s="12">
        <v>3.6430067847160417</v>
      </c>
      <c r="DE20" s="12">
        <v>3.6125403847160418</v>
      </c>
      <c r="DF20" s="12">
        <v>3.8581157847160417</v>
      </c>
      <c r="DG20" s="12">
        <v>3.8057699847160418</v>
      </c>
      <c r="DH20" s="12">
        <v>4.0840695847160422</v>
      </c>
      <c r="DI20" s="12">
        <v>4.2216655847160425</v>
      </c>
      <c r="DJ20" s="12">
        <v>4.3029429847160428</v>
      </c>
      <c r="DK20" s="12">
        <v>4.2177583847160429</v>
      </c>
      <c r="DL20" s="12">
        <v>4.2279449847160429</v>
      </c>
      <c r="DM20" s="12">
        <v>4.297280784716043</v>
      </c>
      <c r="DN20" s="12">
        <v>4.3552999913702424</v>
      </c>
      <c r="DO20" s="12">
        <v>4.6133009913702425</v>
      </c>
      <c r="DP20" s="12">
        <v>4.6231315227611303</v>
      </c>
      <c r="DQ20" s="12">
        <v>4.5845925227611302</v>
      </c>
      <c r="DR20" s="12">
        <v>4.5290347227611303</v>
      </c>
      <c r="DS20" s="12">
        <v>4.3229536251827758</v>
      </c>
      <c r="DT20" s="12">
        <v>4.3277824251827761</v>
      </c>
      <c r="DU20" s="12">
        <v>4.1514066251827764</v>
      </c>
      <c r="DV20" s="12">
        <v>4.1212164251827765</v>
      </c>
      <c r="DW20" s="12">
        <v>4.1902766291408158</v>
      </c>
      <c r="DX20" s="12">
        <v>4.3362608291408158</v>
      </c>
      <c r="DY20" s="12">
        <v>4.457851429140816</v>
      </c>
      <c r="DZ20" s="12">
        <v>4.5423260074505079</v>
      </c>
      <c r="EA20" s="12">
        <v>4.8360172074505074</v>
      </c>
      <c r="EB20" s="12">
        <v>4.7297028074505079</v>
      </c>
      <c r="EC20" s="12">
        <v>4.7637523888644493</v>
      </c>
      <c r="ED20" s="12">
        <v>4.9406712499314596</v>
      </c>
      <c r="EE20" s="12">
        <v>4.9383040190040779</v>
      </c>
      <c r="EF20" s="12">
        <v>4.918022602388171</v>
      </c>
    </row>
    <row r="21" spans="1:136">
      <c r="A21" s="2"/>
      <c r="B21" s="2" t="s">
        <v>198</v>
      </c>
      <c r="C21" s="12">
        <v>0.19764916434148611</v>
      </c>
      <c r="D21" s="12">
        <v>0.19801687373664528</v>
      </c>
      <c r="E21" s="12">
        <v>0.18432537373664529</v>
      </c>
      <c r="F21" s="12">
        <v>0.23542285758305351</v>
      </c>
      <c r="G21" s="12">
        <v>0.24271899561090496</v>
      </c>
      <c r="H21" s="12">
        <v>0.40488299561090496</v>
      </c>
      <c r="I21" s="12">
        <v>0.25762738748343195</v>
      </c>
      <c r="J21" s="12">
        <v>0.12088588748343196</v>
      </c>
      <c r="K21" s="12">
        <v>0.20985890483745401</v>
      </c>
      <c r="L21" s="12">
        <v>0.10017929738322411</v>
      </c>
      <c r="M21" s="12">
        <v>-9.9705702616775901E-2</v>
      </c>
      <c r="N21" s="12">
        <v>-0.19929311473971748</v>
      </c>
      <c r="O21" s="12">
        <v>-0.33857036473971747</v>
      </c>
      <c r="P21" s="12">
        <v>-0.29314261473971748</v>
      </c>
      <c r="Q21" s="12">
        <v>-1.9056864739717461E-2</v>
      </c>
      <c r="R21" s="12">
        <v>7.6518446366912754E-2</v>
      </c>
      <c r="S21" s="12">
        <v>0.20510873181686973</v>
      </c>
      <c r="T21" s="12">
        <v>7.3988731816869741E-2</v>
      </c>
      <c r="U21" s="12">
        <v>0.16026714942862774</v>
      </c>
      <c r="V21" s="12">
        <v>2.8516899428627729E-2</v>
      </c>
      <c r="W21" s="12">
        <v>0.18630537904409034</v>
      </c>
      <c r="X21" s="12">
        <v>0.38364255762773702</v>
      </c>
      <c r="Y21" s="12">
        <v>0.37349505762773705</v>
      </c>
      <c r="Z21" s="12">
        <v>0.41295405762773707</v>
      </c>
      <c r="AA21" s="12">
        <v>0.44098955762773706</v>
      </c>
      <c r="AB21" s="12">
        <v>0.37570255762773708</v>
      </c>
      <c r="AC21" s="12">
        <v>0.21616130762773708</v>
      </c>
      <c r="AD21" s="12">
        <v>0.34498580762773712</v>
      </c>
      <c r="AE21" s="12">
        <v>0.3552965576277371</v>
      </c>
      <c r="AF21" s="12">
        <v>0.32173105762773713</v>
      </c>
      <c r="AG21" s="12">
        <v>0.31116305762773711</v>
      </c>
      <c r="AH21" s="12">
        <v>0.2035816950629388</v>
      </c>
      <c r="AI21" s="12">
        <v>0.3057059450629388</v>
      </c>
      <c r="AJ21" s="12">
        <v>0.23530060311647011</v>
      </c>
      <c r="AK21" s="12">
        <v>0.19949743549836005</v>
      </c>
      <c r="AL21" s="12">
        <v>0.26487725823147068</v>
      </c>
      <c r="AM21" s="12">
        <v>0.30158800823147069</v>
      </c>
      <c r="AN21" s="12">
        <v>0.28289175823147067</v>
      </c>
      <c r="AO21" s="12">
        <v>0.33061815387519733</v>
      </c>
      <c r="AP21" s="12">
        <v>0.34956190387519731</v>
      </c>
      <c r="AQ21" s="12">
        <v>0.2163379038751973</v>
      </c>
      <c r="AR21" s="12">
        <v>0.16834965387519729</v>
      </c>
      <c r="AS21" s="12">
        <v>0.1853976538751973</v>
      </c>
      <c r="AT21" s="12">
        <v>0.1219521538751973</v>
      </c>
      <c r="AU21" s="12">
        <v>0.46843340387519733</v>
      </c>
      <c r="AV21" s="12">
        <v>0.51933265387519734</v>
      </c>
      <c r="AW21" s="12">
        <v>0.69228015387519737</v>
      </c>
      <c r="AX21" s="12">
        <v>0.75828865387519739</v>
      </c>
      <c r="AY21" s="12">
        <v>0.63941215387519734</v>
      </c>
      <c r="AZ21" s="12">
        <v>0.74791515387519736</v>
      </c>
      <c r="BA21" s="12">
        <v>0.88750765387519737</v>
      </c>
      <c r="BB21" s="12">
        <v>1.1820209038751974</v>
      </c>
      <c r="BC21" s="12">
        <v>1.1019739038751974</v>
      </c>
      <c r="BD21" s="12">
        <v>1.1401964038751975</v>
      </c>
      <c r="BE21" s="12">
        <v>1.1465469372725989</v>
      </c>
      <c r="BF21" s="12">
        <v>1.1501240374530337</v>
      </c>
      <c r="BG21" s="12">
        <v>1.0715992874530338</v>
      </c>
      <c r="BH21" s="12">
        <v>1.0036817874530337</v>
      </c>
      <c r="BI21" s="12">
        <v>1.0499587874530336</v>
      </c>
      <c r="BJ21" s="12">
        <v>1.0723550374530335</v>
      </c>
      <c r="BK21" s="12">
        <v>1.1450787874530335</v>
      </c>
      <c r="BL21" s="12">
        <v>1.2877998800993833</v>
      </c>
      <c r="BM21" s="12">
        <v>1.4429198840204831</v>
      </c>
      <c r="BN21" s="12">
        <v>1.4171316340204831</v>
      </c>
      <c r="BO21" s="12">
        <v>1.3532743976068029</v>
      </c>
      <c r="BP21" s="12">
        <v>1.4577835270262172</v>
      </c>
      <c r="BQ21" s="12">
        <v>1.4144827770262172</v>
      </c>
      <c r="BR21" s="12">
        <v>1.4257710270262172</v>
      </c>
      <c r="BS21" s="12">
        <v>1.4316311997813933</v>
      </c>
      <c r="BT21" s="12">
        <v>1.5638758937558361</v>
      </c>
      <c r="BU21" s="12">
        <v>1.3931378937558361</v>
      </c>
      <c r="BV21" s="12">
        <v>1.412378143755836</v>
      </c>
      <c r="BW21" s="12">
        <v>1.8145083937558359</v>
      </c>
      <c r="BX21" s="12">
        <v>1.737345143755836</v>
      </c>
      <c r="BY21" s="12">
        <v>1.722425393755836</v>
      </c>
      <c r="BZ21" s="12">
        <v>1.973827893755836</v>
      </c>
      <c r="CA21" s="12">
        <v>2.0688878937558361</v>
      </c>
      <c r="CB21" s="12">
        <v>2.2767581437558362</v>
      </c>
      <c r="CC21" s="12">
        <v>2.2687386437558361</v>
      </c>
      <c r="CD21" s="12">
        <v>2.3531608937558359</v>
      </c>
      <c r="CE21" s="12">
        <v>2.7482368362208813</v>
      </c>
      <c r="CF21" s="12">
        <v>2.6169711594198088</v>
      </c>
      <c r="CG21" s="12">
        <v>2.9371389094198088</v>
      </c>
      <c r="CH21" s="12">
        <v>2.8658004094198088</v>
      </c>
      <c r="CI21" s="12">
        <v>2.7425081594198089</v>
      </c>
      <c r="CJ21" s="12">
        <v>2.730552409419809</v>
      </c>
      <c r="CK21" s="12">
        <v>2.7391166594198091</v>
      </c>
      <c r="CL21" s="12">
        <v>2.8730070840427739</v>
      </c>
      <c r="CM21" s="12">
        <v>2.6475040956394027</v>
      </c>
      <c r="CN21" s="12">
        <v>2.6362238456394027</v>
      </c>
      <c r="CO21" s="12">
        <v>3.1510890942369953</v>
      </c>
      <c r="CP21" s="12">
        <v>3.0548363442369952</v>
      </c>
      <c r="CQ21" s="12">
        <v>2.9954355942369952</v>
      </c>
      <c r="CR21" s="12">
        <v>2.9046113162573155</v>
      </c>
      <c r="CS21" s="12">
        <v>2.8349649201105436</v>
      </c>
      <c r="CT21" s="12">
        <v>2.8829596701105435</v>
      </c>
      <c r="CU21" s="12">
        <v>2.945633230280035</v>
      </c>
      <c r="CV21" s="12">
        <v>2.847407598258648</v>
      </c>
      <c r="CW21" s="12">
        <v>2.7824021809776593</v>
      </c>
      <c r="CX21" s="12">
        <v>2.6802800053202525</v>
      </c>
      <c r="CY21" s="12">
        <v>2.7827852553202526</v>
      </c>
      <c r="CZ21" s="12">
        <v>2.9730820053202525</v>
      </c>
      <c r="DA21" s="12">
        <v>2.9718897488635205</v>
      </c>
      <c r="DB21" s="12">
        <v>3.0433492488635205</v>
      </c>
      <c r="DC21" s="12">
        <v>3.0916592488635204</v>
      </c>
      <c r="DD21" s="12">
        <v>3.0246322488635204</v>
      </c>
      <c r="DE21" s="12">
        <v>2.9699132488635205</v>
      </c>
      <c r="DF21" s="12">
        <v>3.2710649988635203</v>
      </c>
      <c r="DG21" s="12">
        <v>3.2116542488635202</v>
      </c>
      <c r="DH21" s="12">
        <v>3.2930912488635204</v>
      </c>
      <c r="DI21" s="12">
        <v>3.4729312488635204</v>
      </c>
      <c r="DJ21" s="12">
        <v>3.5462344988635204</v>
      </c>
      <c r="DK21" s="12">
        <v>3.4553412488635202</v>
      </c>
      <c r="DL21" s="12">
        <v>3.4875489988635202</v>
      </c>
      <c r="DM21" s="12">
        <v>3.51253724886352</v>
      </c>
      <c r="DN21" s="12">
        <v>3.5837348613575131</v>
      </c>
      <c r="DO21" s="12">
        <v>3.9153611113575133</v>
      </c>
      <c r="DP21" s="12">
        <v>3.9396272664510792</v>
      </c>
      <c r="DQ21" s="12">
        <v>3.9114120164510791</v>
      </c>
      <c r="DR21" s="12">
        <v>3.8578552664510792</v>
      </c>
      <c r="DS21" s="12">
        <v>3.6570157926137838</v>
      </c>
      <c r="DT21" s="12">
        <v>3.6473062926137838</v>
      </c>
      <c r="DU21" s="12">
        <v>3.4986915426137837</v>
      </c>
      <c r="DV21" s="12">
        <v>3.4490305426137837</v>
      </c>
      <c r="DW21" s="12">
        <v>3.5772784112779048</v>
      </c>
      <c r="DX21" s="12">
        <v>3.6917931612779049</v>
      </c>
      <c r="DY21" s="12">
        <v>3.8585231612779047</v>
      </c>
      <c r="DZ21" s="12">
        <v>3.9113672278381935</v>
      </c>
      <c r="EA21" s="12">
        <v>4.1774249778381938</v>
      </c>
      <c r="EB21" s="12">
        <v>4.0741269778381941</v>
      </c>
      <c r="EC21" s="12">
        <v>4.0881640329362359</v>
      </c>
      <c r="ED21" s="12">
        <v>4.1426628892844164</v>
      </c>
      <c r="EE21" s="12">
        <v>4.1282340371759982</v>
      </c>
      <c r="EF21" s="12">
        <v>4.1470053012181172</v>
      </c>
    </row>
    <row r="22" spans="1:136">
      <c r="A22" s="2"/>
      <c r="B22" s="2" t="s">
        <v>199</v>
      </c>
      <c r="C22" s="12">
        <v>-6.4235717628454689E-2</v>
      </c>
      <c r="D22" s="12">
        <v>-1.9554820724968169E-2</v>
      </c>
      <c r="E22" s="12">
        <v>-3.6911487391634842E-2</v>
      </c>
      <c r="F22" s="12">
        <v>6.0522508187351609E-2</v>
      </c>
      <c r="G22" s="12">
        <v>9.3477332437150229E-2</v>
      </c>
      <c r="H22" s="12">
        <v>0.21765533243715024</v>
      </c>
      <c r="I22" s="12">
        <v>9.4162163099080445E-2</v>
      </c>
      <c r="J22" s="12">
        <v>-1.0089836900919552E-2</v>
      </c>
      <c r="K22" s="12">
        <v>0.14319693375358974</v>
      </c>
      <c r="L22" s="12">
        <v>-2.7986425672311466E-2</v>
      </c>
      <c r="M22" s="12">
        <v>-0.21264975900564476</v>
      </c>
      <c r="N22" s="12">
        <v>-0.34593017802889126</v>
      </c>
      <c r="O22" s="12">
        <v>-0.41237251136222458</v>
      </c>
      <c r="P22" s="12">
        <v>-0.32174217802889127</v>
      </c>
      <c r="Q22" s="12">
        <v>-0.19446751136222468</v>
      </c>
      <c r="R22" s="12">
        <v>-0.15783907709063663</v>
      </c>
      <c r="S22" s="12">
        <v>1.1807478467303956E-2</v>
      </c>
      <c r="T22" s="12">
        <v>-9.3040521532696041E-2</v>
      </c>
      <c r="U22" s="12">
        <v>1.7549501869808165E-2</v>
      </c>
      <c r="V22" s="12">
        <v>-0.15807416479685854</v>
      </c>
      <c r="W22" s="12">
        <v>4.9406102227438853E-2</v>
      </c>
      <c r="X22" s="12">
        <v>0.26430614995700386</v>
      </c>
      <c r="Y22" s="12">
        <v>0.19444881662367053</v>
      </c>
      <c r="Z22" s="12">
        <v>0.21831681662367053</v>
      </c>
      <c r="AA22" s="12">
        <v>0.33643948329033724</v>
      </c>
      <c r="AB22" s="12">
        <v>0.29816614995700391</v>
      </c>
      <c r="AC22" s="12">
        <v>0.12095481662367061</v>
      </c>
      <c r="AD22" s="12">
        <v>0.13452614995700393</v>
      </c>
      <c r="AE22" s="12">
        <v>4.937714995700393E-2</v>
      </c>
      <c r="AF22" s="12">
        <v>-3.7026183376329402E-2</v>
      </c>
      <c r="AG22" s="12">
        <v>-8.2996516709662738E-2</v>
      </c>
      <c r="AH22" s="12">
        <v>-0.18886247613013543</v>
      </c>
      <c r="AI22" s="12">
        <v>-7.7857809463468736E-2</v>
      </c>
      <c r="AJ22" s="12">
        <v>-0.109557658789877</v>
      </c>
      <c r="AK22" s="12">
        <v>-8.2690980494812966E-3</v>
      </c>
      <c r="AL22" s="12">
        <v>3.207186875741911E-2</v>
      </c>
      <c r="AM22" s="12">
        <v>7.3545202090752437E-2</v>
      </c>
      <c r="AN22" s="12">
        <v>3.828020209075244E-2</v>
      </c>
      <c r="AO22" s="12">
        <v>0.11299757548445805</v>
      </c>
      <c r="AP22" s="12">
        <v>0.13349090881779138</v>
      </c>
      <c r="AQ22" s="12">
        <v>2.336157548445808E-2</v>
      </c>
      <c r="AR22" s="12">
        <v>-4.4563091182208581E-2</v>
      </c>
      <c r="AS22" s="12">
        <v>0.12002757548445811</v>
      </c>
      <c r="AT22" s="12">
        <v>0.12109957548445811</v>
      </c>
      <c r="AU22" s="12">
        <v>0.55045457548445809</v>
      </c>
      <c r="AV22" s="12">
        <v>0.61010224215112474</v>
      </c>
      <c r="AW22" s="12">
        <v>0.8423132421511248</v>
      </c>
      <c r="AX22" s="12">
        <v>0.73455557548445816</v>
      </c>
      <c r="AY22" s="12">
        <v>0.57083090881779142</v>
      </c>
      <c r="AZ22" s="12">
        <v>0.72601957548445806</v>
      </c>
      <c r="BA22" s="12">
        <v>0.77579424215112469</v>
      </c>
      <c r="BB22" s="12">
        <v>1.1453455754844579</v>
      </c>
      <c r="BC22" s="12">
        <v>1.0580129088177912</v>
      </c>
      <c r="BD22" s="12">
        <v>1.1372769088177912</v>
      </c>
      <c r="BE22" s="12">
        <v>1.1594930922122717</v>
      </c>
      <c r="BF22" s="12">
        <v>1.1731319095505914</v>
      </c>
      <c r="BG22" s="12">
        <v>1.0769522428839249</v>
      </c>
      <c r="BH22" s="12">
        <v>1.0689555762172582</v>
      </c>
      <c r="BI22" s="12">
        <v>1.1513049095505916</v>
      </c>
      <c r="BJ22" s="12">
        <v>1.1921982428839248</v>
      </c>
      <c r="BK22" s="12">
        <v>1.2405139095505915</v>
      </c>
      <c r="BL22" s="12">
        <v>1.4022942486216268</v>
      </c>
      <c r="BM22" s="12">
        <v>1.5940912880776739</v>
      </c>
      <c r="BN22" s="12">
        <v>1.5111569547443406</v>
      </c>
      <c r="BO22" s="12">
        <v>1.4606725256315902</v>
      </c>
      <c r="BP22" s="12">
        <v>1.5355080757866966</v>
      </c>
      <c r="BQ22" s="12">
        <v>1.4533624091200299</v>
      </c>
      <c r="BR22" s="12">
        <v>1.4730057424533631</v>
      </c>
      <c r="BS22" s="12">
        <v>1.456632960076564</v>
      </c>
      <c r="BT22" s="12">
        <v>1.5871636634131101</v>
      </c>
      <c r="BU22" s="12">
        <v>1.48281266341311</v>
      </c>
      <c r="BV22" s="12">
        <v>1.4834933300797768</v>
      </c>
      <c r="BW22" s="12">
        <v>1.91120866341311</v>
      </c>
      <c r="BX22" s="12">
        <v>1.7981819967464434</v>
      </c>
      <c r="BY22" s="12">
        <v>1.8305323300797767</v>
      </c>
      <c r="BZ22" s="12">
        <v>2.1101623300797767</v>
      </c>
      <c r="CA22" s="12">
        <v>2.2542426634131099</v>
      </c>
      <c r="CB22" s="12">
        <v>2.5089826634131098</v>
      </c>
      <c r="CC22" s="12">
        <v>2.3838776634131098</v>
      </c>
      <c r="CD22" s="12">
        <v>2.479395996746443</v>
      </c>
      <c r="CE22" s="12">
        <v>2.8727833358507211</v>
      </c>
      <c r="CF22" s="12">
        <v>2.6839835500904439</v>
      </c>
      <c r="CG22" s="12">
        <v>3.1277842167571106</v>
      </c>
      <c r="CH22" s="12">
        <v>3.1010222167571104</v>
      </c>
      <c r="CI22" s="12">
        <v>2.8705742167571104</v>
      </c>
      <c r="CJ22" s="12">
        <v>2.8543322167571104</v>
      </c>
      <c r="CK22" s="12">
        <v>2.8271815500904438</v>
      </c>
      <c r="CL22" s="12">
        <v>3.0678333487154847</v>
      </c>
      <c r="CM22" s="12">
        <v>2.7474013450576593</v>
      </c>
      <c r="CN22" s="12">
        <v>2.7692526783909925</v>
      </c>
      <c r="CO22" s="12">
        <v>3.4192091466401484</v>
      </c>
      <c r="CP22" s="12">
        <v>3.3378874799734817</v>
      </c>
      <c r="CQ22" s="12">
        <v>3.2634241466401486</v>
      </c>
      <c r="CR22" s="12">
        <v>3.1015737253387567</v>
      </c>
      <c r="CS22" s="12">
        <v>3.1167759088601796</v>
      </c>
      <c r="CT22" s="12">
        <v>3.1550405755268462</v>
      </c>
      <c r="CU22" s="12">
        <v>3.2752722874909441</v>
      </c>
      <c r="CV22" s="12">
        <v>3.1630385922838897</v>
      </c>
      <c r="CW22" s="12">
        <v>3.1265873389577243</v>
      </c>
      <c r="CX22" s="12">
        <v>3.1228377456898753</v>
      </c>
      <c r="CY22" s="12">
        <v>3.2273487456898753</v>
      </c>
      <c r="CZ22" s="12">
        <v>3.4340457456898754</v>
      </c>
      <c r="DA22" s="12">
        <v>3.4380374995717995</v>
      </c>
      <c r="DB22" s="12">
        <v>3.4920781662384663</v>
      </c>
      <c r="DC22" s="12">
        <v>3.5644214995717998</v>
      </c>
      <c r="DD22" s="12">
        <v>3.5484581662384667</v>
      </c>
      <c r="DE22" s="12">
        <v>3.4151024995718</v>
      </c>
      <c r="DF22" s="12">
        <v>3.8047704995717999</v>
      </c>
      <c r="DG22" s="12">
        <v>3.7328794995718</v>
      </c>
      <c r="DH22" s="12">
        <v>3.8143348329051334</v>
      </c>
      <c r="DI22" s="12">
        <v>3.8744571662384666</v>
      </c>
      <c r="DJ22" s="12">
        <v>3.9172348329051334</v>
      </c>
      <c r="DK22" s="12">
        <v>3.8258071662384667</v>
      </c>
      <c r="DL22" s="12">
        <v>3.8474874995718</v>
      </c>
      <c r="DM22" s="12">
        <v>3.8793718329051332</v>
      </c>
      <c r="DN22" s="12">
        <v>3.9261351611091406</v>
      </c>
      <c r="DO22" s="12">
        <v>4.0018504944424738</v>
      </c>
      <c r="DP22" s="12">
        <v>4.0120777522953777</v>
      </c>
      <c r="DQ22" s="12">
        <v>3.9602284189620445</v>
      </c>
      <c r="DR22" s="12">
        <v>3.8889924189620446</v>
      </c>
      <c r="DS22" s="12">
        <v>3.6919414973996854</v>
      </c>
      <c r="DT22" s="12">
        <v>3.648259164066352</v>
      </c>
      <c r="DU22" s="12">
        <v>3.4867134973996854</v>
      </c>
      <c r="DV22" s="12">
        <v>3.5400854973996854</v>
      </c>
      <c r="DW22" s="12">
        <v>3.6184752211066824</v>
      </c>
      <c r="DX22" s="12">
        <v>3.7957382211066824</v>
      </c>
      <c r="DY22" s="12">
        <v>3.9156945544400155</v>
      </c>
      <c r="DZ22" s="12">
        <v>4.0194425353855729</v>
      </c>
      <c r="EA22" s="12">
        <v>4.159798868718906</v>
      </c>
      <c r="EB22" s="12">
        <v>4.0168685353855729</v>
      </c>
      <c r="EC22" s="12">
        <v>4.0383636369612113</v>
      </c>
      <c r="ED22" s="12">
        <v>4.1157772040188183</v>
      </c>
      <c r="EE22" s="12">
        <v>4.0823309002066051</v>
      </c>
      <c r="EF22" s="12">
        <v>4.1171211465787776</v>
      </c>
    </row>
    <row r="23" spans="1:136">
      <c r="A23" s="2"/>
      <c r="B23" s="2" t="s">
        <v>200</v>
      </c>
      <c r="C23" s="12">
        <v>3.4987009286289193E-2</v>
      </c>
      <c r="D23" s="12">
        <v>6.4797676971711279E-2</v>
      </c>
      <c r="E23" s="12">
        <v>0.19780267697171128</v>
      </c>
      <c r="F23" s="12">
        <v>0.33946758602361299</v>
      </c>
      <c r="G23" s="12">
        <v>0.39169175987011134</v>
      </c>
      <c r="H23" s="12">
        <v>0.37350325987011135</v>
      </c>
      <c r="I23" s="12">
        <v>0.22535123126981735</v>
      </c>
      <c r="J23" s="12">
        <v>0.11047573126981734</v>
      </c>
      <c r="K23" s="12">
        <v>0.31496520774205095</v>
      </c>
      <c r="L23" s="12">
        <v>0.26092167796645233</v>
      </c>
      <c r="M23" s="12">
        <v>0.11363217796645234</v>
      </c>
      <c r="N23" s="12">
        <v>-4.2787059669560451E-2</v>
      </c>
      <c r="O23" s="12">
        <v>-0.16568705966956043</v>
      </c>
      <c r="P23" s="12">
        <v>-0.11100555966956044</v>
      </c>
      <c r="Q23" s="12">
        <v>0.18017194033043954</v>
      </c>
      <c r="R23" s="12">
        <v>0.23638308364369459</v>
      </c>
      <c r="S23" s="12">
        <v>0.35010761647095667</v>
      </c>
      <c r="T23" s="12">
        <v>0.26543061647095667</v>
      </c>
      <c r="U23" s="12">
        <v>0.35918803891175105</v>
      </c>
      <c r="V23" s="12">
        <v>0.12671253891175105</v>
      </c>
      <c r="W23" s="12">
        <v>0.45833168916089556</v>
      </c>
      <c r="X23" s="12">
        <v>0.72241738412419287</v>
      </c>
      <c r="Y23" s="12">
        <v>0.65446288412419285</v>
      </c>
      <c r="Z23" s="12">
        <v>0.69551488412419282</v>
      </c>
      <c r="AA23" s="12">
        <v>0.84716688412419283</v>
      </c>
      <c r="AB23" s="12">
        <v>0.79941888412419282</v>
      </c>
      <c r="AC23" s="12">
        <v>0.56541038412419287</v>
      </c>
      <c r="AD23" s="12">
        <v>0.63703738412419286</v>
      </c>
      <c r="AE23" s="12">
        <v>0.41532038412419287</v>
      </c>
      <c r="AF23" s="12">
        <v>0.39002088412419289</v>
      </c>
      <c r="AG23" s="12">
        <v>0.3879653841241929</v>
      </c>
      <c r="AH23" s="12">
        <v>0.30379379960100966</v>
      </c>
      <c r="AI23" s="12">
        <v>0.51294579960100961</v>
      </c>
      <c r="AJ23" s="12">
        <v>0.51858893744916379</v>
      </c>
      <c r="AK23" s="12">
        <v>0.63270003679635478</v>
      </c>
      <c r="AL23" s="12">
        <v>0.76413174998889044</v>
      </c>
      <c r="AM23" s="12">
        <v>0.85082674998889041</v>
      </c>
      <c r="AN23" s="12">
        <v>0.72319574998889036</v>
      </c>
      <c r="AO23" s="12">
        <v>0.71785879779746631</v>
      </c>
      <c r="AP23" s="12">
        <v>0.55259229779746633</v>
      </c>
      <c r="AQ23" s="12">
        <v>0.45321329779746633</v>
      </c>
      <c r="AR23" s="12">
        <v>0.30707729779746634</v>
      </c>
      <c r="AS23" s="12">
        <v>0.33924629779746635</v>
      </c>
      <c r="AT23" s="12">
        <v>0.35619729779746634</v>
      </c>
      <c r="AU23" s="12">
        <v>0.96452929779746632</v>
      </c>
      <c r="AV23" s="12">
        <v>0.86777329779746637</v>
      </c>
      <c r="AW23" s="12">
        <v>1.1942037977974664</v>
      </c>
      <c r="AX23" s="12">
        <v>1.2593427977974665</v>
      </c>
      <c r="AY23" s="12">
        <v>1.0961962977974664</v>
      </c>
      <c r="AZ23" s="12">
        <v>1.1742672977974664</v>
      </c>
      <c r="BA23" s="12">
        <v>1.2282652977974664</v>
      </c>
      <c r="BB23" s="12">
        <v>1.7950927977974662</v>
      </c>
      <c r="BC23" s="12">
        <v>1.6220937977974663</v>
      </c>
      <c r="BD23" s="12">
        <v>1.7480732977974662</v>
      </c>
      <c r="BE23" s="12">
        <v>1.6766425354001697</v>
      </c>
      <c r="BF23" s="12">
        <v>1.6537955447954835</v>
      </c>
      <c r="BG23" s="12">
        <v>1.6088860447954836</v>
      </c>
      <c r="BH23" s="12">
        <v>1.6624810447954836</v>
      </c>
      <c r="BI23" s="12">
        <v>1.7836900447954835</v>
      </c>
      <c r="BJ23" s="12">
        <v>1.8411850447954836</v>
      </c>
      <c r="BK23" s="12">
        <v>1.8890370447954836</v>
      </c>
      <c r="BL23" s="12">
        <v>2.0385713410457234</v>
      </c>
      <c r="BM23" s="12">
        <v>2.2277520278328771</v>
      </c>
      <c r="BN23" s="12">
        <v>2.189302027832877</v>
      </c>
      <c r="BO23" s="12">
        <v>2.2258269695788759</v>
      </c>
      <c r="BP23" s="12">
        <v>2.3240933687903325</v>
      </c>
      <c r="BQ23" s="12">
        <v>2.2018748687903327</v>
      </c>
      <c r="BR23" s="12">
        <v>2.2102298687903326</v>
      </c>
      <c r="BS23" s="12">
        <v>2.1369544801324207</v>
      </c>
      <c r="BT23" s="12">
        <v>2.2806042861584177</v>
      </c>
      <c r="BU23" s="12">
        <v>2.1749177861584177</v>
      </c>
      <c r="BV23" s="12">
        <v>2.1578972861584176</v>
      </c>
      <c r="BW23" s="12">
        <v>2.7588952861584177</v>
      </c>
      <c r="BX23" s="12">
        <v>2.6901652861584178</v>
      </c>
      <c r="BY23" s="12">
        <v>2.7301012861584177</v>
      </c>
      <c r="BZ23" s="12">
        <v>3.0825002861584179</v>
      </c>
      <c r="CA23" s="12">
        <v>3.2888757861584179</v>
      </c>
      <c r="CB23" s="12">
        <v>3.6050432861584181</v>
      </c>
      <c r="CC23" s="12">
        <v>3.5204982861584182</v>
      </c>
      <c r="CD23" s="12">
        <v>3.6617407861584184</v>
      </c>
      <c r="CE23" s="12">
        <v>3.7783653929548797</v>
      </c>
      <c r="CF23" s="12">
        <v>3.6212304831637145</v>
      </c>
      <c r="CG23" s="12">
        <v>3.9141339831637145</v>
      </c>
      <c r="CH23" s="12">
        <v>3.9360844831637145</v>
      </c>
      <c r="CI23" s="12">
        <v>3.8769619831637145</v>
      </c>
      <c r="CJ23" s="12">
        <v>3.9152174831637145</v>
      </c>
      <c r="CK23" s="12">
        <v>3.8586259831637144</v>
      </c>
      <c r="CL23" s="12">
        <v>4.2672869958311326</v>
      </c>
      <c r="CM23" s="12">
        <v>3.8805540493082233</v>
      </c>
      <c r="CN23" s="12">
        <v>3.9305260493082232</v>
      </c>
      <c r="CO23" s="12">
        <v>4.8394493366738427</v>
      </c>
      <c r="CP23" s="12">
        <v>4.7197318366738426</v>
      </c>
      <c r="CQ23" s="12">
        <v>4.6524218366738426</v>
      </c>
      <c r="CR23" s="12">
        <v>4.6408240328527643</v>
      </c>
      <c r="CS23" s="12">
        <v>4.6777982518440426</v>
      </c>
      <c r="CT23" s="12">
        <v>4.7431897518440422</v>
      </c>
      <c r="CU23" s="12">
        <v>4.7642463475573296</v>
      </c>
      <c r="CV23" s="12">
        <v>4.7864914850461355</v>
      </c>
      <c r="CW23" s="12">
        <v>4.6855901532437167</v>
      </c>
      <c r="CX23" s="12">
        <v>4.7743071473402434</v>
      </c>
      <c r="CY23" s="12">
        <v>4.9280576473402435</v>
      </c>
      <c r="CZ23" s="12">
        <v>5.0940631473402433</v>
      </c>
      <c r="DA23" s="12">
        <v>5.1250452835661537</v>
      </c>
      <c r="DB23" s="12">
        <v>5.1437932835661542</v>
      </c>
      <c r="DC23" s="12">
        <v>5.2162082835661545</v>
      </c>
      <c r="DD23" s="12">
        <v>5.1977982835661543</v>
      </c>
      <c r="DE23" s="12">
        <v>5.0563537835661538</v>
      </c>
      <c r="DF23" s="12">
        <v>5.4651512835661542</v>
      </c>
      <c r="DG23" s="12">
        <v>5.3975287835661545</v>
      </c>
      <c r="DH23" s="12">
        <v>5.5367567835661546</v>
      </c>
      <c r="DI23" s="12">
        <v>5.6327977835661542</v>
      </c>
      <c r="DJ23" s="12">
        <v>5.5989747835661543</v>
      </c>
      <c r="DK23" s="12">
        <v>5.5077312835661543</v>
      </c>
      <c r="DL23" s="12">
        <v>5.4511252835661539</v>
      </c>
      <c r="DM23" s="12">
        <v>5.4976022835661542</v>
      </c>
      <c r="DN23" s="12">
        <v>5.5040994796101241</v>
      </c>
      <c r="DO23" s="12">
        <v>5.6281674796101244</v>
      </c>
      <c r="DP23" s="12">
        <v>5.6752557122658471</v>
      </c>
      <c r="DQ23" s="12">
        <v>5.5541252122658475</v>
      </c>
      <c r="DR23" s="12">
        <v>5.4516997122658477</v>
      </c>
      <c r="DS23" s="12">
        <v>5.1636031353468015</v>
      </c>
      <c r="DT23" s="12">
        <v>5.1093526353468013</v>
      </c>
      <c r="DU23" s="12">
        <v>5.0537146353468012</v>
      </c>
      <c r="DV23" s="12">
        <v>5.0618476353468012</v>
      </c>
      <c r="DW23" s="12">
        <v>5.2030758679296394</v>
      </c>
      <c r="DX23" s="12">
        <v>5.5225243679296394</v>
      </c>
      <c r="DY23" s="12">
        <v>5.4685993679296399</v>
      </c>
      <c r="DZ23" s="12">
        <v>5.5714723865561524</v>
      </c>
      <c r="EA23" s="12">
        <v>5.5427153865561527</v>
      </c>
      <c r="EB23" s="12">
        <v>5.4044868865561524</v>
      </c>
      <c r="EC23" s="12">
        <v>5.3679025702303393</v>
      </c>
      <c r="ED23" s="12">
        <v>5.4593284748501203</v>
      </c>
      <c r="EE23" s="12">
        <v>5.40027779096188</v>
      </c>
      <c r="EF23" s="12">
        <v>5.4480600695535397</v>
      </c>
    </row>
    <row r="24" spans="1:136">
      <c r="A24" s="2"/>
      <c r="B24" s="2" t="s">
        <v>201</v>
      </c>
      <c r="C24" s="12">
        <v>-0.162993136931085</v>
      </c>
      <c r="D24" s="12">
        <v>-5.89441269586721E-2</v>
      </c>
      <c r="E24" s="12">
        <v>0.22556787304132789</v>
      </c>
      <c r="F24" s="12">
        <v>0.45272741967807673</v>
      </c>
      <c r="G24" s="12">
        <v>0.22696739662050433</v>
      </c>
      <c r="H24" s="12">
        <v>0.26282339662050436</v>
      </c>
      <c r="I24" s="12">
        <v>0.26493532982364787</v>
      </c>
      <c r="J24" s="12">
        <v>0.14947432982364789</v>
      </c>
      <c r="K24" s="12">
        <v>0.170989608178608</v>
      </c>
      <c r="L24" s="12">
        <v>7.5366357669925887E-2</v>
      </c>
      <c r="M24" s="12">
        <v>-0.14241964233007412</v>
      </c>
      <c r="N24" s="12">
        <v>-0.2865500947305073</v>
      </c>
      <c r="O24" s="12">
        <v>-0.53083009473050735</v>
      </c>
      <c r="P24" s="12">
        <v>-0.52909409473050739</v>
      </c>
      <c r="Q24" s="12">
        <v>-0.53193409473050735</v>
      </c>
      <c r="R24" s="12">
        <v>-0.28623672395124766</v>
      </c>
      <c r="S24" s="12">
        <v>6.6277737108916712E-2</v>
      </c>
      <c r="T24" s="12">
        <v>-0.22154226289108331</v>
      </c>
      <c r="U24" s="12">
        <v>-7.3023588667165296E-2</v>
      </c>
      <c r="V24" s="12">
        <v>-0.17170358866716529</v>
      </c>
      <c r="W24" s="12">
        <v>0.32400839728877734</v>
      </c>
      <c r="X24" s="12">
        <v>0.44203082979478125</v>
      </c>
      <c r="Y24" s="12">
        <v>0.32171182979478125</v>
      </c>
      <c r="Z24" s="12">
        <v>0.29731682979478125</v>
      </c>
      <c r="AA24" s="12">
        <v>0.39167882979478125</v>
      </c>
      <c r="AB24" s="12">
        <v>0.20742982979478125</v>
      </c>
      <c r="AC24" s="12">
        <v>-3.8740170205218749E-2</v>
      </c>
      <c r="AD24" s="12">
        <v>6.2433829794781251E-2</v>
      </c>
      <c r="AE24" s="12">
        <v>-0.11283717020521876</v>
      </c>
      <c r="AF24" s="12">
        <v>-0.27853917020521873</v>
      </c>
      <c r="AG24" s="12">
        <v>-0.17263817020521874</v>
      </c>
      <c r="AH24" s="12">
        <v>-0.22933553027300832</v>
      </c>
      <c r="AI24" s="12">
        <v>8.1078469726991703E-2</v>
      </c>
      <c r="AJ24" s="12">
        <v>1.8722572761631362E-4</v>
      </c>
      <c r="AK24" s="12">
        <v>8.5071178795808611E-2</v>
      </c>
      <c r="AL24" s="12">
        <v>3.0394243305173228E-2</v>
      </c>
      <c r="AM24" s="12">
        <v>0.10899324330517324</v>
      </c>
      <c r="AN24" s="12">
        <v>-5.3948756694826766E-2</v>
      </c>
      <c r="AO24" s="12">
        <v>1.2141355134163256E-2</v>
      </c>
      <c r="AP24" s="12">
        <v>-0.15234364486583674</v>
      </c>
      <c r="AQ24" s="12">
        <v>-0.36946764486583672</v>
      </c>
      <c r="AR24" s="12">
        <v>-0.54030064486583673</v>
      </c>
      <c r="AS24" s="12">
        <v>-0.30246864486583674</v>
      </c>
      <c r="AT24" s="12">
        <v>-0.29654064486583676</v>
      </c>
      <c r="AU24" s="12">
        <v>0.18051335513416322</v>
      </c>
      <c r="AV24" s="12">
        <v>0.16099135513416321</v>
      </c>
      <c r="AW24" s="12">
        <v>0.28129735513416321</v>
      </c>
      <c r="AX24" s="12">
        <v>0.25573935513416318</v>
      </c>
      <c r="AY24" s="12">
        <v>-0.18773164486583682</v>
      </c>
      <c r="AZ24" s="12">
        <v>-6.9109644865836817E-2</v>
      </c>
      <c r="BA24" s="12">
        <v>-1.8618644865836816E-2</v>
      </c>
      <c r="BB24" s="12">
        <v>0.67215735513416308</v>
      </c>
      <c r="BC24" s="12">
        <v>0.46640735513416309</v>
      </c>
      <c r="BD24" s="12">
        <v>0.48504735513416308</v>
      </c>
      <c r="BE24" s="12">
        <v>0.43898300110247623</v>
      </c>
      <c r="BF24" s="12">
        <v>0.52663433715656849</v>
      </c>
      <c r="BG24" s="12">
        <v>0.35001033715656849</v>
      </c>
      <c r="BH24" s="12">
        <v>0.35958033715656851</v>
      </c>
      <c r="BI24" s="12">
        <v>0.52884833715656854</v>
      </c>
      <c r="BJ24" s="12">
        <v>0.72848833715656858</v>
      </c>
      <c r="BK24" s="12">
        <v>0.7633183371565686</v>
      </c>
      <c r="BL24" s="12">
        <v>1.0804826310812852</v>
      </c>
      <c r="BM24" s="12">
        <v>1.0919556501990224</v>
      </c>
      <c r="BN24" s="12">
        <v>0.98304465019902243</v>
      </c>
      <c r="BO24" s="12">
        <v>0.82193495910338055</v>
      </c>
      <c r="BP24" s="12">
        <v>0.94528614023270241</v>
      </c>
      <c r="BQ24" s="12">
        <v>0.65343314023270249</v>
      </c>
      <c r="BR24" s="12">
        <v>0.64373314023270245</v>
      </c>
      <c r="BS24" s="12">
        <v>0.64244842274824554</v>
      </c>
      <c r="BT24" s="12">
        <v>0.75871911880243281</v>
      </c>
      <c r="BU24" s="12">
        <v>0.74997011880243281</v>
      </c>
      <c r="BV24" s="12">
        <v>0.54666311880243279</v>
      </c>
      <c r="BW24" s="12">
        <v>1.6556781188024328</v>
      </c>
      <c r="BX24" s="12">
        <v>1.5517281188024328</v>
      </c>
      <c r="BY24" s="12">
        <v>1.2613881188024327</v>
      </c>
      <c r="BZ24" s="12">
        <v>2.0753461188024325</v>
      </c>
      <c r="CA24" s="12">
        <v>2.1753741188024325</v>
      </c>
      <c r="CB24" s="12">
        <v>2.8150731188024327</v>
      </c>
      <c r="CC24" s="12">
        <v>2.6326031188024328</v>
      </c>
      <c r="CD24" s="12">
        <v>2.6625571188024328</v>
      </c>
      <c r="CE24" s="12">
        <v>2.8726785540385213</v>
      </c>
      <c r="CF24" s="12">
        <v>2.6509571917931329</v>
      </c>
      <c r="CG24" s="12">
        <v>2.8882341917931331</v>
      </c>
      <c r="CH24" s="12">
        <v>3.0338771917931333</v>
      </c>
      <c r="CI24" s="12">
        <v>2.9753691917931335</v>
      </c>
      <c r="CJ24" s="12">
        <v>3.0325431917931334</v>
      </c>
      <c r="CK24" s="12">
        <v>3.0644031917931334</v>
      </c>
      <c r="CL24" s="12">
        <v>2.9226478584205928</v>
      </c>
      <c r="CM24" s="12">
        <v>2.3730607484614925</v>
      </c>
      <c r="CN24" s="12">
        <v>2.3879817484614927</v>
      </c>
      <c r="CO24" s="12">
        <v>3.164634966797724</v>
      </c>
      <c r="CP24" s="12">
        <v>2.9152979667977239</v>
      </c>
      <c r="CQ24" s="12">
        <v>2.7376979667977239</v>
      </c>
      <c r="CR24" s="12">
        <v>2.6766131285581674</v>
      </c>
      <c r="CS24" s="12">
        <v>2.762508361304973</v>
      </c>
      <c r="CT24" s="12">
        <v>2.642966361304973</v>
      </c>
      <c r="CU24" s="12">
        <v>2.7157177089616829</v>
      </c>
      <c r="CV24" s="12">
        <v>2.7006536614223076</v>
      </c>
      <c r="CW24" s="12">
        <v>2.5255364953503001</v>
      </c>
      <c r="CX24" s="12">
        <v>2.470329301641613</v>
      </c>
      <c r="CY24" s="12">
        <v>2.791477301641613</v>
      </c>
      <c r="CZ24" s="12">
        <v>3.1140683016416131</v>
      </c>
      <c r="DA24" s="12">
        <v>3.0895570974788584</v>
      </c>
      <c r="DB24" s="12">
        <v>3.0730570974788582</v>
      </c>
      <c r="DC24" s="12">
        <v>3.2526070974788581</v>
      </c>
      <c r="DD24" s="12">
        <v>3.3019070974788582</v>
      </c>
      <c r="DE24" s="12">
        <v>2.9952680974788581</v>
      </c>
      <c r="DF24" s="12">
        <v>3.5208560974788581</v>
      </c>
      <c r="DG24" s="12">
        <v>3.4013110974788581</v>
      </c>
      <c r="DH24" s="12">
        <v>3.6671160974788579</v>
      </c>
      <c r="DI24" s="12">
        <v>3.7043010974788579</v>
      </c>
      <c r="DJ24" s="12">
        <v>3.7253810974788579</v>
      </c>
      <c r="DK24" s="12">
        <v>3.6057020974788578</v>
      </c>
      <c r="DL24" s="12">
        <v>3.5739530974788578</v>
      </c>
      <c r="DM24" s="12">
        <v>3.5743630974788578</v>
      </c>
      <c r="DN24" s="12">
        <v>3.8076976682535539</v>
      </c>
      <c r="DO24" s="12">
        <v>3.923312668253554</v>
      </c>
      <c r="DP24" s="12">
        <v>4.037686093739568</v>
      </c>
      <c r="DQ24" s="12">
        <v>3.9872000937395682</v>
      </c>
      <c r="DR24" s="12">
        <v>3.9638080937395683</v>
      </c>
      <c r="DS24" s="12">
        <v>3.7475465527067229</v>
      </c>
      <c r="DT24" s="12">
        <v>3.6728135527067227</v>
      </c>
      <c r="DU24" s="12">
        <v>3.6945955527067227</v>
      </c>
      <c r="DV24" s="12">
        <v>3.7926425527067229</v>
      </c>
      <c r="DW24" s="12">
        <v>3.9014996425980533</v>
      </c>
      <c r="DX24" s="12">
        <v>4.1874286425980536</v>
      </c>
      <c r="DY24" s="12">
        <v>4.1841886425980537</v>
      </c>
      <c r="DZ24" s="12">
        <v>4.2346578250011699</v>
      </c>
      <c r="EA24" s="12">
        <v>4.1797408250011703</v>
      </c>
      <c r="EB24" s="12">
        <v>4.07050982500117</v>
      </c>
      <c r="EC24" s="12">
        <v>4.056199906230491</v>
      </c>
      <c r="ED24" s="12">
        <v>4.1123727515288531</v>
      </c>
      <c r="EE24" s="12">
        <v>3.9989433123376341</v>
      </c>
      <c r="EF24" s="12">
        <v>3.9316666352936656</v>
      </c>
    </row>
    <row r="25" spans="1:136">
      <c r="A25" s="2"/>
      <c r="B25" s="2" t="s">
        <v>144</v>
      </c>
      <c r="C25" s="4">
        <v>-1.7446770539390338E-2</v>
      </c>
      <c r="D25" s="4">
        <f>C25+預測IC!D26</f>
        <v>3.2542899924252917E-3</v>
      </c>
      <c r="E25" s="4">
        <f>D25+預測IC!E26</f>
        <v>2.7236419247192001E-2</v>
      </c>
      <c r="F25" s="4">
        <f>E25+預測IC!F26</f>
        <v>2.0678840274368924E-2</v>
      </c>
      <c r="G25" s="4">
        <f>F25+預測IC!G26</f>
        <v>5.2523970074888612E-2</v>
      </c>
      <c r="H25" s="4">
        <f>G25+預測IC!H26</f>
        <v>8.6872502811879138E-2</v>
      </c>
      <c r="I25" s="4">
        <f>H25+預測IC!I26</f>
        <v>7.8617570030553904E-2</v>
      </c>
      <c r="J25" s="4">
        <f>I25+預測IC!J26</f>
        <v>9.1461094424606662E-2</v>
      </c>
      <c r="K25" s="4">
        <f>J25+預測IC!K26</f>
        <v>4.0442569797815839E-2</v>
      </c>
      <c r="L25" s="4">
        <f>K25+預測IC!L26</f>
        <v>4.1316512538852428E-2</v>
      </c>
      <c r="M25" s="4">
        <f>L25+預測IC!M26</f>
        <v>6.4706088044348353E-2</v>
      </c>
      <c r="N25" s="4">
        <f>M25+預測IC!N26</f>
        <v>7.7695060244681202E-2</v>
      </c>
      <c r="O25" s="4">
        <f>N25+預測IC!O26</f>
        <v>8.3549648970316082E-2</v>
      </c>
      <c r="P25" s="4">
        <f>O25+預測IC!P26</f>
        <v>0.11096285554210664</v>
      </c>
      <c r="Q25" s="4">
        <f>P25+預測IC!Q26</f>
        <v>0.10724991942441378</v>
      </c>
      <c r="R25" s="4">
        <f>Q25+預測IC!R26</f>
        <v>0.13132653347223711</v>
      </c>
      <c r="S25" s="4">
        <f>R25+預測IC!S26</f>
        <v>0.11913650817319715</v>
      </c>
      <c r="T25" s="4">
        <f>S25+預測IC!T26</f>
        <v>7.9386930013607554E-2</v>
      </c>
      <c r="U25" s="4">
        <f>T25+預測IC!U26</f>
        <v>6.2314801819580018E-3</v>
      </c>
      <c r="V25" s="4">
        <f>U25+預測IC!V26</f>
        <v>-5.2028749728156659E-2</v>
      </c>
      <c r="W25" s="4">
        <f>V25+預測IC!W26</f>
        <v>-5.1255952162648284E-2</v>
      </c>
      <c r="X25" s="4">
        <f>W25+預測IC!X26</f>
        <v>-6.6644310274293142E-3</v>
      </c>
      <c r="Y25" s="4">
        <f>X25+預測IC!Y26</f>
        <v>-3.4364111077642409E-2</v>
      </c>
      <c r="Z25" s="4">
        <f>Y25+預測IC!Z26</f>
        <v>-3.226910512789876E-2</v>
      </c>
      <c r="AA25" s="4">
        <f>Z25+預測IC!AA26</f>
        <v>-5.5669656120462874E-2</v>
      </c>
      <c r="AB25" s="4">
        <f>AA25+預測IC!AB26</f>
        <v>-2.3540285023140685E-2</v>
      </c>
      <c r="AC25" s="4">
        <f>AB25+預測IC!AC26</f>
        <v>1.5362988070925745E-2</v>
      </c>
      <c r="AD25" s="4">
        <f>AC25+預測IC!AD26</f>
        <v>-2.7502394100178525E-2</v>
      </c>
      <c r="AE25" s="4">
        <f>AD25+預測IC!AE26</f>
        <v>-8.8551995500263658E-3</v>
      </c>
      <c r="AF25" s="4">
        <f>AE25+預測IC!AF26</f>
        <v>6.3745687725025833E-3</v>
      </c>
      <c r="AG25" s="4">
        <f>AF25+預測IC!AG26</f>
        <v>4.2391172551395004E-2</v>
      </c>
      <c r="AH25" s="4">
        <f>AG25+預測IC!AH26</f>
        <v>5.174578393671117E-2</v>
      </c>
      <c r="AI25" s="4">
        <f>AH25+預測IC!AI26</f>
        <v>6.2494035273549312E-2</v>
      </c>
      <c r="AJ25" s="4">
        <f>AI25+預測IC!AJ26</f>
        <v>7.5851789326630281E-2</v>
      </c>
      <c r="AK25" s="4">
        <f>AJ25+預測IC!AK26</f>
        <v>7.0519041997534893E-2</v>
      </c>
      <c r="AL25" s="4">
        <f>AK25+預測IC!AL26</f>
        <v>7.1902177804796574E-2</v>
      </c>
      <c r="AM25" s="4">
        <f>AL25+預測IC!AM26</f>
        <v>9.2698106224871041E-2</v>
      </c>
      <c r="AN25" s="4">
        <f>AM25+預測IC!AN26</f>
        <v>0.12421580844526167</v>
      </c>
      <c r="AO25" s="4">
        <f>AN25+預測IC!AO26</f>
        <v>0.13045752497859112</v>
      </c>
      <c r="AP25" s="4">
        <f>AO25+預測IC!AP26</f>
        <v>0.13660278663216249</v>
      </c>
      <c r="AQ25" s="4">
        <f>AP25+預測IC!AQ26</f>
        <v>0.15354914430885899</v>
      </c>
      <c r="AR25" s="4">
        <f>AQ25+預測IC!AR26</f>
        <v>0.18823197476316722</v>
      </c>
      <c r="AS25" s="4">
        <f>AR25+預測IC!AS26</f>
        <v>0.19133056338036419</v>
      </c>
      <c r="AT25" s="4">
        <f>AS25+預測IC!AT26</f>
        <v>0.2064119105238503</v>
      </c>
      <c r="AU25" s="4">
        <f>AT25+預測IC!AU26</f>
        <v>0.18716070129398632</v>
      </c>
      <c r="AV25" s="4">
        <f>AU25+預測IC!AV26</f>
        <v>0.22587221468161775</v>
      </c>
      <c r="AW25" s="4">
        <f>AV25+預測IC!AW26</f>
        <v>0.20401526354588115</v>
      </c>
      <c r="AX25" s="4">
        <f>AW25+預測IC!AX26</f>
        <v>0.21178956425567083</v>
      </c>
      <c r="AY25" s="4">
        <f>AX25+預測IC!AY26</f>
        <v>0.25418681095099677</v>
      </c>
      <c r="AZ25" s="4">
        <f>AY25+預測IC!AZ26</f>
        <v>0.22787783608983703</v>
      </c>
      <c r="BA25" s="4">
        <f>AZ25+預測IC!BA26</f>
        <v>0.23744958539855326</v>
      </c>
      <c r="BB25" s="4">
        <f>BA25+預測IC!BB26</f>
        <v>0.21319984413227844</v>
      </c>
      <c r="BC25" s="4">
        <f>BB25+預測IC!BC26</f>
        <v>0.23336321827619427</v>
      </c>
      <c r="BD25" s="4">
        <f>BC25+預測IC!BD26</f>
        <v>0.22985821949407825</v>
      </c>
      <c r="BE25" s="4">
        <f>BD25+預測IC!BE26</f>
        <v>0.25001015459262055</v>
      </c>
      <c r="BF25" s="4">
        <f>BE25+預測IC!BF26</f>
        <v>0.25059149082339083</v>
      </c>
      <c r="BG25" s="4">
        <f>BF25+預測IC!BG26</f>
        <v>0.24537178987013822</v>
      </c>
      <c r="BH25" s="4">
        <f>BG25+預測IC!BH26</f>
        <v>0.12950002846800823</v>
      </c>
      <c r="BI25" s="4">
        <f>BH25+預測IC!BI26</f>
        <v>0.13822525416044559</v>
      </c>
      <c r="BJ25" s="4">
        <f>BI25+預測IC!BJ26</f>
        <v>0.12184799318262345</v>
      </c>
      <c r="BK25" s="4">
        <f>BJ25+預測IC!BK26</f>
        <v>0.14268836478288388</v>
      </c>
      <c r="BL25" s="4">
        <f>BK25+預測IC!BL26</f>
        <v>0.18766423688499859</v>
      </c>
      <c r="BM25" s="4">
        <f>BL25+預測IC!BM26</f>
        <v>0.21161854296686244</v>
      </c>
      <c r="BN25" s="4">
        <f>BM25+預測IC!BN26</f>
        <v>0.24185764435830504</v>
      </c>
      <c r="BO25" s="4">
        <f>BN25+預測IC!BO26</f>
        <v>0.19813175676721753</v>
      </c>
      <c r="BP25" s="4">
        <f>BO25+預測IC!BP26</f>
        <v>0.22002122633541615</v>
      </c>
      <c r="BQ25" s="4">
        <f>BP25+預測IC!BQ26</f>
        <v>0.22864865659892455</v>
      </c>
      <c r="BR25" s="4">
        <f>BQ25+預測IC!BR26</f>
        <v>0.20945570260426577</v>
      </c>
      <c r="BS25" s="4">
        <f>BR25+預測IC!BS26</f>
        <v>0.22919083249239883</v>
      </c>
      <c r="BT25" s="4">
        <f>BS25+預測IC!BT26</f>
        <v>0.27688516997609824</v>
      </c>
      <c r="BU25" s="4">
        <f>BT25+預測IC!BU26</f>
        <v>0.28833998678268163</v>
      </c>
      <c r="BV25" s="4">
        <f>BU25+預測IC!BV26</f>
        <v>0.33156860751789485</v>
      </c>
      <c r="BW25" s="4">
        <f>BV25+預測IC!BW26</f>
        <v>0.28882117708097205</v>
      </c>
      <c r="BX25" s="4">
        <f>BW25+預測IC!BX26</f>
        <v>0.27100988465317749</v>
      </c>
      <c r="BY25" s="4">
        <f>BX25+預測IC!BY26</f>
        <v>0.11985678778410189</v>
      </c>
      <c r="BZ25" s="4">
        <f>BY25+預測IC!BZ26</f>
        <v>0.24408079140367717</v>
      </c>
      <c r="CA25" s="4">
        <f>BZ25+預測IC!CA26</f>
        <v>0.23952353755914751</v>
      </c>
      <c r="CB25" s="4">
        <f>CA25+預測IC!CB26</f>
        <v>0.29973477776405871</v>
      </c>
      <c r="CC25" s="4">
        <f>CB25+預測IC!CC26</f>
        <v>0.385726811246561</v>
      </c>
      <c r="CD25" s="4">
        <f>CC25+預測IC!CD26</f>
        <v>0.37991833166419492</v>
      </c>
      <c r="CE25" s="4">
        <f>CD25+預測IC!CE26</f>
        <v>0.37387698467522684</v>
      </c>
      <c r="CF25" s="4">
        <f>CE25+預測IC!CF26</f>
        <v>0.37632930904747891</v>
      </c>
      <c r="CG25" s="4">
        <f>CF25+預測IC!CG26</f>
        <v>0.46596556098450181</v>
      </c>
      <c r="CH25" s="4">
        <f>CG25+預測IC!CH26</f>
        <v>0.53695829351125968</v>
      </c>
      <c r="CI25" s="4">
        <f>CH25+預測IC!CI26</f>
        <v>0.56412893641304307</v>
      </c>
      <c r="CJ25" s="4">
        <f>CI25+預測IC!CJ26</f>
        <v>0.61659736483837313</v>
      </c>
      <c r="CK25" s="4">
        <f>CJ25+預測IC!CK26</f>
        <v>0.64607802578142259</v>
      </c>
      <c r="CL25" s="4">
        <f>CK25+預測IC!CL26</f>
        <v>0.71290310684162383</v>
      </c>
      <c r="CM25" s="4">
        <f>CL25+預測IC!CM26</f>
        <v>0.68413087782180682</v>
      </c>
      <c r="CN25" s="4">
        <f>CM25+預測IC!CN26</f>
        <v>0.72359339372344467</v>
      </c>
      <c r="CO25" s="4">
        <f>CN25+預測IC!CO26</f>
        <v>0.69456230674608477</v>
      </c>
      <c r="CP25" s="4">
        <f>CO25+預測IC!CP26</f>
        <v>0.70854618926555268</v>
      </c>
      <c r="CQ25" s="4">
        <f>CP25+預測IC!CQ26</f>
        <v>0.67626922430621883</v>
      </c>
      <c r="CR25" s="4">
        <f>CQ25+預測IC!CR26</f>
        <v>0.6793728009191129</v>
      </c>
      <c r="CS25" s="4">
        <f>CR25+預測IC!CS26</f>
        <v>0.70496465668619601</v>
      </c>
      <c r="CT25" s="4">
        <f>CS25+預測IC!CT26</f>
        <v>0.74935654297338927</v>
      </c>
      <c r="CU25" s="4">
        <f>CT25+預測IC!CU26</f>
        <v>0.71901758442381181</v>
      </c>
      <c r="CV25" s="4">
        <f>CU25+預測IC!CV26</f>
        <v>0.7177596079692401</v>
      </c>
      <c r="CW25" s="4">
        <f>CV25+預測IC!CW26</f>
        <v>0.72009596442509805</v>
      </c>
      <c r="CX25" s="4">
        <f>CW25+預測IC!CX26</f>
        <v>0.655831819499192</v>
      </c>
      <c r="CY25" s="4">
        <f>CX25+預測IC!CY26</f>
        <v>0.66874159895818441</v>
      </c>
      <c r="CZ25" s="4">
        <f>CY25+預測IC!CZ26</f>
        <v>0.54326450428732564</v>
      </c>
      <c r="DA25" s="4">
        <f>CZ25+預測IC!DA26</f>
        <v>0.55495518722711823</v>
      </c>
      <c r="DB25" s="4">
        <f>DA25+預測IC!DB26</f>
        <v>0.56129303092785998</v>
      </c>
      <c r="DC25" s="4">
        <f>DB25+預測IC!DC26</f>
        <v>0.44398767445847448</v>
      </c>
      <c r="DD25" s="4">
        <f>DC25+預測IC!DD26</f>
        <v>0.40797680240902789</v>
      </c>
      <c r="DE25" s="4">
        <f>DD25+預測IC!DE26</f>
        <v>0.54688810648129582</v>
      </c>
      <c r="DF25" s="4">
        <f>DE25+預測IC!DF26</f>
        <v>0.49574460025519007</v>
      </c>
      <c r="DG25" s="4">
        <f>DF25+預測IC!DG26</f>
        <v>0.57247604743715907</v>
      </c>
      <c r="DH25" s="4">
        <f>DG25+預測IC!DH26</f>
        <v>0.58798482963416721</v>
      </c>
      <c r="DI25" s="4">
        <f>DH25+預測IC!DI26</f>
        <v>0.61120860330892302</v>
      </c>
      <c r="DJ25" s="4">
        <f>DI25+預測IC!DJ26</f>
        <v>0.59283572694769515</v>
      </c>
      <c r="DK25" s="4">
        <f>DJ25+預測IC!DK26</f>
        <v>0.65503474103279458</v>
      </c>
      <c r="DL25" s="4">
        <f>DK25+預測IC!DL26</f>
        <v>0.67513304551975173</v>
      </c>
      <c r="DM25" s="4">
        <f>DL25+預測IC!DM26</f>
        <v>0.68863198526781977</v>
      </c>
      <c r="DN25" s="4">
        <f>DM25+預測IC!DN26</f>
        <v>0.65837977253939894</v>
      </c>
      <c r="DO25" s="4">
        <f>DN25+預測IC!DO26</f>
        <v>0.64135693683134509</v>
      </c>
      <c r="DP25" s="4">
        <f>DO25+預測IC!DP26</f>
        <v>0.61956841355888315</v>
      </c>
      <c r="DQ25" s="4">
        <f>DP25+預測IC!DQ26</f>
        <v>0.70531403814402038</v>
      </c>
      <c r="DR25" s="4">
        <f>DQ25+預測IC!DR26</f>
        <v>0.73342078174899417</v>
      </c>
      <c r="DS25" s="4">
        <f>DR25+預測IC!DS26</f>
        <v>0.73111762194163477</v>
      </c>
      <c r="DT25" s="4">
        <f>DS25+預測IC!DT26</f>
        <v>0.78958882007312226</v>
      </c>
      <c r="DU25" s="4">
        <f>DT25+預測IC!DU26</f>
        <v>0.85724776912176992</v>
      </c>
      <c r="DV25" s="4">
        <f>DU25+預測IC!DV26</f>
        <v>0.86226853976220219</v>
      </c>
      <c r="DW25" s="4">
        <f>DV25+預測IC!DW26</f>
        <v>0.89968472343740924</v>
      </c>
      <c r="DX25" s="4">
        <f>DW25+預測IC!DX26</f>
        <v>0.98379572718345132</v>
      </c>
      <c r="DY25" s="4">
        <f>DX25+預測IC!DY26</f>
        <v>0.94696332863943844</v>
      </c>
      <c r="DZ25" s="4">
        <f>DY25+預測IC!DZ26</f>
        <v>0.95005503145637549</v>
      </c>
      <c r="EA25" s="4">
        <f>DZ25+預測IC!EA26</f>
        <v>0.94809740324208092</v>
      </c>
      <c r="EB25" s="4">
        <f>EA25+預測IC!EB26</f>
        <v>0.97455650684560069</v>
      </c>
      <c r="EC25" s="4">
        <f>EB25+預測IC!EC26</f>
        <v>0.94980396808491041</v>
      </c>
      <c r="ED25" s="4">
        <f>EC25+預測IC!ED26</f>
        <v>0.98391945906747036</v>
      </c>
      <c r="EE25" s="4">
        <f>ED25+預測IC!EE26</f>
        <v>1.0049814330565034</v>
      </c>
      <c r="EF25" s="4">
        <f>EE25+預測IC!EF26</f>
        <v>0.98470404035049752</v>
      </c>
    </row>
    <row r="26" spans="1:136">
      <c r="A26" s="2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F21"/>
  <sheetViews>
    <sheetView zoomScale="178" workbookViewId="0">
      <selection activeCell="C22" sqref="C22"/>
    </sheetView>
  </sheetViews>
  <sheetFormatPr baseColWidth="10" defaultColWidth="8.83203125" defaultRowHeight="15"/>
  <cols>
    <col min="1" max="1" width="14.1640625" style="11" customWidth="1"/>
  </cols>
  <sheetData>
    <row r="1" spans="1:136">
      <c r="A1" t="s">
        <v>202</v>
      </c>
    </row>
    <row r="2" spans="1:136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  <c r="CQ2" t="s">
        <v>93</v>
      </c>
      <c r="CR2" t="s">
        <v>94</v>
      </c>
      <c r="CS2" t="s">
        <v>95</v>
      </c>
      <c r="CT2" t="s">
        <v>96</v>
      </c>
      <c r="CU2" t="s">
        <v>97</v>
      </c>
      <c r="CV2" t="s">
        <v>98</v>
      </c>
      <c r="CW2" t="s">
        <v>99</v>
      </c>
      <c r="CX2" t="s">
        <v>100</v>
      </c>
      <c r="CY2" t="s">
        <v>101</v>
      </c>
      <c r="CZ2" t="s">
        <v>102</v>
      </c>
      <c r="DA2" t="s">
        <v>103</v>
      </c>
      <c r="DB2" t="s">
        <v>104</v>
      </c>
      <c r="DC2" t="s">
        <v>105</v>
      </c>
      <c r="DD2" t="s">
        <v>106</v>
      </c>
      <c r="DE2" t="s">
        <v>107</v>
      </c>
      <c r="DF2" t="s">
        <v>108</v>
      </c>
      <c r="DG2" t="s">
        <v>109</v>
      </c>
      <c r="DH2" t="s">
        <v>110</v>
      </c>
      <c r="DI2" t="s">
        <v>111</v>
      </c>
      <c r="DJ2" t="s">
        <v>112</v>
      </c>
      <c r="DK2" t="s">
        <v>113</v>
      </c>
      <c r="DL2" t="s">
        <v>114</v>
      </c>
      <c r="DM2" t="s">
        <v>115</v>
      </c>
      <c r="DN2" t="s">
        <v>116</v>
      </c>
      <c r="DO2" t="s">
        <v>117</v>
      </c>
      <c r="DP2" t="s">
        <v>118</v>
      </c>
      <c r="DQ2" t="s">
        <v>119</v>
      </c>
      <c r="DR2" t="s">
        <v>120</v>
      </c>
      <c r="DS2" t="s">
        <v>121</v>
      </c>
      <c r="DT2" t="s">
        <v>122</v>
      </c>
      <c r="DU2" t="s">
        <v>123</v>
      </c>
      <c r="DV2" t="s">
        <v>124</v>
      </c>
      <c r="DW2" t="s">
        <v>125</v>
      </c>
      <c r="DX2" t="s">
        <v>126</v>
      </c>
      <c r="DY2" t="s">
        <v>127</v>
      </c>
      <c r="DZ2" t="s">
        <v>128</v>
      </c>
      <c r="EA2" t="s">
        <v>129</v>
      </c>
      <c r="EB2" t="s">
        <v>130</v>
      </c>
      <c r="EC2" t="s">
        <v>131</v>
      </c>
      <c r="ED2" t="s">
        <v>132</v>
      </c>
      <c r="EE2" t="s">
        <v>133</v>
      </c>
      <c r="EF2" t="s">
        <v>134</v>
      </c>
    </row>
    <row r="3" spans="1:136">
      <c r="B3" t="s">
        <v>135</v>
      </c>
      <c r="C3" s="6">
        <v>7.9040621616132428E-2</v>
      </c>
      <c r="D3" s="6">
        <v>0.17983518543162419</v>
      </c>
      <c r="E3" s="6">
        <v>1.5558542820582799E-2</v>
      </c>
      <c r="F3" s="6">
        <v>-2.1374203652038289E-2</v>
      </c>
      <c r="G3" s="6">
        <v>-8.0895058721012214E-3</v>
      </c>
      <c r="H3" s="6">
        <v>-1.5424142996262571E-2</v>
      </c>
      <c r="I3" s="6">
        <v>-0.1970079222252091</v>
      </c>
      <c r="J3" s="6">
        <v>0.27879379848666003</v>
      </c>
      <c r="K3" s="6">
        <v>-5.8042552738333253E-3</v>
      </c>
      <c r="L3" s="6">
        <v>-4.7625460802946967E-2</v>
      </c>
      <c r="M3" s="6">
        <v>-5.2692769603885914E-3</v>
      </c>
      <c r="N3" s="6">
        <v>-0.1907915725736046</v>
      </c>
      <c r="O3" s="6">
        <v>0.31104453537531868</v>
      </c>
      <c r="P3" s="6">
        <v>0.1137423411079562</v>
      </c>
      <c r="Q3" s="6">
        <v>-0.12249966541698799</v>
      </c>
      <c r="R3" s="6">
        <v>-0.1125772096752599</v>
      </c>
      <c r="S3" s="6">
        <v>0.1047628479068862</v>
      </c>
      <c r="T3" s="6">
        <v>-0.1451144301876503</v>
      </c>
      <c r="U3" s="6">
        <v>-0.26268964672070189</v>
      </c>
      <c r="V3" s="6">
        <v>2.009334481821196E-3</v>
      </c>
      <c r="W3" s="6">
        <v>0.12943264471598109</v>
      </c>
      <c r="X3" s="6">
        <v>-8.859040691762049E-2</v>
      </c>
      <c r="Y3" s="6">
        <v>0.27865156855692891</v>
      </c>
      <c r="Z3" s="6">
        <v>0.1034271724790103</v>
      </c>
      <c r="AA3" s="6">
        <v>0.48570701238273079</v>
      </c>
      <c r="AB3" s="6">
        <v>-0.23509490687265411</v>
      </c>
      <c r="AC3" s="6">
        <v>1.2145875696980829E-2</v>
      </c>
      <c r="AD3" s="6">
        <v>2.4576879822336362E-2</v>
      </c>
      <c r="AE3" s="6">
        <v>-6.1133662722790971E-3</v>
      </c>
      <c r="AF3" s="6">
        <v>-5.6971515948832707E-2</v>
      </c>
      <c r="AG3" s="6">
        <v>0.1202382386574528</v>
      </c>
      <c r="AH3" s="6">
        <v>4.4012260680666333E-2</v>
      </c>
      <c r="AI3" s="6">
        <v>0.16346824092386009</v>
      </c>
      <c r="AJ3" s="6">
        <v>6.8233888505041862E-2</v>
      </c>
      <c r="AK3" s="6">
        <v>8.7340318019473118E-2</v>
      </c>
      <c r="AL3" s="6">
        <v>0.18601906455501879</v>
      </c>
      <c r="AM3" s="6">
        <v>9.6461005928937582E-2</v>
      </c>
      <c r="AN3" s="6">
        <v>0.20788493486511331</v>
      </c>
      <c r="AO3" s="6">
        <v>0.11987464702588579</v>
      </c>
      <c r="AP3" s="6">
        <v>-2.8675104661629199E-2</v>
      </c>
      <c r="AQ3" s="6">
        <v>-0.2120280442754702</v>
      </c>
      <c r="AR3" s="6">
        <v>-3.2704510357730587E-2</v>
      </c>
      <c r="AS3" s="6">
        <v>0.14122641902805161</v>
      </c>
      <c r="AT3" s="6">
        <v>-3.4747272652197507E-2</v>
      </c>
      <c r="AU3" s="6">
        <v>4.5616594078816568E-2</v>
      </c>
      <c r="AV3" s="6">
        <v>2.2144326545282141E-2</v>
      </c>
      <c r="AW3" s="6">
        <v>-0.17266700355485989</v>
      </c>
      <c r="AX3" s="6">
        <v>7.5979339060004814E-2</v>
      </c>
      <c r="AY3" s="6">
        <v>9.1669895598312512E-3</v>
      </c>
      <c r="AZ3" s="6">
        <v>1.5811638424496791E-2</v>
      </c>
      <c r="BA3" s="6">
        <v>0.1596223887210684</v>
      </c>
      <c r="BB3" s="6">
        <v>-0.12355126364150031</v>
      </c>
      <c r="BC3" s="6">
        <v>0.15614706721655541</v>
      </c>
      <c r="BD3" s="6">
        <v>0.16786712695784009</v>
      </c>
      <c r="BE3" s="6">
        <v>-0.1307095148892152</v>
      </c>
      <c r="BF3" s="6">
        <v>1.004111774608712E-2</v>
      </c>
      <c r="BG3" s="6">
        <v>0.31562101483380489</v>
      </c>
      <c r="BH3" s="6">
        <v>0.27021360932664601</v>
      </c>
      <c r="BI3" s="6">
        <v>5.6087308194300967E-2</v>
      </c>
      <c r="BJ3" s="6">
        <v>-2.428144716888792E-3</v>
      </c>
      <c r="BK3" s="6">
        <v>7.9795011400059179E-2</v>
      </c>
      <c r="BL3" s="6">
        <v>-2.3464502785466301E-2</v>
      </c>
      <c r="BM3" s="6">
        <v>9.4115599855399634E-2</v>
      </c>
      <c r="BN3" s="6">
        <v>1.8770326613512078E-2</v>
      </c>
      <c r="BO3" s="6">
        <v>-0.14839887615687969</v>
      </c>
      <c r="BP3" s="6">
        <v>4.107337954030732E-2</v>
      </c>
      <c r="BQ3" s="6">
        <v>-8.3183003971063707E-2</v>
      </c>
      <c r="BR3" s="6">
        <v>0.21369643032545599</v>
      </c>
      <c r="BS3" s="6">
        <v>-6.8149447486198445E-2</v>
      </c>
      <c r="BT3" s="6">
        <v>0.14424087762590629</v>
      </c>
      <c r="BU3" s="6">
        <v>0.11401522994132141</v>
      </c>
      <c r="BV3" s="6">
        <v>4.801166723024719E-3</v>
      </c>
      <c r="BW3" s="6">
        <v>0.11476889041196631</v>
      </c>
      <c r="BX3" s="6">
        <v>-9.0964923920277552E-2</v>
      </c>
      <c r="BY3" s="6">
        <v>0.11808451667450549</v>
      </c>
      <c r="BZ3" s="6">
        <v>-0.1410200400283034</v>
      </c>
      <c r="CA3" s="6">
        <v>7.4952845793382461E-2</v>
      </c>
      <c r="CB3" s="6">
        <v>-0.17068809420813311</v>
      </c>
      <c r="CC3" s="6">
        <v>8.5908462508696548E-2</v>
      </c>
      <c r="CD3" s="6">
        <v>3.0939148675174891E-2</v>
      </c>
      <c r="CE3" s="6">
        <v>0.21825654845162559</v>
      </c>
      <c r="CF3" s="6">
        <v>-0.1410466608471542</v>
      </c>
      <c r="CG3" s="6">
        <v>0.1002648354568221</v>
      </c>
      <c r="CH3" s="6">
        <v>4.561217918655408E-2</v>
      </c>
      <c r="CI3" s="6">
        <v>9.0372406724707033E-2</v>
      </c>
      <c r="CJ3" s="6">
        <v>-0.39056585729995208</v>
      </c>
      <c r="CK3" s="6">
        <v>-0.1094505841467153</v>
      </c>
      <c r="CL3" s="6">
        <v>-4.349854958948618E-2</v>
      </c>
      <c r="CM3" s="6">
        <v>0.1846143777910941</v>
      </c>
      <c r="CN3" s="6">
        <v>-0.39777868940720429</v>
      </c>
      <c r="CO3" s="6">
        <v>-9.7839711643685545E-2</v>
      </c>
      <c r="CP3" s="6">
        <v>-9.426417275536908E-2</v>
      </c>
      <c r="CQ3" s="6">
        <v>0.1719508179227969</v>
      </c>
      <c r="CR3" s="6">
        <v>6.1937752450725032E-2</v>
      </c>
      <c r="CS3" s="6">
        <v>-4.6146612606264681E-2</v>
      </c>
      <c r="CT3" s="6">
        <v>-1.1541379756887181E-2</v>
      </c>
      <c r="CU3" s="6">
        <v>-3.3298799782413353E-2</v>
      </c>
      <c r="CV3" s="6">
        <v>-2.1859147285423371E-2</v>
      </c>
      <c r="CW3" s="6">
        <v>3.9730772293418759E-2</v>
      </c>
      <c r="CX3" s="6">
        <v>-5.4060803392226853E-2</v>
      </c>
      <c r="CY3" s="6">
        <v>2.687080278938447E-2</v>
      </c>
      <c r="CZ3" s="6">
        <v>9.8156222827321893E-2</v>
      </c>
      <c r="DA3" s="6">
        <v>0.31191401999076479</v>
      </c>
      <c r="DB3" s="6">
        <v>-0.1557252615503073</v>
      </c>
      <c r="DC3" s="6">
        <v>-0.1877698733748154</v>
      </c>
      <c r="DD3" s="6">
        <v>-0.16882595651231219</v>
      </c>
      <c r="DE3" s="6">
        <v>0.16874399575438129</v>
      </c>
      <c r="DF3" s="6">
        <v>-9.1094675706205552E-2</v>
      </c>
      <c r="DG3" s="6">
        <v>-7.6287293877835782E-2</v>
      </c>
      <c r="DH3" s="6">
        <v>7.0221693802381413E-3</v>
      </c>
      <c r="DI3" s="6">
        <v>-2.1000382633728498E-3</v>
      </c>
      <c r="DJ3" s="6">
        <v>-6.8286379709951939E-2</v>
      </c>
      <c r="DK3" s="6">
        <v>4.5815090263610248E-2</v>
      </c>
      <c r="DL3" s="6">
        <v>-5.8209946840535542E-2</v>
      </c>
      <c r="DM3" s="6">
        <v>-7.0753845764884304E-2</v>
      </c>
      <c r="DN3" s="6">
        <v>2.8209852005243619E-2</v>
      </c>
      <c r="DO3" s="6">
        <v>-7.0120490357447773E-2</v>
      </c>
      <c r="DP3" s="6">
        <v>0.1609671486675571</v>
      </c>
      <c r="DQ3" s="6">
        <v>0.15477541257526009</v>
      </c>
      <c r="DR3" s="6">
        <v>-0.1084011796207669</v>
      </c>
      <c r="DS3" s="6">
        <v>0.11315866159628871</v>
      </c>
      <c r="DT3" s="6">
        <v>-9.1924478693107325E-2</v>
      </c>
      <c r="DU3" s="6">
        <v>-6.6151009182965181E-2</v>
      </c>
      <c r="DV3" s="6">
        <v>-7.3979125425596259E-2</v>
      </c>
      <c r="DW3" s="6">
        <v>6.6618381751488459E-2</v>
      </c>
      <c r="DX3" s="6">
        <v>6.9180839339883643E-2</v>
      </c>
      <c r="DY3" s="6">
        <v>-0.1020143752545596</v>
      </c>
      <c r="DZ3" s="6">
        <v>0.26467995828442159</v>
      </c>
      <c r="EA3" s="6">
        <v>-8.9146065677995434E-2</v>
      </c>
      <c r="EB3" s="6">
        <v>0.19478075764446831</v>
      </c>
      <c r="EC3" s="6">
        <v>-2.9992963587027192E-2</v>
      </c>
      <c r="ED3" s="6">
        <v>2.8755087358344141E-2</v>
      </c>
      <c r="EE3" s="6">
        <v>-8.7170363159390307E-2</v>
      </c>
      <c r="EF3" s="6">
        <v>-2.107712607482665E-2</v>
      </c>
    </row>
    <row r="4" spans="1:136">
      <c r="B4" t="s">
        <v>136</v>
      </c>
      <c r="C4" s="6">
        <v>-0.2039249712326647</v>
      </c>
      <c r="D4" s="6">
        <v>-0.1964237658858288</v>
      </c>
      <c r="E4" s="6">
        <v>-0.25001562319789628</v>
      </c>
      <c r="F4" s="6">
        <v>4.6225301858132888E-2</v>
      </c>
      <c r="G4" s="6">
        <v>3.2330243247768557E-2</v>
      </c>
      <c r="H4" s="6">
        <v>-5.1603684781703407E-2</v>
      </c>
      <c r="I4" s="6">
        <v>-7.1932762783788462E-4</v>
      </c>
      <c r="J4" s="6">
        <v>4.7735584517047507E-2</v>
      </c>
      <c r="K4" s="6">
        <v>-0.10000933785236479</v>
      </c>
      <c r="L4" s="6">
        <v>-1.5861567150846408E-2</v>
      </c>
      <c r="M4" s="6">
        <v>-5.3940441895917957E-2</v>
      </c>
      <c r="N4" s="6">
        <v>-3.006128637493433E-2</v>
      </c>
      <c r="O4" s="6">
        <v>-0.1863663761089018</v>
      </c>
      <c r="P4" s="6">
        <v>3.0686804370747112E-2</v>
      </c>
      <c r="Q4" s="6">
        <v>9.6560631213524317E-2</v>
      </c>
      <c r="R4" s="6">
        <v>-9.3806844009220569E-2</v>
      </c>
      <c r="S4" s="6">
        <v>2.384641514176522E-2</v>
      </c>
      <c r="T4" s="6">
        <v>7.3443894560089262E-2</v>
      </c>
      <c r="U4" s="6">
        <v>6.8552151821030796E-3</v>
      </c>
      <c r="V4" s="6">
        <v>-2.2154839675355479E-2</v>
      </c>
      <c r="W4" s="6">
        <v>-7.0055171589089582E-3</v>
      </c>
      <c r="X4" s="6">
        <v>-0.1692982319172103</v>
      </c>
      <c r="Y4" s="6">
        <v>-0.23320259238128571</v>
      </c>
      <c r="Z4" s="6">
        <v>-1.0288574917018071E-2</v>
      </c>
      <c r="AA4" s="6">
        <v>-2.5866334724611311E-3</v>
      </c>
      <c r="AB4" s="6">
        <v>-0.1637843756315753</v>
      </c>
      <c r="AC4" s="6">
        <v>-6.4688800973662808E-2</v>
      </c>
      <c r="AD4" s="6">
        <v>-5.3477424616254148E-2</v>
      </c>
      <c r="AE4" s="6">
        <v>4.309073895244353E-2</v>
      </c>
      <c r="AF4" s="6">
        <v>8.0218323830894889E-2</v>
      </c>
      <c r="AG4" s="6">
        <v>-0.1002521131150758</v>
      </c>
      <c r="AH4" s="6">
        <v>0.1185404057803101</v>
      </c>
      <c r="AI4" s="6">
        <v>-8.6514098466683009E-2</v>
      </c>
      <c r="AJ4" s="6">
        <v>-9.6720591922766275E-2</v>
      </c>
      <c r="AK4" s="6">
        <v>7.714821270149308E-2</v>
      </c>
      <c r="AL4" s="6">
        <v>2.0174232134641201E-2</v>
      </c>
      <c r="AM4" s="6">
        <v>-6.7241324666724722E-3</v>
      </c>
      <c r="AN4" s="6">
        <v>1.122578986331213E-2</v>
      </c>
      <c r="AO4" s="6">
        <v>-4.4498439328666713E-2</v>
      </c>
      <c r="AP4" s="6">
        <v>7.9516907835369466E-2</v>
      </c>
      <c r="AQ4" s="6">
        <v>-9.1550116191305264E-2</v>
      </c>
      <c r="AR4" s="6">
        <v>0.1142424157596746</v>
      </c>
      <c r="AS4" s="6">
        <v>8.2448436759978705E-2</v>
      </c>
      <c r="AT4" s="6">
        <v>9.7249827762322383E-3</v>
      </c>
      <c r="AU4" s="6">
        <v>-3.4605903137480347E-2</v>
      </c>
      <c r="AV4" s="6">
        <v>-0.2174533789678712</v>
      </c>
      <c r="AW4" s="6">
        <v>5.2334484190899033E-2</v>
      </c>
      <c r="AX4" s="6">
        <v>1.384542021274626E-2</v>
      </c>
      <c r="AY4" s="6">
        <v>0.106382535700245</v>
      </c>
      <c r="AZ4" s="6">
        <v>1.573201072361563E-2</v>
      </c>
      <c r="BA4" s="6">
        <v>-0.15377072052847751</v>
      </c>
      <c r="BB4" s="6">
        <v>-0.25244423454125631</v>
      </c>
      <c r="BC4" s="6">
        <v>-0.14982873402575869</v>
      </c>
      <c r="BD4" s="6">
        <v>-2.2554321715718469E-2</v>
      </c>
      <c r="BE4" s="6">
        <v>-3.1285268658100662E-2</v>
      </c>
      <c r="BF4" s="6">
        <v>0.1240869826657605</v>
      </c>
      <c r="BG4" s="6">
        <v>-7.4642493295524304E-2</v>
      </c>
      <c r="BH4" s="6">
        <v>-6.4841754756111314E-2</v>
      </c>
      <c r="BI4" s="6">
        <v>1.8201446010561281E-2</v>
      </c>
      <c r="BJ4" s="6">
        <v>-0.15018846614211159</v>
      </c>
      <c r="BK4" s="6">
        <v>-5.9172596101159769E-2</v>
      </c>
      <c r="BL4" s="6">
        <v>-4.7948186331197462E-2</v>
      </c>
      <c r="BM4" s="6">
        <v>2.052177888404572E-2</v>
      </c>
      <c r="BN4" s="6">
        <v>4.0184826284235697E-2</v>
      </c>
      <c r="BO4" s="6">
        <v>4.4253141477314628E-2</v>
      </c>
      <c r="BP4" s="6">
        <v>8.2144881969639982E-2</v>
      </c>
      <c r="BQ4" s="6">
        <v>3.034994243067857E-2</v>
      </c>
      <c r="BR4" s="6">
        <v>-0.1178677152142722</v>
      </c>
      <c r="BS4" s="6">
        <v>-1.7435734218624429E-2</v>
      </c>
      <c r="BT4" s="6">
        <v>-3.4138675888959469E-2</v>
      </c>
      <c r="BU4" s="6">
        <v>-4.6293256972850472E-2</v>
      </c>
      <c r="BV4" s="6">
        <v>0.17074793581774189</v>
      </c>
      <c r="BW4" s="6">
        <v>-0.1002724725514543</v>
      </c>
      <c r="BX4" s="6">
        <v>-7.1039208889066785E-2</v>
      </c>
      <c r="BY4" s="6">
        <v>-0.17569208578460399</v>
      </c>
      <c r="BZ4" s="6">
        <v>8.5263289590539415E-2</v>
      </c>
      <c r="CA4" s="6">
        <v>1.455569009171143E-2</v>
      </c>
      <c r="CB4" s="6">
        <v>0.19268600459385959</v>
      </c>
      <c r="CC4" s="6">
        <v>-0.29881238545137911</v>
      </c>
      <c r="CD4" s="6">
        <v>-0.1349379461871649</v>
      </c>
      <c r="CE4" s="6">
        <v>-5.6657895268028113E-2</v>
      </c>
      <c r="CF4" s="6">
        <v>-0.11375971139280951</v>
      </c>
      <c r="CG4" s="6">
        <v>5.7622067517158371E-2</v>
      </c>
      <c r="CH4" s="6">
        <v>-4.001254466679427E-3</v>
      </c>
      <c r="CI4" s="6">
        <v>7.7424647921532141E-2</v>
      </c>
      <c r="CJ4" s="6">
        <v>2.6114056760381029E-2</v>
      </c>
      <c r="CK4" s="6">
        <v>-2.240001723672691E-2</v>
      </c>
      <c r="CL4" s="6">
        <v>-7.0095624035594994E-2</v>
      </c>
      <c r="CM4" s="6">
        <v>4.3436542483707541E-2</v>
      </c>
      <c r="CN4" s="6">
        <v>0.18690672157174859</v>
      </c>
      <c r="CO4" s="6">
        <v>4.446453202920253E-3</v>
      </c>
      <c r="CP4" s="6">
        <v>2.4151386485087301E-2</v>
      </c>
      <c r="CQ4" s="6">
        <v>-3.1460764321860069E-2</v>
      </c>
      <c r="CR4" s="6">
        <v>-0.29662338596077831</v>
      </c>
      <c r="CS4" s="6">
        <v>-0.27970336465505241</v>
      </c>
      <c r="CT4" s="6">
        <v>7.8684619263164279E-2</v>
      </c>
      <c r="CU4" s="6">
        <v>-0.11218630160750109</v>
      </c>
      <c r="CV4" s="6">
        <v>0.11296132499189331</v>
      </c>
      <c r="CW4" s="6">
        <v>-4.1031038792660013E-2</v>
      </c>
      <c r="CX4" s="6">
        <v>6.6400736315959108E-2</v>
      </c>
      <c r="CY4" s="6">
        <v>-0.17738472354507101</v>
      </c>
      <c r="CZ4" s="6">
        <v>-0.14025649491331291</v>
      </c>
      <c r="DA4" s="6">
        <v>-0.22065215831468171</v>
      </c>
      <c r="DB4" s="6">
        <v>-4.7530422130282801E-2</v>
      </c>
      <c r="DC4" s="6">
        <v>-0.1384211204142467</v>
      </c>
      <c r="DD4" s="6">
        <v>0.10113629887646169</v>
      </c>
      <c r="DE4" s="6">
        <v>4.5885478784697398E-2</v>
      </c>
      <c r="DF4" s="6">
        <v>4.9743559277015237E-2</v>
      </c>
      <c r="DG4" s="6">
        <v>-0.137130303806142</v>
      </c>
      <c r="DH4" s="6">
        <v>0.15813722836365329</v>
      </c>
      <c r="DI4" s="6">
        <v>-5.8844921242510402E-2</v>
      </c>
      <c r="DJ4" s="6">
        <v>-0.1256585188069437</v>
      </c>
      <c r="DK4" s="6">
        <v>-0.17054839142057079</v>
      </c>
      <c r="DL4" s="6">
        <v>8.7111231199973105E-2</v>
      </c>
      <c r="DM4" s="6">
        <v>0.22121757588715951</v>
      </c>
      <c r="DN4" s="6">
        <v>8.2980876911495471E-2</v>
      </c>
      <c r="DO4" s="6">
        <v>-3.4106922891275808E-2</v>
      </c>
      <c r="DP4" s="6">
        <v>-7.2756652210209438E-2</v>
      </c>
      <c r="DQ4" s="6">
        <v>-0.1680556719972266</v>
      </c>
      <c r="DR4" s="6">
        <v>-0.12816572962436371</v>
      </c>
      <c r="DS4" s="6">
        <v>-7.759167425624014E-2</v>
      </c>
      <c r="DT4" s="6">
        <v>-0.20203504768606001</v>
      </c>
      <c r="DU4" s="6">
        <v>-5.5486709118024891E-2</v>
      </c>
      <c r="DV4" s="6">
        <v>8.2663101688531526E-3</v>
      </c>
      <c r="DW4" s="6">
        <v>-1.40933401356591E-2</v>
      </c>
      <c r="DX4" s="6">
        <v>-9.0217886051373597E-2</v>
      </c>
      <c r="DY4" s="6">
        <v>9.7821812382289153E-2</v>
      </c>
      <c r="DZ4" s="6">
        <v>-0.12757008956569391</v>
      </c>
      <c r="EA4" s="6">
        <v>-0.1945089543306722</v>
      </c>
      <c r="EB4" s="6">
        <v>-0.31627292637508481</v>
      </c>
      <c r="EC4" s="6">
        <v>4.5255164501341483E-2</v>
      </c>
      <c r="ED4" s="6">
        <v>5.6017206552507297E-2</v>
      </c>
      <c r="EE4" s="6">
        <v>0.1196917374403057</v>
      </c>
      <c r="EF4" s="6">
        <v>0.24309353172991879</v>
      </c>
    </row>
    <row r="5" spans="1:136">
      <c r="B5" t="s">
        <v>137</v>
      </c>
      <c r="C5" s="6">
        <v>-0.20935361149472831</v>
      </c>
      <c r="D5" s="6">
        <v>-0.1072455023751924</v>
      </c>
      <c r="E5" s="6">
        <v>0.52501530683772435</v>
      </c>
      <c r="F5" s="6">
        <v>4.6823768151851013E-2</v>
      </c>
      <c r="G5" s="6">
        <v>-0.21046493626235849</v>
      </c>
      <c r="H5" s="6">
        <v>0.47449114813492221</v>
      </c>
      <c r="I5" s="6">
        <v>0.14680892480266791</v>
      </c>
      <c r="J5" s="6">
        <v>-5.6142242586696901E-2</v>
      </c>
      <c r="K5" s="6">
        <v>0.27557732059741852</v>
      </c>
      <c r="L5" s="6">
        <v>-0.429803895577967</v>
      </c>
      <c r="M5" s="6">
        <v>0.32349590077241003</v>
      </c>
      <c r="N5" s="6">
        <v>-0.34825072939559049</v>
      </c>
      <c r="O5" s="6">
        <v>-9.75267647927303E-2</v>
      </c>
      <c r="P5" s="6">
        <v>0.39540466236699251</v>
      </c>
      <c r="Q5" s="6">
        <v>4.8478108376362662E-2</v>
      </c>
      <c r="R5" s="6">
        <v>-9.8985600985133329E-2</v>
      </c>
      <c r="S5" s="6">
        <v>0.305793727896155</v>
      </c>
      <c r="T5" s="6">
        <v>7.2165930759538061E-2</v>
      </c>
      <c r="U5" s="6">
        <v>-4.9009230430883954E-4</v>
      </c>
      <c r="V5" s="6">
        <v>-0.13929554545575701</v>
      </c>
      <c r="W5" s="6">
        <v>-0.39469257513977751</v>
      </c>
      <c r="X5" s="6">
        <v>-0.12931156060545229</v>
      </c>
      <c r="Y5" s="6">
        <v>-0.68125891047001907</v>
      </c>
      <c r="Z5" s="6">
        <v>-4.1938156243548769E-3</v>
      </c>
      <c r="AA5" s="6">
        <v>1.8560125119517271E-2</v>
      </c>
      <c r="AB5" s="6">
        <v>0.20113094605220941</v>
      </c>
      <c r="AC5" s="6">
        <v>-8.9483378930757945E-2</v>
      </c>
      <c r="AD5" s="6">
        <v>0.1451410860629446</v>
      </c>
      <c r="AE5" s="6">
        <v>7.4624119096799141E-2</v>
      </c>
      <c r="AF5" s="6">
        <v>0.17580443763613759</v>
      </c>
      <c r="AG5" s="6">
        <v>-0.30331265835277282</v>
      </c>
      <c r="AH5" s="6">
        <v>-0.3483397071352336</v>
      </c>
      <c r="AI5" s="6">
        <v>0.25873608106819568</v>
      </c>
      <c r="AJ5" s="6">
        <v>-0.48879761544229228</v>
      </c>
      <c r="AK5" s="6">
        <v>0.13252874976468179</v>
      </c>
      <c r="AL5" s="6">
        <v>-2.3800153911279789E-2</v>
      </c>
      <c r="AM5" s="6">
        <v>1.173620113508929E-2</v>
      </c>
      <c r="AN5" s="6">
        <v>-7.4812103146932943E-2</v>
      </c>
      <c r="AO5" s="6">
        <v>0.1844777721646908</v>
      </c>
      <c r="AP5" s="6">
        <v>3.2454138263480981E-2</v>
      </c>
      <c r="AQ5" s="6">
        <v>0.15120275047085749</v>
      </c>
      <c r="AR5" s="6">
        <v>-9.5283188802216146E-2</v>
      </c>
      <c r="AS5" s="6">
        <v>-0.1260032609462903</v>
      </c>
      <c r="AT5" s="6">
        <v>0.1516753034210738</v>
      </c>
      <c r="AU5" s="6">
        <v>-0.2007889112295945</v>
      </c>
      <c r="AV5" s="6">
        <v>7.8901861222600136E-2</v>
      </c>
      <c r="AW5" s="6">
        <v>6.6907089587781021E-4</v>
      </c>
      <c r="AX5" s="6">
        <v>0.1123518508204545</v>
      </c>
      <c r="AY5" s="6">
        <v>-0.11800901394968941</v>
      </c>
      <c r="AZ5" s="6">
        <v>0.20623475003072961</v>
      </c>
      <c r="BA5" s="6">
        <v>-3.97937801882461E-2</v>
      </c>
      <c r="BB5" s="6">
        <v>8.3008355637714748E-2</v>
      </c>
      <c r="BC5" s="6">
        <v>-0.13000300529739819</v>
      </c>
      <c r="BD5" s="6">
        <v>-0.1064312900594583</v>
      </c>
      <c r="BE5" s="6">
        <v>0.1158849362838152</v>
      </c>
      <c r="BF5" s="6">
        <v>-0.28526717215295749</v>
      </c>
      <c r="BG5" s="6">
        <v>-0.1509842362786851</v>
      </c>
      <c r="BH5" s="6">
        <v>2.9341057503422599E-3</v>
      </c>
      <c r="BI5" s="6">
        <v>5.8262514508516133E-2</v>
      </c>
      <c r="BJ5" s="6">
        <v>-0.25989264623200092</v>
      </c>
      <c r="BK5" s="6">
        <v>0.18474040199136449</v>
      </c>
      <c r="BL5" s="6">
        <v>-0.26914540554674848</v>
      </c>
      <c r="BM5" s="6">
        <v>0.17150836470177749</v>
      </c>
      <c r="BN5" s="6">
        <v>-0.18088850446581761</v>
      </c>
      <c r="BO5" s="6">
        <v>-6.3206745350197338E-2</v>
      </c>
      <c r="BP5" s="6">
        <v>7.1774957077323495E-2</v>
      </c>
      <c r="BQ5" s="6">
        <v>-0.1686195689897588</v>
      </c>
      <c r="BR5" s="6">
        <v>-2.545873273363362E-2</v>
      </c>
      <c r="BS5" s="6">
        <v>0.1245446019666267</v>
      </c>
      <c r="BT5" s="6">
        <v>0.20782503929497201</v>
      </c>
      <c r="BU5" s="6">
        <v>-6.0037446829220693E-2</v>
      </c>
      <c r="BV5" s="6">
        <v>-5.1905003051803483E-2</v>
      </c>
      <c r="BW5" s="6">
        <v>-0.12680819125864681</v>
      </c>
      <c r="BX5" s="6">
        <v>-0.1052510446788132</v>
      </c>
      <c r="BY5" s="6">
        <v>5.3601773045040088E-2</v>
      </c>
      <c r="BZ5" s="6">
        <v>-3.4388144014312297E-2</v>
      </c>
      <c r="CA5" s="6">
        <v>-2.0069736378605839E-2</v>
      </c>
      <c r="CB5" s="6">
        <v>8.4300430524421641E-2</v>
      </c>
      <c r="CC5" s="6">
        <v>-0.110410835022124</v>
      </c>
      <c r="CD5" s="6">
        <v>0.32740031270766617</v>
      </c>
      <c r="CE5" s="6">
        <v>-1.5012168586274939E-2</v>
      </c>
      <c r="CF5" s="6">
        <v>-0.14937021175902551</v>
      </c>
      <c r="CG5" s="6">
        <v>0.16297301454092969</v>
      </c>
      <c r="CH5" s="6">
        <v>-6.896103144523659E-2</v>
      </c>
      <c r="CI5" s="6">
        <v>-0.11541146458518491</v>
      </c>
      <c r="CJ5" s="6">
        <v>-0.26303527345610228</v>
      </c>
      <c r="CK5" s="6">
        <v>0.37924960384624179</v>
      </c>
      <c r="CL5" s="6">
        <v>-7.6790699983737498E-2</v>
      </c>
      <c r="CM5" s="6">
        <v>4.2652506298582429E-2</v>
      </c>
      <c r="CN5" s="6">
        <v>-0.1516858867131603</v>
      </c>
      <c r="CO5" s="6">
        <v>0.43724307982140581</v>
      </c>
      <c r="CP5" s="6">
        <v>-3.9926150423868351E-3</v>
      </c>
      <c r="CQ5" s="6">
        <v>-0.49916489273431458</v>
      </c>
      <c r="CR5" s="6">
        <v>0.33988683275055442</v>
      </c>
      <c r="CS5" s="6">
        <v>-0.18986441617449731</v>
      </c>
      <c r="CT5" s="6">
        <v>0.2246321236344469</v>
      </c>
      <c r="CU5" s="6">
        <v>-0.25170889936125151</v>
      </c>
      <c r="CV5" s="6">
        <v>-6.0592355965027593E-2</v>
      </c>
      <c r="CW5" s="6">
        <v>0.2109010090070762</v>
      </c>
      <c r="CX5" s="6">
        <v>0.25025019061541082</v>
      </c>
      <c r="CY5" s="6">
        <v>-0.52414963758384503</v>
      </c>
      <c r="CZ5" s="6">
        <v>0.82142749669553927</v>
      </c>
      <c r="DA5" s="6">
        <v>-0.17651348566266811</v>
      </c>
      <c r="DB5" s="6">
        <v>0.13125649202051129</v>
      </c>
      <c r="DC5" s="6">
        <v>0.17576145031796331</v>
      </c>
      <c r="DD5" s="6">
        <v>-0.42086343262939768</v>
      </c>
      <c r="DE5" s="6">
        <v>-0.22795497779214821</v>
      </c>
      <c r="DF5" s="6">
        <v>-0.3368819221783515</v>
      </c>
      <c r="DG5" s="6">
        <v>-0.44413532346609758</v>
      </c>
      <c r="DH5" s="6">
        <v>-4.27982998765781E-2</v>
      </c>
      <c r="DI5" s="6">
        <v>0.30948159020781918</v>
      </c>
      <c r="DJ5" s="6">
        <v>-0.28667223643824391</v>
      </c>
      <c r="DK5" s="6">
        <v>0.84630493967791443</v>
      </c>
      <c r="DL5" s="6">
        <v>-0.1693329876927529</v>
      </c>
      <c r="DM5" s="6">
        <v>-0.4391099461359883</v>
      </c>
      <c r="DN5" s="6">
        <v>0.74761868532509412</v>
      </c>
      <c r="DO5" s="6">
        <v>-0.40009342240963602</v>
      </c>
      <c r="DP5" s="6">
        <v>-4.4799489944027257E-2</v>
      </c>
      <c r="DQ5" s="6">
        <v>-0.58861281581662461</v>
      </c>
      <c r="DR5" s="6">
        <v>-6.4257074862891627E-3</v>
      </c>
      <c r="DS5" s="6">
        <v>-0.19880266564910609</v>
      </c>
      <c r="DT5" s="6">
        <v>0.41307307328401038</v>
      </c>
      <c r="DU5" s="6">
        <v>-0.17063643177968549</v>
      </c>
      <c r="DV5" s="6">
        <v>0.68807702540912619</v>
      </c>
      <c r="DW5" s="6">
        <v>4.0827356191794333E-2</v>
      </c>
      <c r="DX5" s="6">
        <v>-0.1999673354250954</v>
      </c>
      <c r="DY5" s="6">
        <v>0.56631330445582462</v>
      </c>
      <c r="DZ5" s="6">
        <v>0.47368914822135011</v>
      </c>
      <c r="EA5" s="6">
        <v>9.5631863057402539E-2</v>
      </c>
      <c r="EB5" s="6">
        <v>-1.0762939402606311</v>
      </c>
      <c r="EC5" s="6">
        <v>-0.13598026508787489</v>
      </c>
      <c r="ED5" s="6">
        <v>-0.2734944373108647</v>
      </c>
      <c r="EE5" s="6">
        <v>0.6014180383447254</v>
      </c>
      <c r="EF5" s="6">
        <v>6.7940871428030583E-3</v>
      </c>
    </row>
    <row r="7" spans="1:136">
      <c r="A7" t="s">
        <v>203</v>
      </c>
    </row>
    <row r="8" spans="1:136">
      <c r="B8" t="s">
        <v>0</v>
      </c>
      <c r="C8" t="s">
        <v>1</v>
      </c>
      <c r="D8" t="s">
        <v>2</v>
      </c>
      <c r="E8" t="s">
        <v>3</v>
      </c>
      <c r="F8" t="s">
        <v>4</v>
      </c>
      <c r="G8" t="s">
        <v>5</v>
      </c>
      <c r="H8" t="s">
        <v>6</v>
      </c>
      <c r="I8" t="s">
        <v>7</v>
      </c>
      <c r="J8" t="s">
        <v>8</v>
      </c>
      <c r="K8" t="s">
        <v>9</v>
      </c>
      <c r="L8" t="s">
        <v>10</v>
      </c>
      <c r="M8" t="s">
        <v>11</v>
      </c>
      <c r="N8" t="s">
        <v>12</v>
      </c>
      <c r="O8" t="s">
        <v>13</v>
      </c>
      <c r="P8" t="s">
        <v>14</v>
      </c>
      <c r="Q8" t="s">
        <v>15</v>
      </c>
      <c r="R8" t="s">
        <v>16</v>
      </c>
      <c r="S8" t="s">
        <v>17</v>
      </c>
      <c r="T8" t="s">
        <v>18</v>
      </c>
      <c r="U8" t="s">
        <v>19</v>
      </c>
      <c r="V8" t="s">
        <v>20</v>
      </c>
      <c r="W8" t="s">
        <v>21</v>
      </c>
      <c r="X8" t="s">
        <v>22</v>
      </c>
      <c r="Y8" t="s">
        <v>23</v>
      </c>
      <c r="Z8" t="s">
        <v>24</v>
      </c>
      <c r="AA8" t="s">
        <v>25</v>
      </c>
      <c r="AB8" t="s">
        <v>26</v>
      </c>
      <c r="AC8" t="s">
        <v>27</v>
      </c>
      <c r="AD8" t="s">
        <v>28</v>
      </c>
      <c r="AE8" t="s">
        <v>29</v>
      </c>
      <c r="AF8" t="s">
        <v>30</v>
      </c>
      <c r="AG8" t="s">
        <v>31</v>
      </c>
      <c r="AH8" t="s">
        <v>32</v>
      </c>
      <c r="AI8" t="s">
        <v>33</v>
      </c>
      <c r="AJ8" t="s">
        <v>34</v>
      </c>
      <c r="AK8" t="s">
        <v>35</v>
      </c>
      <c r="AL8" t="s">
        <v>36</v>
      </c>
      <c r="AM8" t="s">
        <v>37</v>
      </c>
      <c r="AN8" t="s">
        <v>38</v>
      </c>
      <c r="AO8" t="s">
        <v>39</v>
      </c>
      <c r="AP8" t="s">
        <v>40</v>
      </c>
      <c r="AQ8" t="s">
        <v>41</v>
      </c>
      <c r="AR8" t="s">
        <v>42</v>
      </c>
      <c r="AS8" t="s">
        <v>43</v>
      </c>
      <c r="AT8" t="s">
        <v>44</v>
      </c>
      <c r="AU8" t="s">
        <v>45</v>
      </c>
      <c r="AV8" t="s">
        <v>46</v>
      </c>
      <c r="AW8" t="s">
        <v>47</v>
      </c>
      <c r="AX8" t="s">
        <v>48</v>
      </c>
      <c r="AY8" t="s">
        <v>49</v>
      </c>
      <c r="AZ8" t="s">
        <v>50</v>
      </c>
      <c r="BA8" t="s">
        <v>51</v>
      </c>
      <c r="BB8" t="s">
        <v>52</v>
      </c>
      <c r="BC8" t="s">
        <v>53</v>
      </c>
      <c r="BD8" t="s">
        <v>54</v>
      </c>
      <c r="BE8" t="s">
        <v>55</v>
      </c>
      <c r="BF8" t="s">
        <v>56</v>
      </c>
      <c r="BG8" t="s">
        <v>57</v>
      </c>
      <c r="BH8" t="s">
        <v>58</v>
      </c>
      <c r="BI8" t="s">
        <v>59</v>
      </c>
      <c r="BJ8" t="s">
        <v>60</v>
      </c>
      <c r="BK8" t="s">
        <v>61</v>
      </c>
      <c r="BL8" t="s">
        <v>62</v>
      </c>
      <c r="BM8" t="s">
        <v>63</v>
      </c>
      <c r="BN8" t="s">
        <v>64</v>
      </c>
      <c r="BO8" t="s">
        <v>65</v>
      </c>
      <c r="BP8" t="s">
        <v>66</v>
      </c>
      <c r="BQ8" t="s">
        <v>67</v>
      </c>
      <c r="BR8" t="s">
        <v>68</v>
      </c>
      <c r="BS8" t="s">
        <v>69</v>
      </c>
      <c r="BT8" t="s">
        <v>70</v>
      </c>
      <c r="BU8" t="s">
        <v>71</v>
      </c>
      <c r="BV8" t="s">
        <v>72</v>
      </c>
      <c r="BW8" t="s">
        <v>73</v>
      </c>
      <c r="BX8" t="s">
        <v>74</v>
      </c>
      <c r="BY8" t="s">
        <v>75</v>
      </c>
      <c r="BZ8" t="s">
        <v>76</v>
      </c>
      <c r="CA8" t="s">
        <v>77</v>
      </c>
      <c r="CB8" t="s">
        <v>78</v>
      </c>
      <c r="CC8" t="s">
        <v>79</v>
      </c>
      <c r="CD8" t="s">
        <v>80</v>
      </c>
      <c r="CE8" t="s">
        <v>81</v>
      </c>
      <c r="CF8" t="s">
        <v>82</v>
      </c>
      <c r="CG8" t="s">
        <v>83</v>
      </c>
      <c r="CH8" t="s">
        <v>84</v>
      </c>
      <c r="CI8" t="s">
        <v>85</v>
      </c>
      <c r="CJ8" t="s">
        <v>86</v>
      </c>
      <c r="CK8" t="s">
        <v>87</v>
      </c>
      <c r="CL8" t="s">
        <v>88</v>
      </c>
      <c r="CM8" t="s">
        <v>89</v>
      </c>
      <c r="CN8" t="s">
        <v>90</v>
      </c>
      <c r="CO8" t="s">
        <v>91</v>
      </c>
      <c r="CP8" t="s">
        <v>92</v>
      </c>
      <c r="CQ8" t="s">
        <v>93</v>
      </c>
      <c r="CR8" t="s">
        <v>94</v>
      </c>
      <c r="CS8" t="s">
        <v>95</v>
      </c>
      <c r="CT8" t="s">
        <v>96</v>
      </c>
      <c r="CU8" t="s">
        <v>97</v>
      </c>
      <c r="CV8" t="s">
        <v>98</v>
      </c>
      <c r="CW8" t="s">
        <v>99</v>
      </c>
      <c r="CX8" t="s">
        <v>100</v>
      </c>
      <c r="CY8" t="s">
        <v>101</v>
      </c>
      <c r="CZ8" t="s">
        <v>102</v>
      </c>
      <c r="DA8" t="s">
        <v>103</v>
      </c>
      <c r="DB8" t="s">
        <v>104</v>
      </c>
      <c r="DC8" t="s">
        <v>105</v>
      </c>
      <c r="DD8" t="s">
        <v>106</v>
      </c>
      <c r="DE8" t="s">
        <v>107</v>
      </c>
      <c r="DF8" t="s">
        <v>108</v>
      </c>
      <c r="DG8" t="s">
        <v>109</v>
      </c>
      <c r="DH8" t="s">
        <v>110</v>
      </c>
      <c r="DI8" t="s">
        <v>111</v>
      </c>
      <c r="DJ8" t="s">
        <v>112</v>
      </c>
      <c r="DK8" t="s">
        <v>113</v>
      </c>
      <c r="DL8" t="s">
        <v>114</v>
      </c>
      <c r="DM8" t="s">
        <v>115</v>
      </c>
      <c r="DN8" t="s">
        <v>116</v>
      </c>
      <c r="DO8" t="s">
        <v>117</v>
      </c>
      <c r="DP8" t="s">
        <v>118</v>
      </c>
      <c r="DQ8" t="s">
        <v>119</v>
      </c>
      <c r="DR8" t="s">
        <v>120</v>
      </c>
      <c r="DS8" t="s">
        <v>121</v>
      </c>
      <c r="DT8" t="s">
        <v>122</v>
      </c>
      <c r="DU8" t="s">
        <v>123</v>
      </c>
      <c r="DV8" t="s">
        <v>124</v>
      </c>
      <c r="DW8" t="s">
        <v>125</v>
      </c>
      <c r="DX8" t="s">
        <v>126</v>
      </c>
      <c r="DY8" t="s">
        <v>127</v>
      </c>
      <c r="DZ8" t="s">
        <v>128</v>
      </c>
      <c r="EA8" t="s">
        <v>129</v>
      </c>
      <c r="EB8" t="s">
        <v>130</v>
      </c>
      <c r="EC8" t="s">
        <v>131</v>
      </c>
      <c r="ED8" t="s">
        <v>132</v>
      </c>
      <c r="EE8" t="s">
        <v>133</v>
      </c>
      <c r="EF8" t="s">
        <v>134</v>
      </c>
    </row>
    <row r="9" spans="1:136">
      <c r="B9" t="s">
        <v>135</v>
      </c>
      <c r="C9" s="8">
        <v>0.109105830631824</v>
      </c>
      <c r="D9" s="8">
        <v>1.4576582608432649E-2</v>
      </c>
      <c r="E9" s="8">
        <v>-3.6154356576976902E-2</v>
      </c>
      <c r="F9" s="8">
        <v>-4.742600977062153E-3</v>
      </c>
      <c r="G9" s="8">
        <v>-5.7477531385562736E-3</v>
      </c>
      <c r="H9" s="8">
        <v>4.9378023156909527E-2</v>
      </c>
      <c r="I9" s="8">
        <v>0.18325176920476779</v>
      </c>
      <c r="J9" s="8">
        <v>0.1164863088741452</v>
      </c>
      <c r="K9" s="8">
        <v>-3.0594945598924051E-2</v>
      </c>
      <c r="L9" s="8">
        <v>1.9828051430277011E-2</v>
      </c>
      <c r="M9" s="8">
        <v>-2.0999006362740089E-2</v>
      </c>
      <c r="N9" s="8">
        <v>0.1497794247734946</v>
      </c>
      <c r="O9" s="8">
        <v>1.5463406170905081E-2</v>
      </c>
      <c r="P9" s="8">
        <v>-9.1792321477913982E-2</v>
      </c>
      <c r="Q9" s="8">
        <v>-7.7409013100986537E-2</v>
      </c>
      <c r="R9" s="8">
        <v>5.4776596014220982E-2</v>
      </c>
      <c r="S9" s="8">
        <v>-0.12533438670858049</v>
      </c>
      <c r="T9" s="8">
        <v>-0.1190534205538864</v>
      </c>
      <c r="U9" s="8">
        <v>-3.777005083138045E-2</v>
      </c>
      <c r="V9" s="8">
        <v>8.1183823152198617E-2</v>
      </c>
      <c r="W9" s="8">
        <v>8.4008967865119855E-2</v>
      </c>
      <c r="X9" s="8">
        <v>0.14701135657134901</v>
      </c>
      <c r="Y9" s="8">
        <v>-0.12536053701812139</v>
      </c>
      <c r="Z9" s="8">
        <v>0.1919535535452612</v>
      </c>
      <c r="AA9" s="8">
        <v>-8.4370782422902996E-2</v>
      </c>
      <c r="AB9" s="8">
        <v>7.2897613803716274E-2</v>
      </c>
      <c r="AC9" s="8">
        <v>0.10260456025692451</v>
      </c>
      <c r="AD9" s="8">
        <v>1.5770167253116588E-2</v>
      </c>
      <c r="AE9" s="8">
        <v>-0.15200716210156701</v>
      </c>
      <c r="AF9" s="8">
        <v>5.9250251506559243E-2</v>
      </c>
      <c r="AG9" s="8">
        <v>0.13005883770177931</v>
      </c>
      <c r="AH9" s="8">
        <v>0.11525639530312259</v>
      </c>
      <c r="AI9" s="8">
        <v>3.2606621901195412E-2</v>
      </c>
      <c r="AJ9" s="8">
        <v>2.79991148643382E-2</v>
      </c>
      <c r="AK9" s="8">
        <v>0.14657041796408479</v>
      </c>
      <c r="AL9" s="8">
        <v>4.0841921466891577E-2</v>
      </c>
      <c r="AM9" s="8">
        <v>0.13137636706820099</v>
      </c>
      <c r="AN9" s="8">
        <v>0.22143295930140211</v>
      </c>
      <c r="AO9" s="8">
        <v>-2.0941038924054418E-2</v>
      </c>
      <c r="AP9" s="8">
        <v>-0.13715995040864579</v>
      </c>
      <c r="AQ9" s="8">
        <v>-2.4882854865750599E-2</v>
      </c>
      <c r="AR9" s="8">
        <v>1.551397070984222E-2</v>
      </c>
      <c r="AS9" s="8">
        <v>3.4373036510765703E-2</v>
      </c>
      <c r="AT9" s="8">
        <v>6.3095686135752824E-2</v>
      </c>
      <c r="AU9" s="8">
        <v>4.3237695395113553E-2</v>
      </c>
      <c r="AV9" s="8">
        <v>-7.4230367380587331E-2</v>
      </c>
      <c r="AW9" s="8">
        <v>2.7994827208502701E-2</v>
      </c>
      <c r="AX9" s="8">
        <v>0.1198644178103629</v>
      </c>
      <c r="AY9" s="8">
        <v>7.6559571245744709E-2</v>
      </c>
      <c r="AZ9" s="8">
        <v>-2.1730386111293399E-2</v>
      </c>
      <c r="BA9" s="8">
        <v>-1.2464632784982711E-3</v>
      </c>
      <c r="BB9" s="8">
        <v>0.10099582217884891</v>
      </c>
      <c r="BC9" s="8">
        <v>2.9826929857085831E-2</v>
      </c>
      <c r="BD9" s="8">
        <v>8.6757683796749117E-3</v>
      </c>
      <c r="BE9" s="8">
        <v>6.8557206018591665E-2</v>
      </c>
      <c r="BF9" s="8">
        <v>0.15691259652648329</v>
      </c>
      <c r="BG9" s="8">
        <v>0.1592037331379933</v>
      </c>
      <c r="BH9" s="8">
        <v>6.1121667651573217E-2</v>
      </c>
      <c r="BI9" s="8">
        <v>9.6912851275401127E-2</v>
      </c>
      <c r="BJ9" s="8">
        <v>-5.4746248471514068E-2</v>
      </c>
      <c r="BK9" s="8">
        <v>-8.7492963132843785E-2</v>
      </c>
      <c r="BL9" s="8">
        <v>9.4426745861656128E-2</v>
      </c>
      <c r="BM9" s="8">
        <v>-2.2191058729398399E-2</v>
      </c>
      <c r="BN9" s="8">
        <v>1.562861243910833E-2</v>
      </c>
      <c r="BO9" s="8">
        <v>8.1418240100881306E-2</v>
      </c>
      <c r="BP9" s="8">
        <v>-1.8508942424783719E-2</v>
      </c>
      <c r="BQ9" s="8">
        <v>6.8729568027927734E-2</v>
      </c>
      <c r="BR9" s="8">
        <v>3.1023605185006549E-3</v>
      </c>
      <c r="BS9" s="8">
        <v>7.4964417651561921E-2</v>
      </c>
      <c r="BT9" s="8">
        <v>4.5201587698112312E-2</v>
      </c>
      <c r="BU9" s="8">
        <v>2.5677329398223779E-2</v>
      </c>
      <c r="BV9" s="8">
        <v>9.180403106274436E-2</v>
      </c>
      <c r="BW9" s="8">
        <v>-2.6353999034970911E-2</v>
      </c>
      <c r="BX9" s="8">
        <v>1.9394832235212069E-2</v>
      </c>
      <c r="BY9" s="8">
        <v>-7.6838899317359197E-2</v>
      </c>
      <c r="BZ9" s="8">
        <v>0.1133093139289441</v>
      </c>
      <c r="CA9" s="8">
        <v>-0.10735493495839039</v>
      </c>
      <c r="CB9" s="8">
        <v>4.0844788501696747E-2</v>
      </c>
      <c r="CC9" s="8">
        <v>-1.9801708972640539E-2</v>
      </c>
      <c r="CD9" s="8">
        <v>0.1883770899619405</v>
      </c>
      <c r="CE9" s="8">
        <v>5.5574905720929421E-2</v>
      </c>
      <c r="CF9" s="8">
        <v>7.4872074365934668E-2</v>
      </c>
      <c r="CG9" s="8">
        <v>0.1000001919024945</v>
      </c>
      <c r="CH9" s="8">
        <v>0.1360217220005796</v>
      </c>
      <c r="CI9" s="8">
        <v>-9.3741014702459921E-2</v>
      </c>
      <c r="CJ9" s="8">
        <v>3.9305991202356373E-3</v>
      </c>
      <c r="CK9" s="8">
        <v>5.6507776574398372E-2</v>
      </c>
      <c r="CL9" s="8">
        <v>0.26354577822564818</v>
      </c>
      <c r="CM9" s="8">
        <v>-9.5554349157474378E-3</v>
      </c>
      <c r="CN9" s="8">
        <v>-3.1511899508967982E-2</v>
      </c>
      <c r="CO9" s="8">
        <v>-2.2619031528730349E-2</v>
      </c>
      <c r="CP9" s="8">
        <v>0.13265560934539161</v>
      </c>
      <c r="CQ9" s="8">
        <v>0.1330727797426777</v>
      </c>
      <c r="CR9" s="8">
        <v>-1.4956408370414089E-2</v>
      </c>
      <c r="CS9" s="8">
        <v>-3.3419937997587537E-2</v>
      </c>
      <c r="CT9" s="8">
        <v>1.228120855821169E-2</v>
      </c>
      <c r="CU9" s="8">
        <v>0.11681498356736621</v>
      </c>
      <c r="CV9" s="8">
        <v>-3.1589453565969692E-3</v>
      </c>
      <c r="CW9" s="8">
        <v>3.8217758352757383E-2</v>
      </c>
      <c r="CX9" s="8">
        <v>0.13917409482071269</v>
      </c>
      <c r="CY9" s="8">
        <v>-2.3712287606589749E-2</v>
      </c>
      <c r="CZ9" s="8">
        <v>0.21835291106172269</v>
      </c>
      <c r="DA9" s="8">
        <v>-5.796736233046404E-2</v>
      </c>
      <c r="DB9" s="8">
        <v>-1.410421852050941E-2</v>
      </c>
      <c r="DC9" s="8">
        <v>0.11395608079284369</v>
      </c>
      <c r="DD9" s="8">
        <v>7.4472261891957006E-2</v>
      </c>
      <c r="DE9" s="8">
        <v>-8.9969275376677231E-4</v>
      </c>
      <c r="DF9" s="8">
        <v>9.7707180382245536E-4</v>
      </c>
      <c r="DG9" s="8">
        <v>-7.2980095070914866E-2</v>
      </c>
      <c r="DH9" s="8">
        <v>-2.384528684741952E-2</v>
      </c>
      <c r="DI9" s="8">
        <v>-0.101530671996864</v>
      </c>
      <c r="DJ9" s="8">
        <v>2.7692536462605249E-2</v>
      </c>
      <c r="DK9" s="8">
        <v>-4.9335152901351147E-2</v>
      </c>
      <c r="DL9" s="8">
        <v>-5.6993575669654463E-3</v>
      </c>
      <c r="DM9" s="8">
        <v>-3.698176006290884E-2</v>
      </c>
      <c r="DN9" s="8">
        <v>0.1098129862949979</v>
      </c>
      <c r="DO9" s="8">
        <v>4.2036825231170707E-2</v>
      </c>
      <c r="DP9" s="8">
        <v>8.4566668006112469E-2</v>
      </c>
      <c r="DQ9" s="8">
        <v>-0.11027981086457481</v>
      </c>
      <c r="DR9" s="8">
        <v>9.4328709127723676E-2</v>
      </c>
      <c r="DS9" s="8">
        <v>-7.1906912609422696E-2</v>
      </c>
      <c r="DT9" s="8">
        <v>-9.6236429507091506E-2</v>
      </c>
      <c r="DU9" s="8">
        <v>2.3455494098847921E-3</v>
      </c>
      <c r="DV9" s="8">
        <v>0.13401742358239299</v>
      </c>
      <c r="DW9" s="8">
        <v>9.4732519114383587E-2</v>
      </c>
      <c r="DX9" s="8">
        <v>-0.1037731978548066</v>
      </c>
      <c r="DY9" s="8">
        <v>7.5762154171076845E-2</v>
      </c>
      <c r="DZ9" s="8">
        <v>-3.1829720434029513E-2</v>
      </c>
      <c r="EA9" s="8">
        <v>0.16130801932992569</v>
      </c>
      <c r="EB9" s="8">
        <v>1.020353315832318E-2</v>
      </c>
      <c r="EC9" s="8">
        <v>7.3988425168607055E-2</v>
      </c>
      <c r="ED9" s="8">
        <v>-0.15737687498945321</v>
      </c>
      <c r="EE9" s="8">
        <v>7.9137553498671423E-2</v>
      </c>
      <c r="EF9" s="8">
        <v>7.252854687485949E-2</v>
      </c>
    </row>
    <row r="10" spans="1:136">
      <c r="B10" t="s">
        <v>136</v>
      </c>
      <c r="C10" s="8">
        <v>-0.24758870953733739</v>
      </c>
      <c r="D10" s="8">
        <v>-0.27469330301591988</v>
      </c>
      <c r="E10" s="8">
        <v>-8.4648385226775952E-2</v>
      </c>
      <c r="F10" s="8">
        <v>2.264463125499239E-2</v>
      </c>
      <c r="G10" s="8">
        <v>-4.968000079578011E-2</v>
      </c>
      <c r="H10" s="8">
        <v>-0.100759633161552</v>
      </c>
      <c r="I10" s="8">
        <v>-1.2522721374844691E-2</v>
      </c>
      <c r="J10" s="8">
        <v>7.8736550465264579E-2</v>
      </c>
      <c r="K10" s="8">
        <v>-3.418510024326199E-2</v>
      </c>
      <c r="L10" s="8">
        <v>8.8406797789969321E-2</v>
      </c>
      <c r="M10" s="8">
        <v>-3.063454560011507E-3</v>
      </c>
      <c r="N10" s="8">
        <v>-0.21221799304980321</v>
      </c>
      <c r="O10" s="8">
        <v>-3.6805388582279122E-2</v>
      </c>
      <c r="P10" s="8">
        <v>7.1033118877316462E-2</v>
      </c>
      <c r="Q10" s="8">
        <v>-7.1261132998910126E-2</v>
      </c>
      <c r="R10" s="8">
        <v>2.1560446706208151E-2</v>
      </c>
      <c r="S10" s="8">
        <v>0.10111125807516751</v>
      </c>
      <c r="T10" s="8">
        <v>4.3224739792793003E-2</v>
      </c>
      <c r="U10" s="8">
        <v>1.488194958969411E-2</v>
      </c>
      <c r="V10" s="8">
        <v>6.3260243037239986E-3</v>
      </c>
      <c r="W10" s="8">
        <v>-0.1435529784595129</v>
      </c>
      <c r="X10" s="8">
        <v>-6.4282172013507929E-2</v>
      </c>
      <c r="Y10" s="8">
        <v>-1.9034202878042191E-2</v>
      </c>
      <c r="Z10" s="8">
        <v>-2.0644556245472189E-2</v>
      </c>
      <c r="AA10" s="8">
        <v>3.3059540377865217E-2</v>
      </c>
      <c r="AB10" s="8">
        <v>-1.9418226776777941E-2</v>
      </c>
      <c r="AC10" s="8">
        <v>-6.3126838764061721E-2</v>
      </c>
      <c r="AD10" s="8">
        <v>-6.5629712146108229E-2</v>
      </c>
      <c r="AE10" s="8">
        <v>0.1379956892668254</v>
      </c>
      <c r="AF10" s="8">
        <v>-0.1005679184552228</v>
      </c>
      <c r="AG10" s="8">
        <v>-3.7969091150733998E-2</v>
      </c>
      <c r="AH10" s="8">
        <v>-4.5839537807496208E-2</v>
      </c>
      <c r="AI10" s="8">
        <v>-5.1034095516539722E-2</v>
      </c>
      <c r="AJ10" s="8">
        <v>-3.2204408877165632E-3</v>
      </c>
      <c r="AK10" s="8">
        <v>4.8952958975013116E-4</v>
      </c>
      <c r="AL10" s="8">
        <v>-0.1064467536119352</v>
      </c>
      <c r="AM10" s="8">
        <v>-1.3723973583554899E-2</v>
      </c>
      <c r="AN10" s="8">
        <v>-0.1219647076543238</v>
      </c>
      <c r="AO10" s="8">
        <v>-4.858966597382592E-2</v>
      </c>
      <c r="AP10" s="8">
        <v>-1.903150433663008E-3</v>
      </c>
      <c r="AQ10" s="8">
        <v>2.9067484813314101E-2</v>
      </c>
      <c r="AR10" s="8">
        <v>5.2635776863899968E-2</v>
      </c>
      <c r="AS10" s="8">
        <v>-1.289325857571229E-2</v>
      </c>
      <c r="AT10" s="8">
        <v>-2.131134772842519E-3</v>
      </c>
      <c r="AU10" s="8">
        <v>-0.15538438197178719</v>
      </c>
      <c r="AV10" s="8">
        <v>1.268178414302561E-2</v>
      </c>
      <c r="AW10" s="8">
        <v>-1.1942321618877561E-2</v>
      </c>
      <c r="AX10" s="8">
        <v>-4.2537914968475456E-3</v>
      </c>
      <c r="AY10" s="8">
        <v>2.930087158954232E-2</v>
      </c>
      <c r="AZ10" s="8">
        <v>-0.13412750113921701</v>
      </c>
      <c r="BA10" s="8">
        <v>-0.13711152966130111</v>
      </c>
      <c r="BB10" s="8">
        <v>1.7546605068716691E-3</v>
      </c>
      <c r="BC10" s="8">
        <v>2.5117126105990401E-2</v>
      </c>
      <c r="BD10" s="8">
        <v>-0.11960190660895841</v>
      </c>
      <c r="BE10" s="8">
        <v>0.1357616496399312</v>
      </c>
      <c r="BF10" s="8">
        <v>4.7091161676368357E-2</v>
      </c>
      <c r="BG10" s="8">
        <v>-2.605004393557599E-2</v>
      </c>
      <c r="BH10" s="8">
        <v>4.3752773670266483E-2</v>
      </c>
      <c r="BI10" s="8">
        <v>-8.1391827895093402E-2</v>
      </c>
      <c r="BJ10" s="8">
        <v>-0.10060082155953699</v>
      </c>
      <c r="BK10" s="8">
        <v>9.0490079041763594E-2</v>
      </c>
      <c r="BL10" s="8">
        <v>-3.0898458704964389E-2</v>
      </c>
      <c r="BM10" s="8">
        <v>5.8814186622603987E-2</v>
      </c>
      <c r="BN10" s="8">
        <v>8.1345639246770615E-2</v>
      </c>
      <c r="BO10" s="8">
        <v>-7.7164168976593351E-3</v>
      </c>
      <c r="BP10" s="8">
        <v>0.1067348704344353</v>
      </c>
      <c r="BQ10" s="8">
        <v>-2.7156341096342261E-2</v>
      </c>
      <c r="BR10" s="8">
        <v>-5.4431018659150447E-2</v>
      </c>
      <c r="BS10" s="8">
        <v>-6.822927751511014E-2</v>
      </c>
      <c r="BT10" s="8">
        <v>9.8612222991557266E-2</v>
      </c>
      <c r="BU10" s="8">
        <v>0.1283985422991091</v>
      </c>
      <c r="BV10" s="8">
        <v>-7.8402519476778718E-2</v>
      </c>
      <c r="BW10" s="8">
        <v>-0.1191337216524913</v>
      </c>
      <c r="BX10" s="8">
        <v>-4.6890096077604589E-2</v>
      </c>
      <c r="BY10" s="8">
        <v>0.10169834364209621</v>
      </c>
      <c r="BZ10" s="8">
        <v>-2.5680084240218899E-2</v>
      </c>
      <c r="CA10" s="8">
        <v>-8.3301790010408508E-2</v>
      </c>
      <c r="CB10" s="8">
        <v>-0.15782764847875469</v>
      </c>
      <c r="CC10" s="8">
        <v>-7.1052571704280934E-2</v>
      </c>
      <c r="CD10" s="8">
        <v>-7.3875492145199798E-2</v>
      </c>
      <c r="CE10" s="8">
        <v>-0.23678647002516851</v>
      </c>
      <c r="CF10" s="8">
        <v>3.2627706277002622E-2</v>
      </c>
      <c r="CG10" s="8">
        <v>1.3423084626575861E-2</v>
      </c>
      <c r="CH10" s="8">
        <v>-2.7966658799032269E-3</v>
      </c>
      <c r="CI10" s="8">
        <v>4.7925699911805238E-2</v>
      </c>
      <c r="CJ10" s="8">
        <v>-3.2520192681292038E-3</v>
      </c>
      <c r="CK10" s="8">
        <v>-7.570819035307215E-2</v>
      </c>
      <c r="CL10" s="8">
        <v>-4.439725585073561E-2</v>
      </c>
      <c r="CM10" s="8">
        <v>0.17898858319392719</v>
      </c>
      <c r="CN10" s="8">
        <v>5.799426642317386E-2</v>
      </c>
      <c r="CO10" s="8">
        <v>-0.13939018969183081</v>
      </c>
      <c r="CP10" s="8">
        <v>6.4714670503515537E-2</v>
      </c>
      <c r="CQ10" s="8">
        <v>-0.18118788880647541</v>
      </c>
      <c r="CR10" s="8">
        <v>-8.8633532328162568E-2</v>
      </c>
      <c r="CS10" s="8">
        <v>-2.532177470861038E-2</v>
      </c>
      <c r="CT10" s="8">
        <v>-0.11307907407472829</v>
      </c>
      <c r="CU10" s="8">
        <v>8.095957294189474E-3</v>
      </c>
      <c r="CV10" s="8">
        <v>-4.5200208394220349E-2</v>
      </c>
      <c r="CW10" s="8">
        <v>-5.8941225467328592E-2</v>
      </c>
      <c r="CX10" s="8">
        <v>-0.1077283016776811</v>
      </c>
      <c r="CY10" s="8">
        <v>-9.6503499496267492E-2</v>
      </c>
      <c r="CZ10" s="8">
        <v>-0.2103543453191653</v>
      </c>
      <c r="DA10" s="8">
        <v>-0.10996113735654101</v>
      </c>
      <c r="DB10" s="8">
        <v>-0.1908204716293295</v>
      </c>
      <c r="DC10" s="8">
        <v>-2.0727272402408872E-2</v>
      </c>
      <c r="DD10" s="8">
        <v>8.7029095351123936E-2</v>
      </c>
      <c r="DE10" s="8">
        <v>8.2024592921593045E-2</v>
      </c>
      <c r="DF10" s="8">
        <v>-0.166876664789437</v>
      </c>
      <c r="DG10" s="8">
        <v>0.22243808581717431</v>
      </c>
      <c r="DH10" s="8">
        <v>-0.144297746243673</v>
      </c>
      <c r="DI10" s="8">
        <v>-0.1196199522370443</v>
      </c>
      <c r="DJ10" s="8">
        <v>-0.10159274396951661</v>
      </c>
      <c r="DK10" s="8">
        <v>9.2855058740681395E-2</v>
      </c>
      <c r="DL10" s="8">
        <v>-4.2630490096108087E-2</v>
      </c>
      <c r="DM10" s="8">
        <v>8.2732072899953643E-2</v>
      </c>
      <c r="DN10" s="8">
        <v>-3.1049452465540091E-2</v>
      </c>
      <c r="DO10" s="8">
        <v>-9.8141990492640205E-2</v>
      </c>
      <c r="DP10" s="8">
        <v>-0.13058888143944061</v>
      </c>
      <c r="DQ10" s="8">
        <v>4.8655718251279387E-2</v>
      </c>
      <c r="DR10" s="8">
        <v>-3.9251909935401189E-2</v>
      </c>
      <c r="DS10" s="8">
        <v>-0.1610301993932845</v>
      </c>
      <c r="DT10" s="8">
        <v>-7.8883966483063367E-2</v>
      </c>
      <c r="DU10" s="8">
        <v>0.16407715854109439</v>
      </c>
      <c r="DV10" s="8">
        <v>7.5052515397744431E-3</v>
      </c>
      <c r="DW10" s="8">
        <v>-0.1016452501185193</v>
      </c>
      <c r="DX10" s="8">
        <v>-5.6040292492535823E-2</v>
      </c>
      <c r="DY10" s="8">
        <v>-0.1066566396478186</v>
      </c>
      <c r="DZ10" s="8">
        <v>-6.9186575508287662E-2</v>
      </c>
      <c r="EA10" s="8">
        <v>-0.12618865773840809</v>
      </c>
      <c r="EB10" s="8">
        <v>-6.4737118328050736E-2</v>
      </c>
      <c r="EC10" s="8">
        <v>5.142607344157852E-2</v>
      </c>
      <c r="ED10" s="8">
        <v>3.4496728436731378E-2</v>
      </c>
      <c r="EE10" s="8">
        <v>0.15767759835539891</v>
      </c>
      <c r="EF10" s="8">
        <v>-0.12718001699129389</v>
      </c>
    </row>
    <row r="11" spans="1:136">
      <c r="B11" t="s">
        <v>137</v>
      </c>
      <c r="C11" s="8">
        <v>-5.4244781267602057E-2</v>
      </c>
      <c r="D11" s="8">
        <v>4.5377022463556939E-2</v>
      </c>
      <c r="E11" s="8">
        <v>-1.7752272607948309E-2</v>
      </c>
      <c r="F11" s="8">
        <v>-8.7687354470119203E-2</v>
      </c>
      <c r="G11" s="8">
        <v>0.1027592597916023</v>
      </c>
      <c r="H11" s="8">
        <v>2.5113717342445511E-3</v>
      </c>
      <c r="I11" s="8">
        <v>-1.8303552483615069E-2</v>
      </c>
      <c r="J11" s="8">
        <v>2.2110525104917209E-2</v>
      </c>
      <c r="K11" s="8">
        <v>7.7258045731841044E-2</v>
      </c>
      <c r="L11" s="8">
        <v>9.3440783982297517E-3</v>
      </c>
      <c r="M11" s="8">
        <v>5.3602181204841143E-2</v>
      </c>
      <c r="N11" s="8">
        <v>-6.7877357290963961E-2</v>
      </c>
      <c r="O11" s="8">
        <v>6.4929886491987929E-2</v>
      </c>
      <c r="P11" s="8">
        <v>4.8806817542238106E-3</v>
      </c>
      <c r="Q11" s="8">
        <v>1.919781824762783E-2</v>
      </c>
      <c r="R11" s="8">
        <v>-5.4653492448842392E-3</v>
      </c>
      <c r="S11" s="8">
        <v>3.6551467134004201E-2</v>
      </c>
      <c r="T11" s="8">
        <v>0.12918506866843241</v>
      </c>
      <c r="U11" s="8">
        <v>1.369240766293847E-2</v>
      </c>
      <c r="V11" s="8">
        <v>1.529525194063162E-2</v>
      </c>
      <c r="W11" s="8">
        <v>-0.10468571910271469</v>
      </c>
      <c r="X11" s="8">
        <v>-0.29384805056845642</v>
      </c>
      <c r="Y11" s="8">
        <v>5.9212485033458218E-2</v>
      </c>
      <c r="Z11" s="8">
        <v>-0.18494831245363619</v>
      </c>
      <c r="AA11" s="8">
        <v>9.8247438772127521E-2</v>
      </c>
      <c r="AB11" s="8">
        <v>-6.5734107189282197E-4</v>
      </c>
      <c r="AC11" s="8">
        <v>-0.1036861156532312</v>
      </c>
      <c r="AD11" s="8">
        <v>3.5450938075395509E-3</v>
      </c>
      <c r="AE11" s="8">
        <v>0.17560148677061019</v>
      </c>
      <c r="AF11" s="8">
        <v>-0.1550331010885124</v>
      </c>
      <c r="AG11" s="8">
        <v>-2.6328625232284051E-2</v>
      </c>
      <c r="AH11" s="8">
        <v>-4.9988101579694936E-3</v>
      </c>
      <c r="AI11" s="8">
        <v>2.8067714594873169E-2</v>
      </c>
      <c r="AJ11" s="8">
        <v>-2.2384193940381401E-2</v>
      </c>
      <c r="AK11" s="8">
        <v>-4.7020825392250949E-2</v>
      </c>
      <c r="AL11" s="8">
        <v>-0.10156151199043489</v>
      </c>
      <c r="AM11" s="8">
        <v>2.3525148704495701E-2</v>
      </c>
      <c r="AN11" s="8">
        <v>5.2525230105422573E-2</v>
      </c>
      <c r="AO11" s="8">
        <v>5.8502893637957562E-2</v>
      </c>
      <c r="AP11" s="8">
        <v>3.3447356041428761E-2</v>
      </c>
      <c r="AQ11" s="8">
        <v>1.430036545094069E-2</v>
      </c>
      <c r="AR11" s="8">
        <v>3.5903594729592501E-2</v>
      </c>
      <c r="AS11" s="8">
        <v>3.9782285287992311E-2</v>
      </c>
      <c r="AT11" s="8">
        <v>0.1484561956282951</v>
      </c>
      <c r="AU11" s="8">
        <v>-4.078729487218978E-2</v>
      </c>
      <c r="AV11" s="8">
        <v>0.13895895413073689</v>
      </c>
      <c r="AW11" s="8">
        <v>5.9863283397122782E-2</v>
      </c>
      <c r="AX11" s="8">
        <v>-0.1497898129881709</v>
      </c>
      <c r="AY11" s="8">
        <v>6.1595851435820623E-2</v>
      </c>
      <c r="AZ11" s="8">
        <v>-6.1949751488506538E-2</v>
      </c>
      <c r="BA11" s="8">
        <v>-2.389264381020083E-3</v>
      </c>
      <c r="BB11" s="8">
        <v>-0.14887029613688371</v>
      </c>
      <c r="BC11" s="8">
        <v>6.0350517971681748E-2</v>
      </c>
      <c r="BD11" s="8">
        <v>-1.468575255625916E-2</v>
      </c>
      <c r="BE11" s="8">
        <v>-0.14651529968819679</v>
      </c>
      <c r="BF11" s="8">
        <v>-0.2087626486148127</v>
      </c>
      <c r="BG11" s="8">
        <v>-0.20144325578474859</v>
      </c>
      <c r="BH11" s="8">
        <v>-0.11804991677814031</v>
      </c>
      <c r="BI11" s="8">
        <v>-7.7026576071686378E-2</v>
      </c>
      <c r="BJ11" s="8">
        <v>-3.6220317042829728E-2</v>
      </c>
      <c r="BK11" s="8">
        <v>-1.8907268725092598E-2</v>
      </c>
      <c r="BL11" s="8">
        <v>-0.17125563757433929</v>
      </c>
      <c r="BM11" s="8">
        <v>0.13291749710961351</v>
      </c>
      <c r="BN11" s="8">
        <v>-3.5907701607395578E-2</v>
      </c>
      <c r="BO11" s="8">
        <v>2.1344518209370389E-2</v>
      </c>
      <c r="BP11" s="8">
        <v>4.9634822871427897E-2</v>
      </c>
      <c r="BQ11" s="8">
        <v>-1.7211216417584319E-2</v>
      </c>
      <c r="BR11" s="8">
        <v>0.18982724311105359</v>
      </c>
      <c r="BS11" s="8">
        <v>-9.7605037382284945E-2</v>
      </c>
      <c r="BT11" s="8">
        <v>3.7831444138355132E-2</v>
      </c>
      <c r="BU11" s="8">
        <v>5.6008305208474198E-2</v>
      </c>
      <c r="BV11" s="8">
        <v>-0.1167370363031352</v>
      </c>
      <c r="BW11" s="8">
        <v>-0.1413229882478122</v>
      </c>
      <c r="BX11" s="8">
        <v>-3.3770258788579869E-3</v>
      </c>
      <c r="BY11" s="8">
        <v>0.13033606071126891</v>
      </c>
      <c r="BZ11" s="8">
        <v>3.1697731081681189E-2</v>
      </c>
      <c r="CA11" s="8">
        <v>4.0555037474470507E-2</v>
      </c>
      <c r="CB11" s="8">
        <v>-4.2037331365292897E-2</v>
      </c>
      <c r="CC11" s="8">
        <v>5.0013723389441531E-2</v>
      </c>
      <c r="CD11" s="8">
        <v>-6.8456279312897411E-2</v>
      </c>
      <c r="CE11" s="8">
        <v>-8.0832090081974353E-2</v>
      </c>
      <c r="CF11" s="8">
        <v>-1.948310790200239E-3</v>
      </c>
      <c r="CG11" s="8">
        <v>-0.1182090018050031</v>
      </c>
      <c r="CH11" s="8">
        <v>-3.67198859644461E-2</v>
      </c>
      <c r="CI11" s="8">
        <v>-8.3332793120616616E-2</v>
      </c>
      <c r="CJ11" s="8">
        <v>0.23067286701975129</v>
      </c>
      <c r="CK11" s="8">
        <v>0.1327785225954993</v>
      </c>
      <c r="CL11" s="8">
        <v>0.1412873189704931</v>
      </c>
      <c r="CM11" s="8">
        <v>-0.11268938730850959</v>
      </c>
      <c r="CN11" s="8">
        <v>0.22348855763592371</v>
      </c>
      <c r="CO11" s="8">
        <v>-0.10441916957268479</v>
      </c>
      <c r="CP11" s="8">
        <v>-1.442822447791231E-2</v>
      </c>
      <c r="CQ11" s="8">
        <v>-0.20723337326778599</v>
      </c>
      <c r="CR11" s="8">
        <v>-0.1348638695123113</v>
      </c>
      <c r="CS11" s="8">
        <v>7.3007738807373504E-2</v>
      </c>
      <c r="CT11" s="8">
        <v>-3.0218378407130288E-2</v>
      </c>
      <c r="CU11" s="8">
        <v>-0.28688917437274702</v>
      </c>
      <c r="CV11" s="8">
        <v>0.2307305381875536</v>
      </c>
      <c r="CW11" s="8">
        <v>9.1075698514216888E-2</v>
      </c>
      <c r="CX11" s="8">
        <v>-0.1224857321642277</v>
      </c>
      <c r="CY11" s="8">
        <v>7.8381925305362449E-2</v>
      </c>
      <c r="CZ11" s="8">
        <v>-4.5950103566863888E-2</v>
      </c>
      <c r="DA11" s="8">
        <v>8.2670164530151122E-2</v>
      </c>
      <c r="DB11" s="8">
        <v>0.14934927010032351</v>
      </c>
      <c r="DC11" s="8">
        <v>-4.7798705164587528E-2</v>
      </c>
      <c r="DD11" s="8">
        <v>-0.1645134604307108</v>
      </c>
      <c r="DE11" s="8">
        <v>-0.1105683533423189</v>
      </c>
      <c r="DF11" s="8">
        <v>5.7416867202733347E-2</v>
      </c>
      <c r="DG11" s="8">
        <v>-0.21489021548963169</v>
      </c>
      <c r="DH11" s="8">
        <v>6.2997155047871164E-2</v>
      </c>
      <c r="DI11" s="8">
        <v>6.7721109014009601E-2</v>
      </c>
      <c r="DJ11" s="8">
        <v>0.1188020770386063</v>
      </c>
      <c r="DK11" s="8">
        <v>7.2827306455158416E-3</v>
      </c>
      <c r="DL11" s="8">
        <v>7.1320599005857979E-2</v>
      </c>
      <c r="DM11" s="8">
        <v>2.1021900655620821E-2</v>
      </c>
      <c r="DN11" s="8">
        <v>-3.0403223939335849E-2</v>
      </c>
      <c r="DO11" s="8">
        <v>-9.694965661135331E-2</v>
      </c>
      <c r="DP11" s="8">
        <v>-0.23067649178859881</v>
      </c>
      <c r="DQ11" s="8">
        <v>0.238184312236043</v>
      </c>
      <c r="DR11" s="8">
        <v>3.5748752036958448E-3</v>
      </c>
      <c r="DS11" s="8">
        <v>0.13395561672683809</v>
      </c>
      <c r="DT11" s="8">
        <v>0.11510609642796051</v>
      </c>
      <c r="DU11" s="8">
        <v>0.1040797891887878</v>
      </c>
      <c r="DV11" s="8">
        <v>-5.4611063064875308E-2</v>
      </c>
      <c r="DW11" s="8">
        <v>-3.3290193961398547E-2</v>
      </c>
      <c r="DX11" s="8">
        <v>5.5094916778075383E-2</v>
      </c>
      <c r="DY11" s="8">
        <v>6.8793773385234666E-2</v>
      </c>
      <c r="DZ11" s="8">
        <v>1.4480773118257949E-2</v>
      </c>
      <c r="EA11" s="8">
        <v>-0.29313654086030699</v>
      </c>
      <c r="EB11" s="8">
        <v>-0.14097501940218221</v>
      </c>
      <c r="EC11" s="8">
        <v>-1.2209361583162239E-2</v>
      </c>
      <c r="ED11" s="8">
        <v>5.816768758959897E-2</v>
      </c>
      <c r="EE11" s="8">
        <v>-0.14440301349005499</v>
      </c>
      <c r="EF11" s="8">
        <v>-9.7009034240055067E-2</v>
      </c>
    </row>
    <row r="13" spans="1:136">
      <c r="A13" s="9" t="s">
        <v>204</v>
      </c>
      <c r="B13" s="9" t="s">
        <v>135</v>
      </c>
      <c r="C13" s="6">
        <f t="shared" ref="C13:AH13" si="0">(C3-C9)^2</f>
        <v>9.0391679315722159E-4</v>
      </c>
      <c r="D13" s="6">
        <f t="shared" si="0"/>
        <v>2.7310405807073373E-2</v>
      </c>
      <c r="E13" s="6">
        <f t="shared" si="0"/>
        <v>2.6742239641021305E-3</v>
      </c>
      <c r="F13" s="6">
        <f t="shared" si="0"/>
        <v>2.7661020753827335E-4</v>
      </c>
      <c r="G13" s="6">
        <f t="shared" si="0"/>
        <v>5.4838058650652354E-6</v>
      </c>
      <c r="H13" s="6">
        <f t="shared" si="0"/>
        <v>4.1993207381433228E-3</v>
      </c>
      <c r="I13" s="6">
        <f t="shared" si="0"/>
        <v>0.14459743292642124</v>
      </c>
      <c r="J13" s="6">
        <f t="shared" si="0"/>
        <v>2.6343721184316615E-2</v>
      </c>
      <c r="K13" s="6">
        <f t="shared" si="0"/>
        <v>6.1457832679454689E-4</v>
      </c>
      <c r="L13" s="6">
        <f t="shared" si="0"/>
        <v>4.5499763125976967E-3</v>
      </c>
      <c r="M13" s="6">
        <f t="shared" si="0"/>
        <v>2.474243870712012E-4</v>
      </c>
      <c r="N13" s="6">
        <f t="shared" si="0"/>
        <v>0.11598860423399783</v>
      </c>
      <c r="O13" s="6">
        <f t="shared" si="0"/>
        <v>8.7368203941756248E-2</v>
      </c>
      <c r="P13" s="6">
        <f t="shared" si="0"/>
        <v>4.2244497524287494E-2</v>
      </c>
      <c r="Q13" s="6">
        <f t="shared" si="0"/>
        <v>2.0331669262825276E-3</v>
      </c>
      <c r="R13" s="6">
        <f t="shared" si="0"/>
        <v>2.8007296278752526E-2</v>
      </c>
      <c r="S13" s="6">
        <f t="shared" si="0"/>
        <v>5.2944737377685125E-2</v>
      </c>
      <c r="T13" s="6">
        <f t="shared" si="0"/>
        <v>6.7917622313113475E-4</v>
      </c>
      <c r="U13" s="6">
        <f t="shared" si="0"/>
        <v>5.0588824615015654E-2</v>
      </c>
      <c r="V13" s="6">
        <f t="shared" si="0"/>
        <v>6.268599656215723E-3</v>
      </c>
      <c r="W13" s="6">
        <f t="shared" si="0"/>
        <v>2.0633104186514673E-3</v>
      </c>
      <c r="X13" s="6">
        <f t="shared" si="0"/>
        <v>5.5508190959112316E-2</v>
      </c>
      <c r="Y13" s="6">
        <f t="shared" si="0"/>
        <v>0.16322578145118558</v>
      </c>
      <c r="Z13" s="6">
        <f t="shared" si="0"/>
        <v>7.8369201446870651E-3</v>
      </c>
      <c r="AA13" s="6">
        <f t="shared" si="0"/>
        <v>0.32498869213045434</v>
      </c>
      <c r="AB13" s="6">
        <f t="shared" si="0"/>
        <v>9.4859392792584443E-2</v>
      </c>
      <c r="AC13" s="6">
        <f t="shared" si="0"/>
        <v>8.1827736123153919E-3</v>
      </c>
      <c r="AD13" s="6">
        <f t="shared" si="0"/>
        <v>7.7558186276853539E-5</v>
      </c>
      <c r="AE13" s="6">
        <f t="shared" si="0"/>
        <v>2.1284999661477948E-2</v>
      </c>
      <c r="AF13" s="6">
        <f t="shared" si="0"/>
        <v>1.3507499230455203E-2</v>
      </c>
      <c r="AG13" s="6">
        <f t="shared" si="0"/>
        <v>9.6444165589426841E-5</v>
      </c>
      <c r="AH13" s="6">
        <f t="shared" si="0"/>
        <v>5.075726718102672E-3</v>
      </c>
      <c r="AI13" s="6">
        <f t="shared" ref="AI13:BN13" si="1">(AI3-AI9)^2</f>
        <v>1.7124763333233036E-2</v>
      </c>
      <c r="AJ13" s="6">
        <f t="shared" si="1"/>
        <v>1.618837009918662E-3</v>
      </c>
      <c r="AK13" s="6">
        <f t="shared" si="1"/>
        <v>3.5082047394486881E-3</v>
      </c>
      <c r="AL13" s="6">
        <f t="shared" si="1"/>
        <v>2.1076402875230563E-2</v>
      </c>
      <c r="AM13" s="6">
        <f t="shared" si="1"/>
        <v>1.2190824434851857E-3</v>
      </c>
      <c r="AN13" s="6">
        <f t="shared" si="1"/>
        <v>1.8354896612627852E-4</v>
      </c>
      <c r="AO13" s="6">
        <f t="shared" si="1"/>
        <v>1.9829057409552188E-2</v>
      </c>
      <c r="AP13" s="6">
        <f t="shared" si="1"/>
        <v>1.1768961756753982E-2</v>
      </c>
      <c r="AQ13" s="6">
        <f t="shared" si="1"/>
        <v>3.502332191919983E-2</v>
      </c>
      <c r="AR13" s="6">
        <f t="shared" si="1"/>
        <v>2.3250219164638775E-3</v>
      </c>
      <c r="AS13" s="6">
        <f t="shared" si="1"/>
        <v>1.1417645355385421E-2</v>
      </c>
      <c r="AT13" s="6">
        <f t="shared" si="1"/>
        <v>9.5732445843805455E-3</v>
      </c>
      <c r="AU13" s="6">
        <f t="shared" si="1"/>
        <v>5.6591589473239378E-6</v>
      </c>
      <c r="AV13" s="6">
        <f t="shared" si="1"/>
        <v>9.2880816293050231E-3</v>
      </c>
      <c r="AW13" s="6">
        <f t="shared" si="1"/>
        <v>4.0265170325304363E-2</v>
      </c>
      <c r="AX13" s="6">
        <f t="shared" si="1"/>
        <v>1.9259001369251311E-3</v>
      </c>
      <c r="AY13" s="6">
        <f t="shared" si="1"/>
        <v>4.5417600662925181E-3</v>
      </c>
      <c r="AZ13" s="6">
        <f t="shared" si="1"/>
        <v>1.4094036062458726E-3</v>
      </c>
      <c r="BA13" s="6">
        <f t="shared" si="1"/>
        <v>2.587878754365849E-2</v>
      </c>
      <c r="BB13" s="6">
        <f t="shared" si="1"/>
        <v>5.0421393750411277E-2</v>
      </c>
      <c r="BC13" s="6">
        <f t="shared" si="1"/>
        <v>1.5956777102515265E-2</v>
      </c>
      <c r="BD13" s="6">
        <f t="shared" si="1"/>
        <v>2.5341888645961968E-2</v>
      </c>
      <c r="BE13" s="6">
        <f t="shared" si="1"/>
        <v>3.9707226061349792E-2</v>
      </c>
      <c r="BF13" s="6">
        <f t="shared" si="1"/>
        <v>2.157123127914036E-2</v>
      </c>
      <c r="BG13" s="6">
        <f t="shared" si="1"/>
        <v>2.4466366013106877E-2</v>
      </c>
      <c r="BH13" s="6">
        <f t="shared" si="1"/>
        <v>4.3719440073452034E-2</v>
      </c>
      <c r="BI13" s="6">
        <f t="shared" si="1"/>
        <v>1.6667249678667651E-3</v>
      </c>
      <c r="BJ13" s="6">
        <f t="shared" si="1"/>
        <v>2.7371839804797354E-3</v>
      </c>
      <c r="BK13" s="6">
        <f t="shared" si="1"/>
        <v>2.7985266423321185E-2</v>
      </c>
      <c r="BL13" s="6">
        <f t="shared" si="1"/>
        <v>1.3898346507577646E-2</v>
      </c>
      <c r="BM13" s="6">
        <f t="shared" si="1"/>
        <v>1.3527238831160774E-2</v>
      </c>
      <c r="BN13" s="6">
        <f t="shared" si="1"/>
        <v>9.8703679536494291E-6</v>
      </c>
      <c r="BO13" s="6">
        <f t="shared" ref="BO13:CT13" si="2">(BO3-BO9)^2</f>
        <v>5.2815906925033233E-2</v>
      </c>
      <c r="BP13" s="6">
        <f t="shared" si="2"/>
        <v>3.5500530907517703E-3</v>
      </c>
      <c r="BQ13" s="6">
        <f t="shared" si="2"/>
        <v>2.307742953134876E-2</v>
      </c>
      <c r="BR13" s="6">
        <f t="shared" si="2"/>
        <v>4.4349862237856773E-2</v>
      </c>
      <c r="BS13" s="6">
        <f t="shared" si="2"/>
        <v>2.0481578394669062E-2</v>
      </c>
      <c r="BT13" s="6">
        <f t="shared" si="2"/>
        <v>9.808780949401635E-3</v>
      </c>
      <c r="BU13" s="6">
        <f t="shared" si="2"/>
        <v>7.8035846723622064E-3</v>
      </c>
      <c r="BV13" s="6">
        <f t="shared" si="2"/>
        <v>7.5694984033156595E-3</v>
      </c>
      <c r="BW13" s="6">
        <f t="shared" si="2"/>
        <v>1.9915669925852461E-2</v>
      </c>
      <c r="BX13" s="6">
        <f t="shared" si="2"/>
        <v>1.2179275778699129E-2</v>
      </c>
      <c r="BY13" s="6">
        <f t="shared" si="2"/>
        <v>3.7995138101937533E-2</v>
      </c>
      <c r="BZ13" s="6">
        <f t="shared" si="2"/>
        <v>6.4683420284310872E-2</v>
      </c>
      <c r="CA13" s="6">
        <f t="shared" si="2"/>
        <v>3.3236126922636479E-2</v>
      </c>
      <c r="CB13" s="6">
        <f t="shared" si="2"/>
        <v>4.4746160467530625E-2</v>
      </c>
      <c r="CC13" s="6">
        <f t="shared" si="2"/>
        <v>1.1174640354613692E-2</v>
      </c>
      <c r="CD13" s="6">
        <f t="shared" si="2"/>
        <v>2.4786705356615056E-2</v>
      </c>
      <c r="CE13" s="6">
        <f t="shared" si="2"/>
        <v>2.6465316881557874E-2</v>
      </c>
      <c r="CF13" s="6">
        <f t="shared" si="2"/>
        <v>4.662090021601998E-2</v>
      </c>
      <c r="CG13" s="6">
        <f t="shared" si="2"/>
        <v>7.0036210847148845E-8</v>
      </c>
      <c r="CH13" s="6">
        <f t="shared" si="2"/>
        <v>8.1738854318411137E-3</v>
      </c>
      <c r="CI13" s="6">
        <f t="shared" si="2"/>
        <v>3.3897751949617583E-2</v>
      </c>
      <c r="CJ13" s="6">
        <f t="shared" si="2"/>
        <v>0.15562745412808507</v>
      </c>
      <c r="CK13" s="6">
        <f t="shared" si="2"/>
        <v>2.7542177493239284E-2</v>
      </c>
      <c r="CL13" s="6">
        <f t="shared" si="2"/>
        <v>9.4276219243447687E-2</v>
      </c>
      <c r="CM13" s="6">
        <f t="shared" si="2"/>
        <v>3.7701916166609915E-2</v>
      </c>
      <c r="CN13" s="6">
        <f t="shared" si="2"/>
        <v>0.13415136138235878</v>
      </c>
      <c r="CO13" s="6">
        <f t="shared" si="2"/>
        <v>5.6581507169564159E-3</v>
      </c>
      <c r="CP13" s="6">
        <f t="shared" si="2"/>
        <v>5.1492587508656713E-2</v>
      </c>
      <c r="CQ13" s="6">
        <f t="shared" si="2"/>
        <v>1.5115018527348063E-3</v>
      </c>
      <c r="CR13" s="6">
        <f t="shared" si="2"/>
        <v>5.9127119683872065E-3</v>
      </c>
      <c r="CS13" s="6">
        <f t="shared" si="2"/>
        <v>1.6196824659514753E-4</v>
      </c>
      <c r="CT13" s="6">
        <f t="shared" si="2"/>
        <v>5.6751571403068515E-4</v>
      </c>
      <c r="CU13" s="6">
        <f t="shared" ref="CU13:DZ13" si="3">(CU3-CU9)^2</f>
        <v>2.2534147951584559E-2</v>
      </c>
      <c r="CV13" s="6">
        <f t="shared" si="3"/>
        <v>3.4969755217888264E-4</v>
      </c>
      <c r="CW13" s="6">
        <f t="shared" si="3"/>
        <v>2.2892111846356651E-6</v>
      </c>
      <c r="CX13" s="6">
        <f t="shared" si="3"/>
        <v>3.7339725887365109E-2</v>
      </c>
      <c r="CY13" s="6">
        <f t="shared" si="3"/>
        <v>2.5586490340072997E-3</v>
      </c>
      <c r="CZ13" s="6">
        <f t="shared" si="3"/>
        <v>1.4447243862517743E-2</v>
      </c>
      <c r="DA13" s="6">
        <f t="shared" si="3"/>
        <v>0.13681223698786302</v>
      </c>
      <c r="DB13" s="6">
        <f t="shared" si="3"/>
        <v>2.0056519828847864E-2</v>
      </c>
      <c r="DC13" s="6">
        <f t="shared" si="3"/>
        <v>9.1038551418384336E-2</v>
      </c>
      <c r="DD13" s="6">
        <f t="shared" si="3"/>
        <v>5.9194023078691468E-2</v>
      </c>
      <c r="DE13" s="6">
        <f t="shared" si="3"/>
        <v>2.877898105064957E-2</v>
      </c>
      <c r="DF13" s="6">
        <f t="shared" si="3"/>
        <v>8.4772066895503467E-3</v>
      </c>
      <c r="DG13" s="6">
        <f t="shared" si="3"/>
        <v>1.0937563948499131E-5</v>
      </c>
      <c r="DH13" s="6">
        <f t="shared" si="3"/>
        <v>9.5279985396636176E-4</v>
      </c>
      <c r="DI13" s="6">
        <f t="shared" si="3"/>
        <v>9.8864509246436669E-3</v>
      </c>
      <c r="DJ13" s="6">
        <f t="shared" si="3"/>
        <v>9.2119523496587592E-3</v>
      </c>
      <c r="DK13" s="6">
        <f t="shared" si="3"/>
        <v>9.0535687743512842E-3</v>
      </c>
      <c r="DL13" s="6">
        <f t="shared" si="3"/>
        <v>2.7573619858575747E-3</v>
      </c>
      <c r="DM13" s="6">
        <f t="shared" si="3"/>
        <v>1.1405537726615757E-3</v>
      </c>
      <c r="DN13" s="6">
        <f t="shared" si="3"/>
        <v>6.6590715259116718E-3</v>
      </c>
      <c r="DO13" s="6">
        <f t="shared" si="3"/>
        <v>1.2579263440044963E-2</v>
      </c>
      <c r="DP13" s="6">
        <f t="shared" si="3"/>
        <v>5.8370334452997746E-3</v>
      </c>
      <c r="DQ13" s="6">
        <f t="shared" si="3"/>
        <v>7.0254271472740798E-2</v>
      </c>
      <c r="DR13" s="6">
        <f t="shared" si="3"/>
        <v>4.1099407791975365E-2</v>
      </c>
      <c r="DS13" s="6">
        <f t="shared" si="3"/>
        <v>3.424926675608967E-2</v>
      </c>
      <c r="DT13" s="6">
        <f t="shared" si="3"/>
        <v>1.8592919822218837E-5</v>
      </c>
      <c r="DU13" s="6">
        <f t="shared" si="3"/>
        <v>4.69177853906373E-3</v>
      </c>
      <c r="DV13" s="6">
        <f t="shared" si="3"/>
        <v>4.3262564399232872E-2</v>
      </c>
      <c r="DW13" s="6">
        <f t="shared" si="3"/>
        <v>7.9040471965973586E-4</v>
      </c>
      <c r="DX13" s="6">
        <f t="shared" si="3"/>
        <v>2.9913098981942294E-2</v>
      </c>
      <c r="DY13" s="6">
        <f t="shared" si="3"/>
        <v>3.1604494414624179E-2</v>
      </c>
      <c r="DZ13" s="6">
        <f t="shared" si="3"/>
        <v>8.7917989573719116E-2</v>
      </c>
      <c r="EA13" s="6">
        <f t="shared" ref="EA13:EF13" si="4">(EA3-EA9)^2</f>
        <v>6.2727248697154972E-2</v>
      </c>
      <c r="EB13" s="6">
        <f t="shared" si="4"/>
        <v>3.4068751799008819E-2</v>
      </c>
      <c r="EC13" s="6">
        <f t="shared" si="4"/>
        <v>1.081212920755034E-2</v>
      </c>
      <c r="ED13" s="6">
        <f t="shared" si="4"/>
        <v>3.4645107407441852E-2</v>
      </c>
      <c r="EE13" s="6">
        <f t="shared" si="4"/>
        <v>2.76583231431448E-2</v>
      </c>
      <c r="EF13" s="6">
        <f t="shared" si="4"/>
        <v>8.7620220083636027E-3</v>
      </c>
    </row>
    <row r="14" spans="1:136">
      <c r="A14" s="9"/>
      <c r="B14" s="9" t="s">
        <v>136</v>
      </c>
      <c r="C14" s="6">
        <f t="shared" ref="C14:AH14" si="5">(C4-C10)^2</f>
        <v>1.9065220427389405E-3</v>
      </c>
      <c r="D14" s="6">
        <f t="shared" si="5"/>
        <v>6.1261204425587055E-3</v>
      </c>
      <c r="E14" s="6">
        <f t="shared" si="5"/>
        <v>2.7346323394197139E-2</v>
      </c>
      <c r="F14" s="6">
        <f t="shared" si="5"/>
        <v>5.5604802609381446E-4</v>
      </c>
      <c r="G14" s="6">
        <f t="shared" si="5"/>
        <v>6.7256801280824105E-3</v>
      </c>
      <c r="H14" s="6">
        <f t="shared" si="5"/>
        <v>2.4163072611223389E-3</v>
      </c>
      <c r="I14" s="6">
        <f t="shared" si="5"/>
        <v>1.3932010394687936E-4</v>
      </c>
      <c r="J14" s="6">
        <f t="shared" si="5"/>
        <v>9.6105988972251442E-4</v>
      </c>
      <c r="K14" s="6">
        <f t="shared" si="5"/>
        <v>4.3328302568196239E-3</v>
      </c>
      <c r="L14" s="6">
        <f t="shared" si="5"/>
        <v>1.0871891927431132E-2</v>
      </c>
      <c r="M14" s="6">
        <f t="shared" si="5"/>
        <v>2.5884678403779852E-3</v>
      </c>
      <c r="N14" s="6">
        <f t="shared" si="5"/>
        <v>3.3181065786634226E-2</v>
      </c>
      <c r="O14" s="6">
        <f t="shared" si="5"/>
        <v>2.2368488989938581E-2</v>
      </c>
      <c r="P14" s="6">
        <f t="shared" si="5"/>
        <v>1.6278250942630085E-3</v>
      </c>
      <c r="Q14" s="6">
        <f t="shared" si="5"/>
        <v>2.8164144543373942E-2</v>
      </c>
      <c r="R14" s="6">
        <f t="shared" si="5"/>
        <v>1.3309611767018248E-2</v>
      </c>
      <c r="S14" s="6">
        <f t="shared" si="5"/>
        <v>5.969855953523325E-3</v>
      </c>
      <c r="T14" s="6">
        <f t="shared" si="5"/>
        <v>9.1319731484980425E-4</v>
      </c>
      <c r="U14" s="6">
        <f t="shared" si="5"/>
        <v>6.4428465250005744E-5</v>
      </c>
      <c r="V14" s="6">
        <f t="shared" si="5"/>
        <v>8.1115961299482698E-4</v>
      </c>
      <c r="W14" s="6">
        <f t="shared" si="5"/>
        <v>1.8645209187639931E-2</v>
      </c>
      <c r="X14" s="6">
        <f t="shared" si="5"/>
        <v>1.1028372837698005E-2</v>
      </c>
      <c r="Y14" s="6">
        <f t="shared" si="5"/>
        <v>4.5868099062413029E-2</v>
      </c>
      <c r="Z14" s="6">
        <f t="shared" si="5"/>
        <v>1.0724634927529033E-4</v>
      </c>
      <c r="AA14" s="6">
        <f t="shared" si="5"/>
        <v>1.2706497101676898E-3</v>
      </c>
      <c r="AB14" s="6">
        <f t="shared" si="5"/>
        <v>2.0841584935165511E-2</v>
      </c>
      <c r="AC14" s="6">
        <f t="shared" si="5"/>
        <v>2.4397259442219089E-6</v>
      </c>
      <c r="AD14" s="6">
        <f t="shared" si="5"/>
        <v>1.4767809220824702E-4</v>
      </c>
      <c r="AE14" s="6">
        <f t="shared" si="5"/>
        <v>9.0069495941752908E-3</v>
      </c>
      <c r="AF14" s="6">
        <f t="shared" si="5"/>
        <v>3.2683665399934843E-2</v>
      </c>
      <c r="AG14" s="6">
        <f t="shared" si="5"/>
        <v>3.8791748250106835E-3</v>
      </c>
      <c r="AH14" s="6">
        <f t="shared" si="5"/>
        <v>2.7020765853930383E-2</v>
      </c>
      <c r="AI14" s="6">
        <f t="shared" ref="AI14:BN14" si="6">(AI4-AI10)^2</f>
        <v>1.2588306093421764E-3</v>
      </c>
      <c r="AJ14" s="6">
        <f t="shared" si="6"/>
        <v>8.742278243577109E-3</v>
      </c>
      <c r="AK14" s="6">
        <f t="shared" si="6"/>
        <v>5.8765536964266243E-3</v>
      </c>
      <c r="AL14" s="6">
        <f t="shared" si="6"/>
        <v>1.6032874031434705E-2</v>
      </c>
      <c r="AM14" s="6">
        <f t="shared" si="6"/>
        <v>4.8997775661597823E-5</v>
      </c>
      <c r="AN14" s="6">
        <f t="shared" si="6"/>
        <v>1.773970862899538E-2</v>
      </c>
      <c r="AO14" s="6">
        <f t="shared" si="6"/>
        <v>1.6738135462060661E-5</v>
      </c>
      <c r="AP14" s="6">
        <f t="shared" si="6"/>
        <v>6.629225888532644E-3</v>
      </c>
      <c r="AQ14" s="6">
        <f t="shared" si="6"/>
        <v>1.4548605672109555E-2</v>
      </c>
      <c r="AR14" s="6">
        <f t="shared" si="6"/>
        <v>3.7953779560343718E-3</v>
      </c>
      <c r="AS14" s="6">
        <f t="shared" si="6"/>
        <v>9.0900388694837211E-3</v>
      </c>
      <c r="AT14" s="6">
        <f t="shared" si="6"/>
        <v>1.4056752333747844E-4</v>
      </c>
      <c r="AU14" s="6">
        <f t="shared" si="6"/>
        <v>1.4587440949529105E-2</v>
      </c>
      <c r="AV14" s="6">
        <f t="shared" si="6"/>
        <v>5.2962193300079084E-2</v>
      </c>
      <c r="AW14" s="6">
        <f t="shared" si="6"/>
        <v>4.1315077651077311E-3</v>
      </c>
      <c r="AX14" s="6">
        <f t="shared" si="6"/>
        <v>3.2758146450869748E-4</v>
      </c>
      <c r="AY14" s="6">
        <f t="shared" si="6"/>
        <v>5.9415829420751895E-3</v>
      </c>
      <c r="AZ14" s="6">
        <f t="shared" si="6"/>
        <v>2.2457873295766477E-2</v>
      </c>
      <c r="BA14" s="6">
        <f t="shared" si="6"/>
        <v>2.775286403490137E-4</v>
      </c>
      <c r="BB14" s="6">
        <f t="shared" si="6"/>
        <v>6.4617078243689188E-2</v>
      </c>
      <c r="BC14" s="6">
        <f t="shared" si="6"/>
        <v>3.0606053977237518E-2</v>
      </c>
      <c r="BD14" s="6">
        <f t="shared" si="6"/>
        <v>9.4182337336106113E-3</v>
      </c>
      <c r="BE14" s="6">
        <f t="shared" si="6"/>
        <v>2.7904672912869334E-2</v>
      </c>
      <c r="BF14" s="6">
        <f t="shared" si="6"/>
        <v>5.9283564498305201E-3</v>
      </c>
      <c r="BG14" s="6">
        <f t="shared" si="6"/>
        <v>2.3612261347991416E-3</v>
      </c>
      <c r="BH14" s="6">
        <f t="shared" si="6"/>
        <v>1.1792771604147373E-2</v>
      </c>
      <c r="BI14" s="6">
        <f t="shared" si="6"/>
        <v>9.918820207246758E-3</v>
      </c>
      <c r="BJ14" s="6">
        <f t="shared" si="6"/>
        <v>2.4589344952477402E-3</v>
      </c>
      <c r="BK14" s="6">
        <f t="shared" si="6"/>
        <v>2.239891633093621E-2</v>
      </c>
      <c r="BL14" s="6">
        <f t="shared" si="6"/>
        <v>2.9069321212873528E-4</v>
      </c>
      <c r="BM14" s="6">
        <f t="shared" si="6"/>
        <v>1.4663084904159972E-3</v>
      </c>
      <c r="BN14" s="6">
        <f t="shared" si="6"/>
        <v>1.6942125237367825E-3</v>
      </c>
      <c r="BO14" s="6">
        <f t="shared" ref="BO14:CT14" si="7">(BO4-BO10)^2</f>
        <v>2.7008349976898262E-3</v>
      </c>
      <c r="BP14" s="6">
        <f t="shared" si="7"/>
        <v>6.0466753269876696E-4</v>
      </c>
      <c r="BQ14" s="6">
        <f t="shared" si="7"/>
        <v>3.3069726450901077E-3</v>
      </c>
      <c r="BR14" s="6">
        <f t="shared" si="7"/>
        <v>4.0242144698265942E-3</v>
      </c>
      <c r="BS14" s="6">
        <f t="shared" si="7"/>
        <v>2.5799840406119682E-3</v>
      </c>
      <c r="BT14" s="6">
        <f t="shared" si="7"/>
        <v>1.7622801153585176E-2</v>
      </c>
      <c r="BU14" s="6">
        <f t="shared" si="7"/>
        <v>3.0517224732874614E-2</v>
      </c>
      <c r="BV14" s="6">
        <f t="shared" si="7"/>
        <v>6.2075949373466922E-2</v>
      </c>
      <c r="BW14" s="6">
        <f t="shared" si="7"/>
        <v>3.5574671765136882E-4</v>
      </c>
      <c r="BX14" s="6">
        <f t="shared" si="7"/>
        <v>5.8317964958072761E-4</v>
      </c>
      <c r="BY14" s="6">
        <f t="shared" si="7"/>
        <v>7.6945450337529156E-2</v>
      </c>
      <c r="BZ14" s="6">
        <f t="shared" si="7"/>
        <v>1.2308432196951387E-2</v>
      </c>
      <c r="CA14" s="6">
        <f t="shared" si="7"/>
        <v>9.5760864119367982E-3</v>
      </c>
      <c r="CB14" s="6">
        <f t="shared" si="7"/>
        <v>0.12285982099030901</v>
      </c>
      <c r="CC14" s="6">
        <f t="shared" si="7"/>
        <v>5.1874532758112858E-2</v>
      </c>
      <c r="CD14" s="6">
        <f t="shared" si="7"/>
        <v>3.7286232936271E-3</v>
      </c>
      <c r="CE14" s="6">
        <f t="shared" si="7"/>
        <v>3.2446303444038711E-2</v>
      </c>
      <c r="CF14" s="6">
        <f t="shared" si="7"/>
        <v>2.1429276052036018E-2</v>
      </c>
      <c r="CG14" s="6">
        <f t="shared" si="7"/>
        <v>1.9535500885620055E-3</v>
      </c>
      <c r="CH14" s="6">
        <f t="shared" si="7"/>
        <v>1.4510336633914827E-6</v>
      </c>
      <c r="CI14" s="6">
        <f t="shared" si="7"/>
        <v>8.7018793368057081E-4</v>
      </c>
      <c r="CJ14" s="6">
        <f t="shared" si="7"/>
        <v>8.6236642131224338E-4</v>
      </c>
      <c r="CK14" s="6">
        <f t="shared" si="7"/>
        <v>2.8417613210022334E-3</v>
      </c>
      <c r="CL14" s="6">
        <f t="shared" si="7"/>
        <v>6.6040612736459304E-4</v>
      </c>
      <c r="CM14" s="6">
        <f t="shared" si="7"/>
        <v>1.8374355740705044E-2</v>
      </c>
      <c r="CN14" s="6">
        <f t="shared" si="7"/>
        <v>1.6618421092433295E-2</v>
      </c>
      <c r="CO14" s="6">
        <f t="shared" si="7"/>
        <v>2.0688979839232142E-2</v>
      </c>
      <c r="CP14" s="6">
        <f t="shared" si="7"/>
        <v>1.6453800103596755E-3</v>
      </c>
      <c r="CQ14" s="6">
        <f t="shared" si="7"/>
        <v>2.2418211806431498E-2</v>
      </c>
      <c r="CR14" s="6">
        <f t="shared" si="7"/>
        <v>4.3259779214116917E-2</v>
      </c>
      <c r="CS14" s="6">
        <f t="shared" si="7"/>
        <v>6.4709993303679783E-2</v>
      </c>
      <c r="CT14" s="6">
        <f t="shared" si="7"/>
        <v>3.6773314082589298E-2</v>
      </c>
      <c r="CU14" s="6">
        <f t="shared" ref="CU14:DZ14" si="8">(CU4-CU10)^2</f>
        <v>1.4467821806493321E-2</v>
      </c>
      <c r="CV14" s="6">
        <f t="shared" si="8"/>
        <v>2.5015070643046748E-2</v>
      </c>
      <c r="CW14" s="6">
        <f t="shared" si="8"/>
        <v>3.2077478672147596E-4</v>
      </c>
      <c r="CX14" s="6">
        <f t="shared" si="8"/>
        <v>3.0320921872590598E-2</v>
      </c>
      <c r="CY14" s="6">
        <f t="shared" si="8"/>
        <v>6.5417724036327526E-3</v>
      </c>
      <c r="CZ14" s="6">
        <f t="shared" si="8"/>
        <v>4.9137086315212608E-3</v>
      </c>
      <c r="DA14" s="6">
        <f t="shared" si="8"/>
        <v>1.2252502120755545E-2</v>
      </c>
      <c r="DB14" s="6">
        <f t="shared" si="8"/>
        <v>2.0532038285439251E-2</v>
      </c>
      <c r="DC14" s="6">
        <f t="shared" si="8"/>
        <v>1.3851841859833583E-2</v>
      </c>
      <c r="DD14" s="6">
        <f t="shared" si="8"/>
        <v>1.9901319130530206E-4</v>
      </c>
      <c r="DE14" s="6">
        <f t="shared" si="8"/>
        <v>1.3060355705995709E-3</v>
      </c>
      <c r="DF14" s="6">
        <f t="shared" si="8"/>
        <v>4.6924321474599968E-2</v>
      </c>
      <c r="DG14" s="6">
        <f t="shared" si="8"/>
        <v>0.12928942681630498</v>
      </c>
      <c r="DH14" s="6">
        <f t="shared" si="8"/>
        <v>9.1466913865734079E-2</v>
      </c>
      <c r="DI14" s="6">
        <f t="shared" si="8"/>
        <v>3.693604392386556E-3</v>
      </c>
      <c r="DJ14" s="6">
        <f t="shared" si="8"/>
        <v>5.7916151852573929E-4</v>
      </c>
      <c r="DK14" s="6">
        <f t="shared" si="8"/>
        <v>6.9381377556851281E-2</v>
      </c>
      <c r="DL14" s="6">
        <f t="shared" si="8"/>
        <v>1.6832914244870007E-2</v>
      </c>
      <c r="DM14" s="6">
        <f t="shared" si="8"/>
        <v>1.9178234537619403E-2</v>
      </c>
      <c r="DN14" s="6">
        <f t="shared" si="8"/>
        <v>1.3002916017835217E-2</v>
      </c>
      <c r="DO14" s="6">
        <f t="shared" si="8"/>
        <v>4.1004898827113091E-3</v>
      </c>
      <c r="DP14" s="6">
        <f t="shared" si="8"/>
        <v>3.3445667376223406E-3</v>
      </c>
      <c r="DQ14" s="6">
        <f t="shared" si="8"/>
        <v>4.6963826663440261E-2</v>
      </c>
      <c r="DR14" s="6">
        <f t="shared" si="8"/>
        <v>7.9056673316813385E-3</v>
      </c>
      <c r="DS14" s="6">
        <f t="shared" si="8"/>
        <v>6.9619874770451839E-3</v>
      </c>
      <c r="DT14" s="6">
        <f t="shared" si="8"/>
        <v>1.5166188801467074E-2</v>
      </c>
      <c r="DU14" s="6">
        <f t="shared" si="8"/>
        <v>4.8208291981431249E-2</v>
      </c>
      <c r="DV14" s="6">
        <f t="shared" si="8"/>
        <v>5.7921023689516471E-7</v>
      </c>
      <c r="DW14" s="6">
        <f t="shared" si="8"/>
        <v>7.6653369416468543E-3</v>
      </c>
      <c r="DX14" s="6">
        <f t="shared" si="8"/>
        <v>1.1681079014731093E-3</v>
      </c>
      <c r="DY14" s="6">
        <f t="shared" si="8"/>
        <v>4.1811437344629075E-2</v>
      </c>
      <c r="DZ14" s="6">
        <f t="shared" si="8"/>
        <v>3.4086347136913523E-3</v>
      </c>
      <c r="EA14" s="6">
        <f t="shared" ref="EA14:EF14" si="9">(EA4-EA10)^2</f>
        <v>4.667662926454934E-3</v>
      </c>
      <c r="EB14" s="6">
        <f t="shared" si="9"/>
        <v>6.3270262729874363E-2</v>
      </c>
      <c r="EC14" s="6">
        <f t="shared" si="9"/>
        <v>3.8080117148697387E-5</v>
      </c>
      <c r="ED14" s="6">
        <f t="shared" si="9"/>
        <v>4.6313097833159024E-4</v>
      </c>
      <c r="EE14" s="6">
        <f t="shared" si="9"/>
        <v>1.4429256294608056E-3</v>
      </c>
      <c r="EF14" s="6">
        <f t="shared" si="9"/>
        <v>0.13710250088260023</v>
      </c>
    </row>
    <row r="15" spans="1:136">
      <c r="A15" s="9"/>
      <c r="B15" s="9" t="s">
        <v>137</v>
      </c>
      <c r="C15" s="6">
        <f t="shared" ref="C15:AH15" si="10">(C5-C11)^2</f>
        <v>2.405874921442747E-2</v>
      </c>
      <c r="D15" s="6">
        <f t="shared" si="10"/>
        <v>2.3293635088154657E-2</v>
      </c>
      <c r="E15" s="6">
        <f t="shared" si="10"/>
        <v>0.29459664529731461</v>
      </c>
      <c r="F15" s="6">
        <f t="shared" si="10"/>
        <v>1.8093242109022706E-2</v>
      </c>
      <c r="G15" s="6">
        <f t="shared" si="10"/>
        <v>9.8109396993650066E-2</v>
      </c>
      <c r="H15" s="6">
        <f t="shared" si="10"/>
        <v>0.22276490933123369</v>
      </c>
      <c r="I15" s="6">
        <f t="shared" si="10"/>
        <v>2.7262130155613313E-2</v>
      </c>
      <c r="J15" s="6">
        <f t="shared" si="10"/>
        <v>6.1234956513977253E-3</v>
      </c>
      <c r="K15" s="6">
        <f t="shared" si="10"/>
        <v>3.9330534783208478E-2</v>
      </c>
      <c r="L15" s="6">
        <f t="shared" si="10"/>
        <v>0.19285094304739839</v>
      </c>
      <c r="M15" s="6">
        <f t="shared" si="10"/>
        <v>7.2842619862017524E-2</v>
      </c>
      <c r="N15" s="6">
        <f t="shared" si="10"/>
        <v>7.8609227785319369E-2</v>
      </c>
      <c r="O15" s="6">
        <f t="shared" si="10"/>
        <v>2.6392163546644542E-2</v>
      </c>
      <c r="P15" s="6">
        <f t="shared" si="10"/>
        <v>0.15250897943364217</v>
      </c>
      <c r="Q15" s="6">
        <f t="shared" si="10"/>
        <v>8.5733539002288647E-4</v>
      </c>
      <c r="R15" s="6">
        <f t="shared" si="10"/>
        <v>8.7460374855595612E-3</v>
      </c>
      <c r="S15" s="6">
        <f t="shared" si="10"/>
        <v>7.2491394980314011E-2</v>
      </c>
      <c r="T15" s="6">
        <f t="shared" si="10"/>
        <v>3.2511820878735123E-3</v>
      </c>
      <c r="U15" s="6">
        <f t="shared" si="10"/>
        <v>2.0114330532096993E-4</v>
      </c>
      <c r="V15" s="6">
        <f t="shared" si="10"/>
        <v>2.3898314639651273E-2</v>
      </c>
      <c r="W15" s="6">
        <f t="shared" si="10"/>
        <v>8.4103976548501685E-2</v>
      </c>
      <c r="X15" s="6">
        <f t="shared" si="10"/>
        <v>2.7072256529345758E-2</v>
      </c>
      <c r="Y15" s="6">
        <f t="shared" si="10"/>
        <v>0.5482978875588671</v>
      </c>
      <c r="Z15" s="6">
        <f t="shared" si="10"/>
        <v>3.2672188124006664E-2</v>
      </c>
      <c r="AA15" s="6">
        <f t="shared" si="10"/>
        <v>6.3500679571694843E-3</v>
      </c>
      <c r="AB15" s="6">
        <f t="shared" si="10"/>
        <v>4.0718512820479127E-2</v>
      </c>
      <c r="AC15" s="6">
        <f t="shared" si="10"/>
        <v>2.0171773040789036E-4</v>
      </c>
      <c r="AD15" s="6">
        <f t="shared" si="10"/>
        <v>2.0049425022792722E-2</v>
      </c>
      <c r="AE15" s="6">
        <f t="shared" si="10"/>
        <v>1.0196428782332021E-2</v>
      </c>
      <c r="AF15" s="6">
        <f t="shared" si="10"/>
        <v>0.10945347702938428</v>
      </c>
      <c r="AG15" s="6">
        <f t="shared" si="10"/>
        <v>7.6720154603692012E-2</v>
      </c>
      <c r="AH15" s="6">
        <f t="shared" si="10"/>
        <v>0.11788297153715228</v>
      </c>
      <c r="AI15" s="6">
        <f t="shared" ref="AI15:BN15" si="11">(AI5-AI11)^2</f>
        <v>5.3207895291471012E-2</v>
      </c>
      <c r="AJ15" s="6">
        <f t="shared" si="11"/>
        <v>0.21754147975711921</v>
      </c>
      <c r="AK15" s="6">
        <f t="shared" si="11"/>
        <v>3.2238049939035035E-2</v>
      </c>
      <c r="AL15" s="6">
        <f t="shared" si="11"/>
        <v>6.0468288103145808E-3</v>
      </c>
      <c r="AM15" s="6">
        <f t="shared" si="11"/>
        <v>1.3897928479421332E-4</v>
      </c>
      <c r="AN15" s="6">
        <f t="shared" si="11"/>
        <v>1.6214796439821447E-2</v>
      </c>
      <c r="AO15" s="6">
        <f t="shared" si="11"/>
        <v>1.5869670019825192E-2</v>
      </c>
      <c r="AP15" s="6">
        <f t="shared" si="11"/>
        <v>9.8648155443152602E-7</v>
      </c>
      <c r="AQ15" s="6">
        <f t="shared" si="11"/>
        <v>1.8742263024141542E-2</v>
      </c>
      <c r="AR15" s="6">
        <f t="shared" si="11"/>
        <v>1.7209972173421621E-2</v>
      </c>
      <c r="AS15" s="6">
        <f t="shared" si="11"/>
        <v>2.7484847340199452E-2</v>
      </c>
      <c r="AT15" s="6">
        <f t="shared" si="11"/>
        <v>1.0362654981528571E-5</v>
      </c>
      <c r="AU15" s="6">
        <f t="shared" si="11"/>
        <v>2.5600517236982125E-2</v>
      </c>
      <c r="AV15" s="6">
        <f t="shared" si="11"/>
        <v>3.6068544085765698E-3</v>
      </c>
      <c r="AW15" s="6">
        <f t="shared" si="11"/>
        <v>3.5039547936425467E-3</v>
      </c>
      <c r="AX15" s="6">
        <f t="shared" si="11"/>
        <v>6.8718251904354391E-2</v>
      </c>
      <c r="AY15" s="6">
        <f t="shared" si="11"/>
        <v>3.2257907670147176E-2</v>
      </c>
      <c r="AZ15" s="6">
        <f t="shared" si="11"/>
        <v>7.1922926855121166E-2</v>
      </c>
      <c r="BA15" s="6">
        <f t="shared" si="11"/>
        <v>1.3990978027730208E-3</v>
      </c>
      <c r="BB15" s="6">
        <f t="shared" si="11"/>
        <v>5.3767709148805493E-2</v>
      </c>
      <c r="BC15" s="6">
        <f t="shared" si="11"/>
        <v>3.6234463820952162E-2</v>
      </c>
      <c r="BD15" s="6">
        <f t="shared" si="11"/>
        <v>8.4172436517509202E-3</v>
      </c>
      <c r="BE15" s="6">
        <f t="shared" si="11"/>
        <v>6.8853883838167582E-2</v>
      </c>
      <c r="BF15" s="6">
        <f t="shared" si="11"/>
        <v>5.8529421217985511E-3</v>
      </c>
      <c r="BG15" s="6">
        <f t="shared" si="11"/>
        <v>2.5461126495132957E-3</v>
      </c>
      <c r="BH15" s="6">
        <f t="shared" si="11"/>
        <v>1.4637133707172376E-2</v>
      </c>
      <c r="BI15" s="6">
        <f t="shared" si="11"/>
        <v>1.8303138030018238E-2</v>
      </c>
      <c r="BJ15" s="6">
        <f t="shared" si="11"/>
        <v>5.0029310844908956E-2</v>
      </c>
      <c r="BK15" s="6">
        <f t="shared" si="11"/>
        <v>4.1472373788238537E-2</v>
      </c>
      <c r="BL15" s="6">
        <f t="shared" si="11"/>
        <v>9.582406673692109E-3</v>
      </c>
      <c r="BM15" s="6">
        <f t="shared" si="11"/>
        <v>1.4892550615159326E-3</v>
      </c>
      <c r="BN15" s="6">
        <f t="shared" si="11"/>
        <v>2.1019433197472629E-2</v>
      </c>
      <c r="BO15" s="6">
        <f t="shared" ref="BO15:CT15" si="12">(BO5-BO11)^2</f>
        <v>7.1489161695194852E-3</v>
      </c>
      <c r="BP15" s="6">
        <f t="shared" si="12"/>
        <v>4.9018554265506831E-4</v>
      </c>
      <c r="BQ15" s="6">
        <f t="shared" si="12"/>
        <v>2.2924489228619893E-2</v>
      </c>
      <c r="BR15" s="6">
        <f t="shared" si="12"/>
        <v>4.6348051395399242E-2</v>
      </c>
      <c r="BS15" s="6">
        <f t="shared" si="12"/>
        <v>4.9350462262851509E-2</v>
      </c>
      <c r="BT15" s="6">
        <f t="shared" si="12"/>
        <v>2.8897822394271758E-2</v>
      </c>
      <c r="BU15" s="6">
        <f t="shared" si="12"/>
        <v>1.3466616565994167E-2</v>
      </c>
      <c r="BV15" s="6">
        <f t="shared" si="12"/>
        <v>4.2031925355017815E-3</v>
      </c>
      <c r="BW15" s="6">
        <f t="shared" si="12"/>
        <v>2.1067933163668452E-4</v>
      </c>
      <c r="BX15" s="6">
        <f t="shared" si="12"/>
        <v>1.0378315706453627E-2</v>
      </c>
      <c r="BY15" s="6">
        <f t="shared" si="12"/>
        <v>5.8881509036435567E-3</v>
      </c>
      <c r="BZ15" s="6">
        <f t="shared" si="12"/>
        <v>4.3673428872032516E-3</v>
      </c>
      <c r="CA15" s="6">
        <f t="shared" si="12"/>
        <v>3.6753632047366491E-3</v>
      </c>
      <c r="CB15" s="6">
        <f t="shared" si="12"/>
        <v>1.596123007930221E-2</v>
      </c>
      <c r="CC15" s="6">
        <f t="shared" si="12"/>
        <v>2.5736038941545799E-2</v>
      </c>
      <c r="CD15" s="6">
        <f t="shared" si="12"/>
        <v>0.1567024414461349</v>
      </c>
      <c r="CE15" s="6">
        <f t="shared" si="12"/>
        <v>4.3322620657000339E-3</v>
      </c>
      <c r="CF15" s="6">
        <f t="shared" si="12"/>
        <v>2.1733216885262124E-2</v>
      </c>
      <c r="CG15" s="6">
        <f t="shared" si="12"/>
        <v>7.9063326316364396E-2</v>
      </c>
      <c r="CH15" s="6">
        <f t="shared" si="12"/>
        <v>1.0394914619134971E-3</v>
      </c>
      <c r="CI15" s="6">
        <f t="shared" si="12"/>
        <v>1.0290411629317079E-3</v>
      </c>
      <c r="CJ15" s="6">
        <f t="shared" si="12"/>
        <v>0.24374772797212513</v>
      </c>
      <c r="CK15" s="6">
        <f t="shared" si="12"/>
        <v>6.0747993892910107E-2</v>
      </c>
      <c r="CL15" s="6">
        <f t="shared" si="12"/>
        <v>4.7558022351001761E-2</v>
      </c>
      <c r="CM15" s="6">
        <f t="shared" si="12"/>
        <v>2.41311039094371E-2</v>
      </c>
      <c r="CN15" s="6">
        <f t="shared" si="12"/>
        <v>0.14075586369264392</v>
      </c>
      <c r="CO15" s="6">
        <f t="shared" si="12"/>
        <v>0.29339799241866599</v>
      </c>
      <c r="CP15" s="6">
        <f t="shared" si="12"/>
        <v>1.0890194429082833E-4</v>
      </c>
      <c r="CQ15" s="6">
        <f t="shared" si="12"/>
        <v>8.5224012058036175E-2</v>
      </c>
      <c r="CR15" s="6">
        <f t="shared" si="12"/>
        <v>0.2253882292990842</v>
      </c>
      <c r="CS15" s="6">
        <f t="shared" si="12"/>
        <v>6.9101769864812715E-2</v>
      </c>
      <c r="CT15" s="6">
        <f t="shared" si="12"/>
        <v>6.4948778390843925E-2</v>
      </c>
      <c r="CU15" s="6">
        <f t="shared" ref="CU15:DZ15" si="13">(CU5-CU11)^2</f>
        <v>1.2376517498844553E-3</v>
      </c>
      <c r="CV15" s="6">
        <f t="shared" si="13"/>
        <v>8.4869028657436008E-2</v>
      </c>
      <c r="CW15" s="6">
        <f t="shared" si="13"/>
        <v>1.435810503471014E-2</v>
      </c>
      <c r="CX15" s="6">
        <f t="shared" si="13"/>
        <v>0.13893206813038864</v>
      </c>
      <c r="CY15" s="6">
        <f t="shared" si="13"/>
        <v>0.36304428427771102</v>
      </c>
      <c r="CZ15" s="6">
        <f t="shared" si="13"/>
        <v>0.75234390143696528</v>
      </c>
      <c r="DA15" s="6">
        <f t="shared" si="13"/>
        <v>6.7176164527273693E-2</v>
      </c>
      <c r="DB15" s="6">
        <f t="shared" si="13"/>
        <v>3.273486186453334E-4</v>
      </c>
      <c r="DC15" s="6">
        <f t="shared" si="13"/>
        <v>4.9979143119382306E-2</v>
      </c>
      <c r="DD15" s="6">
        <f t="shared" si="13"/>
        <v>6.5715308246267534E-2</v>
      </c>
      <c r="DE15" s="6">
        <f t="shared" si="13"/>
        <v>1.3779619599725264E-2</v>
      </c>
      <c r="DF15" s="6">
        <f t="shared" si="13"/>
        <v>0.15547153530738914</v>
      </c>
      <c r="DG15" s="6">
        <f t="shared" si="13"/>
        <v>5.25533195311415E-2</v>
      </c>
      <c r="DH15" s="6">
        <f t="shared" si="13"/>
        <v>1.1192678282671176E-2</v>
      </c>
      <c r="DI15" s="6">
        <f t="shared" si="13"/>
        <v>5.8448130267062352E-2</v>
      </c>
      <c r="DJ15" s="6">
        <f t="shared" si="13"/>
        <v>0.16440941888952298</v>
      </c>
      <c r="DK15" s="6">
        <f t="shared" si="13"/>
        <v>0.70395826724960586</v>
      </c>
      <c r="DL15" s="6">
        <f t="shared" si="13"/>
        <v>5.7914148790905819E-2</v>
      </c>
      <c r="DM15" s="6">
        <f t="shared" si="13"/>
        <v>0.21172131643185685</v>
      </c>
      <c r="DN15" s="6">
        <f t="shared" si="13"/>
        <v>0.60531809129546887</v>
      </c>
      <c r="DO15" s="6">
        <f t="shared" si="13"/>
        <v>9.1896142742364087E-2</v>
      </c>
      <c r="DP15" s="6">
        <f t="shared" si="13"/>
        <v>3.4550259814726862E-2</v>
      </c>
      <c r="DQ15" s="6">
        <f t="shared" si="13"/>
        <v>0.68359349095613919</v>
      </c>
      <c r="DR15" s="6">
        <f t="shared" si="13"/>
        <v>1.0001165413922777E-4</v>
      </c>
      <c r="DS15" s="6">
        <f t="shared" si="13"/>
        <v>0.11072807448978861</v>
      </c>
      <c r="DT15" s="6">
        <f t="shared" si="13"/>
        <v>8.8784319296733777E-2</v>
      </c>
      <c r="DU15" s="6">
        <f t="shared" si="13"/>
        <v>7.5469002063199023E-2</v>
      </c>
      <c r="DV15" s="6">
        <f t="shared" si="13"/>
        <v>0.55158559676116625</v>
      </c>
      <c r="DW15" s="6">
        <f t="shared" si="13"/>
        <v>5.4934112407110615E-3</v>
      </c>
      <c r="DX15" s="6">
        <f t="shared" si="13"/>
        <v>6.5056752498953915E-2</v>
      </c>
      <c r="DY15" s="6">
        <f t="shared" si="13"/>
        <v>0.2475256837966997</v>
      </c>
      <c r="DZ15" s="6">
        <f t="shared" si="13"/>
        <v>0.21087233176482217</v>
      </c>
      <c r="EA15" s="6">
        <f t="shared" ref="EA15:EF15" si="14">(EA5-EA11)^2</f>
        <v>0.15114087188472333</v>
      </c>
      <c r="EB15" s="6">
        <f t="shared" si="14"/>
        <v>0.87482148371581347</v>
      </c>
      <c r="EC15" s="6">
        <f t="shared" si="14"/>
        <v>1.531923655437289E-2</v>
      </c>
      <c r="ED15" s="6">
        <f t="shared" si="14"/>
        <v>0.10999976509349076</v>
      </c>
      <c r="EE15" s="6">
        <f t="shared" si="14"/>
        <v>0.55624904135993825</v>
      </c>
      <c r="EF15" s="6">
        <f t="shared" si="14"/>
        <v>1.0775088008824379E-2</v>
      </c>
    </row>
    <row r="17" spans="1:136">
      <c r="A17" t="s">
        <v>205</v>
      </c>
      <c r="B17" t="s">
        <v>135</v>
      </c>
      <c r="C17" s="6">
        <f t="shared" ref="C17:AH17" si="15">C9^2</f>
        <v>1.1904082277860264E-2</v>
      </c>
      <c r="D17" s="6">
        <f t="shared" si="15"/>
        <v>2.1247676054046116E-4</v>
      </c>
      <c r="E17" s="6">
        <f t="shared" si="15"/>
        <v>1.3071374994951929E-3</v>
      </c>
      <c r="F17" s="6">
        <f t="shared" si="15"/>
        <v>2.2492264027630889E-5</v>
      </c>
      <c r="G17" s="6">
        <f t="shared" si="15"/>
        <v>3.3036666141783492E-5</v>
      </c>
      <c r="H17" s="6">
        <f t="shared" si="15"/>
        <v>2.4381891708842936E-3</v>
      </c>
      <c r="I17" s="6">
        <f t="shared" si="15"/>
        <v>3.3581210916677484E-2</v>
      </c>
      <c r="J17" s="6">
        <f t="shared" si="15"/>
        <v>1.3569060155122757E-2</v>
      </c>
      <c r="K17" s="6">
        <f t="shared" si="15"/>
        <v>9.3605069620112215E-4</v>
      </c>
      <c r="L17" s="6">
        <f t="shared" si="15"/>
        <v>3.9315162352171023E-4</v>
      </c>
      <c r="M17" s="6">
        <f t="shared" si="15"/>
        <v>4.4095826822239875E-4</v>
      </c>
      <c r="N17" s="6">
        <f t="shared" si="15"/>
        <v>2.2433876085478928E-2</v>
      </c>
      <c r="O17" s="6">
        <f t="shared" si="15"/>
        <v>2.3911693040638534E-4</v>
      </c>
      <c r="P17" s="6">
        <f t="shared" si="15"/>
        <v>8.4258302823047079E-3</v>
      </c>
      <c r="Q17" s="6">
        <f t="shared" si="15"/>
        <v>5.9921553092687051E-3</v>
      </c>
      <c r="R17" s="6">
        <f t="shared" si="15"/>
        <v>3.0004754709051702E-3</v>
      </c>
      <c r="S17" s="6">
        <f t="shared" si="15"/>
        <v>1.5708708491616E-2</v>
      </c>
      <c r="T17" s="6">
        <f t="shared" si="15"/>
        <v>1.4173716945580542E-2</v>
      </c>
      <c r="U17" s="6">
        <f t="shared" si="15"/>
        <v>1.4265767398050631E-3</v>
      </c>
      <c r="V17" s="6">
        <f t="shared" si="15"/>
        <v>6.5908131416074602E-3</v>
      </c>
      <c r="W17" s="6">
        <f t="shared" si="15"/>
        <v>7.0575066817627407E-3</v>
      </c>
      <c r="X17" s="6">
        <f t="shared" si="15"/>
        <v>2.1612338960948319E-2</v>
      </c>
      <c r="Y17" s="6">
        <f t="shared" si="15"/>
        <v>1.5715264241471783E-2</v>
      </c>
      <c r="Z17" s="6">
        <f t="shared" si="15"/>
        <v>3.6846166718653456E-2</v>
      </c>
      <c r="AA17" s="6">
        <f t="shared" si="15"/>
        <v>7.1184289266528374E-3</v>
      </c>
      <c r="AB17" s="6">
        <f t="shared" si="15"/>
        <v>5.3140620982757656E-3</v>
      </c>
      <c r="AC17" s="6">
        <f t="shared" si="15"/>
        <v>1.0527695785516851E-2</v>
      </c>
      <c r="AD17" s="6">
        <f t="shared" si="15"/>
        <v>2.4869817519127077E-4</v>
      </c>
      <c r="AE17" s="6">
        <f t="shared" si="15"/>
        <v>2.3106177330172069E-2</v>
      </c>
      <c r="AF17" s="6">
        <f t="shared" si="15"/>
        <v>3.5105923035905259E-3</v>
      </c>
      <c r="AG17" s="6">
        <f t="shared" si="15"/>
        <v>1.6915301264337771E-2</v>
      </c>
      <c r="AH17" s="6">
        <f t="shared" si="15"/>
        <v>1.328403665826966E-2</v>
      </c>
      <c r="AI17" s="6">
        <f t="shared" ref="AI17:BN17" si="16">AI9^2</f>
        <v>1.0631917918075163E-3</v>
      </c>
      <c r="AJ17" s="6">
        <f t="shared" si="16"/>
        <v>7.8395043318640434E-4</v>
      </c>
      <c r="AK17" s="6">
        <f t="shared" si="16"/>
        <v>2.1482887422166509E-2</v>
      </c>
      <c r="AL17" s="6">
        <f t="shared" si="16"/>
        <v>1.668062549107739E-3</v>
      </c>
      <c r="AM17" s="6">
        <f t="shared" si="16"/>
        <v>1.7259749824038686E-2</v>
      </c>
      <c r="AN17" s="6">
        <f t="shared" si="16"/>
        <v>4.9032555464976403E-2</v>
      </c>
      <c r="AO17" s="6">
        <f t="shared" si="16"/>
        <v>4.3852711121876225E-4</v>
      </c>
      <c r="AP17" s="6">
        <f t="shared" si="16"/>
        <v>1.8812851996102171E-2</v>
      </c>
      <c r="AQ17" s="6">
        <f t="shared" si="16"/>
        <v>6.1915646627000822E-4</v>
      </c>
      <c r="AR17" s="6">
        <f t="shared" si="16"/>
        <v>2.4068328718584233E-4</v>
      </c>
      <c r="AS17" s="6">
        <f t="shared" si="16"/>
        <v>1.1815056389704321E-3</v>
      </c>
      <c r="AT17" s="6">
        <f t="shared" si="16"/>
        <v>3.9810656089414309E-3</v>
      </c>
      <c r="AU17" s="6">
        <f t="shared" si="16"/>
        <v>1.8694983030806238E-3</v>
      </c>
      <c r="AV17" s="6">
        <f t="shared" si="16"/>
        <v>5.5101474414569638E-3</v>
      </c>
      <c r="AW17" s="6">
        <f t="shared" si="16"/>
        <v>7.8371035043392316E-4</v>
      </c>
      <c r="AX17" s="6">
        <f t="shared" si="16"/>
        <v>1.4367478657017244E-2</v>
      </c>
      <c r="AY17" s="6">
        <f t="shared" si="16"/>
        <v>5.8613679493322605E-3</v>
      </c>
      <c r="AZ17" s="6">
        <f t="shared" si="16"/>
        <v>4.7220968054589304E-4</v>
      </c>
      <c r="BA17" s="6">
        <f t="shared" si="16"/>
        <v>1.5536707046446584E-6</v>
      </c>
      <c r="BB17" s="6">
        <f t="shared" si="16"/>
        <v>1.0200156097581669E-2</v>
      </c>
      <c r="BC17" s="6">
        <f t="shared" si="16"/>
        <v>8.8964574469951819E-4</v>
      </c>
      <c r="BD17" s="6">
        <f t="shared" si="16"/>
        <v>7.5268956977767048E-5</v>
      </c>
      <c r="BE17" s="6">
        <f t="shared" si="16"/>
        <v>4.7000904970756216E-3</v>
      </c>
      <c r="BF17" s="6">
        <f t="shared" si="16"/>
        <v>2.4621562948682934E-2</v>
      </c>
      <c r="BG17" s="6">
        <f t="shared" si="16"/>
        <v>2.5345828645073384E-2</v>
      </c>
      <c r="BH17" s="6">
        <f t="shared" si="16"/>
        <v>3.7358582565093718E-3</v>
      </c>
      <c r="BI17" s="6">
        <f t="shared" si="16"/>
        <v>9.3921007423280172E-3</v>
      </c>
      <c r="BJ17" s="6">
        <f t="shared" si="16"/>
        <v>2.9971517217047563E-3</v>
      </c>
      <c r="BK17" s="6">
        <f t="shared" si="16"/>
        <v>7.6550185977651616E-3</v>
      </c>
      <c r="BL17" s="6">
        <f t="shared" si="16"/>
        <v>8.9164103340217925E-3</v>
      </c>
      <c r="BM17" s="6">
        <f t="shared" si="16"/>
        <v>4.9244308753160887E-4</v>
      </c>
      <c r="BN17" s="6">
        <f t="shared" si="16"/>
        <v>2.4425352677185161E-4</v>
      </c>
      <c r="BO17" s="6">
        <f t="shared" ref="BO17:CT17" si="17">BO9^2</f>
        <v>6.6289298211247571E-3</v>
      </c>
      <c r="BP17" s="6">
        <f t="shared" si="17"/>
        <v>3.4258094968395863E-4</v>
      </c>
      <c r="BQ17" s="6">
        <f t="shared" si="17"/>
        <v>4.7237535213055463E-3</v>
      </c>
      <c r="BR17" s="6">
        <f t="shared" si="17"/>
        <v>9.6246407867516525E-6</v>
      </c>
      <c r="BS17" s="6">
        <f t="shared" si="17"/>
        <v>5.6196639138378088E-3</v>
      </c>
      <c r="BT17" s="6">
        <f t="shared" si="17"/>
        <v>2.0431835304301382E-3</v>
      </c>
      <c r="BU17" s="6">
        <f t="shared" si="17"/>
        <v>6.5932524502488709E-4</v>
      </c>
      <c r="BV17" s="6">
        <f t="shared" si="17"/>
        <v>8.427980119369332E-3</v>
      </c>
      <c r="BW17" s="6">
        <f t="shared" si="17"/>
        <v>6.9453326513524774E-4</v>
      </c>
      <c r="BX17" s="6">
        <f t="shared" si="17"/>
        <v>3.7615951743202121E-4</v>
      </c>
      <c r="BY17" s="6">
        <f t="shared" si="17"/>
        <v>5.9042164483032638E-3</v>
      </c>
      <c r="BZ17" s="6">
        <f t="shared" si="17"/>
        <v>1.2839000623048005E-2</v>
      </c>
      <c r="CA17" s="6">
        <f t="shared" si="17"/>
        <v>1.1525082059920233E-2</v>
      </c>
      <c r="CB17" s="6">
        <f t="shared" si="17"/>
        <v>1.6682967477483388E-3</v>
      </c>
      <c r="CC17" s="6">
        <f t="shared" si="17"/>
        <v>3.9210767823715285E-4</v>
      </c>
      <c r="CD17" s="6">
        <f t="shared" si="17"/>
        <v>3.548592802252902E-2</v>
      </c>
      <c r="CE17" s="6">
        <f t="shared" si="17"/>
        <v>3.0885701458901937E-3</v>
      </c>
      <c r="CF17" s="6">
        <f t="shared" si="17"/>
        <v>5.6058275198580514E-3</v>
      </c>
      <c r="CG17" s="6">
        <f t="shared" si="17"/>
        <v>1.0000038380535725E-2</v>
      </c>
      <c r="CH17" s="6">
        <f t="shared" si="17"/>
        <v>1.850190885600296E-2</v>
      </c>
      <c r="CI17" s="6">
        <f t="shared" si="17"/>
        <v>8.7873778374468071E-3</v>
      </c>
      <c r="CJ17" s="6">
        <f t="shared" si="17"/>
        <v>1.5449609443997168E-5</v>
      </c>
      <c r="CK17" s="6">
        <f t="shared" si="17"/>
        <v>3.1931288133821255E-3</v>
      </c>
      <c r="CL17" s="6">
        <f t="shared" si="17"/>
        <v>6.9456377220562526E-2</v>
      </c>
      <c r="CM17" s="6">
        <f t="shared" si="17"/>
        <v>9.1306336429085243E-5</v>
      </c>
      <c r="CN17" s="6">
        <f t="shared" si="17"/>
        <v>9.9299981066329653E-4</v>
      </c>
      <c r="CO17" s="6">
        <f t="shared" si="17"/>
        <v>5.1162058729769763E-4</v>
      </c>
      <c r="CP17" s="6">
        <f t="shared" si="17"/>
        <v>1.7597510690797149E-2</v>
      </c>
      <c r="CQ17" s="6">
        <f t="shared" si="17"/>
        <v>1.7708364708443211E-2</v>
      </c>
      <c r="CR17" s="6">
        <f t="shared" si="17"/>
        <v>2.2369415134259262E-4</v>
      </c>
      <c r="CS17" s="6">
        <f t="shared" si="17"/>
        <v>1.1168922557625953E-3</v>
      </c>
      <c r="CT17" s="6">
        <f t="shared" si="17"/>
        <v>1.5082808365029206E-4</v>
      </c>
      <c r="CU17" s="6">
        <f t="shared" ref="CU17:DZ17" si="18">CU9^2</f>
        <v>1.3645740385844037E-2</v>
      </c>
      <c r="CV17" s="6">
        <f t="shared" si="18"/>
        <v>9.9789357659655527E-6</v>
      </c>
      <c r="CW17" s="6">
        <f t="shared" si="18"/>
        <v>1.4605970535097568E-3</v>
      </c>
      <c r="CX17" s="6">
        <f t="shared" si="18"/>
        <v>1.9369428669164728E-2</v>
      </c>
      <c r="CY17" s="6">
        <f t="shared" si="18"/>
        <v>5.6227258353762984E-4</v>
      </c>
      <c r="CZ17" s="6">
        <f t="shared" si="18"/>
        <v>4.7677993769128582E-2</v>
      </c>
      <c r="DA17" s="6">
        <f t="shared" si="18"/>
        <v>3.3602150955513014E-3</v>
      </c>
      <c r="DB17" s="6">
        <f t="shared" si="18"/>
        <v>1.9892898007428065E-4</v>
      </c>
      <c r="DC17" s="6">
        <f t="shared" si="18"/>
        <v>1.298598834966512E-2</v>
      </c>
      <c r="DD17" s="6">
        <f t="shared" si="18"/>
        <v>5.5461177913042319E-3</v>
      </c>
      <c r="DE17" s="6">
        <f t="shared" si="18"/>
        <v>8.0944705118043796E-7</v>
      </c>
      <c r="DF17" s="6">
        <f t="shared" si="18"/>
        <v>9.5466930982486662E-7</v>
      </c>
      <c r="DG17" s="6">
        <f t="shared" si="18"/>
        <v>5.3260942765597724E-3</v>
      </c>
      <c r="DH17" s="6">
        <f t="shared" si="18"/>
        <v>5.6859770483571833E-4</v>
      </c>
      <c r="DI17" s="6">
        <f t="shared" si="18"/>
        <v>1.0308477356134783E-2</v>
      </c>
      <c r="DJ17" s="6">
        <f t="shared" si="18"/>
        <v>7.6687657573272126E-4</v>
      </c>
      <c r="DK17" s="6">
        <f t="shared" si="18"/>
        <v>2.4339573117996964E-3</v>
      </c>
      <c r="DL17" s="6">
        <f t="shared" si="18"/>
        <v>3.248267667612629E-5</v>
      </c>
      <c r="DM17" s="6">
        <f t="shared" si="18"/>
        <v>1.3676505773505593E-3</v>
      </c>
      <c r="DN17" s="6">
        <f t="shared" si="18"/>
        <v>1.2058891959025398E-2</v>
      </c>
      <c r="DO17" s="6">
        <f t="shared" si="18"/>
        <v>1.7670946755159902E-3</v>
      </c>
      <c r="DP17" s="6">
        <f t="shared" si="18"/>
        <v>7.1515213376560464E-3</v>
      </c>
      <c r="DQ17" s="6">
        <f t="shared" si="18"/>
        <v>1.2161636684326392E-2</v>
      </c>
      <c r="DR17" s="6">
        <f t="shared" si="18"/>
        <v>8.8979053657027001E-3</v>
      </c>
      <c r="DS17" s="6">
        <f t="shared" si="18"/>
        <v>5.1706040810191528E-3</v>
      </c>
      <c r="DT17" s="6">
        <f t="shared" si="18"/>
        <v>9.2614503642733919E-3</v>
      </c>
      <c r="DU17" s="6">
        <f t="shared" si="18"/>
        <v>5.5016020342108963E-6</v>
      </c>
      <c r="DV17" s="6">
        <f t="shared" si="18"/>
        <v>1.7960669823662546E-2</v>
      </c>
      <c r="DW17" s="6">
        <f t="shared" si="18"/>
        <v>8.9742501777570517E-3</v>
      </c>
      <c r="DX17" s="6">
        <f t="shared" si="18"/>
        <v>1.0768876593012837E-2</v>
      </c>
      <c r="DY17" s="6">
        <f t="shared" si="18"/>
        <v>5.7399040046420165E-3</v>
      </c>
      <c r="DZ17" s="6">
        <f t="shared" si="18"/>
        <v>1.0131311029084758E-3</v>
      </c>
      <c r="EA17" s="6">
        <f t="shared" ref="EA17:EF17" si="19">EA9^2</f>
        <v>2.6020277100143683E-2</v>
      </c>
      <c r="EB17" s="6">
        <f t="shared" si="19"/>
        <v>1.0411208891300061E-4</v>
      </c>
      <c r="EC17" s="6">
        <f t="shared" si="19"/>
        <v>5.4742870589305657E-3</v>
      </c>
      <c r="ED17" s="6">
        <f t="shared" si="19"/>
        <v>2.4767480781445986E-2</v>
      </c>
      <c r="EE17" s="6">
        <f t="shared" si="19"/>
        <v>6.2627523737550815E-3</v>
      </c>
      <c r="EF17" s="6">
        <f t="shared" si="19"/>
        <v>5.2603901117786907E-3</v>
      </c>
    </row>
    <row r="18" spans="1:136">
      <c r="B18" t="s">
        <v>136</v>
      </c>
      <c r="C18" s="6">
        <f t="shared" ref="C18:AH18" si="20">C10^2</f>
        <v>6.1300169090364023E-2</v>
      </c>
      <c r="D18" s="6">
        <f t="shared" si="20"/>
        <v>7.5456410721795972E-2</v>
      </c>
      <c r="E18" s="6">
        <f t="shared" si="20"/>
        <v>7.1653491215006608E-3</v>
      </c>
      <c r="F18" s="6">
        <f t="shared" si="20"/>
        <v>5.1277932467457823E-4</v>
      </c>
      <c r="G18" s="6">
        <f t="shared" si="20"/>
        <v>2.4681024790687124E-3</v>
      </c>
      <c r="H18" s="6">
        <f t="shared" si="20"/>
        <v>1.0152503674850528E-2</v>
      </c>
      <c r="I18" s="6">
        <f t="shared" si="20"/>
        <v>1.568185506319921E-4</v>
      </c>
      <c r="J18" s="6">
        <f t="shared" si="20"/>
        <v>6.1994443791691554E-3</v>
      </c>
      <c r="K18" s="6">
        <f t="shared" si="20"/>
        <v>1.1686210786418709E-3</v>
      </c>
      <c r="L18" s="6">
        <f t="shared" si="20"/>
        <v>7.8157618954765237E-3</v>
      </c>
      <c r="M18" s="6">
        <f t="shared" si="20"/>
        <v>9.384753841255295E-6</v>
      </c>
      <c r="N18" s="6">
        <f t="shared" si="20"/>
        <v>4.5036476574086326E-2</v>
      </c>
      <c r="O18" s="6">
        <f t="shared" si="20"/>
        <v>1.3546366286925624E-3</v>
      </c>
      <c r="P18" s="6">
        <f t="shared" si="20"/>
        <v>5.0457039774389721E-3</v>
      </c>
      <c r="Q18" s="6">
        <f t="shared" si="20"/>
        <v>5.0781490762883581E-3</v>
      </c>
      <c r="R18" s="6">
        <f t="shared" si="20"/>
        <v>4.6485286217124193E-4</v>
      </c>
      <c r="S18" s="6">
        <f t="shared" si="20"/>
        <v>1.0223486509543127E-2</v>
      </c>
      <c r="T18" s="6">
        <f t="shared" si="20"/>
        <v>1.8683781301546628E-3</v>
      </c>
      <c r="U18" s="6">
        <f t="shared" si="20"/>
        <v>2.2147242359019667E-4</v>
      </c>
      <c r="V18" s="6">
        <f t="shared" si="20"/>
        <v>4.0018583491306699E-5</v>
      </c>
      <c r="W18" s="6">
        <f t="shared" si="20"/>
        <v>2.0607457624597373E-2</v>
      </c>
      <c r="X18" s="6">
        <f t="shared" si="20"/>
        <v>4.1321976387742217E-3</v>
      </c>
      <c r="Y18" s="6">
        <f t="shared" si="20"/>
        <v>3.6230087920246964E-4</v>
      </c>
      <c r="Z18" s="6">
        <f t="shared" si="20"/>
        <v>4.2619770257246479E-4</v>
      </c>
      <c r="AA18" s="6">
        <f t="shared" si="20"/>
        <v>1.0929332099957007E-3</v>
      </c>
      <c r="AB18" s="6">
        <f t="shared" si="20"/>
        <v>3.7706753115437583E-4</v>
      </c>
      <c r="AC18" s="6">
        <f t="shared" si="20"/>
        <v>3.9849977723438457E-3</v>
      </c>
      <c r="AD18" s="6">
        <f t="shared" si="20"/>
        <v>4.3072591163810263E-3</v>
      </c>
      <c r="AE18" s="6">
        <f t="shared" si="20"/>
        <v>1.9042810256226231E-2</v>
      </c>
      <c r="AF18" s="6">
        <f t="shared" si="20"/>
        <v>1.0113906222416341E-2</v>
      </c>
      <c r="AG18" s="6">
        <f t="shared" si="20"/>
        <v>1.4416518828127469E-3</v>
      </c>
      <c r="AH18" s="6">
        <f t="shared" si="20"/>
        <v>2.1012632264048744E-3</v>
      </c>
      <c r="AI18" s="6">
        <f t="shared" ref="AI18:BN18" si="21">AI10^2</f>
        <v>2.6044789051912999E-3</v>
      </c>
      <c r="AJ18" s="6">
        <f t="shared" si="21"/>
        <v>1.0371239511276646E-5</v>
      </c>
      <c r="AK18" s="6">
        <f t="shared" si="21"/>
        <v>2.3963921924093171E-7</v>
      </c>
      <c r="AL18" s="6">
        <f t="shared" si="21"/>
        <v>1.1330911354520039E-2</v>
      </c>
      <c r="AM18" s="6">
        <f t="shared" si="21"/>
        <v>1.883474509221127E-4</v>
      </c>
      <c r="AN18" s="6">
        <f t="shared" si="21"/>
        <v>1.4875389913204669E-2</v>
      </c>
      <c r="AO18" s="6">
        <f t="shared" si="21"/>
        <v>2.3609556394479764E-3</v>
      </c>
      <c r="AP18" s="6">
        <f t="shared" si="21"/>
        <v>3.6219815731516953E-6</v>
      </c>
      <c r="AQ18" s="6">
        <f t="shared" si="21"/>
        <v>8.4491867337224593E-4</v>
      </c>
      <c r="AR18" s="6">
        <f t="shared" si="21"/>
        <v>2.7705250060662671E-3</v>
      </c>
      <c r="AS18" s="6">
        <f t="shared" si="21"/>
        <v>1.6623611670017849E-4</v>
      </c>
      <c r="AT18" s="6">
        <f t="shared" si="21"/>
        <v>4.541735420018535E-6</v>
      </c>
      <c r="AU18" s="6">
        <f t="shared" si="21"/>
        <v>2.4144306160754265E-2</v>
      </c>
      <c r="AV18" s="6">
        <f t="shared" si="21"/>
        <v>1.6082764905029582E-4</v>
      </c>
      <c r="AW18" s="6">
        <f t="shared" si="21"/>
        <v>1.4261904564871037E-4</v>
      </c>
      <c r="AX18" s="6">
        <f t="shared" si="21"/>
        <v>1.8094742098652484E-5</v>
      </c>
      <c r="AY18" s="6">
        <f t="shared" si="21"/>
        <v>8.5854107590684829E-4</v>
      </c>
      <c r="AZ18" s="6">
        <f t="shared" si="21"/>
        <v>1.7990186561850662E-2</v>
      </c>
      <c r="BA18" s="6">
        <f t="shared" si="21"/>
        <v>1.8799571566061855E-2</v>
      </c>
      <c r="BB18" s="6">
        <f t="shared" si="21"/>
        <v>3.0788334943751427E-6</v>
      </c>
      <c r="BC18" s="6">
        <f t="shared" si="21"/>
        <v>6.3087002382422445E-4</v>
      </c>
      <c r="BD18" s="6">
        <f t="shared" si="21"/>
        <v>1.4304616064498009E-2</v>
      </c>
      <c r="BE18" s="6">
        <f t="shared" si="21"/>
        <v>1.8431225512955431E-2</v>
      </c>
      <c r="BF18" s="6">
        <f t="shared" si="21"/>
        <v>2.2175775080298639E-3</v>
      </c>
      <c r="BG18" s="6">
        <f t="shared" si="21"/>
        <v>6.7860478904543942E-4</v>
      </c>
      <c r="BH18" s="6">
        <f t="shared" si="21"/>
        <v>1.9143052038415641E-3</v>
      </c>
      <c r="BI18" s="6">
        <f t="shared" si="21"/>
        <v>6.6246296481045049E-3</v>
      </c>
      <c r="BJ18" s="6">
        <f t="shared" si="21"/>
        <v>1.0120525298453803E-2</v>
      </c>
      <c r="BK18" s="6">
        <f t="shared" si="21"/>
        <v>8.1884544049846235E-3</v>
      </c>
      <c r="BL18" s="6">
        <f t="shared" si="21"/>
        <v>9.5471475034238963E-4</v>
      </c>
      <c r="BM18" s="6">
        <f t="shared" si="21"/>
        <v>3.4591085480784899E-3</v>
      </c>
      <c r="BN18" s="6">
        <f t="shared" si="21"/>
        <v>6.617113024465748E-3</v>
      </c>
      <c r="BO18" s="6">
        <f t="shared" ref="BO18:CT18" si="22">BO10^2</f>
        <v>5.9543089738482516E-5</v>
      </c>
      <c r="BP18" s="6">
        <f t="shared" si="22"/>
        <v>1.1392332566655691E-2</v>
      </c>
      <c r="BQ18" s="6">
        <f t="shared" si="22"/>
        <v>7.3746686174088762E-4</v>
      </c>
      <c r="BR18" s="6">
        <f t="shared" si="22"/>
        <v>2.962735792272784E-3</v>
      </c>
      <c r="BS18" s="6">
        <f t="shared" si="22"/>
        <v>4.6552343102339144E-3</v>
      </c>
      <c r="BT18" s="6">
        <f t="shared" si="22"/>
        <v>9.7243705233366149E-3</v>
      </c>
      <c r="BU18" s="6">
        <f t="shared" si="22"/>
        <v>1.6486185664536111E-2</v>
      </c>
      <c r="BV18" s="6">
        <f t="shared" si="22"/>
        <v>6.1469550603066659E-3</v>
      </c>
      <c r="BW18" s="6">
        <f t="shared" si="22"/>
        <v>1.4192843634773274E-2</v>
      </c>
      <c r="BX18" s="6">
        <f t="shared" si="22"/>
        <v>2.1986811101669893E-3</v>
      </c>
      <c r="BY18" s="6">
        <f t="shared" si="22"/>
        <v>1.034255309954589E-2</v>
      </c>
      <c r="BZ18" s="6">
        <f t="shared" si="22"/>
        <v>6.5946672658473903E-4</v>
      </c>
      <c r="CA18" s="6">
        <f t="shared" si="22"/>
        <v>6.9391882189381946E-3</v>
      </c>
      <c r="CB18" s="6">
        <f t="shared" si="22"/>
        <v>2.4909566624333357E-2</v>
      </c>
      <c r="CC18" s="6">
        <f t="shared" si="22"/>
        <v>5.0484679457919839E-3</v>
      </c>
      <c r="CD18" s="6">
        <f t="shared" si="22"/>
        <v>5.4575883396954768E-3</v>
      </c>
      <c r="CE18" s="6">
        <f t="shared" si="22"/>
        <v>5.6067832386980022E-2</v>
      </c>
      <c r="CF18" s="6">
        <f t="shared" si="22"/>
        <v>1.0645672168983563E-3</v>
      </c>
      <c r="CG18" s="6">
        <f t="shared" si="22"/>
        <v>1.8017920089221721E-4</v>
      </c>
      <c r="CH18" s="6">
        <f t="shared" si="22"/>
        <v>7.8213400438148902E-6</v>
      </c>
      <c r="CI18" s="6">
        <f t="shared" si="22"/>
        <v>2.2968727120364087E-3</v>
      </c>
      <c r="CJ18" s="6">
        <f t="shared" si="22"/>
        <v>1.0575629320283603E-5</v>
      </c>
      <c r="CK18" s="6">
        <f t="shared" si="22"/>
        <v>5.7317300865370067E-3</v>
      </c>
      <c r="CL18" s="6">
        <f t="shared" si="22"/>
        <v>1.9711163270756775E-3</v>
      </c>
      <c r="CM18" s="6">
        <f t="shared" si="22"/>
        <v>3.2036912913769394E-2</v>
      </c>
      <c r="CN18" s="6">
        <f t="shared" si="22"/>
        <v>3.3633349379620708E-3</v>
      </c>
      <c r="CO18" s="6">
        <f t="shared" si="22"/>
        <v>1.9429624982324575E-2</v>
      </c>
      <c r="CP18" s="6">
        <f t="shared" si="22"/>
        <v>4.1879885783785839E-3</v>
      </c>
      <c r="CQ18" s="6">
        <f t="shared" si="22"/>
        <v>3.2829051050147696E-2</v>
      </c>
      <c r="CR18" s="6">
        <f t="shared" si="22"/>
        <v>7.8559030529674386E-3</v>
      </c>
      <c r="CS18" s="6">
        <f t="shared" si="22"/>
        <v>6.411922743936203E-4</v>
      </c>
      <c r="CT18" s="6">
        <f t="shared" si="22"/>
        <v>1.2786876993597889E-2</v>
      </c>
      <c r="CU18" s="6">
        <f t="shared" ref="CU18:DZ18" si="23">CU10^2</f>
        <v>6.5544524509339751E-5</v>
      </c>
      <c r="CV18" s="6">
        <f t="shared" si="23"/>
        <v>2.0430588388809477E-3</v>
      </c>
      <c r="CW18" s="6">
        <f t="shared" si="23"/>
        <v>3.4740680595904648E-3</v>
      </c>
      <c r="CX18" s="6">
        <f t="shared" si="23"/>
        <v>1.160538698235747E-2</v>
      </c>
      <c r="CY18" s="6">
        <f t="shared" si="23"/>
        <v>9.3129254150261E-3</v>
      </c>
      <c r="CZ18" s="6">
        <f t="shared" si="23"/>
        <v>4.424895059465464E-2</v>
      </c>
      <c r="DA18" s="6">
        <f t="shared" si="23"/>
        <v>1.2091451728744079E-2</v>
      </c>
      <c r="DB18" s="6">
        <f t="shared" si="23"/>
        <v>3.6412452392839745E-2</v>
      </c>
      <c r="DC18" s="6">
        <f t="shared" si="23"/>
        <v>4.2961982124366043E-4</v>
      </c>
      <c r="DD18" s="6">
        <f t="shared" si="23"/>
        <v>7.5740634376350218E-3</v>
      </c>
      <c r="DE18" s="6">
        <f t="shared" si="23"/>
        <v>6.728033843953052E-3</v>
      </c>
      <c r="DF18" s="6">
        <f t="shared" si="23"/>
        <v>2.7847821251246123E-2</v>
      </c>
      <c r="DG18" s="6">
        <f t="shared" si="23"/>
        <v>4.9478702022008603E-2</v>
      </c>
      <c r="DH18" s="6">
        <f t="shared" si="23"/>
        <v>2.0821839571003448E-2</v>
      </c>
      <c r="DI18" s="6">
        <f t="shared" si="23"/>
        <v>1.4308932973192761E-2</v>
      </c>
      <c r="DJ18" s="6">
        <f t="shared" si="23"/>
        <v>1.0321085627255753E-2</v>
      </c>
      <c r="DK18" s="6">
        <f t="shared" si="23"/>
        <v>8.6220619337353931E-3</v>
      </c>
      <c r="DL18" s="6">
        <f t="shared" si="23"/>
        <v>1.8173586858343696E-3</v>
      </c>
      <c r="DM18" s="6">
        <f t="shared" si="23"/>
        <v>6.8445958863232442E-3</v>
      </c>
      <c r="DN18" s="6">
        <f t="shared" si="23"/>
        <v>9.6406849840983359E-4</v>
      </c>
      <c r="DO18" s="6">
        <f t="shared" si="23"/>
        <v>9.6318502978574808E-3</v>
      </c>
      <c r="DP18" s="6">
        <f t="shared" si="23"/>
        <v>1.7053455955604278E-2</v>
      </c>
      <c r="DQ18" s="6">
        <f t="shared" si="23"/>
        <v>2.3673789185478821E-3</v>
      </c>
      <c r="DR18" s="6">
        <f t="shared" si="23"/>
        <v>1.5407124335768466E-3</v>
      </c>
      <c r="DS18" s="6">
        <f t="shared" si="23"/>
        <v>2.5930725116640962E-2</v>
      </c>
      <c r="DT18" s="6">
        <f t="shared" si="23"/>
        <v>6.2226801681010647E-3</v>
      </c>
      <c r="DU18" s="6">
        <f t="shared" si="23"/>
        <v>2.6921313954919424E-2</v>
      </c>
      <c r="DV18" s="6">
        <f t="shared" si="23"/>
        <v>5.6328800675286651E-5</v>
      </c>
      <c r="DW18" s="6">
        <f t="shared" si="23"/>
        <v>1.0331756871656347E-2</v>
      </c>
      <c r="DX18" s="6">
        <f t="shared" si="23"/>
        <v>3.1405143826489668E-3</v>
      </c>
      <c r="DY18" s="6">
        <f t="shared" si="23"/>
        <v>1.137563878096463E-2</v>
      </c>
      <c r="DZ18" s="6">
        <f t="shared" si="23"/>
        <v>4.7867822305639905E-3</v>
      </c>
      <c r="EA18" s="6">
        <f t="shared" ref="EA18:EF18" si="24">EA10^2</f>
        <v>1.59235773418211E-2</v>
      </c>
      <c r="EB18" s="6">
        <f t="shared" si="24"/>
        <v>4.1908944894200424E-3</v>
      </c>
      <c r="EC18" s="6">
        <f t="shared" si="24"/>
        <v>2.6446410296186275E-3</v>
      </c>
      <c r="ED18" s="6">
        <f t="shared" si="24"/>
        <v>1.1900242728375913E-3</v>
      </c>
      <c r="EE18" s="6">
        <f t="shared" si="24"/>
        <v>2.4862225023126495E-2</v>
      </c>
      <c r="EF18" s="6">
        <f t="shared" si="24"/>
        <v>1.6174756721905801E-2</v>
      </c>
    </row>
    <row r="19" spans="1:136">
      <c r="B19" t="s">
        <v>137</v>
      </c>
      <c r="C19" s="6">
        <f t="shared" ref="C19:AH19" si="25">C11^2</f>
        <v>2.9424962947699911E-3</v>
      </c>
      <c r="D19" s="6">
        <f t="shared" si="25"/>
        <v>2.059074167658151E-3</v>
      </c>
      <c r="E19" s="6">
        <f t="shared" si="25"/>
        <v>3.1514318274691188E-4</v>
      </c>
      <c r="F19" s="6">
        <f t="shared" si="25"/>
        <v>7.6890721339683337E-3</v>
      </c>
      <c r="G19" s="6">
        <f t="shared" si="25"/>
        <v>1.0559465472918014E-2</v>
      </c>
      <c r="H19" s="6">
        <f t="shared" si="25"/>
        <v>6.3069879875624846E-6</v>
      </c>
      <c r="I19" s="6">
        <f t="shared" si="25"/>
        <v>3.3502003352045134E-4</v>
      </c>
      <c r="J19" s="6">
        <f t="shared" si="25"/>
        <v>4.8887532041517415E-4</v>
      </c>
      <c r="K19" s="6">
        <f t="shared" si="25"/>
        <v>5.9688056303032417E-3</v>
      </c>
      <c r="L19" s="6">
        <f t="shared" si="25"/>
        <v>8.7311801112263879E-5</v>
      </c>
      <c r="M19" s="6">
        <f t="shared" si="25"/>
        <v>2.873193829916625E-3</v>
      </c>
      <c r="N19" s="6">
        <f t="shared" si="25"/>
        <v>4.6073356328051786E-3</v>
      </c>
      <c r="O19" s="6">
        <f t="shared" si="25"/>
        <v>4.2158901598624366E-3</v>
      </c>
      <c r="P19" s="6">
        <f t="shared" si="25"/>
        <v>2.3821054386013211E-5</v>
      </c>
      <c r="Q19" s="6">
        <f t="shared" si="25"/>
        <v>3.6855622546895207E-4</v>
      </c>
      <c r="R19" s="6">
        <f t="shared" si="25"/>
        <v>2.9870042368556722E-5</v>
      </c>
      <c r="S19" s="6">
        <f t="shared" si="25"/>
        <v>1.3360097496481892E-3</v>
      </c>
      <c r="T19" s="6">
        <f t="shared" si="25"/>
        <v>1.6688781966867596E-2</v>
      </c>
      <c r="U19" s="6">
        <f t="shared" si="25"/>
        <v>1.8748202760809614E-4</v>
      </c>
      <c r="V19" s="6">
        <f t="shared" si="25"/>
        <v>2.3394473192739536E-4</v>
      </c>
      <c r="W19" s="6">
        <f t="shared" si="25"/>
        <v>1.0959099784052484E-2</v>
      </c>
      <c r="X19" s="6">
        <f t="shared" si="25"/>
        <v>8.6346676822882121E-2</v>
      </c>
      <c r="Y19" s="6">
        <f t="shared" si="25"/>
        <v>3.5061183838375133E-3</v>
      </c>
      <c r="Z19" s="6">
        <f t="shared" si="25"/>
        <v>3.4205878279447842E-2</v>
      </c>
      <c r="AA19" s="6">
        <f t="shared" si="25"/>
        <v>9.6525592252829466E-3</v>
      </c>
      <c r="AB19" s="6">
        <f t="shared" si="25"/>
        <v>4.3209728479720412E-7</v>
      </c>
      <c r="AC19" s="6">
        <f t="shared" si="25"/>
        <v>1.0750810579255237E-2</v>
      </c>
      <c r="AD19" s="6">
        <f t="shared" si="25"/>
        <v>1.2567690104255271E-5</v>
      </c>
      <c r="AE19" s="6">
        <f t="shared" si="25"/>
        <v>3.0835882156048783E-2</v>
      </c>
      <c r="AF19" s="6">
        <f t="shared" si="25"/>
        <v>2.4035262433120905E-2</v>
      </c>
      <c r="AG19" s="6">
        <f t="shared" si="25"/>
        <v>6.9319650662206438E-4</v>
      </c>
      <c r="AH19" s="6">
        <f t="shared" si="25"/>
        <v>2.4988102995418992E-5</v>
      </c>
      <c r="AI19" s="6">
        <f t="shared" ref="AI19:BN19" si="26">AI11^2</f>
        <v>7.8779660257925624E-4</v>
      </c>
      <c r="AJ19" s="6">
        <f t="shared" si="26"/>
        <v>5.0105213836060746E-4</v>
      </c>
      <c r="AK19" s="6">
        <f t="shared" si="26"/>
        <v>2.2109580205685515E-3</v>
      </c>
      <c r="AL19" s="6">
        <f t="shared" si="26"/>
        <v>1.0314740717783251E-2</v>
      </c>
      <c r="AM19" s="6">
        <f t="shared" si="26"/>
        <v>5.5343262156863572E-4</v>
      </c>
      <c r="AN19" s="6">
        <f t="shared" si="26"/>
        <v>2.7588997976275898E-3</v>
      </c>
      <c r="AO19" s="6">
        <f t="shared" si="26"/>
        <v>3.4225885640141755E-3</v>
      </c>
      <c r="AP19" s="6">
        <f t="shared" si="26"/>
        <v>1.118725626162101E-3</v>
      </c>
      <c r="AQ19" s="6">
        <f t="shared" si="26"/>
        <v>2.0450045203045813E-4</v>
      </c>
      <c r="AR19" s="6">
        <f t="shared" si="26"/>
        <v>1.2890681145068224E-3</v>
      </c>
      <c r="AS19" s="6">
        <f t="shared" si="26"/>
        <v>1.5826302227352094E-3</v>
      </c>
      <c r="AT19" s="6">
        <f t="shared" si="26"/>
        <v>2.2039242020426623E-2</v>
      </c>
      <c r="AU19" s="6">
        <f t="shared" si="26"/>
        <v>1.6636034229909587E-3</v>
      </c>
      <c r="AV19" s="6">
        <f t="shared" si="26"/>
        <v>1.9309590933108238E-2</v>
      </c>
      <c r="AW19" s="6">
        <f t="shared" si="26"/>
        <v>3.5836126990842362E-3</v>
      </c>
      <c r="AX19" s="6">
        <f t="shared" si="26"/>
        <v>2.2436988075031212E-2</v>
      </c>
      <c r="AY19" s="6">
        <f t="shared" si="26"/>
        <v>3.7940489141036855E-3</v>
      </c>
      <c r="AZ19" s="6">
        <f t="shared" si="26"/>
        <v>3.8377717094877179E-3</v>
      </c>
      <c r="BA19" s="6">
        <f t="shared" si="26"/>
        <v>5.7085842824112805E-6</v>
      </c>
      <c r="BB19" s="6">
        <f t="shared" si="26"/>
        <v>2.2162365071883454E-2</v>
      </c>
      <c r="BC19" s="6">
        <f t="shared" si="26"/>
        <v>3.6421850194502817E-3</v>
      </c>
      <c r="BD19" s="6">
        <f t="shared" si="26"/>
        <v>2.1567132814367246E-4</v>
      </c>
      <c r="BE19" s="6">
        <f t="shared" si="26"/>
        <v>2.1466733042722119E-2</v>
      </c>
      <c r="BF19" s="6">
        <f t="shared" si="26"/>
        <v>4.3581843456671758E-2</v>
      </c>
      <c r="BG19" s="6">
        <f t="shared" si="26"/>
        <v>4.0579385301159648E-2</v>
      </c>
      <c r="BH19" s="6">
        <f t="shared" si="26"/>
        <v>1.3935782851325853E-2</v>
      </c>
      <c r="BI19" s="6">
        <f t="shared" si="26"/>
        <v>5.9330934213272886E-3</v>
      </c>
      <c r="BJ19" s="6">
        <f t="shared" si="26"/>
        <v>1.3119113666831017E-3</v>
      </c>
      <c r="BK19" s="6">
        <f t="shared" si="26"/>
        <v>3.5748481064286472E-4</v>
      </c>
      <c r="BL19" s="6">
        <f t="shared" si="26"/>
        <v>2.9328493400993451E-2</v>
      </c>
      <c r="BM19" s="6">
        <f t="shared" si="26"/>
        <v>1.7667061037884114E-2</v>
      </c>
      <c r="BN19" s="6">
        <f t="shared" si="26"/>
        <v>1.2893630347257589E-3</v>
      </c>
      <c r="BO19" s="6">
        <f t="shared" ref="BO19:CT19" si="27">BO11^2</f>
        <v>4.555884575901441E-4</v>
      </c>
      <c r="BP19" s="6">
        <f t="shared" si="27"/>
        <v>2.4636156414780219E-3</v>
      </c>
      <c r="BQ19" s="6">
        <f t="shared" si="27"/>
        <v>2.9622597057292401E-4</v>
      </c>
      <c r="BR19" s="6">
        <f t="shared" si="27"/>
        <v>3.6034382227143044E-2</v>
      </c>
      <c r="BS19" s="6">
        <f t="shared" si="27"/>
        <v>9.5267433223972416E-3</v>
      </c>
      <c r="BT19" s="6">
        <f t="shared" si="27"/>
        <v>1.4312181655934848E-3</v>
      </c>
      <c r="BU19" s="6">
        <f t="shared" si="27"/>
        <v>3.1369302523255979E-3</v>
      </c>
      <c r="BV19" s="6">
        <f t="shared" si="27"/>
        <v>1.3627535644839506E-2</v>
      </c>
      <c r="BW19" s="6">
        <f t="shared" si="27"/>
        <v>1.9972187007291264E-2</v>
      </c>
      <c r="BX19" s="6">
        <f t="shared" si="27"/>
        <v>1.140430378647656E-5</v>
      </c>
      <c r="BY19" s="6">
        <f t="shared" si="27"/>
        <v>1.6987488721731576E-2</v>
      </c>
      <c r="BZ19" s="6">
        <f t="shared" si="27"/>
        <v>1.0047461557265778E-3</v>
      </c>
      <c r="CA19" s="6">
        <f t="shared" si="27"/>
        <v>1.6447110645557072E-3</v>
      </c>
      <c r="CB19" s="6">
        <f t="shared" si="27"/>
        <v>1.767137228315438E-3</v>
      </c>
      <c r="CC19" s="6">
        <f t="shared" si="27"/>
        <v>2.5013725272755708E-3</v>
      </c>
      <c r="CD19" s="6">
        <f t="shared" si="27"/>
        <v>4.6862621773654262E-3</v>
      </c>
      <c r="CE19" s="6">
        <f t="shared" si="27"/>
        <v>6.5338267870204162E-3</v>
      </c>
      <c r="CF19" s="6">
        <f t="shared" si="27"/>
        <v>3.7959149352106796E-6</v>
      </c>
      <c r="CG19" s="6">
        <f t="shared" si="27"/>
        <v>1.3973368107735227E-2</v>
      </c>
      <c r="CH19" s="6">
        <f t="shared" si="27"/>
        <v>1.3483500252419256E-3</v>
      </c>
      <c r="CI19" s="6">
        <f t="shared" si="27"/>
        <v>6.944354409283488E-3</v>
      </c>
      <c r="CJ19" s="6">
        <f t="shared" si="27"/>
        <v>5.3209971579111864E-2</v>
      </c>
      <c r="CK19" s="6">
        <f t="shared" si="27"/>
        <v>1.7630136062643516E-2</v>
      </c>
      <c r="CL19" s="6">
        <f t="shared" si="27"/>
        <v>1.9962106501869858E-2</v>
      </c>
      <c r="CM19" s="6">
        <f t="shared" si="27"/>
        <v>1.2698898011967283E-2</v>
      </c>
      <c r="CN19" s="6">
        <f t="shared" si="27"/>
        <v>4.9947135394185591E-2</v>
      </c>
      <c r="CO19" s="6">
        <f t="shared" si="27"/>
        <v>1.0903362974249101E-2</v>
      </c>
      <c r="CP19" s="6">
        <f t="shared" si="27"/>
        <v>2.0817366158502797E-4</v>
      </c>
      <c r="CQ19" s="6">
        <f t="shared" si="27"/>
        <v>4.2945670995945519E-2</v>
      </c>
      <c r="CR19" s="6">
        <f t="shared" si="27"/>
        <v>1.818826329983373E-2</v>
      </c>
      <c r="CS19" s="6">
        <f t="shared" si="27"/>
        <v>5.330129925765671E-3</v>
      </c>
      <c r="CT19" s="6">
        <f t="shared" si="27"/>
        <v>9.1315039355651805E-4</v>
      </c>
      <c r="CU19" s="6">
        <f t="shared" ref="CU19:DZ19" si="28">CU11^2</f>
        <v>8.2305398372276448E-2</v>
      </c>
      <c r="CV19" s="6">
        <f t="shared" si="28"/>
        <v>5.323658125231813E-2</v>
      </c>
      <c r="CW19" s="6">
        <f t="shared" si="28"/>
        <v>8.2947828598525283E-3</v>
      </c>
      <c r="CX19" s="6">
        <f t="shared" si="28"/>
        <v>1.5002754583806925E-2</v>
      </c>
      <c r="CY19" s="6">
        <f t="shared" si="28"/>
        <v>6.1437262145754186E-3</v>
      </c>
      <c r="CZ19" s="6">
        <f t="shared" si="28"/>
        <v>2.1114120178055175E-3</v>
      </c>
      <c r="DA19" s="6">
        <f t="shared" si="28"/>
        <v>6.8343561034422563E-3</v>
      </c>
      <c r="DB19" s="6">
        <f t="shared" si="28"/>
        <v>2.2305204479499383E-2</v>
      </c>
      <c r="DC19" s="6">
        <f t="shared" si="28"/>
        <v>2.2847162154111663E-3</v>
      </c>
      <c r="DD19" s="6">
        <f t="shared" si="28"/>
        <v>2.7064678662887049E-2</v>
      </c>
      <c r="DE19" s="6">
        <f t="shared" si="28"/>
        <v>1.2225360760831885E-2</v>
      </c>
      <c r="DF19" s="6">
        <f t="shared" si="28"/>
        <v>3.2966966393763162E-3</v>
      </c>
      <c r="DG19" s="6">
        <f t="shared" si="28"/>
        <v>4.6177804713180344E-2</v>
      </c>
      <c r="DH19" s="6">
        <f t="shared" si="28"/>
        <v>3.9686415441255191E-3</v>
      </c>
      <c r="DI19" s="6">
        <f t="shared" si="28"/>
        <v>4.5861486060873721E-3</v>
      </c>
      <c r="DJ19" s="6">
        <f t="shared" si="28"/>
        <v>1.4113933508686947E-2</v>
      </c>
      <c r="DK19" s="6">
        <f t="shared" si="28"/>
        <v>5.3038165655135587E-5</v>
      </c>
      <c r="DL19" s="6">
        <f t="shared" si="28"/>
        <v>5.0866278425543898E-3</v>
      </c>
      <c r="DM19" s="6">
        <f t="shared" si="28"/>
        <v>4.4192030717479113E-4</v>
      </c>
      <c r="DN19" s="6">
        <f t="shared" si="28"/>
        <v>9.2435602590540443E-4</v>
      </c>
      <c r="DO19" s="6">
        <f t="shared" si="28"/>
        <v>9.3992359170593232E-3</v>
      </c>
      <c r="DP19" s="6">
        <f t="shared" si="28"/>
        <v>5.3211643863895493E-2</v>
      </c>
      <c r="DQ19" s="6">
        <f t="shared" si="28"/>
        <v>5.6731766595356822E-2</v>
      </c>
      <c r="DR19" s="6">
        <f t="shared" si="28"/>
        <v>1.2779732721999408E-5</v>
      </c>
      <c r="DS19" s="6">
        <f t="shared" si="28"/>
        <v>1.7944107252667544E-2</v>
      </c>
      <c r="DT19" s="6">
        <f t="shared" si="28"/>
        <v>1.3249413434882942E-2</v>
      </c>
      <c r="DU19" s="6">
        <f t="shared" si="28"/>
        <v>1.0832602517582508E-2</v>
      </c>
      <c r="DV19" s="6">
        <f t="shared" si="28"/>
        <v>2.9823682090757879E-3</v>
      </c>
      <c r="DW19" s="6">
        <f t="shared" si="28"/>
        <v>1.1082370139875364E-3</v>
      </c>
      <c r="DX19" s="6">
        <f t="shared" si="28"/>
        <v>3.0354498547830525E-3</v>
      </c>
      <c r="DY19" s="6">
        <f t="shared" si="28"/>
        <v>4.7325832565790213E-3</v>
      </c>
      <c r="DZ19" s="6">
        <f t="shared" si="28"/>
        <v>2.0969279010246204E-4</v>
      </c>
      <c r="EA19" s="6">
        <f t="shared" ref="EA19:EF19" si="29">EA11^2</f>
        <v>8.5929031587546431E-2</v>
      </c>
      <c r="EB19" s="6">
        <f t="shared" si="29"/>
        <v>1.987395609544565E-2</v>
      </c>
      <c r="EC19" s="6">
        <f t="shared" si="29"/>
        <v>1.4906851026839793E-4</v>
      </c>
      <c r="ED19" s="6">
        <f t="shared" si="29"/>
        <v>3.3834798795211859E-3</v>
      </c>
      <c r="EE19" s="6">
        <f t="shared" si="29"/>
        <v>2.0852230305009004E-2</v>
      </c>
      <c r="EF19" s="6">
        <f t="shared" si="29"/>
        <v>9.4107527241881761E-3</v>
      </c>
    </row>
    <row r="21" spans="1:136">
      <c r="A21" t="s">
        <v>206</v>
      </c>
      <c r="B21" s="10">
        <f>1-SUM(C13:EF15)/SUM(C17:EF19)</f>
        <v>-3.7892493511856324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F21"/>
  <sheetViews>
    <sheetView tabSelected="1" zoomScale="163" workbookViewId="0"/>
  </sheetViews>
  <sheetFormatPr baseColWidth="10" defaultColWidth="8.83203125" defaultRowHeight="15"/>
  <cols>
    <col min="1" max="1" width="13.83203125" style="11" customWidth="1"/>
  </cols>
  <sheetData>
    <row r="1" spans="1:136">
      <c r="A1" s="2" t="s">
        <v>209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</row>
    <row r="2" spans="1:136">
      <c r="A2" s="1"/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  <c r="CN2" s="3" t="s">
        <v>90</v>
      </c>
      <c r="CO2" s="3" t="s">
        <v>91</v>
      </c>
      <c r="CP2" s="3" t="s">
        <v>92</v>
      </c>
      <c r="CQ2" s="3" t="s">
        <v>93</v>
      </c>
      <c r="CR2" s="3" t="s">
        <v>94</v>
      </c>
      <c r="CS2" s="3" t="s">
        <v>95</v>
      </c>
      <c r="CT2" s="3" t="s">
        <v>96</v>
      </c>
      <c r="CU2" s="3" t="s">
        <v>97</v>
      </c>
      <c r="CV2" s="3" t="s">
        <v>98</v>
      </c>
      <c r="CW2" s="3" t="s">
        <v>99</v>
      </c>
      <c r="CX2" s="3" t="s">
        <v>100</v>
      </c>
      <c r="CY2" s="3" t="s">
        <v>101</v>
      </c>
      <c r="CZ2" s="3" t="s">
        <v>102</v>
      </c>
      <c r="DA2" s="3" t="s">
        <v>103</v>
      </c>
      <c r="DB2" s="3" t="s">
        <v>104</v>
      </c>
      <c r="DC2" s="3" t="s">
        <v>105</v>
      </c>
      <c r="DD2" s="3" t="s">
        <v>106</v>
      </c>
      <c r="DE2" s="3" t="s">
        <v>107</v>
      </c>
      <c r="DF2" s="3" t="s">
        <v>108</v>
      </c>
      <c r="DG2" s="3" t="s">
        <v>109</v>
      </c>
      <c r="DH2" s="3" t="s">
        <v>110</v>
      </c>
      <c r="DI2" s="3" t="s">
        <v>111</v>
      </c>
      <c r="DJ2" s="3" t="s">
        <v>112</v>
      </c>
      <c r="DK2" s="3" t="s">
        <v>113</v>
      </c>
      <c r="DL2" s="3" t="s">
        <v>114</v>
      </c>
      <c r="DM2" s="3" t="s">
        <v>115</v>
      </c>
      <c r="DN2" s="3" t="s">
        <v>116</v>
      </c>
      <c r="DO2" s="3" t="s">
        <v>117</v>
      </c>
      <c r="DP2" s="3" t="s">
        <v>118</v>
      </c>
      <c r="DQ2" s="3" t="s">
        <v>119</v>
      </c>
      <c r="DR2" s="3" t="s">
        <v>120</v>
      </c>
      <c r="DS2" s="3" t="s">
        <v>121</v>
      </c>
      <c r="DT2" s="3" t="s">
        <v>122</v>
      </c>
      <c r="DU2" s="3" t="s">
        <v>123</v>
      </c>
      <c r="DV2" s="3" t="s">
        <v>124</v>
      </c>
      <c r="DW2" s="3" t="s">
        <v>125</v>
      </c>
      <c r="DX2" s="3" t="s">
        <v>126</v>
      </c>
      <c r="DY2" s="3" t="s">
        <v>127</v>
      </c>
      <c r="DZ2" s="3" t="s">
        <v>128</v>
      </c>
      <c r="EA2" s="3" t="s">
        <v>129</v>
      </c>
      <c r="EB2" s="3" t="s">
        <v>130</v>
      </c>
      <c r="EC2" s="3" t="s">
        <v>131</v>
      </c>
      <c r="ED2" s="3" t="s">
        <v>132</v>
      </c>
      <c r="EE2" s="3" t="s">
        <v>133</v>
      </c>
      <c r="EF2" s="3" t="s">
        <v>134</v>
      </c>
    </row>
    <row r="3" spans="1:136">
      <c r="A3" s="1"/>
      <c r="B3" s="2" t="s">
        <v>135</v>
      </c>
      <c r="C3" s="12">
        <v>-7.7981240861112869E-2</v>
      </c>
      <c r="D3" s="12">
        <v>-9.1720816001217079E-2</v>
      </c>
      <c r="E3" s="12">
        <v>-5.2859258612292397E-2</v>
      </c>
      <c r="F3" s="12">
        <v>-0.1154504478657486</v>
      </c>
      <c r="G3" s="12">
        <v>-8.3443116291576969E-2</v>
      </c>
      <c r="H3" s="12">
        <v>-2.6287928720926321E-3</v>
      </c>
      <c r="I3" s="12">
        <v>-9.17061944524626E-2</v>
      </c>
      <c r="J3" s="12">
        <v>-5.6085756879479871E-2</v>
      </c>
      <c r="K3" s="12">
        <v>-0.1008329194598508</v>
      </c>
      <c r="L3" s="12">
        <v>-0.10378006478536519</v>
      </c>
      <c r="M3" s="12">
        <v>5.5829241941196268E-2</v>
      </c>
      <c r="N3" s="12">
        <v>-0.1158619637464291</v>
      </c>
      <c r="O3" s="12">
        <v>-5.8513967337472099E-2</v>
      </c>
      <c r="P3" s="12">
        <v>-6.0458244885088289E-2</v>
      </c>
      <c r="Q3" s="12">
        <v>-5.3239297079499662E-2</v>
      </c>
      <c r="R3" s="12">
        <v>-0.1169489926289226</v>
      </c>
      <c r="S3" s="12">
        <v>-0.17262516521577451</v>
      </c>
      <c r="T3" s="12">
        <v>-3.5612527967292071E-2</v>
      </c>
      <c r="U3" s="12">
        <v>-0.1047373820130289</v>
      </c>
      <c r="V3" s="12">
        <v>5.4728173269898657E-2</v>
      </c>
      <c r="W3" s="12">
        <v>0.1104845400782864</v>
      </c>
      <c r="X3" s="12">
        <v>7.7152949246108812E-2</v>
      </c>
      <c r="Y3" s="12">
        <v>-2.1197940496231121E-2</v>
      </c>
      <c r="Z3" s="12">
        <v>-1.220412867494485E-2</v>
      </c>
      <c r="AA3" s="12">
        <v>5.8940158702571167E-2</v>
      </c>
      <c r="AB3" s="12">
        <v>1.704920567122593E-2</v>
      </c>
      <c r="AC3" s="12">
        <v>-2.8623729777447999E-2</v>
      </c>
      <c r="AD3" s="12">
        <v>3.8597994743491432E-2</v>
      </c>
      <c r="AE3" s="12">
        <v>4.5421821361275698E-2</v>
      </c>
      <c r="AF3" s="12">
        <v>-7.0671769100140664E-3</v>
      </c>
      <c r="AG3" s="12">
        <v>-8.8710520129031845E-3</v>
      </c>
      <c r="AH3" s="12">
        <v>0.1009192396033949</v>
      </c>
      <c r="AI3" s="12">
        <v>5.2187010509938972E-2</v>
      </c>
      <c r="AJ3" s="12">
        <v>0.1019691755674634</v>
      </c>
      <c r="AK3" s="12">
        <v>0.13211315672161919</v>
      </c>
      <c r="AL3" s="12">
        <v>8.0841310267837335E-2</v>
      </c>
      <c r="AM3" s="12">
        <v>6.6073941505882944E-2</v>
      </c>
      <c r="AN3" s="12">
        <v>4.5849550313755157E-2</v>
      </c>
      <c r="AO3" s="12">
        <v>0.1344236211085432</v>
      </c>
      <c r="AP3" s="12">
        <v>-5.4866828387549187E-2</v>
      </c>
      <c r="AQ3" s="12">
        <v>4.8332448898150193E-2</v>
      </c>
      <c r="AR3" s="12">
        <v>5.4465942771725943E-2</v>
      </c>
      <c r="AS3" s="12">
        <v>6.0627286759379943E-2</v>
      </c>
      <c r="AT3" s="12">
        <v>2.2903338702745881E-2</v>
      </c>
      <c r="AU3" s="12">
        <v>2.878024844402479E-2</v>
      </c>
      <c r="AV3" s="12">
        <v>-1.129205212894535E-2</v>
      </c>
      <c r="AW3" s="12">
        <v>6.7409820754134268E-3</v>
      </c>
      <c r="AX3" s="12">
        <v>6.9445703072046949E-2</v>
      </c>
      <c r="AY3" s="12">
        <v>7.2293980578513314E-2</v>
      </c>
      <c r="AZ3" s="12">
        <v>5.6782553627262748E-2</v>
      </c>
      <c r="BA3" s="12">
        <v>5.6751851388712939E-3</v>
      </c>
      <c r="BB3" s="12">
        <v>7.2435676593229636E-2</v>
      </c>
      <c r="BC3" s="12">
        <v>2.4104231358940049E-3</v>
      </c>
      <c r="BD3" s="12">
        <v>4.4457778288968727E-2</v>
      </c>
      <c r="BE3" s="12">
        <v>0.15640720996344051</v>
      </c>
      <c r="BF3" s="12">
        <v>8.961422115098705E-2</v>
      </c>
      <c r="BG3" s="12">
        <v>-4.5499959267627739E-2</v>
      </c>
      <c r="BH3" s="12">
        <v>1.473996831732775E-2</v>
      </c>
      <c r="BI3" s="12">
        <v>1.1467767379862339E-3</v>
      </c>
      <c r="BJ3" s="12">
        <v>3.82060916655452E-2</v>
      </c>
      <c r="BK3" s="12">
        <v>6.9204193024136371E-2</v>
      </c>
      <c r="BL3" s="12">
        <v>0.14599637517714301</v>
      </c>
      <c r="BM3" s="12">
        <v>7.7671454044817706E-2</v>
      </c>
      <c r="BN3" s="12">
        <v>-1.4934546848394969E-3</v>
      </c>
      <c r="BO3" s="12">
        <v>0.15075036572727429</v>
      </c>
      <c r="BP3" s="12">
        <v>0.1068808738908148</v>
      </c>
      <c r="BQ3" s="12">
        <v>1.221444016343416E-2</v>
      </c>
      <c r="BR3" s="12">
        <v>3.2309492446798579E-2</v>
      </c>
      <c r="BS3" s="12">
        <v>7.5715218722114425E-2</v>
      </c>
      <c r="BT3" s="12">
        <v>0.1476948601503042</v>
      </c>
      <c r="BU3" s="12">
        <v>1.817214867790248E-2</v>
      </c>
      <c r="BV3" s="12">
        <v>6.6489869867815826E-2</v>
      </c>
      <c r="BW3" s="12">
        <v>3.8195592237729163E-2</v>
      </c>
      <c r="BX3" s="12">
        <v>4.7621234363544103E-2</v>
      </c>
      <c r="BY3" s="12">
        <v>3.3277385006537187E-2</v>
      </c>
      <c r="BZ3" s="12">
        <v>-6.0454023977282903E-2</v>
      </c>
      <c r="CA3" s="12">
        <v>5.2148142226918692E-4</v>
      </c>
      <c r="CB3" s="12">
        <v>2.326190927136889E-2</v>
      </c>
      <c r="CC3" s="12">
        <v>-2.6286266288861861E-2</v>
      </c>
      <c r="CD3" s="12">
        <v>5.2057462476054299E-2</v>
      </c>
      <c r="CE3" s="12">
        <v>-0.1062476229187161</v>
      </c>
      <c r="CF3" s="12">
        <v>-0.1195660454549131</v>
      </c>
      <c r="CG3" s="12">
        <v>-1.0499463273261581E-2</v>
      </c>
      <c r="CH3" s="12">
        <v>-2.3835366421230391E-2</v>
      </c>
      <c r="CI3" s="12">
        <v>-4.3365220517483233E-3</v>
      </c>
      <c r="CJ3" s="12">
        <v>5.8870363779287586E-3</v>
      </c>
      <c r="CK3" s="12">
        <v>2.2369140646099479E-2</v>
      </c>
      <c r="CL3" s="12">
        <v>-8.2212452947380901E-2</v>
      </c>
      <c r="CM3" s="12">
        <v>-0.12682704685249099</v>
      </c>
      <c r="CN3" s="12">
        <v>-8.4592786355010396E-3</v>
      </c>
      <c r="CO3" s="12">
        <v>-0.13500465547665971</v>
      </c>
      <c r="CP3" s="12">
        <v>1.33854440155954E-2</v>
      </c>
      <c r="CQ3" s="12">
        <v>-5.12789058806579E-2</v>
      </c>
      <c r="CR3" s="12">
        <v>-9.4660334746213826E-2</v>
      </c>
      <c r="CS3" s="12">
        <v>-7.7501744984071919E-2</v>
      </c>
      <c r="CT3" s="12">
        <v>6.3427668130038306E-2</v>
      </c>
      <c r="CU3" s="12">
        <v>-0.10211731197922071</v>
      </c>
      <c r="CV3" s="12">
        <v>-0.1210008636864883</v>
      </c>
      <c r="CW3" s="12">
        <v>-8.3771057290789874E-2</v>
      </c>
      <c r="CX3" s="12">
        <v>-0.108143131485795</v>
      </c>
      <c r="CY3" s="12">
        <v>-4.0161757016129222E-2</v>
      </c>
      <c r="CZ3" s="12">
        <v>-1.5386044424255171E-3</v>
      </c>
      <c r="DA3" s="12">
        <v>-7.7524493053387863E-2</v>
      </c>
      <c r="DB3" s="12">
        <v>-7.879063134946046E-3</v>
      </c>
      <c r="DC3" s="12">
        <v>-2.6882932084816711E-2</v>
      </c>
      <c r="DD3" s="12">
        <v>6.9093120815518799E-2</v>
      </c>
      <c r="DE3" s="12">
        <v>-4.3347804073038947E-2</v>
      </c>
      <c r="DF3" s="12">
        <v>5.87554125627009E-2</v>
      </c>
      <c r="DG3" s="12">
        <v>6.4753773039743015E-2</v>
      </c>
      <c r="DH3" s="12">
        <v>-1.287213930098646E-3</v>
      </c>
      <c r="DI3" s="12">
        <v>2.1640077633277799E-2</v>
      </c>
      <c r="DJ3" s="12">
        <v>-4.5030711038867167E-2</v>
      </c>
      <c r="DK3" s="12">
        <v>-1.3122204761795811E-2</v>
      </c>
      <c r="DL3" s="12">
        <v>-6.044882202770601E-2</v>
      </c>
      <c r="DM3" s="12">
        <v>-1.0592752749389599E-2</v>
      </c>
      <c r="DN3" s="12">
        <v>7.7435014643364664E-2</v>
      </c>
      <c r="DO3" s="12">
        <v>-5.4992856655808733E-2</v>
      </c>
      <c r="DP3" s="12">
        <v>7.556841599905624E-2</v>
      </c>
      <c r="DQ3" s="12">
        <v>4.187756543775777E-3</v>
      </c>
      <c r="DR3" s="12">
        <v>-5.5104292662403291E-2</v>
      </c>
      <c r="DS3" s="12">
        <v>0.10263669436748039</v>
      </c>
      <c r="DT3" s="12">
        <v>-4.0717186288007967E-2</v>
      </c>
      <c r="DU3" s="12">
        <v>7.639250584652096E-3</v>
      </c>
      <c r="DV3" s="12">
        <v>-6.6126173971523872E-2</v>
      </c>
      <c r="DW3" s="12">
        <v>7.8117337673435386E-2</v>
      </c>
      <c r="DX3" s="12">
        <v>1.6019937584861629E-2</v>
      </c>
      <c r="DY3" s="12">
        <v>1.4410244062000451E-2</v>
      </c>
      <c r="DZ3" s="12">
        <v>-0.1079887966876449</v>
      </c>
      <c r="EA3" s="12">
        <v>1.1807195335730179E-2</v>
      </c>
      <c r="EB3" s="12">
        <v>6.3675145630864198E-3</v>
      </c>
      <c r="EC3" s="12">
        <v>0.1146690600079793</v>
      </c>
      <c r="ED3" s="12">
        <v>-0.13301760440885349</v>
      </c>
      <c r="EE3" s="12">
        <v>-8.3212161647068517E-2</v>
      </c>
      <c r="EF3" s="12">
        <v>-7.4711540898400819E-2</v>
      </c>
    </row>
    <row r="4" spans="1:136">
      <c r="A4" s="1"/>
      <c r="B4" s="2" t="s">
        <v>136</v>
      </c>
      <c r="C4" s="12">
        <v>-7.4711540898400819E-2</v>
      </c>
      <c r="D4" s="12">
        <v>-7.4711540898400819E-2</v>
      </c>
      <c r="E4" s="12">
        <v>-7.4711540898400819E-2</v>
      </c>
      <c r="F4" s="12">
        <v>-7.4711540898400819E-2</v>
      </c>
      <c r="G4" s="12">
        <v>-7.4711540898400819E-2</v>
      </c>
      <c r="H4" s="12">
        <v>-7.4711540898400819E-2</v>
      </c>
      <c r="I4" s="12">
        <v>-7.4711540898400819E-2</v>
      </c>
      <c r="J4" s="12">
        <v>-7.4711540898400819E-2</v>
      </c>
      <c r="K4" s="12">
        <v>-7.4711540898400819E-2</v>
      </c>
      <c r="L4" s="12">
        <v>-7.4711540898400819E-2</v>
      </c>
      <c r="M4" s="12">
        <v>-7.4711540898400819E-2</v>
      </c>
      <c r="N4" s="12">
        <v>-7.4711540898400819E-2</v>
      </c>
      <c r="O4" s="12">
        <v>-7.4711540898400819E-2</v>
      </c>
      <c r="P4" s="12">
        <v>-7.4711540898400819E-2</v>
      </c>
      <c r="Q4" s="12">
        <v>-7.4711540898400819E-2</v>
      </c>
      <c r="R4" s="12">
        <v>-7.4711540898400819E-2</v>
      </c>
      <c r="S4" s="12">
        <v>-7.4711540898400819E-2</v>
      </c>
      <c r="T4" s="12">
        <v>-7.4711540898400819E-2</v>
      </c>
      <c r="U4" s="12">
        <v>-7.4711540898400819E-2</v>
      </c>
      <c r="V4" s="12">
        <v>-7.4711540898400819E-2</v>
      </c>
      <c r="W4" s="12">
        <v>-7.4711540898400819E-2</v>
      </c>
      <c r="X4" s="12">
        <v>-7.4711540898400819E-2</v>
      </c>
      <c r="Y4" s="12">
        <v>-7.4711540898400819E-2</v>
      </c>
      <c r="Z4" s="12">
        <v>-7.4711540898400819E-2</v>
      </c>
      <c r="AA4" s="12">
        <v>-7.4711540898400819E-2</v>
      </c>
      <c r="AB4" s="12">
        <v>-7.4711540898400819E-2</v>
      </c>
      <c r="AC4" s="12">
        <v>-7.4711540898400819E-2</v>
      </c>
      <c r="AD4" s="12">
        <v>-7.4711540898400819E-2</v>
      </c>
      <c r="AE4" s="12">
        <v>-7.4711540898400819E-2</v>
      </c>
      <c r="AF4" s="12">
        <v>-7.4711540898400819E-2</v>
      </c>
      <c r="AG4" s="12">
        <v>-7.4711540898400819E-2</v>
      </c>
      <c r="AH4" s="12">
        <v>-7.4711540898400819E-2</v>
      </c>
      <c r="AI4" s="12">
        <v>-7.4711540898400819E-2</v>
      </c>
      <c r="AJ4" s="12">
        <v>-7.4711540898400819E-2</v>
      </c>
      <c r="AK4" s="12">
        <v>-7.4711540898400819E-2</v>
      </c>
      <c r="AL4" s="12">
        <v>-7.4711540898400819E-2</v>
      </c>
      <c r="AM4" s="12">
        <v>-7.4711540898400819E-2</v>
      </c>
      <c r="AN4" s="12">
        <v>-7.4711540898400819E-2</v>
      </c>
      <c r="AO4" s="12">
        <v>-7.4711540898400819E-2</v>
      </c>
      <c r="AP4" s="12">
        <v>-7.4711540898400819E-2</v>
      </c>
      <c r="AQ4" s="12">
        <v>-7.4711540898400819E-2</v>
      </c>
      <c r="AR4" s="12">
        <v>-7.4711540898400819E-2</v>
      </c>
      <c r="AS4" s="12">
        <v>-7.4711540898400819E-2</v>
      </c>
      <c r="AT4" s="12">
        <v>-7.4711540898400819E-2</v>
      </c>
      <c r="AU4" s="12">
        <v>-7.4711540898400819E-2</v>
      </c>
      <c r="AV4" s="12">
        <v>-7.4711540898400819E-2</v>
      </c>
      <c r="AW4" s="12">
        <v>-7.4711540898400819E-2</v>
      </c>
      <c r="AX4" s="12">
        <v>-7.4711540898400819E-2</v>
      </c>
      <c r="AY4" s="12">
        <v>-7.4711540898400819E-2</v>
      </c>
      <c r="AZ4" s="12">
        <v>-7.4711540898400819E-2</v>
      </c>
      <c r="BA4" s="12">
        <v>-7.4711540898400819E-2</v>
      </c>
      <c r="BB4" s="12">
        <v>-7.4711540898400819E-2</v>
      </c>
      <c r="BC4" s="12">
        <v>-7.4711540898400819E-2</v>
      </c>
      <c r="BD4" s="12">
        <v>-7.4711540898400819E-2</v>
      </c>
      <c r="BE4" s="12">
        <v>-7.4711540898400819E-2</v>
      </c>
      <c r="BF4" s="12">
        <v>-7.4711540898400819E-2</v>
      </c>
      <c r="BG4" s="12">
        <v>-7.4711540898400819E-2</v>
      </c>
      <c r="BH4" s="12">
        <v>-7.4711540898400819E-2</v>
      </c>
      <c r="BI4" s="12">
        <v>-7.4711540898400819E-2</v>
      </c>
      <c r="BJ4" s="12">
        <v>-7.4711540898400819E-2</v>
      </c>
      <c r="BK4" s="12">
        <v>-7.4711540898400819E-2</v>
      </c>
      <c r="BL4" s="12">
        <v>-7.4711540898400819E-2</v>
      </c>
      <c r="BM4" s="12">
        <v>-7.4711540898400819E-2</v>
      </c>
      <c r="BN4" s="12">
        <v>-7.4711540898400819E-2</v>
      </c>
      <c r="BO4" s="12">
        <v>-7.4711540898400819E-2</v>
      </c>
      <c r="BP4" s="12">
        <v>-7.4711540898400819E-2</v>
      </c>
      <c r="BQ4" s="12">
        <v>-7.4711540898400819E-2</v>
      </c>
      <c r="BR4" s="12">
        <v>-7.4711540898400819E-2</v>
      </c>
      <c r="BS4" s="12">
        <v>-7.4711540898400819E-2</v>
      </c>
      <c r="BT4" s="12">
        <v>-7.4711540898400819E-2</v>
      </c>
      <c r="BU4" s="12">
        <v>-7.4711540898400819E-2</v>
      </c>
      <c r="BV4" s="12">
        <v>-7.4711540898400819E-2</v>
      </c>
      <c r="BW4" s="12">
        <v>-7.4711540898400819E-2</v>
      </c>
      <c r="BX4" s="12">
        <v>-7.4711540898400819E-2</v>
      </c>
      <c r="BY4" s="12">
        <v>-7.4711540898400819E-2</v>
      </c>
      <c r="BZ4" s="12">
        <v>-7.4711540898400819E-2</v>
      </c>
      <c r="CA4" s="12">
        <v>-7.4711540898400819E-2</v>
      </c>
      <c r="CB4" s="12">
        <v>-7.4711540898400819E-2</v>
      </c>
      <c r="CC4" s="12">
        <v>-7.4711540898400819E-2</v>
      </c>
      <c r="CD4" s="12">
        <v>-7.4711540898400819E-2</v>
      </c>
      <c r="CE4" s="12">
        <v>-7.4711540898400819E-2</v>
      </c>
      <c r="CF4" s="12">
        <v>-7.4711540898400819E-2</v>
      </c>
      <c r="CG4" s="12">
        <v>-7.4711540898400819E-2</v>
      </c>
      <c r="CH4" s="12">
        <v>-7.4711540898400819E-2</v>
      </c>
      <c r="CI4" s="12">
        <v>-7.4711540898400819E-2</v>
      </c>
      <c r="CJ4" s="12">
        <v>-7.4711540898400819E-2</v>
      </c>
      <c r="CK4" s="12">
        <v>-7.4711540898400819E-2</v>
      </c>
      <c r="CL4" s="12">
        <v>-7.4711540898400819E-2</v>
      </c>
      <c r="CM4" s="12">
        <v>-7.4711540898400819E-2</v>
      </c>
      <c r="CN4" s="12">
        <v>-7.4711540898400819E-2</v>
      </c>
      <c r="CO4" s="12">
        <v>-7.4711540898400819E-2</v>
      </c>
      <c r="CP4" s="12">
        <v>-7.4711540898400819E-2</v>
      </c>
      <c r="CQ4" s="12">
        <v>-7.4711540898400819E-2</v>
      </c>
      <c r="CR4" s="12">
        <v>-7.4711540898400819E-2</v>
      </c>
      <c r="CS4" s="12">
        <v>-7.4711540898400819E-2</v>
      </c>
      <c r="CT4" s="12">
        <v>-7.4711540898400819E-2</v>
      </c>
      <c r="CU4" s="12">
        <v>-7.4711540898400819E-2</v>
      </c>
      <c r="CV4" s="12">
        <v>-7.4711540898400819E-2</v>
      </c>
      <c r="CW4" s="12">
        <v>-7.4711540898400819E-2</v>
      </c>
      <c r="CX4" s="12">
        <v>-7.4711540898400819E-2</v>
      </c>
      <c r="CY4" s="12">
        <v>-7.4711540898400819E-2</v>
      </c>
      <c r="CZ4" s="12">
        <v>-7.4711540898400819E-2</v>
      </c>
      <c r="DA4" s="12">
        <v>-7.4711540898400819E-2</v>
      </c>
      <c r="DB4" s="12">
        <v>-7.4711540898400819E-2</v>
      </c>
      <c r="DC4" s="12">
        <v>-7.4711540898400819E-2</v>
      </c>
      <c r="DD4" s="12">
        <v>-7.4711540898400819E-2</v>
      </c>
      <c r="DE4" s="12">
        <v>-7.4711540898400819E-2</v>
      </c>
      <c r="DF4" s="12">
        <v>-7.4711540898400819E-2</v>
      </c>
      <c r="DG4" s="12">
        <v>-7.4711540898400819E-2</v>
      </c>
      <c r="DH4" s="12">
        <v>-7.4711540898400819E-2</v>
      </c>
      <c r="DI4" s="12">
        <v>-7.4711540898400819E-2</v>
      </c>
      <c r="DJ4" s="12">
        <v>-7.4711540898400819E-2</v>
      </c>
      <c r="DK4" s="12">
        <v>-7.4711540898400819E-2</v>
      </c>
      <c r="DL4" s="12">
        <v>-7.4711540898400819E-2</v>
      </c>
      <c r="DM4" s="12">
        <v>-7.4711540898400819E-2</v>
      </c>
      <c r="DN4" s="12">
        <v>-7.4711540898400819E-2</v>
      </c>
      <c r="DO4" s="12">
        <v>-7.4711540898400819E-2</v>
      </c>
      <c r="DP4" s="12">
        <v>-7.4711540898400819E-2</v>
      </c>
      <c r="DQ4" s="12">
        <v>-7.4711540898400819E-2</v>
      </c>
      <c r="DR4" s="12">
        <v>-7.4711540898400819E-2</v>
      </c>
      <c r="DS4" s="12">
        <v>-7.4711540898400819E-2</v>
      </c>
      <c r="DT4" s="12">
        <v>-7.4711540898400819E-2</v>
      </c>
      <c r="DU4" s="12">
        <v>-7.4711540898400819E-2</v>
      </c>
      <c r="DV4" s="12">
        <v>-7.4711540898400819E-2</v>
      </c>
      <c r="DW4" s="12">
        <v>-7.4711540898400819E-2</v>
      </c>
      <c r="DX4" s="12">
        <v>-7.4711540898400819E-2</v>
      </c>
      <c r="DY4" s="12">
        <v>-7.4711540898400819E-2</v>
      </c>
      <c r="DZ4" s="12">
        <v>-7.4711540898400819E-2</v>
      </c>
      <c r="EA4" s="12">
        <v>-7.4711540898400819E-2</v>
      </c>
      <c r="EB4" s="12">
        <v>-7.4711540898400819E-2</v>
      </c>
      <c r="EC4" s="12">
        <v>-7.4711540898400819E-2</v>
      </c>
      <c r="ED4" s="12">
        <v>-7.4711540898400819E-2</v>
      </c>
      <c r="EE4" s="12">
        <v>-7.4711540898400819E-2</v>
      </c>
      <c r="EF4" s="12">
        <v>-7.4711540898400819E-2</v>
      </c>
    </row>
    <row r="5" spans="1:136">
      <c r="A5" s="1"/>
      <c r="B5" s="2" t="s">
        <v>137</v>
      </c>
      <c r="C5" s="12">
        <v>-7.4711540898400819E-2</v>
      </c>
      <c r="D5" s="12">
        <v>-7.4711540898400819E-2</v>
      </c>
      <c r="E5" s="12">
        <v>-7.4711540898400819E-2</v>
      </c>
      <c r="F5" s="12">
        <v>-7.4711540898400819E-2</v>
      </c>
      <c r="G5" s="12">
        <v>-7.4711540898400819E-2</v>
      </c>
      <c r="H5" s="12">
        <v>-7.4711540898400819E-2</v>
      </c>
      <c r="I5" s="12">
        <v>-7.4711540898400819E-2</v>
      </c>
      <c r="J5" s="12">
        <v>-7.4711540898400819E-2</v>
      </c>
      <c r="K5" s="12">
        <v>-7.4711540898400819E-2</v>
      </c>
      <c r="L5" s="12">
        <v>-7.4711540898400819E-2</v>
      </c>
      <c r="M5" s="12">
        <v>-7.4711540898400819E-2</v>
      </c>
      <c r="N5" s="12">
        <v>-7.4711540898400819E-2</v>
      </c>
      <c r="O5" s="12">
        <v>-7.4711540898400819E-2</v>
      </c>
      <c r="P5" s="12">
        <v>-7.4711540898400819E-2</v>
      </c>
      <c r="Q5" s="12">
        <v>-7.4711540898400819E-2</v>
      </c>
      <c r="R5" s="12">
        <v>-7.4711540898400819E-2</v>
      </c>
      <c r="S5" s="12">
        <v>-7.4711540898400819E-2</v>
      </c>
      <c r="T5" s="12">
        <v>-7.4711540898400819E-2</v>
      </c>
      <c r="U5" s="12">
        <v>-7.4711540898400819E-2</v>
      </c>
      <c r="V5" s="12">
        <v>-7.4711540898400819E-2</v>
      </c>
      <c r="W5" s="12">
        <v>-7.4711540898400819E-2</v>
      </c>
      <c r="X5" s="12">
        <v>-7.4711540898400819E-2</v>
      </c>
      <c r="Y5" s="12">
        <v>-7.4711540898400819E-2</v>
      </c>
      <c r="Z5" s="12">
        <v>-7.4711540898400819E-2</v>
      </c>
      <c r="AA5" s="12">
        <v>-7.4711540898400819E-2</v>
      </c>
      <c r="AB5" s="12">
        <v>-7.4711540898400819E-2</v>
      </c>
      <c r="AC5" s="12">
        <v>-7.4711540898400819E-2</v>
      </c>
      <c r="AD5" s="12">
        <v>-7.4711540898400819E-2</v>
      </c>
      <c r="AE5" s="12">
        <v>-7.4711540898400819E-2</v>
      </c>
      <c r="AF5" s="12">
        <v>-7.4711540898400819E-2</v>
      </c>
      <c r="AG5" s="12">
        <v>-7.4711540898400819E-2</v>
      </c>
      <c r="AH5" s="12">
        <v>-7.4711540898400819E-2</v>
      </c>
      <c r="AI5" s="12">
        <v>-7.4711540898400819E-2</v>
      </c>
      <c r="AJ5" s="12">
        <v>-7.4711540898400819E-2</v>
      </c>
      <c r="AK5" s="12">
        <v>-7.4711540898400819E-2</v>
      </c>
      <c r="AL5" s="12">
        <v>-7.4711540898400819E-2</v>
      </c>
      <c r="AM5" s="12">
        <v>-7.4711540898400819E-2</v>
      </c>
      <c r="AN5" s="12">
        <v>-7.4711540898400819E-2</v>
      </c>
      <c r="AO5" s="12">
        <v>-7.4711540898400819E-2</v>
      </c>
      <c r="AP5" s="12">
        <v>-7.4711540898400819E-2</v>
      </c>
      <c r="AQ5" s="12">
        <v>-7.4711540898400819E-2</v>
      </c>
      <c r="AR5" s="12">
        <v>-7.4711540898400819E-2</v>
      </c>
      <c r="AS5" s="12">
        <v>-7.4711540898400819E-2</v>
      </c>
      <c r="AT5" s="12">
        <v>-7.4711540898400819E-2</v>
      </c>
      <c r="AU5" s="12">
        <v>-7.4711540898400819E-2</v>
      </c>
      <c r="AV5" s="12">
        <v>-7.4711540898400819E-2</v>
      </c>
      <c r="AW5" s="12">
        <v>-7.4711540898400819E-2</v>
      </c>
      <c r="AX5" s="12">
        <v>-7.4711540898400819E-2</v>
      </c>
      <c r="AY5" s="12">
        <v>-7.4711540898400819E-2</v>
      </c>
      <c r="AZ5" s="12">
        <v>-7.4711540898400819E-2</v>
      </c>
      <c r="BA5" s="12">
        <v>-7.4711540898400819E-2</v>
      </c>
      <c r="BB5" s="12">
        <v>-7.4711540898400819E-2</v>
      </c>
      <c r="BC5" s="12">
        <v>-7.4711540898400819E-2</v>
      </c>
      <c r="BD5" s="12">
        <v>-7.4711540898400819E-2</v>
      </c>
      <c r="BE5" s="12">
        <v>-7.4711540898400819E-2</v>
      </c>
      <c r="BF5" s="12">
        <v>-7.4711540898400819E-2</v>
      </c>
      <c r="BG5" s="12">
        <v>-7.4711540898400819E-2</v>
      </c>
      <c r="BH5" s="12">
        <v>-7.4711540898400819E-2</v>
      </c>
      <c r="BI5" s="12">
        <v>-7.4711540898400819E-2</v>
      </c>
      <c r="BJ5" s="12">
        <v>-7.4711540898400819E-2</v>
      </c>
      <c r="BK5" s="12">
        <v>-7.4711540898400819E-2</v>
      </c>
      <c r="BL5" s="12">
        <v>-7.4711540898400819E-2</v>
      </c>
      <c r="BM5" s="12">
        <v>-7.4711540898400819E-2</v>
      </c>
      <c r="BN5" s="12">
        <v>-7.4711540898400819E-2</v>
      </c>
      <c r="BO5" s="12">
        <v>-7.4711540898400819E-2</v>
      </c>
      <c r="BP5" s="12">
        <v>-7.4711540898400819E-2</v>
      </c>
      <c r="BQ5" s="12">
        <v>-7.4711540898400819E-2</v>
      </c>
      <c r="BR5" s="12">
        <v>-7.4711540898400819E-2</v>
      </c>
      <c r="BS5" s="12">
        <v>-7.4711540898400819E-2</v>
      </c>
      <c r="BT5" s="12">
        <v>-7.4711540898400819E-2</v>
      </c>
      <c r="BU5" s="12">
        <v>-7.4711540898400819E-2</v>
      </c>
      <c r="BV5" s="12">
        <v>-7.4711540898400819E-2</v>
      </c>
      <c r="BW5" s="12">
        <v>-7.4711540898400819E-2</v>
      </c>
      <c r="BX5" s="12">
        <v>-7.4711540898400819E-2</v>
      </c>
      <c r="BY5" s="12">
        <v>-7.4711540898400819E-2</v>
      </c>
      <c r="BZ5" s="12">
        <v>-7.4711540898400819E-2</v>
      </c>
      <c r="CA5" s="12">
        <v>-7.4711540898400819E-2</v>
      </c>
      <c r="CB5" s="12">
        <v>-7.4711540898400819E-2</v>
      </c>
      <c r="CC5" s="12">
        <v>-7.4711540898400819E-2</v>
      </c>
      <c r="CD5" s="12">
        <v>-7.4711540898400819E-2</v>
      </c>
      <c r="CE5" s="12">
        <v>-7.4711540898400819E-2</v>
      </c>
      <c r="CF5" s="12">
        <v>-7.4711540898400819E-2</v>
      </c>
      <c r="CG5" s="12">
        <v>-7.4711540898400819E-2</v>
      </c>
      <c r="CH5" s="12">
        <v>-7.4711540898400819E-2</v>
      </c>
      <c r="CI5" s="12">
        <v>-7.4711540898400819E-2</v>
      </c>
      <c r="CJ5" s="12">
        <v>-7.4711540898400819E-2</v>
      </c>
      <c r="CK5" s="12">
        <v>-7.4711540898400819E-2</v>
      </c>
      <c r="CL5" s="12">
        <v>-7.4711540898400819E-2</v>
      </c>
      <c r="CM5" s="12">
        <v>-7.4711540898400819E-2</v>
      </c>
      <c r="CN5" s="12">
        <v>-7.4711540898400819E-2</v>
      </c>
      <c r="CO5" s="12">
        <v>-7.4711540898400819E-2</v>
      </c>
      <c r="CP5" s="12">
        <v>-7.4711540898400819E-2</v>
      </c>
      <c r="CQ5" s="12">
        <v>-7.4711540898400819E-2</v>
      </c>
      <c r="CR5" s="12">
        <v>-7.4711540898400819E-2</v>
      </c>
      <c r="CS5" s="12">
        <v>-7.4711540898400819E-2</v>
      </c>
      <c r="CT5" s="12">
        <v>-7.4711540898400819E-2</v>
      </c>
      <c r="CU5" s="12">
        <v>-7.4711540898400819E-2</v>
      </c>
      <c r="CV5" s="12">
        <v>-7.4711540898400819E-2</v>
      </c>
      <c r="CW5" s="12">
        <v>-7.4711540898400819E-2</v>
      </c>
      <c r="CX5" s="12">
        <v>-7.4711540898400819E-2</v>
      </c>
      <c r="CY5" s="12">
        <v>-7.4711540898400819E-2</v>
      </c>
      <c r="CZ5" s="12">
        <v>-7.4711540898400819E-2</v>
      </c>
      <c r="DA5" s="12">
        <v>-7.4711540898400819E-2</v>
      </c>
      <c r="DB5" s="12">
        <v>-7.4711540898400819E-2</v>
      </c>
      <c r="DC5" s="12">
        <v>-7.4711540898400819E-2</v>
      </c>
      <c r="DD5" s="12">
        <v>-7.4711540898400819E-2</v>
      </c>
      <c r="DE5" s="12">
        <v>-7.4711540898400819E-2</v>
      </c>
      <c r="DF5" s="12">
        <v>-7.4711540898400819E-2</v>
      </c>
      <c r="DG5" s="12">
        <v>-7.4711540898400819E-2</v>
      </c>
      <c r="DH5" s="12">
        <v>-7.4711540898400819E-2</v>
      </c>
      <c r="DI5" s="12">
        <v>-7.4711540898400819E-2</v>
      </c>
      <c r="DJ5" s="12">
        <v>-7.4711540898400819E-2</v>
      </c>
      <c r="DK5" s="12">
        <v>-7.4711540898400819E-2</v>
      </c>
      <c r="DL5" s="12">
        <v>-7.4711540898400819E-2</v>
      </c>
      <c r="DM5" s="12">
        <v>-7.4711540898400819E-2</v>
      </c>
      <c r="DN5" s="12">
        <v>-7.4711540898400819E-2</v>
      </c>
      <c r="DO5" s="12">
        <v>-7.4711540898400819E-2</v>
      </c>
      <c r="DP5" s="12">
        <v>-7.4711540898400819E-2</v>
      </c>
      <c r="DQ5" s="12">
        <v>-7.4711540898400819E-2</v>
      </c>
      <c r="DR5" s="12">
        <v>-7.4711540898400819E-2</v>
      </c>
      <c r="DS5" s="12">
        <v>-7.4711540898400819E-2</v>
      </c>
      <c r="DT5" s="12">
        <v>-7.4711540898400819E-2</v>
      </c>
      <c r="DU5" s="12">
        <v>-7.4711540898400819E-2</v>
      </c>
      <c r="DV5" s="12">
        <v>-7.4711540898400819E-2</v>
      </c>
      <c r="DW5" s="12">
        <v>-7.4711540898400819E-2</v>
      </c>
      <c r="DX5" s="12">
        <v>-7.4711540898400819E-2</v>
      </c>
      <c r="DY5" s="12">
        <v>-7.4711540898400819E-2</v>
      </c>
      <c r="DZ5" s="12">
        <v>-7.4711540898400819E-2</v>
      </c>
      <c r="EA5" s="12">
        <v>-7.4711540898400819E-2</v>
      </c>
      <c r="EB5" s="12">
        <v>-7.4711540898400819E-2</v>
      </c>
      <c r="EC5" s="12">
        <v>-7.4711540898400819E-2</v>
      </c>
      <c r="ED5" s="12">
        <v>-7.4711540898400819E-2</v>
      </c>
      <c r="EE5" s="12">
        <v>-7.4711540898400819E-2</v>
      </c>
      <c r="EF5" s="12">
        <v>-7.4711540898400819E-2</v>
      </c>
    </row>
    <row r="7" spans="1:136">
      <c r="A7" t="s">
        <v>203</v>
      </c>
    </row>
    <row r="8" spans="1:136">
      <c r="B8" t="s">
        <v>0</v>
      </c>
      <c r="C8" t="s">
        <v>1</v>
      </c>
      <c r="D8" t="s">
        <v>2</v>
      </c>
      <c r="E8" t="s">
        <v>3</v>
      </c>
      <c r="F8" t="s">
        <v>4</v>
      </c>
      <c r="G8" t="s">
        <v>5</v>
      </c>
      <c r="H8" t="s">
        <v>6</v>
      </c>
      <c r="I8" t="s">
        <v>7</v>
      </c>
      <c r="J8" t="s">
        <v>8</v>
      </c>
      <c r="K8" t="s">
        <v>9</v>
      </c>
      <c r="L8" t="s">
        <v>10</v>
      </c>
      <c r="M8" t="s">
        <v>11</v>
      </c>
      <c r="N8" t="s">
        <v>12</v>
      </c>
      <c r="O8" t="s">
        <v>13</v>
      </c>
      <c r="P8" t="s">
        <v>14</v>
      </c>
      <c r="Q8" t="s">
        <v>15</v>
      </c>
      <c r="R8" t="s">
        <v>16</v>
      </c>
      <c r="S8" t="s">
        <v>17</v>
      </c>
      <c r="T8" t="s">
        <v>18</v>
      </c>
      <c r="U8" t="s">
        <v>19</v>
      </c>
      <c r="V8" t="s">
        <v>20</v>
      </c>
      <c r="W8" t="s">
        <v>21</v>
      </c>
      <c r="X8" t="s">
        <v>22</v>
      </c>
      <c r="Y8" t="s">
        <v>23</v>
      </c>
      <c r="Z8" t="s">
        <v>24</v>
      </c>
      <c r="AA8" t="s">
        <v>25</v>
      </c>
      <c r="AB8" t="s">
        <v>26</v>
      </c>
      <c r="AC8" t="s">
        <v>27</v>
      </c>
      <c r="AD8" t="s">
        <v>28</v>
      </c>
      <c r="AE8" t="s">
        <v>29</v>
      </c>
      <c r="AF8" t="s">
        <v>30</v>
      </c>
      <c r="AG8" t="s">
        <v>31</v>
      </c>
      <c r="AH8" t="s">
        <v>32</v>
      </c>
      <c r="AI8" t="s">
        <v>33</v>
      </c>
      <c r="AJ8" t="s">
        <v>34</v>
      </c>
      <c r="AK8" t="s">
        <v>35</v>
      </c>
      <c r="AL8" t="s">
        <v>36</v>
      </c>
      <c r="AM8" t="s">
        <v>37</v>
      </c>
      <c r="AN8" t="s">
        <v>38</v>
      </c>
      <c r="AO8" t="s">
        <v>39</v>
      </c>
      <c r="AP8" t="s">
        <v>40</v>
      </c>
      <c r="AQ8" t="s">
        <v>41</v>
      </c>
      <c r="AR8" t="s">
        <v>42</v>
      </c>
      <c r="AS8" t="s">
        <v>43</v>
      </c>
      <c r="AT8" t="s">
        <v>44</v>
      </c>
      <c r="AU8" t="s">
        <v>45</v>
      </c>
      <c r="AV8" t="s">
        <v>46</v>
      </c>
      <c r="AW8" t="s">
        <v>47</v>
      </c>
      <c r="AX8" t="s">
        <v>48</v>
      </c>
      <c r="AY8" t="s">
        <v>49</v>
      </c>
      <c r="AZ8" t="s">
        <v>50</v>
      </c>
      <c r="BA8" t="s">
        <v>51</v>
      </c>
      <c r="BB8" t="s">
        <v>52</v>
      </c>
      <c r="BC8" t="s">
        <v>53</v>
      </c>
      <c r="BD8" t="s">
        <v>54</v>
      </c>
      <c r="BE8" t="s">
        <v>55</v>
      </c>
      <c r="BF8" t="s">
        <v>56</v>
      </c>
      <c r="BG8" t="s">
        <v>57</v>
      </c>
      <c r="BH8" t="s">
        <v>58</v>
      </c>
      <c r="BI8" t="s">
        <v>59</v>
      </c>
      <c r="BJ8" t="s">
        <v>60</v>
      </c>
      <c r="BK8" t="s">
        <v>61</v>
      </c>
      <c r="BL8" t="s">
        <v>62</v>
      </c>
      <c r="BM8" t="s">
        <v>63</v>
      </c>
      <c r="BN8" t="s">
        <v>64</v>
      </c>
      <c r="BO8" t="s">
        <v>65</v>
      </c>
      <c r="BP8" t="s">
        <v>66</v>
      </c>
      <c r="BQ8" t="s">
        <v>67</v>
      </c>
      <c r="BR8" t="s">
        <v>68</v>
      </c>
      <c r="BS8" t="s">
        <v>69</v>
      </c>
      <c r="BT8" t="s">
        <v>70</v>
      </c>
      <c r="BU8" t="s">
        <v>71</v>
      </c>
      <c r="BV8" t="s">
        <v>72</v>
      </c>
      <c r="BW8" t="s">
        <v>73</v>
      </c>
      <c r="BX8" t="s">
        <v>74</v>
      </c>
      <c r="BY8" t="s">
        <v>75</v>
      </c>
      <c r="BZ8" t="s">
        <v>76</v>
      </c>
      <c r="CA8" t="s">
        <v>77</v>
      </c>
      <c r="CB8" t="s">
        <v>78</v>
      </c>
      <c r="CC8" t="s">
        <v>79</v>
      </c>
      <c r="CD8" t="s">
        <v>80</v>
      </c>
      <c r="CE8" t="s">
        <v>81</v>
      </c>
      <c r="CF8" t="s">
        <v>82</v>
      </c>
      <c r="CG8" t="s">
        <v>83</v>
      </c>
      <c r="CH8" t="s">
        <v>84</v>
      </c>
      <c r="CI8" t="s">
        <v>85</v>
      </c>
      <c r="CJ8" t="s">
        <v>86</v>
      </c>
      <c r="CK8" t="s">
        <v>87</v>
      </c>
      <c r="CL8" t="s">
        <v>88</v>
      </c>
      <c r="CM8" t="s">
        <v>89</v>
      </c>
      <c r="CN8" t="s">
        <v>90</v>
      </c>
      <c r="CO8" t="s">
        <v>91</v>
      </c>
      <c r="CP8" t="s">
        <v>92</v>
      </c>
      <c r="CQ8" t="s">
        <v>93</v>
      </c>
      <c r="CR8" t="s">
        <v>94</v>
      </c>
      <c r="CS8" t="s">
        <v>95</v>
      </c>
      <c r="CT8" t="s">
        <v>96</v>
      </c>
      <c r="CU8" t="s">
        <v>97</v>
      </c>
      <c r="CV8" t="s">
        <v>98</v>
      </c>
      <c r="CW8" t="s">
        <v>99</v>
      </c>
      <c r="CX8" t="s">
        <v>100</v>
      </c>
      <c r="CY8" t="s">
        <v>101</v>
      </c>
      <c r="CZ8" t="s">
        <v>102</v>
      </c>
      <c r="DA8" t="s">
        <v>103</v>
      </c>
      <c r="DB8" t="s">
        <v>104</v>
      </c>
      <c r="DC8" t="s">
        <v>105</v>
      </c>
      <c r="DD8" t="s">
        <v>106</v>
      </c>
      <c r="DE8" t="s">
        <v>107</v>
      </c>
      <c r="DF8" t="s">
        <v>108</v>
      </c>
      <c r="DG8" t="s">
        <v>109</v>
      </c>
      <c r="DH8" t="s">
        <v>110</v>
      </c>
      <c r="DI8" t="s">
        <v>111</v>
      </c>
      <c r="DJ8" t="s">
        <v>112</v>
      </c>
      <c r="DK8" t="s">
        <v>113</v>
      </c>
      <c r="DL8" t="s">
        <v>114</v>
      </c>
      <c r="DM8" t="s">
        <v>115</v>
      </c>
      <c r="DN8" t="s">
        <v>116</v>
      </c>
      <c r="DO8" t="s">
        <v>117</v>
      </c>
      <c r="DP8" t="s">
        <v>118</v>
      </c>
      <c r="DQ8" t="s">
        <v>119</v>
      </c>
      <c r="DR8" t="s">
        <v>120</v>
      </c>
      <c r="DS8" t="s">
        <v>121</v>
      </c>
      <c r="DT8" t="s">
        <v>122</v>
      </c>
      <c r="DU8" t="s">
        <v>123</v>
      </c>
      <c r="DV8" t="s">
        <v>124</v>
      </c>
      <c r="DW8" t="s">
        <v>125</v>
      </c>
      <c r="DX8" t="s">
        <v>126</v>
      </c>
      <c r="DY8" t="s">
        <v>127</v>
      </c>
      <c r="DZ8" t="s">
        <v>128</v>
      </c>
      <c r="EA8" t="s">
        <v>129</v>
      </c>
      <c r="EB8" t="s">
        <v>130</v>
      </c>
      <c r="EC8" t="s">
        <v>131</v>
      </c>
      <c r="ED8" t="s">
        <v>132</v>
      </c>
      <c r="EE8" t="s">
        <v>133</v>
      </c>
      <c r="EF8" t="s">
        <v>134</v>
      </c>
    </row>
    <row r="9" spans="1:136">
      <c r="B9" t="s">
        <v>135</v>
      </c>
      <c r="C9" s="15">
        <v>0.109105830631824</v>
      </c>
      <c r="D9" s="15">
        <v>1.4576582608432649E-2</v>
      </c>
      <c r="E9" s="15">
        <v>-3.6154356576976902E-2</v>
      </c>
      <c r="F9" s="15">
        <v>-4.742600977062153E-3</v>
      </c>
      <c r="G9" s="15">
        <v>-5.7477531385562736E-3</v>
      </c>
      <c r="H9" s="15">
        <v>4.9378023156909527E-2</v>
      </c>
      <c r="I9" s="15">
        <v>0.18325176920476779</v>
      </c>
      <c r="J9" s="15">
        <v>0.1164863088741452</v>
      </c>
      <c r="K9" s="15">
        <v>-3.0594945598924051E-2</v>
      </c>
      <c r="L9" s="15">
        <v>1.9828051430277011E-2</v>
      </c>
      <c r="M9" s="15">
        <v>-2.0999006362740089E-2</v>
      </c>
      <c r="N9" s="15">
        <v>0.1497794247734946</v>
      </c>
      <c r="O9" s="15">
        <v>1.5463406170905081E-2</v>
      </c>
      <c r="P9" s="15">
        <v>-9.1792321477913982E-2</v>
      </c>
      <c r="Q9" s="15">
        <v>-7.7409013100986537E-2</v>
      </c>
      <c r="R9" s="15">
        <v>5.4776596014220982E-2</v>
      </c>
      <c r="S9" s="15">
        <v>-0.12533438670858049</v>
      </c>
      <c r="T9" s="15">
        <v>-0.1190534205538864</v>
      </c>
      <c r="U9" s="15">
        <v>-3.777005083138045E-2</v>
      </c>
      <c r="V9" s="15">
        <v>8.1183823152198617E-2</v>
      </c>
      <c r="W9" s="15">
        <v>8.4008967865119855E-2</v>
      </c>
      <c r="X9" s="15">
        <v>0.14701135657134901</v>
      </c>
      <c r="Y9" s="15">
        <v>-0.12536053701812139</v>
      </c>
      <c r="Z9" s="15">
        <v>0.1919535535452612</v>
      </c>
      <c r="AA9" s="15">
        <v>-8.4370782422902996E-2</v>
      </c>
      <c r="AB9" s="15">
        <v>7.2897613803716274E-2</v>
      </c>
      <c r="AC9" s="15">
        <v>0.10260456025692451</v>
      </c>
      <c r="AD9" s="15">
        <v>1.5770167253116588E-2</v>
      </c>
      <c r="AE9" s="15">
        <v>-0.15200716210156701</v>
      </c>
      <c r="AF9" s="15">
        <v>5.9250251506559243E-2</v>
      </c>
      <c r="AG9" s="15">
        <v>0.13005883770177931</v>
      </c>
      <c r="AH9" s="15">
        <v>0.11525639530312259</v>
      </c>
      <c r="AI9" s="15">
        <v>3.2606621901195412E-2</v>
      </c>
      <c r="AJ9" s="15">
        <v>2.79991148643382E-2</v>
      </c>
      <c r="AK9" s="15">
        <v>0.14657041796408479</v>
      </c>
      <c r="AL9" s="15">
        <v>4.0841921466891577E-2</v>
      </c>
      <c r="AM9" s="15">
        <v>0.13137636706820099</v>
      </c>
      <c r="AN9" s="15">
        <v>0.22143295930140211</v>
      </c>
      <c r="AO9" s="15">
        <v>-2.0941038924054418E-2</v>
      </c>
      <c r="AP9" s="15">
        <v>-0.13715995040864579</v>
      </c>
      <c r="AQ9" s="15">
        <v>-2.4882854865750599E-2</v>
      </c>
      <c r="AR9" s="15">
        <v>1.551397070984222E-2</v>
      </c>
      <c r="AS9" s="15">
        <v>3.4373036510765703E-2</v>
      </c>
      <c r="AT9" s="15">
        <v>6.3095686135752824E-2</v>
      </c>
      <c r="AU9" s="15">
        <v>4.3237695395113553E-2</v>
      </c>
      <c r="AV9" s="15">
        <v>-7.4230367380587331E-2</v>
      </c>
      <c r="AW9" s="15">
        <v>2.7994827208502701E-2</v>
      </c>
      <c r="AX9" s="15">
        <v>0.1198644178103629</v>
      </c>
      <c r="AY9" s="15">
        <v>7.6559571245744709E-2</v>
      </c>
      <c r="AZ9" s="15">
        <v>-2.1730386111293399E-2</v>
      </c>
      <c r="BA9" s="15">
        <v>-1.2464632784982711E-3</v>
      </c>
      <c r="BB9" s="15">
        <v>0.10099582217884891</v>
      </c>
      <c r="BC9" s="15">
        <v>2.9826929857085831E-2</v>
      </c>
      <c r="BD9" s="15">
        <v>8.6757683796749117E-3</v>
      </c>
      <c r="BE9" s="15">
        <v>6.8557206018591665E-2</v>
      </c>
      <c r="BF9" s="15">
        <v>0.15691259652648329</v>
      </c>
      <c r="BG9" s="15">
        <v>0.1592037331379933</v>
      </c>
      <c r="BH9" s="15">
        <v>6.1121667651573217E-2</v>
      </c>
      <c r="BI9" s="15">
        <v>9.6912851275401127E-2</v>
      </c>
      <c r="BJ9" s="15">
        <v>-5.4746248471514068E-2</v>
      </c>
      <c r="BK9" s="15">
        <v>-8.7492963132843785E-2</v>
      </c>
      <c r="BL9" s="15">
        <v>9.4426745861656128E-2</v>
      </c>
      <c r="BM9" s="15">
        <v>-2.2191058729398399E-2</v>
      </c>
      <c r="BN9" s="15">
        <v>1.562861243910833E-2</v>
      </c>
      <c r="BO9" s="15">
        <v>8.1418240100881306E-2</v>
      </c>
      <c r="BP9" s="15">
        <v>-1.8508942424783719E-2</v>
      </c>
      <c r="BQ9" s="15">
        <v>6.8729568027927734E-2</v>
      </c>
      <c r="BR9" s="15">
        <v>3.1023605185006549E-3</v>
      </c>
      <c r="BS9" s="15">
        <v>7.4964417651561921E-2</v>
      </c>
      <c r="BT9" s="15">
        <v>4.5201587698112312E-2</v>
      </c>
      <c r="BU9" s="15">
        <v>2.5677329398223779E-2</v>
      </c>
      <c r="BV9" s="15">
        <v>9.180403106274436E-2</v>
      </c>
      <c r="BW9" s="15">
        <v>-2.6353999034970911E-2</v>
      </c>
      <c r="BX9" s="15">
        <v>1.9394832235212069E-2</v>
      </c>
      <c r="BY9" s="15">
        <v>-7.6838899317359197E-2</v>
      </c>
      <c r="BZ9" s="15">
        <v>0.1133093139289441</v>
      </c>
      <c r="CA9" s="15">
        <v>-0.10735493495839039</v>
      </c>
      <c r="CB9" s="15">
        <v>4.0844788501696747E-2</v>
      </c>
      <c r="CC9" s="15">
        <v>-1.9801708972640539E-2</v>
      </c>
      <c r="CD9" s="15">
        <v>0.1883770899619405</v>
      </c>
      <c r="CE9" s="15">
        <v>5.5574905720929421E-2</v>
      </c>
      <c r="CF9" s="15">
        <v>7.4872074365934668E-2</v>
      </c>
      <c r="CG9" s="15">
        <v>0.1000001919024945</v>
      </c>
      <c r="CH9" s="15">
        <v>0.1360217220005796</v>
      </c>
      <c r="CI9" s="15">
        <v>-9.3741014702459921E-2</v>
      </c>
      <c r="CJ9" s="15">
        <v>3.9305991202356373E-3</v>
      </c>
      <c r="CK9" s="15">
        <v>5.6507776574398372E-2</v>
      </c>
      <c r="CL9" s="15">
        <v>0.26354577822564818</v>
      </c>
      <c r="CM9" s="15">
        <v>-9.5554349157474378E-3</v>
      </c>
      <c r="CN9" s="15">
        <v>-3.1511899508967982E-2</v>
      </c>
      <c r="CO9" s="15">
        <v>-2.2619031528730349E-2</v>
      </c>
      <c r="CP9" s="15">
        <v>0.13265560934539161</v>
      </c>
      <c r="CQ9" s="15">
        <v>0.1330727797426777</v>
      </c>
      <c r="CR9" s="15">
        <v>-1.4956408370414089E-2</v>
      </c>
      <c r="CS9" s="15">
        <v>-3.3419937997587537E-2</v>
      </c>
      <c r="CT9" s="15">
        <v>1.228120855821169E-2</v>
      </c>
      <c r="CU9" s="15">
        <v>0.11681498356736621</v>
      </c>
      <c r="CV9" s="15">
        <v>-3.1589453565969692E-3</v>
      </c>
      <c r="CW9" s="15">
        <v>3.8217758352757383E-2</v>
      </c>
      <c r="CX9" s="15">
        <v>0.13917409482071269</v>
      </c>
      <c r="CY9" s="15">
        <v>-2.3712287606589749E-2</v>
      </c>
      <c r="CZ9" s="15">
        <v>0.21835291106172269</v>
      </c>
      <c r="DA9" s="15">
        <v>-5.796736233046404E-2</v>
      </c>
      <c r="DB9" s="15">
        <v>-1.410421852050941E-2</v>
      </c>
      <c r="DC9" s="15">
        <v>0.11395608079284369</v>
      </c>
      <c r="DD9" s="15">
        <v>7.4472261891957006E-2</v>
      </c>
      <c r="DE9" s="15">
        <v>-8.9969275376677231E-4</v>
      </c>
      <c r="DF9" s="15">
        <v>9.7707180382245536E-4</v>
      </c>
      <c r="DG9" s="15">
        <v>-7.2980095070914866E-2</v>
      </c>
      <c r="DH9" s="15">
        <v>-2.384528684741952E-2</v>
      </c>
      <c r="DI9" s="15">
        <v>-0.101530671996864</v>
      </c>
      <c r="DJ9" s="15">
        <v>2.7692536462605249E-2</v>
      </c>
      <c r="DK9" s="15">
        <v>-4.9335152901351147E-2</v>
      </c>
      <c r="DL9" s="15">
        <v>-5.6993575669654463E-3</v>
      </c>
      <c r="DM9" s="15">
        <v>-3.698176006290884E-2</v>
      </c>
      <c r="DN9" s="15">
        <v>0.1098129862949979</v>
      </c>
      <c r="DO9" s="15">
        <v>4.2036825231170707E-2</v>
      </c>
      <c r="DP9" s="15">
        <v>8.4566668006112469E-2</v>
      </c>
      <c r="DQ9" s="15">
        <v>-0.11027981086457481</v>
      </c>
      <c r="DR9" s="15">
        <v>9.4328709127723676E-2</v>
      </c>
      <c r="DS9" s="15">
        <v>-7.1906912609422696E-2</v>
      </c>
      <c r="DT9" s="15">
        <v>-9.6236429507091506E-2</v>
      </c>
      <c r="DU9" s="15">
        <v>2.3455494098847921E-3</v>
      </c>
      <c r="DV9" s="15">
        <v>0.13401742358239299</v>
      </c>
      <c r="DW9" s="15">
        <v>9.4732519114383587E-2</v>
      </c>
      <c r="DX9" s="15">
        <v>-0.1037731978548066</v>
      </c>
      <c r="DY9" s="15">
        <v>7.5762154171076845E-2</v>
      </c>
      <c r="DZ9" s="15">
        <v>-3.1829720434029513E-2</v>
      </c>
      <c r="EA9" s="15">
        <v>0.16130801932992569</v>
      </c>
      <c r="EB9" s="15">
        <v>1.020353315832318E-2</v>
      </c>
      <c r="EC9" s="15">
        <v>7.3988425168607055E-2</v>
      </c>
      <c r="ED9" s="15">
        <v>-0.15737687498945321</v>
      </c>
      <c r="EE9" s="15">
        <v>7.9137553498671423E-2</v>
      </c>
      <c r="EF9" s="15">
        <v>7.252854687485949E-2</v>
      </c>
    </row>
    <row r="10" spans="1:136">
      <c r="B10" t="s">
        <v>136</v>
      </c>
      <c r="C10" s="15">
        <v>-0.24758870953733739</v>
      </c>
      <c r="D10" s="15">
        <v>-0.27469330301591988</v>
      </c>
      <c r="E10" s="15">
        <v>-8.4648385226775952E-2</v>
      </c>
      <c r="F10" s="15">
        <v>2.264463125499239E-2</v>
      </c>
      <c r="G10" s="15">
        <v>-4.968000079578011E-2</v>
      </c>
      <c r="H10" s="15">
        <v>-0.100759633161552</v>
      </c>
      <c r="I10" s="15">
        <v>-1.2522721374844691E-2</v>
      </c>
      <c r="J10" s="15">
        <v>7.8736550465264579E-2</v>
      </c>
      <c r="K10" s="15">
        <v>-3.418510024326199E-2</v>
      </c>
      <c r="L10" s="15">
        <v>8.8406797789969321E-2</v>
      </c>
      <c r="M10" s="15">
        <v>-3.063454560011507E-3</v>
      </c>
      <c r="N10" s="15">
        <v>-0.21221799304980321</v>
      </c>
      <c r="O10" s="15">
        <v>-3.6805388582279122E-2</v>
      </c>
      <c r="P10" s="15">
        <v>7.1033118877316462E-2</v>
      </c>
      <c r="Q10" s="15">
        <v>-7.1261132998910126E-2</v>
      </c>
      <c r="R10" s="15">
        <v>2.1560446706208151E-2</v>
      </c>
      <c r="S10" s="15">
        <v>0.10111125807516751</v>
      </c>
      <c r="T10" s="15">
        <v>4.3224739792793003E-2</v>
      </c>
      <c r="U10" s="15">
        <v>1.488194958969411E-2</v>
      </c>
      <c r="V10" s="15">
        <v>6.3260243037239986E-3</v>
      </c>
      <c r="W10" s="15">
        <v>-0.1435529784595129</v>
      </c>
      <c r="X10" s="15">
        <v>-6.4282172013507929E-2</v>
      </c>
      <c r="Y10" s="15">
        <v>-1.9034202878042191E-2</v>
      </c>
      <c r="Z10" s="15">
        <v>-2.0644556245472189E-2</v>
      </c>
      <c r="AA10" s="15">
        <v>3.3059540377865217E-2</v>
      </c>
      <c r="AB10" s="15">
        <v>-1.9418226776777941E-2</v>
      </c>
      <c r="AC10" s="15">
        <v>-6.3126838764061721E-2</v>
      </c>
      <c r="AD10" s="15">
        <v>-6.5629712146108229E-2</v>
      </c>
      <c r="AE10" s="15">
        <v>0.1379956892668254</v>
      </c>
      <c r="AF10" s="15">
        <v>-0.1005679184552228</v>
      </c>
      <c r="AG10" s="15">
        <v>-3.7969091150733998E-2</v>
      </c>
      <c r="AH10" s="15">
        <v>-4.5839537807496208E-2</v>
      </c>
      <c r="AI10" s="15">
        <v>-5.1034095516539722E-2</v>
      </c>
      <c r="AJ10" s="15">
        <v>-3.2204408877165632E-3</v>
      </c>
      <c r="AK10" s="15">
        <v>4.8952958975013116E-4</v>
      </c>
      <c r="AL10" s="15">
        <v>-0.1064467536119352</v>
      </c>
      <c r="AM10" s="15">
        <v>-1.3723973583554899E-2</v>
      </c>
      <c r="AN10" s="15">
        <v>-0.1219647076543238</v>
      </c>
      <c r="AO10" s="15">
        <v>-4.858966597382592E-2</v>
      </c>
      <c r="AP10" s="15">
        <v>-1.903150433663008E-3</v>
      </c>
      <c r="AQ10" s="15">
        <v>2.9067484813314101E-2</v>
      </c>
      <c r="AR10" s="15">
        <v>5.2635776863899968E-2</v>
      </c>
      <c r="AS10" s="15">
        <v>-1.289325857571229E-2</v>
      </c>
      <c r="AT10" s="15">
        <v>-2.131134772842519E-3</v>
      </c>
      <c r="AU10" s="15">
        <v>-0.15538438197178719</v>
      </c>
      <c r="AV10" s="15">
        <v>1.268178414302561E-2</v>
      </c>
      <c r="AW10" s="15">
        <v>-1.1942321618877561E-2</v>
      </c>
      <c r="AX10" s="15">
        <v>-4.2537914968475456E-3</v>
      </c>
      <c r="AY10" s="15">
        <v>2.930087158954232E-2</v>
      </c>
      <c r="AZ10" s="15">
        <v>-0.13412750113921701</v>
      </c>
      <c r="BA10" s="15">
        <v>-0.13711152966130111</v>
      </c>
      <c r="BB10" s="15">
        <v>1.7546605068716691E-3</v>
      </c>
      <c r="BC10" s="15">
        <v>2.5117126105990401E-2</v>
      </c>
      <c r="BD10" s="15">
        <v>-0.11960190660895841</v>
      </c>
      <c r="BE10" s="15">
        <v>0.1357616496399312</v>
      </c>
      <c r="BF10" s="15">
        <v>4.7091161676368357E-2</v>
      </c>
      <c r="BG10" s="15">
        <v>-2.605004393557599E-2</v>
      </c>
      <c r="BH10" s="15">
        <v>4.3752773670266483E-2</v>
      </c>
      <c r="BI10" s="15">
        <v>-8.1391827895093402E-2</v>
      </c>
      <c r="BJ10" s="15">
        <v>-0.10060082155953699</v>
      </c>
      <c r="BK10" s="15">
        <v>9.0490079041763594E-2</v>
      </c>
      <c r="BL10" s="15">
        <v>-3.0898458704964389E-2</v>
      </c>
      <c r="BM10" s="15">
        <v>5.8814186622603987E-2</v>
      </c>
      <c r="BN10" s="15">
        <v>8.1345639246770615E-2</v>
      </c>
      <c r="BO10" s="15">
        <v>-7.7164168976593351E-3</v>
      </c>
      <c r="BP10" s="15">
        <v>0.1067348704344353</v>
      </c>
      <c r="BQ10" s="15">
        <v>-2.7156341096342261E-2</v>
      </c>
      <c r="BR10" s="15">
        <v>-5.4431018659150447E-2</v>
      </c>
      <c r="BS10" s="15">
        <v>-6.822927751511014E-2</v>
      </c>
      <c r="BT10" s="15">
        <v>9.8612222991557266E-2</v>
      </c>
      <c r="BU10" s="15">
        <v>0.1283985422991091</v>
      </c>
      <c r="BV10" s="15">
        <v>-7.8402519476778718E-2</v>
      </c>
      <c r="BW10" s="15">
        <v>-0.1191337216524913</v>
      </c>
      <c r="BX10" s="15">
        <v>-4.6890096077604589E-2</v>
      </c>
      <c r="BY10" s="15">
        <v>0.10169834364209621</v>
      </c>
      <c r="BZ10" s="15">
        <v>-2.5680084240218899E-2</v>
      </c>
      <c r="CA10" s="15">
        <v>-8.3301790010408508E-2</v>
      </c>
      <c r="CB10" s="15">
        <v>-0.15782764847875469</v>
      </c>
      <c r="CC10" s="15">
        <v>-7.1052571704280934E-2</v>
      </c>
      <c r="CD10" s="15">
        <v>-7.3875492145199798E-2</v>
      </c>
      <c r="CE10" s="15">
        <v>-0.23678647002516851</v>
      </c>
      <c r="CF10" s="15">
        <v>3.2627706277002622E-2</v>
      </c>
      <c r="CG10" s="15">
        <v>1.3423084626575861E-2</v>
      </c>
      <c r="CH10" s="15">
        <v>-2.7966658799032269E-3</v>
      </c>
      <c r="CI10" s="15">
        <v>4.7925699911805238E-2</v>
      </c>
      <c r="CJ10" s="15">
        <v>-3.2520192681292038E-3</v>
      </c>
      <c r="CK10" s="15">
        <v>-7.570819035307215E-2</v>
      </c>
      <c r="CL10" s="15">
        <v>-4.439725585073561E-2</v>
      </c>
      <c r="CM10" s="15">
        <v>0.17898858319392719</v>
      </c>
      <c r="CN10" s="15">
        <v>5.799426642317386E-2</v>
      </c>
      <c r="CO10" s="15">
        <v>-0.13939018969183081</v>
      </c>
      <c r="CP10" s="15">
        <v>6.4714670503515537E-2</v>
      </c>
      <c r="CQ10" s="15">
        <v>-0.18118788880647541</v>
      </c>
      <c r="CR10" s="15">
        <v>-8.8633532328162568E-2</v>
      </c>
      <c r="CS10" s="15">
        <v>-2.532177470861038E-2</v>
      </c>
      <c r="CT10" s="15">
        <v>-0.11307907407472829</v>
      </c>
      <c r="CU10" s="15">
        <v>8.095957294189474E-3</v>
      </c>
      <c r="CV10" s="15">
        <v>-4.5200208394220349E-2</v>
      </c>
      <c r="CW10" s="15">
        <v>-5.8941225467328592E-2</v>
      </c>
      <c r="CX10" s="15">
        <v>-0.1077283016776811</v>
      </c>
      <c r="CY10" s="15">
        <v>-9.6503499496267492E-2</v>
      </c>
      <c r="CZ10" s="15">
        <v>-0.2103543453191653</v>
      </c>
      <c r="DA10" s="15">
        <v>-0.10996113735654101</v>
      </c>
      <c r="DB10" s="15">
        <v>-0.1908204716293295</v>
      </c>
      <c r="DC10" s="15">
        <v>-2.0727272402408872E-2</v>
      </c>
      <c r="DD10" s="15">
        <v>8.7029095351123936E-2</v>
      </c>
      <c r="DE10" s="15">
        <v>8.2024592921593045E-2</v>
      </c>
      <c r="DF10" s="15">
        <v>-0.166876664789437</v>
      </c>
      <c r="DG10" s="15">
        <v>0.22243808581717431</v>
      </c>
      <c r="DH10" s="15">
        <v>-0.144297746243673</v>
      </c>
      <c r="DI10" s="15">
        <v>-0.1196199522370443</v>
      </c>
      <c r="DJ10" s="15">
        <v>-0.10159274396951661</v>
      </c>
      <c r="DK10" s="15">
        <v>9.2855058740681395E-2</v>
      </c>
      <c r="DL10" s="15">
        <v>-4.2630490096108087E-2</v>
      </c>
      <c r="DM10" s="15">
        <v>8.2732072899953643E-2</v>
      </c>
      <c r="DN10" s="15">
        <v>-3.1049452465540091E-2</v>
      </c>
      <c r="DO10" s="15">
        <v>-9.8141990492640205E-2</v>
      </c>
      <c r="DP10" s="15">
        <v>-0.13058888143944061</v>
      </c>
      <c r="DQ10" s="15">
        <v>4.8655718251279387E-2</v>
      </c>
      <c r="DR10" s="15">
        <v>-3.9251909935401189E-2</v>
      </c>
      <c r="DS10" s="15">
        <v>-0.1610301993932845</v>
      </c>
      <c r="DT10" s="15">
        <v>-7.8883966483063367E-2</v>
      </c>
      <c r="DU10" s="15">
        <v>0.16407715854109439</v>
      </c>
      <c r="DV10" s="15">
        <v>7.5052515397744431E-3</v>
      </c>
      <c r="DW10" s="15">
        <v>-0.1016452501185193</v>
      </c>
      <c r="DX10" s="15">
        <v>-5.6040292492535823E-2</v>
      </c>
      <c r="DY10" s="15">
        <v>-0.1066566396478186</v>
      </c>
      <c r="DZ10" s="15">
        <v>-6.9186575508287662E-2</v>
      </c>
      <c r="EA10" s="15">
        <v>-0.12618865773840809</v>
      </c>
      <c r="EB10" s="15">
        <v>-6.4737118328050736E-2</v>
      </c>
      <c r="EC10" s="15">
        <v>5.142607344157852E-2</v>
      </c>
      <c r="ED10" s="15">
        <v>3.4496728436731378E-2</v>
      </c>
      <c r="EE10" s="15">
        <v>0.15767759835539891</v>
      </c>
      <c r="EF10" s="15">
        <v>-0.12718001699129389</v>
      </c>
    </row>
    <row r="11" spans="1:136">
      <c r="B11" t="s">
        <v>137</v>
      </c>
      <c r="C11" s="15">
        <v>-5.4244781267602057E-2</v>
      </c>
      <c r="D11" s="15">
        <v>4.5377022463556939E-2</v>
      </c>
      <c r="E11" s="15">
        <v>-1.7752272607948309E-2</v>
      </c>
      <c r="F11" s="15">
        <v>-8.7687354470119203E-2</v>
      </c>
      <c r="G11" s="15">
        <v>0.1027592597916023</v>
      </c>
      <c r="H11" s="15">
        <v>2.5113717342445511E-3</v>
      </c>
      <c r="I11" s="15">
        <v>-1.8303552483615069E-2</v>
      </c>
      <c r="J11" s="15">
        <v>2.2110525104917209E-2</v>
      </c>
      <c r="K11" s="15">
        <v>7.7258045731841044E-2</v>
      </c>
      <c r="L11" s="15">
        <v>9.3440783982297517E-3</v>
      </c>
      <c r="M11" s="15">
        <v>5.3602181204841143E-2</v>
      </c>
      <c r="N11" s="15">
        <v>-6.7877357290963961E-2</v>
      </c>
      <c r="O11" s="15">
        <v>6.4929886491987929E-2</v>
      </c>
      <c r="P11" s="15">
        <v>4.8806817542238106E-3</v>
      </c>
      <c r="Q11" s="15">
        <v>1.919781824762783E-2</v>
      </c>
      <c r="R11" s="15">
        <v>-5.4653492448842392E-3</v>
      </c>
      <c r="S11" s="15">
        <v>3.6551467134004201E-2</v>
      </c>
      <c r="T11" s="15">
        <v>0.12918506866843241</v>
      </c>
      <c r="U11" s="15">
        <v>1.369240766293847E-2</v>
      </c>
      <c r="V11" s="15">
        <v>1.529525194063162E-2</v>
      </c>
      <c r="W11" s="15">
        <v>-0.10468571910271469</v>
      </c>
      <c r="X11" s="15">
        <v>-0.29384805056845642</v>
      </c>
      <c r="Y11" s="15">
        <v>5.9212485033458218E-2</v>
      </c>
      <c r="Z11" s="15">
        <v>-0.18494831245363619</v>
      </c>
      <c r="AA11" s="15">
        <v>9.8247438772127521E-2</v>
      </c>
      <c r="AB11" s="15">
        <v>-6.5734107189282197E-4</v>
      </c>
      <c r="AC11" s="15">
        <v>-0.1036861156532312</v>
      </c>
      <c r="AD11" s="15">
        <v>3.5450938075395509E-3</v>
      </c>
      <c r="AE11" s="15">
        <v>0.17560148677061019</v>
      </c>
      <c r="AF11" s="15">
        <v>-0.1550331010885124</v>
      </c>
      <c r="AG11" s="15">
        <v>-2.6328625232284051E-2</v>
      </c>
      <c r="AH11" s="15">
        <v>-4.9988101579694936E-3</v>
      </c>
      <c r="AI11" s="15">
        <v>2.8067714594873169E-2</v>
      </c>
      <c r="AJ11" s="15">
        <v>-2.2384193940381401E-2</v>
      </c>
      <c r="AK11" s="15">
        <v>-4.7020825392250949E-2</v>
      </c>
      <c r="AL11" s="15">
        <v>-0.10156151199043489</v>
      </c>
      <c r="AM11" s="15">
        <v>2.3525148704495701E-2</v>
      </c>
      <c r="AN11" s="15">
        <v>5.2525230105422573E-2</v>
      </c>
      <c r="AO11" s="15">
        <v>5.8502893637957562E-2</v>
      </c>
      <c r="AP11" s="15">
        <v>3.3447356041428761E-2</v>
      </c>
      <c r="AQ11" s="15">
        <v>1.430036545094069E-2</v>
      </c>
      <c r="AR11" s="15">
        <v>3.5903594729592501E-2</v>
      </c>
      <c r="AS11" s="15">
        <v>3.9782285287992311E-2</v>
      </c>
      <c r="AT11" s="15">
        <v>0.1484561956282951</v>
      </c>
      <c r="AU11" s="15">
        <v>-4.078729487218978E-2</v>
      </c>
      <c r="AV11" s="15">
        <v>0.13895895413073689</v>
      </c>
      <c r="AW11" s="15">
        <v>5.9863283397122782E-2</v>
      </c>
      <c r="AX11" s="15">
        <v>-0.1497898129881709</v>
      </c>
      <c r="AY11" s="15">
        <v>6.1595851435820623E-2</v>
      </c>
      <c r="AZ11" s="15">
        <v>-6.1949751488506538E-2</v>
      </c>
      <c r="BA11" s="15">
        <v>-2.389264381020083E-3</v>
      </c>
      <c r="BB11" s="15">
        <v>-0.14887029613688371</v>
      </c>
      <c r="BC11" s="15">
        <v>6.0350517971681748E-2</v>
      </c>
      <c r="BD11" s="15">
        <v>-1.468575255625916E-2</v>
      </c>
      <c r="BE11" s="15">
        <v>-0.14651529968819679</v>
      </c>
      <c r="BF11" s="15">
        <v>-0.2087626486148127</v>
      </c>
      <c r="BG11" s="15">
        <v>-0.20144325578474859</v>
      </c>
      <c r="BH11" s="15">
        <v>-0.11804991677814031</v>
      </c>
      <c r="BI11" s="15">
        <v>-7.7026576071686378E-2</v>
      </c>
      <c r="BJ11" s="15">
        <v>-3.6220317042829728E-2</v>
      </c>
      <c r="BK11" s="15">
        <v>-1.8907268725092598E-2</v>
      </c>
      <c r="BL11" s="15">
        <v>-0.17125563757433929</v>
      </c>
      <c r="BM11" s="15">
        <v>0.13291749710961351</v>
      </c>
      <c r="BN11" s="15">
        <v>-3.5907701607395578E-2</v>
      </c>
      <c r="BO11" s="15">
        <v>2.1344518209370389E-2</v>
      </c>
      <c r="BP11" s="15">
        <v>4.9634822871427897E-2</v>
      </c>
      <c r="BQ11" s="15">
        <v>-1.7211216417584319E-2</v>
      </c>
      <c r="BR11" s="15">
        <v>0.18982724311105359</v>
      </c>
      <c r="BS11" s="15">
        <v>-9.7605037382284945E-2</v>
      </c>
      <c r="BT11" s="15">
        <v>3.7831444138355132E-2</v>
      </c>
      <c r="BU11" s="15">
        <v>5.6008305208474198E-2</v>
      </c>
      <c r="BV11" s="15">
        <v>-0.1167370363031352</v>
      </c>
      <c r="BW11" s="15">
        <v>-0.1413229882478122</v>
      </c>
      <c r="BX11" s="15">
        <v>-3.3770258788579869E-3</v>
      </c>
      <c r="BY11" s="15">
        <v>0.13033606071126891</v>
      </c>
      <c r="BZ11" s="15">
        <v>3.1697731081681189E-2</v>
      </c>
      <c r="CA11" s="15">
        <v>4.0555037474470507E-2</v>
      </c>
      <c r="CB11" s="15">
        <v>-4.2037331365292897E-2</v>
      </c>
      <c r="CC11" s="15">
        <v>5.0013723389441531E-2</v>
      </c>
      <c r="CD11" s="15">
        <v>-6.8456279312897411E-2</v>
      </c>
      <c r="CE11" s="15">
        <v>-8.0832090081974353E-2</v>
      </c>
      <c r="CF11" s="15">
        <v>-1.948310790200239E-3</v>
      </c>
      <c r="CG11" s="15">
        <v>-0.1182090018050031</v>
      </c>
      <c r="CH11" s="15">
        <v>-3.67198859644461E-2</v>
      </c>
      <c r="CI11" s="15">
        <v>-8.3332793120616616E-2</v>
      </c>
      <c r="CJ11" s="15">
        <v>0.23067286701975129</v>
      </c>
      <c r="CK11" s="15">
        <v>0.1327785225954993</v>
      </c>
      <c r="CL11" s="15">
        <v>0.1412873189704931</v>
      </c>
      <c r="CM11" s="15">
        <v>-0.11268938730850959</v>
      </c>
      <c r="CN11" s="15">
        <v>0.22348855763592371</v>
      </c>
      <c r="CO11" s="15">
        <v>-0.10441916957268479</v>
      </c>
      <c r="CP11" s="15">
        <v>-1.442822447791231E-2</v>
      </c>
      <c r="CQ11" s="15">
        <v>-0.20723337326778599</v>
      </c>
      <c r="CR11" s="15">
        <v>-0.1348638695123113</v>
      </c>
      <c r="CS11" s="15">
        <v>7.3007738807373504E-2</v>
      </c>
      <c r="CT11" s="15">
        <v>-3.0218378407130288E-2</v>
      </c>
      <c r="CU11" s="15">
        <v>-0.28688917437274702</v>
      </c>
      <c r="CV11" s="15">
        <v>0.2307305381875536</v>
      </c>
      <c r="CW11" s="15">
        <v>9.1075698514216888E-2</v>
      </c>
      <c r="CX11" s="15">
        <v>-0.1224857321642277</v>
      </c>
      <c r="CY11" s="15">
        <v>7.8381925305362449E-2</v>
      </c>
      <c r="CZ11" s="15">
        <v>-4.5950103566863888E-2</v>
      </c>
      <c r="DA11" s="15">
        <v>8.2670164530151122E-2</v>
      </c>
      <c r="DB11" s="15">
        <v>0.14934927010032351</v>
      </c>
      <c r="DC11" s="15">
        <v>-4.7798705164587528E-2</v>
      </c>
      <c r="DD11" s="15">
        <v>-0.1645134604307108</v>
      </c>
      <c r="DE11" s="15">
        <v>-0.1105683533423189</v>
      </c>
      <c r="DF11" s="15">
        <v>5.7416867202733347E-2</v>
      </c>
      <c r="DG11" s="15">
        <v>-0.21489021548963169</v>
      </c>
      <c r="DH11" s="15">
        <v>6.2997155047871164E-2</v>
      </c>
      <c r="DI11" s="15">
        <v>6.7721109014009601E-2</v>
      </c>
      <c r="DJ11" s="15">
        <v>0.1188020770386063</v>
      </c>
      <c r="DK11" s="15">
        <v>7.2827306455158416E-3</v>
      </c>
      <c r="DL11" s="15">
        <v>7.1320599005857979E-2</v>
      </c>
      <c r="DM11" s="15">
        <v>2.1021900655620821E-2</v>
      </c>
      <c r="DN11" s="15">
        <v>-3.0403223939335849E-2</v>
      </c>
      <c r="DO11" s="15">
        <v>-9.694965661135331E-2</v>
      </c>
      <c r="DP11" s="15">
        <v>-0.23067649178859881</v>
      </c>
      <c r="DQ11" s="15">
        <v>0.238184312236043</v>
      </c>
      <c r="DR11" s="15">
        <v>3.5748752036958448E-3</v>
      </c>
      <c r="DS11" s="15">
        <v>0.13395561672683809</v>
      </c>
      <c r="DT11" s="15">
        <v>0.11510609642796051</v>
      </c>
      <c r="DU11" s="15">
        <v>0.1040797891887878</v>
      </c>
      <c r="DV11" s="15">
        <v>-5.4611063064875308E-2</v>
      </c>
      <c r="DW11" s="15">
        <v>-3.3290193961398547E-2</v>
      </c>
      <c r="DX11" s="15">
        <v>5.5094916778075383E-2</v>
      </c>
      <c r="DY11" s="15">
        <v>6.8793773385234666E-2</v>
      </c>
      <c r="DZ11" s="15">
        <v>1.4480773118257949E-2</v>
      </c>
      <c r="EA11" s="15">
        <v>-0.29313654086030699</v>
      </c>
      <c r="EB11" s="15">
        <v>-0.14097501940218221</v>
      </c>
      <c r="EC11" s="15">
        <v>-1.2209361583162239E-2</v>
      </c>
      <c r="ED11" s="15">
        <v>5.816768758959897E-2</v>
      </c>
      <c r="EE11" s="15">
        <v>-0.14440301349005499</v>
      </c>
      <c r="EF11" s="15">
        <v>-9.7009034240055067E-2</v>
      </c>
    </row>
    <row r="13" spans="1:136">
      <c r="A13" t="s">
        <v>204</v>
      </c>
      <c r="B13" t="s">
        <v>135</v>
      </c>
      <c r="C13" s="14">
        <f t="shared" ref="C13:AH13" si="0">(C3-C9)^2</f>
        <v>3.5001572319803262E-2</v>
      </c>
      <c r="D13" s="14">
        <f t="shared" si="0"/>
        <v>1.1299136951178766E-2</v>
      </c>
      <c r="E13" s="14">
        <f t="shared" si="0"/>
        <v>2.7905375200948775E-4</v>
      </c>
      <c r="F13" s="14">
        <f t="shared" si="0"/>
        <v>1.225622736272884E-2</v>
      </c>
      <c r="G13" s="14">
        <f t="shared" si="0"/>
        <v>6.0365694554797662E-3</v>
      </c>
      <c r="H13" s="14">
        <f t="shared" si="0"/>
        <v>2.7047089134744759E-3</v>
      </c>
      <c r="I13" s="14">
        <f t="shared" si="0"/>
        <v>7.5601881778530833E-2</v>
      </c>
      <c r="J13" s="14">
        <f t="shared" si="0"/>
        <v>2.9781117878473498E-2</v>
      </c>
      <c r="K13" s="14">
        <f t="shared" si="0"/>
        <v>4.9333729720882303E-3</v>
      </c>
      <c r="L13" s="14">
        <f t="shared" si="0"/>
        <v>1.5278966394379709E-2</v>
      </c>
      <c r="M13" s="14">
        <f t="shared" si="0"/>
        <v>5.9025797374513004E-3</v>
      </c>
      <c r="N13" s="14">
        <f t="shared" si="0"/>
        <v>7.0565347294793052E-2</v>
      </c>
      <c r="O13" s="14">
        <f t="shared" si="0"/>
        <v>5.4726517911979468E-3</v>
      </c>
      <c r="P13" s="14">
        <f t="shared" si="0"/>
        <v>9.8182435592506704E-4</v>
      </c>
      <c r="Q13" s="14">
        <f t="shared" si="0"/>
        <v>5.8417517255931941E-4</v>
      </c>
      <c r="R13" s="14">
        <f t="shared" si="0"/>
        <v>2.9489677794834163E-2</v>
      </c>
      <c r="S13" s="14">
        <f t="shared" si="0"/>
        <v>2.2364177318164834E-3</v>
      </c>
      <c r="T13" s="14">
        <f t="shared" si="0"/>
        <v>6.9623825556475727E-3</v>
      </c>
      <c r="U13" s="14">
        <f t="shared" si="0"/>
        <v>4.4846234455925846E-3</v>
      </c>
      <c r="V13" s="14">
        <f t="shared" si="0"/>
        <v>6.999014106948379E-4</v>
      </c>
      <c r="W13" s="14">
        <f t="shared" si="0"/>
        <v>7.0095592401459635E-4</v>
      </c>
      <c r="X13" s="14">
        <f t="shared" si="0"/>
        <v>4.8801970740191729E-3</v>
      </c>
      <c r="Y13" s="14">
        <f t="shared" si="0"/>
        <v>1.0849846514182106E-2</v>
      </c>
      <c r="Z13" s="14">
        <f t="shared" si="0"/>
        <v>4.1680359209526639E-2</v>
      </c>
      <c r="AA13" s="14">
        <f t="shared" si="0"/>
        <v>2.0538025846269119E-2</v>
      </c>
      <c r="AB13" s="14">
        <f t="shared" si="0"/>
        <v>3.1190446909332131E-3</v>
      </c>
      <c r="AC13" s="14">
        <f t="shared" si="0"/>
        <v>1.7220864105345391E-2</v>
      </c>
      <c r="AD13" s="14">
        <f t="shared" si="0"/>
        <v>5.211097079303134E-4</v>
      </c>
      <c r="AE13" s="14">
        <f t="shared" si="0"/>
        <v>3.8978203511171421E-2</v>
      </c>
      <c r="AF13" s="14">
        <f t="shared" si="0"/>
        <v>4.3980013117873255E-3</v>
      </c>
      <c r="AG13" s="14">
        <f t="shared" si="0"/>
        <v>1.9301514256133846E-2</v>
      </c>
      <c r="AH13" s="14">
        <f t="shared" si="0"/>
        <v>2.0555403355823439E-4</v>
      </c>
      <c r="AI13" s="14">
        <f t="shared" ref="AI13:BN13" si="1">(AI3-AI9)^2</f>
        <v>3.8339161806941457E-4</v>
      </c>
      <c r="AJ13" s="14">
        <f t="shared" si="1"/>
        <v>5.471569880424027E-3</v>
      </c>
      <c r="AK13" s="14">
        <f t="shared" si="1"/>
        <v>2.0901240263289803E-4</v>
      </c>
      <c r="AL13" s="14">
        <f t="shared" si="1"/>
        <v>1.5999511044492249E-3</v>
      </c>
      <c r="AM13" s="14">
        <f t="shared" si="1"/>
        <v>4.26440678432209E-3</v>
      </c>
      <c r="AN13" s="14">
        <f t="shared" si="1"/>
        <v>3.0829533511723302E-2</v>
      </c>
      <c r="AO13" s="14">
        <f t="shared" si="1"/>
        <v>2.4138177587044632E-2</v>
      </c>
      <c r="AP13" s="14">
        <f t="shared" si="1"/>
        <v>6.7721579319790929E-3</v>
      </c>
      <c r="AQ13" s="14">
        <f t="shared" si="1"/>
        <v>5.3604807052402646E-3</v>
      </c>
      <c r="AR13" s="14">
        <f t="shared" si="1"/>
        <v>1.5172561275097699E-3</v>
      </c>
      <c r="AS13" s="14">
        <f t="shared" si="1"/>
        <v>6.8928565611686091E-4</v>
      </c>
      <c r="AT13" s="14">
        <f t="shared" si="1"/>
        <v>1.6154247921755394E-3</v>
      </c>
      <c r="AU13" s="14">
        <f t="shared" si="1"/>
        <v>2.0901777234354573E-4</v>
      </c>
      <c r="AV13" s="14">
        <f t="shared" si="1"/>
        <v>3.9612315267150691E-3</v>
      </c>
      <c r="AW13" s="14">
        <f t="shared" si="1"/>
        <v>4.5172593294134271E-4</v>
      </c>
      <c r="AX13" s="14">
        <f t="shared" si="1"/>
        <v>2.5420467958636784E-3</v>
      </c>
      <c r="AY13" s="14">
        <f t="shared" si="1"/>
        <v>1.8195263740371578E-5</v>
      </c>
      <c r="AZ13" s="14">
        <f t="shared" si="1"/>
        <v>6.1642817063901493E-3</v>
      </c>
      <c r="BA13" s="14">
        <f t="shared" si="1"/>
        <v>4.7909216813674604E-5</v>
      </c>
      <c r="BB13" s="14">
        <f t="shared" si="1"/>
        <v>8.1568191587176792E-4</v>
      </c>
      <c r="BC13" s="14">
        <f t="shared" si="1"/>
        <v>7.5166484079315654E-4</v>
      </c>
      <c r="BD13" s="14">
        <f t="shared" si="1"/>
        <v>1.2803522331488008E-3</v>
      </c>
      <c r="BE13" s="14">
        <f t="shared" si="1"/>
        <v>7.7176231931099584E-3</v>
      </c>
      <c r="BF13" s="14">
        <f t="shared" si="1"/>
        <v>4.5290713281811983E-3</v>
      </c>
      <c r="BG13" s="14">
        <f t="shared" si="1"/>
        <v>4.1903601684495112E-2</v>
      </c>
      <c r="BH13" s="14">
        <f t="shared" si="1"/>
        <v>2.151262033132346E-3</v>
      </c>
      <c r="BI13" s="14">
        <f t="shared" si="1"/>
        <v>9.1711410323057057E-3</v>
      </c>
      <c r="BJ13" s="14">
        <f t="shared" si="1"/>
        <v>8.6401375369555607E-3</v>
      </c>
      <c r="BK13" s="14">
        <f t="shared" si="1"/>
        <v>2.4553998747685025E-2</v>
      </c>
      <c r="BL13" s="14">
        <f t="shared" si="1"/>
        <v>2.6594266677367234E-3</v>
      </c>
      <c r="BM13" s="14">
        <f t="shared" si="1"/>
        <v>9.9725214575804751E-3</v>
      </c>
      <c r="BN13" s="14">
        <f t="shared" si="1"/>
        <v>2.9316518259697494E-4</v>
      </c>
      <c r="BO13" s="14">
        <f t="shared" ref="BO13:CT13" si="2">(BO3-BO9)^2</f>
        <v>4.8069436438739396E-3</v>
      </c>
      <c r="BP13" s="14">
        <f t="shared" si="2"/>
        <v>1.5722606035659534E-2</v>
      </c>
      <c r="BQ13" s="14">
        <f t="shared" si="2"/>
        <v>3.1939596775400576E-3</v>
      </c>
      <c r="BR13" s="14">
        <f t="shared" si="2"/>
        <v>8.5305655547700005E-4</v>
      </c>
      <c r="BS13" s="14">
        <f t="shared" si="2"/>
        <v>5.6370224754278559E-7</v>
      </c>
      <c r="BT13" s="14">
        <f t="shared" si="2"/>
        <v>1.0504870897959238E-2</v>
      </c>
      <c r="BU13" s="14">
        <f t="shared" si="2"/>
        <v>5.6327737644682537E-5</v>
      </c>
      <c r="BV13" s="14">
        <f t="shared" si="2"/>
        <v>6.4080675700282561E-4</v>
      </c>
      <c r="BW13" s="14">
        <f t="shared" si="2"/>
        <v>4.1666497334726374E-3</v>
      </c>
      <c r="BX13" s="14">
        <f t="shared" si="2"/>
        <v>7.9672977711030713E-4</v>
      </c>
      <c r="BY13" s="14">
        <f t="shared" si="2"/>
        <v>1.212559607330119E-2</v>
      </c>
      <c r="BZ13" s="14">
        <f t="shared" si="2"/>
        <v>3.0193697600313624E-2</v>
      </c>
      <c r="CA13" s="14">
        <f t="shared" si="2"/>
        <v>1.1637321211133438E-2</v>
      </c>
      <c r="CB13" s="14">
        <f t="shared" si="2"/>
        <v>3.0915764202829474E-4</v>
      </c>
      <c r="CC13" s="14">
        <f t="shared" si="2"/>
        <v>4.2049483587359471E-5</v>
      </c>
      <c r="CD13" s="14">
        <f t="shared" si="2"/>
        <v>1.858304083789078E-2</v>
      </c>
      <c r="CE13" s="14">
        <f t="shared" si="2"/>
        <v>2.6186530775328894E-2</v>
      </c>
      <c r="CF13" s="14">
        <f t="shared" si="2"/>
        <v>3.7806182439466353E-2</v>
      </c>
      <c r="CG13" s="14">
        <f t="shared" si="2"/>
        <v>1.2210173793960997E-2</v>
      </c>
      <c r="CH13" s="14">
        <f t="shared" si="2"/>
        <v>2.5554288718698377E-2</v>
      </c>
      <c r="CI13" s="14">
        <f t="shared" si="2"/>
        <v>7.993163306131144E-3</v>
      </c>
      <c r="CJ13" s="14">
        <f t="shared" si="2"/>
        <v>3.8276467432897804E-6</v>
      </c>
      <c r="CK13" s="14">
        <f t="shared" si="2"/>
        <v>1.1654464630449402E-3</v>
      </c>
      <c r="CL13" s="14">
        <f t="shared" si="2"/>
        <v>0.11954875442390181</v>
      </c>
      <c r="CM13" s="14">
        <f t="shared" si="2"/>
        <v>1.3752630966242173E-2</v>
      </c>
      <c r="CN13" s="14">
        <f t="shared" si="2"/>
        <v>5.3142332913580373E-4</v>
      </c>
      <c r="CO13" s="14">
        <f t="shared" si="2"/>
        <v>1.2630528470165395E-2</v>
      </c>
      <c r="CP13" s="14">
        <f t="shared" si="2"/>
        <v>1.4225372337796922E-2</v>
      </c>
      <c r="CQ13" s="14">
        <f t="shared" si="2"/>
        <v>3.3985543992165163E-2</v>
      </c>
      <c r="CR13" s="14">
        <f t="shared" si="2"/>
        <v>6.3527158797189046E-3</v>
      </c>
      <c r="CS13" s="14">
        <f t="shared" si="2"/>
        <v>1.9432057071936632E-3</v>
      </c>
      <c r="CT13" s="14">
        <f t="shared" si="2"/>
        <v>2.6159603267324949E-3</v>
      </c>
      <c r="CU13" s="14">
        <f t="shared" ref="CU13:DZ13" si="3">(CU3-CU9)^2</f>
        <v>4.7931350033298077E-2</v>
      </c>
      <c r="CV13" s="14">
        <f t="shared" si="3"/>
        <v>1.3886717715668778E-2</v>
      </c>
      <c r="CW13" s="14">
        <f t="shared" si="3"/>
        <v>1.4881271142115361E-2</v>
      </c>
      <c r="CX13" s="14">
        <f t="shared" si="3"/>
        <v>6.1165810427944348E-2</v>
      </c>
      <c r="CY13" s="14">
        <f t="shared" si="3"/>
        <v>2.705850438553749E-4</v>
      </c>
      <c r="CZ13" s="14">
        <f t="shared" si="3"/>
        <v>4.8352278590711048E-2</v>
      </c>
      <c r="DA13" s="14">
        <f t="shared" si="3"/>
        <v>3.8248136211353095E-4</v>
      </c>
      <c r="DB13" s="14">
        <f t="shared" si="3"/>
        <v>3.8752559574408549E-5</v>
      </c>
      <c r="DC13" s="14">
        <f t="shared" si="3"/>
        <v>1.9835627548353791E-2</v>
      </c>
      <c r="DD13" s="14">
        <f t="shared" si="3"/>
        <v>2.8935158720224792E-5</v>
      </c>
      <c r="DE13" s="14">
        <f t="shared" si="3"/>
        <v>1.8018421545733226E-3</v>
      </c>
      <c r="DF13" s="14">
        <f t="shared" si="3"/>
        <v>3.3383366608490742E-3</v>
      </c>
      <c r="DG13" s="14">
        <f t="shared" si="3"/>
        <v>1.8970618424724101E-2</v>
      </c>
      <c r="DH13" s="14">
        <f t="shared" si="3"/>
        <v>5.0886665374316547E-4</v>
      </c>
      <c r="DI13" s="14">
        <f t="shared" si="3"/>
        <v>1.5171033564451075E-2</v>
      </c>
      <c r="DJ13" s="14">
        <f t="shared" si="3"/>
        <v>5.2886707271604131E-3</v>
      </c>
      <c r="DK13" s="14">
        <f t="shared" si="3"/>
        <v>1.3113776129581242E-3</v>
      </c>
      <c r="DL13" s="14">
        <f t="shared" si="3"/>
        <v>2.9975038587378936E-3</v>
      </c>
      <c r="DM13" s="14">
        <f t="shared" si="3"/>
        <v>6.9637970699297199E-4</v>
      </c>
      <c r="DN13" s="14">
        <f t="shared" si="3"/>
        <v>1.0483330482739656E-3</v>
      </c>
      <c r="DO13" s="14">
        <f t="shared" si="3"/>
        <v>9.4147591670884264E-3</v>
      </c>
      <c r="DP13" s="14">
        <f t="shared" si="3"/>
        <v>8.0968539182491448E-5</v>
      </c>
      <c r="DQ13" s="14">
        <f t="shared" si="3"/>
        <v>1.3102823988385285E-2</v>
      </c>
      <c r="DR13" s="14">
        <f t="shared" si="3"/>
        <v>2.2330222024008091E-2</v>
      </c>
      <c r="DS13" s="14">
        <f t="shared" si="3"/>
        <v>3.046547073650761E-2</v>
      </c>
      <c r="DT13" s="14">
        <f t="shared" si="3"/>
        <v>3.0823863676197535E-3</v>
      </c>
      <c r="DU13" s="14">
        <f t="shared" si="3"/>
        <v>2.8023272127732738E-5</v>
      </c>
      <c r="DV13" s="14">
        <f t="shared" si="3"/>
        <v>4.0057459641824236E-2</v>
      </c>
      <c r="DW13" s="14">
        <f t="shared" si="3"/>
        <v>2.7606425431562955E-4</v>
      </c>
      <c r="DX13" s="14">
        <f t="shared" si="3"/>
        <v>1.4350395298466696E-2</v>
      </c>
      <c r="DY13" s="14">
        <f t="shared" si="3"/>
        <v>3.7640568740321904E-3</v>
      </c>
      <c r="DZ13" s="14">
        <f t="shared" si="3"/>
        <v>5.8002048958040028E-3</v>
      </c>
      <c r="EA13" s="14">
        <f t="shared" ref="EA13:EF13" si="4">(EA3-EA9)^2</f>
        <v>2.2350496374943424E-2</v>
      </c>
      <c r="EB13" s="14">
        <f t="shared" si="4"/>
        <v>1.4715038663002206E-5</v>
      </c>
      <c r="EC13" s="14">
        <f t="shared" si="4"/>
        <v>1.654914050934347E-3</v>
      </c>
      <c r="ED13" s="14">
        <f t="shared" si="4"/>
        <v>5.9337406321887114E-4</v>
      </c>
      <c r="EE13" s="14">
        <f t="shared" si="4"/>
        <v>2.6357430007902895E-2</v>
      </c>
      <c r="EF13" s="14">
        <f t="shared" si="4"/>
        <v>2.1679643447477401E-2</v>
      </c>
    </row>
    <row r="14" spans="1:136">
      <c r="B14" t="s">
        <v>136</v>
      </c>
      <c r="C14" s="14">
        <f t="shared" ref="C14:AH14" si="5">(C4-C10)^2</f>
        <v>2.9886515436615312E-2</v>
      </c>
      <c r="D14" s="14">
        <f t="shared" si="5"/>
        <v>3.9992705179627983E-2</v>
      </c>
      <c r="E14" s="14">
        <f t="shared" si="5"/>
        <v>9.8740875206361045E-5</v>
      </c>
      <c r="F14" s="14">
        <f t="shared" si="5"/>
        <v>9.4782242563611341E-3</v>
      </c>
      <c r="G14" s="14">
        <f t="shared" si="5"/>
        <v>6.2657799990910876E-4</v>
      </c>
      <c r="H14" s="14">
        <f t="shared" si="5"/>
        <v>6.7850311054963618E-4</v>
      </c>
      <c r="I14" s="14">
        <f t="shared" si="5"/>
        <v>3.8674492737334359E-3</v>
      </c>
      <c r="J14" s="14">
        <f t="shared" si="5"/>
        <v>2.3546316743151798E-2</v>
      </c>
      <c r="K14" s="14">
        <f t="shared" si="5"/>
        <v>1.6423923921744894E-3</v>
      </c>
      <c r="L14" s="14">
        <f t="shared" si="5"/>
        <v>2.6607592416453833E-2</v>
      </c>
      <c r="M14" s="14">
        <f t="shared" si="5"/>
        <v>5.1334482759532894E-3</v>
      </c>
      <c r="N14" s="14">
        <f t="shared" si="5"/>
        <v>1.8908024383265915E-2</v>
      </c>
      <c r="O14" s="14">
        <f t="shared" si="5"/>
        <v>1.4368763834130183E-3</v>
      </c>
      <c r="P14" s="14">
        <f t="shared" si="5"/>
        <v>2.1241505853139577E-2</v>
      </c>
      <c r="Q14" s="14">
        <f t="shared" si="5"/>
        <v>1.1905314672867775E-5</v>
      </c>
      <c r="R14" s="14">
        <f t="shared" si="5"/>
        <v>9.2682955973419842E-3</v>
      </c>
      <c r="S14" s="14">
        <f t="shared" si="5"/>
        <v>3.0913656638899823E-2</v>
      </c>
      <c r="T14" s="14">
        <f t="shared" si="5"/>
        <v>1.3908966303272059E-2</v>
      </c>
      <c r="U14" s="14">
        <f t="shared" si="5"/>
        <v>8.0269935378403552E-3</v>
      </c>
      <c r="V14" s="14">
        <f t="shared" si="5"/>
        <v>6.5670869738886318E-3</v>
      </c>
      <c r="W14" s="14">
        <f t="shared" si="5"/>
        <v>4.7391435254804928E-3</v>
      </c>
      <c r="X14" s="14">
        <f t="shared" si="5"/>
        <v>1.0877173533717195E-4</v>
      </c>
      <c r="Y14" s="14">
        <f t="shared" si="5"/>
        <v>3.0999659690332721E-3</v>
      </c>
      <c r="Z14" s="14">
        <f t="shared" si="5"/>
        <v>2.9232388294600196E-3</v>
      </c>
      <c r="AA14" s="14">
        <f t="shared" si="5"/>
        <v>1.1614605959455538E-2</v>
      </c>
      <c r="AB14" s="14">
        <f t="shared" si="5"/>
        <v>3.0573505865524597E-3</v>
      </c>
      <c r="AC14" s="14">
        <f t="shared" si="5"/>
        <v>1.3420532354136084E-4</v>
      </c>
      <c r="AD14" s="14">
        <f t="shared" si="5"/>
        <v>8.2479613485968373E-5</v>
      </c>
      <c r="AE14" s="14">
        <f t="shared" si="5"/>
        <v>4.5244365764562526E-2</v>
      </c>
      <c r="AF14" s="14">
        <f t="shared" si="5"/>
        <v>6.6855226036092725E-4</v>
      </c>
      <c r="AG14" s="14">
        <f t="shared" si="5"/>
        <v>1.3500076134598216E-3</v>
      </c>
      <c r="AH14" s="14">
        <f t="shared" si="5"/>
        <v>8.3359256248120535E-4</v>
      </c>
      <c r="AI14" s="14">
        <f t="shared" ref="AI14:BN14" si="6">(AI4-AI10)^2</f>
        <v>5.6062141981101535E-4</v>
      </c>
      <c r="AJ14" s="14">
        <f t="shared" si="6"/>
        <v>5.1109773807376593E-3</v>
      </c>
      <c r="AK14" s="14">
        <f t="shared" si="6"/>
        <v>5.655201002563847E-3</v>
      </c>
      <c r="AL14" s="14">
        <f t="shared" si="6"/>
        <v>1.0071237259732743E-3</v>
      </c>
      <c r="AM14" s="14">
        <f t="shared" si="6"/>
        <v>3.7194833669828625E-3</v>
      </c>
      <c r="AN14" s="14">
        <f t="shared" si="6"/>
        <v>2.2328617684630645E-3</v>
      </c>
      <c r="AO14" s="14">
        <f t="shared" si="6"/>
        <v>6.823523495751349E-4</v>
      </c>
      <c r="AP14" s="14">
        <f t="shared" si="6"/>
        <v>5.3010617220657225E-3</v>
      </c>
      <c r="AQ14" s="14">
        <f t="shared" si="6"/>
        <v>1.0770086177672786E-2</v>
      </c>
      <c r="AR14" s="14">
        <f t="shared" si="6"/>
        <v>1.6217339341252412E-2</v>
      </c>
      <c r="AS14" s="14">
        <f t="shared" si="6"/>
        <v>3.8215000293276252E-3</v>
      </c>
      <c r="AT14" s="14">
        <f t="shared" si="6"/>
        <v>5.267915353350981E-3</v>
      </c>
      <c r="AU14" s="14">
        <f t="shared" si="6"/>
        <v>6.5081072868518556E-3</v>
      </c>
      <c r="AV14" s="14">
        <f t="shared" si="6"/>
        <v>7.6375932617964108E-3</v>
      </c>
      <c r="AW14" s="14">
        <f t="shared" si="6"/>
        <v>3.9399748889608734E-3</v>
      </c>
      <c r="AX14" s="14">
        <f t="shared" si="6"/>
        <v>4.9642944507320812E-3</v>
      </c>
      <c r="AY14" s="14">
        <f t="shared" si="6"/>
        <v>1.0818581951562031E-2</v>
      </c>
      <c r="AZ14" s="14">
        <f t="shared" si="6"/>
        <v>3.5302563313382505E-3</v>
      </c>
      <c r="BA14" s="14">
        <f t="shared" si="6"/>
        <v>3.8937585976100823E-3</v>
      </c>
      <c r="BB14" s="14">
        <f t="shared" si="6"/>
        <v>5.8470799573516969E-3</v>
      </c>
      <c r="BC14" s="14">
        <f t="shared" si="6"/>
        <v>9.9657627558736289E-3</v>
      </c>
      <c r="BD14" s="14">
        <f t="shared" si="6"/>
        <v>2.0151449336276044E-3</v>
      </c>
      <c r="BE14" s="14">
        <f t="shared" si="6"/>
        <v>4.4298963935385016E-2</v>
      </c>
      <c r="BF14" s="14">
        <f t="shared" si="6"/>
        <v>1.4835898354517681E-2</v>
      </c>
      <c r="BG14" s="14">
        <f t="shared" si="6"/>
        <v>2.3679412866630103E-3</v>
      </c>
      <c r="BH14" s="14">
        <f t="shared" si="6"/>
        <v>1.4033793826224158E-2</v>
      </c>
      <c r="BI14" s="14">
        <f t="shared" si="6"/>
        <v>4.4626234358180014E-5</v>
      </c>
      <c r="BJ14" s="14">
        <f t="shared" si="6"/>
        <v>6.7025485315107952E-4</v>
      </c>
      <c r="BK14" s="14">
        <f t="shared" si="6"/>
        <v>2.7291575230854528E-2</v>
      </c>
      <c r="BL14" s="14">
        <f t="shared" si="6"/>
        <v>1.9195861712888163E-3</v>
      </c>
      <c r="BM14" s="14">
        <f t="shared" si="6"/>
        <v>1.7829119910013621E-2</v>
      </c>
      <c r="BN14" s="14">
        <f t="shared" si="6"/>
        <v>2.4353843474862493E-2</v>
      </c>
      <c r="BO14" s="14">
        <f t="shared" ref="BO14:CT14" si="7">(BO4-BO10)^2</f>
        <v>4.4883466398747268E-3</v>
      </c>
      <c r="BP14" s="14">
        <f t="shared" si="7"/>
        <v>3.292280018556476E-2</v>
      </c>
      <c r="BQ14" s="14">
        <f t="shared" si="7"/>
        <v>2.2614970282137103E-3</v>
      </c>
      <c r="BR14" s="14">
        <f t="shared" si="7"/>
        <v>4.1129958229672891E-4</v>
      </c>
      <c r="BS14" s="14">
        <f t="shared" si="7"/>
        <v>4.2019738570351123E-5</v>
      </c>
      <c r="BT14" s="14">
        <f t="shared" si="7"/>
        <v>3.0041127128981934E-2</v>
      </c>
      <c r="BU14" s="14">
        <f t="shared" si="7"/>
        <v>4.1253705896499404E-2</v>
      </c>
      <c r="BV14" s="14">
        <f t="shared" si="7"/>
        <v>1.3623322866044535E-5</v>
      </c>
      <c r="BW14" s="14">
        <f t="shared" si="7"/>
        <v>1.9733301429490863E-3</v>
      </c>
      <c r="BX14" s="14">
        <f t="shared" si="7"/>
        <v>7.7403279191660935E-4</v>
      </c>
      <c r="BY14" s="14">
        <f t="shared" si="7"/>
        <v>3.1120447363591493E-2</v>
      </c>
      <c r="BZ14" s="14">
        <f t="shared" si="7"/>
        <v>2.4040837420231721E-3</v>
      </c>
      <c r="CA14" s="14">
        <f t="shared" si="7"/>
        <v>7.3792379806348889E-5</v>
      </c>
      <c r="CB14" s="14">
        <f t="shared" si="7"/>
        <v>6.9082873393089585E-3</v>
      </c>
      <c r="CC14" s="14">
        <f t="shared" si="7"/>
        <v>1.3388055563518319E-5</v>
      </c>
      <c r="CD14" s="14">
        <f t="shared" si="7"/>
        <v>6.9897751772898225E-7</v>
      </c>
      <c r="CE14" s="14">
        <f t="shared" si="7"/>
        <v>2.6268282651446768E-2</v>
      </c>
      <c r="CF14" s="14">
        <f t="shared" si="7"/>
        <v>1.1521713984182355E-2</v>
      </c>
      <c r="CG14" s="14">
        <f t="shared" si="7"/>
        <v>7.7677122164278708E-3</v>
      </c>
      <c r="CH14" s="14">
        <f t="shared" si="7"/>
        <v>5.1717492489261295E-3</v>
      </c>
      <c r="CI14" s="14">
        <f t="shared" si="7"/>
        <v>1.5039892833540468E-2</v>
      </c>
      <c r="CJ14" s="14">
        <f t="shared" si="7"/>
        <v>5.1064632316272559E-3</v>
      </c>
      <c r="CK14" s="14">
        <f t="shared" si="7"/>
        <v>9.9331013549666063E-7</v>
      </c>
      <c r="CL14" s="14">
        <f t="shared" si="7"/>
        <v>9.1895587795109838E-4</v>
      </c>
      <c r="CM14" s="14">
        <f t="shared" si="7"/>
        <v>6.4363752964462631E-2</v>
      </c>
      <c r="CN14" s="14">
        <f t="shared" si="7"/>
        <v>1.76108312968709E-2</v>
      </c>
      <c r="CO14" s="14">
        <f t="shared" si="7"/>
        <v>4.1833276097438627E-3</v>
      </c>
      <c r="CP14" s="14">
        <f t="shared" si="7"/>
        <v>1.9439668425891871E-2</v>
      </c>
      <c r="CQ14" s="14">
        <f t="shared" si="7"/>
        <v>1.1337212663841339E-2</v>
      </c>
      <c r="CR14" s="14">
        <f t="shared" si="7"/>
        <v>1.9382184537035957E-4</v>
      </c>
      <c r="CS14" s="14">
        <f t="shared" si="7"/>
        <v>2.4393490042821666E-3</v>
      </c>
      <c r="CT14" s="14">
        <f t="shared" si="7"/>
        <v>1.4720676020365895E-3</v>
      </c>
      <c r="CU14" s="14">
        <f t="shared" ref="CU14:DZ14" si="8">(CU4-CU10)^2</f>
        <v>6.8570817569158452E-3</v>
      </c>
      <c r="CV14" s="14">
        <f t="shared" si="8"/>
        <v>8.7091874617229868E-4</v>
      </c>
      <c r="CW14" s="14">
        <f t="shared" si="8"/>
        <v>2.4870284879551478E-4</v>
      </c>
      <c r="CX14" s="14">
        <f t="shared" si="8"/>
        <v>1.0901064923562209E-3</v>
      </c>
      <c r="CY14" s="14">
        <f t="shared" si="8"/>
        <v>4.7488945953113519E-4</v>
      </c>
      <c r="CZ14" s="14">
        <f t="shared" si="8"/>
        <v>1.8398970391129765E-2</v>
      </c>
      <c r="DA14" s="14">
        <f t="shared" si="8"/>
        <v>1.2425340504617292E-3</v>
      </c>
      <c r="DB14" s="14">
        <f t="shared" si="8"/>
        <v>1.3481283795479594E-2</v>
      </c>
      <c r="DC14" s="14">
        <f t="shared" si="8"/>
        <v>2.9143012450473481E-3</v>
      </c>
      <c r="DD14" s="14">
        <f t="shared" si="8"/>
        <v>2.6160033414401082E-2</v>
      </c>
      <c r="DE14" s="14">
        <f t="shared" si="8"/>
        <v>2.4566215644839021E-2</v>
      </c>
      <c r="DF14" s="14">
        <f t="shared" si="8"/>
        <v>8.4944100618500468E-3</v>
      </c>
      <c r="DG14" s="14">
        <f t="shared" si="8"/>
        <v>8.8297900657205622E-2</v>
      </c>
      <c r="DH14" s="14">
        <f t="shared" si="8"/>
        <v>4.842239974354387E-3</v>
      </c>
      <c r="DI14" s="14">
        <f t="shared" si="8"/>
        <v>2.0167654089608025E-3</v>
      </c>
      <c r="DJ14" s="14">
        <f t="shared" si="8"/>
        <v>7.225990785505648E-4</v>
      </c>
      <c r="DK14" s="14">
        <f t="shared" si="8"/>
        <v>2.8078565314604467E-2</v>
      </c>
      <c r="DL14" s="14">
        <f t="shared" si="8"/>
        <v>1.0291938205792871E-3</v>
      </c>
      <c r="DM14" s="14">
        <f t="shared" si="8"/>
        <v>2.4788491525885397E-2</v>
      </c>
      <c r="DN14" s="14">
        <f t="shared" si="8"/>
        <v>1.9063779663189505E-3</v>
      </c>
      <c r="DO14" s="14">
        <f t="shared" si="8"/>
        <v>5.4898596818819259E-4</v>
      </c>
      <c r="DP14" s="14">
        <f t="shared" si="8"/>
        <v>3.1222771859393292E-3</v>
      </c>
      <c r="DQ14" s="14">
        <f t="shared" si="8"/>
        <v>1.5219480630104355E-2</v>
      </c>
      <c r="DR14" s="14">
        <f t="shared" si="8"/>
        <v>1.2573854280321221E-3</v>
      </c>
      <c r="DS14" s="14">
        <f t="shared" si="8"/>
        <v>7.4509108043563548E-3</v>
      </c>
      <c r="DT14" s="14">
        <f t="shared" si="8"/>
        <v>1.7409135259546604E-5</v>
      </c>
      <c r="DU14" s="14">
        <f t="shared" si="8"/>
        <v>5.7020042980005584E-2</v>
      </c>
      <c r="DV14" s="14">
        <f t="shared" si="8"/>
        <v>6.7596009588219924E-3</v>
      </c>
      <c r="DW14" s="14">
        <f t="shared" si="8"/>
        <v>7.2542469235389515E-4</v>
      </c>
      <c r="DX14" s="14">
        <f t="shared" si="8"/>
        <v>3.4861551703351613E-4</v>
      </c>
      <c r="DY14" s="14">
        <f t="shared" si="8"/>
        <v>1.0204893341100535E-3</v>
      </c>
      <c r="DZ14" s="14">
        <f t="shared" si="8"/>
        <v>3.0525242561948226E-5</v>
      </c>
      <c r="EA14" s="14">
        <f t="shared" ref="EA14:EF14" si="9">(EA4-EA10)^2</f>
        <v>2.6498935581597606E-3</v>
      </c>
      <c r="EB14" s="14">
        <f t="shared" si="9"/>
        <v>9.948910561190916E-5</v>
      </c>
      <c r="EC14" s="14">
        <f t="shared" si="9"/>
        <v>1.5910697751381358E-2</v>
      </c>
      <c r="ED14" s="14">
        <f t="shared" si="9"/>
        <v>1.1926446091174775E-2</v>
      </c>
      <c r="EE14" s="14">
        <f t="shared" si="9"/>
        <v>5.4004712043121919E-2</v>
      </c>
      <c r="EF14" s="14">
        <f t="shared" si="9"/>
        <v>2.7529409835104915E-3</v>
      </c>
    </row>
    <row r="15" spans="1:136">
      <c r="B15" t="s">
        <v>137</v>
      </c>
      <c r="C15" s="14">
        <f t="shared" ref="C15:AH15" si="10">(C5-C11)^2</f>
        <v>4.1888824978489385E-4</v>
      </c>
      <c r="D15" s="14">
        <f t="shared" si="10"/>
        <v>1.4421263050338941E-2</v>
      </c>
      <c r="E15" s="14">
        <f t="shared" si="10"/>
        <v>3.2443582441837489E-3</v>
      </c>
      <c r="F15" s="14">
        <f t="shared" si="10"/>
        <v>1.6837173784799099E-4</v>
      </c>
      <c r="G15" s="14">
        <f t="shared" si="10"/>
        <v>3.1495885097550816E-2</v>
      </c>
      <c r="H15" s="14">
        <f t="shared" si="10"/>
        <v>5.9633782354691798E-3</v>
      </c>
      <c r="I15" s="14">
        <f t="shared" si="10"/>
        <v>3.1818611570026039E-3</v>
      </c>
      <c r="J15" s="14">
        <f t="shared" si="10"/>
        <v>9.3745124651508725E-3</v>
      </c>
      <c r="K15" s="14">
        <f t="shared" si="10"/>
        <v>2.3094755260566584E-2</v>
      </c>
      <c r="L15" s="14">
        <f t="shared" si="10"/>
        <v>7.0653471353400929E-3</v>
      </c>
      <c r="M15" s="14">
        <f t="shared" si="10"/>
        <v>1.6464411279988003E-2</v>
      </c>
      <c r="N15" s="14">
        <f t="shared" si="10"/>
        <v>4.670606558015867E-5</v>
      </c>
      <c r="O15" s="14">
        <f t="shared" si="10"/>
        <v>1.9499728243625218E-2</v>
      </c>
      <c r="P15" s="14">
        <f t="shared" si="10"/>
        <v>6.3349219067849729E-3</v>
      </c>
      <c r="Q15" s="14">
        <f t="shared" si="10"/>
        <v>8.8189677352177934E-3</v>
      </c>
      <c r="R15" s="14">
        <f t="shared" si="10"/>
        <v>4.7950350585155505E-3</v>
      </c>
      <c r="S15" s="14">
        <f t="shared" si="10"/>
        <v>1.2379456956419024E-2</v>
      </c>
      <c r="T15" s="14">
        <f t="shared" si="10"/>
        <v>4.1573827392849629E-2</v>
      </c>
      <c r="U15" s="14">
        <f t="shared" si="10"/>
        <v>7.8152581212359226E-3</v>
      </c>
      <c r="V15" s="14">
        <f t="shared" si="10"/>
        <v>8.1012227571685014E-3</v>
      </c>
      <c r="W15" s="14">
        <f t="shared" si="10"/>
        <v>8.9845135902396494E-4</v>
      </c>
      <c r="X15" s="14">
        <f t="shared" si="10"/>
        <v>4.8020809870374374E-2</v>
      </c>
      <c r="Y15" s="14">
        <f t="shared" si="10"/>
        <v>1.7935644721797251E-2</v>
      </c>
      <c r="Z15" s="14">
        <f t="shared" si="10"/>
        <v>1.2152145802921149E-2</v>
      </c>
      <c r="AA15" s="14">
        <f t="shared" si="10"/>
        <v>2.9914808648670237E-2</v>
      </c>
      <c r="AB15" s="14">
        <f t="shared" si="10"/>
        <v>5.4840245119443781E-3</v>
      </c>
      <c r="AC15" s="14">
        <f t="shared" si="10"/>
        <v>8.3952598222325405E-4</v>
      </c>
      <c r="AD15" s="14">
        <f t="shared" si="10"/>
        <v>6.1241008754989905E-3</v>
      </c>
      <c r="AE15" s="14">
        <f t="shared" si="10"/>
        <v>6.265661182082706E-2</v>
      </c>
      <c r="AF15" s="14">
        <f t="shared" si="10"/>
        <v>6.4515530313737175E-3</v>
      </c>
      <c r="AG15" s="14">
        <f t="shared" si="10"/>
        <v>2.3409065283545678E-3</v>
      </c>
      <c r="AH15" s="14">
        <f t="shared" si="10"/>
        <v>4.859864827287879E-3</v>
      </c>
      <c r="AI15" s="14">
        <f t="shared" ref="AI15:BN15" si="11">(AI5-AI11)^2</f>
        <v>1.0563575359751692E-2</v>
      </c>
      <c r="AJ15" s="14">
        <f t="shared" si="11"/>
        <v>2.738151239664944E-3</v>
      </c>
      <c r="AK15" s="14">
        <f t="shared" si="11"/>
        <v>7.6677572524252882E-4</v>
      </c>
      <c r="AL15" s="14">
        <f t="shared" si="11"/>
        <v>7.2092094764306548E-4</v>
      </c>
      <c r="AM15" s="14">
        <f t="shared" si="11"/>
        <v>9.650447184135838E-3</v>
      </c>
      <c r="AN15" s="14">
        <f t="shared" si="11"/>
        <v>1.6189195895479392E-2</v>
      </c>
      <c r="AO15" s="14">
        <f t="shared" si="11"/>
        <v>1.7746085568841715E-2</v>
      </c>
      <c r="AP15" s="14">
        <f t="shared" si="11"/>
        <v>1.1698346987240676E-2</v>
      </c>
      <c r="AQ15" s="14">
        <f t="shared" si="11"/>
        <v>7.9231194719439416E-3</v>
      </c>
      <c r="AR15" s="14">
        <f t="shared" si="11"/>
        <v>1.2235708229999359E-2</v>
      </c>
      <c r="AS15" s="14">
        <f t="shared" si="11"/>
        <v>1.3108836234800001E-2</v>
      </c>
      <c r="AT15" s="14">
        <f t="shared" si="11"/>
        <v>4.9803838626448764E-2</v>
      </c>
      <c r="AU15" s="14">
        <f t="shared" si="11"/>
        <v>1.1508544684468954E-3</v>
      </c>
      <c r="AV15" s="14">
        <f t="shared" si="11"/>
        <v>4.5655080445996761E-2</v>
      </c>
      <c r="AW15" s="14">
        <f t="shared" si="11"/>
        <v>1.8110383334171046E-2</v>
      </c>
      <c r="AX15" s="14">
        <f t="shared" si="11"/>
        <v>5.6367469399855492E-3</v>
      </c>
      <c r="AY15" s="14">
        <f t="shared" si="11"/>
        <v>1.8579705204955374E-2</v>
      </c>
      <c r="AZ15" s="14">
        <f t="shared" si="11"/>
        <v>1.6286326894248982E-4</v>
      </c>
      <c r="BA15" s="14">
        <f t="shared" si="11"/>
        <v>5.2305116806564819E-3</v>
      </c>
      <c r="BB15" s="14">
        <f t="shared" si="11"/>
        <v>5.4995209785212136E-3</v>
      </c>
      <c r="BC15" s="14">
        <f t="shared" si="11"/>
        <v>1.824175974622565E-2</v>
      </c>
      <c r="BD15" s="14">
        <f t="shared" si="11"/>
        <v>3.6030952660955893E-3</v>
      </c>
      <c r="BE15" s="14">
        <f t="shared" si="11"/>
        <v>5.1557797763432025E-3</v>
      </c>
      <c r="BF15" s="14">
        <f t="shared" si="11"/>
        <v>1.7969699479997058E-2</v>
      </c>
      <c r="BG15" s="14">
        <f t="shared" si="11"/>
        <v>1.6060927558034541E-2</v>
      </c>
      <c r="BH15" s="14">
        <f t="shared" si="11"/>
        <v>1.8782148238935855E-3</v>
      </c>
      <c r="BI15" s="14">
        <f t="shared" si="11"/>
        <v>5.3593878535493006E-6</v>
      </c>
      <c r="BJ15" s="14">
        <f t="shared" si="11"/>
        <v>1.4815743138996851E-3</v>
      </c>
      <c r="BK15" s="14">
        <f t="shared" si="11"/>
        <v>3.1141167927926619E-3</v>
      </c>
      <c r="BL15" s="14">
        <f t="shared" si="11"/>
        <v>9.3207626029729526E-3</v>
      </c>
      <c r="BM15" s="14">
        <f t="shared" si="11"/>
        <v>4.3109817424133459E-2</v>
      </c>
      <c r="BN15" s="14">
        <f t="shared" si="11"/>
        <v>1.5057379437221621E-3</v>
      </c>
      <c r="BO15" s="14">
        <f t="shared" ref="BO15:CT15" si="12">(BO5-BO11)^2</f>
        <v>9.2267664913156366E-3</v>
      </c>
      <c r="BP15" s="14">
        <f t="shared" si="12"/>
        <v>1.5462018182778571E-2</v>
      </c>
      <c r="BQ15" s="14">
        <f t="shared" si="12"/>
        <v>3.3062873153991857E-3</v>
      </c>
      <c r="BR15" s="14">
        <f t="shared" si="12"/>
        <v>6.9980768245200775E-2</v>
      </c>
      <c r="BS15" s="14">
        <f t="shared" si="12"/>
        <v>5.241121812576149E-4</v>
      </c>
      <c r="BT15" s="14">
        <f t="shared" si="12"/>
        <v>1.2665923480983473E-2</v>
      </c>
      <c r="BU15" s="14">
        <f t="shared" si="12"/>
        <v>1.7087678166205086E-2</v>
      </c>
      <c r="BV15" s="14">
        <f t="shared" si="12"/>
        <v>1.7661422640133505E-3</v>
      </c>
      <c r="BW15" s="14">
        <f t="shared" si="12"/>
        <v>4.4370849179834046E-3</v>
      </c>
      <c r="BX15" s="14">
        <f t="shared" si="12"/>
        <v>5.0886130330733814E-3</v>
      </c>
      <c r="BY15" s="14">
        <f t="shared" si="12"/>
        <v>4.2044518925877829E-2</v>
      </c>
      <c r="BZ15" s="14">
        <f t="shared" si="12"/>
        <v>1.1322933163331068E-2</v>
      </c>
      <c r="CA15" s="14">
        <f t="shared" si="12"/>
        <v>1.3286384089789287E-2</v>
      </c>
      <c r="CB15" s="14">
        <f t="shared" si="12"/>
        <v>1.0676039686134406E-3</v>
      </c>
      <c r="CC15" s="14">
        <f t="shared" si="12"/>
        <v>1.5556391551672122E-2</v>
      </c>
      <c r="CD15" s="14">
        <f t="shared" si="12"/>
        <v>3.9128297503074607E-5</v>
      </c>
      <c r="CE15" s="14">
        <f t="shared" si="12"/>
        <v>3.7461122308542654E-5</v>
      </c>
      <c r="CF15" s="14">
        <f t="shared" si="12"/>
        <v>5.2944876557789481E-3</v>
      </c>
      <c r="CG15" s="14">
        <f t="shared" si="12"/>
        <v>1.8920291053213937E-3</v>
      </c>
      <c r="CH15" s="14">
        <f t="shared" si="12"/>
        <v>1.4433658446206859E-3</v>
      </c>
      <c r="CI15" s="14">
        <f t="shared" si="12"/>
        <v>7.4325989879060818E-5</v>
      </c>
      <c r="CJ15" s="14">
        <f t="shared" si="12"/>
        <v>9.3259636599520343E-2</v>
      </c>
      <c r="CK15" s="14">
        <f t="shared" si="12"/>
        <v>4.3052126448702703E-2</v>
      </c>
      <c r="CL15" s="14">
        <f t="shared" si="12"/>
        <v>4.6655507464662072E-2</v>
      </c>
      <c r="CM15" s="14">
        <f t="shared" si="12"/>
        <v>1.442316817949812E-3</v>
      </c>
      <c r="CN15" s="14">
        <f t="shared" si="12"/>
        <v>8.8923298765880843E-2</v>
      </c>
      <c r="CO15" s="14">
        <f t="shared" si="12"/>
        <v>8.8254320144913944E-4</v>
      </c>
      <c r="CP15" s="14">
        <f t="shared" si="12"/>
        <v>3.6340782386527393E-3</v>
      </c>
      <c r="CQ15" s="14">
        <f t="shared" si="12"/>
        <v>1.7562036054539421E-2</v>
      </c>
      <c r="CR15" s="14">
        <f t="shared" si="12"/>
        <v>3.6183026376758738E-3</v>
      </c>
      <c r="CS15" s="14">
        <f t="shared" si="12"/>
        <v>2.1820985596792786E-2</v>
      </c>
      <c r="CT15" s="14">
        <f t="shared" si="12"/>
        <v>1.9796415084746026E-3</v>
      </c>
      <c r="CU15" s="14">
        <f t="shared" ref="CU15:DZ15" si="13">(CU5-CU11)^2</f>
        <v>4.5019348146773996E-2</v>
      </c>
      <c r="CV15" s="14">
        <f t="shared" si="13"/>
        <v>9.3294863676350454E-2</v>
      </c>
      <c r="CW15" s="14">
        <f t="shared" si="13"/>
        <v>2.7485408752056618E-2</v>
      </c>
      <c r="CX15" s="14">
        <f t="shared" si="13"/>
        <v>2.2823733511038095E-3</v>
      </c>
      <c r="CY15" s="14">
        <f t="shared" si="13"/>
        <v>2.3437609394282806E-2</v>
      </c>
      <c r="CZ15" s="14">
        <f t="shared" si="13"/>
        <v>8.2722027737592619E-4</v>
      </c>
      <c r="DA15" s="14">
        <f t="shared" si="13"/>
        <v>2.4769001203599501E-2</v>
      </c>
      <c r="DB15" s="14">
        <f t="shared" si="13"/>
        <v>5.0203247025406066E-2</v>
      </c>
      <c r="DC15" s="14">
        <f t="shared" si="13"/>
        <v>7.2430072723521756E-4</v>
      </c>
      <c r="DD15" s="14">
        <f t="shared" si="13"/>
        <v>8.064384751687477E-3</v>
      </c>
      <c r="DE15" s="14">
        <f t="shared" si="13"/>
        <v>1.2857109986383188E-3</v>
      </c>
      <c r="DF15" s="14">
        <f t="shared" si="13"/>
        <v>1.7457916227339856E-2</v>
      </c>
      <c r="DG15" s="14">
        <f t="shared" si="13"/>
        <v>1.9650060810154198E-2</v>
      </c>
      <c r="DH15" s="14">
        <f t="shared" si="13"/>
        <v>1.8963684939222791E-2</v>
      </c>
      <c r="DI15" s="14">
        <f t="shared" si="13"/>
        <v>2.0287059761071268E-2</v>
      </c>
      <c r="DJ15" s="14">
        <f t="shared" si="13"/>
        <v>3.7447520327069959E-2</v>
      </c>
      <c r="DK15" s="14">
        <f t="shared" si="13"/>
        <v>6.7230605660175405E-3</v>
      </c>
      <c r="DL15" s="14">
        <f t="shared" si="13"/>
        <v>2.132538588501701E-2</v>
      </c>
      <c r="DM15" s="14">
        <f t="shared" si="13"/>
        <v>9.1648918317772769E-3</v>
      </c>
      <c r="DN15" s="14">
        <f t="shared" si="13"/>
        <v>1.9632269517449643E-3</v>
      </c>
      <c r="DO15" s="14">
        <f t="shared" si="13"/>
        <v>4.9453379046266452E-4</v>
      </c>
      <c r="DP15" s="14">
        <f t="shared" si="13"/>
        <v>2.4325065906181869E-2</v>
      </c>
      <c r="DQ15" s="14">
        <f t="shared" si="13"/>
        <v>9.7903814908731415E-2</v>
      </c>
      <c r="DR15" s="14">
        <f t="shared" si="13"/>
        <v>6.1287629461106198E-3</v>
      </c>
      <c r="DS15" s="14">
        <f t="shared" si="13"/>
        <v>4.35419826713963E-2</v>
      </c>
      <c r="DT15" s="14">
        <f t="shared" si="13"/>
        <v>3.6030735440162033E-2</v>
      </c>
      <c r="DU15" s="14">
        <f t="shared" si="13"/>
        <v>3.1966339714346037E-2</v>
      </c>
      <c r="DV15" s="14">
        <f t="shared" si="13"/>
        <v>4.0402920913605041E-4</v>
      </c>
      <c r="DW15" s="14">
        <f t="shared" si="13"/>
        <v>1.7157279820755075E-3</v>
      </c>
      <c r="DX15" s="14">
        <f t="shared" si="13"/>
        <v>1.6849716454514805E-2</v>
      </c>
      <c r="DY15" s="14">
        <f t="shared" si="13"/>
        <v>2.0593775227644998E-2</v>
      </c>
      <c r="DZ15" s="14">
        <f t="shared" si="13"/>
        <v>7.9552688796462635E-3</v>
      </c>
      <c r="EA15" s="14">
        <f t="shared" ref="EA15:EF15" si="14">(EA5-EA11)^2</f>
        <v>4.7709480608358709E-2</v>
      </c>
      <c r="EB15" s="14">
        <f t="shared" si="14"/>
        <v>4.3908485834210989E-3</v>
      </c>
      <c r="EC15" s="14">
        <f t="shared" si="14"/>
        <v>3.9065224191542373E-3</v>
      </c>
      <c r="ED15" s="14">
        <f t="shared" si="14"/>
        <v>1.7656889363566058E-2</v>
      </c>
      <c r="EE15" s="14">
        <f t="shared" si="14"/>
        <v>4.8569013519932846E-3</v>
      </c>
      <c r="EF15" s="14">
        <f t="shared" si="14"/>
        <v>4.9717820932111548E-4</v>
      </c>
    </row>
    <row r="17" spans="1:136">
      <c r="A17" t="s">
        <v>205</v>
      </c>
      <c r="B17" t="s">
        <v>135</v>
      </c>
      <c r="C17" s="14">
        <f t="shared" ref="C17:AH17" si="15">C9^2</f>
        <v>1.1904082277860264E-2</v>
      </c>
      <c r="D17" s="14">
        <f t="shared" si="15"/>
        <v>2.1247676054046116E-4</v>
      </c>
      <c r="E17" s="14">
        <f t="shared" si="15"/>
        <v>1.3071374994951929E-3</v>
      </c>
      <c r="F17" s="14">
        <f t="shared" si="15"/>
        <v>2.2492264027630889E-5</v>
      </c>
      <c r="G17" s="14">
        <f t="shared" si="15"/>
        <v>3.3036666141783492E-5</v>
      </c>
      <c r="H17" s="14">
        <f t="shared" si="15"/>
        <v>2.4381891708842936E-3</v>
      </c>
      <c r="I17" s="14">
        <f t="shared" si="15"/>
        <v>3.3581210916677484E-2</v>
      </c>
      <c r="J17" s="14">
        <f t="shared" si="15"/>
        <v>1.3569060155122757E-2</v>
      </c>
      <c r="K17" s="14">
        <f t="shared" si="15"/>
        <v>9.3605069620112215E-4</v>
      </c>
      <c r="L17" s="14">
        <f t="shared" si="15"/>
        <v>3.9315162352171023E-4</v>
      </c>
      <c r="M17" s="14">
        <f t="shared" si="15"/>
        <v>4.4095826822239875E-4</v>
      </c>
      <c r="N17" s="14">
        <f t="shared" si="15"/>
        <v>2.2433876085478928E-2</v>
      </c>
      <c r="O17" s="14">
        <f t="shared" si="15"/>
        <v>2.3911693040638534E-4</v>
      </c>
      <c r="P17" s="14">
        <f t="shared" si="15"/>
        <v>8.4258302823047079E-3</v>
      </c>
      <c r="Q17" s="14">
        <f t="shared" si="15"/>
        <v>5.9921553092687051E-3</v>
      </c>
      <c r="R17" s="14">
        <f t="shared" si="15"/>
        <v>3.0004754709051702E-3</v>
      </c>
      <c r="S17" s="14">
        <f t="shared" si="15"/>
        <v>1.5708708491616E-2</v>
      </c>
      <c r="T17" s="14">
        <f t="shared" si="15"/>
        <v>1.4173716945580542E-2</v>
      </c>
      <c r="U17" s="14">
        <f t="shared" si="15"/>
        <v>1.4265767398050631E-3</v>
      </c>
      <c r="V17" s="14">
        <f t="shared" si="15"/>
        <v>6.5908131416074602E-3</v>
      </c>
      <c r="W17" s="14">
        <f t="shared" si="15"/>
        <v>7.0575066817627407E-3</v>
      </c>
      <c r="X17" s="14">
        <f t="shared" si="15"/>
        <v>2.1612338960948319E-2</v>
      </c>
      <c r="Y17" s="14">
        <f t="shared" si="15"/>
        <v>1.5715264241471783E-2</v>
      </c>
      <c r="Z17" s="14">
        <f t="shared" si="15"/>
        <v>3.6846166718653456E-2</v>
      </c>
      <c r="AA17" s="14">
        <f t="shared" si="15"/>
        <v>7.1184289266528374E-3</v>
      </c>
      <c r="AB17" s="14">
        <f t="shared" si="15"/>
        <v>5.3140620982757656E-3</v>
      </c>
      <c r="AC17" s="14">
        <f t="shared" si="15"/>
        <v>1.0527695785516851E-2</v>
      </c>
      <c r="AD17" s="14">
        <f t="shared" si="15"/>
        <v>2.4869817519127077E-4</v>
      </c>
      <c r="AE17" s="14">
        <f t="shared" si="15"/>
        <v>2.3106177330172069E-2</v>
      </c>
      <c r="AF17" s="14">
        <f t="shared" si="15"/>
        <v>3.5105923035905259E-3</v>
      </c>
      <c r="AG17" s="14">
        <f t="shared" si="15"/>
        <v>1.6915301264337771E-2</v>
      </c>
      <c r="AH17" s="14">
        <f t="shared" si="15"/>
        <v>1.328403665826966E-2</v>
      </c>
      <c r="AI17" s="14">
        <f t="shared" ref="AI17:BN17" si="16">AI9^2</f>
        <v>1.0631917918075163E-3</v>
      </c>
      <c r="AJ17" s="14">
        <f t="shared" si="16"/>
        <v>7.8395043318640434E-4</v>
      </c>
      <c r="AK17" s="14">
        <f t="shared" si="16"/>
        <v>2.1482887422166509E-2</v>
      </c>
      <c r="AL17" s="14">
        <f t="shared" si="16"/>
        <v>1.668062549107739E-3</v>
      </c>
      <c r="AM17" s="14">
        <f t="shared" si="16"/>
        <v>1.7259749824038686E-2</v>
      </c>
      <c r="AN17" s="14">
        <f t="shared" si="16"/>
        <v>4.9032555464976403E-2</v>
      </c>
      <c r="AO17" s="14">
        <f t="shared" si="16"/>
        <v>4.3852711121876225E-4</v>
      </c>
      <c r="AP17" s="14">
        <f t="shared" si="16"/>
        <v>1.8812851996102171E-2</v>
      </c>
      <c r="AQ17" s="14">
        <f t="shared" si="16"/>
        <v>6.1915646627000822E-4</v>
      </c>
      <c r="AR17" s="14">
        <f t="shared" si="16"/>
        <v>2.4068328718584233E-4</v>
      </c>
      <c r="AS17" s="14">
        <f t="shared" si="16"/>
        <v>1.1815056389704321E-3</v>
      </c>
      <c r="AT17" s="14">
        <f t="shared" si="16"/>
        <v>3.9810656089414309E-3</v>
      </c>
      <c r="AU17" s="14">
        <f t="shared" si="16"/>
        <v>1.8694983030806238E-3</v>
      </c>
      <c r="AV17" s="14">
        <f t="shared" si="16"/>
        <v>5.5101474414569638E-3</v>
      </c>
      <c r="AW17" s="14">
        <f t="shared" si="16"/>
        <v>7.8371035043392316E-4</v>
      </c>
      <c r="AX17" s="14">
        <f t="shared" si="16"/>
        <v>1.4367478657017244E-2</v>
      </c>
      <c r="AY17" s="14">
        <f t="shared" si="16"/>
        <v>5.8613679493322605E-3</v>
      </c>
      <c r="AZ17" s="14">
        <f t="shared" si="16"/>
        <v>4.7220968054589304E-4</v>
      </c>
      <c r="BA17" s="14">
        <f t="shared" si="16"/>
        <v>1.5536707046446584E-6</v>
      </c>
      <c r="BB17" s="14">
        <f t="shared" si="16"/>
        <v>1.0200156097581669E-2</v>
      </c>
      <c r="BC17" s="14">
        <f t="shared" si="16"/>
        <v>8.8964574469951819E-4</v>
      </c>
      <c r="BD17" s="14">
        <f t="shared" si="16"/>
        <v>7.5268956977767048E-5</v>
      </c>
      <c r="BE17" s="14">
        <f t="shared" si="16"/>
        <v>4.7000904970756216E-3</v>
      </c>
      <c r="BF17" s="14">
        <f t="shared" si="16"/>
        <v>2.4621562948682934E-2</v>
      </c>
      <c r="BG17" s="14">
        <f t="shared" si="16"/>
        <v>2.5345828645073384E-2</v>
      </c>
      <c r="BH17" s="14">
        <f t="shared" si="16"/>
        <v>3.7358582565093718E-3</v>
      </c>
      <c r="BI17" s="14">
        <f t="shared" si="16"/>
        <v>9.3921007423280172E-3</v>
      </c>
      <c r="BJ17" s="14">
        <f t="shared" si="16"/>
        <v>2.9971517217047563E-3</v>
      </c>
      <c r="BK17" s="14">
        <f t="shared" si="16"/>
        <v>7.6550185977651616E-3</v>
      </c>
      <c r="BL17" s="14">
        <f t="shared" si="16"/>
        <v>8.9164103340217925E-3</v>
      </c>
      <c r="BM17" s="14">
        <f t="shared" si="16"/>
        <v>4.9244308753160887E-4</v>
      </c>
      <c r="BN17" s="14">
        <f t="shared" si="16"/>
        <v>2.4425352677185161E-4</v>
      </c>
      <c r="BO17" s="14">
        <f t="shared" ref="BO17:CT17" si="17">BO9^2</f>
        <v>6.6289298211247571E-3</v>
      </c>
      <c r="BP17" s="14">
        <f t="shared" si="17"/>
        <v>3.4258094968395863E-4</v>
      </c>
      <c r="BQ17" s="14">
        <f t="shared" si="17"/>
        <v>4.7237535213055463E-3</v>
      </c>
      <c r="BR17" s="14">
        <f t="shared" si="17"/>
        <v>9.6246407867516525E-6</v>
      </c>
      <c r="BS17" s="14">
        <f t="shared" si="17"/>
        <v>5.6196639138378088E-3</v>
      </c>
      <c r="BT17" s="14">
        <f t="shared" si="17"/>
        <v>2.0431835304301382E-3</v>
      </c>
      <c r="BU17" s="14">
        <f t="shared" si="17"/>
        <v>6.5932524502488709E-4</v>
      </c>
      <c r="BV17" s="14">
        <f t="shared" si="17"/>
        <v>8.427980119369332E-3</v>
      </c>
      <c r="BW17" s="14">
        <f t="shared" si="17"/>
        <v>6.9453326513524774E-4</v>
      </c>
      <c r="BX17" s="14">
        <f t="shared" si="17"/>
        <v>3.7615951743202121E-4</v>
      </c>
      <c r="BY17" s="14">
        <f t="shared" si="17"/>
        <v>5.9042164483032638E-3</v>
      </c>
      <c r="BZ17" s="14">
        <f t="shared" si="17"/>
        <v>1.2839000623048005E-2</v>
      </c>
      <c r="CA17" s="14">
        <f t="shared" si="17"/>
        <v>1.1525082059920233E-2</v>
      </c>
      <c r="CB17" s="14">
        <f t="shared" si="17"/>
        <v>1.6682967477483388E-3</v>
      </c>
      <c r="CC17" s="14">
        <f t="shared" si="17"/>
        <v>3.9210767823715285E-4</v>
      </c>
      <c r="CD17" s="14">
        <f t="shared" si="17"/>
        <v>3.548592802252902E-2</v>
      </c>
      <c r="CE17" s="14">
        <f t="shared" si="17"/>
        <v>3.0885701458901937E-3</v>
      </c>
      <c r="CF17" s="14">
        <f t="shared" si="17"/>
        <v>5.6058275198580514E-3</v>
      </c>
      <c r="CG17" s="14">
        <f t="shared" si="17"/>
        <v>1.0000038380535725E-2</v>
      </c>
      <c r="CH17" s="14">
        <f t="shared" si="17"/>
        <v>1.850190885600296E-2</v>
      </c>
      <c r="CI17" s="14">
        <f t="shared" si="17"/>
        <v>8.7873778374468071E-3</v>
      </c>
      <c r="CJ17" s="14">
        <f t="shared" si="17"/>
        <v>1.5449609443997168E-5</v>
      </c>
      <c r="CK17" s="14">
        <f t="shared" si="17"/>
        <v>3.1931288133821255E-3</v>
      </c>
      <c r="CL17" s="14">
        <f t="shared" si="17"/>
        <v>6.9456377220562526E-2</v>
      </c>
      <c r="CM17" s="14">
        <f t="shared" si="17"/>
        <v>9.1306336429085243E-5</v>
      </c>
      <c r="CN17" s="14">
        <f t="shared" si="17"/>
        <v>9.9299981066329653E-4</v>
      </c>
      <c r="CO17" s="14">
        <f t="shared" si="17"/>
        <v>5.1162058729769763E-4</v>
      </c>
      <c r="CP17" s="14">
        <f t="shared" si="17"/>
        <v>1.7597510690797149E-2</v>
      </c>
      <c r="CQ17" s="14">
        <f t="shared" si="17"/>
        <v>1.7708364708443211E-2</v>
      </c>
      <c r="CR17" s="14">
        <f t="shared" si="17"/>
        <v>2.2369415134259262E-4</v>
      </c>
      <c r="CS17" s="14">
        <f t="shared" si="17"/>
        <v>1.1168922557625953E-3</v>
      </c>
      <c r="CT17" s="14">
        <f t="shared" si="17"/>
        <v>1.5082808365029206E-4</v>
      </c>
      <c r="CU17" s="14">
        <f t="shared" ref="CU17:DZ17" si="18">CU9^2</f>
        <v>1.3645740385844037E-2</v>
      </c>
      <c r="CV17" s="14">
        <f t="shared" si="18"/>
        <v>9.9789357659655527E-6</v>
      </c>
      <c r="CW17" s="14">
        <f t="shared" si="18"/>
        <v>1.4605970535097568E-3</v>
      </c>
      <c r="CX17" s="14">
        <f t="shared" si="18"/>
        <v>1.9369428669164728E-2</v>
      </c>
      <c r="CY17" s="14">
        <f t="shared" si="18"/>
        <v>5.6227258353762984E-4</v>
      </c>
      <c r="CZ17" s="14">
        <f t="shared" si="18"/>
        <v>4.7677993769128582E-2</v>
      </c>
      <c r="DA17" s="14">
        <f t="shared" si="18"/>
        <v>3.3602150955513014E-3</v>
      </c>
      <c r="DB17" s="14">
        <f t="shared" si="18"/>
        <v>1.9892898007428065E-4</v>
      </c>
      <c r="DC17" s="14">
        <f t="shared" si="18"/>
        <v>1.298598834966512E-2</v>
      </c>
      <c r="DD17" s="14">
        <f t="shared" si="18"/>
        <v>5.5461177913042319E-3</v>
      </c>
      <c r="DE17" s="14">
        <f t="shared" si="18"/>
        <v>8.0944705118043796E-7</v>
      </c>
      <c r="DF17" s="14">
        <f t="shared" si="18"/>
        <v>9.5466930982486662E-7</v>
      </c>
      <c r="DG17" s="14">
        <f t="shared" si="18"/>
        <v>5.3260942765597724E-3</v>
      </c>
      <c r="DH17" s="14">
        <f t="shared" si="18"/>
        <v>5.6859770483571833E-4</v>
      </c>
      <c r="DI17" s="14">
        <f t="shared" si="18"/>
        <v>1.0308477356134783E-2</v>
      </c>
      <c r="DJ17" s="14">
        <f t="shared" si="18"/>
        <v>7.6687657573272126E-4</v>
      </c>
      <c r="DK17" s="14">
        <f t="shared" si="18"/>
        <v>2.4339573117996964E-3</v>
      </c>
      <c r="DL17" s="14">
        <f t="shared" si="18"/>
        <v>3.248267667612629E-5</v>
      </c>
      <c r="DM17" s="14">
        <f t="shared" si="18"/>
        <v>1.3676505773505593E-3</v>
      </c>
      <c r="DN17" s="14">
        <f t="shared" si="18"/>
        <v>1.2058891959025398E-2</v>
      </c>
      <c r="DO17" s="14">
        <f t="shared" si="18"/>
        <v>1.7670946755159902E-3</v>
      </c>
      <c r="DP17" s="14">
        <f t="shared" si="18"/>
        <v>7.1515213376560464E-3</v>
      </c>
      <c r="DQ17" s="14">
        <f t="shared" si="18"/>
        <v>1.2161636684326392E-2</v>
      </c>
      <c r="DR17" s="14">
        <f t="shared" si="18"/>
        <v>8.8979053657027001E-3</v>
      </c>
      <c r="DS17" s="14">
        <f t="shared" si="18"/>
        <v>5.1706040810191528E-3</v>
      </c>
      <c r="DT17" s="14">
        <f t="shared" si="18"/>
        <v>9.2614503642733919E-3</v>
      </c>
      <c r="DU17" s="14">
        <f t="shared" si="18"/>
        <v>5.5016020342108963E-6</v>
      </c>
      <c r="DV17" s="14">
        <f t="shared" si="18"/>
        <v>1.7960669823662546E-2</v>
      </c>
      <c r="DW17" s="14">
        <f t="shared" si="18"/>
        <v>8.9742501777570517E-3</v>
      </c>
      <c r="DX17" s="14">
        <f t="shared" si="18"/>
        <v>1.0768876593012837E-2</v>
      </c>
      <c r="DY17" s="14">
        <f t="shared" si="18"/>
        <v>5.7399040046420165E-3</v>
      </c>
      <c r="DZ17" s="14">
        <f t="shared" si="18"/>
        <v>1.0131311029084758E-3</v>
      </c>
      <c r="EA17" s="14">
        <f t="shared" ref="EA17:EF17" si="19">EA9^2</f>
        <v>2.6020277100143683E-2</v>
      </c>
      <c r="EB17" s="14">
        <f t="shared" si="19"/>
        <v>1.0411208891300061E-4</v>
      </c>
      <c r="EC17" s="14">
        <f t="shared" si="19"/>
        <v>5.4742870589305657E-3</v>
      </c>
      <c r="ED17" s="14">
        <f t="shared" si="19"/>
        <v>2.4767480781445986E-2</v>
      </c>
      <c r="EE17" s="14">
        <f t="shared" si="19"/>
        <v>6.2627523737550815E-3</v>
      </c>
      <c r="EF17" s="14">
        <f t="shared" si="19"/>
        <v>5.2603901117786907E-3</v>
      </c>
    </row>
    <row r="18" spans="1:136">
      <c r="B18" t="s">
        <v>136</v>
      </c>
      <c r="C18" s="14">
        <f t="shared" ref="C18:AH18" si="20">C10^2</f>
        <v>6.1300169090364023E-2</v>
      </c>
      <c r="D18" s="14">
        <f t="shared" si="20"/>
        <v>7.5456410721795972E-2</v>
      </c>
      <c r="E18" s="14">
        <f t="shared" si="20"/>
        <v>7.1653491215006608E-3</v>
      </c>
      <c r="F18" s="14">
        <f t="shared" si="20"/>
        <v>5.1277932467457823E-4</v>
      </c>
      <c r="G18" s="14">
        <f t="shared" si="20"/>
        <v>2.4681024790687124E-3</v>
      </c>
      <c r="H18" s="14">
        <f t="shared" si="20"/>
        <v>1.0152503674850528E-2</v>
      </c>
      <c r="I18" s="14">
        <f t="shared" si="20"/>
        <v>1.568185506319921E-4</v>
      </c>
      <c r="J18" s="14">
        <f t="shared" si="20"/>
        <v>6.1994443791691554E-3</v>
      </c>
      <c r="K18" s="14">
        <f t="shared" si="20"/>
        <v>1.1686210786418709E-3</v>
      </c>
      <c r="L18" s="14">
        <f t="shared" si="20"/>
        <v>7.8157618954765237E-3</v>
      </c>
      <c r="M18" s="14">
        <f t="shared" si="20"/>
        <v>9.384753841255295E-6</v>
      </c>
      <c r="N18" s="14">
        <f t="shared" si="20"/>
        <v>4.5036476574086326E-2</v>
      </c>
      <c r="O18" s="14">
        <f t="shared" si="20"/>
        <v>1.3546366286925624E-3</v>
      </c>
      <c r="P18" s="14">
        <f t="shared" si="20"/>
        <v>5.0457039774389721E-3</v>
      </c>
      <c r="Q18" s="14">
        <f t="shared" si="20"/>
        <v>5.0781490762883581E-3</v>
      </c>
      <c r="R18" s="14">
        <f t="shared" si="20"/>
        <v>4.6485286217124193E-4</v>
      </c>
      <c r="S18" s="14">
        <f t="shared" si="20"/>
        <v>1.0223486509543127E-2</v>
      </c>
      <c r="T18" s="14">
        <f t="shared" si="20"/>
        <v>1.8683781301546628E-3</v>
      </c>
      <c r="U18" s="14">
        <f t="shared" si="20"/>
        <v>2.2147242359019667E-4</v>
      </c>
      <c r="V18" s="14">
        <f t="shared" si="20"/>
        <v>4.0018583491306699E-5</v>
      </c>
      <c r="W18" s="14">
        <f t="shared" si="20"/>
        <v>2.0607457624597373E-2</v>
      </c>
      <c r="X18" s="14">
        <f t="shared" si="20"/>
        <v>4.1321976387742217E-3</v>
      </c>
      <c r="Y18" s="14">
        <f t="shared" si="20"/>
        <v>3.6230087920246964E-4</v>
      </c>
      <c r="Z18" s="14">
        <f t="shared" si="20"/>
        <v>4.2619770257246479E-4</v>
      </c>
      <c r="AA18" s="14">
        <f t="shared" si="20"/>
        <v>1.0929332099957007E-3</v>
      </c>
      <c r="AB18" s="14">
        <f t="shared" si="20"/>
        <v>3.7706753115437583E-4</v>
      </c>
      <c r="AC18" s="14">
        <f t="shared" si="20"/>
        <v>3.9849977723438457E-3</v>
      </c>
      <c r="AD18" s="14">
        <f t="shared" si="20"/>
        <v>4.3072591163810263E-3</v>
      </c>
      <c r="AE18" s="14">
        <f t="shared" si="20"/>
        <v>1.9042810256226231E-2</v>
      </c>
      <c r="AF18" s="14">
        <f t="shared" si="20"/>
        <v>1.0113906222416341E-2</v>
      </c>
      <c r="AG18" s="14">
        <f t="shared" si="20"/>
        <v>1.4416518828127469E-3</v>
      </c>
      <c r="AH18" s="14">
        <f t="shared" si="20"/>
        <v>2.1012632264048744E-3</v>
      </c>
      <c r="AI18" s="14">
        <f t="shared" ref="AI18:BN18" si="21">AI10^2</f>
        <v>2.6044789051912999E-3</v>
      </c>
      <c r="AJ18" s="14">
        <f t="shared" si="21"/>
        <v>1.0371239511276646E-5</v>
      </c>
      <c r="AK18" s="14">
        <f t="shared" si="21"/>
        <v>2.3963921924093171E-7</v>
      </c>
      <c r="AL18" s="14">
        <f t="shared" si="21"/>
        <v>1.1330911354520039E-2</v>
      </c>
      <c r="AM18" s="14">
        <f t="shared" si="21"/>
        <v>1.883474509221127E-4</v>
      </c>
      <c r="AN18" s="14">
        <f t="shared" si="21"/>
        <v>1.4875389913204669E-2</v>
      </c>
      <c r="AO18" s="14">
        <f t="shared" si="21"/>
        <v>2.3609556394479764E-3</v>
      </c>
      <c r="AP18" s="14">
        <f t="shared" si="21"/>
        <v>3.6219815731516953E-6</v>
      </c>
      <c r="AQ18" s="14">
        <f t="shared" si="21"/>
        <v>8.4491867337224593E-4</v>
      </c>
      <c r="AR18" s="14">
        <f t="shared" si="21"/>
        <v>2.7705250060662671E-3</v>
      </c>
      <c r="AS18" s="14">
        <f t="shared" si="21"/>
        <v>1.6623611670017849E-4</v>
      </c>
      <c r="AT18" s="14">
        <f t="shared" si="21"/>
        <v>4.541735420018535E-6</v>
      </c>
      <c r="AU18" s="14">
        <f t="shared" si="21"/>
        <v>2.4144306160754265E-2</v>
      </c>
      <c r="AV18" s="14">
        <f t="shared" si="21"/>
        <v>1.6082764905029582E-4</v>
      </c>
      <c r="AW18" s="14">
        <f t="shared" si="21"/>
        <v>1.4261904564871037E-4</v>
      </c>
      <c r="AX18" s="14">
        <f t="shared" si="21"/>
        <v>1.8094742098652484E-5</v>
      </c>
      <c r="AY18" s="14">
        <f t="shared" si="21"/>
        <v>8.5854107590684829E-4</v>
      </c>
      <c r="AZ18" s="14">
        <f t="shared" si="21"/>
        <v>1.7990186561850662E-2</v>
      </c>
      <c r="BA18" s="14">
        <f t="shared" si="21"/>
        <v>1.8799571566061855E-2</v>
      </c>
      <c r="BB18" s="14">
        <f t="shared" si="21"/>
        <v>3.0788334943751427E-6</v>
      </c>
      <c r="BC18" s="14">
        <f t="shared" si="21"/>
        <v>6.3087002382422445E-4</v>
      </c>
      <c r="BD18" s="14">
        <f t="shared" si="21"/>
        <v>1.4304616064498009E-2</v>
      </c>
      <c r="BE18" s="14">
        <f t="shared" si="21"/>
        <v>1.8431225512955431E-2</v>
      </c>
      <c r="BF18" s="14">
        <f t="shared" si="21"/>
        <v>2.2175775080298639E-3</v>
      </c>
      <c r="BG18" s="14">
        <f t="shared" si="21"/>
        <v>6.7860478904543942E-4</v>
      </c>
      <c r="BH18" s="14">
        <f t="shared" si="21"/>
        <v>1.9143052038415641E-3</v>
      </c>
      <c r="BI18" s="14">
        <f t="shared" si="21"/>
        <v>6.6246296481045049E-3</v>
      </c>
      <c r="BJ18" s="14">
        <f t="shared" si="21"/>
        <v>1.0120525298453803E-2</v>
      </c>
      <c r="BK18" s="14">
        <f t="shared" si="21"/>
        <v>8.1884544049846235E-3</v>
      </c>
      <c r="BL18" s="14">
        <f t="shared" si="21"/>
        <v>9.5471475034238963E-4</v>
      </c>
      <c r="BM18" s="14">
        <f t="shared" si="21"/>
        <v>3.4591085480784899E-3</v>
      </c>
      <c r="BN18" s="14">
        <f t="shared" si="21"/>
        <v>6.617113024465748E-3</v>
      </c>
      <c r="BO18" s="14">
        <f t="shared" ref="BO18:CT18" si="22">BO10^2</f>
        <v>5.9543089738482516E-5</v>
      </c>
      <c r="BP18" s="14">
        <f t="shared" si="22"/>
        <v>1.1392332566655691E-2</v>
      </c>
      <c r="BQ18" s="14">
        <f t="shared" si="22"/>
        <v>7.3746686174088762E-4</v>
      </c>
      <c r="BR18" s="14">
        <f t="shared" si="22"/>
        <v>2.962735792272784E-3</v>
      </c>
      <c r="BS18" s="14">
        <f t="shared" si="22"/>
        <v>4.6552343102339144E-3</v>
      </c>
      <c r="BT18" s="14">
        <f t="shared" si="22"/>
        <v>9.7243705233366149E-3</v>
      </c>
      <c r="BU18" s="14">
        <f t="shared" si="22"/>
        <v>1.6486185664536111E-2</v>
      </c>
      <c r="BV18" s="14">
        <f t="shared" si="22"/>
        <v>6.1469550603066659E-3</v>
      </c>
      <c r="BW18" s="14">
        <f t="shared" si="22"/>
        <v>1.4192843634773274E-2</v>
      </c>
      <c r="BX18" s="14">
        <f t="shared" si="22"/>
        <v>2.1986811101669893E-3</v>
      </c>
      <c r="BY18" s="14">
        <f t="shared" si="22"/>
        <v>1.034255309954589E-2</v>
      </c>
      <c r="BZ18" s="14">
        <f t="shared" si="22"/>
        <v>6.5946672658473903E-4</v>
      </c>
      <c r="CA18" s="14">
        <f t="shared" si="22"/>
        <v>6.9391882189381946E-3</v>
      </c>
      <c r="CB18" s="14">
        <f t="shared" si="22"/>
        <v>2.4909566624333357E-2</v>
      </c>
      <c r="CC18" s="14">
        <f t="shared" si="22"/>
        <v>5.0484679457919839E-3</v>
      </c>
      <c r="CD18" s="14">
        <f t="shared" si="22"/>
        <v>5.4575883396954768E-3</v>
      </c>
      <c r="CE18" s="14">
        <f t="shared" si="22"/>
        <v>5.6067832386980022E-2</v>
      </c>
      <c r="CF18" s="14">
        <f t="shared" si="22"/>
        <v>1.0645672168983563E-3</v>
      </c>
      <c r="CG18" s="14">
        <f t="shared" si="22"/>
        <v>1.8017920089221721E-4</v>
      </c>
      <c r="CH18" s="14">
        <f t="shared" si="22"/>
        <v>7.8213400438148902E-6</v>
      </c>
      <c r="CI18" s="14">
        <f t="shared" si="22"/>
        <v>2.2968727120364087E-3</v>
      </c>
      <c r="CJ18" s="14">
        <f t="shared" si="22"/>
        <v>1.0575629320283603E-5</v>
      </c>
      <c r="CK18" s="14">
        <f t="shared" si="22"/>
        <v>5.7317300865370067E-3</v>
      </c>
      <c r="CL18" s="14">
        <f t="shared" si="22"/>
        <v>1.9711163270756775E-3</v>
      </c>
      <c r="CM18" s="14">
        <f t="shared" si="22"/>
        <v>3.2036912913769394E-2</v>
      </c>
      <c r="CN18" s="14">
        <f t="shared" si="22"/>
        <v>3.3633349379620708E-3</v>
      </c>
      <c r="CO18" s="14">
        <f t="shared" si="22"/>
        <v>1.9429624982324575E-2</v>
      </c>
      <c r="CP18" s="14">
        <f t="shared" si="22"/>
        <v>4.1879885783785839E-3</v>
      </c>
      <c r="CQ18" s="14">
        <f t="shared" si="22"/>
        <v>3.2829051050147696E-2</v>
      </c>
      <c r="CR18" s="14">
        <f t="shared" si="22"/>
        <v>7.8559030529674386E-3</v>
      </c>
      <c r="CS18" s="14">
        <f t="shared" si="22"/>
        <v>6.411922743936203E-4</v>
      </c>
      <c r="CT18" s="14">
        <f t="shared" si="22"/>
        <v>1.2786876993597889E-2</v>
      </c>
      <c r="CU18" s="14">
        <f t="shared" ref="CU18:DZ18" si="23">CU10^2</f>
        <v>6.5544524509339751E-5</v>
      </c>
      <c r="CV18" s="14">
        <f t="shared" si="23"/>
        <v>2.0430588388809477E-3</v>
      </c>
      <c r="CW18" s="14">
        <f t="shared" si="23"/>
        <v>3.4740680595904648E-3</v>
      </c>
      <c r="CX18" s="14">
        <f t="shared" si="23"/>
        <v>1.160538698235747E-2</v>
      </c>
      <c r="CY18" s="14">
        <f t="shared" si="23"/>
        <v>9.3129254150261E-3</v>
      </c>
      <c r="CZ18" s="14">
        <f t="shared" si="23"/>
        <v>4.424895059465464E-2</v>
      </c>
      <c r="DA18" s="14">
        <f t="shared" si="23"/>
        <v>1.2091451728744079E-2</v>
      </c>
      <c r="DB18" s="14">
        <f t="shared" si="23"/>
        <v>3.6412452392839745E-2</v>
      </c>
      <c r="DC18" s="14">
        <f t="shared" si="23"/>
        <v>4.2961982124366043E-4</v>
      </c>
      <c r="DD18" s="14">
        <f t="shared" si="23"/>
        <v>7.5740634376350218E-3</v>
      </c>
      <c r="DE18" s="14">
        <f t="shared" si="23"/>
        <v>6.728033843953052E-3</v>
      </c>
      <c r="DF18" s="14">
        <f t="shared" si="23"/>
        <v>2.7847821251246123E-2</v>
      </c>
      <c r="DG18" s="14">
        <f t="shared" si="23"/>
        <v>4.9478702022008603E-2</v>
      </c>
      <c r="DH18" s="14">
        <f t="shared" si="23"/>
        <v>2.0821839571003448E-2</v>
      </c>
      <c r="DI18" s="14">
        <f t="shared" si="23"/>
        <v>1.4308932973192761E-2</v>
      </c>
      <c r="DJ18" s="14">
        <f t="shared" si="23"/>
        <v>1.0321085627255753E-2</v>
      </c>
      <c r="DK18" s="14">
        <f t="shared" si="23"/>
        <v>8.6220619337353931E-3</v>
      </c>
      <c r="DL18" s="14">
        <f t="shared" si="23"/>
        <v>1.8173586858343696E-3</v>
      </c>
      <c r="DM18" s="14">
        <f t="shared" si="23"/>
        <v>6.8445958863232442E-3</v>
      </c>
      <c r="DN18" s="14">
        <f t="shared" si="23"/>
        <v>9.6406849840983359E-4</v>
      </c>
      <c r="DO18" s="14">
        <f t="shared" si="23"/>
        <v>9.6318502978574808E-3</v>
      </c>
      <c r="DP18" s="14">
        <f t="shared" si="23"/>
        <v>1.7053455955604278E-2</v>
      </c>
      <c r="DQ18" s="14">
        <f t="shared" si="23"/>
        <v>2.3673789185478821E-3</v>
      </c>
      <c r="DR18" s="14">
        <f t="shared" si="23"/>
        <v>1.5407124335768466E-3</v>
      </c>
      <c r="DS18" s="14">
        <f t="shared" si="23"/>
        <v>2.5930725116640962E-2</v>
      </c>
      <c r="DT18" s="14">
        <f t="shared" si="23"/>
        <v>6.2226801681010647E-3</v>
      </c>
      <c r="DU18" s="14">
        <f t="shared" si="23"/>
        <v>2.6921313954919424E-2</v>
      </c>
      <c r="DV18" s="14">
        <f t="shared" si="23"/>
        <v>5.6328800675286651E-5</v>
      </c>
      <c r="DW18" s="14">
        <f t="shared" si="23"/>
        <v>1.0331756871656347E-2</v>
      </c>
      <c r="DX18" s="14">
        <f t="shared" si="23"/>
        <v>3.1405143826489668E-3</v>
      </c>
      <c r="DY18" s="14">
        <f t="shared" si="23"/>
        <v>1.137563878096463E-2</v>
      </c>
      <c r="DZ18" s="14">
        <f t="shared" si="23"/>
        <v>4.7867822305639905E-3</v>
      </c>
      <c r="EA18" s="14">
        <f t="shared" ref="EA18:EF18" si="24">EA10^2</f>
        <v>1.59235773418211E-2</v>
      </c>
      <c r="EB18" s="14">
        <f t="shared" si="24"/>
        <v>4.1908944894200424E-3</v>
      </c>
      <c r="EC18" s="14">
        <f t="shared" si="24"/>
        <v>2.6446410296186275E-3</v>
      </c>
      <c r="ED18" s="14">
        <f t="shared" si="24"/>
        <v>1.1900242728375913E-3</v>
      </c>
      <c r="EE18" s="14">
        <f t="shared" si="24"/>
        <v>2.4862225023126495E-2</v>
      </c>
      <c r="EF18" s="14">
        <f t="shared" si="24"/>
        <v>1.6174756721905801E-2</v>
      </c>
    </row>
    <row r="19" spans="1:136">
      <c r="B19" t="s">
        <v>137</v>
      </c>
      <c r="C19" s="14">
        <f t="shared" ref="C19:AH19" si="25">C11^2</f>
        <v>2.9424962947699911E-3</v>
      </c>
      <c r="D19" s="14">
        <f t="shared" si="25"/>
        <v>2.059074167658151E-3</v>
      </c>
      <c r="E19" s="14">
        <f t="shared" si="25"/>
        <v>3.1514318274691188E-4</v>
      </c>
      <c r="F19" s="14">
        <f t="shared" si="25"/>
        <v>7.6890721339683337E-3</v>
      </c>
      <c r="G19" s="14">
        <f t="shared" si="25"/>
        <v>1.0559465472918014E-2</v>
      </c>
      <c r="H19" s="14">
        <f t="shared" si="25"/>
        <v>6.3069879875624846E-6</v>
      </c>
      <c r="I19" s="14">
        <f t="shared" si="25"/>
        <v>3.3502003352045134E-4</v>
      </c>
      <c r="J19" s="14">
        <f t="shared" si="25"/>
        <v>4.8887532041517415E-4</v>
      </c>
      <c r="K19" s="14">
        <f t="shared" si="25"/>
        <v>5.9688056303032417E-3</v>
      </c>
      <c r="L19" s="14">
        <f t="shared" si="25"/>
        <v>8.7311801112263879E-5</v>
      </c>
      <c r="M19" s="14">
        <f t="shared" si="25"/>
        <v>2.873193829916625E-3</v>
      </c>
      <c r="N19" s="14">
        <f t="shared" si="25"/>
        <v>4.6073356328051786E-3</v>
      </c>
      <c r="O19" s="14">
        <f t="shared" si="25"/>
        <v>4.2158901598624366E-3</v>
      </c>
      <c r="P19" s="14">
        <f t="shared" si="25"/>
        <v>2.3821054386013211E-5</v>
      </c>
      <c r="Q19" s="14">
        <f t="shared" si="25"/>
        <v>3.6855622546895207E-4</v>
      </c>
      <c r="R19" s="14">
        <f t="shared" si="25"/>
        <v>2.9870042368556722E-5</v>
      </c>
      <c r="S19" s="14">
        <f t="shared" si="25"/>
        <v>1.3360097496481892E-3</v>
      </c>
      <c r="T19" s="14">
        <f t="shared" si="25"/>
        <v>1.6688781966867596E-2</v>
      </c>
      <c r="U19" s="14">
        <f t="shared" si="25"/>
        <v>1.8748202760809614E-4</v>
      </c>
      <c r="V19" s="14">
        <f t="shared" si="25"/>
        <v>2.3394473192739536E-4</v>
      </c>
      <c r="W19" s="14">
        <f t="shared" si="25"/>
        <v>1.0959099784052484E-2</v>
      </c>
      <c r="X19" s="14">
        <f t="shared" si="25"/>
        <v>8.6346676822882121E-2</v>
      </c>
      <c r="Y19" s="14">
        <f t="shared" si="25"/>
        <v>3.5061183838375133E-3</v>
      </c>
      <c r="Z19" s="14">
        <f t="shared" si="25"/>
        <v>3.4205878279447842E-2</v>
      </c>
      <c r="AA19" s="14">
        <f t="shared" si="25"/>
        <v>9.6525592252829466E-3</v>
      </c>
      <c r="AB19" s="14">
        <f t="shared" si="25"/>
        <v>4.3209728479720412E-7</v>
      </c>
      <c r="AC19" s="14">
        <f t="shared" si="25"/>
        <v>1.0750810579255237E-2</v>
      </c>
      <c r="AD19" s="14">
        <f t="shared" si="25"/>
        <v>1.2567690104255271E-5</v>
      </c>
      <c r="AE19" s="14">
        <f t="shared" si="25"/>
        <v>3.0835882156048783E-2</v>
      </c>
      <c r="AF19" s="14">
        <f t="shared" si="25"/>
        <v>2.4035262433120905E-2</v>
      </c>
      <c r="AG19" s="14">
        <f t="shared" si="25"/>
        <v>6.9319650662206438E-4</v>
      </c>
      <c r="AH19" s="14">
        <f t="shared" si="25"/>
        <v>2.4988102995418992E-5</v>
      </c>
      <c r="AI19" s="14">
        <f t="shared" ref="AI19:BN19" si="26">AI11^2</f>
        <v>7.8779660257925624E-4</v>
      </c>
      <c r="AJ19" s="14">
        <f t="shared" si="26"/>
        <v>5.0105213836060746E-4</v>
      </c>
      <c r="AK19" s="14">
        <f t="shared" si="26"/>
        <v>2.2109580205685515E-3</v>
      </c>
      <c r="AL19" s="14">
        <f t="shared" si="26"/>
        <v>1.0314740717783251E-2</v>
      </c>
      <c r="AM19" s="14">
        <f t="shared" si="26"/>
        <v>5.5343262156863572E-4</v>
      </c>
      <c r="AN19" s="14">
        <f t="shared" si="26"/>
        <v>2.7588997976275898E-3</v>
      </c>
      <c r="AO19" s="14">
        <f t="shared" si="26"/>
        <v>3.4225885640141755E-3</v>
      </c>
      <c r="AP19" s="14">
        <f t="shared" si="26"/>
        <v>1.118725626162101E-3</v>
      </c>
      <c r="AQ19" s="14">
        <f t="shared" si="26"/>
        <v>2.0450045203045813E-4</v>
      </c>
      <c r="AR19" s="14">
        <f t="shared" si="26"/>
        <v>1.2890681145068224E-3</v>
      </c>
      <c r="AS19" s="14">
        <f t="shared" si="26"/>
        <v>1.5826302227352094E-3</v>
      </c>
      <c r="AT19" s="14">
        <f t="shared" si="26"/>
        <v>2.2039242020426623E-2</v>
      </c>
      <c r="AU19" s="14">
        <f t="shared" si="26"/>
        <v>1.6636034229909587E-3</v>
      </c>
      <c r="AV19" s="14">
        <f t="shared" si="26"/>
        <v>1.9309590933108238E-2</v>
      </c>
      <c r="AW19" s="14">
        <f t="shared" si="26"/>
        <v>3.5836126990842362E-3</v>
      </c>
      <c r="AX19" s="14">
        <f t="shared" si="26"/>
        <v>2.2436988075031212E-2</v>
      </c>
      <c r="AY19" s="14">
        <f t="shared" si="26"/>
        <v>3.7940489141036855E-3</v>
      </c>
      <c r="AZ19" s="14">
        <f t="shared" si="26"/>
        <v>3.8377717094877179E-3</v>
      </c>
      <c r="BA19" s="14">
        <f t="shared" si="26"/>
        <v>5.7085842824112805E-6</v>
      </c>
      <c r="BB19" s="14">
        <f t="shared" si="26"/>
        <v>2.2162365071883454E-2</v>
      </c>
      <c r="BC19" s="14">
        <f t="shared" si="26"/>
        <v>3.6421850194502817E-3</v>
      </c>
      <c r="BD19" s="14">
        <f t="shared" si="26"/>
        <v>2.1567132814367246E-4</v>
      </c>
      <c r="BE19" s="14">
        <f t="shared" si="26"/>
        <v>2.1466733042722119E-2</v>
      </c>
      <c r="BF19" s="14">
        <f t="shared" si="26"/>
        <v>4.3581843456671758E-2</v>
      </c>
      <c r="BG19" s="14">
        <f t="shared" si="26"/>
        <v>4.0579385301159648E-2</v>
      </c>
      <c r="BH19" s="14">
        <f t="shared" si="26"/>
        <v>1.3935782851325853E-2</v>
      </c>
      <c r="BI19" s="14">
        <f t="shared" si="26"/>
        <v>5.9330934213272886E-3</v>
      </c>
      <c r="BJ19" s="14">
        <f t="shared" si="26"/>
        <v>1.3119113666831017E-3</v>
      </c>
      <c r="BK19" s="14">
        <f t="shared" si="26"/>
        <v>3.5748481064286472E-4</v>
      </c>
      <c r="BL19" s="14">
        <f t="shared" si="26"/>
        <v>2.9328493400993451E-2</v>
      </c>
      <c r="BM19" s="14">
        <f t="shared" si="26"/>
        <v>1.7667061037884114E-2</v>
      </c>
      <c r="BN19" s="14">
        <f t="shared" si="26"/>
        <v>1.2893630347257589E-3</v>
      </c>
      <c r="BO19" s="14">
        <f t="shared" ref="BO19:CT19" si="27">BO11^2</f>
        <v>4.555884575901441E-4</v>
      </c>
      <c r="BP19" s="14">
        <f t="shared" si="27"/>
        <v>2.4636156414780219E-3</v>
      </c>
      <c r="BQ19" s="14">
        <f t="shared" si="27"/>
        <v>2.9622597057292401E-4</v>
      </c>
      <c r="BR19" s="14">
        <f t="shared" si="27"/>
        <v>3.6034382227143044E-2</v>
      </c>
      <c r="BS19" s="14">
        <f t="shared" si="27"/>
        <v>9.5267433223972416E-3</v>
      </c>
      <c r="BT19" s="14">
        <f t="shared" si="27"/>
        <v>1.4312181655934848E-3</v>
      </c>
      <c r="BU19" s="14">
        <f t="shared" si="27"/>
        <v>3.1369302523255979E-3</v>
      </c>
      <c r="BV19" s="14">
        <f t="shared" si="27"/>
        <v>1.3627535644839506E-2</v>
      </c>
      <c r="BW19" s="14">
        <f t="shared" si="27"/>
        <v>1.9972187007291264E-2</v>
      </c>
      <c r="BX19" s="14">
        <f t="shared" si="27"/>
        <v>1.140430378647656E-5</v>
      </c>
      <c r="BY19" s="14">
        <f t="shared" si="27"/>
        <v>1.6987488721731576E-2</v>
      </c>
      <c r="BZ19" s="14">
        <f t="shared" si="27"/>
        <v>1.0047461557265778E-3</v>
      </c>
      <c r="CA19" s="14">
        <f t="shared" si="27"/>
        <v>1.6447110645557072E-3</v>
      </c>
      <c r="CB19" s="14">
        <f t="shared" si="27"/>
        <v>1.767137228315438E-3</v>
      </c>
      <c r="CC19" s="14">
        <f t="shared" si="27"/>
        <v>2.5013725272755708E-3</v>
      </c>
      <c r="CD19" s="14">
        <f t="shared" si="27"/>
        <v>4.6862621773654262E-3</v>
      </c>
      <c r="CE19" s="14">
        <f t="shared" si="27"/>
        <v>6.5338267870204162E-3</v>
      </c>
      <c r="CF19" s="14">
        <f t="shared" si="27"/>
        <v>3.7959149352106796E-6</v>
      </c>
      <c r="CG19" s="14">
        <f t="shared" si="27"/>
        <v>1.3973368107735227E-2</v>
      </c>
      <c r="CH19" s="14">
        <f t="shared" si="27"/>
        <v>1.3483500252419256E-3</v>
      </c>
      <c r="CI19" s="14">
        <f t="shared" si="27"/>
        <v>6.944354409283488E-3</v>
      </c>
      <c r="CJ19" s="14">
        <f t="shared" si="27"/>
        <v>5.3209971579111864E-2</v>
      </c>
      <c r="CK19" s="14">
        <f t="shared" si="27"/>
        <v>1.7630136062643516E-2</v>
      </c>
      <c r="CL19" s="14">
        <f t="shared" si="27"/>
        <v>1.9962106501869858E-2</v>
      </c>
      <c r="CM19" s="14">
        <f t="shared" si="27"/>
        <v>1.2698898011967283E-2</v>
      </c>
      <c r="CN19" s="14">
        <f t="shared" si="27"/>
        <v>4.9947135394185591E-2</v>
      </c>
      <c r="CO19" s="14">
        <f t="shared" si="27"/>
        <v>1.0903362974249101E-2</v>
      </c>
      <c r="CP19" s="14">
        <f t="shared" si="27"/>
        <v>2.0817366158502797E-4</v>
      </c>
      <c r="CQ19" s="14">
        <f t="shared" si="27"/>
        <v>4.2945670995945519E-2</v>
      </c>
      <c r="CR19" s="14">
        <f t="shared" si="27"/>
        <v>1.818826329983373E-2</v>
      </c>
      <c r="CS19" s="14">
        <f t="shared" si="27"/>
        <v>5.330129925765671E-3</v>
      </c>
      <c r="CT19" s="14">
        <f t="shared" si="27"/>
        <v>9.1315039355651805E-4</v>
      </c>
      <c r="CU19" s="14">
        <f t="shared" ref="CU19:DZ19" si="28">CU11^2</f>
        <v>8.2305398372276448E-2</v>
      </c>
      <c r="CV19" s="14">
        <f t="shared" si="28"/>
        <v>5.323658125231813E-2</v>
      </c>
      <c r="CW19" s="14">
        <f t="shared" si="28"/>
        <v>8.2947828598525283E-3</v>
      </c>
      <c r="CX19" s="14">
        <f t="shared" si="28"/>
        <v>1.5002754583806925E-2</v>
      </c>
      <c r="CY19" s="14">
        <f t="shared" si="28"/>
        <v>6.1437262145754186E-3</v>
      </c>
      <c r="CZ19" s="14">
        <f t="shared" si="28"/>
        <v>2.1114120178055175E-3</v>
      </c>
      <c r="DA19" s="14">
        <f t="shared" si="28"/>
        <v>6.8343561034422563E-3</v>
      </c>
      <c r="DB19" s="14">
        <f t="shared" si="28"/>
        <v>2.2305204479499383E-2</v>
      </c>
      <c r="DC19" s="14">
        <f t="shared" si="28"/>
        <v>2.2847162154111663E-3</v>
      </c>
      <c r="DD19" s="14">
        <f t="shared" si="28"/>
        <v>2.7064678662887049E-2</v>
      </c>
      <c r="DE19" s="14">
        <f t="shared" si="28"/>
        <v>1.2225360760831885E-2</v>
      </c>
      <c r="DF19" s="14">
        <f t="shared" si="28"/>
        <v>3.2966966393763162E-3</v>
      </c>
      <c r="DG19" s="14">
        <f t="shared" si="28"/>
        <v>4.6177804713180344E-2</v>
      </c>
      <c r="DH19" s="14">
        <f t="shared" si="28"/>
        <v>3.9686415441255191E-3</v>
      </c>
      <c r="DI19" s="14">
        <f t="shared" si="28"/>
        <v>4.5861486060873721E-3</v>
      </c>
      <c r="DJ19" s="14">
        <f t="shared" si="28"/>
        <v>1.4113933508686947E-2</v>
      </c>
      <c r="DK19" s="14">
        <f t="shared" si="28"/>
        <v>5.3038165655135587E-5</v>
      </c>
      <c r="DL19" s="14">
        <f t="shared" si="28"/>
        <v>5.0866278425543898E-3</v>
      </c>
      <c r="DM19" s="14">
        <f t="shared" si="28"/>
        <v>4.4192030717479113E-4</v>
      </c>
      <c r="DN19" s="14">
        <f t="shared" si="28"/>
        <v>9.2435602590540443E-4</v>
      </c>
      <c r="DO19" s="14">
        <f t="shared" si="28"/>
        <v>9.3992359170593232E-3</v>
      </c>
      <c r="DP19" s="14">
        <f t="shared" si="28"/>
        <v>5.3211643863895493E-2</v>
      </c>
      <c r="DQ19" s="14">
        <f t="shared" si="28"/>
        <v>5.6731766595356822E-2</v>
      </c>
      <c r="DR19" s="14">
        <f t="shared" si="28"/>
        <v>1.2779732721999408E-5</v>
      </c>
      <c r="DS19" s="14">
        <f t="shared" si="28"/>
        <v>1.7944107252667544E-2</v>
      </c>
      <c r="DT19" s="14">
        <f t="shared" si="28"/>
        <v>1.3249413434882942E-2</v>
      </c>
      <c r="DU19" s="14">
        <f t="shared" si="28"/>
        <v>1.0832602517582508E-2</v>
      </c>
      <c r="DV19" s="14">
        <f t="shared" si="28"/>
        <v>2.9823682090757879E-3</v>
      </c>
      <c r="DW19" s="14">
        <f t="shared" si="28"/>
        <v>1.1082370139875364E-3</v>
      </c>
      <c r="DX19" s="14">
        <f t="shared" si="28"/>
        <v>3.0354498547830525E-3</v>
      </c>
      <c r="DY19" s="14">
        <f t="shared" si="28"/>
        <v>4.7325832565790213E-3</v>
      </c>
      <c r="DZ19" s="14">
        <f t="shared" si="28"/>
        <v>2.0969279010246204E-4</v>
      </c>
      <c r="EA19" s="14">
        <f t="shared" ref="EA19:EF19" si="29">EA11^2</f>
        <v>8.5929031587546431E-2</v>
      </c>
      <c r="EB19" s="14">
        <f t="shared" si="29"/>
        <v>1.987395609544565E-2</v>
      </c>
      <c r="EC19" s="14">
        <f t="shared" si="29"/>
        <v>1.4906851026839793E-4</v>
      </c>
      <c r="ED19" s="14">
        <f t="shared" si="29"/>
        <v>3.3834798795211859E-3</v>
      </c>
      <c r="EE19" s="14">
        <f t="shared" si="29"/>
        <v>2.0852230305009004E-2</v>
      </c>
      <c r="EF19" s="14">
        <f t="shared" si="29"/>
        <v>9.4107527241881761E-3</v>
      </c>
    </row>
    <row r="21" spans="1:136">
      <c r="A21" t="s">
        <v>206</v>
      </c>
      <c r="B21" s="10">
        <f>1-SUM(C13:EF15)/SUM(C17:EF19)</f>
        <v>-0.30650233948701699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F25"/>
  <sheetViews>
    <sheetView zoomScale="125" zoomScaleNormal="50" workbookViewId="0">
      <selection activeCell="C30" sqref="C30"/>
    </sheetView>
  </sheetViews>
  <sheetFormatPr baseColWidth="10" defaultRowHeight="15"/>
  <sheetData>
    <row r="1" spans="1:136">
      <c r="A1" s="2" t="s">
        <v>209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</row>
    <row r="2" spans="1:136">
      <c r="A2" s="1"/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  <c r="CN2" s="3" t="s">
        <v>90</v>
      </c>
      <c r="CO2" s="3" t="s">
        <v>91</v>
      </c>
      <c r="CP2" s="3" t="s">
        <v>92</v>
      </c>
      <c r="CQ2" s="3" t="s">
        <v>93</v>
      </c>
      <c r="CR2" s="3" t="s">
        <v>94</v>
      </c>
      <c r="CS2" s="3" t="s">
        <v>95</v>
      </c>
      <c r="CT2" s="3" t="s">
        <v>96</v>
      </c>
      <c r="CU2" s="3" t="s">
        <v>97</v>
      </c>
      <c r="CV2" s="3" t="s">
        <v>98</v>
      </c>
      <c r="CW2" s="3" t="s">
        <v>99</v>
      </c>
      <c r="CX2" s="3" t="s">
        <v>100</v>
      </c>
      <c r="CY2" s="3" t="s">
        <v>101</v>
      </c>
      <c r="CZ2" s="3" t="s">
        <v>102</v>
      </c>
      <c r="DA2" s="3" t="s">
        <v>103</v>
      </c>
      <c r="DB2" s="3" t="s">
        <v>104</v>
      </c>
      <c r="DC2" s="3" t="s">
        <v>105</v>
      </c>
      <c r="DD2" s="3" t="s">
        <v>106</v>
      </c>
      <c r="DE2" s="3" t="s">
        <v>107</v>
      </c>
      <c r="DF2" s="3" t="s">
        <v>108</v>
      </c>
      <c r="DG2" s="3" t="s">
        <v>109</v>
      </c>
      <c r="DH2" s="3" t="s">
        <v>110</v>
      </c>
      <c r="DI2" s="3" t="s">
        <v>111</v>
      </c>
      <c r="DJ2" s="3" t="s">
        <v>112</v>
      </c>
      <c r="DK2" s="3" t="s">
        <v>113</v>
      </c>
      <c r="DL2" s="3" t="s">
        <v>114</v>
      </c>
      <c r="DM2" s="3" t="s">
        <v>115</v>
      </c>
      <c r="DN2" s="3" t="s">
        <v>116</v>
      </c>
      <c r="DO2" s="3" t="s">
        <v>117</v>
      </c>
      <c r="DP2" s="3" t="s">
        <v>118</v>
      </c>
      <c r="DQ2" s="3" t="s">
        <v>119</v>
      </c>
      <c r="DR2" s="3" t="s">
        <v>120</v>
      </c>
      <c r="DS2" s="3" t="s">
        <v>121</v>
      </c>
      <c r="DT2" s="3" t="s">
        <v>122</v>
      </c>
      <c r="DU2" s="3" t="s">
        <v>123</v>
      </c>
      <c r="DV2" s="3" t="s">
        <v>124</v>
      </c>
      <c r="DW2" s="3" t="s">
        <v>125</v>
      </c>
      <c r="DX2" s="3" t="s">
        <v>126</v>
      </c>
      <c r="DY2" s="3" t="s">
        <v>127</v>
      </c>
      <c r="DZ2" s="3" t="s">
        <v>128</v>
      </c>
      <c r="EA2" s="3" t="s">
        <v>129</v>
      </c>
      <c r="EB2" s="3" t="s">
        <v>130</v>
      </c>
      <c r="EC2" s="3" t="s">
        <v>131</v>
      </c>
      <c r="ED2" s="3" t="s">
        <v>132</v>
      </c>
      <c r="EE2" s="3" t="s">
        <v>133</v>
      </c>
      <c r="EF2" s="3" t="s">
        <v>134</v>
      </c>
    </row>
    <row r="3" spans="1:136">
      <c r="A3" s="1"/>
      <c r="B3" s="2" t="s">
        <v>135</v>
      </c>
      <c r="C3" s="12">
        <v>-7.7981240861112869E-2</v>
      </c>
      <c r="D3" s="12">
        <v>-9.1720816001217079E-2</v>
      </c>
      <c r="E3" s="12">
        <v>-5.2859258612292397E-2</v>
      </c>
      <c r="F3" s="12">
        <v>-0.1154504478657486</v>
      </c>
      <c r="G3" s="12">
        <v>-8.3443116291576969E-2</v>
      </c>
      <c r="H3" s="12">
        <v>-2.6287928720926321E-3</v>
      </c>
      <c r="I3" s="12">
        <v>-9.17061944524626E-2</v>
      </c>
      <c r="J3" s="12">
        <v>-5.6085756879479871E-2</v>
      </c>
      <c r="K3" s="12">
        <v>-0.1008329194598508</v>
      </c>
      <c r="L3" s="12">
        <v>-0.10378006478536519</v>
      </c>
      <c r="M3" s="12">
        <v>5.5829241941196268E-2</v>
      </c>
      <c r="N3" s="12">
        <v>-0.1158619637464291</v>
      </c>
      <c r="O3" s="12">
        <v>-5.8513967337472099E-2</v>
      </c>
      <c r="P3" s="12">
        <v>-6.0458244885088289E-2</v>
      </c>
      <c r="Q3" s="12">
        <v>-5.3239297079499662E-2</v>
      </c>
      <c r="R3" s="12">
        <v>-0.1169489926289226</v>
      </c>
      <c r="S3" s="12">
        <v>-0.17262516521577451</v>
      </c>
      <c r="T3" s="12">
        <v>-3.5612527967292071E-2</v>
      </c>
      <c r="U3" s="12">
        <v>-0.1047373820130289</v>
      </c>
      <c r="V3" s="12">
        <v>5.4728173269898657E-2</v>
      </c>
      <c r="W3" s="12">
        <v>0.1104845400782864</v>
      </c>
      <c r="X3" s="12">
        <v>7.7152949246108812E-2</v>
      </c>
      <c r="Y3" s="12">
        <v>-2.1197940496231121E-2</v>
      </c>
      <c r="Z3" s="12">
        <v>-1.220412867494485E-2</v>
      </c>
      <c r="AA3" s="12">
        <v>5.8940158702571167E-2</v>
      </c>
      <c r="AB3" s="12">
        <v>1.704920567122593E-2</v>
      </c>
      <c r="AC3" s="12">
        <v>-2.8623729777447999E-2</v>
      </c>
      <c r="AD3" s="12">
        <v>3.8597994743491432E-2</v>
      </c>
      <c r="AE3" s="12">
        <v>4.5421821361275698E-2</v>
      </c>
      <c r="AF3" s="12">
        <v>-7.0671769100140664E-3</v>
      </c>
      <c r="AG3" s="12">
        <v>-8.8710520129031845E-3</v>
      </c>
      <c r="AH3" s="12">
        <v>0.1009192396033949</v>
      </c>
      <c r="AI3" s="12">
        <v>5.2187010509938972E-2</v>
      </c>
      <c r="AJ3" s="12">
        <v>0.1019691755674634</v>
      </c>
      <c r="AK3" s="12">
        <v>0.13211315672161919</v>
      </c>
      <c r="AL3" s="12">
        <v>8.0841310267837335E-2</v>
      </c>
      <c r="AM3" s="12">
        <v>6.6073941505882944E-2</v>
      </c>
      <c r="AN3" s="12">
        <v>4.5849550313755157E-2</v>
      </c>
      <c r="AO3" s="12">
        <v>0.1344236211085432</v>
      </c>
      <c r="AP3" s="12">
        <v>-5.4866828387549187E-2</v>
      </c>
      <c r="AQ3" s="12">
        <v>4.8332448898150193E-2</v>
      </c>
      <c r="AR3" s="12">
        <v>5.4465942771725943E-2</v>
      </c>
      <c r="AS3" s="12">
        <v>6.0627286759379943E-2</v>
      </c>
      <c r="AT3" s="12">
        <v>2.2903338702745881E-2</v>
      </c>
      <c r="AU3" s="12">
        <v>2.878024844402479E-2</v>
      </c>
      <c r="AV3" s="12">
        <v>-1.129205212894535E-2</v>
      </c>
      <c r="AW3" s="12">
        <v>6.7409820754134268E-3</v>
      </c>
      <c r="AX3" s="12">
        <v>6.9445703072046949E-2</v>
      </c>
      <c r="AY3" s="12">
        <v>7.2293980578513314E-2</v>
      </c>
      <c r="AZ3" s="12">
        <v>5.6782553627262748E-2</v>
      </c>
      <c r="BA3" s="12">
        <v>5.6751851388712939E-3</v>
      </c>
      <c r="BB3" s="12">
        <v>7.2435676593229636E-2</v>
      </c>
      <c r="BC3" s="12">
        <v>2.4104231358940049E-3</v>
      </c>
      <c r="BD3" s="12">
        <v>4.4457778288968727E-2</v>
      </c>
      <c r="BE3" s="12">
        <v>0.15640720996344051</v>
      </c>
      <c r="BF3" s="12">
        <v>8.961422115098705E-2</v>
      </c>
      <c r="BG3" s="12">
        <v>-4.5499959267627739E-2</v>
      </c>
      <c r="BH3" s="12">
        <v>1.473996831732775E-2</v>
      </c>
      <c r="BI3" s="12">
        <v>1.1467767379862339E-3</v>
      </c>
      <c r="BJ3" s="12">
        <v>3.82060916655452E-2</v>
      </c>
      <c r="BK3" s="12">
        <v>6.9204193024136371E-2</v>
      </c>
      <c r="BL3" s="12">
        <v>0.14599637517714301</v>
      </c>
      <c r="BM3" s="12">
        <v>7.7671454044817706E-2</v>
      </c>
      <c r="BN3" s="12">
        <v>-1.4934546848394969E-3</v>
      </c>
      <c r="BO3" s="12">
        <v>0.15075036572727429</v>
      </c>
      <c r="BP3" s="12">
        <v>0.1068808738908148</v>
      </c>
      <c r="BQ3" s="12">
        <v>1.221444016343416E-2</v>
      </c>
      <c r="BR3" s="12">
        <v>3.2309492446798579E-2</v>
      </c>
      <c r="BS3" s="12">
        <v>7.5715218722114425E-2</v>
      </c>
      <c r="BT3" s="12">
        <v>0.1476948601503042</v>
      </c>
      <c r="BU3" s="12">
        <v>1.817214867790248E-2</v>
      </c>
      <c r="BV3" s="12">
        <v>6.6489869867815826E-2</v>
      </c>
      <c r="BW3" s="12">
        <v>3.8195592237729163E-2</v>
      </c>
      <c r="BX3" s="12">
        <v>4.7621234363544103E-2</v>
      </c>
      <c r="BY3" s="12">
        <v>3.3277385006537187E-2</v>
      </c>
      <c r="BZ3" s="12">
        <v>-6.0454023977282903E-2</v>
      </c>
      <c r="CA3" s="12">
        <v>5.2148142226918692E-4</v>
      </c>
      <c r="CB3" s="12">
        <v>2.326190927136889E-2</v>
      </c>
      <c r="CC3" s="12">
        <v>-2.6286266288861861E-2</v>
      </c>
      <c r="CD3" s="12">
        <v>5.2057462476054299E-2</v>
      </c>
      <c r="CE3" s="12">
        <v>-0.1062476229187161</v>
      </c>
      <c r="CF3" s="12">
        <v>-0.1195660454549131</v>
      </c>
      <c r="CG3" s="12">
        <v>-1.0499463273261581E-2</v>
      </c>
      <c r="CH3" s="12">
        <v>-2.3835366421230391E-2</v>
      </c>
      <c r="CI3" s="12">
        <v>-4.3365220517483233E-3</v>
      </c>
      <c r="CJ3" s="12">
        <v>5.8870363779287586E-3</v>
      </c>
      <c r="CK3" s="12">
        <v>2.2369140646099479E-2</v>
      </c>
      <c r="CL3" s="12">
        <v>-8.2212452947380901E-2</v>
      </c>
      <c r="CM3" s="12">
        <v>-0.12682704685249099</v>
      </c>
      <c r="CN3" s="12">
        <v>-8.4592786355010396E-3</v>
      </c>
      <c r="CO3" s="12">
        <v>-0.13500465547665971</v>
      </c>
      <c r="CP3" s="12">
        <v>1.33854440155954E-2</v>
      </c>
      <c r="CQ3" s="12">
        <v>-5.12789058806579E-2</v>
      </c>
      <c r="CR3" s="12">
        <v>-9.4660334746213826E-2</v>
      </c>
      <c r="CS3" s="12">
        <v>-7.7501744984071919E-2</v>
      </c>
      <c r="CT3" s="12">
        <v>6.3427668130038306E-2</v>
      </c>
      <c r="CU3" s="12">
        <v>-0.10211731197922071</v>
      </c>
      <c r="CV3" s="12">
        <v>-0.1210008636864883</v>
      </c>
      <c r="CW3" s="12">
        <v>-8.3771057290789874E-2</v>
      </c>
      <c r="CX3" s="12">
        <v>-0.108143131485795</v>
      </c>
      <c r="CY3" s="12">
        <v>-4.0161757016129222E-2</v>
      </c>
      <c r="CZ3" s="12">
        <v>-1.5386044424255171E-3</v>
      </c>
      <c r="DA3" s="12">
        <v>-7.7524493053387863E-2</v>
      </c>
      <c r="DB3" s="12">
        <v>-7.879063134946046E-3</v>
      </c>
      <c r="DC3" s="12">
        <v>-2.6882932084816711E-2</v>
      </c>
      <c r="DD3" s="12">
        <v>6.9093120815518799E-2</v>
      </c>
      <c r="DE3" s="12">
        <v>-4.3347804073038947E-2</v>
      </c>
      <c r="DF3" s="12">
        <v>5.87554125627009E-2</v>
      </c>
      <c r="DG3" s="12">
        <v>6.4753773039743015E-2</v>
      </c>
      <c r="DH3" s="12">
        <v>-1.287213930098646E-3</v>
      </c>
      <c r="DI3" s="12">
        <v>2.1640077633277799E-2</v>
      </c>
      <c r="DJ3" s="12">
        <v>-4.5030711038867167E-2</v>
      </c>
      <c r="DK3" s="12">
        <v>-1.3122204761795811E-2</v>
      </c>
      <c r="DL3" s="12">
        <v>-6.044882202770601E-2</v>
      </c>
      <c r="DM3" s="12">
        <v>-1.0592752749389599E-2</v>
      </c>
      <c r="DN3" s="12">
        <v>7.7435014643364664E-2</v>
      </c>
      <c r="DO3" s="12">
        <v>-5.4992856655808733E-2</v>
      </c>
      <c r="DP3" s="12">
        <v>7.556841599905624E-2</v>
      </c>
      <c r="DQ3" s="12">
        <v>4.187756543775777E-3</v>
      </c>
      <c r="DR3" s="12">
        <v>-5.5104292662403291E-2</v>
      </c>
      <c r="DS3" s="12">
        <v>0.10263669436748039</v>
      </c>
      <c r="DT3" s="12">
        <v>-4.0717186288007967E-2</v>
      </c>
      <c r="DU3" s="12">
        <v>7.639250584652096E-3</v>
      </c>
      <c r="DV3" s="12">
        <v>-6.6126173971523872E-2</v>
      </c>
      <c r="DW3" s="12">
        <v>7.8117337673435386E-2</v>
      </c>
      <c r="DX3" s="12">
        <v>1.6019937584861629E-2</v>
      </c>
      <c r="DY3" s="12">
        <v>1.4410244062000451E-2</v>
      </c>
      <c r="DZ3" s="12">
        <v>-0.1079887966876449</v>
      </c>
      <c r="EA3" s="12">
        <v>1.1807195335730179E-2</v>
      </c>
      <c r="EB3" s="12">
        <v>6.3675145630864198E-3</v>
      </c>
      <c r="EC3" s="12">
        <v>0.1146690600079793</v>
      </c>
      <c r="ED3" s="12">
        <v>-0.13301760440885349</v>
      </c>
      <c r="EE3" s="12">
        <v>-8.3212161647068517E-2</v>
      </c>
      <c r="EF3" s="12">
        <v>-7.4711540898400819E-2</v>
      </c>
    </row>
    <row r="4" spans="1:136">
      <c r="A4" s="1"/>
      <c r="B4" s="2" t="s">
        <v>136</v>
      </c>
      <c r="C4" s="12">
        <v>-7.4711540898400819E-2</v>
      </c>
      <c r="D4" s="12">
        <v>-7.4711540898400819E-2</v>
      </c>
      <c r="E4" s="12">
        <v>-7.4711540898400819E-2</v>
      </c>
      <c r="F4" s="12">
        <v>-7.4711540898400819E-2</v>
      </c>
      <c r="G4" s="12">
        <v>-7.4711540898400819E-2</v>
      </c>
      <c r="H4" s="12">
        <v>-7.4711540898400819E-2</v>
      </c>
      <c r="I4" s="12">
        <v>-7.4711540898400819E-2</v>
      </c>
      <c r="J4" s="12">
        <v>-7.4711540898400819E-2</v>
      </c>
      <c r="K4" s="12">
        <v>-7.4711540898400819E-2</v>
      </c>
      <c r="L4" s="12">
        <v>-7.4711540898400819E-2</v>
      </c>
      <c r="M4" s="12">
        <v>-7.4711540898400819E-2</v>
      </c>
      <c r="N4" s="12">
        <v>-7.4711540898400819E-2</v>
      </c>
      <c r="O4" s="12">
        <v>-7.4711540898400819E-2</v>
      </c>
      <c r="P4" s="12">
        <v>-7.4711540898400819E-2</v>
      </c>
      <c r="Q4" s="12">
        <v>-7.4711540898400819E-2</v>
      </c>
      <c r="R4" s="12">
        <v>-7.4711540898400819E-2</v>
      </c>
      <c r="S4" s="12">
        <v>-7.4711540898400819E-2</v>
      </c>
      <c r="T4" s="12">
        <v>-7.4711540898400819E-2</v>
      </c>
      <c r="U4" s="12">
        <v>-7.4711540898400819E-2</v>
      </c>
      <c r="V4" s="12">
        <v>-7.4711540898400819E-2</v>
      </c>
      <c r="W4" s="12">
        <v>-7.4711540898400819E-2</v>
      </c>
      <c r="X4" s="12">
        <v>-7.4711540898400819E-2</v>
      </c>
      <c r="Y4" s="12">
        <v>-7.4711540898400819E-2</v>
      </c>
      <c r="Z4" s="12">
        <v>-7.4711540898400819E-2</v>
      </c>
      <c r="AA4" s="12">
        <v>-7.4711540898400819E-2</v>
      </c>
      <c r="AB4" s="12">
        <v>-7.4711540898400819E-2</v>
      </c>
      <c r="AC4" s="12">
        <v>-7.4711540898400819E-2</v>
      </c>
      <c r="AD4" s="12">
        <v>-7.4711540898400819E-2</v>
      </c>
      <c r="AE4" s="12">
        <v>-7.4711540898400819E-2</v>
      </c>
      <c r="AF4" s="12">
        <v>-7.4711540898400819E-2</v>
      </c>
      <c r="AG4" s="12">
        <v>-7.4711540898400819E-2</v>
      </c>
      <c r="AH4" s="12">
        <v>-7.4711540898400819E-2</v>
      </c>
      <c r="AI4" s="12">
        <v>-7.4711540898400819E-2</v>
      </c>
      <c r="AJ4" s="12">
        <v>-7.4711540898400819E-2</v>
      </c>
      <c r="AK4" s="12">
        <v>-7.4711540898400819E-2</v>
      </c>
      <c r="AL4" s="12">
        <v>-7.4711540898400819E-2</v>
      </c>
      <c r="AM4" s="12">
        <v>-7.4711540898400819E-2</v>
      </c>
      <c r="AN4" s="12">
        <v>-7.4711540898400819E-2</v>
      </c>
      <c r="AO4" s="12">
        <v>-7.4711540898400819E-2</v>
      </c>
      <c r="AP4" s="12">
        <v>-7.4711540898400819E-2</v>
      </c>
      <c r="AQ4" s="12">
        <v>-7.4711540898400819E-2</v>
      </c>
      <c r="AR4" s="12">
        <v>-7.4711540898400819E-2</v>
      </c>
      <c r="AS4" s="12">
        <v>-7.4711540898400819E-2</v>
      </c>
      <c r="AT4" s="12">
        <v>-7.4711540898400819E-2</v>
      </c>
      <c r="AU4" s="12">
        <v>-7.4711540898400819E-2</v>
      </c>
      <c r="AV4" s="12">
        <v>-7.4711540898400819E-2</v>
      </c>
      <c r="AW4" s="12">
        <v>-7.4711540898400819E-2</v>
      </c>
      <c r="AX4" s="12">
        <v>-7.4711540898400819E-2</v>
      </c>
      <c r="AY4" s="12">
        <v>-7.4711540898400819E-2</v>
      </c>
      <c r="AZ4" s="12">
        <v>-7.4711540898400819E-2</v>
      </c>
      <c r="BA4" s="12">
        <v>-7.4711540898400819E-2</v>
      </c>
      <c r="BB4" s="12">
        <v>-7.4711540898400819E-2</v>
      </c>
      <c r="BC4" s="12">
        <v>-7.4711540898400819E-2</v>
      </c>
      <c r="BD4" s="12">
        <v>-7.4711540898400819E-2</v>
      </c>
      <c r="BE4" s="12">
        <v>-7.4711540898400819E-2</v>
      </c>
      <c r="BF4" s="12">
        <v>-7.4711540898400819E-2</v>
      </c>
      <c r="BG4" s="12">
        <v>-7.4711540898400819E-2</v>
      </c>
      <c r="BH4" s="12">
        <v>-7.4711540898400819E-2</v>
      </c>
      <c r="BI4" s="12">
        <v>-7.4711540898400819E-2</v>
      </c>
      <c r="BJ4" s="12">
        <v>-7.4711540898400819E-2</v>
      </c>
      <c r="BK4" s="12">
        <v>-7.4711540898400819E-2</v>
      </c>
      <c r="BL4" s="12">
        <v>-7.4711540898400819E-2</v>
      </c>
      <c r="BM4" s="12">
        <v>-7.4711540898400819E-2</v>
      </c>
      <c r="BN4" s="12">
        <v>-7.4711540898400819E-2</v>
      </c>
      <c r="BO4" s="12">
        <v>-7.4711540898400819E-2</v>
      </c>
      <c r="BP4" s="12">
        <v>-7.4711540898400819E-2</v>
      </c>
      <c r="BQ4" s="12">
        <v>-7.4711540898400819E-2</v>
      </c>
      <c r="BR4" s="12">
        <v>-7.4711540898400819E-2</v>
      </c>
      <c r="BS4" s="12">
        <v>-7.4711540898400819E-2</v>
      </c>
      <c r="BT4" s="12">
        <v>-7.4711540898400819E-2</v>
      </c>
      <c r="BU4" s="12">
        <v>-7.4711540898400819E-2</v>
      </c>
      <c r="BV4" s="12">
        <v>-7.4711540898400819E-2</v>
      </c>
      <c r="BW4" s="12">
        <v>-7.4711540898400819E-2</v>
      </c>
      <c r="BX4" s="12">
        <v>-7.4711540898400819E-2</v>
      </c>
      <c r="BY4" s="12">
        <v>-7.4711540898400819E-2</v>
      </c>
      <c r="BZ4" s="12">
        <v>-7.4711540898400819E-2</v>
      </c>
      <c r="CA4" s="12">
        <v>-7.4711540898400819E-2</v>
      </c>
      <c r="CB4" s="12">
        <v>-7.4711540898400819E-2</v>
      </c>
      <c r="CC4" s="12">
        <v>-7.4711540898400819E-2</v>
      </c>
      <c r="CD4" s="12">
        <v>-7.4711540898400819E-2</v>
      </c>
      <c r="CE4" s="12">
        <v>-7.4711540898400819E-2</v>
      </c>
      <c r="CF4" s="12">
        <v>-7.4711540898400819E-2</v>
      </c>
      <c r="CG4" s="12">
        <v>-7.4711540898400819E-2</v>
      </c>
      <c r="CH4" s="12">
        <v>-7.4711540898400819E-2</v>
      </c>
      <c r="CI4" s="12">
        <v>-7.4711540898400819E-2</v>
      </c>
      <c r="CJ4" s="12">
        <v>-7.4711540898400819E-2</v>
      </c>
      <c r="CK4" s="12">
        <v>-7.4711540898400819E-2</v>
      </c>
      <c r="CL4" s="12">
        <v>-7.4711540898400819E-2</v>
      </c>
      <c r="CM4" s="12">
        <v>-7.4711540898400819E-2</v>
      </c>
      <c r="CN4" s="12">
        <v>-7.4711540898400819E-2</v>
      </c>
      <c r="CO4" s="12">
        <v>-7.4711540898400819E-2</v>
      </c>
      <c r="CP4" s="12">
        <v>-7.4711540898400819E-2</v>
      </c>
      <c r="CQ4" s="12">
        <v>-7.4711540898400819E-2</v>
      </c>
      <c r="CR4" s="12">
        <v>-7.4711540898400819E-2</v>
      </c>
      <c r="CS4" s="12">
        <v>-7.4711540898400819E-2</v>
      </c>
      <c r="CT4" s="12">
        <v>-7.4711540898400819E-2</v>
      </c>
      <c r="CU4" s="12">
        <v>-7.4711540898400819E-2</v>
      </c>
      <c r="CV4" s="12">
        <v>-7.4711540898400819E-2</v>
      </c>
      <c r="CW4" s="12">
        <v>-7.4711540898400819E-2</v>
      </c>
      <c r="CX4" s="12">
        <v>-7.4711540898400819E-2</v>
      </c>
      <c r="CY4" s="12">
        <v>-7.4711540898400819E-2</v>
      </c>
      <c r="CZ4" s="12">
        <v>-7.4711540898400819E-2</v>
      </c>
      <c r="DA4" s="12">
        <v>-7.4711540898400819E-2</v>
      </c>
      <c r="DB4" s="12">
        <v>-7.4711540898400819E-2</v>
      </c>
      <c r="DC4" s="12">
        <v>-7.4711540898400819E-2</v>
      </c>
      <c r="DD4" s="12">
        <v>-7.4711540898400819E-2</v>
      </c>
      <c r="DE4" s="12">
        <v>-7.4711540898400819E-2</v>
      </c>
      <c r="DF4" s="12">
        <v>-7.4711540898400819E-2</v>
      </c>
      <c r="DG4" s="12">
        <v>-7.4711540898400819E-2</v>
      </c>
      <c r="DH4" s="12">
        <v>-7.4711540898400819E-2</v>
      </c>
      <c r="DI4" s="12">
        <v>-7.4711540898400819E-2</v>
      </c>
      <c r="DJ4" s="12">
        <v>-7.4711540898400819E-2</v>
      </c>
      <c r="DK4" s="12">
        <v>-7.4711540898400819E-2</v>
      </c>
      <c r="DL4" s="12">
        <v>-7.4711540898400819E-2</v>
      </c>
      <c r="DM4" s="12">
        <v>-7.4711540898400819E-2</v>
      </c>
      <c r="DN4" s="12">
        <v>-7.4711540898400819E-2</v>
      </c>
      <c r="DO4" s="12">
        <v>-7.4711540898400819E-2</v>
      </c>
      <c r="DP4" s="12">
        <v>-7.4711540898400819E-2</v>
      </c>
      <c r="DQ4" s="12">
        <v>-7.4711540898400819E-2</v>
      </c>
      <c r="DR4" s="12">
        <v>-7.4711540898400819E-2</v>
      </c>
      <c r="DS4" s="12">
        <v>-7.4711540898400819E-2</v>
      </c>
      <c r="DT4" s="12">
        <v>-7.4711540898400819E-2</v>
      </c>
      <c r="DU4" s="12">
        <v>-7.4711540898400819E-2</v>
      </c>
      <c r="DV4" s="12">
        <v>-7.4711540898400819E-2</v>
      </c>
      <c r="DW4" s="12">
        <v>-7.4711540898400819E-2</v>
      </c>
      <c r="DX4" s="12">
        <v>-7.4711540898400819E-2</v>
      </c>
      <c r="DY4" s="12">
        <v>-7.4711540898400819E-2</v>
      </c>
      <c r="DZ4" s="12">
        <v>-7.4711540898400819E-2</v>
      </c>
      <c r="EA4" s="12">
        <v>-7.4711540898400819E-2</v>
      </c>
      <c r="EB4" s="12">
        <v>-7.4711540898400819E-2</v>
      </c>
      <c r="EC4" s="12">
        <v>-7.4711540898400819E-2</v>
      </c>
      <c r="ED4" s="12">
        <v>-7.4711540898400819E-2</v>
      </c>
      <c r="EE4" s="12">
        <v>-7.4711540898400819E-2</v>
      </c>
      <c r="EF4" s="12">
        <v>-7.4711540898400819E-2</v>
      </c>
    </row>
    <row r="5" spans="1:136">
      <c r="A5" s="1"/>
      <c r="B5" s="2" t="s">
        <v>137</v>
      </c>
      <c r="C5" s="12">
        <v>-7.4711540898400819E-2</v>
      </c>
      <c r="D5" s="12">
        <v>-7.4711540898400819E-2</v>
      </c>
      <c r="E5" s="12">
        <v>-7.4711540898400819E-2</v>
      </c>
      <c r="F5" s="12">
        <v>-7.4711540898400819E-2</v>
      </c>
      <c r="G5" s="12">
        <v>-7.4711540898400819E-2</v>
      </c>
      <c r="H5" s="12">
        <v>-7.4711540898400819E-2</v>
      </c>
      <c r="I5" s="12">
        <v>-7.4711540898400819E-2</v>
      </c>
      <c r="J5" s="12">
        <v>-7.4711540898400819E-2</v>
      </c>
      <c r="K5" s="12">
        <v>-7.4711540898400819E-2</v>
      </c>
      <c r="L5" s="12">
        <v>-7.4711540898400819E-2</v>
      </c>
      <c r="M5" s="12">
        <v>-7.4711540898400819E-2</v>
      </c>
      <c r="N5" s="12">
        <v>-7.4711540898400819E-2</v>
      </c>
      <c r="O5" s="12">
        <v>-7.4711540898400819E-2</v>
      </c>
      <c r="P5" s="12">
        <v>-7.4711540898400819E-2</v>
      </c>
      <c r="Q5" s="12">
        <v>-7.4711540898400819E-2</v>
      </c>
      <c r="R5" s="12">
        <v>-7.4711540898400819E-2</v>
      </c>
      <c r="S5" s="12">
        <v>-7.4711540898400819E-2</v>
      </c>
      <c r="T5" s="12">
        <v>-7.4711540898400819E-2</v>
      </c>
      <c r="U5" s="12">
        <v>-7.4711540898400819E-2</v>
      </c>
      <c r="V5" s="12">
        <v>-7.4711540898400819E-2</v>
      </c>
      <c r="W5" s="12">
        <v>-7.4711540898400819E-2</v>
      </c>
      <c r="X5" s="12">
        <v>-7.4711540898400819E-2</v>
      </c>
      <c r="Y5" s="12">
        <v>-7.4711540898400819E-2</v>
      </c>
      <c r="Z5" s="12">
        <v>-7.4711540898400819E-2</v>
      </c>
      <c r="AA5" s="12">
        <v>-7.4711540898400819E-2</v>
      </c>
      <c r="AB5" s="12">
        <v>-7.4711540898400819E-2</v>
      </c>
      <c r="AC5" s="12">
        <v>-7.4711540898400819E-2</v>
      </c>
      <c r="AD5" s="12">
        <v>-7.4711540898400819E-2</v>
      </c>
      <c r="AE5" s="12">
        <v>-7.4711540898400819E-2</v>
      </c>
      <c r="AF5" s="12">
        <v>-7.4711540898400819E-2</v>
      </c>
      <c r="AG5" s="12">
        <v>-7.4711540898400819E-2</v>
      </c>
      <c r="AH5" s="12">
        <v>-7.4711540898400819E-2</v>
      </c>
      <c r="AI5" s="12">
        <v>-7.4711540898400819E-2</v>
      </c>
      <c r="AJ5" s="12">
        <v>-7.4711540898400819E-2</v>
      </c>
      <c r="AK5" s="12">
        <v>-7.4711540898400819E-2</v>
      </c>
      <c r="AL5" s="12">
        <v>-7.4711540898400819E-2</v>
      </c>
      <c r="AM5" s="12">
        <v>-7.4711540898400819E-2</v>
      </c>
      <c r="AN5" s="12">
        <v>-7.4711540898400819E-2</v>
      </c>
      <c r="AO5" s="12">
        <v>-7.4711540898400819E-2</v>
      </c>
      <c r="AP5" s="12">
        <v>-7.4711540898400819E-2</v>
      </c>
      <c r="AQ5" s="12">
        <v>-7.4711540898400819E-2</v>
      </c>
      <c r="AR5" s="12">
        <v>-7.4711540898400819E-2</v>
      </c>
      <c r="AS5" s="12">
        <v>-7.4711540898400819E-2</v>
      </c>
      <c r="AT5" s="12">
        <v>-7.4711540898400819E-2</v>
      </c>
      <c r="AU5" s="12">
        <v>-7.4711540898400819E-2</v>
      </c>
      <c r="AV5" s="12">
        <v>-7.4711540898400819E-2</v>
      </c>
      <c r="AW5" s="12">
        <v>-7.4711540898400819E-2</v>
      </c>
      <c r="AX5" s="12">
        <v>-7.4711540898400819E-2</v>
      </c>
      <c r="AY5" s="12">
        <v>-7.4711540898400819E-2</v>
      </c>
      <c r="AZ5" s="12">
        <v>-7.4711540898400819E-2</v>
      </c>
      <c r="BA5" s="12">
        <v>-7.4711540898400819E-2</v>
      </c>
      <c r="BB5" s="12">
        <v>-7.4711540898400819E-2</v>
      </c>
      <c r="BC5" s="12">
        <v>-7.4711540898400819E-2</v>
      </c>
      <c r="BD5" s="12">
        <v>-7.4711540898400819E-2</v>
      </c>
      <c r="BE5" s="12">
        <v>-7.4711540898400819E-2</v>
      </c>
      <c r="BF5" s="12">
        <v>-7.4711540898400819E-2</v>
      </c>
      <c r="BG5" s="12">
        <v>-7.4711540898400819E-2</v>
      </c>
      <c r="BH5" s="12">
        <v>-7.4711540898400819E-2</v>
      </c>
      <c r="BI5" s="12">
        <v>-7.4711540898400819E-2</v>
      </c>
      <c r="BJ5" s="12">
        <v>-7.4711540898400819E-2</v>
      </c>
      <c r="BK5" s="12">
        <v>-7.4711540898400819E-2</v>
      </c>
      <c r="BL5" s="12">
        <v>-7.4711540898400819E-2</v>
      </c>
      <c r="BM5" s="12">
        <v>-7.4711540898400819E-2</v>
      </c>
      <c r="BN5" s="12">
        <v>-7.4711540898400819E-2</v>
      </c>
      <c r="BO5" s="12">
        <v>-7.4711540898400819E-2</v>
      </c>
      <c r="BP5" s="12">
        <v>-7.4711540898400819E-2</v>
      </c>
      <c r="BQ5" s="12">
        <v>-7.4711540898400819E-2</v>
      </c>
      <c r="BR5" s="12">
        <v>-7.4711540898400819E-2</v>
      </c>
      <c r="BS5" s="12">
        <v>-7.4711540898400819E-2</v>
      </c>
      <c r="BT5" s="12">
        <v>-7.4711540898400819E-2</v>
      </c>
      <c r="BU5" s="12">
        <v>-7.4711540898400819E-2</v>
      </c>
      <c r="BV5" s="12">
        <v>-7.4711540898400819E-2</v>
      </c>
      <c r="BW5" s="12">
        <v>-7.4711540898400819E-2</v>
      </c>
      <c r="BX5" s="12">
        <v>-7.4711540898400819E-2</v>
      </c>
      <c r="BY5" s="12">
        <v>-7.4711540898400819E-2</v>
      </c>
      <c r="BZ5" s="12">
        <v>-7.4711540898400819E-2</v>
      </c>
      <c r="CA5" s="12">
        <v>-7.4711540898400819E-2</v>
      </c>
      <c r="CB5" s="12">
        <v>-7.4711540898400819E-2</v>
      </c>
      <c r="CC5" s="12">
        <v>-7.4711540898400819E-2</v>
      </c>
      <c r="CD5" s="12">
        <v>-7.4711540898400819E-2</v>
      </c>
      <c r="CE5" s="12">
        <v>-7.4711540898400819E-2</v>
      </c>
      <c r="CF5" s="12">
        <v>-7.4711540898400819E-2</v>
      </c>
      <c r="CG5" s="12">
        <v>-7.4711540898400819E-2</v>
      </c>
      <c r="CH5" s="12">
        <v>-7.4711540898400819E-2</v>
      </c>
      <c r="CI5" s="12">
        <v>-7.4711540898400819E-2</v>
      </c>
      <c r="CJ5" s="12">
        <v>-7.4711540898400819E-2</v>
      </c>
      <c r="CK5" s="12">
        <v>-7.4711540898400819E-2</v>
      </c>
      <c r="CL5" s="12">
        <v>-7.4711540898400819E-2</v>
      </c>
      <c r="CM5" s="12">
        <v>-7.4711540898400819E-2</v>
      </c>
      <c r="CN5" s="12">
        <v>-7.4711540898400819E-2</v>
      </c>
      <c r="CO5" s="12">
        <v>-7.4711540898400819E-2</v>
      </c>
      <c r="CP5" s="12">
        <v>-7.4711540898400819E-2</v>
      </c>
      <c r="CQ5" s="12">
        <v>-7.4711540898400819E-2</v>
      </c>
      <c r="CR5" s="12">
        <v>-7.4711540898400819E-2</v>
      </c>
      <c r="CS5" s="12">
        <v>-7.4711540898400819E-2</v>
      </c>
      <c r="CT5" s="12">
        <v>-7.4711540898400819E-2</v>
      </c>
      <c r="CU5" s="12">
        <v>-7.4711540898400819E-2</v>
      </c>
      <c r="CV5" s="12">
        <v>-7.4711540898400819E-2</v>
      </c>
      <c r="CW5" s="12">
        <v>-7.4711540898400819E-2</v>
      </c>
      <c r="CX5" s="12">
        <v>-7.4711540898400819E-2</v>
      </c>
      <c r="CY5" s="12">
        <v>-7.4711540898400819E-2</v>
      </c>
      <c r="CZ5" s="12">
        <v>-7.4711540898400819E-2</v>
      </c>
      <c r="DA5" s="12">
        <v>-7.4711540898400819E-2</v>
      </c>
      <c r="DB5" s="12">
        <v>-7.4711540898400819E-2</v>
      </c>
      <c r="DC5" s="12">
        <v>-7.4711540898400819E-2</v>
      </c>
      <c r="DD5" s="12">
        <v>-7.4711540898400819E-2</v>
      </c>
      <c r="DE5" s="12">
        <v>-7.4711540898400819E-2</v>
      </c>
      <c r="DF5" s="12">
        <v>-7.4711540898400819E-2</v>
      </c>
      <c r="DG5" s="12">
        <v>-7.4711540898400819E-2</v>
      </c>
      <c r="DH5" s="12">
        <v>-7.4711540898400819E-2</v>
      </c>
      <c r="DI5" s="12">
        <v>-7.4711540898400819E-2</v>
      </c>
      <c r="DJ5" s="12">
        <v>-7.4711540898400819E-2</v>
      </c>
      <c r="DK5" s="12">
        <v>-7.4711540898400819E-2</v>
      </c>
      <c r="DL5" s="12">
        <v>-7.4711540898400819E-2</v>
      </c>
      <c r="DM5" s="12">
        <v>-7.4711540898400819E-2</v>
      </c>
      <c r="DN5" s="12">
        <v>-7.4711540898400819E-2</v>
      </c>
      <c r="DO5" s="12">
        <v>-7.4711540898400819E-2</v>
      </c>
      <c r="DP5" s="12">
        <v>-7.4711540898400819E-2</v>
      </c>
      <c r="DQ5" s="12">
        <v>-7.4711540898400819E-2</v>
      </c>
      <c r="DR5" s="12">
        <v>-7.4711540898400819E-2</v>
      </c>
      <c r="DS5" s="12">
        <v>-7.4711540898400819E-2</v>
      </c>
      <c r="DT5" s="12">
        <v>-7.4711540898400819E-2</v>
      </c>
      <c r="DU5" s="12">
        <v>-7.4711540898400819E-2</v>
      </c>
      <c r="DV5" s="12">
        <v>-7.4711540898400819E-2</v>
      </c>
      <c r="DW5" s="12">
        <v>-7.4711540898400819E-2</v>
      </c>
      <c r="DX5" s="12">
        <v>-7.4711540898400819E-2</v>
      </c>
      <c r="DY5" s="12">
        <v>-7.4711540898400819E-2</v>
      </c>
      <c r="DZ5" s="12">
        <v>-7.4711540898400819E-2</v>
      </c>
      <c r="EA5" s="12">
        <v>-7.4711540898400819E-2</v>
      </c>
      <c r="EB5" s="12">
        <v>-7.4711540898400819E-2</v>
      </c>
      <c r="EC5" s="12">
        <v>-7.4711540898400819E-2</v>
      </c>
      <c r="ED5" s="12">
        <v>-7.4711540898400819E-2</v>
      </c>
      <c r="EE5" s="12">
        <v>-7.4711540898400819E-2</v>
      </c>
      <c r="EF5" s="12">
        <v>-7.4711540898400819E-2</v>
      </c>
    </row>
    <row r="6" spans="1:136">
      <c r="A6" s="2" t="s">
        <v>138</v>
      </c>
      <c r="B6" s="1"/>
      <c r="C6" s="12">
        <f t="array" ref="C6">MATCH(MAX(ABS(C3:C5)),ABS(C3:C5),0)</f>
        <v>1</v>
      </c>
      <c r="D6" s="12">
        <f t="array" ref="D6">MATCH(MAX(ABS(D3:D5)),ABS(D3:D5),0)</f>
        <v>1</v>
      </c>
      <c r="E6" s="12">
        <f t="array" ref="E6">MATCH(MAX(ABS(E3:E5)),ABS(E3:E5),0)</f>
        <v>2</v>
      </c>
      <c r="F6" s="12">
        <f t="array" ref="F6">MATCH(MAX(ABS(F3:F5)),ABS(F3:F5),0)</f>
        <v>1</v>
      </c>
      <c r="G6" s="12">
        <f t="array" ref="G6">MATCH(MAX(ABS(G3:G5)),ABS(G3:G5),0)</f>
        <v>1</v>
      </c>
      <c r="H6" s="12">
        <f t="array" ref="H6">MATCH(MAX(ABS(H3:H5)),ABS(H3:H5),0)</f>
        <v>2</v>
      </c>
      <c r="I6" s="12">
        <f t="array" ref="I6">MATCH(MAX(ABS(I3:I5)),ABS(I3:I5),0)</f>
        <v>1</v>
      </c>
      <c r="J6" s="12">
        <f t="array" ref="J6">MATCH(MAX(ABS(J3:J5)),ABS(J3:J5),0)</f>
        <v>2</v>
      </c>
      <c r="K6" s="12">
        <f t="array" ref="K6">MATCH(MAX(ABS(K3:K5)),ABS(K3:K5),0)</f>
        <v>1</v>
      </c>
      <c r="L6" s="12">
        <f t="array" ref="L6">MATCH(MAX(ABS(L3:L5)),ABS(L3:L5),0)</f>
        <v>1</v>
      </c>
      <c r="M6" s="12">
        <f t="array" ref="M6">MATCH(MAX(ABS(M3:M5)),ABS(M3:M5),0)</f>
        <v>2</v>
      </c>
      <c r="N6" s="12">
        <f t="array" ref="N6">MATCH(MAX(ABS(N3:N5)),ABS(N3:N5),0)</f>
        <v>1</v>
      </c>
      <c r="O6" s="12">
        <f t="array" ref="O6">MATCH(MAX(ABS(O3:O5)),ABS(O3:O5),0)</f>
        <v>2</v>
      </c>
      <c r="P6" s="12">
        <f t="array" ref="P6">MATCH(MAX(ABS(P3:P5)),ABS(P3:P5),0)</f>
        <v>2</v>
      </c>
      <c r="Q6" s="12">
        <f t="array" ref="Q6">MATCH(MAX(ABS(Q3:Q5)),ABS(Q3:Q5),0)</f>
        <v>2</v>
      </c>
      <c r="R6" s="12">
        <f t="array" ref="R6">MATCH(MAX(ABS(R3:R5)),ABS(R3:R5),0)</f>
        <v>1</v>
      </c>
      <c r="S6" s="12">
        <f t="array" ref="S6">MATCH(MAX(ABS(S3:S5)),ABS(S3:S5),0)</f>
        <v>1</v>
      </c>
      <c r="T6" s="12">
        <f t="array" ref="T6">MATCH(MAX(ABS(T3:T5)),ABS(T3:T5),0)</f>
        <v>2</v>
      </c>
      <c r="U6" s="12">
        <f t="array" ref="U6">MATCH(MAX(ABS(U3:U5)),ABS(U3:U5),0)</f>
        <v>1</v>
      </c>
      <c r="V6" s="12">
        <f t="array" ref="V6">MATCH(MAX(ABS(V3:V5)),ABS(V3:V5),0)</f>
        <v>2</v>
      </c>
      <c r="W6" s="12">
        <f t="array" ref="W6">MATCH(MAX(ABS(W3:W5)),ABS(W3:W5),0)</f>
        <v>1</v>
      </c>
      <c r="X6" s="12">
        <f t="array" ref="X6">MATCH(MAX(ABS(X3:X5)),ABS(X3:X5),0)</f>
        <v>1</v>
      </c>
      <c r="Y6" s="12">
        <f t="array" ref="Y6">MATCH(MAX(ABS(Y3:Y5)),ABS(Y3:Y5),0)</f>
        <v>2</v>
      </c>
      <c r="Z6" s="12">
        <f t="array" ref="Z6">MATCH(MAX(ABS(Z3:Z5)),ABS(Z3:Z5),0)</f>
        <v>2</v>
      </c>
      <c r="AA6" s="12">
        <f t="array" ref="AA6">MATCH(MAX(ABS(AA3:AA5)),ABS(AA3:AA5),0)</f>
        <v>2</v>
      </c>
      <c r="AB6" s="12">
        <f t="array" ref="AB6">MATCH(MAX(ABS(AB3:AB5)),ABS(AB3:AB5),0)</f>
        <v>2</v>
      </c>
      <c r="AC6" s="12">
        <f t="array" ref="AC6">MATCH(MAX(ABS(AC3:AC5)),ABS(AC3:AC5),0)</f>
        <v>2</v>
      </c>
      <c r="AD6" s="12">
        <f t="array" ref="AD6">MATCH(MAX(ABS(AD3:AD5)),ABS(AD3:AD5),0)</f>
        <v>2</v>
      </c>
      <c r="AE6" s="12">
        <f t="array" ref="AE6">MATCH(MAX(ABS(AE3:AE5)),ABS(AE3:AE5),0)</f>
        <v>2</v>
      </c>
      <c r="AF6" s="12">
        <f t="array" ref="AF6">MATCH(MAX(ABS(AF3:AF5)),ABS(AF3:AF5),0)</f>
        <v>2</v>
      </c>
      <c r="AG6" s="12">
        <f t="array" ref="AG6">MATCH(MAX(ABS(AG3:AG5)),ABS(AG3:AG5),0)</f>
        <v>2</v>
      </c>
      <c r="AH6" s="12">
        <f t="array" ref="AH6">MATCH(MAX(ABS(AH3:AH5)),ABS(AH3:AH5),0)</f>
        <v>1</v>
      </c>
      <c r="AI6" s="12">
        <f t="array" ref="AI6">MATCH(MAX(ABS(AI3:AI5)),ABS(AI3:AI5),0)</f>
        <v>2</v>
      </c>
      <c r="AJ6" s="12">
        <f t="array" ref="AJ6">MATCH(MAX(ABS(AJ3:AJ5)),ABS(AJ3:AJ5),0)</f>
        <v>1</v>
      </c>
      <c r="AK6" s="12">
        <f t="array" ref="AK6">MATCH(MAX(ABS(AK3:AK5)),ABS(AK3:AK5),0)</f>
        <v>1</v>
      </c>
      <c r="AL6" s="12">
        <f t="array" ref="AL6">MATCH(MAX(ABS(AL3:AL5)),ABS(AL3:AL5),0)</f>
        <v>1</v>
      </c>
      <c r="AM6" s="12">
        <f t="array" ref="AM6">MATCH(MAX(ABS(AM3:AM5)),ABS(AM3:AM5),0)</f>
        <v>2</v>
      </c>
      <c r="AN6" s="12">
        <f t="array" ref="AN6">MATCH(MAX(ABS(AN3:AN5)),ABS(AN3:AN5),0)</f>
        <v>2</v>
      </c>
      <c r="AO6" s="12">
        <f t="array" ref="AO6">MATCH(MAX(ABS(AO3:AO5)),ABS(AO3:AO5),0)</f>
        <v>1</v>
      </c>
      <c r="AP6" s="12">
        <f t="array" ref="AP6">MATCH(MAX(ABS(AP3:AP5)),ABS(AP3:AP5),0)</f>
        <v>2</v>
      </c>
      <c r="AQ6" s="12">
        <f t="array" ref="AQ6">MATCH(MAX(ABS(AQ3:AQ5)),ABS(AQ3:AQ5),0)</f>
        <v>2</v>
      </c>
      <c r="AR6" s="12">
        <f t="array" ref="AR6">MATCH(MAX(ABS(AR3:AR5)),ABS(AR3:AR5),0)</f>
        <v>2</v>
      </c>
      <c r="AS6" s="12">
        <f t="array" ref="AS6">MATCH(MAX(ABS(AS3:AS5)),ABS(AS3:AS5),0)</f>
        <v>2</v>
      </c>
      <c r="AT6" s="12">
        <f t="array" ref="AT6">MATCH(MAX(ABS(AT3:AT5)),ABS(AT3:AT5),0)</f>
        <v>2</v>
      </c>
      <c r="AU6" s="12">
        <f t="array" ref="AU6">MATCH(MAX(ABS(AU3:AU5)),ABS(AU3:AU5),0)</f>
        <v>2</v>
      </c>
      <c r="AV6" s="12">
        <f t="array" ref="AV6">MATCH(MAX(ABS(AV3:AV5)),ABS(AV3:AV5),0)</f>
        <v>2</v>
      </c>
      <c r="AW6" s="12">
        <f t="array" ref="AW6">MATCH(MAX(ABS(AW3:AW5)),ABS(AW3:AW5),0)</f>
        <v>2</v>
      </c>
      <c r="AX6" s="12">
        <f t="array" ref="AX6">MATCH(MAX(ABS(AX3:AX5)),ABS(AX3:AX5),0)</f>
        <v>2</v>
      </c>
      <c r="AY6" s="12">
        <f t="array" ref="AY6">MATCH(MAX(ABS(AY3:AY5)),ABS(AY3:AY5),0)</f>
        <v>2</v>
      </c>
      <c r="AZ6" s="12">
        <f t="array" ref="AZ6">MATCH(MAX(ABS(AZ3:AZ5)),ABS(AZ3:AZ5),0)</f>
        <v>2</v>
      </c>
      <c r="BA6" s="12">
        <f t="array" ref="BA6">MATCH(MAX(ABS(BA3:BA5)),ABS(BA3:BA5),0)</f>
        <v>2</v>
      </c>
      <c r="BB6" s="12">
        <f t="array" ref="BB6">MATCH(MAX(ABS(BB3:BB5)),ABS(BB3:BB5),0)</f>
        <v>2</v>
      </c>
      <c r="BC6" s="12">
        <f t="array" ref="BC6">MATCH(MAX(ABS(BC3:BC5)),ABS(BC3:BC5),0)</f>
        <v>2</v>
      </c>
      <c r="BD6" s="12">
        <f t="array" ref="BD6">MATCH(MAX(ABS(BD3:BD5)),ABS(BD3:BD5),0)</f>
        <v>2</v>
      </c>
      <c r="BE6" s="12">
        <f t="array" ref="BE6">MATCH(MAX(ABS(BE3:BE5)),ABS(BE3:BE5),0)</f>
        <v>1</v>
      </c>
      <c r="BF6" s="12">
        <f t="array" ref="BF6">MATCH(MAX(ABS(BF3:BF5)),ABS(BF3:BF5),0)</f>
        <v>1</v>
      </c>
      <c r="BG6" s="12">
        <f t="array" ref="BG6">MATCH(MAX(ABS(BG3:BG5)),ABS(BG3:BG5),0)</f>
        <v>2</v>
      </c>
      <c r="BH6" s="12">
        <f t="array" ref="BH6">MATCH(MAX(ABS(BH3:BH5)),ABS(BH3:BH5),0)</f>
        <v>2</v>
      </c>
      <c r="BI6" s="12">
        <f t="array" ref="BI6">MATCH(MAX(ABS(BI3:BI5)),ABS(BI3:BI5),0)</f>
        <v>2</v>
      </c>
      <c r="BJ6" s="12">
        <f t="array" ref="BJ6">MATCH(MAX(ABS(BJ3:BJ5)),ABS(BJ3:BJ5),0)</f>
        <v>2</v>
      </c>
      <c r="BK6" s="12">
        <f t="array" ref="BK6">MATCH(MAX(ABS(BK3:BK5)),ABS(BK3:BK5),0)</f>
        <v>2</v>
      </c>
      <c r="BL6" s="12">
        <f t="array" ref="BL6">MATCH(MAX(ABS(BL3:BL5)),ABS(BL3:BL5),0)</f>
        <v>1</v>
      </c>
      <c r="BM6" s="12">
        <f t="array" ref="BM6">MATCH(MAX(ABS(BM3:BM5)),ABS(BM3:BM5),0)</f>
        <v>1</v>
      </c>
      <c r="BN6" s="12">
        <f t="array" ref="BN6">MATCH(MAX(ABS(BN3:BN5)),ABS(BN3:BN5),0)</f>
        <v>2</v>
      </c>
      <c r="BO6" s="12">
        <f t="array" ref="BO6">MATCH(MAX(ABS(BO3:BO5)),ABS(BO3:BO5),0)</f>
        <v>1</v>
      </c>
      <c r="BP6" s="12">
        <f t="array" ref="BP6">MATCH(MAX(ABS(BP3:BP5)),ABS(BP3:BP5),0)</f>
        <v>1</v>
      </c>
      <c r="BQ6" s="12">
        <f t="array" ref="BQ6">MATCH(MAX(ABS(BQ3:BQ5)),ABS(BQ3:BQ5),0)</f>
        <v>2</v>
      </c>
      <c r="BR6" s="12">
        <f t="array" ref="BR6">MATCH(MAX(ABS(BR3:BR5)),ABS(BR3:BR5),0)</f>
        <v>2</v>
      </c>
      <c r="BS6" s="12">
        <f t="array" ref="BS6">MATCH(MAX(ABS(BS3:BS5)),ABS(BS3:BS5),0)</f>
        <v>1</v>
      </c>
      <c r="BT6" s="12">
        <f t="array" ref="BT6">MATCH(MAX(ABS(BT3:BT5)),ABS(BT3:BT5),0)</f>
        <v>1</v>
      </c>
      <c r="BU6" s="12">
        <f t="array" ref="BU6">MATCH(MAX(ABS(BU3:BU5)),ABS(BU3:BU5),0)</f>
        <v>2</v>
      </c>
      <c r="BV6" s="12">
        <f t="array" ref="BV6">MATCH(MAX(ABS(BV3:BV5)),ABS(BV3:BV5),0)</f>
        <v>2</v>
      </c>
      <c r="BW6" s="12">
        <f t="array" ref="BW6">MATCH(MAX(ABS(BW3:BW5)),ABS(BW3:BW5),0)</f>
        <v>2</v>
      </c>
      <c r="BX6" s="12">
        <f t="array" ref="BX6">MATCH(MAX(ABS(BX3:BX5)),ABS(BX3:BX5),0)</f>
        <v>2</v>
      </c>
      <c r="BY6" s="12">
        <f t="array" ref="BY6">MATCH(MAX(ABS(BY3:BY5)),ABS(BY3:BY5),0)</f>
        <v>2</v>
      </c>
      <c r="BZ6" s="12">
        <f t="array" ref="BZ6">MATCH(MAX(ABS(BZ3:BZ5)),ABS(BZ3:BZ5),0)</f>
        <v>2</v>
      </c>
      <c r="CA6" s="12">
        <f t="array" ref="CA6">MATCH(MAX(ABS(CA3:CA5)),ABS(CA3:CA5),0)</f>
        <v>2</v>
      </c>
      <c r="CB6" s="12">
        <f t="array" ref="CB6">MATCH(MAX(ABS(CB3:CB5)),ABS(CB3:CB5),0)</f>
        <v>2</v>
      </c>
      <c r="CC6" s="12">
        <f t="array" ref="CC6">MATCH(MAX(ABS(CC3:CC5)),ABS(CC3:CC5),0)</f>
        <v>2</v>
      </c>
      <c r="CD6" s="12">
        <f t="array" ref="CD6">MATCH(MAX(ABS(CD3:CD5)),ABS(CD3:CD5),0)</f>
        <v>2</v>
      </c>
      <c r="CE6" s="12">
        <f t="array" ref="CE6">MATCH(MAX(ABS(CE3:CE5)),ABS(CE3:CE5),0)</f>
        <v>1</v>
      </c>
      <c r="CF6" s="12">
        <f t="array" ref="CF6">MATCH(MAX(ABS(CF3:CF5)),ABS(CF3:CF5),0)</f>
        <v>1</v>
      </c>
      <c r="CG6" s="12">
        <f t="array" ref="CG6">MATCH(MAX(ABS(CG3:CG5)),ABS(CG3:CG5),0)</f>
        <v>2</v>
      </c>
      <c r="CH6" s="12">
        <f t="array" ref="CH6">MATCH(MAX(ABS(CH3:CH5)),ABS(CH3:CH5),0)</f>
        <v>2</v>
      </c>
      <c r="CI6" s="12">
        <f t="array" ref="CI6">MATCH(MAX(ABS(CI3:CI5)),ABS(CI3:CI5),0)</f>
        <v>2</v>
      </c>
      <c r="CJ6" s="12">
        <f t="array" ref="CJ6">MATCH(MAX(ABS(CJ3:CJ5)),ABS(CJ3:CJ5),0)</f>
        <v>2</v>
      </c>
      <c r="CK6" s="12">
        <f t="array" ref="CK6">MATCH(MAX(ABS(CK3:CK5)),ABS(CK3:CK5),0)</f>
        <v>2</v>
      </c>
      <c r="CL6" s="12">
        <f t="array" ref="CL6">MATCH(MAX(ABS(CL3:CL5)),ABS(CL3:CL5),0)</f>
        <v>1</v>
      </c>
      <c r="CM6" s="12">
        <f t="array" ref="CM6">MATCH(MAX(ABS(CM3:CM5)),ABS(CM3:CM5),0)</f>
        <v>1</v>
      </c>
      <c r="CN6" s="12">
        <f t="array" ref="CN6">MATCH(MAX(ABS(CN3:CN5)),ABS(CN3:CN5),0)</f>
        <v>2</v>
      </c>
      <c r="CO6" s="12">
        <f t="array" ref="CO6">MATCH(MAX(ABS(CO3:CO5)),ABS(CO3:CO5),0)</f>
        <v>1</v>
      </c>
      <c r="CP6" s="12">
        <f t="array" ref="CP6">MATCH(MAX(ABS(CP3:CP5)),ABS(CP3:CP5),0)</f>
        <v>2</v>
      </c>
      <c r="CQ6" s="12">
        <f t="array" ref="CQ6">MATCH(MAX(ABS(CQ3:CQ5)),ABS(CQ3:CQ5),0)</f>
        <v>2</v>
      </c>
      <c r="CR6" s="12">
        <f t="array" ref="CR6">MATCH(MAX(ABS(CR3:CR5)),ABS(CR3:CR5),0)</f>
        <v>1</v>
      </c>
      <c r="CS6" s="12">
        <f t="array" ref="CS6">MATCH(MAX(ABS(CS3:CS5)),ABS(CS3:CS5),0)</f>
        <v>1</v>
      </c>
      <c r="CT6" s="12">
        <f t="array" ref="CT6">MATCH(MAX(ABS(CT3:CT5)),ABS(CT3:CT5),0)</f>
        <v>2</v>
      </c>
      <c r="CU6" s="12">
        <f t="array" ref="CU6">MATCH(MAX(ABS(CU3:CU5)),ABS(CU3:CU5),0)</f>
        <v>1</v>
      </c>
      <c r="CV6" s="12">
        <f t="array" ref="CV6">MATCH(MAX(ABS(CV3:CV5)),ABS(CV3:CV5),0)</f>
        <v>1</v>
      </c>
      <c r="CW6" s="12">
        <f t="array" ref="CW6">MATCH(MAX(ABS(CW3:CW5)),ABS(CW3:CW5),0)</f>
        <v>1</v>
      </c>
      <c r="CX6" s="12">
        <f t="array" ref="CX6">MATCH(MAX(ABS(CX3:CX5)),ABS(CX3:CX5),0)</f>
        <v>1</v>
      </c>
      <c r="CY6" s="12">
        <f t="array" ref="CY6">MATCH(MAX(ABS(CY3:CY5)),ABS(CY3:CY5),0)</f>
        <v>2</v>
      </c>
      <c r="CZ6" s="12">
        <f t="array" ref="CZ6">MATCH(MAX(ABS(CZ3:CZ5)),ABS(CZ3:CZ5),0)</f>
        <v>2</v>
      </c>
      <c r="DA6" s="12">
        <f t="array" ref="DA6">MATCH(MAX(ABS(DA3:DA5)),ABS(DA3:DA5),0)</f>
        <v>1</v>
      </c>
      <c r="DB6" s="12">
        <f t="array" ref="DB6">MATCH(MAX(ABS(DB3:DB5)),ABS(DB3:DB5),0)</f>
        <v>2</v>
      </c>
      <c r="DC6" s="12">
        <f t="array" ref="DC6">MATCH(MAX(ABS(DC3:DC5)),ABS(DC3:DC5),0)</f>
        <v>2</v>
      </c>
      <c r="DD6" s="12">
        <f t="array" ref="DD6">MATCH(MAX(ABS(DD3:DD5)),ABS(DD3:DD5),0)</f>
        <v>2</v>
      </c>
      <c r="DE6" s="12">
        <f t="array" ref="DE6">MATCH(MAX(ABS(DE3:DE5)),ABS(DE3:DE5),0)</f>
        <v>2</v>
      </c>
      <c r="DF6" s="12">
        <f t="array" ref="DF6">MATCH(MAX(ABS(DF3:DF5)),ABS(DF3:DF5),0)</f>
        <v>2</v>
      </c>
      <c r="DG6" s="12">
        <f t="array" ref="DG6">MATCH(MAX(ABS(DG3:DG5)),ABS(DG3:DG5),0)</f>
        <v>2</v>
      </c>
      <c r="DH6" s="12">
        <f t="array" ref="DH6">MATCH(MAX(ABS(DH3:DH5)),ABS(DH3:DH5),0)</f>
        <v>2</v>
      </c>
      <c r="DI6" s="12">
        <f t="array" ref="DI6">MATCH(MAX(ABS(DI3:DI5)),ABS(DI3:DI5),0)</f>
        <v>2</v>
      </c>
      <c r="DJ6" s="12">
        <f t="array" ref="DJ6">MATCH(MAX(ABS(DJ3:DJ5)),ABS(DJ3:DJ5),0)</f>
        <v>2</v>
      </c>
      <c r="DK6" s="12">
        <f t="array" ref="DK6">MATCH(MAX(ABS(DK3:DK5)),ABS(DK3:DK5),0)</f>
        <v>2</v>
      </c>
      <c r="DL6" s="12">
        <f t="array" ref="DL6">MATCH(MAX(ABS(DL3:DL5)),ABS(DL3:DL5),0)</f>
        <v>2</v>
      </c>
      <c r="DM6" s="12">
        <f t="array" ref="DM6">MATCH(MAX(ABS(DM3:DM5)),ABS(DM3:DM5),0)</f>
        <v>2</v>
      </c>
      <c r="DN6" s="12">
        <f t="array" ref="DN6">MATCH(MAX(ABS(DN3:DN5)),ABS(DN3:DN5),0)</f>
        <v>1</v>
      </c>
      <c r="DO6" s="12">
        <f t="array" ref="DO6">MATCH(MAX(ABS(DO3:DO5)),ABS(DO3:DO5),0)</f>
        <v>2</v>
      </c>
      <c r="DP6" s="12">
        <f t="array" ref="DP6">MATCH(MAX(ABS(DP3:DP5)),ABS(DP3:DP5),0)</f>
        <v>1</v>
      </c>
      <c r="DQ6" s="12">
        <f t="array" ref="DQ6">MATCH(MAX(ABS(DQ3:DQ5)),ABS(DQ3:DQ5),0)</f>
        <v>2</v>
      </c>
      <c r="DR6" s="12">
        <f t="array" ref="DR6">MATCH(MAX(ABS(DR3:DR5)),ABS(DR3:DR5),0)</f>
        <v>2</v>
      </c>
      <c r="DS6" s="12">
        <f t="array" ref="DS6">MATCH(MAX(ABS(DS3:DS5)),ABS(DS3:DS5),0)</f>
        <v>1</v>
      </c>
      <c r="DT6" s="12">
        <f t="array" ref="DT6">MATCH(MAX(ABS(DT3:DT5)),ABS(DT3:DT5),0)</f>
        <v>2</v>
      </c>
      <c r="DU6" s="12">
        <f t="array" ref="DU6">MATCH(MAX(ABS(DU3:DU5)),ABS(DU3:DU5),0)</f>
        <v>2</v>
      </c>
      <c r="DV6" s="12">
        <f t="array" ref="DV6">MATCH(MAX(ABS(DV3:DV5)),ABS(DV3:DV5),0)</f>
        <v>2</v>
      </c>
      <c r="DW6" s="12">
        <f t="array" ref="DW6">MATCH(MAX(ABS(DW3:DW5)),ABS(DW3:DW5),0)</f>
        <v>1</v>
      </c>
      <c r="DX6" s="12">
        <f t="array" ref="DX6">MATCH(MAX(ABS(DX3:DX5)),ABS(DX3:DX5),0)</f>
        <v>2</v>
      </c>
      <c r="DY6" s="12">
        <f t="array" ref="DY6">MATCH(MAX(ABS(DY3:DY5)),ABS(DY3:DY5),0)</f>
        <v>2</v>
      </c>
      <c r="DZ6" s="12">
        <f t="array" ref="DZ6">MATCH(MAX(ABS(DZ3:DZ5)),ABS(DZ3:DZ5),0)</f>
        <v>1</v>
      </c>
      <c r="EA6" s="12">
        <f t="array" ref="EA6">MATCH(MAX(ABS(EA3:EA5)),ABS(EA3:EA5),0)</f>
        <v>2</v>
      </c>
      <c r="EB6" s="12">
        <f t="array" ref="EB6">MATCH(MAX(ABS(EB3:EB5)),ABS(EB3:EB5),0)</f>
        <v>2</v>
      </c>
      <c r="EC6" s="12">
        <f t="array" ref="EC6">MATCH(MAX(ABS(EC3:EC5)),ABS(EC3:EC5),0)</f>
        <v>1</v>
      </c>
      <c r="ED6" s="12">
        <f t="array" ref="ED6">MATCH(MAX(ABS(ED3:ED5)),ABS(ED3:ED5),0)</f>
        <v>1</v>
      </c>
      <c r="EE6" s="12">
        <f t="array" ref="EE6">MATCH(MAX(ABS(EE3:EE5)),ABS(EE3:EE5),0)</f>
        <v>1</v>
      </c>
      <c r="EF6" s="12">
        <f t="array" ref="EF6">MATCH(MAX(ABS(EF3:EF5)),ABS(EF3:EF5),0)</f>
        <v>1</v>
      </c>
    </row>
    <row r="7" spans="1:136">
      <c r="C7" s="13" t="str">
        <f t="shared" ref="C7:BN7" si="0">IF(C6=1,"bm",IF(C6=2,"size",IF(C6=3,"mom")))</f>
        <v>bm</v>
      </c>
      <c r="D7" s="13" t="str">
        <f t="shared" si="0"/>
        <v>bm</v>
      </c>
      <c r="E7" s="13" t="str">
        <f t="shared" si="0"/>
        <v>size</v>
      </c>
      <c r="F7" s="13" t="str">
        <f t="shared" si="0"/>
        <v>bm</v>
      </c>
      <c r="G7" s="13" t="str">
        <f t="shared" si="0"/>
        <v>bm</v>
      </c>
      <c r="H7" s="13" t="str">
        <f t="shared" si="0"/>
        <v>size</v>
      </c>
      <c r="I7" s="13" t="str">
        <f t="shared" si="0"/>
        <v>bm</v>
      </c>
      <c r="J7" s="13" t="str">
        <f t="shared" si="0"/>
        <v>size</v>
      </c>
      <c r="K7" s="13" t="str">
        <f t="shared" si="0"/>
        <v>bm</v>
      </c>
      <c r="L7" s="13" t="str">
        <f t="shared" si="0"/>
        <v>bm</v>
      </c>
      <c r="M7" s="13" t="str">
        <f t="shared" si="0"/>
        <v>size</v>
      </c>
      <c r="N7" s="13" t="str">
        <f t="shared" si="0"/>
        <v>bm</v>
      </c>
      <c r="O7" s="13" t="str">
        <f t="shared" si="0"/>
        <v>size</v>
      </c>
      <c r="P7" s="13" t="str">
        <f t="shared" si="0"/>
        <v>size</v>
      </c>
      <c r="Q7" s="13" t="str">
        <f t="shared" si="0"/>
        <v>size</v>
      </c>
      <c r="R7" s="13" t="str">
        <f t="shared" si="0"/>
        <v>bm</v>
      </c>
      <c r="S7" s="13" t="str">
        <f t="shared" si="0"/>
        <v>bm</v>
      </c>
      <c r="T7" s="13" t="str">
        <f t="shared" si="0"/>
        <v>size</v>
      </c>
      <c r="U7" s="13" t="str">
        <f t="shared" si="0"/>
        <v>bm</v>
      </c>
      <c r="V7" s="13" t="str">
        <f t="shared" si="0"/>
        <v>size</v>
      </c>
      <c r="W7" s="13" t="str">
        <f t="shared" si="0"/>
        <v>bm</v>
      </c>
      <c r="X7" s="13" t="str">
        <f t="shared" si="0"/>
        <v>bm</v>
      </c>
      <c r="Y7" s="13" t="str">
        <f t="shared" si="0"/>
        <v>size</v>
      </c>
      <c r="Z7" s="13" t="str">
        <f t="shared" si="0"/>
        <v>size</v>
      </c>
      <c r="AA7" s="13" t="str">
        <f t="shared" si="0"/>
        <v>size</v>
      </c>
      <c r="AB7" s="13" t="str">
        <f t="shared" si="0"/>
        <v>size</v>
      </c>
      <c r="AC7" s="13" t="str">
        <f t="shared" si="0"/>
        <v>size</v>
      </c>
      <c r="AD7" s="13" t="str">
        <f t="shared" si="0"/>
        <v>size</v>
      </c>
      <c r="AE7" s="13" t="str">
        <f t="shared" si="0"/>
        <v>size</v>
      </c>
      <c r="AF7" s="13" t="str">
        <f t="shared" si="0"/>
        <v>size</v>
      </c>
      <c r="AG7" s="13" t="str">
        <f t="shared" si="0"/>
        <v>size</v>
      </c>
      <c r="AH7" s="13" t="str">
        <f t="shared" si="0"/>
        <v>bm</v>
      </c>
      <c r="AI7" s="13" t="str">
        <f t="shared" si="0"/>
        <v>size</v>
      </c>
      <c r="AJ7" s="13" t="str">
        <f t="shared" si="0"/>
        <v>bm</v>
      </c>
      <c r="AK7" s="13" t="str">
        <f t="shared" si="0"/>
        <v>bm</v>
      </c>
      <c r="AL7" s="13" t="str">
        <f t="shared" si="0"/>
        <v>bm</v>
      </c>
      <c r="AM7" s="13" t="str">
        <f t="shared" si="0"/>
        <v>size</v>
      </c>
      <c r="AN7" s="13" t="str">
        <f t="shared" si="0"/>
        <v>size</v>
      </c>
      <c r="AO7" s="13" t="str">
        <f t="shared" si="0"/>
        <v>bm</v>
      </c>
      <c r="AP7" s="13" t="str">
        <f t="shared" si="0"/>
        <v>size</v>
      </c>
      <c r="AQ7" s="13" t="str">
        <f t="shared" si="0"/>
        <v>size</v>
      </c>
      <c r="AR7" s="13" t="str">
        <f t="shared" si="0"/>
        <v>size</v>
      </c>
      <c r="AS7" s="13" t="str">
        <f t="shared" si="0"/>
        <v>size</v>
      </c>
      <c r="AT7" s="13" t="str">
        <f t="shared" si="0"/>
        <v>size</v>
      </c>
      <c r="AU7" s="13" t="str">
        <f t="shared" si="0"/>
        <v>size</v>
      </c>
      <c r="AV7" s="13" t="str">
        <f t="shared" si="0"/>
        <v>size</v>
      </c>
      <c r="AW7" s="13" t="str">
        <f t="shared" si="0"/>
        <v>size</v>
      </c>
      <c r="AX7" s="13" t="str">
        <f t="shared" si="0"/>
        <v>size</v>
      </c>
      <c r="AY7" s="13" t="str">
        <f t="shared" si="0"/>
        <v>size</v>
      </c>
      <c r="AZ7" s="13" t="str">
        <f t="shared" si="0"/>
        <v>size</v>
      </c>
      <c r="BA7" s="13" t="str">
        <f t="shared" si="0"/>
        <v>size</v>
      </c>
      <c r="BB7" s="13" t="str">
        <f t="shared" si="0"/>
        <v>size</v>
      </c>
      <c r="BC7" s="13" t="str">
        <f t="shared" si="0"/>
        <v>size</v>
      </c>
      <c r="BD7" s="13" t="str">
        <f t="shared" si="0"/>
        <v>size</v>
      </c>
      <c r="BE7" s="13" t="str">
        <f t="shared" si="0"/>
        <v>bm</v>
      </c>
      <c r="BF7" s="13" t="str">
        <f t="shared" si="0"/>
        <v>bm</v>
      </c>
      <c r="BG7" s="13" t="str">
        <f t="shared" si="0"/>
        <v>size</v>
      </c>
      <c r="BH7" s="13" t="str">
        <f t="shared" si="0"/>
        <v>size</v>
      </c>
      <c r="BI7" s="13" t="str">
        <f t="shared" si="0"/>
        <v>size</v>
      </c>
      <c r="BJ7" s="13" t="str">
        <f t="shared" si="0"/>
        <v>size</v>
      </c>
      <c r="BK7" s="13" t="str">
        <f t="shared" si="0"/>
        <v>size</v>
      </c>
      <c r="BL7" s="13" t="str">
        <f t="shared" si="0"/>
        <v>bm</v>
      </c>
      <c r="BM7" s="13" t="str">
        <f t="shared" si="0"/>
        <v>bm</v>
      </c>
      <c r="BN7" s="13" t="str">
        <f t="shared" si="0"/>
        <v>size</v>
      </c>
      <c r="BO7" s="13" t="str">
        <f t="shared" ref="BO7:DZ7" si="1">IF(BO6=1,"bm",IF(BO6=2,"size",IF(BO6=3,"mom")))</f>
        <v>bm</v>
      </c>
      <c r="BP7" s="13" t="str">
        <f t="shared" si="1"/>
        <v>bm</v>
      </c>
      <c r="BQ7" s="13" t="str">
        <f t="shared" si="1"/>
        <v>size</v>
      </c>
      <c r="BR7" s="13" t="str">
        <f t="shared" si="1"/>
        <v>size</v>
      </c>
      <c r="BS7" s="13" t="str">
        <f t="shared" si="1"/>
        <v>bm</v>
      </c>
      <c r="BT7" s="13" t="str">
        <f t="shared" si="1"/>
        <v>bm</v>
      </c>
      <c r="BU7" s="13" t="str">
        <f t="shared" si="1"/>
        <v>size</v>
      </c>
      <c r="BV7" s="13" t="str">
        <f t="shared" si="1"/>
        <v>size</v>
      </c>
      <c r="BW7" s="13" t="str">
        <f t="shared" si="1"/>
        <v>size</v>
      </c>
      <c r="BX7" s="13" t="str">
        <f t="shared" si="1"/>
        <v>size</v>
      </c>
      <c r="BY7" s="13" t="str">
        <f t="shared" si="1"/>
        <v>size</v>
      </c>
      <c r="BZ7" s="13" t="str">
        <f t="shared" si="1"/>
        <v>size</v>
      </c>
      <c r="CA7" s="13" t="str">
        <f t="shared" si="1"/>
        <v>size</v>
      </c>
      <c r="CB7" s="13" t="str">
        <f t="shared" si="1"/>
        <v>size</v>
      </c>
      <c r="CC7" s="13" t="str">
        <f t="shared" si="1"/>
        <v>size</v>
      </c>
      <c r="CD7" s="13" t="str">
        <f t="shared" si="1"/>
        <v>size</v>
      </c>
      <c r="CE7" s="13" t="str">
        <f t="shared" si="1"/>
        <v>bm</v>
      </c>
      <c r="CF7" s="13" t="str">
        <f t="shared" si="1"/>
        <v>bm</v>
      </c>
      <c r="CG7" s="13" t="str">
        <f t="shared" si="1"/>
        <v>size</v>
      </c>
      <c r="CH7" s="13" t="str">
        <f t="shared" si="1"/>
        <v>size</v>
      </c>
      <c r="CI7" s="13" t="str">
        <f t="shared" si="1"/>
        <v>size</v>
      </c>
      <c r="CJ7" s="13" t="str">
        <f t="shared" si="1"/>
        <v>size</v>
      </c>
      <c r="CK7" s="13" t="str">
        <f t="shared" si="1"/>
        <v>size</v>
      </c>
      <c r="CL7" s="13" t="str">
        <f t="shared" si="1"/>
        <v>bm</v>
      </c>
      <c r="CM7" s="13" t="str">
        <f t="shared" si="1"/>
        <v>bm</v>
      </c>
      <c r="CN7" s="13" t="str">
        <f t="shared" si="1"/>
        <v>size</v>
      </c>
      <c r="CO7" s="13" t="str">
        <f t="shared" si="1"/>
        <v>bm</v>
      </c>
      <c r="CP7" s="13" t="str">
        <f t="shared" si="1"/>
        <v>size</v>
      </c>
      <c r="CQ7" s="13" t="str">
        <f t="shared" si="1"/>
        <v>size</v>
      </c>
      <c r="CR7" s="13" t="str">
        <f t="shared" si="1"/>
        <v>bm</v>
      </c>
      <c r="CS7" s="13" t="str">
        <f t="shared" si="1"/>
        <v>bm</v>
      </c>
      <c r="CT7" s="13" t="str">
        <f t="shared" si="1"/>
        <v>size</v>
      </c>
      <c r="CU7" s="13" t="str">
        <f t="shared" si="1"/>
        <v>bm</v>
      </c>
      <c r="CV7" s="13" t="str">
        <f t="shared" si="1"/>
        <v>bm</v>
      </c>
      <c r="CW7" s="13" t="str">
        <f t="shared" si="1"/>
        <v>bm</v>
      </c>
      <c r="CX7" s="13" t="str">
        <f t="shared" si="1"/>
        <v>bm</v>
      </c>
      <c r="CY7" s="13" t="str">
        <f t="shared" si="1"/>
        <v>size</v>
      </c>
      <c r="CZ7" s="13" t="str">
        <f t="shared" si="1"/>
        <v>size</v>
      </c>
      <c r="DA7" s="13" t="str">
        <f t="shared" si="1"/>
        <v>bm</v>
      </c>
      <c r="DB7" s="13" t="str">
        <f t="shared" si="1"/>
        <v>size</v>
      </c>
      <c r="DC7" s="13" t="str">
        <f t="shared" si="1"/>
        <v>size</v>
      </c>
      <c r="DD7" s="13" t="str">
        <f t="shared" si="1"/>
        <v>size</v>
      </c>
      <c r="DE7" s="13" t="str">
        <f t="shared" si="1"/>
        <v>size</v>
      </c>
      <c r="DF7" s="13" t="str">
        <f t="shared" si="1"/>
        <v>size</v>
      </c>
      <c r="DG7" s="13" t="str">
        <f t="shared" si="1"/>
        <v>size</v>
      </c>
      <c r="DH7" s="13" t="str">
        <f t="shared" si="1"/>
        <v>size</v>
      </c>
      <c r="DI7" s="13" t="str">
        <f t="shared" si="1"/>
        <v>size</v>
      </c>
      <c r="DJ7" s="13" t="str">
        <f t="shared" si="1"/>
        <v>size</v>
      </c>
      <c r="DK7" s="13" t="str">
        <f t="shared" si="1"/>
        <v>size</v>
      </c>
      <c r="DL7" s="13" t="str">
        <f t="shared" si="1"/>
        <v>size</v>
      </c>
      <c r="DM7" s="13" t="str">
        <f t="shared" si="1"/>
        <v>size</v>
      </c>
      <c r="DN7" s="13" t="str">
        <f t="shared" si="1"/>
        <v>bm</v>
      </c>
      <c r="DO7" s="13" t="str">
        <f t="shared" si="1"/>
        <v>size</v>
      </c>
      <c r="DP7" s="13" t="str">
        <f t="shared" si="1"/>
        <v>bm</v>
      </c>
      <c r="DQ7" s="13" t="str">
        <f t="shared" si="1"/>
        <v>size</v>
      </c>
      <c r="DR7" s="13" t="str">
        <f t="shared" si="1"/>
        <v>size</v>
      </c>
      <c r="DS7" s="13" t="str">
        <f t="shared" si="1"/>
        <v>bm</v>
      </c>
      <c r="DT7" s="13" t="str">
        <f t="shared" si="1"/>
        <v>size</v>
      </c>
      <c r="DU7" s="13" t="str">
        <f t="shared" si="1"/>
        <v>size</v>
      </c>
      <c r="DV7" s="13" t="str">
        <f t="shared" si="1"/>
        <v>size</v>
      </c>
      <c r="DW7" s="13" t="str">
        <f t="shared" si="1"/>
        <v>bm</v>
      </c>
      <c r="DX7" s="13" t="str">
        <f t="shared" si="1"/>
        <v>size</v>
      </c>
      <c r="DY7" s="13" t="str">
        <f t="shared" si="1"/>
        <v>size</v>
      </c>
      <c r="DZ7" s="13" t="str">
        <f t="shared" si="1"/>
        <v>bm</v>
      </c>
      <c r="EA7" s="13" t="str">
        <f t="shared" ref="EA7:EF7" si="2">IF(EA6=1,"bm",IF(EA6=2,"size",IF(EA6=3,"mom")))</f>
        <v>size</v>
      </c>
      <c r="EB7" s="13" t="str">
        <f t="shared" si="2"/>
        <v>size</v>
      </c>
      <c r="EC7" s="13" t="str">
        <f t="shared" si="2"/>
        <v>bm</v>
      </c>
      <c r="ED7" s="13" t="str">
        <f t="shared" si="2"/>
        <v>bm</v>
      </c>
      <c r="EE7" s="13" t="str">
        <f t="shared" si="2"/>
        <v>bm</v>
      </c>
      <c r="EF7" s="13" t="str">
        <f t="shared" si="2"/>
        <v>bm</v>
      </c>
    </row>
    <row r="8" spans="1:136">
      <c r="C8" s="12">
        <f t="shared" ref="C8:BN8" si="3">IF(C6=1,C3,IF(C6=2,C4,IF(C6=3,C5)))</f>
        <v>-7.7981240861112869E-2</v>
      </c>
      <c r="D8" s="12">
        <f t="shared" si="3"/>
        <v>-9.1720816001217079E-2</v>
      </c>
      <c r="E8" s="12">
        <f t="shared" si="3"/>
        <v>-7.4711540898400819E-2</v>
      </c>
      <c r="F8" s="12">
        <f t="shared" si="3"/>
        <v>-0.1154504478657486</v>
      </c>
      <c r="G8" s="12">
        <f t="shared" si="3"/>
        <v>-8.3443116291576969E-2</v>
      </c>
      <c r="H8" s="12">
        <f t="shared" si="3"/>
        <v>-7.4711540898400819E-2</v>
      </c>
      <c r="I8" s="12">
        <f t="shared" si="3"/>
        <v>-9.17061944524626E-2</v>
      </c>
      <c r="J8" s="12">
        <f t="shared" si="3"/>
        <v>-7.4711540898400819E-2</v>
      </c>
      <c r="K8" s="12">
        <f t="shared" si="3"/>
        <v>-0.1008329194598508</v>
      </c>
      <c r="L8" s="12">
        <f t="shared" si="3"/>
        <v>-0.10378006478536519</v>
      </c>
      <c r="M8" s="12">
        <f t="shared" si="3"/>
        <v>-7.4711540898400819E-2</v>
      </c>
      <c r="N8" s="12">
        <f t="shared" si="3"/>
        <v>-0.1158619637464291</v>
      </c>
      <c r="O8" s="12">
        <f t="shared" si="3"/>
        <v>-7.4711540898400819E-2</v>
      </c>
      <c r="P8" s="12">
        <f t="shared" si="3"/>
        <v>-7.4711540898400819E-2</v>
      </c>
      <c r="Q8" s="12">
        <f t="shared" si="3"/>
        <v>-7.4711540898400819E-2</v>
      </c>
      <c r="R8" s="12">
        <f t="shared" si="3"/>
        <v>-0.1169489926289226</v>
      </c>
      <c r="S8" s="12">
        <f t="shared" si="3"/>
        <v>-0.17262516521577451</v>
      </c>
      <c r="T8" s="12">
        <f t="shared" si="3"/>
        <v>-7.4711540898400819E-2</v>
      </c>
      <c r="U8" s="12">
        <f t="shared" si="3"/>
        <v>-0.1047373820130289</v>
      </c>
      <c r="V8" s="12">
        <f t="shared" si="3"/>
        <v>-7.4711540898400819E-2</v>
      </c>
      <c r="W8" s="12">
        <f t="shared" si="3"/>
        <v>0.1104845400782864</v>
      </c>
      <c r="X8" s="12">
        <f t="shared" si="3"/>
        <v>7.7152949246108812E-2</v>
      </c>
      <c r="Y8" s="12">
        <f t="shared" si="3"/>
        <v>-7.4711540898400819E-2</v>
      </c>
      <c r="Z8" s="12">
        <f t="shared" si="3"/>
        <v>-7.4711540898400819E-2</v>
      </c>
      <c r="AA8" s="12">
        <f t="shared" si="3"/>
        <v>-7.4711540898400819E-2</v>
      </c>
      <c r="AB8" s="12">
        <f t="shared" si="3"/>
        <v>-7.4711540898400819E-2</v>
      </c>
      <c r="AC8" s="12">
        <f t="shared" si="3"/>
        <v>-7.4711540898400819E-2</v>
      </c>
      <c r="AD8" s="12">
        <f t="shared" si="3"/>
        <v>-7.4711540898400819E-2</v>
      </c>
      <c r="AE8" s="12">
        <f t="shared" si="3"/>
        <v>-7.4711540898400819E-2</v>
      </c>
      <c r="AF8" s="12">
        <f t="shared" si="3"/>
        <v>-7.4711540898400819E-2</v>
      </c>
      <c r="AG8" s="12">
        <f t="shared" si="3"/>
        <v>-7.4711540898400819E-2</v>
      </c>
      <c r="AH8" s="12">
        <f t="shared" si="3"/>
        <v>0.1009192396033949</v>
      </c>
      <c r="AI8" s="12">
        <f t="shared" si="3"/>
        <v>-7.4711540898400819E-2</v>
      </c>
      <c r="AJ8" s="12">
        <f t="shared" si="3"/>
        <v>0.1019691755674634</v>
      </c>
      <c r="AK8" s="12">
        <f t="shared" si="3"/>
        <v>0.13211315672161919</v>
      </c>
      <c r="AL8" s="12">
        <f t="shared" si="3"/>
        <v>8.0841310267837335E-2</v>
      </c>
      <c r="AM8" s="12">
        <f t="shared" si="3"/>
        <v>-7.4711540898400819E-2</v>
      </c>
      <c r="AN8" s="12">
        <f t="shared" si="3"/>
        <v>-7.4711540898400819E-2</v>
      </c>
      <c r="AO8" s="12">
        <f t="shared" si="3"/>
        <v>0.1344236211085432</v>
      </c>
      <c r="AP8" s="12">
        <f t="shared" si="3"/>
        <v>-7.4711540898400819E-2</v>
      </c>
      <c r="AQ8" s="12">
        <f t="shared" si="3"/>
        <v>-7.4711540898400819E-2</v>
      </c>
      <c r="AR8" s="12">
        <f t="shared" si="3"/>
        <v>-7.4711540898400819E-2</v>
      </c>
      <c r="AS8" s="12">
        <f t="shared" si="3"/>
        <v>-7.4711540898400819E-2</v>
      </c>
      <c r="AT8" s="12">
        <f t="shared" si="3"/>
        <v>-7.4711540898400819E-2</v>
      </c>
      <c r="AU8" s="12">
        <f t="shared" si="3"/>
        <v>-7.4711540898400819E-2</v>
      </c>
      <c r="AV8" s="12">
        <f t="shared" si="3"/>
        <v>-7.4711540898400819E-2</v>
      </c>
      <c r="AW8" s="12">
        <f t="shared" si="3"/>
        <v>-7.4711540898400819E-2</v>
      </c>
      <c r="AX8" s="12">
        <f t="shared" si="3"/>
        <v>-7.4711540898400819E-2</v>
      </c>
      <c r="AY8" s="12">
        <f t="shared" si="3"/>
        <v>-7.4711540898400819E-2</v>
      </c>
      <c r="AZ8" s="12">
        <f t="shared" si="3"/>
        <v>-7.4711540898400819E-2</v>
      </c>
      <c r="BA8" s="12">
        <f t="shared" si="3"/>
        <v>-7.4711540898400819E-2</v>
      </c>
      <c r="BB8" s="12">
        <f t="shared" si="3"/>
        <v>-7.4711540898400819E-2</v>
      </c>
      <c r="BC8" s="12">
        <f t="shared" si="3"/>
        <v>-7.4711540898400819E-2</v>
      </c>
      <c r="BD8" s="12">
        <f t="shared" si="3"/>
        <v>-7.4711540898400819E-2</v>
      </c>
      <c r="BE8" s="12">
        <f t="shared" si="3"/>
        <v>0.15640720996344051</v>
      </c>
      <c r="BF8" s="12">
        <f t="shared" si="3"/>
        <v>8.961422115098705E-2</v>
      </c>
      <c r="BG8" s="12">
        <f t="shared" si="3"/>
        <v>-7.4711540898400819E-2</v>
      </c>
      <c r="BH8" s="12">
        <f t="shared" si="3"/>
        <v>-7.4711540898400819E-2</v>
      </c>
      <c r="BI8" s="12">
        <f t="shared" si="3"/>
        <v>-7.4711540898400819E-2</v>
      </c>
      <c r="BJ8" s="12">
        <f t="shared" si="3"/>
        <v>-7.4711540898400819E-2</v>
      </c>
      <c r="BK8" s="12">
        <f t="shared" si="3"/>
        <v>-7.4711540898400819E-2</v>
      </c>
      <c r="BL8" s="12">
        <f t="shared" si="3"/>
        <v>0.14599637517714301</v>
      </c>
      <c r="BM8" s="12">
        <f t="shared" si="3"/>
        <v>7.7671454044817706E-2</v>
      </c>
      <c r="BN8" s="12">
        <f t="shared" si="3"/>
        <v>-7.4711540898400819E-2</v>
      </c>
      <c r="BO8" s="12">
        <f t="shared" ref="BO8:DZ8" si="4">IF(BO6=1,BO3,IF(BO6=2,BO4,IF(BO6=3,BO5)))</f>
        <v>0.15075036572727429</v>
      </c>
      <c r="BP8" s="12">
        <f t="shared" si="4"/>
        <v>0.1068808738908148</v>
      </c>
      <c r="BQ8" s="12">
        <f t="shared" si="4"/>
        <v>-7.4711540898400819E-2</v>
      </c>
      <c r="BR8" s="12">
        <f t="shared" si="4"/>
        <v>-7.4711540898400819E-2</v>
      </c>
      <c r="BS8" s="12">
        <f t="shared" si="4"/>
        <v>7.5715218722114425E-2</v>
      </c>
      <c r="BT8" s="12">
        <f t="shared" si="4"/>
        <v>0.1476948601503042</v>
      </c>
      <c r="BU8" s="12">
        <f t="shared" si="4"/>
        <v>-7.4711540898400819E-2</v>
      </c>
      <c r="BV8" s="12">
        <f t="shared" si="4"/>
        <v>-7.4711540898400819E-2</v>
      </c>
      <c r="BW8" s="12">
        <f t="shared" si="4"/>
        <v>-7.4711540898400819E-2</v>
      </c>
      <c r="BX8" s="12">
        <f t="shared" si="4"/>
        <v>-7.4711540898400819E-2</v>
      </c>
      <c r="BY8" s="12">
        <f t="shared" si="4"/>
        <v>-7.4711540898400819E-2</v>
      </c>
      <c r="BZ8" s="12">
        <f t="shared" si="4"/>
        <v>-7.4711540898400819E-2</v>
      </c>
      <c r="CA8" s="12">
        <f t="shared" si="4"/>
        <v>-7.4711540898400819E-2</v>
      </c>
      <c r="CB8" s="12">
        <f t="shared" si="4"/>
        <v>-7.4711540898400819E-2</v>
      </c>
      <c r="CC8" s="12">
        <f t="shared" si="4"/>
        <v>-7.4711540898400819E-2</v>
      </c>
      <c r="CD8" s="12">
        <f t="shared" si="4"/>
        <v>-7.4711540898400819E-2</v>
      </c>
      <c r="CE8" s="12">
        <f t="shared" si="4"/>
        <v>-0.1062476229187161</v>
      </c>
      <c r="CF8" s="12">
        <f t="shared" si="4"/>
        <v>-0.1195660454549131</v>
      </c>
      <c r="CG8" s="12">
        <f t="shared" si="4"/>
        <v>-7.4711540898400819E-2</v>
      </c>
      <c r="CH8" s="12">
        <f t="shared" si="4"/>
        <v>-7.4711540898400819E-2</v>
      </c>
      <c r="CI8" s="12">
        <f t="shared" si="4"/>
        <v>-7.4711540898400819E-2</v>
      </c>
      <c r="CJ8" s="12">
        <f t="shared" si="4"/>
        <v>-7.4711540898400819E-2</v>
      </c>
      <c r="CK8" s="12">
        <f t="shared" si="4"/>
        <v>-7.4711540898400819E-2</v>
      </c>
      <c r="CL8" s="12">
        <f t="shared" si="4"/>
        <v>-8.2212452947380901E-2</v>
      </c>
      <c r="CM8" s="12">
        <f t="shared" si="4"/>
        <v>-0.12682704685249099</v>
      </c>
      <c r="CN8" s="12">
        <f t="shared" si="4"/>
        <v>-7.4711540898400819E-2</v>
      </c>
      <c r="CO8" s="12">
        <f t="shared" si="4"/>
        <v>-0.13500465547665971</v>
      </c>
      <c r="CP8" s="12">
        <f t="shared" si="4"/>
        <v>-7.4711540898400819E-2</v>
      </c>
      <c r="CQ8" s="12">
        <f t="shared" si="4"/>
        <v>-7.4711540898400819E-2</v>
      </c>
      <c r="CR8" s="12">
        <f t="shared" si="4"/>
        <v>-9.4660334746213826E-2</v>
      </c>
      <c r="CS8" s="12">
        <f t="shared" si="4"/>
        <v>-7.7501744984071919E-2</v>
      </c>
      <c r="CT8" s="12">
        <f t="shared" si="4"/>
        <v>-7.4711540898400819E-2</v>
      </c>
      <c r="CU8" s="12">
        <f t="shared" si="4"/>
        <v>-0.10211731197922071</v>
      </c>
      <c r="CV8" s="12">
        <f t="shared" si="4"/>
        <v>-0.1210008636864883</v>
      </c>
      <c r="CW8" s="12">
        <f t="shared" si="4"/>
        <v>-8.3771057290789874E-2</v>
      </c>
      <c r="CX8" s="12">
        <f t="shared" si="4"/>
        <v>-0.108143131485795</v>
      </c>
      <c r="CY8" s="12">
        <f t="shared" si="4"/>
        <v>-7.4711540898400819E-2</v>
      </c>
      <c r="CZ8" s="12">
        <f t="shared" si="4"/>
        <v>-7.4711540898400819E-2</v>
      </c>
      <c r="DA8" s="12">
        <f t="shared" si="4"/>
        <v>-7.7524493053387863E-2</v>
      </c>
      <c r="DB8" s="12">
        <f t="shared" si="4"/>
        <v>-7.4711540898400819E-2</v>
      </c>
      <c r="DC8" s="12">
        <f t="shared" si="4"/>
        <v>-7.4711540898400819E-2</v>
      </c>
      <c r="DD8" s="12">
        <f t="shared" si="4"/>
        <v>-7.4711540898400819E-2</v>
      </c>
      <c r="DE8" s="12">
        <f t="shared" si="4"/>
        <v>-7.4711540898400819E-2</v>
      </c>
      <c r="DF8" s="12">
        <f t="shared" si="4"/>
        <v>-7.4711540898400819E-2</v>
      </c>
      <c r="DG8" s="12">
        <f t="shared" si="4"/>
        <v>-7.4711540898400819E-2</v>
      </c>
      <c r="DH8" s="12">
        <f t="shared" si="4"/>
        <v>-7.4711540898400819E-2</v>
      </c>
      <c r="DI8" s="12">
        <f t="shared" si="4"/>
        <v>-7.4711540898400819E-2</v>
      </c>
      <c r="DJ8" s="12">
        <f t="shared" si="4"/>
        <v>-7.4711540898400819E-2</v>
      </c>
      <c r="DK8" s="12">
        <f t="shared" si="4"/>
        <v>-7.4711540898400819E-2</v>
      </c>
      <c r="DL8" s="12">
        <f t="shared" si="4"/>
        <v>-7.4711540898400819E-2</v>
      </c>
      <c r="DM8" s="12">
        <f t="shared" si="4"/>
        <v>-7.4711540898400819E-2</v>
      </c>
      <c r="DN8" s="12">
        <f t="shared" si="4"/>
        <v>7.7435014643364664E-2</v>
      </c>
      <c r="DO8" s="12">
        <f t="shared" si="4"/>
        <v>-7.4711540898400819E-2</v>
      </c>
      <c r="DP8" s="12">
        <f t="shared" si="4"/>
        <v>7.556841599905624E-2</v>
      </c>
      <c r="DQ8" s="12">
        <f t="shared" si="4"/>
        <v>-7.4711540898400819E-2</v>
      </c>
      <c r="DR8" s="12">
        <f t="shared" si="4"/>
        <v>-7.4711540898400819E-2</v>
      </c>
      <c r="DS8" s="12">
        <f t="shared" si="4"/>
        <v>0.10263669436748039</v>
      </c>
      <c r="DT8" s="12">
        <f t="shared" si="4"/>
        <v>-7.4711540898400819E-2</v>
      </c>
      <c r="DU8" s="12">
        <f t="shared" si="4"/>
        <v>-7.4711540898400819E-2</v>
      </c>
      <c r="DV8" s="12">
        <f t="shared" si="4"/>
        <v>-7.4711540898400819E-2</v>
      </c>
      <c r="DW8" s="12">
        <f t="shared" si="4"/>
        <v>7.8117337673435386E-2</v>
      </c>
      <c r="DX8" s="12">
        <f t="shared" si="4"/>
        <v>-7.4711540898400819E-2</v>
      </c>
      <c r="DY8" s="12">
        <f t="shared" si="4"/>
        <v>-7.4711540898400819E-2</v>
      </c>
      <c r="DZ8" s="12">
        <f t="shared" si="4"/>
        <v>-0.1079887966876449</v>
      </c>
      <c r="EA8" s="12">
        <f t="shared" ref="EA8:EF8" si="5">IF(EA6=1,EA3,IF(EA6=2,EA4,IF(EA6=3,EA5)))</f>
        <v>-7.4711540898400819E-2</v>
      </c>
      <c r="EB8" s="12">
        <f t="shared" si="5"/>
        <v>-7.4711540898400819E-2</v>
      </c>
      <c r="EC8" s="12">
        <f t="shared" si="5"/>
        <v>0.1146690600079793</v>
      </c>
      <c r="ED8" s="12">
        <f t="shared" si="5"/>
        <v>-0.13301760440885349</v>
      </c>
      <c r="EE8" s="12">
        <f t="shared" si="5"/>
        <v>-8.3212161647068517E-2</v>
      </c>
      <c r="EF8" s="12">
        <f t="shared" si="5"/>
        <v>-7.4711540898400819E-2</v>
      </c>
    </row>
    <row r="10" spans="1:136">
      <c r="A10" s="2" t="s">
        <v>139</v>
      </c>
      <c r="B10" s="1"/>
      <c r="C10" s="2" t="s">
        <v>140</v>
      </c>
      <c r="D10" s="2">
        <v>964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</row>
    <row r="11" spans="1:136">
      <c r="A11" s="2" t="s">
        <v>207</v>
      </c>
      <c r="B11" s="2" t="s">
        <v>141</v>
      </c>
      <c r="C11" s="3" t="s">
        <v>2</v>
      </c>
      <c r="D11" s="3" t="s">
        <v>3</v>
      </c>
      <c r="E11" s="3" t="s">
        <v>4</v>
      </c>
      <c r="F11" s="3" t="s">
        <v>5</v>
      </c>
      <c r="G11" s="3" t="s">
        <v>6</v>
      </c>
      <c r="H11" s="3" t="s">
        <v>7</v>
      </c>
      <c r="I11" s="3" t="s">
        <v>8</v>
      </c>
      <c r="J11" s="3" t="s">
        <v>9</v>
      </c>
      <c r="K11" s="3" t="s">
        <v>10</v>
      </c>
      <c r="L11" s="3" t="s">
        <v>11</v>
      </c>
      <c r="M11" s="3" t="s">
        <v>12</v>
      </c>
      <c r="N11" s="3" t="s">
        <v>13</v>
      </c>
      <c r="O11" s="3" t="s">
        <v>14</v>
      </c>
      <c r="P11" s="3" t="s">
        <v>15</v>
      </c>
      <c r="Q11" s="3" t="s">
        <v>16</v>
      </c>
      <c r="R11" s="3" t="s">
        <v>17</v>
      </c>
      <c r="S11" s="3" t="s">
        <v>18</v>
      </c>
      <c r="T11" s="3" t="s">
        <v>19</v>
      </c>
      <c r="U11" s="3" t="s">
        <v>20</v>
      </c>
      <c r="V11" s="3" t="s">
        <v>21</v>
      </c>
      <c r="W11" s="3" t="s">
        <v>22</v>
      </c>
      <c r="X11" s="3" t="s">
        <v>23</v>
      </c>
      <c r="Y11" s="3" t="s">
        <v>24</v>
      </c>
      <c r="Z11" s="3" t="s">
        <v>25</v>
      </c>
      <c r="AA11" s="3" t="s">
        <v>26</v>
      </c>
      <c r="AB11" s="3" t="s">
        <v>27</v>
      </c>
      <c r="AC11" s="3" t="s">
        <v>28</v>
      </c>
      <c r="AD11" s="3" t="s">
        <v>29</v>
      </c>
      <c r="AE11" s="3" t="s">
        <v>30</v>
      </c>
      <c r="AF11" s="3" t="s">
        <v>31</v>
      </c>
      <c r="AG11" s="3" t="s">
        <v>32</v>
      </c>
      <c r="AH11" s="3" t="s">
        <v>33</v>
      </c>
      <c r="AI11" s="3" t="s">
        <v>34</v>
      </c>
      <c r="AJ11" s="3" t="s">
        <v>35</v>
      </c>
      <c r="AK11" s="3" t="s">
        <v>36</v>
      </c>
      <c r="AL11" s="3" t="s">
        <v>37</v>
      </c>
      <c r="AM11" s="3" t="s">
        <v>38</v>
      </c>
      <c r="AN11" s="3" t="s">
        <v>39</v>
      </c>
      <c r="AO11" s="3" t="s">
        <v>40</v>
      </c>
      <c r="AP11" s="3" t="s">
        <v>41</v>
      </c>
      <c r="AQ11" s="3" t="s">
        <v>42</v>
      </c>
      <c r="AR11" s="3" t="s">
        <v>43</v>
      </c>
      <c r="AS11" s="3" t="s">
        <v>44</v>
      </c>
      <c r="AT11" s="3" t="s">
        <v>45</v>
      </c>
      <c r="AU11" s="3" t="s">
        <v>46</v>
      </c>
      <c r="AV11" s="3" t="s">
        <v>47</v>
      </c>
      <c r="AW11" s="3" t="s">
        <v>48</v>
      </c>
      <c r="AX11" s="3" t="s">
        <v>49</v>
      </c>
      <c r="AY11" s="3" t="s">
        <v>50</v>
      </c>
      <c r="AZ11" s="3" t="s">
        <v>51</v>
      </c>
      <c r="BA11" s="3" t="s">
        <v>52</v>
      </c>
      <c r="BB11" s="3" t="s">
        <v>53</v>
      </c>
      <c r="BC11" s="3" t="s">
        <v>54</v>
      </c>
      <c r="BD11" s="3" t="s">
        <v>55</v>
      </c>
      <c r="BE11" s="3" t="s">
        <v>56</v>
      </c>
      <c r="BF11" s="3" t="s">
        <v>57</v>
      </c>
      <c r="BG11" s="3" t="s">
        <v>58</v>
      </c>
      <c r="BH11" s="3" t="s">
        <v>59</v>
      </c>
      <c r="BI11" s="3" t="s">
        <v>60</v>
      </c>
      <c r="BJ11" s="3" t="s">
        <v>61</v>
      </c>
      <c r="BK11" s="3" t="s">
        <v>62</v>
      </c>
      <c r="BL11" s="3" t="s">
        <v>63</v>
      </c>
      <c r="BM11" s="3" t="s">
        <v>64</v>
      </c>
      <c r="BN11" s="3" t="s">
        <v>65</v>
      </c>
      <c r="BO11" s="3" t="s">
        <v>66</v>
      </c>
      <c r="BP11" s="3" t="s">
        <v>67</v>
      </c>
      <c r="BQ11" s="3" t="s">
        <v>68</v>
      </c>
      <c r="BR11" s="3" t="s">
        <v>69</v>
      </c>
      <c r="BS11" s="3" t="s">
        <v>70</v>
      </c>
      <c r="BT11" s="3" t="s">
        <v>71</v>
      </c>
      <c r="BU11" s="3" t="s">
        <v>72</v>
      </c>
      <c r="BV11" s="3" t="s">
        <v>73</v>
      </c>
      <c r="BW11" s="3" t="s">
        <v>74</v>
      </c>
      <c r="BX11" s="3" t="s">
        <v>75</v>
      </c>
      <c r="BY11" s="3" t="s">
        <v>76</v>
      </c>
      <c r="BZ11" s="3" t="s">
        <v>77</v>
      </c>
      <c r="CA11" s="3" t="s">
        <v>78</v>
      </c>
      <c r="CB11" s="3" t="s">
        <v>79</v>
      </c>
      <c r="CC11" s="3" t="s">
        <v>80</v>
      </c>
      <c r="CD11" s="3" t="s">
        <v>81</v>
      </c>
      <c r="CE11" s="3" t="s">
        <v>82</v>
      </c>
      <c r="CF11" s="3" t="s">
        <v>83</v>
      </c>
      <c r="CG11" s="3" t="s">
        <v>84</v>
      </c>
      <c r="CH11" s="3" t="s">
        <v>85</v>
      </c>
      <c r="CI11" s="3" t="s">
        <v>86</v>
      </c>
      <c r="CJ11" s="3" t="s">
        <v>87</v>
      </c>
      <c r="CK11" s="3" t="s">
        <v>88</v>
      </c>
      <c r="CL11" s="3" t="s">
        <v>89</v>
      </c>
      <c r="CM11" s="3" t="s">
        <v>90</v>
      </c>
      <c r="CN11" s="3" t="s">
        <v>91</v>
      </c>
      <c r="CO11" s="3" t="s">
        <v>92</v>
      </c>
      <c r="CP11" s="3" t="s">
        <v>93</v>
      </c>
      <c r="CQ11" s="3" t="s">
        <v>94</v>
      </c>
      <c r="CR11" s="3" t="s">
        <v>95</v>
      </c>
      <c r="CS11" s="3" t="s">
        <v>96</v>
      </c>
      <c r="CT11" s="3" t="s">
        <v>97</v>
      </c>
      <c r="CU11" s="3" t="s">
        <v>98</v>
      </c>
      <c r="CV11" s="3" t="s">
        <v>99</v>
      </c>
      <c r="CW11" s="3" t="s">
        <v>100</v>
      </c>
      <c r="CX11" s="3" t="s">
        <v>101</v>
      </c>
      <c r="CY11" s="3" t="s">
        <v>102</v>
      </c>
      <c r="CZ11" s="3" t="s">
        <v>103</v>
      </c>
      <c r="DA11" s="3" t="s">
        <v>104</v>
      </c>
      <c r="DB11" s="3" t="s">
        <v>105</v>
      </c>
      <c r="DC11" s="3" t="s">
        <v>106</v>
      </c>
      <c r="DD11" s="3" t="s">
        <v>107</v>
      </c>
      <c r="DE11" s="3" t="s">
        <v>108</v>
      </c>
      <c r="DF11" s="3" t="s">
        <v>109</v>
      </c>
      <c r="DG11" s="3" t="s">
        <v>110</v>
      </c>
      <c r="DH11" s="3" t="s">
        <v>111</v>
      </c>
      <c r="DI11" s="3" t="s">
        <v>112</v>
      </c>
      <c r="DJ11" s="3" t="s">
        <v>113</v>
      </c>
      <c r="DK11" s="3" t="s">
        <v>114</v>
      </c>
      <c r="DL11" s="3" t="s">
        <v>115</v>
      </c>
      <c r="DM11" s="3" t="s">
        <v>116</v>
      </c>
      <c r="DN11" s="3" t="s">
        <v>117</v>
      </c>
      <c r="DO11" s="3" t="s">
        <v>118</v>
      </c>
      <c r="DP11" s="3" t="s">
        <v>119</v>
      </c>
      <c r="DQ11" s="3" t="s">
        <v>120</v>
      </c>
      <c r="DR11" s="3" t="s">
        <v>121</v>
      </c>
      <c r="DS11" s="3" t="s">
        <v>122</v>
      </c>
      <c r="DT11" s="3" t="s">
        <v>123</v>
      </c>
      <c r="DU11" s="3" t="s">
        <v>124</v>
      </c>
      <c r="DV11" s="3" t="s">
        <v>125</v>
      </c>
      <c r="DW11" s="3" t="s">
        <v>126</v>
      </c>
      <c r="DX11" s="3" t="s">
        <v>127</v>
      </c>
      <c r="DY11" s="3" t="s">
        <v>128</v>
      </c>
      <c r="DZ11" s="3" t="s">
        <v>129</v>
      </c>
      <c r="EA11" s="3" t="s">
        <v>130</v>
      </c>
      <c r="EB11" s="3" t="s">
        <v>131</v>
      </c>
      <c r="EC11" s="3" t="s">
        <v>132</v>
      </c>
      <c r="ED11" s="3" t="s">
        <v>133</v>
      </c>
      <c r="EE11" s="3" t="s">
        <v>134</v>
      </c>
      <c r="EF11" s="3" t="s">
        <v>143</v>
      </c>
    </row>
    <row r="12" spans="1:136">
      <c r="A12" s="2">
        <v>96</v>
      </c>
      <c r="B12" s="2" t="s">
        <v>189</v>
      </c>
      <c r="C12" s="12">
        <f t="array" ref="C12">PRODUCT(1+預測IC!$C12:C12)-1</f>
        <v>-4.7013508994228737E-2</v>
      </c>
      <c r="D12" s="12">
        <f t="array" ref="D12">PRODUCT(1+預測IC!$C12:D12)-1</f>
        <v>-6.6856398606816581E-2</v>
      </c>
      <c r="E12" s="12">
        <f t="array" ref="E12">PRODUCT(1+預測IC!$C12:E12)-1</f>
        <v>-2.2040981559669603E-2</v>
      </c>
      <c r="F12" s="12">
        <f t="array" ref="F12">PRODUCT(1+預測IC!$C12:F12)-1</f>
        <v>-2.6100850160523104E-3</v>
      </c>
      <c r="G12" s="12">
        <f t="array" ref="G12">PRODUCT(1+預測IC!$C12:G12)-1</f>
        <v>-1.0493800744977411E-2</v>
      </c>
      <c r="H12" s="12">
        <f t="array" ref="H12">PRODUCT(1+預測IC!$C12:H12)-1</f>
        <v>2.7632584319899234E-2</v>
      </c>
      <c r="I12" s="12">
        <f t="array" ref="I12">PRODUCT(1+預測IC!$C12:I12)-1</f>
        <v>-9.6745241252784719E-3</v>
      </c>
      <c r="J12" s="12">
        <f t="array" ref="J12">PRODUCT(1+預測IC!$C12:J12)-1</f>
        <v>-3.8797819717885207E-2</v>
      </c>
      <c r="K12" s="12">
        <f t="array" ref="K12">PRODUCT(1+預測IC!$C12:K12)-1</f>
        <v>-2.8235741976732287E-2</v>
      </c>
      <c r="L12" s="12">
        <f t="array" ref="L12">PRODUCT(1+預測IC!$C12:L12)-1</f>
        <v>-2.6022810496521775E-2</v>
      </c>
      <c r="M12" s="12">
        <f t="array" ref="M12">PRODUCT(1+預測IC!$C12:M12)-1</f>
        <v>-2.6409175072882984E-2</v>
      </c>
      <c r="N12" s="12">
        <f t="array" ref="N12">PRODUCT(1+預測IC!$C12:N12)-1</f>
        <v>-7.7108048521879358E-2</v>
      </c>
      <c r="O12" s="12">
        <f t="array" ref="O12">PRODUCT(1+預測IC!$C12:O12)-1</f>
        <v>-6.1196612588312438E-2</v>
      </c>
      <c r="P12" s="12">
        <f t="array" ref="P12">PRODUCT(1+預測IC!$C12:P12)-1</f>
        <v>-6.098037487474528E-2</v>
      </c>
      <c r="Q12" s="12">
        <f t="array" ref="Q12">PRODUCT(1+預測IC!$C12:Q12)-1</f>
        <v>-2.7860712531128207E-2</v>
      </c>
      <c r="R12" s="12">
        <f t="array" ref="R12">PRODUCT(1+預測IC!$C12:R12)-1</f>
        <v>-4.0884954701079113E-2</v>
      </c>
      <c r="S12" s="12">
        <f t="array" ref="S12">PRODUCT(1+預測IC!$C12:S12)-1</f>
        <v>2.7263907029479784E-2</v>
      </c>
      <c r="T12" s="12">
        <f t="array" ref="T12">PRODUCT(1+預測IC!$C12:T12)-1</f>
        <v>1.9312488464440891E-2</v>
      </c>
      <c r="U12" s="12">
        <f t="array" ref="U12">PRODUCT(1+預測IC!$C12:U12)-1</f>
        <v>4.0073050729556803E-2</v>
      </c>
      <c r="V12" s="12">
        <f t="array" ref="V12">PRODUCT(1+預測IC!$C12:V12)-1</f>
        <v>4.6526498161542529E-2</v>
      </c>
      <c r="W12" s="12">
        <f t="array" ref="W12">PRODUCT(1+預測IC!$C12:W12)-1</f>
        <v>6.9841478024367687E-2</v>
      </c>
      <c r="X12" s="12">
        <f t="array" ref="X12">PRODUCT(1+預測IC!$C12:X12)-1</f>
        <v>0.12174941066800971</v>
      </c>
      <c r="Y12" s="12">
        <f t="array" ref="Y12">PRODUCT(1+預測IC!$C12:Y12)-1</f>
        <v>0.1390693384176207</v>
      </c>
      <c r="Z12" s="12">
        <f t="array" ref="Z12">PRODUCT(1+預測IC!$C12:Z12)-1</f>
        <v>0.14495381808110852</v>
      </c>
      <c r="AA12" s="12">
        <f t="array" ref="AA12">PRODUCT(1+預測IC!$C12:AA12)-1</f>
        <v>0.13177246569083612</v>
      </c>
      <c r="AB12" s="12">
        <f t="array" ref="AB12">PRODUCT(1+預測IC!$C12:AB12)-1</f>
        <v>0.12757209260246549</v>
      </c>
      <c r="AC12" s="12">
        <f t="array" ref="AC12">PRODUCT(1+預測IC!$C12:AC12)-1</f>
        <v>0.13339876266327555</v>
      </c>
      <c r="AD12" s="12">
        <f t="array" ref="AD12">PRODUCT(1+預測IC!$C12:AD12)-1</f>
        <v>0.14404362022973505</v>
      </c>
      <c r="AE12" s="12">
        <f t="array" ref="AE12">PRODUCT(1+預測IC!$C12:AE12)-1</f>
        <v>7.7326416511676488E-2</v>
      </c>
      <c r="AF12" s="12">
        <f t="array" ref="AF12">PRODUCT(1+預測IC!$C12:AF12)-1</f>
        <v>0.12707942652396764</v>
      </c>
      <c r="AG12" s="12">
        <f t="array" ref="AG12">PRODUCT(1+預測IC!$C12:AG12)-1</f>
        <v>0.14069363024434312</v>
      </c>
      <c r="AH12" s="12">
        <f t="array" ref="AH12">PRODUCT(1+預測IC!$C12:AH12)-1</f>
        <v>0.15598554621647986</v>
      </c>
      <c r="AI12" s="12">
        <f t="array" ref="AI12">PRODUCT(1+預測IC!$C12:AI12)-1</f>
        <v>0.1828586940433099</v>
      </c>
      <c r="AJ12" s="12">
        <f t="array" ref="AJ12">PRODUCT(1+預測IC!$C12:AJ12)-1</f>
        <v>0.19821663270942413</v>
      </c>
      <c r="AK12" s="12">
        <f t="array" ref="AK12">PRODUCT(1+預測IC!$C12:AK12)-1</f>
        <v>0.25587925545209922</v>
      </c>
      <c r="AL12" s="12">
        <f t="array" ref="AL12">PRODUCT(1+預測IC!$C12:AL12)-1</f>
        <v>0.27830800687038759</v>
      </c>
      <c r="AM12" s="12">
        <f t="array" ref="AM12">PRODUCT(1+預測IC!$C12:AM12)-1</f>
        <v>0.30413727209016761</v>
      </c>
      <c r="AN12" s="12">
        <f t="array" ref="AN12">PRODUCT(1+預測IC!$C12:AN12)-1</f>
        <v>0.37864714458607818</v>
      </c>
      <c r="AO12" s="12">
        <f t="array" ref="AO12">PRODUCT(1+預測IC!$C12:AO12)-1</f>
        <v>0.38171986374609701</v>
      </c>
      <c r="AP12" s="12">
        <f t="array" ref="AP12">PRODUCT(1+預測IC!$C12:AP12)-1</f>
        <v>0.37531743447078547</v>
      </c>
      <c r="AQ12" s="12">
        <f t="array" ref="AQ12">PRODUCT(1+預測IC!$C12:AQ12)-1</f>
        <v>0.3661280504652431</v>
      </c>
      <c r="AR12" s="12">
        <f t="array" ref="AR12">PRODUCT(1+預測IC!$C12:AR12)-1</f>
        <v>0.35587612750703346</v>
      </c>
      <c r="AS12" s="12">
        <f t="array" ref="AS12">PRODUCT(1+預測IC!$C12:AS12)-1</f>
        <v>0.34795324896417168</v>
      </c>
      <c r="AT12" s="12">
        <f t="array" ref="AT12">PRODUCT(1+預測IC!$C12:AT12)-1</f>
        <v>0.31789889017223549</v>
      </c>
      <c r="AU12" s="12">
        <f t="array" ref="AU12">PRODUCT(1+預測IC!$C12:AU12)-1</f>
        <v>0.40146710590409884</v>
      </c>
      <c r="AV12" s="12">
        <f t="array" ref="AV12">PRODUCT(1+預測IC!$C12:AV12)-1</f>
        <v>0.37092928365260547</v>
      </c>
      <c r="AW12" s="12">
        <f t="array" ref="AW12">PRODUCT(1+預測IC!$C12:AW12)-1</f>
        <v>0.36769854599054441</v>
      </c>
      <c r="AX12" s="12">
        <f t="array" ref="AX12">PRODUCT(1+預測IC!$C12:AX12)-1</f>
        <v>0.35585704047307809</v>
      </c>
      <c r="AY12" s="12">
        <f t="array" ref="AY12">PRODUCT(1+預測IC!$C12:AY12)-1</f>
        <v>0.34539815699202037</v>
      </c>
      <c r="AZ12" s="12">
        <f t="array" ref="AZ12">PRODUCT(1+預測IC!$C12:AZ12)-1</f>
        <v>0.43495357626357656</v>
      </c>
      <c r="BA12" s="12">
        <f t="array" ref="BA12">PRODUCT(1+預測IC!$C12:BA12)-1</f>
        <v>0.53723176084089874</v>
      </c>
      <c r="BB12" s="12">
        <f t="array" ref="BB12">PRODUCT(1+預測IC!$C12:BB12)-1</f>
        <v>0.54612475866717913</v>
      </c>
      <c r="BC12" s="12">
        <f t="array" ref="BC12">PRODUCT(1+預測IC!$C12:BC12)-1</f>
        <v>0.55165300826912489</v>
      </c>
      <c r="BD12" s="12">
        <f t="array" ref="BD12">PRODUCT(1+預測IC!$C12:BD12)-1</f>
        <v>0.62804701166298593</v>
      </c>
      <c r="BE12" s="12">
        <f t="array" ref="BE12">PRODUCT(1+預測IC!$C12:BE12)-1</f>
        <v>0.65834302891260199</v>
      </c>
      <c r="BF12" s="12">
        <f t="array" ref="BF12">PRODUCT(1+預測IC!$C12:BF12)-1</f>
        <v>0.77076600406670259</v>
      </c>
      <c r="BG12" s="12">
        <f t="array" ref="BG12">PRODUCT(1+預測IC!$C12:BG12)-1</f>
        <v>0.78848039670728087</v>
      </c>
      <c r="BH12" s="12">
        <f t="array" ref="BH12">PRODUCT(1+預測IC!$C12:BH12)-1</f>
        <v>0.74390844716066606</v>
      </c>
      <c r="BI12" s="12">
        <f t="array" ref="BI12">PRODUCT(1+預測IC!$C12:BI12)-1</f>
        <v>0.78024806587973905</v>
      </c>
      <c r="BJ12" s="12">
        <f t="array" ref="BJ12">PRODUCT(1+預測IC!$C12:BJ12)-1</f>
        <v>0.85755172201168306</v>
      </c>
      <c r="BK12" s="12">
        <f t="array" ref="BK12">PRODUCT(1+預測IC!$C12:BK12)-1</f>
        <v>0.82025984258202733</v>
      </c>
      <c r="BL12" s="12">
        <f t="array" ref="BL12">PRODUCT(1+預測IC!$C12:BL12)-1</f>
        <v>0.86523709050713404</v>
      </c>
      <c r="BM12" s="12">
        <f t="array" ref="BM12">PRODUCT(1+預測IC!$C12:BM12)-1</f>
        <v>0.85559550846613197</v>
      </c>
      <c r="BN12" s="12">
        <f t="array" ref="BN12">PRODUCT(1+預測IC!$C12:BN12)-1</f>
        <v>0.81940722096114849</v>
      </c>
      <c r="BO12" s="12">
        <f t="array" ref="BO12">PRODUCT(1+預測IC!$C12:BO12)-1</f>
        <v>0.86352113292301036</v>
      </c>
      <c r="BP12" s="12">
        <f t="array" ref="BP12">PRODUCT(1+預測IC!$C12:BP12)-1</f>
        <v>0.84393741672101741</v>
      </c>
      <c r="BQ12" s="12">
        <f t="array" ref="BQ12">PRODUCT(1+預測IC!$C12:BQ12)-1</f>
        <v>0.85946924732032426</v>
      </c>
      <c r="BR12" s="12">
        <f t="array" ref="BR12">PRODUCT(1+預測IC!$C12:BR12)-1</f>
        <v>0.89638616191358444</v>
      </c>
      <c r="BS12" s="12">
        <f t="array" ref="BS12">PRODUCT(1+預測IC!$C12:BS12)-1</f>
        <v>0.93215825045586898</v>
      </c>
      <c r="BT12" s="12">
        <f t="array" ref="BT12">PRODUCT(1+預測IC!$C12:BT12)-1</f>
        <v>0.97472653443065305</v>
      </c>
      <c r="BU12" s="12">
        <f t="array" ref="BU12">PRODUCT(1+預測IC!$C12:BU12)-1</f>
        <v>0.87977536764433051</v>
      </c>
      <c r="BV12" s="12">
        <f t="array" ref="BV12">PRODUCT(1+預測IC!$C12:BV12)-1</f>
        <v>0.94002839493323664</v>
      </c>
      <c r="BW12" s="12">
        <f t="array" ref="BW12">PRODUCT(1+預測IC!$C12:BW12)-1</f>
        <v>1.0476758215402402</v>
      </c>
      <c r="BX12" s="12">
        <f t="array" ref="BX12">PRODUCT(1+預測IC!$C12:BX12)-1</f>
        <v>1.080406511770434</v>
      </c>
      <c r="BY12" s="12">
        <f t="array" ref="BY12">PRODUCT(1+預測IC!$C12:BY12)-1</f>
        <v>0.9850886133042529</v>
      </c>
      <c r="BZ12" s="12">
        <f t="array" ref="BZ12">PRODUCT(1+預測IC!$C12:BZ12)-1</f>
        <v>0.99258705808293946</v>
      </c>
      <c r="CA12" s="12">
        <f t="array" ref="CA12">PRODUCT(1+預測IC!$C12:CA12)-1</f>
        <v>1.0216401397322392</v>
      </c>
      <c r="CB12" s="12">
        <f t="array" ref="CB12">PRODUCT(1+預測IC!$C12:CB12)-1</f>
        <v>1.1681599619131839</v>
      </c>
      <c r="CC12" s="12">
        <f t="array" ref="CC12">PRODUCT(1+預測IC!$C12:CC12)-1</f>
        <v>1.3103176283159819</v>
      </c>
      <c r="CD12" s="12">
        <f t="array" ref="CD12">PRODUCT(1+預測IC!$C12:CD12)-1</f>
        <v>1.4125688692004217</v>
      </c>
      <c r="CE12" s="12">
        <f t="array" ref="CE12">PRODUCT(1+預測IC!$C12:CE12)-1</f>
        <v>1.384536246114175</v>
      </c>
      <c r="CF12" s="12">
        <f t="array" ref="CF12">PRODUCT(1+預測IC!$C12:CF12)-1</f>
        <v>1.3183234369970367</v>
      </c>
      <c r="CG12" s="12">
        <f t="array" ref="CG12">PRODUCT(1+預測IC!$C12:CG12)-1</f>
        <v>1.3190393401042217</v>
      </c>
      <c r="CH12" s="12">
        <f t="array" ref="CH12">PRODUCT(1+預測IC!$C12:CH12)-1</f>
        <v>1.2971179443554122</v>
      </c>
      <c r="CI12" s="12">
        <f t="array" ref="CI12">PRODUCT(1+預測IC!$C12:CI12)-1</f>
        <v>1.2412032700489948</v>
      </c>
      <c r="CJ12" s="12">
        <f t="array" ref="CJ12">PRODUCT(1+預測IC!$C12:CJ12)-1</f>
        <v>1.2492007004218886</v>
      </c>
      <c r="CK12" s="12">
        <f t="array" ref="CK12">PRODUCT(1+預測IC!$C12:CK12)-1</f>
        <v>1.3268319094552981</v>
      </c>
      <c r="CL12" s="12">
        <f t="array" ref="CL12">PRODUCT(1+預測IC!$C12:CL12)-1</f>
        <v>1.0522294277158912</v>
      </c>
      <c r="CM12" s="12">
        <f t="array" ref="CM12">PRODUCT(1+預測IC!$C12:CM12)-1</f>
        <v>1.0834637976382857</v>
      </c>
      <c r="CN12" s="12">
        <f t="array" ref="CN12">PRODUCT(1+預測IC!$C12:CN12)-1</f>
        <v>1.0349039860407809</v>
      </c>
      <c r="CO12" s="12">
        <f t="array" ref="CO12">PRODUCT(1+預測IC!$C12:CO12)-1</f>
        <v>1.090387936313002</v>
      </c>
      <c r="CP12" s="12">
        <f t="array" ref="CP12">PRODUCT(1+預測IC!$C12:CP12)-1</f>
        <v>1.0636397242276789</v>
      </c>
      <c r="CQ12" s="12">
        <f t="array" ref="CQ12">PRODUCT(1+預測IC!$C12:CQ12)-1</f>
        <v>1.2080473421574189</v>
      </c>
      <c r="CR12" s="12">
        <f t="array" ref="CR12">PRODUCT(1+預測IC!$C12:CR12)-1</f>
        <v>1.2033709663176042</v>
      </c>
      <c r="CS12" s="12">
        <f t="array" ref="CS12">PRODUCT(1+預測IC!$C12:CS12)-1</f>
        <v>1.2368658354714297</v>
      </c>
      <c r="CT12" s="12">
        <f t="array" ref="CT12">PRODUCT(1+預測IC!$C12:CT12)-1</f>
        <v>1.3087004517090164</v>
      </c>
      <c r="CU12" s="12">
        <f t="array" ref="CU12">PRODUCT(1+預測IC!$C12:CU12)-1</f>
        <v>1.2264559632681529</v>
      </c>
      <c r="CV12" s="12">
        <f t="array" ref="CV12">PRODUCT(1+預測IC!$C12:CV12)-1</f>
        <v>1.2083935578965721</v>
      </c>
      <c r="CW12" s="12">
        <f t="array" ref="CW12">PRODUCT(1+預測IC!$C12:CW12)-1</f>
        <v>1.1961415566310523</v>
      </c>
      <c r="CX12" s="12">
        <f t="array" ref="CX12">PRODUCT(1+預測IC!$C12:CX12)-1</f>
        <v>1.0621991410575182</v>
      </c>
      <c r="CY12" s="12">
        <f t="array" ref="CY12">PRODUCT(1+預測IC!$C12:CY12)-1</f>
        <v>1.1572101332025064</v>
      </c>
      <c r="CZ12" s="12">
        <f t="array" ref="CZ12">PRODUCT(1+預測IC!$C12:CZ12)-1</f>
        <v>1.3482579882114365</v>
      </c>
      <c r="DA12" s="12">
        <f t="array" ref="DA12">PRODUCT(1+預測IC!$C12:DA12)-1</f>
        <v>1.3350988575040001</v>
      </c>
      <c r="DB12" s="12">
        <f t="array" ref="DB12">PRODUCT(1+預測IC!$C12:DB12)-1</f>
        <v>1.5428802835071713</v>
      </c>
      <c r="DC12" s="12">
        <f t="array" ref="DC12">PRODUCT(1+預測IC!$C12:DC12)-1</f>
        <v>1.5720548814415305</v>
      </c>
      <c r="DD12" s="12">
        <f t="array" ref="DD12">PRODUCT(1+預測IC!$C12:DD12)-1</f>
        <v>1.4715096123815656</v>
      </c>
      <c r="DE12" s="12">
        <f t="array" ref="DE12">PRODUCT(1+預測IC!$C12:DE12)-1</f>
        <v>1.3794817676995157</v>
      </c>
      <c r="DF12" s="12">
        <f t="array" ref="DF12">PRODUCT(1+預測IC!$C12:DF12)-1</f>
        <v>1.5115099409247748</v>
      </c>
      <c r="DG12" s="12">
        <f t="array" ref="DG12">PRODUCT(1+預測IC!$C12:DG12)-1</f>
        <v>1.3949508168895797</v>
      </c>
      <c r="DH12" s="12">
        <f t="array" ref="DH12">PRODUCT(1+預測IC!$C12:DH12)-1</f>
        <v>1.5415108549727154</v>
      </c>
      <c r="DI12" s="12">
        <f t="array" ref="DI12">PRODUCT(1+預測IC!$C12:DI12)-1</f>
        <v>1.6933636135205519</v>
      </c>
      <c r="DJ12" s="12">
        <f t="array" ref="DJ12">PRODUCT(1+預測IC!$C12:DJ12)-1</f>
        <v>1.7340837082613691</v>
      </c>
      <c r="DK12" s="12">
        <f t="array" ref="DK12">PRODUCT(1+預測IC!$C12:DK12)-1</f>
        <v>1.6467893140232275</v>
      </c>
      <c r="DL12" s="12">
        <f t="array" ref="DL12">PRODUCT(1+預測IC!$C12:DL12)-1</f>
        <v>1.6549669555990105</v>
      </c>
      <c r="DM12" s="12">
        <f t="array" ref="DM12">PRODUCT(1+預測IC!$C12:DM12)-1</f>
        <v>1.6038917245757109</v>
      </c>
      <c r="DN12" s="12">
        <f t="array" ref="DN12">PRODUCT(1+預測IC!$C12:DN12)-1</f>
        <v>1.7143237240407174</v>
      </c>
      <c r="DO12" s="12">
        <f t="array" ref="DO12">PRODUCT(1+預測IC!$C12:DO12)-1</f>
        <v>1.797266020931366</v>
      </c>
      <c r="DP12" s="12">
        <f t="array" ref="DP12">PRODUCT(1+預測IC!$C12:DP12)-1</f>
        <v>1.888413394609028</v>
      </c>
      <c r="DQ12" s="12">
        <f t="array" ref="DQ12">PRODUCT(1+預測IC!$C12:DQ12)-1</f>
        <v>1.7906057898025796</v>
      </c>
      <c r="DR12" s="12">
        <f t="array" ref="DR12">PRODUCT(1+預測IC!$C12:DR12)-1</f>
        <v>1.8382274776055607</v>
      </c>
      <c r="DS12" s="12">
        <f t="array" ref="DS12">PRODUCT(1+預測IC!$C12:DS12)-1</f>
        <v>1.7368285215333445</v>
      </c>
      <c r="DT12" s="12">
        <f t="array" ref="DT12">PRODUCT(1+預測IC!$C12:DT12)-1</f>
        <v>1.8055718097250235</v>
      </c>
      <c r="DU12" s="12">
        <f t="array" ref="DU12">PRODUCT(1+預測IC!$C12:DU12)-1</f>
        <v>1.6450082921109206</v>
      </c>
      <c r="DV12" s="12">
        <f t="array" ref="DV12">PRODUCT(1+預測IC!$C12:DV12)-1</f>
        <v>1.7231441514421326</v>
      </c>
      <c r="DW12" s="12">
        <f t="array" ref="DW12">PRODUCT(1+預測IC!$C12:DW12)-1</f>
        <v>1.8422151659164347</v>
      </c>
      <c r="DX12" s="12">
        <f t="array" ref="DX12">PRODUCT(1+預測IC!$C12:DX12)-1</f>
        <v>1.9019828059585406</v>
      </c>
      <c r="DY12" s="12">
        <f t="array" ref="DY12">PRODUCT(1+預測IC!$C12:DY12)-1</f>
        <v>2.0562095890508343</v>
      </c>
      <c r="DZ12" s="12">
        <f t="array" ref="DZ12">PRODUCT(1+預測IC!$C12:DZ12)-1</f>
        <v>2.0688492329210346</v>
      </c>
      <c r="EA12" s="12">
        <f t="array" ref="EA12">PRODUCT(1+預測IC!$C12:EA12)-1</f>
        <v>2.2256603639766279</v>
      </c>
      <c r="EB12" s="12">
        <f t="array" ref="EB12">PRODUCT(1+預測IC!$C12:EB12)-1</f>
        <v>2.2443245724526575</v>
      </c>
      <c r="EC12" s="12">
        <f t="array" ref="EC12">PRODUCT(1+預測IC!$C12:EC12)-1</f>
        <v>2.3307907198749231</v>
      </c>
      <c r="ED12" s="12">
        <f t="array" ref="ED12">PRODUCT(1+預測IC!$C12:ED12)-1</f>
        <v>2.5323307137261959</v>
      </c>
      <c r="EE12" s="12">
        <f t="array" ref="EE12">PRODUCT(1+預測IC!$C12:EE12)-1</f>
        <v>2.4902355885444569</v>
      </c>
      <c r="EF12" s="12">
        <f t="array" ref="EF12">PRODUCT(1+預測IC!$C12:EF12)-1</f>
        <v>2.3533019609617014</v>
      </c>
    </row>
    <row r="13" spans="1:136">
      <c r="A13" s="2">
        <v>48</v>
      </c>
      <c r="B13" s="2" t="s">
        <v>190</v>
      </c>
      <c r="C13" s="12">
        <f t="array" ref="C13">PRODUCT(1+預測IC!$C13:C13)-1</f>
        <v>-4.2506117601795568E-2</v>
      </c>
      <c r="D13" s="12">
        <f t="array" ref="D13">PRODUCT(1+預測IC!$C13:D13)-1</f>
        <v>-7.1113746976336323E-2</v>
      </c>
      <c r="E13" s="12">
        <f t="array" ref="E13">PRODUCT(1+預測IC!$C13:E13)-1</f>
        <v>-6.2205535286928848E-3</v>
      </c>
      <c r="F13" s="12">
        <f t="array" ref="F13">PRODUCT(1+預測IC!$C13:F13)-1</f>
        <v>2.8484367213956086E-2</v>
      </c>
      <c r="G13" s="12">
        <f t="array" ref="G13">PRODUCT(1+預測IC!$C13:G13)-1</f>
        <v>4.3816991341084632E-2</v>
      </c>
      <c r="H13" s="12">
        <f t="array" ref="H13">PRODUCT(1+預測IC!$C13:H13)-1</f>
        <v>7.51214325965881E-2</v>
      </c>
      <c r="I13" s="12">
        <f t="array" ref="I13">PRODUCT(1+預測IC!$C13:I13)-1</f>
        <v>3.9983386123095377E-2</v>
      </c>
      <c r="J13" s="12">
        <f t="array" ref="J13">PRODUCT(1+預測IC!$C13:J13)-1</f>
        <v>-5.6706495474375673E-3</v>
      </c>
      <c r="K13" s="12">
        <f t="array" ref="K13">PRODUCT(1+預測IC!$C13:K13)-1</f>
        <v>3.9403284535479477E-2</v>
      </c>
      <c r="L13" s="12">
        <f t="array" ref="L13">PRODUCT(1+預測IC!$C13:L13)-1</f>
        <v>6.9686994630139054E-2</v>
      </c>
      <c r="M13" s="12">
        <f t="array" ref="M13">PRODUCT(1+預測IC!$C13:M13)-1</f>
        <v>9.7164356453243395E-2</v>
      </c>
      <c r="N13" s="12">
        <f t="array" ref="N13">PRODUCT(1+預測IC!$C13:N13)-1</f>
        <v>4.9819572561953018E-2</v>
      </c>
      <c r="O13" s="12">
        <f t="array" ref="O13">PRODUCT(1+預測IC!$C13:O13)-1</f>
        <v>9.1591237216960275E-2</v>
      </c>
      <c r="P13" s="12">
        <f t="array" ref="P13">PRODUCT(1+預測IC!$C13:P13)-1</f>
        <v>0.10992139646269616</v>
      </c>
      <c r="Q13" s="12">
        <f t="array" ref="Q13">PRODUCT(1+預測IC!$C13:Q13)-1</f>
        <v>0.19119541384203953</v>
      </c>
      <c r="R13" s="12">
        <f t="array" ref="R13">PRODUCT(1+預測IC!$C13:R13)-1</f>
        <v>0.18346466260405303</v>
      </c>
      <c r="S13" s="12">
        <f t="array" ref="S13">PRODUCT(1+預測IC!$C13:S13)-1</f>
        <v>0.32893057428470174</v>
      </c>
      <c r="T13" s="12">
        <f t="array" ref="T13">PRODUCT(1+預測IC!$C13:T13)-1</f>
        <v>0.29955525609147915</v>
      </c>
      <c r="U13" s="12">
        <f t="array" ref="U13">PRODUCT(1+預測IC!$C13:U13)-1</f>
        <v>0.3699405658374777</v>
      </c>
      <c r="V13" s="12">
        <f t="array" ref="V13">PRODUCT(1+預測IC!$C13:V13)-1</f>
        <v>0.34241280886496872</v>
      </c>
      <c r="W13" s="12">
        <f t="array" ref="W13">PRODUCT(1+預測IC!$C13:W13)-1</f>
        <v>0.38416599243619975</v>
      </c>
      <c r="X13" s="12">
        <f t="array" ref="X13">PRODUCT(1+預測IC!$C13:X13)-1</f>
        <v>0.48071291134580729</v>
      </c>
      <c r="Y13" s="12">
        <f t="array" ref="Y13">PRODUCT(1+預測IC!$C13:Y13)-1</f>
        <v>0.50132499033908284</v>
      </c>
      <c r="Z13" s="12">
        <f t="array" ref="Z13">PRODUCT(1+預測IC!$C13:Z13)-1</f>
        <v>0.53222813882980646</v>
      </c>
      <c r="AA13" s="12">
        <f t="array" ref="AA13">PRODUCT(1+預測IC!$C13:AA13)-1</f>
        <v>0.50703824438460532</v>
      </c>
      <c r="AB13" s="12">
        <f t="array" ref="AB13">PRODUCT(1+預測IC!$C13:AB13)-1</f>
        <v>0.48287141049428395</v>
      </c>
      <c r="AC13" s="12">
        <f t="array" ref="AC13">PRODUCT(1+預測IC!$C13:AC13)-1</f>
        <v>0.49478075240297081</v>
      </c>
      <c r="AD13" s="12">
        <f t="array" ref="AD13">PRODUCT(1+預測IC!$C13:AD13)-1</f>
        <v>0.52698293871705082</v>
      </c>
      <c r="AE13" s="12">
        <f t="array" ref="AE13">PRODUCT(1+預測IC!$C13:AE13)-1</f>
        <v>0.42663041528818013</v>
      </c>
      <c r="AF13" s="12">
        <f t="array" ref="AF13">PRODUCT(1+預測IC!$C13:AF13)-1</f>
        <v>0.50072389253658711</v>
      </c>
      <c r="AG13" s="12">
        <f t="array" ref="AG13">PRODUCT(1+預測IC!$C13:AG13)-1</f>
        <v>0.50564995618367625</v>
      </c>
      <c r="AH13" s="12">
        <f t="array" ref="AH13">PRODUCT(1+預測IC!$C13:AH13)-1</f>
        <v>0.5201664381872062</v>
      </c>
      <c r="AI13" s="12">
        <f t="array" ref="AI13">PRODUCT(1+預測IC!$C13:AI13)-1</f>
        <v>0.55043301531178179</v>
      </c>
      <c r="AJ13" s="12">
        <f t="array" ref="AJ13">PRODUCT(1+預測IC!$C13:AJ13)-1</f>
        <v>0.52519123713716653</v>
      </c>
      <c r="AK13" s="12">
        <f t="array" ref="AK13">PRODUCT(1+預測IC!$C13:AK13)-1</f>
        <v>0.62583542351295041</v>
      </c>
      <c r="AL13" s="12">
        <f t="array" ref="AL13">PRODUCT(1+預測IC!$C13:AL13)-1</f>
        <v>0.66347583622791007</v>
      </c>
      <c r="AM13" s="12">
        <f t="array" ref="AM13">PRODUCT(1+預測IC!$C13:AM13)-1</f>
        <v>0.65869705136363965</v>
      </c>
      <c r="AN13" s="12">
        <f t="array" ref="AN13">PRODUCT(1+預測IC!$C13:AN13)-1</f>
        <v>0.77687116468136219</v>
      </c>
      <c r="AO13" s="12">
        <f t="array" ref="AO13">PRODUCT(1+預測IC!$C13:AO13)-1</f>
        <v>0.79341594596876264</v>
      </c>
      <c r="AP13" s="12">
        <f t="array" ref="AP13">PRODUCT(1+預測IC!$C13:AP13)-1</f>
        <v>0.78160125798221047</v>
      </c>
      <c r="AQ13" s="12">
        <f t="array" ref="AQ13">PRODUCT(1+預測IC!$C13:AQ13)-1</f>
        <v>0.76185773842471605</v>
      </c>
      <c r="AR13" s="12">
        <f t="array" ref="AR13">PRODUCT(1+預測IC!$C13:AR13)-1</f>
        <v>0.77815565661253583</v>
      </c>
      <c r="AS13" s="12">
        <f t="array" ref="AS13">PRODUCT(1+預測IC!$C13:AS13)-1</f>
        <v>0.77471240636314365</v>
      </c>
      <c r="AT13" s="12">
        <f t="array" ref="AT13">PRODUCT(1+預測IC!$C13:AT13)-1</f>
        <v>0.7777133710959534</v>
      </c>
      <c r="AU13" s="12">
        <f t="array" ref="AU13">PRODUCT(1+預測IC!$C13:AU13)-1</f>
        <v>0.91421327754648996</v>
      </c>
      <c r="AV13" s="12">
        <f t="array" ref="AV13">PRODUCT(1+預測IC!$C13:AV13)-1</f>
        <v>0.89323577315284752</v>
      </c>
      <c r="AW13" s="12">
        <f t="array" ref="AW13">PRODUCT(1+預測IC!$C13:AW13)-1</f>
        <v>0.94173349235410986</v>
      </c>
      <c r="AX13" s="12">
        <f t="array" ref="AX13">PRODUCT(1+預測IC!$C13:AX13)-1</f>
        <v>0.91866448488151042</v>
      </c>
      <c r="AY13" s="12">
        <f t="array" ref="AY13">PRODUCT(1+預測IC!$C13:AY13)-1</f>
        <v>0.87324501977968305</v>
      </c>
      <c r="AZ13" s="12">
        <f t="array" ref="AZ13">PRODUCT(1+預測IC!$C13:AZ13)-1</f>
        <v>0.97711680735990769</v>
      </c>
      <c r="BA13" s="12">
        <f t="array" ref="BA13">PRODUCT(1+預測IC!$C13:BA13)-1</f>
        <v>1.134948600443777</v>
      </c>
      <c r="BB13" s="12">
        <f t="array" ref="BB13">PRODUCT(1+預測IC!$C13:BB13)-1</f>
        <v>1.19055542721284</v>
      </c>
      <c r="BC13" s="12">
        <f t="array" ref="BC13">PRODUCT(1+預測IC!$C13:BC13)-1</f>
        <v>1.1938060745571097</v>
      </c>
      <c r="BD13" s="12">
        <f t="array" ref="BD13">PRODUCT(1+預測IC!$C13:BD13)-1</f>
        <v>1.2852367361706145</v>
      </c>
      <c r="BE13" s="12">
        <f t="array" ref="BE13">PRODUCT(1+預測IC!$C13:BE13)-1</f>
        <v>1.3478334982103366</v>
      </c>
      <c r="BF13" s="12">
        <f t="array" ref="BF13">PRODUCT(1+預測IC!$C13:BF13)-1</f>
        <v>1.5448857909544849</v>
      </c>
      <c r="BG13" s="12">
        <f t="array" ref="BG13">PRODUCT(1+預測IC!$C13:BG13)-1</f>
        <v>1.5660870224051111</v>
      </c>
      <c r="BH13" s="12">
        <f t="array" ref="BH13">PRODUCT(1+預測IC!$C13:BH13)-1</f>
        <v>1.478983604136153</v>
      </c>
      <c r="BI13" s="12">
        <f t="array" ref="BI13">PRODUCT(1+預測IC!$C13:BI13)-1</f>
        <v>1.5430224645449178</v>
      </c>
      <c r="BJ13" s="12">
        <f t="array" ref="BJ13">PRODUCT(1+預測IC!$C13:BJ13)-1</f>
        <v>1.6738674868408192</v>
      </c>
      <c r="BK13" s="12">
        <f t="array" ref="BK13">PRODUCT(1+預測IC!$C13:BK13)-1</f>
        <v>1.606683836660884</v>
      </c>
      <c r="BL13" s="12">
        <f t="array" ref="BL13">PRODUCT(1+預測IC!$C13:BL13)-1</f>
        <v>1.6899618074944689</v>
      </c>
      <c r="BM13" s="12">
        <f t="array" ref="BM13">PRODUCT(1+預測IC!$C13:BM13)-1</f>
        <v>1.7354722373449398</v>
      </c>
      <c r="BN13" s="12">
        <f t="array" ref="BN13">PRODUCT(1+預測IC!$C13:BN13)-1</f>
        <v>1.7487607055619221</v>
      </c>
      <c r="BO13" s="12">
        <f t="array" ref="BO13">PRODUCT(1+預測IC!$C13:BO13)-1</f>
        <v>1.8336389073826926</v>
      </c>
      <c r="BP13" s="12">
        <f t="array" ref="BP13">PRODUCT(1+預測IC!$C13:BP13)-1</f>
        <v>1.8603677609045586</v>
      </c>
      <c r="BQ13" s="12">
        <f t="array" ref="BQ13">PRODUCT(1+預測IC!$C13:BQ13)-1</f>
        <v>1.9735712843669826</v>
      </c>
      <c r="BR13" s="12">
        <f t="array" ref="BR13">PRODUCT(1+預測IC!$C13:BR13)-1</f>
        <v>1.9892268274321658</v>
      </c>
      <c r="BS13" s="12">
        <f t="array" ref="BS13">PRODUCT(1+預測IC!$C13:BS13)-1</f>
        <v>2.0114053117023278</v>
      </c>
      <c r="BT13" s="12">
        <f t="array" ref="BT13">PRODUCT(1+預測IC!$C13:BT13)-1</f>
        <v>2.1268731481850622</v>
      </c>
      <c r="BU13" s="12">
        <f t="array" ref="BU13">PRODUCT(1+預測IC!$C13:BU13)-1</f>
        <v>1.8934265315423371</v>
      </c>
      <c r="BV13" s="12">
        <f t="array" ref="BV13">PRODUCT(1+預測IC!$C13:BV13)-1</f>
        <v>1.9843965247709416</v>
      </c>
      <c r="BW13" s="12">
        <f t="array" ref="BW13">PRODUCT(1+預測IC!$C13:BW13)-1</f>
        <v>2.2417420319007819</v>
      </c>
      <c r="BX13" s="12">
        <f t="array" ref="BX13">PRODUCT(1+預測IC!$C13:BX13)-1</f>
        <v>2.2465304225633607</v>
      </c>
      <c r="BY13" s="12">
        <f t="array" ref="BY13">PRODUCT(1+預測IC!$C13:BY13)-1</f>
        <v>2.1464444888871639</v>
      </c>
      <c r="BZ13" s="12">
        <f t="array" ref="BZ13">PRODUCT(1+預測IC!$C13:BZ13)-1</f>
        <v>2.1031534768775413</v>
      </c>
      <c r="CA13" s="12">
        <f t="array" ref="CA13">PRODUCT(1+預測IC!$C13:CA13)-1</f>
        <v>2.1776669800056014</v>
      </c>
      <c r="CB13" s="12">
        <f t="array" ref="CB13">PRODUCT(1+預測IC!$C13:CB13)-1</f>
        <v>2.5603436166011546</v>
      </c>
      <c r="CC13" s="12">
        <f t="array" ref="CC13">PRODUCT(1+預測IC!$C13:CC13)-1</f>
        <v>2.9880046744447504</v>
      </c>
      <c r="CD13" s="12">
        <f t="array" ref="CD13">PRODUCT(1+預測IC!$C13:CD13)-1</f>
        <v>3.2083651960684234</v>
      </c>
      <c r="CE13" s="12">
        <f t="array" ref="CE13">PRODUCT(1+預測IC!$C13:CE13)-1</f>
        <v>3.1695599265598595</v>
      </c>
      <c r="CF13" s="12">
        <f t="array" ref="CF13">PRODUCT(1+預測IC!$C13:CF13)-1</f>
        <v>2.9839550238628139</v>
      </c>
      <c r="CG13" s="12">
        <f t="array" ref="CG13">PRODUCT(1+預測IC!$C13:CG13)-1</f>
        <v>3.0140753008254144</v>
      </c>
      <c r="CH13" s="12">
        <f t="array" ref="CH13">PRODUCT(1+預測IC!$C13:CH13)-1</f>
        <v>2.9110831602756608</v>
      </c>
      <c r="CI13" s="12">
        <f t="array" ref="CI13">PRODUCT(1+預測IC!$C13:CI13)-1</f>
        <v>2.880204506878091</v>
      </c>
      <c r="CJ13" s="12">
        <f t="array" ref="CJ13">PRODUCT(1+預測IC!$C13:CJ13)-1</f>
        <v>2.9612279463997453</v>
      </c>
      <c r="CK13" s="12">
        <f t="array" ref="CK13">PRODUCT(1+預測IC!$C13:CK13)-1</f>
        <v>3.0874331639255344</v>
      </c>
      <c r="CL13" s="12">
        <f t="array" ref="CL13">PRODUCT(1+預測IC!$C13:CL13)-1</f>
        <v>2.7544979740061128</v>
      </c>
      <c r="CM13" s="12">
        <f t="array" ref="CM13">PRODUCT(1+預測IC!$C13:CM13)-1</f>
        <v>2.7931573028482366</v>
      </c>
      <c r="CN13" s="12">
        <f t="array" ref="CN13">PRODUCT(1+預測IC!$C13:CN13)-1</f>
        <v>2.678866944541884</v>
      </c>
      <c r="CO13" s="12">
        <f t="array" ref="CO13">PRODUCT(1+預測IC!$C13:CO13)-1</f>
        <v>2.7283751440076838</v>
      </c>
      <c r="CP13" s="12">
        <f t="array" ref="CP13">PRODUCT(1+預測IC!$C13:CP13)-1</f>
        <v>2.6002030828435236</v>
      </c>
      <c r="CQ13" s="12">
        <f t="array" ref="CQ13">PRODUCT(1+預測IC!$C13:CQ13)-1</f>
        <v>2.8418228373043228</v>
      </c>
      <c r="CR13" s="12">
        <f t="array" ref="CR13">PRODUCT(1+預測IC!$C13:CR13)-1</f>
        <v>2.8100133855796785</v>
      </c>
      <c r="CS13" s="12">
        <f t="array" ref="CS13">PRODUCT(1+預測IC!$C13:CS13)-1</f>
        <v>2.7687393158238134</v>
      </c>
      <c r="CT13" s="12">
        <f t="array" ref="CT13">PRODUCT(1+預測IC!$C13:CT13)-1</f>
        <v>2.9325368920913677</v>
      </c>
      <c r="CU13" s="12">
        <f t="array" ref="CU13">PRODUCT(1+預測IC!$C13:CU13)-1</f>
        <v>2.7863983066543305</v>
      </c>
      <c r="CV13" s="12">
        <f t="array" ref="CV13">PRODUCT(1+預測IC!$C13:CV13)-1</f>
        <v>2.7975807228661758</v>
      </c>
      <c r="CW13" s="12">
        <f t="array" ref="CW13">PRODUCT(1+預測IC!$C13:CW13)-1</f>
        <v>2.774882465706519</v>
      </c>
      <c r="CX13" s="12">
        <f t="array" ref="CX13">PRODUCT(1+預測IC!$C13:CX13)-1</f>
        <v>2.5482639831415588</v>
      </c>
      <c r="CY13" s="12">
        <f t="array" ref="CY13">PRODUCT(1+預測IC!$C13:CY13)-1</f>
        <v>2.7693089278225012</v>
      </c>
      <c r="CZ13" s="12">
        <f t="array" ref="CZ13">PRODUCT(1+預測IC!$C13:CZ13)-1</f>
        <v>3.1096421867336748</v>
      </c>
      <c r="DA13" s="12">
        <f t="array" ref="DA13">PRODUCT(1+預測IC!$C13:DA13)-1</f>
        <v>3.132589100985121</v>
      </c>
      <c r="DB13" s="12">
        <f t="array" ref="DB13">PRODUCT(1+預測IC!$C13:DB13)-1</f>
        <v>3.5716157372755513</v>
      </c>
      <c r="DC13" s="12">
        <f t="array" ref="DC13">PRODUCT(1+預測IC!$C13:DC13)-1</f>
        <v>3.6792367147987219</v>
      </c>
      <c r="DD13" s="12">
        <f t="array" ref="DD13">PRODUCT(1+預測IC!$C13:DD13)-1</f>
        <v>3.4386945074604034</v>
      </c>
      <c r="DE13" s="12">
        <f t="array" ref="DE13">PRODUCT(1+預測IC!$C13:DE13)-1</f>
        <v>3.2497663768088696</v>
      </c>
      <c r="DF13" s="12">
        <f t="array" ref="DF13">PRODUCT(1+預測IC!$C13:DF13)-1</f>
        <v>3.6030183792963602</v>
      </c>
      <c r="DG13" s="12">
        <f t="array" ref="DG13">PRODUCT(1+預測IC!$C13:DG13)-1</f>
        <v>3.3833194766276806</v>
      </c>
      <c r="DH13" s="12">
        <f t="array" ref="DH13">PRODUCT(1+預測IC!$C13:DH13)-1</f>
        <v>3.7722106854453843</v>
      </c>
      <c r="DI13" s="12">
        <f t="array" ref="DI13">PRODUCT(1+預測IC!$C13:DI13)-1</f>
        <v>4.2005076465690729</v>
      </c>
      <c r="DJ13" s="12">
        <f t="array" ref="DJ13">PRODUCT(1+預測IC!$C13:DJ13)-1</f>
        <v>4.231626725918777</v>
      </c>
      <c r="DK13" s="12">
        <f t="array" ref="DK13">PRODUCT(1+預測IC!$C13:DK13)-1</f>
        <v>4.1302043393578698</v>
      </c>
      <c r="DL13" s="12">
        <f t="array" ref="DL13">PRODUCT(1+預測IC!$C13:DL13)-1</f>
        <v>4.269350551016502</v>
      </c>
      <c r="DM13" s="12">
        <f t="array" ref="DM13">PRODUCT(1+預測IC!$C13:DM13)-1</f>
        <v>4.2721536259533703</v>
      </c>
      <c r="DN13" s="12">
        <f t="array" ref="DN13">PRODUCT(1+預測IC!$C13:DN13)-1</f>
        <v>4.3327811673944812</v>
      </c>
      <c r="DO13" s="12">
        <f t="array" ref="DO13">PRODUCT(1+預測IC!$C13:DO13)-1</f>
        <v>4.5347008158194528</v>
      </c>
      <c r="DP13" s="12">
        <f t="array" ref="DP13">PRODUCT(1+預測IC!$C13:DP13)-1</f>
        <v>4.8047202490942338</v>
      </c>
      <c r="DQ13" s="12">
        <f t="array" ref="DQ13">PRODUCT(1+預測IC!$C13:DQ13)-1</f>
        <v>4.6075539768900304</v>
      </c>
      <c r="DR13" s="12">
        <f t="array" ref="DR13">PRODUCT(1+預測IC!$C13:DR13)-1</f>
        <v>4.6926139117491044</v>
      </c>
      <c r="DS13" s="12">
        <f t="array" ref="DS13">PRODUCT(1+預測IC!$C13:DS13)-1</f>
        <v>4.4712416605140781</v>
      </c>
      <c r="DT13" s="12">
        <f t="array" ref="DT13">PRODUCT(1+預測IC!$C13:DT13)-1</f>
        <v>4.749352283091091</v>
      </c>
      <c r="DU13" s="12">
        <f t="array" ref="DU13">PRODUCT(1+預測IC!$C13:DU13)-1</f>
        <v>4.5595894011917322</v>
      </c>
      <c r="DV13" s="12">
        <f t="array" ref="DV13">PRODUCT(1+預測IC!$C13:DV13)-1</f>
        <v>4.8000768535261491</v>
      </c>
      <c r="DW13" s="12">
        <f t="array" ref="DW13">PRODUCT(1+預測IC!$C13:DW13)-1</f>
        <v>5.0577034470111375</v>
      </c>
      <c r="DX13" s="12">
        <f t="array" ref="DX13">PRODUCT(1+預測IC!$C13:DX13)-1</f>
        <v>5.2992691376128587</v>
      </c>
      <c r="DY13" s="12">
        <f t="array" ref="DY13">PRODUCT(1+預測IC!$C13:DY13)-1</f>
        <v>5.6582087109865933</v>
      </c>
      <c r="DZ13" s="12">
        <f t="array" ref="DZ13">PRODUCT(1+預測IC!$C13:DZ13)-1</f>
        <v>5.7554772468625774</v>
      </c>
      <c r="EA13" s="12">
        <f t="array" ref="EA13">PRODUCT(1+預測IC!$C13:EA13)-1</f>
        <v>6.1751167972653729</v>
      </c>
      <c r="EB13" s="12">
        <f t="array" ref="EB13">PRODUCT(1+預測IC!$C13:EB13)-1</f>
        <v>6.1765591452232238</v>
      </c>
      <c r="EC13" s="12">
        <f t="array" ref="EC13">PRODUCT(1+預測IC!$C13:EC13)-1</f>
        <v>6.4755328297265606</v>
      </c>
      <c r="ED13" s="12">
        <f t="array" ref="ED13">PRODUCT(1+預測IC!$C13:ED13)-1</f>
        <v>6.9665414772013472</v>
      </c>
      <c r="EE13" s="12">
        <f t="array" ref="EE13">PRODUCT(1+預測IC!$C13:EE13)-1</f>
        <v>6.9031868106350682</v>
      </c>
      <c r="EF13" s="12">
        <f t="array" ref="EF13">PRODUCT(1+預測IC!$C13:EF13)-1</f>
        <v>6.3770146402850001</v>
      </c>
    </row>
    <row r="14" spans="1:136">
      <c r="A14" s="2">
        <v>19</v>
      </c>
      <c r="B14" s="2" t="s">
        <v>191</v>
      </c>
      <c r="C14" s="12">
        <f t="array" ref="C14">PRODUCT(1+預測IC!$C14:C14)-1</f>
        <v>3.7017512404591946E-2</v>
      </c>
      <c r="D14" s="12">
        <f t="array" ref="D14">PRODUCT(1+預測IC!$C14:D14)-1</f>
        <v>-4.9415109277653024E-2</v>
      </c>
      <c r="E14" s="12">
        <f t="array" ref="E14">PRODUCT(1+預測IC!$C14:E14)-1</f>
        <v>4.4472409301562932E-2</v>
      </c>
      <c r="F14" s="12">
        <f t="array" ref="F14">PRODUCT(1+預測IC!$C14:F14)-1</f>
        <v>9.5081424572374562E-2</v>
      </c>
      <c r="G14" s="12">
        <f t="array" ref="G14">PRODUCT(1+預測IC!$C14:G14)-1</f>
        <v>0.14000157316676254</v>
      </c>
      <c r="H14" s="12">
        <f t="array" ref="H14">PRODUCT(1+預測IC!$C14:H14)-1</f>
        <v>0.20793306691011382</v>
      </c>
      <c r="I14" s="12">
        <f t="array" ref="I14">PRODUCT(1+預測IC!$C14:I14)-1</f>
        <v>0.15504086706704889</v>
      </c>
      <c r="J14" s="12">
        <f t="array" ref="J14">PRODUCT(1+預測IC!$C14:J14)-1</f>
        <v>3.3653488516501184E-2</v>
      </c>
      <c r="K14" s="12">
        <f t="array" ref="K14">PRODUCT(1+預測IC!$C14:K14)-1</f>
        <v>0.17234777369515464</v>
      </c>
      <c r="L14" s="12">
        <f t="array" ref="L14">PRODUCT(1+預測IC!$C14:L14)-1</f>
        <v>0.16666517286348514</v>
      </c>
      <c r="M14" s="12">
        <f t="array" ref="M14">PRODUCT(1+預測IC!$C14:M14)-1</f>
        <v>7.8055356495319472E-2</v>
      </c>
      <c r="N14" s="12">
        <f t="array" ref="N14">PRODUCT(1+預測IC!$C14:N14)-1</f>
        <v>-1.1163410252268302E-2</v>
      </c>
      <c r="O14" s="12">
        <f t="array" ref="O14">PRODUCT(1+預測IC!$C14:O14)-1</f>
        <v>2.8036414146728639E-2</v>
      </c>
      <c r="P14" s="12">
        <f t="array" ref="P14">PRODUCT(1+預測IC!$C14:P14)-1</f>
        <v>7.7155939907479709E-2</v>
      </c>
      <c r="Q14" s="12">
        <f t="array" ref="Q14">PRODUCT(1+預測IC!$C14:Q14)-1</f>
        <v>0.13988848138416943</v>
      </c>
      <c r="R14" s="12">
        <f t="array" ref="R14">PRODUCT(1+預測IC!$C14:R14)-1</f>
        <v>0.15805965716372339</v>
      </c>
      <c r="S14" s="12">
        <f t="array" ref="S14">PRODUCT(1+預測IC!$C14:S14)-1</f>
        <v>0.35017391096303085</v>
      </c>
      <c r="T14" s="12">
        <f t="array" ref="T14">PRODUCT(1+預測IC!$C14:T14)-1</f>
        <v>0.32673254682981456</v>
      </c>
      <c r="U14" s="12">
        <f t="array" ref="U14">PRODUCT(1+預測IC!$C14:U14)-1</f>
        <v>0.46506652435131746</v>
      </c>
      <c r="V14" s="12">
        <f t="array" ref="V14">PRODUCT(1+預測IC!$C14:V14)-1</f>
        <v>0.40884559889327332</v>
      </c>
      <c r="W14" s="12">
        <f t="array" ref="W14">PRODUCT(1+預測IC!$C14:W14)-1</f>
        <v>0.51311166852960532</v>
      </c>
      <c r="X14" s="12">
        <f t="array" ref="X14">PRODUCT(1+預測IC!$C14:X14)-1</f>
        <v>0.68449139933083281</v>
      </c>
      <c r="Y14" s="12">
        <f t="array" ref="Y14">PRODUCT(1+預測IC!$C14:Y14)-1</f>
        <v>0.65625329477198724</v>
      </c>
      <c r="Z14" s="12">
        <f t="array" ref="Z14">PRODUCT(1+預測IC!$C14:Z14)-1</f>
        <v>0.69145198979248157</v>
      </c>
      <c r="AA14" s="12">
        <f t="array" ref="AA14">PRODUCT(1+預測IC!$C14:AA14)-1</f>
        <v>0.68701077101002017</v>
      </c>
      <c r="AB14" s="12">
        <f t="array" ref="AB14">PRODUCT(1+預測IC!$C14:AB14)-1</f>
        <v>0.5605142638976599</v>
      </c>
      <c r="AC14" s="12">
        <f t="array" ref="AC14">PRODUCT(1+預測IC!$C14:AC14)-1</f>
        <v>0.51480269449161353</v>
      </c>
      <c r="AD14" s="12">
        <f t="array" ref="AD14">PRODUCT(1+預測IC!$C14:AD14)-1</f>
        <v>0.57437677513412222</v>
      </c>
      <c r="AE14" s="12">
        <f t="array" ref="AE14">PRODUCT(1+預測IC!$C14:AE14)-1</f>
        <v>0.56804927201292266</v>
      </c>
      <c r="AF14" s="12">
        <f t="array" ref="AF14">PRODUCT(1+預測IC!$C14:AF14)-1</f>
        <v>0.70026372041487206</v>
      </c>
      <c r="AG14" s="12">
        <f t="array" ref="AG14">PRODUCT(1+預測IC!$C14:AG14)-1</f>
        <v>0.71112938995152963</v>
      </c>
      <c r="AH14" s="12">
        <f t="array" ref="AH14">PRODUCT(1+預測IC!$C14:AH14)-1</f>
        <v>0.72011329482383224</v>
      </c>
      <c r="AI14" s="12">
        <f t="array" ref="AI14">PRODUCT(1+預測IC!$C14:AI14)-1</f>
        <v>0.73897488029524738</v>
      </c>
      <c r="AJ14" s="12">
        <f t="array" ref="AJ14">PRODUCT(1+預測IC!$C14:AJ14)-1</f>
        <v>0.76516216576530671</v>
      </c>
      <c r="AK14" s="12">
        <f t="array" ref="AK14">PRODUCT(1+預測IC!$C14:AK14)-1</f>
        <v>0.900923313631256</v>
      </c>
      <c r="AL14" s="12">
        <f t="array" ref="AL14">PRODUCT(1+預測IC!$C14:AL14)-1</f>
        <v>0.97309983157436997</v>
      </c>
      <c r="AM14" s="12">
        <f t="array" ref="AM14">PRODUCT(1+預測IC!$C14:AM14)-1</f>
        <v>0.97931198062304259</v>
      </c>
      <c r="AN14" s="12">
        <f t="array" ref="AN14">PRODUCT(1+預測IC!$C14:AN14)-1</f>
        <v>1.1976765538301515</v>
      </c>
      <c r="AO14" s="12">
        <f t="array" ref="AO14">PRODUCT(1+預測IC!$C14:AO14)-1</f>
        <v>1.3315275947259675</v>
      </c>
      <c r="AP14" s="12">
        <f t="array" ref="AP14">PRODUCT(1+預測IC!$C14:AP14)-1</f>
        <v>1.3479768900426952</v>
      </c>
      <c r="AQ14" s="12">
        <f t="array" ref="AQ14">PRODUCT(1+預測IC!$C14:AQ14)-1</f>
        <v>1.3288962412123597</v>
      </c>
      <c r="AR14" s="12">
        <f t="array" ref="AR14">PRODUCT(1+預測IC!$C14:AR14)-1</f>
        <v>1.3712133890765656</v>
      </c>
      <c r="AS14" s="12">
        <f t="array" ref="AS14">PRODUCT(1+預測IC!$C14:AS14)-1</f>
        <v>1.3931635866185426</v>
      </c>
      <c r="AT14" s="12">
        <f t="array" ref="AT14">PRODUCT(1+預測IC!$C14:AT14)-1</f>
        <v>1.3491132542595463</v>
      </c>
      <c r="AU14" s="12">
        <f t="array" ref="AU14">PRODUCT(1+預測IC!$C14:AU14)-1</f>
        <v>1.6729458109740669</v>
      </c>
      <c r="AV14" s="12">
        <f t="array" ref="AV14">PRODUCT(1+預測IC!$C14:AV14)-1</f>
        <v>1.6954703032790697</v>
      </c>
      <c r="AW14" s="12">
        <f t="array" ref="AW14">PRODUCT(1+預測IC!$C14:AW14)-1</f>
        <v>1.8133400985705856</v>
      </c>
      <c r="AX14" s="12">
        <f t="array" ref="AX14">PRODUCT(1+預測IC!$C14:AX14)-1</f>
        <v>1.8156537006253313</v>
      </c>
      <c r="AY14" s="12">
        <f t="array" ref="AY14">PRODUCT(1+預測IC!$C14:AY14)-1</f>
        <v>1.6499825633804375</v>
      </c>
      <c r="AZ14" s="12">
        <f t="array" ref="AZ14">PRODUCT(1+預測IC!$C14:AZ14)-1</f>
        <v>1.7178989664973146</v>
      </c>
      <c r="BA14" s="12">
        <f t="array" ref="BA14">PRODUCT(1+預測IC!$C14:BA14)-1</f>
        <v>1.9797343436112786</v>
      </c>
      <c r="BB14" s="12">
        <f t="array" ref="BB14">PRODUCT(1+預測IC!$C14:BB14)-1</f>
        <v>2.2833633137565807</v>
      </c>
      <c r="BC14" s="12">
        <f t="array" ref="BC14">PRODUCT(1+預測IC!$C14:BC14)-1</f>
        <v>2.3230083704928326</v>
      </c>
      <c r="BD14" s="12">
        <f t="array" ref="BD14">PRODUCT(1+預測IC!$C14:BD14)-1</f>
        <v>2.3775684951375999</v>
      </c>
      <c r="BE14" s="12">
        <f t="array" ref="BE14">PRODUCT(1+預測IC!$C14:BE14)-1</f>
        <v>2.5254622980520809</v>
      </c>
      <c r="BF14" s="12">
        <f t="array" ref="BF14">PRODUCT(1+預測IC!$C14:BF14)-1</f>
        <v>2.6691972346333301</v>
      </c>
      <c r="BG14" s="12">
        <f t="array" ref="BG14">PRODUCT(1+預測IC!$C14:BG14)-1</f>
        <v>2.7077122186583442</v>
      </c>
      <c r="BH14" s="12">
        <f t="array" ref="BH14">PRODUCT(1+預測IC!$C14:BH14)-1</f>
        <v>2.3601159544438595</v>
      </c>
      <c r="BI14" s="12">
        <f t="array" ref="BI14">PRODUCT(1+預測IC!$C14:BI14)-1</f>
        <v>2.4685499027133013</v>
      </c>
      <c r="BJ14" s="12">
        <f t="array" ref="BJ14">PRODUCT(1+預測IC!$C14:BJ14)-1</f>
        <v>2.5518571691661536</v>
      </c>
      <c r="BK14" s="12">
        <f t="array" ref="BK14">PRODUCT(1+預測IC!$C14:BK14)-1</f>
        <v>2.6699109936571328</v>
      </c>
      <c r="BL14" s="12">
        <f t="array" ref="BL14">PRODUCT(1+預測IC!$C14:BL14)-1</f>
        <v>2.8891432809284745</v>
      </c>
      <c r="BM14" s="12">
        <f t="array" ref="BM14">PRODUCT(1+預測IC!$C14:BM14)-1</f>
        <v>3.0418202156765135</v>
      </c>
      <c r="BN14" s="12">
        <f t="array" ref="BN14">PRODUCT(1+預測IC!$C14:BN14)-1</f>
        <v>3.2300754376799397</v>
      </c>
      <c r="BO14" s="12">
        <f t="array" ref="BO14">PRODUCT(1+預測IC!$C14:BO14)-1</f>
        <v>3.3722442362831986</v>
      </c>
      <c r="BP14" s="12">
        <f t="array" ref="BP14">PRODUCT(1+預測IC!$C14:BP14)-1</f>
        <v>3.4407736272088281</v>
      </c>
      <c r="BQ14" s="12">
        <f t="array" ref="BQ14">PRODUCT(1+預測IC!$C14:BQ14)-1</f>
        <v>3.6519885071652674</v>
      </c>
      <c r="BR14" s="12">
        <f t="array" ref="BR14">PRODUCT(1+預測IC!$C14:BR14)-1</f>
        <v>3.4866504697416039</v>
      </c>
      <c r="BS14" s="12">
        <f t="array" ref="BS14">PRODUCT(1+預測IC!$C14:BS14)-1</f>
        <v>3.3004815964007461</v>
      </c>
      <c r="BT14" s="12">
        <f t="array" ref="BT14">PRODUCT(1+預測IC!$C14:BT14)-1</f>
        <v>3.618772978823154</v>
      </c>
      <c r="BU14" s="12">
        <f t="array" ref="BU14">PRODUCT(1+預測IC!$C14:BU14)-1</f>
        <v>3.1053496883105431</v>
      </c>
      <c r="BV14" s="12">
        <f t="array" ref="BV14">PRODUCT(1+預測IC!$C14:BV14)-1</f>
        <v>3.2748275984275237</v>
      </c>
      <c r="BW14" s="12">
        <f t="array" ref="BW14">PRODUCT(1+預測IC!$C14:BW14)-1</f>
        <v>3.7810022846658349</v>
      </c>
      <c r="BX14" s="12">
        <f t="array" ref="BX14">PRODUCT(1+預測IC!$C14:BX14)-1</f>
        <v>3.7795327555425482</v>
      </c>
      <c r="BY14" s="12">
        <f t="array" ref="BY14">PRODUCT(1+預測IC!$C14:BY14)-1</f>
        <v>3.3952535424641717</v>
      </c>
      <c r="BZ14" s="12">
        <f t="array" ref="BZ14">PRODUCT(1+預測IC!$C14:BZ14)-1</f>
        <v>3.6193490142637152</v>
      </c>
      <c r="CA14" s="12">
        <f t="array" ref="CA14">PRODUCT(1+預測IC!$C14:CA14)-1</f>
        <v>3.7738876336704816</v>
      </c>
      <c r="CB14" s="12">
        <f t="array" ref="CB14">PRODUCT(1+預測IC!$C14:CB14)-1</f>
        <v>4.5590288322007551</v>
      </c>
      <c r="CC14" s="12">
        <f t="array" ref="CC14">PRODUCT(1+預測IC!$C14:CC14)-1</f>
        <v>5.2294210845418645</v>
      </c>
      <c r="CD14" s="12">
        <f t="array" ref="CD14">PRODUCT(1+預測IC!$C14:CD14)-1</f>
        <v>5.5279434673840688</v>
      </c>
      <c r="CE14" s="12">
        <f t="array" ref="CE14">PRODUCT(1+預測IC!$C14:CE14)-1</f>
        <v>5.998978451189938</v>
      </c>
      <c r="CF14" s="12">
        <f t="array" ref="CF14">PRODUCT(1+預測IC!$C14:CF14)-1</f>
        <v>5.3527579885151457</v>
      </c>
      <c r="CG14" s="12">
        <f t="array" ref="CG14">PRODUCT(1+預測IC!$C14:CG14)-1</f>
        <v>6.2353269288742217</v>
      </c>
      <c r="CH14" s="12">
        <f t="array" ref="CH14">PRODUCT(1+預測IC!$C14:CH14)-1</f>
        <v>6.2646555169837539</v>
      </c>
      <c r="CI14" s="12">
        <f t="array" ref="CI14">PRODUCT(1+預測IC!$C14:CI14)-1</f>
        <v>6.2368452686138696</v>
      </c>
      <c r="CJ14" s="12">
        <f t="array" ref="CJ14">PRODUCT(1+預測IC!$C14:CJ14)-1</f>
        <v>6.3820636146398071</v>
      </c>
      <c r="CK14" s="12">
        <f t="array" ref="CK14">PRODUCT(1+預測IC!$C14:CK14)-1</f>
        <v>6.3786472733048845</v>
      </c>
      <c r="CL14" s="12">
        <f t="array" ref="CL14">PRODUCT(1+預測IC!$C14:CL14)-1</f>
        <v>5.9191792405293393</v>
      </c>
      <c r="CM14" s="12">
        <f t="array" ref="CM14">PRODUCT(1+預測IC!$C14:CM14)-1</f>
        <v>5.6974886659225348</v>
      </c>
      <c r="CN14" s="12">
        <f t="array" ref="CN14">PRODUCT(1+預測IC!$C14:CN14)-1</f>
        <v>5.567549983316165</v>
      </c>
      <c r="CO14" s="12">
        <f t="array" ref="CO14">PRODUCT(1+預測IC!$C14:CO14)-1</f>
        <v>6.0508410128298715</v>
      </c>
      <c r="CP14" s="12">
        <f t="array" ref="CP14">PRODUCT(1+預測IC!$C14:CP14)-1</f>
        <v>5.3071201582810534</v>
      </c>
      <c r="CQ14" s="12">
        <f t="array" ref="CQ14">PRODUCT(1+預測IC!$C14:CQ14)-1</f>
        <v>5.8087702382176385</v>
      </c>
      <c r="CR14" s="12">
        <f t="array" ref="CR14">PRODUCT(1+預測IC!$C14:CR14)-1</f>
        <v>5.4280977659155196</v>
      </c>
      <c r="CS14" s="12">
        <f t="array" ref="CS14">PRODUCT(1+預測IC!$C14:CS14)-1</f>
        <v>5.0486656660202875</v>
      </c>
      <c r="CT14" s="12">
        <f t="array" ref="CT14">PRODUCT(1+預測IC!$C14:CT14)-1</f>
        <v>5.4229099815115935</v>
      </c>
      <c r="CU14" s="12">
        <f t="array" ref="CU14">PRODUCT(1+預測IC!$C14:CU14)-1</f>
        <v>5.704985578784604</v>
      </c>
      <c r="CV14" s="12">
        <f t="array" ref="CV14">PRODUCT(1+預測IC!$C14:CV14)-1</f>
        <v>5.5524758868034594</v>
      </c>
      <c r="CW14" s="12">
        <f t="array" ref="CW14">PRODUCT(1+預測IC!$C14:CW14)-1</f>
        <v>5.5747437059494871</v>
      </c>
      <c r="CX14" s="12">
        <f t="array" ref="CX14">PRODUCT(1+預測IC!$C14:CX14)-1</f>
        <v>5.3360843958318505</v>
      </c>
      <c r="CY14" s="12">
        <f t="array" ref="CY14">PRODUCT(1+預測IC!$C14:CY14)-1</f>
        <v>5.6537633287481937</v>
      </c>
      <c r="CZ14" s="12">
        <f t="array" ref="CZ14">PRODUCT(1+預測IC!$C14:CZ14)-1</f>
        <v>6.5598237911273314</v>
      </c>
      <c r="DA14" s="12">
        <f t="array" ref="DA14">PRODUCT(1+預測IC!$C14:DA14)-1</f>
        <v>6.7435599346255541</v>
      </c>
      <c r="DB14" s="12">
        <f t="array" ref="DB14">PRODUCT(1+預測IC!$C14:DB14)-1</f>
        <v>7.553598659822649</v>
      </c>
      <c r="DC14" s="12">
        <f t="array" ref="DC14">PRODUCT(1+預測IC!$C14:DC14)-1</f>
        <v>7.6797975540708663</v>
      </c>
      <c r="DD14" s="12">
        <f t="array" ref="DD14">PRODUCT(1+預測IC!$C14:DD14)-1</f>
        <v>7.211966059366901</v>
      </c>
      <c r="DE14" s="12">
        <f t="array" ref="DE14">PRODUCT(1+預測IC!$C14:DE14)-1</f>
        <v>6.9569222751650042</v>
      </c>
      <c r="DF14" s="12">
        <f t="array" ref="DF14">PRODUCT(1+預測IC!$C14:DF14)-1</f>
        <v>8.5607551257048087</v>
      </c>
      <c r="DG14" s="12">
        <f t="array" ref="DG14">PRODUCT(1+預測IC!$C14:DG14)-1</f>
        <v>8.1249411864381482</v>
      </c>
      <c r="DH14" s="12">
        <f t="array" ref="DH14">PRODUCT(1+預測IC!$C14:DH14)-1</f>
        <v>8.6609637644725836</v>
      </c>
      <c r="DI14" s="12">
        <f t="array" ref="DI14">PRODUCT(1+預測IC!$C14:DI14)-1</f>
        <v>9.4980552578857314</v>
      </c>
      <c r="DJ14" s="12">
        <f t="array" ref="DJ14">PRODUCT(1+預測IC!$C14:DJ14)-1</f>
        <v>9.6649511302587019</v>
      </c>
      <c r="DK14" s="12">
        <f t="array" ref="DK14">PRODUCT(1+預測IC!$C14:DK14)-1</f>
        <v>8.7944598569840302</v>
      </c>
      <c r="DL14" s="12">
        <f t="array" ref="DL14">PRODUCT(1+預測IC!$C14:DL14)-1</f>
        <v>8.7036389237175413</v>
      </c>
      <c r="DM14" s="12">
        <f t="array" ref="DM14">PRODUCT(1+預測IC!$C14:DM14)-1</f>
        <v>8.6927642087910826</v>
      </c>
      <c r="DN14" s="12">
        <f t="array" ref="DN14">PRODUCT(1+預測IC!$C14:DN14)-1</f>
        <v>9.1062817220430112</v>
      </c>
      <c r="DO14" s="12">
        <f t="array" ref="DO14">PRODUCT(1+預測IC!$C14:DO14)-1</f>
        <v>10.143105376470848</v>
      </c>
      <c r="DP14" s="12">
        <f t="array" ref="DP14">PRODUCT(1+預測IC!$C14:DP14)-1</f>
        <v>10.628273023905816</v>
      </c>
      <c r="DQ14" s="12">
        <f t="array" ref="DQ14">PRODUCT(1+預測IC!$C14:DQ14)-1</f>
        <v>9.9768663493221581</v>
      </c>
      <c r="DR14" s="12">
        <f t="array" ref="DR14">PRODUCT(1+預測IC!$C14:DR14)-1</f>
        <v>10.062426978406471</v>
      </c>
      <c r="DS14" s="12">
        <f t="array" ref="DS14">PRODUCT(1+預測IC!$C14:DS14)-1</f>
        <v>9.6747452618193552</v>
      </c>
      <c r="DT14" s="12">
        <f t="array" ref="DT14">PRODUCT(1+預測IC!$C14:DT14)-1</f>
        <v>10.930867257240351</v>
      </c>
      <c r="DU14" s="12">
        <f t="array" ref="DU14">PRODUCT(1+預測IC!$C14:DU14)-1</f>
        <v>10.110068173709333</v>
      </c>
      <c r="DV14" s="12">
        <f t="array" ref="DV14">PRODUCT(1+預測IC!$C14:DV14)-1</f>
        <v>10.325998196069676</v>
      </c>
      <c r="DW14" s="12">
        <f t="array" ref="DW14">PRODUCT(1+預測IC!$C14:DW14)-1</f>
        <v>11.439846319506641</v>
      </c>
      <c r="DX14" s="12">
        <f t="array" ref="DX14">PRODUCT(1+預測IC!$C14:DX14)-1</f>
        <v>11.921991847344341</v>
      </c>
      <c r="DY14" s="12">
        <f t="array" ref="DY14">PRODUCT(1+預測IC!$C14:DY14)-1</f>
        <v>12.881551077629934</v>
      </c>
      <c r="DZ14" s="12">
        <f t="array" ref="DZ14">PRODUCT(1+預測IC!$C14:DZ14)-1</f>
        <v>13.185301255309072</v>
      </c>
      <c r="EA14" s="12">
        <f t="array" ref="EA14">PRODUCT(1+預測IC!$C14:EA14)-1</f>
        <v>14.710583238734209</v>
      </c>
      <c r="EB14" s="12">
        <f t="array" ref="EB14">PRODUCT(1+預測IC!$C14:EB14)-1</f>
        <v>14.316082224881573</v>
      </c>
      <c r="EC14" s="12">
        <f t="array" ref="EC14">PRODUCT(1+預測IC!$C14:EC14)-1</f>
        <v>14.409194541738856</v>
      </c>
      <c r="ED14" s="12">
        <f t="array" ref="ED14">PRODUCT(1+預測IC!$C14:ED14)-1</f>
        <v>15.990635696350893</v>
      </c>
      <c r="EE14" s="12">
        <f t="array" ref="EE14">PRODUCT(1+預測IC!$C14:EE14)-1</f>
        <v>15.670070707773412</v>
      </c>
      <c r="EF14" s="12">
        <f t="array" ref="EF14">PRODUCT(1+預測IC!$C14:EF14)-1</f>
        <v>14.503892231599719</v>
      </c>
    </row>
    <row r="15" spans="1:136">
      <c r="A15" s="2">
        <v>10</v>
      </c>
      <c r="B15" s="2" t="s">
        <v>192</v>
      </c>
      <c r="C15" s="12">
        <f t="array" ref="C15">PRODUCT(1+預測IC!$C15:C15)-1</f>
        <v>9.6503141994516151E-2</v>
      </c>
      <c r="D15" s="12">
        <f t="array" ref="D15">PRODUCT(1+預測IC!$C15:D15)-1</f>
        <v>7.7914272484207903E-2</v>
      </c>
      <c r="E15" s="12">
        <f t="array" ref="E15">PRODUCT(1+預測IC!$C15:E15)-1</f>
        <v>0.14479303235478169</v>
      </c>
      <c r="F15" s="12">
        <f t="array" ref="F15">PRODUCT(1+預測IC!$C15:F15)-1</f>
        <v>0.26907438938486505</v>
      </c>
      <c r="G15" s="12">
        <f t="array" ref="G15">PRODUCT(1+預測IC!$C15:G15)-1</f>
        <v>0.34602716261286592</v>
      </c>
      <c r="H15" s="12">
        <f t="array" ref="H15">PRODUCT(1+預測IC!$C15:H15)-1</f>
        <v>0.50599495313729426</v>
      </c>
      <c r="I15" s="12">
        <f t="array" ref="I15">PRODUCT(1+預測IC!$C15:I15)-1</f>
        <v>0.4179974929472936</v>
      </c>
      <c r="J15" s="12">
        <f t="array" ref="J15">PRODUCT(1+預測IC!$C15:J15)-1</f>
        <v>0.32650233911286386</v>
      </c>
      <c r="K15" s="12">
        <f t="array" ref="K15">PRODUCT(1+預測IC!$C15:K15)-1</f>
        <v>0.70667078318234</v>
      </c>
      <c r="L15" s="12">
        <f t="array" ref="L15">PRODUCT(1+預測IC!$C15:L15)-1</f>
        <v>0.65110413368648157</v>
      </c>
      <c r="M15" s="12">
        <f t="array" ref="M15">PRODUCT(1+預測IC!$C15:M15)-1</f>
        <v>0.33988520398212962</v>
      </c>
      <c r="N15" s="12">
        <f t="array" ref="N15">PRODUCT(1+預測IC!$C15:N15)-1</f>
        <v>0.17793575258920002</v>
      </c>
      <c r="O15" s="12">
        <f t="array" ref="O15">PRODUCT(1+預測IC!$C15:O15)-1</f>
        <v>0.23224271355869619</v>
      </c>
      <c r="P15" s="12">
        <f t="array" ref="P15">PRODUCT(1+預測IC!$C15:P15)-1</f>
        <v>0.29753112214826194</v>
      </c>
      <c r="Q15" s="12">
        <f t="array" ref="Q15">PRODUCT(1+預測IC!$C15:Q15)-1</f>
        <v>0.42777314408991374</v>
      </c>
      <c r="R15" s="12">
        <f t="array" ref="R15">PRODUCT(1+預測IC!$C15:R15)-1</f>
        <v>0.50220251563173002</v>
      </c>
      <c r="S15" s="12">
        <f t="array" ref="S15">PRODUCT(1+預測IC!$C15:S15)-1</f>
        <v>0.90780905486456964</v>
      </c>
      <c r="T15" s="12">
        <f t="array" ref="T15">PRODUCT(1+預測IC!$C15:T15)-1</f>
        <v>0.81367832844026822</v>
      </c>
      <c r="U15" s="12">
        <f t="array" ref="U15">PRODUCT(1+預測IC!$C15:U15)-1</f>
        <v>1.062094333574664</v>
      </c>
      <c r="V15" s="12">
        <f t="array" ref="V15">PRODUCT(1+預測IC!$C15:V15)-1</f>
        <v>0.88541326623625327</v>
      </c>
      <c r="W15" s="12">
        <f t="array" ref="W15">PRODUCT(1+預測IC!$C15:W15)-1</f>
        <v>1.078750318698861</v>
      </c>
      <c r="X15" s="12">
        <f t="array" ref="X15">PRODUCT(1+預測IC!$C15:X15)-1</f>
        <v>1.3424259344037965</v>
      </c>
      <c r="Y15" s="12">
        <f t="array" ref="Y15">PRODUCT(1+預測IC!$C15:Y15)-1</f>
        <v>1.285763353778349</v>
      </c>
      <c r="Z15" s="12">
        <f t="array" ref="Z15">PRODUCT(1+預測IC!$C15:Z15)-1</f>
        <v>1.2316908787286978</v>
      </c>
      <c r="AA15" s="12">
        <f t="array" ref="AA15">PRODUCT(1+預測IC!$C15:AA15)-1</f>
        <v>1.3356629019087012</v>
      </c>
      <c r="AB15" s="12">
        <f t="array" ref="AB15">PRODUCT(1+預測IC!$C15:AB15)-1</f>
        <v>1.1628345912168059</v>
      </c>
      <c r="AC15" s="12">
        <f t="array" ref="AC15">PRODUCT(1+預測IC!$C15:AC15)-1</f>
        <v>1.076202684232535</v>
      </c>
      <c r="AD15" s="12">
        <f t="array" ref="AD15">PRODUCT(1+預測IC!$C15:AD15)-1</f>
        <v>1.158607999250798</v>
      </c>
      <c r="AE15" s="12">
        <f t="array" ref="AE15">PRODUCT(1+預測IC!$C15:AE15)-1</f>
        <v>1.2606790736601714</v>
      </c>
      <c r="AF15" s="12">
        <f t="array" ref="AF15">PRODUCT(1+預測IC!$C15:AF15)-1</f>
        <v>1.3732009835329957</v>
      </c>
      <c r="AG15" s="12">
        <f t="array" ref="AG15">PRODUCT(1+預測IC!$C15:AG15)-1</f>
        <v>1.3500741399484668</v>
      </c>
      <c r="AH15" s="12">
        <f t="array" ref="AH15">PRODUCT(1+預測IC!$C15:AH15)-1</f>
        <v>1.2711013711314179</v>
      </c>
      <c r="AI15" s="12">
        <f t="array" ref="AI15">PRODUCT(1+預測IC!$C15:AI15)-1</f>
        <v>1.4397928761154946</v>
      </c>
      <c r="AJ15" s="12">
        <f t="array" ref="AJ15">PRODUCT(1+預測IC!$C15:AJ15)-1</f>
        <v>1.4628851740375728</v>
      </c>
      <c r="AK15" s="12">
        <f t="array" ref="AK15">PRODUCT(1+預測IC!$C15:AK15)-1</f>
        <v>1.6149920256485562</v>
      </c>
      <c r="AL15" s="12">
        <f t="array" ref="AL15">PRODUCT(1+預測IC!$C15:AL15)-1</f>
        <v>1.7311804687614192</v>
      </c>
      <c r="AM15" s="12">
        <f t="array" ref="AM15">PRODUCT(1+預測IC!$C15:AM15)-1</f>
        <v>1.7364885180024574</v>
      </c>
      <c r="AN15" s="12">
        <f t="array" ref="AN15">PRODUCT(1+預測IC!$C15:AN15)-1</f>
        <v>1.9026886008456332</v>
      </c>
      <c r="AO15" s="12">
        <f t="array" ref="AO15">PRODUCT(1+預測IC!$C15:AO15)-1</f>
        <v>2.0866314331210649</v>
      </c>
      <c r="AP15" s="12">
        <f t="array" ref="AP15">PRODUCT(1+預測IC!$C15:AP15)-1</f>
        <v>2.1254680471388809</v>
      </c>
      <c r="AQ15" s="12">
        <f t="array" ref="AQ15">PRODUCT(1+預測IC!$C15:AQ15)-1</f>
        <v>2.0637484919716154</v>
      </c>
      <c r="AR15" s="12">
        <f t="array" ref="AR15">PRODUCT(1+預測IC!$C15:AR15)-1</f>
        <v>2.1389644365740663</v>
      </c>
      <c r="AS15" s="12">
        <f t="array" ref="AS15">PRODUCT(1+預測IC!$C15:AS15)-1</f>
        <v>2.0685549530901608</v>
      </c>
      <c r="AT15" s="12">
        <f t="array" ref="AT15">PRODUCT(1+預測IC!$C15:AT15)-1</f>
        <v>2.0895938864150327</v>
      </c>
      <c r="AU15" s="12">
        <f t="array" ref="AU15">PRODUCT(1+預測IC!$C15:AU15)-1</f>
        <v>2.6058928311799625</v>
      </c>
      <c r="AV15" s="12">
        <f t="array" ref="AV15">PRODUCT(1+預測IC!$C15:AV15)-1</f>
        <v>2.7256986204959168</v>
      </c>
      <c r="AW15" s="12">
        <f t="array" ref="AW15">PRODUCT(1+預測IC!$C15:AW15)-1</f>
        <v>3.0556427646284146</v>
      </c>
      <c r="AX15" s="12">
        <f t="array" ref="AX15">PRODUCT(1+預測IC!$C15:AX15)-1</f>
        <v>3.0725223498147978</v>
      </c>
      <c r="AY15" s="12">
        <f t="array" ref="AY15">PRODUCT(1+預測IC!$C15:AY15)-1</f>
        <v>2.8968215180767376</v>
      </c>
      <c r="AZ15" s="12">
        <f t="array" ref="AZ15">PRODUCT(1+預測IC!$C15:AZ15)-1</f>
        <v>3.0404119870569808</v>
      </c>
      <c r="BA15" s="12">
        <f t="array" ref="BA15">PRODUCT(1+預測IC!$C15:BA15)-1</f>
        <v>3.6775376845956185</v>
      </c>
      <c r="BB15" s="12">
        <f t="array" ref="BB15">PRODUCT(1+預測IC!$C15:BB15)-1</f>
        <v>4.1863999929962485</v>
      </c>
      <c r="BC15" s="12">
        <f t="array" ref="BC15">PRODUCT(1+預測IC!$C15:BC15)-1</f>
        <v>3.9867707895058295</v>
      </c>
      <c r="BD15" s="12">
        <f t="array" ref="BD15">PRODUCT(1+預測IC!$C15:BD15)-1</f>
        <v>4.0234968603393035</v>
      </c>
      <c r="BE15" s="12">
        <f t="array" ref="BE15">PRODUCT(1+預測IC!$C15:BE15)-1</f>
        <v>4.2668487172778278</v>
      </c>
      <c r="BF15" s="12">
        <f t="array" ref="BF15">PRODUCT(1+預測IC!$C15:BF15)-1</f>
        <v>4.5178824194912623</v>
      </c>
      <c r="BG15" s="12">
        <f t="array" ref="BG15">PRODUCT(1+預測IC!$C15:BG15)-1</f>
        <v>4.5938989748551418</v>
      </c>
      <c r="BH15" s="12">
        <f t="array" ref="BH15">PRODUCT(1+預測IC!$C15:BH15)-1</f>
        <v>4.2878623558397919</v>
      </c>
      <c r="BI15" s="12">
        <f t="array" ref="BI15">PRODUCT(1+預測IC!$C15:BI15)-1</f>
        <v>4.4272070470684115</v>
      </c>
      <c r="BJ15" s="12">
        <f t="array" ref="BJ15">PRODUCT(1+預測IC!$C15:BJ15)-1</f>
        <v>4.8350887926908381</v>
      </c>
      <c r="BK15" s="12">
        <f t="array" ref="BK15">PRODUCT(1+預測IC!$C15:BK15)-1</f>
        <v>5.2602870449431851</v>
      </c>
      <c r="BL15" s="12">
        <f t="array" ref="BL15">PRODUCT(1+預測IC!$C15:BL15)-1</f>
        <v>5.6321723311209011</v>
      </c>
      <c r="BM15" s="12">
        <f t="array" ref="BM15">PRODUCT(1+預測IC!$C15:BM15)-1</f>
        <v>6.0753660624214199</v>
      </c>
      <c r="BN15" s="12">
        <f t="array" ref="BN15">PRODUCT(1+預測IC!$C15:BN15)-1</f>
        <v>6.5427286601380601</v>
      </c>
      <c r="BO15" s="12">
        <f t="array" ref="BO15">PRODUCT(1+預測IC!$C15:BO15)-1</f>
        <v>6.7519222867972273</v>
      </c>
      <c r="BP15" s="12">
        <f t="array" ref="BP15">PRODUCT(1+預測IC!$C15:BP15)-1</f>
        <v>6.861877263422909</v>
      </c>
      <c r="BQ15" s="12">
        <f t="array" ref="BQ15">PRODUCT(1+預測IC!$C15:BQ15)-1</f>
        <v>7.0558572920819742</v>
      </c>
      <c r="BR15" s="12">
        <f t="array" ref="BR15">PRODUCT(1+預測IC!$C15:BR15)-1</f>
        <v>7.1194888976606716</v>
      </c>
      <c r="BS15" s="12">
        <f t="array" ref="BS15">PRODUCT(1+預測IC!$C15:BS15)-1</f>
        <v>6.982888423436358</v>
      </c>
      <c r="BT15" s="12">
        <f t="array" ref="BT15">PRODUCT(1+預測IC!$C15:BT15)-1</f>
        <v>7.6938461087578869</v>
      </c>
      <c r="BU15" s="12">
        <f t="array" ref="BU15">PRODUCT(1+預測IC!$C15:BU15)-1</f>
        <v>6.9501180026150307</v>
      </c>
      <c r="BV15" s="12">
        <f t="array" ref="BV15">PRODUCT(1+預測IC!$C15:BV15)-1</f>
        <v>7.6352599670921943</v>
      </c>
      <c r="BW15" s="12">
        <f t="array" ref="BW15">PRODUCT(1+預測IC!$C15:BW15)-1</f>
        <v>9.3981094307042152</v>
      </c>
      <c r="BX15" s="12">
        <f t="array" ref="BX15">PRODUCT(1+預測IC!$C15:BX15)-1</f>
        <v>9.6471441515695808</v>
      </c>
      <c r="BY15" s="12">
        <f t="array" ref="BY15">PRODUCT(1+預測IC!$C15:BY15)-1</f>
        <v>8.6533514283206436</v>
      </c>
      <c r="BZ15" s="12">
        <f t="array" ref="BZ15">PRODUCT(1+預測IC!$C15:BZ15)-1</f>
        <v>9.303603111202607</v>
      </c>
      <c r="CA15" s="12">
        <f t="array" ref="CA15">PRODUCT(1+預測IC!$C15:CA15)-1</f>
        <v>9.6123289408632591</v>
      </c>
      <c r="CB15" s="12">
        <f t="array" ref="CB15">PRODUCT(1+預測IC!$C15:CB15)-1</f>
        <v>11.003516121447328</v>
      </c>
      <c r="CC15" s="12">
        <f t="array" ref="CC15">PRODUCT(1+預測IC!$C15:CC15)-1</f>
        <v>13.08792189453021</v>
      </c>
      <c r="CD15" s="12">
        <f t="array" ref="CD15">PRODUCT(1+預測IC!$C15:CD15)-1</f>
        <v>14.343065572632726</v>
      </c>
      <c r="CE15" s="12">
        <f t="array" ref="CE15">PRODUCT(1+預測IC!$C15:CE15)-1</f>
        <v>16.130786932173777</v>
      </c>
      <c r="CF15" s="12">
        <f t="array" ref="CF15">PRODUCT(1+預測IC!$C15:CF15)-1</f>
        <v>14.514383258650486</v>
      </c>
      <c r="CG15" s="12">
        <f t="array" ref="CG15">PRODUCT(1+預測IC!$C15:CG15)-1</f>
        <v>18.016471366077202</v>
      </c>
      <c r="CH15" s="12">
        <f t="array" ref="CH15">PRODUCT(1+預測IC!$C15:CH15)-1</f>
        <v>17.256202349097119</v>
      </c>
      <c r="CI15" s="12">
        <f t="array" ref="CI15">PRODUCT(1+預測IC!$C15:CI15)-1</f>
        <v>15.99040855922247</v>
      </c>
      <c r="CJ15" s="12">
        <f t="array" ref="CJ15">PRODUCT(1+預測IC!$C15:CJ15)-1</f>
        <v>16.115841949451784</v>
      </c>
      <c r="CK15" s="12">
        <f t="array" ref="CK15">PRODUCT(1+預測IC!$C15:CK15)-1</f>
        <v>16.702598685241917</v>
      </c>
      <c r="CL15" s="12">
        <f t="array" ref="CL15">PRODUCT(1+預測IC!$C15:CL15)-1</f>
        <v>16.146348072038734</v>
      </c>
      <c r="CM15" s="12">
        <f t="array" ref="CM15">PRODUCT(1+預測IC!$C15:CM15)-1</f>
        <v>14.866696977895522</v>
      </c>
      <c r="CN15" s="12">
        <f t="array" ref="CN15">PRODUCT(1+預測IC!$C15:CN15)-1</f>
        <v>14.870149571157913</v>
      </c>
      <c r="CO15" s="12">
        <f t="array" ref="CO15">PRODUCT(1+預測IC!$C15:CO15)-1</f>
        <v>16.924524957876454</v>
      </c>
      <c r="CP15" s="12">
        <f t="array" ref="CP15">PRODUCT(1+預測IC!$C15:CP15)-1</f>
        <v>16.308039601190224</v>
      </c>
      <c r="CQ15" s="12">
        <f t="array" ref="CQ15">PRODUCT(1+預測IC!$C15:CQ15)-1</f>
        <v>18.724319815694582</v>
      </c>
      <c r="CR15" s="12">
        <f t="array" ref="CR15">PRODUCT(1+預測IC!$C15:CR15)-1</f>
        <v>17.772876414358691</v>
      </c>
      <c r="CS15" s="12">
        <f t="array" ref="CS15">PRODUCT(1+預測IC!$C15:CS15)-1</f>
        <v>16.643027609722765</v>
      </c>
      <c r="CT15" s="12">
        <f t="array" ref="CT15">PRODUCT(1+預測IC!$C15:CT15)-1</f>
        <v>17.211431265922442</v>
      </c>
      <c r="CU15" s="12">
        <f t="array" ref="CU15">PRODUCT(1+預測IC!$C15:CU15)-1</f>
        <v>18.362005088433417</v>
      </c>
      <c r="CV15" s="12">
        <f t="array" ref="CV15">PRODUCT(1+預測IC!$C15:CV15)-1</f>
        <v>18.480923559456706</v>
      </c>
      <c r="CW15" s="12">
        <f t="array" ref="CW15">PRODUCT(1+預測IC!$C15:CW15)-1</f>
        <v>18.724136270097656</v>
      </c>
      <c r="CX15" s="12">
        <f t="array" ref="CX15">PRODUCT(1+預測IC!$C15:CX15)-1</f>
        <v>18.249975784698155</v>
      </c>
      <c r="CY15" s="12">
        <f t="array" ref="CY15">PRODUCT(1+預測IC!$C15:CY15)-1</f>
        <v>19.322832760109158</v>
      </c>
      <c r="CZ15" s="12">
        <f t="array" ref="CZ15">PRODUCT(1+預測IC!$C15:CZ15)-1</f>
        <v>21.667410910294844</v>
      </c>
      <c r="DA15" s="12">
        <f t="array" ref="DA15">PRODUCT(1+預測IC!$C15:DA15)-1</f>
        <v>22.26528281035818</v>
      </c>
      <c r="DB15" s="12">
        <f t="array" ref="DB15">PRODUCT(1+預測IC!$C15:DB15)-1</f>
        <v>24.52312499695298</v>
      </c>
      <c r="DC15" s="12">
        <f t="array" ref="DC15">PRODUCT(1+預測IC!$C15:DC15)-1</f>
        <v>26.481425047031692</v>
      </c>
      <c r="DD15" s="12">
        <f t="array" ref="DD15">PRODUCT(1+預測IC!$C15:DD15)-1</f>
        <v>24.625739072588374</v>
      </c>
      <c r="DE15" s="12">
        <f t="array" ref="DE15">PRODUCT(1+預測IC!$C15:DE15)-1</f>
        <v>22.944488146087902</v>
      </c>
      <c r="DF15" s="12">
        <f t="array" ref="DF15">PRODUCT(1+預測IC!$C15:DF15)-1</f>
        <v>30.193001908852665</v>
      </c>
      <c r="DG15" s="12">
        <f t="array" ref="DG15">PRODUCT(1+預測IC!$C15:DG15)-1</f>
        <v>28.698301881984644</v>
      </c>
      <c r="DH15" s="12">
        <f t="array" ref="DH15">PRODUCT(1+預測IC!$C15:DH15)-1</f>
        <v>32.547899715984087</v>
      </c>
      <c r="DI15" s="12">
        <f t="array" ref="DI15">PRODUCT(1+預測IC!$C15:DI15)-1</f>
        <v>33.984118850725082</v>
      </c>
      <c r="DJ15" s="12">
        <f t="array" ref="DJ15">PRODUCT(1+預測IC!$C15:DJ15)-1</f>
        <v>35.648190940038099</v>
      </c>
      <c r="DK15" s="12">
        <f t="array" ref="DK15">PRODUCT(1+預測IC!$C15:DK15)-1</f>
        <v>31.97131459121502</v>
      </c>
      <c r="DL15" s="12">
        <f t="array" ref="DL15">PRODUCT(1+預測IC!$C15:DL15)-1</f>
        <v>32.226486189099354</v>
      </c>
      <c r="DM15" s="12">
        <f t="array" ref="DM15">PRODUCT(1+預測IC!$C15:DM15)-1</f>
        <v>32.285413362355726</v>
      </c>
      <c r="DN15" s="12">
        <f t="array" ref="DN15">PRODUCT(1+預測IC!$C15:DN15)-1</f>
        <v>33.749854965596718</v>
      </c>
      <c r="DO15" s="12">
        <f t="array" ref="DO15">PRODUCT(1+預測IC!$C15:DO15)-1</f>
        <v>39.294041425995822</v>
      </c>
      <c r="DP15" s="12">
        <f t="array" ref="DP15">PRODUCT(1+預測IC!$C15:DP15)-1</f>
        <v>40.250444756532502</v>
      </c>
      <c r="DQ15" s="12">
        <f t="array" ref="DQ15">PRODUCT(1+預測IC!$C15:DQ15)-1</f>
        <v>37.241728066969486</v>
      </c>
      <c r="DR15" s="12">
        <f t="array" ref="DR15">PRODUCT(1+預測IC!$C15:DR15)-1</f>
        <v>36.399056292322584</v>
      </c>
      <c r="DS15" s="12">
        <f t="array" ref="DS15">PRODUCT(1+預測IC!$C15:DS15)-1</f>
        <v>33.547680867795684</v>
      </c>
      <c r="DT15" s="12">
        <f t="array" ref="DT15">PRODUCT(1+預測IC!$C15:DT15)-1</f>
        <v>34.732552314214217</v>
      </c>
      <c r="DU15" s="12">
        <f t="array" ref="DU15">PRODUCT(1+預測IC!$C15:DU15)-1</f>
        <v>30.54725206047878</v>
      </c>
      <c r="DV15" s="12">
        <f t="array" ref="DV15">PRODUCT(1+預測IC!$C15:DV15)-1</f>
        <v>32.160259903605855</v>
      </c>
      <c r="DW15" s="12">
        <f t="array" ref="DW15">PRODUCT(1+預測IC!$C15:DW15)-1</f>
        <v>33.007127417376104</v>
      </c>
      <c r="DX15" s="12">
        <f t="array" ref="DX15">PRODUCT(1+預測IC!$C15:DX15)-1</f>
        <v>33.957956497827716</v>
      </c>
      <c r="DY15" s="12">
        <f t="array" ref="DY15">PRODUCT(1+預測IC!$C15:DY15)-1</f>
        <v>38.978254647298158</v>
      </c>
      <c r="DZ15" s="12">
        <f t="array" ref="DZ15">PRODUCT(1+預測IC!$C15:DZ15)-1</f>
        <v>39.734652982693035</v>
      </c>
      <c r="EA15" s="12">
        <f t="array" ref="EA15">PRODUCT(1+預測IC!$C15:EA15)-1</f>
        <v>44.181968705641602</v>
      </c>
      <c r="EB15" s="12">
        <f t="array" ref="EB15">PRODUCT(1+預測IC!$C15:EB15)-1</f>
        <v>41.645949984162648</v>
      </c>
      <c r="EC15" s="12">
        <f t="array" ref="EC15">PRODUCT(1+預測IC!$C15:EC15)-1</f>
        <v>44.464073512044003</v>
      </c>
      <c r="ED15" s="12">
        <f t="array" ref="ED15">PRODUCT(1+預測IC!$C15:ED15)-1</f>
        <v>49.617747036195887</v>
      </c>
      <c r="EE15" s="12">
        <f t="array" ref="EE15">PRODUCT(1+預測IC!$C15:EE15)-1</f>
        <v>50.440053319681738</v>
      </c>
      <c r="EF15" s="12">
        <f t="array" ref="EF15">PRODUCT(1+預測IC!$C15:EF15)-1</f>
        <v>47.060390832343757</v>
      </c>
    </row>
    <row r="16" spans="1:136">
      <c r="A16" s="2">
        <v>9</v>
      </c>
      <c r="B16" s="2" t="s">
        <v>193</v>
      </c>
      <c r="C16" s="12">
        <f t="array" ref="C16">PRODUCT(1+預測IC!$C16:C16)-1</f>
        <v>2.738364461037901E-2</v>
      </c>
      <c r="D16" s="12">
        <f t="array" ref="D16">PRODUCT(1+預測IC!$C16:D16)-1</f>
        <v>2.8123616311232835E-2</v>
      </c>
      <c r="E16" s="12">
        <f t="array" ref="E16">PRODUCT(1+預測IC!$C16:E16)-1</f>
        <v>9.4956677753587293E-2</v>
      </c>
      <c r="F16" s="12">
        <f t="array" ref="F16">PRODUCT(1+預測IC!$C16:F16)-1</f>
        <v>0.20377620195750112</v>
      </c>
      <c r="G16" s="12">
        <f t="array" ref="G16">PRODUCT(1+預測IC!$C16:G16)-1</f>
        <v>0.29249001209044279</v>
      </c>
      <c r="H16" s="12">
        <f t="array" ref="H16">PRODUCT(1+預測IC!$C16:H16)-1</f>
        <v>0.38664632976121682</v>
      </c>
      <c r="I16" s="12">
        <f t="array" ref="I16">PRODUCT(1+預測IC!$C16:I16)-1</f>
        <v>0.30687170853964063</v>
      </c>
      <c r="J16" s="12">
        <f t="array" ref="J16">PRODUCT(1+預測IC!$C16:J16)-1</f>
        <v>0.21709818943305659</v>
      </c>
      <c r="K16" s="12">
        <f t="array" ref="K16">PRODUCT(1+預測IC!$C16:K16)-1</f>
        <v>0.56357020069868069</v>
      </c>
      <c r="L16" s="12">
        <f t="array" ref="L16">PRODUCT(1+預測IC!$C16:L16)-1</f>
        <v>0.54811190982891222</v>
      </c>
      <c r="M16" s="12">
        <f t="array" ref="M16">PRODUCT(1+預測IC!$C16:M16)-1</f>
        <v>0.24642239731396209</v>
      </c>
      <c r="N16" s="12">
        <f t="array" ref="N16">PRODUCT(1+預測IC!$C16:N16)-1</f>
        <v>8.9783714953022065E-2</v>
      </c>
      <c r="O16" s="12">
        <f t="array" ref="O16">PRODUCT(1+預測IC!$C16:O16)-1</f>
        <v>0.10680734745138265</v>
      </c>
      <c r="P16" s="12">
        <f t="array" ref="P16">PRODUCT(1+預測IC!$C16:P16)-1</f>
        <v>0.17540702088923088</v>
      </c>
      <c r="Q16" s="12">
        <f t="array" ref="Q16">PRODUCT(1+預測IC!$C16:Q16)-1</f>
        <v>0.28897471664676844</v>
      </c>
      <c r="R16" s="12">
        <f t="array" ref="R16">PRODUCT(1+預測IC!$C16:R16)-1</f>
        <v>0.35212284899725166</v>
      </c>
      <c r="S16" s="12">
        <f t="array" ref="S16">PRODUCT(1+預測IC!$C16:S16)-1</f>
        <v>0.74026731798062606</v>
      </c>
      <c r="T16" s="12">
        <f t="array" ref="T16">PRODUCT(1+預測IC!$C16:T16)-1</f>
        <v>0.69984535553374871</v>
      </c>
      <c r="U16" s="12">
        <f t="array" ref="U16">PRODUCT(1+預測IC!$C16:U16)-1</f>
        <v>0.92093144352284084</v>
      </c>
      <c r="V16" s="12">
        <f t="array" ref="V16">PRODUCT(1+預測IC!$C16:V16)-1</f>
        <v>0.72054905311810158</v>
      </c>
      <c r="W16" s="12">
        <f t="array" ref="W16">PRODUCT(1+預測IC!$C16:W16)-1</f>
        <v>0.89546983577677586</v>
      </c>
      <c r="X16" s="12">
        <f t="array" ref="X16">PRODUCT(1+預測IC!$C16:X16)-1</f>
        <v>1.1312848280717254</v>
      </c>
      <c r="Y16" s="12">
        <f t="array" ref="Y16">PRODUCT(1+預測IC!$C16:Y16)-1</f>
        <v>1.1221446946818272</v>
      </c>
      <c r="Z16" s="12">
        <f t="array" ref="Z16">PRODUCT(1+預測IC!$C16:Z16)-1</f>
        <v>1.0795409893791046</v>
      </c>
      <c r="AA16" s="12">
        <f t="array" ref="AA16">PRODUCT(1+預測IC!$C16:AA16)-1</f>
        <v>1.1839914810133085</v>
      </c>
      <c r="AB16" s="12">
        <f t="array" ref="AB16">PRODUCT(1+預測IC!$C16:AB16)-1</f>
        <v>1.0288931419976675</v>
      </c>
      <c r="AC16" s="12">
        <f t="array" ref="AC16">PRODUCT(1+預測IC!$C16:AC16)-1</f>
        <v>0.94562714201751175</v>
      </c>
      <c r="AD16" s="12">
        <f t="array" ref="AD16">PRODUCT(1+預測IC!$C16:AD16)-1</f>
        <v>1.0133563684582834</v>
      </c>
      <c r="AE16" s="12">
        <f t="array" ref="AE16">PRODUCT(1+預測IC!$C16:AE16)-1</f>
        <v>1.1171126755504126</v>
      </c>
      <c r="AF16" s="12">
        <f t="array" ref="AF16">PRODUCT(1+預測IC!$C16:AF16)-1</f>
        <v>1.1488912425146496</v>
      </c>
      <c r="AG16" s="12">
        <f t="array" ref="AG16">PRODUCT(1+預測IC!$C16:AG16)-1</f>
        <v>1.1310521024820672</v>
      </c>
      <c r="AH16" s="12">
        <f t="array" ref="AH16">PRODUCT(1+預測IC!$C16:AH16)-1</f>
        <v>1.0633583790681023</v>
      </c>
      <c r="AI16" s="12">
        <f t="array" ref="AI16">PRODUCT(1+預測IC!$C16:AI16)-1</f>
        <v>1.250139998878526</v>
      </c>
      <c r="AJ16" s="12">
        <f t="array" ref="AJ16">PRODUCT(1+預測IC!$C16:AJ16)-1</f>
        <v>1.2343305915894343</v>
      </c>
      <c r="AK16" s="12">
        <f t="array" ref="AK16">PRODUCT(1+預測IC!$C16:AK16)-1</f>
        <v>1.3782692982222482</v>
      </c>
      <c r="AL16" s="12">
        <f t="array" ref="AL16">PRODUCT(1+預測IC!$C16:AL16)-1</f>
        <v>1.4940646929879327</v>
      </c>
      <c r="AM16" s="12">
        <f t="array" ref="AM16">PRODUCT(1+預測IC!$C16:AM16)-1</f>
        <v>1.5532552218734188</v>
      </c>
      <c r="AN16" s="12">
        <f t="array" ref="AN16">PRODUCT(1+預測IC!$C16:AN16)-1</f>
        <v>1.6878426948238352</v>
      </c>
      <c r="AO16" s="12">
        <f t="array" ref="AO16">PRODUCT(1+預測IC!$C16:AO16)-1</f>
        <v>1.8529425502730654</v>
      </c>
      <c r="AP16" s="12">
        <f t="array" ref="AP16">PRODUCT(1+預測IC!$C16:AP16)-1</f>
        <v>1.8678932372109633</v>
      </c>
      <c r="AQ16" s="12">
        <f t="array" ref="AQ16">PRODUCT(1+預測IC!$C16:AQ16)-1</f>
        <v>1.7989704336602887</v>
      </c>
      <c r="AR16" s="12">
        <f t="array" ref="AR16">PRODUCT(1+預測IC!$C16:AR16)-1</f>
        <v>1.8899152029842083</v>
      </c>
      <c r="AS16" s="12">
        <f t="array" ref="AS16">PRODUCT(1+預測IC!$C16:AS16)-1</f>
        <v>1.8087702373046821</v>
      </c>
      <c r="AT16" s="12">
        <f t="array" ref="AT16">PRODUCT(1+預測IC!$C16:AT16)-1</f>
        <v>1.8198346074405896</v>
      </c>
      <c r="AU16" s="12">
        <f t="array" ref="AU16">PRODUCT(1+預測IC!$C16:AU16)-1</f>
        <v>2.2998735382476276</v>
      </c>
      <c r="AV16" s="12">
        <f t="array" ref="AV16">PRODUCT(1+預測IC!$C16:AV16)-1</f>
        <v>2.3777787860016546</v>
      </c>
      <c r="AW16" s="12">
        <f t="array" ref="AW16">PRODUCT(1+預測IC!$C16:AW16)-1</f>
        <v>2.6921073736518881</v>
      </c>
      <c r="AX16" s="12">
        <f t="array" ref="AX16">PRODUCT(1+預測IC!$C16:AX16)-1</f>
        <v>2.6667959264347409</v>
      </c>
      <c r="AY16" s="12">
        <f t="array" ref="AY16">PRODUCT(1+預測IC!$C16:AY16)-1</f>
        <v>2.5396579261210084</v>
      </c>
      <c r="AZ16" s="12">
        <f t="array" ref="AZ16">PRODUCT(1+預測IC!$C16:AZ16)-1</f>
        <v>2.7054126341900777</v>
      </c>
      <c r="BA16" s="12">
        <f t="array" ref="BA16">PRODUCT(1+預測IC!$C16:BA16)-1</f>
        <v>3.2982457186592979</v>
      </c>
      <c r="BB16" s="12">
        <f t="array" ref="BB16">PRODUCT(1+預測IC!$C16:BB16)-1</f>
        <v>3.8676515219929701</v>
      </c>
      <c r="BC16" s="12">
        <f t="array" ref="BC16">PRODUCT(1+預測IC!$C16:BC16)-1</f>
        <v>3.6747140411662418</v>
      </c>
      <c r="BD16" s="12">
        <f t="array" ref="BD16">PRODUCT(1+預測IC!$C16:BD16)-1</f>
        <v>3.7040904636136016</v>
      </c>
      <c r="BE16" s="12">
        <f t="array" ref="BE16">PRODUCT(1+預測IC!$C16:BE16)-1</f>
        <v>3.9459324320695437</v>
      </c>
      <c r="BF16" s="12">
        <f t="array" ref="BF16">PRODUCT(1+預測IC!$C16:BF16)-1</f>
        <v>4.2637978862754453</v>
      </c>
      <c r="BG16" s="12">
        <f t="array" ref="BG16">PRODUCT(1+預測IC!$C16:BG16)-1</f>
        <v>4.3655535329478994</v>
      </c>
      <c r="BH16" s="12">
        <f t="array" ref="BH16">PRODUCT(1+預測IC!$C16:BH16)-1</f>
        <v>4.0326745917638114</v>
      </c>
      <c r="BI16" s="12">
        <f t="array" ref="BI16">PRODUCT(1+預測IC!$C16:BI16)-1</f>
        <v>4.1616161882933262</v>
      </c>
      <c r="BJ16" s="12">
        <f t="array" ref="BJ16">PRODUCT(1+預測IC!$C16:BJ16)-1</f>
        <v>4.5819208593769538</v>
      </c>
      <c r="BK16" s="12">
        <f t="array" ref="BK16">PRODUCT(1+預測IC!$C16:BK16)-1</f>
        <v>5.1667566940033129</v>
      </c>
      <c r="BL16" s="12">
        <f t="array" ref="BL16">PRODUCT(1+預測IC!$C16:BL16)-1</f>
        <v>5.6022750405845638</v>
      </c>
      <c r="BM16" s="12">
        <f t="array" ref="BM16">PRODUCT(1+預測IC!$C16:BM16)-1</f>
        <v>6.1405180859858648</v>
      </c>
      <c r="BN16" s="12">
        <f t="array" ref="BN16">PRODUCT(1+預測IC!$C16:BN16)-1</f>
        <v>6.6203561410187248</v>
      </c>
      <c r="BO16" s="12">
        <f t="array" ref="BO16">PRODUCT(1+預測IC!$C16:BO16)-1</f>
        <v>6.7871684799206911</v>
      </c>
      <c r="BP16" s="12">
        <f t="array" ref="BP16">PRODUCT(1+預測IC!$C16:BP16)-1</f>
        <v>6.9494778618636124</v>
      </c>
      <c r="BQ16" s="12">
        <f t="array" ref="BQ16">PRODUCT(1+預測IC!$C16:BQ16)-1</f>
        <v>7.1709997785129396</v>
      </c>
      <c r="BR16" s="12">
        <f t="array" ref="BR16">PRODUCT(1+預測IC!$C16:BR16)-1</f>
        <v>7.2711735121309147</v>
      </c>
      <c r="BS16" s="12">
        <f t="array" ref="BS16">PRODUCT(1+預測IC!$C16:BS16)-1</f>
        <v>7.1620637217302718</v>
      </c>
      <c r="BT16" s="12">
        <f t="array" ref="BT16">PRODUCT(1+預測IC!$C16:BT16)-1</f>
        <v>7.8597829759949089</v>
      </c>
      <c r="BU16" s="12">
        <f t="array" ref="BU16">PRODUCT(1+預測IC!$C16:BU16)-1</f>
        <v>6.9601852231206527</v>
      </c>
      <c r="BV16" s="12">
        <f t="array" ref="BV16">PRODUCT(1+預測IC!$C16:BV16)-1</f>
        <v>7.7125058664178852</v>
      </c>
      <c r="BW16" s="12">
        <f t="array" ref="BW16">PRODUCT(1+預測IC!$C16:BW16)-1</f>
        <v>9.6636279926728381</v>
      </c>
      <c r="BX16" s="12">
        <f t="array" ref="BX16">PRODUCT(1+預測IC!$C16:BX16)-1</f>
        <v>9.9203963062608533</v>
      </c>
      <c r="BY16" s="12">
        <f t="array" ref="BY16">PRODUCT(1+預測IC!$C16:BY16)-1</f>
        <v>8.6209188942878718</v>
      </c>
      <c r="BZ16" s="12">
        <f t="array" ref="BZ16">PRODUCT(1+預測IC!$C16:BZ16)-1</f>
        <v>9.5121003355018043</v>
      </c>
      <c r="CA16" s="12">
        <f t="array" ref="CA16">PRODUCT(1+預測IC!$C16:CA16)-1</f>
        <v>9.8004577598049547</v>
      </c>
      <c r="CB16" s="12">
        <f t="array" ref="CB16">PRODUCT(1+預測IC!$C16:CB16)-1</f>
        <v>11.305058729865623</v>
      </c>
      <c r="CC16" s="12">
        <f t="array" ref="CC16">PRODUCT(1+預測IC!$C16:CC16)-1</f>
        <v>11.851235168335682</v>
      </c>
      <c r="CD16" s="12">
        <f t="array" ref="CD16">PRODUCT(1+預測IC!$C16:CD16)-1</f>
        <v>12.978931054357139</v>
      </c>
      <c r="CE16" s="12">
        <f t="array" ref="CE16">PRODUCT(1+預測IC!$C16:CE16)-1</f>
        <v>14.832468267337926</v>
      </c>
      <c r="CF16" s="12">
        <f t="array" ref="CF16">PRODUCT(1+預測IC!$C16:CF16)-1</f>
        <v>13.166872593219704</v>
      </c>
      <c r="CG16" s="12">
        <f t="array" ref="CG16">PRODUCT(1+預測IC!$C16:CG16)-1</f>
        <v>15.238022143439782</v>
      </c>
      <c r="CH16" s="12">
        <f t="array" ref="CH16">PRODUCT(1+預測IC!$C16:CH16)-1</f>
        <v>14.937270518422405</v>
      </c>
      <c r="CI16" s="12">
        <f t="array" ref="CI16">PRODUCT(1+預測IC!$C16:CI16)-1</f>
        <v>14.007437032142581</v>
      </c>
      <c r="CJ16" s="12">
        <f t="array" ref="CJ16">PRODUCT(1+預測IC!$C16:CJ16)-1</f>
        <v>14.424647116622152</v>
      </c>
      <c r="CK16" s="12">
        <f t="array" ref="CK16">PRODUCT(1+預測IC!$C16:CK16)-1</f>
        <v>15.515675253422827</v>
      </c>
      <c r="CL16" s="12">
        <f t="array" ref="CL16">PRODUCT(1+預測IC!$C16:CL16)-1</f>
        <v>15.253428092530505</v>
      </c>
      <c r="CM16" s="12">
        <f t="array" ref="CM16">PRODUCT(1+預測IC!$C16:CM16)-1</f>
        <v>13.807057823849481</v>
      </c>
      <c r="CN16" s="12">
        <f t="array" ref="CN16">PRODUCT(1+預測IC!$C16:CN16)-1</f>
        <v>13.949347068622087</v>
      </c>
      <c r="CO16" s="12">
        <f t="array" ref="CO16">PRODUCT(1+預測IC!$C16:CO16)-1</f>
        <v>16.676884660386456</v>
      </c>
      <c r="CP16" s="12">
        <f t="array" ref="CP16">PRODUCT(1+預測IC!$C16:CP16)-1</f>
        <v>16.134477310975679</v>
      </c>
      <c r="CQ16" s="12">
        <f t="array" ref="CQ16">PRODUCT(1+預測IC!$C16:CQ16)-1</f>
        <v>19.020797148486842</v>
      </c>
      <c r="CR16" s="12">
        <f t="array" ref="CR16">PRODUCT(1+預測IC!$C16:CR16)-1</f>
        <v>18.053797317400917</v>
      </c>
      <c r="CS16" s="12">
        <f t="array" ref="CS16">PRODUCT(1+預測IC!$C16:CS16)-1</f>
        <v>16.785592575543831</v>
      </c>
      <c r="CT16" s="12">
        <f t="array" ref="CT16">PRODUCT(1+預測IC!$C16:CT16)-1</f>
        <v>17.655377218681274</v>
      </c>
      <c r="CU16" s="12">
        <f t="array" ref="CU16">PRODUCT(1+預測IC!$C16:CU16)-1</f>
        <v>18.838774624484611</v>
      </c>
      <c r="CV16" s="12">
        <f t="array" ref="CV16">PRODUCT(1+預測IC!$C16:CV16)-1</f>
        <v>19.171095606277824</v>
      </c>
      <c r="CW16" s="12">
        <f t="array" ref="CW16">PRODUCT(1+預測IC!$C16:CW16)-1</f>
        <v>19.356551877229705</v>
      </c>
      <c r="CX16" s="12">
        <f t="array" ref="CX16">PRODUCT(1+預測IC!$C16:CX16)-1</f>
        <v>19.10738188563775</v>
      </c>
      <c r="CY16" s="12">
        <f t="array" ref="CY16">PRODUCT(1+預測IC!$C16:CY16)-1</f>
        <v>20.284760695337098</v>
      </c>
      <c r="CZ16" s="12">
        <f t="array" ref="CZ16">PRODUCT(1+預測IC!$C16:CZ16)-1</f>
        <v>23.822730172929905</v>
      </c>
      <c r="DA16" s="12">
        <f t="array" ref="DA16">PRODUCT(1+預測IC!$C16:DA16)-1</f>
        <v>24.56256653143836</v>
      </c>
      <c r="DB16" s="12">
        <f t="array" ref="DB16">PRODUCT(1+預測IC!$C16:DB16)-1</f>
        <v>27.068124094294841</v>
      </c>
      <c r="DC16" s="12">
        <f t="array" ref="DC16">PRODUCT(1+預測IC!$C16:DC16)-1</f>
        <v>28.85718944274565</v>
      </c>
      <c r="DD16" s="12">
        <f t="array" ref="DD16">PRODUCT(1+預測IC!$C16:DD16)-1</f>
        <v>26.636706946423161</v>
      </c>
      <c r="DE16" s="12">
        <f t="array" ref="DE16">PRODUCT(1+預測IC!$C16:DE16)-1</f>
        <v>25.080060215430226</v>
      </c>
      <c r="DF16" s="12">
        <f t="array" ref="DF16">PRODUCT(1+預測IC!$C16:DF16)-1</f>
        <v>33.571229402645749</v>
      </c>
      <c r="DG16" s="12">
        <f t="array" ref="DG16">PRODUCT(1+預測IC!$C16:DG16)-1</f>
        <v>31.9921193572211</v>
      </c>
      <c r="DH16" s="12">
        <f t="array" ref="DH16">PRODUCT(1+預測IC!$C16:DH16)-1</f>
        <v>36.51697019810878</v>
      </c>
      <c r="DI16" s="12">
        <f t="array" ref="DI16">PRODUCT(1+預測IC!$C16:DI16)-1</f>
        <v>38.311361028609632</v>
      </c>
      <c r="DJ16" s="12">
        <f t="array" ref="DJ16">PRODUCT(1+預測IC!$C16:DJ16)-1</f>
        <v>40.345846263852273</v>
      </c>
      <c r="DK16" s="12">
        <f t="array" ref="DK16">PRODUCT(1+預測IC!$C16:DK16)-1</f>
        <v>36.366129395622679</v>
      </c>
      <c r="DL16" s="12">
        <f t="array" ref="DL16">PRODUCT(1+預測IC!$C16:DL16)-1</f>
        <v>36.41720474271434</v>
      </c>
      <c r="DM16" s="12">
        <f t="array" ref="DM16">PRODUCT(1+預測IC!$C16:DM16)-1</f>
        <v>37.844122317979334</v>
      </c>
      <c r="DN16" s="12">
        <f t="array" ref="DN16">PRODUCT(1+預測IC!$C16:DN16)-1</f>
        <v>39.492583484784618</v>
      </c>
      <c r="DO16" s="12">
        <f t="array" ref="DO16">PRODUCT(1+預測IC!$C16:DO16)-1</f>
        <v>46.359747713024895</v>
      </c>
      <c r="DP16" s="12">
        <f t="array" ref="DP16">PRODUCT(1+預測IC!$C16:DP16)-1</f>
        <v>47.299457391871854</v>
      </c>
      <c r="DQ16" s="12">
        <f t="array" ref="DQ16">PRODUCT(1+預測IC!$C16:DQ16)-1</f>
        <v>44.036346050476993</v>
      </c>
      <c r="DR16" s="12">
        <f t="array" ref="DR16">PRODUCT(1+預測IC!$C16:DR16)-1</f>
        <v>43.532914762209415</v>
      </c>
      <c r="DS16" s="12">
        <f t="array" ref="DS16">PRODUCT(1+預測IC!$C16:DS16)-1</f>
        <v>39.357862043239571</v>
      </c>
      <c r="DT16" s="12">
        <f t="array" ref="DT16">PRODUCT(1+預測IC!$C16:DT16)-1</f>
        <v>40.651708195104462</v>
      </c>
      <c r="DU16" s="12">
        <f t="array" ref="DU16">PRODUCT(1+預測IC!$C16:DU16)-1</f>
        <v>35.538003024866903</v>
      </c>
      <c r="DV16" s="12">
        <f t="array" ref="DV16">PRODUCT(1+預測IC!$C16:DV16)-1</f>
        <v>37.18775881788946</v>
      </c>
      <c r="DW16" s="12">
        <f t="array" ref="DW16">PRODUCT(1+預測IC!$C16:DW16)-1</f>
        <v>38.750315211036842</v>
      </c>
      <c r="DX16" s="12">
        <f t="array" ref="DX16">PRODUCT(1+預測IC!$C16:DX16)-1</f>
        <v>40.241234700358895</v>
      </c>
      <c r="DY16" s="12">
        <f t="array" ref="DY16">PRODUCT(1+預測IC!$C16:DY16)-1</f>
        <v>46.739689369845031</v>
      </c>
      <c r="DZ16" s="12">
        <f t="array" ref="DZ16">PRODUCT(1+預測IC!$C16:DZ16)-1</f>
        <v>48.232847445070931</v>
      </c>
      <c r="EA16" s="12">
        <f t="array" ref="EA16">PRODUCT(1+預測IC!$C16:EA16)-1</f>
        <v>55.11559404757547</v>
      </c>
      <c r="EB16" s="12">
        <f t="array" ref="EB16">PRODUCT(1+預測IC!$C16:EB16)-1</f>
        <v>51.138245442803424</v>
      </c>
      <c r="EC16" s="12">
        <f t="array" ref="EC16">PRODUCT(1+預測IC!$C16:EC16)-1</f>
        <v>54.450695926485167</v>
      </c>
      <c r="ED16" s="12">
        <f t="array" ref="ED16">PRODUCT(1+預測IC!$C16:ED16)-1</f>
        <v>60.85063489687176</v>
      </c>
      <c r="EE16" s="12">
        <f t="array" ref="EE16">PRODUCT(1+預測IC!$C16:EE16)-1</f>
        <v>62.278810064889498</v>
      </c>
      <c r="EF16" s="12">
        <f t="array" ref="EF16">PRODUCT(1+預測IC!$C16:EF16)-1</f>
        <v>59.591080480136682</v>
      </c>
    </row>
    <row r="17" spans="1:136">
      <c r="A17" s="2">
        <v>8</v>
      </c>
      <c r="B17" s="2" t="s">
        <v>194</v>
      </c>
      <c r="C17" s="12">
        <f t="array" ref="C17">PRODUCT(1+預測IC!$C17:C17)-1</f>
        <v>4.1028984252961864E-2</v>
      </c>
      <c r="D17" s="12">
        <f t="array" ref="D17">PRODUCT(1+預測IC!$C17:D17)-1</f>
        <v>5.9074570774008572E-2</v>
      </c>
      <c r="E17" s="12">
        <f t="array" ref="E17">PRODUCT(1+預測IC!$C17:E17)-1</f>
        <v>0.14336419771277042</v>
      </c>
      <c r="F17" s="12">
        <f t="array" ref="F17">PRODUCT(1+預測IC!$C17:F17)-1</f>
        <v>0.27237857265676002</v>
      </c>
      <c r="G17" s="12">
        <f t="array" ref="G17">PRODUCT(1+預測IC!$C17:G17)-1</f>
        <v>0.36300089511788602</v>
      </c>
      <c r="H17" s="12">
        <f t="array" ref="H17">PRODUCT(1+預測IC!$C17:H17)-1</f>
        <v>0.50610883335056456</v>
      </c>
      <c r="I17" s="12">
        <f t="array" ref="I17">PRODUCT(1+預測IC!$C17:I17)-1</f>
        <v>0.33482656440465131</v>
      </c>
      <c r="J17" s="12">
        <f t="array" ref="J17">PRODUCT(1+預測IC!$C17:J17)-1</f>
        <v>0.18092323062196214</v>
      </c>
      <c r="K17" s="12">
        <f t="array" ref="K17">PRODUCT(1+預測IC!$C17:K17)-1</f>
        <v>0.53145260028201324</v>
      </c>
      <c r="L17" s="12">
        <f t="array" ref="L17">PRODUCT(1+預測IC!$C17:L17)-1</f>
        <v>0.51658083329369342</v>
      </c>
      <c r="M17" s="12">
        <f t="array" ref="M17">PRODUCT(1+預測IC!$C17:M17)-1</f>
        <v>0.17240816855862673</v>
      </c>
      <c r="N17" s="12">
        <f t="array" ref="N17">PRODUCT(1+預測IC!$C17:N17)-1</f>
        <v>1.302111631720404E-2</v>
      </c>
      <c r="O17" s="12">
        <f t="array" ref="O17">PRODUCT(1+預測IC!$C17:O17)-1</f>
        <v>3.7973979081968867E-2</v>
      </c>
      <c r="P17" s="12">
        <f t="array" ref="P17">PRODUCT(1+預測IC!$C17:P17)-1</f>
        <v>0.11781039641679558</v>
      </c>
      <c r="Q17" s="12">
        <f t="array" ref="Q17">PRODUCT(1+預測IC!$C17:Q17)-1</f>
        <v>0.23678161170712664</v>
      </c>
      <c r="R17" s="12">
        <f t="array" ref="R17">PRODUCT(1+預測IC!$C17:R17)-1</f>
        <v>0.3011655051496871</v>
      </c>
      <c r="S17" s="12">
        <f t="array" ref="S17">PRODUCT(1+預測IC!$C17:S17)-1</f>
        <v>0.70537703577710231</v>
      </c>
      <c r="T17" s="12">
        <f t="array" ref="T17">PRODUCT(1+預測IC!$C17:T17)-1</f>
        <v>0.66528639290366565</v>
      </c>
      <c r="U17" s="12">
        <f t="array" ref="U17">PRODUCT(1+預測IC!$C17:U17)-1</f>
        <v>0.90054330428307861</v>
      </c>
      <c r="V17" s="12">
        <f t="array" ref="V17">PRODUCT(1+預測IC!$C17:V17)-1</f>
        <v>0.67940535054530793</v>
      </c>
      <c r="W17" s="12">
        <f t="array" ref="W17">PRODUCT(1+預測IC!$C17:W17)-1</f>
        <v>0.88026892124211265</v>
      </c>
      <c r="X17" s="12">
        <f t="array" ref="X17">PRODUCT(1+預測IC!$C17:X17)-1</f>
        <v>1.0999711957955096</v>
      </c>
      <c r="Y17" s="12">
        <f t="array" ref="Y17">PRODUCT(1+預測IC!$C17:Y17)-1</f>
        <v>1.1031193151144065</v>
      </c>
      <c r="Z17" s="12">
        <f t="array" ref="Z17">PRODUCT(1+預測IC!$C17:Z17)-1</f>
        <v>1.0576740613937567</v>
      </c>
      <c r="AA17" s="12">
        <f t="array" ref="AA17">PRODUCT(1+預測IC!$C17:AA17)-1</f>
        <v>1.185776874969144</v>
      </c>
      <c r="AB17" s="12">
        <f t="array" ref="AB17">PRODUCT(1+預測IC!$C17:AB17)-1</f>
        <v>1.0582709470783658</v>
      </c>
      <c r="AC17" s="12">
        <f t="array" ref="AC17">PRODUCT(1+預測IC!$C17:AC17)-1</f>
        <v>0.97429529342464716</v>
      </c>
      <c r="AD17" s="12">
        <f t="array" ref="AD17">PRODUCT(1+預測IC!$C17:AD17)-1</f>
        <v>1.1097711896725349</v>
      </c>
      <c r="AE17" s="12">
        <f t="array" ref="AE17">PRODUCT(1+預測IC!$C17:AE17)-1</f>
        <v>1.2351828459430365</v>
      </c>
      <c r="AF17" s="12">
        <f t="array" ref="AF17">PRODUCT(1+預測IC!$C17:AF17)-1</f>
        <v>1.2539866010323881</v>
      </c>
      <c r="AG17" s="12">
        <f t="array" ref="AG17">PRODUCT(1+預測IC!$C17:AG17)-1</f>
        <v>1.2509409016377431</v>
      </c>
      <c r="AH17" s="12">
        <f t="array" ref="AH17">PRODUCT(1+預測IC!$C17:AH17)-1</f>
        <v>1.1710941322532684</v>
      </c>
      <c r="AI17" s="12">
        <f t="array" ref="AI17">PRODUCT(1+預測IC!$C17:AI17)-1</f>
        <v>1.4204771311413062</v>
      </c>
      <c r="AJ17" s="12">
        <f t="array" ref="AJ17">PRODUCT(1+預測IC!$C17:AJ17)-1</f>
        <v>1.3173584382437085</v>
      </c>
      <c r="AK17" s="12">
        <f t="array" ref="AK17">PRODUCT(1+預測IC!$C17:AK17)-1</f>
        <v>1.4881854695461061</v>
      </c>
      <c r="AL17" s="12">
        <f t="array" ref="AL17">PRODUCT(1+預測IC!$C17:AL17)-1</f>
        <v>1.6143971988810253</v>
      </c>
      <c r="AM17" s="12">
        <f t="array" ref="AM17">PRODUCT(1+預測IC!$C17:AM17)-1</f>
        <v>1.6872581612162905</v>
      </c>
      <c r="AN17" s="12">
        <f t="array" ref="AN17">PRODUCT(1+預測IC!$C17:AN17)-1</f>
        <v>1.8199022317757372</v>
      </c>
      <c r="AO17" s="12">
        <f t="array" ref="AO17">PRODUCT(1+預測IC!$C17:AO17)-1</f>
        <v>1.8555241802947577</v>
      </c>
      <c r="AP17" s="12">
        <f t="array" ref="AP17">PRODUCT(1+預測IC!$C17:AP17)-1</f>
        <v>1.8662588095695312</v>
      </c>
      <c r="AQ17" s="12">
        <f t="array" ref="AQ17">PRODUCT(1+預測IC!$C17:AQ17)-1</f>
        <v>1.8398021659101507</v>
      </c>
      <c r="AR17" s="12">
        <f t="array" ref="AR17">PRODUCT(1+預測IC!$C17:AR17)-1</f>
        <v>1.9391856573846962</v>
      </c>
      <c r="AS17" s="12">
        <f t="array" ref="AS17">PRODUCT(1+預測IC!$C17:AS17)-1</f>
        <v>1.8524326535213294</v>
      </c>
      <c r="AT17" s="12">
        <f t="array" ref="AT17">PRODUCT(1+預測IC!$C17:AT17)-1</f>
        <v>1.8565184067434171</v>
      </c>
      <c r="AU17" s="12">
        <f t="array" ref="AU17">PRODUCT(1+預測IC!$C17:AU17)-1</f>
        <v>2.3637293134055959</v>
      </c>
      <c r="AV17" s="12">
        <f t="array" ref="AV17">PRODUCT(1+預測IC!$C17:AV17)-1</f>
        <v>2.4564450458694869</v>
      </c>
      <c r="AW17" s="12">
        <f t="array" ref="AW17">PRODUCT(1+預測IC!$C17:AW17)-1</f>
        <v>2.843575532119484</v>
      </c>
      <c r="AX17" s="12">
        <f t="array" ref="AX17">PRODUCT(1+預測IC!$C17:AX17)-1</f>
        <v>2.8842881254965187</v>
      </c>
      <c r="AY17" s="12">
        <f t="array" ref="AY17">PRODUCT(1+預測IC!$C17:AY17)-1</f>
        <v>2.7024602285178854</v>
      </c>
      <c r="AZ17" s="12">
        <f t="array" ref="AZ17">PRODUCT(1+預測IC!$C17:AZ17)-1</f>
        <v>2.8801093611649877</v>
      </c>
      <c r="BA17" s="12">
        <f t="array" ref="BA17">PRODUCT(1+預測IC!$C17:BA17)-1</f>
        <v>3.5118163858734954</v>
      </c>
      <c r="BB17" s="12">
        <f t="array" ref="BB17">PRODUCT(1+預測IC!$C17:BB17)-1</f>
        <v>4.2033458671986148</v>
      </c>
      <c r="BC17" s="12">
        <f t="array" ref="BC17">PRODUCT(1+預測IC!$C17:BC17)-1</f>
        <v>3.9027745931798874</v>
      </c>
      <c r="BD17" s="12">
        <f t="array" ref="BD17">PRODUCT(1+預測IC!$C17:BD17)-1</f>
        <v>3.997957671978706</v>
      </c>
      <c r="BE17" s="12">
        <f t="array" ref="BE17">PRODUCT(1+預測IC!$C17:BE17)-1</f>
        <v>4.3845509086018311</v>
      </c>
      <c r="BF17" s="12">
        <f t="array" ref="BF17">PRODUCT(1+預測IC!$C17:BF17)-1</f>
        <v>4.6817646391201189</v>
      </c>
      <c r="BG17" s="12">
        <f t="array" ref="BG17">PRODUCT(1+預測IC!$C17:BG17)-1</f>
        <v>4.6070281274982925</v>
      </c>
      <c r="BH17" s="12">
        <f t="array" ref="BH17">PRODUCT(1+預測IC!$C17:BH17)-1</f>
        <v>4.3337485853491851</v>
      </c>
      <c r="BI17" s="12">
        <f t="array" ref="BI17">PRODUCT(1+預測IC!$C17:BI17)-1</f>
        <v>4.6401764418889337</v>
      </c>
      <c r="BJ17" s="12">
        <f t="array" ref="BJ17">PRODUCT(1+預測IC!$C17:BJ17)-1</f>
        <v>5.1432378791821129</v>
      </c>
      <c r="BK17" s="12">
        <f t="array" ref="BK17">PRODUCT(1+預測IC!$C17:BK17)-1</f>
        <v>5.8485806474230211</v>
      </c>
      <c r="BL17" s="12">
        <f t="array" ref="BL17">PRODUCT(1+預測IC!$C17:BL17)-1</f>
        <v>6.3792289943540528</v>
      </c>
      <c r="BM17" s="12">
        <f t="array" ref="BM17">PRODUCT(1+預測IC!$C17:BM17)-1</f>
        <v>6.9400339455344051</v>
      </c>
      <c r="BN17" s="12">
        <f t="array" ref="BN17">PRODUCT(1+預測IC!$C17:BN17)-1</f>
        <v>7.5248809658945781</v>
      </c>
      <c r="BO17" s="12">
        <f t="array" ref="BO17">PRODUCT(1+預測IC!$C17:BO17)-1</f>
        <v>7.8247829997480967</v>
      </c>
      <c r="BP17" s="12">
        <f t="array" ref="BP17">PRODUCT(1+預測IC!$C17:BP17)-1</f>
        <v>8.1424397090622378</v>
      </c>
      <c r="BQ17" s="12">
        <f t="array" ref="BQ17">PRODUCT(1+預測IC!$C17:BQ17)-1</f>
        <v>8.5871782599294235</v>
      </c>
      <c r="BR17" s="12">
        <f t="array" ref="BR17">PRODUCT(1+預測IC!$C17:BR17)-1</f>
        <v>8.9227738397264051</v>
      </c>
      <c r="BS17" s="12">
        <f t="array" ref="BS17">PRODUCT(1+預測IC!$C17:BS17)-1</f>
        <v>8.8820560437835532</v>
      </c>
      <c r="BT17" s="12">
        <f t="array" ref="BT17">PRODUCT(1+預測IC!$C17:BT17)-1</f>
        <v>9.9633148318889297</v>
      </c>
      <c r="BU17" s="12">
        <f t="array" ref="BU17">PRODUCT(1+預測IC!$C17:BU17)-1</f>
        <v>8.8173812011575095</v>
      </c>
      <c r="BV17" s="12">
        <f t="array" ref="BV17">PRODUCT(1+預測IC!$C17:BV17)-1</f>
        <v>9.8643447748011006</v>
      </c>
      <c r="BW17" s="12">
        <f t="array" ref="BW17">PRODUCT(1+預測IC!$C17:BW17)-1</f>
        <v>12.333097369487545</v>
      </c>
      <c r="BX17" s="12">
        <f t="array" ref="BX17">PRODUCT(1+預測IC!$C17:BX17)-1</f>
        <v>12.427715694970114</v>
      </c>
      <c r="BY17" s="12">
        <f t="array" ref="BY17">PRODUCT(1+預測IC!$C17:BY17)-1</f>
        <v>11.140502977625504</v>
      </c>
      <c r="BZ17" s="12">
        <f t="array" ref="BZ17">PRODUCT(1+預測IC!$C17:BZ17)-1</f>
        <v>12.438954052088507</v>
      </c>
      <c r="CA17" s="12">
        <f t="array" ref="CA17">PRODUCT(1+預測IC!$C17:CA17)-1</f>
        <v>12.80444152635836</v>
      </c>
      <c r="CB17" s="12">
        <f t="array" ref="CB17">PRODUCT(1+預測IC!$C17:CB17)-1</f>
        <v>14.870046701937515</v>
      </c>
      <c r="CC17" s="12">
        <f t="array" ref="CC17">PRODUCT(1+預測IC!$C17:CC17)-1</f>
        <v>15.532756047140374</v>
      </c>
      <c r="CD17" s="12">
        <f t="array" ref="CD17">PRODUCT(1+預測IC!$C17:CD17)-1</f>
        <v>16.592582173758789</v>
      </c>
      <c r="CE17" s="12">
        <f t="array" ref="CE17">PRODUCT(1+預測IC!$C17:CE17)-1</f>
        <v>19.673329112784117</v>
      </c>
      <c r="CF17" s="12">
        <f t="array" ref="CF17">PRODUCT(1+預測IC!$C17:CF17)-1</f>
        <v>17.631916474756359</v>
      </c>
      <c r="CG17" s="12">
        <f t="array" ref="CG17">PRODUCT(1+預測IC!$C17:CG17)-1</f>
        <v>20.930424794833527</v>
      </c>
      <c r="CH17" s="12">
        <f t="array" ref="CH17">PRODUCT(1+預測IC!$C17:CH17)-1</f>
        <v>20.431406202536387</v>
      </c>
      <c r="CI17" s="12">
        <f t="array" ref="CI17">PRODUCT(1+預測IC!$C17:CI17)-1</f>
        <v>18.664359971879509</v>
      </c>
      <c r="CJ17" s="12">
        <f t="array" ref="CJ17">PRODUCT(1+預測IC!$C17:CJ17)-1</f>
        <v>19.41793265863188</v>
      </c>
      <c r="CK17" s="12">
        <f t="array" ref="CK17">PRODUCT(1+預測IC!$C17:CK17)-1</f>
        <v>20.964468549927293</v>
      </c>
      <c r="CL17" s="12">
        <f t="array" ref="CL17">PRODUCT(1+預測IC!$C17:CL17)-1</f>
        <v>21.171513203147452</v>
      </c>
      <c r="CM17" s="12">
        <f t="array" ref="CM17">PRODUCT(1+預測IC!$C17:CM17)-1</f>
        <v>18.187907206343905</v>
      </c>
      <c r="CN17" s="12">
        <f t="array" ref="CN17">PRODUCT(1+預測IC!$C17:CN17)-1</f>
        <v>18.449452772496777</v>
      </c>
      <c r="CO17" s="12">
        <f t="array" ref="CO17">PRODUCT(1+預測IC!$C17:CO17)-1</f>
        <v>22.388718238054619</v>
      </c>
      <c r="CP17" s="12">
        <f t="array" ref="CP17">PRODUCT(1+預測IC!$C17:CP17)-1</f>
        <v>21.883288036930256</v>
      </c>
      <c r="CQ17" s="12">
        <f t="array" ref="CQ17">PRODUCT(1+預測IC!$C17:CQ17)-1</f>
        <v>25.845091717641026</v>
      </c>
      <c r="CR17" s="12">
        <f t="array" ref="CR17">PRODUCT(1+預測IC!$C17:CR17)-1</f>
        <v>24.484676676811663</v>
      </c>
      <c r="CS17" s="12">
        <f t="array" ref="CS17">PRODUCT(1+預測IC!$C17:CS17)-1</f>
        <v>22.016699014287124</v>
      </c>
      <c r="CT17" s="12">
        <f t="array" ref="CT17">PRODUCT(1+預測IC!$C17:CT17)-1</f>
        <v>23.366726232445874</v>
      </c>
      <c r="CU17" s="12">
        <f t="array" ref="CU17">PRODUCT(1+預測IC!$C17:CU17)-1</f>
        <v>25.179813092746652</v>
      </c>
      <c r="CV17" s="12">
        <f t="array" ref="CV17">PRODUCT(1+預測IC!$C17:CV17)-1</f>
        <v>25.078245682006216</v>
      </c>
      <c r="CW17" s="12">
        <f t="array" ref="CW17">PRODUCT(1+預測IC!$C17:CW17)-1</f>
        <v>25.593600163386235</v>
      </c>
      <c r="CX17" s="12">
        <f t="array" ref="CX17">PRODUCT(1+預測IC!$C17:CX17)-1</f>
        <v>25.307123410614114</v>
      </c>
      <c r="CY17" s="12">
        <f t="array" ref="CY17">PRODUCT(1+預測IC!$C17:CY17)-1</f>
        <v>26.872347927689258</v>
      </c>
      <c r="CZ17" s="12">
        <f t="array" ref="CZ17">PRODUCT(1+預測IC!$C17:CZ17)-1</f>
        <v>32.004647101658755</v>
      </c>
      <c r="DA17" s="12">
        <f t="array" ref="DA17">PRODUCT(1+預測IC!$C17:DA17)-1</f>
        <v>33.453414441968029</v>
      </c>
      <c r="DB17" s="12">
        <f t="array" ref="DB17">PRODUCT(1+預測IC!$C17:DB17)-1</f>
        <v>37.045906419246478</v>
      </c>
      <c r="DC17" s="12">
        <f t="array" ref="DC17">PRODUCT(1+預測IC!$C17:DC17)-1</f>
        <v>39.096105201413629</v>
      </c>
      <c r="DD17" s="12">
        <f t="array" ref="DD17">PRODUCT(1+預測IC!$C17:DD17)-1</f>
        <v>37.166279658069591</v>
      </c>
      <c r="DE17" s="12">
        <f t="array" ref="DE17">PRODUCT(1+預測IC!$C17:DE17)-1</f>
        <v>35.19440450718055</v>
      </c>
      <c r="DF17" s="12">
        <f t="array" ref="DF17">PRODUCT(1+預測IC!$C17:DF17)-1</f>
        <v>47.943064596432926</v>
      </c>
      <c r="DG17" s="12">
        <f t="array" ref="DG17">PRODUCT(1+預測IC!$C17:DG17)-1</f>
        <v>45.632407455887659</v>
      </c>
      <c r="DH17" s="12">
        <f t="array" ref="DH17">PRODUCT(1+預測IC!$C17:DH17)-1</f>
        <v>53.253699190778534</v>
      </c>
      <c r="DI17" s="12">
        <f t="array" ref="DI17">PRODUCT(1+預測IC!$C17:DI17)-1</f>
        <v>57.061291617111365</v>
      </c>
      <c r="DJ17" s="12">
        <f t="array" ref="DJ17">PRODUCT(1+預測IC!$C17:DJ17)-1</f>
        <v>60.379283960847175</v>
      </c>
      <c r="DK17" s="12">
        <f t="array" ref="DK17">PRODUCT(1+預測IC!$C17:DK17)-1</f>
        <v>54.070728827761798</v>
      </c>
      <c r="DL17" s="12">
        <f t="array" ref="DL17">PRODUCT(1+預測IC!$C17:DL17)-1</f>
        <v>53.751883075531261</v>
      </c>
      <c r="DM17" s="12">
        <f t="array" ref="DM17">PRODUCT(1+預測IC!$C17:DM17)-1</f>
        <v>56.082314850816637</v>
      </c>
      <c r="DN17" s="12">
        <f t="array" ref="DN17">PRODUCT(1+預測IC!$C17:DN17)-1</f>
        <v>58.108110989967464</v>
      </c>
      <c r="DO17" s="12">
        <f t="array" ref="DO17">PRODUCT(1+預測IC!$C17:DO17)-1</f>
        <v>68.733503237745992</v>
      </c>
      <c r="DP17" s="12">
        <f t="array" ref="DP17">PRODUCT(1+預測IC!$C17:DP17)-1</f>
        <v>67.581609788750001</v>
      </c>
      <c r="DQ17" s="12">
        <f t="array" ref="DQ17">PRODUCT(1+預測IC!$C17:DQ17)-1</f>
        <v>63.1070712396928</v>
      </c>
      <c r="DR17" s="12">
        <f t="array" ref="DR17">PRODUCT(1+預測IC!$C17:DR17)-1</f>
        <v>61.457820671444843</v>
      </c>
      <c r="DS17" s="12">
        <f t="array" ref="DS17">PRODUCT(1+預測IC!$C17:DS17)-1</f>
        <v>53.693304255793279</v>
      </c>
      <c r="DT17" s="12">
        <f t="array" ref="DT17">PRODUCT(1+預測IC!$C17:DT17)-1</f>
        <v>54.609034248948021</v>
      </c>
      <c r="DU17" s="12">
        <f t="array" ref="DU17">PRODUCT(1+預測IC!$C17:DU17)-1</f>
        <v>47.407997967914746</v>
      </c>
      <c r="DV17" s="12">
        <f t="array" ref="DV17">PRODUCT(1+預測IC!$C17:DV17)-1</f>
        <v>50.422478970371969</v>
      </c>
      <c r="DW17" s="12">
        <f t="array" ref="DW17">PRODUCT(1+預測IC!$C17:DW17)-1</f>
        <v>52.925801527482619</v>
      </c>
      <c r="DX17" s="12">
        <f t="array" ref="DX17">PRODUCT(1+預測IC!$C17:DX17)-1</f>
        <v>55.305109001753024</v>
      </c>
      <c r="DY17" s="12">
        <f t="array" ref="DY17">PRODUCT(1+預測IC!$C17:DY17)-1</f>
        <v>61.345647781956337</v>
      </c>
      <c r="DZ17" s="12">
        <f t="array" ref="DZ17">PRODUCT(1+預測IC!$C17:DZ17)-1</f>
        <v>63.329995820405927</v>
      </c>
      <c r="EA17" s="12">
        <f t="array" ref="EA17">PRODUCT(1+預測IC!$C17:EA17)-1</f>
        <v>73.916936016310217</v>
      </c>
      <c r="EB17" s="12">
        <f t="array" ref="EB17">PRODUCT(1+預測IC!$C17:EB17)-1</f>
        <v>68.389292903133793</v>
      </c>
      <c r="EC17" s="12">
        <f t="array" ref="EC17">PRODUCT(1+預測IC!$C17:EC17)-1</f>
        <v>69.529027111536621</v>
      </c>
      <c r="ED17" s="12">
        <f t="array" ref="ED17">PRODUCT(1+預測IC!$C17:ED17)-1</f>
        <v>78.579625296471761</v>
      </c>
      <c r="EE17" s="12">
        <f t="array" ref="EE17">PRODUCT(1+預測IC!$C17:EE17)-1</f>
        <v>80.602010987468489</v>
      </c>
      <c r="EF17" s="12">
        <f t="array" ref="EF17">PRODUCT(1+預測IC!$C17:EF17)-1</f>
        <v>76.70879805572099</v>
      </c>
    </row>
    <row r="18" spans="1:136">
      <c r="A18" s="2">
        <v>7</v>
      </c>
      <c r="B18" s="2" t="s">
        <v>195</v>
      </c>
      <c r="C18" s="12">
        <f t="array" ref="C18">PRODUCT(1+預測IC!$C18:C18)-1</f>
        <v>5.3942228163147199E-2</v>
      </c>
      <c r="D18" s="12">
        <f t="array" ref="D18">PRODUCT(1+預測IC!$C18:D18)-1</f>
        <v>6.2571345461922556E-2</v>
      </c>
      <c r="E18" s="12">
        <f t="array" ref="E18">PRODUCT(1+預測IC!$C18:E18)-1</f>
        <v>0.11935288122481014</v>
      </c>
      <c r="F18" s="12">
        <f t="array" ref="F18">PRODUCT(1+預測IC!$C18:F18)-1</f>
        <v>0.26980999852485077</v>
      </c>
      <c r="G18" s="12">
        <f t="array" ref="G18">PRODUCT(1+預測IC!$C18:G18)-1</f>
        <v>0.37240334121522523</v>
      </c>
      <c r="H18" s="12">
        <f t="array" ref="H18">PRODUCT(1+預測IC!$C18:H18)-1</f>
        <v>0.54881206669503046</v>
      </c>
      <c r="I18" s="12">
        <f t="array" ref="I18">PRODUCT(1+預測IC!$C18:I18)-1</f>
        <v>0.33894775252592346</v>
      </c>
      <c r="J18" s="12">
        <f t="array" ref="J18">PRODUCT(1+預測IC!$C18:J18)-1</f>
        <v>0.17136390415027658</v>
      </c>
      <c r="K18" s="12">
        <f t="array" ref="K18">PRODUCT(1+預測IC!$C18:K18)-1</f>
        <v>0.59151116740730414</v>
      </c>
      <c r="L18" s="12">
        <f t="array" ref="L18">PRODUCT(1+預測IC!$C18:L18)-1</f>
        <v>0.57084939460961448</v>
      </c>
      <c r="M18" s="12">
        <f t="array" ref="M18">PRODUCT(1+預測IC!$C18:M18)-1</f>
        <v>0.17261887644100349</v>
      </c>
      <c r="N18" s="12">
        <f t="array" ref="N18">PRODUCT(1+預測IC!$C18:N18)-1</f>
        <v>4.9432570187633029E-3</v>
      </c>
      <c r="O18" s="12">
        <f t="array" ref="O18">PRODUCT(1+預測IC!$C18:O18)-1</f>
        <v>2.9387640365809986E-2</v>
      </c>
      <c r="P18" s="12">
        <f t="array" ref="P18">PRODUCT(1+預測IC!$C18:P18)-1</f>
        <v>8.5561029789817722E-2</v>
      </c>
      <c r="Q18" s="12">
        <f t="array" ref="Q18">PRODUCT(1+預測IC!$C18:Q18)-1</f>
        <v>0.21771583383510618</v>
      </c>
      <c r="R18" s="12">
        <f t="array" ref="R18">PRODUCT(1+預測IC!$C18:R18)-1</f>
        <v>0.29259590554976467</v>
      </c>
      <c r="S18" s="12">
        <f t="array" ref="S18">PRODUCT(1+預測IC!$C18:S18)-1</f>
        <v>0.78860713053297848</v>
      </c>
      <c r="T18" s="12">
        <f t="array" ref="T18">PRODUCT(1+預測IC!$C18:T18)-1</f>
        <v>0.77961120321231081</v>
      </c>
      <c r="U18" s="12">
        <f t="array" ref="U18">PRODUCT(1+預測IC!$C18:U18)-1</f>
        <v>1.0154008330575057</v>
      </c>
      <c r="V18" s="12">
        <f t="array" ref="V18">PRODUCT(1+預測IC!$C18:V18)-1</f>
        <v>0.75087342751620878</v>
      </c>
      <c r="W18" s="12">
        <f t="array" ref="W18">PRODUCT(1+預測IC!$C18:W18)-1</f>
        <v>0.99234905457924949</v>
      </c>
      <c r="X18" s="12">
        <f t="array" ref="X18">PRODUCT(1+預測IC!$C18:X18)-1</f>
        <v>1.2781545501169824</v>
      </c>
      <c r="Y18" s="12">
        <f t="array" ref="Y18">PRODUCT(1+預測IC!$C18:Y18)-1</f>
        <v>1.3333129026337649</v>
      </c>
      <c r="Z18" s="12">
        <f t="array" ref="Z18">PRODUCT(1+預測IC!$C18:Z18)-1</f>
        <v>1.2938669146930826</v>
      </c>
      <c r="AA18" s="12">
        <f t="array" ref="AA18">PRODUCT(1+預測IC!$C18:AA18)-1</f>
        <v>1.4195836017339309</v>
      </c>
      <c r="AB18" s="12">
        <f t="array" ref="AB18">PRODUCT(1+預測IC!$C18:AB18)-1</f>
        <v>1.2702614193365229</v>
      </c>
      <c r="AC18" s="12">
        <f t="array" ref="AC18">PRODUCT(1+預測IC!$C18:AC18)-1</f>
        <v>1.1006278104067579</v>
      </c>
      <c r="AD18" s="12">
        <f t="array" ref="AD18">PRODUCT(1+預測IC!$C18:AD18)-1</f>
        <v>1.3028885596698956</v>
      </c>
      <c r="AE18" s="12">
        <f t="array" ref="AE18">PRODUCT(1+預測IC!$C18:AE18)-1</f>
        <v>1.4806738593649715</v>
      </c>
      <c r="AF18" s="12">
        <f t="array" ref="AF18">PRODUCT(1+預測IC!$C18:AF18)-1</f>
        <v>1.4763337432570225</v>
      </c>
      <c r="AG18" s="12">
        <f t="array" ref="AG18">PRODUCT(1+預測IC!$C18:AG18)-1</f>
        <v>1.4549930528195967</v>
      </c>
      <c r="AH18" s="12">
        <f t="array" ref="AH18">PRODUCT(1+預測IC!$C18:AH18)-1</f>
        <v>1.3563085654009059</v>
      </c>
      <c r="AI18" s="12">
        <f t="array" ref="AI18">PRODUCT(1+預測IC!$C18:AI18)-1</f>
        <v>1.6345566285013655</v>
      </c>
      <c r="AJ18" s="12">
        <f t="array" ref="AJ18">PRODUCT(1+預測IC!$C18:AJ18)-1</f>
        <v>1.5096950940434692</v>
      </c>
      <c r="AK18" s="12">
        <f t="array" ref="AK18">PRODUCT(1+預測IC!$C18:AK18)-1</f>
        <v>1.5853686266725724</v>
      </c>
      <c r="AL18" s="12">
        <f t="array" ref="AL18">PRODUCT(1+預測IC!$C18:AL18)-1</f>
        <v>1.7082454156633213</v>
      </c>
      <c r="AM18" s="12">
        <f t="array" ref="AM18">PRODUCT(1+預測IC!$C18:AM18)-1</f>
        <v>1.7349460072163461</v>
      </c>
      <c r="AN18" s="12">
        <f t="array" ref="AN18">PRODUCT(1+預測IC!$C18:AN18)-1</f>
        <v>1.8817075077358725</v>
      </c>
      <c r="AO18" s="12">
        <f t="array" ref="AO18">PRODUCT(1+預測IC!$C18:AO18)-1</f>
        <v>1.8973480760007719</v>
      </c>
      <c r="AP18" s="12">
        <f t="array" ref="AP18">PRODUCT(1+預測IC!$C18:AP18)-1</f>
        <v>1.9031883019082532</v>
      </c>
      <c r="AQ18" s="12">
        <f t="array" ref="AQ18">PRODUCT(1+預測IC!$C18:AQ18)-1</f>
        <v>1.9519274418618746</v>
      </c>
      <c r="AR18" s="12">
        <f t="array" ref="AR18">PRODUCT(1+預測IC!$C18:AR18)-1</f>
        <v>2.1340449185718615</v>
      </c>
      <c r="AS18" s="12">
        <f t="array" ref="AS18">PRODUCT(1+預測IC!$C18:AS18)-1</f>
        <v>1.9918430030400951</v>
      </c>
      <c r="AT18" s="12">
        <f t="array" ref="AT18">PRODUCT(1+預測IC!$C18:AT18)-1</f>
        <v>2.0805618332338165</v>
      </c>
      <c r="AU18" s="12">
        <f t="array" ref="AU18">PRODUCT(1+預測IC!$C18:AU18)-1</f>
        <v>2.6863855634378409</v>
      </c>
      <c r="AV18" s="12">
        <f t="array" ref="AV18">PRODUCT(1+預測IC!$C18:AV18)-1</f>
        <v>2.8156228685208449</v>
      </c>
      <c r="AW18" s="12">
        <f t="array" ref="AW18">PRODUCT(1+預測IC!$C18:AW18)-1</f>
        <v>3.3576048425451699</v>
      </c>
      <c r="AX18" s="12">
        <f t="array" ref="AX18">PRODUCT(1+預測IC!$C18:AX18)-1</f>
        <v>3.5040390407040132</v>
      </c>
      <c r="AY18" s="12">
        <f t="array" ref="AY18">PRODUCT(1+預測IC!$C18:AY18)-1</f>
        <v>3.3113691192256693</v>
      </c>
      <c r="AZ18" s="12">
        <f t="array" ref="AZ18">PRODUCT(1+預測IC!$C18:AZ18)-1</f>
        <v>3.5973939693333383</v>
      </c>
      <c r="BA18" s="12">
        <f t="array" ref="BA18">PRODUCT(1+預測IC!$C18:BA18)-1</f>
        <v>4.4271309761480522</v>
      </c>
      <c r="BB18" s="12">
        <f t="array" ref="BB18">PRODUCT(1+預測IC!$C18:BB18)-1</f>
        <v>5.3348581724344974</v>
      </c>
      <c r="BC18" s="12">
        <f t="array" ref="BC18">PRODUCT(1+預測IC!$C18:BC18)-1</f>
        <v>5.0025749517360518</v>
      </c>
      <c r="BD18" s="12">
        <f t="array" ref="BD18">PRODUCT(1+預測IC!$C18:BD18)-1</f>
        <v>5.12429345158594</v>
      </c>
      <c r="BE18" s="12">
        <f t="array" ref="BE18">PRODUCT(1+預測IC!$C18:BE18)-1</f>
        <v>5.5429575821628907</v>
      </c>
      <c r="BF18" s="12">
        <f t="array" ref="BF18">PRODUCT(1+預測IC!$C18:BF18)-1</f>
        <v>5.8431781568482482</v>
      </c>
      <c r="BG18" s="12">
        <f t="array" ref="BG18">PRODUCT(1+預測IC!$C18:BG18)-1</f>
        <v>5.8273801912747238</v>
      </c>
      <c r="BH18" s="12">
        <f t="array" ref="BH18">PRODUCT(1+預測IC!$C18:BH18)-1</f>
        <v>5.3976941422367126</v>
      </c>
      <c r="BI18" s="12">
        <f t="array" ref="BI18">PRODUCT(1+預測IC!$C18:BI18)-1</f>
        <v>5.6119501771913018</v>
      </c>
      <c r="BJ18" s="12">
        <f t="array" ref="BJ18">PRODUCT(1+預測IC!$C18:BJ18)-1</f>
        <v>6.2700555250490622</v>
      </c>
      <c r="BK18" s="12">
        <f t="array" ref="BK18">PRODUCT(1+預測IC!$C18:BK18)-1</f>
        <v>6.8040857622764257</v>
      </c>
      <c r="BL18" s="12">
        <f t="array" ref="BL18">PRODUCT(1+預測IC!$C18:BL18)-1</f>
        <v>7.4374472090361543</v>
      </c>
      <c r="BM18" s="12">
        <f t="array" ref="BM18">PRODUCT(1+預測IC!$C18:BM18)-1</f>
        <v>8.3045968943486255</v>
      </c>
      <c r="BN18" s="12">
        <f t="array" ref="BN18">PRODUCT(1+預測IC!$C18:BN18)-1</f>
        <v>9.0323107466837591</v>
      </c>
      <c r="BO18" s="12">
        <f t="array" ref="BO18">PRODUCT(1+預測IC!$C18:BO18)-1</f>
        <v>9.2352392732502455</v>
      </c>
      <c r="BP18" s="12">
        <f t="array" ref="BP18">PRODUCT(1+預測IC!$C18:BP18)-1</f>
        <v>9.7148374103316897</v>
      </c>
      <c r="BQ18" s="12">
        <f t="array" ref="BQ18">PRODUCT(1+預測IC!$C18:BQ18)-1</f>
        <v>10.339380791922986</v>
      </c>
      <c r="BR18" s="12">
        <f t="array" ref="BR18">PRODUCT(1+預測IC!$C18:BR18)-1</f>
        <v>10.63747367400414</v>
      </c>
      <c r="BS18" s="12">
        <f t="array" ref="BS18">PRODUCT(1+預測IC!$C18:BS18)-1</f>
        <v>10.591114341809313</v>
      </c>
      <c r="BT18" s="12">
        <f t="array" ref="BT18">PRODUCT(1+預測IC!$C18:BT18)-1</f>
        <v>11.926836664671544</v>
      </c>
      <c r="BU18" s="12">
        <f t="array" ref="BU18">PRODUCT(1+預測IC!$C18:BU18)-1</f>
        <v>10.485983749662973</v>
      </c>
      <c r="BV18" s="12">
        <f t="array" ref="BV18">PRODUCT(1+預測IC!$C18:BV18)-1</f>
        <v>11.812678866087079</v>
      </c>
      <c r="BW18" s="12">
        <f t="array" ref="BW18">PRODUCT(1+預測IC!$C18:BW18)-1</f>
        <v>15.157291405376977</v>
      </c>
      <c r="BX18" s="12">
        <f t="array" ref="BX18">PRODUCT(1+預測IC!$C18:BX18)-1</f>
        <v>14.901833087335536</v>
      </c>
      <c r="BY18" s="12">
        <f t="array" ref="BY18">PRODUCT(1+預測IC!$C18:BY18)-1</f>
        <v>13.904972159685322</v>
      </c>
      <c r="BZ18" s="12">
        <f t="array" ref="BZ18">PRODUCT(1+預測IC!$C18:BZ18)-1</f>
        <v>15.541763806682901</v>
      </c>
      <c r="CA18" s="12">
        <f t="array" ref="CA18">PRODUCT(1+預測IC!$C18:CA18)-1</f>
        <v>16.092370593643032</v>
      </c>
      <c r="CB18" s="12">
        <f t="array" ref="CB18">PRODUCT(1+預測IC!$C18:CB18)-1</f>
        <v>17.918626905625871</v>
      </c>
      <c r="CC18" s="12">
        <f t="array" ref="CC18">PRODUCT(1+預測IC!$C18:CC18)-1</f>
        <v>19.898644992246705</v>
      </c>
      <c r="CD18" s="12">
        <f t="array" ref="CD18">PRODUCT(1+預測IC!$C18:CD18)-1</f>
        <v>20.952877138880591</v>
      </c>
      <c r="CE18" s="12">
        <f t="array" ref="CE18">PRODUCT(1+預測IC!$C18:CE18)-1</f>
        <v>24.858872578698065</v>
      </c>
      <c r="CF18" s="12">
        <f t="array" ref="CF18">PRODUCT(1+預測IC!$C18:CF18)-1</f>
        <v>23.00175062600913</v>
      </c>
      <c r="CG18" s="12">
        <f t="array" ref="CG18">PRODUCT(1+預測IC!$C18:CG18)-1</f>
        <v>28.441558820210613</v>
      </c>
      <c r="CH18" s="12">
        <f t="array" ref="CH18">PRODUCT(1+預測IC!$C18:CH18)-1</f>
        <v>27.692548740076557</v>
      </c>
      <c r="CI18" s="12">
        <f t="array" ref="CI18">PRODUCT(1+預測IC!$C18:CI18)-1</f>
        <v>24.31475942900639</v>
      </c>
      <c r="CJ18" s="12">
        <f t="array" ref="CJ18">PRODUCT(1+預測IC!$C18:CJ18)-1</f>
        <v>25.040906070439028</v>
      </c>
      <c r="CK18" s="12">
        <f t="array" ref="CK18">PRODUCT(1+預測IC!$C18:CK18)-1</f>
        <v>26.947650973952079</v>
      </c>
      <c r="CL18" s="12">
        <f t="array" ref="CL18">PRODUCT(1+預測IC!$C18:CL18)-1</f>
        <v>27.813735963080024</v>
      </c>
      <c r="CM18" s="12">
        <f t="array" ref="CM18">PRODUCT(1+預測IC!$C18:CM18)-1</f>
        <v>23.674684768860082</v>
      </c>
      <c r="CN18" s="12">
        <f t="array" ref="CN18">PRODUCT(1+預測IC!$C18:CN18)-1</f>
        <v>22.968572839784581</v>
      </c>
      <c r="CO18" s="12">
        <f t="array" ref="CO18">PRODUCT(1+預測IC!$C18:CO18)-1</f>
        <v>28.519068215588003</v>
      </c>
      <c r="CP18" s="12">
        <f t="array" ref="CP18">PRODUCT(1+預測IC!$C18:CP18)-1</f>
        <v>28.061577479373074</v>
      </c>
      <c r="CQ18" s="12">
        <f t="array" ref="CQ18">PRODUCT(1+預測IC!$C18:CQ18)-1</f>
        <v>34.157031621321366</v>
      </c>
      <c r="CR18" s="12">
        <f t="array" ref="CR18">PRODUCT(1+預測IC!$C18:CR18)-1</f>
        <v>32.217905859922467</v>
      </c>
      <c r="CS18" s="12">
        <f t="array" ref="CS18">PRODUCT(1+預測IC!$C18:CS18)-1</f>
        <v>29.626004123470903</v>
      </c>
      <c r="CT18" s="12">
        <f t="array" ref="CT18">PRODUCT(1+預測IC!$C18:CT18)-1</f>
        <v>31.980251311302787</v>
      </c>
      <c r="CU18" s="12">
        <f t="array" ref="CU18">PRODUCT(1+預測IC!$C18:CU18)-1</f>
        <v>34.343243153373244</v>
      </c>
      <c r="CV18" s="12">
        <f t="array" ref="CV18">PRODUCT(1+預測IC!$C18:CV18)-1</f>
        <v>31.125584321756428</v>
      </c>
      <c r="CW18" s="12">
        <f t="array" ref="CW18">PRODUCT(1+預測IC!$C18:CW18)-1</f>
        <v>31.397241011591582</v>
      </c>
      <c r="CX18" s="12">
        <f t="array" ref="CX18">PRODUCT(1+預測IC!$C18:CX18)-1</f>
        <v>29.402860834416309</v>
      </c>
      <c r="CY18" s="12">
        <f t="array" ref="CY18">PRODUCT(1+預測IC!$C18:CY18)-1</f>
        <v>31.574602332806172</v>
      </c>
      <c r="CZ18" s="12">
        <f t="array" ref="CZ18">PRODUCT(1+預測IC!$C18:CZ18)-1</f>
        <v>38.233255905403603</v>
      </c>
      <c r="DA18" s="12">
        <f t="array" ref="DA18">PRODUCT(1+預測IC!$C18:DA18)-1</f>
        <v>40.092164430578954</v>
      </c>
      <c r="DB18" s="12">
        <f t="array" ref="DB18">PRODUCT(1+預測IC!$C18:DB18)-1</f>
        <v>44.945724340132358</v>
      </c>
      <c r="DC18" s="12">
        <f t="array" ref="DC18">PRODUCT(1+預測IC!$C18:DC18)-1</f>
        <v>47.206647798161214</v>
      </c>
      <c r="DD18" s="12">
        <f t="array" ref="DD18">PRODUCT(1+預測IC!$C18:DD18)-1</f>
        <v>43.780539359170156</v>
      </c>
      <c r="DE18" s="12">
        <f t="array" ref="DE18">PRODUCT(1+預測IC!$C18:DE18)-1</f>
        <v>42.020363493019069</v>
      </c>
      <c r="DF18" s="12">
        <f t="array" ref="DF18">PRODUCT(1+預測IC!$C18:DF18)-1</f>
        <v>57.795654226429569</v>
      </c>
      <c r="DG18" s="12">
        <f t="array" ref="DG18">PRODUCT(1+預測IC!$C18:DG18)-1</f>
        <v>54.575374247552148</v>
      </c>
      <c r="DH18" s="12">
        <f t="array" ref="DH18">PRODUCT(1+預測IC!$C18:DH18)-1</f>
        <v>65.268219160886389</v>
      </c>
      <c r="DI18" s="12">
        <f t="array" ref="DI18">PRODUCT(1+預測IC!$C18:DI18)-1</f>
        <v>71.760043247655844</v>
      </c>
      <c r="DJ18" s="12">
        <f t="array" ref="DJ18">PRODUCT(1+預測IC!$C18:DJ18)-1</f>
        <v>75.445703238365837</v>
      </c>
      <c r="DK18" s="12">
        <f t="array" ref="DK18">PRODUCT(1+預測IC!$C18:DK18)-1</f>
        <v>67.302259176010423</v>
      </c>
      <c r="DL18" s="12">
        <f t="array" ref="DL18">PRODUCT(1+預測IC!$C18:DL18)-1</f>
        <v>65.703332561096801</v>
      </c>
      <c r="DM18" s="12">
        <f t="array" ref="DM18">PRODUCT(1+預測IC!$C18:DM18)-1</f>
        <v>69.602590214525819</v>
      </c>
      <c r="DN18" s="12">
        <f t="array" ref="DN18">PRODUCT(1+預測IC!$C18:DN18)-1</f>
        <v>68.421969176884247</v>
      </c>
      <c r="DO18" s="12">
        <f t="array" ref="DO18">PRODUCT(1+預測IC!$C18:DO18)-1</f>
        <v>83.716987673662885</v>
      </c>
      <c r="DP18" s="12">
        <f t="array" ref="DP18">PRODUCT(1+預測IC!$C18:DP18)-1</f>
        <v>81.971420704229729</v>
      </c>
      <c r="DQ18" s="12">
        <f t="array" ref="DQ18">PRODUCT(1+預測IC!$C18:DQ18)-1</f>
        <v>76.830950040619371</v>
      </c>
      <c r="DR18" s="12">
        <f t="array" ref="DR18">PRODUCT(1+預測IC!$C18:DR18)-1</f>
        <v>76.017483188209113</v>
      </c>
      <c r="DS18" s="12">
        <f t="array" ref="DS18">PRODUCT(1+預測IC!$C18:DS18)-1</f>
        <v>64.640306655924135</v>
      </c>
      <c r="DT18" s="12">
        <f t="array" ref="DT18">PRODUCT(1+預測IC!$C18:DT18)-1</f>
        <v>64.15406201859038</v>
      </c>
      <c r="DU18" s="12">
        <f t="array" ref="DU18">PRODUCT(1+預測IC!$C18:DU18)-1</f>
        <v>53.813107142140368</v>
      </c>
      <c r="DV18" s="12">
        <f t="array" ref="DV18">PRODUCT(1+預測IC!$C18:DV18)-1</f>
        <v>58.49446754027813</v>
      </c>
      <c r="DW18" s="12">
        <f t="array" ref="DW18">PRODUCT(1+預測IC!$C18:DW18)-1</f>
        <v>63.367581574657407</v>
      </c>
      <c r="DX18" s="12">
        <f t="array" ref="DX18">PRODUCT(1+預測IC!$C18:DX18)-1</f>
        <v>67.344449843928444</v>
      </c>
      <c r="DY18" s="12">
        <f t="array" ref="DY18">PRODUCT(1+預測IC!$C18:DY18)-1</f>
        <v>76.696177131958521</v>
      </c>
      <c r="DZ18" s="12">
        <f t="array" ref="DZ18">PRODUCT(1+預測IC!$C18:DZ18)-1</f>
        <v>82.563509560209567</v>
      </c>
      <c r="EA18" s="12">
        <f t="array" ref="EA18">PRODUCT(1+預測IC!$C18:EA18)-1</f>
        <v>99.188242971973025</v>
      </c>
      <c r="EB18" s="12">
        <f t="array" ref="EB18">PRODUCT(1+預測IC!$C18:EB18)-1</f>
        <v>89.4654749327579</v>
      </c>
      <c r="EC18" s="12">
        <f t="array" ref="EC18">PRODUCT(1+預測IC!$C18:EC18)-1</f>
        <v>89.715531947483086</v>
      </c>
      <c r="ED18" s="12">
        <f t="array" ref="ED18">PRODUCT(1+預測IC!$C18:ED18)-1</f>
        <v>99.737604469541665</v>
      </c>
      <c r="EE18" s="12">
        <f t="array" ref="EE18">PRODUCT(1+預測IC!$C18:EE18)-1</f>
        <v>101.1331984578439</v>
      </c>
      <c r="EF18" s="12">
        <f t="array" ref="EF18">PRODUCT(1+預測IC!$C18:EF18)-1</f>
        <v>96.133265979798594</v>
      </c>
    </row>
    <row r="19" spans="1:136">
      <c r="A19" s="2">
        <v>6</v>
      </c>
      <c r="B19" s="2" t="s">
        <v>196</v>
      </c>
      <c r="C19" s="12">
        <f t="array" ref="C19">PRODUCT(1+預測IC!$C19:C19)-1</f>
        <v>7.7959416087486133E-2</v>
      </c>
      <c r="D19" s="12">
        <f t="array" ref="D19">PRODUCT(1+預測IC!$C19:D19)-1</f>
        <v>9.9702719289148867E-2</v>
      </c>
      <c r="E19" s="12">
        <f t="array" ref="E19">PRODUCT(1+預測IC!$C19:E19)-1</f>
        <v>0.17207690450236601</v>
      </c>
      <c r="F19" s="12">
        <f t="array" ref="F19">PRODUCT(1+預測IC!$C19:F19)-1</f>
        <v>0.21737378777688265</v>
      </c>
      <c r="G19" s="12">
        <f t="array" ref="G19">PRODUCT(1+預測IC!$C19:G19)-1</f>
        <v>0.33608245081790011</v>
      </c>
      <c r="H19" s="12">
        <f t="array" ref="H19">PRODUCT(1+預測IC!$C19:H19)-1</f>
        <v>0.57338427758807597</v>
      </c>
      <c r="I19" s="12">
        <f t="array" ref="I19">PRODUCT(1+預測IC!$C19:I19)-1</f>
        <v>0.36152126730753165</v>
      </c>
      <c r="J19" s="12">
        <f t="array" ref="J19">PRODUCT(1+預測IC!$C19:J19)-1</f>
        <v>0.14881193431713213</v>
      </c>
      <c r="K19" s="12">
        <f t="array" ref="K19">PRODUCT(1+預測IC!$C19:K19)-1</f>
        <v>0.62940345008762977</v>
      </c>
      <c r="L19" s="12">
        <f t="array" ref="L19">PRODUCT(1+預測IC!$C19:L19)-1</f>
        <v>0.55925932999421413</v>
      </c>
      <c r="M19" s="12">
        <f t="array" ref="M19">PRODUCT(1+預測IC!$C19:M19)-1</f>
        <v>0.15144804606197737</v>
      </c>
      <c r="N19" s="12">
        <f t="array" ref="N19">PRODUCT(1+預測IC!$C19:N19)-1</f>
        <v>4.1659909388108041E-2</v>
      </c>
      <c r="O19" s="12">
        <f t="array" ref="O19">PRODUCT(1+預測IC!$C19:O19)-1</f>
        <v>2.1038168161951809E-2</v>
      </c>
      <c r="P19" s="12">
        <f t="array" ref="P19">PRODUCT(1+預測IC!$C19:P19)-1</f>
        <v>4.4302863169577877E-2</v>
      </c>
      <c r="Q19" s="12">
        <f t="array" ref="Q19">PRODUCT(1+預測IC!$C19:Q19)-1</f>
        <v>0.22231925453787116</v>
      </c>
      <c r="R19" s="12">
        <f t="array" ref="R19">PRODUCT(1+預測IC!$C19:R19)-1</f>
        <v>0.33269357168322711</v>
      </c>
      <c r="S19" s="12">
        <f t="array" ref="S19">PRODUCT(1+預測IC!$C19:S19)-1</f>
        <v>0.5781225753665622</v>
      </c>
      <c r="T19" s="12">
        <f t="array" ref="T19">PRODUCT(1+預測IC!$C19:T19)-1</f>
        <v>0.40527580707481814</v>
      </c>
      <c r="U19" s="12">
        <f t="array" ref="U19">PRODUCT(1+預測IC!$C19:U19)-1</f>
        <v>0.59596939941450611</v>
      </c>
      <c r="V19" s="12">
        <f t="array" ref="V19">PRODUCT(1+預測IC!$C19:V19)-1</f>
        <v>0.40655416519909471</v>
      </c>
      <c r="W19" s="12">
        <f t="array" ref="W19">PRODUCT(1+預測IC!$C19:W19)-1</f>
        <v>0.61278453039842651</v>
      </c>
      <c r="X19" s="12">
        <f t="array" ref="X19">PRODUCT(1+預測IC!$C19:X19)-1</f>
        <v>0.80089817824079801</v>
      </c>
      <c r="Y19" s="12">
        <f t="array" ref="Y19">PRODUCT(1+預測IC!$C19:Y19)-1</f>
        <v>0.84423169035532464</v>
      </c>
      <c r="Z19" s="12">
        <f t="array" ref="Z19">PRODUCT(1+預測IC!$C19:Z19)-1</f>
        <v>0.80324732950055822</v>
      </c>
      <c r="AA19" s="12">
        <f t="array" ref="AA19">PRODUCT(1+預測IC!$C19:AA19)-1</f>
        <v>0.8885439335981502</v>
      </c>
      <c r="AB19" s="12">
        <f t="array" ref="AB19">PRODUCT(1+預測IC!$C19:AB19)-1</f>
        <v>0.77379128283289256</v>
      </c>
      <c r="AC19" s="12">
        <f t="array" ref="AC19">PRODUCT(1+預測IC!$C19:AC19)-1</f>
        <v>0.62565694706154962</v>
      </c>
      <c r="AD19" s="12">
        <f t="array" ref="AD19">PRODUCT(1+預測IC!$C19:AD19)-1</f>
        <v>0.78170836343800443</v>
      </c>
      <c r="AE19" s="12">
        <f t="array" ref="AE19">PRODUCT(1+預測IC!$C19:AE19)-1</f>
        <v>0.98701669681672288</v>
      </c>
      <c r="AF19" s="12">
        <f t="array" ref="AF19">PRODUCT(1+預測IC!$C19:AF19)-1</f>
        <v>0.98754093805523313</v>
      </c>
      <c r="AG19" s="12">
        <f t="array" ref="AG19">PRODUCT(1+預測IC!$C19:AG19)-1</f>
        <v>1.0258974968482923</v>
      </c>
      <c r="AH19" s="12">
        <f t="array" ref="AH19">PRODUCT(1+預測IC!$C19:AH19)-1</f>
        <v>0.91131736315318435</v>
      </c>
      <c r="AI19" s="12">
        <f t="array" ref="AI19">PRODUCT(1+預測IC!$C19:AI19)-1</f>
        <v>1.0862971935382828</v>
      </c>
      <c r="AJ19" s="12">
        <f t="array" ref="AJ19">PRODUCT(1+預測IC!$C19:AJ19)-1</f>
        <v>0.97875839898839945</v>
      </c>
      <c r="AK19" s="12">
        <f t="array" ref="AK19">PRODUCT(1+預測IC!$C19:AK19)-1</f>
        <v>0.99370206652657078</v>
      </c>
      <c r="AL19" s="12">
        <f t="array" ref="AL19">PRODUCT(1+預測IC!$C19:AL19)-1</f>
        <v>1.133801396127232</v>
      </c>
      <c r="AM19" s="12">
        <f t="array" ref="AM19">PRODUCT(1+預測IC!$C19:AM19)-1</f>
        <v>1.1562756593319423</v>
      </c>
      <c r="AN19" s="12">
        <f t="array" ref="AN19">PRODUCT(1+預測IC!$C19:AN19)-1</f>
        <v>1.2902048155672619</v>
      </c>
      <c r="AO19" s="12">
        <f t="array" ref="AO19">PRODUCT(1+預測IC!$C19:AO19)-1</f>
        <v>1.3495048668108862</v>
      </c>
      <c r="AP19" s="12">
        <f t="array" ref="AP19">PRODUCT(1+預測IC!$C19:AP19)-1</f>
        <v>1.3723256075822206</v>
      </c>
      <c r="AQ19" s="12">
        <f t="array" ref="AQ19">PRODUCT(1+預測IC!$C19:AQ19)-1</f>
        <v>1.5026323131678958</v>
      </c>
      <c r="AR19" s="12">
        <f t="array" ref="AR19">PRODUCT(1+預測IC!$C19:AR19)-1</f>
        <v>1.6893708113741588</v>
      </c>
      <c r="AS19" s="12">
        <f t="array" ref="AS19">PRODUCT(1+預測IC!$C19:AS19)-1</f>
        <v>1.6794551011926222</v>
      </c>
      <c r="AT19" s="12">
        <f t="array" ref="AT19">PRODUCT(1+預測IC!$C19:AT19)-1</f>
        <v>1.7094212338926602</v>
      </c>
      <c r="AU19" s="12">
        <f t="array" ref="AU19">PRODUCT(1+預測IC!$C19:AU19)-1</f>
        <v>2.3565534000719581</v>
      </c>
      <c r="AV19" s="12">
        <f t="array" ref="AV19">PRODUCT(1+預測IC!$C19:AV19)-1</f>
        <v>2.4998032672290957</v>
      </c>
      <c r="AW19" s="12">
        <f t="array" ref="AW19">PRODUCT(1+預測IC!$C19:AW19)-1</f>
        <v>2.9367986192845774</v>
      </c>
      <c r="AX19" s="12">
        <f t="array" ref="AX19">PRODUCT(1+預測IC!$C19:AX19)-1</f>
        <v>3.1890096228290439</v>
      </c>
      <c r="AY19" s="12">
        <f t="array" ref="AY19">PRODUCT(1+預測IC!$C19:AY19)-1</f>
        <v>2.9340972165875692</v>
      </c>
      <c r="AZ19" s="12">
        <f t="array" ref="AZ19">PRODUCT(1+預測IC!$C19:AZ19)-1</f>
        <v>3.264688585257594</v>
      </c>
      <c r="BA19" s="12">
        <f t="array" ref="BA19">PRODUCT(1+預測IC!$C19:BA19)-1</f>
        <v>4.0621725566350086</v>
      </c>
      <c r="BB19" s="12">
        <f t="array" ref="BB19">PRODUCT(1+預測IC!$C19:BB19)-1</f>
        <v>5.0837282592136406</v>
      </c>
      <c r="BC19" s="12">
        <f t="array" ref="BC19">PRODUCT(1+預測IC!$C19:BC19)-1</f>
        <v>4.7121858488310755</v>
      </c>
      <c r="BD19" s="12">
        <f t="array" ref="BD19">PRODUCT(1+預測IC!$C19:BD19)-1</f>
        <v>4.7117812356667832</v>
      </c>
      <c r="BE19" s="12">
        <f t="array" ref="BE19">PRODUCT(1+預測IC!$C19:BE19)-1</f>
        <v>5.0038353139169329</v>
      </c>
      <c r="BF19" s="12">
        <f t="array" ref="BF19">PRODUCT(1+預測IC!$C19:BF19)-1</f>
        <v>5.0853132077577845</v>
      </c>
      <c r="BG19" s="12">
        <f t="array" ref="BG19">PRODUCT(1+預測IC!$C19:BG19)-1</f>
        <v>5.0911753928145913</v>
      </c>
      <c r="BH19" s="12">
        <f t="array" ref="BH19">PRODUCT(1+預測IC!$C19:BH19)-1</f>
        <v>4.7431560867461293</v>
      </c>
      <c r="BI19" s="12">
        <f t="array" ref="BI19">PRODUCT(1+預測IC!$C19:BI19)-1</f>
        <v>4.8921249409021943</v>
      </c>
      <c r="BJ19" s="12">
        <f t="array" ref="BJ19">PRODUCT(1+預測IC!$C19:BJ19)-1</f>
        <v>5.1974558373605699</v>
      </c>
      <c r="BK19" s="12">
        <f t="array" ref="BK19">PRODUCT(1+預測IC!$C19:BK19)-1</f>
        <v>5.7988497214528962</v>
      </c>
      <c r="BL19" s="12">
        <f t="array" ref="BL19">PRODUCT(1+預測IC!$C19:BL19)-1</f>
        <v>6.3425174152183246</v>
      </c>
      <c r="BM19" s="12">
        <f t="array" ref="BM19">PRODUCT(1+預測IC!$C19:BM19)-1</f>
        <v>7.1814044373169441</v>
      </c>
      <c r="BN19" s="12">
        <f t="array" ref="BN19">PRODUCT(1+預測IC!$C19:BN19)-1</f>
        <v>7.8474948431485103</v>
      </c>
      <c r="BO19" s="12">
        <f t="array" ref="BO19">PRODUCT(1+預測IC!$C19:BO19)-1</f>
        <v>8.075131695261188</v>
      </c>
      <c r="BP19" s="12">
        <f t="array" ref="BP19">PRODUCT(1+預測IC!$C19:BP19)-1</f>
        <v>8.6452206465727013</v>
      </c>
      <c r="BQ19" s="12">
        <f t="array" ref="BQ19">PRODUCT(1+預測IC!$C19:BQ19)-1</f>
        <v>8.4426179642811174</v>
      </c>
      <c r="BR19" s="12">
        <f t="array" ref="BR19">PRODUCT(1+預測IC!$C19:BR19)-1</f>
        <v>8.6698278115073109</v>
      </c>
      <c r="BS19" s="12">
        <f t="array" ref="BS19">PRODUCT(1+預測IC!$C19:BS19)-1</f>
        <v>8.4352731925105751</v>
      </c>
      <c r="BT19" s="12">
        <f t="array" ref="BT19">PRODUCT(1+預測IC!$C19:BT19)-1</f>
        <v>9.7716162199164298</v>
      </c>
      <c r="BU19" s="12">
        <f t="array" ref="BU19">PRODUCT(1+預測IC!$C19:BU19)-1</f>
        <v>8.3640801521131003</v>
      </c>
      <c r="BV19" s="12">
        <f t="array" ref="BV19">PRODUCT(1+預測IC!$C19:BV19)-1</f>
        <v>9.3012872354973908</v>
      </c>
      <c r="BW19" s="12">
        <f t="array" ref="BW19">PRODUCT(1+預測IC!$C19:BW19)-1</f>
        <v>12.350219309429761</v>
      </c>
      <c r="BX19" s="12">
        <f t="array" ref="BX19">PRODUCT(1+預測IC!$C19:BX19)-1</f>
        <v>11.864309152187895</v>
      </c>
      <c r="BY19" s="12">
        <f t="array" ref="BY19">PRODUCT(1+預測IC!$C19:BY19)-1</f>
        <v>11.508248659422113</v>
      </c>
      <c r="BZ19" s="12">
        <f t="array" ref="BZ19">PRODUCT(1+預測IC!$C19:BZ19)-1</f>
        <v>13.318725925716629</v>
      </c>
      <c r="CA19" s="12">
        <f t="array" ref="CA19">PRODUCT(1+預測IC!$C19:CA19)-1</f>
        <v>13.828618142385718</v>
      </c>
      <c r="CB19" s="12">
        <f t="array" ref="CB19">PRODUCT(1+預測IC!$C19:CB19)-1</f>
        <v>15.724286442781093</v>
      </c>
      <c r="CC19" s="12">
        <f t="array" ref="CC19">PRODUCT(1+預測IC!$C19:CC19)-1</f>
        <v>16.100677658700178</v>
      </c>
      <c r="CD19" s="12">
        <f t="array" ref="CD19">PRODUCT(1+預測IC!$C19:CD19)-1</f>
        <v>17.599794315085415</v>
      </c>
      <c r="CE19" s="12">
        <f t="array" ref="CE19">PRODUCT(1+預測IC!$C19:CE19)-1</f>
        <v>21.287497957486718</v>
      </c>
      <c r="CF19" s="12">
        <f t="array" ref="CF19">PRODUCT(1+預測IC!$C19:CF19)-1</f>
        <v>19.506628867962686</v>
      </c>
      <c r="CG19" s="12">
        <f t="array" ref="CG19">PRODUCT(1+預測IC!$C19:CG19)-1</f>
        <v>24.918205186444833</v>
      </c>
      <c r="CH19" s="12">
        <f t="array" ref="CH19">PRODUCT(1+預測IC!$C19:CH19)-1</f>
        <v>24.722267874936176</v>
      </c>
      <c r="CI19" s="12">
        <f t="array" ref="CI19">PRODUCT(1+預測IC!$C19:CI19)-1</f>
        <v>20.472932073818136</v>
      </c>
      <c r="CJ19" s="12">
        <f t="array" ref="CJ19">PRODUCT(1+預測IC!$C19:CJ19)-1</f>
        <v>20.450632433859475</v>
      </c>
      <c r="CK19" s="12">
        <f t="array" ref="CK19">PRODUCT(1+預測IC!$C19:CK19)-1</f>
        <v>22.050556454782132</v>
      </c>
      <c r="CL19" s="12">
        <f t="array" ref="CL19">PRODUCT(1+預測IC!$C19:CL19)-1</f>
        <v>23.047268969461612</v>
      </c>
      <c r="CM19" s="12">
        <f t="array" ref="CM19">PRODUCT(1+預測IC!$C19:CM19)-1</f>
        <v>18.830637069185361</v>
      </c>
      <c r="CN19" s="12">
        <f t="array" ref="CN19">PRODUCT(1+預測IC!$C19:CN19)-1</f>
        <v>18.514473917285162</v>
      </c>
      <c r="CO19" s="12">
        <f t="array" ref="CO19">PRODUCT(1+預測IC!$C19:CO19)-1</f>
        <v>23.831278290057607</v>
      </c>
      <c r="CP19" s="12">
        <f t="array" ref="CP19">PRODUCT(1+預測IC!$C19:CP19)-1</f>
        <v>23.110252462349205</v>
      </c>
      <c r="CQ19" s="12">
        <f t="array" ref="CQ19">PRODUCT(1+預測IC!$C19:CQ19)-1</f>
        <v>28.463090162777664</v>
      </c>
      <c r="CR19" s="12">
        <f t="array" ref="CR19">PRODUCT(1+預測IC!$C19:CR19)-1</f>
        <v>26.99894577542906</v>
      </c>
      <c r="CS19" s="12">
        <f t="array" ref="CS19">PRODUCT(1+預測IC!$C19:CS19)-1</f>
        <v>25.299385942598487</v>
      </c>
      <c r="CT19" s="12">
        <f t="array" ref="CT19">PRODUCT(1+預測IC!$C19:CT19)-1</f>
        <v>25.994268317973823</v>
      </c>
      <c r="CU19" s="12">
        <f t="array" ref="CU19">PRODUCT(1+預測IC!$C19:CU19)-1</f>
        <v>28.246572809151267</v>
      </c>
      <c r="CV19" s="12">
        <f t="array" ref="CV19">PRODUCT(1+預測IC!$C19:CV19)-1</f>
        <v>25.264011364244606</v>
      </c>
      <c r="CW19" s="12">
        <f t="array" ref="CW19">PRODUCT(1+預測IC!$C19:CW19)-1</f>
        <v>25.839240692725895</v>
      </c>
      <c r="CX19" s="12">
        <f t="array" ref="CX19">PRODUCT(1+預測IC!$C19:CX19)-1</f>
        <v>24.292368399470785</v>
      </c>
      <c r="CY19" s="12">
        <f t="array" ref="CY19">PRODUCT(1+預測IC!$C19:CY19)-1</f>
        <v>26.142526224865737</v>
      </c>
      <c r="CZ19" s="12">
        <f t="array" ref="CZ19">PRODUCT(1+預測IC!$C19:CZ19)-1</f>
        <v>30.431438935024783</v>
      </c>
      <c r="DA19" s="12">
        <f t="array" ref="DA19">PRODUCT(1+預測IC!$C19:DA19)-1</f>
        <v>32.261499160182986</v>
      </c>
      <c r="DB19" s="12">
        <f t="array" ref="DB19">PRODUCT(1+預測IC!$C19:DB19)-1</f>
        <v>37.18290383742282</v>
      </c>
      <c r="DC19" s="12">
        <f t="array" ref="DC19">PRODUCT(1+預測IC!$C19:DC19)-1</f>
        <v>38.338954889273865</v>
      </c>
      <c r="DD19" s="12">
        <f t="array" ref="DD19">PRODUCT(1+預測IC!$C19:DD19)-1</f>
        <v>35.83906920994022</v>
      </c>
      <c r="DE19" s="12">
        <f t="array" ref="DE19">PRODUCT(1+預測IC!$C19:DE19)-1</f>
        <v>35.617832179799926</v>
      </c>
      <c r="DF19" s="12">
        <f t="array" ref="DF19">PRODUCT(1+預測IC!$C19:DF19)-1</f>
        <v>43.142900443273319</v>
      </c>
      <c r="DG19" s="12">
        <f t="array" ref="DG19">PRODUCT(1+預測IC!$C19:DG19)-1</f>
        <v>40.212937497801278</v>
      </c>
      <c r="DH19" s="12">
        <f t="array" ref="DH19">PRODUCT(1+預測IC!$C19:DH19)-1</f>
        <v>49.469006081015799</v>
      </c>
      <c r="DI19" s="12">
        <f t="array" ref="DI19">PRODUCT(1+預測IC!$C19:DI19)-1</f>
        <v>54.942958595572911</v>
      </c>
      <c r="DJ19" s="12">
        <f t="array" ref="DJ19">PRODUCT(1+預測IC!$C19:DJ19)-1</f>
        <v>59.446385410169398</v>
      </c>
      <c r="DK19" s="12">
        <f t="array" ref="DK19">PRODUCT(1+預測IC!$C19:DK19)-1</f>
        <v>52.105736068368145</v>
      </c>
      <c r="DL19" s="12">
        <f t="array" ref="DL19">PRODUCT(1+預測IC!$C19:DL19)-1</f>
        <v>50.867690894362291</v>
      </c>
      <c r="DM19" s="12">
        <f t="array" ref="DM19">PRODUCT(1+預測IC!$C19:DM19)-1</f>
        <v>53.83970093799411</v>
      </c>
      <c r="DN19" s="12">
        <f t="array" ref="DN19">PRODUCT(1+預測IC!$C19:DN19)-1</f>
        <v>53.975435948453331</v>
      </c>
      <c r="DO19" s="12">
        <f t="array" ref="DO19">PRODUCT(1+預測IC!$C19:DO19)-1</f>
        <v>67.678677250973408</v>
      </c>
      <c r="DP19" s="12">
        <f t="array" ref="DP19">PRODUCT(1+預測IC!$C19:DP19)-1</f>
        <v>69.590555262958858</v>
      </c>
      <c r="DQ19" s="12">
        <f t="array" ref="DQ19">PRODUCT(1+預測IC!$C19:DQ19)-1</f>
        <v>66.017084879159725</v>
      </c>
      <c r="DR19" s="12">
        <f t="array" ref="DR19">PRODUCT(1+預測IC!$C19:DR19)-1</f>
        <v>64.841247785926583</v>
      </c>
      <c r="DS19" s="12">
        <f t="array" ref="DS19">PRODUCT(1+預測IC!$C19:DS19)-1</f>
        <v>53.121798874138697</v>
      </c>
      <c r="DT19" s="12">
        <f t="array" ref="DT19">PRODUCT(1+預測IC!$C19:DT19)-1</f>
        <v>52.955293159902411</v>
      </c>
      <c r="DU19" s="12">
        <f t="array" ref="DU19">PRODUCT(1+預測IC!$C19:DU19)-1</f>
        <v>44.8305702276514</v>
      </c>
      <c r="DV19" s="12">
        <f t="array" ref="DV19">PRODUCT(1+預測IC!$C19:DV19)-1</f>
        <v>46.577960017149437</v>
      </c>
      <c r="DW19" s="12">
        <f t="array" ref="DW19">PRODUCT(1+預測IC!$C19:DW19)-1</f>
        <v>49.461619225374349</v>
      </c>
      <c r="DX19" s="12">
        <f t="array" ref="DX19">PRODUCT(1+預測IC!$C19:DX19)-1</f>
        <v>54.92482119999989</v>
      </c>
      <c r="DY19" s="12">
        <f t="array" ref="DY19">PRODUCT(1+預測IC!$C19:DY19)-1</f>
        <v>62.712240702457478</v>
      </c>
      <c r="DZ19" s="12">
        <f t="array" ref="DZ19">PRODUCT(1+預測IC!$C19:DZ19)-1</f>
        <v>69.842967490658751</v>
      </c>
      <c r="EA19" s="12">
        <f t="array" ref="EA19">PRODUCT(1+預測IC!$C19:EA19)-1</f>
        <v>86.3527557640993</v>
      </c>
      <c r="EB19" s="12">
        <f t="array" ref="EB19">PRODUCT(1+預測IC!$C19:EB19)-1</f>
        <v>77.071656493297397</v>
      </c>
      <c r="EC19" s="12">
        <f t="array" ref="EC19">PRODUCT(1+預測IC!$C19:EC19)-1</f>
        <v>76.119959626098066</v>
      </c>
      <c r="ED19" s="12">
        <f t="array" ref="ED19">PRODUCT(1+預測IC!$C19:ED19)-1</f>
        <v>87.76008517853127</v>
      </c>
      <c r="EE19" s="12">
        <f t="array" ref="EE19">PRODUCT(1+預測IC!$C19:EE19)-1</f>
        <v>86.63868645099015</v>
      </c>
      <c r="EF19" s="12">
        <f t="array" ref="EF19">PRODUCT(1+預測IC!$C19:EF19)-1</f>
        <v>85.150760787141195</v>
      </c>
    </row>
    <row r="20" spans="1:136">
      <c r="A20" s="2">
        <v>5</v>
      </c>
      <c r="B20" s="2" t="s">
        <v>197</v>
      </c>
      <c r="C20" s="12">
        <f t="array" ref="C20">PRODUCT(1+預測IC!$C20:C20)-1</f>
        <v>0.13932460396499158</v>
      </c>
      <c r="D20" s="12">
        <f t="array" ref="D20">PRODUCT(1+預測IC!$C20:D20)-1</f>
        <v>0.13892388269344247</v>
      </c>
      <c r="E20" s="12">
        <f t="array" ref="E20">PRODUCT(1+預測IC!$C20:E20)-1</f>
        <v>0.20422431129244756</v>
      </c>
      <c r="F20" s="12">
        <f t="array" ref="F20">PRODUCT(1+預測IC!$C20:F20)-1</f>
        <v>0.31407175290976341</v>
      </c>
      <c r="G20" s="12">
        <f t="array" ref="G20">PRODUCT(1+預測IC!$C20:G20)-1</f>
        <v>0.44595976271737192</v>
      </c>
      <c r="H20" s="12">
        <f t="array" ref="H20">PRODUCT(1+預測IC!$C20:H20)-1</f>
        <v>0.65407993247676144</v>
      </c>
      <c r="I20" s="12">
        <f t="array" ref="I20">PRODUCT(1+預測IC!$C20:I20)-1</f>
        <v>0.39248791464830179</v>
      </c>
      <c r="J20" s="12">
        <f t="array" ref="J20">PRODUCT(1+預測IC!$C20:J20)-1</f>
        <v>0.20699989099207716</v>
      </c>
      <c r="K20" s="12">
        <f t="array" ref="K20">PRODUCT(1+預測IC!$C20:K20)-1</f>
        <v>0.31576102669558725</v>
      </c>
      <c r="L20" s="12">
        <f t="array" ref="L20">PRODUCT(1+預測IC!$C20:L20)-1</f>
        <v>0.18983133418050557</v>
      </c>
      <c r="M20" s="12">
        <f t="array" ref="M20">PRODUCT(1+預測IC!$C20:M20)-1</f>
        <v>-0.12986920632579113</v>
      </c>
      <c r="N20" s="12">
        <f t="array" ref="N20">PRODUCT(1+預測IC!$C20:N20)-1</f>
        <v>-0.21855722573146119</v>
      </c>
      <c r="O20" s="12">
        <f t="array" ref="O20">PRODUCT(1+預測IC!$C20:O20)-1</f>
        <v>-0.30460485908871227</v>
      </c>
      <c r="P20" s="12">
        <f t="array" ref="P20">PRODUCT(1+預測IC!$C20:P20)-1</f>
        <v>-0.27676888699317426</v>
      </c>
      <c r="Q20" s="12">
        <f t="array" ref="Q20">PRODUCT(1+預測IC!$C20:Q20)-1</f>
        <v>-0.11416729484163379</v>
      </c>
      <c r="R20" s="12">
        <f t="array" ref="R20">PRODUCT(1+預測IC!$C20:R20)-1</f>
        <v>-1.7387365019477241E-2</v>
      </c>
      <c r="S20" s="12">
        <f t="array" ref="S20">PRODUCT(1+預測IC!$C20:S20)-1</f>
        <v>0.13509703647872273</v>
      </c>
      <c r="T20" s="12">
        <f t="array" ref="T20">PRODUCT(1+預測IC!$C20:T20)-1</f>
        <v>2.0627267757396872E-2</v>
      </c>
      <c r="U20" s="12">
        <f t="array" ref="U20">PRODUCT(1+預測IC!$C20:U20)-1</f>
        <v>0.17234318462901244</v>
      </c>
      <c r="V20" s="12">
        <f t="array" ref="V20">PRODUCT(1+預測IC!$C20:V20)-1</f>
        <v>1.2566642213656776E-2</v>
      </c>
      <c r="W20" s="12">
        <f t="array" ref="W20">PRODUCT(1+預測IC!$C20:W20)-1</f>
        <v>0.18782712038607774</v>
      </c>
      <c r="X20" s="12">
        <f t="array" ref="X20">PRODUCT(1+預測IC!$C20:X20)-1</f>
        <v>0.36445368876480777</v>
      </c>
      <c r="Y20" s="12">
        <f t="array" ref="Y20">PRODUCT(1+預測IC!$C20:Y20)-1</f>
        <v>0.35782517274478831</v>
      </c>
      <c r="Z20" s="12">
        <f t="array" ref="Z20">PRODUCT(1+預測IC!$C20:Z20)-1</f>
        <v>0.39741718226175005</v>
      </c>
      <c r="AA20" s="12">
        <f t="array" ref="AA20">PRODUCT(1+預測IC!$C20:AA20)-1</f>
        <v>0.490993826454726</v>
      </c>
      <c r="AB20" s="12">
        <f t="array" ref="AB20">PRODUCT(1+預測IC!$C20:AB20)-1</f>
        <v>0.40090350647885198</v>
      </c>
      <c r="AC20" s="12">
        <f t="array" ref="AC20">PRODUCT(1+預測IC!$C20:AC20)-1</f>
        <v>0.26598501139618547</v>
      </c>
      <c r="AD20" s="12">
        <f t="array" ref="AD20">PRODUCT(1+預測IC!$C20:AD20)-1</f>
        <v>0.43036379683689563</v>
      </c>
      <c r="AE20" s="12">
        <f t="array" ref="AE20">PRODUCT(1+預測IC!$C20:AE20)-1</f>
        <v>0.45512368023290173</v>
      </c>
      <c r="AF20" s="12">
        <f t="array" ref="AF20">PRODUCT(1+預測IC!$C20:AF20)-1</f>
        <v>0.44571252231862735</v>
      </c>
      <c r="AG20" s="12">
        <f t="array" ref="AG20">PRODUCT(1+預測IC!$C20:AG20)-1</f>
        <v>0.43669185446436809</v>
      </c>
      <c r="AH20" s="12">
        <f t="array" ref="AH20">PRODUCT(1+預測IC!$C20:AH20)-1</f>
        <v>0.30713356804718694</v>
      </c>
      <c r="AI20" s="12">
        <f t="array" ref="AI20">PRODUCT(1+預測IC!$C20:AI20)-1</f>
        <v>0.45920182737980619</v>
      </c>
      <c r="AJ20" s="12">
        <f t="array" ref="AJ20">PRODUCT(1+預測IC!$C20:AJ20)-1</f>
        <v>0.36874585568868734</v>
      </c>
      <c r="AK20" s="12">
        <f t="array" ref="AK20">PRODUCT(1+預測IC!$C20:AK20)-1</f>
        <v>0.35013759769592423</v>
      </c>
      <c r="AL20" s="12">
        <f t="array" ref="AL20">PRODUCT(1+預測IC!$C20:AL20)-1</f>
        <v>0.44855378791689127</v>
      </c>
      <c r="AM20" s="12">
        <f t="array" ref="AM20">PRODUCT(1+預測IC!$C20:AM20)-1</f>
        <v>0.49597741095798731</v>
      </c>
      <c r="AN20" s="12">
        <f t="array" ref="AN20">PRODUCT(1+預測IC!$C20:AN20)-1</f>
        <v>0.44673462171696543</v>
      </c>
      <c r="AO20" s="12">
        <f t="array" ref="AO20">PRODUCT(1+預測IC!$C20:AO20)-1</f>
        <v>0.51225011764257067</v>
      </c>
      <c r="AP20" s="12">
        <f t="array" ref="AP20">PRODUCT(1+預測IC!$C20:AP20)-1</f>
        <v>0.53131293772552612</v>
      </c>
      <c r="AQ20" s="12">
        <f t="array" ref="AQ20">PRODUCT(1+預測IC!$C20:AQ20)-1</f>
        <v>0.41968236840344808</v>
      </c>
      <c r="AR20" s="12">
        <f t="array" ref="AR20">PRODUCT(1+預測IC!$C20:AR20)-1</f>
        <v>0.4385488113336351</v>
      </c>
      <c r="AS20" s="12">
        <f t="array" ref="AS20">PRODUCT(1+預測IC!$C20:AS20)-1</f>
        <v>0.41388805677070484</v>
      </c>
      <c r="AT20" s="12">
        <f t="array" ref="AT20">PRODUCT(1+預測IC!$C20:AT20)-1</f>
        <v>0.40985762747607413</v>
      </c>
      <c r="AU20" s="12">
        <f t="array" ref="AU20">PRODUCT(1+預測IC!$C20:AU20)-1</f>
        <v>0.80701311127845665</v>
      </c>
      <c r="AV20" s="12">
        <f t="array" ref="AV20">PRODUCT(1+預測IC!$C20:AV20)-1</f>
        <v>0.93616828919921757</v>
      </c>
      <c r="AW20" s="12">
        <f t="array" ref="AW20">PRODUCT(1+預測IC!$C20:AW20)-1</f>
        <v>1.2194529439285335</v>
      </c>
      <c r="AX20" s="12">
        <f t="array" ref="AX20">PRODUCT(1+預測IC!$C20:AX20)-1</f>
        <v>1.4100790939390224</v>
      </c>
      <c r="AY20" s="12">
        <f t="array" ref="AY20">PRODUCT(1+預測IC!$C20:AY20)-1</f>
        <v>1.2599653895097553</v>
      </c>
      <c r="AZ20" s="12">
        <f t="array" ref="AZ20">PRODUCT(1+預測IC!$C20:AZ20)-1</f>
        <v>1.4855194272374646</v>
      </c>
      <c r="BA20" s="12">
        <f t="array" ref="BA20">PRODUCT(1+預測IC!$C20:BA20)-1</f>
        <v>1.861672966316728</v>
      </c>
      <c r="BB20" s="12">
        <f t="array" ref="BB20">PRODUCT(1+預測IC!$C20:BB20)-1</f>
        <v>2.5233301025469044</v>
      </c>
      <c r="BC20" s="12">
        <f t="array" ref="BC20">PRODUCT(1+預測IC!$C20:BC20)-1</f>
        <v>2.2771021783304142</v>
      </c>
      <c r="BD20" s="12">
        <f t="array" ref="BD20">PRODUCT(1+預測IC!$C20:BD20)-1</f>
        <v>2.3045105501090983</v>
      </c>
      <c r="BE20" s="12">
        <f t="array" ref="BE20">PRODUCT(1+預測IC!$C20:BE20)-1</f>
        <v>2.2848592962230536</v>
      </c>
      <c r="BF20" s="12">
        <f t="array" ref="BF20">PRODUCT(1+預測IC!$C20:BF20)-1</f>
        <v>2.3035454887764488</v>
      </c>
      <c r="BG20" s="12">
        <f t="array" ref="BG20">PRODUCT(1+預測IC!$C20:BG20)-1</f>
        <v>2.1326629912785098</v>
      </c>
      <c r="BH20" s="12">
        <f t="array" ref="BH20">PRODUCT(1+預測IC!$C20:BH20)-1</f>
        <v>1.9700777820311552</v>
      </c>
      <c r="BI20" s="12">
        <f t="array" ref="BI20">PRODUCT(1+預測IC!$C20:BI20)-1</f>
        <v>2.0389051765208324</v>
      </c>
      <c r="BJ20" s="12">
        <f t="array" ref="BJ20">PRODUCT(1+預測IC!$C20:BJ20)-1</f>
        <v>2.2065245004663327</v>
      </c>
      <c r="BK20" s="12">
        <f t="array" ref="BK20">PRODUCT(1+預測IC!$C20:BK20)-1</f>
        <v>2.5837753144706972</v>
      </c>
      <c r="BL20" s="12">
        <f t="array" ref="BL20">PRODUCT(1+預測IC!$C20:BL20)-1</f>
        <v>2.8930272823914742</v>
      </c>
      <c r="BM20" s="12">
        <f t="array" ref="BM20">PRODUCT(1+預測IC!$C20:BM20)-1</f>
        <v>3.4260514733843204</v>
      </c>
      <c r="BN20" s="12">
        <f t="array" ref="BN20">PRODUCT(1+預測IC!$C20:BN20)-1</f>
        <v>3.3435675781263301</v>
      </c>
      <c r="BO20" s="12">
        <f t="array" ref="BO20">PRODUCT(1+預測IC!$C20:BO20)-1</f>
        <v>3.1765065089248692</v>
      </c>
      <c r="BP20" s="12">
        <f t="array" ref="BP20">PRODUCT(1+預測IC!$C20:BP20)-1</f>
        <v>3.4287989125793654</v>
      </c>
      <c r="BQ20" s="12">
        <f t="array" ref="BQ20">PRODUCT(1+預測IC!$C20:BQ20)-1</f>
        <v>3.3736045632514537</v>
      </c>
      <c r="BR20" s="12">
        <f t="array" ref="BR20">PRODUCT(1+預測IC!$C20:BR20)-1</f>
        <v>3.4531630544197363</v>
      </c>
      <c r="BS20" s="12">
        <f t="array" ref="BS20">PRODUCT(1+預測IC!$C20:BS20)-1</f>
        <v>3.4772435612068948</v>
      </c>
      <c r="BT20" s="12">
        <f t="array" ref="BT20">PRODUCT(1+預測IC!$C20:BT20)-1</f>
        <v>4.1389937398328422</v>
      </c>
      <c r="BU20" s="12">
        <f t="array" ref="BU20">PRODUCT(1+預測IC!$C20:BU20)-1</f>
        <v>3.3710173763584832</v>
      </c>
      <c r="BV20" s="12">
        <f t="array" ref="BV20">PRODUCT(1+預測IC!$C20:BV20)-1</f>
        <v>3.9554652355479014</v>
      </c>
      <c r="BW20" s="12">
        <f t="array" ref="BW20">PRODUCT(1+預測IC!$C20:BW20)-1</f>
        <v>5.6504434667382242</v>
      </c>
      <c r="BX20" s="12">
        <f t="array" ref="BX20">PRODUCT(1+預測IC!$C20:BX20)-1</f>
        <v>5.2989103357072951</v>
      </c>
      <c r="BY20" s="12">
        <f t="array" ref="BY20">PRODUCT(1+預測IC!$C20:BY20)-1</f>
        <v>5.0268742559108359</v>
      </c>
      <c r="BZ20" s="12">
        <f t="array" ref="BZ20">PRODUCT(1+預測IC!$C20:BZ20)-1</f>
        <v>6.1401934243333702</v>
      </c>
      <c r="CA20" s="12">
        <f t="array" ref="CA20">PRODUCT(1+預測IC!$C20:CA20)-1</f>
        <v>6.4987468053683788</v>
      </c>
      <c r="CB20" s="12">
        <f t="array" ref="CB20">PRODUCT(1+預測IC!$C20:CB20)-1</f>
        <v>7.4473037820121739</v>
      </c>
      <c r="CC20" s="12">
        <f t="array" ref="CC20">PRODUCT(1+預測IC!$C20:CC20)-1</f>
        <v>7.5563990208961034</v>
      </c>
      <c r="CD20" s="12">
        <f t="array" ref="CD20">PRODUCT(1+預測IC!$C20:CD20)-1</f>
        <v>8.3783575138798572</v>
      </c>
      <c r="CE20" s="12">
        <f t="array" ref="CE20">PRODUCT(1+預測IC!$C20:CE20)-1</f>
        <v>10.666337208238078</v>
      </c>
      <c r="CF20" s="12">
        <f t="array" ref="CF20">PRODUCT(1+預測IC!$C20:CF20)-1</f>
        <v>9.7218546131949548</v>
      </c>
      <c r="CG20" s="12">
        <f t="array" ref="CG20">PRODUCT(1+預測IC!$C20:CG20)-1</f>
        <v>13.17364205425417</v>
      </c>
      <c r="CH20" s="12">
        <f t="array" ref="CH20">PRODUCT(1+預測IC!$C20:CH20)-1</f>
        <v>13.87089736674274</v>
      </c>
      <c r="CI20" s="12">
        <f t="array" ref="CI20">PRODUCT(1+預測IC!$C20:CI20)-1</f>
        <v>11.91561527155341</v>
      </c>
      <c r="CJ20" s="12">
        <f t="array" ref="CJ20">PRODUCT(1+預測IC!$C20:CJ20)-1</f>
        <v>11.756453561439002</v>
      </c>
      <c r="CK20" s="12">
        <f t="array" ref="CK20">PRODUCT(1+預測IC!$C20:CK20)-1</f>
        <v>12.550889771175452</v>
      </c>
      <c r="CL20" s="12">
        <f t="array" ref="CL20">PRODUCT(1+預測IC!$C20:CL20)-1</f>
        <v>13.800077652935402</v>
      </c>
      <c r="CM20" s="12">
        <f t="array" ref="CM20">PRODUCT(1+預測IC!$C20:CM20)-1</f>
        <v>11.002105728032298</v>
      </c>
      <c r="CN20" s="12">
        <f t="array" ref="CN20">PRODUCT(1+預測IC!$C20:CN20)-1</f>
        <v>10.769896187669765</v>
      </c>
      <c r="CO20" s="12">
        <f t="array" ref="CO20">PRODUCT(1+預測IC!$C20:CO20)-1</f>
        <v>15.665835619655425</v>
      </c>
      <c r="CP20" s="12">
        <f t="array" ref="CP20">PRODUCT(1+預測IC!$C20:CP20)-1</f>
        <v>15.789566116462872</v>
      </c>
      <c r="CQ20" s="12">
        <f t="array" ref="CQ20">PRODUCT(1+預測IC!$C20:CQ20)-1</f>
        <v>17.175078049438845</v>
      </c>
      <c r="CR20" s="12">
        <f t="array" ref="CR20">PRODUCT(1+預測IC!$C20:CR20)-1</f>
        <v>15.846184598863161</v>
      </c>
      <c r="CS20" s="12">
        <f t="array" ref="CS20">PRODUCT(1+預測IC!$C20:CS20)-1</f>
        <v>14.357583676369524</v>
      </c>
      <c r="CT20" s="12">
        <f t="array" ref="CT20">PRODUCT(1+預測IC!$C20:CT20)-1</f>
        <v>14.793975559567032</v>
      </c>
      <c r="CU20" s="12">
        <f t="array" ref="CU20">PRODUCT(1+預測IC!$C20:CU20)-1</f>
        <v>16.292313035621689</v>
      </c>
      <c r="CV20" s="12">
        <f t="array" ref="CV20">PRODUCT(1+預測IC!$C20:CV20)-1</f>
        <v>14.692582555434287</v>
      </c>
      <c r="CW20" s="12">
        <f t="array" ref="CW20">PRODUCT(1+預測IC!$C20:CW20)-1</f>
        <v>14.536393293862627</v>
      </c>
      <c r="CX20" s="12">
        <f t="array" ref="CX20">PRODUCT(1+預測IC!$C20:CX20)-1</f>
        <v>13.133479493715177</v>
      </c>
      <c r="CY20" s="12">
        <f t="array" ref="CY20">PRODUCT(1+預測IC!$C20:CY20)-1</f>
        <v>14.670243812721713</v>
      </c>
      <c r="CZ20" s="12">
        <f t="array" ref="CZ20">PRODUCT(1+預測IC!$C20:CZ20)-1</f>
        <v>16.680789372722874</v>
      </c>
      <c r="DA20" s="12">
        <f t="array" ref="DA20">PRODUCT(1+預測IC!$C20:DA20)-1</f>
        <v>17.520129916723974</v>
      </c>
      <c r="DB20" s="12">
        <f t="array" ref="DB20">PRODUCT(1+預測IC!$C20:DB20)-1</f>
        <v>18.945568756024468</v>
      </c>
      <c r="DC20" s="12">
        <f t="array" ref="DC20">PRODUCT(1+預測IC!$C20:DC20)-1</f>
        <v>19.522035584211086</v>
      </c>
      <c r="DD20" s="12">
        <f t="array" ref="DD20">PRODUCT(1+預測IC!$C20:DD20)-1</f>
        <v>18.123196177091621</v>
      </c>
      <c r="DE20" s="12">
        <f t="array" ref="DE20">PRODUCT(1+預測IC!$C20:DE20)-1</f>
        <v>17.540581233081877</v>
      </c>
      <c r="DF20" s="12">
        <f t="array" ref="DF20">PRODUCT(1+預測IC!$C20:DF20)-1</f>
        <v>22.093691885628449</v>
      </c>
      <c r="DG20" s="12">
        <f t="array" ref="DG20">PRODUCT(1+預測IC!$C20:DG20)-1</f>
        <v>20.884834108921719</v>
      </c>
      <c r="DH20" s="12">
        <f t="array" ref="DH20">PRODUCT(1+預測IC!$C20:DH20)-1</f>
        <v>26.975374687500988</v>
      </c>
      <c r="DI20" s="12">
        <f t="array" ref="DI20">PRODUCT(1+預測IC!$C20:DI20)-1</f>
        <v>30.824674343002375</v>
      </c>
      <c r="DJ20" s="12">
        <f t="array" ref="DJ20">PRODUCT(1+預測IC!$C20:DJ20)-1</f>
        <v>33.411301129448319</v>
      </c>
      <c r="DK20" s="12">
        <f t="array" ref="DK20">PRODUCT(1+預測IC!$C20:DK20)-1</f>
        <v>30.479988207256714</v>
      </c>
      <c r="DL20" s="12">
        <f t="array" ref="DL20">PRODUCT(1+預測IC!$C20:DL20)-1</f>
        <v>30.800662255128753</v>
      </c>
      <c r="DM20" s="12">
        <f t="array" ref="DM20">PRODUCT(1+預測IC!$C20:DM20)-1</f>
        <v>33.005586613117906</v>
      </c>
      <c r="DN20" s="12">
        <f t="array" ref="DN20">PRODUCT(1+預測IC!$C20:DN20)-1</f>
        <v>34.978563770221662</v>
      </c>
      <c r="DO20" s="12">
        <f t="array" ref="DO20">PRODUCT(1+預測IC!$C20:DO20)-1</f>
        <v>44.261069201502615</v>
      </c>
      <c r="DP20" s="12">
        <f t="array" ref="DP20">PRODUCT(1+預測IC!$C20:DP20)-1</f>
        <v>44.70600956307311</v>
      </c>
      <c r="DQ20" s="12">
        <f t="array" ref="DQ20">PRODUCT(1+預測IC!$C20:DQ20)-1</f>
        <v>42.944545660521833</v>
      </c>
      <c r="DR20" s="12">
        <f t="array" ref="DR20">PRODUCT(1+預測IC!$C20:DR20)-1</f>
        <v>40.503083381623696</v>
      </c>
      <c r="DS20" s="12">
        <f t="array" ref="DS20">PRODUCT(1+預測IC!$C20:DS20)-1</f>
        <v>31.950082405452711</v>
      </c>
      <c r="DT20" s="12">
        <f t="array" ref="DT20">PRODUCT(1+預測IC!$C20:DT20)-1</f>
        <v>32.109191763372166</v>
      </c>
      <c r="DU20" s="12">
        <f t="array" ref="DU20">PRODUCT(1+預測IC!$C20:DU20)-1</f>
        <v>26.269531578753991</v>
      </c>
      <c r="DV20" s="12">
        <f t="array" ref="DV20">PRODUCT(1+預測IC!$C20:DV20)-1</f>
        <v>25.44625896648509</v>
      </c>
      <c r="DW20" s="12">
        <f t="array" ref="DW20">PRODUCT(1+預測IC!$C20:DW20)-1</f>
        <v>27.272643004637686</v>
      </c>
      <c r="DX20" s="12">
        <f t="array" ref="DX20">PRODUCT(1+預測IC!$C20:DX20)-1</f>
        <v>31.400002175555315</v>
      </c>
      <c r="DY20" s="12">
        <f t="array" ref="DY20">PRODUCT(1+預測IC!$C20:DY20)-1</f>
        <v>35.339537880082389</v>
      </c>
      <c r="DZ20" s="12">
        <f t="array" ref="DZ20">PRODUCT(1+預測IC!$C20:DZ20)-1</f>
        <v>38.409305018471429</v>
      </c>
      <c r="EA20" s="12">
        <f t="array" ref="EA20">PRODUCT(1+預測IC!$C20:EA20)-1</f>
        <v>49.983471100512325</v>
      </c>
      <c r="EB20" s="12">
        <f t="array" ref="EB20">PRODUCT(1+預測IC!$C20:EB20)-1</f>
        <v>44.563193960544019</v>
      </c>
      <c r="EC20" s="12">
        <f t="array" ref="EC20">PRODUCT(1+預測IC!$C20:EC20)-1</f>
        <v>46.114601642782787</v>
      </c>
      <c r="ED20" s="12">
        <f t="array" ref="ED20">PRODUCT(1+預測IC!$C20:ED20)-1</f>
        <v>54.45006330504981</v>
      </c>
      <c r="EE20" s="12">
        <f t="array" ref="EE20">PRODUCT(1+預測IC!$C20:EE20)-1</f>
        <v>54.318800200268811</v>
      </c>
      <c r="EF20" s="12">
        <f t="array" ref="EF20">PRODUCT(1+預測IC!$C20:EF20)-1</f>
        <v>53.196856566715027</v>
      </c>
    </row>
    <row r="21" spans="1:136">
      <c r="A21" s="2">
        <v>4</v>
      </c>
      <c r="B21" s="2" t="s">
        <v>198</v>
      </c>
      <c r="C21" s="12">
        <f t="array" ref="C21">PRODUCT(1+預測IC!$C21:C21)-1</f>
        <v>0.19764916434148616</v>
      </c>
      <c r="D21" s="12">
        <f t="array" ref="D21">PRODUCT(1+預測IC!$C21:D21)-1</f>
        <v>0.19808955119131921</v>
      </c>
      <c r="E21" s="12">
        <f t="array" ref="E21">PRODUCT(1+預測IC!$C21:E21)-1</f>
        <v>0.18168590810118324</v>
      </c>
      <c r="F21" s="12">
        <f t="array" ref="F21">PRODUCT(1+預測IC!$C21:F21)-1</f>
        <v>0.24206708470191174</v>
      </c>
      <c r="G21" s="12">
        <f t="array" ref="G21">PRODUCT(1+預測IC!$C21:G21)-1</f>
        <v>0.25112937759174803</v>
      </c>
      <c r="H21" s="12">
        <f t="array" ref="H21">PRODUCT(1+預測IC!$C21:H21)-1</f>
        <v>0.45401752197953615</v>
      </c>
      <c r="I21" s="12">
        <f t="array" ref="I21">PRODUCT(1+預測IC!$C21:I21)-1</f>
        <v>0.23990528755243834</v>
      </c>
      <c r="J21" s="12">
        <f t="array" ref="J21">PRODUCT(1+預測IC!$C21:J21)-1</f>
        <v>7.0358778674586731E-2</v>
      </c>
      <c r="K21" s="12">
        <f t="array" ref="K21">PRODUCT(1+預測IC!$C21:K21)-1</f>
        <v>0.16559182886463053</v>
      </c>
      <c r="L21" s="12">
        <f t="array" ref="L21">PRODUCT(1+預測IC!$C21:L21)-1</f>
        <v>3.7750174622899868E-2</v>
      </c>
      <c r="M21" s="12">
        <f t="array" ref="M21">PRODUCT(1+預測IC!$C21:M21)-1</f>
        <v>-0.16968051903159842</v>
      </c>
      <c r="N21" s="12">
        <f t="array" ref="N21">PRODUCT(1+預測IC!$C21:N21)-1</f>
        <v>-0.25236988737650556</v>
      </c>
      <c r="O21" s="12">
        <f t="array" ref="O21">PRODUCT(1+預測IC!$C21:O21)-1</f>
        <v>-0.35649775347989621</v>
      </c>
      <c r="P21" s="12">
        <f t="array" ref="P21">PRODUCT(1+預測IC!$C21:P21)-1</f>
        <v>-0.32726489430054262</v>
      </c>
      <c r="Q21" s="12">
        <f t="array" ref="Q21">PRODUCT(1+預測IC!$C21:Q21)-1</f>
        <v>-0.14287778830357756</v>
      </c>
      <c r="R21" s="12">
        <f t="array" ref="R21">PRODUCT(1+預測IC!$C21:R21)-1</f>
        <v>-6.0958066264289013E-2</v>
      </c>
      <c r="S21" s="12">
        <f t="array" ref="S21">PRODUCT(1+預測IC!$C21:S21)-1</f>
        <v>5.9793604044265702E-2</v>
      </c>
      <c r="T21" s="12">
        <f t="array" ref="T21">PRODUCT(1+預測IC!$C21:T21)-1</f>
        <v>-7.9166533318018484E-2</v>
      </c>
      <c r="U21" s="12">
        <f t="array" ref="U21">PRODUCT(1+預測IC!$C21:U21)-1</f>
        <v>2.8152107125234416E-4</v>
      </c>
      <c r="V21" s="12">
        <f t="array" ref="V21">PRODUCT(1+預測IC!$C21:V21)-1</f>
        <v>-0.13150581940026551</v>
      </c>
      <c r="W21" s="12">
        <f t="array" ref="W21">PRODUCT(1+預測IC!$C21:W21)-1</f>
        <v>5.532556911443498E-3</v>
      </c>
      <c r="X21" s="12">
        <f t="array" ref="X21">PRODUCT(1+預測IC!$C21:X21)-1</f>
        <v>0.20396151466634782</v>
      </c>
      <c r="Y21" s="12">
        <f t="array" ref="Y21">PRODUCT(1+預測IC!$C21:Y21)-1</f>
        <v>0.191744315196271</v>
      </c>
      <c r="Z21" s="12">
        <f t="array" ref="Z21">PRODUCT(1+預測IC!$C21:Z21)-1</f>
        <v>0.23876935412960054</v>
      </c>
      <c r="AA21" s="12">
        <f t="array" ref="AA21">PRODUCT(1+預測IC!$C21:AA21)-1</f>
        <v>0.27349887235730108</v>
      </c>
      <c r="AB21" s="12">
        <f t="array" ref="AB21">PRODUCT(1+預測IC!$C21:AB21)-1</f>
        <v>0.19035595147771001</v>
      </c>
      <c r="AC21" s="12">
        <f t="array" ref="AC21">PRODUCT(1+預測IC!$C21:AC21)-1</f>
        <v>4.4507503401680637E-4</v>
      </c>
      <c r="AD21" s="12">
        <f t="array" ref="AD21">PRODUCT(1+預測IC!$C21:AD21)-1</f>
        <v>0.12932691160273646</v>
      </c>
      <c r="AE21" s="12">
        <f t="array" ref="AE21">PRODUCT(1+預測IC!$C21:AE21)-1</f>
        <v>0.14097111905654436</v>
      </c>
      <c r="AF21" s="12">
        <f t="array" ref="AF21">PRODUCT(1+預測IC!$C21:AF21)-1</f>
        <v>0.10267385295985187</v>
      </c>
      <c r="AG21" s="12">
        <f t="array" ref="AG21">PRODUCT(1+預測IC!$C21:AG21)-1</f>
        <v>9.1020795681772126E-2</v>
      </c>
      <c r="AH21" s="12">
        <f t="array" ref="AH21">PRODUCT(1+預測IC!$C21:AH21)-1</f>
        <v>-2.6352708104203315E-2</v>
      </c>
      <c r="AI21" s="12">
        <f t="array" ref="AI21">PRODUCT(1+預測IC!$C21:AI21)-1</f>
        <v>7.308029134518601E-2</v>
      </c>
      <c r="AJ21" s="12">
        <f t="array" ref="AJ21">PRODUCT(1+預測IC!$C21:AJ21)-1</f>
        <v>-2.4702935029881079E-3</v>
      </c>
      <c r="AK21" s="12">
        <f t="array" ref="AK21">PRODUCT(1+預測IC!$C21:AK21)-1</f>
        <v>-3.8185016788744752E-2</v>
      </c>
      <c r="AL21" s="12">
        <f t="array" ref="AL21">PRODUCT(1+預測IC!$C21:AL21)-1</f>
        <v>2.4698276315656909E-2</v>
      </c>
      <c r="AM21" s="12">
        <f t="array" ref="AM21">PRODUCT(1+預測IC!$C21:AM21)-1</f>
        <v>6.2315718562911737E-2</v>
      </c>
      <c r="AN21" s="12">
        <f t="array" ref="AN21">PRODUCT(1+預測IC!$C21:AN21)-1</f>
        <v>4.2454398309729857E-2</v>
      </c>
      <c r="AO21" s="12">
        <f t="array" ref="AO21">PRODUCT(1+預測IC!$C21:AO21)-1</f>
        <v>9.2206989364002956E-2</v>
      </c>
      <c r="AP21" s="12">
        <f t="array" ref="AP21">PRODUCT(1+預測IC!$C21:AP21)-1</f>
        <v>0.11289748551876744</v>
      </c>
      <c r="AQ21" s="12">
        <f t="array" ref="AQ21">PRODUCT(1+預測IC!$C21:AQ21)-1</f>
        <v>-3.5367169091984896E-2</v>
      </c>
      <c r="AR21" s="12">
        <f t="array" ref="AR21">PRODUCT(1+預測IC!$C21:AR21)-1</f>
        <v>-8.1658210539806375E-2</v>
      </c>
      <c r="AS21" s="12">
        <f t="array" ref="AS21">PRODUCT(1+預測IC!$C21:AS21)-1</f>
        <v>-6.6002319713089008E-2</v>
      </c>
      <c r="AT21" s="12">
        <f t="array" ref="AT21">PRODUCT(1+預測IC!$C21:AT21)-1</f>
        <v>-0.12526026953773228</v>
      </c>
      <c r="AU21" s="12">
        <f t="array" ref="AU21">PRODUCT(1+預測IC!$C21:AU21)-1</f>
        <v>0.17782064569749734</v>
      </c>
      <c r="AV21" s="12">
        <f t="array" ref="AV21">PRODUCT(1+預測IC!$C21:AV21)-1</f>
        <v>0.23777083319801573</v>
      </c>
      <c r="AW21" s="12">
        <f t="array" ref="AW21">PRODUCT(1+預測IC!$C21:AW21)-1</f>
        <v>0.45184020437252959</v>
      </c>
      <c r="AX21" s="12">
        <f t="array" ref="AX21">PRODUCT(1+預測IC!$C21:AX21)-1</f>
        <v>0.54767399850285359</v>
      </c>
      <c r="AY21" s="12">
        <f t="array" ref="AY21">PRODUCT(1+預測IC!$C21:AY21)-1</f>
        <v>0.36369193041982895</v>
      </c>
      <c r="AZ21" s="12">
        <f t="array" ref="AZ21">PRODUCT(1+預測IC!$C21:AZ21)-1</f>
        <v>0.51165659594617163</v>
      </c>
      <c r="BA21" s="12">
        <f t="array" ref="BA21">PRODUCT(1+預測IC!$C21:BA21)-1</f>
        <v>0.72267251931578769</v>
      </c>
      <c r="BB21" s="12">
        <f t="array" ref="BB21">PRODUCT(1+預測IC!$C21:BB21)-1</f>
        <v>1.2300224016651682</v>
      </c>
      <c r="BC21" s="12">
        <f t="array" ref="BC21">PRODUCT(1+預測IC!$C21:BC21)-1</f>
        <v>1.0515157984790764</v>
      </c>
      <c r="BD21" s="12">
        <f t="array" ref="BD21">PRODUCT(1+預測IC!$C21:BD21)-1</f>
        <v>1.1299298610864428</v>
      </c>
      <c r="BE21" s="12">
        <f t="array" ref="BE21">PRODUCT(1+預測IC!$C21:BE21)-1</f>
        <v>1.1434560518033949</v>
      </c>
      <c r="BF21" s="12">
        <f t="array" ref="BF21">PRODUCT(1+預測IC!$C21:BF21)-1</f>
        <v>1.1511234088330551</v>
      </c>
      <c r="BG21" s="12">
        <f t="array" ref="BG21">PRODUCT(1+預測IC!$C21:BG21)-1</f>
        <v>0.98220698093529157</v>
      </c>
      <c r="BH21" s="12">
        <f t="array" ref="BH21">PRODUCT(1+預測IC!$C21:BH21)-1</f>
        <v>0.84758043830761909</v>
      </c>
      <c r="BI21" s="12">
        <f t="array" ref="BI21">PRODUCT(1+預測IC!$C21:BI21)-1</f>
        <v>0.93308091825118056</v>
      </c>
      <c r="BJ21" s="12">
        <f t="array" ref="BJ21">PRODUCT(1+預測IC!$C21:BJ21)-1</f>
        <v>0.97637468176656328</v>
      </c>
      <c r="BK21" s="12">
        <f t="array" ref="BK21">PRODUCT(1+預測IC!$C21:BK21)-1</f>
        <v>1.1201040600296843</v>
      </c>
      <c r="BL21" s="12">
        <f t="array" ref="BL21">PRODUCT(1+預測IC!$C21:BL21)-1</f>
        <v>1.4226876280010834</v>
      </c>
      <c r="BM21" s="12">
        <f t="array" ref="BM21">PRODUCT(1+預測IC!$C21:BM21)-1</f>
        <v>1.7984949423562115</v>
      </c>
      <c r="BN21" s="12">
        <f t="array" ref="BN21">PRODUCT(1+預測IC!$C21:BN21)-1</f>
        <v>1.726326655158994</v>
      </c>
      <c r="BO21" s="12">
        <f t="array" ref="BO21">PRODUCT(1+預測IC!$C21:BO21)-1</f>
        <v>1.5522309693995879</v>
      </c>
      <c r="BP21" s="12">
        <f t="array" ref="BP21">PRODUCT(1+預測IC!$C21:BP21)-1</f>
        <v>1.8189624060888065</v>
      </c>
      <c r="BQ21" s="12">
        <f t="array" ref="BQ21">PRODUCT(1+預測IC!$C21:BQ21)-1</f>
        <v>1.6968992196833566</v>
      </c>
      <c r="BR21" s="12">
        <f t="array" ref="BR21">PRODUCT(1+預測IC!$C21:BR21)-1</f>
        <v>1.7273424922999472</v>
      </c>
      <c r="BS21" s="12">
        <f t="array" ref="BS21">PRODUCT(1+預測IC!$C21:BS21)-1</f>
        <v>1.7433251904673575</v>
      </c>
      <c r="BT21" s="12">
        <f t="array" ref="BT21">PRODUCT(1+預測IC!$C21:BT21)-1</f>
        <v>2.1061153907530934</v>
      </c>
      <c r="BU21" s="12">
        <f t="array" ref="BU21">PRODUCT(1+預測IC!$C21:BU21)-1</f>
        <v>1.5757834611666914</v>
      </c>
      <c r="BV21" s="12">
        <f t="array" ref="BV21">PRODUCT(1+預測IC!$C21:BV21)-1</f>
        <v>1.6253421789054037</v>
      </c>
      <c r="BW21" s="12">
        <f t="array" ref="BW21">PRODUCT(1+預測IC!$C21:BW21)-1</f>
        <v>2.6810716856441781</v>
      </c>
      <c r="BX21" s="12">
        <f t="array" ref="BX21">PRODUCT(1+預測IC!$C21:BX21)-1</f>
        <v>2.3970282308968951</v>
      </c>
      <c r="BY21" s="12">
        <f t="array" ref="BY21">PRODUCT(1+預測IC!$C21:BY21)-1</f>
        <v>2.346345418948971</v>
      </c>
      <c r="BZ21" s="12">
        <f t="array" ref="BZ21">PRODUCT(1+預測IC!$C21:BZ21)-1</f>
        <v>3.1876250231362899</v>
      </c>
      <c r="CA21" s="12">
        <f t="array" ref="CA21">PRODUCT(1+預測IC!$C21:CA21)-1</f>
        <v>3.5857006578356252</v>
      </c>
      <c r="CB21" s="12">
        <f t="array" ref="CB21">PRODUCT(1+預測IC!$C21:CB21)-1</f>
        <v>4.5389314000050813</v>
      </c>
      <c r="CC21" s="12">
        <f t="array" ref="CC21">PRODUCT(1+預測IC!$C21:CC21)-1</f>
        <v>4.4945119396427406</v>
      </c>
      <c r="CD21" s="12">
        <f t="array" ref="CD21">PRODUCT(1+預測IC!$C21:CD21)-1</f>
        <v>4.9583710002392456</v>
      </c>
      <c r="CE21" s="12">
        <f t="array" ref="CE21">PRODUCT(1+預測IC!$C21:CE21)-1</f>
        <v>7.3123800387151601</v>
      </c>
      <c r="CF21" s="12">
        <f t="array" ref="CF21">PRODUCT(1+預測IC!$C21:CF21)-1</f>
        <v>6.2212498471054909</v>
      </c>
      <c r="CG21" s="12">
        <f t="array" ref="CG21">PRODUCT(1+預測IC!$C21:CG21)-1</f>
        <v>8.5332611628411001</v>
      </c>
      <c r="CH21" s="12">
        <f t="array" ref="CH21">PRODUCT(1+預測IC!$C21:CH21)-1</f>
        <v>7.8531726113757614</v>
      </c>
      <c r="CI21" s="12">
        <f t="array" ref="CI21">PRODUCT(1+預測IC!$C21:CI21)-1</f>
        <v>6.7616450404808681</v>
      </c>
      <c r="CJ21" s="12">
        <f t="array" ref="CJ21">PRODUCT(1+預測IC!$C21:CJ21)-1</f>
        <v>6.668848752788139</v>
      </c>
      <c r="CK21" s="12">
        <f t="array" ref="CK21">PRODUCT(1+預測IC!$C21:CK21)-1</f>
        <v>6.7345266907192052</v>
      </c>
      <c r="CL21" s="12">
        <f t="array" ref="CL21">PRODUCT(1+預測IC!$C21:CL21)-1</f>
        <v>7.7701057535972531</v>
      </c>
      <c r="CM21" s="12">
        <f t="array" ref="CM21">PRODUCT(1+預測IC!$C21:CM21)-1</f>
        <v>5.7924206975474721</v>
      </c>
      <c r="CN21" s="12">
        <f t="array" ref="CN21">PRODUCT(1+預測IC!$C21:CN21)-1</f>
        <v>5.7158004939739619</v>
      </c>
      <c r="CO21" s="12">
        <f t="array" ref="CO21">PRODUCT(1+預測IC!$C21:CO21)-1</f>
        <v>9.173532784835702</v>
      </c>
      <c r="CP21" s="12">
        <f t="array" ref="CP21">PRODUCT(1+預測IC!$C21:CP21)-1</f>
        <v>8.1943022770801068</v>
      </c>
      <c r="CQ21" s="12">
        <f t="array" ref="CQ21">PRODUCT(1+預測IC!$C21:CQ21)-1</f>
        <v>7.6481538260948412</v>
      </c>
      <c r="CR21" s="12">
        <f t="array" ref="CR21">PRODUCT(1+預測IC!$C21:CR21)-1</f>
        <v>6.8626914989825725</v>
      </c>
      <c r="CS21" s="12">
        <f t="array" ref="CS21">PRODUCT(1+預測IC!$C21:CS21)-1</f>
        <v>6.3150833720645778</v>
      </c>
      <c r="CT21" s="12">
        <f t="array" ref="CT21">PRODUCT(1+預測IC!$C21:CT21)-1</f>
        <v>6.6661689697359741</v>
      </c>
      <c r="CU21" s="12">
        <f t="array" ref="CU21">PRODUCT(1+預測IC!$C21:CU21)-1</f>
        <v>7.1466350719302074</v>
      </c>
      <c r="CV21" s="12">
        <f t="array" ref="CV21">PRODUCT(1+預測IC!$C21:CV21)-1</f>
        <v>6.3464266931422664</v>
      </c>
      <c r="CW21" s="12">
        <f t="array" ref="CW21">PRODUCT(1+預測IC!$C21:CW21)-1</f>
        <v>5.8688691604303598</v>
      </c>
      <c r="CX21" s="12">
        <f t="array" ref="CX21">PRODUCT(1+預測IC!$C21:CX21)-1</f>
        <v>5.1674052974611442</v>
      </c>
      <c r="CY21" s="12">
        <f t="array" ref="CY21">PRODUCT(1+預測IC!$C21:CY21)-1</f>
        <v>5.7995967193287239</v>
      </c>
      <c r="CZ21" s="12">
        <f t="array" ref="CZ21">PRODUCT(1+預測IC!$C21:CZ21)-1</f>
        <v>7.0935378763276411</v>
      </c>
      <c r="DA21" s="12">
        <f t="array" ref="DA21">PRODUCT(1+預測IC!$C21:DA21)-1</f>
        <v>7.0838883035367868</v>
      </c>
      <c r="DB21" s="12">
        <f t="array" ref="DB21">PRODUCT(1+預測IC!$C21:DB21)-1</f>
        <v>7.6615589197633742</v>
      </c>
      <c r="DC21" s="12">
        <f t="array" ref="DC21">PRODUCT(1+預測IC!$C21:DC21)-1</f>
        <v>8.0799988311771429</v>
      </c>
      <c r="DD21" s="12">
        <f t="array" ref="DD21">PRODUCT(1+預測IC!$C21:DD21)-1</f>
        <v>7.4713937495198337</v>
      </c>
      <c r="DE21" s="12">
        <f t="array" ref="DE21">PRODUCT(1+預測IC!$C21:DE21)-1</f>
        <v>7.0078475549398576</v>
      </c>
      <c r="DF21" s="12">
        <f t="array" ref="DF21">PRODUCT(1+預測IC!$C21:DF21)-1</f>
        <v>9.4194248598432164</v>
      </c>
      <c r="DG21" s="12">
        <f t="array" ref="DG21">PRODUCT(1+預測IC!$C21:DG21)-1</f>
        <v>8.8003990143512851</v>
      </c>
      <c r="DH21" s="12">
        <f t="array" ref="DH21">PRODUCT(1+預測IC!$C21:DH21)-1</f>
        <v>9.5985141088830108</v>
      </c>
      <c r="DI21" s="12">
        <f t="array" ref="DI21">PRODUCT(1+預測IC!$C21:DI21)-1</f>
        <v>11.504550886224532</v>
      </c>
      <c r="DJ21" s="12">
        <f t="array" ref="DJ21">PRODUCT(1+預測IC!$C21:DJ21)-1</f>
        <v>12.42117510597517</v>
      </c>
      <c r="DK21" s="12">
        <f t="array" ref="DK21">PRODUCT(1+預測IC!$C21:DK21)-1</f>
        <v>11.201280881773991</v>
      </c>
      <c r="DL21" s="12">
        <f t="array" ref="DL21">PRODUCT(1+預測IC!$C21:DL21)-1</f>
        <v>11.594256686093948</v>
      </c>
      <c r="DM21" s="12">
        <f t="array" ref="DM21">PRODUCT(1+預測IC!$C21:DM21)-1</f>
        <v>11.908965120730235</v>
      </c>
      <c r="DN21" s="12">
        <f t="array" ref="DN21">PRODUCT(1+預測IC!$C21:DN21)-1</f>
        <v>12.828052617094459</v>
      </c>
      <c r="DO21" s="12">
        <f t="array" ref="DO21">PRODUCT(1+預測IC!$C21:DO21)-1</f>
        <v>17.413797851304182</v>
      </c>
      <c r="DP21" s="12">
        <f t="array" ref="DP21">PRODUCT(1+預測IC!$C21:DP21)-1</f>
        <v>17.860629925825503</v>
      </c>
      <c r="DQ21" s="12">
        <f t="array" ref="DQ21">PRODUCT(1+預測IC!$C21:DQ21)-1</f>
        <v>17.328472537310855</v>
      </c>
      <c r="DR21" s="12">
        <f t="array" ref="DR21">PRODUCT(1+預測IC!$C21:DR21)-1</f>
        <v>16.346859115748231</v>
      </c>
      <c r="DS21" s="12">
        <f t="array" ref="DS21">PRODUCT(1+預測IC!$C21:DS21)-1</f>
        <v>12.862925058211662</v>
      </c>
      <c r="DT21" s="12">
        <f t="array" ref="DT21">PRODUCT(1+預測IC!$C21:DT21)-1</f>
        <v>12.728322987358956</v>
      </c>
      <c r="DU21" s="12">
        <f t="array" ref="DU21">PRODUCT(1+預測IC!$C21:DU21)-1</f>
        <v>10.688091698673352</v>
      </c>
      <c r="DV21" s="12">
        <f t="array" ref="DV21">PRODUCT(1+預測IC!$C21:DV21)-1</f>
        <v>10.107649376825535</v>
      </c>
      <c r="DW21" s="12">
        <f t="array" ref="DW21">PRODUCT(1+預測IC!$C21:DW21)-1</f>
        <v>11.532181735271763</v>
      </c>
      <c r="DX21" s="12">
        <f t="array" ref="DX21">PRODUCT(1+預測IC!$C21:DX21)-1</f>
        <v>12.967301393640977</v>
      </c>
      <c r="DY21" s="12">
        <f t="array" ref="DY21">PRODUCT(1+預測IC!$C21:DY21)-1</f>
        <v>15.296069555002738</v>
      </c>
      <c r="DZ21" s="12">
        <f t="array" ref="DZ21">PRODUCT(1+預測IC!$C21:DZ21)-1</f>
        <v>16.157220139238401</v>
      </c>
      <c r="EA21" s="12">
        <f t="array" ref="EA21">PRODUCT(1+預測IC!$C21:EA21)-1</f>
        <v>20.722031525738853</v>
      </c>
      <c r="EB21" s="12">
        <f t="array" ref="EB21">PRODUCT(1+預測IC!$C21:EB21)-1</f>
        <v>18.478189113193082</v>
      </c>
      <c r="EC21" s="12">
        <f t="array" ref="EC21">PRODUCT(1+預測IC!$C21:EC21)-1</f>
        <v>18.751605526985056</v>
      </c>
      <c r="ED21" s="12">
        <f t="array" ref="ED21">PRODUCT(1+預測IC!$C21:ED21)-1</f>
        <v>19.828045439246146</v>
      </c>
      <c r="EE21" s="12">
        <f t="array" ref="EE21">PRODUCT(1+預測IC!$C21:EE21)-1</f>
        <v>19.527520651895852</v>
      </c>
      <c r="EF21" s="12">
        <f t="array" ref="EF21">PRODUCT(1+預測IC!$C21:EF21)-1</f>
        <v>19.912848162182645</v>
      </c>
    </row>
    <row r="22" spans="1:136">
      <c r="A22" s="2">
        <v>3</v>
      </c>
      <c r="B22" s="2" t="s">
        <v>199</v>
      </c>
      <c r="C22" s="12">
        <f t="array" ref="C22">PRODUCT(1+預測IC!$C22:C22)-1</f>
        <v>-6.4235717628454703E-2</v>
      </c>
      <c r="D22" s="12">
        <f t="array" ref="D22">PRODUCT(1+預測IC!$C22:D22)-1</f>
        <v>-2.2424930201846771E-2</v>
      </c>
      <c r="E22" s="12">
        <f t="array" ref="E22">PRODUCT(1+預測IC!$C22:E22)-1</f>
        <v>-3.9392374829976706E-2</v>
      </c>
      <c r="F22" s="12">
        <f t="array" ref="F22">PRODUCT(1+預測IC!$C22:F22)-1</f>
        <v>5.4203464273979929E-2</v>
      </c>
      <c r="G22" s="12">
        <f t="array" ref="G22">PRODUCT(1+預測IC!$C22:G22)-1</f>
        <v>8.8944554162657674E-2</v>
      </c>
      <c r="H22" s="12">
        <f t="array" ref="H22">PRODUCT(1+預測IC!$C22:H22)-1</f>
        <v>0.22416751100946808</v>
      </c>
      <c r="I22" s="12">
        <f t="array" ref="I22">PRODUCT(1+預測IC!$C22:I22)-1</f>
        <v>7.2991185274212445E-2</v>
      </c>
      <c r="J22" s="12">
        <f t="array" ref="J22">PRODUCT(1+預測IC!$C22:J22)-1</f>
        <v>-3.8870291772994725E-2</v>
      </c>
      <c r="K22" s="12">
        <f t="array" ref="K22">PRODUCT(1+預測IC!$C22:K22)-1</f>
        <v>0.10845817738123364</v>
      </c>
      <c r="L22" s="12">
        <f t="array" ref="L22">PRODUCT(1+預測IC!$C22:L22)-1</f>
        <v>-8.1291417205997418E-2</v>
      </c>
      <c r="M22" s="12">
        <f t="array" ref="M22">PRODUCT(1+預測IC!$C22:M22)-1</f>
        <v>-0.25094320646668056</v>
      </c>
      <c r="N22" s="12">
        <f t="array" ref="N22">PRODUCT(1+預測IC!$C22:N22)-1</f>
        <v>-0.35077780978101081</v>
      </c>
      <c r="O22" s="12">
        <f t="array" ref="O22">PRODUCT(1+預測IC!$C22:O22)-1</f>
        <v>-0.39391364695093756</v>
      </c>
      <c r="P22" s="12">
        <f t="array" ref="P22">PRODUCT(1+預測IC!$C22:P22)-1</f>
        <v>-0.33898383874531668</v>
      </c>
      <c r="Q22" s="12">
        <f t="array" ref="Q22">PRODUCT(1+預測IC!$C22:Q22)-1</f>
        <v>-0.25485322716034731</v>
      </c>
      <c r="R22" s="12">
        <f t="array" ref="R22">PRODUCT(1+預測IC!$C22:R22)-1</f>
        <v>-0.22755966756870405</v>
      </c>
      <c r="S22" s="12">
        <f t="array" ref="S22">PRODUCT(1+預測IC!$C22:S22)-1</f>
        <v>-9.6517825797704182E-2</v>
      </c>
      <c r="T22" s="12">
        <f t="array" ref="T22">PRODUCT(1+預測IC!$C22:T22)-1</f>
        <v>-0.19124612479846659</v>
      </c>
      <c r="U22" s="12">
        <f t="array" ref="U22">PRODUCT(1+預測IC!$C22:U22)-1</f>
        <v>-0.10180601481306306</v>
      </c>
      <c r="V22" s="12">
        <f t="array" ref="V22">PRODUCT(1+預測IC!$C22:V22)-1</f>
        <v>-0.25955013586953868</v>
      </c>
      <c r="W22" s="12">
        <f t="array" ref="W22">PRODUCT(1+預測IC!$C22:W22)-1</f>
        <v>-0.10592140034164577</v>
      </c>
      <c r="X22" s="12">
        <f t="array" ref="X22">PRODUCT(1+預測IC!$C22:X22)-1</f>
        <v>8.6216133398917316E-2</v>
      </c>
      <c r="Y22" s="12">
        <f t="array" ref="Y22">PRODUCT(1+預測IC!$C22:Y22)-1</f>
        <v>1.0335970896024671E-2</v>
      </c>
      <c r="Z22" s="12">
        <f t="array" ref="Z22">PRODUCT(1+預測IC!$C22:Z22)-1</f>
        <v>3.4450669849370952E-2</v>
      </c>
      <c r="AA22" s="12">
        <f t="array" ref="AA22">PRODUCT(1+預測IC!$C22:AA22)-1</f>
        <v>0.15664274150709812</v>
      </c>
      <c r="AB22" s="12">
        <f t="array" ref="AB22">PRODUCT(1+預測IC!$C22:AB22)-1</f>
        <v>0.11237416831381641</v>
      </c>
      <c r="AC22" s="12">
        <f t="array" ref="AC22">PRODUCT(1+預測IC!$C22:AC22)-1</f>
        <v>-8.4751141218632697E-2</v>
      </c>
      <c r="AD22" s="12">
        <f t="array" ref="AD22">PRODUCT(1+預測IC!$C22:AD22)-1</f>
        <v>-7.232999387315775E-2</v>
      </c>
      <c r="AE22" s="12">
        <f t="array" ref="AE22">PRODUCT(1+預測IC!$C22:AE22)-1</f>
        <v>-0.15132016722485231</v>
      </c>
      <c r="AF22" s="12">
        <f t="array" ref="AF22">PRODUCT(1+預測IC!$C22:AF22)-1</f>
        <v>-0.22464893370940098</v>
      </c>
      <c r="AG22" s="12">
        <f t="array" ref="AG22">PRODUCT(1+預測IC!$C22:AG22)-1</f>
        <v>-0.26029208067713527</v>
      </c>
      <c r="AH22" s="12">
        <f t="array" ref="AH22">PRODUCT(1+預測IC!$C22:AH22)-1</f>
        <v>-0.33860196924717201</v>
      </c>
      <c r="AI22" s="12">
        <f t="array" ref="AI22">PRODUCT(1+預測IC!$C22:AI22)-1</f>
        <v>-0.26518370130946456</v>
      </c>
      <c r="AJ22" s="12">
        <f t="array" ref="AJ22">PRODUCT(1+預測IC!$C22:AJ22)-1</f>
        <v>-0.28847726726054357</v>
      </c>
      <c r="AK22" s="12">
        <f t="array" ref="AK22">PRODUCT(1+預測IC!$C22:AK22)-1</f>
        <v>-0.21640815372729083</v>
      </c>
      <c r="AL22" s="12">
        <f t="array" ref="AL22">PRODUCT(1+預測IC!$C22:AL22)-1</f>
        <v>-0.18479730106664571</v>
      </c>
      <c r="AM22" s="12">
        <f t="array" ref="AM22">PRODUCT(1+預測IC!$C22:AM22)-1</f>
        <v>-0.15098812779954984</v>
      </c>
      <c r="AN22" s="12">
        <f t="array" ref="AN22">PRODUCT(1+預測IC!$C22:AN22)-1</f>
        <v>-0.18092853147269872</v>
      </c>
      <c r="AO22" s="12">
        <f t="array" ref="AO22">PRODUCT(1+預測IC!$C22:AO22)-1</f>
        <v>-0.11972966272261354</v>
      </c>
      <c r="AP22" s="12">
        <f t="array" ref="AP22">PRODUCT(1+預測IC!$C22:AP22)-1</f>
        <v>-0.10168998927734241</v>
      </c>
      <c r="AQ22" s="12">
        <f t="array" ref="AQ22">PRODUCT(1+預測IC!$C22:AQ22)-1</f>
        <v>-0.20062027188488818</v>
      </c>
      <c r="AR22" s="12">
        <f t="array" ref="AR22">PRODUCT(1+預測IC!$C22:AR22)-1</f>
        <v>-0.25491787345719774</v>
      </c>
      <c r="AS22" s="12">
        <f t="array" ref="AS22">PRODUCT(1+預測IC!$C22:AS22)-1</f>
        <v>-0.13228430952810011</v>
      </c>
      <c r="AT22" s="12">
        <f t="array" ref="AT22">PRODUCT(1+預測IC!$C22:AT22)-1</f>
        <v>-0.13135411830791421</v>
      </c>
      <c r="AU22" s="12">
        <f t="array" ref="AU22">PRODUCT(1+預測IC!$C22:AU22)-1</f>
        <v>0.24160333422599112</v>
      </c>
      <c r="AV22" s="12">
        <f t="array" ref="AV22">PRODUCT(1+預測IC!$C22:AV22)-1</f>
        <v>0.31566207603812502</v>
      </c>
      <c r="AW22" s="12">
        <f t="array" ref="AW22">PRODUCT(1+預測IC!$C22:AW22)-1</f>
        <v>0.62117328237701397</v>
      </c>
      <c r="AX22" s="12">
        <f t="array" ref="AX22">PRODUCT(1+預測IC!$C22:AX22)-1</f>
        <v>0.44647943220572595</v>
      </c>
      <c r="AY22" s="12">
        <f t="array" ref="AY22">PRODUCT(1+預測IC!$C22:AY22)-1</f>
        <v>0.20965506932765399</v>
      </c>
      <c r="AZ22" s="12">
        <f t="array" ref="AZ22">PRODUCT(1+預測IC!$C22:AZ22)-1</f>
        <v>0.39737982666318672</v>
      </c>
      <c r="BA22" s="12">
        <f t="array" ref="BA22">PRODUCT(1+預測IC!$C22:BA22)-1</f>
        <v>0.46693394174207148</v>
      </c>
      <c r="BB22" s="12">
        <f t="array" ref="BB22">PRODUCT(1+預測IC!$C22:BB22)-1</f>
        <v>1.0090413358247763</v>
      </c>
      <c r="BC22" s="12">
        <f t="array" ref="BC22">PRODUCT(1+預測IC!$C22:BC22)-1</f>
        <v>0.83358639852363647</v>
      </c>
      <c r="BD22" s="12">
        <f t="array" ref="BD22">PRODUCT(1+預測IC!$C22:BD22)-1</f>
        <v>0.97892379081621406</v>
      </c>
      <c r="BE22" s="12">
        <f t="array" ref="BE22">PRODUCT(1+預測IC!$C22:BE22)-1</f>
        <v>1.0228879246766875</v>
      </c>
      <c r="BF22" s="12">
        <f t="array" ref="BF22">PRODUCT(1+預測IC!$C22:BF22)-1</f>
        <v>1.0504777235772451</v>
      </c>
      <c r="BG22" s="12">
        <f t="array" ref="BG22">PRODUCT(1+預測IC!$C22:BG22)-1</f>
        <v>0.85326345961616012</v>
      </c>
      <c r="BH22" s="12">
        <f t="array" ref="BH22">PRODUCT(1+預測IC!$C22:BH22)-1</f>
        <v>0.83844352948409617</v>
      </c>
      <c r="BI22" s="12">
        <f t="array" ref="BI22">PRODUCT(1+預測IC!$C22:BI22)-1</f>
        <v>0.98983812850809194</v>
      </c>
      <c r="BJ22" s="12">
        <f t="array" ref="BJ22">PRODUCT(1+預測IC!$C22:BJ22)-1</f>
        <v>1.0712092423765496</v>
      </c>
      <c r="BK22" s="12">
        <f t="array" ref="BK22">PRODUCT(1+預測IC!$C22:BK22)-1</f>
        <v>1.171281097728134</v>
      </c>
      <c r="BL22" s="12">
        <f t="array" ref="BL22">PRODUCT(1+預測IC!$C22:BL22)-1</f>
        <v>1.5225516899371212</v>
      </c>
      <c r="BM22" s="12">
        <f t="array" ref="BM22">PRODUCT(1+預測IC!$C22:BM22)-1</f>
        <v>2.0063696359419096</v>
      </c>
      <c r="BN22" s="12">
        <f t="array" ref="BN22">PRODUCT(1+預測IC!$C22:BN22)-1</f>
        <v>1.7570383744314912</v>
      </c>
      <c r="BO22" s="12">
        <f t="array" ref="BO22">PRODUCT(1+預測IC!$C22:BO22)-1</f>
        <v>1.6178508660563722</v>
      </c>
      <c r="BP22" s="12">
        <f t="array" ref="BP22">PRODUCT(1+預測IC!$C22:BP22)-1</f>
        <v>1.8137591758417222</v>
      </c>
      <c r="BQ22" s="12">
        <f t="array" ref="BQ22">PRODUCT(1+預測IC!$C22:BQ22)-1</f>
        <v>1.5826210525027533</v>
      </c>
      <c r="BR22" s="12">
        <f t="array" ref="BR22">PRODUCT(1+預測IC!$C22:BR22)-1</f>
        <v>1.6333523387107487</v>
      </c>
      <c r="BS22" s="12">
        <f t="array" ref="BS22">PRODUCT(1+預測IC!$C22:BS22)-1</f>
        <v>1.5902370339476026</v>
      </c>
      <c r="BT22" s="12">
        <f t="array" ref="BT22">PRODUCT(1+預測IC!$C22:BT22)-1</f>
        <v>1.9283424957971524</v>
      </c>
      <c r="BU22" s="12">
        <f t="array" ref="BU22">PRODUCT(1+預測IC!$C22:BU22)-1</f>
        <v>1.6227670280182238</v>
      </c>
      <c r="BV22" s="12">
        <f t="array" ref="BV22">PRODUCT(1+預測IC!$C22:BV22)-1</f>
        <v>1.6245522581086287</v>
      </c>
      <c r="BW22" s="12">
        <f t="array" ref="BW22">PRODUCT(1+預測IC!$C22:BW22)-1</f>
        <v>2.7471135020363131</v>
      </c>
      <c r="BX22" s="12">
        <f t="array" ref="BX22">PRODUCT(1+預測IC!$C22:BX22)-1</f>
        <v>2.3235897532794887</v>
      </c>
      <c r="BY22" s="12">
        <f t="array" ref="BY22">PRODUCT(1+預測IC!$C22:BY22)-1</f>
        <v>2.4311089896613312</v>
      </c>
      <c r="BZ22" s="12">
        <f t="array" ref="BZ22">PRODUCT(1+預測IC!$C22:BZ22)-1</f>
        <v>3.3905499964403294</v>
      </c>
      <c r="CA22" s="12">
        <f t="array" ref="CA22">PRODUCT(1+預測IC!$C22:CA22)-1</f>
        <v>4.0231419034441176</v>
      </c>
      <c r="CB22" s="12">
        <f t="array" ref="CB22">PRODUCT(1+預測IC!$C22:CB22)-1</f>
        <v>5.3027370719274716</v>
      </c>
      <c r="CC22" s="12">
        <f t="array" ref="CC22">PRODUCT(1+預測IC!$C22:CC22)-1</f>
        <v>4.5142331505439852</v>
      </c>
      <c r="CD22" s="12">
        <f t="array" ref="CD22">PRODUCT(1+預測IC!$C22:CD22)-1</f>
        <v>5.0409435106953628</v>
      </c>
      <c r="CE22" s="12">
        <f t="array" ref="CE22">PRODUCT(1+預測IC!$C22:CE22)-1</f>
        <v>7.4173742040470678</v>
      </c>
      <c r="CF22" s="12">
        <f t="array" ref="CF22">PRODUCT(1+預測IC!$C22:CF22)-1</f>
        <v>5.8281757576588955</v>
      </c>
      <c r="CG22" s="12">
        <f t="array" ref="CG22">PRODUCT(1+預測IC!$C22:CG22)-1</f>
        <v>8.8585247110250851</v>
      </c>
      <c r="CH22" s="12">
        <f t="array" ref="CH22">PRODUCT(1+預測IC!$C22:CH22)-1</f>
        <v>8.5946908727086306</v>
      </c>
      <c r="CI22" s="12">
        <f t="array" ref="CI22">PRODUCT(1+預測IC!$C22:CI22)-1</f>
        <v>6.3836135504746725</v>
      </c>
      <c r="CJ22" s="12">
        <f t="array" ref="CJ22">PRODUCT(1+預測IC!$C22:CJ22)-1</f>
        <v>6.263688899187863</v>
      </c>
      <c r="CK22" s="12">
        <f t="array" ref="CK22">PRODUCT(1+預測IC!$C22:CK22)-1</f>
        <v>6.0664749031156466</v>
      </c>
      <c r="CL22" s="12">
        <f t="array" ref="CL22">PRODUCT(1+預測IC!$C22:CL22)-1</f>
        <v>7.7670347984891368</v>
      </c>
      <c r="CM22" s="12">
        <f t="array" ref="CM22">PRODUCT(1+預測IC!$C22:CM22)-1</f>
        <v>4.9577962718713842</v>
      </c>
      <c r="CN22" s="12">
        <f t="array" ref="CN22">PRODUCT(1+預測IC!$C22:CN22)-1</f>
        <v>5.0879820641401361</v>
      </c>
      <c r="CO22" s="12">
        <f t="array" ref="CO22">PRODUCT(1+預測IC!$C22:CO22)-1</f>
        <v>9.0449053853128643</v>
      </c>
      <c r="CP22" s="12">
        <f t="array" ref="CP22">PRODUCT(1+預測IC!$C22:CP22)-1</f>
        <v>8.2280369378702467</v>
      </c>
      <c r="CQ22" s="12">
        <f t="array" ref="CQ22">PRODUCT(1+預測IC!$C22:CQ22)-1</f>
        <v>7.5408865473533027</v>
      </c>
      <c r="CR22" s="12">
        <f t="array" ref="CR22">PRODUCT(1+預測IC!$C22:CR22)-1</f>
        <v>6.1585404613767789</v>
      </c>
      <c r="CS22" s="12">
        <f t="array" ref="CS22">PRODUCT(1+預測IC!$C22:CS22)-1</f>
        <v>6.2673659072161598</v>
      </c>
      <c r="CT22" s="12">
        <f t="array" ref="CT22">PRODUCT(1+預測IC!$C22:CT22)-1</f>
        <v>6.5454492412004832</v>
      </c>
      <c r="CU22" s="12">
        <f t="array" ref="CU22">PRODUCT(1+預測IC!$C22:CU22)-1</f>
        <v>7.4526515210082209</v>
      </c>
      <c r="CV22" s="12">
        <f t="array" ref="CV22">PRODUCT(1+預測IC!$C22:CV22)-1</f>
        <v>6.5039792065079416</v>
      </c>
      <c r="CW22" s="12">
        <f t="array" ref="CW22">PRODUCT(1+預測IC!$C22:CW22)-1</f>
        <v>6.2304497594972448</v>
      </c>
      <c r="CX22" s="12">
        <f t="array" ref="CX22">PRODUCT(1+預測IC!$C22:CX22)-1</f>
        <v>6.2033385137555141</v>
      </c>
      <c r="CY22" s="12">
        <f t="array" ref="CY22">PRODUCT(1+預測IC!$C22:CY22)-1</f>
        <v>6.9561666251666168</v>
      </c>
      <c r="CZ22" s="12">
        <f t="array" ref="CZ22">PRODUCT(1+預測IC!$C22:CZ22)-1</f>
        <v>8.6006823980886811</v>
      </c>
      <c r="DA22" s="12">
        <f t="array" ref="DA22">PRODUCT(1+預測IC!$C22:DA22)-1</f>
        <v>8.6390059593203716</v>
      </c>
      <c r="DB22" s="12">
        <f t="array" ref="DB22">PRODUCT(1+預測IC!$C22:DB22)-1</f>
        <v>9.1599042673660165</v>
      </c>
      <c r="DC22" s="12">
        <f t="array" ref="DC22">PRODUCT(1+預測IC!$C22:DC22)-1</f>
        <v>9.8949056084148328</v>
      </c>
      <c r="DD22" s="12">
        <f t="array" ref="DD22">PRODUCT(1+預測IC!$C22:DD22)-1</f>
        <v>9.7209865985525035</v>
      </c>
      <c r="DE22" s="12">
        <f t="array" ref="DE22">PRODUCT(1+預測IC!$C22:DE22)-1</f>
        <v>8.2912822833781359</v>
      </c>
      <c r="DF22" s="12">
        <f t="array" ref="DF22">PRODUCT(1+預測IC!$C22:DF22)-1</f>
        <v>11.911797668177526</v>
      </c>
      <c r="DG22" s="12">
        <f t="array" ref="DG22">PRODUCT(1+預測IC!$C22:DG22)-1</f>
        <v>10.983555622014574</v>
      </c>
      <c r="DH22" s="12">
        <f t="array" ref="DH22">PRODUCT(1+預測IC!$C22:DH22)-1</f>
        <v>11.959680139724313</v>
      </c>
      <c r="DI22" s="12">
        <f t="array" ref="DI22">PRODUCT(1+預測IC!$C22:DI22)-1</f>
        <v>12.738846348978198</v>
      </c>
      <c r="DJ22" s="12">
        <f t="array" ref="DJ22">PRODUCT(1+預測IC!$C22:DJ22)-1</f>
        <v>13.326562138479337</v>
      </c>
      <c r="DK22" s="12">
        <f t="array" ref="DK22">PRODUCT(1+預測IC!$C22:DK22)-1</f>
        <v>12.01671799080316</v>
      </c>
      <c r="DL22" s="12">
        <f t="array" ref="DL22">PRODUCT(1+預測IC!$C22:DL22)-1</f>
        <v>12.29892477574977</v>
      </c>
      <c r="DM22" s="12">
        <f t="array" ref="DM22">PRODUCT(1+預測IC!$C22:DM22)-1</f>
        <v>12.722952126274702</v>
      </c>
      <c r="DN22" s="12">
        <f t="array" ref="DN22">PRODUCT(1+預測IC!$C22:DN22)-1</f>
        <v>13.364683040483568</v>
      </c>
      <c r="DO22" s="12">
        <f t="array" ref="DO22">PRODUCT(1+預測IC!$C22:DO22)-1</f>
        <v>14.452309805121462</v>
      </c>
      <c r="DP22" s="12">
        <f t="array" ref="DP22">PRODUCT(1+預測IC!$C22:DP22)-1</f>
        <v>14.610344561921394</v>
      </c>
      <c r="DQ22" s="12">
        <f t="array" ref="DQ22">PRODUCT(1+預測IC!$C22:DQ22)-1</f>
        <v>13.800958603282146</v>
      </c>
      <c r="DR22" s="12">
        <f t="array" ref="DR22">PRODUCT(1+預測IC!$C22:DR22)-1</f>
        <v>12.746597516218738</v>
      </c>
      <c r="DS22" s="12">
        <f t="array" ref="DS22">PRODUCT(1+預測IC!$C22:DS22)-1</f>
        <v>10.037817807300996</v>
      </c>
      <c r="DT22" s="12">
        <f t="array" ref="DT22">PRODUCT(1+預測IC!$C22:DT22)-1</f>
        <v>9.5556601705698707</v>
      </c>
      <c r="DU22" s="12">
        <f t="array" ref="DU22">PRODUCT(1+預測IC!$C22:DU22)-1</f>
        <v>7.8504390112083797</v>
      </c>
      <c r="DV22" s="12">
        <f t="array" ref="DV22">PRODUCT(1+預測IC!$C22:DV22)-1</f>
        <v>8.322804642114594</v>
      </c>
      <c r="DW22" s="12">
        <f t="array" ref="DW22">PRODUCT(1+預測IC!$C22:DW22)-1</f>
        <v>9.0536167221842661</v>
      </c>
      <c r="DX22" s="12">
        <f t="array" ref="DX22">PRODUCT(1+預測IC!$C22:DX22)-1</f>
        <v>10.835750983208815</v>
      </c>
      <c r="DY22" s="12">
        <f t="array" ref="DY22">PRODUCT(1+預測IC!$C22:DY22)-1</f>
        <v>12.255524273400939</v>
      </c>
      <c r="DZ22" s="12">
        <f t="array" ref="DZ22">PRODUCT(1+預測IC!$C22:DZ22)-1</f>
        <v>13.630758153141114</v>
      </c>
      <c r="EA22" s="12">
        <f t="array" ref="EA22">PRODUCT(1+預測IC!$C22:EA22)-1</f>
        <v>15.684277721402772</v>
      </c>
      <c r="EB22" s="12">
        <f t="array" ref="EB22">PRODUCT(1+預測IC!$C22:EB22)-1</f>
        <v>13.299588345256767</v>
      </c>
      <c r="EC22" s="12">
        <f t="array" ref="EC22">PRODUCT(1+預測IC!$C22:EC22)-1</f>
        <v>13.606959449227872</v>
      </c>
      <c r="ED22" s="12">
        <f t="array" ref="ED22">PRODUCT(1+預測IC!$C22:ED22)-1</f>
        <v>14.737736284058428</v>
      </c>
      <c r="EE22" s="12">
        <f t="array" ref="EE22">PRODUCT(1+預測IC!$C22:EE22)-1</f>
        <v>14.211367174985316</v>
      </c>
      <c r="EF22" s="12">
        <f t="array" ref="EF22">PRODUCT(1+預測IC!$C22:EF22)-1</f>
        <v>14.740574386660629</v>
      </c>
    </row>
    <row r="23" spans="1:136">
      <c r="A23" s="2">
        <v>2</v>
      </c>
      <c r="B23" s="2" t="s">
        <v>200</v>
      </c>
      <c r="C23" s="12">
        <f t="array" ref="C23">PRODUCT(1+預測IC!$C23:C23)-1</f>
        <v>3.4987009286289172E-2</v>
      </c>
      <c r="D23" s="12">
        <f t="array" ref="D23">PRODUCT(1+預測IC!$C23:D23)-1</f>
        <v>6.5840663078851724E-2</v>
      </c>
      <c r="E23" s="12">
        <f t="array" ref="E23">PRODUCT(1+預測IC!$C23:E23)-1</f>
        <v>0.20760280047165436</v>
      </c>
      <c r="F23" s="12">
        <f t="array" ref="F23">PRODUCT(1+預測IC!$C23:F23)-1</f>
        <v>0.37867774137129318</v>
      </c>
      <c r="G23" s="12">
        <f t="array" ref="G23">PRODUCT(1+預測IC!$C23:G23)-1</f>
        <v>0.4506780474149652</v>
      </c>
      <c r="H23" s="12">
        <f t="array" ref="H23">PRODUCT(1+預測IC!$C23:H23)-1</f>
        <v>0.42429238974955807</v>
      </c>
      <c r="I23" s="12">
        <f t="array" ref="I23">PRODUCT(1+預測IC!$C23:I23)-1</f>
        <v>0.21328058288820051</v>
      </c>
      <c r="J23" s="12">
        <f t="array" ref="J23">PRODUCT(1+預測IC!$C23:J23)-1</f>
        <v>7.3904369288626981E-2</v>
      </c>
      <c r="K23" s="12">
        <f t="array" ref="K23">PRODUCT(1+預測IC!$C23:K23)-1</f>
        <v>0.29350651154570251</v>
      </c>
      <c r="L23" s="12">
        <f t="array" ref="L23">PRODUCT(1+預測IC!$C23:L23)-1</f>
        <v>0.22360085387405149</v>
      </c>
      <c r="M23" s="12">
        <f t="array" ref="M23">PRODUCT(1+預測IC!$C23:M23)-1</f>
        <v>4.3377295907369495E-2</v>
      </c>
      <c r="N23" s="12">
        <f t="array" ref="N23">PRODUCT(1+預測IC!$C23:N23)-1</f>
        <v>-0.11982698528518576</v>
      </c>
      <c r="O23" s="12">
        <f t="array" ref="O23">PRODUCT(1+預測IC!$C23:O23)-1</f>
        <v>-0.22800024879363645</v>
      </c>
      <c r="P23" s="12">
        <f t="array" ref="P23">PRODUCT(1+預測IC!$C23:P23)-1</f>
        <v>-0.18578614439804564</v>
      </c>
      <c r="Q23" s="12">
        <f t="array" ref="Q23">PRODUCT(1+預測IC!$C23:Q23)-1</f>
        <v>5.1294610541492425E-2</v>
      </c>
      <c r="R23" s="12">
        <f t="array" ref="R23">PRODUCT(1+預測IC!$C23:R23)-1</f>
        <v>0.11038908255909297</v>
      </c>
      <c r="S23" s="12">
        <f t="array" ref="S23">PRODUCT(1+預測IC!$C23:S23)-1</f>
        <v>0.23666756222961793</v>
      </c>
      <c r="T23" s="12">
        <f t="array" ref="T23">PRODUCT(1+預測IC!$C23:T23)-1</f>
        <v>0.13195026306270052</v>
      </c>
      <c r="U23" s="12">
        <f t="array" ref="U23">PRODUCT(1+預測IC!$C23:U23)-1</f>
        <v>0.23807900205863852</v>
      </c>
      <c r="V23" s="12">
        <f t="array" ref="V23">PRODUCT(1+預測IC!$C23:V23)-1</f>
        <v>-4.9744032984444519E-2</v>
      </c>
      <c r="W23" s="12">
        <f t="array" ref="W23">PRODUCT(1+預測IC!$C23:W23)-1</f>
        <v>0.26537904331643314</v>
      </c>
      <c r="X23" s="12">
        <f t="array" ref="X23">PRODUCT(1+預測IC!$C23:X23)-1</f>
        <v>0.59954754736264571</v>
      </c>
      <c r="Y23" s="12">
        <f t="array" ref="Y23">PRODUCT(1+預測IC!$C23:Y23)-1</f>
        <v>0.49085109355539069</v>
      </c>
      <c r="Z23" s="12">
        <f t="array" ref="Z23">PRODUCT(1+預測IC!$C23:Z23)-1</f>
        <v>0.55205351264802682</v>
      </c>
      <c r="AA23" s="12">
        <f t="array" ref="AA23">PRODUCT(1+預測IC!$C23:AA23)-1</f>
        <v>0.78742553194812515</v>
      </c>
      <c r="AB23" s="12">
        <f t="array" ref="AB23">PRODUCT(1+預測IC!$C23:AB23)-1</f>
        <v>0.70207953764866615</v>
      </c>
      <c r="AC23" s="12">
        <f t="array" ref="AC23">PRODUCT(1+預測IC!$C23:AC23)-1</f>
        <v>0.30377845816280824</v>
      </c>
      <c r="AD23" s="12">
        <f t="array" ref="AD23">PRODUCT(1+預測IC!$C23:AD23)-1</f>
        <v>0.3971641977856355</v>
      </c>
      <c r="AE23" s="12">
        <f t="array" ref="AE23">PRODUCT(1+預測IC!$C23:AE23)-1</f>
        <v>8.7389143345197873E-2</v>
      </c>
      <c r="AF23" s="12">
        <f t="array" ref="AF23">PRODUCT(1+預測IC!$C23:AF23)-1</f>
        <v>5.9878741713135897E-2</v>
      </c>
      <c r="AG23" s="12">
        <f t="array" ref="AG23">PRODUCT(1+預測IC!$C23:AG23)-1</f>
        <v>5.7700160959544666E-2</v>
      </c>
      <c r="AH23" s="12">
        <f t="array" ref="AH23">PRODUCT(1+預測IC!$C23:AH23)-1</f>
        <v>-3.1328137538846113E-2</v>
      </c>
      <c r="AI23" s="12">
        <f t="array" ref="AI23">PRODUCT(1+預測IC!$C23:AI23)-1</f>
        <v>0.1712715198386292</v>
      </c>
      <c r="AJ23" s="12">
        <f t="array" ref="AJ23">PRODUCT(1+預測IC!$C23:AJ23)-1</f>
        <v>0.17788116648269581</v>
      </c>
      <c r="AK23" s="12">
        <f t="array" ref="AK23">PRODUCT(1+預測IC!$C23:AK23)-1</f>
        <v>0.31229048129038794</v>
      </c>
      <c r="AL23" s="12">
        <f t="array" ref="AL23">PRODUCT(1+預測IC!$C23:AL23)-1</f>
        <v>0.48476706745264075</v>
      </c>
      <c r="AM23" s="12">
        <f t="array" ref="AM23">PRODUCT(1+預測IC!$C23:AM23)-1</f>
        <v>0.61348894836544732</v>
      </c>
      <c r="AN23" s="12">
        <f t="array" ref="AN23">PRODUCT(1+預測IC!$C23:AN23)-1</f>
        <v>0.40755774039661685</v>
      </c>
      <c r="AO23" s="12">
        <f t="array" ref="AO23">PRODUCT(1+預測IC!$C23:AO23)-1</f>
        <v>0.40004567202945118</v>
      </c>
      <c r="AP23" s="12">
        <f t="array" ref="AP23">PRODUCT(1+預測IC!$C23:AP23)-1</f>
        <v>0.16866502397299588</v>
      </c>
      <c r="AQ23" s="12">
        <f t="array" ref="AQ23">PRODUCT(1+預測IC!$C23:AQ23)-1</f>
        <v>5.2524262555583512E-2</v>
      </c>
      <c r="AR23" s="12">
        <f t="array" ref="AR23">PRODUCT(1+預測IC!$C23:AR23)-1</f>
        <v>-0.10128742307723926</v>
      </c>
      <c r="AS23" s="12">
        <f t="array" ref="AS23">PRODUCT(1+預測IC!$C23:AS23)-1</f>
        <v>-7.2376738190210843E-2</v>
      </c>
      <c r="AT23" s="12">
        <f t="array" ref="AT23">PRODUCT(1+預測IC!$C23:AT23)-1</f>
        <v>-5.6652596279273215E-2</v>
      </c>
      <c r="AU23" s="12">
        <f t="array" ref="AU23">PRODUCT(1+預測IC!$C23:AU23)-1</f>
        <v>0.51721581652096393</v>
      </c>
      <c r="AV23" s="12">
        <f t="array" ref="AV23">PRODUCT(1+預測IC!$C23:AV23)-1</f>
        <v>0.37041608297766171</v>
      </c>
      <c r="AW23" s="12">
        <f t="array" ref="AW23">PRODUCT(1+預測IC!$C23:AW23)-1</f>
        <v>0.81776169015210143</v>
      </c>
      <c r="AX23" s="12">
        <f t="array" ref="AX23">PRODUCT(1+預測IC!$C23:AX23)-1</f>
        <v>0.93616886888691919</v>
      </c>
      <c r="AY23" s="12">
        <f t="array" ref="AY23">PRODUCT(1+預測IC!$C23:AY23)-1</f>
        <v>0.62028969451905946</v>
      </c>
      <c r="AZ23" s="12">
        <f t="array" ref="AZ23">PRODUCT(1+預測IC!$C23:AZ23)-1</f>
        <v>0.74678733125985697</v>
      </c>
      <c r="BA23" s="12">
        <f t="array" ref="BA23">PRODUCT(1+預測IC!$C23:BA23)-1</f>
        <v>0.84111035357322672</v>
      </c>
      <c r="BB23" s="12">
        <f t="array" ref="BB23">PRODUCT(1+預測IC!$C23:BB23)-1</f>
        <v>1.884702332513255</v>
      </c>
      <c r="BC23" s="12">
        <f t="array" ref="BC23">PRODUCT(1+預測IC!$C23:BC23)-1</f>
        <v>1.3856517136907942</v>
      </c>
      <c r="BD23" s="12">
        <f t="array" ref="BD23">PRODUCT(1+預測IC!$C23:BD23)-1</f>
        <v>1.6861949237557035</v>
      </c>
      <c r="BE23" s="12">
        <f t="array" ref="BE23">PRODUCT(1+預測IC!$C23:BE23)-1</f>
        <v>1.4943179724040854</v>
      </c>
      <c r="BF23" s="12">
        <f t="array" ref="BF23">PRODUCT(1+預測IC!$C23:BF23)-1</f>
        <v>1.4373303131234691</v>
      </c>
      <c r="BG23" s="12">
        <f t="array" ref="BG23">PRODUCT(1+預測IC!$C23:BG23)-1</f>
        <v>1.3278710274262511</v>
      </c>
      <c r="BH23" s="12">
        <f t="array" ref="BH23">PRODUCT(1+預測IC!$C23:BH23)-1</f>
        <v>1.452633275141161</v>
      </c>
      <c r="BI23" s="12">
        <f t="array" ref="BI23">PRODUCT(1+預測IC!$C23:BI23)-1</f>
        <v>1.749914501787746</v>
      </c>
      <c r="BJ23" s="12">
        <f t="array" ref="BJ23">PRODUCT(1+預測IC!$C23:BJ23)-1</f>
        <v>1.9080208360680326</v>
      </c>
      <c r="BK23" s="12">
        <f t="array" ref="BK23">PRODUCT(1+預測IC!$C23:BK23)-1</f>
        <v>2.04717544911556</v>
      </c>
      <c r="BL23" s="12">
        <f t="array" ref="BL23">PRODUCT(1+預測IC!$C23:BL23)-1</f>
        <v>2.5028326854500627</v>
      </c>
      <c r="BM23" s="12">
        <f t="array" ref="BM23">PRODUCT(1+預測IC!$C23:BM23)-1</f>
        <v>3.1655009785839967</v>
      </c>
      <c r="BN23" s="12">
        <f t="array" ref="BN23">PRODUCT(1+預測IC!$C23:BN23)-1</f>
        <v>3.0053374659574423</v>
      </c>
      <c r="BO23" s="12">
        <f t="array" ref="BO23">PRODUCT(1+預測IC!$C23:BO23)-1</f>
        <v>3.1516321835746046</v>
      </c>
      <c r="BP23" s="12">
        <f t="array" ref="BP23">PRODUCT(1+預測IC!$C23:BP23)-1</f>
        <v>3.5595981291048773</v>
      </c>
      <c r="BQ23" s="12">
        <f t="array" ref="BQ23">PRODUCT(1+預測IC!$C23:BQ23)-1</f>
        <v>3.0023308851628725</v>
      </c>
      <c r="BR23" s="12">
        <f t="array" ref="BR23">PRODUCT(1+預測IC!$C23:BR23)-1</f>
        <v>3.0357703597084083</v>
      </c>
      <c r="BS23" s="12">
        <f t="array" ref="BS23">PRODUCT(1+預測IC!$C23:BS23)-1</f>
        <v>2.7400477180666938</v>
      </c>
      <c r="BT23" s="12">
        <f t="array" ref="BT23">PRODUCT(1+預測IC!$C23:BT23)-1</f>
        <v>3.277304847294948</v>
      </c>
      <c r="BU23" s="12">
        <f t="array" ref="BU23">PRODUCT(1+預測IC!$C23:BU23)-1</f>
        <v>2.8252514685513104</v>
      </c>
      <c r="BV23" s="12">
        <f t="array" ref="BV23">PRODUCT(1+預測IC!$C23:BV23)-1</f>
        <v>2.7601437759308327</v>
      </c>
      <c r="BW23" s="12">
        <f t="array" ref="BW23">PRODUCT(1+預測IC!$C23:BW23)-1</f>
        <v>5.0199826649777117</v>
      </c>
      <c r="BX23" s="12">
        <f t="array" ref="BX23">PRODUCT(1+預測IC!$C23:BX23)-1</f>
        <v>4.6062292564137941</v>
      </c>
      <c r="BY23" s="12">
        <f t="array" ref="BY23">PRODUCT(1+預測IC!$C23:BY23)-1</f>
        <v>4.8301196279979353</v>
      </c>
      <c r="BZ23" s="12">
        <f t="array" ref="BZ23">PRODUCT(1+預測IC!$C23:BZ23)-1</f>
        <v>6.8846479547847803</v>
      </c>
      <c r="CA23" s="12">
        <f t="array" ref="CA23">PRODUCT(1+預測IC!$C23:CA23)-1</f>
        <v>8.5118461187774663</v>
      </c>
      <c r="CB23" s="12">
        <f t="array" ref="CB23">PRODUCT(1+預測IC!$C23:CB23)-1</f>
        <v>11.519182726536041</v>
      </c>
      <c r="CC23" s="12">
        <f t="array" ref="CC23">PRODUCT(1+預測IC!$C23:CC23)-1</f>
        <v>10.460748422921052</v>
      </c>
      <c r="CD23" s="12">
        <f t="array" ref="CD23">PRODUCT(1+預測IC!$C23:CD23)-1</f>
        <v>12.079493182045477</v>
      </c>
      <c r="CE23" s="12">
        <f t="array" ref="CE23">PRODUCT(1+預測IC!$C23:CE23)-1</f>
        <v>13.604883931498527</v>
      </c>
      <c r="CF23" s="12">
        <f t="array" ref="CF23">PRODUCT(1+預測IC!$C23:CF23)-1</f>
        <v>11.309946812412072</v>
      </c>
      <c r="CG23" s="12">
        <f t="array" ref="CG23">PRODUCT(1+預測IC!$C23:CG23)-1</f>
        <v>14.91557331858141</v>
      </c>
      <c r="CH23" s="12">
        <f t="array" ref="CH23">PRODUCT(1+預測IC!$C23:CH23)-1</f>
        <v>15.26492811071093</v>
      </c>
      <c r="CI23" s="12">
        <f t="array" ref="CI23">PRODUCT(1+預測IC!$C23:CI23)-1</f>
        <v>14.303304898485424</v>
      </c>
      <c r="CJ23" s="12">
        <f t="array" ref="CJ23">PRODUCT(1+預測IC!$C23:CJ23)-1</f>
        <v>14.888740479029433</v>
      </c>
      <c r="CK23" s="12">
        <f t="array" ref="CK23">PRODUCT(1+預測IC!$C23:CK23)-1</f>
        <v>13.989572822210439</v>
      </c>
      <c r="CL23" s="12">
        <f t="array" ref="CL23">PRODUCT(1+預測IC!$C23:CL23)-1</f>
        <v>20.11522683118697</v>
      </c>
      <c r="CM23" s="12">
        <f t="array" ref="CM23">PRODUCT(1+預測IC!$C23:CM23)-1</f>
        <v>11.949272942262436</v>
      </c>
      <c r="CN23" s="12">
        <f t="array" ref="CN23">PRODUCT(1+預測IC!$C23:CN23)-1</f>
        <v>12.596374009733173</v>
      </c>
      <c r="CO23" s="12">
        <f t="array" ref="CO23">PRODUCT(1+預測IC!$C23:CO23)-1</f>
        <v>24.954434970912324</v>
      </c>
      <c r="CP23" s="12">
        <f t="array" ref="CP23">PRODUCT(1+預測IC!$C23:CP23)-1</f>
        <v>21.847234902282128</v>
      </c>
      <c r="CQ23" s="12">
        <f t="array" ref="CQ23">PRODUCT(1+預測IC!$C23:CQ23)-1</f>
        <v>20.309387521009519</v>
      </c>
      <c r="CR23" s="12">
        <f t="array" ref="CR23">PRODUCT(1+預測IC!$C23:CR23)-1</f>
        <v>20.06224542499351</v>
      </c>
      <c r="CS23" s="12">
        <f t="array" ref="CS23">PRODUCT(1+預測IC!$C23:CS23)-1</f>
        <v>20.841005499785272</v>
      </c>
      <c r="CT23" s="12">
        <f t="array" ref="CT23">PRODUCT(1+預測IC!$C23:CT23)-1</f>
        <v>22.269221610924482</v>
      </c>
      <c r="CU23" s="12">
        <f t="array" ref="CU23">PRODUCT(1+預測IC!$C23:CU23)-1</f>
        <v>22.759192202948604</v>
      </c>
      <c r="CV23" s="12">
        <f t="array" ref="CV23">PRODUCT(1+預測IC!$C23:CV23)-1</f>
        <v>23.287718700126156</v>
      </c>
      <c r="CW23" s="12">
        <f t="array" ref="CW23">PRODUCT(1+預測IC!$C23:CW23)-1</f>
        <v>20.837055536840921</v>
      </c>
      <c r="CX23" s="12">
        <f t="array" ref="CX23">PRODUCT(1+預測IC!$C23:CX23)-1</f>
        <v>22.774373463988354</v>
      </c>
      <c r="CY23" s="12">
        <f t="array" ref="CY23">PRODUCT(1+預測IC!$C23:CY23)-1</f>
        <v>26.429695271263299</v>
      </c>
      <c r="CZ23" s="12">
        <f t="array" ref="CZ23">PRODUCT(1+預測IC!$C23:CZ23)-1</f>
        <v>30.983175549616998</v>
      </c>
      <c r="DA23" s="12">
        <f t="array" ref="DA23">PRODUCT(1+預測IC!$C23:DA23)-1</f>
        <v>31.97408265143244</v>
      </c>
      <c r="DB23" s="12">
        <f t="array" ref="DB23">PRODUCT(1+預測IC!$C23:DB23)-1</f>
        <v>32.592280752981495</v>
      </c>
      <c r="DC23" s="12">
        <f t="array" ref="DC23">PRODUCT(1+預測IC!$C23:DC23)-1</f>
        <v>35.024865763708647</v>
      </c>
      <c r="DD23" s="12">
        <f t="array" ref="DD23">PRODUCT(1+預測IC!$C23:DD23)-1</f>
        <v>34.361647984998768</v>
      </c>
      <c r="DE23" s="12">
        <f t="array" ref="DE23">PRODUCT(1+預測IC!$C23:DE23)-1</f>
        <v>29.35993736658461</v>
      </c>
      <c r="DF23" s="12">
        <f t="array" ref="DF23">PRODUCT(1+預測IC!$C23:DF23)-1</f>
        <v>41.771003862200978</v>
      </c>
      <c r="DG23" s="12">
        <f t="array" ref="DG23">PRODUCT(1+預測IC!$C23:DG23)-1</f>
        <v>38.87872165352929</v>
      </c>
      <c r="DH23" s="12">
        <f t="array" ref="DH23">PRODUCT(1+預測IC!$C23:DH23)-1</f>
        <v>44.430956311906861</v>
      </c>
      <c r="DI23" s="12">
        <f t="array" ref="DI23">PRODUCT(1+預測IC!$C23:DI23)-1</f>
        <v>48.79419078705871</v>
      </c>
      <c r="DJ23" s="12">
        <f t="array" ref="DJ23">PRODUCT(1+預測IC!$C23:DJ23)-1</f>
        <v>47.110001872068018</v>
      </c>
      <c r="DK23" s="12">
        <f t="array" ref="DK23">PRODUCT(1+預測IC!$C23:DK23)-1</f>
        <v>42.720276916253979</v>
      </c>
      <c r="DL23" s="12">
        <f t="array" ref="DL23">PRODUCT(1+預測IC!$C23:DL23)-1</f>
        <v>40.245446921132505</v>
      </c>
      <c r="DM23" s="12">
        <f t="array" ref="DM23">PRODUCT(1+預測IC!$C23:DM23)-1</f>
        <v>42.162411557685985</v>
      </c>
      <c r="DN23" s="12">
        <f t="array" ref="DN23">PRODUCT(1+預測IC!$C23:DN23)-1</f>
        <v>42.442846207306793</v>
      </c>
      <c r="DO23" s="12">
        <f t="array" ref="DO23">PRODUCT(1+預測IC!$C23:DO23)-1</f>
        <v>47.832713250554939</v>
      </c>
      <c r="DP23" s="12">
        <f t="array" ref="DP23">PRODUCT(1+預測IC!$C23:DP23)-1</f>
        <v>50.132159413307271</v>
      </c>
      <c r="DQ23" s="12">
        <f t="array" ref="DQ23">PRODUCT(1+預測IC!$C23:DQ23)-1</f>
        <v>43.938495377493652</v>
      </c>
      <c r="DR23" s="12">
        <f t="array" ref="DR23">PRODUCT(1+預測IC!$C23:DR23)-1</f>
        <v>39.335647519206177</v>
      </c>
      <c r="DS23" s="12">
        <f t="array" ref="DS23">PRODUCT(1+預測IC!$C23:DS23)-1</f>
        <v>27.715085541109659</v>
      </c>
      <c r="DT23" s="12">
        <f t="array" ref="DT23">PRODUCT(1+預測IC!$C23:DT23)-1</f>
        <v>26.15727779296169</v>
      </c>
      <c r="DU23" s="12">
        <f t="array" ref="DU23">PRODUCT(1+預測IC!$C23:DU23)-1</f>
        <v>24.646301171116889</v>
      </c>
      <c r="DV23" s="12">
        <f t="array" ref="DV23">PRODUCT(1+預測IC!$C23:DV23)-1</f>
        <v>24.854882538541581</v>
      </c>
      <c r="DW23" s="12">
        <f t="array" ref="DW23">PRODUCT(1+預測IC!$C23:DW23)-1</f>
        <v>28.506321903096705</v>
      </c>
      <c r="DX23" s="12">
        <f t="array" ref="DX23">PRODUCT(1+預測IC!$C23:DX23)-1</f>
        <v>37.932072175558091</v>
      </c>
      <c r="DY23" s="12">
        <f t="array" ref="DY23">PRODUCT(1+預測IC!$C23:DY23)-1</f>
        <v>35.832660183491122</v>
      </c>
      <c r="DZ23" s="12">
        <f t="array" ref="DZ23">PRODUCT(1+預測IC!$C23:DZ23)-1</f>
        <v>39.62174712061141</v>
      </c>
      <c r="EA23" s="12">
        <f t="array" ref="EA23">PRODUCT(1+預測IC!$C23:EA23)-1</f>
        <v>38.453587538663989</v>
      </c>
      <c r="EB23" s="12">
        <f t="array" ref="EB23">PRODUCT(1+預測IC!$C23:EB23)-1</f>
        <v>32.999977313575776</v>
      </c>
      <c r="EC23" s="12">
        <f t="array" ref="EC23">PRODUCT(1+預測IC!$C23:EC23)-1</f>
        <v>31.756111388465442</v>
      </c>
      <c r="ED23" s="12">
        <f t="array" ref="ED23">PRODUCT(1+預測IC!$C23:ED23)-1</f>
        <v>34.750868503982204</v>
      </c>
      <c r="EE23" s="12">
        <f t="array" ref="EE23">PRODUCT(1+預測IC!$C23:EE23)-1</f>
        <v>32.639755269223507</v>
      </c>
      <c r="EF23" s="12">
        <f t="array" ref="EF23">PRODUCT(1+預測IC!$C23:EF23)-1</f>
        <v>34.247139427252797</v>
      </c>
    </row>
    <row r="24" spans="1:136">
      <c r="A24" s="2">
        <v>1</v>
      </c>
      <c r="B24" s="2" t="s">
        <v>201</v>
      </c>
      <c r="C24" s="12">
        <f t="array" ref="C24">PRODUCT(1+預測IC!$C24:C24)-1</f>
        <v>-0.16299313693108497</v>
      </c>
      <c r="D24" s="12">
        <f t="array" ref="D24">PRODUCT(1+預測IC!$C24:D24)-1</f>
        <v>-7.590340148864938E-2</v>
      </c>
      <c r="E24" s="12">
        <f t="array" ref="E24">PRODUCT(1+預測IC!$C24:E24)-1</f>
        <v>0.18701316994701189</v>
      </c>
      <c r="F24" s="12">
        <f t="array" ref="F24">PRODUCT(1+預測IC!$C24:F24)-1</f>
        <v>0.45665454348402523</v>
      </c>
      <c r="G24" s="12">
        <f t="array" ref="G24">PRODUCT(1+預測IC!$C24:G24)-1</f>
        <v>0.12780018016015404</v>
      </c>
      <c r="H24" s="12">
        <f t="array" ref="H24">PRODUCT(1+預測IC!$C24:H24)-1</f>
        <v>0.16823858341997666</v>
      </c>
      <c r="I24" s="12">
        <f t="array" ref="I24">PRODUCT(1+預測IC!$C24:I24)-1</f>
        <v>0.17070582527349454</v>
      </c>
      <c r="J24" s="12">
        <f t="array" ref="J24">PRODUCT(1+預測IC!$C24:J24)-1</f>
        <v>3.5534959981591507E-2</v>
      </c>
      <c r="K24" s="12">
        <f t="array" ref="K24">PRODUCT(1+預測IC!$C24:K24)-1</f>
        <v>5.7814782891888017E-2</v>
      </c>
      <c r="L24" s="12">
        <f t="array" ref="L24">PRODUCT(1+預測IC!$C24:L24)-1</f>
        <v>-4.3336905084370159E-2</v>
      </c>
      <c r="M24" s="12">
        <f t="array" ref="M24">PRODUCT(1+預測IC!$C24:M24)-1</f>
        <v>-0.25168473387366552</v>
      </c>
      <c r="N24" s="12">
        <f t="array" ref="N24">PRODUCT(1+預測IC!$C24:N24)-1</f>
        <v>-0.35953975171860464</v>
      </c>
      <c r="O24" s="12">
        <f t="array" ref="O24">PRODUCT(1+預測IC!$C24:O24)-1</f>
        <v>-0.51599138116878396</v>
      </c>
      <c r="P24" s="12">
        <f t="array" ref="P24">PRODUCT(1+預測IC!$C24:P24)-1</f>
        <v>-0.51515114220649294</v>
      </c>
      <c r="Q24" s="12">
        <f t="array" ref="Q24">PRODUCT(1+預測IC!$C24:Q24)-1</f>
        <v>-0.51652811296262646</v>
      </c>
      <c r="R24" s="12">
        <f t="array" ref="R24">PRODUCT(1+預測IC!$C24:R24)-1</f>
        <v>-0.39774034147185655</v>
      </c>
      <c r="S24" s="12">
        <f t="array" ref="S24">PRODUCT(1+預測IC!$C24:S24)-1</f>
        <v>-0.18543510252752937</v>
      </c>
      <c r="T24" s="12">
        <f t="array" ref="T24">PRODUCT(1+預測IC!$C24:T24)-1</f>
        <v>-0.41988317131805586</v>
      </c>
      <c r="U24" s="12">
        <f t="array" ref="U24">PRODUCT(1+預測IC!$C24:U24)-1</f>
        <v>-0.3337249890272298</v>
      </c>
      <c r="V24" s="12">
        <f t="array" ref="V24">PRODUCT(1+預測IC!$C24:V24)-1</f>
        <v>-0.39947300711002276</v>
      </c>
      <c r="W24" s="12">
        <f t="array" ref="W24">PRODUCT(1+預測IC!$C24:W24)-1</f>
        <v>-0.10178457884438186</v>
      </c>
      <c r="X24" s="12">
        <f t="array" ref="X24">PRODUCT(1+預測IC!$C24:X24)-1</f>
        <v>4.2249900748090319E-3</v>
      </c>
      <c r="Y24" s="12">
        <f t="array" ref="Y24">PRODUCT(1+預測IC!$C24:Y24)-1</f>
        <v>-0.11660235650600181</v>
      </c>
      <c r="Z24" s="12">
        <f t="array" ref="Z24">PRODUCT(1+預測IC!$C24:Z24)-1</f>
        <v>-0.13815284201903788</v>
      </c>
      <c r="AA24" s="12">
        <f t="array" ref="AA24">PRODUCT(1+預測IC!$C24:AA24)-1</f>
        <v>-5.6827220497638331E-2</v>
      </c>
      <c r="AB24" s="12">
        <f t="array" ref="AB24">PRODUCT(1+預測IC!$C24:AB24)-1</f>
        <v>-0.23060586194816901</v>
      </c>
      <c r="AC24" s="12">
        <f t="array" ref="AC24">PRODUCT(1+預測IC!$C24:AC24)-1</f>
        <v>-0.42000761691238819</v>
      </c>
      <c r="AD24" s="12">
        <f t="array" ref="AD24">PRODUCT(1+預測IC!$C24:AD24)-1</f>
        <v>-0.36132746754588208</v>
      </c>
      <c r="AE24" s="12">
        <f t="array" ref="AE24">PRODUCT(1+預測IC!$C24:AE24)-1</f>
        <v>-0.47326824098164777</v>
      </c>
      <c r="AF24" s="12">
        <f t="array" ref="AF24">PRODUCT(1+預測IC!$C24:AF24)-1</f>
        <v>-0.56054874691450673</v>
      </c>
      <c r="AG24" s="12">
        <f t="array" ref="AG24">PRODUCT(1+預測IC!$C24:AG24)-1</f>
        <v>-0.51401041976149997</v>
      </c>
      <c r="AH24" s="12">
        <f t="array" ref="AH24">PRODUCT(1+預測IC!$C24:AH24)-1</f>
        <v>-0.54156474598147608</v>
      </c>
      <c r="AI24" s="12">
        <f t="array" ref="AI24">PRODUCT(1+預測IC!$C24:AI24)-1</f>
        <v>-0.39926002504057012</v>
      </c>
      <c r="AJ24" s="12">
        <f t="array" ref="AJ24">PRODUCT(1+預測IC!$C24:AJ24)-1</f>
        <v>-0.44785462893519201</v>
      </c>
      <c r="AK24" s="12">
        <f t="array" ref="AK24">PRODUCT(1+預測IC!$C24:AK24)-1</f>
        <v>-0.4009863471709072</v>
      </c>
      <c r="AL24" s="12">
        <f t="array" ref="AL24">PRODUCT(1+預測IC!$C24:AL24)-1</f>
        <v>-0.43373857802465332</v>
      </c>
      <c r="AM24" s="12">
        <f t="array" ref="AM24">PRODUCT(1+預測IC!$C24:AM24)-1</f>
        <v>-0.38923099651881299</v>
      </c>
      <c r="AN24" s="12">
        <f t="array" ref="AN24">PRODUCT(1+預測IC!$C24:AN24)-1</f>
        <v>-0.48875091948404459</v>
      </c>
      <c r="AO24" s="12">
        <f t="array" ref="AO24">PRODUCT(1+預測IC!$C24:AO24)-1</f>
        <v>-0.45496241058027675</v>
      </c>
      <c r="AP24" s="12">
        <f t="array" ref="AP24">PRODUCT(1+預測IC!$C24:AP24)-1</f>
        <v>-0.54461291847597992</v>
      </c>
      <c r="AQ24" s="12">
        <f t="array" ref="AQ24">PRODUCT(1+預測IC!$C24:AQ24)-1</f>
        <v>-0.64348838316480128</v>
      </c>
      <c r="AR24" s="12">
        <f t="array" ref="AR24">PRODUCT(1+預測IC!$C24:AR24)-1</f>
        <v>-0.70439233220360875</v>
      </c>
      <c r="AS24" s="12">
        <f t="array" ref="AS24">PRODUCT(1+預測IC!$C24:AS24)-1</f>
        <v>-0.63408736935625742</v>
      </c>
      <c r="AT24" s="12">
        <f t="array" ref="AT24">PRODUCT(1+預測IC!$C24:AT24)-1</f>
        <v>-0.63191823928180135</v>
      </c>
      <c r="AU24" s="12">
        <f t="array" ref="AU24">PRODUCT(1+預測IC!$C24:AU24)-1</f>
        <v>-0.45632336300414189</v>
      </c>
      <c r="AV24" s="12">
        <f t="array" ref="AV24">PRODUCT(1+預測IC!$C24:AV24)-1</f>
        <v>-0.46693701831157508</v>
      </c>
      <c r="AW24" s="12">
        <f t="array" ref="AW24">PRODUCT(1+預測IC!$C24:AW24)-1</f>
        <v>-0.40280634323656739</v>
      </c>
      <c r="AX24" s="12">
        <f t="array" ref="AX24">PRODUCT(1+預測IC!$C24:AX24)-1</f>
        <v>-0.41806941871612713</v>
      </c>
      <c r="AY24" s="12">
        <f t="array" ref="AY24">PRODUCT(1+預測IC!$C24:AY24)-1</f>
        <v>-0.67613875552866753</v>
      </c>
      <c r="AZ24" s="12">
        <f t="array" ref="AZ24">PRODUCT(1+預測IC!$C24:AZ24)-1</f>
        <v>-0.63772168698698906</v>
      </c>
      <c r="BA24" s="12">
        <f t="array" ref="BA24">PRODUCT(1+預測IC!$C24:BA24)-1</f>
        <v>-0.6194298926846491</v>
      </c>
      <c r="BB24" s="12">
        <f t="array" ref="BB24">PRODUCT(1+預測IC!$C24:BB24)-1</f>
        <v>-0.35654119623378022</v>
      </c>
      <c r="BC24" s="12">
        <f t="array" ref="BC24">PRODUCT(1+預測IC!$C24:BC24)-1</f>
        <v>-0.48893284510867996</v>
      </c>
      <c r="BD24" s="12">
        <f t="array" ref="BD24">PRODUCT(1+預測IC!$C24:BD24)-1</f>
        <v>-0.47940655334150573</v>
      </c>
      <c r="BE24" s="12">
        <f t="array" ref="BE24">PRODUCT(1+預測IC!$C24:BE24)-1</f>
        <v>-0.50338735417495872</v>
      </c>
      <c r="BF24" s="12">
        <f t="array" ref="BF24">PRODUCT(1+預測IC!$C24:BF24)-1</f>
        <v>-0.45985859226703607</v>
      </c>
      <c r="BG24" s="12">
        <f t="array" ref="BG24">PRODUCT(1+預測IC!$C24:BG24)-1</f>
        <v>-0.5552605282664631</v>
      </c>
      <c r="BH24" s="12">
        <f t="array" ref="BH24">PRODUCT(1+預測IC!$C24:BH24)-1</f>
        <v>-0.55100437152197312</v>
      </c>
      <c r="BI24" s="12">
        <f t="array" ref="BI24">PRODUCT(1+預測IC!$C24:BI24)-1</f>
        <v>-0.47500377948075445</v>
      </c>
      <c r="BJ24" s="12">
        <f t="array" ref="BJ24">PRODUCT(1+預測IC!$C24:BJ24)-1</f>
        <v>-0.37019353401629229</v>
      </c>
      <c r="BK24" s="12">
        <f t="array" ref="BK24">PRODUCT(1+預測IC!$C24:BK24)-1</f>
        <v>-0.34825737480607977</v>
      </c>
      <c r="BL24" s="12">
        <f t="array" ref="BL24">PRODUCT(1+預測IC!$C24:BL24)-1</f>
        <v>-0.14154788526580886</v>
      </c>
      <c r="BM24" s="12">
        <f t="array" ref="BM24">PRODUCT(1+預測IC!$C24:BM24)-1</f>
        <v>-0.13169884774180152</v>
      </c>
      <c r="BN24" s="12">
        <f t="array" ref="BN24">PRODUCT(1+預測IC!$C24:BN24)-1</f>
        <v>-0.2262663945353941</v>
      </c>
      <c r="BO24" s="12">
        <f t="array" ref="BO24">PRODUCT(1+預測IC!$C24:BO24)-1</f>
        <v>-0.35092237670211401</v>
      </c>
      <c r="BP24" s="12">
        <f t="array" ref="BP24">PRODUCT(1+預測IC!$C24:BP24)-1</f>
        <v>-0.27085788522370668</v>
      </c>
      <c r="BQ24" s="12">
        <f t="array" ref="BQ24">PRODUCT(1+預測IC!$C24:BQ24)-1</f>
        <v>-0.48366019884751221</v>
      </c>
      <c r="BR24" s="12">
        <f t="array" ref="BR24">PRODUCT(1+預測IC!$C24:BR24)-1</f>
        <v>-0.48866869491869136</v>
      </c>
      <c r="BS24" s="12">
        <f t="array" ref="BS24">PRODUCT(1+預測IC!$C24:BS24)-1</f>
        <v>-0.4893256111866795</v>
      </c>
      <c r="BT24" s="12">
        <f t="array" ref="BT24">PRODUCT(1+預測IC!$C24:BT24)-1</f>
        <v>-0.42994914454230804</v>
      </c>
      <c r="BU24" s="12">
        <f t="array" ref="BU24">PRODUCT(1+預測IC!$C24:BU24)-1</f>
        <v>-0.43493651947670742</v>
      </c>
      <c r="BV24" s="12">
        <f t="array" ref="BV24">PRODUCT(1+預測IC!$C24:BV24)-1</f>
        <v>-0.54981788051145641</v>
      </c>
      <c r="BW24" s="12">
        <f t="array" ref="BW24">PRODUCT(1+預測IC!$C24:BW24)-1</f>
        <v>-5.0559157266869215E-2</v>
      </c>
      <c r="BX24" s="12">
        <f t="array" ref="BX24">PRODUCT(1+預測IC!$C24:BX24)-1</f>
        <v>-0.14925353286897813</v>
      </c>
      <c r="BY24" s="12">
        <f t="array" ref="BY24">PRODUCT(1+預測IC!$C24:BY24)-1</f>
        <v>-0.3962592621357991</v>
      </c>
      <c r="BZ24" s="12">
        <f t="array" ref="BZ24">PRODUCT(1+預測IC!$C24:BZ24)-1</f>
        <v>9.5160341374670221E-2</v>
      </c>
      <c r="CA24" s="12">
        <f t="array" ref="CA24">PRODUCT(1+預測IC!$C24:CA24)-1</f>
        <v>0.20470704000169571</v>
      </c>
      <c r="CB24" s="12">
        <f t="array" ref="CB24">PRODUCT(1+預測IC!$C24:CB24)-1</f>
        <v>0.97535692878374047</v>
      </c>
      <c r="CC24" s="12">
        <f t="array" ref="CC24">PRODUCT(1+預測IC!$C24:CC24)-1</f>
        <v>0.6149135499885714</v>
      </c>
      <c r="CD24" s="12">
        <f t="array" ref="CD24">PRODUCT(1+預測IC!$C24:CD24)-1</f>
        <v>0.66328667046492917</v>
      </c>
      <c r="CE24" s="12">
        <f t="array" ref="CE24">PRODUCT(1+預測IC!$C24:CE24)-1</f>
        <v>1.0127788528720751</v>
      </c>
      <c r="CF24" s="12">
        <f t="array" ref="CF24">PRODUCT(1+預測IC!$C24:CF24)-1</f>
        <v>0.56650278371456864</v>
      </c>
      <c r="CG24" s="12">
        <f t="array" ref="CG24">PRODUCT(1+預測IC!$C24:CG24)-1</f>
        <v>0.9381978647260103</v>
      </c>
      <c r="CH24" s="12">
        <f t="array" ref="CH24">PRODUCT(1+預測IC!$C24:CH24)-1</f>
        <v>1.2204828163383006</v>
      </c>
      <c r="CI24" s="12">
        <f t="array" ref="CI24">PRODUCT(1+預測IC!$C24:CI24)-1</f>
        <v>1.0905668077199793</v>
      </c>
      <c r="CJ24" s="12">
        <f t="array" ref="CJ24">PRODUCT(1+預測IC!$C24:CJ24)-1</f>
        <v>1.2100928743845616</v>
      </c>
      <c r="CK24" s="12">
        <f t="array" ref="CK24">PRODUCT(1+預測IC!$C24:CK24)-1</f>
        <v>1.2805064333624538</v>
      </c>
      <c r="CL24" s="12">
        <f t="array" ref="CL24">PRODUCT(1+預測IC!$C24:CL24)-1</f>
        <v>0.95723248364293534</v>
      </c>
      <c r="CM24" s="12">
        <f t="array" ref="CM24">PRODUCT(1+預測IC!$C24:CM24)-1</f>
        <v>-0.11843726056045734</v>
      </c>
      <c r="CN24" s="12">
        <f t="array" ref="CN24">PRODUCT(1+預測IC!$C24:CN24)-1</f>
        <v>-0.1052834629252799</v>
      </c>
      <c r="CO24" s="12">
        <f t="array" ref="CO24">PRODUCT(1+預測IC!$C24:CO24)-1</f>
        <v>0.58960101509244933</v>
      </c>
      <c r="CP24" s="12">
        <f t="array" ref="CP24">PRODUCT(1+預測IC!$C24:CP24)-1</f>
        <v>0.19325466679234315</v>
      </c>
      <c r="CQ24" s="12">
        <f t="array" ref="CQ24">PRODUCT(1+預測IC!$C24:CQ24)-1</f>
        <v>-1.8667362029976986E-2</v>
      </c>
      <c r="CR24" s="12">
        <f t="array" ref="CR24">PRODUCT(1+預測IC!$C24:CR24)-1</f>
        <v>-7.8611907479573251E-2</v>
      </c>
      <c r="CS24" s="12">
        <f t="array" ref="CS24">PRODUCT(1+預測IC!$C24:CS24)-1</f>
        <v>5.3093717760432924E-4</v>
      </c>
      <c r="CT24" s="12">
        <f t="array" ref="CT24">PRODUCT(1+預測IC!$C24:CT24)-1</f>
        <v>-0.11907453211448094</v>
      </c>
      <c r="CU24" s="12">
        <f t="array" ref="CU24">PRODUCT(1+預測IC!$C24:CU24)-1</f>
        <v>-5.4986017140691512E-2</v>
      </c>
      <c r="CV24" s="12">
        <f t="array" ref="CV24">PRODUCT(1+預測IC!$C24:CV24)-1</f>
        <v>-6.9221752703858552E-2</v>
      </c>
      <c r="CW24" s="12">
        <f t="array" ref="CW24">PRODUCT(1+預測IC!$C24:CW24)-1</f>
        <v>-0.23221700161182901</v>
      </c>
      <c r="CX24" s="12">
        <f t="array" ref="CX24">PRODUCT(1+預測IC!$C24:CX24)-1</f>
        <v>-0.27460414633008134</v>
      </c>
      <c r="CY24" s="12">
        <f t="array" ref="CY24">PRODUCT(1+預測IC!$C24:CY24)-1</f>
        <v>-4.1644718715694307E-2</v>
      </c>
      <c r="CZ24" s="12">
        <f t="array" ref="CZ24">PRODUCT(1+預測IC!$C24:CZ24)-1</f>
        <v>0.26751206982909115</v>
      </c>
      <c r="DA24" s="12">
        <f t="array" ref="DA24">PRODUCT(1+預測IC!$C24:DA24)-1</f>
        <v>0.23644382270675424</v>
      </c>
      <c r="DB24" s="12">
        <f t="array" ref="DB24">PRODUCT(1+預測IC!$C24:DB24)-1</f>
        <v>0.21604249963209288</v>
      </c>
      <c r="DC24" s="12">
        <f t="array" ref="DC24">PRODUCT(1+預測IC!$C24:DC24)-1</f>
        <v>0.43438293044103493</v>
      </c>
      <c r="DD24" s="12">
        <f t="array" ref="DD24">PRODUCT(1+預測IC!$C24:DD24)-1</f>
        <v>0.50509800891177781</v>
      </c>
      <c r="DE24" s="12">
        <f t="array" ref="DE24">PRODUCT(1+預測IC!$C24:DE24)-1</f>
        <v>4.3576260557079083E-2</v>
      </c>
      <c r="DF24" s="12">
        <f t="array" ref="DF24">PRODUCT(1+預測IC!$C24:DF24)-1</f>
        <v>0.5920674201907532</v>
      </c>
      <c r="DG24" s="12">
        <f t="array" ref="DG24">PRODUCT(1+預測IC!$C24:DG24)-1</f>
        <v>0.40174372044404949</v>
      </c>
      <c r="DH24" s="12">
        <f t="array" ref="DH24">PRODUCT(1+預測IC!$C24:DH24)-1</f>
        <v>0.77433421005668013</v>
      </c>
      <c r="DI24" s="12">
        <f t="array" ref="DI24">PRODUCT(1+預測IC!$C24:DI24)-1</f>
        <v>0.84031282765763793</v>
      </c>
      <c r="DJ24" s="12">
        <f t="array" ref="DJ24">PRODUCT(1+預測IC!$C24:DJ24)-1</f>
        <v>0.87910662206466084</v>
      </c>
      <c r="DK24" s="12">
        <f t="array" ref="DK24">PRODUCT(1+預測IC!$C24:DK24)-1</f>
        <v>0.65421702064258436</v>
      </c>
      <c r="DL24" s="12">
        <f t="array" ref="DL24">PRODUCT(1+預測IC!$C24:DL24)-1</f>
        <v>0.60169728445420301</v>
      </c>
      <c r="DM24" s="12">
        <f t="array" ref="DM24">PRODUCT(1+預測IC!$C24:DM24)-1</f>
        <v>0.60235398034082932</v>
      </c>
      <c r="DN24" s="12">
        <f t="array" ref="DN24">PRODUCT(1+預測IC!$C24:DN24)-1</f>
        <v>0.97623855857278263</v>
      </c>
      <c r="DO24" s="12">
        <f t="array" ref="DO24">PRODUCT(1+預測IC!$C24:DO24)-1</f>
        <v>1.2047213795221747</v>
      </c>
      <c r="DP24" s="12">
        <f t="array" ref="DP24">PRODUCT(1+預測IC!$C24:DP24)-1</f>
        <v>1.4568829159403758</v>
      </c>
      <c r="DQ24" s="12">
        <f t="array" ref="DQ24">PRODUCT(1+預測IC!$C24:DQ24)-1</f>
        <v>1.3328447250462099</v>
      </c>
      <c r="DR24" s="12">
        <f t="array" ref="DR24">PRODUCT(1+預測IC!$C24:DR24)-1</f>
        <v>1.2782748212379289</v>
      </c>
      <c r="DS24" s="12">
        <f t="array" ref="DS24">PRODUCT(1+預測IC!$C24:DS24)-1</f>
        <v>0.78557159750068362</v>
      </c>
      <c r="DT24" s="12">
        <f t="array" ref="DT24">PRODUCT(1+預測IC!$C24:DT24)-1</f>
        <v>0.65213047530466506</v>
      </c>
      <c r="DU24" s="12">
        <f t="array" ref="DU24">PRODUCT(1+預測IC!$C24:DU24)-1</f>
        <v>0.68811718131775113</v>
      </c>
      <c r="DV24" s="12">
        <f t="array" ref="DV24">PRODUCT(1+預測IC!$C24:DV24)-1</f>
        <v>0.85363200659441274</v>
      </c>
      <c r="DW24" s="12">
        <f t="array" ref="DW24">PRODUCT(1+預測IC!$C24:DW24)-1</f>
        <v>1.055412992561708</v>
      </c>
      <c r="DX24" s="12">
        <f t="array" ref="DX24">PRODUCT(1+預測IC!$C24:DX24)-1</f>
        <v>1.6431151741118843</v>
      </c>
      <c r="DY24" s="12">
        <f t="array" ref="DY24">PRODUCT(1+預測IC!$C24:DY24)-1</f>
        <v>1.6345514809477617</v>
      </c>
      <c r="DZ24" s="12">
        <f t="array" ref="DZ24">PRODUCT(1+預測IC!$C24:DZ24)-1</f>
        <v>1.7675151401901155</v>
      </c>
      <c r="EA24" s="12">
        <f t="array" ref="EA24">PRODUCT(1+預測IC!$C24:EA24)-1</f>
        <v>1.6155315112362949</v>
      </c>
      <c r="EB24" s="12">
        <f t="array" ref="EB24">PRODUCT(1+預測IC!$C24:EB24)-1</f>
        <v>1.3298343887324431</v>
      </c>
      <c r="EC24" s="12">
        <f t="array" ref="EC24">PRODUCT(1+預測IC!$C24:EC24)-1</f>
        <v>1.2964946478805475</v>
      </c>
      <c r="ED24" s="12">
        <f t="array" ref="ED24">PRODUCT(1+預測IC!$C24:ED24)-1</f>
        <v>1.4254952864644581</v>
      </c>
      <c r="EE24" s="12">
        <f t="array" ref="EE24">PRODUCT(1+預測IC!$C24:EE24)-1</f>
        <v>1.1503727163598501</v>
      </c>
      <c r="EF24" s="12">
        <f t="array" ref="EF24">PRODUCT(1+預測IC!$C24:EF24)-1</f>
        <v>1.0057027855971477</v>
      </c>
    </row>
    <row r="25" spans="1:136">
      <c r="A25" s="2" t="s">
        <v>144</v>
      </c>
      <c r="B25" s="2" t="s">
        <v>145</v>
      </c>
      <c r="C25" s="12">
        <f t="array" ref="C25">PRODUCT(1+預測IC!$C26:C26)-1</f>
        <v>-1.7446770539390366E-2</v>
      </c>
      <c r="D25" s="12">
        <f t="array" ref="D25">PRODUCT(1+預測IC!$C26:D26)-1</f>
        <v>2.893123339404724E-3</v>
      </c>
      <c r="E25" s="12">
        <f t="array" ref="E25">PRODUCT(1+預測IC!$C26:E26)-1</f>
        <v>2.6944635852046872E-2</v>
      </c>
      <c r="F25" s="12">
        <f t="array" ref="F25">PRODUCT(1+預測IC!$C26:F26)-1</f>
        <v>2.0210365301730038E-2</v>
      </c>
      <c r="G25" s="12">
        <f t="array" ref="G25">PRODUCT(1+預測IC!$C26:G26)-1</f>
        <v>5.269909680859941E-2</v>
      </c>
      <c r="H25" s="12">
        <f t="array" ref="H25">PRODUCT(1+預測IC!$C26:H26)-1</f>
        <v>8.8857766197530053E-2</v>
      </c>
      <c r="I25" s="12">
        <f t="array" ref="I25">PRODUCT(1+預測IC!$C26:I26)-1</f>
        <v>7.9869318529145472E-2</v>
      </c>
      <c r="J25" s="12">
        <f t="array" ref="J25">PRODUCT(1+預測IC!$C26:J26)-1</f>
        <v>9.3738646464063713E-2</v>
      </c>
      <c r="K25" s="12">
        <f t="array" ref="K25">PRODUCT(1+預測IC!$C26:K26)-1</f>
        <v>3.7937714394164157E-2</v>
      </c>
      <c r="L25" s="12">
        <f t="array" ref="L25">PRODUCT(1+預測IC!$C26:L26)-1</f>
        <v>3.8844812525307137E-2</v>
      </c>
      <c r="M25" s="12">
        <f t="array" ref="M25">PRODUCT(1+預測IC!$C26:M26)-1</f>
        <v>6.3142951706360639E-2</v>
      </c>
      <c r="N25" s="12">
        <f t="array" ref="N25">PRODUCT(1+預測IC!$C26:N26)-1</f>
        <v>7.6952085951054405E-2</v>
      </c>
      <c r="O25" s="12">
        <f t="array" ref="O25">PRODUCT(1+預測IC!$C26:O26)-1</f>
        <v>8.3257197491512391E-2</v>
      </c>
      <c r="P25" s="12">
        <f t="array" ref="P25">PRODUCT(1+預測IC!$C26:P26)-1</f>
        <v>0.11295275081672607</v>
      </c>
      <c r="Q25" s="12">
        <f t="array" ref="Q25">PRODUCT(1+預測IC!$C26:Q26)-1</f>
        <v>0.10882042835093308</v>
      </c>
      <c r="R25" s="12">
        <f t="array" ref="R25">PRODUCT(1+預測IC!$C26:R26)-1</f>
        <v>0.13551706985268064</v>
      </c>
      <c r="S25" s="12">
        <f t="array" ref="S25">PRODUCT(1+預測IC!$C26:S26)-1</f>
        <v>0.12167508804368476</v>
      </c>
      <c r="T25" s="12">
        <f t="array" ref="T25">PRODUCT(1+預測IC!$C26:T26)-1</f>
        <v>7.7088976461827885E-2</v>
      </c>
      <c r="U25" s="12">
        <f t="array" ref="U25">PRODUCT(1+預測IC!$C26:U26)-1</f>
        <v>-1.7059521199481731E-3</v>
      </c>
      <c r="V25" s="12">
        <f t="array" ref="V25">PRODUCT(1+預測IC!$C26:V26)-1</f>
        <v>-5.9866792867339091E-2</v>
      </c>
      <c r="W25" s="12">
        <f t="array" ref="W25">PRODUCT(1+預測IC!$C26:W26)-1</f>
        <v>-5.9140260213613516E-2</v>
      </c>
      <c r="X25" s="12">
        <f t="array" ref="X25">PRODUCT(1+預測IC!$C26:X26)-1</f>
        <v>-1.7185893241652206E-2</v>
      </c>
      <c r="Y25" s="12">
        <f t="array" ref="Y25">PRODUCT(1+預測IC!$C26:Y26)-1</f>
        <v>-4.4409529547694393E-2</v>
      </c>
      <c r="Z25" s="12">
        <f t="array" ref="Z25">PRODUCT(1+預測IC!$C26:Z26)-1</f>
        <v>-4.2407561826578566E-2</v>
      </c>
      <c r="AA25" s="12">
        <f t="array" ref="AA25">PRODUCT(1+預測IC!$C26:AA26)-1</f>
        <v>-6.481575250614946E-2</v>
      </c>
      <c r="AB25" s="12">
        <f t="array" ref="AB25">PRODUCT(1+預測IC!$C26:AB26)-1</f>
        <v>-3.4768870774049443E-2</v>
      </c>
      <c r="AC25" s="12">
        <f t="array" ref="AC25">PRODUCT(1+預測IC!$C26:AC26)-1</f>
        <v>2.7817794451217015E-3</v>
      </c>
      <c r="AD25" s="12">
        <f t="array" ref="AD25">PRODUCT(1+預測IC!$C26:AD26)-1</f>
        <v>-4.0202844765013457E-2</v>
      </c>
      <c r="AE25" s="12">
        <f t="array" ref="AE25">PRODUCT(1+預測IC!$C26:AE26)-1</f>
        <v>-2.2305320482664204E-2</v>
      </c>
      <c r="AF25" s="12">
        <f t="array" ref="AF25">PRODUCT(1+預測IC!$C26:AF26)-1</f>
        <v>-7.4152570234460313E-3</v>
      </c>
      <c r="AG25" s="12">
        <f t="array" ref="AG25">PRODUCT(1+預測IC!$C26:AG26)-1</f>
        <v>2.8334274381314417E-2</v>
      </c>
      <c r="AH25" s="12">
        <f t="array" ref="AH25">PRODUCT(1+預測IC!$C26:AH26)-1</f>
        <v>3.7953941892352683E-2</v>
      </c>
      <c r="AI25" s="12">
        <f t="array" ref="AI25">PRODUCT(1+預測IC!$C26:AI26)-1</f>
        <v>4.9110131735873752E-2</v>
      </c>
      <c r="AJ25" s="12">
        <f t="array" ref="AJ25">PRODUCT(1+預測IC!$C26:AJ26)-1</f>
        <v>6.3123886850196875E-2</v>
      </c>
      <c r="AK25" s="12">
        <f t="array" ref="AK25">PRODUCT(1+預測IC!$C26:AK26)-1</f>
        <v>5.7454515782098925E-2</v>
      </c>
      <c r="AL25" s="12">
        <f t="array" ref="AL25">PRODUCT(1+預測IC!$C26:AL26)-1</f>
        <v>5.8917118987427575E-2</v>
      </c>
      <c r="AM25" s="12">
        <f t="array" ref="AM25">PRODUCT(1+預測IC!$C26:AM26)-1</f>
        <v>8.0938283596681648E-2</v>
      </c>
      <c r="AN25" s="12">
        <f t="array" ref="AN25">PRODUCT(1+預測IC!$C26:AN26)-1</f>
        <v>0.11500697453770203</v>
      </c>
      <c r="AO25" s="12">
        <f t="array" ref="AO25">PRODUCT(1+預測IC!$C26:AO26)-1</f>
        <v>0.12196653200545171</v>
      </c>
      <c r="AP25" s="12">
        <f t="array" ref="AP25">PRODUCT(1+預測IC!$C26:AP26)-1</f>
        <v>0.12886130991117528</v>
      </c>
      <c r="AQ25" s="12">
        <f t="array" ref="AQ25">PRODUCT(1+預測IC!$C26:AQ26)-1</f>
        <v>0.14799139743631429</v>
      </c>
      <c r="AR25" s="12">
        <f t="array" ref="AR25">PRODUCT(1+預測IC!$C26:AR26)-1</f>
        <v>0.18780698843660248</v>
      </c>
      <c r="AS25" s="12">
        <f t="array" ref="AS25">PRODUCT(1+預測IC!$C26:AS26)-1</f>
        <v>0.19148751365039929</v>
      </c>
      <c r="AT25" s="12">
        <f t="array" ref="AT25">PRODUCT(1+預測IC!$C26:AT26)-1</f>
        <v>0.20945675046088996</v>
      </c>
      <c r="AU25" s="12">
        <f t="array" ref="AU25">PRODUCT(1+預測IC!$C26:AU26)-1</f>
        <v>0.18617324550329584</v>
      </c>
      <c r="AV25" s="12">
        <f t="array" ref="AV25">PRODUCT(1+預測IC!$C26:AV26)-1</f>
        <v>0.23209180697664689</v>
      </c>
      <c r="AW25" s="12">
        <f t="array" ref="AW25">PRODUCT(1+預測IC!$C26:AW26)-1</f>
        <v>0.20516203655681697</v>
      </c>
      <c r="AX25" s="12">
        <f t="array" ref="AX25">PRODUCT(1+預測IC!$C26:AX26)-1</f>
        <v>0.21453132863303215</v>
      </c>
      <c r="AY25" s="12">
        <f t="array" ref="AY25">PRODUCT(1+預測IC!$C26:AY26)-1</f>
        <v>0.2660241129922889</v>
      </c>
      <c r="AZ25" s="12">
        <f t="array" ref="AZ25">PRODUCT(1+預測IC!$C26:AZ26)-1</f>
        <v>0.23271631642995261</v>
      </c>
      <c r="BA25" s="12">
        <f t="array" ref="BA25">PRODUCT(1+預測IC!$C26:BA26)-1</f>
        <v>0.24451556797958407</v>
      </c>
      <c r="BB25" s="12">
        <f t="array" ref="BB25">PRODUCT(1+預測IC!$C26:BB26)-1</f>
        <v>0.21433638745422812</v>
      </c>
      <c r="BC25" s="12">
        <f t="array" ref="BC25">PRODUCT(1+預測IC!$C26:BC26)-1</f>
        <v>0.23882150637103883</v>
      </c>
      <c r="BD25" s="12">
        <f t="array" ref="BD25">PRODUCT(1+預測IC!$C26:BD26)-1</f>
        <v>0.23447943849994912</v>
      </c>
      <c r="BE25" s="12">
        <f t="array" ref="BE25">PRODUCT(1+預測IC!$C26:BE26)-1</f>
        <v>0.25935658802508499</v>
      </c>
      <c r="BF25" s="12">
        <f t="array" ref="BF25">PRODUCT(1+預測IC!$C26:BF26)-1</f>
        <v>0.26008869763716325</v>
      </c>
      <c r="BG25" s="12">
        <f t="array" ref="BG25">PRODUCT(1+預測IC!$C26:BG26)-1</f>
        <v>0.2535114114609236</v>
      </c>
      <c r="BH25" s="12">
        <f t="array" ref="BH25">PRODUCT(1+預測IC!$C26:BH26)-1</f>
        <v>0.10826483627727623</v>
      </c>
      <c r="BI25" s="12">
        <f t="array" ref="BI25">PRODUCT(1+預測IC!$C26:BI26)-1</f>
        <v>0.11793469710078752</v>
      </c>
      <c r="BJ25" s="12">
        <f t="array" ref="BJ25">PRODUCT(1+預測IC!$C26:BJ26)-1</f>
        <v>9.9625988810205346E-2</v>
      </c>
      <c r="BK25" s="12">
        <f t="array" ref="BK25">PRODUCT(1+預測IC!$C26:BK26)-1</f>
        <v>0.12254260303831388</v>
      </c>
      <c r="BL25" s="12">
        <f t="array" ref="BL25">PRODUCT(1+預測IC!$C26:BL26)-1</f>
        <v>0.17302993558173996</v>
      </c>
      <c r="BM25" s="12">
        <f t="array" ref="BM25">PRODUCT(1+預測IC!$C26:BM26)-1</f>
        <v>0.20112905370185397</v>
      </c>
      <c r="BN25" s="12">
        <f t="array" ref="BN25">PRODUCT(1+預測IC!$C26:BN26)-1</f>
        <v>0.23745011694095197</v>
      </c>
      <c r="BO25" s="12">
        <f t="array" ref="BO25">PRODUCT(1+預測IC!$C26:BO26)-1</f>
        <v>0.18334151222801376</v>
      </c>
      <c r="BP25" s="12">
        <f t="array" ref="BP25">PRODUCT(1+預測IC!$C26:BP26)-1</f>
        <v>0.20924423024871497</v>
      </c>
      <c r="BQ25" s="12">
        <f t="array" ref="BQ25">PRODUCT(1+預測IC!$C26:BQ26)-1</f>
        <v>0.21967690051673561</v>
      </c>
      <c r="BR25" s="12">
        <f t="array" ref="BR25">PRODUCT(1+預測IC!$C26:BR26)-1</f>
        <v>0.1962676978767699</v>
      </c>
      <c r="BS25" s="12">
        <f t="array" ref="BS25">PRODUCT(1+預測IC!$C26:BS26)-1</f>
        <v>0.21987619627534571</v>
      </c>
      <c r="BT25" s="12">
        <f t="array" ref="BT25">PRODUCT(1+預測IC!$C26:BT26)-1</f>
        <v>0.27805738326883356</v>
      </c>
      <c r="BU25" s="12">
        <f t="array" ref="BU25">PRODUCT(1+預測IC!$C26:BU26)-1</f>
        <v>0.29269729646247922</v>
      </c>
      <c r="BV25" s="12">
        <f t="array" ref="BV25">PRODUCT(1+預測IC!$C26:BV26)-1</f>
        <v>0.34857881761669129</v>
      </c>
      <c r="BW25" s="12">
        <f t="array" ref="BW25">PRODUCT(1+預測IC!$C26:BW26)-1</f>
        <v>0.2909305384219143</v>
      </c>
      <c r="BX25" s="12">
        <f t="array" ref="BX25">PRODUCT(1+預測IC!$C26:BX26)-1</f>
        <v>0.26793739709811137</v>
      </c>
      <c r="BY25" s="12">
        <f t="array" ref="BY25">PRODUCT(1+預測IC!$C26:BY26)-1</f>
        <v>7.628473289061688E-2</v>
      </c>
      <c r="BZ25" s="12">
        <f t="array" ref="BZ25">PRODUCT(1+預測IC!$C26:BZ26)-1</f>
        <v>0.20998513144491437</v>
      </c>
      <c r="CA25" s="12">
        <f t="array" ref="CA25">PRODUCT(1+預測IC!$C26:CA26)-1</f>
        <v>0.20447092205281336</v>
      </c>
      <c r="CB25" s="12">
        <f t="array" ref="CB25">PRODUCT(1+預測IC!$C26:CB26)-1</f>
        <v>0.27699361006036605</v>
      </c>
      <c r="CC25" s="12">
        <f t="array" ref="CC25">PRODUCT(1+預測IC!$C26:CC26)-1</f>
        <v>0.38680488733361829</v>
      </c>
      <c r="CD25" s="12">
        <f t="array" ref="CD25">PRODUCT(1+預測IC!$C26:CD26)-1</f>
        <v>0.37874965946081551</v>
      </c>
      <c r="CE25" s="12">
        <f t="array" ref="CE25">PRODUCT(1+預測IC!$C26:CE26)-1</f>
        <v>0.37042015435709108</v>
      </c>
      <c r="CF25" s="12">
        <f t="array" ref="CF25">PRODUCT(1+預測IC!$C26:CF26)-1</f>
        <v>0.37378086910184649</v>
      </c>
      <c r="CG25" s="12">
        <f t="array" ref="CG25">PRODUCT(1+預測IC!$C26:CG26)-1</f>
        <v>0.49692143719092186</v>
      </c>
      <c r="CH25" s="12">
        <f t="array" ref="CH25">PRODUCT(1+預測IC!$C26:CH26)-1</f>
        <v>0.603191980394987</v>
      </c>
      <c r="CI25" s="12">
        <f t="array" ref="CI25">PRODUCT(1+預測IC!$C26:CI26)-1</f>
        <v>0.64675173719730239</v>
      </c>
      <c r="CJ25" s="12">
        <f t="array" ref="CJ25">PRODUCT(1+預測IC!$C26:CJ26)-1</f>
        <v>0.73315421285472704</v>
      </c>
      <c r="CK25" s="12">
        <f t="array" ref="CK25">PRODUCT(1+預測IC!$C26:CK26)-1</f>
        <v>0.7842487445659152</v>
      </c>
      <c r="CL25" s="12">
        <f t="array" ref="CL25">PRODUCT(1+預測IC!$C26:CL26)-1</f>
        <v>0.90348131155309508</v>
      </c>
      <c r="CM25" s="12">
        <f t="array" ref="CM25">PRODUCT(1+預測IC!$C26:CM26)-1</f>
        <v>0.8487139113221478</v>
      </c>
      <c r="CN25" s="12">
        <f t="array" ref="CN25">PRODUCT(1+預測IC!$C26:CN26)-1</f>
        <v>0.92166881344527685</v>
      </c>
      <c r="CO25" s="12">
        <f t="array" ref="CO25">PRODUCT(1+預測IC!$C26:CO26)-1</f>
        <v>0.86588067898046694</v>
      </c>
      <c r="CP25" s="12">
        <f t="array" ref="CP25">PRODUCT(1+預測IC!$C26:CP26)-1</f>
        <v>0.89197293519067467</v>
      </c>
      <c r="CQ25" s="12">
        <f t="array" ref="CQ25">PRODUCT(1+預測IC!$C26:CQ26)-1</f>
        <v>0.83090579105751727</v>
      </c>
      <c r="CR25" s="12">
        <f t="array" ref="CR25">PRODUCT(1+預測IC!$C26:CR26)-1</f>
        <v>0.83658814745105547</v>
      </c>
      <c r="CS25" s="12">
        <f t="array" ref="CS25">PRODUCT(1+預測IC!$C26:CS26)-1</f>
        <v>0.88358984642415717</v>
      </c>
      <c r="CT25" s="12">
        <f t="array" ref="CT25">PRODUCT(1+預測IC!$C26:CT26)-1</f>
        <v>0.9672059526983301</v>
      </c>
      <c r="CU25" s="12">
        <f t="array" ref="CU25">PRODUCT(1+預測IC!$C26:CU26)-1</f>
        <v>0.90752297284093331</v>
      </c>
      <c r="CV25" s="12">
        <f t="array" ref="CV25">PRODUCT(1+預測IC!$C26:CV26)-1</f>
        <v>0.90512335385454468</v>
      </c>
      <c r="CW25" s="12">
        <f t="array" ref="CW25">PRODUCT(1+預測IC!$C26:CW26)-1</f>
        <v>0.90957440110152876</v>
      </c>
      <c r="CX25" s="12">
        <f t="array" ref="CX25">PRODUCT(1+預測IC!$C26:CX26)-1</f>
        <v>0.78685723504233995</v>
      </c>
      <c r="CY25" s="12">
        <f t="array" ref="CY25">PRODUCT(1+預測IC!$C26:CY26)-1</f>
        <v>0.80992516787144164</v>
      </c>
      <c r="CZ25" s="12">
        <f t="array" ref="CZ25">PRODUCT(1+預測IC!$C26:CZ26)-1</f>
        <v>0.58282101623526672</v>
      </c>
      <c r="DA25" s="12">
        <f t="array" ref="DA25">PRODUCT(1+預測IC!$C26:DA26)-1</f>
        <v>0.60132527488651344</v>
      </c>
      <c r="DB25" s="12">
        <f t="array" ref="DB25">PRODUCT(1+預測IC!$C26:DB26)-1</f>
        <v>0.61147422419279152</v>
      </c>
      <c r="DC25" s="12">
        <f t="array" ref="DC25">PRODUCT(1+預測IC!$C26:DC26)-1</f>
        <v>0.42243966588262949</v>
      </c>
      <c r="DD25" s="12">
        <f t="array" ref="DD25">PRODUCT(1+預測IC!$C26:DD26)-1</f>
        <v>0.37121637307647259</v>
      </c>
      <c r="DE25" s="12">
        <f t="array" ref="DE25">PRODUCT(1+預測IC!$C26:DE26)-1</f>
        <v>0.5616938276257708</v>
      </c>
      <c r="DF25" s="12">
        <f t="array" ref="DF25">PRODUCT(1+預測IC!$C26:DF26)-1</f>
        <v>0.48182332962932128</v>
      </c>
      <c r="DG25" s="12">
        <f t="array" ref="DG25">PRODUCT(1+預測IC!$C26:DG26)-1</f>
        <v>0.59552577817978314</v>
      </c>
      <c r="DH25" s="12">
        <f t="array" ref="DH25">PRODUCT(1+預測IC!$C26:DH26)-1</f>
        <v>0.62027043996328524</v>
      </c>
      <c r="DI25" s="12">
        <f t="array" ref="DI25">PRODUCT(1+預測IC!$C26:DI26)-1</f>
        <v>0.65789923395288952</v>
      </c>
      <c r="DJ25" s="12">
        <f t="array" ref="DJ25">PRODUCT(1+預測IC!$C26:DJ26)-1</f>
        <v>0.62743885630809859</v>
      </c>
      <c r="DK25" s="12">
        <f t="array" ref="DK25">PRODUCT(1+預測IC!$C26:DK26)-1</f>
        <v>0.72866394865424411</v>
      </c>
      <c r="DL25" s="12">
        <f t="array" ref="DL25">PRODUCT(1+預測IC!$C26:DL26)-1</f>
        <v>0.76340716304992284</v>
      </c>
      <c r="DM25" s="12">
        <f t="array" ref="DM25">PRODUCT(1+預測IC!$C26:DM26)-1</f>
        <v>0.78721129009524526</v>
      </c>
      <c r="DN25" s="12">
        <f t="array" ref="DN25">PRODUCT(1+預測IC!$C26:DN26)-1</f>
        <v>0.73314419395664854</v>
      </c>
      <c r="DO25" s="12">
        <f t="array" ref="DO25">PRODUCT(1+預測IC!$C26:DO26)-1</f>
        <v>0.7036411650845571</v>
      </c>
      <c r="DP25" s="12">
        <f t="array" ref="DP25">PRODUCT(1+預測IC!$C26:DP26)-1</f>
        <v>0.666521339911188</v>
      </c>
      <c r="DQ25" s="12">
        <f t="array" ref="DQ25">PRODUCT(1+預測IC!$C26:DQ26)-1</f>
        <v>0.80941825308633253</v>
      </c>
      <c r="DR25" s="12">
        <f t="array" ref="DR25">PRODUCT(1+預測IC!$C26:DR26)-1</f>
        <v>0.86027510799998974</v>
      </c>
      <c r="DS25" s="12">
        <f t="array" ref="DS25">PRODUCT(1+預測IC!$C26:DS26)-1</f>
        <v>0.85599059714061299</v>
      </c>
      <c r="DT25" s="12">
        <f t="array" ref="DT25">PRODUCT(1+預測IC!$C26:DT26)-1</f>
        <v>0.9645125910761998</v>
      </c>
      <c r="DU25" s="12">
        <f t="array" ref="DU25">PRODUCT(1+預測IC!$C26:DU26)-1</f>
        <v>1.0974294483812512</v>
      </c>
      <c r="DV25" s="12">
        <f t="array" ref="DV25">PRODUCT(1+預測IC!$C26:DV26)-1</f>
        <v>1.1079601605760616</v>
      </c>
      <c r="DW25" s="12">
        <f t="array" ref="DW25">PRODUCT(1+預測IC!$C26:DW26)-1</f>
        <v>1.1868319851241949</v>
      </c>
      <c r="DX25" s="12">
        <f t="array" ref="DX25">PRODUCT(1+預測IC!$C26:DX26)-1</f>
        <v>1.3707686184169408</v>
      </c>
      <c r="DY25" s="12">
        <f t="array" ref="DY25">PRODUCT(1+預測IC!$C26:DY26)-1</f>
        <v>1.2834475238077694</v>
      </c>
      <c r="DZ25" s="12">
        <f t="array" ref="DZ25">PRODUCT(1+預測IC!$C26:DZ26)-1</f>
        <v>1.2905072649494538</v>
      </c>
      <c r="EA25" s="12">
        <f t="array" ref="EA25">PRODUCT(1+預測IC!$C26:EA26)-1</f>
        <v>1.2860233033025419</v>
      </c>
      <c r="EB25" s="12">
        <f t="array" ref="EB25">PRODUCT(1+預測IC!$C26:EB26)-1</f>
        <v>1.3465094307246845</v>
      </c>
      <c r="EC25" s="12">
        <f t="array" ref="EC25">PRODUCT(1+預測IC!$C26:EC26)-1</f>
        <v>1.2884273650883467</v>
      </c>
      <c r="ED25" s="12">
        <f t="array" ref="ED25">PRODUCT(1+預測IC!$C26:ED26)-1</f>
        <v>1.3664981882262612</v>
      </c>
      <c r="EE25" s="12">
        <f t="array" ref="EE25">PRODUCT(1+預測IC!$C26:EE26)-1</f>
        <v>1.4163413115117764</v>
      </c>
      <c r="EF25" s="12">
        <f t="array" ref="EF25">PRODUCT(1+預測IC!$C26:EF26)-1</f>
        <v>1.367344209826507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預測IC</vt:lpstr>
      <vt:lpstr>夏普比率</vt:lpstr>
      <vt:lpstr>勝率</vt:lpstr>
      <vt:lpstr>累積報酬</vt:lpstr>
      <vt:lpstr>預測累積畫圖</vt:lpstr>
      <vt:lpstr>OLS樣本外R2</vt:lpstr>
      <vt:lpstr>NN5樣本外R2</vt:lpstr>
      <vt:lpstr>再投資累積報酬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歆璇 陳</dc:creator>
  <cp:lastModifiedBy>陳祥瑋</cp:lastModifiedBy>
  <dcterms:created xsi:type="dcterms:W3CDTF">2025-03-25T04:23:55Z</dcterms:created>
  <dcterms:modified xsi:type="dcterms:W3CDTF">2026-05-04T13:31:10Z</dcterms:modified>
</cp:coreProperties>
</file>